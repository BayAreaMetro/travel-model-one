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1EAE0BE9-1C01-405A-BE1C-A47996EADAD2}" xr6:coauthVersionLast="47" xr6:coauthVersionMax="47" xr10:uidLastSave="{00000000-0000-0000-0000-000000000000}"/>
  <bookViews>
    <workbookView xWindow="-28920" yWindow="-120" windowWidth="29040" windowHeight="15720" firstSheet="4" activeTab="4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Q170" i="6" l="1"/>
  <c r="BQ146" i="6"/>
  <c r="BQ122" i="6"/>
  <c r="BQ98" i="6"/>
  <c r="BQ74" i="6"/>
  <c r="BQ50" i="6"/>
  <c r="N51" i="1"/>
  <c r="I32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B180" i="1"/>
  <c r="B179" i="1"/>
  <c r="B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B165" i="1"/>
  <c r="B164" i="1"/>
  <c r="B163" i="1"/>
  <c r="B162" i="1"/>
  <c r="B161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G31" i="1"/>
  <c r="B31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I12" i="1" s="1"/>
  <c r="H12" i="1"/>
  <c r="G13" i="1"/>
  <c r="I13" i="1" s="1"/>
  <c r="H13" i="1"/>
  <c r="G14" i="1"/>
  <c r="I14" i="1" s="1"/>
  <c r="H14" i="1"/>
  <c r="G15" i="1"/>
  <c r="I15" i="1" s="1"/>
  <c r="H15" i="1"/>
  <c r="G16" i="1"/>
  <c r="H16" i="1"/>
  <c r="G17" i="1"/>
  <c r="I17" i="1" s="1"/>
  <c r="H17" i="1"/>
  <c r="G18" i="1"/>
  <c r="H18" i="1"/>
  <c r="I18" i="1" s="1"/>
  <c r="G19" i="1"/>
  <c r="I19" i="1" s="1"/>
  <c r="H19" i="1"/>
  <c r="G20" i="1"/>
  <c r="I20" i="1" s="1"/>
  <c r="H20" i="1"/>
  <c r="G21" i="1"/>
  <c r="H21" i="1"/>
  <c r="G22" i="1"/>
  <c r="H22" i="1"/>
  <c r="G23" i="1"/>
  <c r="H23" i="1"/>
  <c r="G24" i="1"/>
  <c r="H24" i="1"/>
  <c r="I9" i="1"/>
  <c r="I10" i="1"/>
  <c r="I24" i="1"/>
  <c r="I7" i="1"/>
  <c r="I8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M10" i="1" s="1"/>
  <c r="L10" i="1"/>
  <c r="J11" i="1"/>
  <c r="M11" i="1" s="1"/>
  <c r="K11" i="1"/>
  <c r="L11" i="1"/>
  <c r="J12" i="1"/>
  <c r="M12" i="1" s="1"/>
  <c r="K12" i="1"/>
  <c r="L12" i="1"/>
  <c r="J13" i="1"/>
  <c r="K13" i="1"/>
  <c r="L13" i="1"/>
  <c r="M13" i="1" s="1"/>
  <c r="J14" i="1"/>
  <c r="M14" i="1" s="1"/>
  <c r="K14" i="1"/>
  <c r="L14" i="1"/>
  <c r="J15" i="1"/>
  <c r="M15" i="1" s="1"/>
  <c r="K15" i="1"/>
  <c r="L15" i="1"/>
  <c r="J16" i="1"/>
  <c r="K16" i="1"/>
  <c r="L16" i="1"/>
  <c r="J17" i="1"/>
  <c r="K17" i="1"/>
  <c r="L17" i="1"/>
  <c r="J18" i="1"/>
  <c r="K18" i="1"/>
  <c r="M18" i="1" s="1"/>
  <c r="L18" i="1"/>
  <c r="J19" i="1"/>
  <c r="M19" i="1" s="1"/>
  <c r="K19" i="1"/>
  <c r="L19" i="1"/>
  <c r="J20" i="1"/>
  <c r="K20" i="1"/>
  <c r="L20" i="1"/>
  <c r="J21" i="1"/>
  <c r="K21" i="1"/>
  <c r="L21" i="1"/>
  <c r="J22" i="1"/>
  <c r="M22" i="1" s="1"/>
  <c r="K22" i="1"/>
  <c r="L22" i="1"/>
  <c r="J23" i="1"/>
  <c r="K23" i="1"/>
  <c r="M23" i="1" s="1"/>
  <c r="L23" i="1"/>
  <c r="J24" i="1"/>
  <c r="M24" i="1" s="1"/>
  <c r="K24" i="1"/>
  <c r="L24" i="1"/>
  <c r="M7" i="1"/>
  <c r="M8" i="1"/>
  <c r="M9" i="1"/>
  <c r="M17" i="1"/>
  <c r="M20" i="1"/>
  <c r="M21" i="1"/>
  <c r="K5" i="1"/>
  <c r="L5" i="1"/>
  <c r="J5" i="1"/>
  <c r="H5" i="1"/>
  <c r="G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C5" i="1"/>
  <c r="D5" i="1"/>
  <c r="E5" i="1"/>
  <c r="F5" i="1"/>
  <c r="B5" i="1"/>
  <c r="I5" i="1"/>
  <c r="M5" i="1"/>
  <c r="I6" i="1"/>
  <c r="M6" i="1"/>
  <c r="I11" i="1"/>
  <c r="I16" i="1"/>
  <c r="M16" i="1"/>
  <c r="I21" i="1"/>
  <c r="I22" i="1"/>
  <c r="I23" i="1"/>
  <c r="BQ169" i="6"/>
  <c r="BQ168" i="6"/>
  <c r="BQ167" i="6"/>
  <c r="BQ166" i="6"/>
  <c r="BQ165" i="6"/>
  <c r="BQ164" i="6"/>
  <c r="BQ163" i="6"/>
  <c r="BQ162" i="6"/>
  <c r="BQ161" i="6"/>
  <c r="BQ160" i="6"/>
  <c r="BQ159" i="6"/>
  <c r="BQ158" i="6"/>
  <c r="BQ157" i="6"/>
  <c r="BQ156" i="6"/>
  <c r="BQ155" i="6"/>
  <c r="BQ154" i="6"/>
  <c r="BQ153" i="6"/>
  <c r="BQ152" i="6"/>
  <c r="BQ151" i="6"/>
  <c r="BQ150" i="6"/>
  <c r="BQ145" i="6"/>
  <c r="BQ144" i="6"/>
  <c r="BQ143" i="6"/>
  <c r="BQ142" i="6"/>
  <c r="BQ141" i="6"/>
  <c r="BQ140" i="6"/>
  <c r="BQ139" i="6"/>
  <c r="BQ138" i="6"/>
  <c r="BQ137" i="6"/>
  <c r="BQ136" i="6"/>
  <c r="BQ135" i="6"/>
  <c r="BQ134" i="6"/>
  <c r="BQ133" i="6"/>
  <c r="BQ132" i="6"/>
  <c r="BQ131" i="6"/>
  <c r="BQ130" i="6"/>
  <c r="BQ129" i="6"/>
  <c r="BQ128" i="6"/>
  <c r="BQ127" i="6"/>
  <c r="BQ126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Q73" i="6"/>
  <c r="BQ72" i="6"/>
  <c r="BQ71" i="6"/>
  <c r="BQ70" i="6"/>
  <c r="BQ69" i="6"/>
  <c r="BQ68" i="6"/>
  <c r="BQ67" i="6"/>
  <c r="BQ66" i="6"/>
  <c r="BQ65" i="6"/>
  <c r="BQ64" i="6"/>
  <c r="BQ63" i="6"/>
  <c r="BQ62" i="6"/>
  <c r="BQ61" i="6"/>
  <c r="BQ60" i="6"/>
  <c r="BQ59" i="6"/>
  <c r="BQ58" i="6"/>
  <c r="BQ57" i="6"/>
  <c r="BQ56" i="6"/>
  <c r="BQ55" i="6"/>
  <c r="BQ54" i="6"/>
  <c r="BP170" i="6"/>
  <c r="BO170" i="6"/>
  <c r="BN170" i="6"/>
  <c r="BM170" i="6"/>
  <c r="BL170" i="6"/>
  <c r="BK170" i="6"/>
  <c r="BJ170" i="6"/>
  <c r="BI170" i="6"/>
  <c r="BH170" i="6"/>
  <c r="BG170" i="6"/>
  <c r="BF170" i="6"/>
  <c r="BE170" i="6"/>
  <c r="BD170" i="6"/>
  <c r="BC170" i="6"/>
  <c r="BB170" i="6"/>
  <c r="BA170" i="6"/>
  <c r="AZ170" i="6"/>
  <c r="AY170" i="6"/>
  <c r="AX170" i="6"/>
  <c r="AW170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BA146" i="6"/>
  <c r="AZ146" i="6"/>
  <c r="AY146" i="6"/>
  <c r="AX146" i="6"/>
  <c r="AW146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AW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1" i="6"/>
  <c r="BQ10" i="6"/>
  <c r="BQ9" i="6"/>
  <c r="BQ8" i="6"/>
  <c r="BQ7" i="6"/>
  <c r="BQ6" i="6"/>
  <c r="BQ26" i="6" l="1"/>
  <c r="E9" i="8" l="1"/>
  <c r="AL204" i="1" l="1"/>
  <c r="AM204" i="1"/>
  <c r="AO204" i="1"/>
  <c r="AP204" i="1"/>
  <c r="AQ204" i="1"/>
  <c r="AL205" i="1"/>
  <c r="AM205" i="1"/>
  <c r="AO205" i="1"/>
  <c r="AP205" i="1"/>
  <c r="AQ205" i="1"/>
  <c r="AL206" i="1"/>
  <c r="AM206" i="1"/>
  <c r="AO206" i="1"/>
  <c r="AP206" i="1"/>
  <c r="AQ206" i="1"/>
  <c r="AK206" i="1"/>
  <c r="AK205" i="1"/>
  <c r="AK204" i="1"/>
  <c r="AJ206" i="1"/>
  <c r="AJ205" i="1"/>
  <c r="AJ204" i="1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DQ200" i="1" s="1"/>
  <c r="BP200" i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DO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N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N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N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N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N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G44" i="1" s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N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AG49" i="1" s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S142" i="1"/>
  <c r="BZ194" i="1"/>
  <c r="CP194" i="1"/>
  <c r="CZ194" i="1"/>
  <c r="CQ142" i="1"/>
  <c r="DI142" i="1"/>
  <c r="AS148" i="1"/>
  <c r="CX200" i="1"/>
  <c r="DK194" i="1"/>
  <c r="CP148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CL116" i="1" l="1"/>
  <c r="CL38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93" i="1"/>
  <c r="D193" i="1"/>
  <c r="J193" i="1"/>
  <c r="B195" i="1"/>
  <c r="D195" i="1"/>
  <c r="G195" i="1"/>
  <c r="K195" i="1"/>
  <c r="L195" i="1"/>
  <c r="B196" i="1"/>
  <c r="D196" i="1"/>
  <c r="F196" i="1"/>
  <c r="G196" i="1"/>
  <c r="B197" i="1"/>
  <c r="D197" i="1"/>
  <c r="F197" i="1"/>
  <c r="G197" i="1"/>
  <c r="B198" i="1"/>
  <c r="D198" i="1"/>
  <c r="F198" i="1"/>
  <c r="G198" i="1"/>
  <c r="J198" i="1"/>
  <c r="K198" i="1"/>
  <c r="L198" i="1"/>
  <c r="B199" i="1"/>
  <c r="D199" i="1"/>
  <c r="F199" i="1"/>
  <c r="B201" i="1"/>
  <c r="D201" i="1"/>
  <c r="F201" i="1"/>
  <c r="G201" i="1"/>
  <c r="B202" i="1"/>
  <c r="D202" i="1"/>
  <c r="F202" i="1"/>
  <c r="G202" i="1"/>
  <c r="J202" i="1"/>
  <c r="K202" i="1"/>
  <c r="L202" i="1"/>
  <c r="B203" i="1"/>
  <c r="D203" i="1"/>
  <c r="L203" i="1"/>
  <c r="B204" i="1"/>
  <c r="D204" i="1"/>
  <c r="F204" i="1"/>
  <c r="B205" i="1"/>
  <c r="D205" i="1"/>
  <c r="G205" i="1"/>
  <c r="J205" i="1"/>
  <c r="B206" i="1"/>
  <c r="G206" i="1"/>
  <c r="K206" i="1"/>
  <c r="L206" i="1"/>
  <c r="B194" i="1"/>
  <c r="D194" i="1"/>
  <c r="F194" i="1"/>
  <c r="G194" i="1"/>
  <c r="L194" i="1"/>
  <c r="B200" i="1"/>
  <c r="D200" i="1"/>
  <c r="F200" i="1"/>
  <c r="G200" i="1"/>
  <c r="J200" i="1"/>
  <c r="K200" i="1"/>
  <c r="L200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G19" i="1" s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17" i="1" s="1"/>
  <c r="AG5" i="1" a="1"/>
  <c r="AG5" i="1" s="1"/>
  <c r="DQ20" i="1" l="1"/>
  <c r="D30" i="4"/>
  <c r="DQ19" i="1"/>
  <c r="D29" i="4"/>
  <c r="K205" i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I197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H196" i="1"/>
  <c r="I196" i="1" s="1"/>
  <c r="H195" i="1"/>
  <c r="I195" i="1" s="1"/>
  <c r="H193" i="1"/>
  <c r="I193" i="1" s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D51" i="1"/>
  <c r="D77" i="1"/>
  <c r="D103" i="1"/>
  <c r="D129" i="1"/>
  <c r="M142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45" i="1"/>
  <c r="I41" i="1"/>
  <c r="I42" i="1"/>
  <c r="I71" i="1"/>
  <c r="I98" i="1"/>
  <c r="I97" i="1"/>
  <c r="I84" i="1"/>
  <c r="I50" i="1"/>
  <c r="I46" i="1"/>
  <c r="I83" i="1"/>
  <c r="I91" i="1"/>
  <c r="M177" i="1"/>
  <c r="I164" i="1"/>
  <c r="N19" i="1"/>
  <c r="I169" i="1"/>
  <c r="M64" i="1"/>
  <c r="I65" i="1"/>
  <c r="M31" i="1"/>
  <c r="I176" i="1"/>
  <c r="I180" i="1"/>
  <c r="I172" i="1"/>
  <c r="I70" i="1"/>
  <c r="N70" i="1" s="1"/>
  <c r="I43" i="1"/>
  <c r="I165" i="1"/>
  <c r="I40" i="1"/>
  <c r="I37" i="1"/>
  <c r="I34" i="1"/>
  <c r="I33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I59" i="1"/>
  <c r="I58" i="1"/>
  <c r="M172" i="1"/>
  <c r="I93" i="1"/>
  <c r="I92" i="1"/>
  <c r="I89" i="1"/>
  <c r="I88" i="1"/>
  <c r="I87" i="1"/>
  <c r="I85" i="1"/>
  <c r="I161" i="1"/>
  <c r="M164" i="1"/>
  <c r="I163" i="1"/>
  <c r="N5" i="1"/>
  <c r="I57" i="1"/>
  <c r="I86" i="1"/>
  <c r="M165" i="1"/>
  <c r="M38" i="1"/>
  <c r="I68" i="1"/>
  <c r="I179" i="1"/>
  <c r="I44" i="1"/>
  <c r="N44" i="1" s="1"/>
  <c r="I49" i="1"/>
  <c r="I48" i="1"/>
  <c r="I47" i="1"/>
  <c r="M176" i="1"/>
  <c r="I102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36" i="1"/>
  <c r="I35" i="1"/>
  <c r="I63" i="1"/>
  <c r="I62" i="1"/>
  <c r="I61" i="1"/>
  <c r="CT19" i="1"/>
  <c r="I31" i="1"/>
  <c r="M169" i="1"/>
  <c r="CS19" i="1"/>
  <c r="CP20" i="1"/>
  <c r="M170" i="1"/>
  <c r="CO20" i="1"/>
  <c r="CR20" i="1"/>
  <c r="N20" i="1"/>
  <c r="I75" i="1"/>
  <c r="I74" i="1"/>
  <c r="I73" i="1"/>
  <c r="I177" i="1"/>
  <c r="I100" i="1"/>
  <c r="I99" i="1"/>
  <c r="M171" i="1"/>
  <c r="AR19" i="1"/>
  <c r="CW20" i="1"/>
  <c r="M180" i="1"/>
  <c r="I178" i="1"/>
  <c r="AR20" i="1"/>
  <c r="CV20" i="1"/>
  <c r="CX19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203" i="1" l="1"/>
  <c r="I199" i="1"/>
  <c r="I204" i="1"/>
  <c r="I155" i="1"/>
  <c r="I77" i="1"/>
  <c r="I103" i="1"/>
  <c r="N103" i="1" s="1"/>
  <c r="I51" i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03" i="1" s="1"/>
  <c r="AJ22" i="1" a="1"/>
  <c r="AJ22" i="1" s="1"/>
  <c r="AJ23" i="1" a="1"/>
  <c r="AJ23" i="1" s="1"/>
  <c r="AJ24" i="1" a="1"/>
  <c r="AJ24" i="1" s="1"/>
  <c r="AJ12" i="1" a="1"/>
  <c r="AJ12" i="1" s="1"/>
  <c r="AJ194" i="1" s="1"/>
  <c r="AJ18" i="1" a="1"/>
  <c r="AJ18" i="1" s="1"/>
  <c r="AJ200" i="1" s="1"/>
  <c r="AS200" i="1" s="1"/>
  <c r="BW200" i="1" s="1"/>
  <c r="EC200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3" i="1" a="1"/>
  <c r="AK23" i="1" s="1"/>
  <c r="AK24" i="1" a="1"/>
  <c r="AK24" i="1" s="1"/>
  <c r="AK12" i="1" a="1"/>
  <c r="AK12" i="1" s="1"/>
  <c r="AK194" i="1" s="1"/>
  <c r="AK18" i="1" a="1"/>
  <c r="AK18" i="1" s="1"/>
  <c r="AK200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3" i="1" a="1"/>
  <c r="AL23" i="1" s="1"/>
  <c r="AL24" i="1" a="1"/>
  <c r="AL24" i="1" s="1"/>
  <c r="AL12" i="1" a="1"/>
  <c r="AL12" i="1" s="1"/>
  <c r="AL194" i="1" s="1"/>
  <c r="AN194" i="1" s="1"/>
  <c r="AS194" i="1" s="1"/>
  <c r="BW194" i="1" s="1"/>
  <c r="EC194" i="1" s="1"/>
  <c r="AL18" i="1" a="1"/>
  <c r="AL18" i="1" s="1"/>
  <c r="AL200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3" i="1" a="1"/>
  <c r="AM23" i="1" s="1"/>
  <c r="AM24" i="1" a="1"/>
  <c r="AM24" i="1" s="1"/>
  <c r="AM12" i="1" a="1"/>
  <c r="AM12" i="1" s="1"/>
  <c r="AM194" i="1" s="1"/>
  <c r="AM18" i="1" a="1"/>
  <c r="AM18" i="1" s="1"/>
  <c r="AM200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03" i="1" s="1"/>
  <c r="AQ22" i="1" a="1"/>
  <c r="AQ22" i="1" s="1"/>
  <c r="AQ23" i="1" a="1"/>
  <c r="AQ23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194" i="1" s="1"/>
  <c r="AR194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194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194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200" i="1" s="1"/>
  <c r="AR200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200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200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03" i="1" s="1"/>
  <c r="AO22" i="1" a="1"/>
  <c r="AO22" i="1" s="1"/>
  <c r="AO23" i="1" a="1"/>
  <c r="AO23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201" i="1" s="1"/>
  <c r="AO46" i="1" a="1"/>
  <c r="AO46" i="1" s="1"/>
  <c r="AO202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03" i="1" s="1"/>
  <c r="AP22" i="1" a="1"/>
  <c r="AP22" i="1" s="1"/>
  <c r="AP23" i="1" a="1"/>
  <c r="AP23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201" i="1" s="1"/>
  <c r="AP46" i="1" a="1"/>
  <c r="AP46" i="1" s="1"/>
  <c r="AP202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201" i="1" s="1"/>
  <c r="AQ46" i="1" a="1"/>
  <c r="AQ46" i="1" s="1"/>
  <c r="AQ202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201" i="1" s="1"/>
  <c r="AJ46" i="1" a="1"/>
  <c r="AJ46" i="1" s="1"/>
  <c r="AJ202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AN37" i="1" l="1"/>
  <c r="AM203" i="1"/>
  <c r="AK202" i="1"/>
  <c r="AK201" i="1"/>
  <c r="AL202" i="1"/>
  <c r="AL201" i="1"/>
  <c r="AK203" i="1"/>
  <c r="AM202" i="1"/>
  <c r="AM201" i="1"/>
  <c r="AL203" i="1"/>
  <c r="AN40" i="1"/>
  <c r="AN39" i="1"/>
  <c r="CS34" i="8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B178" i="1" s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AR28" i="4" s="1"/>
  <c r="BQ116" i="1"/>
  <c r="BQ122" i="1"/>
  <c r="AJ28" i="4" s="1"/>
  <c r="BQ90" i="1"/>
  <c r="BQ96" i="1"/>
  <c r="AB28" i="4" s="1"/>
  <c r="BQ64" i="1"/>
  <c r="BQ70" i="1"/>
  <c r="T28" i="4" s="1"/>
  <c r="BQ44" i="1"/>
  <c r="L28" i="4" s="1"/>
  <c r="BQ38" i="1"/>
  <c r="AN57" i="1"/>
  <c r="AS57" i="1" s="1"/>
  <c r="AM77" i="1"/>
  <c r="BP142" i="1"/>
  <c r="AR19" i="4" s="1"/>
  <c r="BP148" i="1"/>
  <c r="BP116" i="1"/>
  <c r="AJ19" i="4" s="1"/>
  <c r="BP122" i="1"/>
  <c r="BP90" i="1"/>
  <c r="AB19" i="4" s="1"/>
  <c r="BP96" i="1"/>
  <c r="BP70" i="1"/>
  <c r="BP64" i="1"/>
  <c r="T19" i="4" s="1"/>
  <c r="BP44" i="1"/>
  <c r="BP38" i="1"/>
  <c r="L19" i="4" s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AB168" i="1"/>
  <c r="CJ168" i="1" s="1"/>
  <c r="S142" i="1"/>
  <c r="CA142" i="1" s="1"/>
  <c r="AB174" i="1"/>
  <c r="CJ174" i="1" s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AB57" i="4" s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AB48" i="4" s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Z38" i="1"/>
  <c r="CH38" i="1" s="1"/>
  <c r="Z44" i="1"/>
  <c r="CH44" i="1" s="1"/>
  <c r="Z76" i="1"/>
  <c r="Z70" i="1"/>
  <c r="Z64" i="1"/>
  <c r="AA44" i="1"/>
  <c r="AA38" i="1"/>
  <c r="T70" i="1"/>
  <c r="CB70" i="1" s="1"/>
  <c r="T64" i="1"/>
  <c r="CB64" i="1" s="1"/>
  <c r="AA70" i="1"/>
  <c r="CI70" i="1" s="1"/>
  <c r="AA64" i="1"/>
  <c r="CI64" i="1" s="1"/>
  <c r="AB44" i="1"/>
  <c r="AB38" i="1"/>
  <c r="R44" i="1"/>
  <c r="BZ44" i="1" s="1"/>
  <c r="R38" i="1"/>
  <c r="BZ38" i="1" s="1"/>
  <c r="R67" i="1"/>
  <c r="BZ67" i="1" s="1"/>
  <c r="R70" i="1"/>
  <c r="BZ70" i="1" s="1"/>
  <c r="R64" i="1"/>
  <c r="BZ64" i="1" s="1"/>
  <c r="AB64" i="1"/>
  <c r="CJ64" i="1" s="1"/>
  <c r="AB70" i="1"/>
  <c r="CJ70" i="1" s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AB173" i="1"/>
  <c r="CJ173" i="1" s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AB167" i="1"/>
  <c r="CJ167" i="1" s="1"/>
  <c r="AB166" i="1"/>
  <c r="CJ166" i="1" s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AB179" i="1"/>
  <c r="CJ179" i="1" s="1"/>
  <c r="AB177" i="1"/>
  <c r="CJ177" i="1" s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AB171" i="1"/>
  <c r="CJ171" i="1" s="1"/>
  <c r="AB161" i="1"/>
  <c r="CJ161" i="1" s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AB162" i="1"/>
  <c r="CJ162" i="1" s="1"/>
  <c r="AB180" i="1"/>
  <c r="CJ180" i="1" s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AB163" i="1"/>
  <c r="CJ163" i="1" s="1"/>
  <c r="AB169" i="1"/>
  <c r="CJ169" i="1" s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AB165" i="1"/>
  <c r="CJ165" i="1" s="1"/>
  <c r="AB172" i="1"/>
  <c r="CJ172" i="1" s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AB170" i="1"/>
  <c r="CJ170" i="1" s="1"/>
  <c r="AB176" i="1"/>
  <c r="CJ176" i="1" s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AB175" i="1"/>
  <c r="CJ175" i="1" s="1"/>
  <c r="AB164" i="1"/>
  <c r="CJ164" i="1" s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BM7" i="1"/>
  <c r="BM18" i="1"/>
  <c r="DI18" i="1" s="1"/>
  <c r="BM14" i="1"/>
  <c r="DI14" i="1" s="1"/>
  <c r="BQ113" i="1"/>
  <c r="DQ113" i="1" s="1"/>
  <c r="BQ112" i="1"/>
  <c r="DQ112" i="1" s="1"/>
  <c r="BQ121" i="1"/>
  <c r="AJ27" i="4" s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AJ30" i="4" s="1"/>
  <c r="BQ114" i="1"/>
  <c r="DQ114" i="1" s="1"/>
  <c r="BQ109" i="1"/>
  <c r="BQ123" i="1"/>
  <c r="AJ29" i="4" s="1"/>
  <c r="BQ118" i="1"/>
  <c r="DQ118" i="1" s="1"/>
  <c r="BQ120" i="1"/>
  <c r="BQ125" i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BP7" i="1"/>
  <c r="BP23" i="1"/>
  <c r="DO23" i="1" s="1"/>
  <c r="BP13" i="1"/>
  <c r="BP8" i="1"/>
  <c r="BP22" i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D31" i="4" s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D32" i="4" l="1"/>
  <c r="DQ125" i="1"/>
  <c r="AJ31" i="4"/>
  <c r="DQ18" i="1"/>
  <c r="D28" i="4"/>
  <c r="DO22" i="1"/>
  <c r="D26" i="4"/>
  <c r="DO12" i="1"/>
  <c r="D19" i="4"/>
  <c r="DE22" i="1"/>
  <c r="D6" i="4"/>
  <c r="DK22" i="1"/>
  <c r="D15" i="4"/>
  <c r="DI22" i="1"/>
  <c r="D14" i="4"/>
  <c r="DG22" i="1"/>
  <c r="D10" i="4"/>
  <c r="DM22" i="1"/>
  <c r="D17" i="4"/>
  <c r="CD12" i="1"/>
  <c r="V194" i="1"/>
  <c r="CC19" i="1"/>
  <c r="U201" i="1"/>
  <c r="CD22" i="1"/>
  <c r="V204" i="1"/>
  <c r="CD204" i="1" s="1"/>
  <c r="CC20" i="1"/>
  <c r="U202" i="1"/>
  <c r="CC202" i="1" s="1"/>
  <c r="CC24" i="1"/>
  <c r="U206" i="1"/>
  <c r="CC206" i="1" s="1"/>
  <c r="U200" i="1"/>
  <c r="CC200" i="1" s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6" i="1" s="1"/>
  <c r="CD20" i="1"/>
  <c r="V202" i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AZ17" i="1" s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CC201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U187" i="1"/>
  <c r="CC187" i="1" s="1"/>
  <c r="U198" i="1"/>
  <c r="CC198" i="1" s="1"/>
  <c r="U196" i="1"/>
  <c r="CC196" i="1" s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Z65" i="1"/>
  <c r="Z60" i="1"/>
  <c r="AC60" i="1" s="1"/>
  <c r="Z72" i="1"/>
  <c r="AC76" i="1"/>
  <c r="Z57" i="1"/>
  <c r="Z74" i="1"/>
  <c r="AC74" i="1" s="1"/>
  <c r="Z73" i="1"/>
  <c r="Z68" i="1"/>
  <c r="Z67" i="1"/>
  <c r="Z69" i="1"/>
  <c r="Z58" i="1"/>
  <c r="AC58" i="1" s="1"/>
  <c r="Z75" i="1"/>
  <c r="AC75" i="1" s="1"/>
  <c r="Z61" i="1"/>
  <c r="Z71" i="1"/>
  <c r="Z63" i="1"/>
  <c r="Z59" i="1"/>
  <c r="AC59" i="1" s="1"/>
  <c r="Z62" i="1"/>
  <c r="Z66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Z46" i="1"/>
  <c r="Z202" i="1" s="1"/>
  <c r="Z32" i="1"/>
  <c r="AC32" i="1" s="1"/>
  <c r="Z47" i="1"/>
  <c r="Z50" i="1"/>
  <c r="AC50" i="1" s="1"/>
  <c r="Z35" i="1"/>
  <c r="Z33" i="1"/>
  <c r="AC33" i="1" s="1"/>
  <c r="Z37" i="1"/>
  <c r="Z48" i="1"/>
  <c r="AC48" i="1" s="1"/>
  <c r="Z31" i="1"/>
  <c r="Z187" i="1" s="1"/>
  <c r="Z45" i="1"/>
  <c r="Z201" i="1" s="1"/>
  <c r="Z40" i="1"/>
  <c r="Z196" i="1" s="1"/>
  <c r="Z42" i="1"/>
  <c r="Z198" i="1" s="1"/>
  <c r="Z49" i="1"/>
  <c r="AC49" i="1" s="1"/>
  <c r="Z39" i="1"/>
  <c r="Z43" i="1"/>
  <c r="Z34" i="1"/>
  <c r="AC34" i="1" s="1"/>
  <c r="Z41" i="1"/>
  <c r="Z36" i="1"/>
  <c r="Z192" i="1" s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CD202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AX120" i="1" s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F170" i="1" s="1"/>
  <c r="DX170" i="1" s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BV14" i="1"/>
  <c r="EA14" i="1" s="1"/>
  <c r="BV12" i="1"/>
  <c r="BV13" i="1"/>
  <c r="EA13" i="1" s="1"/>
  <c r="BV24" i="1"/>
  <c r="D39" i="4" s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AX128" i="1"/>
  <c r="CB129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AZ24" i="1"/>
  <c r="AZ21" i="1"/>
  <c r="AZ13" i="1"/>
  <c r="S25" i="1"/>
  <c r="Z181" i="1"/>
  <c r="CH178" i="1"/>
  <c r="V181" i="1"/>
  <c r="CD164" i="1"/>
  <c r="CD112" i="1"/>
  <c r="V129" i="1"/>
  <c r="BZ31" i="1"/>
  <c r="R51" i="1"/>
  <c r="BF173" i="1" l="1"/>
  <c r="CY173" i="1" s="1"/>
  <c r="BF165" i="1"/>
  <c r="DX165" i="1" s="1"/>
  <c r="EA22" i="1"/>
  <c r="D37" i="4"/>
  <c r="EA23" i="1"/>
  <c r="D38" i="4"/>
  <c r="AZ7" i="1"/>
  <c r="AZ15" i="1"/>
  <c r="AZ16" i="1"/>
  <c r="AZ22" i="1"/>
  <c r="DL22" i="1" s="1"/>
  <c r="CD25" i="1"/>
  <c r="AZ5" i="1"/>
  <c r="CS5" i="1" s="1"/>
  <c r="AZ23" i="1"/>
  <c r="AZ8" i="1"/>
  <c r="AZ18" i="1"/>
  <c r="AZ14" i="1"/>
  <c r="DL14" i="1" s="1"/>
  <c r="AZ9" i="1"/>
  <c r="AZ12" i="1"/>
  <c r="AZ10" i="1"/>
  <c r="CS10" i="1" s="1"/>
  <c r="AX123" i="1"/>
  <c r="AX124" i="1"/>
  <c r="AX121" i="1"/>
  <c r="BW146" i="1"/>
  <c r="EC146" i="1" s="1"/>
  <c r="DU181" i="1"/>
  <c r="AX117" i="1"/>
  <c r="CQ117" i="1" s="1"/>
  <c r="AZ6" i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CQ125" i="1" s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AC194" i="1"/>
  <c r="CK194" i="1" s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BF161" i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C205" i="1" s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C190" i="1" s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AA68" i="1"/>
  <c r="CI68" i="1" s="1"/>
  <c r="AA63" i="1"/>
  <c r="CI63" i="1" s="1"/>
  <c r="AA75" i="1"/>
  <c r="CI75" i="1" s="1"/>
  <c r="AA57" i="1"/>
  <c r="CI57" i="1" s="1"/>
  <c r="AA65" i="1"/>
  <c r="CI65" i="1" s="1"/>
  <c r="AA74" i="1"/>
  <c r="AA62" i="1"/>
  <c r="CI62" i="1" s="1"/>
  <c r="AA73" i="1"/>
  <c r="CI73" i="1" s="1"/>
  <c r="AA58" i="1"/>
  <c r="CI58" i="1" s="1"/>
  <c r="AA59" i="1"/>
  <c r="CI59" i="1" s="1"/>
  <c r="AA72" i="1"/>
  <c r="CI72" i="1" s="1"/>
  <c r="AA66" i="1"/>
  <c r="CI66" i="1" s="1"/>
  <c r="AA60" i="1"/>
  <c r="CI60" i="1" s="1"/>
  <c r="AA69" i="1"/>
  <c r="CI69" i="1" s="1"/>
  <c r="AA71" i="1"/>
  <c r="CI71" i="1" s="1"/>
  <c r="AA67" i="1"/>
  <c r="CI67" i="1" s="1"/>
  <c r="AA61" i="1"/>
  <c r="CI61" i="1" s="1"/>
  <c r="AA76" i="1"/>
  <c r="CI76" i="1" s="1"/>
  <c r="AZ61" i="1"/>
  <c r="DL61" i="1" s="1"/>
  <c r="CF58" i="1"/>
  <c r="AC61" i="1"/>
  <c r="CK61" i="1" s="1"/>
  <c r="CH61" i="1"/>
  <c r="AC72" i="1"/>
  <c r="CK72" i="1" s="1"/>
  <c r="CH72" i="1"/>
  <c r="AB72" i="1"/>
  <c r="CJ72" i="1" s="1"/>
  <c r="AB67" i="1"/>
  <c r="CJ67" i="1" s="1"/>
  <c r="AB60" i="1"/>
  <c r="CJ60" i="1" s="1"/>
  <c r="AB57" i="1"/>
  <c r="CJ57" i="1" s="1"/>
  <c r="AB66" i="1"/>
  <c r="CJ66" i="1" s="1"/>
  <c r="AB71" i="1"/>
  <c r="CJ71" i="1" s="1"/>
  <c r="AB73" i="1"/>
  <c r="CJ73" i="1" s="1"/>
  <c r="AB68" i="1"/>
  <c r="CJ68" i="1" s="1"/>
  <c r="AB69" i="1"/>
  <c r="CJ69" i="1" s="1"/>
  <c r="AB75" i="1"/>
  <c r="CJ75" i="1" s="1"/>
  <c r="AB58" i="1"/>
  <c r="CJ58" i="1" s="1"/>
  <c r="AB61" i="1"/>
  <c r="CJ61" i="1" s="1"/>
  <c r="AB63" i="1"/>
  <c r="CJ63" i="1" s="1"/>
  <c r="AB76" i="1"/>
  <c r="CJ76" i="1" s="1"/>
  <c r="AB74" i="1"/>
  <c r="AB59" i="1"/>
  <c r="CJ59" i="1" s="1"/>
  <c r="AB62" i="1"/>
  <c r="CJ62" i="1" s="1"/>
  <c r="AB65" i="1"/>
  <c r="CJ65" i="1" s="1"/>
  <c r="AZ73" i="1"/>
  <c r="DL73" i="1" s="1"/>
  <c r="AC65" i="1"/>
  <c r="CK65" i="1" s="1"/>
  <c r="CH65" i="1"/>
  <c r="AA35" i="1"/>
  <c r="CI35" i="1" s="1"/>
  <c r="AA50" i="1"/>
  <c r="CI50" i="1" s="1"/>
  <c r="AA42" i="1"/>
  <c r="CI42" i="1" s="1"/>
  <c r="AA46" i="1"/>
  <c r="CI46" i="1" s="1"/>
  <c r="AA49" i="1"/>
  <c r="CI49" i="1" s="1"/>
  <c r="AA41" i="1"/>
  <c r="CI41" i="1" s="1"/>
  <c r="AA48" i="1"/>
  <c r="AA34" i="1"/>
  <c r="CI34" i="1" s="1"/>
  <c r="AA40" i="1"/>
  <c r="CI40" i="1" s="1"/>
  <c r="AA37" i="1"/>
  <c r="CI37" i="1" s="1"/>
  <c r="AA39" i="1"/>
  <c r="CI39" i="1" s="1"/>
  <c r="AA45" i="1"/>
  <c r="CI45" i="1" s="1"/>
  <c r="AA33" i="1"/>
  <c r="CI33" i="1" s="1"/>
  <c r="AA36" i="1"/>
  <c r="CI36" i="1" s="1"/>
  <c r="AA47" i="1"/>
  <c r="CI47" i="1" s="1"/>
  <c r="AA31" i="1"/>
  <c r="CI31" i="1" s="1"/>
  <c r="AA32" i="1"/>
  <c r="CI32" i="1" s="1"/>
  <c r="AA43" i="1"/>
  <c r="CI43" i="1" s="1"/>
  <c r="CE35" i="1"/>
  <c r="AC31" i="1"/>
  <c r="CK31" i="1" s="1"/>
  <c r="CH31" i="1"/>
  <c r="CE40" i="1"/>
  <c r="CE41" i="1"/>
  <c r="AC36" i="1"/>
  <c r="CK36" i="1" s="1"/>
  <c r="CH36" i="1"/>
  <c r="Z204" i="1"/>
  <c r="AC204" i="1" s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AC193" i="1" s="1"/>
  <c r="CK193" i="1" s="1"/>
  <c r="Z197" i="1"/>
  <c r="AC197" i="1" s="1"/>
  <c r="CK197" i="1" s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AC199" i="1" s="1"/>
  <c r="CK199" i="1" s="1"/>
  <c r="CE42" i="1"/>
  <c r="AC40" i="1"/>
  <c r="CK40" i="1" s="1"/>
  <c r="CH40" i="1"/>
  <c r="AC46" i="1"/>
  <c r="CK46" i="1" s="1"/>
  <c r="CH46" i="1"/>
  <c r="AB32" i="1"/>
  <c r="CJ32" i="1" s="1"/>
  <c r="AB40" i="1"/>
  <c r="CJ40" i="1" s="1"/>
  <c r="AB39" i="1"/>
  <c r="CJ39" i="1" s="1"/>
  <c r="AB41" i="1"/>
  <c r="CJ41" i="1" s="1"/>
  <c r="AB48" i="1"/>
  <c r="AB36" i="1"/>
  <c r="CJ36" i="1" s="1"/>
  <c r="AB43" i="1"/>
  <c r="CJ43" i="1" s="1"/>
  <c r="AB37" i="1"/>
  <c r="CJ37" i="1" s="1"/>
  <c r="AB34" i="1"/>
  <c r="CJ34" i="1" s="1"/>
  <c r="AB35" i="1"/>
  <c r="CJ35" i="1" s="1"/>
  <c r="AB33" i="1"/>
  <c r="CJ33" i="1" s="1"/>
  <c r="AB45" i="1"/>
  <c r="CJ45" i="1" s="1"/>
  <c r="AB42" i="1"/>
  <c r="CJ42" i="1" s="1"/>
  <c r="AB46" i="1"/>
  <c r="CJ46" i="1" s="1"/>
  <c r="AB31" i="1"/>
  <c r="CJ31" i="1" s="1"/>
  <c r="AB50" i="1"/>
  <c r="CJ50" i="1" s="1"/>
  <c r="AB49" i="1"/>
  <c r="CJ49" i="1" s="1"/>
  <c r="AB47" i="1"/>
  <c r="CJ47" i="1" s="1"/>
  <c r="Z206" i="1"/>
  <c r="AC206" i="1" s="1"/>
  <c r="Z195" i="1"/>
  <c r="CH195" i="1" s="1"/>
  <c r="Z203" i="1"/>
  <c r="CH203" i="1" s="1"/>
  <c r="CE46" i="1"/>
  <c r="CE31" i="1"/>
  <c r="AC45" i="1"/>
  <c r="CK45" i="1" s="1"/>
  <c r="CH45" i="1"/>
  <c r="AC187" i="1"/>
  <c r="CK187" i="1" s="1"/>
  <c r="CH187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AC202" i="1"/>
  <c r="CK202" i="1" s="1"/>
  <c r="CH202" i="1"/>
  <c r="AC192" i="1"/>
  <c r="CK192" i="1" s="1"/>
  <c r="CH192" i="1"/>
  <c r="AC196" i="1"/>
  <c r="CK196" i="1" s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AC201" i="1"/>
  <c r="CK201" i="1" s="1"/>
  <c r="CH201" i="1"/>
  <c r="AC198" i="1"/>
  <c r="CK198" i="1" s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J89" i="1"/>
  <c r="CR89" i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DH124" i="1"/>
  <c r="CQ124" i="1"/>
  <c r="Z77" i="1"/>
  <c r="CH58" i="1"/>
  <c r="CS17" i="1"/>
  <c r="DL17" i="1"/>
  <c r="CK60" i="1"/>
  <c r="CH60" i="1"/>
  <c r="CH102" i="1"/>
  <c r="CH76" i="1"/>
  <c r="CQ121" i="1"/>
  <c r="DH121" i="1"/>
  <c r="CS145" i="1"/>
  <c r="DL145" i="1"/>
  <c r="CH101" i="1"/>
  <c r="CS9" i="1"/>
  <c r="DL9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L23" i="1"/>
  <c r="CS23" i="1"/>
  <c r="CS21" i="1"/>
  <c r="DL21" i="1"/>
  <c r="DF71" i="1"/>
  <c r="CP71" i="1"/>
  <c r="CQ120" i="1"/>
  <c r="DH120" i="1"/>
  <c r="CH137" i="1"/>
  <c r="CH136" i="1"/>
  <c r="Z155" i="1"/>
  <c r="DL7" i="1"/>
  <c r="CS7" i="1"/>
  <c r="CH74" i="1"/>
  <c r="CH138" i="1"/>
  <c r="CO65" i="1"/>
  <c r="DD65" i="1"/>
  <c r="DL12" i="1"/>
  <c r="CS12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DL6" i="1"/>
  <c r="CS6" i="1"/>
  <c r="CS13" i="1"/>
  <c r="DL13" i="1"/>
  <c r="DL24" i="1"/>
  <c r="CS24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DL8" i="1"/>
  <c r="C16" i="4"/>
  <c r="CS8" i="1"/>
  <c r="CS16" i="1"/>
  <c r="DL16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DH125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CR69" i="1"/>
  <c r="DJ69" i="1"/>
  <c r="CQ128" i="1"/>
  <c r="DH128" i="1"/>
  <c r="DH40" i="1"/>
  <c r="CQ40" i="1"/>
  <c r="CH127" i="1"/>
  <c r="CK33" i="1"/>
  <c r="CH33" i="1"/>
  <c r="DL15" i="1"/>
  <c r="CS15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DL18" i="1"/>
  <c r="CS18" i="1"/>
  <c r="DH123" i="1"/>
  <c r="CQ123" i="1"/>
  <c r="AA8" i="4"/>
  <c r="AC8" i="4" s="1"/>
  <c r="CP85" i="1"/>
  <c r="DF85" i="1"/>
  <c r="CS22" i="1" l="1"/>
  <c r="DL10" i="1"/>
  <c r="DL5" i="1"/>
  <c r="C17" i="4"/>
  <c r="DH114" i="1"/>
  <c r="DH110" i="1"/>
  <c r="AI11" i="4"/>
  <c r="DJ91" i="1"/>
  <c r="CR84" i="1"/>
  <c r="DH117" i="1"/>
  <c r="CS14" i="1"/>
  <c r="DJ99" i="1"/>
  <c r="DL34" i="1"/>
  <c r="CR125" i="1"/>
  <c r="K16" i="4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AC189" i="1"/>
  <c r="BG174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Y181" i="1" s="1"/>
  <c r="BF181" i="1"/>
  <c r="CQ31" i="1"/>
  <c r="AX51" i="1"/>
  <c r="CQ51" i="1" s="1"/>
  <c r="DL31" i="1"/>
  <c r="AZ51" i="1"/>
  <c r="CS51" i="1" s="1"/>
  <c r="AC188" i="1"/>
  <c r="BG168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X181" i="1" s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AC195" i="1"/>
  <c r="CK195" i="1" s="1"/>
  <c r="Y145" i="1"/>
  <c r="CE145" i="1"/>
  <c r="Y153" i="1"/>
  <c r="AD153" i="1" s="1"/>
  <c r="AC146" i="1"/>
  <c r="CK146" i="1" s="1"/>
  <c r="AQ9" i="4"/>
  <c r="AT9" i="4" s="1"/>
  <c r="AU9" i="4" s="1"/>
  <c r="AV9" i="4" s="1"/>
  <c r="AC191" i="1"/>
  <c r="CK191" i="1" s="1"/>
  <c r="AC203" i="1"/>
  <c r="CK203" i="1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98" i="1" s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96" i="1" s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92" i="1" s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01" i="1" s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02" i="1" s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187" i="1" s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CO103" i="1"/>
  <c r="DD40" i="1"/>
  <c r="CO40" i="1"/>
  <c r="CS97" i="1"/>
  <c r="DL97" i="1"/>
  <c r="CP22" i="1"/>
  <c r="DF22" i="1"/>
  <c r="DL25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K190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81" i="1" s="1"/>
  <c r="BG162" i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BD51" i="1" s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7" i="1" s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E17" i="4"/>
  <c r="F17" i="4"/>
  <c r="G17" i="4" s="1"/>
  <c r="H17" i="4" s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F16" i="4"/>
  <c r="G16" i="4" s="1"/>
  <c r="H16" i="4" s="1"/>
  <c r="E16" i="4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M16" i="4"/>
  <c r="N16" i="4"/>
  <c r="O16" i="4" s="1"/>
  <c r="P16" i="4" s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L14" i="4"/>
  <c r="AM14" i="4" s="1"/>
  <c r="AN14" i="4" s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P12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N11" i="4"/>
  <c r="O11" i="4" s="1"/>
  <c r="P11" i="4" s="1"/>
  <c r="M11" i="4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1" i="4"/>
  <c r="AM11" i="4" s="1"/>
  <c r="AN11" i="4" s="1"/>
  <c r="AK11" i="4"/>
  <c r="F5" i="4" l="1"/>
  <c r="G5" i="4" s="1"/>
  <c r="H5" i="4" s="1"/>
  <c r="AL13" i="4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DT181" i="1" s="1"/>
  <c r="CW168" i="1"/>
  <c r="CW181" i="1" s="1"/>
  <c r="DZ168" i="1"/>
  <c r="CZ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AA65" i="4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CK205" i="1"/>
  <c r="AD100" i="1"/>
  <c r="CL100" i="1" s="1"/>
  <c r="AL16" i="4"/>
  <c r="AM16" i="4" s="1"/>
  <c r="AN16" i="4" s="1"/>
  <c r="CK206" i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51" i="1" s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CK188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CW7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A62" i="4"/>
  <c r="AD62" i="4" s="1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DZ181" i="1" s="1"/>
  <c r="CZ161" i="1"/>
  <c r="CZ181" i="1" s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51" i="1" s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DT51" i="1" s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7" i="1" s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207" i="1" s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77" i="1" s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C32" i="4" l="1"/>
  <c r="C26" i="4"/>
  <c r="BE103" i="1"/>
  <c r="BA77" i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DV181" i="1" s="1"/>
  <c r="CX168" i="1"/>
  <c r="CX181" i="1" s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AD65" i="4"/>
  <c r="AE65" i="4" s="1"/>
  <c r="AC65" i="4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51" i="1" s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207" i="1" s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DX51" i="1" s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207" i="1" s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BH46" i="1"/>
  <c r="BH40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DT207" i="1" s="1"/>
  <c r="CW187" i="1"/>
  <c r="CW20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77" i="1"/>
  <c r="CT57" i="1"/>
  <c r="DN9" i="1"/>
  <c r="CT9" i="1"/>
  <c r="CX31" i="1"/>
  <c r="CX51" i="1"/>
  <c r="DV31" i="1"/>
  <c r="DV51" i="1" s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S36" i="4" s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77" i="1" s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CV34" i="1" l="1"/>
  <c r="CV43" i="1"/>
  <c r="CV45" i="1"/>
  <c r="CV41" i="1"/>
  <c r="DV129" i="1"/>
  <c r="BC103" i="1"/>
  <c r="CV103" i="1" s="1"/>
  <c r="DX103" i="1"/>
  <c r="BC77" i="1"/>
  <c r="CV77" i="1" s="1"/>
  <c r="DP129" i="1"/>
  <c r="DX129" i="1"/>
  <c r="BG103" i="1"/>
  <c r="CZ103" i="1" s="1"/>
  <c r="DX155" i="1"/>
  <c r="BC155" i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AM65" i="4"/>
  <c r="AF65" i="4"/>
  <c r="U36" i="4"/>
  <c r="V36" i="4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EB4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DZ51" i="1" s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207" i="1" s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EB46" i="1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CX207" i="1"/>
  <c r="DV187" i="1"/>
  <c r="DV207" i="1" s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CY207" i="1"/>
  <c r="DX187" i="1"/>
  <c r="DX207" i="1" s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5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EB39" i="1" l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207" i="1"/>
  <c r="CZ187" i="1"/>
  <c r="DZ187" i="1"/>
  <c r="DZ207" i="1" s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EB77" i="1" l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CE205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BC176" i="1" s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U172" i="1" s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DP172" i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64" i="1"/>
  <c r="BC170" i="1"/>
  <c r="BC177" i="1"/>
  <c r="BC171" i="1"/>
  <c r="BC172" i="1"/>
  <c r="BC167" i="1"/>
  <c r="AD194" i="1" l="1"/>
  <c r="BH194" i="1" s="1"/>
  <c r="BC180" i="1"/>
  <c r="CV180" i="1" s="1"/>
  <c r="CU173" i="1"/>
  <c r="AA58" i="4"/>
  <c r="AD58" i="4" s="1"/>
  <c r="AE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DR175" i="1" s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AM58" i="4"/>
  <c r="AF58" i="4"/>
  <c r="CV177" i="1"/>
  <c r="DR177" i="1"/>
  <c r="DR180" i="1"/>
  <c r="DR164" i="1"/>
  <c r="CV164" i="1"/>
  <c r="DR172" i="1"/>
  <c r="CV172" i="1"/>
  <c r="CV176" i="1"/>
  <c r="DR176" i="1"/>
  <c r="AF59" i="4"/>
  <c r="AM59" i="4"/>
  <c r="CV175" i="1"/>
  <c r="CL194" i="1" l="1"/>
  <c r="AC58" i="4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CU207" i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<sst xmlns="http://schemas.openxmlformats.org/spreadsheetml/2006/main" count="8738" uniqueCount="364">
  <si>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</si>
  <si>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</si>
  <si>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</si>
  <si>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</si>
  <si>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</si>
  <si>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</si>
  <si>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</si>
  <si>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</si>
  <si>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</si>
  <si>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</si>
  <si>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</si>
  <si>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</si>
  <si>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</si>
  <si>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</si>
  <si>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</si>
  <si>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</si>
  <si>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</si>
  <si>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</si>
  <si>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</si>
  <si>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</si>
  <si>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</si>
  <si>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</si>
  <si>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</si>
  <si>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</si>
  <si>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</si>
  <si>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</si>
  <si>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</si>
  <si>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</si>
  <si>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</si>
  <si>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</si>
  <si>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</si>
  <si>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</si>
  <si>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</si>
  <si>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</si>
  <si>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</si>
  <si>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</si>
  <si>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</si>
  <si>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</si>
  <si>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</si>
  <si>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</si>
  <si>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</si>
  <si>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</si>
  <si>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</si>
  <si>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</si>
  <si>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</si>
  <si>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</si>
  <si>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</si>
  <si>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</si>
  <si>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</si>
  <si>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</si>
  <si>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</si>
  <si>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</si>
  <si>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</si>
  <si>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</si>
  <si>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</si>
  <si>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</si>
  <si>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</si>
  <si>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</si>
  <si>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</si>
  <si>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</si>
  <si>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</si>
  <si>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</si>
  <si>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</si>
  <si>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</si>
  <si>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</si>
  <si>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</si>
  <si>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</si>
  <si>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</si>
  <si>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</si>
  <si>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</si>
  <si>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</si>
  <si>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</si>
  <si>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</si>
  <si>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</si>
  <si>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</si>
  <si>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</si>
  <si>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</si>
  <si>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</si>
  <si>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</si>
  <si>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</si>
  <si>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</si>
  <si>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</si>
  <si>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</si>
  <si>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</si>
  <si>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</si>
  <si>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</si>
  <si>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</si>
  <si>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</si>
  <si>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</si>
  <si>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</si>
  <si>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</si>
  <si>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</si>
  <si>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</si>
  <si>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</si>
  <si>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</si>
  <si>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</si>
  <si>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</si>
  <si>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</si>
  <si>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</si>
  <si>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</si>
  <si>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</si>
  <si>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</si>
  <si>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</si>
  <si>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</si>
  <si>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</si>
  <si>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</si>
  <si>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</si>
  <si>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</si>
  <si>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</si>
  <si>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</si>
  <si>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</si>
  <si>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</si>
  <si>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</si>
  <si>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</si>
  <si>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</si>
  <si>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</si>
  <si>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</si>
  <si>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</si>
  <si>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</si>
  <si>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</si>
  <si>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</si>
  <si>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</si>
  <si>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</si>
  <si>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</si>
  <si>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</si>
  <si>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</si>
  <si>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</si>
  <si>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</si>
  <si>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</si>
  <si>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</si>
  <si>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</si>
  <si>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</si>
  <si>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</si>
  <si>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</si>
  <si>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</si>
  <si>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</si>
  <si>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</si>
  <si>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</si>
  <si>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</si>
  <si>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</si>
  <si>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</si>
  <si>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</si>
  <si>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</si>
  <si>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</si>
  <si>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</si>
  <si>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</si>
  <si>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</si>
  <si>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</si>
  <si>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</si>
  <si>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</si>
  <si>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</si>
  <si>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</si>
  <si>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</si>
  <si>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</si>
  <si>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</si>
  <si>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</si>
  <si>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</si>
  <si>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</si>
  <si>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</si>
  <si>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</si>
  <si>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</si>
  <si>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</si>
  <si>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</si>
  <si>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</si>
  <si>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</si>
  <si>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</si>
  <si>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</si>
  <si>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</si>
  <si>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</si>
  <si>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</si>
  <si>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</si>
  <si>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</si>
  <si>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</si>
  <si>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</si>
  <si>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</si>
  <si>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</si>
  <si>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</si>
  <si>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</si>
  <si>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</si>
  <si>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</si>
  <si>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</si>
  <si>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</si>
  <si>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</si>
  <si>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</si>
  <si>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</si>
  <si>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</si>
  <si>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</si>
  <si>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</si>
  <si>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</si>
  <si>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</si>
  <si>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</si>
  <si>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</si>
  <si>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</si>
  <si>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</si>
  <si>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</si>
  <si>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</si>
  <si>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</si>
  <si>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</si>
  <si>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</si>
  <si>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</si>
  <si>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</si>
  <si>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</si>
  <si>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</si>
  <si>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</si>
  <si>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</si>
  <si>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</si>
  <si>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</si>
  <si>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</si>
  <si>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</si>
  <si>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</si>
  <si>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</si>
  <si>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</si>
  <si>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</si>
  <si>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</si>
  <si>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</si>
  <si>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</si>
  <si>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</si>
  <si>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</si>
  <si>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</si>
  <si>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</si>
  <si>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</si>
  <si>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</si>
  <si>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</si>
  <si>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</si>
  <si>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</si>
  <si>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</si>
  <si>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</si>
  <si>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</si>
  <si>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</si>
  <si>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</si>
  <si>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</si>
  <si>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</si>
  <si>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</si>
  <si>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</si>
  <si>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</si>
  <si>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</si>
  <si>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</si>
  <si>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</si>
  <si>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</si>
  <si>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</si>
  <si>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</si>
  <si>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</si>
  <si>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</si>
  <si>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</si>
  <si>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</si>
  <si>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</si>
  <si>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</si>
  <si>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</si>
  <si>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</si>
  <si>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</si>
  <si>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</si>
  <si>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</si>
  <si>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</si>
  <si>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</si>
  <si>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</si>
  <si>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</si>
  <si>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</si>
  <si>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</si>
  <si>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</si>
  <si>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</si>
  <si>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</si>
  <si>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</si>
  <si>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</si>
  <si>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</si>
  <si>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</si>
  <si>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</si>
  <si>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</si>
  <si>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</si>
  <si>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</si>
  <si>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</si>
  <si>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</si>
  <si>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</si>
  <si>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</si>
  <si>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</si>
  <si>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</si>
  <si>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</si>
  <si>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</si>
  <si>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</si>
  <si>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</si>
  <si>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</si>
  <si>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</si>
  <si>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</si>
  <si>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</si>
  <si>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</si>
  <si>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</si>
  <si>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</si>
  <si>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</si>
  <si>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</si>
  <si>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</si>
  <si>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</si>
  <si>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</si>
  <si>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</si>
  <si>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</si>
  <si>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</si>
  <si>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</si>
  <si>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</si>
  <si>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</si>
  <si>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</si>
  <si>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</si>
  <si>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</si>
  <si>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</si>
  <si>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</si>
  <si>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</si>
  <si>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</si>
  <si>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</si>
  <si>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</si>
  <si>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</si>
  <si>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</si>
  <si>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</si>
  <si>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</si>
  <si>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</si>
  <si>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</si>
  <si>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</si>
  <si>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</si>
  <si>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</si>
  <si>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</si>
  <si>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</si>
  <si>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</si>
  <si>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</si>
  <si>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</si>
  <si>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</si>
  <si>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</si>
  <si>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</si>
  <si>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</si>
  <si>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</si>
  <si>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</si>
  <si>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</si>
  <si>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</si>
  <si>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</si>
  <si>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</si>
  <si>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all - unweighted</t>
  </si>
  <si>
    <t>trip_mode_label</t>
  </si>
  <si>
    <t>Drive alone</t>
  </si>
  <si>
    <t>Shared ride 2</t>
  </si>
  <si>
    <t>Shared ride 3+</t>
  </si>
  <si>
    <t>Walk to local bus</t>
  </si>
  <si>
    <t>Walk to light rail or ferry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</si>
  <si>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</si>
  <si>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</si>
  <si>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</si>
  <si>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</si>
  <si>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</si>
  <si>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</si>
  <si>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</si>
  <si>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</si>
  <si>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</si>
  <si>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</si>
  <si>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</si>
  <si>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Source: M:/Development/Travel Model One/Calibration/Version 1.7/2023_BATS_Summaries/pipeline_mt_20260821_NoMon_rmo/ctramp_2023/BATS_Summaries/BATS2023_tour_trip_mode_summary_wide_unweighted_all.csv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</si>
  <si>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</si>
  <si>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</si>
  <si>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</si>
  <si>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all - weighted</t>
  </si>
  <si>
    <t>Source: M:/Development/Travel Model One/Calibration/Version 1.7/2023_BATS_Summaries/pipeline_mt_20260821_NoMon_rmo/ctramp_2023/BATS_Summaries/BATS2023_tour_trip_mode_summary_wide_unweighted_solano_napa.csv</t>
  </si>
  <si>
    <t>solano_napa - unweighted</t>
  </si>
  <si>
    <t>Source: M:/Development/Travel Model One/Calibration/Version 1.7/2023_BATS_Summaries/pipeline_mt_20260821_NoMon_rmo/ctramp_2023/BATS_Summaries/BATS2023_tour_trip_mode_summary_wide_weighted_solano_napa.csv</t>
  </si>
  <si>
    <t>solano_napa - weighted</t>
  </si>
  <si>
    <t>Source: M:/Development/Travel Model One/Calibration/Version 1.7/2023_BATS_Summaries/pipeline_mt_20260821_NoMon_rmo/ctramp_2023/BATS_Summaries/BATS2023_tour_trip_mode_summary_wide_unweighted_north_bay.csv</t>
  </si>
  <si>
    <t>north_bay - unweighted</t>
  </si>
  <si>
    <t>Source: M:/Development/Travel Model One/Calibration/Version 1.7/2023_BATS_Summaries/pipeline_mt_20260821_NoMon_rmo/ctramp_2023/BATS_Summaries/BATS2023_tour_trip_mode_summary_wide_weighted_north_bay.csv</t>
  </si>
  <si>
    <t>north_bay - weighted</t>
  </si>
  <si>
    <t>Drive to light rail</t>
  </si>
  <si>
    <t>Walk to light rail</t>
  </si>
  <si>
    <t>all-weighted (adjusted) - dropping for trips not allowed in the corresponding tour mode based on CTRAMP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</si>
</sst>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83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17" xfId="0" applyFont="1" applyBorder="1" applyAlignment="1">
      <alignment wrapText="1"/>
    </xf>
    <xf numFmtId="0" fontId="5" fillId="0" borderId="17" xfId="0" applyFont="1" applyBorder="1"/>
    <xf numFmtId="164" fontId="5" fillId="0" borderId="17" xfId="0" applyNumberFormat="1" applyFont="1" applyBorder="1"/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Font="1" applyAlignment="1">
      <alignment vertical="center" wrapText="1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textRotation="90" wrapText="1"/>
    </xf>
    <xf numFmtId="0" fontId="20" fillId="7" borderId="0" xfId="0" applyFont="1" applyFill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0" fontId="2" fillId="0" borderId="0" xfId="0" applyFont="1" applyAlignment="1">
      <alignment wrapText="1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 to local bus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 to light rail or 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 to express bus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 to heavy rail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 to commuter rail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 to local bus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 to light rail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 to commuter rail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 - single party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 - 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61" t="s">
        <v>211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Q2" s="261" t="s">
        <v>211</v>
      </c>
      <c r="AR2" s="261"/>
      <c r="AS2" s="261"/>
      <c r="AT2" s="261"/>
      <c r="AU2" s="261"/>
      <c r="AV2" s="261"/>
      <c r="AW2" s="261"/>
      <c r="AX2" s="261"/>
      <c r="AY2" s="261"/>
      <c r="AZ2" s="261"/>
      <c r="BA2" s="261"/>
      <c r="BB2" s="261"/>
      <c r="BC2" s="261"/>
      <c r="BD2" s="261"/>
      <c r="BE2" s="261"/>
      <c r="BF2" s="261"/>
      <c r="BG2" s="261"/>
      <c r="BH2" s="261"/>
      <c r="BI2" s="261"/>
      <c r="BJ2" s="261"/>
      <c r="BK2" s="261"/>
      <c r="BL2" s="261"/>
      <c r="BM2" s="261"/>
      <c r="BN2" s="261"/>
      <c r="BO2" s="261"/>
      <c r="BP2" s="261"/>
      <c r="BQ2" s="261"/>
      <c r="BR2" s="261"/>
      <c r="BS2" s="261"/>
      <c r="BT2" s="261"/>
      <c r="BU2" s="261"/>
      <c r="BV2" s="261"/>
      <c r="BW2" s="261"/>
      <c r="BX2" s="261"/>
      <c r="BY2" s="261"/>
      <c r="CC2" s="261" t="s">
        <v>211</v>
      </c>
      <c r="CD2" s="261"/>
      <c r="CE2" s="261"/>
      <c r="CF2" s="261"/>
      <c r="CG2" s="261"/>
      <c r="CH2" s="261"/>
      <c r="CI2" s="261"/>
      <c r="CJ2" s="261"/>
      <c r="CK2" s="261"/>
      <c r="CL2" s="261"/>
      <c r="CM2" s="261"/>
      <c r="CN2" s="261"/>
      <c r="CO2" s="261"/>
      <c r="CP2" s="261"/>
      <c r="CQ2" s="261"/>
      <c r="CR2" s="261"/>
      <c r="CS2" s="261"/>
      <c r="CT2" s="261"/>
      <c r="CU2" s="261"/>
      <c r="CV2" s="261"/>
      <c r="CW2" s="261"/>
      <c r="CX2" s="261"/>
      <c r="CY2" s="261"/>
      <c r="CZ2" s="261"/>
      <c r="DA2" s="261"/>
      <c r="DB2" s="261"/>
      <c r="DC2" s="261"/>
      <c r="DD2" s="261"/>
      <c r="DE2" s="261"/>
      <c r="DF2" s="261"/>
      <c r="DG2" s="261"/>
      <c r="DH2" s="261"/>
      <c r="DI2" s="261"/>
      <c r="DJ2" s="261"/>
      <c r="DK2" s="261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62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63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63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62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63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63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62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63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63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62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63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63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62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63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63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62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63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63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62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63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63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62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63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63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62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63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63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62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63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63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62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63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63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62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63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63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62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63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63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62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63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63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62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63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63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62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63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63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62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63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63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62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63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63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62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63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63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62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63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63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62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63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63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62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63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63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62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63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63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62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63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63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62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63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63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62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63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63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62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63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63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62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63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63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62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63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63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62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63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63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62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63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63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62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63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63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62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63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63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62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63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63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62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63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63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61" t="s">
        <v>211</v>
      </c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1"/>
      <c r="AJ42" s="261"/>
      <c r="AK42" s="261"/>
      <c r="AL42" s="261"/>
      <c r="AM42" s="261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62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62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62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62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62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62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62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62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62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62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62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62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62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62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62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62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62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62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62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62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62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62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62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62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62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62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62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62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62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62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62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62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62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62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62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61" t="s">
        <v>211</v>
      </c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1"/>
      <c r="AJ82" s="261"/>
      <c r="AK82" s="261"/>
      <c r="AL82" s="261"/>
      <c r="AM82" s="261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62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62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62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62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62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62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62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62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62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62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62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62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62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62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62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62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62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62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62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62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62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62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62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62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62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62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62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62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62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62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62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62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62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62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62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61" t="s">
        <v>211</v>
      </c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1"/>
      <c r="AJ122" s="261"/>
      <c r="AK122" s="261"/>
      <c r="AL122" s="261"/>
      <c r="AM122" s="261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62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62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62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62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62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62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62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62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62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62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62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62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62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62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62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62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62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62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62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62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62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62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62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62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62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62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62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62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62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62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62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62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62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62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62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abSelected="1" zoomScale="85" zoomScaleNormal="85" workbookViewId="0">
      <pane ySplit="1" topLeftCell="A167" activePane="bottomLeft" state="frozen"/>
      <selection activeCell="BA1" sqref="BA1"/>
      <selection pane="bottomLeft" activeCell="N51" sqref="N51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332</v>
      </c>
      <c r="B5" s="36">
        <f>targets!AW6</f>
        <v>3150631.2657023789</v>
      </c>
      <c r="C5" s="37">
        <f>targets!AX6</f>
        <v>553324.69847028947</v>
      </c>
      <c r="D5" s="37">
        <f>targets!AY6</f>
        <v>188749.48718289469</v>
      </c>
      <c r="E5" s="37">
        <f>targets!AZ6</f>
        <v>0</v>
      </c>
      <c r="F5" s="37">
        <f>targets!BA6</f>
        <v>0</v>
      </c>
      <c r="G5" s="37">
        <f>SUM(targets!BB6:BG6)</f>
        <v>0</v>
      </c>
      <c r="H5" s="37">
        <f>SUM(targets!BH6:BM6)</f>
        <v>0</v>
      </c>
      <c r="I5" s="74">
        <f>SUM(G5:H5)</f>
        <v>0</v>
      </c>
      <c r="J5" s="37">
        <f>targets!BN6</f>
        <v>0</v>
      </c>
      <c r="K5" s="37">
        <f>targets!BO6</f>
        <v>0</v>
      </c>
      <c r="L5" s="37">
        <f>targets!BP6</f>
        <v>0</v>
      </c>
      <c r="M5" s="177">
        <f>SUM(J5:L5)</f>
        <v>0</v>
      </c>
      <c r="N5" s="17">
        <f>SUM(B5:L5)-I5</f>
        <v>3892705.451355563</v>
      </c>
      <c r="O5" s="17"/>
      <c r="P5" s="17"/>
      <c r="Q5" s="66" t="s">
        <v>332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332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332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332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332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51">
        <f t="shared" si="11"/>
        <v>0</v>
      </c>
      <c r="CL5" s="55">
        <f t="shared" ref="CL5" si="12">AS5-AD5</f>
        <v>0</v>
      </c>
      <c r="CN5" s="66" t="s">
        <v>332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51">
        <f t="shared" si="18"/>
        <v>0</v>
      </c>
      <c r="DA5" s="62" t="e">
        <f t="shared" si="18"/>
        <v>#DIV/0!</v>
      </c>
      <c r="DC5" s="66" t="s">
        <v>332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333</v>
      </c>
      <c r="B6" s="38">
        <f>targets!AW7</f>
        <v>0</v>
      </c>
      <c r="C6" s="36">
        <f>targets!AX7</f>
        <v>540615.18394727004</v>
      </c>
      <c r="D6" s="245">
        <f>targets!AY7</f>
        <v>147121.61556636461</v>
      </c>
      <c r="E6" s="245">
        <f>targets!AZ7</f>
        <v>0</v>
      </c>
      <c r="F6" s="245">
        <f>targets!BA7</f>
        <v>0</v>
      </c>
      <c r="G6" s="245">
        <f>SUM(targets!BB7:BG7)</f>
        <v>19414.956199602479</v>
      </c>
      <c r="H6" s="245">
        <f>SUM(targets!BH7:BM7)</f>
        <v>0</v>
      </c>
      <c r="I6" s="246">
        <f t="shared" ref="I6:I24" si="20">SUM(G6:H6)</f>
        <v>19414.956199602479</v>
      </c>
      <c r="J6" s="245">
        <f>targets!BN7</f>
        <v>95.345009500938488</v>
      </c>
      <c r="K6" s="245">
        <f>targets!BO7</f>
        <v>1361.0218226921061</v>
      </c>
      <c r="L6" s="245">
        <f>targets!BP7</f>
        <v>254.21615754617852</v>
      </c>
      <c r="M6" s="178">
        <f t="shared" ref="M6:M24" si="21">SUM(J6:L6)</f>
        <v>1710.582989739223</v>
      </c>
      <c r="N6" s="17">
        <f t="shared" ref="N6:N24" si="22">SUM(B6:L6)-I6</f>
        <v>708862.33870297635</v>
      </c>
      <c r="O6" s="17"/>
      <c r="P6" s="17"/>
      <c r="Q6" s="66" t="s">
        <v>333</v>
      </c>
      <c r="R6" s="38">
        <f t="shared" ref="R6:R24" si="23">B6*(AG$25/B$25)</f>
        <v>0</v>
      </c>
      <c r="S6" s="36">
        <f t="shared" si="0"/>
        <v>0</v>
      </c>
      <c r="T6" s="245">
        <f t="shared" si="1"/>
        <v>0</v>
      </c>
      <c r="U6" s="245">
        <f t="shared" si="2"/>
        <v>0</v>
      </c>
      <c r="V6" s="245">
        <f t="shared" si="3"/>
        <v>0</v>
      </c>
      <c r="W6" s="245">
        <f t="shared" si="4"/>
        <v>0</v>
      </c>
      <c r="X6" s="245">
        <f t="shared" si="5"/>
        <v>0</v>
      </c>
      <c r="Y6" s="246">
        <f t="shared" ref="Y6:Y24" si="24">SUM(W6:X6)</f>
        <v>0</v>
      </c>
      <c r="Z6" s="245">
        <f t="shared" si="6"/>
        <v>0</v>
      </c>
      <c r="AA6" s="245">
        <f t="shared" si="7"/>
        <v>0</v>
      </c>
      <c r="AB6" s="245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333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5">
        <f t="array" ref="AI6">SUM(IF((modeldata!$F:$F=calibration!$AF$2)*(modeldata!$G:$G=calibration!AI$4)*(modeldata!$H:$H=calibration!$AF6),modeldata!$E:$E,0))</f>
        <v>0</v>
      </c>
      <c r="AJ6" s="245">
        <f t="array" ref="AJ6">SUM(IF((modeldata!$F:$F=calibration!$AF$2)*(modeldata!$G:$G=calibration!AJ$4)*(modeldata!$H:$H=calibration!$AF6),modeldata!$E:$E,0))</f>
        <v>0</v>
      </c>
      <c r="AK6" s="245">
        <f t="array" ref="AK6">SUM(IF((modeldata!$F:$F=calibration!$AF$2)*(modeldata!$G:$G=calibration!AK$4)*(modeldata!$H:$H=calibration!$AF6),modeldata!$E:$E,0))</f>
        <v>0</v>
      </c>
      <c r="AL6" s="245">
        <f t="array" ref="AL6">SUM(IF((modeldata!$F:$F=calibration!$AF$2)*(modeldata!$G:$G=calibration!AL$4)*(modeldata!$H:$H=calibration!$AF6),modeldata!$E:$E,0))</f>
        <v>0</v>
      </c>
      <c r="AM6" s="245">
        <f t="array" ref="AM6">SUM(IF((modeldata!$F:$F=calibration!$AF$2)*(modeldata!$G:$G=calibration!AM$4)*(modeldata!$H:$H=calibration!$AF6),modeldata!$E:$E,0))</f>
        <v>0</v>
      </c>
      <c r="AN6" s="246">
        <f t="shared" ref="AN6:AN24" si="26">AL6+AM6</f>
        <v>0</v>
      </c>
      <c r="AO6" s="245">
        <f t="array" ref="AO6">SUM(IF((modeldata!$F:$F=calibration!$AF$2)*(modeldata!$G:$G=calibration!AO$4)*(modeldata!$H:$H=calibration!$AF6),modeldata!$E:$E,0))</f>
        <v>0</v>
      </c>
      <c r="AP6" s="245">
        <f t="array" ref="AP6">SUM(IF((modeldata!$F:$F=calibration!$AF$2)*(modeldata!$G:$G=calibration!AP$4)*(modeldata!$H:$H=calibration!$AF6),modeldata!$E:$E,0))</f>
        <v>0</v>
      </c>
      <c r="AQ6" s="245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333</v>
      </c>
      <c r="AV6" s="38">
        <f t="shared" ref="AV6:BG6" si="28">IF(R25&gt;0,R6/R25,0)</f>
        <v>0</v>
      </c>
      <c r="AW6" s="36">
        <f t="shared" si="28"/>
        <v>0</v>
      </c>
      <c r="AX6" s="245">
        <f t="shared" si="28"/>
        <v>0</v>
      </c>
      <c r="AY6" s="245">
        <f t="shared" si="28"/>
        <v>0</v>
      </c>
      <c r="AZ6" s="245">
        <f t="shared" si="28"/>
        <v>0</v>
      </c>
      <c r="BA6" s="245">
        <f t="shared" si="28"/>
        <v>0</v>
      </c>
      <c r="BB6" s="245">
        <f t="shared" si="28"/>
        <v>0</v>
      </c>
      <c r="BC6" s="246">
        <f t="shared" si="28"/>
        <v>0</v>
      </c>
      <c r="BD6" s="245">
        <f t="shared" si="28"/>
        <v>0</v>
      </c>
      <c r="BE6" s="245">
        <f t="shared" si="28"/>
        <v>0</v>
      </c>
      <c r="BF6" s="245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333</v>
      </c>
      <c r="BK6" s="38">
        <f t="shared" ref="BK6:BV6" si="29">IF(AG25&gt;0,AG6/AG25,0)</f>
        <v>0</v>
      </c>
      <c r="BL6" s="36">
        <f t="shared" si="29"/>
        <v>0</v>
      </c>
      <c r="BM6" s="245">
        <f t="shared" si="29"/>
        <v>0</v>
      </c>
      <c r="BN6" s="245">
        <f t="shared" si="29"/>
        <v>0</v>
      </c>
      <c r="BO6" s="245">
        <f t="shared" si="29"/>
        <v>0</v>
      </c>
      <c r="BP6" s="245">
        <f t="shared" si="29"/>
        <v>0</v>
      </c>
      <c r="BQ6" s="245">
        <f t="shared" si="29"/>
        <v>0</v>
      </c>
      <c r="BR6" s="246">
        <f t="shared" si="29"/>
        <v>0</v>
      </c>
      <c r="BS6" s="245">
        <f t="shared" si="29"/>
        <v>0</v>
      </c>
      <c r="BT6" s="245">
        <f t="shared" si="29"/>
        <v>0</v>
      </c>
      <c r="BU6" s="245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333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52">
        <f t="shared" si="40"/>
        <v>0</v>
      </c>
      <c r="CL6" s="55">
        <f t="shared" ref="CL6:CL22" si="41">AS6-AD6</f>
        <v>0</v>
      </c>
      <c r="CN6" s="66" t="s">
        <v>333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52">
        <f t="shared" si="47"/>
        <v>0</v>
      </c>
      <c r="DA6" s="62" t="e">
        <f t="shared" ref="DA6:DA25" si="48">BW6-BH6</f>
        <v>#DIV/0!</v>
      </c>
      <c r="DC6" s="66" t="s">
        <v>333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ht="25.5" x14ac:dyDescent="0.2">
      <c r="A7" s="66" t="s">
        <v>334</v>
      </c>
      <c r="B7" s="38">
        <f>targets!AW8</f>
        <v>0</v>
      </c>
      <c r="C7" s="245">
        <f>targets!AX8</f>
        <v>0</v>
      </c>
      <c r="D7" s="36">
        <f>targets!AY8</f>
        <v>197288.97648080761</v>
      </c>
      <c r="E7" s="245">
        <f>targets!AZ8</f>
        <v>0</v>
      </c>
      <c r="F7" s="245">
        <f>targets!BA8</f>
        <v>0</v>
      </c>
      <c r="G7" s="245">
        <f>SUM(targets!BB8:BG8)</f>
        <v>15341.201027978785</v>
      </c>
      <c r="H7" s="245">
        <f>SUM(targets!BH8:BM8)</f>
        <v>0</v>
      </c>
      <c r="I7" s="246">
        <f t="shared" si="20"/>
        <v>15341.201027978785</v>
      </c>
      <c r="J7" s="245">
        <f>targets!BN8</f>
        <v>0</v>
      </c>
      <c r="K7" s="245">
        <f>targets!BO8</f>
        <v>255.73529059473145</v>
      </c>
      <c r="L7" s="245">
        <f>targets!BP8</f>
        <v>0</v>
      </c>
      <c r="M7" s="178">
        <f t="shared" si="21"/>
        <v>255.73529059473145</v>
      </c>
      <c r="N7" s="17">
        <f t="shared" si="22"/>
        <v>212885.91279938113</v>
      </c>
      <c r="O7" s="17"/>
      <c r="P7" s="17"/>
      <c r="Q7" s="66" t="s">
        <v>334</v>
      </c>
      <c r="R7" s="38">
        <f t="shared" si="23"/>
        <v>0</v>
      </c>
      <c r="S7" s="245">
        <f t="shared" si="0"/>
        <v>0</v>
      </c>
      <c r="T7" s="36">
        <f t="shared" si="1"/>
        <v>0</v>
      </c>
      <c r="U7" s="245">
        <f t="shared" si="2"/>
        <v>0</v>
      </c>
      <c r="V7" s="245">
        <f t="shared" si="3"/>
        <v>0</v>
      </c>
      <c r="W7" s="245">
        <f t="shared" si="4"/>
        <v>0</v>
      </c>
      <c r="X7" s="245">
        <f t="shared" si="5"/>
        <v>0</v>
      </c>
      <c r="Y7" s="246">
        <f t="shared" si="24"/>
        <v>0</v>
      </c>
      <c r="Z7" s="245">
        <f t="shared" si="6"/>
        <v>0</v>
      </c>
      <c r="AA7" s="245">
        <f t="shared" si="7"/>
        <v>0</v>
      </c>
      <c r="AB7" s="245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334</v>
      </c>
      <c r="AG7" s="38">
        <f t="array" ref="AG7">SUM(IF((modeldata!$F:$F=calibration!$AF$2)*(modeldata!$G:$G=calibration!AG$4)*(modeldata!$H:$H=calibration!$AF7),modeldata!$E:$E,0))</f>
        <v>0</v>
      </c>
      <c r="AH7" s="245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5">
        <f t="array" ref="AJ7">SUM(IF((modeldata!$F:$F=calibration!$AF$2)*(modeldata!$G:$G=calibration!AJ$4)*(modeldata!$H:$H=calibration!$AF7),modeldata!$E:$E,0))</f>
        <v>0</v>
      </c>
      <c r="AK7" s="245">
        <f t="array" ref="AK7">SUM(IF((modeldata!$F:$F=calibration!$AF$2)*(modeldata!$G:$G=calibration!AK$4)*(modeldata!$H:$H=calibration!$AF7),modeldata!$E:$E,0))</f>
        <v>0</v>
      </c>
      <c r="AL7" s="245">
        <f t="array" ref="AL7">SUM(IF((modeldata!$F:$F=calibration!$AF$2)*(modeldata!$G:$G=calibration!AL$4)*(modeldata!$H:$H=calibration!$AF7),modeldata!$E:$E,0))</f>
        <v>0</v>
      </c>
      <c r="AM7" s="245">
        <f t="array" ref="AM7">SUM(IF((modeldata!$F:$F=calibration!$AF$2)*(modeldata!$G:$G=calibration!AM$4)*(modeldata!$H:$H=calibration!$AF7),modeldata!$E:$E,0))</f>
        <v>0</v>
      </c>
      <c r="AN7" s="246">
        <f t="shared" si="26"/>
        <v>0</v>
      </c>
      <c r="AO7" s="245">
        <f t="array" ref="AO7">SUM(IF((modeldata!$F:$F=calibration!$AF$2)*(modeldata!$G:$G=calibration!AO$4)*(modeldata!$H:$H=calibration!$AF7),modeldata!$E:$E,0))</f>
        <v>0</v>
      </c>
      <c r="AP7" s="245">
        <f t="array" ref="AP7">SUM(IF((modeldata!$F:$F=calibration!$AF$2)*(modeldata!$G:$G=calibration!AP$4)*(modeldata!$H:$H=calibration!$AF7),modeldata!$E:$E,0))</f>
        <v>0</v>
      </c>
      <c r="AQ7" s="245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334</v>
      </c>
      <c r="AV7" s="38">
        <f t="shared" ref="AV7:BG7" si="76">IF(R25&gt;0,R7/R25,0)</f>
        <v>0</v>
      </c>
      <c r="AW7" s="245">
        <f t="shared" si="76"/>
        <v>0</v>
      </c>
      <c r="AX7" s="36">
        <f t="shared" si="76"/>
        <v>0</v>
      </c>
      <c r="AY7" s="245">
        <f t="shared" si="76"/>
        <v>0</v>
      </c>
      <c r="AZ7" s="245">
        <f t="shared" si="76"/>
        <v>0</v>
      </c>
      <c r="BA7" s="245">
        <f t="shared" si="76"/>
        <v>0</v>
      </c>
      <c r="BB7" s="245">
        <f t="shared" si="76"/>
        <v>0</v>
      </c>
      <c r="BC7" s="246">
        <f t="shared" si="76"/>
        <v>0</v>
      </c>
      <c r="BD7" s="245">
        <f t="shared" si="76"/>
        <v>0</v>
      </c>
      <c r="BE7" s="245">
        <f t="shared" si="76"/>
        <v>0</v>
      </c>
      <c r="BF7" s="245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334</v>
      </c>
      <c r="BK7" s="38">
        <f t="shared" ref="BK7:BV7" si="77">IF(AG25&gt;0,AG7/AG25,0)</f>
        <v>0</v>
      </c>
      <c r="BL7" s="245">
        <f t="shared" si="77"/>
        <v>0</v>
      </c>
      <c r="BM7" s="36">
        <f t="shared" si="77"/>
        <v>0</v>
      </c>
      <c r="BN7" s="245">
        <f t="shared" si="77"/>
        <v>0</v>
      </c>
      <c r="BO7" s="245">
        <f t="shared" si="77"/>
        <v>0</v>
      </c>
      <c r="BP7" s="245">
        <f t="shared" si="77"/>
        <v>0</v>
      </c>
      <c r="BQ7" s="245">
        <f t="shared" si="77"/>
        <v>0</v>
      </c>
      <c r="BR7" s="246">
        <f t="shared" si="77"/>
        <v>0</v>
      </c>
      <c r="BS7" s="245">
        <f t="shared" si="77"/>
        <v>0</v>
      </c>
      <c r="BT7" s="245">
        <f t="shared" si="77"/>
        <v>0</v>
      </c>
      <c r="BU7" s="245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334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52">
        <f t="shared" si="40"/>
        <v>0</v>
      </c>
      <c r="CL7" s="55">
        <f t="shared" si="41"/>
        <v>0</v>
      </c>
      <c r="CN7" s="66" t="s">
        <v>334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52">
        <f t="shared" si="47"/>
        <v>0</v>
      </c>
      <c r="DA7" s="62" t="e">
        <f t="shared" si="48"/>
        <v>#DIV/0!</v>
      </c>
      <c r="DC7" s="66" t="s">
        <v>334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targets!AW9</f>
        <v>90225.528273716249</v>
      </c>
      <c r="C8" s="245">
        <f>targets!AX9</f>
        <v>47074.514278237439</v>
      </c>
      <c r="D8" s="245">
        <f>targets!AY9</f>
        <v>19575.708359740478</v>
      </c>
      <c r="E8" s="36">
        <f>targets!AZ9</f>
        <v>186572.27942932682</v>
      </c>
      <c r="F8" s="245">
        <f>targets!BA9</f>
        <v>9811.8930048393195</v>
      </c>
      <c r="G8" s="245">
        <f>SUM(targets!BB9:BG9)</f>
        <v>87658.39219628174</v>
      </c>
      <c r="H8" s="245">
        <f>SUM(targets!BH9:BM9)</f>
        <v>0</v>
      </c>
      <c r="I8" s="246">
        <f t="shared" si="20"/>
        <v>87658.39219628174</v>
      </c>
      <c r="J8" s="245">
        <f>targets!BN9</f>
        <v>887.12020465934177</v>
      </c>
      <c r="K8" s="245">
        <f>targets!BO9</f>
        <v>5991.2993101229831</v>
      </c>
      <c r="L8" s="245">
        <f>targets!BP9</f>
        <v>0</v>
      </c>
      <c r="M8" s="178">
        <f t="shared" si="21"/>
        <v>6878.4195147823248</v>
      </c>
      <c r="N8" s="17">
        <f t="shared" si="22"/>
        <v>447796.73505692434</v>
      </c>
      <c r="O8" s="17"/>
      <c r="P8" s="17"/>
      <c r="Q8" s="66" t="s">
        <v>2</v>
      </c>
      <c r="R8" s="38">
        <f t="shared" si="23"/>
        <v>0</v>
      </c>
      <c r="S8" s="245">
        <f t="shared" si="0"/>
        <v>0</v>
      </c>
      <c r="T8" s="245">
        <f t="shared" si="1"/>
        <v>0</v>
      </c>
      <c r="U8" s="36">
        <f t="shared" si="2"/>
        <v>0</v>
      </c>
      <c r="V8" s="245">
        <f t="shared" si="3"/>
        <v>0</v>
      </c>
      <c r="W8" s="245">
        <f t="shared" si="4"/>
        <v>0</v>
      </c>
      <c r="X8" s="245">
        <f t="shared" si="5"/>
        <v>0</v>
      </c>
      <c r="Y8" s="246">
        <f t="shared" si="24"/>
        <v>0</v>
      </c>
      <c r="Z8" s="245">
        <f t="shared" si="6"/>
        <v>0</v>
      </c>
      <c r="AA8" s="245">
        <f t="shared" si="7"/>
        <v>0</v>
      </c>
      <c r="AB8" s="245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5">
        <f t="array" ref="AH8">SUM(IF((modeldata!$F:$F=calibration!$AF$2)*(modeldata!$G:$G=calibration!AH$4)*(modeldata!$H:$H=calibration!$AF8),modeldata!$E:$E,0))</f>
        <v>0</v>
      </c>
      <c r="AI8" s="245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5">
        <f t="array" ref="AK8">SUM(IF((modeldata!$F:$F=calibration!$AF$2)*(modeldata!$G:$G=calibration!AK$4)*(modeldata!$H:$H=calibration!$AF8),modeldata!$E:$E,0))</f>
        <v>0</v>
      </c>
      <c r="AL8" s="245">
        <f t="array" ref="AL8">SUM(IF((modeldata!$F:$F=calibration!$AF$2)*(modeldata!$G:$G=calibration!AL$4)*(modeldata!$H:$H=calibration!$AF8),modeldata!$E:$E,0))</f>
        <v>0</v>
      </c>
      <c r="AM8" s="245">
        <f t="array" ref="AM8">SUM(IF((modeldata!$F:$F=calibration!$AF$2)*(modeldata!$G:$G=calibration!AM$4)*(modeldata!$H:$H=calibration!$AF8),modeldata!$E:$E,0))</f>
        <v>0</v>
      </c>
      <c r="AN8" s="246">
        <f t="shared" si="26"/>
        <v>0</v>
      </c>
      <c r="AO8" s="245">
        <f t="array" ref="AO8">SUM(IF((modeldata!$F:$F=calibration!$AF$2)*(modeldata!$G:$G=calibration!AO$4)*(modeldata!$H:$H=calibration!$AF8),modeldata!$E:$E,0))</f>
        <v>0</v>
      </c>
      <c r="AP8" s="245">
        <f t="array" ref="AP8">SUM(IF((modeldata!$F:$F=calibration!$AF$2)*(modeldata!$G:$G=calibration!AP$4)*(modeldata!$H:$H=calibration!$AF8),modeldata!$E:$E,0))</f>
        <v>0</v>
      </c>
      <c r="AQ8" s="245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5">
        <f t="shared" si="78"/>
        <v>0</v>
      </c>
      <c r="AX8" s="245">
        <f t="shared" si="78"/>
        <v>0</v>
      </c>
      <c r="AY8" s="36">
        <f t="shared" si="78"/>
        <v>0</v>
      </c>
      <c r="AZ8" s="245">
        <f t="shared" si="78"/>
        <v>0</v>
      </c>
      <c r="BA8" s="245">
        <f t="shared" si="78"/>
        <v>0</v>
      </c>
      <c r="BB8" s="245">
        <f t="shared" si="78"/>
        <v>0</v>
      </c>
      <c r="BC8" s="246">
        <f t="shared" si="78"/>
        <v>0</v>
      </c>
      <c r="BD8" s="245">
        <f t="shared" si="78"/>
        <v>0</v>
      </c>
      <c r="BE8" s="245">
        <f t="shared" si="78"/>
        <v>0</v>
      </c>
      <c r="BF8" s="245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5">
        <f t="shared" si="79"/>
        <v>0</v>
      </c>
      <c r="BM8" s="245">
        <f t="shared" si="79"/>
        <v>0</v>
      </c>
      <c r="BN8" s="36">
        <f t="shared" si="79"/>
        <v>0</v>
      </c>
      <c r="BO8" s="245">
        <f t="shared" si="79"/>
        <v>0</v>
      </c>
      <c r="BP8" s="245">
        <f t="shared" si="79"/>
        <v>0</v>
      </c>
      <c r="BQ8" s="245">
        <f t="shared" si="79"/>
        <v>0</v>
      </c>
      <c r="BR8" s="246">
        <f t="shared" si="79"/>
        <v>0</v>
      </c>
      <c r="BS8" s="245">
        <f t="shared" si="79"/>
        <v>0</v>
      </c>
      <c r="BT8" s="245">
        <f t="shared" si="79"/>
        <v>0</v>
      </c>
      <c r="BU8" s="245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52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52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targets!AW10</f>
        <v>0</v>
      </c>
      <c r="C9" s="245">
        <f>targets!AX10</f>
        <v>0</v>
      </c>
      <c r="D9" s="245">
        <f>targets!AY10</f>
        <v>0</v>
      </c>
      <c r="E9" s="245">
        <f>targets!AZ10</f>
        <v>0</v>
      </c>
      <c r="F9" s="36">
        <f>targets!BA10</f>
        <v>124442.15529786014</v>
      </c>
      <c r="G9" s="245">
        <f>SUM(targets!BB10:BG10)</f>
        <v>16526.496464525153</v>
      </c>
      <c r="H9" s="245">
        <f>SUM(targets!BH10:BM10)</f>
        <v>0</v>
      </c>
      <c r="I9" s="246">
        <f t="shared" si="20"/>
        <v>16526.496464525153</v>
      </c>
      <c r="J9" s="245">
        <f>targets!BN10</f>
        <v>0</v>
      </c>
      <c r="K9" s="245">
        <f>targets!BO10</f>
        <v>0</v>
      </c>
      <c r="L9" s="245">
        <f>targets!BP10</f>
        <v>0</v>
      </c>
      <c r="M9" s="178">
        <f t="shared" si="21"/>
        <v>0</v>
      </c>
      <c r="N9" s="17">
        <f t="shared" si="22"/>
        <v>140968.6517623853</v>
      </c>
      <c r="O9" s="17"/>
      <c r="P9" s="17"/>
      <c r="Q9" s="66" t="s">
        <v>3</v>
      </c>
      <c r="R9" s="38">
        <f t="shared" si="23"/>
        <v>0</v>
      </c>
      <c r="S9" s="245">
        <f t="shared" si="0"/>
        <v>0</v>
      </c>
      <c r="T9" s="245">
        <f t="shared" si="1"/>
        <v>0</v>
      </c>
      <c r="U9" s="245">
        <f t="shared" si="2"/>
        <v>0</v>
      </c>
      <c r="V9" s="36">
        <f t="shared" si="3"/>
        <v>0</v>
      </c>
      <c r="W9" s="245">
        <f t="shared" si="4"/>
        <v>0</v>
      </c>
      <c r="X9" s="245">
        <f t="shared" si="5"/>
        <v>0</v>
      </c>
      <c r="Y9" s="246">
        <f t="shared" si="24"/>
        <v>0</v>
      </c>
      <c r="Z9" s="245">
        <f t="shared" si="6"/>
        <v>0</v>
      </c>
      <c r="AA9" s="245">
        <f t="shared" si="7"/>
        <v>0</v>
      </c>
      <c r="AB9" s="245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5">
        <f t="array" ref="AH9">SUM(IF((modeldata!$F:$F=calibration!$AF$2)*(modeldata!$G:$G=calibration!AH$4)*(modeldata!$H:$H=calibration!$AF9),modeldata!$E:$E,0))</f>
        <v>0</v>
      </c>
      <c r="AI9" s="245">
        <f t="array" ref="AI9">SUM(IF((modeldata!$F:$F=calibration!$AF$2)*(modeldata!$G:$G=calibration!AI$4)*(modeldata!$H:$H=calibration!$AF9),modeldata!$E:$E,0))</f>
        <v>0</v>
      </c>
      <c r="AJ9" s="245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5">
        <f t="array" ref="AL9">SUM(IF((modeldata!$F:$F=calibration!$AF$2)*(modeldata!$G:$G=calibration!AL$4)*(modeldata!$H:$H=calibration!$AF9),modeldata!$E:$E,0))</f>
        <v>0</v>
      </c>
      <c r="AM9" s="245">
        <f t="array" ref="AM9">SUM(IF((modeldata!$F:$F=calibration!$AF$2)*(modeldata!$G:$G=calibration!AM$4)*(modeldata!$H:$H=calibration!$AF9),modeldata!$E:$E,0))</f>
        <v>0</v>
      </c>
      <c r="AN9" s="246">
        <f t="shared" si="26"/>
        <v>0</v>
      </c>
      <c r="AO9" s="245">
        <f t="array" ref="AO9">SUM(IF((modeldata!$F:$F=calibration!$AF$2)*(modeldata!$G:$G=calibration!AO$4)*(modeldata!$H:$H=calibration!$AF9),modeldata!$E:$E,0))</f>
        <v>0</v>
      </c>
      <c r="AP9" s="245">
        <f t="array" ref="AP9">SUM(IF((modeldata!$F:$F=calibration!$AF$2)*(modeldata!$G:$G=calibration!AP$4)*(modeldata!$H:$H=calibration!$AF9),modeldata!$E:$E,0))</f>
        <v>0</v>
      </c>
      <c r="AQ9" s="245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5">
        <f t="shared" si="80"/>
        <v>0</v>
      </c>
      <c r="AX9" s="245">
        <f t="shared" si="80"/>
        <v>0</v>
      </c>
      <c r="AY9" s="245">
        <f t="shared" si="80"/>
        <v>0</v>
      </c>
      <c r="AZ9" s="36">
        <f t="shared" si="80"/>
        <v>0</v>
      </c>
      <c r="BA9" s="245">
        <f t="shared" si="80"/>
        <v>0</v>
      </c>
      <c r="BB9" s="245">
        <f t="shared" si="80"/>
        <v>0</v>
      </c>
      <c r="BC9" s="246">
        <f t="shared" si="80"/>
        <v>0</v>
      </c>
      <c r="BD9" s="245">
        <f t="shared" si="80"/>
        <v>0</v>
      </c>
      <c r="BE9" s="245">
        <f t="shared" si="80"/>
        <v>0</v>
      </c>
      <c r="BF9" s="245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5">
        <f t="shared" si="81"/>
        <v>0</v>
      </c>
      <c r="BM9" s="245">
        <f t="shared" si="81"/>
        <v>0</v>
      </c>
      <c r="BN9" s="245">
        <f t="shared" si="81"/>
        <v>0</v>
      </c>
      <c r="BO9" s="36">
        <f t="shared" si="81"/>
        <v>0</v>
      </c>
      <c r="BP9" s="245">
        <f t="shared" si="81"/>
        <v>0</v>
      </c>
      <c r="BQ9" s="245">
        <f t="shared" si="81"/>
        <v>0</v>
      </c>
      <c r="BR9" s="246">
        <f t="shared" si="81"/>
        <v>0</v>
      </c>
      <c r="BS9" s="245">
        <f t="shared" si="81"/>
        <v>0</v>
      </c>
      <c r="BT9" s="245">
        <f t="shared" si="81"/>
        <v>0</v>
      </c>
      <c r="BU9" s="245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52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52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ht="25.5" x14ac:dyDescent="0.2">
      <c r="A10" s="66" t="s">
        <v>335</v>
      </c>
      <c r="B10" s="38">
        <f>targets!AW11</f>
        <v>0</v>
      </c>
      <c r="C10" s="245">
        <f>targets!AX11</f>
        <v>0</v>
      </c>
      <c r="D10" s="245">
        <f>targets!AY11</f>
        <v>0</v>
      </c>
      <c r="E10" s="245">
        <f>targets!AZ11</f>
        <v>0</v>
      </c>
      <c r="F10" s="245">
        <f>targets!BA11</f>
        <v>0</v>
      </c>
      <c r="G10" s="39">
        <f>SUM(targets!BB11:BG11)</f>
        <v>239991.46027697579</v>
      </c>
      <c r="H10" s="245">
        <f>SUM(targets!BH11:BM11)</f>
        <v>0</v>
      </c>
      <c r="I10" s="246">
        <f t="shared" si="20"/>
        <v>239991.46027697579</v>
      </c>
      <c r="J10" s="245">
        <f>targets!BN11</f>
        <v>0</v>
      </c>
      <c r="K10" s="245">
        <f>targets!BO11</f>
        <v>0</v>
      </c>
      <c r="L10" s="245">
        <f>targets!BP11</f>
        <v>0</v>
      </c>
      <c r="M10" s="178">
        <f t="shared" si="21"/>
        <v>0</v>
      </c>
      <c r="N10" s="17">
        <f t="shared" si="22"/>
        <v>239991.46027697579</v>
      </c>
      <c r="O10" s="17"/>
      <c r="P10" s="17"/>
      <c r="Q10" s="66" t="s">
        <v>335</v>
      </c>
      <c r="R10" s="38">
        <f t="shared" si="23"/>
        <v>0</v>
      </c>
      <c r="S10" s="245">
        <f t="shared" si="0"/>
        <v>0</v>
      </c>
      <c r="T10" s="245">
        <f t="shared" si="1"/>
        <v>0</v>
      </c>
      <c r="U10" s="245">
        <f t="shared" si="2"/>
        <v>0</v>
      </c>
      <c r="V10" s="245">
        <f t="shared" si="3"/>
        <v>0</v>
      </c>
      <c r="W10" s="39">
        <f t="shared" si="4"/>
        <v>0</v>
      </c>
      <c r="X10" s="245">
        <f t="shared" si="5"/>
        <v>0</v>
      </c>
      <c r="Y10" s="246">
        <f t="shared" si="24"/>
        <v>0</v>
      </c>
      <c r="Z10" s="245">
        <f t="shared" si="6"/>
        <v>0</v>
      </c>
      <c r="AA10" s="245">
        <f t="shared" si="7"/>
        <v>0</v>
      </c>
      <c r="AB10" s="245">
        <f t="shared" si="8"/>
        <v>0</v>
      </c>
      <c r="AC10" s="178">
        <f t="shared" si="74"/>
        <v>0</v>
      </c>
      <c r="AD10" s="17">
        <f t="shared" si="25"/>
        <v>0</v>
      </c>
      <c r="AF10" s="66" t="s">
        <v>5</v>
      </c>
      <c r="AG10" s="38">
        <f t="array" ref="AG10">SUM(IF((modeldata!$F:$F=calibration!$AF$2)*(modeldata!$G:$G=calibration!AG$4)*(modeldata!$H:$H=calibration!$AF10),modeldata!$E:$E,0))</f>
        <v>0</v>
      </c>
      <c r="AH10" s="245">
        <f t="array" ref="AH10">SUM(IF((modeldata!$F:$F=calibration!$AF$2)*(modeldata!$G:$G=calibration!AH$4)*(modeldata!$H:$H=calibration!$AF10),modeldata!$E:$E,0))</f>
        <v>0</v>
      </c>
      <c r="AI10" s="245">
        <f t="array" ref="AI10">SUM(IF((modeldata!$F:$F=calibration!$AF$2)*(modeldata!$G:$G=calibration!AI$4)*(modeldata!$H:$H=calibration!$AF10),modeldata!$E:$E,0))</f>
        <v>0</v>
      </c>
      <c r="AJ10" s="245">
        <f t="array" ref="AJ10">SUM(IF((modeldata!$F:$F=calibration!$AF$2)*(modeldata!$G:$G=calibration!AJ$4)*(modeldata!$H:$H=calibration!$AF10),modeldata!$E:$E,0))</f>
        <v>0</v>
      </c>
      <c r="AK10" s="245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5">
        <f t="array" ref="AM10">SUM(IF((modeldata!$F:$F=calibration!$AF$2)*(modeldata!$G:$G=calibration!AM$4)*(modeldata!$H:$H=calibration!$AF10),modeldata!$E:$E,0))</f>
        <v>0</v>
      </c>
      <c r="AN10" s="246">
        <f>AL10+AM10+AL16+AM16</f>
        <v>0</v>
      </c>
      <c r="AO10" s="245">
        <f t="array" ref="AO10">SUM(IF((modeldata!$F:$F=calibration!$AF$2)*(modeldata!$G:$G=calibration!AO$4)*(modeldata!$H:$H=calibration!$AF10),modeldata!$E:$E,0))</f>
        <v>0</v>
      </c>
      <c r="AP10" s="245">
        <f t="array" ref="AP10">SUM(IF((modeldata!$F:$F=calibration!$AF$2)*(modeldata!$G:$G=calibration!AP$4)*(modeldata!$H:$H=calibration!$AF10),modeldata!$E:$E,0))</f>
        <v>0</v>
      </c>
      <c r="AQ10" s="245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335</v>
      </c>
      <c r="AV10" s="38">
        <f t="shared" ref="AV10:BG10" si="82">IF(R25&gt;0,R10/R25,0)</f>
        <v>0</v>
      </c>
      <c r="AW10" s="245">
        <f t="shared" si="82"/>
        <v>0</v>
      </c>
      <c r="AX10" s="245">
        <f t="shared" si="82"/>
        <v>0</v>
      </c>
      <c r="AY10" s="245">
        <f t="shared" si="82"/>
        <v>0</v>
      </c>
      <c r="AZ10" s="245">
        <f t="shared" si="82"/>
        <v>0</v>
      </c>
      <c r="BA10" s="39">
        <f t="shared" si="82"/>
        <v>0</v>
      </c>
      <c r="BB10" s="245">
        <f t="shared" si="82"/>
        <v>0</v>
      </c>
      <c r="BC10" s="246">
        <f t="shared" si="82"/>
        <v>0</v>
      </c>
      <c r="BD10" s="245">
        <f t="shared" si="82"/>
        <v>0</v>
      </c>
      <c r="BE10" s="245">
        <f t="shared" si="82"/>
        <v>0</v>
      </c>
      <c r="BF10" s="245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335</v>
      </c>
      <c r="BK10" s="38">
        <f t="shared" ref="BK10:BV10" si="83">IF(AG25&gt;0,AG10/AG25,0)</f>
        <v>0</v>
      </c>
      <c r="BL10" s="245">
        <f t="shared" si="83"/>
        <v>0</v>
      </c>
      <c r="BM10" s="245">
        <f t="shared" si="83"/>
        <v>0</v>
      </c>
      <c r="BN10" s="245">
        <f t="shared" si="83"/>
        <v>0</v>
      </c>
      <c r="BO10" s="245">
        <f t="shared" si="83"/>
        <v>0</v>
      </c>
      <c r="BP10" s="39">
        <f t="shared" si="83"/>
        <v>0</v>
      </c>
      <c r="BQ10" s="245">
        <f t="shared" si="83"/>
        <v>0</v>
      </c>
      <c r="BR10" s="246">
        <f t="shared" si="83"/>
        <v>0</v>
      </c>
      <c r="BS10" s="245">
        <f t="shared" si="83"/>
        <v>0</v>
      </c>
      <c r="BT10" s="245">
        <f t="shared" si="83"/>
        <v>0</v>
      </c>
      <c r="BU10" s="245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335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52">
        <f t="shared" si="40"/>
        <v>0</v>
      </c>
      <c r="CL10" s="55">
        <f t="shared" si="41"/>
        <v>0</v>
      </c>
      <c r="CN10" s="66" t="s">
        <v>335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52">
        <f t="shared" si="47"/>
        <v>0</v>
      </c>
      <c r="DA10" s="62" t="e">
        <f t="shared" si="48"/>
        <v>#DIV/0!</v>
      </c>
      <c r="DC10" s="66" t="s">
        <v>335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336</v>
      </c>
      <c r="B11" s="38">
        <f>targets!AW12</f>
        <v>0</v>
      </c>
      <c r="C11" s="245">
        <f>targets!AX12</f>
        <v>0</v>
      </c>
      <c r="D11" s="245">
        <f>targets!AY12</f>
        <v>0</v>
      </c>
      <c r="E11" s="245">
        <f>targets!AZ12</f>
        <v>0</v>
      </c>
      <c r="F11" s="245">
        <f>targets!BA12</f>
        <v>0</v>
      </c>
      <c r="G11" s="40">
        <f>SUM(targets!BB12:BG12)</f>
        <v>50367.630693455991</v>
      </c>
      <c r="H11" s="245">
        <f>SUM(targets!BH12:BM12)</f>
        <v>0</v>
      </c>
      <c r="I11" s="246">
        <f t="shared" si="20"/>
        <v>50367.630693455991</v>
      </c>
      <c r="J11" s="245">
        <f>targets!BN12</f>
        <v>0</v>
      </c>
      <c r="K11" s="245">
        <f>targets!BO12</f>
        <v>0</v>
      </c>
      <c r="L11" s="245">
        <f>targets!BP12</f>
        <v>0</v>
      </c>
      <c r="M11" s="178">
        <f t="shared" si="21"/>
        <v>0</v>
      </c>
      <c r="N11" s="17">
        <f t="shared" si="22"/>
        <v>50367.630693455991</v>
      </c>
      <c r="O11" s="17"/>
      <c r="P11" s="17"/>
      <c r="Q11" s="66" t="s">
        <v>336</v>
      </c>
      <c r="R11" s="38">
        <f t="shared" si="23"/>
        <v>0</v>
      </c>
      <c r="S11" s="245">
        <f t="shared" si="0"/>
        <v>0</v>
      </c>
      <c r="T11" s="245">
        <f t="shared" si="1"/>
        <v>0</v>
      </c>
      <c r="U11" s="245">
        <f t="shared" si="2"/>
        <v>0</v>
      </c>
      <c r="V11" s="245">
        <f t="shared" si="3"/>
        <v>0</v>
      </c>
      <c r="W11" s="40">
        <f t="shared" si="4"/>
        <v>0</v>
      </c>
      <c r="X11" s="245">
        <f t="shared" si="5"/>
        <v>0</v>
      </c>
      <c r="Y11" s="246">
        <f t="shared" si="24"/>
        <v>0</v>
      </c>
      <c r="Z11" s="245">
        <f t="shared" si="6"/>
        <v>0</v>
      </c>
      <c r="AA11" s="245">
        <f t="shared" si="7"/>
        <v>0</v>
      </c>
      <c r="AB11" s="245">
        <f t="shared" si="8"/>
        <v>0</v>
      </c>
      <c r="AC11" s="178">
        <f t="shared" si="74"/>
        <v>0</v>
      </c>
      <c r="AD11" s="17">
        <f t="shared" si="25"/>
        <v>0</v>
      </c>
      <c r="AF11" s="66" t="s">
        <v>43</v>
      </c>
      <c r="AG11" s="38">
        <f t="array" ref="AG11">SUM(IF((modeldata!$F:$F=calibration!$AF$2)*(modeldata!$G:$G=calibration!AG$4)*(modeldata!$H:$H=calibration!$AF11),modeldata!$E:$E,0))</f>
        <v>0</v>
      </c>
      <c r="AH11" s="245">
        <f t="array" ref="AH11">SUM(IF((modeldata!$F:$F=calibration!$AF$2)*(modeldata!$G:$G=calibration!AH$4)*(modeldata!$H:$H=calibration!$AF11),modeldata!$E:$E,0))</f>
        <v>0</v>
      </c>
      <c r="AI11" s="245">
        <f t="array" ref="AI11">SUM(IF((modeldata!$F:$F=calibration!$AF$2)*(modeldata!$G:$G=calibration!AI$4)*(modeldata!$H:$H=calibration!$AF11),modeldata!$E:$E,0))</f>
        <v>0</v>
      </c>
      <c r="AJ11" s="245">
        <f t="array" ref="AJ11">SUM(IF((modeldata!$F:$F=calibration!$AF$2)*(modeldata!$G:$G=calibration!AJ$4)*(modeldata!$H:$H=calibration!$AF11),modeldata!$E:$E,0))</f>
        <v>0</v>
      </c>
      <c r="AK11" s="245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5">
        <f t="array" ref="AM11">SUM(IF((modeldata!$F:$F=calibration!$AF$2)*(modeldata!$G:$G=calibration!AM$4)*(modeldata!$H:$H=calibration!$AF11),modeldata!$E:$E,0))</f>
        <v>0</v>
      </c>
      <c r="AN11" s="246">
        <f>AL11+AM11+AL17+AM17</f>
        <v>0</v>
      </c>
      <c r="AO11" s="245">
        <f t="array" ref="AO11">SUM(IF((modeldata!$F:$F=calibration!$AF$2)*(modeldata!$G:$G=calibration!AO$4)*(modeldata!$H:$H=calibration!$AF11),modeldata!$E:$E,0))</f>
        <v>0</v>
      </c>
      <c r="AP11" s="245">
        <f t="array" ref="AP11">SUM(IF((modeldata!$F:$F=calibration!$AF$2)*(modeldata!$G:$G=calibration!AP$4)*(modeldata!$H:$H=calibration!$AF11),modeldata!$E:$E,0))</f>
        <v>0</v>
      </c>
      <c r="AQ11" s="245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336</v>
      </c>
      <c r="AV11" s="38">
        <f t="shared" ref="AV11:BG11" si="84">IF(R25&gt;0,R11/R25,0)</f>
        <v>0</v>
      </c>
      <c r="AW11" s="245">
        <f t="shared" si="84"/>
        <v>0</v>
      </c>
      <c r="AX11" s="245">
        <f t="shared" si="84"/>
        <v>0</v>
      </c>
      <c r="AY11" s="245">
        <f t="shared" si="84"/>
        <v>0</v>
      </c>
      <c r="AZ11" s="245">
        <f t="shared" si="84"/>
        <v>0</v>
      </c>
      <c r="BA11" s="40">
        <f t="shared" si="84"/>
        <v>0</v>
      </c>
      <c r="BB11" s="245">
        <f t="shared" si="84"/>
        <v>0</v>
      </c>
      <c r="BC11" s="246">
        <f t="shared" si="84"/>
        <v>0</v>
      </c>
      <c r="BD11" s="245">
        <f t="shared" si="84"/>
        <v>0</v>
      </c>
      <c r="BE11" s="245">
        <f t="shared" si="84"/>
        <v>0</v>
      </c>
      <c r="BF11" s="245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336</v>
      </c>
      <c r="BK11" s="38">
        <f t="shared" ref="BK11:BV11" si="85">IF(AG25&gt;0,AG11/AG25,0)</f>
        <v>0</v>
      </c>
      <c r="BL11" s="245">
        <f t="shared" si="85"/>
        <v>0</v>
      </c>
      <c r="BM11" s="245">
        <f t="shared" si="85"/>
        <v>0</v>
      </c>
      <c r="BN11" s="245">
        <f t="shared" si="85"/>
        <v>0</v>
      </c>
      <c r="BO11" s="245">
        <f t="shared" si="85"/>
        <v>0</v>
      </c>
      <c r="BP11" s="40">
        <f t="shared" si="85"/>
        <v>0</v>
      </c>
      <c r="BQ11" s="245">
        <f t="shared" si="85"/>
        <v>0</v>
      </c>
      <c r="BR11" s="246">
        <f t="shared" si="85"/>
        <v>0</v>
      </c>
      <c r="BS11" s="245">
        <f t="shared" si="85"/>
        <v>0</v>
      </c>
      <c r="BT11" s="245">
        <f t="shared" si="85"/>
        <v>0</v>
      </c>
      <c r="BU11" s="245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336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52">
        <f t="shared" si="40"/>
        <v>0</v>
      </c>
      <c r="CL11" s="55">
        <f t="shared" si="41"/>
        <v>0</v>
      </c>
      <c r="CN11" s="66" t="s">
        <v>336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52">
        <f t="shared" si="47"/>
        <v>0</v>
      </c>
      <c r="DA11" s="62" t="e">
        <f t="shared" si="48"/>
        <v>#DIV/0!</v>
      </c>
      <c r="DC11" s="66" t="s">
        <v>336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349</v>
      </c>
      <c r="B12" s="38">
        <f>targets!AW13</f>
        <v>0</v>
      </c>
      <c r="C12" s="245">
        <f>targets!AX13</f>
        <v>0</v>
      </c>
      <c r="D12" s="245">
        <f>targets!AY13</f>
        <v>0</v>
      </c>
      <c r="E12" s="245">
        <f>targets!AZ13</f>
        <v>0</v>
      </c>
      <c r="F12" s="245">
        <f>targets!BA13</f>
        <v>0</v>
      </c>
      <c r="G12" s="40">
        <f>SUM(targets!BB13:BG13)</f>
        <v>1955.9524686055681</v>
      </c>
      <c r="H12" s="245">
        <f>SUM(targets!BH13:BM13)</f>
        <v>0</v>
      </c>
      <c r="I12" s="246">
        <f>SUM(G12:H12)</f>
        <v>1955.9524686055681</v>
      </c>
      <c r="J12" s="245">
        <f>targets!BN13</f>
        <v>0</v>
      </c>
      <c r="K12" s="245">
        <f>targets!BO13</f>
        <v>0</v>
      </c>
      <c r="L12" s="245">
        <f>targets!BP13</f>
        <v>0</v>
      </c>
      <c r="M12" s="178">
        <f>SUM(J12:L12)</f>
        <v>0</v>
      </c>
      <c r="N12" s="17">
        <f>SUM(B12:L12)-I12</f>
        <v>1955.9524686055681</v>
      </c>
      <c r="O12" s="17"/>
      <c r="P12" s="17"/>
      <c r="Q12" s="2" t="s">
        <v>349</v>
      </c>
      <c r="R12" s="38">
        <f t="shared" si="23"/>
        <v>0</v>
      </c>
      <c r="S12" s="245">
        <f t="shared" si="0"/>
        <v>0</v>
      </c>
      <c r="T12" s="245">
        <f t="shared" si="1"/>
        <v>0</v>
      </c>
      <c r="U12" s="245">
        <f t="shared" si="2"/>
        <v>0</v>
      </c>
      <c r="V12" s="245">
        <f t="shared" si="3"/>
        <v>0</v>
      </c>
      <c r="W12" s="40">
        <f t="shared" si="4"/>
        <v>0</v>
      </c>
      <c r="X12" s="245">
        <f t="shared" si="5"/>
        <v>0</v>
      </c>
      <c r="Y12" s="246">
        <f>SUM(W12:X12)</f>
        <v>0</v>
      </c>
      <c r="Z12" s="245">
        <f t="shared" si="6"/>
        <v>0</v>
      </c>
      <c r="AA12" s="245">
        <f t="shared" si="7"/>
        <v>0</v>
      </c>
      <c r="AB12" s="245">
        <f t="shared" si="8"/>
        <v>0</v>
      </c>
      <c r="AC12" s="178">
        <f>SUM(Z12:AB12)</f>
        <v>0</v>
      </c>
      <c r="AD12" s="17">
        <f>SUM(R12:AB12)-Y12</f>
        <v>0</v>
      </c>
      <c r="AF12" s="2" t="s">
        <v>44</v>
      </c>
      <c r="AG12" s="38">
        <f t="array" ref="AG12">SUM(IF((modeldata!$F:$F=calibration!$AF$2)*(modeldata!$G:$G=calibration!AG$4)*(modeldata!$H:$H=calibration!$AF12),modeldata!$E:$E,0))</f>
        <v>0</v>
      </c>
      <c r="AH12" s="245">
        <f t="array" ref="AH12">SUM(IF((modeldata!$F:$F=calibration!$AF$2)*(modeldata!$G:$G=calibration!AH$4)*(modeldata!$H:$H=calibration!$AF12),modeldata!$E:$E,0))</f>
        <v>0</v>
      </c>
      <c r="AI12" s="245">
        <f t="array" ref="AI12">SUM(IF((modeldata!$F:$F=calibration!$AF$2)*(modeldata!$G:$G=calibration!AI$4)*(modeldata!$H:$H=calibration!$AF12),modeldata!$E:$E,0))</f>
        <v>0</v>
      </c>
      <c r="AJ12" s="245">
        <f t="array" ref="AJ12">SUM(IF((modeldata!$F:$F=calibration!$AF$2)*(modeldata!$G:$G=calibration!AJ$4)*(modeldata!$H:$H=calibration!$AF12),modeldata!$E:$E,0))</f>
        <v>0</v>
      </c>
      <c r="AK12" s="245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5">
        <f t="array" ref="AM12">SUM(IF((modeldata!$F:$F=calibration!$AF$2)*(modeldata!$G:$G=calibration!AM$4)*(modeldata!$H:$H=calibration!$AF12),modeldata!$E:$E,0))</f>
        <v>0</v>
      </c>
      <c r="AN12" s="246">
        <f>AL12+AM12</f>
        <v>0</v>
      </c>
      <c r="AO12" s="245">
        <f t="array" ref="AO12">SUM(IF((modeldata!$F:$F=calibration!$AF$2)*(modeldata!$G:$G=calibration!AO$4)*(modeldata!$H:$H=calibration!$AF12),modeldata!$E:$E,0))</f>
        <v>0</v>
      </c>
      <c r="AP12" s="245">
        <f t="array" ref="AP12">SUM(IF((modeldata!$F:$F=calibration!$AF$2)*(modeldata!$G:$G=calibration!AP$4)*(modeldata!$H:$H=calibration!$AF12),modeldata!$E:$E,0))</f>
        <v>0</v>
      </c>
      <c r="AQ12" s="245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349</v>
      </c>
      <c r="AV12" s="38">
        <f t="shared" ref="AV12:BG12" si="86">IF(R25&gt;0,R12/R25,0)</f>
        <v>0</v>
      </c>
      <c r="AW12" s="245">
        <f t="shared" si="86"/>
        <v>0</v>
      </c>
      <c r="AX12" s="245">
        <f t="shared" si="86"/>
        <v>0</v>
      </c>
      <c r="AY12" s="245">
        <f t="shared" si="86"/>
        <v>0</v>
      </c>
      <c r="AZ12" s="245">
        <f t="shared" si="86"/>
        <v>0</v>
      </c>
      <c r="BA12" s="40">
        <f t="shared" si="86"/>
        <v>0</v>
      </c>
      <c r="BB12" s="245">
        <f t="shared" si="86"/>
        <v>0</v>
      </c>
      <c r="BC12" s="246">
        <f t="shared" si="86"/>
        <v>0</v>
      </c>
      <c r="BD12" s="245">
        <f t="shared" si="86"/>
        <v>0</v>
      </c>
      <c r="BE12" s="245">
        <f t="shared" si="86"/>
        <v>0</v>
      </c>
      <c r="BF12" s="245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349</v>
      </c>
      <c r="BK12" s="38">
        <f t="shared" ref="BK12:BV12" si="87">IF(AG25&gt;0,AG12/AG25,0)</f>
        <v>0</v>
      </c>
      <c r="BL12" s="245">
        <f t="shared" si="87"/>
        <v>0</v>
      </c>
      <c r="BM12" s="245">
        <f t="shared" si="87"/>
        <v>0</v>
      </c>
      <c r="BN12" s="245">
        <f t="shared" si="87"/>
        <v>0</v>
      </c>
      <c r="BO12" s="245">
        <f t="shared" si="87"/>
        <v>0</v>
      </c>
      <c r="BP12" s="40">
        <f t="shared" si="87"/>
        <v>0</v>
      </c>
      <c r="BQ12" s="245">
        <f t="shared" si="87"/>
        <v>0</v>
      </c>
      <c r="BR12" s="246">
        <f t="shared" si="87"/>
        <v>0</v>
      </c>
      <c r="BS12" s="245">
        <f t="shared" si="87"/>
        <v>0</v>
      </c>
      <c r="BT12" s="245">
        <f t="shared" si="87"/>
        <v>0</v>
      </c>
      <c r="BU12" s="245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349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52">
        <f t="shared" si="88"/>
        <v>0</v>
      </c>
      <c r="CL12" s="55">
        <f t="shared" si="88"/>
        <v>0</v>
      </c>
      <c r="CN12" s="2" t="s">
        <v>349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52">
        <f t="shared" si="89"/>
        <v>0</v>
      </c>
      <c r="DA12" s="62" t="e">
        <f t="shared" si="89"/>
        <v>#DIV/0!</v>
      </c>
      <c r="DC12" s="2" t="s">
        <v>349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337</v>
      </c>
      <c r="B13" s="38">
        <f>targets!AW14</f>
        <v>0</v>
      </c>
      <c r="C13" s="245">
        <f>targets!AX14</f>
        <v>0</v>
      </c>
      <c r="D13" s="245">
        <f>targets!AY14</f>
        <v>0</v>
      </c>
      <c r="E13" s="245">
        <f>targets!AZ14</f>
        <v>0</v>
      </c>
      <c r="F13" s="245">
        <f>targets!BA14</f>
        <v>0</v>
      </c>
      <c r="G13" s="40">
        <f>SUM(targets!BB14:BG14)</f>
        <v>17129.062304354258</v>
      </c>
      <c r="H13" s="245">
        <f>SUM(targets!BH14:BM14)</f>
        <v>0</v>
      </c>
      <c r="I13" s="246">
        <f t="shared" si="20"/>
        <v>17129.062304354258</v>
      </c>
      <c r="J13" s="245">
        <f>targets!BN14</f>
        <v>0</v>
      </c>
      <c r="K13" s="245">
        <f>targets!BO14</f>
        <v>0</v>
      </c>
      <c r="L13" s="245">
        <f>targets!BP14</f>
        <v>0</v>
      </c>
      <c r="M13" s="178">
        <f t="shared" si="21"/>
        <v>0</v>
      </c>
      <c r="N13" s="17">
        <f t="shared" si="22"/>
        <v>17129.062304354258</v>
      </c>
      <c r="O13" s="17"/>
      <c r="P13" s="17"/>
      <c r="Q13" s="64" t="s">
        <v>337</v>
      </c>
      <c r="R13" s="38">
        <f t="shared" si="23"/>
        <v>0</v>
      </c>
      <c r="S13" s="245">
        <f t="shared" si="0"/>
        <v>0</v>
      </c>
      <c r="T13" s="245">
        <f t="shared" si="1"/>
        <v>0</v>
      </c>
      <c r="U13" s="245">
        <f t="shared" si="2"/>
        <v>0</v>
      </c>
      <c r="V13" s="245">
        <f t="shared" si="3"/>
        <v>0</v>
      </c>
      <c r="W13" s="40">
        <f t="shared" si="4"/>
        <v>0</v>
      </c>
      <c r="X13" s="245">
        <f t="shared" si="5"/>
        <v>0</v>
      </c>
      <c r="Y13" s="246">
        <f t="shared" si="24"/>
        <v>0</v>
      </c>
      <c r="Z13" s="245">
        <f t="shared" si="6"/>
        <v>0</v>
      </c>
      <c r="AA13" s="245">
        <f t="shared" si="7"/>
        <v>0</v>
      </c>
      <c r="AB13" s="245">
        <f t="shared" si="8"/>
        <v>0</v>
      </c>
      <c r="AC13" s="178">
        <f t="shared" si="74"/>
        <v>0</v>
      </c>
      <c r="AD13" s="17">
        <f t="shared" si="25"/>
        <v>0</v>
      </c>
      <c r="AF13" s="64" t="s">
        <v>45</v>
      </c>
      <c r="AG13" s="38">
        <f t="array" ref="AG13">SUM(IF((modeldata!$F:$F=calibration!$AF$2)*(modeldata!$G:$G=calibration!AG$4)*(modeldata!$H:$H=calibration!$AF13),modeldata!$E:$E,0))</f>
        <v>0</v>
      </c>
      <c r="AH13" s="245">
        <f t="array" ref="AH13">SUM(IF((modeldata!$F:$F=calibration!$AF$2)*(modeldata!$G:$G=calibration!AH$4)*(modeldata!$H:$H=calibration!$AF13),modeldata!$E:$E,0))</f>
        <v>0</v>
      </c>
      <c r="AI13" s="245">
        <f t="array" ref="AI13">SUM(IF((modeldata!$F:$F=calibration!$AF$2)*(modeldata!$G:$G=calibration!AI$4)*(modeldata!$H:$H=calibration!$AF13),modeldata!$E:$E,0))</f>
        <v>0</v>
      </c>
      <c r="AJ13" s="245">
        <f t="array" ref="AJ13">SUM(IF((modeldata!$F:$F=calibration!$AF$2)*(modeldata!$G:$G=calibration!AJ$4)*(modeldata!$H:$H=calibration!$AF13),modeldata!$E:$E,0))</f>
        <v>0</v>
      </c>
      <c r="AK13" s="245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5">
        <f t="array" ref="AM13">SUM(IF((modeldata!$F:$F=calibration!$AF$2)*(modeldata!$G:$G=calibration!AM$4)*(modeldata!$H:$H=calibration!$AF13),modeldata!$E:$E,0))</f>
        <v>0</v>
      </c>
      <c r="AN13" s="246">
        <f>AL13+AM13+AL21+AM21</f>
        <v>0</v>
      </c>
      <c r="AO13" s="245">
        <f t="array" ref="AO13">SUM(IF((modeldata!$F:$F=calibration!$AF$2)*(modeldata!$G:$G=calibration!AO$4)*(modeldata!$H:$H=calibration!$AF13),modeldata!$E:$E,0))</f>
        <v>0</v>
      </c>
      <c r="AP13" s="245">
        <f t="array" ref="AP13">SUM(IF((modeldata!$F:$F=calibration!$AF$2)*(modeldata!$G:$G=calibration!AP$4)*(modeldata!$H:$H=calibration!$AF13),modeldata!$E:$E,0))</f>
        <v>0</v>
      </c>
      <c r="AQ13" s="245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337</v>
      </c>
      <c r="AV13" s="38">
        <f t="shared" ref="AV13:BG13" si="90">IF(R25&gt;0,R13/R25,0)</f>
        <v>0</v>
      </c>
      <c r="AW13" s="245">
        <f t="shared" si="90"/>
        <v>0</v>
      </c>
      <c r="AX13" s="245">
        <f t="shared" si="90"/>
        <v>0</v>
      </c>
      <c r="AY13" s="245">
        <f t="shared" si="90"/>
        <v>0</v>
      </c>
      <c r="AZ13" s="245">
        <f t="shared" si="90"/>
        <v>0</v>
      </c>
      <c r="BA13" s="40">
        <f t="shared" si="90"/>
        <v>0</v>
      </c>
      <c r="BB13" s="245">
        <f t="shared" si="90"/>
        <v>0</v>
      </c>
      <c r="BC13" s="246">
        <f t="shared" si="90"/>
        <v>0</v>
      </c>
      <c r="BD13" s="245">
        <f t="shared" si="90"/>
        <v>0</v>
      </c>
      <c r="BE13" s="245">
        <f t="shared" si="90"/>
        <v>0</v>
      </c>
      <c r="BF13" s="245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337</v>
      </c>
      <c r="BK13" s="38">
        <f t="shared" ref="BK13:BV13" si="91">IF(AG25&gt;0,AG13/AG25,0)</f>
        <v>0</v>
      </c>
      <c r="BL13" s="245">
        <f t="shared" si="91"/>
        <v>0</v>
      </c>
      <c r="BM13" s="245">
        <f t="shared" si="91"/>
        <v>0</v>
      </c>
      <c r="BN13" s="245">
        <f t="shared" si="91"/>
        <v>0</v>
      </c>
      <c r="BO13" s="245">
        <f t="shared" si="91"/>
        <v>0</v>
      </c>
      <c r="BP13" s="40">
        <f t="shared" si="91"/>
        <v>0</v>
      </c>
      <c r="BQ13" s="245">
        <f t="shared" si="91"/>
        <v>0</v>
      </c>
      <c r="BR13" s="246">
        <f t="shared" si="91"/>
        <v>0</v>
      </c>
      <c r="BS13" s="245">
        <f t="shared" si="91"/>
        <v>0</v>
      </c>
      <c r="BT13" s="245">
        <f t="shared" si="91"/>
        <v>0</v>
      </c>
      <c r="BU13" s="245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337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52">
        <f t="shared" si="40"/>
        <v>0</v>
      </c>
      <c r="CL13" s="55">
        <f t="shared" si="41"/>
        <v>0</v>
      </c>
      <c r="CN13" s="64" t="s">
        <v>337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52">
        <f t="shared" si="47"/>
        <v>0</v>
      </c>
      <c r="DA13" s="62" t="e">
        <f t="shared" si="48"/>
        <v>#DIV/0!</v>
      </c>
      <c r="DC13" s="64" t="s">
        <v>337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338</v>
      </c>
      <c r="B14" s="38">
        <f>targets!AW15</f>
        <v>0</v>
      </c>
      <c r="C14" s="245">
        <f>targets!AX15</f>
        <v>0</v>
      </c>
      <c r="D14" s="245">
        <f>targets!AY15</f>
        <v>0</v>
      </c>
      <c r="E14" s="245">
        <f>targets!AZ15</f>
        <v>0</v>
      </c>
      <c r="F14" s="245">
        <f>targets!BA15</f>
        <v>0</v>
      </c>
      <c r="G14" s="40">
        <f>SUM(targets!BB15:BG15)</f>
        <v>79984.651429256832</v>
      </c>
      <c r="H14" s="245">
        <f>SUM(targets!BH15:BM15)</f>
        <v>0</v>
      </c>
      <c r="I14" s="246">
        <f t="shared" si="20"/>
        <v>79984.651429256832</v>
      </c>
      <c r="J14" s="245">
        <f>targets!BN15</f>
        <v>0</v>
      </c>
      <c r="K14" s="245">
        <f>targets!BO15</f>
        <v>0</v>
      </c>
      <c r="L14" s="245">
        <f>targets!BP15</f>
        <v>0</v>
      </c>
      <c r="M14" s="178">
        <f t="shared" si="21"/>
        <v>0</v>
      </c>
      <c r="N14" s="17">
        <f t="shared" si="22"/>
        <v>79984.651429256832</v>
      </c>
      <c r="O14" s="17"/>
      <c r="P14" s="17"/>
      <c r="Q14" s="64" t="s">
        <v>338</v>
      </c>
      <c r="R14" s="38">
        <f t="shared" si="23"/>
        <v>0</v>
      </c>
      <c r="S14" s="245">
        <f t="shared" si="0"/>
        <v>0</v>
      </c>
      <c r="T14" s="245">
        <f t="shared" si="1"/>
        <v>0</v>
      </c>
      <c r="U14" s="245">
        <f t="shared" si="2"/>
        <v>0</v>
      </c>
      <c r="V14" s="245">
        <f t="shared" si="3"/>
        <v>0</v>
      </c>
      <c r="W14" s="40">
        <f t="shared" si="4"/>
        <v>0</v>
      </c>
      <c r="X14" s="245">
        <f t="shared" si="5"/>
        <v>0</v>
      </c>
      <c r="Y14" s="246">
        <f t="shared" si="24"/>
        <v>0</v>
      </c>
      <c r="Z14" s="245">
        <f t="shared" si="6"/>
        <v>0</v>
      </c>
      <c r="AA14" s="245">
        <f t="shared" si="7"/>
        <v>0</v>
      </c>
      <c r="AB14" s="245">
        <f t="shared" si="8"/>
        <v>0</v>
      </c>
      <c r="AC14" s="178">
        <f t="shared" si="74"/>
        <v>0</v>
      </c>
      <c r="AD14" s="17">
        <f t="shared" si="25"/>
        <v>0</v>
      </c>
      <c r="AF14" s="64" t="s">
        <v>46</v>
      </c>
      <c r="AG14" s="38">
        <f t="array" ref="AG14">SUM(IF((modeldata!$F:$F=calibration!$AF$2)*(modeldata!$G:$G=calibration!AG$4)*(modeldata!$H:$H=calibration!$AF14),modeldata!$E:$E,0))</f>
        <v>0</v>
      </c>
      <c r="AH14" s="245">
        <f t="array" ref="AH14">SUM(IF((modeldata!$F:$F=calibration!$AF$2)*(modeldata!$G:$G=calibration!AH$4)*(modeldata!$H:$H=calibration!$AF14),modeldata!$E:$E,0))</f>
        <v>0</v>
      </c>
      <c r="AI14" s="245">
        <f t="array" ref="AI14">SUM(IF((modeldata!$F:$F=calibration!$AF$2)*(modeldata!$G:$G=calibration!AI$4)*(modeldata!$H:$H=calibration!$AF14),modeldata!$E:$E,0))</f>
        <v>0</v>
      </c>
      <c r="AJ14" s="245">
        <f t="array" ref="AJ14">SUM(IF((modeldata!$F:$F=calibration!$AF$2)*(modeldata!$G:$G=calibration!AJ$4)*(modeldata!$H:$H=calibration!$AF14),modeldata!$E:$E,0))</f>
        <v>0</v>
      </c>
      <c r="AK14" s="245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5">
        <f t="array" ref="AM14">SUM(IF((modeldata!$F:$F=calibration!$AF$2)*(modeldata!$G:$G=calibration!AM$4)*(modeldata!$H:$H=calibration!$AF14),modeldata!$E:$E,0))</f>
        <v>0</v>
      </c>
      <c r="AN14" s="246">
        <f>AL14+AM14+AL22+AM22</f>
        <v>0</v>
      </c>
      <c r="AO14" s="245">
        <f t="array" ref="AO14">SUM(IF((modeldata!$F:$F=calibration!$AF$2)*(modeldata!$G:$G=calibration!AO$4)*(modeldata!$H:$H=calibration!$AF14),modeldata!$E:$E,0))</f>
        <v>0</v>
      </c>
      <c r="AP14" s="245">
        <f t="array" ref="AP14">SUM(IF((modeldata!$F:$F=calibration!$AF$2)*(modeldata!$G:$G=calibration!AP$4)*(modeldata!$H:$H=calibration!$AF14),modeldata!$E:$E,0))</f>
        <v>0</v>
      </c>
      <c r="AQ14" s="245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338</v>
      </c>
      <c r="AV14" s="38">
        <f t="shared" ref="AV14:BG14" si="92">IF(R25&gt;0,R14/R25,0)</f>
        <v>0</v>
      </c>
      <c r="AW14" s="245">
        <f t="shared" si="92"/>
        <v>0</v>
      </c>
      <c r="AX14" s="245">
        <f t="shared" si="92"/>
        <v>0</v>
      </c>
      <c r="AY14" s="245">
        <f t="shared" si="92"/>
        <v>0</v>
      </c>
      <c r="AZ14" s="245">
        <f t="shared" si="92"/>
        <v>0</v>
      </c>
      <c r="BA14" s="40">
        <f t="shared" si="92"/>
        <v>0</v>
      </c>
      <c r="BB14" s="245">
        <f t="shared" si="92"/>
        <v>0</v>
      </c>
      <c r="BC14" s="246">
        <f t="shared" si="92"/>
        <v>0</v>
      </c>
      <c r="BD14" s="245">
        <f t="shared" si="92"/>
        <v>0</v>
      </c>
      <c r="BE14" s="245">
        <f t="shared" si="92"/>
        <v>0</v>
      </c>
      <c r="BF14" s="245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338</v>
      </c>
      <c r="BK14" s="38">
        <f t="shared" ref="BK14:BV14" si="93">IF(AG25&gt;0,AG14/AG25,0)</f>
        <v>0</v>
      </c>
      <c r="BL14" s="245">
        <f t="shared" si="93"/>
        <v>0</v>
      </c>
      <c r="BM14" s="245">
        <f t="shared" si="93"/>
        <v>0</v>
      </c>
      <c r="BN14" s="245">
        <f t="shared" si="93"/>
        <v>0</v>
      </c>
      <c r="BO14" s="245">
        <f t="shared" si="93"/>
        <v>0</v>
      </c>
      <c r="BP14" s="40">
        <f t="shared" si="93"/>
        <v>0</v>
      </c>
      <c r="BQ14" s="245">
        <f t="shared" si="93"/>
        <v>0</v>
      </c>
      <c r="BR14" s="246">
        <f t="shared" si="93"/>
        <v>0</v>
      </c>
      <c r="BS14" s="245">
        <f t="shared" si="93"/>
        <v>0</v>
      </c>
      <c r="BT14" s="245">
        <f t="shared" si="93"/>
        <v>0</v>
      </c>
      <c r="BU14" s="245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338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52">
        <f t="shared" si="40"/>
        <v>0</v>
      </c>
      <c r="CL14" s="55">
        <f t="shared" si="41"/>
        <v>0</v>
      </c>
      <c r="CN14" s="64" t="s">
        <v>338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52">
        <f t="shared" si="47"/>
        <v>0</v>
      </c>
      <c r="DA14" s="62" t="e">
        <f t="shared" si="48"/>
        <v>#DIV/0!</v>
      </c>
      <c r="DC14" s="64" t="s">
        <v>338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339</v>
      </c>
      <c r="B15" s="38">
        <f>targets!AW16</f>
        <v>0</v>
      </c>
      <c r="C15" s="245">
        <f>targets!AX16</f>
        <v>0</v>
      </c>
      <c r="D15" s="245">
        <f>targets!AY16</f>
        <v>0</v>
      </c>
      <c r="E15" s="245">
        <f>targets!AZ16</f>
        <v>0</v>
      </c>
      <c r="F15" s="245">
        <f>targets!BA16</f>
        <v>0</v>
      </c>
      <c r="G15" s="41">
        <f>SUM(targets!BB16:BG16)</f>
        <v>46002.584629237346</v>
      </c>
      <c r="H15" s="245">
        <f>SUM(targets!BH16:BM16)</f>
        <v>0</v>
      </c>
      <c r="I15" s="246">
        <f t="shared" si="20"/>
        <v>46002.584629237346</v>
      </c>
      <c r="J15" s="245">
        <f>targets!BN16</f>
        <v>0</v>
      </c>
      <c r="K15" s="245">
        <f>targets!BO16</f>
        <v>0</v>
      </c>
      <c r="L15" s="245">
        <f>targets!BP16</f>
        <v>0</v>
      </c>
      <c r="M15" s="178">
        <f t="shared" si="21"/>
        <v>0</v>
      </c>
      <c r="N15" s="17">
        <f t="shared" si="22"/>
        <v>46002.584629237346</v>
      </c>
      <c r="O15" s="17"/>
      <c r="P15" s="17"/>
      <c r="Q15" s="64" t="s">
        <v>339</v>
      </c>
      <c r="R15" s="38">
        <f t="shared" si="23"/>
        <v>0</v>
      </c>
      <c r="S15" s="245">
        <f t="shared" si="0"/>
        <v>0</v>
      </c>
      <c r="T15" s="245">
        <f t="shared" si="1"/>
        <v>0</v>
      </c>
      <c r="U15" s="245">
        <f t="shared" si="2"/>
        <v>0</v>
      </c>
      <c r="V15" s="245">
        <f t="shared" si="3"/>
        <v>0</v>
      </c>
      <c r="W15" s="41">
        <f t="shared" si="4"/>
        <v>0</v>
      </c>
      <c r="X15" s="245">
        <f t="shared" si="5"/>
        <v>0</v>
      </c>
      <c r="Y15" s="246">
        <f t="shared" si="24"/>
        <v>0</v>
      </c>
      <c r="Z15" s="245">
        <f t="shared" si="6"/>
        <v>0</v>
      </c>
      <c r="AA15" s="245">
        <f t="shared" si="7"/>
        <v>0</v>
      </c>
      <c r="AB15" s="245">
        <f t="shared" si="8"/>
        <v>0</v>
      </c>
      <c r="AC15" s="178">
        <f t="shared" si="74"/>
        <v>0</v>
      </c>
      <c r="AD15" s="17">
        <f t="shared" si="25"/>
        <v>0</v>
      </c>
      <c r="AF15" s="64" t="s">
        <v>47</v>
      </c>
      <c r="AG15" s="38">
        <f t="array" ref="AG15">SUM(IF((modeldata!$F:$F=calibration!$AF$2)*(modeldata!$G:$G=calibration!AG$4)*(modeldata!$H:$H=calibration!$AF15),modeldata!$E:$E,0))</f>
        <v>0</v>
      </c>
      <c r="AH15" s="245">
        <f t="array" ref="AH15">SUM(IF((modeldata!$F:$F=calibration!$AF$2)*(modeldata!$G:$G=calibration!AH$4)*(modeldata!$H:$H=calibration!$AF15),modeldata!$E:$E,0))</f>
        <v>0</v>
      </c>
      <c r="AI15" s="245">
        <f t="array" ref="AI15">SUM(IF((modeldata!$F:$F=calibration!$AF$2)*(modeldata!$G:$G=calibration!AI$4)*(modeldata!$H:$H=calibration!$AF15),modeldata!$E:$E,0))</f>
        <v>0</v>
      </c>
      <c r="AJ15" s="245">
        <f t="array" ref="AJ15">SUM(IF((modeldata!$F:$F=calibration!$AF$2)*(modeldata!$G:$G=calibration!AJ$4)*(modeldata!$H:$H=calibration!$AF15),modeldata!$E:$E,0))</f>
        <v>0</v>
      </c>
      <c r="AK15" s="245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5">
        <f t="array" ref="AM15">SUM(IF((modeldata!$F:$F=calibration!$AF$2)*(modeldata!$G:$G=calibration!AM$4)*(modeldata!$H:$H=calibration!$AF15),modeldata!$E:$E,0))</f>
        <v>0</v>
      </c>
      <c r="AN15" s="246">
        <f>AL15+AM15+AL23+AM23</f>
        <v>0</v>
      </c>
      <c r="AO15" s="245">
        <f t="array" ref="AO15">SUM(IF((modeldata!$F:$F=calibration!$AF$2)*(modeldata!$G:$G=calibration!AO$4)*(modeldata!$H:$H=calibration!$AF15),modeldata!$E:$E,0))</f>
        <v>0</v>
      </c>
      <c r="AP15" s="245">
        <f t="array" ref="AP15">SUM(IF((modeldata!$F:$F=calibration!$AF$2)*(modeldata!$G:$G=calibration!AP$4)*(modeldata!$H:$H=calibration!$AF15),modeldata!$E:$E,0))</f>
        <v>0</v>
      </c>
      <c r="AQ15" s="245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339</v>
      </c>
      <c r="AV15" s="38">
        <f t="shared" ref="AV15:BG15" si="94">IF(R25&gt;0,R15/R25,0)</f>
        <v>0</v>
      </c>
      <c r="AW15" s="245">
        <f t="shared" si="94"/>
        <v>0</v>
      </c>
      <c r="AX15" s="245">
        <f t="shared" si="94"/>
        <v>0</v>
      </c>
      <c r="AY15" s="245">
        <f t="shared" si="94"/>
        <v>0</v>
      </c>
      <c r="AZ15" s="245">
        <f t="shared" si="94"/>
        <v>0</v>
      </c>
      <c r="BA15" s="41">
        <f t="shared" si="94"/>
        <v>0</v>
      </c>
      <c r="BB15" s="245">
        <f t="shared" si="94"/>
        <v>0</v>
      </c>
      <c r="BC15" s="246">
        <f t="shared" si="94"/>
        <v>0</v>
      </c>
      <c r="BD15" s="245">
        <f t="shared" si="94"/>
        <v>0</v>
      </c>
      <c r="BE15" s="245">
        <f t="shared" si="94"/>
        <v>0</v>
      </c>
      <c r="BF15" s="245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339</v>
      </c>
      <c r="BK15" s="38">
        <f t="shared" ref="BK15:BV15" si="95">IF(AG25&gt;0,AG15/AG25,0)</f>
        <v>0</v>
      </c>
      <c r="BL15" s="245">
        <f t="shared" si="95"/>
        <v>0</v>
      </c>
      <c r="BM15" s="245">
        <f t="shared" si="95"/>
        <v>0</v>
      </c>
      <c r="BN15" s="245">
        <f t="shared" si="95"/>
        <v>0</v>
      </c>
      <c r="BO15" s="245">
        <f t="shared" si="95"/>
        <v>0</v>
      </c>
      <c r="BP15" s="41">
        <f t="shared" si="95"/>
        <v>0</v>
      </c>
      <c r="BQ15" s="245">
        <f t="shared" si="95"/>
        <v>0</v>
      </c>
      <c r="BR15" s="246">
        <f t="shared" si="95"/>
        <v>0</v>
      </c>
      <c r="BS15" s="245">
        <f t="shared" si="95"/>
        <v>0</v>
      </c>
      <c r="BT15" s="245">
        <f t="shared" si="95"/>
        <v>0</v>
      </c>
      <c r="BU15" s="245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339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52">
        <f t="shared" si="40"/>
        <v>0</v>
      </c>
      <c r="CL15" s="55">
        <f t="shared" si="41"/>
        <v>0</v>
      </c>
      <c r="CN15" s="64" t="s">
        <v>339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52">
        <f t="shared" si="47"/>
        <v>0</v>
      </c>
      <c r="DA15" s="62" t="e">
        <f t="shared" si="48"/>
        <v>#DIV/0!</v>
      </c>
      <c r="DC15" s="64" t="s">
        <v>339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ht="25.5" x14ac:dyDescent="0.2">
      <c r="A16" s="66" t="s">
        <v>340</v>
      </c>
      <c r="B16" s="38">
        <f>targets!AW17</f>
        <v>0</v>
      </c>
      <c r="C16" s="245">
        <f>targets!AX17</f>
        <v>0</v>
      </c>
      <c r="D16" s="245">
        <f>targets!AY17</f>
        <v>0</v>
      </c>
      <c r="E16" s="245">
        <f>targets!AZ17</f>
        <v>0</v>
      </c>
      <c r="F16" s="245">
        <f>targets!BA17</f>
        <v>0</v>
      </c>
      <c r="G16" s="245">
        <f>SUM(targets!BB17:BG17)</f>
        <v>0</v>
      </c>
      <c r="H16" s="39">
        <f>SUM(targets!BH17:BM17)</f>
        <v>694.26423609744415</v>
      </c>
      <c r="I16" s="246">
        <f t="shared" si="20"/>
        <v>694.26423609744415</v>
      </c>
      <c r="J16" s="245">
        <f>targets!BN17</f>
        <v>0</v>
      </c>
      <c r="K16" s="245">
        <f>targets!BO17</f>
        <v>0</v>
      </c>
      <c r="L16" s="245">
        <f>targets!BP17</f>
        <v>0</v>
      </c>
      <c r="M16" s="178">
        <f t="shared" si="21"/>
        <v>0</v>
      </c>
      <c r="N16" s="17">
        <f t="shared" si="22"/>
        <v>694.26423609744415</v>
      </c>
      <c r="O16" s="17"/>
      <c r="P16" s="17"/>
      <c r="Q16" s="66" t="s">
        <v>340</v>
      </c>
      <c r="R16" s="38">
        <f t="shared" si="23"/>
        <v>0</v>
      </c>
      <c r="S16" s="245">
        <f t="shared" si="0"/>
        <v>0</v>
      </c>
      <c r="T16" s="245">
        <f t="shared" si="1"/>
        <v>0</v>
      </c>
      <c r="U16" s="245">
        <f t="shared" si="2"/>
        <v>0</v>
      </c>
      <c r="V16" s="245">
        <f t="shared" si="3"/>
        <v>0</v>
      </c>
      <c r="W16" s="245">
        <f t="shared" si="4"/>
        <v>0</v>
      </c>
      <c r="X16" s="39">
        <f t="shared" si="5"/>
        <v>0</v>
      </c>
      <c r="Y16" s="246">
        <f t="shared" si="24"/>
        <v>0</v>
      </c>
      <c r="Z16" s="245">
        <f t="shared" si="6"/>
        <v>0</v>
      </c>
      <c r="AA16" s="245">
        <f t="shared" si="7"/>
        <v>0</v>
      </c>
      <c r="AB16" s="245">
        <f t="shared" si="8"/>
        <v>0</v>
      </c>
      <c r="AC16" s="178">
        <f t="shared" si="74"/>
        <v>0</v>
      </c>
      <c r="AD16" s="17">
        <f t="shared" si="25"/>
        <v>0</v>
      </c>
      <c r="AF16" s="66" t="s">
        <v>40</v>
      </c>
      <c r="AG16" s="38">
        <f t="array" ref="AG16">SUM(IF((modeldata!$F:$F=calibration!$AF$2)*(modeldata!$G:$G=calibration!AG$4)*(modeldata!$H:$H=calibration!$AF16),modeldata!$E:$E,0))</f>
        <v>0</v>
      </c>
      <c r="AH16" s="245">
        <f t="array" ref="AH16">SUM(IF((modeldata!$F:$F=calibration!$AF$2)*(modeldata!$G:$G=calibration!AH$4)*(modeldata!$H:$H=calibration!$AF16),modeldata!$E:$E,0))</f>
        <v>0</v>
      </c>
      <c r="AI16" s="245">
        <f t="array" ref="AI16">SUM(IF((modeldata!$F:$F=calibration!$AF$2)*(modeldata!$G:$G=calibration!AI$4)*(modeldata!$H:$H=calibration!$AF16),modeldata!$E:$E,0))</f>
        <v>0</v>
      </c>
      <c r="AJ16" s="245">
        <f t="array" ref="AJ16">SUM(IF((modeldata!$F:$F=calibration!$AF$2)*(modeldata!$G:$G=calibration!AJ$4)*(modeldata!$H:$H=calibration!$AF16),modeldata!$E:$E,0))</f>
        <v>0</v>
      </c>
      <c r="AK16" s="245">
        <f t="array" ref="AK16">SUM(IF((modeldata!$F:$F=calibration!$AF$2)*(modeldata!$G:$G=calibration!AK$4)*(modeldata!$H:$H=calibration!$AF16),modeldata!$E:$E,0))</f>
        <v>0</v>
      </c>
      <c r="AL16" s="245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6"/>
      <c r="AO16" s="245">
        <f t="array" ref="AO16">SUM(IF((modeldata!$F:$F=calibration!$AF$2)*(modeldata!$G:$G=calibration!AO$4)*(modeldata!$H:$H=calibration!$AF16),modeldata!$E:$E,0))</f>
        <v>0</v>
      </c>
      <c r="AP16" s="245">
        <f t="array" ref="AP16">SUM(IF((modeldata!$F:$F=calibration!$AF$2)*(modeldata!$G:$G=calibration!AP$4)*(modeldata!$H:$H=calibration!$AF16),modeldata!$E:$E,0))</f>
        <v>0</v>
      </c>
      <c r="AQ16" s="245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340</v>
      </c>
      <c r="AV16" s="38">
        <f t="shared" ref="AV16:BG16" si="96">IF(R25&gt;0,R16/R25,0)</f>
        <v>0</v>
      </c>
      <c r="AW16" s="245">
        <f t="shared" si="96"/>
        <v>0</v>
      </c>
      <c r="AX16" s="245">
        <f t="shared" si="96"/>
        <v>0</v>
      </c>
      <c r="AY16" s="245">
        <f t="shared" si="96"/>
        <v>0</v>
      </c>
      <c r="AZ16" s="245">
        <f t="shared" si="96"/>
        <v>0</v>
      </c>
      <c r="BA16" s="245">
        <f t="shared" si="96"/>
        <v>0</v>
      </c>
      <c r="BB16" s="39">
        <f t="shared" si="96"/>
        <v>0</v>
      </c>
      <c r="BC16" s="246">
        <f t="shared" si="96"/>
        <v>0</v>
      </c>
      <c r="BD16" s="245">
        <f t="shared" si="96"/>
        <v>0</v>
      </c>
      <c r="BE16" s="245">
        <f t="shared" si="96"/>
        <v>0</v>
      </c>
      <c r="BF16" s="245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340</v>
      </c>
      <c r="BK16" s="38">
        <f t="shared" ref="BK16:BV16" si="97">IF(AG25&gt;0,AG16/AG25,0)</f>
        <v>0</v>
      </c>
      <c r="BL16" s="245">
        <f t="shared" si="97"/>
        <v>0</v>
      </c>
      <c r="BM16" s="245">
        <f t="shared" si="97"/>
        <v>0</v>
      </c>
      <c r="BN16" s="245">
        <f t="shared" si="97"/>
        <v>0</v>
      </c>
      <c r="BO16" s="245">
        <f t="shared" si="97"/>
        <v>0</v>
      </c>
      <c r="BP16" s="245">
        <f t="shared" si="97"/>
        <v>0</v>
      </c>
      <c r="BQ16" s="39">
        <f t="shared" si="97"/>
        <v>0</v>
      </c>
      <c r="BR16" s="246">
        <f t="shared" si="97"/>
        <v>0</v>
      </c>
      <c r="BS16" s="245">
        <f t="shared" si="97"/>
        <v>0</v>
      </c>
      <c r="BT16" s="245">
        <f t="shared" si="97"/>
        <v>0</v>
      </c>
      <c r="BU16" s="245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340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52">
        <f t="shared" si="40"/>
        <v>0</v>
      </c>
      <c r="CL16" s="55">
        <f t="shared" si="41"/>
        <v>0</v>
      </c>
      <c r="CN16" s="66" t="s">
        <v>340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52">
        <f t="shared" si="47"/>
        <v>0</v>
      </c>
      <c r="DA16" s="62" t="e">
        <f t="shared" si="48"/>
        <v>#DIV/0!</v>
      </c>
      <c r="DC16" s="66" t="s">
        <v>340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361</v>
      </c>
      <c r="B17" s="38">
        <f>targets!AW18</f>
        <v>0</v>
      </c>
      <c r="C17" s="245">
        <f>targets!AX18</f>
        <v>0</v>
      </c>
      <c r="D17" s="245">
        <f>targets!AY18</f>
        <v>0</v>
      </c>
      <c r="E17" s="245">
        <f>targets!AZ18</f>
        <v>0</v>
      </c>
      <c r="F17" s="245">
        <f>targets!BA18</f>
        <v>0</v>
      </c>
      <c r="G17" s="245">
        <f>SUM(targets!BB18:BG18)</f>
        <v>0</v>
      </c>
      <c r="H17" s="40">
        <f>SUM(targets!BH18:BM18)</f>
        <v>2237.7872312408367</v>
      </c>
      <c r="I17" s="246">
        <f t="shared" si="20"/>
        <v>2237.7872312408367</v>
      </c>
      <c r="J17" s="245">
        <f>targets!BN18</f>
        <v>0</v>
      </c>
      <c r="K17" s="245">
        <f>targets!BO18</f>
        <v>0</v>
      </c>
      <c r="L17" s="245">
        <f>targets!BP18</f>
        <v>0</v>
      </c>
      <c r="M17" s="178">
        <f t="shared" si="21"/>
        <v>0</v>
      </c>
      <c r="N17" s="17">
        <f t="shared" si="22"/>
        <v>2237.7872312408367</v>
      </c>
      <c r="O17" s="17"/>
      <c r="P17" s="17"/>
      <c r="Q17" s="66" t="s">
        <v>361</v>
      </c>
      <c r="R17" s="38">
        <f t="shared" si="23"/>
        <v>0</v>
      </c>
      <c r="S17" s="245">
        <f t="shared" si="0"/>
        <v>0</v>
      </c>
      <c r="T17" s="245">
        <f t="shared" si="1"/>
        <v>0</v>
      </c>
      <c r="U17" s="245">
        <f t="shared" si="2"/>
        <v>0</v>
      </c>
      <c r="V17" s="245">
        <f t="shared" si="3"/>
        <v>0</v>
      </c>
      <c r="W17" s="245">
        <f t="shared" si="4"/>
        <v>0</v>
      </c>
      <c r="X17" s="40">
        <f t="shared" si="5"/>
        <v>0</v>
      </c>
      <c r="Y17" s="246">
        <f t="shared" si="24"/>
        <v>0</v>
      </c>
      <c r="Z17" s="245">
        <f t="shared" si="6"/>
        <v>0</v>
      </c>
      <c r="AA17" s="245">
        <f t="shared" si="7"/>
        <v>0</v>
      </c>
      <c r="AB17" s="245">
        <f t="shared" si="8"/>
        <v>0</v>
      </c>
      <c r="AC17" s="178">
        <f t="shared" si="74"/>
        <v>0</v>
      </c>
      <c r="AD17" s="17">
        <f t="shared" si="25"/>
        <v>0</v>
      </c>
      <c r="AF17" s="66" t="s">
        <v>347</v>
      </c>
      <c r="AG17" s="38" cm="1">
        <f t="array" ref="AG17">SUM(IF((modeldata!$F:$F=calibration!$AF$2)*(modeldata!$G:$G=calibration!AG$4)*(modeldata!$H:$H=calibration!$AF17),modeldata!$E:$E,0))</f>
        <v>0</v>
      </c>
      <c r="AH17" s="245">
        <f t="array" ref="AH17">SUM(IF((modeldata!$F:$F=calibration!$AF$2)*(modeldata!$G:$G=calibration!AH$4)*(modeldata!$H:$H=calibration!$AF17),modeldata!$E:$E,0))</f>
        <v>0</v>
      </c>
      <c r="AI17" s="245">
        <f t="array" ref="AI17">SUM(IF((modeldata!$F:$F=calibration!$AF$2)*(modeldata!$G:$G=calibration!AI$4)*(modeldata!$H:$H=calibration!$AF17),modeldata!$E:$E,0))</f>
        <v>0</v>
      </c>
      <c r="AJ17" s="245">
        <f t="array" ref="AJ17">SUM(IF((modeldata!$F:$F=calibration!$AF$2)*(modeldata!$G:$G=calibration!AJ$4)*(modeldata!$H:$H=calibration!$AF17),modeldata!$E:$E,0))</f>
        <v>0</v>
      </c>
      <c r="AK17" s="245">
        <f t="array" ref="AK17">SUM(IF((modeldata!$F:$F=calibration!$AF$2)*(modeldata!$G:$G=calibration!AK$4)*(modeldata!$H:$H=calibration!$AF17),modeldata!$E:$E,0))</f>
        <v>0</v>
      </c>
      <c r="AL17" s="245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6"/>
      <c r="AO17" s="245">
        <f t="array" ref="AO17">SUM(IF((modeldata!$F:$F=calibration!$AF$2)*(modeldata!$G:$G=calibration!AO$4)*(modeldata!$H:$H=calibration!$AF17),modeldata!$E:$E,0))</f>
        <v>0</v>
      </c>
      <c r="AP17" s="245">
        <f t="array" ref="AP17">SUM(IF((modeldata!$F:$F=calibration!$AF$2)*(modeldata!$G:$G=calibration!AP$4)*(modeldata!$H:$H=calibration!$AF17),modeldata!$E:$E,0))</f>
        <v>0</v>
      </c>
      <c r="AQ17" s="245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361</v>
      </c>
      <c r="AV17" s="38">
        <f t="shared" ref="AV17:BG17" si="98">IF(R25&gt;0,R17/R25,0)</f>
        <v>0</v>
      </c>
      <c r="AW17" s="245">
        <f t="shared" si="98"/>
        <v>0</v>
      </c>
      <c r="AX17" s="245">
        <f t="shared" si="98"/>
        <v>0</v>
      </c>
      <c r="AY17" s="245">
        <f t="shared" si="98"/>
        <v>0</v>
      </c>
      <c r="AZ17" s="245">
        <f t="shared" si="98"/>
        <v>0</v>
      </c>
      <c r="BA17" s="245">
        <f t="shared" si="98"/>
        <v>0</v>
      </c>
      <c r="BB17" s="40">
        <f t="shared" si="98"/>
        <v>0</v>
      </c>
      <c r="BC17" s="246">
        <f t="shared" si="98"/>
        <v>0</v>
      </c>
      <c r="BD17" s="245">
        <f t="shared" si="98"/>
        <v>0</v>
      </c>
      <c r="BE17" s="245">
        <f t="shared" si="98"/>
        <v>0</v>
      </c>
      <c r="BF17" s="245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361</v>
      </c>
      <c r="BK17" s="38">
        <f t="shared" ref="BK17:BV17" si="99">IF(AG25&gt;0,AG17/AG25,0)</f>
        <v>0</v>
      </c>
      <c r="BL17" s="245">
        <f t="shared" si="99"/>
        <v>0</v>
      </c>
      <c r="BM17" s="245">
        <f t="shared" si="99"/>
        <v>0</v>
      </c>
      <c r="BN17" s="245">
        <f t="shared" si="99"/>
        <v>0</v>
      </c>
      <c r="BO17" s="245">
        <f t="shared" si="99"/>
        <v>0</v>
      </c>
      <c r="BP17" s="245">
        <f t="shared" si="99"/>
        <v>0</v>
      </c>
      <c r="BQ17" s="40">
        <f t="shared" si="99"/>
        <v>0</v>
      </c>
      <c r="BR17" s="246">
        <f t="shared" si="99"/>
        <v>0</v>
      </c>
      <c r="BS17" s="245">
        <f t="shared" si="99"/>
        <v>0</v>
      </c>
      <c r="BT17" s="245">
        <f t="shared" si="99"/>
        <v>0</v>
      </c>
      <c r="BU17" s="245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361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52">
        <f t="shared" si="40"/>
        <v>0</v>
      </c>
      <c r="CL17" s="55">
        <f t="shared" si="41"/>
        <v>0</v>
      </c>
      <c r="CN17" s="66" t="s">
        <v>361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52">
        <f t="shared" si="47"/>
        <v>0</v>
      </c>
      <c r="DA17" s="62" t="e">
        <f t="shared" si="48"/>
        <v>#DIV/0!</v>
      </c>
      <c r="DC17" s="66" t="s">
        <v>361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350</v>
      </c>
      <c r="B18" s="38">
        <f>targets!AW19</f>
        <v>0</v>
      </c>
      <c r="C18" s="245">
        <f>targets!AX19</f>
        <v>0</v>
      </c>
      <c r="D18" s="245">
        <f>targets!AY19</f>
        <v>0</v>
      </c>
      <c r="E18" s="245">
        <f>targets!AZ19</f>
        <v>0</v>
      </c>
      <c r="F18" s="245">
        <f>targets!BA19</f>
        <v>0</v>
      </c>
      <c r="G18" s="245">
        <f>SUM(targets!BB19:BG19)</f>
        <v>0</v>
      </c>
      <c r="H18" s="40">
        <f>SUM(targets!BH19:BM19)</f>
        <v>1046.4796145911671</v>
      </c>
      <c r="I18" s="246">
        <f>SUM(G18:H18)</f>
        <v>1046.4796145911671</v>
      </c>
      <c r="J18" s="245">
        <f>targets!BN19</f>
        <v>0</v>
      </c>
      <c r="K18" s="245">
        <f>targets!BO19</f>
        <v>0</v>
      </c>
      <c r="L18" s="245">
        <f>targets!BP19</f>
        <v>0</v>
      </c>
      <c r="M18" s="178">
        <f>SUM(J18:L18)</f>
        <v>0</v>
      </c>
      <c r="N18" s="17">
        <f>SUM(B18:L18)-I18</f>
        <v>1046.4796145911671</v>
      </c>
      <c r="O18" s="17"/>
      <c r="P18" s="17"/>
      <c r="Q18" s="2" t="s">
        <v>350</v>
      </c>
      <c r="R18" s="38">
        <f t="shared" si="23"/>
        <v>0</v>
      </c>
      <c r="S18" s="245">
        <f t="shared" si="0"/>
        <v>0</v>
      </c>
      <c r="T18" s="245">
        <f t="shared" si="1"/>
        <v>0</v>
      </c>
      <c r="U18" s="245">
        <f t="shared" si="2"/>
        <v>0</v>
      </c>
      <c r="V18" s="245">
        <f t="shared" si="3"/>
        <v>0</v>
      </c>
      <c r="W18" s="245">
        <f t="shared" si="4"/>
        <v>0</v>
      </c>
      <c r="X18" s="40">
        <f t="shared" si="5"/>
        <v>0</v>
      </c>
      <c r="Y18" s="246">
        <f>SUM(W18:X18)</f>
        <v>0</v>
      </c>
      <c r="Z18" s="245">
        <f t="shared" si="6"/>
        <v>0</v>
      </c>
      <c r="AA18" s="245">
        <f t="shared" si="7"/>
        <v>0</v>
      </c>
      <c r="AB18" s="245">
        <f t="shared" si="8"/>
        <v>0</v>
      </c>
      <c r="AC18" s="178">
        <f>SUM(Z18:AB18)</f>
        <v>0</v>
      </c>
      <c r="AD18" s="17">
        <f>SUM(R18:AB18)-Y18</f>
        <v>0</v>
      </c>
      <c r="AF18" s="2" t="s">
        <v>350</v>
      </c>
      <c r="AG18" s="38">
        <f t="array" ref="AG18">SUM(IF((modeldata!$F:$F=calibration!$AF$2)*(modeldata!$G:$G=calibration!AG$4)*(modeldata!$H:$H=calibration!$AF18),modeldata!$E:$E,0))</f>
        <v>0</v>
      </c>
      <c r="AH18" s="245">
        <f t="array" ref="AH18">SUM(IF((modeldata!$F:$F=calibration!$AF$2)*(modeldata!$G:$G=calibration!AH$4)*(modeldata!$H:$H=calibration!$AF18),modeldata!$E:$E,0))</f>
        <v>0</v>
      </c>
      <c r="AI18" s="245">
        <f t="array" ref="AI18">SUM(IF((modeldata!$F:$F=calibration!$AF$2)*(modeldata!$G:$G=calibration!AI$4)*(modeldata!$H:$H=calibration!$AF18),modeldata!$E:$E,0))</f>
        <v>0</v>
      </c>
      <c r="AJ18" s="245">
        <f t="array" ref="AJ18">SUM(IF((modeldata!$F:$F=calibration!$AF$2)*(modeldata!$G:$G=calibration!AJ$4)*(modeldata!$H:$H=calibration!$AF18),modeldata!$E:$E,0))</f>
        <v>0</v>
      </c>
      <c r="AK18" s="245">
        <f t="array" ref="AK18">SUM(IF((modeldata!$F:$F=calibration!$AF$2)*(modeldata!$G:$G=calibration!AK$4)*(modeldata!$H:$H=calibration!$AF18),modeldata!$E:$E,0))</f>
        <v>0</v>
      </c>
      <c r="AL18" s="245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6">
        <f>AL18+AM18</f>
        <v>0</v>
      </c>
      <c r="AO18" s="245">
        <f t="array" ref="AO18">SUM(IF((modeldata!$F:$F=calibration!$AF$2)*(modeldata!$G:$G=calibration!AO$4)*(modeldata!$H:$H=calibration!$AF18),modeldata!$E:$E,0))</f>
        <v>0</v>
      </c>
      <c r="AP18" s="245">
        <f t="array" ref="AP18">SUM(IF((modeldata!$F:$F=calibration!$AF$2)*(modeldata!$G:$G=calibration!AP$4)*(modeldata!$H:$H=calibration!$AF18),modeldata!$E:$E,0))</f>
        <v>0</v>
      </c>
      <c r="AQ18" s="245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350</v>
      </c>
      <c r="AV18" s="38">
        <f t="shared" ref="AV18:BG20" si="100">IF(R25&gt;0,R18/R25,0)</f>
        <v>0</v>
      </c>
      <c r="AW18" s="245">
        <f t="shared" si="100"/>
        <v>0</v>
      </c>
      <c r="AX18" s="245">
        <f t="shared" si="100"/>
        <v>0</v>
      </c>
      <c r="AY18" s="245">
        <f t="shared" si="100"/>
        <v>0</v>
      </c>
      <c r="AZ18" s="245">
        <f t="shared" si="100"/>
        <v>0</v>
      </c>
      <c r="BA18" s="245">
        <f t="shared" si="100"/>
        <v>0</v>
      </c>
      <c r="BB18" s="40">
        <f t="shared" si="100"/>
        <v>0</v>
      </c>
      <c r="BC18" s="246">
        <f t="shared" si="100"/>
        <v>0</v>
      </c>
      <c r="BD18" s="245">
        <f t="shared" si="100"/>
        <v>0</v>
      </c>
      <c r="BE18" s="245">
        <f t="shared" si="100"/>
        <v>0</v>
      </c>
      <c r="BF18" s="245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350</v>
      </c>
      <c r="BK18" s="38">
        <f t="shared" ref="BK18:BV20" si="101">IF(AG25&gt;0,AG18/AG25,0)</f>
        <v>0</v>
      </c>
      <c r="BL18" s="245">
        <f t="shared" si="101"/>
        <v>0</v>
      </c>
      <c r="BM18" s="245">
        <f t="shared" si="101"/>
        <v>0</v>
      </c>
      <c r="BN18" s="245">
        <f t="shared" si="101"/>
        <v>0</v>
      </c>
      <c r="BO18" s="245">
        <f t="shared" si="101"/>
        <v>0</v>
      </c>
      <c r="BP18" s="245">
        <f t="shared" si="101"/>
        <v>0</v>
      </c>
      <c r="BQ18" s="40">
        <f t="shared" si="101"/>
        <v>0</v>
      </c>
      <c r="BR18" s="246">
        <f t="shared" si="101"/>
        <v>0</v>
      </c>
      <c r="BS18" s="245">
        <f t="shared" si="101"/>
        <v>0</v>
      </c>
      <c r="BT18" s="245">
        <f t="shared" si="101"/>
        <v>0</v>
      </c>
      <c r="BU18" s="245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350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52">
        <f t="shared" si="102"/>
        <v>0</v>
      </c>
      <c r="CL18" s="55">
        <f t="shared" si="102"/>
        <v>0</v>
      </c>
      <c r="CN18" s="2" t="s">
        <v>350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52">
        <f t="shared" si="103"/>
        <v>0</v>
      </c>
      <c r="DA18" s="62" t="e">
        <f t="shared" si="103"/>
        <v>#DIV/0!</v>
      </c>
      <c r="DC18" s="2" t="s">
        <v>350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ht="25.5" x14ac:dyDescent="0.2">
      <c r="A19" s="66" t="s">
        <v>341</v>
      </c>
      <c r="B19" s="38">
        <f>targets!AW20</f>
        <v>0</v>
      </c>
      <c r="C19" s="245">
        <f>targets!AX20</f>
        <v>0</v>
      </c>
      <c r="D19" s="245">
        <f>targets!AY20</f>
        <v>0</v>
      </c>
      <c r="E19" s="245">
        <f>targets!AZ20</f>
        <v>0</v>
      </c>
      <c r="F19" s="245">
        <f>targets!BA20</f>
        <v>0</v>
      </c>
      <c r="G19" s="245">
        <f>SUM(targets!BB20:BG20)</f>
        <v>0</v>
      </c>
      <c r="H19" s="40">
        <f>SUM(targets!BH20:BM20)</f>
        <v>1675.1116145525878</v>
      </c>
      <c r="I19" s="246">
        <f t="shared" si="20"/>
        <v>1675.1116145525878</v>
      </c>
      <c r="J19" s="245">
        <f>targets!BN20</f>
        <v>0</v>
      </c>
      <c r="K19" s="245">
        <f>targets!BO20</f>
        <v>0</v>
      </c>
      <c r="L19" s="245">
        <f>targets!BP20</f>
        <v>0</v>
      </c>
      <c r="M19" s="178">
        <f t="shared" si="21"/>
        <v>0</v>
      </c>
      <c r="N19" s="17">
        <f t="shared" si="22"/>
        <v>1675.1116145525878</v>
      </c>
      <c r="O19" s="17"/>
      <c r="P19" s="17"/>
      <c r="Q19" s="66" t="s">
        <v>341</v>
      </c>
      <c r="R19" s="38">
        <f t="shared" si="23"/>
        <v>0</v>
      </c>
      <c r="S19" s="245">
        <f t="shared" si="0"/>
        <v>0</v>
      </c>
      <c r="T19" s="245">
        <f t="shared" si="1"/>
        <v>0</v>
      </c>
      <c r="U19" s="245">
        <f t="shared" si="2"/>
        <v>0</v>
      </c>
      <c r="V19" s="245">
        <f t="shared" si="3"/>
        <v>0</v>
      </c>
      <c r="W19" s="245">
        <f t="shared" si="4"/>
        <v>0</v>
      </c>
      <c r="X19" s="40">
        <f t="shared" si="5"/>
        <v>0</v>
      </c>
      <c r="Y19" s="246">
        <f t="shared" ref="Y19:Y20" si="104">SUM(W19:X19)</f>
        <v>0</v>
      </c>
      <c r="Z19" s="245">
        <f t="shared" si="6"/>
        <v>0</v>
      </c>
      <c r="AA19" s="245">
        <f t="shared" si="7"/>
        <v>0</v>
      </c>
      <c r="AB19" s="245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4" t="s">
        <v>50</v>
      </c>
      <c r="AG19" s="38" cm="1">
        <f t="array" ref="AG19">SUM(IF((modeldata!$F:$F=calibration!$AF$2)*(modeldata!$G:$G=calibration!AG$4)*(modeldata!$H:$H=calibration!$AF19),modeldata!$E:$E,0))</f>
        <v>0</v>
      </c>
      <c r="AH19" s="245">
        <f t="array" ref="AH19">SUM(IF((modeldata!$F:$F=calibration!$AF$2)*(modeldata!$G:$G=calibration!AH$4)*(modeldata!$H:$H=calibration!$AF19),modeldata!$E:$E,0))</f>
        <v>0</v>
      </c>
      <c r="AI19" s="245">
        <f t="array" ref="AI19">SUM(IF((modeldata!$F:$F=calibration!$AF$2)*(modeldata!$G:$G=calibration!AI$4)*(modeldata!$H:$H=calibration!$AF19),modeldata!$E:$E,0))</f>
        <v>0</v>
      </c>
      <c r="AJ19" s="245">
        <f t="array" ref="AJ19">SUM(IF((modeldata!$F:$F=calibration!$AF$2)*(modeldata!$G:$G=calibration!AJ$4)*(modeldata!$H:$H=calibration!$AF19),modeldata!$E:$E,0))</f>
        <v>0</v>
      </c>
      <c r="AK19" s="245">
        <f t="array" ref="AK19">SUM(IF((modeldata!$F:$F=calibration!$AF$2)*(modeldata!$G:$G=calibration!AK$4)*(modeldata!$H:$H=calibration!$AF19),modeldata!$E:$E,0))</f>
        <v>0</v>
      </c>
      <c r="AL19" s="245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6"/>
      <c r="AO19" s="245">
        <f t="array" ref="AO19">SUM(IF((modeldata!$F:$F=calibration!$AF$2)*(modeldata!$G:$G=calibration!AO$4)*(modeldata!$H:$H=calibration!$AF19),modeldata!$E:$E,0))</f>
        <v>0</v>
      </c>
      <c r="AP19" s="245">
        <f t="array" ref="AP19">SUM(IF((modeldata!$F:$F=calibration!$AF$2)*(modeldata!$G:$G=calibration!AP$4)*(modeldata!$H:$H=calibration!$AF19),modeldata!$E:$E,0))</f>
        <v>0</v>
      </c>
      <c r="AQ19" s="245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6" t="s">
        <v>341</v>
      </c>
      <c r="AV19" s="38">
        <f t="shared" si="100"/>
        <v>0</v>
      </c>
      <c r="AW19" s="245">
        <f t="shared" si="100"/>
        <v>0</v>
      </c>
      <c r="AX19" s="245">
        <f t="shared" si="100"/>
        <v>0</v>
      </c>
      <c r="AY19" s="245">
        <f t="shared" si="100"/>
        <v>0</v>
      </c>
      <c r="AZ19" s="245">
        <f t="shared" si="100"/>
        <v>0</v>
      </c>
      <c r="BA19" s="245">
        <f t="shared" si="100"/>
        <v>0</v>
      </c>
      <c r="BB19" s="40">
        <f t="shared" si="100"/>
        <v>0</v>
      </c>
      <c r="BC19" s="246">
        <f t="shared" si="100"/>
        <v>0</v>
      </c>
      <c r="BD19" s="245">
        <f t="shared" si="100"/>
        <v>0</v>
      </c>
      <c r="BE19" s="245">
        <f t="shared" si="100"/>
        <v>0</v>
      </c>
      <c r="BF19" s="245">
        <f t="shared" si="100"/>
        <v>0</v>
      </c>
      <c r="BG19" s="178">
        <f t="shared" si="100"/>
        <v>0</v>
      </c>
      <c r="BH19" s="24" t="e">
        <f>AD19/AD26</f>
        <v>#DIV/0!</v>
      </c>
      <c r="BJ19" s="66" t="s">
        <v>341</v>
      </c>
      <c r="BK19" s="38">
        <f t="shared" si="101"/>
        <v>0</v>
      </c>
      <c r="BL19" s="245">
        <f t="shared" si="101"/>
        <v>0</v>
      </c>
      <c r="BM19" s="245">
        <f t="shared" si="101"/>
        <v>0</v>
      </c>
      <c r="BN19" s="245">
        <f t="shared" si="101"/>
        <v>0</v>
      </c>
      <c r="BO19" s="245">
        <f t="shared" si="101"/>
        <v>0</v>
      </c>
      <c r="BP19" s="245">
        <f t="shared" si="101"/>
        <v>0</v>
      </c>
      <c r="BQ19" s="40">
        <f t="shared" si="101"/>
        <v>0</v>
      </c>
      <c r="BR19" s="246">
        <f t="shared" si="101"/>
        <v>0</v>
      </c>
      <c r="BS19" s="245">
        <f t="shared" si="101"/>
        <v>0</v>
      </c>
      <c r="BT19" s="245">
        <f t="shared" si="101"/>
        <v>0</v>
      </c>
      <c r="BU19" s="245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6" t="s">
        <v>341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52">
        <f t="shared" ref="CK19:CK20" si="119">AR19-AC19</f>
        <v>0</v>
      </c>
      <c r="CL19" s="55">
        <f t="shared" ref="CL19:CL20" si="120">AS19-AD19</f>
        <v>0</v>
      </c>
      <c r="CN19" s="66" t="s">
        <v>341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52">
        <f t="shared" ref="CZ19:CZ20" si="132">BV19-BG19</f>
        <v>0</v>
      </c>
      <c r="DA19" s="62" t="e">
        <f t="shared" ref="DA19:DA20" si="133">BW19-BH19</f>
        <v>#DIV/0!</v>
      </c>
      <c r="DC19" s="66" t="s">
        <v>341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ht="25.5" x14ac:dyDescent="0.2">
      <c r="A20" s="66" t="s">
        <v>342</v>
      </c>
      <c r="B20" s="38">
        <f>targets!AW21</f>
        <v>0</v>
      </c>
      <c r="C20" s="245">
        <f>targets!AX21</f>
        <v>0</v>
      </c>
      <c r="D20" s="245">
        <f>targets!AY21</f>
        <v>0</v>
      </c>
      <c r="E20" s="245">
        <f>targets!AZ21</f>
        <v>0</v>
      </c>
      <c r="F20" s="245">
        <f>targets!BA21</f>
        <v>0</v>
      </c>
      <c r="G20" s="245">
        <f>SUM(targets!BB21:BG21)</f>
        <v>0</v>
      </c>
      <c r="H20" s="40">
        <f>SUM(targets!BH21:BM21)</f>
        <v>87148.602343333958</v>
      </c>
      <c r="I20" s="246">
        <f t="shared" si="20"/>
        <v>87148.602343333958</v>
      </c>
      <c r="J20" s="245">
        <f>targets!BN21</f>
        <v>0</v>
      </c>
      <c r="K20" s="245">
        <f>targets!BO21</f>
        <v>0</v>
      </c>
      <c r="L20" s="245">
        <f>targets!BP21</f>
        <v>0</v>
      </c>
      <c r="M20" s="178">
        <f t="shared" si="21"/>
        <v>0</v>
      </c>
      <c r="N20" s="17">
        <f t="shared" si="22"/>
        <v>87148.602343333958</v>
      </c>
      <c r="O20" s="17"/>
      <c r="P20" s="17"/>
      <c r="Q20" s="66" t="s">
        <v>342</v>
      </c>
      <c r="R20" s="38">
        <f t="shared" si="23"/>
        <v>0</v>
      </c>
      <c r="S20" s="245">
        <f t="shared" si="0"/>
        <v>0</v>
      </c>
      <c r="T20" s="245">
        <f t="shared" si="1"/>
        <v>0</v>
      </c>
      <c r="U20" s="245">
        <f t="shared" si="2"/>
        <v>0</v>
      </c>
      <c r="V20" s="245">
        <f t="shared" si="3"/>
        <v>0</v>
      </c>
      <c r="W20" s="245">
        <f t="shared" si="4"/>
        <v>0</v>
      </c>
      <c r="X20" s="40">
        <f t="shared" si="5"/>
        <v>0</v>
      </c>
      <c r="Y20" s="246">
        <f t="shared" si="104"/>
        <v>0</v>
      </c>
      <c r="Z20" s="245">
        <f t="shared" si="6"/>
        <v>0</v>
      </c>
      <c r="AA20" s="245">
        <f t="shared" si="7"/>
        <v>0</v>
      </c>
      <c r="AB20" s="245">
        <f t="shared" si="8"/>
        <v>0</v>
      </c>
      <c r="AC20" s="178">
        <f t="shared" si="105"/>
        <v>0</v>
      </c>
      <c r="AD20" s="17">
        <f t="shared" si="106"/>
        <v>0</v>
      </c>
      <c r="AF20" s="64" t="s">
        <v>51</v>
      </c>
      <c r="AG20" s="38" cm="1">
        <f t="array" ref="AG20">SUM(IF((modeldata!$F:$F=calibration!$AF$2)*(modeldata!$G:$G=calibration!AG$4)*(modeldata!$H:$H=calibration!$AF20),modeldata!$E:$E,0))</f>
        <v>0</v>
      </c>
      <c r="AH20" s="245">
        <f t="array" ref="AH20">SUM(IF((modeldata!$F:$F=calibration!$AF$2)*(modeldata!$G:$G=calibration!AH$4)*(modeldata!$H:$H=calibration!$AF20),modeldata!$E:$E,0))</f>
        <v>0</v>
      </c>
      <c r="AI20" s="245">
        <f t="array" ref="AI20">SUM(IF((modeldata!$F:$F=calibration!$AF$2)*(modeldata!$G:$G=calibration!AI$4)*(modeldata!$H:$H=calibration!$AF20),modeldata!$E:$E,0))</f>
        <v>0</v>
      </c>
      <c r="AJ20" s="245">
        <f t="array" ref="AJ20">SUM(IF((modeldata!$F:$F=calibration!$AF$2)*(modeldata!$G:$G=calibration!AJ$4)*(modeldata!$H:$H=calibration!$AF20),modeldata!$E:$E,0))</f>
        <v>0</v>
      </c>
      <c r="AK20" s="245">
        <f t="array" ref="AK20">SUM(IF((modeldata!$F:$F=calibration!$AF$2)*(modeldata!$G:$G=calibration!AK$4)*(modeldata!$H:$H=calibration!$AF20),modeldata!$E:$E,0))</f>
        <v>0</v>
      </c>
      <c r="AL20" s="245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6"/>
      <c r="AO20" s="245">
        <f t="array" ref="AO20">SUM(IF((modeldata!$F:$F=calibration!$AF$2)*(modeldata!$G:$G=calibration!AO$4)*(modeldata!$H:$H=calibration!$AF20),modeldata!$E:$E,0))</f>
        <v>0</v>
      </c>
      <c r="AP20" s="245">
        <f t="array" ref="AP20">SUM(IF((modeldata!$F:$F=calibration!$AF$2)*(modeldata!$G:$G=calibration!AP$4)*(modeldata!$H:$H=calibration!$AF20),modeldata!$E:$E,0))</f>
        <v>0</v>
      </c>
      <c r="AQ20" s="245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6" t="s">
        <v>342</v>
      </c>
      <c r="AV20" s="38">
        <f t="shared" si="100"/>
        <v>0</v>
      </c>
      <c r="AW20" s="245">
        <f t="shared" si="100"/>
        <v>0</v>
      </c>
      <c r="AX20" s="245">
        <f t="shared" si="100"/>
        <v>0</v>
      </c>
      <c r="AY20" s="245">
        <f t="shared" si="100"/>
        <v>0</v>
      </c>
      <c r="AZ20" s="245">
        <f t="shared" si="100"/>
        <v>0</v>
      </c>
      <c r="BA20" s="245">
        <f t="shared" si="100"/>
        <v>0</v>
      </c>
      <c r="BB20" s="40">
        <f t="shared" si="100"/>
        <v>0</v>
      </c>
      <c r="BC20" s="246">
        <f t="shared" si="100"/>
        <v>0</v>
      </c>
      <c r="BD20" s="245">
        <f t="shared" si="100"/>
        <v>0</v>
      </c>
      <c r="BE20" s="245">
        <f t="shared" si="100"/>
        <v>0</v>
      </c>
      <c r="BF20" s="245">
        <f t="shared" si="100"/>
        <v>0</v>
      </c>
      <c r="BG20" s="178">
        <f t="shared" si="100"/>
        <v>0</v>
      </c>
      <c r="BH20" s="24" t="e">
        <f>AD20/AD27</f>
        <v>#DIV/0!</v>
      </c>
      <c r="BJ20" s="66" t="s">
        <v>342</v>
      </c>
      <c r="BK20" s="38">
        <f t="shared" si="101"/>
        <v>0</v>
      </c>
      <c r="BL20" s="245">
        <f t="shared" si="101"/>
        <v>0</v>
      </c>
      <c r="BM20" s="245">
        <f t="shared" si="101"/>
        <v>0</v>
      </c>
      <c r="BN20" s="245">
        <f t="shared" si="101"/>
        <v>0</v>
      </c>
      <c r="BO20" s="245">
        <f t="shared" si="101"/>
        <v>0</v>
      </c>
      <c r="BP20" s="245">
        <f t="shared" si="101"/>
        <v>0</v>
      </c>
      <c r="BQ20" s="40">
        <f t="shared" si="101"/>
        <v>0</v>
      </c>
      <c r="BR20" s="246">
        <f t="shared" si="101"/>
        <v>0</v>
      </c>
      <c r="BS20" s="245">
        <f t="shared" si="101"/>
        <v>0</v>
      </c>
      <c r="BT20" s="245">
        <f t="shared" si="101"/>
        <v>0</v>
      </c>
      <c r="BU20" s="245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6" t="s">
        <v>342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52">
        <f t="shared" si="119"/>
        <v>0</v>
      </c>
      <c r="CL20" s="55">
        <f t="shared" si="120"/>
        <v>0</v>
      </c>
      <c r="CN20" s="66" t="s">
        <v>342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52">
        <f t="shared" si="132"/>
        <v>0</v>
      </c>
      <c r="DA20" s="62" t="e">
        <f t="shared" si="133"/>
        <v>#DIV/0!</v>
      </c>
      <c r="DC20" s="66" t="s">
        <v>342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343</v>
      </c>
      <c r="B21" s="38">
        <f>targets!AW22</f>
        <v>0</v>
      </c>
      <c r="C21" s="245">
        <f>targets!AX22</f>
        <v>0</v>
      </c>
      <c r="D21" s="245">
        <f>targets!AY22</f>
        <v>0</v>
      </c>
      <c r="E21" s="245">
        <f>targets!AZ22</f>
        <v>0</v>
      </c>
      <c r="F21" s="245">
        <f>targets!BA22</f>
        <v>0</v>
      </c>
      <c r="G21" s="245">
        <f>SUM(targets!BB22:BG22)</f>
        <v>0</v>
      </c>
      <c r="H21" s="41">
        <f>SUM(targets!BH22:BM22)</f>
        <v>29112.108912063391</v>
      </c>
      <c r="I21" s="246">
        <f t="shared" si="20"/>
        <v>29112.108912063391</v>
      </c>
      <c r="J21" s="245">
        <f>targets!BN22</f>
        <v>0</v>
      </c>
      <c r="K21" s="245">
        <f>targets!BO22</f>
        <v>0</v>
      </c>
      <c r="L21" s="245">
        <f>targets!BP22</f>
        <v>0</v>
      </c>
      <c r="M21" s="178">
        <f t="shared" si="21"/>
        <v>0</v>
      </c>
      <c r="N21" s="17">
        <f t="shared" si="22"/>
        <v>29112.108912063391</v>
      </c>
      <c r="O21" s="17"/>
      <c r="P21" s="17"/>
      <c r="Q21" s="64" t="s">
        <v>343</v>
      </c>
      <c r="R21" s="38">
        <f t="shared" si="23"/>
        <v>0</v>
      </c>
      <c r="S21" s="245">
        <f t="shared" si="0"/>
        <v>0</v>
      </c>
      <c r="T21" s="245">
        <f t="shared" si="1"/>
        <v>0</v>
      </c>
      <c r="U21" s="245">
        <f t="shared" si="2"/>
        <v>0</v>
      </c>
      <c r="V21" s="245">
        <f t="shared" si="3"/>
        <v>0</v>
      </c>
      <c r="W21" s="245">
        <f t="shared" si="4"/>
        <v>0</v>
      </c>
      <c r="X21" s="41">
        <f t="shared" si="5"/>
        <v>0</v>
      </c>
      <c r="Y21" s="246">
        <f t="shared" si="24"/>
        <v>0</v>
      </c>
      <c r="Z21" s="245">
        <f t="shared" si="6"/>
        <v>0</v>
      </c>
      <c r="AA21" s="245">
        <f t="shared" si="7"/>
        <v>0</v>
      </c>
      <c r="AB21" s="245">
        <f t="shared" si="8"/>
        <v>0</v>
      </c>
      <c r="AC21" s="178">
        <f t="shared" si="74"/>
        <v>0</v>
      </c>
      <c r="AD21" s="17">
        <f t="shared" si="25"/>
        <v>0</v>
      </c>
      <c r="AF21" s="64" t="s">
        <v>52</v>
      </c>
      <c r="AG21" s="38">
        <f t="array" ref="AG21">SUM(IF((modeldata!$F:$F=calibration!$AF$2)*(modeldata!$G:$G=calibration!AG$4)*(modeldata!$H:$H=calibration!$AF21),modeldata!$E:$E,0))</f>
        <v>0</v>
      </c>
      <c r="AH21" s="245">
        <f t="array" ref="AH21">SUM(IF((modeldata!$F:$F=calibration!$AF$2)*(modeldata!$G:$G=calibration!AH$4)*(modeldata!$H:$H=calibration!$AF21),modeldata!$E:$E,0))</f>
        <v>0</v>
      </c>
      <c r="AI21" s="245">
        <f t="array" ref="AI21">SUM(IF((modeldata!$F:$F=calibration!$AF$2)*(modeldata!$G:$G=calibration!AI$4)*(modeldata!$H:$H=calibration!$AF21),modeldata!$E:$E,0))</f>
        <v>0</v>
      </c>
      <c r="AJ21" s="245">
        <f t="array" ref="AJ21">SUM(IF((modeldata!$F:$F=calibration!$AF$2)*(modeldata!$G:$G=calibration!AJ$4)*(modeldata!$H:$H=calibration!$AF21),modeldata!$E:$E,0))</f>
        <v>0</v>
      </c>
      <c r="AK21" s="245">
        <f t="array" ref="AK21">SUM(IF((modeldata!$F:$F=calibration!$AF$2)*(modeldata!$G:$G=calibration!AK$4)*(modeldata!$H:$H=calibration!$AF21),modeldata!$E:$E,0))</f>
        <v>0</v>
      </c>
      <c r="AL21" s="245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6"/>
      <c r="AO21" s="245">
        <f t="array" ref="AO21">SUM(IF((modeldata!$F:$F=calibration!$AF$2)*(modeldata!$G:$G=calibration!AO$4)*(modeldata!$H:$H=calibration!$AF21),modeldata!$E:$E,0))</f>
        <v>0</v>
      </c>
      <c r="AP21" s="245">
        <f t="array" ref="AP21">SUM(IF((modeldata!$F:$F=calibration!$AF$2)*(modeldata!$G:$G=calibration!AP$4)*(modeldata!$H:$H=calibration!$AF21),modeldata!$E:$E,0))</f>
        <v>0</v>
      </c>
      <c r="AQ21" s="245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343</v>
      </c>
      <c r="AV21" s="38">
        <f t="shared" ref="AV21:BG21" si="160">IF(R25&gt;0,R21/R25,0)</f>
        <v>0</v>
      </c>
      <c r="AW21" s="245">
        <f t="shared" si="160"/>
        <v>0</v>
      </c>
      <c r="AX21" s="245">
        <f t="shared" si="160"/>
        <v>0</v>
      </c>
      <c r="AY21" s="245">
        <f t="shared" si="160"/>
        <v>0</v>
      </c>
      <c r="AZ21" s="245">
        <f t="shared" si="160"/>
        <v>0</v>
      </c>
      <c r="BA21" s="245">
        <f t="shared" si="160"/>
        <v>0</v>
      </c>
      <c r="BB21" s="41">
        <f t="shared" si="160"/>
        <v>0</v>
      </c>
      <c r="BC21" s="246">
        <f t="shared" si="160"/>
        <v>0</v>
      </c>
      <c r="BD21" s="245">
        <f t="shared" si="160"/>
        <v>0</v>
      </c>
      <c r="BE21" s="245">
        <f t="shared" si="160"/>
        <v>0</v>
      </c>
      <c r="BF21" s="245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343</v>
      </c>
      <c r="BK21" s="38">
        <f t="shared" ref="BK21:BV21" si="161">IF(AG25&gt;0,AG21/AG25,0)</f>
        <v>0</v>
      </c>
      <c r="BL21" s="245">
        <f t="shared" si="161"/>
        <v>0</v>
      </c>
      <c r="BM21" s="245">
        <f t="shared" si="161"/>
        <v>0</v>
      </c>
      <c r="BN21" s="245">
        <f t="shared" si="161"/>
        <v>0</v>
      </c>
      <c r="BO21" s="245">
        <f t="shared" si="161"/>
        <v>0</v>
      </c>
      <c r="BP21" s="245">
        <f t="shared" si="161"/>
        <v>0</v>
      </c>
      <c r="BQ21" s="41">
        <f t="shared" si="161"/>
        <v>0</v>
      </c>
      <c r="BR21" s="246">
        <f t="shared" si="161"/>
        <v>0</v>
      </c>
      <c r="BS21" s="245">
        <f t="shared" si="161"/>
        <v>0</v>
      </c>
      <c r="BT21" s="245">
        <f t="shared" si="161"/>
        <v>0</v>
      </c>
      <c r="BU21" s="245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343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52">
        <f t="shared" si="40"/>
        <v>0</v>
      </c>
      <c r="CL21" s="55">
        <f t="shared" si="41"/>
        <v>0</v>
      </c>
      <c r="CN21" s="64" t="s">
        <v>343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52">
        <f t="shared" si="47"/>
        <v>0</v>
      </c>
      <c r="DA21" s="62" t="e">
        <f t="shared" si="48"/>
        <v>#DIV/0!</v>
      </c>
      <c r="DC21" s="64" t="s">
        <v>343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64" t="s">
        <v>6</v>
      </c>
      <c r="B22" s="38">
        <f>targets!AW23</f>
        <v>0</v>
      </c>
      <c r="C22" s="245">
        <f>targets!AX23</f>
        <v>0</v>
      </c>
      <c r="D22" s="245">
        <f>targets!AY23</f>
        <v>0</v>
      </c>
      <c r="E22" s="245">
        <f>targets!AZ23</f>
        <v>0</v>
      </c>
      <c r="F22" s="245">
        <f>targets!BA23</f>
        <v>0</v>
      </c>
      <c r="G22" s="245">
        <f>SUM(targets!BB23:BG23)</f>
        <v>0</v>
      </c>
      <c r="H22" s="245">
        <f>SUM(targets!BH23:BM23)</f>
        <v>0</v>
      </c>
      <c r="I22" s="246">
        <f t="shared" si="20"/>
        <v>0</v>
      </c>
      <c r="J22" s="245">
        <f>targets!BN23</f>
        <v>2612.5379647126979</v>
      </c>
      <c r="K22" s="245">
        <f>targets!BO23</f>
        <v>277.16099528356739</v>
      </c>
      <c r="L22" s="245">
        <f>targets!BP23</f>
        <v>0</v>
      </c>
      <c r="M22" s="178">
        <f t="shared" si="21"/>
        <v>2889.6989599962653</v>
      </c>
      <c r="N22" s="17">
        <f t="shared" si="22"/>
        <v>2889.6989599962653</v>
      </c>
      <c r="O22" s="17"/>
      <c r="P22" s="17"/>
      <c r="Q22" s="64" t="s">
        <v>6</v>
      </c>
      <c r="R22" s="38">
        <f t="shared" si="23"/>
        <v>0</v>
      </c>
      <c r="S22" s="245">
        <f t="shared" si="0"/>
        <v>0</v>
      </c>
      <c r="T22" s="245">
        <f t="shared" si="1"/>
        <v>0</v>
      </c>
      <c r="U22" s="245">
        <f t="shared" si="2"/>
        <v>0</v>
      </c>
      <c r="V22" s="245">
        <f t="shared" si="3"/>
        <v>0</v>
      </c>
      <c r="W22" s="245">
        <f t="shared" si="4"/>
        <v>0</v>
      </c>
      <c r="X22" s="245">
        <f t="shared" si="5"/>
        <v>0</v>
      </c>
      <c r="Y22" s="246">
        <f t="shared" si="24"/>
        <v>0</v>
      </c>
      <c r="Z22" s="245">
        <f t="shared" si="6"/>
        <v>0</v>
      </c>
      <c r="AA22" s="245">
        <f t="shared" si="7"/>
        <v>0</v>
      </c>
      <c r="AB22" s="245">
        <f t="shared" si="8"/>
        <v>0</v>
      </c>
      <c r="AC22" s="178">
        <f t="shared" si="74"/>
        <v>0</v>
      </c>
      <c r="AD22" s="17">
        <f t="shared" si="25"/>
        <v>0</v>
      </c>
      <c r="AF22" s="64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5">
        <f t="array" ref="AH22">SUM(IF((modeldata!$F:$F=calibration!$AF$2)*(modeldata!$G:$G=calibration!AH$4)*(modeldata!$H:$H=calibration!$AF22),modeldata!$E:$E,0))</f>
        <v>0</v>
      </c>
      <c r="AI22" s="245">
        <f t="array" ref="AI22">SUM(IF((modeldata!$F:$F=calibration!$AF$2)*(modeldata!$G:$G=calibration!AI$4)*(modeldata!$H:$H=calibration!$AF22),modeldata!$E:$E,0))</f>
        <v>0</v>
      </c>
      <c r="AJ22" s="245">
        <f t="array" ref="AJ22">SUM(IF((modeldata!$F:$F=calibration!$AF$2)*(modeldata!$G:$G=calibration!AJ$4)*(modeldata!$H:$H=calibration!$AF22),modeldata!$E:$E,0))</f>
        <v>0</v>
      </c>
      <c r="AK22" s="245">
        <f t="array" ref="AK22">SUM(IF((modeldata!$F:$F=calibration!$AF$2)*(modeldata!$G:$G=calibration!AK$4)*(modeldata!$H:$H=calibration!$AF22),modeldata!$E:$E,0))</f>
        <v>0</v>
      </c>
      <c r="AL22" s="245">
        <f t="array" ref="AL22">SUM(IF((modeldata!$F:$F=calibration!$AF$2)*(modeldata!$G:$G=calibration!AL$4)*(modeldata!$H:$H=calibration!$AF22),modeldata!$E:$E,0))</f>
        <v>0</v>
      </c>
      <c r="AM22" s="245">
        <f t="array" ref="AM22">SUM(IF((modeldata!$F:$F=calibration!$AF$2)*(modeldata!$G:$G=calibration!AM$4)*(modeldata!$H:$H=calibration!$AF22),modeldata!$E:$E,0))</f>
        <v>0</v>
      </c>
      <c r="AN22" s="246"/>
      <c r="AO22" s="245">
        <f t="array" ref="AO22">SUM(IF((modeldata!$F:$F=calibration!$AF$2)*(modeldata!$G:$G=calibration!AO$4)*(modeldata!$H:$H=calibration!$AF22),modeldata!$E:$E,0))</f>
        <v>0</v>
      </c>
      <c r="AP22" s="245">
        <f t="array" ref="AP22">SUM(IF((modeldata!$F:$F=calibration!$AF$2)*(modeldata!$G:$G=calibration!AP$4)*(modeldata!$H:$H=calibration!$AF22),modeldata!$E:$E,0))</f>
        <v>0</v>
      </c>
      <c r="AQ22" s="245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64" t="s">
        <v>6</v>
      </c>
      <c r="AV22" s="38">
        <f t="shared" ref="AV22:BG22" si="162">IF(R25&gt;0,R22/R25,0)</f>
        <v>0</v>
      </c>
      <c r="AW22" s="245">
        <f t="shared" si="162"/>
        <v>0</v>
      </c>
      <c r="AX22" s="245">
        <f t="shared" si="162"/>
        <v>0</v>
      </c>
      <c r="AY22" s="245">
        <f t="shared" si="162"/>
        <v>0</v>
      </c>
      <c r="AZ22" s="245">
        <f t="shared" si="162"/>
        <v>0</v>
      </c>
      <c r="BA22" s="245">
        <f t="shared" si="162"/>
        <v>0</v>
      </c>
      <c r="BB22" s="245">
        <f t="shared" si="162"/>
        <v>0</v>
      </c>
      <c r="BC22" s="246">
        <f t="shared" si="162"/>
        <v>0</v>
      </c>
      <c r="BD22" s="245">
        <f t="shared" si="162"/>
        <v>0</v>
      </c>
      <c r="BE22" s="245">
        <f t="shared" si="162"/>
        <v>0</v>
      </c>
      <c r="BF22" s="245">
        <f t="shared" si="162"/>
        <v>0</v>
      </c>
      <c r="BG22" s="178">
        <f t="shared" si="162"/>
        <v>0</v>
      </c>
      <c r="BH22" s="24" t="e">
        <f>AD22/AD25</f>
        <v>#DIV/0!</v>
      </c>
      <c r="BJ22" s="64" t="s">
        <v>6</v>
      </c>
      <c r="BK22" s="38">
        <f t="shared" ref="BK22:BV22" si="163">IF(AG25&gt;0,AG22/AG25,0)</f>
        <v>0</v>
      </c>
      <c r="BL22" s="245">
        <f t="shared" si="163"/>
        <v>0</v>
      </c>
      <c r="BM22" s="245">
        <f t="shared" si="163"/>
        <v>0</v>
      </c>
      <c r="BN22" s="245">
        <f t="shared" si="163"/>
        <v>0</v>
      </c>
      <c r="BO22" s="245">
        <f t="shared" si="163"/>
        <v>0</v>
      </c>
      <c r="BP22" s="245">
        <f t="shared" si="163"/>
        <v>0</v>
      </c>
      <c r="BQ22" s="245">
        <f t="shared" si="163"/>
        <v>0</v>
      </c>
      <c r="BR22" s="246">
        <f t="shared" si="163"/>
        <v>0</v>
      </c>
      <c r="BS22" s="245">
        <f t="shared" si="163"/>
        <v>0</v>
      </c>
      <c r="BT22" s="245">
        <f t="shared" si="163"/>
        <v>0</v>
      </c>
      <c r="BU22" s="245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64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52">
        <f t="shared" si="40"/>
        <v>0</v>
      </c>
      <c r="CL22" s="55">
        <f t="shared" si="41"/>
        <v>0</v>
      </c>
      <c r="CN22" s="64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52">
        <f t="shared" si="47"/>
        <v>0</v>
      </c>
      <c r="DA22" s="62" t="e">
        <f t="shared" si="48"/>
        <v>#DIV/0!</v>
      </c>
      <c r="DC22" s="64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64" t="s">
        <v>344</v>
      </c>
      <c r="B23" s="38">
        <f>targets!AW24</f>
        <v>0</v>
      </c>
      <c r="C23" s="245">
        <f>targets!AX24</f>
        <v>0</v>
      </c>
      <c r="D23" s="245">
        <f>targets!AY24</f>
        <v>0</v>
      </c>
      <c r="E23" s="245">
        <f>targets!AZ24</f>
        <v>0</v>
      </c>
      <c r="F23" s="245">
        <f>targets!BA24</f>
        <v>0</v>
      </c>
      <c r="G23" s="245">
        <f>SUM(targets!BB24:BG24)</f>
        <v>23106.010655831058</v>
      </c>
      <c r="H23" s="245">
        <f>SUM(targets!BH24:BM24)</f>
        <v>882.76232893888823</v>
      </c>
      <c r="I23" s="246">
        <f t="shared" si="20"/>
        <v>23988.772984769945</v>
      </c>
      <c r="J23" s="245">
        <f>targets!BN24</f>
        <v>0</v>
      </c>
      <c r="K23" s="245">
        <f>targets!BO24</f>
        <v>25844.986047766939</v>
      </c>
      <c r="L23" s="245">
        <f>targets!BP24</f>
        <v>2063.8097361151208</v>
      </c>
      <c r="M23" s="178">
        <f t="shared" si="21"/>
        <v>27908.795783882058</v>
      </c>
      <c r="N23" s="17">
        <f t="shared" si="22"/>
        <v>51897.568768652003</v>
      </c>
      <c r="O23" s="17"/>
      <c r="P23" s="17"/>
      <c r="Q23" s="64" t="s">
        <v>344</v>
      </c>
      <c r="R23" s="38">
        <f t="shared" si="23"/>
        <v>0</v>
      </c>
      <c r="S23" s="245">
        <f t="shared" si="0"/>
        <v>0</v>
      </c>
      <c r="T23" s="245">
        <f t="shared" si="1"/>
        <v>0</v>
      </c>
      <c r="U23" s="245">
        <f t="shared" si="2"/>
        <v>0</v>
      </c>
      <c r="V23" s="245">
        <f t="shared" si="3"/>
        <v>0</v>
      </c>
      <c r="W23" s="245">
        <f t="shared" si="4"/>
        <v>0</v>
      </c>
      <c r="X23" s="245">
        <f t="shared" si="5"/>
        <v>0</v>
      </c>
      <c r="Y23" s="246">
        <f t="shared" si="24"/>
        <v>0</v>
      </c>
      <c r="Z23" s="245">
        <f t="shared" si="6"/>
        <v>0</v>
      </c>
      <c r="AA23" s="245">
        <f t="shared" si="7"/>
        <v>0</v>
      </c>
      <c r="AB23" s="245">
        <f t="shared" si="8"/>
        <v>0</v>
      </c>
      <c r="AC23" s="178">
        <f t="shared" si="74"/>
        <v>0</v>
      </c>
      <c r="AD23" s="17">
        <f t="shared" si="25"/>
        <v>0</v>
      </c>
      <c r="AF23" s="64" t="s">
        <v>344</v>
      </c>
      <c r="AG23" s="38">
        <f t="array" ref="AG23">SUM(IF((modeldata!$F:$F=calibration!$AF$2)*(modeldata!$G:$G=calibration!AG$4)*(modeldata!$H:$H=calibration!$AF23),modeldata!$E:$E,0))</f>
        <v>0</v>
      </c>
      <c r="AH23" s="245">
        <f t="array" ref="AH23">SUM(IF((modeldata!$F:$F=calibration!$AF$2)*(modeldata!$G:$G=calibration!AH$4)*(modeldata!$H:$H=calibration!$AF23),modeldata!$E:$E,0))</f>
        <v>0</v>
      </c>
      <c r="AI23" s="245">
        <f t="array" ref="AI23">SUM(IF((modeldata!$F:$F=calibration!$AF$2)*(modeldata!$G:$G=calibration!AI$4)*(modeldata!$H:$H=calibration!$AF23),modeldata!$E:$E,0))</f>
        <v>0</v>
      </c>
      <c r="AJ23" s="245">
        <f t="array" ref="AJ23">SUM(IF((modeldata!$F:$F=calibration!$AF$2)*(modeldata!$G:$G=calibration!AJ$4)*(modeldata!$H:$H=calibration!$AF23),modeldata!$E:$E,0))</f>
        <v>0</v>
      </c>
      <c r="AK23" s="245">
        <f t="array" ref="AK23">SUM(IF((modeldata!$F:$F=calibration!$AF$2)*(modeldata!$G:$G=calibration!AK$4)*(modeldata!$H:$H=calibration!$AF23),modeldata!$E:$E,0))</f>
        <v>0</v>
      </c>
      <c r="AL23" s="245">
        <f t="array" ref="AL23">SUM(IF((modeldata!$F:$F=calibration!$AF$2)*(modeldata!$G:$G=calibration!AL$4)*(modeldata!$H:$H=calibration!$AF23),modeldata!$E:$E,0))</f>
        <v>0</v>
      </c>
      <c r="AM23" s="245">
        <f t="array" ref="AM23">SUM(IF((modeldata!$F:$F=calibration!$AF$2)*(modeldata!$G:$G=calibration!AM$4)*(modeldata!$H:$H=calibration!$AF23),modeldata!$E:$E,0))</f>
        <v>0</v>
      </c>
      <c r="AN23" s="246"/>
      <c r="AO23" s="245">
        <f t="array" ref="AO23">SUM(IF((modeldata!$F:$F=calibration!$AF$2)*(modeldata!$G:$G=calibration!AO$4)*(modeldata!$H:$H=calibration!$AF23),modeldata!$E:$E,0))</f>
        <v>0</v>
      </c>
      <c r="AP23" s="245">
        <f t="array" ref="AP23">SUM(IF((modeldata!$F:$F=calibration!$AF$2)*(modeldata!$G:$G=calibration!AP$4)*(modeldata!$H:$H=calibration!$AF23),modeldata!$E:$E,0))</f>
        <v>0</v>
      </c>
      <c r="AQ23" s="245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64" t="s">
        <v>344</v>
      </c>
      <c r="AV23" s="38">
        <f t="shared" ref="AV23:BG23" si="164">IF(R25&gt;0,R23/R25,0)</f>
        <v>0</v>
      </c>
      <c r="AW23" s="245">
        <f t="shared" si="164"/>
        <v>0</v>
      </c>
      <c r="AX23" s="245">
        <f t="shared" si="164"/>
        <v>0</v>
      </c>
      <c r="AY23" s="245">
        <f t="shared" si="164"/>
        <v>0</v>
      </c>
      <c r="AZ23" s="245">
        <f t="shared" si="164"/>
        <v>0</v>
      </c>
      <c r="BA23" s="245">
        <f t="shared" si="164"/>
        <v>0</v>
      </c>
      <c r="BB23" s="245">
        <f t="shared" si="164"/>
        <v>0</v>
      </c>
      <c r="BC23" s="246">
        <f t="shared" si="164"/>
        <v>0</v>
      </c>
      <c r="BD23" s="245">
        <f t="shared" si="164"/>
        <v>0</v>
      </c>
      <c r="BE23" s="245">
        <f t="shared" si="164"/>
        <v>0</v>
      </c>
      <c r="BF23" s="245">
        <f t="shared" si="164"/>
        <v>0</v>
      </c>
      <c r="BG23" s="178">
        <f t="shared" si="164"/>
        <v>0</v>
      </c>
      <c r="BH23" s="24" t="e">
        <f>AD23/AD25</f>
        <v>#DIV/0!</v>
      </c>
      <c r="BJ23" s="64" t="s">
        <v>344</v>
      </c>
      <c r="BK23" s="38">
        <f t="shared" ref="BK23:BV23" si="165">IF(AG25&gt;0,AG23/AG25,0)</f>
        <v>0</v>
      </c>
      <c r="BL23" s="245">
        <f t="shared" si="165"/>
        <v>0</v>
      </c>
      <c r="BM23" s="245">
        <f t="shared" si="165"/>
        <v>0</v>
      </c>
      <c r="BN23" s="245">
        <f t="shared" si="165"/>
        <v>0</v>
      </c>
      <c r="BO23" s="245">
        <f t="shared" si="165"/>
        <v>0</v>
      </c>
      <c r="BP23" s="245">
        <f t="shared" si="165"/>
        <v>0</v>
      </c>
      <c r="BQ23" s="245">
        <f t="shared" si="165"/>
        <v>0</v>
      </c>
      <c r="BR23" s="246">
        <f t="shared" si="165"/>
        <v>0</v>
      </c>
      <c r="BS23" s="245">
        <f t="shared" si="165"/>
        <v>0</v>
      </c>
      <c r="BT23" s="245">
        <f t="shared" si="165"/>
        <v>0</v>
      </c>
      <c r="BU23" s="245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64" t="s">
        <v>344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52">
        <f t="shared" si="174"/>
        <v>0</v>
      </c>
      <c r="CL23" s="55">
        <f t="shared" ref="CL23:CL25" si="175">AS23-AD23</f>
        <v>0</v>
      </c>
      <c r="CN23" s="64" t="s">
        <v>344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52">
        <f t="shared" si="47"/>
        <v>0</v>
      </c>
      <c r="DA23" s="62" t="e">
        <f t="shared" si="48"/>
        <v>#DIV/0!</v>
      </c>
      <c r="DC23" s="64" t="s">
        <v>344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345</v>
      </c>
      <c r="B24" s="42">
        <f>targets!AW25</f>
        <v>0</v>
      </c>
      <c r="C24" s="43">
        <f>targets!AX25</f>
        <v>0</v>
      </c>
      <c r="D24" s="43">
        <f>targets!AY25</f>
        <v>0</v>
      </c>
      <c r="E24" s="43">
        <f>targets!AZ25</f>
        <v>0</v>
      </c>
      <c r="F24" s="43">
        <f>targets!BA25</f>
        <v>0</v>
      </c>
      <c r="G24" s="43">
        <f>SUM(targets!BB25:BG25)</f>
        <v>1251.0530374056896</v>
      </c>
      <c r="H24" s="43">
        <f>SUM(targets!BH25:BM25)</f>
        <v>0</v>
      </c>
      <c r="I24" s="75">
        <f t="shared" si="20"/>
        <v>1251.0530374056896</v>
      </c>
      <c r="J24" s="43">
        <f>targets!BN25</f>
        <v>0</v>
      </c>
      <c r="K24" s="43">
        <f>targets!BO25</f>
        <v>0</v>
      </c>
      <c r="L24" s="43">
        <f>targets!BP25</f>
        <v>1911.9560524354401</v>
      </c>
      <c r="M24" s="247">
        <f t="shared" si="21"/>
        <v>1911.9560524354401</v>
      </c>
      <c r="N24" s="17">
        <f t="shared" si="22"/>
        <v>3163.0090898411299</v>
      </c>
      <c r="O24" s="17"/>
      <c r="P24" s="17"/>
      <c r="Q24" s="2" t="s">
        <v>345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7">
        <f t="shared" si="74"/>
        <v>0</v>
      </c>
      <c r="AD24" s="17">
        <f t="shared" si="25"/>
        <v>0</v>
      </c>
      <c r="AF24" s="2" t="s">
        <v>345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7">
        <f t="shared" ref="AR24" si="176">SUM(AO24:AQ24)</f>
        <v>0</v>
      </c>
      <c r="AS24" s="17">
        <f t="shared" si="27"/>
        <v>0</v>
      </c>
      <c r="AU24" s="2" t="s">
        <v>345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7">
        <f t="shared" si="177"/>
        <v>0</v>
      </c>
      <c r="BH24" s="24" t="e">
        <f>AD24/AD25</f>
        <v>#DIV/0!</v>
      </c>
      <c r="BJ24" s="2" t="s">
        <v>345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7">
        <f t="shared" si="178"/>
        <v>0</v>
      </c>
      <c r="BW24" s="24" t="e">
        <f>AS24/AS25</f>
        <v>#DIV/0!</v>
      </c>
      <c r="BX24" s="24"/>
      <c r="BY24" s="2" t="s">
        <v>345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3">
        <f t="shared" si="174"/>
        <v>0</v>
      </c>
      <c r="CL24" s="55">
        <f t="shared" si="175"/>
        <v>0</v>
      </c>
      <c r="CN24" s="2" t="s">
        <v>345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3">
        <f t="shared" si="47"/>
        <v>0</v>
      </c>
      <c r="DA24" s="62" t="e">
        <f t="shared" si="48"/>
        <v>#DIV/0!</v>
      </c>
      <c r="DC24" s="2" t="s">
        <v>345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3240856.793976095</v>
      </c>
      <c r="C25" s="17">
        <f t="shared" si="179"/>
        <v>1141014.3966957971</v>
      </c>
      <c r="D25" s="17">
        <f t="shared" si="179"/>
        <v>552735.78758980741</v>
      </c>
      <c r="E25" s="17">
        <f t="shared" si="179"/>
        <v>186572.27942932682</v>
      </c>
      <c r="F25" s="17">
        <f t="shared" si="179"/>
        <v>134254.04830269946</v>
      </c>
      <c r="G25" s="17">
        <f t="shared" si="179"/>
        <v>598729.45138351072</v>
      </c>
      <c r="H25" s="17">
        <f t="shared" si="179"/>
        <v>122797.11628081829</v>
      </c>
      <c r="I25" s="72">
        <f t="shared" si="179"/>
        <v>721526.56766432896</v>
      </c>
      <c r="J25" s="17">
        <f t="shared" si="179"/>
        <v>3595.0031788729784</v>
      </c>
      <c r="K25" s="17">
        <f t="shared" si="179"/>
        <v>33730.203466460327</v>
      </c>
      <c r="L25" s="17">
        <f t="shared" si="179"/>
        <v>4229.9819460967392</v>
      </c>
      <c r="M25" s="72">
        <f t="shared" si="179"/>
        <v>41555.188591430044</v>
      </c>
      <c r="N25" s="17">
        <f>SUM(B25:L25)-I25</f>
        <v>6018515.0622494845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targets!AW30</f>
        <v>26800.839105878131</v>
      </c>
      <c r="C31" s="37">
        <f>targets!AX30</f>
        <v>461.36451148080528</v>
      </c>
      <c r="D31" s="37">
        <f>targets!AY30</f>
        <v>0</v>
      </c>
      <c r="E31" s="37">
        <f>targets!AZ30</f>
        <v>0</v>
      </c>
      <c r="F31" s="37">
        <f>targets!BA30</f>
        <v>0</v>
      </c>
      <c r="G31" s="37">
        <f>SUM(targets!BB30:BH30)</f>
        <v>0</v>
      </c>
      <c r="H31" s="37">
        <f>SUM(targets!BH30:BM30)</f>
        <v>0</v>
      </c>
      <c r="I31" s="74">
        <f>SUM(G31:H31)</f>
        <v>0</v>
      </c>
      <c r="J31" s="37">
        <f>targets!BN30</f>
        <v>0</v>
      </c>
      <c r="K31" s="37">
        <f>targets!BO30</f>
        <v>0</v>
      </c>
      <c r="L31" s="37">
        <f>targets!BP30</f>
        <v>0</v>
      </c>
      <c r="M31" s="177">
        <f>SUM(J31:L31)</f>
        <v>0</v>
      </c>
      <c r="N31" s="17">
        <f>SUM(B31:L31)-I31</f>
        <v>27262.203617358937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 t="e">
        <f t="shared" ref="Z31:Z50" si="191">J31*(AO$51/J$51)</f>
        <v>#DIV/0!</v>
      </c>
      <c r="AA31" s="37" t="e">
        <f t="shared" ref="AA31:AA50" si="192">K31*(AP$51/K$51)</f>
        <v>#DIV/0!</v>
      </c>
      <c r="AB31" s="37" t="e">
        <f t="shared" ref="AB31:AB50" si="193">L31*(AQ$51/L$51)</f>
        <v>#DIV/0!</v>
      </c>
      <c r="AC31" s="177" t="e">
        <f>SUM(Z31:AB31)</f>
        <v>#DIV/0!</v>
      </c>
      <c r="AD31" s="17" t="e">
        <f>SUM(R31:AB31)-Y31</f>
        <v>#DIV/0!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4">IF(R51&gt;0,R31/R51,0)</f>
        <v>0</v>
      </c>
      <c r="AW31" s="37">
        <f t="shared" si="194"/>
        <v>0</v>
      </c>
      <c r="AX31" s="37">
        <f t="shared" si="194"/>
        <v>0</v>
      </c>
      <c r="AY31" s="37">
        <f t="shared" si="194"/>
        <v>0</v>
      </c>
      <c r="AZ31" s="37">
        <f t="shared" si="194"/>
        <v>0</v>
      </c>
      <c r="BA31" s="37">
        <f t="shared" si="194"/>
        <v>0</v>
      </c>
      <c r="BB31" s="37">
        <f t="shared" si="194"/>
        <v>0</v>
      </c>
      <c r="BC31" s="74">
        <f t="shared" si="194"/>
        <v>0</v>
      </c>
      <c r="BD31" s="37" t="e">
        <f t="shared" si="194"/>
        <v>#DIV/0!</v>
      </c>
      <c r="BE31" s="37" t="e">
        <f t="shared" si="194"/>
        <v>#DIV/0!</v>
      </c>
      <c r="BF31" s="37" t="e">
        <f t="shared" si="194"/>
        <v>#DIV/0!</v>
      </c>
      <c r="BG31" s="177" t="e">
        <f t="shared" si="194"/>
        <v>#DIV/0!</v>
      </c>
      <c r="BH31" s="24" t="e">
        <f>AD31/AD51</f>
        <v>#DIV/0!</v>
      </c>
      <c r="BJ31" s="66" t="s">
        <v>4</v>
      </c>
      <c r="BK31" s="36">
        <f t="shared" ref="BK31:BV31" si="195">IF(AG51&gt;0,AG31/AG51,0)</f>
        <v>0</v>
      </c>
      <c r="BL31" s="37">
        <f t="shared" si="195"/>
        <v>0</v>
      </c>
      <c r="BM31" s="37">
        <f t="shared" si="195"/>
        <v>0</v>
      </c>
      <c r="BN31" s="37">
        <f t="shared" si="195"/>
        <v>0</v>
      </c>
      <c r="BO31" s="37">
        <f t="shared" si="195"/>
        <v>0</v>
      </c>
      <c r="BP31" s="37">
        <f t="shared" si="195"/>
        <v>0</v>
      </c>
      <c r="BQ31" s="37">
        <f t="shared" si="195"/>
        <v>0</v>
      </c>
      <c r="BR31" s="74">
        <f t="shared" si="195"/>
        <v>0</v>
      </c>
      <c r="BS31" s="37">
        <f t="shared" si="195"/>
        <v>0</v>
      </c>
      <c r="BT31" s="37">
        <f t="shared" si="195"/>
        <v>0</v>
      </c>
      <c r="BU31" s="37">
        <f t="shared" si="195"/>
        <v>0</v>
      </c>
      <c r="BV31" s="177">
        <f t="shared" si="195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6">AH31-S31</f>
        <v>0</v>
      </c>
      <c r="CB31" s="53">
        <f t="shared" ref="CB31:CB51" si="197">AI31-T31</f>
        <v>0</v>
      </c>
      <c r="CC31" s="53">
        <f t="shared" ref="CC31:CC51" si="198">AJ31-U31</f>
        <v>0</v>
      </c>
      <c r="CD31" s="53">
        <f t="shared" ref="CD31:CD51" si="199">AK31-V31</f>
        <v>0</v>
      </c>
      <c r="CE31" s="53">
        <f t="shared" ref="CE31:CE51" si="200">AL31-W31</f>
        <v>0</v>
      </c>
      <c r="CF31" s="53">
        <f t="shared" ref="CF31:CF51" si="201">AM31-X31</f>
        <v>0</v>
      </c>
      <c r="CG31" s="248">
        <f t="shared" ref="CG31:CG46" si="202">AN31-Y31</f>
        <v>0</v>
      </c>
      <c r="CH31" s="53" t="e">
        <f t="shared" ref="CH31:CH51" si="203">AO31-Z31</f>
        <v>#DIV/0!</v>
      </c>
      <c r="CI31" s="53" t="e">
        <f t="shared" ref="CI31:CI51" si="204">AP31-AA31</f>
        <v>#DIV/0!</v>
      </c>
      <c r="CJ31" s="53" t="e">
        <f t="shared" ref="CJ31:CK51" si="205">AQ31-AB31</f>
        <v>#DIV/0!</v>
      </c>
      <c r="CK31" s="251" t="e">
        <f>AR31-AC31</f>
        <v>#DIV/0!</v>
      </c>
      <c r="CL31" s="55" t="e">
        <f t="shared" ref="CL31:CL51" si="206">AS31-AD31</f>
        <v>#DIV/0!</v>
      </c>
      <c r="CN31" s="66" t="s">
        <v>4</v>
      </c>
      <c r="CO31" s="58">
        <f>BK31-AV31</f>
        <v>0</v>
      </c>
      <c r="CP31" s="53">
        <f t="shared" ref="CP31:CP51" si="207">BL31-AW31</f>
        <v>0</v>
      </c>
      <c r="CQ31" s="53">
        <f t="shared" ref="CQ31:CQ51" si="208">BM31-AX31</f>
        <v>0</v>
      </c>
      <c r="CR31" s="53">
        <f t="shared" ref="CR31:CR51" si="209">BN31-AY31</f>
        <v>0</v>
      </c>
      <c r="CS31" s="53">
        <f t="shared" ref="CS31:CS51" si="210">BO31-AZ31</f>
        <v>0</v>
      </c>
      <c r="CT31" s="53">
        <f t="shared" ref="CT31:CT51" si="211">BP31-BA31</f>
        <v>0</v>
      </c>
      <c r="CU31" s="53">
        <f t="shared" ref="CU31:CU51" si="212">BQ31-BB31</f>
        <v>0</v>
      </c>
      <c r="CV31" s="248">
        <f t="shared" ref="CV31:CV51" si="213">BR31-BC31</f>
        <v>0</v>
      </c>
      <c r="CW31" s="53" t="e">
        <f t="shared" ref="CW31:CW51" si="214">BS31-BD31</f>
        <v>#DIV/0!</v>
      </c>
      <c r="CX31" s="53" t="e">
        <f t="shared" ref="CX31:CX51" si="215">BT31-BE31</f>
        <v>#DIV/0!</v>
      </c>
      <c r="CY31" s="53" t="e">
        <f t="shared" ref="CY31:CZ51" si="216">BU31-BF31</f>
        <v>#DIV/0!</v>
      </c>
      <c r="CZ31" s="251" t="e">
        <f>BV31-BG31</f>
        <v>#DIV/0!</v>
      </c>
      <c r="DA31" s="62" t="e">
        <f t="shared" ref="DA31:DA51" si="217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 t="e">
        <f>BD31</f>
        <v>#DIV/0!</v>
      </c>
      <c r="DU31" s="196">
        <f>BS31</f>
        <v>0</v>
      </c>
      <c r="DV31" s="195" t="e">
        <f>BE31</f>
        <v>#DIV/0!</v>
      </c>
      <c r="DW31" s="196">
        <f>BT31</f>
        <v>0</v>
      </c>
      <c r="DX31" s="195" t="e">
        <f>BF31</f>
        <v>#DIV/0!</v>
      </c>
      <c r="DY31" s="196">
        <f>BU31</f>
        <v>0</v>
      </c>
      <c r="DZ31" s="197" t="e">
        <f>BG31</f>
        <v>#DIV/0!</v>
      </c>
      <c r="EA31" s="196">
        <f t="shared" ref="EA31:EA50" si="218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targets!AW31</f>
        <v>0</v>
      </c>
      <c r="C32" s="36">
        <f>targets!AX31</f>
        <v>2926.0733995649916</v>
      </c>
      <c r="D32" s="245">
        <f>targets!AY31</f>
        <v>13.399293612167861</v>
      </c>
      <c r="E32" s="245">
        <f>targets!AZ31</f>
        <v>0</v>
      </c>
      <c r="F32" s="245">
        <f>targets!BA31</f>
        <v>0</v>
      </c>
      <c r="G32" s="245">
        <f>SUM(targets!BB31:BG31)</f>
        <v>1691.4306152470513</v>
      </c>
      <c r="H32" s="245">
        <f>SUM(targets!BH31:BM31)</f>
        <v>0</v>
      </c>
      <c r="I32" s="246">
        <f>SUM(G32:H32)</f>
        <v>1691.4306152470513</v>
      </c>
      <c r="J32" s="245">
        <f>targets!BN31</f>
        <v>0</v>
      </c>
      <c r="K32" s="245">
        <f>targets!BO31</f>
        <v>0</v>
      </c>
      <c r="L32" s="245">
        <f>targets!BP31</f>
        <v>0</v>
      </c>
      <c r="M32" s="178">
        <f>SUM(J32:L32)</f>
        <v>0</v>
      </c>
      <c r="N32" s="17">
        <f t="shared" ref="N32:N51" si="219">SUM(B32:L32)-I32</f>
        <v>4630.903308424211</v>
      </c>
      <c r="O32" s="17"/>
      <c r="P32" s="17"/>
      <c r="Q32" s="66" t="s">
        <v>41</v>
      </c>
      <c r="R32" s="38">
        <f t="shared" ref="R32:R50" si="220">B32*(AG$51/B$51)</f>
        <v>0</v>
      </c>
      <c r="S32" s="36">
        <f t="shared" si="185"/>
        <v>0</v>
      </c>
      <c r="T32" s="245">
        <f t="shared" si="186"/>
        <v>0</v>
      </c>
      <c r="U32" s="245">
        <f t="shared" si="187"/>
        <v>0</v>
      </c>
      <c r="V32" s="245">
        <f t="shared" si="188"/>
        <v>0</v>
      </c>
      <c r="W32" s="245">
        <f t="shared" si="189"/>
        <v>0</v>
      </c>
      <c r="X32" s="245">
        <f t="shared" si="190"/>
        <v>0</v>
      </c>
      <c r="Y32" s="246">
        <f t="shared" ref="Y32:Y50" si="221">SUM(W32:X32)</f>
        <v>0</v>
      </c>
      <c r="Z32" s="245" t="e">
        <f t="shared" si="191"/>
        <v>#DIV/0!</v>
      </c>
      <c r="AA32" s="245" t="e">
        <f t="shared" si="192"/>
        <v>#DIV/0!</v>
      </c>
      <c r="AB32" s="245" t="e">
        <f t="shared" si="193"/>
        <v>#DIV/0!</v>
      </c>
      <c r="AC32" s="178" t="e">
        <f>SUM(Z32:AB32)</f>
        <v>#DIV/0!</v>
      </c>
      <c r="AD32" s="17" t="e">
        <f t="shared" ref="AD32:AD51" si="222">SUM(R32:AB32)-Y32</f>
        <v>#DIV/0!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5">
        <f t="array" ref="AI32">SUM(IF((modeldata!$F:$F=calibration!$AF$28)*(modeldata!$G:$G=calibration!AI$30)*(modeldata!$H:$H=calibration!$AF32),modeldata!$E:$E,0))</f>
        <v>0</v>
      </c>
      <c r="AJ32" s="245">
        <f t="array" ref="AJ32">SUM(IF((modeldata!$F:$F=calibration!$AF$28)*(modeldata!$G:$G=calibration!AJ$30)*(modeldata!$H:$H=calibration!$AF32),modeldata!$E:$E,0))</f>
        <v>0</v>
      </c>
      <c r="AK32" s="245">
        <f t="array" ref="AK32">SUM(IF((modeldata!$F:$F=calibration!$AF$28)*(modeldata!$G:$G=calibration!AK$30)*(modeldata!$H:$H=calibration!$AF32),modeldata!$E:$E,0))</f>
        <v>0</v>
      </c>
      <c r="AL32" s="245">
        <f t="array" ref="AL32">SUM(IF((modeldata!$F:$F=calibration!$AF$28)*(modeldata!$G:$G=calibration!AL$30)*(modeldata!$H:$H=calibration!$AF32),modeldata!$E:$E,0))</f>
        <v>0</v>
      </c>
      <c r="AM32" s="245">
        <f t="array" ref="AM32">SUM(IF((modeldata!$F:$F=calibration!$AF$28)*(modeldata!$G:$G=calibration!AM$30)*(modeldata!$H:$H=calibration!$AF32),modeldata!$E:$E,0))</f>
        <v>0</v>
      </c>
      <c r="AN32" s="246">
        <f t="shared" ref="AN32:AN50" si="223">AL32+AM32</f>
        <v>0</v>
      </c>
      <c r="AO32" s="245">
        <f t="array" ref="AO32">SUM(IF((modeldata!$F:$F=calibration!$AF$28)*(modeldata!$G:$G=calibration!AO$30)*(modeldata!$H:$H=calibration!$AF32),modeldata!$E:$E,0))</f>
        <v>0</v>
      </c>
      <c r="AP32" s="245">
        <f t="array" ref="AP32">SUM(IF((modeldata!$F:$F=calibration!$AF$28)*(modeldata!$G:$G=calibration!AP$30)*(modeldata!$H:$H=calibration!$AF32),modeldata!$E:$E,0))</f>
        <v>0</v>
      </c>
      <c r="AQ32" s="245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4">SUM(AG32:AQ32)-AN32</f>
        <v>0</v>
      </c>
      <c r="AU32" s="66" t="s">
        <v>41</v>
      </c>
      <c r="AV32" s="38">
        <f t="shared" ref="AV32:BG32" si="225">IF(R51&gt;0,R32/R51,0)</f>
        <v>0</v>
      </c>
      <c r="AW32" s="36">
        <f t="shared" si="225"/>
        <v>0</v>
      </c>
      <c r="AX32" s="245">
        <f t="shared" si="225"/>
        <v>0</v>
      </c>
      <c r="AY32" s="245">
        <f t="shared" si="225"/>
        <v>0</v>
      </c>
      <c r="AZ32" s="245">
        <f t="shared" si="225"/>
        <v>0</v>
      </c>
      <c r="BA32" s="245">
        <f t="shared" si="225"/>
        <v>0</v>
      </c>
      <c r="BB32" s="245">
        <f t="shared" si="225"/>
        <v>0</v>
      </c>
      <c r="BC32" s="246">
        <f t="shared" si="225"/>
        <v>0</v>
      </c>
      <c r="BD32" s="245" t="e">
        <f t="shared" si="225"/>
        <v>#DIV/0!</v>
      </c>
      <c r="BE32" s="245" t="e">
        <f t="shared" si="225"/>
        <v>#DIV/0!</v>
      </c>
      <c r="BF32" s="245" t="e">
        <f t="shared" si="225"/>
        <v>#DIV/0!</v>
      </c>
      <c r="BG32" s="178" t="e">
        <f t="shared" si="225"/>
        <v>#DIV/0!</v>
      </c>
      <c r="BH32" s="24" t="e">
        <f>AD32/AD51</f>
        <v>#DIV/0!</v>
      </c>
      <c r="BJ32" s="66" t="s">
        <v>41</v>
      </c>
      <c r="BK32" s="38">
        <f t="shared" ref="BK32:BV32" si="226">IF(AG51&gt;0,AG32/AG51,0)</f>
        <v>0</v>
      </c>
      <c r="BL32" s="36">
        <f t="shared" si="226"/>
        <v>0</v>
      </c>
      <c r="BM32" s="245">
        <f t="shared" si="226"/>
        <v>0</v>
      </c>
      <c r="BN32" s="245">
        <f t="shared" si="226"/>
        <v>0</v>
      </c>
      <c r="BO32" s="245">
        <f t="shared" si="226"/>
        <v>0</v>
      </c>
      <c r="BP32" s="245">
        <f t="shared" si="226"/>
        <v>0</v>
      </c>
      <c r="BQ32" s="245">
        <f t="shared" si="226"/>
        <v>0</v>
      </c>
      <c r="BR32" s="246">
        <f t="shared" si="226"/>
        <v>0</v>
      </c>
      <c r="BS32" s="245">
        <f t="shared" si="226"/>
        <v>0</v>
      </c>
      <c r="BT32" s="245">
        <f t="shared" si="226"/>
        <v>0</v>
      </c>
      <c r="BU32" s="245">
        <f t="shared" si="226"/>
        <v>0</v>
      </c>
      <c r="BV32" s="178">
        <f t="shared" si="226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7">AG32-R32</f>
        <v>0</v>
      </c>
      <c r="CA32" s="58">
        <f t="shared" si="196"/>
        <v>0</v>
      </c>
      <c r="CB32" s="55">
        <f t="shared" si="197"/>
        <v>0</v>
      </c>
      <c r="CC32" s="55">
        <f t="shared" si="198"/>
        <v>0</v>
      </c>
      <c r="CD32" s="55">
        <f t="shared" si="199"/>
        <v>0</v>
      </c>
      <c r="CE32" s="55">
        <f t="shared" si="200"/>
        <v>0</v>
      </c>
      <c r="CF32" s="55">
        <f t="shared" si="201"/>
        <v>0</v>
      </c>
      <c r="CG32" s="249">
        <f t="shared" si="202"/>
        <v>0</v>
      </c>
      <c r="CH32" s="55" t="e">
        <f t="shared" si="203"/>
        <v>#DIV/0!</v>
      </c>
      <c r="CI32" s="55" t="e">
        <f t="shared" si="204"/>
        <v>#DIV/0!</v>
      </c>
      <c r="CJ32" s="55" t="e">
        <f t="shared" si="205"/>
        <v>#DIV/0!</v>
      </c>
      <c r="CK32" s="252" t="e">
        <f t="shared" si="205"/>
        <v>#DIV/0!</v>
      </c>
      <c r="CL32" s="55" t="e">
        <f t="shared" si="206"/>
        <v>#DIV/0!</v>
      </c>
      <c r="CN32" s="66" t="s">
        <v>41</v>
      </c>
      <c r="CO32" s="54">
        <f t="shared" ref="CO32:CO51" si="228">BK32-AV32</f>
        <v>0</v>
      </c>
      <c r="CP32" s="58">
        <f t="shared" si="207"/>
        <v>0</v>
      </c>
      <c r="CQ32" s="55">
        <f t="shared" si="208"/>
        <v>0</v>
      </c>
      <c r="CR32" s="55">
        <f t="shared" si="209"/>
        <v>0</v>
      </c>
      <c r="CS32" s="55">
        <f t="shared" si="210"/>
        <v>0</v>
      </c>
      <c r="CT32" s="55">
        <f t="shared" si="211"/>
        <v>0</v>
      </c>
      <c r="CU32" s="55">
        <f t="shared" si="212"/>
        <v>0</v>
      </c>
      <c r="CV32" s="249">
        <f t="shared" si="213"/>
        <v>0</v>
      </c>
      <c r="CW32" s="55" t="e">
        <f t="shared" si="214"/>
        <v>#DIV/0!</v>
      </c>
      <c r="CX32" s="55" t="e">
        <f t="shared" si="215"/>
        <v>#DIV/0!</v>
      </c>
      <c r="CY32" s="55" t="e">
        <f t="shared" si="216"/>
        <v>#DIV/0!</v>
      </c>
      <c r="CZ32" s="252" t="e">
        <f t="shared" si="216"/>
        <v>#DIV/0!</v>
      </c>
      <c r="DA32" s="62" t="e">
        <f t="shared" si="217"/>
        <v>#DIV/0!</v>
      </c>
      <c r="DC32" s="66" t="s">
        <v>41</v>
      </c>
      <c r="DD32" s="198">
        <f t="shared" ref="DD32:DD50" si="229">AV32</f>
        <v>0</v>
      </c>
      <c r="DE32" s="199">
        <f t="shared" ref="DE32:DE50" si="230">BK32</f>
        <v>0</v>
      </c>
      <c r="DF32" s="193">
        <f t="shared" ref="DF32:DF50" si="231">AW32</f>
        <v>0</v>
      </c>
      <c r="DG32" s="194">
        <f t="shared" ref="DG32:DG50" si="232">BL32</f>
        <v>0</v>
      </c>
      <c r="DH32" s="198">
        <f t="shared" ref="DH32:DH50" si="233">AX32</f>
        <v>0</v>
      </c>
      <c r="DI32" s="199">
        <f t="shared" ref="DI32:DI50" si="234">BM32</f>
        <v>0</v>
      </c>
      <c r="DJ32" s="198">
        <f t="shared" ref="DJ32:DJ50" si="235">AY32</f>
        <v>0</v>
      </c>
      <c r="DK32" s="199">
        <f t="shared" ref="DK32:DK50" si="236">BN32</f>
        <v>0</v>
      </c>
      <c r="DL32" s="198">
        <f t="shared" ref="DL32:DL50" si="237">AZ32</f>
        <v>0</v>
      </c>
      <c r="DM32" s="199">
        <f t="shared" ref="DM32:DM50" si="238">BO32</f>
        <v>0</v>
      </c>
      <c r="DN32" s="198">
        <f t="shared" ref="DN32:DN50" si="239">BA32</f>
        <v>0</v>
      </c>
      <c r="DO32" s="199">
        <f t="shared" ref="DO32:DO50" si="240">BP32</f>
        <v>0</v>
      </c>
      <c r="DP32" s="198">
        <f t="shared" ref="DP32:DP50" si="241">BB32</f>
        <v>0</v>
      </c>
      <c r="DQ32" s="199">
        <f t="shared" ref="DQ32:DQ50" si="242">BQ32</f>
        <v>0</v>
      </c>
      <c r="DR32" s="198">
        <f t="shared" ref="DR32:DR50" si="243">BC32</f>
        <v>0</v>
      </c>
      <c r="DS32" s="199">
        <f t="shared" ref="DS32:DS50" si="244">BR32</f>
        <v>0</v>
      </c>
      <c r="DT32" s="198" t="e">
        <f t="shared" ref="DT32:DT50" si="245">BD32</f>
        <v>#DIV/0!</v>
      </c>
      <c r="DU32" s="199">
        <f t="shared" ref="DU32:DU50" si="246">BS32</f>
        <v>0</v>
      </c>
      <c r="DV32" s="198" t="e">
        <f t="shared" ref="DV32:DV50" si="247">BE32</f>
        <v>#DIV/0!</v>
      </c>
      <c r="DW32" s="199">
        <f t="shared" ref="DW32:DW50" si="248">BT32</f>
        <v>0</v>
      </c>
      <c r="DX32" s="198" t="e">
        <f t="shared" ref="DX32:DX50" si="249">BF32</f>
        <v>#DIV/0!</v>
      </c>
      <c r="DY32" s="199">
        <f t="shared" ref="DY32:DY50" si="250">BU32</f>
        <v>0</v>
      </c>
      <c r="DZ32" s="190" t="e">
        <f t="shared" ref="DZ32:DZ50" si="251">BG32</f>
        <v>#DIV/0!</v>
      </c>
      <c r="EA32" s="199">
        <f t="shared" si="218"/>
        <v>0</v>
      </c>
      <c r="EB32" s="190" t="e">
        <f t="shared" ref="EB32:EB50" si="252">BH32</f>
        <v>#DIV/0!</v>
      </c>
      <c r="EC32" s="190" t="e">
        <f t="shared" ref="EC32:EC50" si="253">BW32</f>
        <v>#DIV/0!</v>
      </c>
    </row>
    <row r="33" spans="1:133" x14ac:dyDescent="0.2">
      <c r="A33" s="66" t="s">
        <v>42</v>
      </c>
      <c r="B33" s="38">
        <f>targets!AW32</f>
        <v>0</v>
      </c>
      <c r="C33" s="245">
        <f>targets!AX32</f>
        <v>0</v>
      </c>
      <c r="D33" s="36">
        <f>targets!AY32</f>
        <v>3831.3357210018526</v>
      </c>
      <c r="E33" s="245">
        <f>targets!AZ32</f>
        <v>0</v>
      </c>
      <c r="F33" s="245">
        <f>targets!BA32</f>
        <v>0</v>
      </c>
      <c r="G33" s="245">
        <f>SUM(targets!BB32:BG32)</f>
        <v>442.80723568470989</v>
      </c>
      <c r="H33" s="245">
        <f>SUM(targets!BH32:BM32)</f>
        <v>0</v>
      </c>
      <c r="I33" s="246">
        <f t="shared" ref="I32:I50" si="254">SUM(G33:H33)</f>
        <v>442.80723568470989</v>
      </c>
      <c r="J33" s="245">
        <f>targets!BN32</f>
        <v>0</v>
      </c>
      <c r="K33" s="245">
        <f>targets!BO32</f>
        <v>0</v>
      </c>
      <c r="L33" s="245">
        <f>targets!BP32</f>
        <v>0</v>
      </c>
      <c r="M33" s="178">
        <f t="shared" ref="M33:M47" si="255">SUM(J33:L33)</f>
        <v>0</v>
      </c>
      <c r="N33" s="17">
        <f t="shared" si="219"/>
        <v>4274.1429566865627</v>
      </c>
      <c r="O33" s="17"/>
      <c r="P33" s="17"/>
      <c r="Q33" s="66" t="s">
        <v>42</v>
      </c>
      <c r="R33" s="38">
        <f t="shared" si="220"/>
        <v>0</v>
      </c>
      <c r="S33" s="245">
        <f t="shared" si="185"/>
        <v>0</v>
      </c>
      <c r="T33" s="36">
        <f t="shared" si="186"/>
        <v>0</v>
      </c>
      <c r="U33" s="245">
        <f t="shared" si="187"/>
        <v>0</v>
      </c>
      <c r="V33" s="245">
        <f t="shared" si="188"/>
        <v>0</v>
      </c>
      <c r="W33" s="245">
        <f t="shared" si="189"/>
        <v>0</v>
      </c>
      <c r="X33" s="245">
        <f t="shared" si="190"/>
        <v>0</v>
      </c>
      <c r="Y33" s="246">
        <f t="shared" si="221"/>
        <v>0</v>
      </c>
      <c r="Z33" s="245" t="e">
        <f t="shared" si="191"/>
        <v>#DIV/0!</v>
      </c>
      <c r="AA33" s="245" t="e">
        <f t="shared" si="192"/>
        <v>#DIV/0!</v>
      </c>
      <c r="AB33" s="245" t="e">
        <f t="shared" si="193"/>
        <v>#DIV/0!</v>
      </c>
      <c r="AC33" s="178" t="e">
        <f t="shared" ref="AC33:AC50" si="256">SUM(Z33:AB33)</f>
        <v>#DIV/0!</v>
      </c>
      <c r="AD33" s="17" t="e">
        <f t="shared" si="222"/>
        <v>#DIV/0!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5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5">
        <f t="array" ref="AJ33">SUM(IF((modeldata!$F:$F=calibration!$AF$28)*(modeldata!$G:$G=calibration!AJ$30)*(modeldata!$H:$H=calibration!$AF33),modeldata!$E:$E,0))</f>
        <v>0</v>
      </c>
      <c r="AK33" s="245">
        <f t="array" ref="AK33">SUM(IF((modeldata!$F:$F=calibration!$AF$28)*(modeldata!$G:$G=calibration!AK$30)*(modeldata!$H:$H=calibration!$AF33),modeldata!$E:$E,0))</f>
        <v>0</v>
      </c>
      <c r="AL33" s="245">
        <f t="array" ref="AL33">SUM(IF((modeldata!$F:$F=calibration!$AF$28)*(modeldata!$G:$G=calibration!AL$30)*(modeldata!$H:$H=calibration!$AF33),modeldata!$E:$E,0))</f>
        <v>0</v>
      </c>
      <c r="AM33" s="245">
        <f t="array" ref="AM33">SUM(IF((modeldata!$F:$F=calibration!$AF$28)*(modeldata!$G:$G=calibration!AM$30)*(modeldata!$H:$H=calibration!$AF33),modeldata!$E:$E,0))</f>
        <v>0</v>
      </c>
      <c r="AN33" s="246">
        <f t="shared" si="223"/>
        <v>0</v>
      </c>
      <c r="AO33" s="245">
        <f t="array" ref="AO33">SUM(IF((modeldata!$F:$F=calibration!$AF$28)*(modeldata!$G:$G=calibration!AO$30)*(modeldata!$H:$H=calibration!$AF33),modeldata!$E:$E,0))</f>
        <v>0</v>
      </c>
      <c r="AP33" s="245">
        <f t="array" ref="AP33">SUM(IF((modeldata!$F:$F=calibration!$AF$28)*(modeldata!$G:$G=calibration!AP$30)*(modeldata!$H:$H=calibration!$AF33),modeldata!$E:$E,0))</f>
        <v>0</v>
      </c>
      <c r="AQ33" s="245">
        <f t="array" ref="AQ33">SUM(IF((modeldata!$F:$F=calibration!$AF$28)*(modeldata!$G:$G=calibration!AQ$30)*(modeldata!$H:$H=calibration!$AF33),modeldata!$E:$E,0))</f>
        <v>0</v>
      </c>
      <c r="AR33" s="178">
        <f t="shared" ref="AR33:AR47" si="257">SUM(AO33:AQ33)</f>
        <v>0</v>
      </c>
      <c r="AS33" s="17">
        <f t="shared" si="224"/>
        <v>0</v>
      </c>
      <c r="AU33" s="66" t="s">
        <v>42</v>
      </c>
      <c r="AV33" s="38">
        <f t="shared" ref="AV33:BG33" si="258">IF(R51&gt;0,R33/R51,0)</f>
        <v>0</v>
      </c>
      <c r="AW33" s="245">
        <f t="shared" si="258"/>
        <v>0</v>
      </c>
      <c r="AX33" s="36">
        <f t="shared" si="258"/>
        <v>0</v>
      </c>
      <c r="AY33" s="245">
        <f t="shared" si="258"/>
        <v>0</v>
      </c>
      <c r="AZ33" s="245">
        <f t="shared" si="258"/>
        <v>0</v>
      </c>
      <c r="BA33" s="245">
        <f t="shared" si="258"/>
        <v>0</v>
      </c>
      <c r="BB33" s="245">
        <f t="shared" si="258"/>
        <v>0</v>
      </c>
      <c r="BC33" s="246">
        <f t="shared" si="258"/>
        <v>0</v>
      </c>
      <c r="BD33" s="245" t="e">
        <f t="shared" si="258"/>
        <v>#DIV/0!</v>
      </c>
      <c r="BE33" s="245" t="e">
        <f t="shared" si="258"/>
        <v>#DIV/0!</v>
      </c>
      <c r="BF33" s="245" t="e">
        <f t="shared" si="258"/>
        <v>#DIV/0!</v>
      </c>
      <c r="BG33" s="178" t="e">
        <f t="shared" si="258"/>
        <v>#DIV/0!</v>
      </c>
      <c r="BH33" s="24" t="e">
        <f>AD33/AD51</f>
        <v>#DIV/0!</v>
      </c>
      <c r="BJ33" s="66" t="s">
        <v>42</v>
      </c>
      <c r="BK33" s="38">
        <f t="shared" ref="BK33:BV33" si="259">IF(AG51&gt;0,AG33/AG51,0)</f>
        <v>0</v>
      </c>
      <c r="BL33" s="245">
        <f t="shared" si="259"/>
        <v>0</v>
      </c>
      <c r="BM33" s="36">
        <f t="shared" si="259"/>
        <v>0</v>
      </c>
      <c r="BN33" s="245">
        <f t="shared" si="259"/>
        <v>0</v>
      </c>
      <c r="BO33" s="245">
        <f t="shared" si="259"/>
        <v>0</v>
      </c>
      <c r="BP33" s="245">
        <f t="shared" si="259"/>
        <v>0</v>
      </c>
      <c r="BQ33" s="245">
        <f t="shared" si="259"/>
        <v>0</v>
      </c>
      <c r="BR33" s="246">
        <f t="shared" si="259"/>
        <v>0</v>
      </c>
      <c r="BS33" s="245">
        <f t="shared" si="259"/>
        <v>0</v>
      </c>
      <c r="BT33" s="245">
        <f t="shared" si="259"/>
        <v>0</v>
      </c>
      <c r="BU33" s="245">
        <f t="shared" si="259"/>
        <v>0</v>
      </c>
      <c r="BV33" s="178">
        <f t="shared" si="259"/>
        <v>0</v>
      </c>
      <c r="BW33" s="24" t="e">
        <f>AS33/AS51</f>
        <v>#DIV/0!</v>
      </c>
      <c r="BX33" s="24"/>
      <c r="BY33" s="66" t="s">
        <v>42</v>
      </c>
      <c r="BZ33" s="54">
        <f t="shared" si="227"/>
        <v>0</v>
      </c>
      <c r="CA33" s="55">
        <f t="shared" si="196"/>
        <v>0</v>
      </c>
      <c r="CB33" s="58">
        <f t="shared" si="197"/>
        <v>0</v>
      </c>
      <c r="CC33" s="55">
        <f t="shared" si="198"/>
        <v>0</v>
      </c>
      <c r="CD33" s="55">
        <f t="shared" si="199"/>
        <v>0</v>
      </c>
      <c r="CE33" s="55">
        <f t="shared" si="200"/>
        <v>0</v>
      </c>
      <c r="CF33" s="55">
        <f t="shared" si="201"/>
        <v>0</v>
      </c>
      <c r="CG33" s="249">
        <f t="shared" si="202"/>
        <v>0</v>
      </c>
      <c r="CH33" s="55" t="e">
        <f t="shared" si="203"/>
        <v>#DIV/0!</v>
      </c>
      <c r="CI33" s="55" t="e">
        <f t="shared" si="204"/>
        <v>#DIV/0!</v>
      </c>
      <c r="CJ33" s="55" t="e">
        <f t="shared" si="205"/>
        <v>#DIV/0!</v>
      </c>
      <c r="CK33" s="252" t="e">
        <f t="shared" si="205"/>
        <v>#DIV/0!</v>
      </c>
      <c r="CL33" s="55" t="e">
        <f t="shared" si="206"/>
        <v>#DIV/0!</v>
      </c>
      <c r="CN33" s="66" t="s">
        <v>42</v>
      </c>
      <c r="CO33" s="54">
        <f t="shared" si="228"/>
        <v>0</v>
      </c>
      <c r="CP33" s="55">
        <f t="shared" si="207"/>
        <v>0</v>
      </c>
      <c r="CQ33" s="58">
        <f t="shared" si="208"/>
        <v>0</v>
      </c>
      <c r="CR33" s="55">
        <f t="shared" si="209"/>
        <v>0</v>
      </c>
      <c r="CS33" s="55">
        <f t="shared" si="210"/>
        <v>0</v>
      </c>
      <c r="CT33" s="55">
        <f t="shared" si="211"/>
        <v>0</v>
      </c>
      <c r="CU33" s="55">
        <f t="shared" si="212"/>
        <v>0</v>
      </c>
      <c r="CV33" s="249">
        <f t="shared" si="213"/>
        <v>0</v>
      </c>
      <c r="CW33" s="55" t="e">
        <f t="shared" si="214"/>
        <v>#DIV/0!</v>
      </c>
      <c r="CX33" s="55" t="e">
        <f t="shared" si="215"/>
        <v>#DIV/0!</v>
      </c>
      <c r="CY33" s="55" t="e">
        <f t="shared" si="216"/>
        <v>#DIV/0!</v>
      </c>
      <c r="CZ33" s="252" t="e">
        <f t="shared" si="216"/>
        <v>#DIV/0!</v>
      </c>
      <c r="DA33" s="62" t="e">
        <f t="shared" si="217"/>
        <v>#DIV/0!</v>
      </c>
      <c r="DC33" s="66" t="s">
        <v>42</v>
      </c>
      <c r="DD33" s="198">
        <f t="shared" si="229"/>
        <v>0</v>
      </c>
      <c r="DE33" s="199">
        <f t="shared" si="230"/>
        <v>0</v>
      </c>
      <c r="DF33" s="198">
        <f t="shared" si="231"/>
        <v>0</v>
      </c>
      <c r="DG33" s="199">
        <f t="shared" si="232"/>
        <v>0</v>
      </c>
      <c r="DH33" s="193">
        <f t="shared" si="233"/>
        <v>0</v>
      </c>
      <c r="DI33" s="194">
        <f t="shared" si="234"/>
        <v>0</v>
      </c>
      <c r="DJ33" s="198">
        <f t="shared" si="235"/>
        <v>0</v>
      </c>
      <c r="DK33" s="199">
        <f t="shared" si="236"/>
        <v>0</v>
      </c>
      <c r="DL33" s="198">
        <f t="shared" si="237"/>
        <v>0</v>
      </c>
      <c r="DM33" s="199">
        <f t="shared" si="238"/>
        <v>0</v>
      </c>
      <c r="DN33" s="198">
        <f t="shared" si="239"/>
        <v>0</v>
      </c>
      <c r="DO33" s="199">
        <f t="shared" si="240"/>
        <v>0</v>
      </c>
      <c r="DP33" s="198">
        <f t="shared" si="241"/>
        <v>0</v>
      </c>
      <c r="DQ33" s="199">
        <f t="shared" si="242"/>
        <v>0</v>
      </c>
      <c r="DR33" s="198">
        <f t="shared" si="243"/>
        <v>0</v>
      </c>
      <c r="DS33" s="199">
        <f t="shared" si="244"/>
        <v>0</v>
      </c>
      <c r="DT33" s="198" t="e">
        <f t="shared" si="245"/>
        <v>#DIV/0!</v>
      </c>
      <c r="DU33" s="199">
        <f t="shared" si="246"/>
        <v>0</v>
      </c>
      <c r="DV33" s="198" t="e">
        <f t="shared" si="247"/>
        <v>#DIV/0!</v>
      </c>
      <c r="DW33" s="199">
        <f t="shared" si="248"/>
        <v>0</v>
      </c>
      <c r="DX33" s="198" t="e">
        <f t="shared" si="249"/>
        <v>#DIV/0!</v>
      </c>
      <c r="DY33" s="199">
        <f t="shared" si="250"/>
        <v>0</v>
      </c>
      <c r="DZ33" s="190" t="e">
        <f t="shared" si="251"/>
        <v>#DIV/0!</v>
      </c>
      <c r="EA33" s="199">
        <f t="shared" si="218"/>
        <v>0</v>
      </c>
      <c r="EB33" s="190" t="e">
        <f t="shared" si="252"/>
        <v>#DIV/0!</v>
      </c>
      <c r="EC33" s="190" t="e">
        <f t="shared" si="253"/>
        <v>#DIV/0!</v>
      </c>
    </row>
    <row r="34" spans="1:133" x14ac:dyDescent="0.2">
      <c r="A34" s="66" t="s">
        <v>2</v>
      </c>
      <c r="B34" s="38">
        <f>targets!AW33</f>
        <v>1361.3551942195325</v>
      </c>
      <c r="C34" s="245">
        <f>targets!AX33</f>
        <v>1117.7756554693856</v>
      </c>
      <c r="D34" s="245">
        <f>targets!AY33</f>
        <v>613.89053149503138</v>
      </c>
      <c r="E34" s="36">
        <f>targets!AZ33</f>
        <v>25937.787031855187</v>
      </c>
      <c r="F34" s="245">
        <f>targets!BA33</f>
        <v>0</v>
      </c>
      <c r="G34" s="245">
        <f>SUM(targets!BB33:BG33)</f>
        <v>38520.452254738942</v>
      </c>
      <c r="H34" s="245">
        <f>SUM(targets!BH33:BM33)</f>
        <v>0</v>
      </c>
      <c r="I34" s="246">
        <f t="shared" si="254"/>
        <v>38520.452254738942</v>
      </c>
      <c r="J34" s="245">
        <f>targets!BN33</f>
        <v>0</v>
      </c>
      <c r="K34" s="245">
        <f>targets!BO33</f>
        <v>0</v>
      </c>
      <c r="L34" s="245">
        <f>targets!BP33</f>
        <v>0</v>
      </c>
      <c r="M34" s="178">
        <f t="shared" si="255"/>
        <v>0</v>
      </c>
      <c r="N34" s="17">
        <f t="shared" si="219"/>
        <v>67551.260667778086</v>
      </c>
      <c r="O34" s="17"/>
      <c r="P34" s="17"/>
      <c r="Q34" s="66" t="s">
        <v>2</v>
      </c>
      <c r="R34" s="38">
        <f t="shared" si="220"/>
        <v>0</v>
      </c>
      <c r="S34" s="245">
        <f t="shared" si="185"/>
        <v>0</v>
      </c>
      <c r="T34" s="245">
        <f t="shared" si="186"/>
        <v>0</v>
      </c>
      <c r="U34" s="36">
        <f t="shared" si="187"/>
        <v>0</v>
      </c>
      <c r="V34" s="245">
        <f t="shared" si="188"/>
        <v>0</v>
      </c>
      <c r="W34" s="245">
        <f t="shared" si="189"/>
        <v>0</v>
      </c>
      <c r="X34" s="245">
        <f t="shared" si="190"/>
        <v>0</v>
      </c>
      <c r="Y34" s="246">
        <f t="shared" si="221"/>
        <v>0</v>
      </c>
      <c r="Z34" s="245" t="e">
        <f t="shared" si="191"/>
        <v>#DIV/0!</v>
      </c>
      <c r="AA34" s="245" t="e">
        <f t="shared" si="192"/>
        <v>#DIV/0!</v>
      </c>
      <c r="AB34" s="245" t="e">
        <f t="shared" si="193"/>
        <v>#DIV/0!</v>
      </c>
      <c r="AC34" s="178" t="e">
        <f t="shared" si="256"/>
        <v>#DIV/0!</v>
      </c>
      <c r="AD34" s="17" t="e">
        <f t="shared" si="222"/>
        <v>#DIV/0!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5">
        <f t="array" ref="AH34">SUM(IF((modeldata!$F:$F=calibration!$AF$28)*(modeldata!$G:$G=calibration!AH$30)*(modeldata!$H:$H=calibration!$AF34),modeldata!$E:$E,0))</f>
        <v>0</v>
      </c>
      <c r="AI34" s="245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5">
        <f t="array" ref="AK34">SUM(IF((modeldata!$F:$F=calibration!$AF$28)*(modeldata!$G:$G=calibration!AK$30)*(modeldata!$H:$H=calibration!$AF34),modeldata!$E:$E,0))</f>
        <v>0</v>
      </c>
      <c r="AL34" s="245">
        <f t="array" ref="AL34">SUM(IF((modeldata!$F:$F=calibration!$AF$28)*(modeldata!$G:$G=calibration!AL$30)*(modeldata!$H:$H=calibration!$AF34),modeldata!$E:$E,0))</f>
        <v>0</v>
      </c>
      <c r="AM34" s="245">
        <f t="array" ref="AM34">SUM(IF((modeldata!$F:$F=calibration!$AF$28)*(modeldata!$G:$G=calibration!AM$30)*(modeldata!$H:$H=calibration!$AF34),modeldata!$E:$E,0))</f>
        <v>0</v>
      </c>
      <c r="AN34" s="246">
        <f t="shared" si="223"/>
        <v>0</v>
      </c>
      <c r="AO34" s="245">
        <f t="array" ref="AO34">SUM(IF((modeldata!$F:$F=calibration!$AF$28)*(modeldata!$G:$G=calibration!AO$30)*(modeldata!$H:$H=calibration!$AF34),modeldata!$E:$E,0))</f>
        <v>0</v>
      </c>
      <c r="AP34" s="245">
        <f t="array" ref="AP34">SUM(IF((modeldata!$F:$F=calibration!$AF$28)*(modeldata!$G:$G=calibration!AP$30)*(modeldata!$H:$H=calibration!$AF34),modeldata!$E:$E,0))</f>
        <v>0</v>
      </c>
      <c r="AQ34" s="245">
        <f t="array" ref="AQ34">SUM(IF((modeldata!$F:$F=calibration!$AF$28)*(modeldata!$G:$G=calibration!AQ$30)*(modeldata!$H:$H=calibration!$AF34),modeldata!$E:$E,0))</f>
        <v>0</v>
      </c>
      <c r="AR34" s="178">
        <f t="shared" si="257"/>
        <v>0</v>
      </c>
      <c r="AS34" s="17">
        <f t="shared" si="224"/>
        <v>0</v>
      </c>
      <c r="AU34" s="66" t="s">
        <v>2</v>
      </c>
      <c r="AV34" s="38">
        <f t="shared" ref="AV34:BG34" si="260">IF(R51&gt;0,R34/R51,0)</f>
        <v>0</v>
      </c>
      <c r="AW34" s="245">
        <f t="shared" si="260"/>
        <v>0</v>
      </c>
      <c r="AX34" s="245">
        <f t="shared" si="260"/>
        <v>0</v>
      </c>
      <c r="AY34" s="36">
        <f t="shared" si="260"/>
        <v>0</v>
      </c>
      <c r="AZ34" s="245">
        <f t="shared" si="260"/>
        <v>0</v>
      </c>
      <c r="BA34" s="245">
        <f t="shared" si="260"/>
        <v>0</v>
      </c>
      <c r="BB34" s="245">
        <f t="shared" si="260"/>
        <v>0</v>
      </c>
      <c r="BC34" s="246">
        <f t="shared" si="260"/>
        <v>0</v>
      </c>
      <c r="BD34" s="245" t="e">
        <f t="shared" si="260"/>
        <v>#DIV/0!</v>
      </c>
      <c r="BE34" s="245" t="e">
        <f t="shared" si="260"/>
        <v>#DIV/0!</v>
      </c>
      <c r="BF34" s="245" t="e">
        <f t="shared" si="260"/>
        <v>#DIV/0!</v>
      </c>
      <c r="BG34" s="178" t="e">
        <f t="shared" si="260"/>
        <v>#DIV/0!</v>
      </c>
      <c r="BH34" s="24" t="e">
        <f>AD34/AD51</f>
        <v>#DIV/0!</v>
      </c>
      <c r="BJ34" s="66" t="s">
        <v>2</v>
      </c>
      <c r="BK34" s="38">
        <f t="shared" ref="BK34:BV34" si="261">IF(AG51&gt;0,AG34/AG51,0)</f>
        <v>0</v>
      </c>
      <c r="BL34" s="245">
        <f t="shared" si="261"/>
        <v>0</v>
      </c>
      <c r="BM34" s="245">
        <f t="shared" si="261"/>
        <v>0</v>
      </c>
      <c r="BN34" s="36">
        <f t="shared" si="261"/>
        <v>0</v>
      </c>
      <c r="BO34" s="245">
        <f t="shared" si="261"/>
        <v>0</v>
      </c>
      <c r="BP34" s="245">
        <f t="shared" si="261"/>
        <v>0</v>
      </c>
      <c r="BQ34" s="245">
        <f t="shared" si="261"/>
        <v>0</v>
      </c>
      <c r="BR34" s="246">
        <f t="shared" si="261"/>
        <v>0</v>
      </c>
      <c r="BS34" s="245">
        <f t="shared" si="261"/>
        <v>0</v>
      </c>
      <c r="BT34" s="245">
        <f t="shared" si="261"/>
        <v>0</v>
      </c>
      <c r="BU34" s="245">
        <f t="shared" si="261"/>
        <v>0</v>
      </c>
      <c r="BV34" s="178">
        <f t="shared" si="261"/>
        <v>0</v>
      </c>
      <c r="BW34" s="24" t="e">
        <f>AS34/AS51</f>
        <v>#DIV/0!</v>
      </c>
      <c r="BX34" s="24"/>
      <c r="BY34" s="66" t="s">
        <v>2</v>
      </c>
      <c r="BZ34" s="54">
        <f t="shared" si="227"/>
        <v>0</v>
      </c>
      <c r="CA34" s="55">
        <f t="shared" si="196"/>
        <v>0</v>
      </c>
      <c r="CB34" s="55">
        <f t="shared" si="197"/>
        <v>0</v>
      </c>
      <c r="CC34" s="58">
        <f t="shared" si="198"/>
        <v>0</v>
      </c>
      <c r="CD34" s="55">
        <f t="shared" si="199"/>
        <v>0</v>
      </c>
      <c r="CE34" s="55">
        <f t="shared" si="200"/>
        <v>0</v>
      </c>
      <c r="CF34" s="55">
        <f t="shared" si="201"/>
        <v>0</v>
      </c>
      <c r="CG34" s="249">
        <f t="shared" si="202"/>
        <v>0</v>
      </c>
      <c r="CH34" s="55" t="e">
        <f t="shared" si="203"/>
        <v>#DIV/0!</v>
      </c>
      <c r="CI34" s="55" t="e">
        <f t="shared" si="204"/>
        <v>#DIV/0!</v>
      </c>
      <c r="CJ34" s="55" t="e">
        <f t="shared" si="205"/>
        <v>#DIV/0!</v>
      </c>
      <c r="CK34" s="252" t="e">
        <f t="shared" si="205"/>
        <v>#DIV/0!</v>
      </c>
      <c r="CL34" s="55" t="e">
        <f t="shared" si="206"/>
        <v>#DIV/0!</v>
      </c>
      <c r="CN34" s="66" t="s">
        <v>2</v>
      </c>
      <c r="CO34" s="54">
        <f t="shared" si="228"/>
        <v>0</v>
      </c>
      <c r="CP34" s="55">
        <f t="shared" si="207"/>
        <v>0</v>
      </c>
      <c r="CQ34" s="55">
        <f t="shared" si="208"/>
        <v>0</v>
      </c>
      <c r="CR34" s="58">
        <f t="shared" si="209"/>
        <v>0</v>
      </c>
      <c r="CS34" s="55">
        <f t="shared" si="210"/>
        <v>0</v>
      </c>
      <c r="CT34" s="55">
        <f t="shared" si="211"/>
        <v>0</v>
      </c>
      <c r="CU34" s="55">
        <f t="shared" si="212"/>
        <v>0</v>
      </c>
      <c r="CV34" s="249">
        <f t="shared" si="213"/>
        <v>0</v>
      </c>
      <c r="CW34" s="55" t="e">
        <f t="shared" si="214"/>
        <v>#DIV/0!</v>
      </c>
      <c r="CX34" s="55" t="e">
        <f t="shared" si="215"/>
        <v>#DIV/0!</v>
      </c>
      <c r="CY34" s="55" t="e">
        <f t="shared" si="216"/>
        <v>#DIV/0!</v>
      </c>
      <c r="CZ34" s="252" t="e">
        <f t="shared" si="216"/>
        <v>#DIV/0!</v>
      </c>
      <c r="DA34" s="62" t="e">
        <f t="shared" si="217"/>
        <v>#DIV/0!</v>
      </c>
      <c r="DC34" s="66" t="s">
        <v>2</v>
      </c>
      <c r="DD34" s="198">
        <f t="shared" si="229"/>
        <v>0</v>
      </c>
      <c r="DE34" s="199">
        <f t="shared" si="230"/>
        <v>0</v>
      </c>
      <c r="DF34" s="198">
        <f t="shared" si="231"/>
        <v>0</v>
      </c>
      <c r="DG34" s="199">
        <f t="shared" si="232"/>
        <v>0</v>
      </c>
      <c r="DH34" s="198">
        <f t="shared" si="233"/>
        <v>0</v>
      </c>
      <c r="DI34" s="199">
        <f t="shared" si="234"/>
        <v>0</v>
      </c>
      <c r="DJ34" s="193">
        <f t="shared" si="235"/>
        <v>0</v>
      </c>
      <c r="DK34" s="194">
        <f t="shared" si="236"/>
        <v>0</v>
      </c>
      <c r="DL34" s="198">
        <f t="shared" si="237"/>
        <v>0</v>
      </c>
      <c r="DM34" s="199">
        <f t="shared" si="238"/>
        <v>0</v>
      </c>
      <c r="DN34" s="198">
        <f t="shared" si="239"/>
        <v>0</v>
      </c>
      <c r="DO34" s="199">
        <f t="shared" si="240"/>
        <v>0</v>
      </c>
      <c r="DP34" s="198">
        <f t="shared" si="241"/>
        <v>0</v>
      </c>
      <c r="DQ34" s="199">
        <f t="shared" si="242"/>
        <v>0</v>
      </c>
      <c r="DR34" s="198">
        <f t="shared" si="243"/>
        <v>0</v>
      </c>
      <c r="DS34" s="199">
        <f t="shared" si="244"/>
        <v>0</v>
      </c>
      <c r="DT34" s="198" t="e">
        <f t="shared" si="245"/>
        <v>#DIV/0!</v>
      </c>
      <c r="DU34" s="199">
        <f t="shared" si="246"/>
        <v>0</v>
      </c>
      <c r="DV34" s="198" t="e">
        <f t="shared" si="247"/>
        <v>#DIV/0!</v>
      </c>
      <c r="DW34" s="199">
        <f t="shared" si="248"/>
        <v>0</v>
      </c>
      <c r="DX34" s="198" t="e">
        <f t="shared" si="249"/>
        <v>#DIV/0!</v>
      </c>
      <c r="DY34" s="199">
        <f t="shared" si="250"/>
        <v>0</v>
      </c>
      <c r="DZ34" s="190" t="e">
        <f t="shared" si="251"/>
        <v>#DIV/0!</v>
      </c>
      <c r="EA34" s="199">
        <f t="shared" si="218"/>
        <v>0</v>
      </c>
      <c r="EB34" s="190" t="e">
        <f t="shared" si="252"/>
        <v>#DIV/0!</v>
      </c>
      <c r="EC34" s="190" t="e">
        <f t="shared" si="253"/>
        <v>#DIV/0!</v>
      </c>
    </row>
    <row r="35" spans="1:133" x14ac:dyDescent="0.2">
      <c r="A35" s="66" t="s">
        <v>3</v>
      </c>
      <c r="B35" s="38">
        <f>targets!AW34</f>
        <v>0</v>
      </c>
      <c r="C35" s="245">
        <f>targets!AX34</f>
        <v>0</v>
      </c>
      <c r="D35" s="245">
        <f>targets!AY34</f>
        <v>0</v>
      </c>
      <c r="E35" s="245">
        <f>targets!AZ34</f>
        <v>0</v>
      </c>
      <c r="F35" s="36">
        <f>targets!BA34</f>
        <v>12180.053033041177</v>
      </c>
      <c r="G35" s="245">
        <f>SUM(targets!BB34:BG34)</f>
        <v>0</v>
      </c>
      <c r="H35" s="245">
        <f>SUM(targets!BH34:BM34)</f>
        <v>0</v>
      </c>
      <c r="I35" s="246">
        <f t="shared" si="254"/>
        <v>0</v>
      </c>
      <c r="J35" s="245">
        <f>targets!BN34</f>
        <v>0</v>
      </c>
      <c r="K35" s="245">
        <f>targets!BO34</f>
        <v>0</v>
      </c>
      <c r="L35" s="245">
        <f>targets!BP34</f>
        <v>0</v>
      </c>
      <c r="M35" s="178">
        <f t="shared" si="255"/>
        <v>0</v>
      </c>
      <c r="N35" s="17">
        <f t="shared" si="219"/>
        <v>12180.053033041177</v>
      </c>
      <c r="O35" s="17"/>
      <c r="P35" s="17"/>
      <c r="Q35" s="66" t="s">
        <v>3</v>
      </c>
      <c r="R35" s="38">
        <f t="shared" si="220"/>
        <v>0</v>
      </c>
      <c r="S35" s="245">
        <f t="shared" si="185"/>
        <v>0</v>
      </c>
      <c r="T35" s="245">
        <f t="shared" si="186"/>
        <v>0</v>
      </c>
      <c r="U35" s="245">
        <f t="shared" si="187"/>
        <v>0</v>
      </c>
      <c r="V35" s="36">
        <f t="shared" si="188"/>
        <v>0</v>
      </c>
      <c r="W35" s="245">
        <f t="shared" si="189"/>
        <v>0</v>
      </c>
      <c r="X35" s="245">
        <f t="shared" si="190"/>
        <v>0</v>
      </c>
      <c r="Y35" s="246">
        <f t="shared" si="221"/>
        <v>0</v>
      </c>
      <c r="Z35" s="245" t="e">
        <f t="shared" si="191"/>
        <v>#DIV/0!</v>
      </c>
      <c r="AA35" s="245" t="e">
        <f t="shared" si="192"/>
        <v>#DIV/0!</v>
      </c>
      <c r="AB35" s="245" t="e">
        <f t="shared" si="193"/>
        <v>#DIV/0!</v>
      </c>
      <c r="AC35" s="178" t="e">
        <f t="shared" si="256"/>
        <v>#DIV/0!</v>
      </c>
      <c r="AD35" s="17" t="e">
        <f t="shared" si="222"/>
        <v>#DIV/0!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5">
        <f t="array" ref="AH35">SUM(IF((modeldata!$F:$F=calibration!$AF$28)*(modeldata!$G:$G=calibration!AH$30)*(modeldata!$H:$H=calibration!$AF35),modeldata!$E:$E,0))</f>
        <v>0</v>
      </c>
      <c r="AI35" s="245">
        <f t="array" ref="AI35">SUM(IF((modeldata!$F:$F=calibration!$AF$28)*(modeldata!$G:$G=calibration!AI$30)*(modeldata!$H:$H=calibration!$AF35),modeldata!$E:$E,0))</f>
        <v>0</v>
      </c>
      <c r="AJ35" s="245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5">
        <f t="array" ref="AL35">SUM(IF((modeldata!$F:$F=calibration!$AF$28)*(modeldata!$G:$G=calibration!AL$30)*(modeldata!$H:$H=calibration!$AF35),modeldata!$E:$E,0))</f>
        <v>0</v>
      </c>
      <c r="AM35" s="245">
        <f t="array" ref="AM35">SUM(IF((modeldata!$F:$F=calibration!$AF$28)*(modeldata!$G:$G=calibration!AM$30)*(modeldata!$H:$H=calibration!$AF35),modeldata!$E:$E,0))</f>
        <v>0</v>
      </c>
      <c r="AN35" s="246">
        <f t="shared" si="223"/>
        <v>0</v>
      </c>
      <c r="AO35" s="245">
        <f t="array" ref="AO35">SUM(IF((modeldata!$F:$F=calibration!$AF$28)*(modeldata!$G:$G=calibration!AO$30)*(modeldata!$H:$H=calibration!$AF35),modeldata!$E:$E,0))</f>
        <v>0</v>
      </c>
      <c r="AP35" s="245">
        <f t="array" ref="AP35">SUM(IF((modeldata!$F:$F=calibration!$AF$28)*(modeldata!$G:$G=calibration!AP$30)*(modeldata!$H:$H=calibration!$AF35),modeldata!$E:$E,0))</f>
        <v>0</v>
      </c>
      <c r="AQ35" s="245">
        <f t="array" ref="AQ35">SUM(IF((modeldata!$F:$F=calibration!$AF$28)*(modeldata!$G:$G=calibration!AQ$30)*(modeldata!$H:$H=calibration!$AF35),modeldata!$E:$E,0))</f>
        <v>0</v>
      </c>
      <c r="AR35" s="178">
        <f t="shared" si="257"/>
        <v>0</v>
      </c>
      <c r="AS35" s="17">
        <f t="shared" si="224"/>
        <v>0</v>
      </c>
      <c r="AU35" s="66" t="s">
        <v>3</v>
      </c>
      <c r="AV35" s="38">
        <f t="shared" ref="AV35:BG35" si="262">IF(R51&gt;0,R35/R51,0)</f>
        <v>0</v>
      </c>
      <c r="AW35" s="245">
        <f t="shared" si="262"/>
        <v>0</v>
      </c>
      <c r="AX35" s="245">
        <f t="shared" si="262"/>
        <v>0</v>
      </c>
      <c r="AY35" s="245">
        <f t="shared" si="262"/>
        <v>0</v>
      </c>
      <c r="AZ35" s="36">
        <f t="shared" si="262"/>
        <v>0</v>
      </c>
      <c r="BA35" s="245">
        <f t="shared" si="262"/>
        <v>0</v>
      </c>
      <c r="BB35" s="245">
        <f t="shared" si="262"/>
        <v>0</v>
      </c>
      <c r="BC35" s="246">
        <f t="shared" si="262"/>
        <v>0</v>
      </c>
      <c r="BD35" s="245" t="e">
        <f t="shared" si="262"/>
        <v>#DIV/0!</v>
      </c>
      <c r="BE35" s="245" t="e">
        <f t="shared" si="262"/>
        <v>#DIV/0!</v>
      </c>
      <c r="BF35" s="245" t="e">
        <f t="shared" si="262"/>
        <v>#DIV/0!</v>
      </c>
      <c r="BG35" s="178" t="e">
        <f t="shared" si="262"/>
        <v>#DIV/0!</v>
      </c>
      <c r="BH35" s="24" t="e">
        <f>AD35/AD51</f>
        <v>#DIV/0!</v>
      </c>
      <c r="BJ35" s="66" t="s">
        <v>3</v>
      </c>
      <c r="BK35" s="38">
        <f t="shared" ref="BK35:BV35" si="263">IF(AG51&gt;0,AG35/AG51,0)</f>
        <v>0</v>
      </c>
      <c r="BL35" s="245">
        <f t="shared" si="263"/>
        <v>0</v>
      </c>
      <c r="BM35" s="245">
        <f t="shared" si="263"/>
        <v>0</v>
      </c>
      <c r="BN35" s="245">
        <f t="shared" si="263"/>
        <v>0</v>
      </c>
      <c r="BO35" s="36">
        <f t="shared" si="263"/>
        <v>0</v>
      </c>
      <c r="BP35" s="245">
        <f t="shared" si="263"/>
        <v>0</v>
      </c>
      <c r="BQ35" s="245">
        <f t="shared" si="263"/>
        <v>0</v>
      </c>
      <c r="BR35" s="246">
        <f t="shared" si="263"/>
        <v>0</v>
      </c>
      <c r="BS35" s="245">
        <f t="shared" si="263"/>
        <v>0</v>
      </c>
      <c r="BT35" s="245">
        <f t="shared" si="263"/>
        <v>0</v>
      </c>
      <c r="BU35" s="245">
        <f t="shared" si="263"/>
        <v>0</v>
      </c>
      <c r="BV35" s="178">
        <f t="shared" si="263"/>
        <v>0</v>
      </c>
      <c r="BW35" s="24" t="e">
        <f>AS35/AS51</f>
        <v>#DIV/0!</v>
      </c>
      <c r="BX35" s="24"/>
      <c r="BY35" s="66" t="s">
        <v>3</v>
      </c>
      <c r="BZ35" s="54">
        <f t="shared" si="227"/>
        <v>0</v>
      </c>
      <c r="CA35" s="55">
        <f t="shared" si="196"/>
        <v>0</v>
      </c>
      <c r="CB35" s="55">
        <f t="shared" si="197"/>
        <v>0</v>
      </c>
      <c r="CC35" s="55">
        <f t="shared" si="198"/>
        <v>0</v>
      </c>
      <c r="CD35" s="58">
        <f t="shared" si="199"/>
        <v>0</v>
      </c>
      <c r="CE35" s="55">
        <f t="shared" si="200"/>
        <v>0</v>
      </c>
      <c r="CF35" s="55">
        <f t="shared" si="201"/>
        <v>0</v>
      </c>
      <c r="CG35" s="249">
        <f t="shared" si="202"/>
        <v>0</v>
      </c>
      <c r="CH35" s="55" t="e">
        <f t="shared" si="203"/>
        <v>#DIV/0!</v>
      </c>
      <c r="CI35" s="55" t="e">
        <f t="shared" si="204"/>
        <v>#DIV/0!</v>
      </c>
      <c r="CJ35" s="55" t="e">
        <f t="shared" si="205"/>
        <v>#DIV/0!</v>
      </c>
      <c r="CK35" s="252" t="e">
        <f t="shared" si="205"/>
        <v>#DIV/0!</v>
      </c>
      <c r="CL35" s="55" t="e">
        <f t="shared" si="206"/>
        <v>#DIV/0!</v>
      </c>
      <c r="CN35" s="66" t="s">
        <v>3</v>
      </c>
      <c r="CO35" s="54">
        <f t="shared" si="228"/>
        <v>0</v>
      </c>
      <c r="CP35" s="55">
        <f t="shared" si="207"/>
        <v>0</v>
      </c>
      <c r="CQ35" s="55">
        <f t="shared" si="208"/>
        <v>0</v>
      </c>
      <c r="CR35" s="55">
        <f t="shared" si="209"/>
        <v>0</v>
      </c>
      <c r="CS35" s="58">
        <f t="shared" si="210"/>
        <v>0</v>
      </c>
      <c r="CT35" s="55">
        <f t="shared" si="211"/>
        <v>0</v>
      </c>
      <c r="CU35" s="55">
        <f t="shared" si="212"/>
        <v>0</v>
      </c>
      <c r="CV35" s="249">
        <f t="shared" si="213"/>
        <v>0</v>
      </c>
      <c r="CW35" s="55" t="e">
        <f t="shared" si="214"/>
        <v>#DIV/0!</v>
      </c>
      <c r="CX35" s="55" t="e">
        <f t="shared" si="215"/>
        <v>#DIV/0!</v>
      </c>
      <c r="CY35" s="55" t="e">
        <f t="shared" si="216"/>
        <v>#DIV/0!</v>
      </c>
      <c r="CZ35" s="252" t="e">
        <f t="shared" si="216"/>
        <v>#DIV/0!</v>
      </c>
      <c r="DA35" s="62" t="e">
        <f t="shared" si="217"/>
        <v>#DIV/0!</v>
      </c>
      <c r="DC35" s="66" t="s">
        <v>3</v>
      </c>
      <c r="DD35" s="198">
        <f t="shared" si="229"/>
        <v>0</v>
      </c>
      <c r="DE35" s="199">
        <f t="shared" si="230"/>
        <v>0</v>
      </c>
      <c r="DF35" s="198">
        <f t="shared" si="231"/>
        <v>0</v>
      </c>
      <c r="DG35" s="199">
        <f t="shared" si="232"/>
        <v>0</v>
      </c>
      <c r="DH35" s="198">
        <f t="shared" si="233"/>
        <v>0</v>
      </c>
      <c r="DI35" s="199">
        <f t="shared" si="234"/>
        <v>0</v>
      </c>
      <c r="DJ35" s="198">
        <f t="shared" si="235"/>
        <v>0</v>
      </c>
      <c r="DK35" s="199">
        <f t="shared" si="236"/>
        <v>0</v>
      </c>
      <c r="DL35" s="193">
        <f t="shared" si="237"/>
        <v>0</v>
      </c>
      <c r="DM35" s="194">
        <f t="shared" si="238"/>
        <v>0</v>
      </c>
      <c r="DN35" s="198">
        <f t="shared" si="239"/>
        <v>0</v>
      </c>
      <c r="DO35" s="199">
        <f t="shared" si="240"/>
        <v>0</v>
      </c>
      <c r="DP35" s="198">
        <f t="shared" si="241"/>
        <v>0</v>
      </c>
      <c r="DQ35" s="199">
        <f t="shared" si="242"/>
        <v>0</v>
      </c>
      <c r="DR35" s="198">
        <f t="shared" si="243"/>
        <v>0</v>
      </c>
      <c r="DS35" s="199">
        <f t="shared" si="244"/>
        <v>0</v>
      </c>
      <c r="DT35" s="198" t="e">
        <f t="shared" si="245"/>
        <v>#DIV/0!</v>
      </c>
      <c r="DU35" s="199">
        <f t="shared" si="246"/>
        <v>0</v>
      </c>
      <c r="DV35" s="198" t="e">
        <f t="shared" si="247"/>
        <v>#DIV/0!</v>
      </c>
      <c r="DW35" s="199">
        <f t="shared" si="248"/>
        <v>0</v>
      </c>
      <c r="DX35" s="198" t="e">
        <f t="shared" si="249"/>
        <v>#DIV/0!</v>
      </c>
      <c r="DY35" s="199">
        <f t="shared" si="250"/>
        <v>0</v>
      </c>
      <c r="DZ35" s="190" t="e">
        <f t="shared" si="251"/>
        <v>#DIV/0!</v>
      </c>
      <c r="EA35" s="199">
        <f t="shared" si="218"/>
        <v>0</v>
      </c>
      <c r="EB35" s="190" t="e">
        <f t="shared" si="252"/>
        <v>#DIV/0!</v>
      </c>
      <c r="EC35" s="190" t="e">
        <f t="shared" si="253"/>
        <v>#DIV/0!</v>
      </c>
    </row>
    <row r="36" spans="1:133" x14ac:dyDescent="0.2">
      <c r="A36" s="66" t="s">
        <v>5</v>
      </c>
      <c r="B36" s="38">
        <f>targets!AW35</f>
        <v>0</v>
      </c>
      <c r="C36" s="245">
        <f>targets!AX35</f>
        <v>0</v>
      </c>
      <c r="D36" s="245">
        <f>targets!AY35</f>
        <v>0</v>
      </c>
      <c r="E36" s="245">
        <f>targets!AZ35</f>
        <v>0</v>
      </c>
      <c r="F36" s="245">
        <f>targets!BA35</f>
        <v>0</v>
      </c>
      <c r="G36" s="39">
        <f>SUM(targets!BB35:BG35)</f>
        <v>24446.757318081105</v>
      </c>
      <c r="H36" s="245">
        <f>SUM(targets!BH35:BM35)</f>
        <v>0</v>
      </c>
      <c r="I36" s="246">
        <f t="shared" si="254"/>
        <v>24446.757318081105</v>
      </c>
      <c r="J36" s="245">
        <f>targets!BN35</f>
        <v>0</v>
      </c>
      <c r="K36" s="245">
        <f>targets!BO35</f>
        <v>0</v>
      </c>
      <c r="L36" s="245">
        <f>targets!BP35</f>
        <v>0</v>
      </c>
      <c r="M36" s="178">
        <f t="shared" si="255"/>
        <v>0</v>
      </c>
      <c r="N36" s="17">
        <f t="shared" si="219"/>
        <v>24446.757318081105</v>
      </c>
      <c r="O36" s="17"/>
      <c r="P36" s="17"/>
      <c r="Q36" s="66" t="s">
        <v>5</v>
      </c>
      <c r="R36" s="38">
        <f t="shared" si="220"/>
        <v>0</v>
      </c>
      <c r="S36" s="245">
        <f t="shared" si="185"/>
        <v>0</v>
      </c>
      <c r="T36" s="245">
        <f t="shared" si="186"/>
        <v>0</v>
      </c>
      <c r="U36" s="245">
        <f t="shared" si="187"/>
        <v>0</v>
      </c>
      <c r="V36" s="245">
        <f t="shared" si="188"/>
        <v>0</v>
      </c>
      <c r="W36" s="39">
        <f t="shared" si="189"/>
        <v>0</v>
      </c>
      <c r="X36" s="245">
        <f t="shared" si="190"/>
        <v>0</v>
      </c>
      <c r="Y36" s="246">
        <f t="shared" si="221"/>
        <v>0</v>
      </c>
      <c r="Z36" s="245" t="e">
        <f t="shared" si="191"/>
        <v>#DIV/0!</v>
      </c>
      <c r="AA36" s="245" t="e">
        <f t="shared" si="192"/>
        <v>#DIV/0!</v>
      </c>
      <c r="AB36" s="245" t="e">
        <f t="shared" si="193"/>
        <v>#DIV/0!</v>
      </c>
      <c r="AC36" s="178" t="e">
        <f t="shared" si="256"/>
        <v>#DIV/0!</v>
      </c>
      <c r="AD36" s="17" t="e">
        <f t="shared" si="222"/>
        <v>#DIV/0!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5">
        <f t="array" ref="AH36">SUM(IF((modeldata!$F:$F=calibration!$AF$28)*(modeldata!$G:$G=calibration!AH$30)*(modeldata!$H:$H=calibration!$AF36),modeldata!$E:$E,0))</f>
        <v>0</v>
      </c>
      <c r="AI36" s="245">
        <f t="array" ref="AI36">SUM(IF((modeldata!$F:$F=calibration!$AF$28)*(modeldata!$G:$G=calibration!AI$30)*(modeldata!$H:$H=calibration!$AF36),modeldata!$E:$E,0))</f>
        <v>0</v>
      </c>
      <c r="AJ36" s="245">
        <f t="array" ref="AJ36">SUM(IF((modeldata!$F:$F=calibration!$AF$28)*(modeldata!$G:$G=calibration!AJ$30)*(modeldata!$H:$H=calibration!$AF36),modeldata!$E:$E,0))</f>
        <v>0</v>
      </c>
      <c r="AK36" s="245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5">
        <f t="array" ref="AM36">SUM(IF((modeldata!$F:$F=calibration!$AF$28)*(modeldata!$G:$G=calibration!AM$30)*(modeldata!$H:$H=calibration!$AF36),modeldata!$E:$E,0))</f>
        <v>0</v>
      </c>
      <c r="AN36" s="246">
        <f t="shared" ref="AN36:AN41" si="264">AL36+AM36+AL42+AM42</f>
        <v>0</v>
      </c>
      <c r="AO36" s="245">
        <f t="array" ref="AO36">SUM(IF((modeldata!$F:$F=calibration!$AF$28)*(modeldata!$G:$G=calibration!AO$30)*(modeldata!$H:$H=calibration!$AF36),modeldata!$E:$E,0))</f>
        <v>0</v>
      </c>
      <c r="AP36" s="245">
        <f t="array" ref="AP36">SUM(IF((modeldata!$F:$F=calibration!$AF$28)*(modeldata!$G:$G=calibration!AP$30)*(modeldata!$H:$H=calibration!$AF36),modeldata!$E:$E,0))</f>
        <v>0</v>
      </c>
      <c r="AQ36" s="245">
        <f t="array" ref="AQ36">SUM(IF((modeldata!$F:$F=calibration!$AF$28)*(modeldata!$G:$G=calibration!AQ$30)*(modeldata!$H:$H=calibration!$AF36),modeldata!$E:$E,0))</f>
        <v>0</v>
      </c>
      <c r="AR36" s="178">
        <f t="shared" si="257"/>
        <v>0</v>
      </c>
      <c r="AS36" s="17">
        <f t="shared" si="224"/>
        <v>0</v>
      </c>
      <c r="AU36" s="66" t="s">
        <v>5</v>
      </c>
      <c r="AV36" s="38">
        <f t="shared" ref="AV36:BG36" si="265">IF(R51&gt;0,R36/R51,0)</f>
        <v>0</v>
      </c>
      <c r="AW36" s="245">
        <f t="shared" si="265"/>
        <v>0</v>
      </c>
      <c r="AX36" s="245">
        <f t="shared" si="265"/>
        <v>0</v>
      </c>
      <c r="AY36" s="245">
        <f t="shared" si="265"/>
        <v>0</v>
      </c>
      <c r="AZ36" s="245">
        <f t="shared" si="265"/>
        <v>0</v>
      </c>
      <c r="BA36" s="39">
        <f t="shared" si="265"/>
        <v>0</v>
      </c>
      <c r="BB36" s="245">
        <f t="shared" si="265"/>
        <v>0</v>
      </c>
      <c r="BC36" s="246">
        <f t="shared" si="265"/>
        <v>0</v>
      </c>
      <c r="BD36" s="245" t="e">
        <f t="shared" si="265"/>
        <v>#DIV/0!</v>
      </c>
      <c r="BE36" s="245" t="e">
        <f t="shared" si="265"/>
        <v>#DIV/0!</v>
      </c>
      <c r="BF36" s="245" t="e">
        <f t="shared" si="265"/>
        <v>#DIV/0!</v>
      </c>
      <c r="BG36" s="178" t="e">
        <f t="shared" si="265"/>
        <v>#DIV/0!</v>
      </c>
      <c r="BH36" s="24" t="e">
        <f>AD36/AD51</f>
        <v>#DIV/0!</v>
      </c>
      <c r="BJ36" s="66" t="s">
        <v>5</v>
      </c>
      <c r="BK36" s="38">
        <f t="shared" ref="BK36:BV36" si="266">IF(AG51&gt;0,AG36/AG51,0)</f>
        <v>0</v>
      </c>
      <c r="BL36" s="245">
        <f t="shared" si="266"/>
        <v>0</v>
      </c>
      <c r="BM36" s="245">
        <f t="shared" si="266"/>
        <v>0</v>
      </c>
      <c r="BN36" s="245">
        <f t="shared" si="266"/>
        <v>0</v>
      </c>
      <c r="BO36" s="245">
        <f t="shared" si="266"/>
        <v>0</v>
      </c>
      <c r="BP36" s="39">
        <f t="shared" si="266"/>
        <v>0</v>
      </c>
      <c r="BQ36" s="245">
        <f t="shared" si="266"/>
        <v>0</v>
      </c>
      <c r="BR36" s="246">
        <f t="shared" si="266"/>
        <v>0</v>
      </c>
      <c r="BS36" s="245">
        <f t="shared" si="266"/>
        <v>0</v>
      </c>
      <c r="BT36" s="245">
        <f t="shared" si="266"/>
        <v>0</v>
      </c>
      <c r="BU36" s="245">
        <f t="shared" si="266"/>
        <v>0</v>
      </c>
      <c r="BV36" s="178">
        <f t="shared" si="266"/>
        <v>0</v>
      </c>
      <c r="BW36" s="24" t="e">
        <f>AS36/AS51</f>
        <v>#DIV/0!</v>
      </c>
      <c r="BX36" s="24"/>
      <c r="BY36" s="66" t="s">
        <v>5</v>
      </c>
      <c r="BZ36" s="54">
        <f t="shared" si="227"/>
        <v>0</v>
      </c>
      <c r="CA36" s="55">
        <f t="shared" si="196"/>
        <v>0</v>
      </c>
      <c r="CB36" s="55">
        <f t="shared" si="197"/>
        <v>0</v>
      </c>
      <c r="CC36" s="55">
        <f t="shared" si="198"/>
        <v>0</v>
      </c>
      <c r="CD36" s="55">
        <f t="shared" si="199"/>
        <v>0</v>
      </c>
      <c r="CE36" s="59">
        <f t="shared" si="200"/>
        <v>0</v>
      </c>
      <c r="CF36" s="55">
        <f t="shared" si="201"/>
        <v>0</v>
      </c>
      <c r="CG36" s="249">
        <f t="shared" si="202"/>
        <v>0</v>
      </c>
      <c r="CH36" s="55" t="e">
        <f t="shared" si="203"/>
        <v>#DIV/0!</v>
      </c>
      <c r="CI36" s="55" t="e">
        <f t="shared" si="204"/>
        <v>#DIV/0!</v>
      </c>
      <c r="CJ36" s="55" t="e">
        <f t="shared" si="205"/>
        <v>#DIV/0!</v>
      </c>
      <c r="CK36" s="252" t="e">
        <f t="shared" si="205"/>
        <v>#DIV/0!</v>
      </c>
      <c r="CL36" s="55" t="e">
        <f t="shared" si="206"/>
        <v>#DIV/0!</v>
      </c>
      <c r="CN36" s="66" t="s">
        <v>5</v>
      </c>
      <c r="CO36" s="54">
        <f t="shared" si="228"/>
        <v>0</v>
      </c>
      <c r="CP36" s="55">
        <f t="shared" si="207"/>
        <v>0</v>
      </c>
      <c r="CQ36" s="55">
        <f t="shared" si="208"/>
        <v>0</v>
      </c>
      <c r="CR36" s="55">
        <f t="shared" si="209"/>
        <v>0</v>
      </c>
      <c r="CS36" s="55">
        <f t="shared" si="210"/>
        <v>0</v>
      </c>
      <c r="CT36" s="59">
        <f t="shared" si="211"/>
        <v>0</v>
      </c>
      <c r="CU36" s="55">
        <f t="shared" si="212"/>
        <v>0</v>
      </c>
      <c r="CV36" s="249">
        <f t="shared" si="213"/>
        <v>0</v>
      </c>
      <c r="CW36" s="55" t="e">
        <f t="shared" si="214"/>
        <v>#DIV/0!</v>
      </c>
      <c r="CX36" s="55" t="e">
        <f t="shared" si="215"/>
        <v>#DIV/0!</v>
      </c>
      <c r="CY36" s="55" t="e">
        <f t="shared" si="216"/>
        <v>#DIV/0!</v>
      </c>
      <c r="CZ36" s="252" t="e">
        <f t="shared" si="216"/>
        <v>#DIV/0!</v>
      </c>
      <c r="DA36" s="62" t="e">
        <f t="shared" si="217"/>
        <v>#DIV/0!</v>
      </c>
      <c r="DC36" s="66" t="s">
        <v>5</v>
      </c>
      <c r="DD36" s="198">
        <f t="shared" si="229"/>
        <v>0</v>
      </c>
      <c r="DE36" s="199">
        <f t="shared" si="230"/>
        <v>0</v>
      </c>
      <c r="DF36" s="198">
        <f t="shared" si="231"/>
        <v>0</v>
      </c>
      <c r="DG36" s="199">
        <f t="shared" si="232"/>
        <v>0</v>
      </c>
      <c r="DH36" s="198">
        <f t="shared" si="233"/>
        <v>0</v>
      </c>
      <c r="DI36" s="199">
        <f t="shared" si="234"/>
        <v>0</v>
      </c>
      <c r="DJ36" s="198">
        <f t="shared" si="235"/>
        <v>0</v>
      </c>
      <c r="DK36" s="199">
        <f t="shared" si="236"/>
        <v>0</v>
      </c>
      <c r="DL36" s="198">
        <f t="shared" si="237"/>
        <v>0</v>
      </c>
      <c r="DM36" s="199">
        <f t="shared" si="238"/>
        <v>0</v>
      </c>
      <c r="DN36" s="195">
        <f t="shared" si="239"/>
        <v>0</v>
      </c>
      <c r="DO36" s="196">
        <f t="shared" si="240"/>
        <v>0</v>
      </c>
      <c r="DP36" s="198">
        <f t="shared" si="241"/>
        <v>0</v>
      </c>
      <c r="DQ36" s="199">
        <f t="shared" si="242"/>
        <v>0</v>
      </c>
      <c r="DR36" s="198">
        <f t="shared" si="243"/>
        <v>0</v>
      </c>
      <c r="DS36" s="199">
        <f t="shared" si="244"/>
        <v>0</v>
      </c>
      <c r="DT36" s="198" t="e">
        <f t="shared" si="245"/>
        <v>#DIV/0!</v>
      </c>
      <c r="DU36" s="199">
        <f t="shared" si="246"/>
        <v>0</v>
      </c>
      <c r="DV36" s="198" t="e">
        <f t="shared" si="247"/>
        <v>#DIV/0!</v>
      </c>
      <c r="DW36" s="199">
        <f t="shared" si="248"/>
        <v>0</v>
      </c>
      <c r="DX36" s="198" t="e">
        <f t="shared" si="249"/>
        <v>#DIV/0!</v>
      </c>
      <c r="DY36" s="199">
        <f t="shared" si="250"/>
        <v>0</v>
      </c>
      <c r="DZ36" s="190" t="e">
        <f t="shared" si="251"/>
        <v>#DIV/0!</v>
      </c>
      <c r="EA36" s="199">
        <f t="shared" si="218"/>
        <v>0</v>
      </c>
      <c r="EB36" s="190" t="e">
        <f t="shared" si="252"/>
        <v>#DIV/0!</v>
      </c>
      <c r="EC36" s="190" t="e">
        <f t="shared" si="253"/>
        <v>#DIV/0!</v>
      </c>
    </row>
    <row r="37" spans="1:133" ht="25.5" x14ac:dyDescent="0.2">
      <c r="A37" s="66" t="s">
        <v>346</v>
      </c>
      <c r="B37" s="38">
        <f>targets!AW36</f>
        <v>0</v>
      </c>
      <c r="C37" s="245">
        <f>targets!AX36</f>
        <v>0</v>
      </c>
      <c r="D37" s="245">
        <f>targets!AY36</f>
        <v>0</v>
      </c>
      <c r="E37" s="245">
        <f>targets!AZ36</f>
        <v>0</v>
      </c>
      <c r="F37" s="245">
        <f>targets!BA36</f>
        <v>0</v>
      </c>
      <c r="G37" s="40">
        <f>SUM(targets!BB36:BG36)</f>
        <v>3431.1066550151259</v>
      </c>
      <c r="H37" s="245">
        <f>SUM(targets!BH36:BM36)</f>
        <v>0</v>
      </c>
      <c r="I37" s="246">
        <f t="shared" si="254"/>
        <v>3431.1066550151259</v>
      </c>
      <c r="J37" s="245">
        <f>targets!BN36</f>
        <v>0</v>
      </c>
      <c r="K37" s="245">
        <f>targets!BO36</f>
        <v>0</v>
      </c>
      <c r="L37" s="245">
        <f>targets!BP36</f>
        <v>0</v>
      </c>
      <c r="M37" s="178">
        <f t="shared" si="255"/>
        <v>0</v>
      </c>
      <c r="N37" s="17">
        <f t="shared" si="219"/>
        <v>3431.1066550151259</v>
      </c>
      <c r="O37" s="17"/>
      <c r="P37" s="17"/>
      <c r="Q37" s="66" t="s">
        <v>346</v>
      </c>
      <c r="R37" s="38">
        <f t="shared" si="220"/>
        <v>0</v>
      </c>
      <c r="S37" s="245">
        <f t="shared" si="185"/>
        <v>0</v>
      </c>
      <c r="T37" s="245">
        <f t="shared" si="186"/>
        <v>0</v>
      </c>
      <c r="U37" s="245">
        <f t="shared" si="187"/>
        <v>0</v>
      </c>
      <c r="V37" s="245">
        <f t="shared" si="188"/>
        <v>0</v>
      </c>
      <c r="W37" s="40">
        <f t="shared" si="189"/>
        <v>0</v>
      </c>
      <c r="X37" s="245">
        <f t="shared" si="190"/>
        <v>0</v>
      </c>
      <c r="Y37" s="246">
        <f t="shared" si="221"/>
        <v>0</v>
      </c>
      <c r="Z37" s="245" t="e">
        <f t="shared" si="191"/>
        <v>#DIV/0!</v>
      </c>
      <c r="AA37" s="245" t="e">
        <f t="shared" si="192"/>
        <v>#DIV/0!</v>
      </c>
      <c r="AB37" s="245" t="e">
        <f t="shared" si="193"/>
        <v>#DIV/0!</v>
      </c>
      <c r="AC37" s="178" t="e">
        <f t="shared" si="256"/>
        <v>#DIV/0!</v>
      </c>
      <c r="AD37" s="17" t="e">
        <f t="shared" si="222"/>
        <v>#DIV/0!</v>
      </c>
      <c r="AF37" s="66" t="s">
        <v>43</v>
      </c>
      <c r="AG37" s="38">
        <f t="array" ref="AG37">SUM(IF((modeldata!$F:$F=calibration!$AF$28)*(modeldata!$G:$G=calibration!AG$30)*(modeldata!$H:$H=calibration!$AF37),modeldata!$E:$E,0))</f>
        <v>0</v>
      </c>
      <c r="AH37" s="245">
        <f t="array" ref="AH37">SUM(IF((modeldata!$F:$F=calibration!$AF$28)*(modeldata!$G:$G=calibration!AH$30)*(modeldata!$H:$H=calibration!$AF37),modeldata!$E:$E,0))</f>
        <v>0</v>
      </c>
      <c r="AI37" s="245">
        <f t="array" ref="AI37">SUM(IF((modeldata!$F:$F=calibration!$AF$28)*(modeldata!$G:$G=calibration!AI$30)*(modeldata!$H:$H=calibration!$AF37),modeldata!$E:$E,0))</f>
        <v>0</v>
      </c>
      <c r="AJ37" s="245">
        <f t="array" ref="AJ37">SUM(IF((modeldata!$F:$F=calibration!$AF$28)*(modeldata!$G:$G=calibration!AJ$30)*(modeldata!$H:$H=calibration!$AF37),modeldata!$E:$E,0))</f>
        <v>0</v>
      </c>
      <c r="AK37" s="245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5">
        <f t="array" ref="AM37">SUM(IF((modeldata!$F:$F=calibration!$AF$28)*(modeldata!$G:$G=calibration!AM$30)*(modeldata!$H:$H=calibration!$AF37),modeldata!$E:$E,0))</f>
        <v>0</v>
      </c>
      <c r="AN37" s="246">
        <f t="shared" si="264"/>
        <v>0</v>
      </c>
      <c r="AO37" s="245">
        <f t="array" ref="AO37">SUM(IF((modeldata!$F:$F=calibration!$AF$28)*(modeldata!$G:$G=calibration!AO$30)*(modeldata!$H:$H=calibration!$AF37),modeldata!$E:$E,0))</f>
        <v>0</v>
      </c>
      <c r="AP37" s="245">
        <f t="array" ref="AP37">SUM(IF((modeldata!$F:$F=calibration!$AF$28)*(modeldata!$G:$G=calibration!AP$30)*(modeldata!$H:$H=calibration!$AF37),modeldata!$E:$E,0))</f>
        <v>0</v>
      </c>
      <c r="AQ37" s="245">
        <f t="array" ref="AQ37">SUM(IF((modeldata!$F:$F=calibration!$AF$28)*(modeldata!$G:$G=calibration!AQ$30)*(modeldata!$H:$H=calibration!$AF37),modeldata!$E:$E,0))</f>
        <v>0</v>
      </c>
      <c r="AR37" s="178">
        <f t="shared" si="257"/>
        <v>0</v>
      </c>
      <c r="AS37" s="17">
        <f t="shared" si="224"/>
        <v>0</v>
      </c>
      <c r="AU37" s="66" t="s">
        <v>346</v>
      </c>
      <c r="AV37" s="38">
        <f t="shared" ref="AV37:BG38" si="267">IF(R51&gt;0,R37/R51,0)</f>
        <v>0</v>
      </c>
      <c r="AW37" s="245">
        <f t="shared" si="267"/>
        <v>0</v>
      </c>
      <c r="AX37" s="245">
        <f t="shared" si="267"/>
        <v>0</v>
      </c>
      <c r="AY37" s="245">
        <f t="shared" si="267"/>
        <v>0</v>
      </c>
      <c r="AZ37" s="245">
        <f t="shared" si="267"/>
        <v>0</v>
      </c>
      <c r="BA37" s="40">
        <f t="shared" si="267"/>
        <v>0</v>
      </c>
      <c r="BB37" s="245">
        <f t="shared" si="267"/>
        <v>0</v>
      </c>
      <c r="BC37" s="246">
        <f t="shared" si="267"/>
        <v>0</v>
      </c>
      <c r="BD37" s="245" t="e">
        <f t="shared" si="267"/>
        <v>#DIV/0!</v>
      </c>
      <c r="BE37" s="245" t="e">
        <f t="shared" si="267"/>
        <v>#DIV/0!</v>
      </c>
      <c r="BF37" s="245" t="e">
        <f t="shared" si="267"/>
        <v>#DIV/0!</v>
      </c>
      <c r="BG37" s="178" t="e">
        <f t="shared" si="267"/>
        <v>#DIV/0!</v>
      </c>
      <c r="BH37" s="24" t="e">
        <f>AD37/AD51</f>
        <v>#DIV/0!</v>
      </c>
      <c r="BJ37" s="66" t="s">
        <v>346</v>
      </c>
      <c r="BK37" s="38">
        <f t="shared" ref="BK37:BV37" si="268">IF(AG51&gt;0,AG37/AG51,0)</f>
        <v>0</v>
      </c>
      <c r="BL37" s="245">
        <f t="shared" si="268"/>
        <v>0</v>
      </c>
      <c r="BM37" s="245">
        <f t="shared" si="268"/>
        <v>0</v>
      </c>
      <c r="BN37" s="245">
        <f t="shared" si="268"/>
        <v>0</v>
      </c>
      <c r="BO37" s="245">
        <f t="shared" si="268"/>
        <v>0</v>
      </c>
      <c r="BP37" s="40">
        <f t="shared" si="268"/>
        <v>0</v>
      </c>
      <c r="BQ37" s="245">
        <f t="shared" si="268"/>
        <v>0</v>
      </c>
      <c r="BR37" s="246">
        <f t="shared" si="268"/>
        <v>0</v>
      </c>
      <c r="BS37" s="245">
        <f t="shared" si="268"/>
        <v>0</v>
      </c>
      <c r="BT37" s="245">
        <f t="shared" si="268"/>
        <v>0</v>
      </c>
      <c r="BU37" s="245">
        <f t="shared" si="268"/>
        <v>0</v>
      </c>
      <c r="BV37" s="178">
        <f t="shared" si="268"/>
        <v>0</v>
      </c>
      <c r="BW37" s="24" t="e">
        <f>AS37/AS51</f>
        <v>#DIV/0!</v>
      </c>
      <c r="BX37" s="24"/>
      <c r="BY37" s="66" t="s">
        <v>346</v>
      </c>
      <c r="BZ37" s="54">
        <f t="shared" si="227"/>
        <v>0</v>
      </c>
      <c r="CA37" s="55">
        <f t="shared" si="196"/>
        <v>0</v>
      </c>
      <c r="CB37" s="55">
        <f t="shared" si="197"/>
        <v>0</v>
      </c>
      <c r="CC37" s="55">
        <f t="shared" si="198"/>
        <v>0</v>
      </c>
      <c r="CD37" s="55">
        <f t="shared" si="199"/>
        <v>0</v>
      </c>
      <c r="CE37" s="60">
        <f t="shared" si="200"/>
        <v>0</v>
      </c>
      <c r="CF37" s="55">
        <f t="shared" si="201"/>
        <v>0</v>
      </c>
      <c r="CG37" s="249">
        <f t="shared" si="202"/>
        <v>0</v>
      </c>
      <c r="CH37" s="55" t="e">
        <f t="shared" si="203"/>
        <v>#DIV/0!</v>
      </c>
      <c r="CI37" s="55" t="e">
        <f t="shared" si="204"/>
        <v>#DIV/0!</v>
      </c>
      <c r="CJ37" s="55" t="e">
        <f t="shared" si="205"/>
        <v>#DIV/0!</v>
      </c>
      <c r="CK37" s="252" t="e">
        <f t="shared" si="205"/>
        <v>#DIV/0!</v>
      </c>
      <c r="CL37" s="55" t="e">
        <f t="shared" si="206"/>
        <v>#DIV/0!</v>
      </c>
      <c r="CN37" s="66" t="s">
        <v>346</v>
      </c>
      <c r="CO37" s="54">
        <f t="shared" si="228"/>
        <v>0</v>
      </c>
      <c r="CP37" s="55">
        <f t="shared" si="207"/>
        <v>0</v>
      </c>
      <c r="CQ37" s="55">
        <f t="shared" si="208"/>
        <v>0</v>
      </c>
      <c r="CR37" s="55">
        <f t="shared" si="209"/>
        <v>0</v>
      </c>
      <c r="CS37" s="55">
        <f t="shared" si="210"/>
        <v>0</v>
      </c>
      <c r="CT37" s="60">
        <f t="shared" si="211"/>
        <v>0</v>
      </c>
      <c r="CU37" s="55">
        <f t="shared" si="212"/>
        <v>0</v>
      </c>
      <c r="CV37" s="249">
        <f t="shared" si="213"/>
        <v>0</v>
      </c>
      <c r="CW37" s="55" t="e">
        <f t="shared" si="214"/>
        <v>#DIV/0!</v>
      </c>
      <c r="CX37" s="55" t="e">
        <f t="shared" si="215"/>
        <v>#DIV/0!</v>
      </c>
      <c r="CY37" s="55" t="e">
        <f t="shared" si="216"/>
        <v>#DIV/0!</v>
      </c>
      <c r="CZ37" s="252" t="e">
        <f t="shared" si="216"/>
        <v>#DIV/0!</v>
      </c>
      <c r="DA37" s="62" t="e">
        <f t="shared" si="217"/>
        <v>#DIV/0!</v>
      </c>
      <c r="DC37" s="66" t="s">
        <v>346</v>
      </c>
      <c r="DD37" s="198">
        <f t="shared" si="229"/>
        <v>0</v>
      </c>
      <c r="DE37" s="199">
        <f t="shared" si="230"/>
        <v>0</v>
      </c>
      <c r="DF37" s="198">
        <f t="shared" si="231"/>
        <v>0</v>
      </c>
      <c r="DG37" s="199">
        <f t="shared" si="232"/>
        <v>0</v>
      </c>
      <c r="DH37" s="198">
        <f t="shared" si="233"/>
        <v>0</v>
      </c>
      <c r="DI37" s="199">
        <f t="shared" si="234"/>
        <v>0</v>
      </c>
      <c r="DJ37" s="198">
        <f t="shared" si="235"/>
        <v>0</v>
      </c>
      <c r="DK37" s="199">
        <f t="shared" si="236"/>
        <v>0</v>
      </c>
      <c r="DL37" s="198">
        <f t="shared" si="237"/>
        <v>0</v>
      </c>
      <c r="DM37" s="199">
        <f t="shared" si="238"/>
        <v>0</v>
      </c>
      <c r="DN37" s="198">
        <f t="shared" si="239"/>
        <v>0</v>
      </c>
      <c r="DO37" s="199">
        <f t="shared" si="240"/>
        <v>0</v>
      </c>
      <c r="DP37" s="198">
        <f t="shared" si="241"/>
        <v>0</v>
      </c>
      <c r="DQ37" s="199">
        <f t="shared" si="242"/>
        <v>0</v>
      </c>
      <c r="DR37" s="198">
        <f t="shared" si="243"/>
        <v>0</v>
      </c>
      <c r="DS37" s="199">
        <f t="shared" si="244"/>
        <v>0</v>
      </c>
      <c r="DT37" s="198" t="e">
        <f t="shared" si="245"/>
        <v>#DIV/0!</v>
      </c>
      <c r="DU37" s="199">
        <f t="shared" si="246"/>
        <v>0</v>
      </c>
      <c r="DV37" s="198" t="e">
        <f t="shared" si="247"/>
        <v>#DIV/0!</v>
      </c>
      <c r="DW37" s="199">
        <f t="shared" si="248"/>
        <v>0</v>
      </c>
      <c r="DX37" s="198" t="e">
        <f t="shared" si="249"/>
        <v>#DIV/0!</v>
      </c>
      <c r="DY37" s="199">
        <f t="shared" si="250"/>
        <v>0</v>
      </c>
      <c r="DZ37" s="190" t="e">
        <f t="shared" si="251"/>
        <v>#DIV/0!</v>
      </c>
      <c r="EA37" s="199">
        <f t="shared" si="218"/>
        <v>0</v>
      </c>
      <c r="EB37" s="190" t="e">
        <f t="shared" si="252"/>
        <v>#DIV/0!</v>
      </c>
      <c r="EC37" s="190" t="e">
        <f t="shared" si="253"/>
        <v>#DIV/0!</v>
      </c>
    </row>
    <row r="38" spans="1:133" x14ac:dyDescent="0.2">
      <c r="A38" s="2" t="s">
        <v>349</v>
      </c>
      <c r="B38" s="38">
        <f>targets!AW37</f>
        <v>0</v>
      </c>
      <c r="C38" s="245">
        <f>targets!AX37</f>
        <v>0</v>
      </c>
      <c r="D38" s="245">
        <f>targets!AY37</f>
        <v>0</v>
      </c>
      <c r="E38" s="245">
        <f>targets!AZ37</f>
        <v>0</v>
      </c>
      <c r="F38" s="245">
        <f>targets!BA37</f>
        <v>0</v>
      </c>
      <c r="G38" s="40">
        <f>SUM(targets!BB37:BG37)</f>
        <v>0</v>
      </c>
      <c r="H38" s="245">
        <f>SUM(targets!BH37:BM37)</f>
        <v>0</v>
      </c>
      <c r="I38" s="246">
        <f>SUM(G38:H38)</f>
        <v>0</v>
      </c>
      <c r="J38" s="245">
        <f>targets!BN37</f>
        <v>0</v>
      </c>
      <c r="K38" s="245">
        <f>targets!BO37</f>
        <v>0</v>
      </c>
      <c r="L38" s="245">
        <f>targets!BP37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349</v>
      </c>
      <c r="R38" s="38">
        <f t="shared" si="220"/>
        <v>0</v>
      </c>
      <c r="S38" s="245">
        <f t="shared" si="185"/>
        <v>0</v>
      </c>
      <c r="T38" s="245">
        <f t="shared" si="186"/>
        <v>0</v>
      </c>
      <c r="U38" s="245">
        <f t="shared" si="187"/>
        <v>0</v>
      </c>
      <c r="V38" s="245">
        <f t="shared" si="188"/>
        <v>0</v>
      </c>
      <c r="W38" s="40">
        <f t="shared" si="189"/>
        <v>0</v>
      </c>
      <c r="X38" s="245">
        <f t="shared" si="190"/>
        <v>0</v>
      </c>
      <c r="Y38" s="246">
        <f>SUM(W38:X38)</f>
        <v>0</v>
      </c>
      <c r="Z38" s="245" t="e">
        <f t="shared" si="191"/>
        <v>#DIV/0!</v>
      </c>
      <c r="AA38" s="245" t="e">
        <f t="shared" si="192"/>
        <v>#DIV/0!</v>
      </c>
      <c r="AB38" s="245" t="e">
        <f t="shared" si="193"/>
        <v>#DIV/0!</v>
      </c>
      <c r="AC38" s="178" t="e">
        <f>SUM(Z38:AB38)</f>
        <v>#DIV/0!</v>
      </c>
      <c r="AD38" s="17"/>
      <c r="AF38" s="2" t="s">
        <v>44</v>
      </c>
      <c r="AG38" s="38">
        <f t="array" ref="AG38">SUM(IF((modeldata!$F:$F=calibration!$AF$28)*(modeldata!$G:$G=calibration!AG$30)*(modeldata!$H:$H=calibration!$AF38),modeldata!$E:$E,0))</f>
        <v>0</v>
      </c>
      <c r="AH38" s="245">
        <f t="array" ref="AH38">SUM(IF((modeldata!$F:$F=calibration!$AF$28)*(modeldata!$G:$G=calibration!AH$30)*(modeldata!$H:$H=calibration!$AF38),modeldata!$E:$E,0))</f>
        <v>0</v>
      </c>
      <c r="AI38" s="245">
        <f t="array" ref="AI38">SUM(IF((modeldata!$F:$F=calibration!$AF$28)*(modeldata!$G:$G=calibration!AI$30)*(modeldata!$H:$H=calibration!$AF38),modeldata!$E:$E,0))</f>
        <v>0</v>
      </c>
      <c r="AJ38" s="245">
        <f t="array" ref="AJ38">SUM(IF((modeldata!$F:$F=calibration!$AF$28)*(modeldata!$G:$G=calibration!AJ$30)*(modeldata!$H:$H=calibration!$AF38),modeldata!$E:$E,0))</f>
        <v>0</v>
      </c>
      <c r="AK38" s="245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5">
        <f t="array" ref="AM38">SUM(IF((modeldata!$F:$F=calibration!$AF$28)*(modeldata!$G:$G=calibration!AM$30)*(modeldata!$H:$H=calibration!$AF38),modeldata!$E:$E,0))</f>
        <v>0</v>
      </c>
      <c r="AN38" s="246">
        <f t="shared" si="264"/>
        <v>0</v>
      </c>
      <c r="AO38" s="245">
        <f t="array" ref="AO38">SUM(IF((modeldata!$F:$F=calibration!$AF$28)*(modeldata!$G:$G=calibration!AO$30)*(modeldata!$H:$H=calibration!$AF38),modeldata!$E:$E,0))</f>
        <v>0</v>
      </c>
      <c r="AP38" s="245">
        <f t="array" ref="AP38">SUM(IF((modeldata!$F:$F=calibration!$AF$28)*(modeldata!$G:$G=calibration!AP$30)*(modeldata!$H:$H=calibration!$AF38),modeldata!$E:$E,0))</f>
        <v>0</v>
      </c>
      <c r="AQ38" s="245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349</v>
      </c>
      <c r="AV38" s="38">
        <f t="shared" si="267"/>
        <v>0</v>
      </c>
      <c r="AW38" s="245">
        <f t="shared" si="267"/>
        <v>0</v>
      </c>
      <c r="AX38" s="245">
        <f t="shared" si="267"/>
        <v>0</v>
      </c>
      <c r="AY38" s="245">
        <f t="shared" si="267"/>
        <v>0</v>
      </c>
      <c r="AZ38" s="245">
        <f t="shared" si="267"/>
        <v>0</v>
      </c>
      <c r="BA38" s="40">
        <f t="shared" si="267"/>
        <v>0</v>
      </c>
      <c r="BB38" s="245">
        <f t="shared" si="267"/>
        <v>0</v>
      </c>
      <c r="BC38" s="246">
        <f t="shared" si="267"/>
        <v>0</v>
      </c>
      <c r="BD38" s="245">
        <f t="shared" si="267"/>
        <v>0</v>
      </c>
      <c r="BE38" s="245">
        <f t="shared" si="267"/>
        <v>0</v>
      </c>
      <c r="BF38" s="245">
        <f t="shared" si="267"/>
        <v>0</v>
      </c>
      <c r="BG38" s="178">
        <f t="shared" si="267"/>
        <v>0</v>
      </c>
      <c r="BH38" s="24" t="e">
        <f>AD38/AD52</f>
        <v>#DIV/0!</v>
      </c>
      <c r="BJ38" s="2" t="s">
        <v>349</v>
      </c>
      <c r="BK38" s="38">
        <f t="shared" ref="BK38:BV38" si="269">IF(AG60&gt;0,AG38/AG60,0)</f>
        <v>0</v>
      </c>
      <c r="BL38" s="245">
        <f t="shared" si="269"/>
        <v>0</v>
      </c>
      <c r="BM38" s="245">
        <f t="shared" si="269"/>
        <v>0</v>
      </c>
      <c r="BN38" s="245">
        <f t="shared" si="269"/>
        <v>0</v>
      </c>
      <c r="BO38" s="245">
        <f t="shared" si="269"/>
        <v>0</v>
      </c>
      <c r="BP38" s="40">
        <f t="shared" si="269"/>
        <v>0</v>
      </c>
      <c r="BQ38" s="245">
        <f t="shared" si="269"/>
        <v>0</v>
      </c>
      <c r="BR38" s="246">
        <f t="shared" si="269"/>
        <v>0</v>
      </c>
      <c r="BS38" s="245">
        <f t="shared" si="269"/>
        <v>0</v>
      </c>
      <c r="BT38" s="245">
        <f t="shared" si="269"/>
        <v>0</v>
      </c>
      <c r="BU38" s="245">
        <f t="shared" si="269"/>
        <v>0</v>
      </c>
      <c r="BV38" s="178">
        <f t="shared" si="269"/>
        <v>0</v>
      </c>
      <c r="BW38" s="24" t="e">
        <f>AS38/AS60</f>
        <v>#DIV/0!</v>
      </c>
      <c r="BX38" s="24"/>
      <c r="BY38" s="2" t="s">
        <v>349</v>
      </c>
      <c r="BZ38" s="54">
        <f t="shared" ref="BZ38:CL38" si="270">AG38-R38</f>
        <v>0</v>
      </c>
      <c r="CA38" s="55">
        <f t="shared" si="270"/>
        <v>0</v>
      </c>
      <c r="CB38" s="55">
        <f t="shared" si="270"/>
        <v>0</v>
      </c>
      <c r="CC38" s="55">
        <f t="shared" si="270"/>
        <v>0</v>
      </c>
      <c r="CD38" s="55">
        <f t="shared" si="270"/>
        <v>0</v>
      </c>
      <c r="CE38" s="60">
        <f t="shared" si="270"/>
        <v>0</v>
      </c>
      <c r="CF38" s="55">
        <f t="shared" si="270"/>
        <v>0</v>
      </c>
      <c r="CG38" s="249">
        <f t="shared" si="270"/>
        <v>0</v>
      </c>
      <c r="CH38" s="55" t="e">
        <f t="shared" si="270"/>
        <v>#DIV/0!</v>
      </c>
      <c r="CI38" s="55" t="e">
        <f t="shared" si="270"/>
        <v>#DIV/0!</v>
      </c>
      <c r="CJ38" s="55" t="e">
        <f t="shared" si="270"/>
        <v>#DIV/0!</v>
      </c>
      <c r="CK38" s="252" t="e">
        <f t="shared" si="270"/>
        <v>#DIV/0!</v>
      </c>
      <c r="CL38" s="55">
        <f t="shared" si="270"/>
        <v>0</v>
      </c>
      <c r="CN38" s="2" t="s">
        <v>349</v>
      </c>
      <c r="CO38" s="54">
        <f t="shared" ref="CO38:DA38" si="271">BK38-AV38</f>
        <v>0</v>
      </c>
      <c r="CP38" s="55">
        <f t="shared" si="271"/>
        <v>0</v>
      </c>
      <c r="CQ38" s="55">
        <f t="shared" si="271"/>
        <v>0</v>
      </c>
      <c r="CR38" s="55">
        <f t="shared" si="271"/>
        <v>0</v>
      </c>
      <c r="CS38" s="55">
        <f t="shared" si="271"/>
        <v>0</v>
      </c>
      <c r="CT38" s="60">
        <f t="shared" si="271"/>
        <v>0</v>
      </c>
      <c r="CU38" s="55">
        <f t="shared" si="271"/>
        <v>0</v>
      </c>
      <c r="CV38" s="249">
        <f t="shared" si="271"/>
        <v>0</v>
      </c>
      <c r="CW38" s="55">
        <f t="shared" si="271"/>
        <v>0</v>
      </c>
      <c r="CX38" s="55">
        <f t="shared" si="271"/>
        <v>0</v>
      </c>
      <c r="CY38" s="55">
        <f t="shared" si="271"/>
        <v>0</v>
      </c>
      <c r="CZ38" s="252">
        <f t="shared" si="271"/>
        <v>0</v>
      </c>
      <c r="DA38" s="62" t="e">
        <f t="shared" si="271"/>
        <v>#DIV/0!</v>
      </c>
      <c r="DC38" s="2" t="s">
        <v>349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targets!AW38</f>
        <v>0</v>
      </c>
      <c r="C39" s="245">
        <f>targets!AX38</f>
        <v>0</v>
      </c>
      <c r="D39" s="245">
        <f>targets!AY38</f>
        <v>0</v>
      </c>
      <c r="E39" s="245">
        <f>targets!AZ38</f>
        <v>0</v>
      </c>
      <c r="F39" s="245">
        <f>targets!BA38</f>
        <v>0</v>
      </c>
      <c r="G39" s="40">
        <f>SUM(targets!BB38:BG38)</f>
        <v>0</v>
      </c>
      <c r="H39" s="245">
        <f>SUM(targets!BH38:BM38)</f>
        <v>0</v>
      </c>
      <c r="I39" s="246">
        <f t="shared" si="254"/>
        <v>0</v>
      </c>
      <c r="J39" s="245">
        <f>targets!BN38</f>
        <v>0</v>
      </c>
      <c r="K39" s="245">
        <f>targets!BO38</f>
        <v>0</v>
      </c>
      <c r="L39" s="245">
        <f>targets!BP38</f>
        <v>0</v>
      </c>
      <c r="M39" s="178">
        <f t="shared" si="255"/>
        <v>0</v>
      </c>
      <c r="N39" s="17">
        <f t="shared" si="219"/>
        <v>0</v>
      </c>
      <c r="O39" s="17"/>
      <c r="P39" s="17"/>
      <c r="Q39" s="64" t="s">
        <v>45</v>
      </c>
      <c r="R39" s="38">
        <f t="shared" si="220"/>
        <v>0</v>
      </c>
      <c r="S39" s="245">
        <f t="shared" si="185"/>
        <v>0</v>
      </c>
      <c r="T39" s="245">
        <f t="shared" si="186"/>
        <v>0</v>
      </c>
      <c r="U39" s="245">
        <f t="shared" si="187"/>
        <v>0</v>
      </c>
      <c r="V39" s="245">
        <f t="shared" si="188"/>
        <v>0</v>
      </c>
      <c r="W39" s="40">
        <f t="shared" si="189"/>
        <v>0</v>
      </c>
      <c r="X39" s="245">
        <f t="shared" si="190"/>
        <v>0</v>
      </c>
      <c r="Y39" s="246">
        <f t="shared" si="221"/>
        <v>0</v>
      </c>
      <c r="Z39" s="245" t="e">
        <f t="shared" si="191"/>
        <v>#DIV/0!</v>
      </c>
      <c r="AA39" s="245" t="e">
        <f t="shared" si="192"/>
        <v>#DIV/0!</v>
      </c>
      <c r="AB39" s="245" t="e">
        <f t="shared" si="193"/>
        <v>#DIV/0!</v>
      </c>
      <c r="AC39" s="178" t="e">
        <f t="shared" si="256"/>
        <v>#DIV/0!</v>
      </c>
      <c r="AD39" s="17" t="e">
        <f t="shared" si="222"/>
        <v>#DIV/0!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5">
        <f t="array" ref="AH39">SUM(IF((modeldata!$F:$F=calibration!$AF$28)*(modeldata!$G:$G=calibration!AH$30)*(modeldata!$H:$H=calibration!$AF39),modeldata!$E:$E,0))</f>
        <v>0</v>
      </c>
      <c r="AI39" s="245">
        <f t="array" ref="AI39">SUM(IF((modeldata!$F:$F=calibration!$AF$28)*(modeldata!$G:$G=calibration!AI$30)*(modeldata!$H:$H=calibration!$AF39),modeldata!$E:$E,0))</f>
        <v>0</v>
      </c>
      <c r="AJ39" s="245">
        <f t="array" ref="AJ39">SUM(IF((modeldata!$F:$F=calibration!$AF$28)*(modeldata!$G:$G=calibration!AJ$30)*(modeldata!$H:$H=calibration!$AF39),modeldata!$E:$E,0))</f>
        <v>0</v>
      </c>
      <c r="AK39" s="245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5">
        <f t="array" ref="AM39">SUM(IF((modeldata!$F:$F=calibration!$AF$28)*(modeldata!$G:$G=calibration!AM$30)*(modeldata!$H:$H=calibration!$AF39),modeldata!$E:$E,0))</f>
        <v>0</v>
      </c>
      <c r="AN39" s="246">
        <f t="shared" si="264"/>
        <v>0</v>
      </c>
      <c r="AO39" s="245">
        <f t="array" ref="AO39">SUM(IF((modeldata!$F:$F=calibration!$AF$28)*(modeldata!$G:$G=calibration!AO$30)*(modeldata!$H:$H=calibration!$AF39),modeldata!$E:$E,0))</f>
        <v>0</v>
      </c>
      <c r="AP39" s="245">
        <f t="array" ref="AP39">SUM(IF((modeldata!$F:$F=calibration!$AF$28)*(modeldata!$G:$G=calibration!AP$30)*(modeldata!$H:$H=calibration!$AF39),modeldata!$E:$E,0))</f>
        <v>0</v>
      </c>
      <c r="AQ39" s="245">
        <f t="array" ref="AQ39">SUM(IF((modeldata!$F:$F=calibration!$AF$28)*(modeldata!$G:$G=calibration!AQ$30)*(modeldata!$H:$H=calibration!$AF39),modeldata!$E:$E,0))</f>
        <v>0</v>
      </c>
      <c r="AR39" s="178">
        <f t="shared" si="257"/>
        <v>0</v>
      </c>
      <c r="AS39" s="17">
        <f t="shared" si="224"/>
        <v>0</v>
      </c>
      <c r="AU39" s="64" t="s">
        <v>45</v>
      </c>
      <c r="AV39" s="38">
        <f t="shared" ref="AV39:BG39" si="272">IF(R51&gt;0,R39/R51,0)</f>
        <v>0</v>
      </c>
      <c r="AW39" s="245">
        <f t="shared" si="272"/>
        <v>0</v>
      </c>
      <c r="AX39" s="245">
        <f t="shared" si="272"/>
        <v>0</v>
      </c>
      <c r="AY39" s="245">
        <f t="shared" si="272"/>
        <v>0</v>
      </c>
      <c r="AZ39" s="245">
        <f t="shared" si="272"/>
        <v>0</v>
      </c>
      <c r="BA39" s="40">
        <f t="shared" si="272"/>
        <v>0</v>
      </c>
      <c r="BB39" s="245">
        <f t="shared" si="272"/>
        <v>0</v>
      </c>
      <c r="BC39" s="246">
        <f t="shared" si="272"/>
        <v>0</v>
      </c>
      <c r="BD39" s="245" t="e">
        <f t="shared" si="272"/>
        <v>#DIV/0!</v>
      </c>
      <c r="BE39" s="245" t="e">
        <f t="shared" si="272"/>
        <v>#DIV/0!</v>
      </c>
      <c r="BF39" s="245" t="e">
        <f t="shared" si="272"/>
        <v>#DIV/0!</v>
      </c>
      <c r="BG39" s="178" t="e">
        <f t="shared" si="272"/>
        <v>#DIV/0!</v>
      </c>
      <c r="BH39" s="24" t="e">
        <f>AD39/AD51</f>
        <v>#DIV/0!</v>
      </c>
      <c r="BJ39" s="64" t="s">
        <v>45</v>
      </c>
      <c r="BK39" s="38">
        <f t="shared" ref="BK39:BV39" si="273">IF(AG51&gt;0,AG39/AG51,0)</f>
        <v>0</v>
      </c>
      <c r="BL39" s="245">
        <f t="shared" si="273"/>
        <v>0</v>
      </c>
      <c r="BM39" s="245">
        <f t="shared" si="273"/>
        <v>0</v>
      </c>
      <c r="BN39" s="245">
        <f t="shared" si="273"/>
        <v>0</v>
      </c>
      <c r="BO39" s="245">
        <f t="shared" si="273"/>
        <v>0</v>
      </c>
      <c r="BP39" s="40">
        <f t="shared" si="273"/>
        <v>0</v>
      </c>
      <c r="BQ39" s="245">
        <f t="shared" si="273"/>
        <v>0</v>
      </c>
      <c r="BR39" s="246">
        <f t="shared" si="273"/>
        <v>0</v>
      </c>
      <c r="BS39" s="245">
        <f t="shared" si="273"/>
        <v>0</v>
      </c>
      <c r="BT39" s="245">
        <f t="shared" si="273"/>
        <v>0</v>
      </c>
      <c r="BU39" s="245">
        <f t="shared" si="273"/>
        <v>0</v>
      </c>
      <c r="BV39" s="178">
        <f t="shared" si="273"/>
        <v>0</v>
      </c>
      <c r="BW39" s="24" t="e">
        <f>AS39/AS51</f>
        <v>#DIV/0!</v>
      </c>
      <c r="BX39" s="24"/>
      <c r="BY39" s="64" t="s">
        <v>45</v>
      </c>
      <c r="BZ39" s="54">
        <f t="shared" si="227"/>
        <v>0</v>
      </c>
      <c r="CA39" s="55">
        <f t="shared" si="196"/>
        <v>0</v>
      </c>
      <c r="CB39" s="55">
        <f t="shared" si="197"/>
        <v>0</v>
      </c>
      <c r="CC39" s="55">
        <f t="shared" si="198"/>
        <v>0</v>
      </c>
      <c r="CD39" s="55">
        <f t="shared" si="199"/>
        <v>0</v>
      </c>
      <c r="CE39" s="60">
        <f t="shared" si="200"/>
        <v>0</v>
      </c>
      <c r="CF39" s="55">
        <f t="shared" si="201"/>
        <v>0</v>
      </c>
      <c r="CG39" s="249">
        <f t="shared" si="202"/>
        <v>0</v>
      </c>
      <c r="CH39" s="55" t="e">
        <f t="shared" si="203"/>
        <v>#DIV/0!</v>
      </c>
      <c r="CI39" s="55" t="e">
        <f t="shared" si="204"/>
        <v>#DIV/0!</v>
      </c>
      <c r="CJ39" s="55" t="e">
        <f t="shared" si="205"/>
        <v>#DIV/0!</v>
      </c>
      <c r="CK39" s="252" t="e">
        <f t="shared" si="205"/>
        <v>#DIV/0!</v>
      </c>
      <c r="CL39" s="55" t="e">
        <f t="shared" si="206"/>
        <v>#DIV/0!</v>
      </c>
      <c r="CN39" s="64" t="s">
        <v>45</v>
      </c>
      <c r="CO39" s="54">
        <f t="shared" si="228"/>
        <v>0</v>
      </c>
      <c r="CP39" s="55">
        <f t="shared" si="207"/>
        <v>0</v>
      </c>
      <c r="CQ39" s="55">
        <f t="shared" si="208"/>
        <v>0</v>
      </c>
      <c r="CR39" s="55">
        <f t="shared" si="209"/>
        <v>0</v>
      </c>
      <c r="CS39" s="55">
        <f t="shared" si="210"/>
        <v>0</v>
      </c>
      <c r="CT39" s="60">
        <f t="shared" si="211"/>
        <v>0</v>
      </c>
      <c r="CU39" s="55">
        <f t="shared" si="212"/>
        <v>0</v>
      </c>
      <c r="CV39" s="249">
        <f t="shared" si="213"/>
        <v>0</v>
      </c>
      <c r="CW39" s="55" t="e">
        <f t="shared" si="214"/>
        <v>#DIV/0!</v>
      </c>
      <c r="CX39" s="55" t="e">
        <f t="shared" si="215"/>
        <v>#DIV/0!</v>
      </c>
      <c r="CY39" s="55" t="e">
        <f t="shared" si="216"/>
        <v>#DIV/0!</v>
      </c>
      <c r="CZ39" s="252" t="e">
        <f t="shared" si="216"/>
        <v>#DIV/0!</v>
      </c>
      <c r="DA39" s="62" t="e">
        <f t="shared" si="217"/>
        <v>#DIV/0!</v>
      </c>
      <c r="DC39" s="64" t="s">
        <v>45</v>
      </c>
      <c r="DD39" s="198">
        <f t="shared" si="229"/>
        <v>0</v>
      </c>
      <c r="DE39" s="199">
        <f t="shared" si="230"/>
        <v>0</v>
      </c>
      <c r="DF39" s="198">
        <f t="shared" si="231"/>
        <v>0</v>
      </c>
      <c r="DG39" s="199">
        <f t="shared" si="232"/>
        <v>0</v>
      </c>
      <c r="DH39" s="198">
        <f t="shared" si="233"/>
        <v>0</v>
      </c>
      <c r="DI39" s="199">
        <f t="shared" si="234"/>
        <v>0</v>
      </c>
      <c r="DJ39" s="198">
        <f t="shared" si="235"/>
        <v>0</v>
      </c>
      <c r="DK39" s="199">
        <f t="shared" si="236"/>
        <v>0</v>
      </c>
      <c r="DL39" s="198">
        <f t="shared" si="237"/>
        <v>0</v>
      </c>
      <c r="DM39" s="199">
        <f t="shared" si="238"/>
        <v>0</v>
      </c>
      <c r="DN39" s="198">
        <f t="shared" si="239"/>
        <v>0</v>
      </c>
      <c r="DO39" s="199">
        <f t="shared" si="240"/>
        <v>0</v>
      </c>
      <c r="DP39" s="198">
        <f t="shared" si="241"/>
        <v>0</v>
      </c>
      <c r="DQ39" s="199">
        <f t="shared" si="242"/>
        <v>0</v>
      </c>
      <c r="DR39" s="198">
        <f t="shared" si="243"/>
        <v>0</v>
      </c>
      <c r="DS39" s="199">
        <f t="shared" si="244"/>
        <v>0</v>
      </c>
      <c r="DT39" s="198" t="e">
        <f t="shared" si="245"/>
        <v>#DIV/0!</v>
      </c>
      <c r="DU39" s="199">
        <f t="shared" si="246"/>
        <v>0</v>
      </c>
      <c r="DV39" s="198" t="e">
        <f t="shared" si="247"/>
        <v>#DIV/0!</v>
      </c>
      <c r="DW39" s="199">
        <f t="shared" si="248"/>
        <v>0</v>
      </c>
      <c r="DX39" s="198" t="e">
        <f t="shared" si="249"/>
        <v>#DIV/0!</v>
      </c>
      <c r="DY39" s="199">
        <f t="shared" si="250"/>
        <v>0</v>
      </c>
      <c r="DZ39" s="190" t="e">
        <f t="shared" si="251"/>
        <v>#DIV/0!</v>
      </c>
      <c r="EA39" s="199">
        <f t="shared" si="218"/>
        <v>0</v>
      </c>
      <c r="EB39" s="190" t="e">
        <f t="shared" si="252"/>
        <v>#DIV/0!</v>
      </c>
      <c r="EC39" s="190" t="e">
        <f t="shared" si="253"/>
        <v>#DIV/0!</v>
      </c>
    </row>
    <row r="40" spans="1:133" x14ac:dyDescent="0.2">
      <c r="A40" s="64" t="s">
        <v>46</v>
      </c>
      <c r="B40" s="38">
        <f>targets!AW39</f>
        <v>0</v>
      </c>
      <c r="C40" s="245">
        <f>targets!AX39</f>
        <v>0</v>
      </c>
      <c r="D40" s="245">
        <f>targets!AY39</f>
        <v>0</v>
      </c>
      <c r="E40" s="245">
        <f>targets!AZ39</f>
        <v>0</v>
      </c>
      <c r="F40" s="245">
        <f>targets!BA39</f>
        <v>0</v>
      </c>
      <c r="G40" s="40">
        <f>SUM(targets!BB39:BG39)</f>
        <v>7318.0401038596519</v>
      </c>
      <c r="H40" s="245">
        <f>SUM(targets!BH39:BM39)</f>
        <v>0</v>
      </c>
      <c r="I40" s="246">
        <f t="shared" si="254"/>
        <v>7318.0401038596519</v>
      </c>
      <c r="J40" s="245">
        <f>targets!BN39</f>
        <v>0</v>
      </c>
      <c r="K40" s="245">
        <f>targets!BO39</f>
        <v>0</v>
      </c>
      <c r="L40" s="245">
        <f>targets!BP39</f>
        <v>0</v>
      </c>
      <c r="M40" s="178">
        <f t="shared" si="255"/>
        <v>0</v>
      </c>
      <c r="N40" s="17">
        <f t="shared" si="219"/>
        <v>7318.0401038596519</v>
      </c>
      <c r="O40" s="17"/>
      <c r="P40" s="17"/>
      <c r="Q40" s="64" t="s">
        <v>46</v>
      </c>
      <c r="R40" s="38">
        <f t="shared" si="220"/>
        <v>0</v>
      </c>
      <c r="S40" s="245">
        <f t="shared" si="185"/>
        <v>0</v>
      </c>
      <c r="T40" s="245">
        <f t="shared" si="186"/>
        <v>0</v>
      </c>
      <c r="U40" s="245">
        <f t="shared" si="187"/>
        <v>0</v>
      </c>
      <c r="V40" s="245">
        <f t="shared" si="188"/>
        <v>0</v>
      </c>
      <c r="W40" s="40">
        <f t="shared" si="189"/>
        <v>0</v>
      </c>
      <c r="X40" s="245">
        <f t="shared" si="190"/>
        <v>0</v>
      </c>
      <c r="Y40" s="246">
        <f t="shared" si="221"/>
        <v>0</v>
      </c>
      <c r="Z40" s="245" t="e">
        <f t="shared" si="191"/>
        <v>#DIV/0!</v>
      </c>
      <c r="AA40" s="245" t="e">
        <f t="shared" si="192"/>
        <v>#DIV/0!</v>
      </c>
      <c r="AB40" s="245" t="e">
        <f t="shared" si="193"/>
        <v>#DIV/0!</v>
      </c>
      <c r="AC40" s="178" t="e">
        <f t="shared" si="256"/>
        <v>#DIV/0!</v>
      </c>
      <c r="AD40" s="17" t="e">
        <f t="shared" si="222"/>
        <v>#DIV/0!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5">
        <f t="array" ref="AH40">SUM(IF((modeldata!$F:$F=calibration!$AF$28)*(modeldata!$G:$G=calibration!AH$30)*(modeldata!$H:$H=calibration!$AF40),modeldata!$E:$E,0))</f>
        <v>0</v>
      </c>
      <c r="AI40" s="245">
        <f t="array" ref="AI40">SUM(IF((modeldata!$F:$F=calibration!$AF$28)*(modeldata!$G:$G=calibration!AI$30)*(modeldata!$H:$H=calibration!$AF40),modeldata!$E:$E,0))</f>
        <v>0</v>
      </c>
      <c r="AJ40" s="245">
        <f t="array" ref="AJ40">SUM(IF((modeldata!$F:$F=calibration!$AF$28)*(modeldata!$G:$G=calibration!AJ$30)*(modeldata!$H:$H=calibration!$AF40),modeldata!$E:$E,0))</f>
        <v>0</v>
      </c>
      <c r="AK40" s="245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5">
        <f t="array" ref="AM40">SUM(IF((modeldata!$F:$F=calibration!$AF$28)*(modeldata!$G:$G=calibration!AM$30)*(modeldata!$H:$H=calibration!$AF40),modeldata!$E:$E,0))</f>
        <v>0</v>
      </c>
      <c r="AN40" s="246">
        <f t="shared" si="264"/>
        <v>0</v>
      </c>
      <c r="AO40" s="245">
        <f t="array" ref="AO40">SUM(IF((modeldata!$F:$F=calibration!$AF$28)*(modeldata!$G:$G=calibration!AO$30)*(modeldata!$H:$H=calibration!$AF40),modeldata!$E:$E,0))</f>
        <v>0</v>
      </c>
      <c r="AP40" s="245">
        <f t="array" ref="AP40">SUM(IF((modeldata!$F:$F=calibration!$AF$28)*(modeldata!$G:$G=calibration!AP$30)*(modeldata!$H:$H=calibration!$AF40),modeldata!$E:$E,0))</f>
        <v>0</v>
      </c>
      <c r="AQ40" s="245">
        <f t="array" ref="AQ40">SUM(IF((modeldata!$F:$F=calibration!$AF$28)*(modeldata!$G:$G=calibration!AQ$30)*(modeldata!$H:$H=calibration!$AF40),modeldata!$E:$E,0))</f>
        <v>0</v>
      </c>
      <c r="AR40" s="178">
        <f t="shared" si="257"/>
        <v>0</v>
      </c>
      <c r="AS40" s="17">
        <f t="shared" si="224"/>
        <v>0</v>
      </c>
      <c r="AU40" s="64" t="s">
        <v>46</v>
      </c>
      <c r="AV40" s="38">
        <f t="shared" ref="AV40:BG40" si="274">IF(R51&gt;0,R40/R51,0)</f>
        <v>0</v>
      </c>
      <c r="AW40" s="245">
        <f t="shared" si="274"/>
        <v>0</v>
      </c>
      <c r="AX40" s="245">
        <f t="shared" si="274"/>
        <v>0</v>
      </c>
      <c r="AY40" s="245">
        <f t="shared" si="274"/>
        <v>0</v>
      </c>
      <c r="AZ40" s="245">
        <f t="shared" si="274"/>
        <v>0</v>
      </c>
      <c r="BA40" s="40">
        <f t="shared" si="274"/>
        <v>0</v>
      </c>
      <c r="BB40" s="245">
        <f t="shared" si="274"/>
        <v>0</v>
      </c>
      <c r="BC40" s="246">
        <f t="shared" si="274"/>
        <v>0</v>
      </c>
      <c r="BD40" s="245" t="e">
        <f t="shared" si="274"/>
        <v>#DIV/0!</v>
      </c>
      <c r="BE40" s="245" t="e">
        <f t="shared" si="274"/>
        <v>#DIV/0!</v>
      </c>
      <c r="BF40" s="245" t="e">
        <f t="shared" si="274"/>
        <v>#DIV/0!</v>
      </c>
      <c r="BG40" s="178" t="e">
        <f t="shared" si="274"/>
        <v>#DIV/0!</v>
      </c>
      <c r="BH40" s="24" t="e">
        <f>AD40/AD51</f>
        <v>#DIV/0!</v>
      </c>
      <c r="BJ40" s="64" t="s">
        <v>46</v>
      </c>
      <c r="BK40" s="38">
        <f t="shared" ref="BK40:BV40" si="275">IF(AG51&gt;0,AG40/AG51,0)</f>
        <v>0</v>
      </c>
      <c r="BL40" s="245">
        <f t="shared" si="275"/>
        <v>0</v>
      </c>
      <c r="BM40" s="245">
        <f t="shared" si="275"/>
        <v>0</v>
      </c>
      <c r="BN40" s="245">
        <f t="shared" si="275"/>
        <v>0</v>
      </c>
      <c r="BO40" s="245">
        <f t="shared" si="275"/>
        <v>0</v>
      </c>
      <c r="BP40" s="40">
        <f t="shared" si="275"/>
        <v>0</v>
      </c>
      <c r="BQ40" s="245">
        <f t="shared" si="275"/>
        <v>0</v>
      </c>
      <c r="BR40" s="246">
        <f t="shared" si="275"/>
        <v>0</v>
      </c>
      <c r="BS40" s="245">
        <f t="shared" si="275"/>
        <v>0</v>
      </c>
      <c r="BT40" s="245">
        <f t="shared" si="275"/>
        <v>0</v>
      </c>
      <c r="BU40" s="245">
        <f t="shared" si="275"/>
        <v>0</v>
      </c>
      <c r="BV40" s="178">
        <f t="shared" si="275"/>
        <v>0</v>
      </c>
      <c r="BW40" s="24" t="e">
        <f>AS40/AS51</f>
        <v>#DIV/0!</v>
      </c>
      <c r="BX40" s="24"/>
      <c r="BY40" s="64" t="s">
        <v>46</v>
      </c>
      <c r="BZ40" s="54">
        <f t="shared" si="227"/>
        <v>0</v>
      </c>
      <c r="CA40" s="55">
        <f t="shared" si="196"/>
        <v>0</v>
      </c>
      <c r="CB40" s="55">
        <f t="shared" si="197"/>
        <v>0</v>
      </c>
      <c r="CC40" s="55">
        <f t="shared" si="198"/>
        <v>0</v>
      </c>
      <c r="CD40" s="55">
        <f t="shared" si="199"/>
        <v>0</v>
      </c>
      <c r="CE40" s="60">
        <f t="shared" si="200"/>
        <v>0</v>
      </c>
      <c r="CF40" s="55">
        <f t="shared" si="201"/>
        <v>0</v>
      </c>
      <c r="CG40" s="249">
        <f t="shared" si="202"/>
        <v>0</v>
      </c>
      <c r="CH40" s="55" t="e">
        <f t="shared" si="203"/>
        <v>#DIV/0!</v>
      </c>
      <c r="CI40" s="55" t="e">
        <f t="shared" si="204"/>
        <v>#DIV/0!</v>
      </c>
      <c r="CJ40" s="55" t="e">
        <f t="shared" si="205"/>
        <v>#DIV/0!</v>
      </c>
      <c r="CK40" s="252" t="e">
        <f t="shared" si="205"/>
        <v>#DIV/0!</v>
      </c>
      <c r="CL40" s="55" t="e">
        <f t="shared" si="206"/>
        <v>#DIV/0!</v>
      </c>
      <c r="CN40" s="64" t="s">
        <v>46</v>
      </c>
      <c r="CO40" s="54">
        <f t="shared" si="228"/>
        <v>0</v>
      </c>
      <c r="CP40" s="55">
        <f t="shared" si="207"/>
        <v>0</v>
      </c>
      <c r="CQ40" s="55">
        <f t="shared" si="208"/>
        <v>0</v>
      </c>
      <c r="CR40" s="55">
        <f t="shared" si="209"/>
        <v>0</v>
      </c>
      <c r="CS40" s="55">
        <f t="shared" si="210"/>
        <v>0</v>
      </c>
      <c r="CT40" s="60">
        <f t="shared" si="211"/>
        <v>0</v>
      </c>
      <c r="CU40" s="55">
        <f t="shared" si="212"/>
        <v>0</v>
      </c>
      <c r="CV40" s="249">
        <f t="shared" si="213"/>
        <v>0</v>
      </c>
      <c r="CW40" s="55" t="e">
        <f t="shared" si="214"/>
        <v>#DIV/0!</v>
      </c>
      <c r="CX40" s="55" t="e">
        <f t="shared" si="215"/>
        <v>#DIV/0!</v>
      </c>
      <c r="CY40" s="55" t="e">
        <f t="shared" si="216"/>
        <v>#DIV/0!</v>
      </c>
      <c r="CZ40" s="252" t="e">
        <f t="shared" si="216"/>
        <v>#DIV/0!</v>
      </c>
      <c r="DA40" s="62" t="e">
        <f t="shared" si="217"/>
        <v>#DIV/0!</v>
      </c>
      <c r="DC40" s="64" t="s">
        <v>46</v>
      </c>
      <c r="DD40" s="198">
        <f t="shared" si="229"/>
        <v>0</v>
      </c>
      <c r="DE40" s="199">
        <f t="shared" si="230"/>
        <v>0</v>
      </c>
      <c r="DF40" s="198">
        <f t="shared" si="231"/>
        <v>0</v>
      </c>
      <c r="DG40" s="199">
        <f t="shared" si="232"/>
        <v>0</v>
      </c>
      <c r="DH40" s="198">
        <f t="shared" si="233"/>
        <v>0</v>
      </c>
      <c r="DI40" s="199">
        <f t="shared" si="234"/>
        <v>0</v>
      </c>
      <c r="DJ40" s="198">
        <f t="shared" si="235"/>
        <v>0</v>
      </c>
      <c r="DK40" s="199">
        <f t="shared" si="236"/>
        <v>0</v>
      </c>
      <c r="DL40" s="198">
        <f t="shared" si="237"/>
        <v>0</v>
      </c>
      <c r="DM40" s="199">
        <f t="shared" si="238"/>
        <v>0</v>
      </c>
      <c r="DN40" s="198">
        <f t="shared" si="239"/>
        <v>0</v>
      </c>
      <c r="DO40" s="199">
        <f t="shared" si="240"/>
        <v>0</v>
      </c>
      <c r="DP40" s="198">
        <f t="shared" si="241"/>
        <v>0</v>
      </c>
      <c r="DQ40" s="199">
        <f t="shared" si="242"/>
        <v>0</v>
      </c>
      <c r="DR40" s="198">
        <f t="shared" si="243"/>
        <v>0</v>
      </c>
      <c r="DS40" s="199">
        <f t="shared" si="244"/>
        <v>0</v>
      </c>
      <c r="DT40" s="198" t="e">
        <f t="shared" si="245"/>
        <v>#DIV/0!</v>
      </c>
      <c r="DU40" s="199">
        <f t="shared" si="246"/>
        <v>0</v>
      </c>
      <c r="DV40" s="198" t="e">
        <f t="shared" si="247"/>
        <v>#DIV/0!</v>
      </c>
      <c r="DW40" s="199">
        <f t="shared" si="248"/>
        <v>0</v>
      </c>
      <c r="DX40" s="198" t="e">
        <f t="shared" si="249"/>
        <v>#DIV/0!</v>
      </c>
      <c r="DY40" s="199">
        <f t="shared" si="250"/>
        <v>0</v>
      </c>
      <c r="DZ40" s="190" t="e">
        <f t="shared" si="251"/>
        <v>#DIV/0!</v>
      </c>
      <c r="EA40" s="199">
        <f t="shared" si="218"/>
        <v>0</v>
      </c>
      <c r="EB40" s="190" t="e">
        <f t="shared" si="252"/>
        <v>#DIV/0!</v>
      </c>
      <c r="EC40" s="190" t="e">
        <f t="shared" si="253"/>
        <v>#DIV/0!</v>
      </c>
    </row>
    <row r="41" spans="1:133" x14ac:dyDescent="0.2">
      <c r="A41" s="64" t="s">
        <v>47</v>
      </c>
      <c r="B41" s="38">
        <f>targets!AW40</f>
        <v>0</v>
      </c>
      <c r="C41" s="245">
        <f>targets!AX40</f>
        <v>0</v>
      </c>
      <c r="D41" s="245">
        <f>targets!AY40</f>
        <v>0</v>
      </c>
      <c r="E41" s="245">
        <f>targets!AZ40</f>
        <v>0</v>
      </c>
      <c r="F41" s="245">
        <f>targets!BA40</f>
        <v>0</v>
      </c>
      <c r="G41" s="41">
        <f>SUM(targets!BB40:BG40)</f>
        <v>904.91508768235406</v>
      </c>
      <c r="H41" s="245">
        <f>SUM(targets!BH40:BM40)</f>
        <v>0</v>
      </c>
      <c r="I41" s="246">
        <f t="shared" si="254"/>
        <v>904.91508768235406</v>
      </c>
      <c r="J41" s="245">
        <f>targets!BN40</f>
        <v>0</v>
      </c>
      <c r="K41" s="245">
        <f>targets!BO40</f>
        <v>0</v>
      </c>
      <c r="L41" s="245">
        <f>targets!BP40</f>
        <v>0</v>
      </c>
      <c r="M41" s="178">
        <f t="shared" si="255"/>
        <v>0</v>
      </c>
      <c r="N41" s="17">
        <f t="shared" si="219"/>
        <v>904.91508768235406</v>
      </c>
      <c r="O41" s="17"/>
      <c r="P41" s="17"/>
      <c r="Q41" s="64" t="s">
        <v>47</v>
      </c>
      <c r="R41" s="38">
        <f t="shared" si="220"/>
        <v>0</v>
      </c>
      <c r="S41" s="245">
        <f t="shared" si="185"/>
        <v>0</v>
      </c>
      <c r="T41" s="245">
        <f t="shared" si="186"/>
        <v>0</v>
      </c>
      <c r="U41" s="245">
        <f t="shared" si="187"/>
        <v>0</v>
      </c>
      <c r="V41" s="245">
        <f t="shared" si="188"/>
        <v>0</v>
      </c>
      <c r="W41" s="41">
        <f t="shared" si="189"/>
        <v>0</v>
      </c>
      <c r="X41" s="245">
        <f t="shared" si="190"/>
        <v>0</v>
      </c>
      <c r="Y41" s="246">
        <f t="shared" si="221"/>
        <v>0</v>
      </c>
      <c r="Z41" s="245" t="e">
        <f t="shared" si="191"/>
        <v>#DIV/0!</v>
      </c>
      <c r="AA41" s="245" t="e">
        <f t="shared" si="192"/>
        <v>#DIV/0!</v>
      </c>
      <c r="AB41" s="245" t="e">
        <f t="shared" si="193"/>
        <v>#DIV/0!</v>
      </c>
      <c r="AC41" s="178" t="e">
        <f t="shared" si="256"/>
        <v>#DIV/0!</v>
      </c>
      <c r="AD41" s="17" t="e">
        <f t="shared" si="222"/>
        <v>#DIV/0!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5">
        <f t="array" ref="AH41">SUM(IF((modeldata!$F:$F=calibration!$AF$28)*(modeldata!$G:$G=calibration!AH$30)*(modeldata!$H:$H=calibration!$AF41),modeldata!$E:$E,0))</f>
        <v>0</v>
      </c>
      <c r="AI41" s="245">
        <f t="array" ref="AI41">SUM(IF((modeldata!$F:$F=calibration!$AF$28)*(modeldata!$G:$G=calibration!AI$30)*(modeldata!$H:$H=calibration!$AF41),modeldata!$E:$E,0))</f>
        <v>0</v>
      </c>
      <c r="AJ41" s="245">
        <f t="array" ref="AJ41">SUM(IF((modeldata!$F:$F=calibration!$AF$28)*(modeldata!$G:$G=calibration!AJ$30)*(modeldata!$H:$H=calibration!$AF41),modeldata!$E:$E,0))</f>
        <v>0</v>
      </c>
      <c r="AK41" s="245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5">
        <f t="array" ref="AM41">SUM(IF((modeldata!$F:$F=calibration!$AF$28)*(modeldata!$G:$G=calibration!AM$30)*(modeldata!$H:$H=calibration!$AF41),modeldata!$E:$E,0))</f>
        <v>0</v>
      </c>
      <c r="AN41" s="246">
        <f t="shared" si="264"/>
        <v>0</v>
      </c>
      <c r="AO41" s="245">
        <f t="array" ref="AO41">SUM(IF((modeldata!$F:$F=calibration!$AF$28)*(modeldata!$G:$G=calibration!AO$30)*(modeldata!$H:$H=calibration!$AF41),modeldata!$E:$E,0))</f>
        <v>0</v>
      </c>
      <c r="AP41" s="245">
        <f t="array" ref="AP41">SUM(IF((modeldata!$F:$F=calibration!$AF$28)*(modeldata!$G:$G=calibration!AP$30)*(modeldata!$H:$H=calibration!$AF41),modeldata!$E:$E,0))</f>
        <v>0</v>
      </c>
      <c r="AQ41" s="245">
        <f t="array" ref="AQ41">SUM(IF((modeldata!$F:$F=calibration!$AF$28)*(modeldata!$G:$G=calibration!AQ$30)*(modeldata!$H:$H=calibration!$AF41),modeldata!$E:$E,0))</f>
        <v>0</v>
      </c>
      <c r="AR41" s="178">
        <f t="shared" si="257"/>
        <v>0</v>
      </c>
      <c r="AS41" s="17">
        <f t="shared" si="224"/>
        <v>0</v>
      </c>
      <c r="AU41" s="64" t="s">
        <v>47</v>
      </c>
      <c r="AV41" s="38">
        <f t="shared" ref="AV41:BG41" si="276">IF(R51&gt;0,R41/R51,0)</f>
        <v>0</v>
      </c>
      <c r="AW41" s="245">
        <f t="shared" si="276"/>
        <v>0</v>
      </c>
      <c r="AX41" s="245">
        <f t="shared" si="276"/>
        <v>0</v>
      </c>
      <c r="AY41" s="245">
        <f t="shared" si="276"/>
        <v>0</v>
      </c>
      <c r="AZ41" s="245">
        <f t="shared" si="276"/>
        <v>0</v>
      </c>
      <c r="BA41" s="41">
        <f t="shared" si="276"/>
        <v>0</v>
      </c>
      <c r="BB41" s="245">
        <f t="shared" si="276"/>
        <v>0</v>
      </c>
      <c r="BC41" s="246">
        <f t="shared" si="276"/>
        <v>0</v>
      </c>
      <c r="BD41" s="245" t="e">
        <f t="shared" si="276"/>
        <v>#DIV/0!</v>
      </c>
      <c r="BE41" s="245" t="e">
        <f t="shared" si="276"/>
        <v>#DIV/0!</v>
      </c>
      <c r="BF41" s="245" t="e">
        <f t="shared" si="276"/>
        <v>#DIV/0!</v>
      </c>
      <c r="BG41" s="178" t="e">
        <f t="shared" si="276"/>
        <v>#DIV/0!</v>
      </c>
      <c r="BH41" s="24" t="e">
        <f>AD41/AD51</f>
        <v>#DIV/0!</v>
      </c>
      <c r="BJ41" s="64" t="s">
        <v>47</v>
      </c>
      <c r="BK41" s="38">
        <f t="shared" ref="BK41:BV41" si="277">IF(AG51&gt;0,AG41/AG51,0)</f>
        <v>0</v>
      </c>
      <c r="BL41" s="245">
        <f t="shared" si="277"/>
        <v>0</v>
      </c>
      <c r="BM41" s="245">
        <f t="shared" si="277"/>
        <v>0</v>
      </c>
      <c r="BN41" s="245">
        <f t="shared" si="277"/>
        <v>0</v>
      </c>
      <c r="BO41" s="245">
        <f t="shared" si="277"/>
        <v>0</v>
      </c>
      <c r="BP41" s="41">
        <f t="shared" si="277"/>
        <v>0</v>
      </c>
      <c r="BQ41" s="245">
        <f t="shared" si="277"/>
        <v>0</v>
      </c>
      <c r="BR41" s="246">
        <f t="shared" si="277"/>
        <v>0</v>
      </c>
      <c r="BS41" s="245">
        <f t="shared" si="277"/>
        <v>0</v>
      </c>
      <c r="BT41" s="245">
        <f t="shared" si="277"/>
        <v>0</v>
      </c>
      <c r="BU41" s="245">
        <f t="shared" si="277"/>
        <v>0</v>
      </c>
      <c r="BV41" s="178">
        <f t="shared" si="277"/>
        <v>0</v>
      </c>
      <c r="BW41" s="24" t="e">
        <f>AS41/AS51</f>
        <v>#DIV/0!</v>
      </c>
      <c r="BX41" s="24"/>
      <c r="BY41" s="64" t="s">
        <v>47</v>
      </c>
      <c r="BZ41" s="54">
        <f t="shared" si="227"/>
        <v>0</v>
      </c>
      <c r="CA41" s="55">
        <f t="shared" si="196"/>
        <v>0</v>
      </c>
      <c r="CB41" s="55">
        <f t="shared" si="197"/>
        <v>0</v>
      </c>
      <c r="CC41" s="55">
        <f t="shared" si="198"/>
        <v>0</v>
      </c>
      <c r="CD41" s="55">
        <f t="shared" si="199"/>
        <v>0</v>
      </c>
      <c r="CE41" s="61">
        <f t="shared" si="200"/>
        <v>0</v>
      </c>
      <c r="CF41" s="55">
        <f t="shared" si="201"/>
        <v>0</v>
      </c>
      <c r="CG41" s="249">
        <f t="shared" si="202"/>
        <v>0</v>
      </c>
      <c r="CH41" s="55" t="e">
        <f t="shared" si="203"/>
        <v>#DIV/0!</v>
      </c>
      <c r="CI41" s="55" t="e">
        <f t="shared" si="204"/>
        <v>#DIV/0!</v>
      </c>
      <c r="CJ41" s="55" t="e">
        <f t="shared" si="205"/>
        <v>#DIV/0!</v>
      </c>
      <c r="CK41" s="252" t="e">
        <f t="shared" si="205"/>
        <v>#DIV/0!</v>
      </c>
      <c r="CL41" s="55" t="e">
        <f t="shared" si="206"/>
        <v>#DIV/0!</v>
      </c>
      <c r="CN41" s="64" t="s">
        <v>47</v>
      </c>
      <c r="CO41" s="54">
        <f t="shared" si="228"/>
        <v>0</v>
      </c>
      <c r="CP41" s="55">
        <f t="shared" si="207"/>
        <v>0</v>
      </c>
      <c r="CQ41" s="55">
        <f t="shared" si="208"/>
        <v>0</v>
      </c>
      <c r="CR41" s="55">
        <f t="shared" si="209"/>
        <v>0</v>
      </c>
      <c r="CS41" s="55">
        <f t="shared" si="210"/>
        <v>0</v>
      </c>
      <c r="CT41" s="61">
        <f t="shared" si="211"/>
        <v>0</v>
      </c>
      <c r="CU41" s="55">
        <f t="shared" si="212"/>
        <v>0</v>
      </c>
      <c r="CV41" s="249">
        <f t="shared" si="213"/>
        <v>0</v>
      </c>
      <c r="CW41" s="55" t="e">
        <f t="shared" si="214"/>
        <v>#DIV/0!</v>
      </c>
      <c r="CX41" s="55" t="e">
        <f t="shared" si="215"/>
        <v>#DIV/0!</v>
      </c>
      <c r="CY41" s="55" t="e">
        <f t="shared" si="216"/>
        <v>#DIV/0!</v>
      </c>
      <c r="CZ41" s="252" t="e">
        <f t="shared" si="216"/>
        <v>#DIV/0!</v>
      </c>
      <c r="DA41" s="62" t="e">
        <f t="shared" si="217"/>
        <v>#DIV/0!</v>
      </c>
      <c r="DC41" s="64" t="s">
        <v>47</v>
      </c>
      <c r="DD41" s="198">
        <f t="shared" si="229"/>
        <v>0</v>
      </c>
      <c r="DE41" s="199">
        <f t="shared" si="230"/>
        <v>0</v>
      </c>
      <c r="DF41" s="198">
        <f t="shared" si="231"/>
        <v>0</v>
      </c>
      <c r="DG41" s="199">
        <f t="shared" si="232"/>
        <v>0</v>
      </c>
      <c r="DH41" s="198">
        <f t="shared" si="233"/>
        <v>0</v>
      </c>
      <c r="DI41" s="199">
        <f t="shared" si="234"/>
        <v>0</v>
      </c>
      <c r="DJ41" s="198">
        <f t="shared" si="235"/>
        <v>0</v>
      </c>
      <c r="DK41" s="199">
        <f t="shared" si="236"/>
        <v>0</v>
      </c>
      <c r="DL41" s="198">
        <f t="shared" si="237"/>
        <v>0</v>
      </c>
      <c r="DM41" s="199">
        <f t="shared" si="238"/>
        <v>0</v>
      </c>
      <c r="DN41" s="200">
        <f t="shared" si="239"/>
        <v>0</v>
      </c>
      <c r="DO41" s="201">
        <f t="shared" si="240"/>
        <v>0</v>
      </c>
      <c r="DP41" s="198">
        <f t="shared" si="241"/>
        <v>0</v>
      </c>
      <c r="DQ41" s="199">
        <f t="shared" si="242"/>
        <v>0</v>
      </c>
      <c r="DR41" s="198">
        <f t="shared" si="243"/>
        <v>0</v>
      </c>
      <c r="DS41" s="199">
        <f t="shared" si="244"/>
        <v>0</v>
      </c>
      <c r="DT41" s="198" t="e">
        <f t="shared" si="245"/>
        <v>#DIV/0!</v>
      </c>
      <c r="DU41" s="199">
        <f t="shared" si="246"/>
        <v>0</v>
      </c>
      <c r="DV41" s="198" t="e">
        <f t="shared" si="247"/>
        <v>#DIV/0!</v>
      </c>
      <c r="DW41" s="199">
        <f t="shared" si="248"/>
        <v>0</v>
      </c>
      <c r="DX41" s="198" t="e">
        <f t="shared" si="249"/>
        <v>#DIV/0!</v>
      </c>
      <c r="DY41" s="199">
        <f t="shared" si="250"/>
        <v>0</v>
      </c>
      <c r="DZ41" s="190" t="e">
        <f t="shared" si="251"/>
        <v>#DIV/0!</v>
      </c>
      <c r="EA41" s="199">
        <f t="shared" si="218"/>
        <v>0</v>
      </c>
      <c r="EB41" s="190" t="e">
        <f t="shared" si="252"/>
        <v>#DIV/0!</v>
      </c>
      <c r="EC41" s="190" t="e">
        <f t="shared" si="253"/>
        <v>#DIV/0!</v>
      </c>
    </row>
    <row r="42" spans="1:133" x14ac:dyDescent="0.2">
      <c r="A42" s="66" t="s">
        <v>40</v>
      </c>
      <c r="B42" s="38">
        <f>targets!AW41</f>
        <v>0</v>
      </c>
      <c r="C42" s="245">
        <f>targets!AX41</f>
        <v>0</v>
      </c>
      <c r="D42" s="245">
        <f>targets!AY41</f>
        <v>0</v>
      </c>
      <c r="E42" s="245">
        <f>targets!AZ41</f>
        <v>0</v>
      </c>
      <c r="F42" s="245">
        <f>targets!BA41</f>
        <v>0</v>
      </c>
      <c r="G42" s="245">
        <f>SUM(targets!BB41:BG41)</f>
        <v>0</v>
      </c>
      <c r="H42" s="39">
        <f>SUM(targets!BH41:BM41)</f>
        <v>1995.983180563682</v>
      </c>
      <c r="I42" s="246">
        <f t="shared" si="254"/>
        <v>1995.983180563682</v>
      </c>
      <c r="J42" s="245">
        <f>targets!BN41</f>
        <v>0</v>
      </c>
      <c r="K42" s="245">
        <f>targets!BO41</f>
        <v>0</v>
      </c>
      <c r="L42" s="245">
        <f>targets!BP41</f>
        <v>0</v>
      </c>
      <c r="M42" s="178">
        <f t="shared" si="255"/>
        <v>0</v>
      </c>
      <c r="N42" s="17">
        <f t="shared" si="219"/>
        <v>1995.983180563682</v>
      </c>
      <c r="O42" s="17"/>
      <c r="P42" s="17"/>
      <c r="Q42" s="66" t="s">
        <v>40</v>
      </c>
      <c r="R42" s="38">
        <f t="shared" si="220"/>
        <v>0</v>
      </c>
      <c r="S42" s="245">
        <f t="shared" si="185"/>
        <v>0</v>
      </c>
      <c r="T42" s="245">
        <f t="shared" si="186"/>
        <v>0</v>
      </c>
      <c r="U42" s="245">
        <f t="shared" si="187"/>
        <v>0</v>
      </c>
      <c r="V42" s="245">
        <f t="shared" si="188"/>
        <v>0</v>
      </c>
      <c r="W42" s="245">
        <f t="shared" si="189"/>
        <v>0</v>
      </c>
      <c r="X42" s="39">
        <f t="shared" si="190"/>
        <v>0</v>
      </c>
      <c r="Y42" s="246">
        <f t="shared" si="221"/>
        <v>0</v>
      </c>
      <c r="Z42" s="245" t="e">
        <f t="shared" si="191"/>
        <v>#DIV/0!</v>
      </c>
      <c r="AA42" s="245" t="e">
        <f t="shared" si="192"/>
        <v>#DIV/0!</v>
      </c>
      <c r="AB42" s="245" t="e">
        <f t="shared" si="193"/>
        <v>#DIV/0!</v>
      </c>
      <c r="AC42" s="178" t="e">
        <f t="shared" si="256"/>
        <v>#DIV/0!</v>
      </c>
      <c r="AD42" s="17" t="e">
        <f t="shared" si="222"/>
        <v>#DIV/0!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5">
        <f t="array" ref="AH42">SUM(IF((modeldata!$F:$F=calibration!$AF$28)*(modeldata!$G:$G=calibration!AH$30)*(modeldata!$H:$H=calibration!$AF42),modeldata!$E:$E,0))</f>
        <v>0</v>
      </c>
      <c r="AI42" s="245">
        <f t="array" ref="AI42">SUM(IF((modeldata!$F:$F=calibration!$AF$28)*(modeldata!$G:$G=calibration!AI$30)*(modeldata!$H:$H=calibration!$AF42),modeldata!$E:$E,0))</f>
        <v>0</v>
      </c>
      <c r="AJ42" s="245">
        <f t="array" ref="AJ42">SUM(IF((modeldata!$F:$F=calibration!$AF$28)*(modeldata!$G:$G=calibration!AJ$30)*(modeldata!$H:$H=calibration!$AF42),modeldata!$E:$E,0))</f>
        <v>0</v>
      </c>
      <c r="AK42" s="245">
        <f t="array" ref="AK42">SUM(IF((modeldata!$F:$F=calibration!$AF$28)*(modeldata!$G:$G=calibration!AK$30)*(modeldata!$H:$H=calibration!$AF42),modeldata!$E:$E,0))</f>
        <v>0</v>
      </c>
      <c r="AL42" s="245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6"/>
      <c r="AO42" s="245">
        <f t="array" ref="AO42">SUM(IF((modeldata!$F:$F=calibration!$AF$28)*(modeldata!$G:$G=calibration!AO$30)*(modeldata!$H:$H=calibration!$AF42),modeldata!$E:$E,0))</f>
        <v>0</v>
      </c>
      <c r="AP42" s="245">
        <f t="array" ref="AP42">SUM(IF((modeldata!$F:$F=calibration!$AF$28)*(modeldata!$G:$G=calibration!AP$30)*(modeldata!$H:$H=calibration!$AF42),modeldata!$E:$E,0))</f>
        <v>0</v>
      </c>
      <c r="AQ42" s="245">
        <f t="array" ref="AQ42">SUM(IF((modeldata!$F:$F=calibration!$AF$28)*(modeldata!$G:$G=calibration!AQ$30)*(modeldata!$H:$H=calibration!$AF42),modeldata!$E:$E,0))</f>
        <v>0</v>
      </c>
      <c r="AR42" s="178">
        <f t="shared" si="257"/>
        <v>0</v>
      </c>
      <c r="AS42" s="17">
        <f t="shared" si="224"/>
        <v>0</v>
      </c>
      <c r="AU42" s="66" t="s">
        <v>40</v>
      </c>
      <c r="AV42" s="38">
        <f t="shared" ref="AV42:BG42" si="278">IF(R51&gt;0,R42/R51,0)</f>
        <v>0</v>
      </c>
      <c r="AW42" s="245">
        <f t="shared" si="278"/>
        <v>0</v>
      </c>
      <c r="AX42" s="245">
        <f t="shared" si="278"/>
        <v>0</v>
      </c>
      <c r="AY42" s="245">
        <f t="shared" si="278"/>
        <v>0</v>
      </c>
      <c r="AZ42" s="245">
        <f t="shared" si="278"/>
        <v>0</v>
      </c>
      <c r="BA42" s="245">
        <f t="shared" si="278"/>
        <v>0</v>
      </c>
      <c r="BB42" s="39">
        <f t="shared" si="278"/>
        <v>0</v>
      </c>
      <c r="BC42" s="246">
        <f t="shared" si="278"/>
        <v>0</v>
      </c>
      <c r="BD42" s="245" t="e">
        <f t="shared" si="278"/>
        <v>#DIV/0!</v>
      </c>
      <c r="BE42" s="245" t="e">
        <f t="shared" si="278"/>
        <v>#DIV/0!</v>
      </c>
      <c r="BF42" s="245" t="e">
        <f t="shared" si="278"/>
        <v>#DIV/0!</v>
      </c>
      <c r="BG42" s="178" t="e">
        <f t="shared" si="278"/>
        <v>#DIV/0!</v>
      </c>
      <c r="BH42" s="24" t="e">
        <f>AD42/AD51</f>
        <v>#DIV/0!</v>
      </c>
      <c r="BJ42" s="66" t="s">
        <v>40</v>
      </c>
      <c r="BK42" s="38">
        <f t="shared" ref="BK42:BV42" si="279">IF(AG51&gt;0,AG42/AG51,0)</f>
        <v>0</v>
      </c>
      <c r="BL42" s="245">
        <f t="shared" si="279"/>
        <v>0</v>
      </c>
      <c r="BM42" s="245">
        <f t="shared" si="279"/>
        <v>0</v>
      </c>
      <c r="BN42" s="245">
        <f t="shared" si="279"/>
        <v>0</v>
      </c>
      <c r="BO42" s="245">
        <f t="shared" si="279"/>
        <v>0</v>
      </c>
      <c r="BP42" s="245">
        <f t="shared" si="279"/>
        <v>0</v>
      </c>
      <c r="BQ42" s="39">
        <f t="shared" si="279"/>
        <v>0</v>
      </c>
      <c r="BR42" s="246">
        <f t="shared" si="279"/>
        <v>0</v>
      </c>
      <c r="BS42" s="245">
        <f t="shared" si="279"/>
        <v>0</v>
      </c>
      <c r="BT42" s="245">
        <f t="shared" si="279"/>
        <v>0</v>
      </c>
      <c r="BU42" s="245">
        <f t="shared" si="279"/>
        <v>0</v>
      </c>
      <c r="BV42" s="178">
        <f t="shared" si="279"/>
        <v>0</v>
      </c>
      <c r="BW42" s="24" t="e">
        <f>AS42/AS51</f>
        <v>#DIV/0!</v>
      </c>
      <c r="BX42" s="24"/>
      <c r="BY42" s="66" t="s">
        <v>40</v>
      </c>
      <c r="BZ42" s="54">
        <f t="shared" si="227"/>
        <v>0</v>
      </c>
      <c r="CA42" s="55">
        <f t="shared" si="196"/>
        <v>0</v>
      </c>
      <c r="CB42" s="55">
        <f t="shared" si="197"/>
        <v>0</v>
      </c>
      <c r="CC42" s="55">
        <f t="shared" si="198"/>
        <v>0</v>
      </c>
      <c r="CD42" s="55">
        <f t="shared" si="199"/>
        <v>0</v>
      </c>
      <c r="CE42" s="55">
        <f t="shared" si="200"/>
        <v>0</v>
      </c>
      <c r="CF42" s="59">
        <f t="shared" si="201"/>
        <v>0</v>
      </c>
      <c r="CG42" s="249">
        <f t="shared" si="202"/>
        <v>0</v>
      </c>
      <c r="CH42" s="55" t="e">
        <f t="shared" si="203"/>
        <v>#DIV/0!</v>
      </c>
      <c r="CI42" s="55" t="e">
        <f t="shared" si="204"/>
        <v>#DIV/0!</v>
      </c>
      <c r="CJ42" s="55" t="e">
        <f t="shared" si="205"/>
        <v>#DIV/0!</v>
      </c>
      <c r="CK42" s="252" t="e">
        <f t="shared" si="205"/>
        <v>#DIV/0!</v>
      </c>
      <c r="CL42" s="55" t="e">
        <f t="shared" si="206"/>
        <v>#DIV/0!</v>
      </c>
      <c r="CN42" s="66" t="s">
        <v>40</v>
      </c>
      <c r="CO42" s="54">
        <f t="shared" si="228"/>
        <v>0</v>
      </c>
      <c r="CP42" s="55">
        <f t="shared" si="207"/>
        <v>0</v>
      </c>
      <c r="CQ42" s="55">
        <f t="shared" si="208"/>
        <v>0</v>
      </c>
      <c r="CR42" s="55">
        <f t="shared" si="209"/>
        <v>0</v>
      </c>
      <c r="CS42" s="55">
        <f t="shared" si="210"/>
        <v>0</v>
      </c>
      <c r="CT42" s="55">
        <f t="shared" si="211"/>
        <v>0</v>
      </c>
      <c r="CU42" s="59">
        <f t="shared" si="212"/>
        <v>0</v>
      </c>
      <c r="CV42" s="249">
        <f t="shared" si="213"/>
        <v>0</v>
      </c>
      <c r="CW42" s="55" t="e">
        <f t="shared" si="214"/>
        <v>#DIV/0!</v>
      </c>
      <c r="CX42" s="55" t="e">
        <f t="shared" si="215"/>
        <v>#DIV/0!</v>
      </c>
      <c r="CY42" s="55" t="e">
        <f t="shared" si="216"/>
        <v>#DIV/0!</v>
      </c>
      <c r="CZ42" s="252" t="e">
        <f t="shared" si="216"/>
        <v>#DIV/0!</v>
      </c>
      <c r="DA42" s="62" t="e">
        <f t="shared" si="217"/>
        <v>#DIV/0!</v>
      </c>
      <c r="DC42" s="66" t="s">
        <v>40</v>
      </c>
      <c r="DD42" s="198">
        <f t="shared" si="229"/>
        <v>0</v>
      </c>
      <c r="DE42" s="199">
        <f t="shared" si="230"/>
        <v>0</v>
      </c>
      <c r="DF42" s="198">
        <f t="shared" si="231"/>
        <v>0</v>
      </c>
      <c r="DG42" s="199">
        <f t="shared" si="232"/>
        <v>0</v>
      </c>
      <c r="DH42" s="198">
        <f t="shared" si="233"/>
        <v>0</v>
      </c>
      <c r="DI42" s="199">
        <f t="shared" si="234"/>
        <v>0</v>
      </c>
      <c r="DJ42" s="198">
        <f t="shared" si="235"/>
        <v>0</v>
      </c>
      <c r="DK42" s="199">
        <f t="shared" si="236"/>
        <v>0</v>
      </c>
      <c r="DL42" s="198">
        <f t="shared" si="237"/>
        <v>0</v>
      </c>
      <c r="DM42" s="199">
        <f t="shared" si="238"/>
        <v>0</v>
      </c>
      <c r="DN42" s="198">
        <f t="shared" si="239"/>
        <v>0</v>
      </c>
      <c r="DO42" s="199">
        <f t="shared" si="240"/>
        <v>0</v>
      </c>
      <c r="DP42" s="195">
        <f t="shared" si="241"/>
        <v>0</v>
      </c>
      <c r="DQ42" s="196">
        <f t="shared" si="242"/>
        <v>0</v>
      </c>
      <c r="DR42" s="198">
        <f t="shared" si="243"/>
        <v>0</v>
      </c>
      <c r="DS42" s="199">
        <f t="shared" si="244"/>
        <v>0</v>
      </c>
      <c r="DT42" s="198" t="e">
        <f t="shared" si="245"/>
        <v>#DIV/0!</v>
      </c>
      <c r="DU42" s="199">
        <f t="shared" si="246"/>
        <v>0</v>
      </c>
      <c r="DV42" s="198" t="e">
        <f t="shared" si="247"/>
        <v>#DIV/0!</v>
      </c>
      <c r="DW42" s="199">
        <f t="shared" si="248"/>
        <v>0</v>
      </c>
      <c r="DX42" s="198" t="e">
        <f t="shared" si="249"/>
        <v>#DIV/0!</v>
      </c>
      <c r="DY42" s="199">
        <f t="shared" si="250"/>
        <v>0</v>
      </c>
      <c r="DZ42" s="190" t="e">
        <f t="shared" si="251"/>
        <v>#DIV/0!</v>
      </c>
      <c r="EA42" s="199">
        <f t="shared" si="218"/>
        <v>0</v>
      </c>
      <c r="EB42" s="190" t="e">
        <f t="shared" si="252"/>
        <v>#DIV/0!</v>
      </c>
      <c r="EC42" s="190" t="e">
        <f t="shared" si="253"/>
        <v>#DIV/0!</v>
      </c>
    </row>
    <row r="43" spans="1:133" ht="25.5" x14ac:dyDescent="0.2">
      <c r="A43" s="66" t="s">
        <v>347</v>
      </c>
      <c r="B43" s="38">
        <f>targets!AW42</f>
        <v>0</v>
      </c>
      <c r="C43" s="245">
        <f>targets!AX42</f>
        <v>0</v>
      </c>
      <c r="D43" s="245">
        <f>targets!AY42</f>
        <v>0</v>
      </c>
      <c r="E43" s="245">
        <f>targets!AZ42</f>
        <v>0</v>
      </c>
      <c r="F43" s="245">
        <f>targets!BA42</f>
        <v>0</v>
      </c>
      <c r="G43" s="245">
        <f>SUM(targets!BB42:BG42)</f>
        <v>0</v>
      </c>
      <c r="H43" s="40">
        <f>SUM(targets!BH42:BM42)</f>
        <v>0</v>
      </c>
      <c r="I43" s="246">
        <f t="shared" si="254"/>
        <v>0</v>
      </c>
      <c r="J43" s="245">
        <f>targets!BN42</f>
        <v>0</v>
      </c>
      <c r="K43" s="245">
        <f>targets!BO42</f>
        <v>0</v>
      </c>
      <c r="L43" s="245">
        <f>targets!BP42</f>
        <v>0</v>
      </c>
      <c r="M43" s="178">
        <f t="shared" si="255"/>
        <v>0</v>
      </c>
      <c r="N43" s="17">
        <f t="shared" si="219"/>
        <v>0</v>
      </c>
      <c r="O43" s="17"/>
      <c r="P43" s="17"/>
      <c r="Q43" s="66" t="s">
        <v>347</v>
      </c>
      <c r="R43" s="38">
        <f t="shared" si="220"/>
        <v>0</v>
      </c>
      <c r="S43" s="245">
        <f t="shared" si="185"/>
        <v>0</v>
      </c>
      <c r="T43" s="245">
        <f t="shared" si="186"/>
        <v>0</v>
      </c>
      <c r="U43" s="245">
        <f t="shared" si="187"/>
        <v>0</v>
      </c>
      <c r="V43" s="245">
        <f t="shared" si="188"/>
        <v>0</v>
      </c>
      <c r="W43" s="245">
        <f t="shared" si="189"/>
        <v>0</v>
      </c>
      <c r="X43" s="40">
        <f t="shared" si="190"/>
        <v>0</v>
      </c>
      <c r="Y43" s="246">
        <f t="shared" si="221"/>
        <v>0</v>
      </c>
      <c r="Z43" s="245" t="e">
        <f t="shared" si="191"/>
        <v>#DIV/0!</v>
      </c>
      <c r="AA43" s="245" t="e">
        <f t="shared" si="192"/>
        <v>#DIV/0!</v>
      </c>
      <c r="AB43" s="245" t="e">
        <f t="shared" si="193"/>
        <v>#DIV/0!</v>
      </c>
      <c r="AC43" s="178" t="e">
        <f t="shared" si="256"/>
        <v>#DIV/0!</v>
      </c>
      <c r="AD43" s="17" t="e">
        <f t="shared" si="222"/>
        <v>#DIV/0!</v>
      </c>
      <c r="AF43" s="66" t="s">
        <v>347</v>
      </c>
      <c r="AG43" s="38">
        <f t="array" ref="AG43">SUM(IF((modeldata!$F:$F=calibration!$AF$28)*(modeldata!$G:$G=calibration!AG$30)*(modeldata!$H:$H=calibration!$AF43),modeldata!$E:$E,0))</f>
        <v>0</v>
      </c>
      <c r="AH43" s="245">
        <f t="array" ref="AH43">SUM(IF((modeldata!$F:$F=calibration!$AF$28)*(modeldata!$G:$G=calibration!AH$30)*(modeldata!$H:$H=calibration!$AF43),modeldata!$E:$E,0))</f>
        <v>0</v>
      </c>
      <c r="AI43" s="245">
        <f t="array" ref="AI43">SUM(IF((modeldata!$F:$F=calibration!$AF$28)*(modeldata!$G:$G=calibration!AI$30)*(modeldata!$H:$H=calibration!$AF43),modeldata!$E:$E,0))</f>
        <v>0</v>
      </c>
      <c r="AJ43" s="245">
        <f t="array" ref="AJ43">SUM(IF((modeldata!$F:$F=calibration!$AF$28)*(modeldata!$G:$G=calibration!AJ$30)*(modeldata!$H:$H=calibration!$AF43),modeldata!$E:$E,0))</f>
        <v>0</v>
      </c>
      <c r="AK43" s="245">
        <f t="array" ref="AK43">SUM(IF((modeldata!$F:$F=calibration!$AF$28)*(modeldata!$G:$G=calibration!AK$30)*(modeldata!$H:$H=calibration!$AF43),modeldata!$E:$E,0))</f>
        <v>0</v>
      </c>
      <c r="AL43" s="245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6"/>
      <c r="AO43" s="245">
        <f t="array" ref="AO43">SUM(IF((modeldata!$F:$F=calibration!$AF$28)*(modeldata!$G:$G=calibration!AO$30)*(modeldata!$H:$H=calibration!$AF43),modeldata!$E:$E,0))</f>
        <v>0</v>
      </c>
      <c r="AP43" s="245">
        <f t="array" ref="AP43">SUM(IF((modeldata!$F:$F=calibration!$AF$28)*(modeldata!$G:$G=calibration!AP$30)*(modeldata!$H:$H=calibration!$AF43),modeldata!$E:$E,0))</f>
        <v>0</v>
      </c>
      <c r="AQ43" s="245">
        <f t="array" ref="AQ43">SUM(IF((modeldata!$F:$F=calibration!$AF$28)*(modeldata!$G:$G=calibration!AQ$30)*(modeldata!$H:$H=calibration!$AF43),modeldata!$E:$E,0))</f>
        <v>0</v>
      </c>
      <c r="AR43" s="178">
        <f t="shared" si="257"/>
        <v>0</v>
      </c>
      <c r="AS43" s="17">
        <f t="shared" si="224"/>
        <v>0</v>
      </c>
      <c r="AU43" s="66" t="s">
        <v>347</v>
      </c>
      <c r="AV43" s="38">
        <f t="shared" ref="AV43:BG43" si="280">IF(R51&gt;0,R43/R51,0)</f>
        <v>0</v>
      </c>
      <c r="AW43" s="245">
        <f t="shared" si="280"/>
        <v>0</v>
      </c>
      <c r="AX43" s="245">
        <f t="shared" si="280"/>
        <v>0</v>
      </c>
      <c r="AY43" s="245">
        <f t="shared" si="280"/>
        <v>0</v>
      </c>
      <c r="AZ43" s="245">
        <f t="shared" si="280"/>
        <v>0</v>
      </c>
      <c r="BA43" s="245">
        <f t="shared" si="280"/>
        <v>0</v>
      </c>
      <c r="BB43" s="40">
        <f t="shared" si="280"/>
        <v>0</v>
      </c>
      <c r="BC43" s="246">
        <f t="shared" si="280"/>
        <v>0</v>
      </c>
      <c r="BD43" s="245" t="e">
        <f t="shared" si="280"/>
        <v>#DIV/0!</v>
      </c>
      <c r="BE43" s="245" t="e">
        <f t="shared" si="280"/>
        <v>#DIV/0!</v>
      </c>
      <c r="BF43" s="245" t="e">
        <f t="shared" si="280"/>
        <v>#DIV/0!</v>
      </c>
      <c r="BG43" s="178" t="e">
        <f t="shared" si="280"/>
        <v>#DIV/0!</v>
      </c>
      <c r="BH43" s="24" t="e">
        <f>AD43/AD51</f>
        <v>#DIV/0!</v>
      </c>
      <c r="BJ43" s="66" t="s">
        <v>347</v>
      </c>
      <c r="BK43" s="38">
        <f t="shared" ref="BK43:BV43" si="281">IF(AG51&gt;0,AG43/AG51,0)</f>
        <v>0</v>
      </c>
      <c r="BL43" s="245">
        <f t="shared" si="281"/>
        <v>0</v>
      </c>
      <c r="BM43" s="245">
        <f t="shared" si="281"/>
        <v>0</v>
      </c>
      <c r="BN43" s="245">
        <f t="shared" si="281"/>
        <v>0</v>
      </c>
      <c r="BO43" s="245">
        <f t="shared" si="281"/>
        <v>0</v>
      </c>
      <c r="BP43" s="245">
        <f t="shared" si="281"/>
        <v>0</v>
      </c>
      <c r="BQ43" s="40">
        <f t="shared" si="281"/>
        <v>0</v>
      </c>
      <c r="BR43" s="246">
        <f t="shared" si="281"/>
        <v>0</v>
      </c>
      <c r="BS43" s="245">
        <f t="shared" si="281"/>
        <v>0</v>
      </c>
      <c r="BT43" s="245">
        <f t="shared" si="281"/>
        <v>0</v>
      </c>
      <c r="BU43" s="245">
        <f t="shared" si="281"/>
        <v>0</v>
      </c>
      <c r="BV43" s="178">
        <f t="shared" si="281"/>
        <v>0</v>
      </c>
      <c r="BW43" s="24" t="e">
        <f>AS43/AS51</f>
        <v>#DIV/0!</v>
      </c>
      <c r="BX43" s="24"/>
      <c r="BY43" s="66" t="s">
        <v>347</v>
      </c>
      <c r="BZ43" s="54">
        <f t="shared" si="227"/>
        <v>0</v>
      </c>
      <c r="CA43" s="55">
        <f t="shared" si="196"/>
        <v>0</v>
      </c>
      <c r="CB43" s="55">
        <f t="shared" si="197"/>
        <v>0</v>
      </c>
      <c r="CC43" s="55">
        <f t="shared" si="198"/>
        <v>0</v>
      </c>
      <c r="CD43" s="55">
        <f t="shared" si="199"/>
        <v>0</v>
      </c>
      <c r="CE43" s="55">
        <f t="shared" si="200"/>
        <v>0</v>
      </c>
      <c r="CF43" s="60">
        <f t="shared" si="201"/>
        <v>0</v>
      </c>
      <c r="CG43" s="249">
        <f t="shared" si="202"/>
        <v>0</v>
      </c>
      <c r="CH43" s="55" t="e">
        <f t="shared" si="203"/>
        <v>#DIV/0!</v>
      </c>
      <c r="CI43" s="55" t="e">
        <f t="shared" si="204"/>
        <v>#DIV/0!</v>
      </c>
      <c r="CJ43" s="55" t="e">
        <f t="shared" si="205"/>
        <v>#DIV/0!</v>
      </c>
      <c r="CK43" s="252" t="e">
        <f t="shared" si="205"/>
        <v>#DIV/0!</v>
      </c>
      <c r="CL43" s="55" t="e">
        <f t="shared" si="206"/>
        <v>#DIV/0!</v>
      </c>
      <c r="CN43" s="66" t="s">
        <v>347</v>
      </c>
      <c r="CO43" s="54">
        <f t="shared" si="228"/>
        <v>0</v>
      </c>
      <c r="CP43" s="55">
        <f t="shared" si="207"/>
        <v>0</v>
      </c>
      <c r="CQ43" s="55">
        <f t="shared" si="208"/>
        <v>0</v>
      </c>
      <c r="CR43" s="55">
        <f t="shared" si="209"/>
        <v>0</v>
      </c>
      <c r="CS43" s="55">
        <f t="shared" si="210"/>
        <v>0</v>
      </c>
      <c r="CT43" s="55">
        <f t="shared" si="211"/>
        <v>0</v>
      </c>
      <c r="CU43" s="60">
        <f t="shared" si="212"/>
        <v>0</v>
      </c>
      <c r="CV43" s="249">
        <f t="shared" si="213"/>
        <v>0</v>
      </c>
      <c r="CW43" s="55" t="e">
        <f t="shared" si="214"/>
        <v>#DIV/0!</v>
      </c>
      <c r="CX43" s="55" t="e">
        <f t="shared" si="215"/>
        <v>#DIV/0!</v>
      </c>
      <c r="CY43" s="55" t="e">
        <f t="shared" si="216"/>
        <v>#DIV/0!</v>
      </c>
      <c r="CZ43" s="252" t="e">
        <f t="shared" si="216"/>
        <v>#DIV/0!</v>
      </c>
      <c r="DA43" s="62" t="e">
        <f t="shared" si="217"/>
        <v>#DIV/0!</v>
      </c>
      <c r="DC43" s="66" t="s">
        <v>347</v>
      </c>
      <c r="DD43" s="198">
        <f t="shared" si="229"/>
        <v>0</v>
      </c>
      <c r="DE43" s="199">
        <f t="shared" si="230"/>
        <v>0</v>
      </c>
      <c r="DF43" s="198">
        <f t="shared" si="231"/>
        <v>0</v>
      </c>
      <c r="DG43" s="199">
        <f t="shared" si="232"/>
        <v>0</v>
      </c>
      <c r="DH43" s="198">
        <f t="shared" si="233"/>
        <v>0</v>
      </c>
      <c r="DI43" s="199">
        <f t="shared" si="234"/>
        <v>0</v>
      </c>
      <c r="DJ43" s="198">
        <f t="shared" si="235"/>
        <v>0</v>
      </c>
      <c r="DK43" s="199">
        <f t="shared" si="236"/>
        <v>0</v>
      </c>
      <c r="DL43" s="198">
        <f t="shared" si="237"/>
        <v>0</v>
      </c>
      <c r="DM43" s="199">
        <f t="shared" si="238"/>
        <v>0</v>
      </c>
      <c r="DN43" s="198">
        <f t="shared" si="239"/>
        <v>0</v>
      </c>
      <c r="DO43" s="199">
        <f t="shared" si="240"/>
        <v>0</v>
      </c>
      <c r="DP43" s="198">
        <f t="shared" si="241"/>
        <v>0</v>
      </c>
      <c r="DQ43" s="199">
        <f t="shared" si="242"/>
        <v>0</v>
      </c>
      <c r="DR43" s="198">
        <f t="shared" si="243"/>
        <v>0</v>
      </c>
      <c r="DS43" s="199">
        <f t="shared" si="244"/>
        <v>0</v>
      </c>
      <c r="DT43" s="198" t="e">
        <f t="shared" si="245"/>
        <v>#DIV/0!</v>
      </c>
      <c r="DU43" s="199">
        <f t="shared" si="246"/>
        <v>0</v>
      </c>
      <c r="DV43" s="198" t="e">
        <f t="shared" si="247"/>
        <v>#DIV/0!</v>
      </c>
      <c r="DW43" s="199">
        <f t="shared" si="248"/>
        <v>0</v>
      </c>
      <c r="DX43" s="198" t="e">
        <f t="shared" si="249"/>
        <v>#DIV/0!</v>
      </c>
      <c r="DY43" s="199">
        <f t="shared" si="250"/>
        <v>0</v>
      </c>
      <c r="DZ43" s="190" t="e">
        <f t="shared" si="251"/>
        <v>#DIV/0!</v>
      </c>
      <c r="EA43" s="199">
        <f t="shared" si="218"/>
        <v>0</v>
      </c>
      <c r="EB43" s="190" t="e">
        <f t="shared" si="252"/>
        <v>#DIV/0!</v>
      </c>
      <c r="EC43" s="190" t="e">
        <f t="shared" si="253"/>
        <v>#DIV/0!</v>
      </c>
    </row>
    <row r="44" spans="1:133" x14ac:dyDescent="0.2">
      <c r="A44" s="2" t="s">
        <v>350</v>
      </c>
      <c r="B44" s="38">
        <f>targets!AW43</f>
        <v>0</v>
      </c>
      <c r="C44" s="245">
        <f>targets!AX43</f>
        <v>0</v>
      </c>
      <c r="D44" s="245">
        <f>targets!AY43</f>
        <v>0</v>
      </c>
      <c r="E44" s="245">
        <f>targets!AZ43</f>
        <v>0</v>
      </c>
      <c r="F44" s="245">
        <f>targets!BA43</f>
        <v>0</v>
      </c>
      <c r="G44" s="245">
        <f>SUM(targets!BB43:BG43)</f>
        <v>0</v>
      </c>
      <c r="H44" s="40">
        <f>SUM(targets!BH43:BM43)</f>
        <v>0</v>
      </c>
      <c r="I44" s="246">
        <f t="shared" ref="I44" si="282">SUM(G44:H44)</f>
        <v>0</v>
      </c>
      <c r="J44" s="245">
        <f>targets!BN43</f>
        <v>0</v>
      </c>
      <c r="K44" s="245">
        <f>targets!BO43</f>
        <v>0</v>
      </c>
      <c r="L44" s="245">
        <f>targets!BP43</f>
        <v>0</v>
      </c>
      <c r="M44" s="178">
        <f t="shared" ref="M44" si="283">SUM(J44:L44)</f>
        <v>0</v>
      </c>
      <c r="N44" s="17">
        <f t="shared" ref="N44" si="284">SUM(B44:L44)-I44</f>
        <v>0</v>
      </c>
      <c r="O44" s="17"/>
      <c r="P44" s="17"/>
      <c r="Q44" s="2" t="s">
        <v>350</v>
      </c>
      <c r="R44" s="38">
        <f t="shared" si="220"/>
        <v>0</v>
      </c>
      <c r="S44" s="245">
        <f t="shared" si="185"/>
        <v>0</v>
      </c>
      <c r="T44" s="245">
        <f t="shared" si="186"/>
        <v>0</v>
      </c>
      <c r="U44" s="245">
        <f t="shared" si="187"/>
        <v>0</v>
      </c>
      <c r="V44" s="245">
        <f t="shared" si="188"/>
        <v>0</v>
      </c>
      <c r="W44" s="245">
        <f t="shared" si="189"/>
        <v>0</v>
      </c>
      <c r="X44" s="40">
        <f t="shared" si="190"/>
        <v>0</v>
      </c>
      <c r="Y44" s="246">
        <f>SUM(W44:X44)</f>
        <v>0</v>
      </c>
      <c r="Z44" s="245" t="e">
        <f t="shared" si="191"/>
        <v>#DIV/0!</v>
      </c>
      <c r="AA44" s="245" t="e">
        <f t="shared" si="192"/>
        <v>#DIV/0!</v>
      </c>
      <c r="AB44" s="245" t="e">
        <f t="shared" si="193"/>
        <v>#DIV/0!</v>
      </c>
      <c r="AC44" s="178" t="e">
        <f t="shared" ref="AC44" si="285">SUM(Z44:AB44)</f>
        <v>#DIV/0!</v>
      </c>
      <c r="AD44" s="17"/>
      <c r="AF44" s="2" t="s">
        <v>350</v>
      </c>
      <c r="AG44" s="38" cm="1">
        <f t="array" ref="AG44">SUM(IF((modeldata!$F:$F=calibration!$AF$28)*(modeldata!$G:$G=calibration!AG$30)*(modeldata!$H:$H=calibration!$AF44),modeldata!$E:$E,0))</f>
        <v>0</v>
      </c>
      <c r="AH44" s="245">
        <f t="array" ref="AH44">SUM(IF((modeldata!$F:$F=calibration!$AF$28)*(modeldata!$G:$G=calibration!AH$30)*(modeldata!$H:$H=calibration!$AF44),modeldata!$E:$E,0))</f>
        <v>0</v>
      </c>
      <c r="AI44" s="245">
        <f t="array" ref="AI44">SUM(IF((modeldata!$F:$F=calibration!$AF$28)*(modeldata!$G:$G=calibration!AI$30)*(modeldata!$H:$H=calibration!$AF44),modeldata!$E:$E,0))</f>
        <v>0</v>
      </c>
      <c r="AJ44" s="245">
        <f t="array" ref="AJ44">SUM(IF((modeldata!$F:$F=calibration!$AF$28)*(modeldata!$G:$G=calibration!AJ$30)*(modeldata!$H:$H=calibration!$AF44),modeldata!$E:$E,0))</f>
        <v>0</v>
      </c>
      <c r="AK44" s="245">
        <f t="array" ref="AK44">SUM(IF((modeldata!$F:$F=calibration!$AF$28)*(modeldata!$G:$G=calibration!AK$30)*(modeldata!$H:$H=calibration!$AF44),modeldata!$E:$E,0))</f>
        <v>0</v>
      </c>
      <c r="AL44" s="245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6">
        <f t="shared" ref="AN44" si="286">AL44+AM44</f>
        <v>0</v>
      </c>
      <c r="AO44" s="245">
        <f t="array" ref="AO44">SUM(IF((modeldata!$F:$F=calibration!$AF$28)*(modeldata!$G:$G=calibration!AO$30)*(modeldata!$H:$H=calibration!$AF44),modeldata!$E:$E,0))</f>
        <v>0</v>
      </c>
      <c r="AP44" s="245">
        <f t="array" ref="AP44">SUM(IF((modeldata!$F:$F=calibration!$AF$28)*(modeldata!$G:$G=calibration!AP$30)*(modeldata!$H:$H=calibration!$AF44),modeldata!$E:$E,0))</f>
        <v>0</v>
      </c>
      <c r="AQ44" s="245">
        <f t="array" ref="AQ44">SUM(IF((modeldata!$F:$F=calibration!$AF$28)*(modeldata!$G:$G=calibration!AQ$30)*(modeldata!$H:$H=calibration!$AF44),modeldata!$E:$E,0))</f>
        <v>0</v>
      </c>
      <c r="AR44" s="178">
        <f t="shared" ref="AR44" si="287">SUM(AO44:AQ44)</f>
        <v>0</v>
      </c>
      <c r="AS44" s="17">
        <f>SUM(AG44:AQ44)-AN44</f>
        <v>0</v>
      </c>
      <c r="AU44" s="2" t="s">
        <v>350</v>
      </c>
      <c r="AV44" s="38">
        <f t="shared" ref="AV44:BG44" si="288">IF(R53&gt;0,R44/R53,0)</f>
        <v>0</v>
      </c>
      <c r="AW44" s="245">
        <f t="shared" si="288"/>
        <v>0</v>
      </c>
      <c r="AX44" s="245">
        <f t="shared" si="288"/>
        <v>0</v>
      </c>
      <c r="AY44" s="245">
        <f t="shared" si="288"/>
        <v>0</v>
      </c>
      <c r="AZ44" s="245">
        <f t="shared" si="288"/>
        <v>0</v>
      </c>
      <c r="BA44" s="245">
        <f t="shared" si="288"/>
        <v>0</v>
      </c>
      <c r="BB44" s="40">
        <f t="shared" si="288"/>
        <v>0</v>
      </c>
      <c r="BC44" s="246">
        <f t="shared" si="288"/>
        <v>0</v>
      </c>
      <c r="BD44" s="245">
        <f t="shared" si="288"/>
        <v>0</v>
      </c>
      <c r="BE44" s="245">
        <f t="shared" si="288"/>
        <v>0</v>
      </c>
      <c r="BF44" s="245">
        <f t="shared" si="288"/>
        <v>0</v>
      </c>
      <c r="BG44" s="178">
        <f t="shared" si="288"/>
        <v>0</v>
      </c>
      <c r="BH44" s="24" t="e">
        <f>AD44/AD53</f>
        <v>#DIV/0!</v>
      </c>
      <c r="BJ44" s="2" t="s">
        <v>350</v>
      </c>
      <c r="BK44" s="38">
        <f t="shared" ref="BK44:BV44" si="289">IF(AG60&gt;0,AG44/AG60,0)</f>
        <v>0</v>
      </c>
      <c r="BL44" s="245">
        <f t="shared" si="289"/>
        <v>0</v>
      </c>
      <c r="BM44" s="245">
        <f t="shared" si="289"/>
        <v>0</v>
      </c>
      <c r="BN44" s="245">
        <f t="shared" si="289"/>
        <v>0</v>
      </c>
      <c r="BO44" s="245">
        <f t="shared" si="289"/>
        <v>0</v>
      </c>
      <c r="BP44" s="245">
        <f t="shared" si="289"/>
        <v>0</v>
      </c>
      <c r="BQ44" s="40">
        <f t="shared" si="289"/>
        <v>0</v>
      </c>
      <c r="BR44" s="246">
        <f t="shared" si="289"/>
        <v>0</v>
      </c>
      <c r="BS44" s="245">
        <f t="shared" si="289"/>
        <v>0</v>
      </c>
      <c r="BT44" s="245">
        <f t="shared" si="289"/>
        <v>0</v>
      </c>
      <c r="BU44" s="245">
        <f t="shared" si="289"/>
        <v>0</v>
      </c>
      <c r="BV44" s="178">
        <f t="shared" si="289"/>
        <v>0</v>
      </c>
      <c r="BW44" s="24" t="e">
        <f>AS44/AS60</f>
        <v>#DIV/0!</v>
      </c>
      <c r="BX44" s="24"/>
      <c r="BY44" s="2" t="s">
        <v>350</v>
      </c>
      <c r="BZ44" s="54">
        <f t="shared" ref="BZ44" si="290">AG44-R44</f>
        <v>0</v>
      </c>
      <c r="CA44" s="55">
        <f t="shared" ref="CA44" si="291">AH44-S44</f>
        <v>0</v>
      </c>
      <c r="CB44" s="55">
        <f t="shared" ref="CB44" si="292">AI44-T44</f>
        <v>0</v>
      </c>
      <c r="CC44" s="55">
        <f t="shared" ref="CC44" si="293">AJ44-U44</f>
        <v>0</v>
      </c>
      <c r="CD44" s="55">
        <f t="shared" ref="CD44" si="294">AK44-V44</f>
        <v>0</v>
      </c>
      <c r="CE44" s="55">
        <f t="shared" ref="CE44" si="295">AL44-W44</f>
        <v>0</v>
      </c>
      <c r="CF44" s="60">
        <f t="shared" ref="CF44" si="296">AM44-X44</f>
        <v>0</v>
      </c>
      <c r="CG44" s="249">
        <f t="shared" ref="CG44" si="297">AN44-Y44</f>
        <v>0</v>
      </c>
      <c r="CH44" s="55" t="e">
        <f t="shared" ref="CH44" si="298">AO44-Z44</f>
        <v>#DIV/0!</v>
      </c>
      <c r="CI44" s="55" t="e">
        <f t="shared" ref="CI44" si="299">AP44-AA44</f>
        <v>#DIV/0!</v>
      </c>
      <c r="CJ44" s="55" t="e">
        <f t="shared" ref="CJ44" si="300">AQ44-AB44</f>
        <v>#DIV/0!</v>
      </c>
      <c r="CK44" s="252" t="e">
        <f t="shared" ref="CK44" si="301">AR44-AC44</f>
        <v>#DIV/0!</v>
      </c>
      <c r="CL44" s="55">
        <f t="shared" ref="CL44" si="302">AS44-AD44</f>
        <v>0</v>
      </c>
      <c r="CN44" s="2" t="s">
        <v>350</v>
      </c>
      <c r="CO44" s="54">
        <f t="shared" ref="CO44" si="303">BK44-AV44</f>
        <v>0</v>
      </c>
      <c r="CP44" s="55">
        <f t="shared" ref="CP44" si="304">BL44-AW44</f>
        <v>0</v>
      </c>
      <c r="CQ44" s="55">
        <f t="shared" ref="CQ44" si="305">BM44-AX44</f>
        <v>0</v>
      </c>
      <c r="CR44" s="55">
        <f t="shared" ref="CR44" si="306">BN44-AY44</f>
        <v>0</v>
      </c>
      <c r="CS44" s="55">
        <f t="shared" ref="CS44" si="307">BO44-AZ44</f>
        <v>0</v>
      </c>
      <c r="CT44" s="55">
        <f t="shared" ref="CT44" si="308">BP44-BA44</f>
        <v>0</v>
      </c>
      <c r="CU44" s="60">
        <f t="shared" ref="CU44" si="309">BQ44-BB44</f>
        <v>0</v>
      </c>
      <c r="CV44" s="249">
        <f t="shared" ref="CV44" si="310">BR44-BC44</f>
        <v>0</v>
      </c>
      <c r="CW44" s="55">
        <f t="shared" ref="CW44" si="311">BS44-BD44</f>
        <v>0</v>
      </c>
      <c r="CX44" s="55">
        <f t="shared" ref="CX44" si="312">BT44-BE44</f>
        <v>0</v>
      </c>
      <c r="CY44" s="55">
        <f t="shared" ref="CY44" si="313">BU44-BF44</f>
        <v>0</v>
      </c>
      <c r="CZ44" s="252">
        <f t="shared" ref="CZ44" si="314">BV44-BG44</f>
        <v>0</v>
      </c>
      <c r="DA44" s="62" t="e">
        <f t="shared" ref="DA44" si="315">BW44-BH44</f>
        <v>#DIV/0!</v>
      </c>
      <c r="DC44" s="2" t="s">
        <v>350</v>
      </c>
      <c r="DD44" s="198">
        <f t="shared" ref="DD44" si="316">AV44</f>
        <v>0</v>
      </c>
      <c r="DE44" s="199">
        <f t="shared" ref="DE44" si="317">BK44</f>
        <v>0</v>
      </c>
      <c r="DF44" s="198">
        <f t="shared" ref="DF44" si="318">AW44</f>
        <v>0</v>
      </c>
      <c r="DG44" s="199">
        <f t="shared" ref="DG44" si="319">BL44</f>
        <v>0</v>
      </c>
      <c r="DH44" s="198">
        <f t="shared" ref="DH44" si="320">AX44</f>
        <v>0</v>
      </c>
      <c r="DI44" s="199">
        <f t="shared" ref="DI44" si="321">BM44</f>
        <v>0</v>
      </c>
      <c r="DJ44" s="198">
        <f t="shared" ref="DJ44" si="322">AY44</f>
        <v>0</v>
      </c>
      <c r="DK44" s="199">
        <f t="shared" ref="DK44" si="323">BN44</f>
        <v>0</v>
      </c>
      <c r="DL44" s="198">
        <f t="shared" ref="DL44" si="324">AZ44</f>
        <v>0</v>
      </c>
      <c r="DM44" s="199">
        <f t="shared" ref="DM44" si="325">BO44</f>
        <v>0</v>
      </c>
      <c r="DN44" s="198">
        <f t="shared" ref="DN44" si="326">BA44</f>
        <v>0</v>
      </c>
      <c r="DO44" s="199">
        <f t="shared" ref="DO44" si="327">BP44</f>
        <v>0</v>
      </c>
      <c r="DP44" s="198">
        <f t="shared" ref="DP44" si="328">BB44</f>
        <v>0</v>
      </c>
      <c r="DQ44" s="199">
        <f t="shared" ref="DQ44" si="329">BQ44</f>
        <v>0</v>
      </c>
      <c r="DR44" s="198">
        <f t="shared" ref="DR44" si="330">BC44</f>
        <v>0</v>
      </c>
      <c r="DS44" s="199">
        <f t="shared" ref="DS44" si="331">BR44</f>
        <v>0</v>
      </c>
      <c r="DT44" s="198">
        <f t="shared" ref="DT44" si="332">BD44</f>
        <v>0</v>
      </c>
      <c r="DU44" s="199">
        <f t="shared" ref="DU44" si="333">BS44</f>
        <v>0</v>
      </c>
      <c r="DV44" s="198">
        <f t="shared" ref="DV44" si="334">BE44</f>
        <v>0</v>
      </c>
      <c r="DW44" s="199">
        <f t="shared" ref="DW44" si="335">BT44</f>
        <v>0</v>
      </c>
      <c r="DX44" s="198">
        <f t="shared" ref="DX44" si="336">BF44</f>
        <v>0</v>
      </c>
      <c r="DY44" s="199">
        <f t="shared" ref="DY44" si="337">BU44</f>
        <v>0</v>
      </c>
      <c r="DZ44" s="190">
        <f t="shared" ref="DZ44" si="338">BG44</f>
        <v>0</v>
      </c>
      <c r="EA44" s="199">
        <f t="shared" ref="EA44" si="339">BV44</f>
        <v>0</v>
      </c>
      <c r="EB44" s="190" t="e">
        <f t="shared" ref="EB44" si="340">BH44</f>
        <v>#DIV/0!</v>
      </c>
      <c r="EC44" s="190" t="e">
        <f t="shared" ref="EC44" si="341">BW44</f>
        <v>#DIV/0!</v>
      </c>
    </row>
    <row r="45" spans="1:133" x14ac:dyDescent="0.2">
      <c r="A45" s="64" t="s">
        <v>50</v>
      </c>
      <c r="B45" s="38">
        <f>targets!AW44</f>
        <v>0</v>
      </c>
      <c r="C45" s="245">
        <f>targets!AX44</f>
        <v>0</v>
      </c>
      <c r="D45" s="245">
        <f>targets!AY44</f>
        <v>0</v>
      </c>
      <c r="E45" s="245">
        <f>targets!AZ44</f>
        <v>0</v>
      </c>
      <c r="F45" s="245">
        <f>targets!BA44</f>
        <v>0</v>
      </c>
      <c r="G45" s="245">
        <f>SUM(targets!BB44:BG44)</f>
        <v>0</v>
      </c>
      <c r="H45" s="40">
        <f>SUM(targets!BH44:BM44)</f>
        <v>0</v>
      </c>
      <c r="I45" s="246">
        <f t="shared" si="254"/>
        <v>0</v>
      </c>
      <c r="J45" s="245">
        <f>targets!BN44</f>
        <v>0</v>
      </c>
      <c r="K45" s="245">
        <f>targets!BO44</f>
        <v>0</v>
      </c>
      <c r="L45" s="245">
        <f>targets!BP44</f>
        <v>0</v>
      </c>
      <c r="M45" s="178">
        <f t="shared" si="255"/>
        <v>0</v>
      </c>
      <c r="N45" s="17">
        <f t="shared" si="219"/>
        <v>0</v>
      </c>
      <c r="O45" s="17"/>
      <c r="P45" s="17"/>
      <c r="Q45" s="64" t="s">
        <v>50</v>
      </c>
      <c r="R45" s="38">
        <f t="shared" si="220"/>
        <v>0</v>
      </c>
      <c r="S45" s="245">
        <f t="shared" si="185"/>
        <v>0</v>
      </c>
      <c r="T45" s="245">
        <f t="shared" si="186"/>
        <v>0</v>
      </c>
      <c r="U45" s="245">
        <f t="shared" si="187"/>
        <v>0</v>
      </c>
      <c r="V45" s="245">
        <f t="shared" si="188"/>
        <v>0</v>
      </c>
      <c r="W45" s="245">
        <f t="shared" si="189"/>
        <v>0</v>
      </c>
      <c r="X45" s="40">
        <f t="shared" si="190"/>
        <v>0</v>
      </c>
      <c r="Y45" s="246">
        <f t="shared" si="221"/>
        <v>0</v>
      </c>
      <c r="Z45" s="245" t="e">
        <f t="shared" si="191"/>
        <v>#DIV/0!</v>
      </c>
      <c r="AA45" s="245" t="e">
        <f t="shared" si="192"/>
        <v>#DIV/0!</v>
      </c>
      <c r="AB45" s="245" t="e">
        <f t="shared" si="193"/>
        <v>#DIV/0!</v>
      </c>
      <c r="AC45" s="178" t="e">
        <f t="shared" si="256"/>
        <v>#DIV/0!</v>
      </c>
      <c r="AD45" s="17" t="e">
        <f t="shared" si="222"/>
        <v>#DIV/0!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5">
        <f t="array" ref="AH45">SUM(IF((modeldata!$F:$F=calibration!$AF$28)*(modeldata!$G:$G=calibration!AH$30)*(modeldata!$H:$H=calibration!$AF45),modeldata!$E:$E,0))</f>
        <v>0</v>
      </c>
      <c r="AI45" s="245">
        <f t="array" ref="AI45">SUM(IF((modeldata!$F:$F=calibration!$AF$28)*(modeldata!$G:$G=calibration!AI$30)*(modeldata!$H:$H=calibration!$AF45),modeldata!$E:$E,0))</f>
        <v>0</v>
      </c>
      <c r="AJ45" s="245">
        <f t="array" ref="AJ45">SUM(IF((modeldata!$F:$F=calibration!$AF$28)*(modeldata!$G:$G=calibration!AJ$30)*(modeldata!$H:$H=calibration!$AF45),modeldata!$E:$E,0))</f>
        <v>0</v>
      </c>
      <c r="AK45" s="245">
        <f t="array" ref="AK45">SUM(IF((modeldata!$F:$F=calibration!$AF$28)*(modeldata!$G:$G=calibration!AK$30)*(modeldata!$H:$H=calibration!$AF45),modeldata!$E:$E,0))</f>
        <v>0</v>
      </c>
      <c r="AL45" s="245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6"/>
      <c r="AO45" s="245">
        <f t="array" ref="AO45">SUM(IF((modeldata!$F:$F=calibration!$AF$28)*(modeldata!$G:$G=calibration!AO$30)*(modeldata!$H:$H=calibration!$AF45),modeldata!$E:$E,0))</f>
        <v>0</v>
      </c>
      <c r="AP45" s="245">
        <f t="array" ref="AP45">SUM(IF((modeldata!$F:$F=calibration!$AF$28)*(modeldata!$G:$G=calibration!AP$30)*(modeldata!$H:$H=calibration!$AF45),modeldata!$E:$E,0))</f>
        <v>0</v>
      </c>
      <c r="AQ45" s="245">
        <f t="array" ref="AQ45">SUM(IF((modeldata!$F:$F=calibration!$AF$28)*(modeldata!$G:$G=calibration!AQ$30)*(modeldata!$H:$H=calibration!$AF45),modeldata!$E:$E,0))</f>
        <v>0</v>
      </c>
      <c r="AR45" s="178">
        <f t="shared" si="257"/>
        <v>0</v>
      </c>
      <c r="AS45" s="17">
        <f t="shared" si="224"/>
        <v>0</v>
      </c>
      <c r="AU45" s="64" t="s">
        <v>50</v>
      </c>
      <c r="AV45" s="38">
        <f t="shared" ref="AV45:BG45" si="342">IF(R51&gt;0,R45/R51,0)</f>
        <v>0</v>
      </c>
      <c r="AW45" s="245">
        <f t="shared" si="342"/>
        <v>0</v>
      </c>
      <c r="AX45" s="245">
        <f t="shared" si="342"/>
        <v>0</v>
      </c>
      <c r="AY45" s="245">
        <f t="shared" si="342"/>
        <v>0</v>
      </c>
      <c r="AZ45" s="245">
        <f t="shared" si="342"/>
        <v>0</v>
      </c>
      <c r="BA45" s="245">
        <f t="shared" si="342"/>
        <v>0</v>
      </c>
      <c r="BB45" s="40">
        <f t="shared" si="342"/>
        <v>0</v>
      </c>
      <c r="BC45" s="246">
        <f t="shared" si="342"/>
        <v>0</v>
      </c>
      <c r="BD45" s="245" t="e">
        <f t="shared" si="342"/>
        <v>#DIV/0!</v>
      </c>
      <c r="BE45" s="245" t="e">
        <f t="shared" si="342"/>
        <v>#DIV/0!</v>
      </c>
      <c r="BF45" s="245" t="e">
        <f t="shared" si="342"/>
        <v>#DIV/0!</v>
      </c>
      <c r="BG45" s="178" t="e">
        <f t="shared" si="342"/>
        <v>#DIV/0!</v>
      </c>
      <c r="BH45" s="24" t="e">
        <f>AD45/AD51</f>
        <v>#DIV/0!</v>
      </c>
      <c r="BJ45" s="64" t="s">
        <v>50</v>
      </c>
      <c r="BK45" s="38">
        <f t="shared" ref="BK45:BV45" si="343">IF(AG51&gt;0,AG45/AG51,0)</f>
        <v>0</v>
      </c>
      <c r="BL45" s="245">
        <f t="shared" si="343"/>
        <v>0</v>
      </c>
      <c r="BM45" s="245">
        <f t="shared" si="343"/>
        <v>0</v>
      </c>
      <c r="BN45" s="245">
        <f t="shared" si="343"/>
        <v>0</v>
      </c>
      <c r="BO45" s="245">
        <f t="shared" si="343"/>
        <v>0</v>
      </c>
      <c r="BP45" s="245">
        <f t="shared" si="343"/>
        <v>0</v>
      </c>
      <c r="BQ45" s="40">
        <f t="shared" si="343"/>
        <v>0</v>
      </c>
      <c r="BR45" s="246">
        <f t="shared" si="343"/>
        <v>0</v>
      </c>
      <c r="BS45" s="245">
        <f t="shared" si="343"/>
        <v>0</v>
      </c>
      <c r="BT45" s="245">
        <f t="shared" si="343"/>
        <v>0</v>
      </c>
      <c r="BU45" s="245">
        <f t="shared" si="343"/>
        <v>0</v>
      </c>
      <c r="BV45" s="178">
        <f t="shared" si="343"/>
        <v>0</v>
      </c>
      <c r="BW45" s="24" t="e">
        <f>AS45/AS51</f>
        <v>#DIV/0!</v>
      </c>
      <c r="BX45" s="24"/>
      <c r="BY45" s="64" t="s">
        <v>50</v>
      </c>
      <c r="BZ45" s="54">
        <f t="shared" si="227"/>
        <v>0</v>
      </c>
      <c r="CA45" s="55">
        <f t="shared" si="196"/>
        <v>0</v>
      </c>
      <c r="CB45" s="55">
        <f t="shared" si="197"/>
        <v>0</v>
      </c>
      <c r="CC45" s="55">
        <f t="shared" si="198"/>
        <v>0</v>
      </c>
      <c r="CD45" s="55">
        <f t="shared" si="199"/>
        <v>0</v>
      </c>
      <c r="CE45" s="55">
        <f t="shared" si="200"/>
        <v>0</v>
      </c>
      <c r="CF45" s="60">
        <f t="shared" si="201"/>
        <v>0</v>
      </c>
      <c r="CG45" s="249">
        <f t="shared" si="202"/>
        <v>0</v>
      </c>
      <c r="CH45" s="55" t="e">
        <f t="shared" si="203"/>
        <v>#DIV/0!</v>
      </c>
      <c r="CI45" s="55" t="e">
        <f t="shared" si="204"/>
        <v>#DIV/0!</v>
      </c>
      <c r="CJ45" s="55" t="e">
        <f t="shared" si="205"/>
        <v>#DIV/0!</v>
      </c>
      <c r="CK45" s="252" t="e">
        <f t="shared" si="205"/>
        <v>#DIV/0!</v>
      </c>
      <c r="CL45" s="55" t="e">
        <f t="shared" si="206"/>
        <v>#DIV/0!</v>
      </c>
      <c r="CN45" s="64" t="s">
        <v>50</v>
      </c>
      <c r="CO45" s="54">
        <f t="shared" si="228"/>
        <v>0</v>
      </c>
      <c r="CP45" s="55">
        <f t="shared" si="207"/>
        <v>0</v>
      </c>
      <c r="CQ45" s="55">
        <f t="shared" si="208"/>
        <v>0</v>
      </c>
      <c r="CR45" s="55">
        <f t="shared" si="209"/>
        <v>0</v>
      </c>
      <c r="CS45" s="55">
        <f t="shared" si="210"/>
        <v>0</v>
      </c>
      <c r="CT45" s="55">
        <f t="shared" si="211"/>
        <v>0</v>
      </c>
      <c r="CU45" s="60">
        <f t="shared" si="212"/>
        <v>0</v>
      </c>
      <c r="CV45" s="249">
        <f t="shared" si="213"/>
        <v>0</v>
      </c>
      <c r="CW45" s="55" t="e">
        <f t="shared" si="214"/>
        <v>#DIV/0!</v>
      </c>
      <c r="CX45" s="55" t="e">
        <f t="shared" si="215"/>
        <v>#DIV/0!</v>
      </c>
      <c r="CY45" s="55" t="e">
        <f t="shared" si="216"/>
        <v>#DIV/0!</v>
      </c>
      <c r="CZ45" s="252" t="e">
        <f t="shared" si="216"/>
        <v>#DIV/0!</v>
      </c>
      <c r="DA45" s="62" t="e">
        <f t="shared" si="217"/>
        <v>#DIV/0!</v>
      </c>
      <c r="DC45" s="64" t="s">
        <v>50</v>
      </c>
      <c r="DD45" s="198">
        <f t="shared" si="229"/>
        <v>0</v>
      </c>
      <c r="DE45" s="199">
        <f t="shared" si="230"/>
        <v>0</v>
      </c>
      <c r="DF45" s="198">
        <f t="shared" si="231"/>
        <v>0</v>
      </c>
      <c r="DG45" s="199">
        <f t="shared" si="232"/>
        <v>0</v>
      </c>
      <c r="DH45" s="198">
        <f t="shared" si="233"/>
        <v>0</v>
      </c>
      <c r="DI45" s="199">
        <f t="shared" si="234"/>
        <v>0</v>
      </c>
      <c r="DJ45" s="198">
        <f t="shared" si="235"/>
        <v>0</v>
      </c>
      <c r="DK45" s="199">
        <f t="shared" si="236"/>
        <v>0</v>
      </c>
      <c r="DL45" s="198">
        <f t="shared" si="237"/>
        <v>0</v>
      </c>
      <c r="DM45" s="199">
        <f t="shared" si="238"/>
        <v>0</v>
      </c>
      <c r="DN45" s="198">
        <f t="shared" si="239"/>
        <v>0</v>
      </c>
      <c r="DO45" s="199">
        <f t="shared" si="240"/>
        <v>0</v>
      </c>
      <c r="DP45" s="198">
        <f t="shared" si="241"/>
        <v>0</v>
      </c>
      <c r="DQ45" s="199">
        <f t="shared" si="242"/>
        <v>0</v>
      </c>
      <c r="DR45" s="198">
        <f t="shared" si="243"/>
        <v>0</v>
      </c>
      <c r="DS45" s="199">
        <f t="shared" si="244"/>
        <v>0</v>
      </c>
      <c r="DT45" s="198" t="e">
        <f t="shared" si="245"/>
        <v>#DIV/0!</v>
      </c>
      <c r="DU45" s="199">
        <f t="shared" si="246"/>
        <v>0</v>
      </c>
      <c r="DV45" s="198" t="e">
        <f t="shared" si="247"/>
        <v>#DIV/0!</v>
      </c>
      <c r="DW45" s="199">
        <f t="shared" si="248"/>
        <v>0</v>
      </c>
      <c r="DX45" s="198" t="e">
        <f t="shared" si="249"/>
        <v>#DIV/0!</v>
      </c>
      <c r="DY45" s="199">
        <f t="shared" si="250"/>
        <v>0</v>
      </c>
      <c r="DZ45" s="190" t="e">
        <f t="shared" si="251"/>
        <v>#DIV/0!</v>
      </c>
      <c r="EA45" s="199">
        <f t="shared" si="218"/>
        <v>0</v>
      </c>
      <c r="EB45" s="190" t="e">
        <f t="shared" si="252"/>
        <v>#DIV/0!</v>
      </c>
      <c r="EC45" s="190" t="e">
        <f t="shared" si="253"/>
        <v>#DIV/0!</v>
      </c>
    </row>
    <row r="46" spans="1:133" x14ac:dyDescent="0.2">
      <c r="A46" s="64" t="s">
        <v>51</v>
      </c>
      <c r="B46" s="38">
        <f>targets!AW45</f>
        <v>0</v>
      </c>
      <c r="C46" s="245">
        <f>targets!AX45</f>
        <v>0</v>
      </c>
      <c r="D46" s="245">
        <f>targets!AY45</f>
        <v>0</v>
      </c>
      <c r="E46" s="245">
        <f>targets!AZ45</f>
        <v>0</v>
      </c>
      <c r="F46" s="245">
        <f>targets!BA45</f>
        <v>0</v>
      </c>
      <c r="G46" s="245">
        <f>SUM(targets!BB45:BG45)</f>
        <v>0</v>
      </c>
      <c r="H46" s="40">
        <f>SUM(targets!BH45:BM45)</f>
        <v>47.46338885770011</v>
      </c>
      <c r="I46" s="246">
        <f t="shared" si="254"/>
        <v>47.46338885770011</v>
      </c>
      <c r="J46" s="245">
        <f>targets!BN45</f>
        <v>0</v>
      </c>
      <c r="K46" s="245">
        <f>targets!BO45</f>
        <v>0</v>
      </c>
      <c r="L46" s="245">
        <f>targets!BP45</f>
        <v>0</v>
      </c>
      <c r="M46" s="178">
        <f t="shared" si="255"/>
        <v>0</v>
      </c>
      <c r="N46" s="17">
        <f t="shared" si="219"/>
        <v>47.46338885770011</v>
      </c>
      <c r="O46" s="17"/>
      <c r="P46" s="17"/>
      <c r="Q46" s="64" t="s">
        <v>51</v>
      </c>
      <c r="R46" s="38">
        <f t="shared" si="220"/>
        <v>0</v>
      </c>
      <c r="S46" s="245">
        <f t="shared" si="185"/>
        <v>0</v>
      </c>
      <c r="T46" s="245">
        <f t="shared" si="186"/>
        <v>0</v>
      </c>
      <c r="U46" s="245">
        <f t="shared" si="187"/>
        <v>0</v>
      </c>
      <c r="V46" s="245">
        <f t="shared" si="188"/>
        <v>0</v>
      </c>
      <c r="W46" s="245">
        <f t="shared" si="189"/>
        <v>0</v>
      </c>
      <c r="X46" s="40">
        <f t="shared" si="190"/>
        <v>0</v>
      </c>
      <c r="Y46" s="246">
        <f t="shared" si="221"/>
        <v>0</v>
      </c>
      <c r="Z46" s="245" t="e">
        <f t="shared" si="191"/>
        <v>#DIV/0!</v>
      </c>
      <c r="AA46" s="245" t="e">
        <f t="shared" si="192"/>
        <v>#DIV/0!</v>
      </c>
      <c r="AB46" s="245" t="e">
        <f t="shared" si="193"/>
        <v>#DIV/0!</v>
      </c>
      <c r="AC46" s="178" t="e">
        <f t="shared" si="256"/>
        <v>#DIV/0!</v>
      </c>
      <c r="AD46" s="17" t="e">
        <f t="shared" si="222"/>
        <v>#DIV/0!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5">
        <f t="array" ref="AH46">SUM(IF((modeldata!$F:$F=calibration!$AF$28)*(modeldata!$G:$G=calibration!AH$30)*(modeldata!$H:$H=calibration!$AF46),modeldata!$E:$E,0))</f>
        <v>0</v>
      </c>
      <c r="AI46" s="245">
        <f t="array" ref="AI46">SUM(IF((modeldata!$F:$F=calibration!$AF$28)*(modeldata!$G:$G=calibration!AI$30)*(modeldata!$H:$H=calibration!$AF46),modeldata!$E:$E,0))</f>
        <v>0</v>
      </c>
      <c r="AJ46" s="245">
        <f t="array" ref="AJ46">SUM(IF((modeldata!$F:$F=calibration!$AF$28)*(modeldata!$G:$G=calibration!AJ$30)*(modeldata!$H:$H=calibration!$AF46),modeldata!$E:$E,0))</f>
        <v>0</v>
      </c>
      <c r="AK46" s="245">
        <f t="array" ref="AK46">SUM(IF((modeldata!$F:$F=calibration!$AF$28)*(modeldata!$G:$G=calibration!AK$30)*(modeldata!$H:$H=calibration!$AF46),modeldata!$E:$E,0))</f>
        <v>0</v>
      </c>
      <c r="AL46" s="245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6"/>
      <c r="AO46" s="245">
        <f t="array" ref="AO46">SUM(IF((modeldata!$F:$F=calibration!$AF$28)*(modeldata!$G:$G=calibration!AO$30)*(modeldata!$H:$H=calibration!$AF46),modeldata!$E:$E,0))</f>
        <v>0</v>
      </c>
      <c r="AP46" s="245">
        <f t="array" ref="AP46">SUM(IF((modeldata!$F:$F=calibration!$AF$28)*(modeldata!$G:$G=calibration!AP$30)*(modeldata!$H:$H=calibration!$AF46),modeldata!$E:$E,0))</f>
        <v>0</v>
      </c>
      <c r="AQ46" s="245">
        <f t="array" ref="AQ46">SUM(IF((modeldata!$F:$F=calibration!$AF$28)*(modeldata!$G:$G=calibration!AQ$30)*(modeldata!$H:$H=calibration!$AF46),modeldata!$E:$E,0))</f>
        <v>0</v>
      </c>
      <c r="AR46" s="178">
        <f t="shared" si="257"/>
        <v>0</v>
      </c>
      <c r="AS46" s="17">
        <f t="shared" si="224"/>
        <v>0</v>
      </c>
      <c r="AU46" s="64" t="s">
        <v>51</v>
      </c>
      <c r="AV46" s="38">
        <f t="shared" ref="AV46:BG46" si="344">IF(R51&gt;0,R46/R51,0)</f>
        <v>0</v>
      </c>
      <c r="AW46" s="245">
        <f t="shared" si="344"/>
        <v>0</v>
      </c>
      <c r="AX46" s="245">
        <f t="shared" si="344"/>
        <v>0</v>
      </c>
      <c r="AY46" s="245">
        <f t="shared" si="344"/>
        <v>0</v>
      </c>
      <c r="AZ46" s="245">
        <f t="shared" si="344"/>
        <v>0</v>
      </c>
      <c r="BA46" s="245">
        <f t="shared" si="344"/>
        <v>0</v>
      </c>
      <c r="BB46" s="40">
        <f t="shared" si="344"/>
        <v>0</v>
      </c>
      <c r="BC46" s="246">
        <f t="shared" si="344"/>
        <v>0</v>
      </c>
      <c r="BD46" s="245" t="e">
        <f t="shared" si="344"/>
        <v>#DIV/0!</v>
      </c>
      <c r="BE46" s="245" t="e">
        <f t="shared" si="344"/>
        <v>#DIV/0!</v>
      </c>
      <c r="BF46" s="245" t="e">
        <f t="shared" si="344"/>
        <v>#DIV/0!</v>
      </c>
      <c r="BG46" s="178" t="e">
        <f t="shared" si="344"/>
        <v>#DIV/0!</v>
      </c>
      <c r="BH46" s="24" t="e">
        <f>AD46/AD51</f>
        <v>#DIV/0!</v>
      </c>
      <c r="BJ46" s="64" t="s">
        <v>51</v>
      </c>
      <c r="BK46" s="38">
        <f t="shared" ref="BK46:BV46" si="345">IF(AG51&gt;0,AG46/AG51,0)</f>
        <v>0</v>
      </c>
      <c r="BL46" s="245">
        <f t="shared" si="345"/>
        <v>0</v>
      </c>
      <c r="BM46" s="245">
        <f t="shared" si="345"/>
        <v>0</v>
      </c>
      <c r="BN46" s="245">
        <f t="shared" si="345"/>
        <v>0</v>
      </c>
      <c r="BO46" s="245">
        <f t="shared" si="345"/>
        <v>0</v>
      </c>
      <c r="BP46" s="245">
        <f t="shared" si="345"/>
        <v>0</v>
      </c>
      <c r="BQ46" s="40">
        <f t="shared" si="345"/>
        <v>0</v>
      </c>
      <c r="BR46" s="246">
        <f t="shared" si="345"/>
        <v>0</v>
      </c>
      <c r="BS46" s="245">
        <f t="shared" si="345"/>
        <v>0</v>
      </c>
      <c r="BT46" s="245">
        <f t="shared" si="345"/>
        <v>0</v>
      </c>
      <c r="BU46" s="245">
        <f t="shared" si="345"/>
        <v>0</v>
      </c>
      <c r="BV46" s="178">
        <f t="shared" si="345"/>
        <v>0</v>
      </c>
      <c r="BW46" s="24" t="e">
        <f>AS46/AS51</f>
        <v>#DIV/0!</v>
      </c>
      <c r="BX46" s="24"/>
      <c r="BY46" s="64" t="s">
        <v>51</v>
      </c>
      <c r="BZ46" s="54">
        <f t="shared" si="227"/>
        <v>0</v>
      </c>
      <c r="CA46" s="55">
        <f t="shared" si="196"/>
        <v>0</v>
      </c>
      <c r="CB46" s="55">
        <f t="shared" si="197"/>
        <v>0</v>
      </c>
      <c r="CC46" s="55">
        <f t="shared" si="198"/>
        <v>0</v>
      </c>
      <c r="CD46" s="55">
        <f t="shared" si="199"/>
        <v>0</v>
      </c>
      <c r="CE46" s="55">
        <f t="shared" si="200"/>
        <v>0</v>
      </c>
      <c r="CF46" s="60">
        <f t="shared" si="201"/>
        <v>0</v>
      </c>
      <c r="CG46" s="249">
        <f t="shared" si="202"/>
        <v>0</v>
      </c>
      <c r="CH46" s="55" t="e">
        <f t="shared" si="203"/>
        <v>#DIV/0!</v>
      </c>
      <c r="CI46" s="55" t="e">
        <f t="shared" si="204"/>
        <v>#DIV/0!</v>
      </c>
      <c r="CJ46" s="55" t="e">
        <f t="shared" si="205"/>
        <v>#DIV/0!</v>
      </c>
      <c r="CK46" s="252" t="e">
        <f t="shared" si="205"/>
        <v>#DIV/0!</v>
      </c>
      <c r="CL46" s="55" t="e">
        <f t="shared" si="206"/>
        <v>#DIV/0!</v>
      </c>
      <c r="CN46" s="64" t="s">
        <v>51</v>
      </c>
      <c r="CO46" s="54">
        <f t="shared" si="228"/>
        <v>0</v>
      </c>
      <c r="CP46" s="55">
        <f t="shared" si="207"/>
        <v>0</v>
      </c>
      <c r="CQ46" s="55">
        <f t="shared" si="208"/>
        <v>0</v>
      </c>
      <c r="CR46" s="55">
        <f t="shared" si="209"/>
        <v>0</v>
      </c>
      <c r="CS46" s="55">
        <f t="shared" si="210"/>
        <v>0</v>
      </c>
      <c r="CT46" s="55">
        <f t="shared" si="211"/>
        <v>0</v>
      </c>
      <c r="CU46" s="60">
        <f t="shared" si="212"/>
        <v>0</v>
      </c>
      <c r="CV46" s="249">
        <f t="shared" si="213"/>
        <v>0</v>
      </c>
      <c r="CW46" s="55" t="e">
        <f t="shared" si="214"/>
        <v>#DIV/0!</v>
      </c>
      <c r="CX46" s="55" t="e">
        <f t="shared" si="215"/>
        <v>#DIV/0!</v>
      </c>
      <c r="CY46" s="55" t="e">
        <f t="shared" si="216"/>
        <v>#DIV/0!</v>
      </c>
      <c r="CZ46" s="252" t="e">
        <f t="shared" si="216"/>
        <v>#DIV/0!</v>
      </c>
      <c r="DA46" s="62" t="e">
        <f t="shared" si="217"/>
        <v>#DIV/0!</v>
      </c>
      <c r="DC46" s="64" t="s">
        <v>51</v>
      </c>
      <c r="DD46" s="198">
        <f t="shared" si="229"/>
        <v>0</v>
      </c>
      <c r="DE46" s="199">
        <f t="shared" si="230"/>
        <v>0</v>
      </c>
      <c r="DF46" s="198">
        <f t="shared" si="231"/>
        <v>0</v>
      </c>
      <c r="DG46" s="199">
        <f t="shared" si="232"/>
        <v>0</v>
      </c>
      <c r="DH46" s="198">
        <f t="shared" si="233"/>
        <v>0</v>
      </c>
      <c r="DI46" s="199">
        <f t="shared" si="234"/>
        <v>0</v>
      </c>
      <c r="DJ46" s="198">
        <f t="shared" si="235"/>
        <v>0</v>
      </c>
      <c r="DK46" s="199">
        <f t="shared" si="236"/>
        <v>0</v>
      </c>
      <c r="DL46" s="198">
        <f t="shared" si="237"/>
        <v>0</v>
      </c>
      <c r="DM46" s="199">
        <f t="shared" si="238"/>
        <v>0</v>
      </c>
      <c r="DN46" s="198">
        <f t="shared" si="239"/>
        <v>0</v>
      </c>
      <c r="DO46" s="199">
        <f t="shared" si="240"/>
        <v>0</v>
      </c>
      <c r="DP46" s="198">
        <f t="shared" si="241"/>
        <v>0</v>
      </c>
      <c r="DQ46" s="199">
        <f t="shared" si="242"/>
        <v>0</v>
      </c>
      <c r="DR46" s="198">
        <f t="shared" si="243"/>
        <v>0</v>
      </c>
      <c r="DS46" s="199">
        <f t="shared" si="244"/>
        <v>0</v>
      </c>
      <c r="DT46" s="198" t="e">
        <f t="shared" si="245"/>
        <v>#DIV/0!</v>
      </c>
      <c r="DU46" s="199">
        <f t="shared" si="246"/>
        <v>0</v>
      </c>
      <c r="DV46" s="198" t="e">
        <f t="shared" si="247"/>
        <v>#DIV/0!</v>
      </c>
      <c r="DW46" s="199">
        <f t="shared" si="248"/>
        <v>0</v>
      </c>
      <c r="DX46" s="198" t="e">
        <f t="shared" si="249"/>
        <v>#DIV/0!</v>
      </c>
      <c r="DY46" s="199">
        <f t="shared" si="250"/>
        <v>0</v>
      </c>
      <c r="DZ46" s="190" t="e">
        <f t="shared" si="251"/>
        <v>#DIV/0!</v>
      </c>
      <c r="EA46" s="199">
        <f t="shared" si="218"/>
        <v>0</v>
      </c>
      <c r="EB46" s="190" t="e">
        <f t="shared" si="252"/>
        <v>#DIV/0!</v>
      </c>
      <c r="EC46" s="190" t="e">
        <f t="shared" si="253"/>
        <v>#DIV/0!</v>
      </c>
    </row>
    <row r="47" spans="1:133" x14ac:dyDescent="0.2">
      <c r="A47" s="64" t="s">
        <v>52</v>
      </c>
      <c r="B47" s="38">
        <f>targets!AW46</f>
        <v>0</v>
      </c>
      <c r="C47" s="245">
        <f>targets!AX46</f>
        <v>0</v>
      </c>
      <c r="D47" s="245">
        <f>targets!AY46</f>
        <v>0</v>
      </c>
      <c r="E47" s="245">
        <f>targets!AZ46</f>
        <v>0</v>
      </c>
      <c r="F47" s="245">
        <f>targets!BA46</f>
        <v>0</v>
      </c>
      <c r="G47" s="245">
        <f>SUM(targets!BB46:BG46)</f>
        <v>0</v>
      </c>
      <c r="H47" s="41">
        <f>SUM(targets!BH46:BM46)</f>
        <v>0</v>
      </c>
      <c r="I47" s="246">
        <f t="shared" si="254"/>
        <v>0</v>
      </c>
      <c r="J47" s="245">
        <f>targets!BN46</f>
        <v>0</v>
      </c>
      <c r="K47" s="245">
        <f>targets!BO46</f>
        <v>0</v>
      </c>
      <c r="L47" s="245">
        <f>targets!BP46</f>
        <v>0</v>
      </c>
      <c r="M47" s="178">
        <f t="shared" si="255"/>
        <v>0</v>
      </c>
      <c r="N47" s="17">
        <f t="shared" si="219"/>
        <v>0</v>
      </c>
      <c r="O47" s="17"/>
      <c r="P47" s="17"/>
      <c r="Q47" s="64" t="s">
        <v>52</v>
      </c>
      <c r="R47" s="38">
        <f t="shared" si="220"/>
        <v>0</v>
      </c>
      <c r="S47" s="245">
        <f t="shared" si="185"/>
        <v>0</v>
      </c>
      <c r="T47" s="245">
        <f t="shared" si="186"/>
        <v>0</v>
      </c>
      <c r="U47" s="245">
        <f t="shared" si="187"/>
        <v>0</v>
      </c>
      <c r="V47" s="245">
        <f t="shared" si="188"/>
        <v>0</v>
      </c>
      <c r="W47" s="245">
        <f t="shared" si="189"/>
        <v>0</v>
      </c>
      <c r="X47" s="41">
        <f t="shared" si="190"/>
        <v>0</v>
      </c>
      <c r="Y47" s="246">
        <f t="shared" si="221"/>
        <v>0</v>
      </c>
      <c r="Z47" s="245" t="e">
        <f t="shared" si="191"/>
        <v>#DIV/0!</v>
      </c>
      <c r="AA47" s="245" t="e">
        <f t="shared" si="192"/>
        <v>#DIV/0!</v>
      </c>
      <c r="AB47" s="245" t="e">
        <f t="shared" si="193"/>
        <v>#DIV/0!</v>
      </c>
      <c r="AC47" s="178" t="e">
        <f t="shared" si="256"/>
        <v>#DIV/0!</v>
      </c>
      <c r="AD47" s="17" t="e">
        <f t="shared" si="222"/>
        <v>#DIV/0!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5">
        <f t="array" ref="AH47">SUM(IF((modeldata!$F:$F=calibration!$AF$28)*(modeldata!$G:$G=calibration!AH$30)*(modeldata!$H:$H=calibration!$AF47),modeldata!$E:$E,0))</f>
        <v>0</v>
      </c>
      <c r="AI47" s="245">
        <f t="array" ref="AI47">SUM(IF((modeldata!$F:$F=calibration!$AF$28)*(modeldata!$G:$G=calibration!AI$30)*(modeldata!$H:$H=calibration!$AF47),modeldata!$E:$E,0))</f>
        <v>0</v>
      </c>
      <c r="AJ47" s="245">
        <f t="array" ref="AJ47">SUM(IF((modeldata!$F:$F=calibration!$AF$28)*(modeldata!$G:$G=calibration!AJ$30)*(modeldata!$H:$H=calibration!$AF47),modeldata!$E:$E,0))</f>
        <v>0</v>
      </c>
      <c r="AK47" s="245">
        <f t="array" ref="AK47">SUM(IF((modeldata!$F:$F=calibration!$AF$28)*(modeldata!$G:$G=calibration!AK$30)*(modeldata!$H:$H=calibration!$AF47),modeldata!$E:$E,0))</f>
        <v>0</v>
      </c>
      <c r="AL47" s="245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6"/>
      <c r="AO47" s="245">
        <f t="array" ref="AO47">SUM(IF((modeldata!$F:$F=calibration!$AF$28)*(modeldata!$G:$G=calibration!AO$30)*(modeldata!$H:$H=calibration!$AF47),modeldata!$E:$E,0))</f>
        <v>0</v>
      </c>
      <c r="AP47" s="245">
        <f t="array" ref="AP47">SUM(IF((modeldata!$F:$F=calibration!$AF$28)*(modeldata!$G:$G=calibration!AP$30)*(modeldata!$H:$H=calibration!$AF47),modeldata!$E:$E,0))</f>
        <v>0</v>
      </c>
      <c r="AQ47" s="245">
        <f t="array" ref="AQ47">SUM(IF((modeldata!$F:$F=calibration!$AF$28)*(modeldata!$G:$G=calibration!AQ$30)*(modeldata!$H:$H=calibration!$AF47),modeldata!$E:$E,0))</f>
        <v>0</v>
      </c>
      <c r="AR47" s="178">
        <f t="shared" si="257"/>
        <v>0</v>
      </c>
      <c r="AS47" s="17">
        <f t="shared" si="224"/>
        <v>0</v>
      </c>
      <c r="AU47" s="64" t="s">
        <v>52</v>
      </c>
      <c r="AV47" s="38">
        <f t="shared" ref="AV47:BG47" si="346">IF(R51&gt;0,R47/R51,0)</f>
        <v>0</v>
      </c>
      <c r="AW47" s="245">
        <f t="shared" si="346"/>
        <v>0</v>
      </c>
      <c r="AX47" s="245">
        <f t="shared" si="346"/>
        <v>0</v>
      </c>
      <c r="AY47" s="245">
        <f t="shared" si="346"/>
        <v>0</v>
      </c>
      <c r="AZ47" s="245">
        <f t="shared" si="346"/>
        <v>0</v>
      </c>
      <c r="BA47" s="245">
        <f t="shared" si="346"/>
        <v>0</v>
      </c>
      <c r="BB47" s="41">
        <f t="shared" si="346"/>
        <v>0</v>
      </c>
      <c r="BC47" s="246">
        <f t="shared" si="346"/>
        <v>0</v>
      </c>
      <c r="BD47" s="245" t="e">
        <f t="shared" si="346"/>
        <v>#DIV/0!</v>
      </c>
      <c r="BE47" s="245" t="e">
        <f t="shared" si="346"/>
        <v>#DIV/0!</v>
      </c>
      <c r="BF47" s="245" t="e">
        <f t="shared" si="346"/>
        <v>#DIV/0!</v>
      </c>
      <c r="BG47" s="178" t="e">
        <f t="shared" si="346"/>
        <v>#DIV/0!</v>
      </c>
      <c r="BH47" s="24" t="e">
        <f>AD47/AD51</f>
        <v>#DIV/0!</v>
      </c>
      <c r="BJ47" s="64" t="s">
        <v>52</v>
      </c>
      <c r="BK47" s="38">
        <f t="shared" ref="BK47:BV47" si="347">IF(AG51&gt;0,AG47/AG51,0)</f>
        <v>0</v>
      </c>
      <c r="BL47" s="245">
        <f t="shared" si="347"/>
        <v>0</v>
      </c>
      <c r="BM47" s="245">
        <f t="shared" si="347"/>
        <v>0</v>
      </c>
      <c r="BN47" s="245">
        <f t="shared" si="347"/>
        <v>0</v>
      </c>
      <c r="BO47" s="245">
        <f t="shared" si="347"/>
        <v>0</v>
      </c>
      <c r="BP47" s="245">
        <f t="shared" si="347"/>
        <v>0</v>
      </c>
      <c r="BQ47" s="41">
        <f t="shared" si="347"/>
        <v>0</v>
      </c>
      <c r="BR47" s="246">
        <f t="shared" si="347"/>
        <v>0</v>
      </c>
      <c r="BS47" s="245">
        <f t="shared" si="347"/>
        <v>0</v>
      </c>
      <c r="BT47" s="245">
        <f t="shared" si="347"/>
        <v>0</v>
      </c>
      <c r="BU47" s="245">
        <f t="shared" si="347"/>
        <v>0</v>
      </c>
      <c r="BV47" s="178">
        <f t="shared" si="347"/>
        <v>0</v>
      </c>
      <c r="BW47" s="24" t="e">
        <f>AS47/AS51</f>
        <v>#DIV/0!</v>
      </c>
      <c r="BX47" s="24"/>
      <c r="BY47" s="64" t="s">
        <v>52</v>
      </c>
      <c r="BZ47" s="54">
        <f t="shared" si="227"/>
        <v>0</v>
      </c>
      <c r="CA47" s="55">
        <f t="shared" si="196"/>
        <v>0</v>
      </c>
      <c r="CB47" s="55">
        <f t="shared" si="197"/>
        <v>0</v>
      </c>
      <c r="CC47" s="55">
        <f t="shared" si="198"/>
        <v>0</v>
      </c>
      <c r="CD47" s="55">
        <f t="shared" si="199"/>
        <v>0</v>
      </c>
      <c r="CE47" s="55">
        <f t="shared" si="200"/>
        <v>0</v>
      </c>
      <c r="CF47" s="61">
        <f t="shared" si="201"/>
        <v>0</v>
      </c>
      <c r="CG47" s="249">
        <f>AN47-Y47</f>
        <v>0</v>
      </c>
      <c r="CH47" s="55" t="e">
        <f t="shared" si="203"/>
        <v>#DIV/0!</v>
      </c>
      <c r="CI47" s="55" t="e">
        <f t="shared" si="204"/>
        <v>#DIV/0!</v>
      </c>
      <c r="CJ47" s="55" t="e">
        <f t="shared" si="205"/>
        <v>#DIV/0!</v>
      </c>
      <c r="CK47" s="252" t="e">
        <f t="shared" si="205"/>
        <v>#DIV/0!</v>
      </c>
      <c r="CL47" s="55" t="e">
        <f t="shared" si="206"/>
        <v>#DIV/0!</v>
      </c>
      <c r="CN47" s="64" t="s">
        <v>52</v>
      </c>
      <c r="CO47" s="54">
        <f t="shared" si="228"/>
        <v>0</v>
      </c>
      <c r="CP47" s="55">
        <f t="shared" si="207"/>
        <v>0</v>
      </c>
      <c r="CQ47" s="55">
        <f t="shared" si="208"/>
        <v>0</v>
      </c>
      <c r="CR47" s="55">
        <f t="shared" si="209"/>
        <v>0</v>
      </c>
      <c r="CS47" s="55">
        <f t="shared" si="210"/>
        <v>0</v>
      </c>
      <c r="CT47" s="55">
        <f t="shared" si="211"/>
        <v>0</v>
      </c>
      <c r="CU47" s="61">
        <f t="shared" si="212"/>
        <v>0</v>
      </c>
      <c r="CV47" s="249">
        <f t="shared" si="213"/>
        <v>0</v>
      </c>
      <c r="CW47" s="55" t="e">
        <f t="shared" si="214"/>
        <v>#DIV/0!</v>
      </c>
      <c r="CX47" s="55" t="e">
        <f t="shared" si="215"/>
        <v>#DIV/0!</v>
      </c>
      <c r="CY47" s="55" t="e">
        <f t="shared" si="216"/>
        <v>#DIV/0!</v>
      </c>
      <c r="CZ47" s="252" t="e">
        <f t="shared" si="216"/>
        <v>#DIV/0!</v>
      </c>
      <c r="DA47" s="62" t="e">
        <f t="shared" si="217"/>
        <v>#DIV/0!</v>
      </c>
      <c r="DC47" s="64" t="s">
        <v>52</v>
      </c>
      <c r="DD47" s="198">
        <f t="shared" si="229"/>
        <v>0</v>
      </c>
      <c r="DE47" s="199">
        <f t="shared" si="230"/>
        <v>0</v>
      </c>
      <c r="DF47" s="198">
        <f t="shared" si="231"/>
        <v>0</v>
      </c>
      <c r="DG47" s="199">
        <f t="shared" si="232"/>
        <v>0</v>
      </c>
      <c r="DH47" s="198">
        <f t="shared" si="233"/>
        <v>0</v>
      </c>
      <c r="DI47" s="199">
        <f t="shared" si="234"/>
        <v>0</v>
      </c>
      <c r="DJ47" s="198">
        <f t="shared" si="235"/>
        <v>0</v>
      </c>
      <c r="DK47" s="199">
        <f t="shared" si="236"/>
        <v>0</v>
      </c>
      <c r="DL47" s="198">
        <f t="shared" si="237"/>
        <v>0</v>
      </c>
      <c r="DM47" s="199">
        <f t="shared" si="238"/>
        <v>0</v>
      </c>
      <c r="DN47" s="198">
        <f t="shared" si="239"/>
        <v>0</v>
      </c>
      <c r="DO47" s="199">
        <f t="shared" si="240"/>
        <v>0</v>
      </c>
      <c r="DP47" s="200">
        <f t="shared" si="241"/>
        <v>0</v>
      </c>
      <c r="DQ47" s="201">
        <f t="shared" si="242"/>
        <v>0</v>
      </c>
      <c r="DR47" s="198">
        <f t="shared" si="243"/>
        <v>0</v>
      </c>
      <c r="DS47" s="199">
        <f t="shared" si="244"/>
        <v>0</v>
      </c>
      <c r="DT47" s="198" t="e">
        <f t="shared" si="245"/>
        <v>#DIV/0!</v>
      </c>
      <c r="DU47" s="199">
        <f t="shared" si="246"/>
        <v>0</v>
      </c>
      <c r="DV47" s="198" t="e">
        <f t="shared" si="247"/>
        <v>#DIV/0!</v>
      </c>
      <c r="DW47" s="199">
        <f t="shared" si="248"/>
        <v>0</v>
      </c>
      <c r="DX47" s="198" t="e">
        <f t="shared" si="249"/>
        <v>#DIV/0!</v>
      </c>
      <c r="DY47" s="199">
        <f t="shared" si="250"/>
        <v>0</v>
      </c>
      <c r="DZ47" s="190" t="e">
        <f t="shared" si="251"/>
        <v>#DIV/0!</v>
      </c>
      <c r="EA47" s="199">
        <f t="shared" si="218"/>
        <v>0</v>
      </c>
      <c r="EB47" s="190" t="e">
        <f t="shared" si="252"/>
        <v>#DIV/0!</v>
      </c>
      <c r="EC47" s="190" t="e">
        <f t="shared" si="253"/>
        <v>#DIV/0!</v>
      </c>
    </row>
    <row r="48" spans="1:133" x14ac:dyDescent="0.2">
      <c r="A48" s="2" t="s">
        <v>6</v>
      </c>
      <c r="B48" s="38">
        <f>targets!AW47</f>
        <v>0</v>
      </c>
      <c r="C48" s="245">
        <f>targets!AX47</f>
        <v>0</v>
      </c>
      <c r="D48" s="245">
        <f>targets!AY47</f>
        <v>0</v>
      </c>
      <c r="E48" s="245">
        <f>targets!AZ47</f>
        <v>0</v>
      </c>
      <c r="F48" s="245">
        <f>targets!BA47</f>
        <v>0</v>
      </c>
      <c r="G48" s="245">
        <f>SUM(targets!BB47:BG47)</f>
        <v>0</v>
      </c>
      <c r="H48" s="245">
        <f>SUM(targets!BH47:BM47)</f>
        <v>0</v>
      </c>
      <c r="I48" s="246">
        <f t="shared" si="254"/>
        <v>0</v>
      </c>
      <c r="J48" s="245">
        <f>targets!BN47</f>
        <v>0</v>
      </c>
      <c r="K48" s="245">
        <f>targets!BO47</f>
        <v>0</v>
      </c>
      <c r="L48" s="245">
        <f>targets!BP47</f>
        <v>0</v>
      </c>
      <c r="M48" s="178">
        <f t="shared" ref="M48:M50" si="348">SUM(J48:L48)</f>
        <v>0</v>
      </c>
      <c r="N48" s="17">
        <f t="shared" si="219"/>
        <v>0</v>
      </c>
      <c r="O48" s="17"/>
      <c r="P48" s="17"/>
      <c r="Q48" s="2" t="s">
        <v>6</v>
      </c>
      <c r="R48" s="38">
        <f t="shared" si="220"/>
        <v>0</v>
      </c>
      <c r="S48" s="245">
        <f t="shared" si="185"/>
        <v>0</v>
      </c>
      <c r="T48" s="245">
        <f t="shared" si="186"/>
        <v>0</v>
      </c>
      <c r="U48" s="245">
        <f t="shared" si="187"/>
        <v>0</v>
      </c>
      <c r="V48" s="245">
        <f t="shared" si="188"/>
        <v>0</v>
      </c>
      <c r="W48" s="245">
        <f t="shared" si="189"/>
        <v>0</v>
      </c>
      <c r="X48" s="245">
        <f t="shared" si="190"/>
        <v>0</v>
      </c>
      <c r="Y48" s="246">
        <f t="shared" si="221"/>
        <v>0</v>
      </c>
      <c r="Z48" s="245" t="e">
        <f t="shared" si="191"/>
        <v>#DIV/0!</v>
      </c>
      <c r="AA48" s="245" t="e">
        <f t="shared" si="192"/>
        <v>#DIV/0!</v>
      </c>
      <c r="AB48" s="245" t="e">
        <f t="shared" si="193"/>
        <v>#DIV/0!</v>
      </c>
      <c r="AC48" s="178" t="e">
        <f t="shared" si="256"/>
        <v>#DIV/0!</v>
      </c>
      <c r="AD48" s="17" t="e">
        <f t="shared" si="222"/>
        <v>#DIV/0!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5">
        <f t="array" ref="AH48">SUM(IF((modeldata!$F:$F=calibration!$AF$28)*(modeldata!$G:$G=calibration!AH$30)*(modeldata!$H:$H=calibration!$AF48),modeldata!$E:$E,0))</f>
        <v>0</v>
      </c>
      <c r="AI48" s="245">
        <f t="array" ref="AI48">SUM(IF((modeldata!$F:$F=calibration!$AF$28)*(modeldata!$G:$G=calibration!AI$30)*(modeldata!$H:$H=calibration!$AF48),modeldata!$E:$E,0))</f>
        <v>0</v>
      </c>
      <c r="AJ48" s="245">
        <f t="array" ref="AJ48">SUM(IF((modeldata!$F:$F=calibration!$AF$28)*(modeldata!$G:$G=calibration!AJ$30)*(modeldata!$H:$H=calibration!$AF48),modeldata!$E:$E,0))</f>
        <v>0</v>
      </c>
      <c r="AK48" s="245">
        <f t="array" ref="AK48">SUM(IF((modeldata!$F:$F=calibration!$AF$28)*(modeldata!$G:$G=calibration!AK$30)*(modeldata!$H:$H=calibration!$AF48),modeldata!$E:$E,0))</f>
        <v>0</v>
      </c>
      <c r="AL48" s="245">
        <f t="array" ref="AL48">SUM(IF((modeldata!$F:$F=calibration!$AF$28)*(modeldata!$G:$G=calibration!AL$30)*(modeldata!$H:$H=calibration!$AF48),modeldata!$E:$E,0))</f>
        <v>0</v>
      </c>
      <c r="AM48" s="245">
        <f t="array" ref="AM48">SUM(IF((modeldata!$F:$F=calibration!$AF$28)*(modeldata!$G:$G=calibration!AM$30)*(modeldata!$H:$H=calibration!$AF48),modeldata!$E:$E,0))</f>
        <v>0</v>
      </c>
      <c r="AN48" s="246">
        <f t="shared" si="223"/>
        <v>0</v>
      </c>
      <c r="AO48" s="245">
        <f t="array" ref="AO48">SUM(IF((modeldata!$F:$F=calibration!$AF$28)*(modeldata!$G:$G=calibration!AO$30)*(modeldata!$H:$H=calibration!$AF48),modeldata!$E:$E,0))</f>
        <v>0</v>
      </c>
      <c r="AP48" s="245">
        <f t="array" ref="AP48">SUM(IF((modeldata!$F:$F=calibration!$AF$28)*(modeldata!$G:$G=calibration!AP$30)*(modeldata!$H:$H=calibration!$AF48),modeldata!$E:$E,0))</f>
        <v>0</v>
      </c>
      <c r="AQ48" s="245">
        <f t="array" ref="AQ48">SUM(IF((modeldata!$F:$F=calibration!$AF$28)*(modeldata!$G:$G=calibration!AQ$30)*(modeldata!$H:$H=calibration!$AF48),modeldata!$E:$E,0))</f>
        <v>0</v>
      </c>
      <c r="AR48" s="178">
        <f t="shared" ref="AR48:AR50" si="349">SUM(AO48:AQ48)</f>
        <v>0</v>
      </c>
      <c r="AS48" s="17">
        <f t="shared" si="224"/>
        <v>0</v>
      </c>
      <c r="AU48" s="2" t="s">
        <v>6</v>
      </c>
      <c r="AV48" s="38">
        <f t="shared" ref="AV48:BG48" si="350">IF(R51&gt;0,R48/R51,0)</f>
        <v>0</v>
      </c>
      <c r="AW48" s="245">
        <f t="shared" si="350"/>
        <v>0</v>
      </c>
      <c r="AX48" s="245">
        <f t="shared" si="350"/>
        <v>0</v>
      </c>
      <c r="AY48" s="245">
        <f t="shared" si="350"/>
        <v>0</v>
      </c>
      <c r="AZ48" s="245">
        <f t="shared" si="350"/>
        <v>0</v>
      </c>
      <c r="BA48" s="245">
        <f t="shared" si="350"/>
        <v>0</v>
      </c>
      <c r="BB48" s="245">
        <f t="shared" si="350"/>
        <v>0</v>
      </c>
      <c r="BC48" s="246">
        <f t="shared" si="350"/>
        <v>0</v>
      </c>
      <c r="BD48" s="245" t="e">
        <f t="shared" si="350"/>
        <v>#DIV/0!</v>
      </c>
      <c r="BE48" s="245" t="e">
        <f t="shared" si="350"/>
        <v>#DIV/0!</v>
      </c>
      <c r="BF48" s="245" t="e">
        <f t="shared" si="350"/>
        <v>#DIV/0!</v>
      </c>
      <c r="BG48" s="178" t="e">
        <f t="shared" si="350"/>
        <v>#DIV/0!</v>
      </c>
      <c r="BH48" s="24" t="e">
        <f>AD48/AD51</f>
        <v>#DIV/0!</v>
      </c>
      <c r="BJ48" s="2" t="s">
        <v>6</v>
      </c>
      <c r="BK48" s="38">
        <f t="shared" ref="BK48:BV48" si="351">IF(AG51&gt;0,AG48/AG51,0)</f>
        <v>0</v>
      </c>
      <c r="BL48" s="245">
        <f t="shared" si="351"/>
        <v>0</v>
      </c>
      <c r="BM48" s="245">
        <f t="shared" si="351"/>
        <v>0</v>
      </c>
      <c r="BN48" s="245">
        <f t="shared" si="351"/>
        <v>0</v>
      </c>
      <c r="BO48" s="245">
        <f t="shared" si="351"/>
        <v>0</v>
      </c>
      <c r="BP48" s="245">
        <f t="shared" si="351"/>
        <v>0</v>
      </c>
      <c r="BQ48" s="245">
        <f t="shared" si="351"/>
        <v>0</v>
      </c>
      <c r="BR48" s="246">
        <f t="shared" si="351"/>
        <v>0</v>
      </c>
      <c r="BS48" s="245">
        <f t="shared" si="351"/>
        <v>0</v>
      </c>
      <c r="BT48" s="245">
        <f t="shared" si="351"/>
        <v>0</v>
      </c>
      <c r="BU48" s="245">
        <f t="shared" si="351"/>
        <v>0</v>
      </c>
      <c r="BV48" s="178">
        <f t="shared" si="351"/>
        <v>0</v>
      </c>
      <c r="BW48" s="24" t="e">
        <f>AS48/AS51</f>
        <v>#DIV/0!</v>
      </c>
      <c r="BX48" s="24"/>
      <c r="BY48" s="2" t="s">
        <v>6</v>
      </c>
      <c r="BZ48" s="54">
        <f t="shared" si="227"/>
        <v>0</v>
      </c>
      <c r="CA48" s="55">
        <f t="shared" si="196"/>
        <v>0</v>
      </c>
      <c r="CB48" s="55">
        <f t="shared" si="197"/>
        <v>0</v>
      </c>
      <c r="CC48" s="55">
        <f t="shared" si="198"/>
        <v>0</v>
      </c>
      <c r="CD48" s="55">
        <f t="shared" si="199"/>
        <v>0</v>
      </c>
      <c r="CE48" s="55">
        <f t="shared" si="200"/>
        <v>0</v>
      </c>
      <c r="CF48" s="55">
        <f t="shared" si="201"/>
        <v>0</v>
      </c>
      <c r="CG48" s="249">
        <f>AN48-Y48</f>
        <v>0</v>
      </c>
      <c r="CH48" s="55" t="e">
        <f t="shared" si="203"/>
        <v>#DIV/0!</v>
      </c>
      <c r="CI48" s="55" t="e">
        <f t="shared" si="204"/>
        <v>#DIV/0!</v>
      </c>
      <c r="CJ48" s="55" t="e">
        <f t="shared" si="205"/>
        <v>#DIV/0!</v>
      </c>
      <c r="CK48" s="252" t="e">
        <f t="shared" si="205"/>
        <v>#DIV/0!</v>
      </c>
      <c r="CL48" s="55" t="e">
        <f t="shared" si="206"/>
        <v>#DIV/0!</v>
      </c>
      <c r="CN48" s="2" t="s">
        <v>6</v>
      </c>
      <c r="CO48" s="54">
        <f t="shared" si="228"/>
        <v>0</v>
      </c>
      <c r="CP48" s="55">
        <f t="shared" si="207"/>
        <v>0</v>
      </c>
      <c r="CQ48" s="55">
        <f t="shared" si="208"/>
        <v>0</v>
      </c>
      <c r="CR48" s="55">
        <f t="shared" si="209"/>
        <v>0</v>
      </c>
      <c r="CS48" s="55">
        <f t="shared" si="210"/>
        <v>0</v>
      </c>
      <c r="CT48" s="55">
        <f t="shared" si="211"/>
        <v>0</v>
      </c>
      <c r="CU48" s="55">
        <f t="shared" si="212"/>
        <v>0</v>
      </c>
      <c r="CV48" s="249">
        <f t="shared" si="213"/>
        <v>0</v>
      </c>
      <c r="CW48" s="55" t="e">
        <f t="shared" si="214"/>
        <v>#DIV/0!</v>
      </c>
      <c r="CX48" s="55" t="e">
        <f t="shared" si="215"/>
        <v>#DIV/0!</v>
      </c>
      <c r="CY48" s="55" t="e">
        <f t="shared" si="216"/>
        <v>#DIV/0!</v>
      </c>
      <c r="CZ48" s="252" t="e">
        <f t="shared" si="216"/>
        <v>#DIV/0!</v>
      </c>
      <c r="DA48" s="62" t="e">
        <f t="shared" si="217"/>
        <v>#DIV/0!</v>
      </c>
      <c r="DC48" s="2" t="s">
        <v>6</v>
      </c>
      <c r="DD48" s="198">
        <f t="shared" si="229"/>
        <v>0</v>
      </c>
      <c r="DE48" s="199">
        <f t="shared" si="230"/>
        <v>0</v>
      </c>
      <c r="DF48" s="198">
        <f t="shared" si="231"/>
        <v>0</v>
      </c>
      <c r="DG48" s="199">
        <f t="shared" si="232"/>
        <v>0</v>
      </c>
      <c r="DH48" s="198">
        <f t="shared" si="233"/>
        <v>0</v>
      </c>
      <c r="DI48" s="199">
        <f t="shared" si="234"/>
        <v>0</v>
      </c>
      <c r="DJ48" s="198">
        <f t="shared" si="235"/>
        <v>0</v>
      </c>
      <c r="DK48" s="199">
        <f t="shared" si="236"/>
        <v>0</v>
      </c>
      <c r="DL48" s="198">
        <f t="shared" si="237"/>
        <v>0</v>
      </c>
      <c r="DM48" s="199">
        <f t="shared" si="238"/>
        <v>0</v>
      </c>
      <c r="DN48" s="198">
        <f t="shared" si="239"/>
        <v>0</v>
      </c>
      <c r="DO48" s="199">
        <f t="shared" si="240"/>
        <v>0</v>
      </c>
      <c r="DP48" s="198">
        <f t="shared" si="241"/>
        <v>0</v>
      </c>
      <c r="DQ48" s="199">
        <f t="shared" si="242"/>
        <v>0</v>
      </c>
      <c r="DR48" s="198">
        <f t="shared" si="243"/>
        <v>0</v>
      </c>
      <c r="DS48" s="199">
        <f t="shared" si="244"/>
        <v>0</v>
      </c>
      <c r="DT48" s="198" t="e">
        <f t="shared" si="245"/>
        <v>#DIV/0!</v>
      </c>
      <c r="DU48" s="199">
        <f t="shared" si="246"/>
        <v>0</v>
      </c>
      <c r="DV48" s="198" t="e">
        <f t="shared" si="247"/>
        <v>#DIV/0!</v>
      </c>
      <c r="DW48" s="199">
        <f t="shared" si="248"/>
        <v>0</v>
      </c>
      <c r="DX48" s="198" t="e">
        <f t="shared" si="249"/>
        <v>#DIV/0!</v>
      </c>
      <c r="DY48" s="199">
        <f t="shared" si="250"/>
        <v>0</v>
      </c>
      <c r="DZ48" s="190" t="e">
        <f t="shared" si="251"/>
        <v>#DIV/0!</v>
      </c>
      <c r="EA48" s="199">
        <f t="shared" si="218"/>
        <v>0</v>
      </c>
      <c r="EB48" s="190" t="e">
        <f t="shared" si="252"/>
        <v>#DIV/0!</v>
      </c>
      <c r="EC48" s="190" t="e">
        <f t="shared" si="253"/>
        <v>#DIV/0!</v>
      </c>
    </row>
    <row r="49" spans="1:133" x14ac:dyDescent="0.2">
      <c r="A49" s="2" t="s">
        <v>88</v>
      </c>
      <c r="B49" s="38">
        <f>targets!AW48</f>
        <v>0</v>
      </c>
      <c r="C49" s="245">
        <f>targets!AX48</f>
        <v>0</v>
      </c>
      <c r="D49" s="245">
        <f>targets!AY48</f>
        <v>0</v>
      </c>
      <c r="E49" s="245">
        <f>targets!AZ48</f>
        <v>0</v>
      </c>
      <c r="F49" s="245">
        <f>targets!BA48</f>
        <v>0</v>
      </c>
      <c r="G49" s="245">
        <f>SUM(targets!BB48:BG48)</f>
        <v>0</v>
      </c>
      <c r="H49" s="245">
        <f>SUM(targets!BH48:BM48)</f>
        <v>15.75740268654017</v>
      </c>
      <c r="I49" s="246">
        <f t="shared" si="254"/>
        <v>15.75740268654017</v>
      </c>
      <c r="J49" s="245">
        <f>targets!BN48</f>
        <v>0</v>
      </c>
      <c r="K49" s="245">
        <f>targets!BO48</f>
        <v>0</v>
      </c>
      <c r="L49" s="245">
        <f>targets!BP48</f>
        <v>0</v>
      </c>
      <c r="M49" s="178">
        <f t="shared" si="348"/>
        <v>0</v>
      </c>
      <c r="N49" s="17">
        <f t="shared" si="219"/>
        <v>15.75740268654017</v>
      </c>
      <c r="O49" s="17"/>
      <c r="P49" s="17"/>
      <c r="Q49" s="2" t="s">
        <v>88</v>
      </c>
      <c r="R49" s="38">
        <f t="shared" si="220"/>
        <v>0</v>
      </c>
      <c r="S49" s="245">
        <f t="shared" si="185"/>
        <v>0</v>
      </c>
      <c r="T49" s="245">
        <f t="shared" si="186"/>
        <v>0</v>
      </c>
      <c r="U49" s="245">
        <f t="shared" si="187"/>
        <v>0</v>
      </c>
      <c r="V49" s="245">
        <f t="shared" si="188"/>
        <v>0</v>
      </c>
      <c r="W49" s="245">
        <f t="shared" si="189"/>
        <v>0</v>
      </c>
      <c r="X49" s="245">
        <f t="shared" si="190"/>
        <v>0</v>
      </c>
      <c r="Y49" s="246">
        <f t="shared" si="221"/>
        <v>0</v>
      </c>
      <c r="Z49" s="245" t="e">
        <f t="shared" si="191"/>
        <v>#DIV/0!</v>
      </c>
      <c r="AA49" s="245" t="e">
        <f t="shared" si="192"/>
        <v>#DIV/0!</v>
      </c>
      <c r="AB49" s="245" t="e">
        <f t="shared" si="193"/>
        <v>#DIV/0!</v>
      </c>
      <c r="AC49" s="178" t="e">
        <f t="shared" si="256"/>
        <v>#DIV/0!</v>
      </c>
      <c r="AD49" s="17" t="e">
        <f t="shared" si="222"/>
        <v>#DIV/0!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5">
        <f t="array" ref="AH49">SUM(IF((modeldata!$F:$F=calibration!$AF$28)*(modeldata!$G:$G=calibration!AH$30)*(modeldata!$H:$H=calibration!$AF49),modeldata!$E:$E,0))</f>
        <v>0</v>
      </c>
      <c r="AI49" s="245">
        <f t="array" ref="AI49">SUM(IF((modeldata!$F:$F=calibration!$AF$28)*(modeldata!$G:$G=calibration!AI$30)*(modeldata!$H:$H=calibration!$AF49),modeldata!$E:$E,0))</f>
        <v>0</v>
      </c>
      <c r="AJ49" s="245">
        <f t="array" ref="AJ49">SUM(IF((modeldata!$F:$F=calibration!$AF$28)*(modeldata!$G:$G=calibration!AJ$30)*(modeldata!$H:$H=calibration!$AF49),modeldata!$E:$E,0))</f>
        <v>0</v>
      </c>
      <c r="AK49" s="245">
        <f t="array" ref="AK49">SUM(IF((modeldata!$F:$F=calibration!$AF$28)*(modeldata!$G:$G=calibration!AK$30)*(modeldata!$H:$H=calibration!$AF49),modeldata!$E:$E,0))</f>
        <v>0</v>
      </c>
      <c r="AL49" s="245">
        <f t="array" ref="AL49">SUM(IF((modeldata!$F:$F=calibration!$AF$28)*(modeldata!$G:$G=calibration!AL$30)*(modeldata!$H:$H=calibration!$AF49),modeldata!$E:$E,0))</f>
        <v>0</v>
      </c>
      <c r="AM49" s="245">
        <f t="array" ref="AM49">SUM(IF((modeldata!$F:$F=calibration!$AF$28)*(modeldata!$G:$G=calibration!AM$30)*(modeldata!$H:$H=calibration!$AF49),modeldata!$E:$E,0))</f>
        <v>0</v>
      </c>
      <c r="AN49" s="246">
        <f t="shared" si="223"/>
        <v>0</v>
      </c>
      <c r="AO49" s="245">
        <f t="array" ref="AO49">SUM(IF((modeldata!$F:$F=calibration!$AF$28)*(modeldata!$G:$G=calibration!AO$30)*(modeldata!$H:$H=calibration!$AF49),modeldata!$E:$E,0))</f>
        <v>0</v>
      </c>
      <c r="AP49" s="245">
        <f t="array" ref="AP49">SUM(IF((modeldata!$F:$F=calibration!$AF$28)*(modeldata!$G:$G=calibration!AP$30)*(modeldata!$H:$H=calibration!$AF49),modeldata!$E:$E,0))</f>
        <v>0</v>
      </c>
      <c r="AQ49" s="245">
        <f t="array" ref="AQ49">SUM(IF((modeldata!$F:$F=calibration!$AF$28)*(modeldata!$G:$G=calibration!AQ$30)*(modeldata!$H:$H=calibration!$AF49),modeldata!$E:$E,0))</f>
        <v>0</v>
      </c>
      <c r="AR49" s="178">
        <f t="shared" si="349"/>
        <v>0</v>
      </c>
      <c r="AS49" s="17">
        <f t="shared" si="224"/>
        <v>0</v>
      </c>
      <c r="AU49" s="2" t="s">
        <v>88</v>
      </c>
      <c r="AV49" s="38">
        <f t="shared" ref="AV49:BG49" si="352">IF(R51&gt;0,R49/R51,0)</f>
        <v>0</v>
      </c>
      <c r="AW49" s="245">
        <f t="shared" si="352"/>
        <v>0</v>
      </c>
      <c r="AX49" s="245">
        <f t="shared" si="352"/>
        <v>0</v>
      </c>
      <c r="AY49" s="245">
        <f t="shared" si="352"/>
        <v>0</v>
      </c>
      <c r="AZ49" s="245">
        <f t="shared" si="352"/>
        <v>0</v>
      </c>
      <c r="BA49" s="245">
        <f t="shared" si="352"/>
        <v>0</v>
      </c>
      <c r="BB49" s="245">
        <f t="shared" si="352"/>
        <v>0</v>
      </c>
      <c r="BC49" s="246">
        <f t="shared" si="352"/>
        <v>0</v>
      </c>
      <c r="BD49" s="245" t="e">
        <f t="shared" si="352"/>
        <v>#DIV/0!</v>
      </c>
      <c r="BE49" s="245" t="e">
        <f t="shared" si="352"/>
        <v>#DIV/0!</v>
      </c>
      <c r="BF49" s="245" t="e">
        <f t="shared" si="352"/>
        <v>#DIV/0!</v>
      </c>
      <c r="BG49" s="178" t="e">
        <f t="shared" si="352"/>
        <v>#DIV/0!</v>
      </c>
      <c r="BH49" s="24" t="e">
        <f>AD49/AD51</f>
        <v>#DIV/0!</v>
      </c>
      <c r="BJ49" s="2" t="s">
        <v>88</v>
      </c>
      <c r="BK49" s="38">
        <f t="shared" ref="BK49:BV49" si="353">IF(AG51&gt;0,AG49/AG51,0)</f>
        <v>0</v>
      </c>
      <c r="BL49" s="245">
        <f t="shared" si="353"/>
        <v>0</v>
      </c>
      <c r="BM49" s="245">
        <f t="shared" si="353"/>
        <v>0</v>
      </c>
      <c r="BN49" s="245">
        <f t="shared" si="353"/>
        <v>0</v>
      </c>
      <c r="BO49" s="245">
        <f t="shared" si="353"/>
        <v>0</v>
      </c>
      <c r="BP49" s="245">
        <f t="shared" si="353"/>
        <v>0</v>
      </c>
      <c r="BQ49" s="245">
        <f t="shared" si="353"/>
        <v>0</v>
      </c>
      <c r="BR49" s="246">
        <f t="shared" si="353"/>
        <v>0</v>
      </c>
      <c r="BS49" s="245">
        <f t="shared" si="353"/>
        <v>0</v>
      </c>
      <c r="BT49" s="245">
        <f t="shared" si="353"/>
        <v>0</v>
      </c>
      <c r="BU49" s="245">
        <f t="shared" si="353"/>
        <v>0</v>
      </c>
      <c r="BV49" s="178">
        <f t="shared" si="353"/>
        <v>0</v>
      </c>
      <c r="BW49" s="24" t="e">
        <f>AS49/AS51</f>
        <v>#DIV/0!</v>
      </c>
      <c r="BX49" s="24"/>
      <c r="BY49" s="2" t="s">
        <v>88</v>
      </c>
      <c r="BZ49" s="54">
        <f t="shared" si="227"/>
        <v>0</v>
      </c>
      <c r="CA49" s="55">
        <f t="shared" si="196"/>
        <v>0</v>
      </c>
      <c r="CB49" s="55">
        <f t="shared" si="197"/>
        <v>0</v>
      </c>
      <c r="CC49" s="55">
        <f t="shared" si="198"/>
        <v>0</v>
      </c>
      <c r="CD49" s="55">
        <f t="shared" si="199"/>
        <v>0</v>
      </c>
      <c r="CE49" s="55">
        <f t="shared" si="200"/>
        <v>0</v>
      </c>
      <c r="CF49" s="55">
        <f t="shared" si="201"/>
        <v>0</v>
      </c>
      <c r="CG49" s="249">
        <f>AN49-Y49</f>
        <v>0</v>
      </c>
      <c r="CH49" s="55" t="e">
        <f t="shared" si="203"/>
        <v>#DIV/0!</v>
      </c>
      <c r="CI49" s="55" t="e">
        <f t="shared" si="204"/>
        <v>#DIV/0!</v>
      </c>
      <c r="CJ49" s="55" t="e">
        <f t="shared" si="205"/>
        <v>#DIV/0!</v>
      </c>
      <c r="CK49" s="252" t="e">
        <f t="shared" si="205"/>
        <v>#DIV/0!</v>
      </c>
      <c r="CL49" s="55" t="e">
        <f t="shared" si="206"/>
        <v>#DIV/0!</v>
      </c>
      <c r="CN49" s="2" t="s">
        <v>88</v>
      </c>
      <c r="CO49" s="54">
        <f t="shared" si="228"/>
        <v>0</v>
      </c>
      <c r="CP49" s="55">
        <f t="shared" si="207"/>
        <v>0</v>
      </c>
      <c r="CQ49" s="55">
        <f t="shared" si="208"/>
        <v>0</v>
      </c>
      <c r="CR49" s="55">
        <f t="shared" si="209"/>
        <v>0</v>
      </c>
      <c r="CS49" s="55">
        <f t="shared" si="210"/>
        <v>0</v>
      </c>
      <c r="CT49" s="55">
        <f t="shared" si="211"/>
        <v>0</v>
      </c>
      <c r="CU49" s="55">
        <f t="shared" si="212"/>
        <v>0</v>
      </c>
      <c r="CV49" s="249">
        <f t="shared" si="213"/>
        <v>0</v>
      </c>
      <c r="CW49" s="55" t="e">
        <f t="shared" si="214"/>
        <v>#DIV/0!</v>
      </c>
      <c r="CX49" s="55" t="e">
        <f t="shared" si="215"/>
        <v>#DIV/0!</v>
      </c>
      <c r="CY49" s="55" t="e">
        <f t="shared" si="216"/>
        <v>#DIV/0!</v>
      </c>
      <c r="CZ49" s="252" t="e">
        <f t="shared" si="216"/>
        <v>#DIV/0!</v>
      </c>
      <c r="DA49" s="62" t="e">
        <f t="shared" si="217"/>
        <v>#DIV/0!</v>
      </c>
      <c r="DC49" s="2" t="s">
        <v>88</v>
      </c>
      <c r="DD49" s="198">
        <f t="shared" si="229"/>
        <v>0</v>
      </c>
      <c r="DE49" s="199">
        <f t="shared" si="230"/>
        <v>0</v>
      </c>
      <c r="DF49" s="198">
        <f t="shared" si="231"/>
        <v>0</v>
      </c>
      <c r="DG49" s="199">
        <f t="shared" si="232"/>
        <v>0</v>
      </c>
      <c r="DH49" s="198">
        <f t="shared" si="233"/>
        <v>0</v>
      </c>
      <c r="DI49" s="199">
        <f t="shared" si="234"/>
        <v>0</v>
      </c>
      <c r="DJ49" s="198">
        <f t="shared" si="235"/>
        <v>0</v>
      </c>
      <c r="DK49" s="199">
        <f t="shared" si="236"/>
        <v>0</v>
      </c>
      <c r="DL49" s="198">
        <f t="shared" si="237"/>
        <v>0</v>
      </c>
      <c r="DM49" s="199">
        <f t="shared" si="238"/>
        <v>0</v>
      </c>
      <c r="DN49" s="198">
        <f t="shared" si="239"/>
        <v>0</v>
      </c>
      <c r="DO49" s="199">
        <f t="shared" si="240"/>
        <v>0</v>
      </c>
      <c r="DP49" s="198">
        <f t="shared" si="241"/>
        <v>0</v>
      </c>
      <c r="DQ49" s="199">
        <f t="shared" si="242"/>
        <v>0</v>
      </c>
      <c r="DR49" s="198">
        <f t="shared" si="243"/>
        <v>0</v>
      </c>
      <c r="DS49" s="199">
        <f t="shared" si="244"/>
        <v>0</v>
      </c>
      <c r="DT49" s="198" t="e">
        <f t="shared" si="245"/>
        <v>#DIV/0!</v>
      </c>
      <c r="DU49" s="199">
        <f t="shared" si="246"/>
        <v>0</v>
      </c>
      <c r="DV49" s="198" t="e">
        <f t="shared" si="247"/>
        <v>#DIV/0!</v>
      </c>
      <c r="DW49" s="199">
        <f t="shared" si="248"/>
        <v>0</v>
      </c>
      <c r="DX49" s="198" t="e">
        <f t="shared" si="249"/>
        <v>#DIV/0!</v>
      </c>
      <c r="DY49" s="199">
        <f t="shared" si="250"/>
        <v>0</v>
      </c>
      <c r="DZ49" s="190" t="e">
        <f t="shared" si="251"/>
        <v>#DIV/0!</v>
      </c>
      <c r="EA49" s="199">
        <f t="shared" si="218"/>
        <v>0</v>
      </c>
      <c r="EB49" s="190" t="e">
        <f t="shared" si="252"/>
        <v>#DIV/0!</v>
      </c>
      <c r="EC49" s="190" t="e">
        <f t="shared" si="253"/>
        <v>#DIV/0!</v>
      </c>
    </row>
    <row r="50" spans="1:133" x14ac:dyDescent="0.2">
      <c r="A50" s="2" t="s">
        <v>89</v>
      </c>
      <c r="B50" s="42">
        <f>targets!AW49</f>
        <v>0</v>
      </c>
      <c r="C50" s="43">
        <f>targets!AX49</f>
        <v>0</v>
      </c>
      <c r="D50" s="43">
        <f>targets!AY49</f>
        <v>0</v>
      </c>
      <c r="E50" s="43">
        <f>targets!AZ49</f>
        <v>0</v>
      </c>
      <c r="F50" s="43">
        <f>targets!BA49</f>
        <v>0</v>
      </c>
      <c r="G50" s="43">
        <f>SUM(targets!BB49:BG49)</f>
        <v>0</v>
      </c>
      <c r="H50" s="43">
        <f>SUM(targets!BH49:BM49)</f>
        <v>0</v>
      </c>
      <c r="I50" s="75">
        <f t="shared" si="254"/>
        <v>0</v>
      </c>
      <c r="J50" s="43">
        <f>targets!BN49</f>
        <v>0</v>
      </c>
      <c r="K50" s="43">
        <f>targets!BO49</f>
        <v>0</v>
      </c>
      <c r="L50" s="43">
        <f>targets!BP49</f>
        <v>0</v>
      </c>
      <c r="M50" s="247">
        <f t="shared" si="348"/>
        <v>0</v>
      </c>
      <c r="N50" s="17">
        <f t="shared" si="219"/>
        <v>0</v>
      </c>
      <c r="O50" s="17"/>
      <c r="P50" s="17"/>
      <c r="Q50" s="2" t="s">
        <v>89</v>
      </c>
      <c r="R50" s="42">
        <f t="shared" si="220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21"/>
        <v>0</v>
      </c>
      <c r="Z50" s="43" t="e">
        <f t="shared" si="191"/>
        <v>#DIV/0!</v>
      </c>
      <c r="AA50" s="43" t="e">
        <f t="shared" si="192"/>
        <v>#DIV/0!</v>
      </c>
      <c r="AB50" s="43" t="e">
        <f t="shared" si="193"/>
        <v>#DIV/0!</v>
      </c>
      <c r="AC50" s="247" t="e">
        <f t="shared" si="256"/>
        <v>#DIV/0!</v>
      </c>
      <c r="AD50" s="17" t="e">
        <f t="shared" si="222"/>
        <v>#DIV/0!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3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7">
        <f t="shared" si="349"/>
        <v>0</v>
      </c>
      <c r="AS50" s="17">
        <f t="shared" si="224"/>
        <v>0</v>
      </c>
      <c r="AU50" s="2" t="s">
        <v>89</v>
      </c>
      <c r="AV50" s="42">
        <f t="shared" ref="AV50:BG50" si="354">IF(R51&gt;0,R50/R51,0)</f>
        <v>0</v>
      </c>
      <c r="AW50" s="43">
        <f t="shared" si="354"/>
        <v>0</v>
      </c>
      <c r="AX50" s="43">
        <f t="shared" si="354"/>
        <v>0</v>
      </c>
      <c r="AY50" s="43">
        <f t="shared" si="354"/>
        <v>0</v>
      </c>
      <c r="AZ50" s="43">
        <f t="shared" si="354"/>
        <v>0</v>
      </c>
      <c r="BA50" s="43">
        <f t="shared" si="354"/>
        <v>0</v>
      </c>
      <c r="BB50" s="43">
        <f t="shared" si="354"/>
        <v>0</v>
      </c>
      <c r="BC50" s="75">
        <f t="shared" si="354"/>
        <v>0</v>
      </c>
      <c r="BD50" s="43" t="e">
        <f t="shared" si="354"/>
        <v>#DIV/0!</v>
      </c>
      <c r="BE50" s="43" t="e">
        <f t="shared" si="354"/>
        <v>#DIV/0!</v>
      </c>
      <c r="BF50" s="43" t="e">
        <f t="shared" si="354"/>
        <v>#DIV/0!</v>
      </c>
      <c r="BG50" s="247" t="e">
        <f t="shared" si="354"/>
        <v>#DIV/0!</v>
      </c>
      <c r="BH50" s="24" t="e">
        <f>AD50/AD51</f>
        <v>#DIV/0!</v>
      </c>
      <c r="BJ50" s="2" t="s">
        <v>89</v>
      </c>
      <c r="BK50" s="42">
        <f t="shared" ref="BK50:BV50" si="355">IF(AG51&gt;0,AG50/AG51,0)</f>
        <v>0</v>
      </c>
      <c r="BL50" s="43">
        <f t="shared" si="355"/>
        <v>0</v>
      </c>
      <c r="BM50" s="43">
        <f t="shared" si="355"/>
        <v>0</v>
      </c>
      <c r="BN50" s="43">
        <f t="shared" si="355"/>
        <v>0</v>
      </c>
      <c r="BO50" s="43">
        <f t="shared" si="355"/>
        <v>0</v>
      </c>
      <c r="BP50" s="43">
        <f t="shared" si="355"/>
        <v>0</v>
      </c>
      <c r="BQ50" s="43">
        <f t="shared" si="355"/>
        <v>0</v>
      </c>
      <c r="BR50" s="75">
        <f t="shared" si="355"/>
        <v>0</v>
      </c>
      <c r="BS50" s="43">
        <f t="shared" si="355"/>
        <v>0</v>
      </c>
      <c r="BT50" s="43">
        <f t="shared" si="355"/>
        <v>0</v>
      </c>
      <c r="BU50" s="43">
        <f t="shared" si="355"/>
        <v>0</v>
      </c>
      <c r="BV50" s="247">
        <f t="shared" si="355"/>
        <v>0</v>
      </c>
      <c r="BW50" s="24" t="e">
        <f>AS50/AS51</f>
        <v>#DIV/0!</v>
      </c>
      <c r="BX50" s="24"/>
      <c r="BY50" s="2" t="s">
        <v>89</v>
      </c>
      <c r="BZ50" s="56">
        <f t="shared" si="227"/>
        <v>0</v>
      </c>
      <c r="CA50" s="57">
        <f t="shared" si="196"/>
        <v>0</v>
      </c>
      <c r="CB50" s="57">
        <f t="shared" si="197"/>
        <v>0</v>
      </c>
      <c r="CC50" s="57">
        <f t="shared" si="198"/>
        <v>0</v>
      </c>
      <c r="CD50" s="57">
        <f t="shared" si="199"/>
        <v>0</v>
      </c>
      <c r="CE50" s="57">
        <f t="shared" si="200"/>
        <v>0</v>
      </c>
      <c r="CF50" s="57">
        <f t="shared" si="201"/>
        <v>0</v>
      </c>
      <c r="CG50" s="250">
        <f>AN50-Y50</f>
        <v>0</v>
      </c>
      <c r="CH50" s="57" t="e">
        <f t="shared" si="203"/>
        <v>#DIV/0!</v>
      </c>
      <c r="CI50" s="57" t="e">
        <f t="shared" si="204"/>
        <v>#DIV/0!</v>
      </c>
      <c r="CJ50" s="57" t="e">
        <f t="shared" si="205"/>
        <v>#DIV/0!</v>
      </c>
      <c r="CK50" s="253" t="e">
        <f t="shared" si="205"/>
        <v>#DIV/0!</v>
      </c>
      <c r="CL50" s="55" t="e">
        <f t="shared" si="206"/>
        <v>#DIV/0!</v>
      </c>
      <c r="CN50" s="2" t="s">
        <v>89</v>
      </c>
      <c r="CO50" s="56">
        <f t="shared" si="228"/>
        <v>0</v>
      </c>
      <c r="CP50" s="57">
        <f t="shared" si="207"/>
        <v>0</v>
      </c>
      <c r="CQ50" s="57">
        <f t="shared" si="208"/>
        <v>0</v>
      </c>
      <c r="CR50" s="57">
        <f t="shared" si="209"/>
        <v>0</v>
      </c>
      <c r="CS50" s="57">
        <f t="shared" si="210"/>
        <v>0</v>
      </c>
      <c r="CT50" s="57">
        <f t="shared" si="211"/>
        <v>0</v>
      </c>
      <c r="CU50" s="57">
        <f t="shared" si="212"/>
        <v>0</v>
      </c>
      <c r="CV50" s="250">
        <f t="shared" si="213"/>
        <v>0</v>
      </c>
      <c r="CW50" s="57" t="e">
        <f t="shared" si="214"/>
        <v>#DIV/0!</v>
      </c>
      <c r="CX50" s="57" t="e">
        <f t="shared" si="215"/>
        <v>#DIV/0!</v>
      </c>
      <c r="CY50" s="57" t="e">
        <f t="shared" si="216"/>
        <v>#DIV/0!</v>
      </c>
      <c r="CZ50" s="253" t="e">
        <f t="shared" si="216"/>
        <v>#DIV/0!</v>
      </c>
      <c r="DA50" s="62" t="e">
        <f t="shared" si="217"/>
        <v>#DIV/0!</v>
      </c>
      <c r="DC50" s="2" t="s">
        <v>89</v>
      </c>
      <c r="DD50" s="200">
        <f t="shared" si="229"/>
        <v>0</v>
      </c>
      <c r="DE50" s="201">
        <f t="shared" si="230"/>
        <v>0</v>
      </c>
      <c r="DF50" s="200">
        <f t="shared" si="231"/>
        <v>0</v>
      </c>
      <c r="DG50" s="201">
        <f t="shared" si="232"/>
        <v>0</v>
      </c>
      <c r="DH50" s="200">
        <f t="shared" si="233"/>
        <v>0</v>
      </c>
      <c r="DI50" s="201">
        <f t="shared" si="234"/>
        <v>0</v>
      </c>
      <c r="DJ50" s="200">
        <f t="shared" si="235"/>
        <v>0</v>
      </c>
      <c r="DK50" s="201">
        <f t="shared" si="236"/>
        <v>0</v>
      </c>
      <c r="DL50" s="200">
        <f t="shared" si="237"/>
        <v>0</v>
      </c>
      <c r="DM50" s="201">
        <f t="shared" si="238"/>
        <v>0</v>
      </c>
      <c r="DN50" s="200">
        <f t="shared" si="239"/>
        <v>0</v>
      </c>
      <c r="DO50" s="201">
        <f t="shared" si="240"/>
        <v>0</v>
      </c>
      <c r="DP50" s="200">
        <f t="shared" si="241"/>
        <v>0</v>
      </c>
      <c r="DQ50" s="201">
        <f t="shared" si="242"/>
        <v>0</v>
      </c>
      <c r="DR50" s="200">
        <f t="shared" si="243"/>
        <v>0</v>
      </c>
      <c r="DS50" s="201">
        <f t="shared" si="244"/>
        <v>0</v>
      </c>
      <c r="DT50" s="200" t="e">
        <f t="shared" si="245"/>
        <v>#DIV/0!</v>
      </c>
      <c r="DU50" s="201">
        <f t="shared" si="246"/>
        <v>0</v>
      </c>
      <c r="DV50" s="200" t="e">
        <f t="shared" si="247"/>
        <v>#DIV/0!</v>
      </c>
      <c r="DW50" s="201">
        <f t="shared" si="248"/>
        <v>0</v>
      </c>
      <c r="DX50" s="200" t="e">
        <f t="shared" si="249"/>
        <v>#DIV/0!</v>
      </c>
      <c r="DY50" s="201">
        <f t="shared" si="250"/>
        <v>0</v>
      </c>
      <c r="DZ50" s="202" t="e">
        <f t="shared" si="251"/>
        <v>#DIV/0!</v>
      </c>
      <c r="EA50" s="201">
        <f t="shared" si="218"/>
        <v>0</v>
      </c>
      <c r="EB50" s="190" t="e">
        <f t="shared" si="252"/>
        <v>#DIV/0!</v>
      </c>
      <c r="EC50" s="190" t="e">
        <f t="shared" si="253"/>
        <v>#DIV/0!</v>
      </c>
    </row>
    <row r="51" spans="1:133" x14ac:dyDescent="0.2">
      <c r="A51" s="65" t="s">
        <v>54</v>
      </c>
      <c r="B51" s="17">
        <f t="shared" ref="B51:M51" si="356">SUM(B31:B50)</f>
        <v>28162.194300097664</v>
      </c>
      <c r="C51" s="17">
        <f t="shared" si="356"/>
        <v>4505.2135665151818</v>
      </c>
      <c r="D51" s="17">
        <f t="shared" si="356"/>
        <v>4458.6255461090514</v>
      </c>
      <c r="E51" s="17">
        <f t="shared" si="356"/>
        <v>25937.787031855187</v>
      </c>
      <c r="F51" s="17">
        <f t="shared" si="356"/>
        <v>12180.053033041177</v>
      </c>
      <c r="G51" s="17">
        <f t="shared" si="356"/>
        <v>76755.509270308947</v>
      </c>
      <c r="H51" s="17">
        <f t="shared" si="356"/>
        <v>2059.2039721079223</v>
      </c>
      <c r="I51" s="72">
        <f t="shared" si="356"/>
        <v>78814.713242416852</v>
      </c>
      <c r="J51" s="17">
        <f t="shared" si="356"/>
        <v>0</v>
      </c>
      <c r="K51" s="17">
        <f t="shared" si="356"/>
        <v>0</v>
      </c>
      <c r="L51" s="17">
        <f t="shared" si="356"/>
        <v>0</v>
      </c>
      <c r="M51" s="72">
        <f t="shared" si="356"/>
        <v>0</v>
      </c>
      <c r="N51" s="17">
        <f>SUM(B51:L51)-I51</f>
        <v>154058.58672003515</v>
      </c>
      <c r="O51" s="17"/>
      <c r="P51" s="17"/>
      <c r="Q51" s="65" t="s">
        <v>54</v>
      </c>
      <c r="R51" s="17">
        <f t="shared" ref="R51:AC51" si="357">SUM(R31:R50)</f>
        <v>0</v>
      </c>
      <c r="S51" s="17">
        <f t="shared" si="357"/>
        <v>0</v>
      </c>
      <c r="T51" s="17">
        <f t="shared" si="357"/>
        <v>0</v>
      </c>
      <c r="U51" s="17">
        <f t="shared" si="357"/>
        <v>0</v>
      </c>
      <c r="V51" s="17">
        <f t="shared" si="357"/>
        <v>0</v>
      </c>
      <c r="W51" s="17">
        <f t="shared" si="357"/>
        <v>0</v>
      </c>
      <c r="X51" s="17">
        <f t="shared" si="357"/>
        <v>0</v>
      </c>
      <c r="Y51" s="72">
        <f t="shared" si="357"/>
        <v>0</v>
      </c>
      <c r="Z51" s="17" t="e">
        <f t="shared" si="357"/>
        <v>#DIV/0!</v>
      </c>
      <c r="AA51" s="17" t="e">
        <f t="shared" si="357"/>
        <v>#DIV/0!</v>
      </c>
      <c r="AB51" s="17" t="e">
        <f t="shared" si="357"/>
        <v>#DIV/0!</v>
      </c>
      <c r="AC51" s="72" t="e">
        <f t="shared" si="357"/>
        <v>#DIV/0!</v>
      </c>
      <c r="AD51" s="17" t="e">
        <f t="shared" si="222"/>
        <v>#DIV/0!</v>
      </c>
      <c r="AF51" s="65" t="s">
        <v>54</v>
      </c>
      <c r="AG51" s="17">
        <f t="shared" ref="AG51:AR51" si="358">SUM(AG31:AG50)</f>
        <v>0</v>
      </c>
      <c r="AH51" s="17">
        <f t="shared" si="358"/>
        <v>0</v>
      </c>
      <c r="AI51" s="17">
        <f t="shared" si="358"/>
        <v>0</v>
      </c>
      <c r="AJ51" s="17">
        <f t="shared" si="358"/>
        <v>0</v>
      </c>
      <c r="AK51" s="17">
        <f t="shared" si="358"/>
        <v>0</v>
      </c>
      <c r="AL51" s="17">
        <f t="shared" si="358"/>
        <v>0</v>
      </c>
      <c r="AM51" s="17">
        <f t="shared" si="358"/>
        <v>0</v>
      </c>
      <c r="AN51" s="72">
        <f t="shared" si="358"/>
        <v>0</v>
      </c>
      <c r="AO51" s="17">
        <f t="shared" si="358"/>
        <v>0</v>
      </c>
      <c r="AP51" s="17">
        <f t="shared" si="358"/>
        <v>0</v>
      </c>
      <c r="AQ51" s="17">
        <f t="shared" si="358"/>
        <v>0</v>
      </c>
      <c r="AR51" s="72">
        <f t="shared" si="358"/>
        <v>0</v>
      </c>
      <c r="AS51" s="17">
        <f t="shared" si="224"/>
        <v>0</v>
      </c>
      <c r="AU51" s="65" t="s">
        <v>54</v>
      </c>
      <c r="AV51" s="17">
        <f t="shared" ref="AV51:BH51" si="359">SUM(AV31:AV50)</f>
        <v>0</v>
      </c>
      <c r="AW51" s="17">
        <f t="shared" si="359"/>
        <v>0</v>
      </c>
      <c r="AX51" s="17">
        <f t="shared" si="359"/>
        <v>0</v>
      </c>
      <c r="AY51" s="17">
        <f t="shared" si="359"/>
        <v>0</v>
      </c>
      <c r="AZ51" s="17">
        <f t="shared" si="359"/>
        <v>0</v>
      </c>
      <c r="BA51" s="17">
        <f t="shared" si="359"/>
        <v>0</v>
      </c>
      <c r="BB51" s="17">
        <f t="shared" si="359"/>
        <v>0</v>
      </c>
      <c r="BC51" s="72">
        <f t="shared" si="359"/>
        <v>0</v>
      </c>
      <c r="BD51" s="17" t="e">
        <f t="shared" si="359"/>
        <v>#DIV/0!</v>
      </c>
      <c r="BE51" s="17" t="e">
        <f t="shared" si="359"/>
        <v>#DIV/0!</v>
      </c>
      <c r="BF51" s="17" t="e">
        <f t="shared" si="359"/>
        <v>#DIV/0!</v>
      </c>
      <c r="BG51" s="72" t="e">
        <f t="shared" si="359"/>
        <v>#DIV/0!</v>
      </c>
      <c r="BH51" s="24" t="e">
        <f t="shared" si="359"/>
        <v>#DIV/0!</v>
      </c>
      <c r="BJ51" s="65" t="s">
        <v>54</v>
      </c>
      <c r="BK51" s="17">
        <f t="shared" ref="BK51:BW51" si="360">SUM(BK31:BK50)</f>
        <v>0</v>
      </c>
      <c r="BL51" s="17">
        <f t="shared" si="360"/>
        <v>0</v>
      </c>
      <c r="BM51" s="17">
        <f t="shared" si="360"/>
        <v>0</v>
      </c>
      <c r="BN51" s="17">
        <f t="shared" si="360"/>
        <v>0</v>
      </c>
      <c r="BO51" s="17">
        <f t="shared" si="360"/>
        <v>0</v>
      </c>
      <c r="BP51" s="17">
        <f t="shared" si="360"/>
        <v>0</v>
      </c>
      <c r="BQ51" s="17">
        <f t="shared" si="360"/>
        <v>0</v>
      </c>
      <c r="BR51" s="72">
        <f t="shared" si="360"/>
        <v>0</v>
      </c>
      <c r="BS51" s="17">
        <f t="shared" si="360"/>
        <v>0</v>
      </c>
      <c r="BT51" s="17">
        <f t="shared" si="360"/>
        <v>0</v>
      </c>
      <c r="BU51" s="17">
        <f t="shared" si="360"/>
        <v>0</v>
      </c>
      <c r="BV51" s="72">
        <f t="shared" si="360"/>
        <v>0</v>
      </c>
      <c r="BW51" s="24" t="e">
        <f t="shared" si="360"/>
        <v>#DIV/0!</v>
      </c>
      <c r="BX51" s="24"/>
      <c r="BY51" s="65" t="s">
        <v>54</v>
      </c>
      <c r="BZ51" s="55">
        <f t="shared" si="227"/>
        <v>0</v>
      </c>
      <c r="CA51" s="55">
        <f t="shared" si="196"/>
        <v>0</v>
      </c>
      <c r="CB51" s="55">
        <f t="shared" si="197"/>
        <v>0</v>
      </c>
      <c r="CC51" s="55">
        <f t="shared" si="198"/>
        <v>0</v>
      </c>
      <c r="CD51" s="55">
        <f t="shared" si="199"/>
        <v>0</v>
      </c>
      <c r="CE51" s="55">
        <f t="shared" si="200"/>
        <v>0</v>
      </c>
      <c r="CF51" s="55">
        <f t="shared" si="201"/>
        <v>0</v>
      </c>
      <c r="CG51" s="55">
        <f>AN51-Y51</f>
        <v>0</v>
      </c>
      <c r="CH51" s="55" t="e">
        <f t="shared" si="203"/>
        <v>#DIV/0!</v>
      </c>
      <c r="CI51" s="55" t="e">
        <f t="shared" si="204"/>
        <v>#DIV/0!</v>
      </c>
      <c r="CJ51" s="55" t="e">
        <f t="shared" si="205"/>
        <v>#DIV/0!</v>
      </c>
      <c r="CK51" s="55" t="e">
        <f t="shared" si="205"/>
        <v>#DIV/0!</v>
      </c>
      <c r="CL51" s="55" t="e">
        <f t="shared" si="206"/>
        <v>#DIV/0!</v>
      </c>
      <c r="CN51" s="65" t="s">
        <v>54</v>
      </c>
      <c r="CO51" s="55">
        <f t="shared" si="228"/>
        <v>0</v>
      </c>
      <c r="CP51" s="55">
        <f t="shared" si="207"/>
        <v>0</v>
      </c>
      <c r="CQ51" s="55">
        <f t="shared" si="208"/>
        <v>0</v>
      </c>
      <c r="CR51" s="55">
        <f t="shared" si="209"/>
        <v>0</v>
      </c>
      <c r="CS51" s="55">
        <f t="shared" si="210"/>
        <v>0</v>
      </c>
      <c r="CT51" s="55">
        <f t="shared" si="211"/>
        <v>0</v>
      </c>
      <c r="CU51" s="55">
        <f t="shared" si="212"/>
        <v>0</v>
      </c>
      <c r="CV51" s="55">
        <f t="shared" si="213"/>
        <v>0</v>
      </c>
      <c r="CW51" s="55" t="e">
        <f t="shared" si="214"/>
        <v>#DIV/0!</v>
      </c>
      <c r="CX51" s="55" t="e">
        <f t="shared" si="215"/>
        <v>#DIV/0!</v>
      </c>
      <c r="CY51" s="55" t="e">
        <f t="shared" si="216"/>
        <v>#DIV/0!</v>
      </c>
      <c r="CZ51" s="55" t="e">
        <f t="shared" si="216"/>
        <v>#DIV/0!</v>
      </c>
      <c r="DA51" s="62" t="e">
        <f t="shared" si="217"/>
        <v>#DIV/0!</v>
      </c>
      <c r="DC51" s="65" t="s">
        <v>54</v>
      </c>
      <c r="DD51" s="190">
        <f t="shared" ref="DD51:EC51" si="361">SUM(DD31:DD50)</f>
        <v>0</v>
      </c>
      <c r="DE51" s="190">
        <f t="shared" si="361"/>
        <v>0</v>
      </c>
      <c r="DF51" s="190">
        <f t="shared" si="361"/>
        <v>0</v>
      </c>
      <c r="DG51" s="190">
        <f t="shared" si="361"/>
        <v>0</v>
      </c>
      <c r="DH51" s="190">
        <f t="shared" si="361"/>
        <v>0</v>
      </c>
      <c r="DI51" s="190">
        <f t="shared" si="361"/>
        <v>0</v>
      </c>
      <c r="DJ51" s="190">
        <f t="shared" si="361"/>
        <v>0</v>
      </c>
      <c r="DK51" s="190">
        <f t="shared" si="361"/>
        <v>0</v>
      </c>
      <c r="DL51" s="190">
        <f t="shared" si="361"/>
        <v>0</v>
      </c>
      <c r="DM51" s="190">
        <f t="shared" si="361"/>
        <v>0</v>
      </c>
      <c r="DN51" s="190">
        <f t="shared" si="361"/>
        <v>0</v>
      </c>
      <c r="DO51" s="190">
        <f t="shared" si="361"/>
        <v>0</v>
      </c>
      <c r="DP51" s="190">
        <f t="shared" si="361"/>
        <v>0</v>
      </c>
      <c r="DQ51" s="190">
        <f t="shared" si="361"/>
        <v>0</v>
      </c>
      <c r="DR51" s="190">
        <f t="shared" si="361"/>
        <v>0</v>
      </c>
      <c r="DS51" s="190">
        <f t="shared" si="361"/>
        <v>0</v>
      </c>
      <c r="DT51" s="190" t="e">
        <f t="shared" si="361"/>
        <v>#DIV/0!</v>
      </c>
      <c r="DU51" s="190">
        <f t="shared" si="361"/>
        <v>0</v>
      </c>
      <c r="DV51" s="190" t="e">
        <f t="shared" si="361"/>
        <v>#DIV/0!</v>
      </c>
      <c r="DW51" s="190">
        <f t="shared" si="361"/>
        <v>0</v>
      </c>
      <c r="DX51" s="190" t="e">
        <f t="shared" si="361"/>
        <v>#DIV/0!</v>
      </c>
      <c r="DY51" s="190">
        <f t="shared" si="361"/>
        <v>0</v>
      </c>
      <c r="DZ51" s="190" t="e">
        <f t="shared" si="361"/>
        <v>#DIV/0!</v>
      </c>
      <c r="EA51" s="190">
        <f t="shared" si="361"/>
        <v>0</v>
      </c>
      <c r="EB51" s="190" t="e">
        <f t="shared" si="361"/>
        <v>#DIV/0!</v>
      </c>
      <c r="EC51" s="190" t="e">
        <f t="shared" si="361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targets!AW54</f>
        <v>57011.2788156526</v>
      </c>
      <c r="C57" s="37">
        <f>targets!AX54</f>
        <v>3377.8602795302959</v>
      </c>
      <c r="D57" s="37">
        <f>targets!AY54</f>
        <v>0</v>
      </c>
      <c r="E57" s="37">
        <f>targets!AZ54</f>
        <v>0</v>
      </c>
      <c r="F57" s="37">
        <f>targets!BA54</f>
        <v>0</v>
      </c>
      <c r="G57" s="37">
        <f>SUM(targets!BB54:BG54)</f>
        <v>0</v>
      </c>
      <c r="H57" s="37">
        <f>SUM(targets!BH54:BM54)</f>
        <v>0</v>
      </c>
      <c r="I57" s="74">
        <f>SUM(G57:H57)</f>
        <v>0</v>
      </c>
      <c r="J57" s="37">
        <f>targets!BN54</f>
        <v>0</v>
      </c>
      <c r="K57" s="37">
        <f>targets!BO54</f>
        <v>0</v>
      </c>
      <c r="L57" s="37">
        <f>targets!BP54</f>
        <v>0</v>
      </c>
      <c r="M57" s="177">
        <f>SUM(J57:L57)</f>
        <v>0</v>
      </c>
      <c r="N57" s="17">
        <f>SUM(B57:L57)-I57</f>
        <v>60389.139095182894</v>
      </c>
      <c r="O57" s="17"/>
      <c r="P57" s="17"/>
      <c r="Q57" s="66" t="s">
        <v>4</v>
      </c>
      <c r="R57" s="36">
        <f t="shared" ref="R57:R76" si="362">B57*(AG$77/B$77)</f>
        <v>0</v>
      </c>
      <c r="S57" s="37">
        <f t="shared" ref="S57:S76" si="363">C57*(AH$77/C$77)</f>
        <v>0</v>
      </c>
      <c r="T57" s="37">
        <f t="shared" ref="T57:T76" si="364">D57*(AI$77/D$77)</f>
        <v>0</v>
      </c>
      <c r="U57" s="37">
        <f t="shared" ref="U57:U76" si="365">E57*(AJ$77/E$77)</f>
        <v>0</v>
      </c>
      <c r="V57" s="37">
        <f t="shared" ref="V57:V76" si="366">F57*(AK$77/F$77)</f>
        <v>0</v>
      </c>
      <c r="W57" s="37">
        <f t="shared" ref="W57:W76" si="367">G57*(AL$77/G$77)</f>
        <v>0</v>
      </c>
      <c r="X57" s="37">
        <f t="shared" ref="X57:X76" si="368">H57*(AM$77/H$77)</f>
        <v>0</v>
      </c>
      <c r="Y57" s="74">
        <f>SUM(W57:X57)</f>
        <v>0</v>
      </c>
      <c r="Z57" s="37" t="e">
        <f t="shared" ref="Z57:Z76" si="369">J57*(AO$77/J$77)</f>
        <v>#DIV/0!</v>
      </c>
      <c r="AA57" s="37" t="e">
        <f t="shared" ref="AA57:AA76" si="370">K57*(AP$77/K$77)</f>
        <v>#DIV/0!</v>
      </c>
      <c r="AB57" s="37" t="e">
        <f t="shared" ref="AB57:AB76" si="371">L57*(AQ$77/L$77)</f>
        <v>#DIV/0!</v>
      </c>
      <c r="AC57" s="177" t="e">
        <f>SUM(Z57:AB57)</f>
        <v>#DIV/0!</v>
      </c>
      <c r="AD57" s="17" t="e">
        <f>SUM(R57:AB57)-Y57</f>
        <v>#DIV/0!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72">IF(R77&gt;0,R57/R77,0)</f>
        <v>0</v>
      </c>
      <c r="AW57" s="37">
        <f t="shared" si="372"/>
        <v>0</v>
      </c>
      <c r="AX57" s="37">
        <f t="shared" si="372"/>
        <v>0</v>
      </c>
      <c r="AY57" s="37">
        <f t="shared" si="372"/>
        <v>0</v>
      </c>
      <c r="AZ57" s="37">
        <f t="shared" si="372"/>
        <v>0</v>
      </c>
      <c r="BA57" s="37">
        <f t="shared" si="372"/>
        <v>0</v>
      </c>
      <c r="BB57" s="37">
        <f t="shared" si="372"/>
        <v>0</v>
      </c>
      <c r="BC57" s="74">
        <f t="shared" si="372"/>
        <v>0</v>
      </c>
      <c r="BD57" s="37" t="e">
        <f t="shared" si="372"/>
        <v>#DIV/0!</v>
      </c>
      <c r="BE57" s="37" t="e">
        <f t="shared" si="372"/>
        <v>#DIV/0!</v>
      </c>
      <c r="BF57" s="37" t="e">
        <f t="shared" si="372"/>
        <v>#DIV/0!</v>
      </c>
      <c r="BG57" s="177" t="e">
        <f t="shared" si="372"/>
        <v>#DIV/0!</v>
      </c>
      <c r="BH57" s="24" t="e">
        <f>AD57/AD77</f>
        <v>#DIV/0!</v>
      </c>
      <c r="BJ57" s="66" t="s">
        <v>4</v>
      </c>
      <c r="BK57" s="36">
        <f t="shared" ref="BK57:BV57" si="373">IF(AG77&gt;0,AG57/AG77,0)</f>
        <v>0</v>
      </c>
      <c r="BL57" s="37">
        <f t="shared" si="373"/>
        <v>0</v>
      </c>
      <c r="BM57" s="37">
        <f t="shared" si="373"/>
        <v>0</v>
      </c>
      <c r="BN57" s="37">
        <f t="shared" si="373"/>
        <v>0</v>
      </c>
      <c r="BO57" s="37">
        <f t="shared" si="373"/>
        <v>0</v>
      </c>
      <c r="BP57" s="37">
        <f t="shared" si="373"/>
        <v>0</v>
      </c>
      <c r="BQ57" s="37">
        <f t="shared" si="373"/>
        <v>0</v>
      </c>
      <c r="BR57" s="74">
        <f t="shared" si="373"/>
        <v>0</v>
      </c>
      <c r="BS57" s="37">
        <f t="shared" si="373"/>
        <v>0</v>
      </c>
      <c r="BT57" s="37">
        <f t="shared" si="373"/>
        <v>0</v>
      </c>
      <c r="BU57" s="37">
        <f t="shared" si="373"/>
        <v>0</v>
      </c>
      <c r="BV57" s="177">
        <f t="shared" si="373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74">AH57-S57</f>
        <v>0</v>
      </c>
      <c r="CB57" s="53">
        <f t="shared" ref="CB57:CB77" si="375">AI57-T57</f>
        <v>0</v>
      </c>
      <c r="CC57" s="53">
        <f t="shared" ref="CC57:CC77" si="376">AJ57-U57</f>
        <v>0</v>
      </c>
      <c r="CD57" s="53">
        <f t="shared" ref="CD57:CD77" si="377">AK57-V57</f>
        <v>0</v>
      </c>
      <c r="CE57" s="53">
        <f t="shared" ref="CE57:CE77" si="378">AL57-W57</f>
        <v>0</v>
      </c>
      <c r="CF57" s="53">
        <f t="shared" ref="CF57:CF77" si="379">AM57-X57</f>
        <v>0</v>
      </c>
      <c r="CG57" s="248">
        <f t="shared" ref="CG57:CG72" si="380">AN57-Y57</f>
        <v>0</v>
      </c>
      <c r="CH57" s="53" t="e">
        <f t="shared" ref="CH57:CH77" si="381">AO57-Z57</f>
        <v>#DIV/0!</v>
      </c>
      <c r="CI57" s="53" t="e">
        <f t="shared" ref="CI57:CI77" si="382">AP57-AA57</f>
        <v>#DIV/0!</v>
      </c>
      <c r="CJ57" s="53" t="e">
        <f t="shared" ref="CJ57:CK77" si="383">AQ57-AB57</f>
        <v>#DIV/0!</v>
      </c>
      <c r="CK57" s="251" t="e">
        <f>AR57-AC57</f>
        <v>#DIV/0!</v>
      </c>
      <c r="CL57" s="55" t="e">
        <f t="shared" ref="CL57:CL77" si="384">AS57-AD57</f>
        <v>#DIV/0!</v>
      </c>
      <c r="CN57" s="66" t="s">
        <v>4</v>
      </c>
      <c r="CO57" s="58">
        <f>BK57-AV57</f>
        <v>0</v>
      </c>
      <c r="CP57" s="53">
        <f t="shared" ref="CP57:CP77" si="385">BL57-AW57</f>
        <v>0</v>
      </c>
      <c r="CQ57" s="53">
        <f t="shared" ref="CQ57:CQ77" si="386">BM57-AX57</f>
        <v>0</v>
      </c>
      <c r="CR57" s="53">
        <f t="shared" ref="CR57:CR77" si="387">BN57-AY57</f>
        <v>0</v>
      </c>
      <c r="CS57" s="53">
        <f t="shared" ref="CS57:CS77" si="388">BO57-AZ57</f>
        <v>0</v>
      </c>
      <c r="CT57" s="53">
        <f t="shared" ref="CT57:CT77" si="389">BP57-BA57</f>
        <v>0</v>
      </c>
      <c r="CU57" s="53">
        <f t="shared" ref="CU57:CU77" si="390">BQ57-BB57</f>
        <v>0</v>
      </c>
      <c r="CV57" s="248">
        <f t="shared" ref="CV57:CV77" si="391">BR57-BC57</f>
        <v>0</v>
      </c>
      <c r="CW57" s="53" t="e">
        <f t="shared" ref="CW57:CW77" si="392">BS57-BD57</f>
        <v>#DIV/0!</v>
      </c>
      <c r="CX57" s="53" t="e">
        <f t="shared" ref="CX57:CX77" si="393">BT57-BE57</f>
        <v>#DIV/0!</v>
      </c>
      <c r="CY57" s="53" t="e">
        <f t="shared" ref="CY57:CZ77" si="394">BU57-BF57</f>
        <v>#DIV/0!</v>
      </c>
      <c r="CZ57" s="251" t="e">
        <f>BV57-BG57</f>
        <v>#DIV/0!</v>
      </c>
      <c r="DA57" s="62" t="e">
        <f t="shared" ref="DA57:DA77" si="395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 t="e">
        <f>BD57</f>
        <v>#DIV/0!</v>
      </c>
      <c r="DU57" s="196">
        <f>BS57</f>
        <v>0</v>
      </c>
      <c r="DV57" s="195" t="e">
        <f>BE57</f>
        <v>#DIV/0!</v>
      </c>
      <c r="DW57" s="196">
        <f>BT57</f>
        <v>0</v>
      </c>
      <c r="DX57" s="195" t="e">
        <f>BF57</f>
        <v>#DIV/0!</v>
      </c>
      <c r="DY57" s="196">
        <f>BU57</f>
        <v>0</v>
      </c>
      <c r="DZ57" s="197" t="e">
        <f>BG57</f>
        <v>#DIV/0!</v>
      </c>
      <c r="EA57" s="196">
        <f t="shared" ref="EA57:EA76" si="396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targets!AW55</f>
        <v>0</v>
      </c>
      <c r="C58" s="36">
        <f>targets!AX55</f>
        <v>94206.936917350031</v>
      </c>
      <c r="D58" s="245">
        <f>targets!AY55</f>
        <v>55881.110423705366</v>
      </c>
      <c r="E58" s="245">
        <f>targets!AZ55</f>
        <v>0</v>
      </c>
      <c r="F58" s="245">
        <f>targets!BA55</f>
        <v>0</v>
      </c>
      <c r="G58" s="245">
        <f>SUM(targets!BB55:BG55)</f>
        <v>5418.917904931629</v>
      </c>
      <c r="H58" s="245">
        <f>SUM(targets!BH55:BM55)</f>
        <v>0</v>
      </c>
      <c r="I58" s="246">
        <f t="shared" ref="I58:I76" si="397">SUM(G58:H58)</f>
        <v>5418.917904931629</v>
      </c>
      <c r="J58" s="245">
        <f>targets!BN55</f>
        <v>0</v>
      </c>
      <c r="K58" s="245">
        <f>targets!BO55</f>
        <v>0</v>
      </c>
      <c r="L58" s="245">
        <f>targets!BP55</f>
        <v>0</v>
      </c>
      <c r="M58" s="178">
        <f>SUM(J58:L58)</f>
        <v>0</v>
      </c>
      <c r="N58" s="17">
        <f t="shared" ref="N58:N77" si="398">SUM(B58:L58)-I58</f>
        <v>155506.96524598703</v>
      </c>
      <c r="O58" s="17"/>
      <c r="P58" s="17"/>
      <c r="Q58" s="66" t="s">
        <v>41</v>
      </c>
      <c r="R58" s="38">
        <f t="shared" si="362"/>
        <v>0</v>
      </c>
      <c r="S58" s="36">
        <f t="shared" si="363"/>
        <v>0</v>
      </c>
      <c r="T58" s="245">
        <f t="shared" si="364"/>
        <v>0</v>
      </c>
      <c r="U58" s="245">
        <f t="shared" si="365"/>
        <v>0</v>
      </c>
      <c r="V58" s="245">
        <f t="shared" si="366"/>
        <v>0</v>
      </c>
      <c r="W58" s="245">
        <f t="shared" si="367"/>
        <v>0</v>
      </c>
      <c r="X58" s="245">
        <f t="shared" si="368"/>
        <v>0</v>
      </c>
      <c r="Y58" s="246">
        <f t="shared" ref="Y58:Y76" si="399">SUM(W58:X58)</f>
        <v>0</v>
      </c>
      <c r="Z58" s="245" t="e">
        <f t="shared" si="369"/>
        <v>#DIV/0!</v>
      </c>
      <c r="AA58" s="245" t="e">
        <f t="shared" si="370"/>
        <v>#DIV/0!</v>
      </c>
      <c r="AB58" s="245" t="e">
        <f t="shared" si="371"/>
        <v>#DIV/0!</v>
      </c>
      <c r="AC58" s="178" t="e">
        <f>SUM(Z58:AB58)</f>
        <v>#DIV/0!</v>
      </c>
      <c r="AD58" s="17" t="e">
        <f t="shared" ref="AD58:AD77" si="400">SUM(R58:AB58)-Y58</f>
        <v>#DIV/0!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5">
        <f t="array" ref="AI58">SUM(IF((modeldata!$F:$F=calibration!$AF$54)*(modeldata!$G:$G=calibration!AI$56)*(modeldata!$H:$H=calibration!$AF58),modeldata!$E:$E,0))</f>
        <v>0</v>
      </c>
      <c r="AJ58" s="245">
        <f t="array" ref="AJ58">SUM(IF((modeldata!$F:$F=calibration!$AF$54)*(modeldata!$G:$G=calibration!AJ$56)*(modeldata!$H:$H=calibration!$AF58),modeldata!$E:$E,0))</f>
        <v>0</v>
      </c>
      <c r="AK58" s="245">
        <f t="array" ref="AK58">SUM(IF((modeldata!$F:$F=calibration!$AF$54)*(modeldata!$G:$G=calibration!AK$56)*(modeldata!$H:$H=calibration!$AF58),modeldata!$E:$E,0))</f>
        <v>0</v>
      </c>
      <c r="AL58" s="245">
        <f t="array" ref="AL58">SUM(IF((modeldata!$F:$F=calibration!$AF$54)*(modeldata!$G:$G=calibration!AL$56)*(modeldata!$H:$H=calibration!$AF58),modeldata!$E:$E,0))</f>
        <v>0</v>
      </c>
      <c r="AM58" s="245">
        <f t="array" ref="AM58">SUM(IF((modeldata!$F:$F=calibration!$AF$54)*(modeldata!$G:$G=calibration!AM$56)*(modeldata!$H:$H=calibration!$AF58),modeldata!$E:$E,0))</f>
        <v>0</v>
      </c>
      <c r="AN58" s="246">
        <f t="shared" ref="AN58:AN76" si="401">AL58+AM58</f>
        <v>0</v>
      </c>
      <c r="AO58" s="245">
        <f t="array" ref="AO58">SUM(IF((modeldata!$F:$F=calibration!$AF$54)*(modeldata!$G:$G=calibration!AO$56)*(modeldata!$H:$H=calibration!$AF58),modeldata!$E:$E,0))</f>
        <v>0</v>
      </c>
      <c r="AP58" s="245">
        <f t="array" ref="AP58">SUM(IF((modeldata!$F:$F=calibration!$AF$54)*(modeldata!$G:$G=calibration!AP$56)*(modeldata!$H:$H=calibration!$AF58),modeldata!$E:$E,0))</f>
        <v>0</v>
      </c>
      <c r="AQ58" s="245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402">SUM(AG58:AQ58)-AN58</f>
        <v>0</v>
      </c>
      <c r="AU58" s="66" t="s">
        <v>41</v>
      </c>
      <c r="AV58" s="38">
        <f t="shared" ref="AV58:BG58" si="403">IF(R77&gt;0,R58/R77,0)</f>
        <v>0</v>
      </c>
      <c r="AW58" s="36">
        <f t="shared" si="403"/>
        <v>0</v>
      </c>
      <c r="AX58" s="245">
        <f t="shared" si="403"/>
        <v>0</v>
      </c>
      <c r="AY58" s="245">
        <f t="shared" si="403"/>
        <v>0</v>
      </c>
      <c r="AZ58" s="245">
        <f t="shared" si="403"/>
        <v>0</v>
      </c>
      <c r="BA58" s="245">
        <f t="shared" si="403"/>
        <v>0</v>
      </c>
      <c r="BB58" s="245">
        <f t="shared" si="403"/>
        <v>0</v>
      </c>
      <c r="BC58" s="246">
        <f t="shared" si="403"/>
        <v>0</v>
      </c>
      <c r="BD58" s="245" t="e">
        <f t="shared" si="403"/>
        <v>#DIV/0!</v>
      </c>
      <c r="BE58" s="245" t="e">
        <f t="shared" si="403"/>
        <v>#DIV/0!</v>
      </c>
      <c r="BF58" s="245" t="e">
        <f t="shared" si="403"/>
        <v>#DIV/0!</v>
      </c>
      <c r="BG58" s="178" t="e">
        <f t="shared" si="403"/>
        <v>#DIV/0!</v>
      </c>
      <c r="BH58" s="24" t="e">
        <f>AD58/AD77</f>
        <v>#DIV/0!</v>
      </c>
      <c r="BJ58" s="66" t="s">
        <v>41</v>
      </c>
      <c r="BK58" s="38">
        <f t="shared" ref="BK58:BV58" si="404">IF(AG77&gt;0,AG58/AG77,0)</f>
        <v>0</v>
      </c>
      <c r="BL58" s="36">
        <f t="shared" si="404"/>
        <v>0</v>
      </c>
      <c r="BM58" s="245">
        <f t="shared" si="404"/>
        <v>0</v>
      </c>
      <c r="BN58" s="245">
        <f t="shared" si="404"/>
        <v>0</v>
      </c>
      <c r="BO58" s="245">
        <f t="shared" si="404"/>
        <v>0</v>
      </c>
      <c r="BP58" s="245">
        <f t="shared" si="404"/>
        <v>0</v>
      </c>
      <c r="BQ58" s="245">
        <f t="shared" si="404"/>
        <v>0</v>
      </c>
      <c r="BR58" s="246">
        <f t="shared" si="404"/>
        <v>0</v>
      </c>
      <c r="BS58" s="245">
        <f t="shared" si="404"/>
        <v>0</v>
      </c>
      <c r="BT58" s="245">
        <f t="shared" si="404"/>
        <v>0</v>
      </c>
      <c r="BU58" s="245">
        <f t="shared" si="404"/>
        <v>0</v>
      </c>
      <c r="BV58" s="178">
        <f t="shared" si="404"/>
        <v>0</v>
      </c>
      <c r="BW58" s="24" t="e">
        <f>AS58/AS77</f>
        <v>#DIV/0!</v>
      </c>
      <c r="BX58" s="24"/>
      <c r="BY58" s="66" t="s">
        <v>41</v>
      </c>
      <c r="BZ58" s="54">
        <f t="shared" ref="BZ58:BZ77" si="405">AG58-R58</f>
        <v>0</v>
      </c>
      <c r="CA58" s="58">
        <f t="shared" si="374"/>
        <v>0</v>
      </c>
      <c r="CB58" s="55">
        <f t="shared" si="375"/>
        <v>0</v>
      </c>
      <c r="CC58" s="55">
        <f t="shared" si="376"/>
        <v>0</v>
      </c>
      <c r="CD58" s="55">
        <f t="shared" si="377"/>
        <v>0</v>
      </c>
      <c r="CE58" s="55">
        <f t="shared" si="378"/>
        <v>0</v>
      </c>
      <c r="CF58" s="55">
        <f t="shared" si="379"/>
        <v>0</v>
      </c>
      <c r="CG58" s="249">
        <f t="shared" si="380"/>
        <v>0</v>
      </c>
      <c r="CH58" s="55" t="e">
        <f t="shared" si="381"/>
        <v>#DIV/0!</v>
      </c>
      <c r="CI58" s="55" t="e">
        <f t="shared" si="382"/>
        <v>#DIV/0!</v>
      </c>
      <c r="CJ58" s="55" t="e">
        <f t="shared" si="383"/>
        <v>#DIV/0!</v>
      </c>
      <c r="CK58" s="252" t="e">
        <f t="shared" si="383"/>
        <v>#DIV/0!</v>
      </c>
      <c r="CL58" s="55" t="e">
        <f t="shared" si="384"/>
        <v>#DIV/0!</v>
      </c>
      <c r="CN58" s="66" t="s">
        <v>41</v>
      </c>
      <c r="CO58" s="54">
        <f t="shared" ref="CO58:CO77" si="406">BK58-AV58</f>
        <v>0</v>
      </c>
      <c r="CP58" s="58">
        <f t="shared" si="385"/>
        <v>0</v>
      </c>
      <c r="CQ58" s="55">
        <f t="shared" si="386"/>
        <v>0</v>
      </c>
      <c r="CR58" s="55">
        <f t="shared" si="387"/>
        <v>0</v>
      </c>
      <c r="CS58" s="55">
        <f t="shared" si="388"/>
        <v>0</v>
      </c>
      <c r="CT58" s="55">
        <f t="shared" si="389"/>
        <v>0</v>
      </c>
      <c r="CU58" s="55">
        <f t="shared" si="390"/>
        <v>0</v>
      </c>
      <c r="CV58" s="249">
        <f t="shared" si="391"/>
        <v>0</v>
      </c>
      <c r="CW58" s="55" t="e">
        <f t="shared" si="392"/>
        <v>#DIV/0!</v>
      </c>
      <c r="CX58" s="55" t="e">
        <f t="shared" si="393"/>
        <v>#DIV/0!</v>
      </c>
      <c r="CY58" s="55" t="e">
        <f t="shared" si="394"/>
        <v>#DIV/0!</v>
      </c>
      <c r="CZ58" s="252" t="e">
        <f t="shared" si="394"/>
        <v>#DIV/0!</v>
      </c>
      <c r="DA58" s="62" t="e">
        <f t="shared" si="395"/>
        <v>#DIV/0!</v>
      </c>
      <c r="DC58" s="66" t="s">
        <v>41</v>
      </c>
      <c r="DD58" s="198">
        <f t="shared" ref="DD58:DD76" si="407">AV58</f>
        <v>0</v>
      </c>
      <c r="DE58" s="199">
        <f t="shared" ref="DE58:DE76" si="408">BK58</f>
        <v>0</v>
      </c>
      <c r="DF58" s="193">
        <f t="shared" ref="DF58:DF76" si="409">AW58</f>
        <v>0</v>
      </c>
      <c r="DG58" s="194">
        <f t="shared" ref="DG58:DG76" si="410">BL58</f>
        <v>0</v>
      </c>
      <c r="DH58" s="198">
        <f t="shared" ref="DH58:DH76" si="411">AX58</f>
        <v>0</v>
      </c>
      <c r="DI58" s="199">
        <f t="shared" ref="DI58:DI76" si="412">BM58</f>
        <v>0</v>
      </c>
      <c r="DJ58" s="198">
        <f t="shared" ref="DJ58:DJ76" si="413">AY58</f>
        <v>0</v>
      </c>
      <c r="DK58" s="199">
        <f t="shared" ref="DK58:DK76" si="414">BN58</f>
        <v>0</v>
      </c>
      <c r="DL58" s="198">
        <f t="shared" ref="DL58:DL76" si="415">AZ58</f>
        <v>0</v>
      </c>
      <c r="DM58" s="199">
        <f t="shared" ref="DM58:DM76" si="416">BO58</f>
        <v>0</v>
      </c>
      <c r="DN58" s="198">
        <f t="shared" ref="DN58:DN76" si="417">BA58</f>
        <v>0</v>
      </c>
      <c r="DO58" s="199">
        <f t="shared" ref="DO58:DO76" si="418">BP58</f>
        <v>0</v>
      </c>
      <c r="DP58" s="198">
        <f t="shared" ref="DP58:DP76" si="419">BB58</f>
        <v>0</v>
      </c>
      <c r="DQ58" s="199">
        <f t="shared" ref="DQ58:DQ76" si="420">BQ58</f>
        <v>0</v>
      </c>
      <c r="DR58" s="198">
        <f t="shared" ref="DR58:DR76" si="421">BC58</f>
        <v>0</v>
      </c>
      <c r="DS58" s="199">
        <f t="shared" ref="DS58:DS76" si="422">BR58</f>
        <v>0</v>
      </c>
      <c r="DT58" s="198" t="e">
        <f t="shared" ref="DT58:DT76" si="423">BD58</f>
        <v>#DIV/0!</v>
      </c>
      <c r="DU58" s="199">
        <f t="shared" ref="DU58:DU76" si="424">BS58</f>
        <v>0</v>
      </c>
      <c r="DV58" s="198" t="e">
        <f t="shared" ref="DV58:DV76" si="425">BE58</f>
        <v>#DIV/0!</v>
      </c>
      <c r="DW58" s="199">
        <f t="shared" ref="DW58:DW76" si="426">BT58</f>
        <v>0</v>
      </c>
      <c r="DX58" s="198" t="e">
        <f t="shared" ref="DX58:DX76" si="427">BF58</f>
        <v>#DIV/0!</v>
      </c>
      <c r="DY58" s="199">
        <f t="shared" ref="DY58:DY76" si="428">BU58</f>
        <v>0</v>
      </c>
      <c r="DZ58" s="190" t="e">
        <f t="shared" ref="DZ58:DZ76" si="429">BG58</f>
        <v>#DIV/0!</v>
      </c>
      <c r="EA58" s="199">
        <f t="shared" si="396"/>
        <v>0</v>
      </c>
      <c r="EB58" s="190" t="e">
        <f t="shared" ref="EB58:EB76" si="430">BH58</f>
        <v>#DIV/0!</v>
      </c>
      <c r="EC58" s="190" t="e">
        <f t="shared" ref="EC58:EC76" si="431">BW58</f>
        <v>#DIV/0!</v>
      </c>
    </row>
    <row r="59" spans="1:133" x14ac:dyDescent="0.2">
      <c r="A59" s="66" t="s">
        <v>42</v>
      </c>
      <c r="B59" s="38">
        <f>targets!AW56</f>
        <v>0</v>
      </c>
      <c r="C59" s="245">
        <f>targets!AX56</f>
        <v>0</v>
      </c>
      <c r="D59" s="36">
        <f>targets!AY56</f>
        <v>135520.63506670966</v>
      </c>
      <c r="E59" s="245">
        <f>targets!AZ56</f>
        <v>0</v>
      </c>
      <c r="F59" s="245">
        <f>targets!BA56</f>
        <v>0</v>
      </c>
      <c r="G59" s="245">
        <f>SUM(targets!BB56:BG56)</f>
        <v>1214.663375295265</v>
      </c>
      <c r="H59" s="245">
        <f>SUM(targets!BH56:BM56)</f>
        <v>0</v>
      </c>
      <c r="I59" s="246">
        <f t="shared" si="397"/>
        <v>1214.663375295265</v>
      </c>
      <c r="J59" s="245">
        <f>targets!BN56</f>
        <v>0</v>
      </c>
      <c r="K59" s="245">
        <f>targets!BO56</f>
        <v>0</v>
      </c>
      <c r="L59" s="245">
        <f>targets!BP56</f>
        <v>0</v>
      </c>
      <c r="M59" s="178">
        <f t="shared" ref="M59:M76" si="432">SUM(J59:L59)</f>
        <v>0</v>
      </c>
      <c r="N59" s="17">
        <f t="shared" si="398"/>
        <v>136735.29844200492</v>
      </c>
      <c r="O59" s="17"/>
      <c r="P59" s="17"/>
      <c r="Q59" s="66" t="s">
        <v>42</v>
      </c>
      <c r="R59" s="38">
        <f t="shared" si="362"/>
        <v>0</v>
      </c>
      <c r="S59" s="245">
        <f t="shared" si="363"/>
        <v>0</v>
      </c>
      <c r="T59" s="36">
        <f t="shared" si="364"/>
        <v>0</v>
      </c>
      <c r="U59" s="245">
        <f t="shared" si="365"/>
        <v>0</v>
      </c>
      <c r="V59" s="245">
        <f t="shared" si="366"/>
        <v>0</v>
      </c>
      <c r="W59" s="245">
        <f t="shared" si="367"/>
        <v>0</v>
      </c>
      <c r="X59" s="245">
        <f t="shared" si="368"/>
        <v>0</v>
      </c>
      <c r="Y59" s="246">
        <f t="shared" si="399"/>
        <v>0</v>
      </c>
      <c r="Z59" s="245" t="e">
        <f t="shared" si="369"/>
        <v>#DIV/0!</v>
      </c>
      <c r="AA59" s="245" t="e">
        <f t="shared" si="370"/>
        <v>#DIV/0!</v>
      </c>
      <c r="AB59" s="245" t="e">
        <f t="shared" si="371"/>
        <v>#DIV/0!</v>
      </c>
      <c r="AC59" s="178" t="e">
        <f t="shared" ref="AC59:AC76" si="433">SUM(Z59:AB59)</f>
        <v>#DIV/0!</v>
      </c>
      <c r="AD59" s="17" t="e">
        <f t="shared" si="400"/>
        <v>#DIV/0!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5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5">
        <f t="array" ref="AJ59">SUM(IF((modeldata!$F:$F=calibration!$AF$54)*(modeldata!$G:$G=calibration!AJ$56)*(modeldata!$H:$H=calibration!$AF59),modeldata!$E:$E,0))</f>
        <v>0</v>
      </c>
      <c r="AK59" s="245">
        <f t="array" ref="AK59">SUM(IF((modeldata!$F:$F=calibration!$AF$54)*(modeldata!$G:$G=calibration!AK$56)*(modeldata!$H:$H=calibration!$AF59),modeldata!$E:$E,0))</f>
        <v>0</v>
      </c>
      <c r="AL59" s="245">
        <f t="array" ref="AL59">SUM(IF((modeldata!$F:$F=calibration!$AF$54)*(modeldata!$G:$G=calibration!AL$56)*(modeldata!$H:$H=calibration!$AF59),modeldata!$E:$E,0))</f>
        <v>0</v>
      </c>
      <c r="AM59" s="245">
        <f t="array" ref="AM59">SUM(IF((modeldata!$F:$F=calibration!$AF$54)*(modeldata!$G:$G=calibration!AM$56)*(modeldata!$H:$H=calibration!$AF59),modeldata!$E:$E,0))</f>
        <v>0</v>
      </c>
      <c r="AN59" s="246">
        <f t="shared" si="401"/>
        <v>0</v>
      </c>
      <c r="AO59" s="245">
        <f t="array" ref="AO59">SUM(IF((modeldata!$F:$F=calibration!$AF$54)*(modeldata!$G:$G=calibration!AO$56)*(modeldata!$H:$H=calibration!$AF59),modeldata!$E:$E,0))</f>
        <v>0</v>
      </c>
      <c r="AP59" s="245">
        <f t="array" ref="AP59">SUM(IF((modeldata!$F:$F=calibration!$AF$54)*(modeldata!$G:$G=calibration!AP$56)*(modeldata!$H:$H=calibration!$AF59),modeldata!$E:$E,0))</f>
        <v>0</v>
      </c>
      <c r="AQ59" s="245">
        <f t="array" ref="AQ59">SUM(IF((modeldata!$F:$F=calibration!$AF$54)*(modeldata!$G:$G=calibration!AQ$56)*(modeldata!$H:$H=calibration!$AF59),modeldata!$E:$E,0))</f>
        <v>0</v>
      </c>
      <c r="AR59" s="178">
        <f t="shared" ref="AR59:AR73" si="434">SUM(AO59:AQ59)</f>
        <v>0</v>
      </c>
      <c r="AS59" s="17">
        <f t="shared" si="402"/>
        <v>0</v>
      </c>
      <c r="AU59" s="66" t="s">
        <v>42</v>
      </c>
      <c r="AV59" s="38">
        <f t="shared" ref="AV59:BG59" si="435">IF(R77&gt;0,R59/R77,0)</f>
        <v>0</v>
      </c>
      <c r="AW59" s="245">
        <f t="shared" si="435"/>
        <v>0</v>
      </c>
      <c r="AX59" s="36">
        <f t="shared" si="435"/>
        <v>0</v>
      </c>
      <c r="AY59" s="245">
        <f t="shared" si="435"/>
        <v>0</v>
      </c>
      <c r="AZ59" s="245">
        <f t="shared" si="435"/>
        <v>0</v>
      </c>
      <c r="BA59" s="245">
        <f t="shared" si="435"/>
        <v>0</v>
      </c>
      <c r="BB59" s="245">
        <f t="shared" si="435"/>
        <v>0</v>
      </c>
      <c r="BC59" s="246">
        <f t="shared" si="435"/>
        <v>0</v>
      </c>
      <c r="BD59" s="245" t="e">
        <f t="shared" si="435"/>
        <v>#DIV/0!</v>
      </c>
      <c r="BE59" s="245" t="e">
        <f t="shared" si="435"/>
        <v>#DIV/0!</v>
      </c>
      <c r="BF59" s="245" t="e">
        <f t="shared" si="435"/>
        <v>#DIV/0!</v>
      </c>
      <c r="BG59" s="178" t="e">
        <f t="shared" si="435"/>
        <v>#DIV/0!</v>
      </c>
      <c r="BH59" s="24" t="e">
        <f>AD59/AD77</f>
        <v>#DIV/0!</v>
      </c>
      <c r="BJ59" s="66" t="s">
        <v>42</v>
      </c>
      <c r="BK59" s="38">
        <f t="shared" ref="BK59:BV59" si="436">IF(AG77&gt;0,AG59/AG77,0)</f>
        <v>0</v>
      </c>
      <c r="BL59" s="245">
        <f t="shared" si="436"/>
        <v>0</v>
      </c>
      <c r="BM59" s="36">
        <f t="shared" si="436"/>
        <v>0</v>
      </c>
      <c r="BN59" s="245">
        <f t="shared" si="436"/>
        <v>0</v>
      </c>
      <c r="BO59" s="245">
        <f t="shared" si="436"/>
        <v>0</v>
      </c>
      <c r="BP59" s="245">
        <f t="shared" si="436"/>
        <v>0</v>
      </c>
      <c r="BQ59" s="245">
        <f t="shared" si="436"/>
        <v>0</v>
      </c>
      <c r="BR59" s="246">
        <f t="shared" si="436"/>
        <v>0</v>
      </c>
      <c r="BS59" s="245">
        <f t="shared" si="436"/>
        <v>0</v>
      </c>
      <c r="BT59" s="245">
        <f t="shared" si="436"/>
        <v>0</v>
      </c>
      <c r="BU59" s="245">
        <f t="shared" si="436"/>
        <v>0</v>
      </c>
      <c r="BV59" s="178">
        <f t="shared" si="436"/>
        <v>0</v>
      </c>
      <c r="BW59" s="24" t="e">
        <f>AS59/AS77</f>
        <v>#DIV/0!</v>
      </c>
      <c r="BX59" s="24"/>
      <c r="BY59" s="66" t="s">
        <v>42</v>
      </c>
      <c r="BZ59" s="54">
        <f t="shared" si="405"/>
        <v>0</v>
      </c>
      <c r="CA59" s="55">
        <f t="shared" si="374"/>
        <v>0</v>
      </c>
      <c r="CB59" s="58">
        <f t="shared" si="375"/>
        <v>0</v>
      </c>
      <c r="CC59" s="55">
        <f t="shared" si="376"/>
        <v>0</v>
      </c>
      <c r="CD59" s="55">
        <f t="shared" si="377"/>
        <v>0</v>
      </c>
      <c r="CE59" s="55">
        <f t="shared" si="378"/>
        <v>0</v>
      </c>
      <c r="CF59" s="55">
        <f t="shared" si="379"/>
        <v>0</v>
      </c>
      <c r="CG59" s="249">
        <f t="shared" si="380"/>
        <v>0</v>
      </c>
      <c r="CH59" s="55" t="e">
        <f t="shared" si="381"/>
        <v>#DIV/0!</v>
      </c>
      <c r="CI59" s="55" t="e">
        <f t="shared" si="382"/>
        <v>#DIV/0!</v>
      </c>
      <c r="CJ59" s="55" t="e">
        <f t="shared" si="383"/>
        <v>#DIV/0!</v>
      </c>
      <c r="CK59" s="252" t="e">
        <f t="shared" si="383"/>
        <v>#DIV/0!</v>
      </c>
      <c r="CL59" s="55" t="e">
        <f t="shared" si="384"/>
        <v>#DIV/0!</v>
      </c>
      <c r="CN59" s="66" t="s">
        <v>42</v>
      </c>
      <c r="CO59" s="54">
        <f t="shared" si="406"/>
        <v>0</v>
      </c>
      <c r="CP59" s="55">
        <f t="shared" si="385"/>
        <v>0</v>
      </c>
      <c r="CQ59" s="58">
        <f t="shared" si="386"/>
        <v>0</v>
      </c>
      <c r="CR59" s="55">
        <f t="shared" si="387"/>
        <v>0</v>
      </c>
      <c r="CS59" s="55">
        <f t="shared" si="388"/>
        <v>0</v>
      </c>
      <c r="CT59" s="55">
        <f t="shared" si="389"/>
        <v>0</v>
      </c>
      <c r="CU59" s="55">
        <f t="shared" si="390"/>
        <v>0</v>
      </c>
      <c r="CV59" s="249">
        <f t="shared" si="391"/>
        <v>0</v>
      </c>
      <c r="CW59" s="55" t="e">
        <f t="shared" si="392"/>
        <v>#DIV/0!</v>
      </c>
      <c r="CX59" s="55" t="e">
        <f t="shared" si="393"/>
        <v>#DIV/0!</v>
      </c>
      <c r="CY59" s="55" t="e">
        <f t="shared" si="394"/>
        <v>#DIV/0!</v>
      </c>
      <c r="CZ59" s="252" t="e">
        <f t="shared" si="394"/>
        <v>#DIV/0!</v>
      </c>
      <c r="DA59" s="62" t="e">
        <f t="shared" si="395"/>
        <v>#DIV/0!</v>
      </c>
      <c r="DC59" s="66" t="s">
        <v>42</v>
      </c>
      <c r="DD59" s="198">
        <f t="shared" si="407"/>
        <v>0</v>
      </c>
      <c r="DE59" s="199">
        <f t="shared" si="408"/>
        <v>0</v>
      </c>
      <c r="DF59" s="198">
        <f t="shared" si="409"/>
        <v>0</v>
      </c>
      <c r="DG59" s="199">
        <f t="shared" si="410"/>
        <v>0</v>
      </c>
      <c r="DH59" s="193">
        <f t="shared" si="411"/>
        <v>0</v>
      </c>
      <c r="DI59" s="194">
        <f t="shared" si="412"/>
        <v>0</v>
      </c>
      <c r="DJ59" s="198">
        <f t="shared" si="413"/>
        <v>0</v>
      </c>
      <c r="DK59" s="199">
        <f t="shared" si="414"/>
        <v>0</v>
      </c>
      <c r="DL59" s="198">
        <f t="shared" si="415"/>
        <v>0</v>
      </c>
      <c r="DM59" s="199">
        <f t="shared" si="416"/>
        <v>0</v>
      </c>
      <c r="DN59" s="198">
        <f t="shared" si="417"/>
        <v>0</v>
      </c>
      <c r="DO59" s="199">
        <f t="shared" si="418"/>
        <v>0</v>
      </c>
      <c r="DP59" s="198">
        <f t="shared" si="419"/>
        <v>0</v>
      </c>
      <c r="DQ59" s="199">
        <f t="shared" si="420"/>
        <v>0</v>
      </c>
      <c r="DR59" s="198">
        <f t="shared" si="421"/>
        <v>0</v>
      </c>
      <c r="DS59" s="199">
        <f t="shared" si="422"/>
        <v>0</v>
      </c>
      <c r="DT59" s="198" t="e">
        <f t="shared" si="423"/>
        <v>#DIV/0!</v>
      </c>
      <c r="DU59" s="199">
        <f t="shared" si="424"/>
        <v>0</v>
      </c>
      <c r="DV59" s="198" t="e">
        <f t="shared" si="425"/>
        <v>#DIV/0!</v>
      </c>
      <c r="DW59" s="199">
        <f t="shared" si="426"/>
        <v>0</v>
      </c>
      <c r="DX59" s="198" t="e">
        <f t="shared" si="427"/>
        <v>#DIV/0!</v>
      </c>
      <c r="DY59" s="199">
        <f t="shared" si="428"/>
        <v>0</v>
      </c>
      <c r="DZ59" s="190" t="e">
        <f t="shared" si="429"/>
        <v>#DIV/0!</v>
      </c>
      <c r="EA59" s="199">
        <f t="shared" si="396"/>
        <v>0</v>
      </c>
      <c r="EB59" s="190" t="e">
        <f t="shared" si="430"/>
        <v>#DIV/0!</v>
      </c>
      <c r="EC59" s="190" t="e">
        <f t="shared" si="431"/>
        <v>#DIV/0!</v>
      </c>
    </row>
    <row r="60" spans="1:133" x14ac:dyDescent="0.2">
      <c r="A60" s="66" t="s">
        <v>2</v>
      </c>
      <c r="B60" s="38">
        <f>targets!AW57</f>
        <v>10.38533825969771</v>
      </c>
      <c r="C60" s="245">
        <f>targets!AX57</f>
        <v>5240.6409547225821</v>
      </c>
      <c r="D60" s="245">
        <f>targets!AY57</f>
        <v>4045.211619678289</v>
      </c>
      <c r="E60" s="36">
        <f>targets!AZ57</f>
        <v>62383.557876300314</v>
      </c>
      <c r="F60" s="245">
        <f>targets!BA57</f>
        <v>0</v>
      </c>
      <c r="G60" s="245">
        <f>SUM(targets!BB57:BG57)</f>
        <v>3217.9366626853521</v>
      </c>
      <c r="H60" s="245">
        <f>SUM(targets!BH57:BM57)</f>
        <v>0</v>
      </c>
      <c r="I60" s="246">
        <f t="shared" si="397"/>
        <v>3217.9366626853521</v>
      </c>
      <c r="J60" s="245">
        <f>targets!BN57</f>
        <v>0</v>
      </c>
      <c r="K60" s="245">
        <f>targets!BO57</f>
        <v>0</v>
      </c>
      <c r="L60" s="245">
        <f>targets!BP57</f>
        <v>0</v>
      </c>
      <c r="M60" s="178">
        <f t="shared" si="432"/>
        <v>0</v>
      </c>
      <c r="N60" s="17">
        <f t="shared" si="398"/>
        <v>74897.732451646239</v>
      </c>
      <c r="O60" s="17"/>
      <c r="P60" s="17"/>
      <c r="Q60" s="66" t="s">
        <v>2</v>
      </c>
      <c r="R60" s="38">
        <f t="shared" si="362"/>
        <v>0</v>
      </c>
      <c r="S60" s="245">
        <f t="shared" si="363"/>
        <v>0</v>
      </c>
      <c r="T60" s="245">
        <f t="shared" si="364"/>
        <v>0</v>
      </c>
      <c r="U60" s="36">
        <f t="shared" si="365"/>
        <v>0</v>
      </c>
      <c r="V60" s="245">
        <f t="shared" si="366"/>
        <v>0</v>
      </c>
      <c r="W60" s="245">
        <f t="shared" si="367"/>
        <v>0</v>
      </c>
      <c r="X60" s="245">
        <f t="shared" si="368"/>
        <v>0</v>
      </c>
      <c r="Y60" s="246">
        <f t="shared" si="399"/>
        <v>0</v>
      </c>
      <c r="Z60" s="245" t="e">
        <f t="shared" si="369"/>
        <v>#DIV/0!</v>
      </c>
      <c r="AA60" s="245" t="e">
        <f t="shared" si="370"/>
        <v>#DIV/0!</v>
      </c>
      <c r="AB60" s="245" t="e">
        <f t="shared" si="371"/>
        <v>#DIV/0!</v>
      </c>
      <c r="AC60" s="178" t="e">
        <f t="shared" si="433"/>
        <v>#DIV/0!</v>
      </c>
      <c r="AD60" s="17" t="e">
        <f t="shared" si="400"/>
        <v>#DIV/0!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5">
        <f t="array" ref="AH60">SUM(IF((modeldata!$F:$F=calibration!$AF$54)*(modeldata!$G:$G=calibration!AH$56)*(modeldata!$H:$H=calibration!$AF60),modeldata!$E:$E,0))</f>
        <v>0</v>
      </c>
      <c r="AI60" s="245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5">
        <f t="array" ref="AK60">SUM(IF((modeldata!$F:$F=calibration!$AF$54)*(modeldata!$G:$G=calibration!AK$56)*(modeldata!$H:$H=calibration!$AF60),modeldata!$E:$E,0))</f>
        <v>0</v>
      </c>
      <c r="AL60" s="245">
        <f t="array" ref="AL60">SUM(IF((modeldata!$F:$F=calibration!$AF$54)*(modeldata!$G:$G=calibration!AL$56)*(modeldata!$H:$H=calibration!$AF60),modeldata!$E:$E,0))</f>
        <v>0</v>
      </c>
      <c r="AM60" s="245">
        <f t="array" ref="AM60">SUM(IF((modeldata!$F:$F=calibration!$AF$54)*(modeldata!$G:$G=calibration!AM$56)*(modeldata!$H:$H=calibration!$AF60),modeldata!$E:$E,0))</f>
        <v>0</v>
      </c>
      <c r="AN60" s="246">
        <f t="shared" si="401"/>
        <v>0</v>
      </c>
      <c r="AO60" s="245">
        <f t="array" ref="AO60">SUM(IF((modeldata!$F:$F=calibration!$AF$54)*(modeldata!$G:$G=calibration!AO$56)*(modeldata!$H:$H=calibration!$AF60),modeldata!$E:$E,0))</f>
        <v>0</v>
      </c>
      <c r="AP60" s="245">
        <f t="array" ref="AP60">SUM(IF((modeldata!$F:$F=calibration!$AF$54)*(modeldata!$G:$G=calibration!AP$56)*(modeldata!$H:$H=calibration!$AF60),modeldata!$E:$E,0))</f>
        <v>0</v>
      </c>
      <c r="AQ60" s="245">
        <f t="array" ref="AQ60">SUM(IF((modeldata!$F:$F=calibration!$AF$54)*(modeldata!$G:$G=calibration!AQ$56)*(modeldata!$H:$H=calibration!$AF60),modeldata!$E:$E,0))</f>
        <v>0</v>
      </c>
      <c r="AR60" s="178">
        <f t="shared" si="434"/>
        <v>0</v>
      </c>
      <c r="AS60" s="17">
        <f t="shared" si="402"/>
        <v>0</v>
      </c>
      <c r="AU60" s="66" t="s">
        <v>2</v>
      </c>
      <c r="AV60" s="38">
        <f t="shared" ref="AV60:BG60" si="437">IF(R77&gt;0,R60/R77,0)</f>
        <v>0</v>
      </c>
      <c r="AW60" s="245">
        <f t="shared" si="437"/>
        <v>0</v>
      </c>
      <c r="AX60" s="245">
        <f t="shared" si="437"/>
        <v>0</v>
      </c>
      <c r="AY60" s="36">
        <f t="shared" si="437"/>
        <v>0</v>
      </c>
      <c r="AZ60" s="245">
        <f t="shared" si="437"/>
        <v>0</v>
      </c>
      <c r="BA60" s="245">
        <f t="shared" si="437"/>
        <v>0</v>
      </c>
      <c r="BB60" s="245">
        <f t="shared" si="437"/>
        <v>0</v>
      </c>
      <c r="BC60" s="246">
        <f t="shared" si="437"/>
        <v>0</v>
      </c>
      <c r="BD60" s="245" t="e">
        <f t="shared" si="437"/>
        <v>#DIV/0!</v>
      </c>
      <c r="BE60" s="245" t="e">
        <f t="shared" si="437"/>
        <v>#DIV/0!</v>
      </c>
      <c r="BF60" s="245" t="e">
        <f t="shared" si="437"/>
        <v>#DIV/0!</v>
      </c>
      <c r="BG60" s="178" t="e">
        <f t="shared" si="437"/>
        <v>#DIV/0!</v>
      </c>
      <c r="BH60" s="24" t="e">
        <f>AD60/AD77</f>
        <v>#DIV/0!</v>
      </c>
      <c r="BJ60" s="66" t="s">
        <v>2</v>
      </c>
      <c r="BK60" s="38">
        <f t="shared" ref="BK60:BV60" si="438">IF(AG77&gt;0,AG60/AG77,0)</f>
        <v>0</v>
      </c>
      <c r="BL60" s="245">
        <f t="shared" si="438"/>
        <v>0</v>
      </c>
      <c r="BM60" s="245">
        <f t="shared" si="438"/>
        <v>0</v>
      </c>
      <c r="BN60" s="36">
        <f t="shared" si="438"/>
        <v>0</v>
      </c>
      <c r="BO60" s="245">
        <f t="shared" si="438"/>
        <v>0</v>
      </c>
      <c r="BP60" s="245">
        <f t="shared" si="438"/>
        <v>0</v>
      </c>
      <c r="BQ60" s="245">
        <f t="shared" si="438"/>
        <v>0</v>
      </c>
      <c r="BR60" s="246">
        <f t="shared" si="438"/>
        <v>0</v>
      </c>
      <c r="BS60" s="245">
        <f t="shared" si="438"/>
        <v>0</v>
      </c>
      <c r="BT60" s="245">
        <f t="shared" si="438"/>
        <v>0</v>
      </c>
      <c r="BU60" s="245">
        <f t="shared" si="438"/>
        <v>0</v>
      </c>
      <c r="BV60" s="178">
        <f t="shared" si="438"/>
        <v>0</v>
      </c>
      <c r="BW60" s="24" t="e">
        <f>AS60/AS77</f>
        <v>#DIV/0!</v>
      </c>
      <c r="BX60" s="24"/>
      <c r="BY60" s="66" t="s">
        <v>2</v>
      </c>
      <c r="BZ60" s="54">
        <f t="shared" si="405"/>
        <v>0</v>
      </c>
      <c r="CA60" s="55">
        <f t="shared" si="374"/>
        <v>0</v>
      </c>
      <c r="CB60" s="55">
        <f t="shared" si="375"/>
        <v>0</v>
      </c>
      <c r="CC60" s="58">
        <f t="shared" si="376"/>
        <v>0</v>
      </c>
      <c r="CD60" s="55">
        <f t="shared" si="377"/>
        <v>0</v>
      </c>
      <c r="CE60" s="55">
        <f t="shared" si="378"/>
        <v>0</v>
      </c>
      <c r="CF60" s="55">
        <f t="shared" si="379"/>
        <v>0</v>
      </c>
      <c r="CG60" s="249">
        <f t="shared" si="380"/>
        <v>0</v>
      </c>
      <c r="CH60" s="55" t="e">
        <f t="shared" si="381"/>
        <v>#DIV/0!</v>
      </c>
      <c r="CI60" s="55" t="e">
        <f t="shared" si="382"/>
        <v>#DIV/0!</v>
      </c>
      <c r="CJ60" s="55" t="e">
        <f t="shared" si="383"/>
        <v>#DIV/0!</v>
      </c>
      <c r="CK60" s="252" t="e">
        <f t="shared" si="383"/>
        <v>#DIV/0!</v>
      </c>
      <c r="CL60" s="55" t="e">
        <f t="shared" si="384"/>
        <v>#DIV/0!</v>
      </c>
      <c r="CN60" s="66" t="s">
        <v>2</v>
      </c>
      <c r="CO60" s="54">
        <f t="shared" si="406"/>
        <v>0</v>
      </c>
      <c r="CP60" s="55">
        <f t="shared" si="385"/>
        <v>0</v>
      </c>
      <c r="CQ60" s="55">
        <f t="shared" si="386"/>
        <v>0</v>
      </c>
      <c r="CR60" s="58">
        <f t="shared" si="387"/>
        <v>0</v>
      </c>
      <c r="CS60" s="55">
        <f t="shared" si="388"/>
        <v>0</v>
      </c>
      <c r="CT60" s="55">
        <f t="shared" si="389"/>
        <v>0</v>
      </c>
      <c r="CU60" s="55">
        <f t="shared" si="390"/>
        <v>0</v>
      </c>
      <c r="CV60" s="249">
        <f t="shared" si="391"/>
        <v>0</v>
      </c>
      <c r="CW60" s="55" t="e">
        <f t="shared" si="392"/>
        <v>#DIV/0!</v>
      </c>
      <c r="CX60" s="55" t="e">
        <f t="shared" si="393"/>
        <v>#DIV/0!</v>
      </c>
      <c r="CY60" s="55" t="e">
        <f t="shared" si="394"/>
        <v>#DIV/0!</v>
      </c>
      <c r="CZ60" s="252" t="e">
        <f t="shared" si="394"/>
        <v>#DIV/0!</v>
      </c>
      <c r="DA60" s="62" t="e">
        <f t="shared" si="395"/>
        <v>#DIV/0!</v>
      </c>
      <c r="DC60" s="66" t="s">
        <v>2</v>
      </c>
      <c r="DD60" s="198">
        <f t="shared" si="407"/>
        <v>0</v>
      </c>
      <c r="DE60" s="199">
        <f t="shared" si="408"/>
        <v>0</v>
      </c>
      <c r="DF60" s="198">
        <f t="shared" si="409"/>
        <v>0</v>
      </c>
      <c r="DG60" s="199">
        <f t="shared" si="410"/>
        <v>0</v>
      </c>
      <c r="DH60" s="198">
        <f t="shared" si="411"/>
        <v>0</v>
      </c>
      <c r="DI60" s="199">
        <f t="shared" si="412"/>
        <v>0</v>
      </c>
      <c r="DJ60" s="193">
        <f t="shared" si="413"/>
        <v>0</v>
      </c>
      <c r="DK60" s="194">
        <f t="shared" si="414"/>
        <v>0</v>
      </c>
      <c r="DL60" s="198">
        <f t="shared" si="415"/>
        <v>0</v>
      </c>
      <c r="DM60" s="199">
        <f t="shared" si="416"/>
        <v>0</v>
      </c>
      <c r="DN60" s="198">
        <f t="shared" si="417"/>
        <v>0</v>
      </c>
      <c r="DO60" s="199">
        <f t="shared" si="418"/>
        <v>0</v>
      </c>
      <c r="DP60" s="198">
        <f t="shared" si="419"/>
        <v>0</v>
      </c>
      <c r="DQ60" s="199">
        <f t="shared" si="420"/>
        <v>0</v>
      </c>
      <c r="DR60" s="198">
        <f t="shared" si="421"/>
        <v>0</v>
      </c>
      <c r="DS60" s="199">
        <f t="shared" si="422"/>
        <v>0</v>
      </c>
      <c r="DT60" s="198" t="e">
        <f t="shared" si="423"/>
        <v>#DIV/0!</v>
      </c>
      <c r="DU60" s="199">
        <f t="shared" si="424"/>
        <v>0</v>
      </c>
      <c r="DV60" s="198" t="e">
        <f t="shared" si="425"/>
        <v>#DIV/0!</v>
      </c>
      <c r="DW60" s="199">
        <f t="shared" si="426"/>
        <v>0</v>
      </c>
      <c r="DX60" s="198" t="e">
        <f t="shared" si="427"/>
        <v>#DIV/0!</v>
      </c>
      <c r="DY60" s="199">
        <f t="shared" si="428"/>
        <v>0</v>
      </c>
      <c r="DZ60" s="190" t="e">
        <f t="shared" si="429"/>
        <v>#DIV/0!</v>
      </c>
      <c r="EA60" s="199">
        <f t="shared" si="396"/>
        <v>0</v>
      </c>
      <c r="EB60" s="190" t="e">
        <f t="shared" si="430"/>
        <v>#DIV/0!</v>
      </c>
      <c r="EC60" s="190" t="e">
        <f t="shared" si="431"/>
        <v>#DIV/0!</v>
      </c>
    </row>
    <row r="61" spans="1:133" x14ac:dyDescent="0.2">
      <c r="A61" s="66" t="s">
        <v>3</v>
      </c>
      <c r="B61" s="38">
        <f>targets!AW58</f>
        <v>0</v>
      </c>
      <c r="C61" s="245">
        <f>targets!AX58</f>
        <v>0</v>
      </c>
      <c r="D61" s="245">
        <f>targets!AY58</f>
        <v>0</v>
      </c>
      <c r="E61" s="245">
        <f>targets!AZ58</f>
        <v>0</v>
      </c>
      <c r="F61" s="36">
        <f>targets!BA58</f>
        <v>14911.65539151484</v>
      </c>
      <c r="G61" s="245">
        <f>SUM(targets!BB58:BG58)</f>
        <v>0</v>
      </c>
      <c r="H61" s="245">
        <f>SUM(targets!BH58:BM58)</f>
        <v>0</v>
      </c>
      <c r="I61" s="246">
        <f t="shared" si="397"/>
        <v>0</v>
      </c>
      <c r="J61" s="245">
        <f>targets!BN58</f>
        <v>0</v>
      </c>
      <c r="K61" s="245">
        <f>targets!BO58</f>
        <v>0</v>
      </c>
      <c r="L61" s="245">
        <f>targets!BP58</f>
        <v>0</v>
      </c>
      <c r="M61" s="178">
        <f t="shared" si="432"/>
        <v>0</v>
      </c>
      <c r="N61" s="17">
        <f t="shared" si="398"/>
        <v>14911.65539151484</v>
      </c>
      <c r="O61" s="17"/>
      <c r="P61" s="17"/>
      <c r="Q61" s="66" t="s">
        <v>3</v>
      </c>
      <c r="R61" s="38">
        <f t="shared" si="362"/>
        <v>0</v>
      </c>
      <c r="S61" s="245">
        <f t="shared" si="363"/>
        <v>0</v>
      </c>
      <c r="T61" s="245">
        <f t="shared" si="364"/>
        <v>0</v>
      </c>
      <c r="U61" s="245">
        <f t="shared" si="365"/>
        <v>0</v>
      </c>
      <c r="V61" s="36">
        <f t="shared" si="366"/>
        <v>0</v>
      </c>
      <c r="W61" s="245">
        <f t="shared" si="367"/>
        <v>0</v>
      </c>
      <c r="X61" s="245">
        <f t="shared" si="368"/>
        <v>0</v>
      </c>
      <c r="Y61" s="246">
        <f t="shared" si="399"/>
        <v>0</v>
      </c>
      <c r="Z61" s="245" t="e">
        <f t="shared" si="369"/>
        <v>#DIV/0!</v>
      </c>
      <c r="AA61" s="245" t="e">
        <f t="shared" si="370"/>
        <v>#DIV/0!</v>
      </c>
      <c r="AB61" s="245" t="e">
        <f t="shared" si="371"/>
        <v>#DIV/0!</v>
      </c>
      <c r="AC61" s="178" t="e">
        <f t="shared" si="433"/>
        <v>#DIV/0!</v>
      </c>
      <c r="AD61" s="17" t="e">
        <f t="shared" si="400"/>
        <v>#DIV/0!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5">
        <f t="array" ref="AH61">SUM(IF((modeldata!$F:$F=calibration!$AF$54)*(modeldata!$G:$G=calibration!AH$56)*(modeldata!$H:$H=calibration!$AF61),modeldata!$E:$E,0))</f>
        <v>0</v>
      </c>
      <c r="AI61" s="245">
        <f t="array" ref="AI61">SUM(IF((modeldata!$F:$F=calibration!$AF$54)*(modeldata!$G:$G=calibration!AI$56)*(modeldata!$H:$H=calibration!$AF61),modeldata!$E:$E,0))</f>
        <v>0</v>
      </c>
      <c r="AJ61" s="245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5">
        <f t="array" ref="AL61">SUM(IF((modeldata!$F:$F=calibration!$AF$54)*(modeldata!$G:$G=calibration!AL$56)*(modeldata!$H:$H=calibration!$AF61),modeldata!$E:$E,0))</f>
        <v>0</v>
      </c>
      <c r="AM61" s="245">
        <f t="array" ref="AM61">SUM(IF((modeldata!$F:$F=calibration!$AF$54)*(modeldata!$G:$G=calibration!AM$56)*(modeldata!$H:$H=calibration!$AF61),modeldata!$E:$E,0))</f>
        <v>0</v>
      </c>
      <c r="AN61" s="246">
        <f t="shared" si="401"/>
        <v>0</v>
      </c>
      <c r="AO61" s="245">
        <f t="array" ref="AO61">SUM(IF((modeldata!$F:$F=calibration!$AF$54)*(modeldata!$G:$G=calibration!AO$56)*(modeldata!$H:$H=calibration!$AF61),modeldata!$E:$E,0))</f>
        <v>0</v>
      </c>
      <c r="AP61" s="245">
        <f t="array" ref="AP61">SUM(IF((modeldata!$F:$F=calibration!$AF$54)*(modeldata!$G:$G=calibration!AP$56)*(modeldata!$H:$H=calibration!$AF61),modeldata!$E:$E,0))</f>
        <v>0</v>
      </c>
      <c r="AQ61" s="245">
        <f t="array" ref="AQ61">SUM(IF((modeldata!$F:$F=calibration!$AF$54)*(modeldata!$G:$G=calibration!AQ$56)*(modeldata!$H:$H=calibration!$AF61),modeldata!$E:$E,0))</f>
        <v>0</v>
      </c>
      <c r="AR61" s="178">
        <f t="shared" si="434"/>
        <v>0</v>
      </c>
      <c r="AS61" s="17">
        <f t="shared" si="402"/>
        <v>0</v>
      </c>
      <c r="AU61" s="66" t="s">
        <v>3</v>
      </c>
      <c r="AV61" s="38">
        <f t="shared" ref="AV61:BG61" si="439">IF(R77&gt;0,R61/R77,0)</f>
        <v>0</v>
      </c>
      <c r="AW61" s="245">
        <f t="shared" si="439"/>
        <v>0</v>
      </c>
      <c r="AX61" s="245">
        <f t="shared" si="439"/>
        <v>0</v>
      </c>
      <c r="AY61" s="245">
        <f t="shared" si="439"/>
        <v>0</v>
      </c>
      <c r="AZ61" s="36">
        <f t="shared" si="439"/>
        <v>0</v>
      </c>
      <c r="BA61" s="245">
        <f t="shared" si="439"/>
        <v>0</v>
      </c>
      <c r="BB61" s="245">
        <f t="shared" si="439"/>
        <v>0</v>
      </c>
      <c r="BC61" s="246">
        <f t="shared" si="439"/>
        <v>0</v>
      </c>
      <c r="BD61" s="245" t="e">
        <f t="shared" si="439"/>
        <v>#DIV/0!</v>
      </c>
      <c r="BE61" s="245" t="e">
        <f t="shared" si="439"/>
        <v>#DIV/0!</v>
      </c>
      <c r="BF61" s="245" t="e">
        <f t="shared" si="439"/>
        <v>#DIV/0!</v>
      </c>
      <c r="BG61" s="178" t="e">
        <f t="shared" si="439"/>
        <v>#DIV/0!</v>
      </c>
      <c r="BH61" s="24" t="e">
        <f>AD61/AD77</f>
        <v>#DIV/0!</v>
      </c>
      <c r="BJ61" s="66" t="s">
        <v>3</v>
      </c>
      <c r="BK61" s="38">
        <f t="shared" ref="BK61:BV61" si="440">IF(AG77&gt;0,AG61/AG77,0)</f>
        <v>0</v>
      </c>
      <c r="BL61" s="245">
        <f t="shared" si="440"/>
        <v>0</v>
      </c>
      <c r="BM61" s="245">
        <f t="shared" si="440"/>
        <v>0</v>
      </c>
      <c r="BN61" s="245">
        <f t="shared" si="440"/>
        <v>0</v>
      </c>
      <c r="BO61" s="36">
        <f t="shared" si="440"/>
        <v>0</v>
      </c>
      <c r="BP61" s="245">
        <f t="shared" si="440"/>
        <v>0</v>
      </c>
      <c r="BQ61" s="245">
        <f t="shared" si="440"/>
        <v>0</v>
      </c>
      <c r="BR61" s="246">
        <f t="shared" si="440"/>
        <v>0</v>
      </c>
      <c r="BS61" s="245">
        <f t="shared" si="440"/>
        <v>0</v>
      </c>
      <c r="BT61" s="245">
        <f t="shared" si="440"/>
        <v>0</v>
      </c>
      <c r="BU61" s="245">
        <f t="shared" si="440"/>
        <v>0</v>
      </c>
      <c r="BV61" s="178">
        <f t="shared" si="440"/>
        <v>0</v>
      </c>
      <c r="BW61" s="24" t="e">
        <f>AS61/AS77</f>
        <v>#DIV/0!</v>
      </c>
      <c r="BX61" s="24"/>
      <c r="BY61" s="66" t="s">
        <v>3</v>
      </c>
      <c r="BZ61" s="54">
        <f t="shared" si="405"/>
        <v>0</v>
      </c>
      <c r="CA61" s="55">
        <f t="shared" si="374"/>
        <v>0</v>
      </c>
      <c r="CB61" s="55">
        <f t="shared" si="375"/>
        <v>0</v>
      </c>
      <c r="CC61" s="55">
        <f t="shared" si="376"/>
        <v>0</v>
      </c>
      <c r="CD61" s="58">
        <f t="shared" si="377"/>
        <v>0</v>
      </c>
      <c r="CE61" s="55">
        <f t="shared" si="378"/>
        <v>0</v>
      </c>
      <c r="CF61" s="55">
        <f t="shared" si="379"/>
        <v>0</v>
      </c>
      <c r="CG61" s="249">
        <f t="shared" si="380"/>
        <v>0</v>
      </c>
      <c r="CH61" s="55" t="e">
        <f t="shared" si="381"/>
        <v>#DIV/0!</v>
      </c>
      <c r="CI61" s="55" t="e">
        <f t="shared" si="382"/>
        <v>#DIV/0!</v>
      </c>
      <c r="CJ61" s="55" t="e">
        <f t="shared" si="383"/>
        <v>#DIV/0!</v>
      </c>
      <c r="CK61" s="252" t="e">
        <f t="shared" si="383"/>
        <v>#DIV/0!</v>
      </c>
      <c r="CL61" s="55" t="e">
        <f t="shared" si="384"/>
        <v>#DIV/0!</v>
      </c>
      <c r="CN61" s="66" t="s">
        <v>3</v>
      </c>
      <c r="CO61" s="54">
        <f t="shared" si="406"/>
        <v>0</v>
      </c>
      <c r="CP61" s="55">
        <f t="shared" si="385"/>
        <v>0</v>
      </c>
      <c r="CQ61" s="55">
        <f t="shared" si="386"/>
        <v>0</v>
      </c>
      <c r="CR61" s="55">
        <f t="shared" si="387"/>
        <v>0</v>
      </c>
      <c r="CS61" s="58">
        <f t="shared" si="388"/>
        <v>0</v>
      </c>
      <c r="CT61" s="55">
        <f t="shared" si="389"/>
        <v>0</v>
      </c>
      <c r="CU61" s="55">
        <f t="shared" si="390"/>
        <v>0</v>
      </c>
      <c r="CV61" s="249">
        <f t="shared" si="391"/>
        <v>0</v>
      </c>
      <c r="CW61" s="55" t="e">
        <f t="shared" si="392"/>
        <v>#DIV/0!</v>
      </c>
      <c r="CX61" s="55" t="e">
        <f t="shared" si="393"/>
        <v>#DIV/0!</v>
      </c>
      <c r="CY61" s="55" t="e">
        <f t="shared" si="394"/>
        <v>#DIV/0!</v>
      </c>
      <c r="CZ61" s="252" t="e">
        <f t="shared" si="394"/>
        <v>#DIV/0!</v>
      </c>
      <c r="DA61" s="62" t="e">
        <f t="shared" si="395"/>
        <v>#DIV/0!</v>
      </c>
      <c r="DC61" s="66" t="s">
        <v>3</v>
      </c>
      <c r="DD61" s="198">
        <f t="shared" si="407"/>
        <v>0</v>
      </c>
      <c r="DE61" s="199">
        <f t="shared" si="408"/>
        <v>0</v>
      </c>
      <c r="DF61" s="198">
        <f t="shared" si="409"/>
        <v>0</v>
      </c>
      <c r="DG61" s="199">
        <f t="shared" si="410"/>
        <v>0</v>
      </c>
      <c r="DH61" s="198">
        <f t="shared" si="411"/>
        <v>0</v>
      </c>
      <c r="DI61" s="199">
        <f t="shared" si="412"/>
        <v>0</v>
      </c>
      <c r="DJ61" s="198">
        <f t="shared" si="413"/>
        <v>0</v>
      </c>
      <c r="DK61" s="199">
        <f t="shared" si="414"/>
        <v>0</v>
      </c>
      <c r="DL61" s="193">
        <f t="shared" si="415"/>
        <v>0</v>
      </c>
      <c r="DM61" s="194">
        <f t="shared" si="416"/>
        <v>0</v>
      </c>
      <c r="DN61" s="198">
        <f t="shared" si="417"/>
        <v>0</v>
      </c>
      <c r="DO61" s="199">
        <f t="shared" si="418"/>
        <v>0</v>
      </c>
      <c r="DP61" s="198">
        <f t="shared" si="419"/>
        <v>0</v>
      </c>
      <c r="DQ61" s="199">
        <f t="shared" si="420"/>
        <v>0</v>
      </c>
      <c r="DR61" s="198">
        <f t="shared" si="421"/>
        <v>0</v>
      </c>
      <c r="DS61" s="199">
        <f t="shared" si="422"/>
        <v>0</v>
      </c>
      <c r="DT61" s="198" t="e">
        <f t="shared" si="423"/>
        <v>#DIV/0!</v>
      </c>
      <c r="DU61" s="199">
        <f t="shared" si="424"/>
        <v>0</v>
      </c>
      <c r="DV61" s="198" t="e">
        <f t="shared" si="425"/>
        <v>#DIV/0!</v>
      </c>
      <c r="DW61" s="199">
        <f t="shared" si="426"/>
        <v>0</v>
      </c>
      <c r="DX61" s="198" t="e">
        <f t="shared" si="427"/>
        <v>#DIV/0!</v>
      </c>
      <c r="DY61" s="199">
        <f t="shared" si="428"/>
        <v>0</v>
      </c>
      <c r="DZ61" s="190" t="e">
        <f t="shared" si="429"/>
        <v>#DIV/0!</v>
      </c>
      <c r="EA61" s="199">
        <f t="shared" si="396"/>
        <v>0</v>
      </c>
      <c r="EB61" s="190" t="e">
        <f t="shared" si="430"/>
        <v>#DIV/0!</v>
      </c>
      <c r="EC61" s="190" t="e">
        <f t="shared" si="431"/>
        <v>#DIV/0!</v>
      </c>
    </row>
    <row r="62" spans="1:133" x14ac:dyDescent="0.2">
      <c r="A62" s="66" t="s">
        <v>5</v>
      </c>
      <c r="B62" s="38">
        <f>targets!AW59</f>
        <v>0</v>
      </c>
      <c r="C62" s="245">
        <f>targets!AX59</f>
        <v>0</v>
      </c>
      <c r="D62" s="245">
        <f>targets!AY59</f>
        <v>0</v>
      </c>
      <c r="E62" s="245">
        <f>targets!AZ59</f>
        <v>0</v>
      </c>
      <c r="F62" s="245">
        <f>targets!BA59</f>
        <v>0</v>
      </c>
      <c r="G62" s="39">
        <f>SUM(targets!BB59:BG59)</f>
        <v>22534.24989009626</v>
      </c>
      <c r="H62" s="245">
        <f>SUM(targets!BH59:BM59)</f>
        <v>0</v>
      </c>
      <c r="I62" s="246">
        <f t="shared" si="397"/>
        <v>22534.24989009626</v>
      </c>
      <c r="J62" s="245">
        <f>targets!BN59</f>
        <v>0</v>
      </c>
      <c r="K62" s="245">
        <f>targets!BO59</f>
        <v>0</v>
      </c>
      <c r="L62" s="245">
        <f>targets!BP59</f>
        <v>0</v>
      </c>
      <c r="M62" s="178">
        <f t="shared" si="432"/>
        <v>0</v>
      </c>
      <c r="N62" s="17">
        <f t="shared" si="398"/>
        <v>22534.24989009626</v>
      </c>
      <c r="O62" s="17"/>
      <c r="P62" s="17"/>
      <c r="Q62" s="66" t="s">
        <v>5</v>
      </c>
      <c r="R62" s="38">
        <f t="shared" si="362"/>
        <v>0</v>
      </c>
      <c r="S62" s="245">
        <f t="shared" si="363"/>
        <v>0</v>
      </c>
      <c r="T62" s="245">
        <f t="shared" si="364"/>
        <v>0</v>
      </c>
      <c r="U62" s="245">
        <f t="shared" si="365"/>
        <v>0</v>
      </c>
      <c r="V62" s="245">
        <f t="shared" si="366"/>
        <v>0</v>
      </c>
      <c r="W62" s="39">
        <f t="shared" si="367"/>
        <v>0</v>
      </c>
      <c r="X62" s="245">
        <f t="shared" si="368"/>
        <v>0</v>
      </c>
      <c r="Y62" s="246">
        <f t="shared" si="399"/>
        <v>0</v>
      </c>
      <c r="Z62" s="245" t="e">
        <f t="shared" si="369"/>
        <v>#DIV/0!</v>
      </c>
      <c r="AA62" s="245" t="e">
        <f t="shared" si="370"/>
        <v>#DIV/0!</v>
      </c>
      <c r="AB62" s="245" t="e">
        <f t="shared" si="371"/>
        <v>#DIV/0!</v>
      </c>
      <c r="AC62" s="178" t="e">
        <f t="shared" si="433"/>
        <v>#DIV/0!</v>
      </c>
      <c r="AD62" s="17" t="e">
        <f t="shared" si="400"/>
        <v>#DIV/0!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5">
        <f t="array" ref="AH62">SUM(IF((modeldata!$F:$F=calibration!$AF$54)*(modeldata!$G:$G=calibration!AH$56)*(modeldata!$H:$H=calibration!$AF62),modeldata!$E:$E,0))</f>
        <v>0</v>
      </c>
      <c r="AI62" s="245">
        <f t="array" ref="AI62">SUM(IF((modeldata!$F:$F=calibration!$AF$54)*(modeldata!$G:$G=calibration!AI$56)*(modeldata!$H:$H=calibration!$AF62),modeldata!$E:$E,0))</f>
        <v>0</v>
      </c>
      <c r="AJ62" s="245">
        <f t="array" ref="AJ62">SUM(IF((modeldata!$F:$F=calibration!$AF$54)*(modeldata!$G:$G=calibration!AJ$56)*(modeldata!$H:$H=calibration!$AF62),modeldata!$E:$E,0))</f>
        <v>0</v>
      </c>
      <c r="AK62" s="245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5">
        <f t="array" ref="AM62">SUM(IF((modeldata!$F:$F=calibration!$AF$54)*(modeldata!$G:$G=calibration!AM$56)*(modeldata!$H:$H=calibration!$AF62),modeldata!$E:$E,0))</f>
        <v>0</v>
      </c>
      <c r="AN62" s="246">
        <f t="shared" ref="AN62:AN67" si="441">AL62+AM62+AL68+AM68</f>
        <v>0</v>
      </c>
      <c r="AO62" s="245">
        <f t="array" ref="AO62">SUM(IF((modeldata!$F:$F=calibration!$AF$54)*(modeldata!$G:$G=calibration!AO$56)*(modeldata!$H:$H=calibration!$AF62),modeldata!$E:$E,0))</f>
        <v>0</v>
      </c>
      <c r="AP62" s="245">
        <f t="array" ref="AP62">SUM(IF((modeldata!$F:$F=calibration!$AF$54)*(modeldata!$G:$G=calibration!AP$56)*(modeldata!$H:$H=calibration!$AF62),modeldata!$E:$E,0))</f>
        <v>0</v>
      </c>
      <c r="AQ62" s="245">
        <f t="array" ref="AQ62">SUM(IF((modeldata!$F:$F=calibration!$AF$54)*(modeldata!$G:$G=calibration!AQ$56)*(modeldata!$H:$H=calibration!$AF62),modeldata!$E:$E,0))</f>
        <v>0</v>
      </c>
      <c r="AR62" s="178">
        <f t="shared" si="434"/>
        <v>0</v>
      </c>
      <c r="AS62" s="17">
        <f t="shared" si="402"/>
        <v>0</v>
      </c>
      <c r="AU62" s="66" t="s">
        <v>5</v>
      </c>
      <c r="AV62" s="38">
        <f t="shared" ref="AV62:BG62" si="442">IF(R77&gt;0,R62/R77,0)</f>
        <v>0</v>
      </c>
      <c r="AW62" s="245">
        <f t="shared" si="442"/>
        <v>0</v>
      </c>
      <c r="AX62" s="245">
        <f t="shared" si="442"/>
        <v>0</v>
      </c>
      <c r="AY62" s="245">
        <f t="shared" si="442"/>
        <v>0</v>
      </c>
      <c r="AZ62" s="245">
        <f t="shared" si="442"/>
        <v>0</v>
      </c>
      <c r="BA62" s="39">
        <f t="shared" si="442"/>
        <v>0</v>
      </c>
      <c r="BB62" s="245">
        <f t="shared" si="442"/>
        <v>0</v>
      </c>
      <c r="BC62" s="246">
        <f t="shared" si="442"/>
        <v>0</v>
      </c>
      <c r="BD62" s="245" t="e">
        <f t="shared" si="442"/>
        <v>#DIV/0!</v>
      </c>
      <c r="BE62" s="245" t="e">
        <f t="shared" si="442"/>
        <v>#DIV/0!</v>
      </c>
      <c r="BF62" s="245" t="e">
        <f t="shared" si="442"/>
        <v>#DIV/0!</v>
      </c>
      <c r="BG62" s="178" t="e">
        <f t="shared" si="442"/>
        <v>#DIV/0!</v>
      </c>
      <c r="BH62" s="24" t="e">
        <f>AD62/AD77</f>
        <v>#DIV/0!</v>
      </c>
      <c r="BJ62" s="66" t="s">
        <v>5</v>
      </c>
      <c r="BK62" s="38">
        <f t="shared" ref="BK62:BV62" si="443">IF(AG77&gt;0,AG62/AG77,0)</f>
        <v>0</v>
      </c>
      <c r="BL62" s="245">
        <f t="shared" si="443"/>
        <v>0</v>
      </c>
      <c r="BM62" s="245">
        <f t="shared" si="443"/>
        <v>0</v>
      </c>
      <c r="BN62" s="245">
        <f t="shared" si="443"/>
        <v>0</v>
      </c>
      <c r="BO62" s="245">
        <f t="shared" si="443"/>
        <v>0</v>
      </c>
      <c r="BP62" s="39">
        <f t="shared" si="443"/>
        <v>0</v>
      </c>
      <c r="BQ62" s="245">
        <f t="shared" si="443"/>
        <v>0</v>
      </c>
      <c r="BR62" s="246">
        <f t="shared" si="443"/>
        <v>0</v>
      </c>
      <c r="BS62" s="245">
        <f t="shared" si="443"/>
        <v>0</v>
      </c>
      <c r="BT62" s="245">
        <f t="shared" si="443"/>
        <v>0</v>
      </c>
      <c r="BU62" s="245">
        <f t="shared" si="443"/>
        <v>0</v>
      </c>
      <c r="BV62" s="178">
        <f t="shared" si="443"/>
        <v>0</v>
      </c>
      <c r="BW62" s="24" t="e">
        <f>AS62/AS77</f>
        <v>#DIV/0!</v>
      </c>
      <c r="BX62" s="24"/>
      <c r="BY62" s="66" t="s">
        <v>5</v>
      </c>
      <c r="BZ62" s="54">
        <f t="shared" si="405"/>
        <v>0</v>
      </c>
      <c r="CA62" s="55">
        <f t="shared" si="374"/>
        <v>0</v>
      </c>
      <c r="CB62" s="55">
        <f t="shared" si="375"/>
        <v>0</v>
      </c>
      <c r="CC62" s="55">
        <f t="shared" si="376"/>
        <v>0</v>
      </c>
      <c r="CD62" s="55">
        <f t="shared" si="377"/>
        <v>0</v>
      </c>
      <c r="CE62" s="59">
        <f t="shared" si="378"/>
        <v>0</v>
      </c>
      <c r="CF62" s="55">
        <f t="shared" si="379"/>
        <v>0</v>
      </c>
      <c r="CG62" s="249">
        <f t="shared" si="380"/>
        <v>0</v>
      </c>
      <c r="CH62" s="55" t="e">
        <f t="shared" si="381"/>
        <v>#DIV/0!</v>
      </c>
      <c r="CI62" s="55" t="e">
        <f t="shared" si="382"/>
        <v>#DIV/0!</v>
      </c>
      <c r="CJ62" s="55" t="e">
        <f t="shared" si="383"/>
        <v>#DIV/0!</v>
      </c>
      <c r="CK62" s="252" t="e">
        <f t="shared" si="383"/>
        <v>#DIV/0!</v>
      </c>
      <c r="CL62" s="55" t="e">
        <f t="shared" si="384"/>
        <v>#DIV/0!</v>
      </c>
      <c r="CN62" s="66" t="s">
        <v>5</v>
      </c>
      <c r="CO62" s="54">
        <f t="shared" si="406"/>
        <v>0</v>
      </c>
      <c r="CP62" s="55">
        <f t="shared" si="385"/>
        <v>0</v>
      </c>
      <c r="CQ62" s="55">
        <f t="shared" si="386"/>
        <v>0</v>
      </c>
      <c r="CR62" s="55">
        <f t="shared" si="387"/>
        <v>0</v>
      </c>
      <c r="CS62" s="55">
        <f t="shared" si="388"/>
        <v>0</v>
      </c>
      <c r="CT62" s="59">
        <f t="shared" si="389"/>
        <v>0</v>
      </c>
      <c r="CU62" s="55">
        <f t="shared" si="390"/>
        <v>0</v>
      </c>
      <c r="CV62" s="249">
        <f t="shared" si="391"/>
        <v>0</v>
      </c>
      <c r="CW62" s="55" t="e">
        <f t="shared" si="392"/>
        <v>#DIV/0!</v>
      </c>
      <c r="CX62" s="55" t="e">
        <f t="shared" si="393"/>
        <v>#DIV/0!</v>
      </c>
      <c r="CY62" s="55" t="e">
        <f t="shared" si="394"/>
        <v>#DIV/0!</v>
      </c>
      <c r="CZ62" s="252" t="e">
        <f t="shared" si="394"/>
        <v>#DIV/0!</v>
      </c>
      <c r="DA62" s="62" t="e">
        <f t="shared" si="395"/>
        <v>#DIV/0!</v>
      </c>
      <c r="DC62" s="66" t="s">
        <v>5</v>
      </c>
      <c r="DD62" s="198">
        <f t="shared" si="407"/>
        <v>0</v>
      </c>
      <c r="DE62" s="199">
        <f t="shared" si="408"/>
        <v>0</v>
      </c>
      <c r="DF62" s="198">
        <f t="shared" si="409"/>
        <v>0</v>
      </c>
      <c r="DG62" s="199">
        <f t="shared" si="410"/>
        <v>0</v>
      </c>
      <c r="DH62" s="198">
        <f t="shared" si="411"/>
        <v>0</v>
      </c>
      <c r="DI62" s="199">
        <f t="shared" si="412"/>
        <v>0</v>
      </c>
      <c r="DJ62" s="198">
        <f t="shared" si="413"/>
        <v>0</v>
      </c>
      <c r="DK62" s="199">
        <f t="shared" si="414"/>
        <v>0</v>
      </c>
      <c r="DL62" s="198">
        <f t="shared" si="415"/>
        <v>0</v>
      </c>
      <c r="DM62" s="199">
        <f t="shared" si="416"/>
        <v>0</v>
      </c>
      <c r="DN62" s="195">
        <f t="shared" si="417"/>
        <v>0</v>
      </c>
      <c r="DO62" s="196">
        <f t="shared" si="418"/>
        <v>0</v>
      </c>
      <c r="DP62" s="198">
        <f t="shared" si="419"/>
        <v>0</v>
      </c>
      <c r="DQ62" s="199">
        <f t="shared" si="420"/>
        <v>0</v>
      </c>
      <c r="DR62" s="198">
        <f t="shared" si="421"/>
        <v>0</v>
      </c>
      <c r="DS62" s="199">
        <f t="shared" si="422"/>
        <v>0</v>
      </c>
      <c r="DT62" s="198" t="e">
        <f t="shared" si="423"/>
        <v>#DIV/0!</v>
      </c>
      <c r="DU62" s="199">
        <f t="shared" si="424"/>
        <v>0</v>
      </c>
      <c r="DV62" s="198" t="e">
        <f t="shared" si="425"/>
        <v>#DIV/0!</v>
      </c>
      <c r="DW62" s="199">
        <f t="shared" si="426"/>
        <v>0</v>
      </c>
      <c r="DX62" s="198" t="e">
        <f t="shared" si="427"/>
        <v>#DIV/0!</v>
      </c>
      <c r="DY62" s="199">
        <f t="shared" si="428"/>
        <v>0</v>
      </c>
      <c r="DZ62" s="190" t="e">
        <f t="shared" si="429"/>
        <v>#DIV/0!</v>
      </c>
      <c r="EA62" s="199">
        <f t="shared" si="396"/>
        <v>0</v>
      </c>
      <c r="EB62" s="190" t="e">
        <f t="shared" si="430"/>
        <v>#DIV/0!</v>
      </c>
      <c r="EC62" s="190" t="e">
        <f t="shared" si="431"/>
        <v>#DIV/0!</v>
      </c>
    </row>
    <row r="63" spans="1:133" ht="25.5" x14ac:dyDescent="0.2">
      <c r="A63" s="66" t="s">
        <v>346</v>
      </c>
      <c r="B63" s="38">
        <f>targets!AW60</f>
        <v>0</v>
      </c>
      <c r="C63" s="245">
        <f>targets!AX60</f>
        <v>0</v>
      </c>
      <c r="D63" s="245">
        <f>targets!AY60</f>
        <v>0</v>
      </c>
      <c r="E63" s="245">
        <f>targets!AZ60</f>
        <v>0</v>
      </c>
      <c r="F63" s="245">
        <f>targets!BA60</f>
        <v>0</v>
      </c>
      <c r="G63" s="40">
        <f>SUM(targets!BB60:BG60)</f>
        <v>469.35729183290016</v>
      </c>
      <c r="H63" s="245">
        <f>SUM(targets!BH60:BM60)</f>
        <v>0</v>
      </c>
      <c r="I63" s="246">
        <f t="shared" si="397"/>
        <v>469.35729183290016</v>
      </c>
      <c r="J63" s="245">
        <f>targets!BN60</f>
        <v>0</v>
      </c>
      <c r="K63" s="245">
        <f>targets!BO60</f>
        <v>0</v>
      </c>
      <c r="L63" s="245">
        <f>targets!BP60</f>
        <v>0</v>
      </c>
      <c r="M63" s="178">
        <f t="shared" si="432"/>
        <v>0</v>
      </c>
      <c r="N63" s="17">
        <f t="shared" si="398"/>
        <v>469.35729183290016</v>
      </c>
      <c r="O63" s="17"/>
      <c r="P63" s="17"/>
      <c r="Q63" s="66" t="s">
        <v>346</v>
      </c>
      <c r="R63" s="38">
        <f t="shared" si="362"/>
        <v>0</v>
      </c>
      <c r="S63" s="245">
        <f t="shared" si="363"/>
        <v>0</v>
      </c>
      <c r="T63" s="245">
        <f t="shared" si="364"/>
        <v>0</v>
      </c>
      <c r="U63" s="245">
        <f t="shared" si="365"/>
        <v>0</v>
      </c>
      <c r="V63" s="245">
        <f t="shared" si="366"/>
        <v>0</v>
      </c>
      <c r="W63" s="40">
        <f t="shared" si="367"/>
        <v>0</v>
      </c>
      <c r="X63" s="245">
        <f t="shared" si="368"/>
        <v>0</v>
      </c>
      <c r="Y63" s="246">
        <f t="shared" si="399"/>
        <v>0</v>
      </c>
      <c r="Z63" s="245" t="e">
        <f t="shared" si="369"/>
        <v>#DIV/0!</v>
      </c>
      <c r="AA63" s="245" t="e">
        <f t="shared" si="370"/>
        <v>#DIV/0!</v>
      </c>
      <c r="AB63" s="245" t="e">
        <f t="shared" si="371"/>
        <v>#DIV/0!</v>
      </c>
      <c r="AC63" s="178" t="e">
        <f t="shared" si="433"/>
        <v>#DIV/0!</v>
      </c>
      <c r="AD63" s="17" t="e">
        <f t="shared" si="400"/>
        <v>#DIV/0!</v>
      </c>
      <c r="AF63" s="66" t="s">
        <v>43</v>
      </c>
      <c r="AG63" s="38">
        <f t="array" ref="AG63">SUM(IF((modeldata!$F:$F=calibration!$AF$54)*(modeldata!$G:$G=calibration!AG$56)*(modeldata!$H:$H=calibration!$AF63),modeldata!$E:$E,0))</f>
        <v>0</v>
      </c>
      <c r="AH63" s="245">
        <f t="array" ref="AH63">SUM(IF((modeldata!$F:$F=calibration!$AF$54)*(modeldata!$G:$G=calibration!AH$56)*(modeldata!$H:$H=calibration!$AF63),modeldata!$E:$E,0))</f>
        <v>0</v>
      </c>
      <c r="AI63" s="245">
        <f t="array" ref="AI63">SUM(IF((modeldata!$F:$F=calibration!$AF$54)*(modeldata!$G:$G=calibration!AI$56)*(modeldata!$H:$H=calibration!$AF63),modeldata!$E:$E,0))</f>
        <v>0</v>
      </c>
      <c r="AJ63" s="245">
        <f t="array" ref="AJ63">SUM(IF((modeldata!$F:$F=calibration!$AF$54)*(modeldata!$G:$G=calibration!AJ$56)*(modeldata!$H:$H=calibration!$AF63),modeldata!$E:$E,0))</f>
        <v>0</v>
      </c>
      <c r="AK63" s="245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5">
        <f t="array" ref="AM63">SUM(IF((modeldata!$F:$F=calibration!$AF$54)*(modeldata!$G:$G=calibration!AM$56)*(modeldata!$H:$H=calibration!$AF63),modeldata!$E:$E,0))</f>
        <v>0</v>
      </c>
      <c r="AN63" s="246">
        <f t="shared" si="441"/>
        <v>0</v>
      </c>
      <c r="AO63" s="245">
        <f t="array" ref="AO63">SUM(IF((modeldata!$F:$F=calibration!$AF$54)*(modeldata!$G:$G=calibration!AO$56)*(modeldata!$H:$H=calibration!$AF63),modeldata!$E:$E,0))</f>
        <v>0</v>
      </c>
      <c r="AP63" s="245">
        <f t="array" ref="AP63">SUM(IF((modeldata!$F:$F=calibration!$AF$54)*(modeldata!$G:$G=calibration!AP$56)*(modeldata!$H:$H=calibration!$AF63),modeldata!$E:$E,0))</f>
        <v>0</v>
      </c>
      <c r="AQ63" s="245">
        <f t="array" ref="AQ63">SUM(IF((modeldata!$F:$F=calibration!$AF$54)*(modeldata!$G:$G=calibration!AQ$56)*(modeldata!$H:$H=calibration!$AF63),modeldata!$E:$E,0))</f>
        <v>0</v>
      </c>
      <c r="AR63" s="178">
        <f t="shared" si="434"/>
        <v>0</v>
      </c>
      <c r="AS63" s="17">
        <f t="shared" si="402"/>
        <v>0</v>
      </c>
      <c r="AU63" s="66" t="s">
        <v>346</v>
      </c>
      <c r="AV63" s="38">
        <f t="shared" ref="AV63:BG64" si="444">IF(R77&gt;0,R63/R77,0)</f>
        <v>0</v>
      </c>
      <c r="AW63" s="245">
        <f t="shared" si="444"/>
        <v>0</v>
      </c>
      <c r="AX63" s="245">
        <f t="shared" si="444"/>
        <v>0</v>
      </c>
      <c r="AY63" s="245">
        <f t="shared" si="444"/>
        <v>0</v>
      </c>
      <c r="AZ63" s="245">
        <f t="shared" si="444"/>
        <v>0</v>
      </c>
      <c r="BA63" s="40">
        <f t="shared" si="444"/>
        <v>0</v>
      </c>
      <c r="BB63" s="245">
        <f t="shared" si="444"/>
        <v>0</v>
      </c>
      <c r="BC63" s="246">
        <f t="shared" si="444"/>
        <v>0</v>
      </c>
      <c r="BD63" s="245" t="e">
        <f t="shared" si="444"/>
        <v>#DIV/0!</v>
      </c>
      <c r="BE63" s="245" t="e">
        <f t="shared" si="444"/>
        <v>#DIV/0!</v>
      </c>
      <c r="BF63" s="245" t="e">
        <f t="shared" si="444"/>
        <v>#DIV/0!</v>
      </c>
      <c r="BG63" s="178" t="e">
        <f t="shared" si="444"/>
        <v>#DIV/0!</v>
      </c>
      <c r="BH63" s="24" t="e">
        <f>AD63/AD77</f>
        <v>#DIV/0!</v>
      </c>
      <c r="BJ63" s="66" t="s">
        <v>346</v>
      </c>
      <c r="BK63" s="38">
        <f t="shared" ref="BK63:BV63" si="445">IF(AG77&gt;0,AG63/AG77,0)</f>
        <v>0</v>
      </c>
      <c r="BL63" s="245">
        <f t="shared" si="445"/>
        <v>0</v>
      </c>
      <c r="BM63" s="245">
        <f t="shared" si="445"/>
        <v>0</v>
      </c>
      <c r="BN63" s="245">
        <f t="shared" si="445"/>
        <v>0</v>
      </c>
      <c r="BO63" s="245">
        <f t="shared" si="445"/>
        <v>0</v>
      </c>
      <c r="BP63" s="40">
        <f t="shared" si="445"/>
        <v>0</v>
      </c>
      <c r="BQ63" s="245">
        <f t="shared" si="445"/>
        <v>0</v>
      </c>
      <c r="BR63" s="246">
        <f t="shared" si="445"/>
        <v>0</v>
      </c>
      <c r="BS63" s="245">
        <f t="shared" si="445"/>
        <v>0</v>
      </c>
      <c r="BT63" s="245">
        <f t="shared" si="445"/>
        <v>0</v>
      </c>
      <c r="BU63" s="245">
        <f t="shared" si="445"/>
        <v>0</v>
      </c>
      <c r="BV63" s="178">
        <f t="shared" si="445"/>
        <v>0</v>
      </c>
      <c r="BW63" s="24" t="e">
        <f>AS63/AS77</f>
        <v>#DIV/0!</v>
      </c>
      <c r="BX63" s="24"/>
      <c r="BY63" s="66" t="s">
        <v>346</v>
      </c>
      <c r="BZ63" s="54">
        <f t="shared" si="405"/>
        <v>0</v>
      </c>
      <c r="CA63" s="55">
        <f t="shared" si="374"/>
        <v>0</v>
      </c>
      <c r="CB63" s="55">
        <f t="shared" si="375"/>
        <v>0</v>
      </c>
      <c r="CC63" s="55">
        <f t="shared" si="376"/>
        <v>0</v>
      </c>
      <c r="CD63" s="55">
        <f t="shared" si="377"/>
        <v>0</v>
      </c>
      <c r="CE63" s="60">
        <f t="shared" si="378"/>
        <v>0</v>
      </c>
      <c r="CF63" s="55">
        <f t="shared" si="379"/>
        <v>0</v>
      </c>
      <c r="CG63" s="249">
        <f t="shared" si="380"/>
        <v>0</v>
      </c>
      <c r="CH63" s="55" t="e">
        <f t="shared" si="381"/>
        <v>#DIV/0!</v>
      </c>
      <c r="CI63" s="55" t="e">
        <f t="shared" si="382"/>
        <v>#DIV/0!</v>
      </c>
      <c r="CJ63" s="55" t="e">
        <f t="shared" si="383"/>
        <v>#DIV/0!</v>
      </c>
      <c r="CK63" s="252" t="e">
        <f t="shared" si="383"/>
        <v>#DIV/0!</v>
      </c>
      <c r="CL63" s="55" t="e">
        <f t="shared" si="384"/>
        <v>#DIV/0!</v>
      </c>
      <c r="CN63" s="66" t="s">
        <v>346</v>
      </c>
      <c r="CO63" s="54">
        <f t="shared" si="406"/>
        <v>0</v>
      </c>
      <c r="CP63" s="55">
        <f t="shared" si="385"/>
        <v>0</v>
      </c>
      <c r="CQ63" s="55">
        <f t="shared" si="386"/>
        <v>0</v>
      </c>
      <c r="CR63" s="55">
        <f t="shared" si="387"/>
        <v>0</v>
      </c>
      <c r="CS63" s="55">
        <f t="shared" si="388"/>
        <v>0</v>
      </c>
      <c r="CT63" s="60">
        <f t="shared" si="389"/>
        <v>0</v>
      </c>
      <c r="CU63" s="55">
        <f t="shared" si="390"/>
        <v>0</v>
      </c>
      <c r="CV63" s="249">
        <f t="shared" si="391"/>
        <v>0</v>
      </c>
      <c r="CW63" s="55" t="e">
        <f t="shared" si="392"/>
        <v>#DIV/0!</v>
      </c>
      <c r="CX63" s="55" t="e">
        <f t="shared" si="393"/>
        <v>#DIV/0!</v>
      </c>
      <c r="CY63" s="55" t="e">
        <f t="shared" si="394"/>
        <v>#DIV/0!</v>
      </c>
      <c r="CZ63" s="252" t="e">
        <f t="shared" si="394"/>
        <v>#DIV/0!</v>
      </c>
      <c r="DA63" s="62" t="e">
        <f t="shared" si="395"/>
        <v>#DIV/0!</v>
      </c>
      <c r="DC63" s="66" t="s">
        <v>346</v>
      </c>
      <c r="DD63" s="198">
        <f t="shared" si="407"/>
        <v>0</v>
      </c>
      <c r="DE63" s="199">
        <f t="shared" si="408"/>
        <v>0</v>
      </c>
      <c r="DF63" s="198">
        <f t="shared" si="409"/>
        <v>0</v>
      </c>
      <c r="DG63" s="199">
        <f t="shared" si="410"/>
        <v>0</v>
      </c>
      <c r="DH63" s="198">
        <f t="shared" si="411"/>
        <v>0</v>
      </c>
      <c r="DI63" s="199">
        <f t="shared" si="412"/>
        <v>0</v>
      </c>
      <c r="DJ63" s="198">
        <f t="shared" si="413"/>
        <v>0</v>
      </c>
      <c r="DK63" s="199">
        <f t="shared" si="414"/>
        <v>0</v>
      </c>
      <c r="DL63" s="198">
        <f t="shared" si="415"/>
        <v>0</v>
      </c>
      <c r="DM63" s="199">
        <f t="shared" si="416"/>
        <v>0</v>
      </c>
      <c r="DN63" s="198">
        <f t="shared" si="417"/>
        <v>0</v>
      </c>
      <c r="DO63" s="199">
        <f t="shared" si="418"/>
        <v>0</v>
      </c>
      <c r="DP63" s="198">
        <f t="shared" si="419"/>
        <v>0</v>
      </c>
      <c r="DQ63" s="199">
        <f t="shared" si="420"/>
        <v>0</v>
      </c>
      <c r="DR63" s="198">
        <f t="shared" si="421"/>
        <v>0</v>
      </c>
      <c r="DS63" s="199">
        <f t="shared" si="422"/>
        <v>0</v>
      </c>
      <c r="DT63" s="198" t="e">
        <f t="shared" si="423"/>
        <v>#DIV/0!</v>
      </c>
      <c r="DU63" s="199">
        <f t="shared" si="424"/>
        <v>0</v>
      </c>
      <c r="DV63" s="198" t="e">
        <f t="shared" si="425"/>
        <v>#DIV/0!</v>
      </c>
      <c r="DW63" s="199">
        <f t="shared" si="426"/>
        <v>0</v>
      </c>
      <c r="DX63" s="198" t="e">
        <f t="shared" si="427"/>
        <v>#DIV/0!</v>
      </c>
      <c r="DY63" s="199">
        <f t="shared" si="428"/>
        <v>0</v>
      </c>
      <c r="DZ63" s="190" t="e">
        <f t="shared" si="429"/>
        <v>#DIV/0!</v>
      </c>
      <c r="EA63" s="199">
        <f t="shared" si="396"/>
        <v>0</v>
      </c>
      <c r="EB63" s="190" t="e">
        <f t="shared" si="430"/>
        <v>#DIV/0!</v>
      </c>
      <c r="EC63" s="190" t="e">
        <f t="shared" si="431"/>
        <v>#DIV/0!</v>
      </c>
    </row>
    <row r="64" spans="1:133" x14ac:dyDescent="0.2">
      <c r="A64" s="2" t="s">
        <v>349</v>
      </c>
      <c r="B64" s="38">
        <f>targets!AW61</f>
        <v>0</v>
      </c>
      <c r="C64" s="245">
        <f>targets!AX61</f>
        <v>0</v>
      </c>
      <c r="D64" s="245">
        <f>targets!AY61</f>
        <v>0</v>
      </c>
      <c r="E64" s="245">
        <f>targets!AZ61</f>
        <v>0</v>
      </c>
      <c r="F64" s="245">
        <f>targets!BA61</f>
        <v>0</v>
      </c>
      <c r="G64" s="40">
        <f>SUM(targets!BB61:BG61)</f>
        <v>0</v>
      </c>
      <c r="H64" s="245">
        <f>SUM(targets!BH61:BM61)</f>
        <v>0</v>
      </c>
      <c r="I64" s="246">
        <f>SUM(G64:H64)</f>
        <v>0</v>
      </c>
      <c r="J64" s="245">
        <f>targets!BN61</f>
        <v>0</v>
      </c>
      <c r="K64" s="245">
        <f>targets!BO61</f>
        <v>0</v>
      </c>
      <c r="L64" s="245">
        <f>targets!BP61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349</v>
      </c>
      <c r="R64" s="38">
        <f t="shared" si="362"/>
        <v>0</v>
      </c>
      <c r="S64" s="245">
        <f t="shared" si="363"/>
        <v>0</v>
      </c>
      <c r="T64" s="245">
        <f t="shared" si="364"/>
        <v>0</v>
      </c>
      <c r="U64" s="245">
        <f t="shared" si="365"/>
        <v>0</v>
      </c>
      <c r="V64" s="245">
        <f t="shared" si="366"/>
        <v>0</v>
      </c>
      <c r="W64" s="40">
        <f t="shared" si="367"/>
        <v>0</v>
      </c>
      <c r="X64" s="245">
        <f t="shared" si="368"/>
        <v>0</v>
      </c>
      <c r="Y64" s="246">
        <f>SUM(W64:X64)</f>
        <v>0</v>
      </c>
      <c r="Z64" s="245" t="e">
        <f t="shared" si="369"/>
        <v>#DIV/0!</v>
      </c>
      <c r="AA64" s="245" t="e">
        <f t="shared" si="370"/>
        <v>#DIV/0!</v>
      </c>
      <c r="AB64" s="245" t="e">
        <f t="shared" si="371"/>
        <v>#DIV/0!</v>
      </c>
      <c r="AC64" s="178" t="e">
        <f>SUM(Z64:AB64)</f>
        <v>#DIV/0!</v>
      </c>
      <c r="AD64" s="17" t="e">
        <f>SUM(R64:AB64)-Y64</f>
        <v>#DIV/0!</v>
      </c>
      <c r="AF64" s="2" t="s">
        <v>44</v>
      </c>
      <c r="AG64" s="38">
        <f t="array" ref="AG64">SUM(IF((modeldata!$F:$F=calibration!$AF$54)*(modeldata!$G:$G=calibration!AG$56)*(modeldata!$H:$H=calibration!$AF64),modeldata!$E:$E,0))</f>
        <v>0</v>
      </c>
      <c r="AH64" s="245">
        <f t="array" ref="AH64">SUM(IF((modeldata!$F:$F=calibration!$AF$54)*(modeldata!$G:$G=calibration!AH$56)*(modeldata!$H:$H=calibration!$AF64),modeldata!$E:$E,0))</f>
        <v>0</v>
      </c>
      <c r="AI64" s="245">
        <f t="array" ref="AI64">SUM(IF((modeldata!$F:$F=calibration!$AF$54)*(modeldata!$G:$G=calibration!AI$56)*(modeldata!$H:$H=calibration!$AF64),modeldata!$E:$E,0))</f>
        <v>0</v>
      </c>
      <c r="AJ64" s="245">
        <f t="array" ref="AJ64">SUM(IF((modeldata!$F:$F=calibration!$AF$54)*(modeldata!$G:$G=calibration!AJ$56)*(modeldata!$H:$H=calibration!$AF64),modeldata!$E:$E,0))</f>
        <v>0</v>
      </c>
      <c r="AK64" s="245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5">
        <f t="array" ref="AM64">SUM(IF((modeldata!$F:$F=calibration!$AF$54)*(modeldata!$G:$G=calibration!AM$56)*(modeldata!$H:$H=calibration!$AF64),modeldata!$E:$E,0))</f>
        <v>0</v>
      </c>
      <c r="AN64" s="246">
        <f t="shared" si="441"/>
        <v>0</v>
      </c>
      <c r="AO64" s="245">
        <f t="array" ref="AO64">SUM(IF((modeldata!$F:$F=calibration!$AF$54)*(modeldata!$G:$G=calibration!AO$56)*(modeldata!$H:$H=calibration!$AF64),modeldata!$E:$E,0))</f>
        <v>0</v>
      </c>
      <c r="AP64" s="245">
        <f t="array" ref="AP64">SUM(IF((modeldata!$F:$F=calibration!$AF$54)*(modeldata!$G:$G=calibration!AP$56)*(modeldata!$H:$H=calibration!$AF64),modeldata!$E:$E,0))</f>
        <v>0</v>
      </c>
      <c r="AQ64" s="245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349</v>
      </c>
      <c r="AV64" s="38">
        <f t="shared" si="444"/>
        <v>0</v>
      </c>
      <c r="AW64" s="245">
        <f t="shared" si="444"/>
        <v>0</v>
      </c>
      <c r="AX64" s="245">
        <f t="shared" si="444"/>
        <v>0</v>
      </c>
      <c r="AY64" s="245">
        <f t="shared" si="444"/>
        <v>0</v>
      </c>
      <c r="AZ64" s="245">
        <f t="shared" si="444"/>
        <v>0</v>
      </c>
      <c r="BA64" s="40">
        <f t="shared" si="444"/>
        <v>0</v>
      </c>
      <c r="BB64" s="245">
        <f t="shared" si="444"/>
        <v>0</v>
      </c>
      <c r="BC64" s="246">
        <f t="shared" si="444"/>
        <v>0</v>
      </c>
      <c r="BD64" s="245">
        <f t="shared" si="444"/>
        <v>0</v>
      </c>
      <c r="BE64" s="245">
        <f t="shared" si="444"/>
        <v>0</v>
      </c>
      <c r="BF64" s="245">
        <f t="shared" si="444"/>
        <v>0</v>
      </c>
      <c r="BG64" s="178">
        <f t="shared" si="444"/>
        <v>0</v>
      </c>
      <c r="BH64" s="24" t="e">
        <f>AD64/AD78</f>
        <v>#DIV/0!</v>
      </c>
      <c r="BJ64" s="2" t="s">
        <v>349</v>
      </c>
      <c r="BK64" s="38">
        <f t="shared" ref="BK64:BV64" si="446">IF(AG86&gt;0,AG64/AG86,0)</f>
        <v>0</v>
      </c>
      <c r="BL64" s="245">
        <f t="shared" si="446"/>
        <v>0</v>
      </c>
      <c r="BM64" s="245">
        <f t="shared" si="446"/>
        <v>0</v>
      </c>
      <c r="BN64" s="245">
        <f t="shared" si="446"/>
        <v>0</v>
      </c>
      <c r="BO64" s="245">
        <f t="shared" si="446"/>
        <v>0</v>
      </c>
      <c r="BP64" s="40">
        <f t="shared" si="446"/>
        <v>0</v>
      </c>
      <c r="BQ64" s="245">
        <f t="shared" si="446"/>
        <v>0</v>
      </c>
      <c r="BR64" s="246">
        <f t="shared" si="446"/>
        <v>0</v>
      </c>
      <c r="BS64" s="245">
        <f t="shared" si="446"/>
        <v>0</v>
      </c>
      <c r="BT64" s="245">
        <f t="shared" si="446"/>
        <v>0</v>
      </c>
      <c r="BU64" s="245">
        <f t="shared" si="446"/>
        <v>0</v>
      </c>
      <c r="BV64" s="178">
        <f t="shared" si="446"/>
        <v>0</v>
      </c>
      <c r="BW64" s="24" t="e">
        <f>AS64/AS86</f>
        <v>#DIV/0!</v>
      </c>
      <c r="BX64" s="24"/>
      <c r="BY64" s="2" t="s">
        <v>349</v>
      </c>
      <c r="BZ64" s="54">
        <f t="shared" ref="BZ64:CL64" si="447">AG64-R64</f>
        <v>0</v>
      </c>
      <c r="CA64" s="55">
        <f t="shared" si="447"/>
        <v>0</v>
      </c>
      <c r="CB64" s="55">
        <f t="shared" si="447"/>
        <v>0</v>
      </c>
      <c r="CC64" s="55">
        <f t="shared" si="447"/>
        <v>0</v>
      </c>
      <c r="CD64" s="55">
        <f t="shared" si="447"/>
        <v>0</v>
      </c>
      <c r="CE64" s="60">
        <f t="shared" si="447"/>
        <v>0</v>
      </c>
      <c r="CF64" s="55">
        <f t="shared" si="447"/>
        <v>0</v>
      </c>
      <c r="CG64" s="249">
        <f t="shared" si="447"/>
        <v>0</v>
      </c>
      <c r="CH64" s="55" t="e">
        <f t="shared" si="447"/>
        <v>#DIV/0!</v>
      </c>
      <c r="CI64" s="55" t="e">
        <f t="shared" si="447"/>
        <v>#DIV/0!</v>
      </c>
      <c r="CJ64" s="55" t="e">
        <f t="shared" si="447"/>
        <v>#DIV/0!</v>
      </c>
      <c r="CK64" s="252" t="e">
        <f t="shared" si="447"/>
        <v>#DIV/0!</v>
      </c>
      <c r="CL64" s="55" t="e">
        <f t="shared" si="447"/>
        <v>#DIV/0!</v>
      </c>
      <c r="CN64" s="2" t="s">
        <v>349</v>
      </c>
      <c r="CO64" s="54">
        <f t="shared" ref="CO64:DA64" si="448">BK64-AV64</f>
        <v>0</v>
      </c>
      <c r="CP64" s="55">
        <f t="shared" si="448"/>
        <v>0</v>
      </c>
      <c r="CQ64" s="55">
        <f t="shared" si="448"/>
        <v>0</v>
      </c>
      <c r="CR64" s="55">
        <f t="shared" si="448"/>
        <v>0</v>
      </c>
      <c r="CS64" s="55">
        <f t="shared" si="448"/>
        <v>0</v>
      </c>
      <c r="CT64" s="60">
        <f t="shared" si="448"/>
        <v>0</v>
      </c>
      <c r="CU64" s="55">
        <f t="shared" si="448"/>
        <v>0</v>
      </c>
      <c r="CV64" s="249">
        <f t="shared" si="448"/>
        <v>0</v>
      </c>
      <c r="CW64" s="55">
        <f t="shared" si="448"/>
        <v>0</v>
      </c>
      <c r="CX64" s="55">
        <f t="shared" si="448"/>
        <v>0</v>
      </c>
      <c r="CY64" s="55">
        <f t="shared" si="448"/>
        <v>0</v>
      </c>
      <c r="CZ64" s="252">
        <f t="shared" si="448"/>
        <v>0</v>
      </c>
      <c r="DA64" s="62" t="e">
        <f t="shared" si="448"/>
        <v>#DIV/0!</v>
      </c>
      <c r="DC64" s="2" t="s">
        <v>349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targets!AW62</f>
        <v>0</v>
      </c>
      <c r="C65" s="245">
        <f>targets!AX62</f>
        <v>0</v>
      </c>
      <c r="D65" s="245">
        <f>targets!AY62</f>
        <v>0</v>
      </c>
      <c r="E65" s="245">
        <f>targets!AZ62</f>
        <v>0</v>
      </c>
      <c r="F65" s="245">
        <f>targets!BA62</f>
        <v>0</v>
      </c>
      <c r="G65" s="40">
        <f>SUM(targets!BB62:BG62)</f>
        <v>0</v>
      </c>
      <c r="H65" s="245">
        <f>SUM(targets!BH62:BM62)</f>
        <v>0</v>
      </c>
      <c r="I65" s="246">
        <f t="shared" si="397"/>
        <v>0</v>
      </c>
      <c r="J65" s="245">
        <f>targets!BN62</f>
        <v>0</v>
      </c>
      <c r="K65" s="245">
        <f>targets!BO62</f>
        <v>0</v>
      </c>
      <c r="L65" s="245">
        <f>targets!BP62</f>
        <v>0</v>
      </c>
      <c r="M65" s="178">
        <f t="shared" si="432"/>
        <v>0</v>
      </c>
      <c r="N65" s="17">
        <f t="shared" si="398"/>
        <v>0</v>
      </c>
      <c r="O65" s="17"/>
      <c r="P65" s="17"/>
      <c r="Q65" s="64" t="s">
        <v>45</v>
      </c>
      <c r="R65" s="38">
        <f t="shared" si="362"/>
        <v>0</v>
      </c>
      <c r="S65" s="245">
        <f t="shared" si="363"/>
        <v>0</v>
      </c>
      <c r="T65" s="245">
        <f t="shared" si="364"/>
        <v>0</v>
      </c>
      <c r="U65" s="245">
        <f t="shared" si="365"/>
        <v>0</v>
      </c>
      <c r="V65" s="245">
        <f t="shared" si="366"/>
        <v>0</v>
      </c>
      <c r="W65" s="40">
        <f t="shared" si="367"/>
        <v>0</v>
      </c>
      <c r="X65" s="245">
        <f t="shared" si="368"/>
        <v>0</v>
      </c>
      <c r="Y65" s="246">
        <f t="shared" si="399"/>
        <v>0</v>
      </c>
      <c r="Z65" s="245" t="e">
        <f t="shared" si="369"/>
        <v>#DIV/0!</v>
      </c>
      <c r="AA65" s="245" t="e">
        <f t="shared" si="370"/>
        <v>#DIV/0!</v>
      </c>
      <c r="AB65" s="245" t="e">
        <f t="shared" si="371"/>
        <v>#DIV/0!</v>
      </c>
      <c r="AC65" s="178" t="e">
        <f t="shared" si="433"/>
        <v>#DIV/0!</v>
      </c>
      <c r="AD65" s="17" t="e">
        <f t="shared" si="400"/>
        <v>#DIV/0!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5">
        <f t="array" ref="AH65">SUM(IF((modeldata!$F:$F=calibration!$AF$54)*(modeldata!$G:$G=calibration!AH$56)*(modeldata!$H:$H=calibration!$AF65),modeldata!$E:$E,0))</f>
        <v>0</v>
      </c>
      <c r="AI65" s="245">
        <f t="array" ref="AI65">SUM(IF((modeldata!$F:$F=calibration!$AF$54)*(modeldata!$G:$G=calibration!AI$56)*(modeldata!$H:$H=calibration!$AF65),modeldata!$E:$E,0))</f>
        <v>0</v>
      </c>
      <c r="AJ65" s="245">
        <f t="array" ref="AJ65">SUM(IF((modeldata!$F:$F=calibration!$AF$54)*(modeldata!$G:$G=calibration!AJ$56)*(modeldata!$H:$H=calibration!$AF65),modeldata!$E:$E,0))</f>
        <v>0</v>
      </c>
      <c r="AK65" s="245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5">
        <f t="array" ref="AM65">SUM(IF((modeldata!$F:$F=calibration!$AF$54)*(modeldata!$G:$G=calibration!AM$56)*(modeldata!$H:$H=calibration!$AF65),modeldata!$E:$E,0))</f>
        <v>0</v>
      </c>
      <c r="AN65" s="246">
        <f t="shared" si="441"/>
        <v>0</v>
      </c>
      <c r="AO65" s="245">
        <f t="array" ref="AO65">SUM(IF((modeldata!$F:$F=calibration!$AF$54)*(modeldata!$G:$G=calibration!AO$56)*(modeldata!$H:$H=calibration!$AF65),modeldata!$E:$E,0))</f>
        <v>0</v>
      </c>
      <c r="AP65" s="245">
        <f t="array" ref="AP65">SUM(IF((modeldata!$F:$F=calibration!$AF$54)*(modeldata!$G:$G=calibration!AP$56)*(modeldata!$H:$H=calibration!$AF65),modeldata!$E:$E,0))</f>
        <v>0</v>
      </c>
      <c r="AQ65" s="245">
        <f t="array" ref="AQ65">SUM(IF((modeldata!$F:$F=calibration!$AF$54)*(modeldata!$G:$G=calibration!AQ$56)*(modeldata!$H:$H=calibration!$AF65),modeldata!$E:$E,0))</f>
        <v>0</v>
      </c>
      <c r="AR65" s="178">
        <f t="shared" si="434"/>
        <v>0</v>
      </c>
      <c r="AS65" s="17">
        <f t="shared" si="402"/>
        <v>0</v>
      </c>
      <c r="AU65" s="64" t="s">
        <v>45</v>
      </c>
      <c r="AV65" s="38">
        <f t="shared" ref="AV65:BG65" si="449">IF(R77&gt;0,R65/R77,0)</f>
        <v>0</v>
      </c>
      <c r="AW65" s="245">
        <f t="shared" si="449"/>
        <v>0</v>
      </c>
      <c r="AX65" s="245">
        <f t="shared" si="449"/>
        <v>0</v>
      </c>
      <c r="AY65" s="245">
        <f t="shared" si="449"/>
        <v>0</v>
      </c>
      <c r="AZ65" s="245">
        <f t="shared" si="449"/>
        <v>0</v>
      </c>
      <c r="BA65" s="40">
        <f t="shared" si="449"/>
        <v>0</v>
      </c>
      <c r="BB65" s="245">
        <f t="shared" si="449"/>
        <v>0</v>
      </c>
      <c r="BC65" s="246">
        <f t="shared" si="449"/>
        <v>0</v>
      </c>
      <c r="BD65" s="245" t="e">
        <f t="shared" si="449"/>
        <v>#DIV/0!</v>
      </c>
      <c r="BE65" s="245" t="e">
        <f t="shared" si="449"/>
        <v>#DIV/0!</v>
      </c>
      <c r="BF65" s="245" t="e">
        <f t="shared" si="449"/>
        <v>#DIV/0!</v>
      </c>
      <c r="BG65" s="178" t="e">
        <f t="shared" si="449"/>
        <v>#DIV/0!</v>
      </c>
      <c r="BH65" s="24" t="e">
        <f>AD65/AD77</f>
        <v>#DIV/0!</v>
      </c>
      <c r="BJ65" s="64" t="s">
        <v>45</v>
      </c>
      <c r="BK65" s="38">
        <f t="shared" ref="BK65:BV65" si="450">IF(AG77&gt;0,AG65/AG77,0)</f>
        <v>0</v>
      </c>
      <c r="BL65" s="245">
        <f t="shared" si="450"/>
        <v>0</v>
      </c>
      <c r="BM65" s="245">
        <f t="shared" si="450"/>
        <v>0</v>
      </c>
      <c r="BN65" s="245">
        <f t="shared" si="450"/>
        <v>0</v>
      </c>
      <c r="BO65" s="245">
        <f t="shared" si="450"/>
        <v>0</v>
      </c>
      <c r="BP65" s="40">
        <f t="shared" si="450"/>
        <v>0</v>
      </c>
      <c r="BQ65" s="245">
        <f t="shared" si="450"/>
        <v>0</v>
      </c>
      <c r="BR65" s="246">
        <f t="shared" si="450"/>
        <v>0</v>
      </c>
      <c r="BS65" s="245">
        <f t="shared" si="450"/>
        <v>0</v>
      </c>
      <c r="BT65" s="245">
        <f t="shared" si="450"/>
        <v>0</v>
      </c>
      <c r="BU65" s="245">
        <f t="shared" si="450"/>
        <v>0</v>
      </c>
      <c r="BV65" s="178">
        <f t="shared" si="450"/>
        <v>0</v>
      </c>
      <c r="BW65" s="24" t="e">
        <f>AS65/AS77</f>
        <v>#DIV/0!</v>
      </c>
      <c r="BX65" s="24"/>
      <c r="BY65" s="64" t="s">
        <v>45</v>
      </c>
      <c r="BZ65" s="54">
        <f t="shared" si="405"/>
        <v>0</v>
      </c>
      <c r="CA65" s="55">
        <f t="shared" si="374"/>
        <v>0</v>
      </c>
      <c r="CB65" s="55">
        <f t="shared" si="375"/>
        <v>0</v>
      </c>
      <c r="CC65" s="55">
        <f t="shared" si="376"/>
        <v>0</v>
      </c>
      <c r="CD65" s="55">
        <f t="shared" si="377"/>
        <v>0</v>
      </c>
      <c r="CE65" s="60">
        <f t="shared" si="378"/>
        <v>0</v>
      </c>
      <c r="CF65" s="55">
        <f t="shared" si="379"/>
        <v>0</v>
      </c>
      <c r="CG65" s="249">
        <f t="shared" si="380"/>
        <v>0</v>
      </c>
      <c r="CH65" s="55" t="e">
        <f t="shared" si="381"/>
        <v>#DIV/0!</v>
      </c>
      <c r="CI65" s="55" t="e">
        <f t="shared" si="382"/>
        <v>#DIV/0!</v>
      </c>
      <c r="CJ65" s="55" t="e">
        <f t="shared" si="383"/>
        <v>#DIV/0!</v>
      </c>
      <c r="CK65" s="252" t="e">
        <f t="shared" si="383"/>
        <v>#DIV/0!</v>
      </c>
      <c r="CL65" s="55" t="e">
        <f t="shared" si="384"/>
        <v>#DIV/0!</v>
      </c>
      <c r="CN65" s="64" t="s">
        <v>45</v>
      </c>
      <c r="CO65" s="54">
        <f t="shared" si="406"/>
        <v>0</v>
      </c>
      <c r="CP65" s="55">
        <f t="shared" si="385"/>
        <v>0</v>
      </c>
      <c r="CQ65" s="55">
        <f t="shared" si="386"/>
        <v>0</v>
      </c>
      <c r="CR65" s="55">
        <f t="shared" si="387"/>
        <v>0</v>
      </c>
      <c r="CS65" s="55">
        <f t="shared" si="388"/>
        <v>0</v>
      </c>
      <c r="CT65" s="60">
        <f t="shared" si="389"/>
        <v>0</v>
      </c>
      <c r="CU65" s="55">
        <f t="shared" si="390"/>
        <v>0</v>
      </c>
      <c r="CV65" s="249">
        <f t="shared" si="391"/>
        <v>0</v>
      </c>
      <c r="CW65" s="55" t="e">
        <f t="shared" si="392"/>
        <v>#DIV/0!</v>
      </c>
      <c r="CX65" s="55" t="e">
        <f t="shared" si="393"/>
        <v>#DIV/0!</v>
      </c>
      <c r="CY65" s="55" t="e">
        <f t="shared" si="394"/>
        <v>#DIV/0!</v>
      </c>
      <c r="CZ65" s="252" t="e">
        <f t="shared" si="394"/>
        <v>#DIV/0!</v>
      </c>
      <c r="DA65" s="62" t="e">
        <f t="shared" si="395"/>
        <v>#DIV/0!</v>
      </c>
      <c r="DC65" s="64" t="s">
        <v>45</v>
      </c>
      <c r="DD65" s="198">
        <f t="shared" si="407"/>
        <v>0</v>
      </c>
      <c r="DE65" s="199">
        <f t="shared" si="408"/>
        <v>0</v>
      </c>
      <c r="DF65" s="198">
        <f t="shared" si="409"/>
        <v>0</v>
      </c>
      <c r="DG65" s="199">
        <f t="shared" si="410"/>
        <v>0</v>
      </c>
      <c r="DH65" s="198">
        <f t="shared" si="411"/>
        <v>0</v>
      </c>
      <c r="DI65" s="199">
        <f t="shared" si="412"/>
        <v>0</v>
      </c>
      <c r="DJ65" s="198">
        <f t="shared" si="413"/>
        <v>0</v>
      </c>
      <c r="DK65" s="199">
        <f t="shared" si="414"/>
        <v>0</v>
      </c>
      <c r="DL65" s="198">
        <f t="shared" si="415"/>
        <v>0</v>
      </c>
      <c r="DM65" s="199">
        <f t="shared" si="416"/>
        <v>0</v>
      </c>
      <c r="DN65" s="198">
        <f t="shared" si="417"/>
        <v>0</v>
      </c>
      <c r="DO65" s="199">
        <f t="shared" si="418"/>
        <v>0</v>
      </c>
      <c r="DP65" s="198">
        <f t="shared" si="419"/>
        <v>0</v>
      </c>
      <c r="DQ65" s="199">
        <f t="shared" si="420"/>
        <v>0</v>
      </c>
      <c r="DR65" s="198">
        <f t="shared" si="421"/>
        <v>0</v>
      </c>
      <c r="DS65" s="199">
        <f t="shared" si="422"/>
        <v>0</v>
      </c>
      <c r="DT65" s="198" t="e">
        <f t="shared" si="423"/>
        <v>#DIV/0!</v>
      </c>
      <c r="DU65" s="199">
        <f t="shared" si="424"/>
        <v>0</v>
      </c>
      <c r="DV65" s="198" t="e">
        <f t="shared" si="425"/>
        <v>#DIV/0!</v>
      </c>
      <c r="DW65" s="199">
        <f t="shared" si="426"/>
        <v>0</v>
      </c>
      <c r="DX65" s="198" t="e">
        <f t="shared" si="427"/>
        <v>#DIV/0!</v>
      </c>
      <c r="DY65" s="199">
        <f t="shared" si="428"/>
        <v>0</v>
      </c>
      <c r="DZ65" s="190" t="e">
        <f t="shared" si="429"/>
        <v>#DIV/0!</v>
      </c>
      <c r="EA65" s="199">
        <f t="shared" si="396"/>
        <v>0</v>
      </c>
      <c r="EB65" s="190" t="e">
        <f t="shared" si="430"/>
        <v>#DIV/0!</v>
      </c>
      <c r="EC65" s="190" t="e">
        <f t="shared" si="431"/>
        <v>#DIV/0!</v>
      </c>
    </row>
    <row r="66" spans="1:133" x14ac:dyDescent="0.2">
      <c r="A66" s="64" t="s">
        <v>46</v>
      </c>
      <c r="B66" s="38">
        <f>targets!AW63</f>
        <v>0</v>
      </c>
      <c r="C66" s="245">
        <f>targets!AX63</f>
        <v>0</v>
      </c>
      <c r="D66" s="245">
        <f>targets!AY63</f>
        <v>0</v>
      </c>
      <c r="E66" s="245">
        <f>targets!AZ63</f>
        <v>0</v>
      </c>
      <c r="F66" s="245">
        <f>targets!BA63</f>
        <v>0</v>
      </c>
      <c r="G66" s="40">
        <f>SUM(targets!BB63:BG63)</f>
        <v>323.42378600433693</v>
      </c>
      <c r="H66" s="245">
        <f>SUM(targets!BH63:BM63)</f>
        <v>0</v>
      </c>
      <c r="I66" s="246">
        <f t="shared" si="397"/>
        <v>323.42378600433693</v>
      </c>
      <c r="J66" s="245">
        <f>targets!BN63</f>
        <v>0</v>
      </c>
      <c r="K66" s="245">
        <f>targets!BO63</f>
        <v>0</v>
      </c>
      <c r="L66" s="245">
        <f>targets!BP63</f>
        <v>0</v>
      </c>
      <c r="M66" s="178">
        <f t="shared" si="432"/>
        <v>0</v>
      </c>
      <c r="N66" s="17">
        <f t="shared" si="398"/>
        <v>323.42378600433693</v>
      </c>
      <c r="O66" s="17"/>
      <c r="P66" s="17"/>
      <c r="Q66" s="64" t="s">
        <v>46</v>
      </c>
      <c r="R66" s="38">
        <f t="shared" si="362"/>
        <v>0</v>
      </c>
      <c r="S66" s="245">
        <f t="shared" si="363"/>
        <v>0</v>
      </c>
      <c r="T66" s="245">
        <f t="shared" si="364"/>
        <v>0</v>
      </c>
      <c r="U66" s="245">
        <f t="shared" si="365"/>
        <v>0</v>
      </c>
      <c r="V66" s="245">
        <f t="shared" si="366"/>
        <v>0</v>
      </c>
      <c r="W66" s="40">
        <f t="shared" si="367"/>
        <v>0</v>
      </c>
      <c r="X66" s="245">
        <f t="shared" si="368"/>
        <v>0</v>
      </c>
      <c r="Y66" s="246">
        <f t="shared" si="399"/>
        <v>0</v>
      </c>
      <c r="Z66" s="245" t="e">
        <f t="shared" si="369"/>
        <v>#DIV/0!</v>
      </c>
      <c r="AA66" s="245" t="e">
        <f t="shared" si="370"/>
        <v>#DIV/0!</v>
      </c>
      <c r="AB66" s="245" t="e">
        <f t="shared" si="371"/>
        <v>#DIV/0!</v>
      </c>
      <c r="AC66" s="178" t="e">
        <f t="shared" si="433"/>
        <v>#DIV/0!</v>
      </c>
      <c r="AD66" s="17" t="e">
        <f t="shared" si="400"/>
        <v>#DIV/0!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5">
        <f t="array" ref="AH66">SUM(IF((modeldata!$F:$F=calibration!$AF$54)*(modeldata!$G:$G=calibration!AH$56)*(modeldata!$H:$H=calibration!$AF66),modeldata!$E:$E,0))</f>
        <v>0</v>
      </c>
      <c r="AI66" s="245">
        <f t="array" ref="AI66">SUM(IF((modeldata!$F:$F=calibration!$AF$54)*(modeldata!$G:$G=calibration!AI$56)*(modeldata!$H:$H=calibration!$AF66),modeldata!$E:$E,0))</f>
        <v>0</v>
      </c>
      <c r="AJ66" s="245">
        <f t="array" ref="AJ66">SUM(IF((modeldata!$F:$F=calibration!$AF$54)*(modeldata!$G:$G=calibration!AJ$56)*(modeldata!$H:$H=calibration!$AF66),modeldata!$E:$E,0))</f>
        <v>0</v>
      </c>
      <c r="AK66" s="245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5">
        <f t="array" ref="AM66">SUM(IF((modeldata!$F:$F=calibration!$AF$54)*(modeldata!$G:$G=calibration!AM$56)*(modeldata!$H:$H=calibration!$AF66),modeldata!$E:$E,0))</f>
        <v>0</v>
      </c>
      <c r="AN66" s="246">
        <f t="shared" si="441"/>
        <v>0</v>
      </c>
      <c r="AO66" s="245">
        <f t="array" ref="AO66">SUM(IF((modeldata!$F:$F=calibration!$AF$54)*(modeldata!$G:$G=calibration!AO$56)*(modeldata!$H:$H=calibration!$AF66),modeldata!$E:$E,0))</f>
        <v>0</v>
      </c>
      <c r="AP66" s="245">
        <f t="array" ref="AP66">SUM(IF((modeldata!$F:$F=calibration!$AF$54)*(modeldata!$G:$G=calibration!AP$56)*(modeldata!$H:$H=calibration!$AF66),modeldata!$E:$E,0))</f>
        <v>0</v>
      </c>
      <c r="AQ66" s="245">
        <f t="array" ref="AQ66">SUM(IF((modeldata!$F:$F=calibration!$AF$54)*(modeldata!$G:$G=calibration!AQ$56)*(modeldata!$H:$H=calibration!$AF66),modeldata!$E:$E,0))</f>
        <v>0</v>
      </c>
      <c r="AR66" s="178">
        <f t="shared" si="434"/>
        <v>0</v>
      </c>
      <c r="AS66" s="17">
        <f t="shared" si="402"/>
        <v>0</v>
      </c>
      <c r="AU66" s="64" t="s">
        <v>46</v>
      </c>
      <c r="AV66" s="38">
        <f t="shared" ref="AV66:BG66" si="451">IF(R77&gt;0,R66/R77,0)</f>
        <v>0</v>
      </c>
      <c r="AW66" s="245">
        <f t="shared" si="451"/>
        <v>0</v>
      </c>
      <c r="AX66" s="245">
        <f t="shared" si="451"/>
        <v>0</v>
      </c>
      <c r="AY66" s="245">
        <f t="shared" si="451"/>
        <v>0</v>
      </c>
      <c r="AZ66" s="245">
        <f t="shared" si="451"/>
        <v>0</v>
      </c>
      <c r="BA66" s="40">
        <f t="shared" si="451"/>
        <v>0</v>
      </c>
      <c r="BB66" s="245">
        <f t="shared" si="451"/>
        <v>0</v>
      </c>
      <c r="BC66" s="246">
        <f t="shared" si="451"/>
        <v>0</v>
      </c>
      <c r="BD66" s="245" t="e">
        <f t="shared" si="451"/>
        <v>#DIV/0!</v>
      </c>
      <c r="BE66" s="245" t="e">
        <f t="shared" si="451"/>
        <v>#DIV/0!</v>
      </c>
      <c r="BF66" s="245" t="e">
        <f t="shared" si="451"/>
        <v>#DIV/0!</v>
      </c>
      <c r="BG66" s="178" t="e">
        <f t="shared" si="451"/>
        <v>#DIV/0!</v>
      </c>
      <c r="BH66" s="24" t="e">
        <f>AD66/AD77</f>
        <v>#DIV/0!</v>
      </c>
      <c r="BJ66" s="64" t="s">
        <v>46</v>
      </c>
      <c r="BK66" s="38">
        <f t="shared" ref="BK66:BV66" si="452">IF(AG77&gt;0,AG66/AG77,0)</f>
        <v>0</v>
      </c>
      <c r="BL66" s="245">
        <f t="shared" si="452"/>
        <v>0</v>
      </c>
      <c r="BM66" s="245">
        <f t="shared" si="452"/>
        <v>0</v>
      </c>
      <c r="BN66" s="245">
        <f t="shared" si="452"/>
        <v>0</v>
      </c>
      <c r="BO66" s="245">
        <f t="shared" si="452"/>
        <v>0</v>
      </c>
      <c r="BP66" s="40">
        <f t="shared" si="452"/>
        <v>0</v>
      </c>
      <c r="BQ66" s="245">
        <f t="shared" si="452"/>
        <v>0</v>
      </c>
      <c r="BR66" s="246">
        <f t="shared" si="452"/>
        <v>0</v>
      </c>
      <c r="BS66" s="245">
        <f t="shared" si="452"/>
        <v>0</v>
      </c>
      <c r="BT66" s="245">
        <f t="shared" si="452"/>
        <v>0</v>
      </c>
      <c r="BU66" s="245">
        <f t="shared" si="452"/>
        <v>0</v>
      </c>
      <c r="BV66" s="178">
        <f t="shared" si="452"/>
        <v>0</v>
      </c>
      <c r="BW66" s="24" t="e">
        <f>AS66/AS77</f>
        <v>#DIV/0!</v>
      </c>
      <c r="BX66" s="24"/>
      <c r="BY66" s="64" t="s">
        <v>46</v>
      </c>
      <c r="BZ66" s="54">
        <f t="shared" si="405"/>
        <v>0</v>
      </c>
      <c r="CA66" s="55">
        <f t="shared" si="374"/>
        <v>0</v>
      </c>
      <c r="CB66" s="55">
        <f t="shared" si="375"/>
        <v>0</v>
      </c>
      <c r="CC66" s="55">
        <f t="shared" si="376"/>
        <v>0</v>
      </c>
      <c r="CD66" s="55">
        <f t="shared" si="377"/>
        <v>0</v>
      </c>
      <c r="CE66" s="60">
        <f t="shared" si="378"/>
        <v>0</v>
      </c>
      <c r="CF66" s="55">
        <f t="shared" si="379"/>
        <v>0</v>
      </c>
      <c r="CG66" s="249">
        <f t="shared" si="380"/>
        <v>0</v>
      </c>
      <c r="CH66" s="55" t="e">
        <f t="shared" si="381"/>
        <v>#DIV/0!</v>
      </c>
      <c r="CI66" s="55" t="e">
        <f t="shared" si="382"/>
        <v>#DIV/0!</v>
      </c>
      <c r="CJ66" s="55" t="e">
        <f t="shared" si="383"/>
        <v>#DIV/0!</v>
      </c>
      <c r="CK66" s="252" t="e">
        <f t="shared" si="383"/>
        <v>#DIV/0!</v>
      </c>
      <c r="CL66" s="55" t="e">
        <f t="shared" si="384"/>
        <v>#DIV/0!</v>
      </c>
      <c r="CN66" s="64" t="s">
        <v>46</v>
      </c>
      <c r="CO66" s="54">
        <f t="shared" si="406"/>
        <v>0</v>
      </c>
      <c r="CP66" s="55">
        <f t="shared" si="385"/>
        <v>0</v>
      </c>
      <c r="CQ66" s="55">
        <f t="shared" si="386"/>
        <v>0</v>
      </c>
      <c r="CR66" s="55">
        <f t="shared" si="387"/>
        <v>0</v>
      </c>
      <c r="CS66" s="55">
        <f t="shared" si="388"/>
        <v>0</v>
      </c>
      <c r="CT66" s="60">
        <f t="shared" si="389"/>
        <v>0</v>
      </c>
      <c r="CU66" s="55">
        <f t="shared" si="390"/>
        <v>0</v>
      </c>
      <c r="CV66" s="249">
        <f t="shared" si="391"/>
        <v>0</v>
      </c>
      <c r="CW66" s="55" t="e">
        <f t="shared" si="392"/>
        <v>#DIV/0!</v>
      </c>
      <c r="CX66" s="55" t="e">
        <f t="shared" si="393"/>
        <v>#DIV/0!</v>
      </c>
      <c r="CY66" s="55" t="e">
        <f t="shared" si="394"/>
        <v>#DIV/0!</v>
      </c>
      <c r="CZ66" s="252" t="e">
        <f t="shared" si="394"/>
        <v>#DIV/0!</v>
      </c>
      <c r="DA66" s="62" t="e">
        <f t="shared" si="395"/>
        <v>#DIV/0!</v>
      </c>
      <c r="DC66" s="64" t="s">
        <v>46</v>
      </c>
      <c r="DD66" s="198">
        <f t="shared" si="407"/>
        <v>0</v>
      </c>
      <c r="DE66" s="199">
        <f t="shared" si="408"/>
        <v>0</v>
      </c>
      <c r="DF66" s="198">
        <f t="shared" si="409"/>
        <v>0</v>
      </c>
      <c r="DG66" s="199">
        <f t="shared" si="410"/>
        <v>0</v>
      </c>
      <c r="DH66" s="198">
        <f t="shared" si="411"/>
        <v>0</v>
      </c>
      <c r="DI66" s="199">
        <f t="shared" si="412"/>
        <v>0</v>
      </c>
      <c r="DJ66" s="198">
        <f t="shared" si="413"/>
        <v>0</v>
      </c>
      <c r="DK66" s="199">
        <f t="shared" si="414"/>
        <v>0</v>
      </c>
      <c r="DL66" s="198">
        <f t="shared" si="415"/>
        <v>0</v>
      </c>
      <c r="DM66" s="199">
        <f t="shared" si="416"/>
        <v>0</v>
      </c>
      <c r="DN66" s="198">
        <f t="shared" si="417"/>
        <v>0</v>
      </c>
      <c r="DO66" s="199">
        <f t="shared" si="418"/>
        <v>0</v>
      </c>
      <c r="DP66" s="198">
        <f t="shared" si="419"/>
        <v>0</v>
      </c>
      <c r="DQ66" s="199">
        <f t="shared" si="420"/>
        <v>0</v>
      </c>
      <c r="DR66" s="198">
        <f t="shared" si="421"/>
        <v>0</v>
      </c>
      <c r="DS66" s="199">
        <f t="shared" si="422"/>
        <v>0</v>
      </c>
      <c r="DT66" s="198" t="e">
        <f t="shared" si="423"/>
        <v>#DIV/0!</v>
      </c>
      <c r="DU66" s="199">
        <f t="shared" si="424"/>
        <v>0</v>
      </c>
      <c r="DV66" s="198" t="e">
        <f t="shared" si="425"/>
        <v>#DIV/0!</v>
      </c>
      <c r="DW66" s="199">
        <f t="shared" si="426"/>
        <v>0</v>
      </c>
      <c r="DX66" s="198" t="e">
        <f t="shared" si="427"/>
        <v>#DIV/0!</v>
      </c>
      <c r="DY66" s="199">
        <f t="shared" si="428"/>
        <v>0</v>
      </c>
      <c r="DZ66" s="190" t="e">
        <f t="shared" si="429"/>
        <v>#DIV/0!</v>
      </c>
      <c r="EA66" s="199">
        <f t="shared" si="396"/>
        <v>0</v>
      </c>
      <c r="EB66" s="190" t="e">
        <f t="shared" si="430"/>
        <v>#DIV/0!</v>
      </c>
      <c r="EC66" s="190" t="e">
        <f t="shared" si="431"/>
        <v>#DIV/0!</v>
      </c>
    </row>
    <row r="67" spans="1:133" x14ac:dyDescent="0.2">
      <c r="A67" s="64" t="s">
        <v>47</v>
      </c>
      <c r="B67" s="38">
        <f>targets!AW64</f>
        <v>0</v>
      </c>
      <c r="C67" s="245">
        <f>targets!AX64</f>
        <v>0</v>
      </c>
      <c r="D67" s="245">
        <f>targets!AY64</f>
        <v>0</v>
      </c>
      <c r="E67" s="245">
        <f>targets!AZ64</f>
        <v>0</v>
      </c>
      <c r="F67" s="245">
        <f>targets!BA64</f>
        <v>0</v>
      </c>
      <c r="G67" s="41">
        <f>SUM(targets!BB64:BG64)</f>
        <v>314.97561364914765</v>
      </c>
      <c r="H67" s="245">
        <f>SUM(targets!BH64:BM64)</f>
        <v>0</v>
      </c>
      <c r="I67" s="246">
        <f t="shared" si="397"/>
        <v>314.97561364914765</v>
      </c>
      <c r="J67" s="245">
        <f>targets!BN64</f>
        <v>0</v>
      </c>
      <c r="K67" s="245">
        <f>targets!BO64</f>
        <v>0</v>
      </c>
      <c r="L67" s="245">
        <f>targets!BP64</f>
        <v>0</v>
      </c>
      <c r="M67" s="178">
        <f t="shared" si="432"/>
        <v>0</v>
      </c>
      <c r="N67" s="17">
        <f t="shared" si="398"/>
        <v>314.97561364914765</v>
      </c>
      <c r="O67" s="17"/>
      <c r="P67" s="17"/>
      <c r="Q67" s="64" t="s">
        <v>47</v>
      </c>
      <c r="R67" s="38">
        <f t="shared" si="362"/>
        <v>0</v>
      </c>
      <c r="S67" s="245">
        <f t="shared" si="363"/>
        <v>0</v>
      </c>
      <c r="T67" s="245">
        <f t="shared" si="364"/>
        <v>0</v>
      </c>
      <c r="U67" s="245">
        <f t="shared" si="365"/>
        <v>0</v>
      </c>
      <c r="V67" s="245">
        <f t="shared" si="366"/>
        <v>0</v>
      </c>
      <c r="W67" s="41">
        <f t="shared" si="367"/>
        <v>0</v>
      </c>
      <c r="X67" s="245">
        <f t="shared" si="368"/>
        <v>0</v>
      </c>
      <c r="Y67" s="246">
        <f t="shared" si="399"/>
        <v>0</v>
      </c>
      <c r="Z67" s="245" t="e">
        <f t="shared" si="369"/>
        <v>#DIV/0!</v>
      </c>
      <c r="AA67" s="245" t="e">
        <f t="shared" si="370"/>
        <v>#DIV/0!</v>
      </c>
      <c r="AB67" s="245" t="e">
        <f t="shared" si="371"/>
        <v>#DIV/0!</v>
      </c>
      <c r="AC67" s="178" t="e">
        <f t="shared" si="433"/>
        <v>#DIV/0!</v>
      </c>
      <c r="AD67" s="17" t="e">
        <f t="shared" si="400"/>
        <v>#DIV/0!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5">
        <f t="array" ref="AH67">SUM(IF((modeldata!$F:$F=calibration!$AF$54)*(modeldata!$G:$G=calibration!AH$56)*(modeldata!$H:$H=calibration!$AF67),modeldata!$E:$E,0))</f>
        <v>0</v>
      </c>
      <c r="AI67" s="245">
        <f t="array" ref="AI67">SUM(IF((modeldata!$F:$F=calibration!$AF$54)*(modeldata!$G:$G=calibration!AI$56)*(modeldata!$H:$H=calibration!$AF67),modeldata!$E:$E,0))</f>
        <v>0</v>
      </c>
      <c r="AJ67" s="245">
        <f t="array" ref="AJ67">SUM(IF((modeldata!$F:$F=calibration!$AF$54)*(modeldata!$G:$G=calibration!AJ$56)*(modeldata!$H:$H=calibration!$AF67),modeldata!$E:$E,0))</f>
        <v>0</v>
      </c>
      <c r="AK67" s="245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5">
        <f t="array" ref="AM67">SUM(IF((modeldata!$F:$F=calibration!$AF$54)*(modeldata!$G:$G=calibration!AM$56)*(modeldata!$H:$H=calibration!$AF67),modeldata!$E:$E,0))</f>
        <v>0</v>
      </c>
      <c r="AN67" s="246">
        <f t="shared" si="441"/>
        <v>0</v>
      </c>
      <c r="AO67" s="245">
        <f t="array" ref="AO67">SUM(IF((modeldata!$F:$F=calibration!$AF$54)*(modeldata!$G:$G=calibration!AO$56)*(modeldata!$H:$H=calibration!$AF67),modeldata!$E:$E,0))</f>
        <v>0</v>
      </c>
      <c r="AP67" s="245">
        <f t="array" ref="AP67">SUM(IF((modeldata!$F:$F=calibration!$AF$54)*(modeldata!$G:$G=calibration!AP$56)*(modeldata!$H:$H=calibration!$AF67),modeldata!$E:$E,0))</f>
        <v>0</v>
      </c>
      <c r="AQ67" s="245">
        <f t="array" ref="AQ67">SUM(IF((modeldata!$F:$F=calibration!$AF$54)*(modeldata!$G:$G=calibration!AQ$56)*(modeldata!$H:$H=calibration!$AF67),modeldata!$E:$E,0))</f>
        <v>0</v>
      </c>
      <c r="AR67" s="178">
        <f t="shared" si="434"/>
        <v>0</v>
      </c>
      <c r="AS67" s="17">
        <f t="shared" si="402"/>
        <v>0</v>
      </c>
      <c r="AU67" s="64" t="s">
        <v>47</v>
      </c>
      <c r="AV67" s="38">
        <f t="shared" ref="AV67:BG67" si="453">IF(R77&gt;0,R67/R77,0)</f>
        <v>0</v>
      </c>
      <c r="AW67" s="245">
        <f t="shared" si="453"/>
        <v>0</v>
      </c>
      <c r="AX67" s="245">
        <f t="shared" si="453"/>
        <v>0</v>
      </c>
      <c r="AY67" s="245">
        <f t="shared" si="453"/>
        <v>0</v>
      </c>
      <c r="AZ67" s="245">
        <f t="shared" si="453"/>
        <v>0</v>
      </c>
      <c r="BA67" s="41">
        <f t="shared" si="453"/>
        <v>0</v>
      </c>
      <c r="BB67" s="245">
        <f t="shared" si="453"/>
        <v>0</v>
      </c>
      <c r="BC67" s="246">
        <f t="shared" si="453"/>
        <v>0</v>
      </c>
      <c r="BD67" s="245" t="e">
        <f t="shared" si="453"/>
        <v>#DIV/0!</v>
      </c>
      <c r="BE67" s="245" t="e">
        <f t="shared" si="453"/>
        <v>#DIV/0!</v>
      </c>
      <c r="BF67" s="245" t="e">
        <f t="shared" si="453"/>
        <v>#DIV/0!</v>
      </c>
      <c r="BG67" s="178" t="e">
        <f t="shared" si="453"/>
        <v>#DIV/0!</v>
      </c>
      <c r="BH67" s="24" t="e">
        <f>AD67/AD77</f>
        <v>#DIV/0!</v>
      </c>
      <c r="BJ67" s="64" t="s">
        <v>47</v>
      </c>
      <c r="BK67" s="38">
        <f t="shared" ref="BK67:BV67" si="454">IF(AG77&gt;0,AG67/AG77,0)</f>
        <v>0</v>
      </c>
      <c r="BL67" s="245">
        <f t="shared" si="454"/>
        <v>0</v>
      </c>
      <c r="BM67" s="245">
        <f t="shared" si="454"/>
        <v>0</v>
      </c>
      <c r="BN67" s="245">
        <f t="shared" si="454"/>
        <v>0</v>
      </c>
      <c r="BO67" s="245">
        <f t="shared" si="454"/>
        <v>0</v>
      </c>
      <c r="BP67" s="41">
        <f t="shared" si="454"/>
        <v>0</v>
      </c>
      <c r="BQ67" s="245">
        <f t="shared" si="454"/>
        <v>0</v>
      </c>
      <c r="BR67" s="246">
        <f t="shared" si="454"/>
        <v>0</v>
      </c>
      <c r="BS67" s="245">
        <f t="shared" si="454"/>
        <v>0</v>
      </c>
      <c r="BT67" s="245">
        <f t="shared" si="454"/>
        <v>0</v>
      </c>
      <c r="BU67" s="245">
        <f t="shared" si="454"/>
        <v>0</v>
      </c>
      <c r="BV67" s="178">
        <f t="shared" si="454"/>
        <v>0</v>
      </c>
      <c r="BW67" s="24" t="e">
        <f>AS67/AS77</f>
        <v>#DIV/0!</v>
      </c>
      <c r="BX67" s="24"/>
      <c r="BY67" s="64" t="s">
        <v>47</v>
      </c>
      <c r="BZ67" s="54">
        <f t="shared" si="405"/>
        <v>0</v>
      </c>
      <c r="CA67" s="55">
        <f t="shared" si="374"/>
        <v>0</v>
      </c>
      <c r="CB67" s="55">
        <f t="shared" si="375"/>
        <v>0</v>
      </c>
      <c r="CC67" s="55">
        <f t="shared" si="376"/>
        <v>0</v>
      </c>
      <c r="CD67" s="55">
        <f t="shared" si="377"/>
        <v>0</v>
      </c>
      <c r="CE67" s="61">
        <f t="shared" si="378"/>
        <v>0</v>
      </c>
      <c r="CF67" s="55">
        <f t="shared" si="379"/>
        <v>0</v>
      </c>
      <c r="CG67" s="249">
        <f t="shared" si="380"/>
        <v>0</v>
      </c>
      <c r="CH67" s="55" t="e">
        <f t="shared" si="381"/>
        <v>#DIV/0!</v>
      </c>
      <c r="CI67" s="55" t="e">
        <f t="shared" si="382"/>
        <v>#DIV/0!</v>
      </c>
      <c r="CJ67" s="55" t="e">
        <f t="shared" si="383"/>
        <v>#DIV/0!</v>
      </c>
      <c r="CK67" s="252" t="e">
        <f t="shared" si="383"/>
        <v>#DIV/0!</v>
      </c>
      <c r="CL67" s="55" t="e">
        <f t="shared" si="384"/>
        <v>#DIV/0!</v>
      </c>
      <c r="CN67" s="64" t="s">
        <v>47</v>
      </c>
      <c r="CO67" s="54">
        <f t="shared" si="406"/>
        <v>0</v>
      </c>
      <c r="CP67" s="55">
        <f t="shared" si="385"/>
        <v>0</v>
      </c>
      <c r="CQ67" s="55">
        <f t="shared" si="386"/>
        <v>0</v>
      </c>
      <c r="CR67" s="55">
        <f t="shared" si="387"/>
        <v>0</v>
      </c>
      <c r="CS67" s="55">
        <f t="shared" si="388"/>
        <v>0</v>
      </c>
      <c r="CT67" s="61">
        <f t="shared" si="389"/>
        <v>0</v>
      </c>
      <c r="CU67" s="55">
        <f t="shared" si="390"/>
        <v>0</v>
      </c>
      <c r="CV67" s="249">
        <f t="shared" si="391"/>
        <v>0</v>
      </c>
      <c r="CW67" s="55" t="e">
        <f t="shared" si="392"/>
        <v>#DIV/0!</v>
      </c>
      <c r="CX67" s="55" t="e">
        <f t="shared" si="393"/>
        <v>#DIV/0!</v>
      </c>
      <c r="CY67" s="55" t="e">
        <f t="shared" si="394"/>
        <v>#DIV/0!</v>
      </c>
      <c r="CZ67" s="252" t="e">
        <f t="shared" si="394"/>
        <v>#DIV/0!</v>
      </c>
      <c r="DA67" s="62" t="e">
        <f t="shared" si="395"/>
        <v>#DIV/0!</v>
      </c>
      <c r="DC67" s="64" t="s">
        <v>47</v>
      </c>
      <c r="DD67" s="198">
        <f t="shared" si="407"/>
        <v>0</v>
      </c>
      <c r="DE67" s="199">
        <f t="shared" si="408"/>
        <v>0</v>
      </c>
      <c r="DF67" s="198">
        <f t="shared" si="409"/>
        <v>0</v>
      </c>
      <c r="DG67" s="199">
        <f t="shared" si="410"/>
        <v>0</v>
      </c>
      <c r="DH67" s="198">
        <f t="shared" si="411"/>
        <v>0</v>
      </c>
      <c r="DI67" s="199">
        <f t="shared" si="412"/>
        <v>0</v>
      </c>
      <c r="DJ67" s="198">
        <f t="shared" si="413"/>
        <v>0</v>
      </c>
      <c r="DK67" s="199">
        <f t="shared" si="414"/>
        <v>0</v>
      </c>
      <c r="DL67" s="198">
        <f t="shared" si="415"/>
        <v>0</v>
      </c>
      <c r="DM67" s="199">
        <f t="shared" si="416"/>
        <v>0</v>
      </c>
      <c r="DN67" s="200">
        <f t="shared" si="417"/>
        <v>0</v>
      </c>
      <c r="DO67" s="201">
        <f t="shared" si="418"/>
        <v>0</v>
      </c>
      <c r="DP67" s="198">
        <f t="shared" si="419"/>
        <v>0</v>
      </c>
      <c r="DQ67" s="199">
        <f t="shared" si="420"/>
        <v>0</v>
      </c>
      <c r="DR67" s="198">
        <f t="shared" si="421"/>
        <v>0</v>
      </c>
      <c r="DS67" s="199">
        <f t="shared" si="422"/>
        <v>0</v>
      </c>
      <c r="DT67" s="198" t="e">
        <f t="shared" si="423"/>
        <v>#DIV/0!</v>
      </c>
      <c r="DU67" s="199">
        <f t="shared" si="424"/>
        <v>0</v>
      </c>
      <c r="DV67" s="198" t="e">
        <f t="shared" si="425"/>
        <v>#DIV/0!</v>
      </c>
      <c r="DW67" s="199">
        <f t="shared" si="426"/>
        <v>0</v>
      </c>
      <c r="DX67" s="198" t="e">
        <f t="shared" si="427"/>
        <v>#DIV/0!</v>
      </c>
      <c r="DY67" s="199">
        <f t="shared" si="428"/>
        <v>0</v>
      </c>
      <c r="DZ67" s="190" t="e">
        <f t="shared" si="429"/>
        <v>#DIV/0!</v>
      </c>
      <c r="EA67" s="199">
        <f t="shared" si="396"/>
        <v>0</v>
      </c>
      <c r="EB67" s="190" t="e">
        <f t="shared" si="430"/>
        <v>#DIV/0!</v>
      </c>
      <c r="EC67" s="190" t="e">
        <f t="shared" si="431"/>
        <v>#DIV/0!</v>
      </c>
    </row>
    <row r="68" spans="1:133" x14ac:dyDescent="0.2">
      <c r="A68" s="66" t="s">
        <v>40</v>
      </c>
      <c r="B68" s="38">
        <f>targets!AW65</f>
        <v>0</v>
      </c>
      <c r="C68" s="245">
        <f>targets!AX65</f>
        <v>0</v>
      </c>
      <c r="D68" s="245">
        <f>targets!AY65</f>
        <v>0</v>
      </c>
      <c r="E68" s="245">
        <f>targets!AZ65</f>
        <v>0</v>
      </c>
      <c r="F68" s="245">
        <f>targets!BA65</f>
        <v>0</v>
      </c>
      <c r="G68" s="245">
        <f>SUM(targets!BB65:BG65)</f>
        <v>0</v>
      </c>
      <c r="H68" s="39">
        <f>SUM(targets!BH65:BM65)</f>
        <v>3754.9539956781186</v>
      </c>
      <c r="I68" s="246">
        <f t="shared" si="397"/>
        <v>3754.9539956781186</v>
      </c>
      <c r="J68" s="245">
        <f>targets!BN65</f>
        <v>0</v>
      </c>
      <c r="K68" s="245">
        <f>targets!BO65</f>
        <v>0</v>
      </c>
      <c r="L68" s="245">
        <f>targets!BP65</f>
        <v>0</v>
      </c>
      <c r="M68" s="178">
        <f t="shared" si="432"/>
        <v>0</v>
      </c>
      <c r="N68" s="17">
        <f t="shared" si="398"/>
        <v>3754.9539956781186</v>
      </c>
      <c r="O68" s="17"/>
      <c r="P68" s="17"/>
      <c r="Q68" s="66" t="s">
        <v>40</v>
      </c>
      <c r="R68" s="38">
        <f t="shared" si="362"/>
        <v>0</v>
      </c>
      <c r="S68" s="245">
        <f t="shared" si="363"/>
        <v>0</v>
      </c>
      <c r="T68" s="245">
        <f t="shared" si="364"/>
        <v>0</v>
      </c>
      <c r="U68" s="245">
        <f t="shared" si="365"/>
        <v>0</v>
      </c>
      <c r="V68" s="245">
        <f t="shared" si="366"/>
        <v>0</v>
      </c>
      <c r="W68" s="245">
        <f t="shared" si="367"/>
        <v>0</v>
      </c>
      <c r="X68" s="39">
        <f t="shared" si="368"/>
        <v>0</v>
      </c>
      <c r="Y68" s="246">
        <f t="shared" si="399"/>
        <v>0</v>
      </c>
      <c r="Z68" s="245" t="e">
        <f t="shared" si="369"/>
        <v>#DIV/0!</v>
      </c>
      <c r="AA68" s="245" t="e">
        <f t="shared" si="370"/>
        <v>#DIV/0!</v>
      </c>
      <c r="AB68" s="245" t="e">
        <f t="shared" si="371"/>
        <v>#DIV/0!</v>
      </c>
      <c r="AC68" s="178" t="e">
        <f t="shared" si="433"/>
        <v>#DIV/0!</v>
      </c>
      <c r="AD68" s="17" t="e">
        <f t="shared" si="400"/>
        <v>#DIV/0!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5">
        <f t="array" ref="AH68">SUM(IF((modeldata!$F:$F=calibration!$AF$54)*(modeldata!$G:$G=calibration!AH$56)*(modeldata!$H:$H=calibration!$AF68),modeldata!$E:$E,0))</f>
        <v>0</v>
      </c>
      <c r="AI68" s="245">
        <f t="array" ref="AI68">SUM(IF((modeldata!$F:$F=calibration!$AF$54)*(modeldata!$G:$G=calibration!AI$56)*(modeldata!$H:$H=calibration!$AF68),modeldata!$E:$E,0))</f>
        <v>0</v>
      </c>
      <c r="AJ68" s="245">
        <f t="array" ref="AJ68">SUM(IF((modeldata!$F:$F=calibration!$AF$54)*(modeldata!$G:$G=calibration!AJ$56)*(modeldata!$H:$H=calibration!$AF68),modeldata!$E:$E,0))</f>
        <v>0</v>
      </c>
      <c r="AK68" s="245">
        <f t="array" ref="AK68">SUM(IF((modeldata!$F:$F=calibration!$AF$54)*(modeldata!$G:$G=calibration!AK$56)*(modeldata!$H:$H=calibration!$AF68),modeldata!$E:$E,0))</f>
        <v>0</v>
      </c>
      <c r="AL68" s="245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6"/>
      <c r="AO68" s="245">
        <f t="array" ref="AO68">SUM(IF((modeldata!$F:$F=calibration!$AF$54)*(modeldata!$G:$G=calibration!AO$56)*(modeldata!$H:$H=calibration!$AF68),modeldata!$E:$E,0))</f>
        <v>0</v>
      </c>
      <c r="AP68" s="245">
        <f t="array" ref="AP68">SUM(IF((modeldata!$F:$F=calibration!$AF$54)*(modeldata!$G:$G=calibration!AP$56)*(modeldata!$H:$H=calibration!$AF68),modeldata!$E:$E,0))</f>
        <v>0</v>
      </c>
      <c r="AQ68" s="245">
        <f t="array" ref="AQ68">SUM(IF((modeldata!$F:$F=calibration!$AF$54)*(modeldata!$G:$G=calibration!AQ$56)*(modeldata!$H:$H=calibration!$AF68),modeldata!$E:$E,0))</f>
        <v>0</v>
      </c>
      <c r="AR68" s="178">
        <f t="shared" si="434"/>
        <v>0</v>
      </c>
      <c r="AS68" s="17">
        <f t="shared" si="402"/>
        <v>0</v>
      </c>
      <c r="AU68" s="66" t="s">
        <v>40</v>
      </c>
      <c r="AV68" s="38">
        <f t="shared" ref="AV68:BG68" si="455">IF(R77&gt;0,R68/R77,0)</f>
        <v>0</v>
      </c>
      <c r="AW68" s="245">
        <f t="shared" si="455"/>
        <v>0</v>
      </c>
      <c r="AX68" s="245">
        <f t="shared" si="455"/>
        <v>0</v>
      </c>
      <c r="AY68" s="245">
        <f t="shared" si="455"/>
        <v>0</v>
      </c>
      <c r="AZ68" s="245">
        <f t="shared" si="455"/>
        <v>0</v>
      </c>
      <c r="BA68" s="245">
        <f t="shared" si="455"/>
        <v>0</v>
      </c>
      <c r="BB68" s="39">
        <f t="shared" si="455"/>
        <v>0</v>
      </c>
      <c r="BC68" s="246">
        <f t="shared" si="455"/>
        <v>0</v>
      </c>
      <c r="BD68" s="245" t="e">
        <f t="shared" si="455"/>
        <v>#DIV/0!</v>
      </c>
      <c r="BE68" s="245" t="e">
        <f t="shared" si="455"/>
        <v>#DIV/0!</v>
      </c>
      <c r="BF68" s="245" t="e">
        <f t="shared" si="455"/>
        <v>#DIV/0!</v>
      </c>
      <c r="BG68" s="178" t="e">
        <f t="shared" si="455"/>
        <v>#DIV/0!</v>
      </c>
      <c r="BH68" s="24" t="e">
        <f>AD68/AD77</f>
        <v>#DIV/0!</v>
      </c>
      <c r="BJ68" s="66" t="s">
        <v>40</v>
      </c>
      <c r="BK68" s="38">
        <f t="shared" ref="BK68:BV68" si="456">IF(AG77&gt;0,AG68/AG77,0)</f>
        <v>0</v>
      </c>
      <c r="BL68" s="245">
        <f t="shared" si="456"/>
        <v>0</v>
      </c>
      <c r="BM68" s="245">
        <f t="shared" si="456"/>
        <v>0</v>
      </c>
      <c r="BN68" s="245">
        <f t="shared" si="456"/>
        <v>0</v>
      </c>
      <c r="BO68" s="245">
        <f t="shared" si="456"/>
        <v>0</v>
      </c>
      <c r="BP68" s="245">
        <f t="shared" si="456"/>
        <v>0</v>
      </c>
      <c r="BQ68" s="39">
        <f t="shared" si="456"/>
        <v>0</v>
      </c>
      <c r="BR68" s="246">
        <f t="shared" si="456"/>
        <v>0</v>
      </c>
      <c r="BS68" s="245">
        <f t="shared" si="456"/>
        <v>0</v>
      </c>
      <c r="BT68" s="245">
        <f t="shared" si="456"/>
        <v>0</v>
      </c>
      <c r="BU68" s="245">
        <f t="shared" si="456"/>
        <v>0</v>
      </c>
      <c r="BV68" s="178">
        <f t="shared" si="456"/>
        <v>0</v>
      </c>
      <c r="BW68" s="24" t="e">
        <f>AS68/AS77</f>
        <v>#DIV/0!</v>
      </c>
      <c r="BX68" s="24"/>
      <c r="BY68" s="66" t="s">
        <v>40</v>
      </c>
      <c r="BZ68" s="54">
        <f t="shared" si="405"/>
        <v>0</v>
      </c>
      <c r="CA68" s="55">
        <f t="shared" si="374"/>
        <v>0</v>
      </c>
      <c r="CB68" s="55">
        <f t="shared" si="375"/>
        <v>0</v>
      </c>
      <c r="CC68" s="55">
        <f t="shared" si="376"/>
        <v>0</v>
      </c>
      <c r="CD68" s="55">
        <f t="shared" si="377"/>
        <v>0</v>
      </c>
      <c r="CE68" s="55">
        <f t="shared" si="378"/>
        <v>0</v>
      </c>
      <c r="CF68" s="59">
        <f t="shared" si="379"/>
        <v>0</v>
      </c>
      <c r="CG68" s="249">
        <f t="shared" si="380"/>
        <v>0</v>
      </c>
      <c r="CH68" s="55" t="e">
        <f t="shared" si="381"/>
        <v>#DIV/0!</v>
      </c>
      <c r="CI68" s="55" t="e">
        <f t="shared" si="382"/>
        <v>#DIV/0!</v>
      </c>
      <c r="CJ68" s="55" t="e">
        <f t="shared" si="383"/>
        <v>#DIV/0!</v>
      </c>
      <c r="CK68" s="252" t="e">
        <f t="shared" si="383"/>
        <v>#DIV/0!</v>
      </c>
      <c r="CL68" s="55" t="e">
        <f t="shared" si="384"/>
        <v>#DIV/0!</v>
      </c>
      <c r="CN68" s="66" t="s">
        <v>40</v>
      </c>
      <c r="CO68" s="54">
        <f t="shared" si="406"/>
        <v>0</v>
      </c>
      <c r="CP68" s="55">
        <f t="shared" si="385"/>
        <v>0</v>
      </c>
      <c r="CQ68" s="55">
        <f t="shared" si="386"/>
        <v>0</v>
      </c>
      <c r="CR68" s="55">
        <f t="shared" si="387"/>
        <v>0</v>
      </c>
      <c r="CS68" s="55">
        <f t="shared" si="388"/>
        <v>0</v>
      </c>
      <c r="CT68" s="55">
        <f t="shared" si="389"/>
        <v>0</v>
      </c>
      <c r="CU68" s="59">
        <f t="shared" si="390"/>
        <v>0</v>
      </c>
      <c r="CV68" s="249">
        <f t="shared" si="391"/>
        <v>0</v>
      </c>
      <c r="CW68" s="55" t="e">
        <f t="shared" si="392"/>
        <v>#DIV/0!</v>
      </c>
      <c r="CX68" s="55" t="e">
        <f t="shared" si="393"/>
        <v>#DIV/0!</v>
      </c>
      <c r="CY68" s="55" t="e">
        <f t="shared" si="394"/>
        <v>#DIV/0!</v>
      </c>
      <c r="CZ68" s="252" t="e">
        <f t="shared" si="394"/>
        <v>#DIV/0!</v>
      </c>
      <c r="DA68" s="62" t="e">
        <f t="shared" si="395"/>
        <v>#DIV/0!</v>
      </c>
      <c r="DC68" s="66" t="s">
        <v>40</v>
      </c>
      <c r="DD68" s="198">
        <f t="shared" si="407"/>
        <v>0</v>
      </c>
      <c r="DE68" s="199">
        <f t="shared" si="408"/>
        <v>0</v>
      </c>
      <c r="DF68" s="198">
        <f t="shared" si="409"/>
        <v>0</v>
      </c>
      <c r="DG68" s="199">
        <f t="shared" si="410"/>
        <v>0</v>
      </c>
      <c r="DH68" s="198">
        <f t="shared" si="411"/>
        <v>0</v>
      </c>
      <c r="DI68" s="199">
        <f t="shared" si="412"/>
        <v>0</v>
      </c>
      <c r="DJ68" s="198">
        <f t="shared" si="413"/>
        <v>0</v>
      </c>
      <c r="DK68" s="199">
        <f t="shared" si="414"/>
        <v>0</v>
      </c>
      <c r="DL68" s="198">
        <f t="shared" si="415"/>
        <v>0</v>
      </c>
      <c r="DM68" s="199">
        <f t="shared" si="416"/>
        <v>0</v>
      </c>
      <c r="DN68" s="198">
        <f t="shared" si="417"/>
        <v>0</v>
      </c>
      <c r="DO68" s="199">
        <f t="shared" si="418"/>
        <v>0</v>
      </c>
      <c r="DP68" s="195">
        <f t="shared" si="419"/>
        <v>0</v>
      </c>
      <c r="DQ68" s="196">
        <f t="shared" si="420"/>
        <v>0</v>
      </c>
      <c r="DR68" s="198">
        <f t="shared" si="421"/>
        <v>0</v>
      </c>
      <c r="DS68" s="199">
        <f t="shared" si="422"/>
        <v>0</v>
      </c>
      <c r="DT68" s="198" t="e">
        <f t="shared" si="423"/>
        <v>#DIV/0!</v>
      </c>
      <c r="DU68" s="199">
        <f t="shared" si="424"/>
        <v>0</v>
      </c>
      <c r="DV68" s="198" t="e">
        <f t="shared" si="425"/>
        <v>#DIV/0!</v>
      </c>
      <c r="DW68" s="199">
        <f t="shared" si="426"/>
        <v>0</v>
      </c>
      <c r="DX68" s="198" t="e">
        <f t="shared" si="427"/>
        <v>#DIV/0!</v>
      </c>
      <c r="DY68" s="199">
        <f t="shared" si="428"/>
        <v>0</v>
      </c>
      <c r="DZ68" s="190" t="e">
        <f t="shared" si="429"/>
        <v>#DIV/0!</v>
      </c>
      <c r="EA68" s="199">
        <f t="shared" si="396"/>
        <v>0</v>
      </c>
      <c r="EB68" s="190" t="e">
        <f t="shared" si="430"/>
        <v>#DIV/0!</v>
      </c>
      <c r="EC68" s="190" t="e">
        <f t="shared" si="431"/>
        <v>#DIV/0!</v>
      </c>
    </row>
    <row r="69" spans="1:133" ht="25.5" x14ac:dyDescent="0.2">
      <c r="A69" s="66" t="s">
        <v>347</v>
      </c>
      <c r="B69" s="38">
        <f>targets!AW66</f>
        <v>0</v>
      </c>
      <c r="C69" s="245">
        <f>targets!AX66</f>
        <v>0</v>
      </c>
      <c r="D69" s="245">
        <f>targets!AY66</f>
        <v>0</v>
      </c>
      <c r="E69" s="245">
        <f>targets!AZ66</f>
        <v>0</v>
      </c>
      <c r="F69" s="245">
        <f>targets!BA66</f>
        <v>0</v>
      </c>
      <c r="G69" s="245">
        <f>SUM(targets!BB66:BG66)</f>
        <v>0</v>
      </c>
      <c r="H69" s="40">
        <f>SUM(targets!BH66:BM66)</f>
        <v>134.1050040902484</v>
      </c>
      <c r="I69" s="246">
        <f t="shared" si="397"/>
        <v>134.1050040902484</v>
      </c>
      <c r="J69" s="245">
        <f>targets!BN66</f>
        <v>0</v>
      </c>
      <c r="K69" s="245">
        <f>targets!BO66</f>
        <v>0</v>
      </c>
      <c r="L69" s="245">
        <f>targets!BP66</f>
        <v>0</v>
      </c>
      <c r="M69" s="178">
        <f t="shared" si="432"/>
        <v>0</v>
      </c>
      <c r="N69" s="17">
        <f t="shared" si="398"/>
        <v>134.1050040902484</v>
      </c>
      <c r="O69" s="17"/>
      <c r="P69" s="17"/>
      <c r="Q69" s="66" t="s">
        <v>347</v>
      </c>
      <c r="R69" s="38">
        <f t="shared" si="362"/>
        <v>0</v>
      </c>
      <c r="S69" s="245">
        <f t="shared" si="363"/>
        <v>0</v>
      </c>
      <c r="T69" s="245">
        <f t="shared" si="364"/>
        <v>0</v>
      </c>
      <c r="U69" s="245">
        <f t="shared" si="365"/>
        <v>0</v>
      </c>
      <c r="V69" s="245">
        <f t="shared" si="366"/>
        <v>0</v>
      </c>
      <c r="W69" s="245">
        <f t="shared" si="367"/>
        <v>0</v>
      </c>
      <c r="X69" s="40">
        <f t="shared" si="368"/>
        <v>0</v>
      </c>
      <c r="Y69" s="246">
        <f t="shared" si="399"/>
        <v>0</v>
      </c>
      <c r="Z69" s="245" t="e">
        <f t="shared" si="369"/>
        <v>#DIV/0!</v>
      </c>
      <c r="AA69" s="245" t="e">
        <f t="shared" si="370"/>
        <v>#DIV/0!</v>
      </c>
      <c r="AB69" s="245" t="e">
        <f t="shared" si="371"/>
        <v>#DIV/0!</v>
      </c>
      <c r="AC69" s="178" t="e">
        <f t="shared" si="433"/>
        <v>#DIV/0!</v>
      </c>
      <c r="AD69" s="17" t="e">
        <f t="shared" si="400"/>
        <v>#DIV/0!</v>
      </c>
      <c r="AF69" s="66" t="s">
        <v>347</v>
      </c>
      <c r="AG69" s="38">
        <f t="array" ref="AG69">SUM(IF((modeldata!$F:$F=calibration!$AF$54)*(modeldata!$G:$G=calibration!AG$56)*(modeldata!$H:$H=calibration!$AF69),modeldata!$E:$E,0))</f>
        <v>0</v>
      </c>
      <c r="AH69" s="245">
        <f t="array" ref="AH69">SUM(IF((modeldata!$F:$F=calibration!$AF$54)*(modeldata!$G:$G=calibration!AH$56)*(modeldata!$H:$H=calibration!$AF69),modeldata!$E:$E,0))</f>
        <v>0</v>
      </c>
      <c r="AI69" s="245">
        <f t="array" ref="AI69">SUM(IF((modeldata!$F:$F=calibration!$AF$54)*(modeldata!$G:$G=calibration!AI$56)*(modeldata!$H:$H=calibration!$AF69),modeldata!$E:$E,0))</f>
        <v>0</v>
      </c>
      <c r="AJ69" s="245">
        <f t="array" ref="AJ69">SUM(IF((modeldata!$F:$F=calibration!$AF$54)*(modeldata!$G:$G=calibration!AJ$56)*(modeldata!$H:$H=calibration!$AF69),modeldata!$E:$E,0))</f>
        <v>0</v>
      </c>
      <c r="AK69" s="245">
        <f t="array" ref="AK69">SUM(IF((modeldata!$F:$F=calibration!$AF$54)*(modeldata!$G:$G=calibration!AK$56)*(modeldata!$H:$H=calibration!$AF69),modeldata!$E:$E,0))</f>
        <v>0</v>
      </c>
      <c r="AL69" s="245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6"/>
      <c r="AO69" s="245">
        <f t="array" ref="AO69">SUM(IF((modeldata!$F:$F=calibration!$AF$54)*(modeldata!$G:$G=calibration!AO$56)*(modeldata!$H:$H=calibration!$AF69),modeldata!$E:$E,0))</f>
        <v>0</v>
      </c>
      <c r="AP69" s="245">
        <f t="array" ref="AP69">SUM(IF((modeldata!$F:$F=calibration!$AF$54)*(modeldata!$G:$G=calibration!AP$56)*(modeldata!$H:$H=calibration!$AF69),modeldata!$E:$E,0))</f>
        <v>0</v>
      </c>
      <c r="AQ69" s="245">
        <f t="array" ref="AQ69">SUM(IF((modeldata!$F:$F=calibration!$AF$54)*(modeldata!$G:$G=calibration!AQ$56)*(modeldata!$H:$H=calibration!$AF69),modeldata!$E:$E,0))</f>
        <v>0</v>
      </c>
      <c r="AR69" s="178">
        <f t="shared" si="434"/>
        <v>0</v>
      </c>
      <c r="AS69" s="17">
        <f t="shared" si="402"/>
        <v>0</v>
      </c>
      <c r="AU69" s="66" t="s">
        <v>347</v>
      </c>
      <c r="AV69" s="38">
        <f t="shared" ref="AV69:BG69" si="457">IF(R77&gt;0,R69/R77,0)</f>
        <v>0</v>
      </c>
      <c r="AW69" s="245">
        <f t="shared" si="457"/>
        <v>0</v>
      </c>
      <c r="AX69" s="245">
        <f t="shared" si="457"/>
        <v>0</v>
      </c>
      <c r="AY69" s="245">
        <f t="shared" si="457"/>
        <v>0</v>
      </c>
      <c r="AZ69" s="245">
        <f t="shared" si="457"/>
        <v>0</v>
      </c>
      <c r="BA69" s="245">
        <f t="shared" si="457"/>
        <v>0</v>
      </c>
      <c r="BB69" s="40">
        <f t="shared" si="457"/>
        <v>0</v>
      </c>
      <c r="BC69" s="246">
        <f t="shared" si="457"/>
        <v>0</v>
      </c>
      <c r="BD69" s="245" t="e">
        <f t="shared" si="457"/>
        <v>#DIV/0!</v>
      </c>
      <c r="BE69" s="245" t="e">
        <f t="shared" si="457"/>
        <v>#DIV/0!</v>
      </c>
      <c r="BF69" s="245" t="e">
        <f t="shared" si="457"/>
        <v>#DIV/0!</v>
      </c>
      <c r="BG69" s="178" t="e">
        <f t="shared" si="457"/>
        <v>#DIV/0!</v>
      </c>
      <c r="BH69" s="24" t="e">
        <f>AD69/AD77</f>
        <v>#DIV/0!</v>
      </c>
      <c r="BJ69" s="66" t="s">
        <v>347</v>
      </c>
      <c r="BK69" s="38">
        <f t="shared" ref="BK69:BV69" si="458">IF(AG77&gt;0,AG69/AG77,0)</f>
        <v>0</v>
      </c>
      <c r="BL69" s="245">
        <f t="shared" si="458"/>
        <v>0</v>
      </c>
      <c r="BM69" s="245">
        <f t="shared" si="458"/>
        <v>0</v>
      </c>
      <c r="BN69" s="245">
        <f t="shared" si="458"/>
        <v>0</v>
      </c>
      <c r="BO69" s="245">
        <f t="shared" si="458"/>
        <v>0</v>
      </c>
      <c r="BP69" s="245">
        <f t="shared" si="458"/>
        <v>0</v>
      </c>
      <c r="BQ69" s="40">
        <f t="shared" si="458"/>
        <v>0</v>
      </c>
      <c r="BR69" s="246">
        <f t="shared" si="458"/>
        <v>0</v>
      </c>
      <c r="BS69" s="245">
        <f t="shared" si="458"/>
        <v>0</v>
      </c>
      <c r="BT69" s="245">
        <f t="shared" si="458"/>
        <v>0</v>
      </c>
      <c r="BU69" s="245">
        <f t="shared" si="458"/>
        <v>0</v>
      </c>
      <c r="BV69" s="178">
        <f t="shared" si="458"/>
        <v>0</v>
      </c>
      <c r="BW69" s="24" t="e">
        <f>AS69/AS77</f>
        <v>#DIV/0!</v>
      </c>
      <c r="BX69" s="24"/>
      <c r="BY69" s="66" t="s">
        <v>347</v>
      </c>
      <c r="BZ69" s="54">
        <f t="shared" si="405"/>
        <v>0</v>
      </c>
      <c r="CA69" s="55">
        <f t="shared" si="374"/>
        <v>0</v>
      </c>
      <c r="CB69" s="55">
        <f t="shared" si="375"/>
        <v>0</v>
      </c>
      <c r="CC69" s="55">
        <f t="shared" si="376"/>
        <v>0</v>
      </c>
      <c r="CD69" s="55">
        <f t="shared" si="377"/>
        <v>0</v>
      </c>
      <c r="CE69" s="55">
        <f t="shared" si="378"/>
        <v>0</v>
      </c>
      <c r="CF69" s="60">
        <f t="shared" si="379"/>
        <v>0</v>
      </c>
      <c r="CG69" s="249">
        <f t="shared" si="380"/>
        <v>0</v>
      </c>
      <c r="CH69" s="55" t="e">
        <f t="shared" si="381"/>
        <v>#DIV/0!</v>
      </c>
      <c r="CI69" s="55" t="e">
        <f t="shared" si="382"/>
        <v>#DIV/0!</v>
      </c>
      <c r="CJ69" s="55" t="e">
        <f t="shared" si="383"/>
        <v>#DIV/0!</v>
      </c>
      <c r="CK69" s="252" t="e">
        <f t="shared" si="383"/>
        <v>#DIV/0!</v>
      </c>
      <c r="CL69" s="55" t="e">
        <f t="shared" si="384"/>
        <v>#DIV/0!</v>
      </c>
      <c r="CN69" s="66" t="s">
        <v>347</v>
      </c>
      <c r="CO69" s="54">
        <f t="shared" si="406"/>
        <v>0</v>
      </c>
      <c r="CP69" s="55">
        <f t="shared" si="385"/>
        <v>0</v>
      </c>
      <c r="CQ69" s="55">
        <f t="shared" si="386"/>
        <v>0</v>
      </c>
      <c r="CR69" s="55">
        <f t="shared" si="387"/>
        <v>0</v>
      </c>
      <c r="CS69" s="55">
        <f t="shared" si="388"/>
        <v>0</v>
      </c>
      <c r="CT69" s="55">
        <f t="shared" si="389"/>
        <v>0</v>
      </c>
      <c r="CU69" s="60">
        <f t="shared" si="390"/>
        <v>0</v>
      </c>
      <c r="CV69" s="249">
        <f t="shared" si="391"/>
        <v>0</v>
      </c>
      <c r="CW69" s="55" t="e">
        <f t="shared" si="392"/>
        <v>#DIV/0!</v>
      </c>
      <c r="CX69" s="55" t="e">
        <f t="shared" si="393"/>
        <v>#DIV/0!</v>
      </c>
      <c r="CY69" s="55" t="e">
        <f t="shared" si="394"/>
        <v>#DIV/0!</v>
      </c>
      <c r="CZ69" s="252" t="e">
        <f t="shared" si="394"/>
        <v>#DIV/0!</v>
      </c>
      <c r="DA69" s="62" t="e">
        <f t="shared" si="395"/>
        <v>#DIV/0!</v>
      </c>
      <c r="DC69" s="66" t="s">
        <v>347</v>
      </c>
      <c r="DD69" s="198">
        <f t="shared" si="407"/>
        <v>0</v>
      </c>
      <c r="DE69" s="199">
        <f t="shared" si="408"/>
        <v>0</v>
      </c>
      <c r="DF69" s="198">
        <f t="shared" si="409"/>
        <v>0</v>
      </c>
      <c r="DG69" s="199">
        <f t="shared" si="410"/>
        <v>0</v>
      </c>
      <c r="DH69" s="198">
        <f t="shared" si="411"/>
        <v>0</v>
      </c>
      <c r="DI69" s="199">
        <f t="shared" si="412"/>
        <v>0</v>
      </c>
      <c r="DJ69" s="198">
        <f t="shared" si="413"/>
        <v>0</v>
      </c>
      <c r="DK69" s="199">
        <f t="shared" si="414"/>
        <v>0</v>
      </c>
      <c r="DL69" s="198">
        <f t="shared" si="415"/>
        <v>0</v>
      </c>
      <c r="DM69" s="199">
        <f t="shared" si="416"/>
        <v>0</v>
      </c>
      <c r="DN69" s="198">
        <f t="shared" si="417"/>
        <v>0</v>
      </c>
      <c r="DO69" s="199">
        <f t="shared" si="418"/>
        <v>0</v>
      </c>
      <c r="DP69" s="198">
        <f t="shared" si="419"/>
        <v>0</v>
      </c>
      <c r="DQ69" s="199">
        <f t="shared" si="420"/>
        <v>0</v>
      </c>
      <c r="DR69" s="198">
        <f t="shared" si="421"/>
        <v>0</v>
      </c>
      <c r="DS69" s="199">
        <f t="shared" si="422"/>
        <v>0</v>
      </c>
      <c r="DT69" s="198" t="e">
        <f t="shared" si="423"/>
        <v>#DIV/0!</v>
      </c>
      <c r="DU69" s="199">
        <f t="shared" si="424"/>
        <v>0</v>
      </c>
      <c r="DV69" s="198" t="e">
        <f t="shared" si="425"/>
        <v>#DIV/0!</v>
      </c>
      <c r="DW69" s="199">
        <f t="shared" si="426"/>
        <v>0</v>
      </c>
      <c r="DX69" s="198" t="e">
        <f t="shared" si="427"/>
        <v>#DIV/0!</v>
      </c>
      <c r="DY69" s="199">
        <f t="shared" si="428"/>
        <v>0</v>
      </c>
      <c r="DZ69" s="190" t="e">
        <f t="shared" si="429"/>
        <v>#DIV/0!</v>
      </c>
      <c r="EA69" s="199">
        <f t="shared" si="396"/>
        <v>0</v>
      </c>
      <c r="EB69" s="190" t="e">
        <f t="shared" si="430"/>
        <v>#DIV/0!</v>
      </c>
      <c r="EC69" s="190" t="e">
        <f t="shared" si="431"/>
        <v>#DIV/0!</v>
      </c>
    </row>
    <row r="70" spans="1:133" x14ac:dyDescent="0.2">
      <c r="A70" s="2" t="s">
        <v>350</v>
      </c>
      <c r="B70" s="38">
        <f>targets!AW67</f>
        <v>0</v>
      </c>
      <c r="C70" s="245">
        <f>targets!AX67</f>
        <v>0</v>
      </c>
      <c r="D70" s="245">
        <f>targets!AY67</f>
        <v>0</v>
      </c>
      <c r="E70" s="245">
        <f>targets!AZ67</f>
        <v>0</v>
      </c>
      <c r="F70" s="245">
        <f>targets!BA67</f>
        <v>0</v>
      </c>
      <c r="G70" s="245">
        <f>SUM(targets!BB67:BG67)</f>
        <v>0</v>
      </c>
      <c r="H70" s="40">
        <f>SUM(targets!BH67:BM67)</f>
        <v>0</v>
      </c>
      <c r="I70" s="246">
        <f t="shared" ref="I70" si="459">SUM(G70:H70)</f>
        <v>0</v>
      </c>
      <c r="J70" s="245">
        <f>targets!BN67</f>
        <v>0</v>
      </c>
      <c r="K70" s="245">
        <f>targets!BO67</f>
        <v>0</v>
      </c>
      <c r="L70" s="245">
        <f>targets!BP67</f>
        <v>0</v>
      </c>
      <c r="M70" s="178">
        <f t="shared" ref="M70" si="460">SUM(J70:L70)</f>
        <v>0</v>
      </c>
      <c r="N70" s="17">
        <f t="shared" ref="N70" si="461">SUM(B70:L70)-I70</f>
        <v>0</v>
      </c>
      <c r="O70" s="17"/>
      <c r="P70" s="17"/>
      <c r="Q70" s="2" t="s">
        <v>350</v>
      </c>
      <c r="R70" s="38">
        <f t="shared" si="362"/>
        <v>0</v>
      </c>
      <c r="S70" s="245">
        <f t="shared" si="363"/>
        <v>0</v>
      </c>
      <c r="T70" s="245">
        <f t="shared" si="364"/>
        <v>0</v>
      </c>
      <c r="U70" s="245">
        <f t="shared" si="365"/>
        <v>0</v>
      </c>
      <c r="V70" s="245">
        <f t="shared" si="366"/>
        <v>0</v>
      </c>
      <c r="W70" s="245">
        <f t="shared" si="367"/>
        <v>0</v>
      </c>
      <c r="X70" s="40">
        <f t="shared" si="368"/>
        <v>0</v>
      </c>
      <c r="Y70" s="246">
        <f t="shared" ref="Y70" si="462">SUM(W70:X70)</f>
        <v>0</v>
      </c>
      <c r="Z70" s="245" t="e">
        <f t="shared" si="369"/>
        <v>#DIV/0!</v>
      </c>
      <c r="AA70" s="245" t="e">
        <f t="shared" si="370"/>
        <v>#DIV/0!</v>
      </c>
      <c r="AB70" s="245" t="e">
        <f t="shared" si="371"/>
        <v>#DIV/0!</v>
      </c>
      <c r="AC70" s="178" t="e">
        <f t="shared" ref="AC70" si="463">SUM(Z70:AB70)</f>
        <v>#DIV/0!</v>
      </c>
      <c r="AD70" s="17" t="e">
        <f t="shared" ref="AD70" si="464">SUM(R70:AB70)-Y70</f>
        <v>#DIV/0!</v>
      </c>
      <c r="AF70" s="2" t="s">
        <v>350</v>
      </c>
      <c r="AG70" s="38">
        <f t="array" ref="AG70">SUM(IF((modeldata!$F:$F=calibration!$AF$54)*(modeldata!$G:$G=calibration!AG$56)*(modeldata!$H:$H=calibration!$AF70),modeldata!$E:$E,0))</f>
        <v>0</v>
      </c>
      <c r="AH70" s="245">
        <f t="array" ref="AH70">SUM(IF((modeldata!$F:$F=calibration!$AF$54)*(modeldata!$G:$G=calibration!AH$56)*(modeldata!$H:$H=calibration!$AF70),modeldata!$E:$E,0))</f>
        <v>0</v>
      </c>
      <c r="AI70" s="245">
        <f t="array" ref="AI70">SUM(IF((modeldata!$F:$F=calibration!$AF$54)*(modeldata!$G:$G=calibration!AI$56)*(modeldata!$H:$H=calibration!$AF70),modeldata!$E:$E,0))</f>
        <v>0</v>
      </c>
      <c r="AJ70" s="245">
        <f t="array" ref="AJ70">SUM(IF((modeldata!$F:$F=calibration!$AF$54)*(modeldata!$G:$G=calibration!AJ$56)*(modeldata!$H:$H=calibration!$AF70),modeldata!$E:$E,0))</f>
        <v>0</v>
      </c>
      <c r="AK70" s="245">
        <f t="array" ref="AK70">SUM(IF((modeldata!$F:$F=calibration!$AF$54)*(modeldata!$G:$G=calibration!AK$56)*(modeldata!$H:$H=calibration!$AF70),modeldata!$E:$E,0))</f>
        <v>0</v>
      </c>
      <c r="AL70" s="245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6"/>
      <c r="AO70" s="245">
        <f t="array" ref="AO70">SUM(IF((modeldata!$F:$F=calibration!$AF$54)*(modeldata!$G:$G=calibration!AO$56)*(modeldata!$H:$H=calibration!$AF70),modeldata!$E:$E,0))</f>
        <v>0</v>
      </c>
      <c r="AP70" s="245">
        <f t="array" ref="AP70">SUM(IF((modeldata!$F:$F=calibration!$AF$54)*(modeldata!$G:$G=calibration!AP$56)*(modeldata!$H:$H=calibration!$AF70),modeldata!$E:$E,0))</f>
        <v>0</v>
      </c>
      <c r="AQ70" s="245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350</v>
      </c>
      <c r="AV70" s="38">
        <f t="shared" ref="AV70:BG70" si="465">IF(R79&gt;0,R70/R79,0)</f>
        <v>0</v>
      </c>
      <c r="AW70" s="245">
        <f t="shared" si="465"/>
        <v>0</v>
      </c>
      <c r="AX70" s="245">
        <f t="shared" si="465"/>
        <v>0</v>
      </c>
      <c r="AY70" s="245">
        <f t="shared" si="465"/>
        <v>0</v>
      </c>
      <c r="AZ70" s="245">
        <f t="shared" si="465"/>
        <v>0</v>
      </c>
      <c r="BA70" s="245">
        <f t="shared" si="465"/>
        <v>0</v>
      </c>
      <c r="BB70" s="40">
        <f t="shared" si="465"/>
        <v>0</v>
      </c>
      <c r="BC70" s="246">
        <f t="shared" si="465"/>
        <v>0</v>
      </c>
      <c r="BD70" s="245">
        <f t="shared" si="465"/>
        <v>0</v>
      </c>
      <c r="BE70" s="245">
        <f t="shared" si="465"/>
        <v>0</v>
      </c>
      <c r="BF70" s="245">
        <f t="shared" si="465"/>
        <v>0</v>
      </c>
      <c r="BG70" s="178">
        <f t="shared" si="465"/>
        <v>0</v>
      </c>
      <c r="BH70" s="24" t="e">
        <f>AD70/AD79</f>
        <v>#DIV/0!</v>
      </c>
      <c r="BJ70" s="2" t="s">
        <v>350</v>
      </c>
      <c r="BK70" s="38">
        <f t="shared" ref="BK70:BV70" si="466">IF(AG86&gt;0,AG70/AG86,0)</f>
        <v>0</v>
      </c>
      <c r="BL70" s="245">
        <f t="shared" si="466"/>
        <v>0</v>
      </c>
      <c r="BM70" s="245">
        <f t="shared" si="466"/>
        <v>0</v>
      </c>
      <c r="BN70" s="245">
        <f t="shared" si="466"/>
        <v>0</v>
      </c>
      <c r="BO70" s="245">
        <f t="shared" si="466"/>
        <v>0</v>
      </c>
      <c r="BP70" s="245">
        <f t="shared" si="466"/>
        <v>0</v>
      </c>
      <c r="BQ70" s="40">
        <f t="shared" si="466"/>
        <v>0</v>
      </c>
      <c r="BR70" s="246">
        <f t="shared" si="466"/>
        <v>0</v>
      </c>
      <c r="BS70" s="245">
        <f t="shared" si="466"/>
        <v>0</v>
      </c>
      <c r="BT70" s="245">
        <f t="shared" si="466"/>
        <v>0</v>
      </c>
      <c r="BU70" s="245">
        <f t="shared" si="466"/>
        <v>0</v>
      </c>
      <c r="BV70" s="178">
        <f t="shared" si="466"/>
        <v>0</v>
      </c>
      <c r="BW70" s="24" t="e">
        <f>AS70/AS86</f>
        <v>#DIV/0!</v>
      </c>
      <c r="BX70" s="24"/>
      <c r="BY70" s="2" t="s">
        <v>350</v>
      </c>
      <c r="BZ70" s="54">
        <f t="shared" ref="BZ70" si="467">AG70-R70</f>
        <v>0</v>
      </c>
      <c r="CA70" s="55">
        <f t="shared" ref="CA70" si="468">AH70-S70</f>
        <v>0</v>
      </c>
      <c r="CB70" s="55">
        <f t="shared" ref="CB70" si="469">AI70-T70</f>
        <v>0</v>
      </c>
      <c r="CC70" s="55">
        <f t="shared" ref="CC70" si="470">AJ70-U70</f>
        <v>0</v>
      </c>
      <c r="CD70" s="55">
        <f t="shared" ref="CD70" si="471">AK70-V70</f>
        <v>0</v>
      </c>
      <c r="CE70" s="55">
        <f t="shared" ref="CE70" si="472">AL70-W70</f>
        <v>0</v>
      </c>
      <c r="CF70" s="60">
        <f t="shared" ref="CF70" si="473">AM70-X70</f>
        <v>0</v>
      </c>
      <c r="CG70" s="249">
        <f t="shared" ref="CG70" si="474">AN70-Y70</f>
        <v>0</v>
      </c>
      <c r="CH70" s="55" t="e">
        <f t="shared" ref="CH70" si="475">AO70-Z70</f>
        <v>#DIV/0!</v>
      </c>
      <c r="CI70" s="55" t="e">
        <f t="shared" ref="CI70" si="476">AP70-AA70</f>
        <v>#DIV/0!</v>
      </c>
      <c r="CJ70" s="55" t="e">
        <f t="shared" ref="CJ70" si="477">AQ70-AB70</f>
        <v>#DIV/0!</v>
      </c>
      <c r="CK70" s="252" t="e">
        <f t="shared" ref="CK70" si="478">AR70-AC70</f>
        <v>#DIV/0!</v>
      </c>
      <c r="CL70" s="55" t="e">
        <f t="shared" ref="CL70" si="479">AS70-AD70</f>
        <v>#DIV/0!</v>
      </c>
      <c r="CN70" s="2" t="s">
        <v>350</v>
      </c>
      <c r="CO70" s="54">
        <f t="shared" ref="CO70" si="480">BK70-AV70</f>
        <v>0</v>
      </c>
      <c r="CP70" s="55">
        <f t="shared" ref="CP70" si="481">BL70-AW70</f>
        <v>0</v>
      </c>
      <c r="CQ70" s="55">
        <f t="shared" ref="CQ70" si="482">BM70-AX70</f>
        <v>0</v>
      </c>
      <c r="CR70" s="55">
        <f t="shared" ref="CR70" si="483">BN70-AY70</f>
        <v>0</v>
      </c>
      <c r="CS70" s="55">
        <f t="shared" ref="CS70" si="484">BO70-AZ70</f>
        <v>0</v>
      </c>
      <c r="CT70" s="55">
        <f t="shared" ref="CT70" si="485">BP70-BA70</f>
        <v>0</v>
      </c>
      <c r="CU70" s="60">
        <f t="shared" ref="CU70" si="486">BQ70-BB70</f>
        <v>0</v>
      </c>
      <c r="CV70" s="249">
        <f t="shared" ref="CV70" si="487">BR70-BC70</f>
        <v>0</v>
      </c>
      <c r="CW70" s="55">
        <f t="shared" ref="CW70" si="488">BS70-BD70</f>
        <v>0</v>
      </c>
      <c r="CX70" s="55">
        <f t="shared" ref="CX70" si="489">BT70-BE70</f>
        <v>0</v>
      </c>
      <c r="CY70" s="55">
        <f t="shared" ref="CY70" si="490">BU70-BF70</f>
        <v>0</v>
      </c>
      <c r="CZ70" s="252">
        <f t="shared" ref="CZ70" si="491">BV70-BG70</f>
        <v>0</v>
      </c>
      <c r="DA70" s="62" t="e">
        <f t="shared" ref="DA70" si="492">BW70-BH70</f>
        <v>#DIV/0!</v>
      </c>
      <c r="DC70" s="2" t="s">
        <v>350</v>
      </c>
      <c r="DD70" s="198">
        <f t="shared" ref="DD70" si="493">AV70</f>
        <v>0</v>
      </c>
      <c r="DE70" s="199">
        <f t="shared" ref="DE70" si="494">BK70</f>
        <v>0</v>
      </c>
      <c r="DF70" s="198">
        <f t="shared" ref="DF70" si="495">AW70</f>
        <v>0</v>
      </c>
      <c r="DG70" s="199">
        <f t="shared" ref="DG70" si="496">BL70</f>
        <v>0</v>
      </c>
      <c r="DH70" s="198">
        <f t="shared" ref="DH70" si="497">AX70</f>
        <v>0</v>
      </c>
      <c r="DI70" s="199">
        <f t="shared" ref="DI70" si="498">BM70</f>
        <v>0</v>
      </c>
      <c r="DJ70" s="198">
        <f t="shared" ref="DJ70" si="499">AY70</f>
        <v>0</v>
      </c>
      <c r="DK70" s="199">
        <f t="shared" ref="DK70" si="500">BN70</f>
        <v>0</v>
      </c>
      <c r="DL70" s="198">
        <f t="shared" ref="DL70" si="501">AZ70</f>
        <v>0</v>
      </c>
      <c r="DM70" s="199">
        <f t="shared" ref="DM70" si="502">BO70</f>
        <v>0</v>
      </c>
      <c r="DN70" s="198">
        <f t="shared" ref="DN70" si="503">BA70</f>
        <v>0</v>
      </c>
      <c r="DO70" s="199">
        <f t="shared" ref="DO70" si="504">BP70</f>
        <v>0</v>
      </c>
      <c r="DP70" s="198">
        <f t="shared" ref="DP70" si="505">BB70</f>
        <v>0</v>
      </c>
      <c r="DQ70" s="199">
        <f t="shared" ref="DQ70" si="506">BQ70</f>
        <v>0</v>
      </c>
      <c r="DR70" s="198">
        <f t="shared" ref="DR70" si="507">BC70</f>
        <v>0</v>
      </c>
      <c r="DS70" s="199">
        <f t="shared" ref="DS70" si="508">BR70</f>
        <v>0</v>
      </c>
      <c r="DT70" s="198">
        <f t="shared" ref="DT70" si="509">BD70</f>
        <v>0</v>
      </c>
      <c r="DU70" s="199">
        <f t="shared" ref="DU70" si="510">BS70</f>
        <v>0</v>
      </c>
      <c r="DV70" s="198">
        <f t="shared" ref="DV70" si="511">BE70</f>
        <v>0</v>
      </c>
      <c r="DW70" s="199">
        <f t="shared" ref="DW70" si="512">BT70</f>
        <v>0</v>
      </c>
      <c r="DX70" s="198">
        <f t="shared" ref="DX70" si="513">BF70</f>
        <v>0</v>
      </c>
      <c r="DY70" s="199">
        <f t="shared" ref="DY70" si="514">BU70</f>
        <v>0</v>
      </c>
      <c r="DZ70" s="190">
        <f t="shared" ref="DZ70" si="515">BG70</f>
        <v>0</v>
      </c>
      <c r="EA70" s="199">
        <f t="shared" ref="EA70" si="516">BV70</f>
        <v>0</v>
      </c>
      <c r="EB70" s="190" t="e">
        <f t="shared" ref="EB70" si="517">BH70</f>
        <v>#DIV/0!</v>
      </c>
      <c r="EC70" s="190" t="e">
        <f t="shared" ref="EC70" si="518">BW70</f>
        <v>#DIV/0!</v>
      </c>
    </row>
    <row r="71" spans="1:133" x14ac:dyDescent="0.2">
      <c r="A71" s="64" t="s">
        <v>50</v>
      </c>
      <c r="B71" s="38">
        <f>targets!AW68</f>
        <v>0</v>
      </c>
      <c r="C71" s="245">
        <f>targets!AX68</f>
        <v>0</v>
      </c>
      <c r="D71" s="245">
        <f>targets!AY68</f>
        <v>0</v>
      </c>
      <c r="E71" s="245">
        <f>targets!AZ68</f>
        <v>0</v>
      </c>
      <c r="F71" s="245">
        <f>targets!BA68</f>
        <v>0</v>
      </c>
      <c r="G71" s="245">
        <f>SUM(targets!BB68:BG68)</f>
        <v>0</v>
      </c>
      <c r="H71" s="40">
        <f>SUM(targets!BH68:BM68)</f>
        <v>0</v>
      </c>
      <c r="I71" s="246">
        <f t="shared" si="397"/>
        <v>0</v>
      </c>
      <c r="J71" s="245">
        <f>targets!BN68</f>
        <v>0</v>
      </c>
      <c r="K71" s="245">
        <f>targets!BO68</f>
        <v>0</v>
      </c>
      <c r="L71" s="245">
        <f>targets!BP68</f>
        <v>0</v>
      </c>
      <c r="M71" s="178">
        <f t="shared" si="432"/>
        <v>0</v>
      </c>
      <c r="N71" s="17">
        <f t="shared" si="398"/>
        <v>0</v>
      </c>
      <c r="O71" s="17"/>
      <c r="P71" s="17"/>
      <c r="Q71" s="64" t="s">
        <v>50</v>
      </c>
      <c r="R71" s="38">
        <f t="shared" si="362"/>
        <v>0</v>
      </c>
      <c r="S71" s="245">
        <f t="shared" si="363"/>
        <v>0</v>
      </c>
      <c r="T71" s="245">
        <f t="shared" si="364"/>
        <v>0</v>
      </c>
      <c r="U71" s="245">
        <f t="shared" si="365"/>
        <v>0</v>
      </c>
      <c r="V71" s="245">
        <f t="shared" si="366"/>
        <v>0</v>
      </c>
      <c r="W71" s="245">
        <f t="shared" si="367"/>
        <v>0</v>
      </c>
      <c r="X71" s="40">
        <f t="shared" si="368"/>
        <v>0</v>
      </c>
      <c r="Y71" s="246">
        <f t="shared" si="399"/>
        <v>0</v>
      </c>
      <c r="Z71" s="245" t="e">
        <f t="shared" si="369"/>
        <v>#DIV/0!</v>
      </c>
      <c r="AA71" s="245" t="e">
        <f t="shared" si="370"/>
        <v>#DIV/0!</v>
      </c>
      <c r="AB71" s="245" t="e">
        <f t="shared" si="371"/>
        <v>#DIV/0!</v>
      </c>
      <c r="AC71" s="178" t="e">
        <f t="shared" si="433"/>
        <v>#DIV/0!</v>
      </c>
      <c r="AD71" s="17" t="e">
        <f t="shared" si="400"/>
        <v>#DIV/0!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5">
        <f t="array" ref="AH71">SUM(IF((modeldata!$F:$F=calibration!$AF$54)*(modeldata!$G:$G=calibration!AH$56)*(modeldata!$H:$H=calibration!$AF71),modeldata!$E:$E,0))</f>
        <v>0</v>
      </c>
      <c r="AI71" s="245">
        <f t="array" ref="AI71">SUM(IF((modeldata!$F:$F=calibration!$AF$54)*(modeldata!$G:$G=calibration!AI$56)*(modeldata!$H:$H=calibration!$AF71),modeldata!$E:$E,0))</f>
        <v>0</v>
      </c>
      <c r="AJ71" s="245">
        <f t="array" ref="AJ71">SUM(IF((modeldata!$F:$F=calibration!$AF$54)*(modeldata!$G:$G=calibration!AJ$56)*(modeldata!$H:$H=calibration!$AF71),modeldata!$E:$E,0))</f>
        <v>0</v>
      </c>
      <c r="AK71" s="245">
        <f t="array" ref="AK71">SUM(IF((modeldata!$F:$F=calibration!$AF$54)*(modeldata!$G:$G=calibration!AK$56)*(modeldata!$H:$H=calibration!$AF71),modeldata!$E:$E,0))</f>
        <v>0</v>
      </c>
      <c r="AL71" s="245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6"/>
      <c r="AO71" s="245">
        <f t="array" ref="AO71">SUM(IF((modeldata!$F:$F=calibration!$AF$54)*(modeldata!$G:$G=calibration!AO$56)*(modeldata!$H:$H=calibration!$AF71),modeldata!$E:$E,0))</f>
        <v>0</v>
      </c>
      <c r="AP71" s="245">
        <f t="array" ref="AP71">SUM(IF((modeldata!$F:$F=calibration!$AF$54)*(modeldata!$G:$G=calibration!AP$56)*(modeldata!$H:$H=calibration!$AF71),modeldata!$E:$E,0))</f>
        <v>0</v>
      </c>
      <c r="AQ71" s="245">
        <f t="array" ref="AQ71">SUM(IF((modeldata!$F:$F=calibration!$AF$54)*(modeldata!$G:$G=calibration!AQ$56)*(modeldata!$H:$H=calibration!$AF71),modeldata!$E:$E,0))</f>
        <v>0</v>
      </c>
      <c r="AR71" s="178">
        <f t="shared" si="434"/>
        <v>0</v>
      </c>
      <c r="AS71" s="17">
        <f t="shared" si="402"/>
        <v>0</v>
      </c>
      <c r="AU71" s="64" t="s">
        <v>50</v>
      </c>
      <c r="AV71" s="38">
        <f t="shared" ref="AV71:BG71" si="519">IF(R77&gt;0,R71/R77,0)</f>
        <v>0</v>
      </c>
      <c r="AW71" s="245">
        <f t="shared" si="519"/>
        <v>0</v>
      </c>
      <c r="AX71" s="245">
        <f t="shared" si="519"/>
        <v>0</v>
      </c>
      <c r="AY71" s="245">
        <f t="shared" si="519"/>
        <v>0</v>
      </c>
      <c r="AZ71" s="245">
        <f t="shared" si="519"/>
        <v>0</v>
      </c>
      <c r="BA71" s="245">
        <f t="shared" si="519"/>
        <v>0</v>
      </c>
      <c r="BB71" s="40">
        <f t="shared" si="519"/>
        <v>0</v>
      </c>
      <c r="BC71" s="246">
        <f t="shared" si="519"/>
        <v>0</v>
      </c>
      <c r="BD71" s="245" t="e">
        <f t="shared" si="519"/>
        <v>#DIV/0!</v>
      </c>
      <c r="BE71" s="245" t="e">
        <f t="shared" si="519"/>
        <v>#DIV/0!</v>
      </c>
      <c r="BF71" s="245" t="e">
        <f t="shared" si="519"/>
        <v>#DIV/0!</v>
      </c>
      <c r="BG71" s="178" t="e">
        <f t="shared" si="519"/>
        <v>#DIV/0!</v>
      </c>
      <c r="BH71" s="24" t="e">
        <f>AD71/AD77</f>
        <v>#DIV/0!</v>
      </c>
      <c r="BJ71" s="64" t="s">
        <v>50</v>
      </c>
      <c r="BK71" s="38">
        <f t="shared" ref="BK71:BV71" si="520">IF(AG77&gt;0,AG71/AG77,0)</f>
        <v>0</v>
      </c>
      <c r="BL71" s="245">
        <f t="shared" si="520"/>
        <v>0</v>
      </c>
      <c r="BM71" s="245">
        <f t="shared" si="520"/>
        <v>0</v>
      </c>
      <c r="BN71" s="245">
        <f t="shared" si="520"/>
        <v>0</v>
      </c>
      <c r="BO71" s="245">
        <f t="shared" si="520"/>
        <v>0</v>
      </c>
      <c r="BP71" s="245">
        <f t="shared" si="520"/>
        <v>0</v>
      </c>
      <c r="BQ71" s="40">
        <f t="shared" si="520"/>
        <v>0</v>
      </c>
      <c r="BR71" s="246">
        <f t="shared" si="520"/>
        <v>0</v>
      </c>
      <c r="BS71" s="245">
        <f t="shared" si="520"/>
        <v>0</v>
      </c>
      <c r="BT71" s="245">
        <f t="shared" si="520"/>
        <v>0</v>
      </c>
      <c r="BU71" s="245">
        <f t="shared" si="520"/>
        <v>0</v>
      </c>
      <c r="BV71" s="178">
        <f t="shared" si="520"/>
        <v>0</v>
      </c>
      <c r="BW71" s="24" t="e">
        <f>AS71/AS77</f>
        <v>#DIV/0!</v>
      </c>
      <c r="BX71" s="24"/>
      <c r="BY71" s="64" t="s">
        <v>50</v>
      </c>
      <c r="BZ71" s="54">
        <f t="shared" si="405"/>
        <v>0</v>
      </c>
      <c r="CA71" s="55">
        <f t="shared" si="374"/>
        <v>0</v>
      </c>
      <c r="CB71" s="55">
        <f t="shared" si="375"/>
        <v>0</v>
      </c>
      <c r="CC71" s="55">
        <f t="shared" si="376"/>
        <v>0</v>
      </c>
      <c r="CD71" s="55">
        <f t="shared" si="377"/>
        <v>0</v>
      </c>
      <c r="CE71" s="55">
        <f t="shared" si="378"/>
        <v>0</v>
      </c>
      <c r="CF71" s="60">
        <f t="shared" si="379"/>
        <v>0</v>
      </c>
      <c r="CG71" s="249">
        <f t="shared" si="380"/>
        <v>0</v>
      </c>
      <c r="CH71" s="55" t="e">
        <f t="shared" si="381"/>
        <v>#DIV/0!</v>
      </c>
      <c r="CI71" s="55" t="e">
        <f t="shared" si="382"/>
        <v>#DIV/0!</v>
      </c>
      <c r="CJ71" s="55" t="e">
        <f t="shared" si="383"/>
        <v>#DIV/0!</v>
      </c>
      <c r="CK71" s="252" t="e">
        <f t="shared" si="383"/>
        <v>#DIV/0!</v>
      </c>
      <c r="CL71" s="55" t="e">
        <f t="shared" si="384"/>
        <v>#DIV/0!</v>
      </c>
      <c r="CN71" s="64" t="s">
        <v>50</v>
      </c>
      <c r="CO71" s="54">
        <f t="shared" si="406"/>
        <v>0</v>
      </c>
      <c r="CP71" s="55">
        <f t="shared" si="385"/>
        <v>0</v>
      </c>
      <c r="CQ71" s="55">
        <f t="shared" si="386"/>
        <v>0</v>
      </c>
      <c r="CR71" s="55">
        <f t="shared" si="387"/>
        <v>0</v>
      </c>
      <c r="CS71" s="55">
        <f t="shared" si="388"/>
        <v>0</v>
      </c>
      <c r="CT71" s="55">
        <f t="shared" si="389"/>
        <v>0</v>
      </c>
      <c r="CU71" s="60">
        <f t="shared" si="390"/>
        <v>0</v>
      </c>
      <c r="CV71" s="249">
        <f t="shared" si="391"/>
        <v>0</v>
      </c>
      <c r="CW71" s="55" t="e">
        <f t="shared" si="392"/>
        <v>#DIV/0!</v>
      </c>
      <c r="CX71" s="55" t="e">
        <f t="shared" si="393"/>
        <v>#DIV/0!</v>
      </c>
      <c r="CY71" s="55" t="e">
        <f t="shared" si="394"/>
        <v>#DIV/0!</v>
      </c>
      <c r="CZ71" s="252" t="e">
        <f t="shared" si="394"/>
        <v>#DIV/0!</v>
      </c>
      <c r="DA71" s="62" t="e">
        <f t="shared" si="395"/>
        <v>#DIV/0!</v>
      </c>
      <c r="DC71" s="64" t="s">
        <v>50</v>
      </c>
      <c r="DD71" s="198">
        <f t="shared" si="407"/>
        <v>0</v>
      </c>
      <c r="DE71" s="199">
        <f t="shared" si="408"/>
        <v>0</v>
      </c>
      <c r="DF71" s="198">
        <f t="shared" si="409"/>
        <v>0</v>
      </c>
      <c r="DG71" s="199">
        <f t="shared" si="410"/>
        <v>0</v>
      </c>
      <c r="DH71" s="198">
        <f t="shared" si="411"/>
        <v>0</v>
      </c>
      <c r="DI71" s="199">
        <f t="shared" si="412"/>
        <v>0</v>
      </c>
      <c r="DJ71" s="198">
        <f t="shared" si="413"/>
        <v>0</v>
      </c>
      <c r="DK71" s="199">
        <f t="shared" si="414"/>
        <v>0</v>
      </c>
      <c r="DL71" s="198">
        <f t="shared" si="415"/>
        <v>0</v>
      </c>
      <c r="DM71" s="199">
        <f t="shared" si="416"/>
        <v>0</v>
      </c>
      <c r="DN71" s="198">
        <f t="shared" si="417"/>
        <v>0</v>
      </c>
      <c r="DO71" s="199">
        <f t="shared" si="418"/>
        <v>0</v>
      </c>
      <c r="DP71" s="198">
        <f t="shared" si="419"/>
        <v>0</v>
      </c>
      <c r="DQ71" s="199">
        <f t="shared" si="420"/>
        <v>0</v>
      </c>
      <c r="DR71" s="198">
        <f t="shared" si="421"/>
        <v>0</v>
      </c>
      <c r="DS71" s="199">
        <f t="shared" si="422"/>
        <v>0</v>
      </c>
      <c r="DT71" s="198" t="e">
        <f t="shared" si="423"/>
        <v>#DIV/0!</v>
      </c>
      <c r="DU71" s="199">
        <f t="shared" si="424"/>
        <v>0</v>
      </c>
      <c r="DV71" s="198" t="e">
        <f t="shared" si="425"/>
        <v>#DIV/0!</v>
      </c>
      <c r="DW71" s="199">
        <f t="shared" si="426"/>
        <v>0</v>
      </c>
      <c r="DX71" s="198" t="e">
        <f t="shared" si="427"/>
        <v>#DIV/0!</v>
      </c>
      <c r="DY71" s="199">
        <f t="shared" si="428"/>
        <v>0</v>
      </c>
      <c r="DZ71" s="190" t="e">
        <f t="shared" si="429"/>
        <v>#DIV/0!</v>
      </c>
      <c r="EA71" s="199">
        <f t="shared" si="396"/>
        <v>0</v>
      </c>
      <c r="EB71" s="190" t="e">
        <f t="shared" si="430"/>
        <v>#DIV/0!</v>
      </c>
      <c r="EC71" s="190" t="e">
        <f t="shared" si="431"/>
        <v>#DIV/0!</v>
      </c>
    </row>
    <row r="72" spans="1:133" x14ac:dyDescent="0.2">
      <c r="A72" s="64" t="s">
        <v>51</v>
      </c>
      <c r="B72" s="38">
        <f>targets!AW69</f>
        <v>0</v>
      </c>
      <c r="C72" s="245">
        <f>targets!AX69</f>
        <v>0</v>
      </c>
      <c r="D72" s="245">
        <f>targets!AY69</f>
        <v>0</v>
      </c>
      <c r="E72" s="245">
        <f>targets!AZ69</f>
        <v>0</v>
      </c>
      <c r="F72" s="245">
        <f>targets!BA69</f>
        <v>0</v>
      </c>
      <c r="G72" s="245">
        <f>SUM(targets!BB69:BG69)</f>
        <v>0</v>
      </c>
      <c r="H72" s="40">
        <f>SUM(targets!BH69:BM69)</f>
        <v>1817.8137634176737</v>
      </c>
      <c r="I72" s="246">
        <f t="shared" si="397"/>
        <v>1817.8137634176737</v>
      </c>
      <c r="J72" s="245">
        <f>targets!BN69</f>
        <v>0</v>
      </c>
      <c r="K72" s="245">
        <f>targets!BO69</f>
        <v>0</v>
      </c>
      <c r="L72" s="245">
        <f>targets!BP69</f>
        <v>0</v>
      </c>
      <c r="M72" s="178">
        <f t="shared" si="432"/>
        <v>0</v>
      </c>
      <c r="N72" s="17">
        <f t="shared" si="398"/>
        <v>1817.8137634176737</v>
      </c>
      <c r="O72" s="17"/>
      <c r="P72" s="17"/>
      <c r="Q72" s="64" t="s">
        <v>51</v>
      </c>
      <c r="R72" s="38">
        <f t="shared" si="362"/>
        <v>0</v>
      </c>
      <c r="S72" s="245">
        <f t="shared" si="363"/>
        <v>0</v>
      </c>
      <c r="T72" s="245">
        <f t="shared" si="364"/>
        <v>0</v>
      </c>
      <c r="U72" s="245">
        <f t="shared" si="365"/>
        <v>0</v>
      </c>
      <c r="V72" s="245">
        <f t="shared" si="366"/>
        <v>0</v>
      </c>
      <c r="W72" s="245">
        <f t="shared" si="367"/>
        <v>0</v>
      </c>
      <c r="X72" s="40">
        <f t="shared" si="368"/>
        <v>0</v>
      </c>
      <c r="Y72" s="246">
        <f t="shared" si="399"/>
        <v>0</v>
      </c>
      <c r="Z72" s="245" t="e">
        <f t="shared" si="369"/>
        <v>#DIV/0!</v>
      </c>
      <c r="AA72" s="245" t="e">
        <f t="shared" si="370"/>
        <v>#DIV/0!</v>
      </c>
      <c r="AB72" s="245" t="e">
        <f t="shared" si="371"/>
        <v>#DIV/0!</v>
      </c>
      <c r="AC72" s="178" t="e">
        <f t="shared" si="433"/>
        <v>#DIV/0!</v>
      </c>
      <c r="AD72" s="17" t="e">
        <f t="shared" si="400"/>
        <v>#DIV/0!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5">
        <f t="array" ref="AH72">SUM(IF((modeldata!$F:$F=calibration!$AF$54)*(modeldata!$G:$G=calibration!AH$56)*(modeldata!$H:$H=calibration!$AF72),modeldata!$E:$E,0))</f>
        <v>0</v>
      </c>
      <c r="AI72" s="245">
        <f t="array" ref="AI72">SUM(IF((modeldata!$F:$F=calibration!$AF$54)*(modeldata!$G:$G=calibration!AI$56)*(modeldata!$H:$H=calibration!$AF72),modeldata!$E:$E,0))</f>
        <v>0</v>
      </c>
      <c r="AJ72" s="245">
        <f t="array" ref="AJ72">SUM(IF((modeldata!$F:$F=calibration!$AF$54)*(modeldata!$G:$G=calibration!AJ$56)*(modeldata!$H:$H=calibration!$AF72),modeldata!$E:$E,0))</f>
        <v>0</v>
      </c>
      <c r="AK72" s="245">
        <f t="array" ref="AK72">SUM(IF((modeldata!$F:$F=calibration!$AF$54)*(modeldata!$G:$G=calibration!AK$56)*(modeldata!$H:$H=calibration!$AF72),modeldata!$E:$E,0))</f>
        <v>0</v>
      </c>
      <c r="AL72" s="245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6"/>
      <c r="AO72" s="245">
        <f t="array" ref="AO72">SUM(IF((modeldata!$F:$F=calibration!$AF$54)*(modeldata!$G:$G=calibration!AO$56)*(modeldata!$H:$H=calibration!$AF72),modeldata!$E:$E,0))</f>
        <v>0</v>
      </c>
      <c r="AP72" s="245">
        <f t="array" ref="AP72">SUM(IF((modeldata!$F:$F=calibration!$AF$54)*(modeldata!$G:$G=calibration!AP$56)*(modeldata!$H:$H=calibration!$AF72),modeldata!$E:$E,0))</f>
        <v>0</v>
      </c>
      <c r="AQ72" s="245">
        <f t="array" ref="AQ72">SUM(IF((modeldata!$F:$F=calibration!$AF$54)*(modeldata!$G:$G=calibration!AQ$56)*(modeldata!$H:$H=calibration!$AF72),modeldata!$E:$E,0))</f>
        <v>0</v>
      </c>
      <c r="AR72" s="178">
        <f t="shared" si="434"/>
        <v>0</v>
      </c>
      <c r="AS72" s="17">
        <f t="shared" si="402"/>
        <v>0</v>
      </c>
      <c r="AU72" s="64" t="s">
        <v>51</v>
      </c>
      <c r="AV72" s="38">
        <f t="shared" ref="AV72:BG72" si="521">IF(R77&gt;0,R72/R77,0)</f>
        <v>0</v>
      </c>
      <c r="AW72" s="245">
        <f t="shared" si="521"/>
        <v>0</v>
      </c>
      <c r="AX72" s="245">
        <f t="shared" si="521"/>
        <v>0</v>
      </c>
      <c r="AY72" s="245">
        <f t="shared" si="521"/>
        <v>0</v>
      </c>
      <c r="AZ72" s="245">
        <f t="shared" si="521"/>
        <v>0</v>
      </c>
      <c r="BA72" s="245">
        <f t="shared" si="521"/>
        <v>0</v>
      </c>
      <c r="BB72" s="40">
        <f t="shared" si="521"/>
        <v>0</v>
      </c>
      <c r="BC72" s="246">
        <f t="shared" si="521"/>
        <v>0</v>
      </c>
      <c r="BD72" s="245" t="e">
        <f t="shared" si="521"/>
        <v>#DIV/0!</v>
      </c>
      <c r="BE72" s="245" t="e">
        <f t="shared" si="521"/>
        <v>#DIV/0!</v>
      </c>
      <c r="BF72" s="245" t="e">
        <f t="shared" si="521"/>
        <v>#DIV/0!</v>
      </c>
      <c r="BG72" s="178" t="e">
        <f t="shared" si="521"/>
        <v>#DIV/0!</v>
      </c>
      <c r="BH72" s="24" t="e">
        <f>AD72/AD77</f>
        <v>#DIV/0!</v>
      </c>
      <c r="BJ72" s="64" t="s">
        <v>51</v>
      </c>
      <c r="BK72" s="38">
        <f t="shared" ref="BK72:BV72" si="522">IF(AG77&gt;0,AG72/AG77,0)</f>
        <v>0</v>
      </c>
      <c r="BL72" s="245">
        <f t="shared" si="522"/>
        <v>0</v>
      </c>
      <c r="BM72" s="245">
        <f t="shared" si="522"/>
        <v>0</v>
      </c>
      <c r="BN72" s="245">
        <f t="shared" si="522"/>
        <v>0</v>
      </c>
      <c r="BO72" s="245">
        <f t="shared" si="522"/>
        <v>0</v>
      </c>
      <c r="BP72" s="245">
        <f t="shared" si="522"/>
        <v>0</v>
      </c>
      <c r="BQ72" s="40">
        <f t="shared" si="522"/>
        <v>0</v>
      </c>
      <c r="BR72" s="246">
        <f t="shared" si="522"/>
        <v>0</v>
      </c>
      <c r="BS72" s="245">
        <f t="shared" si="522"/>
        <v>0</v>
      </c>
      <c r="BT72" s="245">
        <f t="shared" si="522"/>
        <v>0</v>
      </c>
      <c r="BU72" s="245">
        <f t="shared" si="522"/>
        <v>0</v>
      </c>
      <c r="BV72" s="178">
        <f t="shared" si="522"/>
        <v>0</v>
      </c>
      <c r="BW72" s="24" t="e">
        <f>AS72/AS77</f>
        <v>#DIV/0!</v>
      </c>
      <c r="BX72" s="24"/>
      <c r="BY72" s="64" t="s">
        <v>51</v>
      </c>
      <c r="BZ72" s="54">
        <f t="shared" si="405"/>
        <v>0</v>
      </c>
      <c r="CA72" s="55">
        <f t="shared" si="374"/>
        <v>0</v>
      </c>
      <c r="CB72" s="55">
        <f t="shared" si="375"/>
        <v>0</v>
      </c>
      <c r="CC72" s="55">
        <f t="shared" si="376"/>
        <v>0</v>
      </c>
      <c r="CD72" s="55">
        <f t="shared" si="377"/>
        <v>0</v>
      </c>
      <c r="CE72" s="55">
        <f t="shared" si="378"/>
        <v>0</v>
      </c>
      <c r="CF72" s="60">
        <f t="shared" si="379"/>
        <v>0</v>
      </c>
      <c r="CG72" s="249">
        <f t="shared" si="380"/>
        <v>0</v>
      </c>
      <c r="CH72" s="55" t="e">
        <f t="shared" si="381"/>
        <v>#DIV/0!</v>
      </c>
      <c r="CI72" s="55" t="e">
        <f t="shared" si="382"/>
        <v>#DIV/0!</v>
      </c>
      <c r="CJ72" s="55" t="e">
        <f t="shared" si="383"/>
        <v>#DIV/0!</v>
      </c>
      <c r="CK72" s="252" t="e">
        <f t="shared" si="383"/>
        <v>#DIV/0!</v>
      </c>
      <c r="CL72" s="55" t="e">
        <f t="shared" si="384"/>
        <v>#DIV/0!</v>
      </c>
      <c r="CN72" s="64" t="s">
        <v>51</v>
      </c>
      <c r="CO72" s="54">
        <f t="shared" si="406"/>
        <v>0</v>
      </c>
      <c r="CP72" s="55">
        <f t="shared" si="385"/>
        <v>0</v>
      </c>
      <c r="CQ72" s="55">
        <f t="shared" si="386"/>
        <v>0</v>
      </c>
      <c r="CR72" s="55">
        <f t="shared" si="387"/>
        <v>0</v>
      </c>
      <c r="CS72" s="55">
        <f t="shared" si="388"/>
        <v>0</v>
      </c>
      <c r="CT72" s="55">
        <f t="shared" si="389"/>
        <v>0</v>
      </c>
      <c r="CU72" s="60">
        <f t="shared" si="390"/>
        <v>0</v>
      </c>
      <c r="CV72" s="249">
        <f t="shared" si="391"/>
        <v>0</v>
      </c>
      <c r="CW72" s="55" t="e">
        <f t="shared" si="392"/>
        <v>#DIV/0!</v>
      </c>
      <c r="CX72" s="55" t="e">
        <f t="shared" si="393"/>
        <v>#DIV/0!</v>
      </c>
      <c r="CY72" s="55" t="e">
        <f t="shared" si="394"/>
        <v>#DIV/0!</v>
      </c>
      <c r="CZ72" s="252" t="e">
        <f t="shared" si="394"/>
        <v>#DIV/0!</v>
      </c>
      <c r="DA72" s="62" t="e">
        <f t="shared" si="395"/>
        <v>#DIV/0!</v>
      </c>
      <c r="DC72" s="64" t="s">
        <v>51</v>
      </c>
      <c r="DD72" s="198">
        <f t="shared" si="407"/>
        <v>0</v>
      </c>
      <c r="DE72" s="199">
        <f t="shared" si="408"/>
        <v>0</v>
      </c>
      <c r="DF72" s="198">
        <f t="shared" si="409"/>
        <v>0</v>
      </c>
      <c r="DG72" s="199">
        <f t="shared" si="410"/>
        <v>0</v>
      </c>
      <c r="DH72" s="198">
        <f t="shared" si="411"/>
        <v>0</v>
      </c>
      <c r="DI72" s="199">
        <f t="shared" si="412"/>
        <v>0</v>
      </c>
      <c r="DJ72" s="198">
        <f t="shared" si="413"/>
        <v>0</v>
      </c>
      <c r="DK72" s="199">
        <f t="shared" si="414"/>
        <v>0</v>
      </c>
      <c r="DL72" s="198">
        <f t="shared" si="415"/>
        <v>0</v>
      </c>
      <c r="DM72" s="199">
        <f t="shared" si="416"/>
        <v>0</v>
      </c>
      <c r="DN72" s="198">
        <f t="shared" si="417"/>
        <v>0</v>
      </c>
      <c r="DO72" s="199">
        <f t="shared" si="418"/>
        <v>0</v>
      </c>
      <c r="DP72" s="198">
        <f t="shared" si="419"/>
        <v>0</v>
      </c>
      <c r="DQ72" s="199">
        <f t="shared" si="420"/>
        <v>0</v>
      </c>
      <c r="DR72" s="198">
        <f t="shared" si="421"/>
        <v>0</v>
      </c>
      <c r="DS72" s="199">
        <f t="shared" si="422"/>
        <v>0</v>
      </c>
      <c r="DT72" s="198" t="e">
        <f t="shared" si="423"/>
        <v>#DIV/0!</v>
      </c>
      <c r="DU72" s="199">
        <f t="shared" si="424"/>
        <v>0</v>
      </c>
      <c r="DV72" s="198" t="e">
        <f t="shared" si="425"/>
        <v>#DIV/0!</v>
      </c>
      <c r="DW72" s="199">
        <f t="shared" si="426"/>
        <v>0</v>
      </c>
      <c r="DX72" s="198" t="e">
        <f t="shared" si="427"/>
        <v>#DIV/0!</v>
      </c>
      <c r="DY72" s="199">
        <f t="shared" si="428"/>
        <v>0</v>
      </c>
      <c r="DZ72" s="190" t="e">
        <f t="shared" si="429"/>
        <v>#DIV/0!</v>
      </c>
      <c r="EA72" s="199">
        <f t="shared" si="396"/>
        <v>0</v>
      </c>
      <c r="EB72" s="190" t="e">
        <f t="shared" si="430"/>
        <v>#DIV/0!</v>
      </c>
      <c r="EC72" s="190" t="e">
        <f t="shared" si="431"/>
        <v>#DIV/0!</v>
      </c>
    </row>
    <row r="73" spans="1:133" x14ac:dyDescent="0.2">
      <c r="A73" s="64" t="s">
        <v>52</v>
      </c>
      <c r="B73" s="38">
        <f>targets!AW70</f>
        <v>0</v>
      </c>
      <c r="C73" s="245">
        <f>targets!AX70</f>
        <v>0</v>
      </c>
      <c r="D73" s="245">
        <f>targets!AY70</f>
        <v>0</v>
      </c>
      <c r="E73" s="245">
        <f>targets!AZ70</f>
        <v>0</v>
      </c>
      <c r="F73" s="245">
        <f>targets!BA70</f>
        <v>0</v>
      </c>
      <c r="G73" s="245">
        <f>SUM(targets!BB70:BG70)</f>
        <v>0</v>
      </c>
      <c r="H73" s="41">
        <f>SUM(targets!BH70:BM70)</f>
        <v>0</v>
      </c>
      <c r="I73" s="246">
        <f t="shared" si="397"/>
        <v>0</v>
      </c>
      <c r="J73" s="245">
        <f>targets!BN70</f>
        <v>0</v>
      </c>
      <c r="K73" s="245">
        <f>targets!BO70</f>
        <v>0</v>
      </c>
      <c r="L73" s="245">
        <f>targets!BP70</f>
        <v>0</v>
      </c>
      <c r="M73" s="178">
        <f t="shared" si="432"/>
        <v>0</v>
      </c>
      <c r="N73" s="17">
        <f t="shared" si="398"/>
        <v>0</v>
      </c>
      <c r="O73" s="17"/>
      <c r="P73" s="17"/>
      <c r="Q73" s="64" t="s">
        <v>52</v>
      </c>
      <c r="R73" s="38">
        <f t="shared" si="362"/>
        <v>0</v>
      </c>
      <c r="S73" s="245">
        <f t="shared" si="363"/>
        <v>0</v>
      </c>
      <c r="T73" s="245">
        <f t="shared" si="364"/>
        <v>0</v>
      </c>
      <c r="U73" s="245">
        <f t="shared" si="365"/>
        <v>0</v>
      </c>
      <c r="V73" s="245">
        <f t="shared" si="366"/>
        <v>0</v>
      </c>
      <c r="W73" s="245">
        <f t="shared" si="367"/>
        <v>0</v>
      </c>
      <c r="X73" s="41">
        <f t="shared" si="368"/>
        <v>0</v>
      </c>
      <c r="Y73" s="246">
        <f t="shared" si="399"/>
        <v>0</v>
      </c>
      <c r="Z73" s="245" t="e">
        <f t="shared" si="369"/>
        <v>#DIV/0!</v>
      </c>
      <c r="AA73" s="245" t="e">
        <f t="shared" si="370"/>
        <v>#DIV/0!</v>
      </c>
      <c r="AB73" s="245" t="e">
        <f t="shared" si="371"/>
        <v>#DIV/0!</v>
      </c>
      <c r="AC73" s="178" t="e">
        <f t="shared" si="433"/>
        <v>#DIV/0!</v>
      </c>
      <c r="AD73" s="17" t="e">
        <f t="shared" si="400"/>
        <v>#DIV/0!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5">
        <f t="array" ref="AH73">SUM(IF((modeldata!$F:$F=calibration!$AF$54)*(modeldata!$G:$G=calibration!AH$56)*(modeldata!$H:$H=calibration!$AF73),modeldata!$E:$E,0))</f>
        <v>0</v>
      </c>
      <c r="AI73" s="245">
        <f t="array" ref="AI73">SUM(IF((modeldata!$F:$F=calibration!$AF$54)*(modeldata!$G:$G=calibration!AI$56)*(modeldata!$H:$H=calibration!$AF73),modeldata!$E:$E,0))</f>
        <v>0</v>
      </c>
      <c r="AJ73" s="245">
        <f t="array" ref="AJ73">SUM(IF((modeldata!$F:$F=calibration!$AF$54)*(modeldata!$G:$G=calibration!AJ$56)*(modeldata!$H:$H=calibration!$AF73),modeldata!$E:$E,0))</f>
        <v>0</v>
      </c>
      <c r="AK73" s="245">
        <f t="array" ref="AK73">SUM(IF((modeldata!$F:$F=calibration!$AF$54)*(modeldata!$G:$G=calibration!AK$56)*(modeldata!$H:$H=calibration!$AF73),modeldata!$E:$E,0))</f>
        <v>0</v>
      </c>
      <c r="AL73" s="245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6"/>
      <c r="AO73" s="245">
        <f t="array" ref="AO73">SUM(IF((modeldata!$F:$F=calibration!$AF$54)*(modeldata!$G:$G=calibration!AO$56)*(modeldata!$H:$H=calibration!$AF73),modeldata!$E:$E,0))</f>
        <v>0</v>
      </c>
      <c r="AP73" s="245">
        <f t="array" ref="AP73">SUM(IF((modeldata!$F:$F=calibration!$AF$54)*(modeldata!$G:$G=calibration!AP$56)*(modeldata!$H:$H=calibration!$AF73),modeldata!$E:$E,0))</f>
        <v>0</v>
      </c>
      <c r="AQ73" s="245">
        <f t="array" ref="AQ73">SUM(IF((modeldata!$F:$F=calibration!$AF$54)*(modeldata!$G:$G=calibration!AQ$56)*(modeldata!$H:$H=calibration!$AF73),modeldata!$E:$E,0))</f>
        <v>0</v>
      </c>
      <c r="AR73" s="178">
        <f t="shared" si="434"/>
        <v>0</v>
      </c>
      <c r="AS73" s="17">
        <f t="shared" si="402"/>
        <v>0</v>
      </c>
      <c r="AU73" s="64" t="s">
        <v>52</v>
      </c>
      <c r="AV73" s="38">
        <f t="shared" ref="AV73:BG73" si="523">IF(R77&gt;0,R73/R77,0)</f>
        <v>0</v>
      </c>
      <c r="AW73" s="245">
        <f t="shared" si="523"/>
        <v>0</v>
      </c>
      <c r="AX73" s="245">
        <f t="shared" si="523"/>
        <v>0</v>
      </c>
      <c r="AY73" s="245">
        <f t="shared" si="523"/>
        <v>0</v>
      </c>
      <c r="AZ73" s="245">
        <f t="shared" si="523"/>
        <v>0</v>
      </c>
      <c r="BA73" s="245">
        <f t="shared" si="523"/>
        <v>0</v>
      </c>
      <c r="BB73" s="41">
        <f t="shared" si="523"/>
        <v>0</v>
      </c>
      <c r="BC73" s="246">
        <f t="shared" si="523"/>
        <v>0</v>
      </c>
      <c r="BD73" s="245" t="e">
        <f t="shared" si="523"/>
        <v>#DIV/0!</v>
      </c>
      <c r="BE73" s="245" t="e">
        <f t="shared" si="523"/>
        <v>#DIV/0!</v>
      </c>
      <c r="BF73" s="245" t="e">
        <f t="shared" si="523"/>
        <v>#DIV/0!</v>
      </c>
      <c r="BG73" s="178" t="e">
        <f t="shared" si="523"/>
        <v>#DIV/0!</v>
      </c>
      <c r="BH73" s="24" t="e">
        <f>AD73/AD77</f>
        <v>#DIV/0!</v>
      </c>
      <c r="BJ73" s="64" t="s">
        <v>52</v>
      </c>
      <c r="BK73" s="38">
        <f t="shared" ref="BK73:BV73" si="524">IF(AG77&gt;0,AG73/AG77,0)</f>
        <v>0</v>
      </c>
      <c r="BL73" s="245">
        <f t="shared" si="524"/>
        <v>0</v>
      </c>
      <c r="BM73" s="245">
        <f t="shared" si="524"/>
        <v>0</v>
      </c>
      <c r="BN73" s="245">
        <f t="shared" si="524"/>
        <v>0</v>
      </c>
      <c r="BO73" s="245">
        <f t="shared" si="524"/>
        <v>0</v>
      </c>
      <c r="BP73" s="245">
        <f t="shared" si="524"/>
        <v>0</v>
      </c>
      <c r="BQ73" s="41">
        <f t="shared" si="524"/>
        <v>0</v>
      </c>
      <c r="BR73" s="246">
        <f t="shared" si="524"/>
        <v>0</v>
      </c>
      <c r="BS73" s="245">
        <f t="shared" si="524"/>
        <v>0</v>
      </c>
      <c r="BT73" s="245">
        <f t="shared" si="524"/>
        <v>0</v>
      </c>
      <c r="BU73" s="245">
        <f t="shared" si="524"/>
        <v>0</v>
      </c>
      <c r="BV73" s="178">
        <f t="shared" si="524"/>
        <v>0</v>
      </c>
      <c r="BW73" s="24" t="e">
        <f>AS73/AS77</f>
        <v>#DIV/0!</v>
      </c>
      <c r="BX73" s="24"/>
      <c r="BY73" s="64" t="s">
        <v>52</v>
      </c>
      <c r="BZ73" s="54">
        <f t="shared" si="405"/>
        <v>0</v>
      </c>
      <c r="CA73" s="55">
        <f t="shared" si="374"/>
        <v>0</v>
      </c>
      <c r="CB73" s="55">
        <f t="shared" si="375"/>
        <v>0</v>
      </c>
      <c r="CC73" s="55">
        <f t="shared" si="376"/>
        <v>0</v>
      </c>
      <c r="CD73" s="55">
        <f t="shared" si="377"/>
        <v>0</v>
      </c>
      <c r="CE73" s="55">
        <f t="shared" si="378"/>
        <v>0</v>
      </c>
      <c r="CF73" s="61">
        <f t="shared" si="379"/>
        <v>0</v>
      </c>
      <c r="CG73" s="249">
        <f>AN73-Y73</f>
        <v>0</v>
      </c>
      <c r="CH73" s="55" t="e">
        <f t="shared" si="381"/>
        <v>#DIV/0!</v>
      </c>
      <c r="CI73" s="55" t="e">
        <f t="shared" si="382"/>
        <v>#DIV/0!</v>
      </c>
      <c r="CJ73" s="55" t="e">
        <f t="shared" si="383"/>
        <v>#DIV/0!</v>
      </c>
      <c r="CK73" s="252" t="e">
        <f t="shared" si="383"/>
        <v>#DIV/0!</v>
      </c>
      <c r="CL73" s="55" t="e">
        <f t="shared" si="384"/>
        <v>#DIV/0!</v>
      </c>
      <c r="CN73" s="64" t="s">
        <v>52</v>
      </c>
      <c r="CO73" s="54">
        <f t="shared" si="406"/>
        <v>0</v>
      </c>
      <c r="CP73" s="55">
        <f t="shared" si="385"/>
        <v>0</v>
      </c>
      <c r="CQ73" s="55">
        <f t="shared" si="386"/>
        <v>0</v>
      </c>
      <c r="CR73" s="55">
        <f t="shared" si="387"/>
        <v>0</v>
      </c>
      <c r="CS73" s="55">
        <f t="shared" si="388"/>
        <v>0</v>
      </c>
      <c r="CT73" s="55">
        <f t="shared" si="389"/>
        <v>0</v>
      </c>
      <c r="CU73" s="61">
        <f t="shared" si="390"/>
        <v>0</v>
      </c>
      <c r="CV73" s="249">
        <f t="shared" si="391"/>
        <v>0</v>
      </c>
      <c r="CW73" s="55" t="e">
        <f t="shared" si="392"/>
        <v>#DIV/0!</v>
      </c>
      <c r="CX73" s="55" t="e">
        <f t="shared" si="393"/>
        <v>#DIV/0!</v>
      </c>
      <c r="CY73" s="55" t="e">
        <f t="shared" si="394"/>
        <v>#DIV/0!</v>
      </c>
      <c r="CZ73" s="252" t="e">
        <f t="shared" si="394"/>
        <v>#DIV/0!</v>
      </c>
      <c r="DA73" s="62" t="e">
        <f t="shared" si="395"/>
        <v>#DIV/0!</v>
      </c>
      <c r="DC73" s="64" t="s">
        <v>52</v>
      </c>
      <c r="DD73" s="198">
        <f t="shared" si="407"/>
        <v>0</v>
      </c>
      <c r="DE73" s="199">
        <f t="shared" si="408"/>
        <v>0</v>
      </c>
      <c r="DF73" s="198">
        <f t="shared" si="409"/>
        <v>0</v>
      </c>
      <c r="DG73" s="199">
        <f t="shared" si="410"/>
        <v>0</v>
      </c>
      <c r="DH73" s="198">
        <f t="shared" si="411"/>
        <v>0</v>
      </c>
      <c r="DI73" s="199">
        <f t="shared" si="412"/>
        <v>0</v>
      </c>
      <c r="DJ73" s="198">
        <f t="shared" si="413"/>
        <v>0</v>
      </c>
      <c r="DK73" s="199">
        <f t="shared" si="414"/>
        <v>0</v>
      </c>
      <c r="DL73" s="198">
        <f t="shared" si="415"/>
        <v>0</v>
      </c>
      <c r="DM73" s="199">
        <f t="shared" si="416"/>
        <v>0</v>
      </c>
      <c r="DN73" s="198">
        <f t="shared" si="417"/>
        <v>0</v>
      </c>
      <c r="DO73" s="199">
        <f t="shared" si="418"/>
        <v>0</v>
      </c>
      <c r="DP73" s="200">
        <f t="shared" si="419"/>
        <v>0</v>
      </c>
      <c r="DQ73" s="201">
        <f t="shared" si="420"/>
        <v>0</v>
      </c>
      <c r="DR73" s="198">
        <f t="shared" si="421"/>
        <v>0</v>
      </c>
      <c r="DS73" s="199">
        <f t="shared" si="422"/>
        <v>0</v>
      </c>
      <c r="DT73" s="198" t="e">
        <f t="shared" si="423"/>
        <v>#DIV/0!</v>
      </c>
      <c r="DU73" s="199">
        <f t="shared" si="424"/>
        <v>0</v>
      </c>
      <c r="DV73" s="198" t="e">
        <f t="shared" si="425"/>
        <v>#DIV/0!</v>
      </c>
      <c r="DW73" s="199">
        <f t="shared" si="426"/>
        <v>0</v>
      </c>
      <c r="DX73" s="198" t="e">
        <f t="shared" si="427"/>
        <v>#DIV/0!</v>
      </c>
      <c r="DY73" s="199">
        <f t="shared" si="428"/>
        <v>0</v>
      </c>
      <c r="DZ73" s="190" t="e">
        <f t="shared" si="429"/>
        <v>#DIV/0!</v>
      </c>
      <c r="EA73" s="199">
        <f t="shared" si="396"/>
        <v>0</v>
      </c>
      <c r="EB73" s="190" t="e">
        <f t="shared" si="430"/>
        <v>#DIV/0!</v>
      </c>
      <c r="EC73" s="190" t="e">
        <f t="shared" si="431"/>
        <v>#DIV/0!</v>
      </c>
    </row>
    <row r="74" spans="1:133" x14ac:dyDescent="0.2">
      <c r="A74" s="2" t="s">
        <v>6</v>
      </c>
      <c r="B74" s="38">
        <f>targets!AW71</f>
        <v>0</v>
      </c>
      <c r="C74" s="245">
        <f>targets!AX71</f>
        <v>0</v>
      </c>
      <c r="D74" s="245">
        <f>targets!AY71</f>
        <v>0</v>
      </c>
      <c r="E74" s="245">
        <f>targets!AZ71</f>
        <v>0</v>
      </c>
      <c r="F74" s="245">
        <f>targets!BA71</f>
        <v>0</v>
      </c>
      <c r="G74" s="245">
        <f>SUM(targets!BB71:BG71)</f>
        <v>0</v>
      </c>
      <c r="H74" s="245">
        <f>SUM(targets!BH71:BM71)</f>
        <v>0</v>
      </c>
      <c r="I74" s="246">
        <f t="shared" si="397"/>
        <v>0</v>
      </c>
      <c r="J74" s="245">
        <f>targets!BN71</f>
        <v>0</v>
      </c>
      <c r="K74" s="245">
        <f>targets!BO71</f>
        <v>0</v>
      </c>
      <c r="L74" s="245">
        <f>targets!BP71</f>
        <v>0</v>
      </c>
      <c r="M74" s="178">
        <f t="shared" si="432"/>
        <v>0</v>
      </c>
      <c r="N74" s="17">
        <f t="shared" si="398"/>
        <v>0</v>
      </c>
      <c r="O74" s="17"/>
      <c r="P74" s="17"/>
      <c r="Q74" s="2" t="s">
        <v>6</v>
      </c>
      <c r="R74" s="38">
        <f t="shared" si="362"/>
        <v>0</v>
      </c>
      <c r="S74" s="245">
        <f t="shared" si="363"/>
        <v>0</v>
      </c>
      <c r="T74" s="245">
        <f t="shared" si="364"/>
        <v>0</v>
      </c>
      <c r="U74" s="245">
        <f t="shared" si="365"/>
        <v>0</v>
      </c>
      <c r="V74" s="245">
        <f t="shared" si="366"/>
        <v>0</v>
      </c>
      <c r="W74" s="245">
        <f t="shared" si="367"/>
        <v>0</v>
      </c>
      <c r="X74" s="245">
        <f t="shared" si="368"/>
        <v>0</v>
      </c>
      <c r="Y74" s="246">
        <f t="shared" si="399"/>
        <v>0</v>
      </c>
      <c r="Z74" s="245" t="e">
        <f t="shared" si="369"/>
        <v>#DIV/0!</v>
      </c>
      <c r="AA74" s="245" t="e">
        <f t="shared" si="370"/>
        <v>#DIV/0!</v>
      </c>
      <c r="AB74" s="245" t="e">
        <f t="shared" si="371"/>
        <v>#DIV/0!</v>
      </c>
      <c r="AC74" s="178" t="e">
        <f t="shared" si="433"/>
        <v>#DIV/0!</v>
      </c>
      <c r="AD74" s="17" t="e">
        <f t="shared" si="400"/>
        <v>#DIV/0!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5">
        <f t="array" ref="AH74">SUM(IF((modeldata!$F:$F=calibration!$AF$54)*(modeldata!$G:$G=calibration!AH$56)*(modeldata!$H:$H=calibration!$AF74),modeldata!$E:$E,0))</f>
        <v>0</v>
      </c>
      <c r="AI74" s="245">
        <f t="array" ref="AI74">SUM(IF((modeldata!$F:$F=calibration!$AF$54)*(modeldata!$G:$G=calibration!AI$56)*(modeldata!$H:$H=calibration!$AF74),modeldata!$E:$E,0))</f>
        <v>0</v>
      </c>
      <c r="AJ74" s="245">
        <f t="array" ref="AJ74">SUM(IF((modeldata!$F:$F=calibration!$AF$54)*(modeldata!$G:$G=calibration!AJ$56)*(modeldata!$H:$H=calibration!$AF74),modeldata!$E:$E,0))</f>
        <v>0</v>
      </c>
      <c r="AK74" s="245">
        <f t="array" ref="AK74">SUM(IF((modeldata!$F:$F=calibration!$AF$54)*(modeldata!$G:$G=calibration!AK$56)*(modeldata!$H:$H=calibration!$AF74),modeldata!$E:$E,0))</f>
        <v>0</v>
      </c>
      <c r="AL74" s="245">
        <f t="array" ref="AL74">SUM(IF((modeldata!$F:$F=calibration!$AF$54)*(modeldata!$G:$G=calibration!AL$56)*(modeldata!$H:$H=calibration!$AF74),modeldata!$E:$E,0))</f>
        <v>0</v>
      </c>
      <c r="AM74" s="245">
        <f t="array" ref="AM74">SUM(IF((modeldata!$F:$F=calibration!$AF$54)*(modeldata!$G:$G=calibration!AM$56)*(modeldata!$H:$H=calibration!$AF74),modeldata!$E:$E,0))</f>
        <v>0</v>
      </c>
      <c r="AN74" s="246">
        <f t="shared" si="401"/>
        <v>0</v>
      </c>
      <c r="AO74" s="245">
        <f t="array" ref="AO74">SUM(IF((modeldata!$F:$F=calibration!$AF$54)*(modeldata!$G:$G=calibration!AO$56)*(modeldata!$H:$H=calibration!$AF74),modeldata!$E:$E,0))</f>
        <v>0</v>
      </c>
      <c r="AP74" s="245">
        <f t="array" ref="AP74">SUM(IF((modeldata!$F:$F=calibration!$AF$54)*(modeldata!$G:$G=calibration!AP$56)*(modeldata!$H:$H=calibration!$AF74),modeldata!$E:$E,0))</f>
        <v>0</v>
      </c>
      <c r="AQ74" s="245">
        <f t="array" ref="AQ74">SUM(IF((modeldata!$F:$F=calibration!$AF$54)*(modeldata!$G:$G=calibration!AQ$56)*(modeldata!$H:$H=calibration!$AF74),modeldata!$E:$E,0))</f>
        <v>0</v>
      </c>
      <c r="AR74" s="178">
        <f t="shared" ref="AR74:AR76" si="525">SUM(AO74:AQ74)</f>
        <v>0</v>
      </c>
      <c r="AS74" s="17">
        <f t="shared" si="402"/>
        <v>0</v>
      </c>
      <c r="AU74" s="2" t="s">
        <v>6</v>
      </c>
      <c r="AV74" s="38">
        <f t="shared" ref="AV74:BG74" si="526">IF(R77&gt;0,R74/R77,0)</f>
        <v>0</v>
      </c>
      <c r="AW74" s="245">
        <f t="shared" si="526"/>
        <v>0</v>
      </c>
      <c r="AX74" s="245">
        <f t="shared" si="526"/>
        <v>0</v>
      </c>
      <c r="AY74" s="245">
        <f t="shared" si="526"/>
        <v>0</v>
      </c>
      <c r="AZ74" s="245">
        <f t="shared" si="526"/>
        <v>0</v>
      </c>
      <c r="BA74" s="245">
        <f t="shared" si="526"/>
        <v>0</v>
      </c>
      <c r="BB74" s="245">
        <f t="shared" si="526"/>
        <v>0</v>
      </c>
      <c r="BC74" s="246">
        <f t="shared" si="526"/>
        <v>0</v>
      </c>
      <c r="BD74" s="245" t="e">
        <f t="shared" si="526"/>
        <v>#DIV/0!</v>
      </c>
      <c r="BE74" s="245" t="e">
        <f t="shared" si="526"/>
        <v>#DIV/0!</v>
      </c>
      <c r="BF74" s="245" t="e">
        <f t="shared" si="526"/>
        <v>#DIV/0!</v>
      </c>
      <c r="BG74" s="178" t="e">
        <f t="shared" si="526"/>
        <v>#DIV/0!</v>
      </c>
      <c r="BH74" s="24" t="e">
        <f>AD74/AD77</f>
        <v>#DIV/0!</v>
      </c>
      <c r="BJ74" s="2" t="s">
        <v>6</v>
      </c>
      <c r="BK74" s="38">
        <f t="shared" ref="BK74:BV74" si="527">IF(AG77&gt;0,AG74/AG77,0)</f>
        <v>0</v>
      </c>
      <c r="BL74" s="245">
        <f t="shared" si="527"/>
        <v>0</v>
      </c>
      <c r="BM74" s="245">
        <f t="shared" si="527"/>
        <v>0</v>
      </c>
      <c r="BN74" s="245">
        <f t="shared" si="527"/>
        <v>0</v>
      </c>
      <c r="BO74" s="245">
        <f t="shared" si="527"/>
        <v>0</v>
      </c>
      <c r="BP74" s="245">
        <f t="shared" si="527"/>
        <v>0</v>
      </c>
      <c r="BQ74" s="245">
        <f t="shared" si="527"/>
        <v>0</v>
      </c>
      <c r="BR74" s="246">
        <f t="shared" si="527"/>
        <v>0</v>
      </c>
      <c r="BS74" s="245">
        <f t="shared" si="527"/>
        <v>0</v>
      </c>
      <c r="BT74" s="245">
        <f t="shared" si="527"/>
        <v>0</v>
      </c>
      <c r="BU74" s="245">
        <f t="shared" si="527"/>
        <v>0</v>
      </c>
      <c r="BV74" s="178">
        <f t="shared" si="527"/>
        <v>0</v>
      </c>
      <c r="BW74" s="24" t="e">
        <f>AS74/AS77</f>
        <v>#DIV/0!</v>
      </c>
      <c r="BX74" s="24"/>
      <c r="BY74" s="2" t="s">
        <v>6</v>
      </c>
      <c r="BZ74" s="54">
        <f t="shared" si="405"/>
        <v>0</v>
      </c>
      <c r="CA74" s="55">
        <f t="shared" si="374"/>
        <v>0</v>
      </c>
      <c r="CB74" s="55">
        <f t="shared" si="375"/>
        <v>0</v>
      </c>
      <c r="CC74" s="55">
        <f t="shared" si="376"/>
        <v>0</v>
      </c>
      <c r="CD74" s="55">
        <f t="shared" si="377"/>
        <v>0</v>
      </c>
      <c r="CE74" s="55">
        <f t="shared" si="378"/>
        <v>0</v>
      </c>
      <c r="CF74" s="55">
        <f t="shared" si="379"/>
        <v>0</v>
      </c>
      <c r="CG74" s="249">
        <f>AN74-Y74</f>
        <v>0</v>
      </c>
      <c r="CH74" s="55" t="e">
        <f t="shared" si="381"/>
        <v>#DIV/0!</v>
      </c>
      <c r="CI74" s="55" t="e">
        <f t="shared" si="382"/>
        <v>#DIV/0!</v>
      </c>
      <c r="CJ74" s="55" t="e">
        <f t="shared" si="383"/>
        <v>#DIV/0!</v>
      </c>
      <c r="CK74" s="252" t="e">
        <f t="shared" si="383"/>
        <v>#DIV/0!</v>
      </c>
      <c r="CL74" s="55" t="e">
        <f t="shared" si="384"/>
        <v>#DIV/0!</v>
      </c>
      <c r="CN74" s="2" t="s">
        <v>6</v>
      </c>
      <c r="CO74" s="54">
        <f t="shared" si="406"/>
        <v>0</v>
      </c>
      <c r="CP74" s="55">
        <f t="shared" si="385"/>
        <v>0</v>
      </c>
      <c r="CQ74" s="55">
        <f t="shared" si="386"/>
        <v>0</v>
      </c>
      <c r="CR74" s="55">
        <f t="shared" si="387"/>
        <v>0</v>
      </c>
      <c r="CS74" s="55">
        <f t="shared" si="388"/>
        <v>0</v>
      </c>
      <c r="CT74" s="55">
        <f t="shared" si="389"/>
        <v>0</v>
      </c>
      <c r="CU74" s="55">
        <f t="shared" si="390"/>
        <v>0</v>
      </c>
      <c r="CV74" s="249">
        <f t="shared" si="391"/>
        <v>0</v>
      </c>
      <c r="CW74" s="55" t="e">
        <f t="shared" si="392"/>
        <v>#DIV/0!</v>
      </c>
      <c r="CX74" s="55" t="e">
        <f t="shared" si="393"/>
        <v>#DIV/0!</v>
      </c>
      <c r="CY74" s="55" t="e">
        <f t="shared" si="394"/>
        <v>#DIV/0!</v>
      </c>
      <c r="CZ74" s="252" t="e">
        <f t="shared" si="394"/>
        <v>#DIV/0!</v>
      </c>
      <c r="DA74" s="62" t="e">
        <f t="shared" si="395"/>
        <v>#DIV/0!</v>
      </c>
      <c r="DC74" s="2" t="s">
        <v>6</v>
      </c>
      <c r="DD74" s="198">
        <f t="shared" si="407"/>
        <v>0</v>
      </c>
      <c r="DE74" s="199">
        <f t="shared" si="408"/>
        <v>0</v>
      </c>
      <c r="DF74" s="198">
        <f t="shared" si="409"/>
        <v>0</v>
      </c>
      <c r="DG74" s="199">
        <f t="shared" si="410"/>
        <v>0</v>
      </c>
      <c r="DH74" s="198">
        <f t="shared" si="411"/>
        <v>0</v>
      </c>
      <c r="DI74" s="199">
        <f t="shared" si="412"/>
        <v>0</v>
      </c>
      <c r="DJ74" s="198">
        <f t="shared" si="413"/>
        <v>0</v>
      </c>
      <c r="DK74" s="199">
        <f t="shared" si="414"/>
        <v>0</v>
      </c>
      <c r="DL74" s="198">
        <f t="shared" si="415"/>
        <v>0</v>
      </c>
      <c r="DM74" s="199">
        <f t="shared" si="416"/>
        <v>0</v>
      </c>
      <c r="DN74" s="198">
        <f t="shared" si="417"/>
        <v>0</v>
      </c>
      <c r="DO74" s="199">
        <f t="shared" si="418"/>
        <v>0</v>
      </c>
      <c r="DP74" s="198">
        <f t="shared" si="419"/>
        <v>0</v>
      </c>
      <c r="DQ74" s="199">
        <f t="shared" si="420"/>
        <v>0</v>
      </c>
      <c r="DR74" s="198">
        <f t="shared" si="421"/>
        <v>0</v>
      </c>
      <c r="DS74" s="199">
        <f t="shared" si="422"/>
        <v>0</v>
      </c>
      <c r="DT74" s="198" t="e">
        <f t="shared" si="423"/>
        <v>#DIV/0!</v>
      </c>
      <c r="DU74" s="199">
        <f t="shared" si="424"/>
        <v>0</v>
      </c>
      <c r="DV74" s="198" t="e">
        <f t="shared" si="425"/>
        <v>#DIV/0!</v>
      </c>
      <c r="DW74" s="199">
        <f t="shared" si="426"/>
        <v>0</v>
      </c>
      <c r="DX74" s="198" t="e">
        <f t="shared" si="427"/>
        <v>#DIV/0!</v>
      </c>
      <c r="DY74" s="199">
        <f t="shared" si="428"/>
        <v>0</v>
      </c>
      <c r="DZ74" s="190" t="e">
        <f t="shared" si="429"/>
        <v>#DIV/0!</v>
      </c>
      <c r="EA74" s="199">
        <f t="shared" si="396"/>
        <v>0</v>
      </c>
      <c r="EB74" s="190" t="e">
        <f t="shared" si="430"/>
        <v>#DIV/0!</v>
      </c>
      <c r="EC74" s="190" t="e">
        <f t="shared" si="431"/>
        <v>#DIV/0!</v>
      </c>
    </row>
    <row r="75" spans="1:133" x14ac:dyDescent="0.2">
      <c r="A75" s="2" t="s">
        <v>88</v>
      </c>
      <c r="B75" s="38">
        <f>targets!AW72</f>
        <v>0</v>
      </c>
      <c r="C75" s="245">
        <f>targets!AX72</f>
        <v>0</v>
      </c>
      <c r="D75" s="245">
        <f>targets!AY72</f>
        <v>0</v>
      </c>
      <c r="E75" s="245">
        <f>targets!AZ72</f>
        <v>0</v>
      </c>
      <c r="F75" s="245">
        <f>targets!BA72</f>
        <v>0</v>
      </c>
      <c r="G75" s="245">
        <f>SUM(targets!BB72:BG72)</f>
        <v>0</v>
      </c>
      <c r="H75" s="245">
        <f>SUM(targets!BH72:BM72)</f>
        <v>0</v>
      </c>
      <c r="I75" s="246">
        <f t="shared" si="397"/>
        <v>0</v>
      </c>
      <c r="J75" s="245">
        <f>targets!BN72</f>
        <v>0</v>
      </c>
      <c r="K75" s="245">
        <f>targets!BO72</f>
        <v>0</v>
      </c>
      <c r="L75" s="245">
        <f>targets!BP72</f>
        <v>0</v>
      </c>
      <c r="M75" s="178">
        <f t="shared" si="432"/>
        <v>0</v>
      </c>
      <c r="N75" s="17">
        <f t="shared" si="398"/>
        <v>0</v>
      </c>
      <c r="O75" s="17"/>
      <c r="P75" s="17"/>
      <c r="Q75" s="2" t="s">
        <v>88</v>
      </c>
      <c r="R75" s="38">
        <f t="shared" si="362"/>
        <v>0</v>
      </c>
      <c r="S75" s="245">
        <f t="shared" si="363"/>
        <v>0</v>
      </c>
      <c r="T75" s="245">
        <f t="shared" si="364"/>
        <v>0</v>
      </c>
      <c r="U75" s="245">
        <f t="shared" si="365"/>
        <v>0</v>
      </c>
      <c r="V75" s="245">
        <f t="shared" si="366"/>
        <v>0</v>
      </c>
      <c r="W75" s="245">
        <f t="shared" si="367"/>
        <v>0</v>
      </c>
      <c r="X75" s="245">
        <f t="shared" si="368"/>
        <v>0</v>
      </c>
      <c r="Y75" s="246">
        <f t="shared" si="399"/>
        <v>0</v>
      </c>
      <c r="Z75" s="245" t="e">
        <f t="shared" si="369"/>
        <v>#DIV/0!</v>
      </c>
      <c r="AA75" s="245" t="e">
        <f t="shared" si="370"/>
        <v>#DIV/0!</v>
      </c>
      <c r="AB75" s="245" t="e">
        <f t="shared" si="371"/>
        <v>#DIV/0!</v>
      </c>
      <c r="AC75" s="178" t="e">
        <f t="shared" si="433"/>
        <v>#DIV/0!</v>
      </c>
      <c r="AD75" s="17" t="e">
        <f t="shared" si="400"/>
        <v>#DIV/0!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5">
        <f t="array" ref="AH75">SUM(IF((modeldata!$F:$F=calibration!$AF$54)*(modeldata!$G:$G=calibration!AH$56)*(modeldata!$H:$H=calibration!$AF75),modeldata!$E:$E,0))</f>
        <v>0</v>
      </c>
      <c r="AI75" s="245">
        <f t="array" ref="AI75">SUM(IF((modeldata!$F:$F=calibration!$AF$54)*(modeldata!$G:$G=calibration!AI$56)*(modeldata!$H:$H=calibration!$AF75),modeldata!$E:$E,0))</f>
        <v>0</v>
      </c>
      <c r="AJ75" s="245">
        <f t="array" ref="AJ75">SUM(IF((modeldata!$F:$F=calibration!$AF$54)*(modeldata!$G:$G=calibration!AJ$56)*(modeldata!$H:$H=calibration!$AF75),modeldata!$E:$E,0))</f>
        <v>0</v>
      </c>
      <c r="AK75" s="245">
        <f t="array" ref="AK75">SUM(IF((modeldata!$F:$F=calibration!$AF$54)*(modeldata!$G:$G=calibration!AK$56)*(modeldata!$H:$H=calibration!$AF75),modeldata!$E:$E,0))</f>
        <v>0</v>
      </c>
      <c r="AL75" s="245">
        <f t="array" ref="AL75">SUM(IF((modeldata!$F:$F=calibration!$AF$54)*(modeldata!$G:$G=calibration!AL$56)*(modeldata!$H:$H=calibration!$AF75),modeldata!$E:$E,0))</f>
        <v>0</v>
      </c>
      <c r="AM75" s="245">
        <f t="array" ref="AM75">SUM(IF((modeldata!$F:$F=calibration!$AF$54)*(modeldata!$G:$G=calibration!AM$56)*(modeldata!$H:$H=calibration!$AF75),modeldata!$E:$E,0))</f>
        <v>0</v>
      </c>
      <c r="AN75" s="246">
        <f t="shared" si="401"/>
        <v>0</v>
      </c>
      <c r="AO75" s="245">
        <f t="array" ref="AO75">SUM(IF((modeldata!$F:$F=calibration!$AF$54)*(modeldata!$G:$G=calibration!AO$56)*(modeldata!$H:$H=calibration!$AF75),modeldata!$E:$E,0))</f>
        <v>0</v>
      </c>
      <c r="AP75" s="245">
        <f t="array" ref="AP75">SUM(IF((modeldata!$F:$F=calibration!$AF$54)*(modeldata!$G:$G=calibration!AP$56)*(modeldata!$H:$H=calibration!$AF75),modeldata!$E:$E,0))</f>
        <v>0</v>
      </c>
      <c r="AQ75" s="245">
        <f t="array" ref="AQ75">SUM(IF((modeldata!$F:$F=calibration!$AF$54)*(modeldata!$G:$G=calibration!AQ$56)*(modeldata!$H:$H=calibration!$AF75),modeldata!$E:$E,0))</f>
        <v>0</v>
      </c>
      <c r="AR75" s="178">
        <f t="shared" si="525"/>
        <v>0</v>
      </c>
      <c r="AS75" s="17">
        <f t="shared" si="402"/>
        <v>0</v>
      </c>
      <c r="AU75" s="2" t="s">
        <v>88</v>
      </c>
      <c r="AV75" s="38">
        <f t="shared" ref="AV75:BG75" si="528">IF(R77&gt;0,R75/R77,0)</f>
        <v>0</v>
      </c>
      <c r="AW75" s="245">
        <f t="shared" si="528"/>
        <v>0</v>
      </c>
      <c r="AX75" s="245">
        <f t="shared" si="528"/>
        <v>0</v>
      </c>
      <c r="AY75" s="245">
        <f t="shared" si="528"/>
        <v>0</v>
      </c>
      <c r="AZ75" s="245">
        <f t="shared" si="528"/>
        <v>0</v>
      </c>
      <c r="BA75" s="245">
        <f t="shared" si="528"/>
        <v>0</v>
      </c>
      <c r="BB75" s="245">
        <f t="shared" si="528"/>
        <v>0</v>
      </c>
      <c r="BC75" s="246">
        <f t="shared" si="528"/>
        <v>0</v>
      </c>
      <c r="BD75" s="245" t="e">
        <f t="shared" si="528"/>
        <v>#DIV/0!</v>
      </c>
      <c r="BE75" s="245" t="e">
        <f t="shared" si="528"/>
        <v>#DIV/0!</v>
      </c>
      <c r="BF75" s="245" t="e">
        <f t="shared" si="528"/>
        <v>#DIV/0!</v>
      </c>
      <c r="BG75" s="178" t="e">
        <f t="shared" si="528"/>
        <v>#DIV/0!</v>
      </c>
      <c r="BH75" s="24" t="e">
        <f>AD75/AD77</f>
        <v>#DIV/0!</v>
      </c>
      <c r="BJ75" s="2" t="s">
        <v>88</v>
      </c>
      <c r="BK75" s="38">
        <f t="shared" ref="BK75:BV75" si="529">IF(AG77&gt;0,AG75/AG77,0)</f>
        <v>0</v>
      </c>
      <c r="BL75" s="245">
        <f t="shared" si="529"/>
        <v>0</v>
      </c>
      <c r="BM75" s="245">
        <f t="shared" si="529"/>
        <v>0</v>
      </c>
      <c r="BN75" s="245">
        <f t="shared" si="529"/>
        <v>0</v>
      </c>
      <c r="BO75" s="245">
        <f t="shared" si="529"/>
        <v>0</v>
      </c>
      <c r="BP75" s="245">
        <f t="shared" si="529"/>
        <v>0</v>
      </c>
      <c r="BQ75" s="245">
        <f t="shared" si="529"/>
        <v>0</v>
      </c>
      <c r="BR75" s="246">
        <f t="shared" si="529"/>
        <v>0</v>
      </c>
      <c r="BS75" s="245">
        <f t="shared" si="529"/>
        <v>0</v>
      </c>
      <c r="BT75" s="245">
        <f t="shared" si="529"/>
        <v>0</v>
      </c>
      <c r="BU75" s="245">
        <f t="shared" si="529"/>
        <v>0</v>
      </c>
      <c r="BV75" s="178">
        <f t="shared" si="529"/>
        <v>0</v>
      </c>
      <c r="BW75" s="24" t="e">
        <f>AS75/AS77</f>
        <v>#DIV/0!</v>
      </c>
      <c r="BX75" s="24"/>
      <c r="BY75" s="2" t="s">
        <v>88</v>
      </c>
      <c r="BZ75" s="54">
        <f t="shared" si="405"/>
        <v>0</v>
      </c>
      <c r="CA75" s="55">
        <f t="shared" si="374"/>
        <v>0</v>
      </c>
      <c r="CB75" s="55">
        <f t="shared" si="375"/>
        <v>0</v>
      </c>
      <c r="CC75" s="55">
        <f t="shared" si="376"/>
        <v>0</v>
      </c>
      <c r="CD75" s="55">
        <f t="shared" si="377"/>
        <v>0</v>
      </c>
      <c r="CE75" s="55">
        <f t="shared" si="378"/>
        <v>0</v>
      </c>
      <c r="CF75" s="55">
        <f t="shared" si="379"/>
        <v>0</v>
      </c>
      <c r="CG75" s="249">
        <f>AN75-Y75</f>
        <v>0</v>
      </c>
      <c r="CH75" s="55" t="e">
        <f t="shared" si="381"/>
        <v>#DIV/0!</v>
      </c>
      <c r="CI75" s="55" t="e">
        <f t="shared" si="382"/>
        <v>#DIV/0!</v>
      </c>
      <c r="CJ75" s="55" t="e">
        <f t="shared" si="383"/>
        <v>#DIV/0!</v>
      </c>
      <c r="CK75" s="252" t="e">
        <f t="shared" si="383"/>
        <v>#DIV/0!</v>
      </c>
      <c r="CL75" s="55" t="e">
        <f t="shared" si="384"/>
        <v>#DIV/0!</v>
      </c>
      <c r="CN75" s="2" t="s">
        <v>88</v>
      </c>
      <c r="CO75" s="54">
        <f t="shared" si="406"/>
        <v>0</v>
      </c>
      <c r="CP75" s="55">
        <f t="shared" si="385"/>
        <v>0</v>
      </c>
      <c r="CQ75" s="55">
        <f t="shared" si="386"/>
        <v>0</v>
      </c>
      <c r="CR75" s="55">
        <f t="shared" si="387"/>
        <v>0</v>
      </c>
      <c r="CS75" s="55">
        <f t="shared" si="388"/>
        <v>0</v>
      </c>
      <c r="CT75" s="55">
        <f t="shared" si="389"/>
        <v>0</v>
      </c>
      <c r="CU75" s="55">
        <f t="shared" si="390"/>
        <v>0</v>
      </c>
      <c r="CV75" s="249">
        <f t="shared" si="391"/>
        <v>0</v>
      </c>
      <c r="CW75" s="55" t="e">
        <f t="shared" si="392"/>
        <v>#DIV/0!</v>
      </c>
      <c r="CX75" s="55" t="e">
        <f t="shared" si="393"/>
        <v>#DIV/0!</v>
      </c>
      <c r="CY75" s="55" t="e">
        <f t="shared" si="394"/>
        <v>#DIV/0!</v>
      </c>
      <c r="CZ75" s="252" t="e">
        <f t="shared" si="394"/>
        <v>#DIV/0!</v>
      </c>
      <c r="DA75" s="62" t="e">
        <f t="shared" si="395"/>
        <v>#DIV/0!</v>
      </c>
      <c r="DC75" s="2" t="s">
        <v>88</v>
      </c>
      <c r="DD75" s="198">
        <f t="shared" si="407"/>
        <v>0</v>
      </c>
      <c r="DE75" s="199">
        <f t="shared" si="408"/>
        <v>0</v>
      </c>
      <c r="DF75" s="198">
        <f t="shared" si="409"/>
        <v>0</v>
      </c>
      <c r="DG75" s="199">
        <f t="shared" si="410"/>
        <v>0</v>
      </c>
      <c r="DH75" s="198">
        <f t="shared" si="411"/>
        <v>0</v>
      </c>
      <c r="DI75" s="199">
        <f t="shared" si="412"/>
        <v>0</v>
      </c>
      <c r="DJ75" s="198">
        <f t="shared" si="413"/>
        <v>0</v>
      </c>
      <c r="DK75" s="199">
        <f t="shared" si="414"/>
        <v>0</v>
      </c>
      <c r="DL75" s="198">
        <f t="shared" si="415"/>
        <v>0</v>
      </c>
      <c r="DM75" s="199">
        <f t="shared" si="416"/>
        <v>0</v>
      </c>
      <c r="DN75" s="198">
        <f t="shared" si="417"/>
        <v>0</v>
      </c>
      <c r="DO75" s="199">
        <f t="shared" si="418"/>
        <v>0</v>
      </c>
      <c r="DP75" s="198">
        <f t="shared" si="419"/>
        <v>0</v>
      </c>
      <c r="DQ75" s="199">
        <f t="shared" si="420"/>
        <v>0</v>
      </c>
      <c r="DR75" s="198">
        <f t="shared" si="421"/>
        <v>0</v>
      </c>
      <c r="DS75" s="199">
        <f t="shared" si="422"/>
        <v>0</v>
      </c>
      <c r="DT75" s="198" t="e">
        <f t="shared" si="423"/>
        <v>#DIV/0!</v>
      </c>
      <c r="DU75" s="199">
        <f t="shared" si="424"/>
        <v>0</v>
      </c>
      <c r="DV75" s="198" t="e">
        <f t="shared" si="425"/>
        <v>#DIV/0!</v>
      </c>
      <c r="DW75" s="199">
        <f t="shared" si="426"/>
        <v>0</v>
      </c>
      <c r="DX75" s="198" t="e">
        <f t="shared" si="427"/>
        <v>#DIV/0!</v>
      </c>
      <c r="DY75" s="199">
        <f t="shared" si="428"/>
        <v>0</v>
      </c>
      <c r="DZ75" s="190" t="e">
        <f t="shared" si="429"/>
        <v>#DIV/0!</v>
      </c>
      <c r="EA75" s="199">
        <f t="shared" si="396"/>
        <v>0</v>
      </c>
      <c r="EB75" s="190" t="e">
        <f t="shared" si="430"/>
        <v>#DIV/0!</v>
      </c>
      <c r="EC75" s="190" t="e">
        <f t="shared" si="431"/>
        <v>#DIV/0!</v>
      </c>
    </row>
    <row r="76" spans="1:133" x14ac:dyDescent="0.2">
      <c r="A76" s="2" t="s">
        <v>89</v>
      </c>
      <c r="B76" s="42">
        <f>targets!AW73</f>
        <v>0</v>
      </c>
      <c r="C76" s="43">
        <f>targets!AX73</f>
        <v>0</v>
      </c>
      <c r="D76" s="43">
        <f>targets!AY73</f>
        <v>0</v>
      </c>
      <c r="E76" s="43">
        <f>targets!AZ73</f>
        <v>0</v>
      </c>
      <c r="F76" s="43">
        <f>targets!BA73</f>
        <v>0</v>
      </c>
      <c r="G76" s="43">
        <f>SUM(targets!BB73:BG73)</f>
        <v>0</v>
      </c>
      <c r="H76" s="43">
        <f>SUM(targets!BH73:BM73)</f>
        <v>0</v>
      </c>
      <c r="I76" s="75">
        <f t="shared" si="397"/>
        <v>0</v>
      </c>
      <c r="J76" s="43">
        <f>targets!BN73</f>
        <v>0</v>
      </c>
      <c r="K76" s="43">
        <f>targets!BO73</f>
        <v>0</v>
      </c>
      <c r="L76" s="43">
        <f>targets!BP73</f>
        <v>0</v>
      </c>
      <c r="M76" s="247">
        <f t="shared" si="432"/>
        <v>0</v>
      </c>
      <c r="N76" s="17">
        <f t="shared" si="398"/>
        <v>0</v>
      </c>
      <c r="O76" s="17"/>
      <c r="P76" s="17"/>
      <c r="Q76" s="2" t="s">
        <v>89</v>
      </c>
      <c r="R76" s="42">
        <f t="shared" si="362"/>
        <v>0</v>
      </c>
      <c r="S76" s="43">
        <f t="shared" si="363"/>
        <v>0</v>
      </c>
      <c r="T76" s="43">
        <f t="shared" si="364"/>
        <v>0</v>
      </c>
      <c r="U76" s="43">
        <f t="shared" si="365"/>
        <v>0</v>
      </c>
      <c r="V76" s="43">
        <f t="shared" si="366"/>
        <v>0</v>
      </c>
      <c r="W76" s="43">
        <f t="shared" si="367"/>
        <v>0</v>
      </c>
      <c r="X76" s="43">
        <f t="shared" si="368"/>
        <v>0</v>
      </c>
      <c r="Y76" s="75">
        <f t="shared" si="399"/>
        <v>0</v>
      </c>
      <c r="Z76" s="43" t="e">
        <f t="shared" si="369"/>
        <v>#DIV/0!</v>
      </c>
      <c r="AA76" s="43" t="e">
        <f t="shared" si="370"/>
        <v>#DIV/0!</v>
      </c>
      <c r="AB76" s="43" t="e">
        <f t="shared" si="371"/>
        <v>#DIV/0!</v>
      </c>
      <c r="AC76" s="247" t="e">
        <f t="shared" si="433"/>
        <v>#DIV/0!</v>
      </c>
      <c r="AD76" s="17" t="e">
        <f t="shared" si="400"/>
        <v>#DIV/0!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401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7">
        <f t="shared" si="525"/>
        <v>0</v>
      </c>
      <c r="AS76" s="17">
        <f t="shared" si="402"/>
        <v>0</v>
      </c>
      <c r="AU76" s="2" t="s">
        <v>89</v>
      </c>
      <c r="AV76" s="42">
        <f t="shared" ref="AV76:BG76" si="530">IF(R77&gt;0,R76/R77,0)</f>
        <v>0</v>
      </c>
      <c r="AW76" s="43">
        <f t="shared" si="530"/>
        <v>0</v>
      </c>
      <c r="AX76" s="43">
        <f t="shared" si="530"/>
        <v>0</v>
      </c>
      <c r="AY76" s="43">
        <f t="shared" si="530"/>
        <v>0</v>
      </c>
      <c r="AZ76" s="43">
        <f t="shared" si="530"/>
        <v>0</v>
      </c>
      <c r="BA76" s="43">
        <f t="shared" si="530"/>
        <v>0</v>
      </c>
      <c r="BB76" s="43">
        <f t="shared" si="530"/>
        <v>0</v>
      </c>
      <c r="BC76" s="75">
        <f t="shared" si="530"/>
        <v>0</v>
      </c>
      <c r="BD76" s="43" t="e">
        <f t="shared" si="530"/>
        <v>#DIV/0!</v>
      </c>
      <c r="BE76" s="43" t="e">
        <f t="shared" si="530"/>
        <v>#DIV/0!</v>
      </c>
      <c r="BF76" s="43" t="e">
        <f t="shared" si="530"/>
        <v>#DIV/0!</v>
      </c>
      <c r="BG76" s="247" t="e">
        <f t="shared" si="530"/>
        <v>#DIV/0!</v>
      </c>
      <c r="BH76" s="24" t="e">
        <f>AD76/AD77</f>
        <v>#DIV/0!</v>
      </c>
      <c r="BJ76" s="2" t="s">
        <v>89</v>
      </c>
      <c r="BK76" s="42">
        <f t="shared" ref="BK76:BV76" si="531">IF(AG77&gt;0,AG76/AG77,0)</f>
        <v>0</v>
      </c>
      <c r="BL76" s="43">
        <f t="shared" si="531"/>
        <v>0</v>
      </c>
      <c r="BM76" s="43">
        <f t="shared" si="531"/>
        <v>0</v>
      </c>
      <c r="BN76" s="43">
        <f t="shared" si="531"/>
        <v>0</v>
      </c>
      <c r="BO76" s="43">
        <f t="shared" si="531"/>
        <v>0</v>
      </c>
      <c r="BP76" s="43">
        <f t="shared" si="531"/>
        <v>0</v>
      </c>
      <c r="BQ76" s="43">
        <f t="shared" si="531"/>
        <v>0</v>
      </c>
      <c r="BR76" s="75">
        <f t="shared" si="531"/>
        <v>0</v>
      </c>
      <c r="BS76" s="43">
        <f t="shared" si="531"/>
        <v>0</v>
      </c>
      <c r="BT76" s="43">
        <f t="shared" si="531"/>
        <v>0</v>
      </c>
      <c r="BU76" s="43">
        <f t="shared" si="531"/>
        <v>0</v>
      </c>
      <c r="BV76" s="247">
        <f t="shared" si="531"/>
        <v>0</v>
      </c>
      <c r="BW76" s="24" t="e">
        <f>AS76/AS77</f>
        <v>#DIV/0!</v>
      </c>
      <c r="BX76" s="24"/>
      <c r="BY76" s="2" t="s">
        <v>89</v>
      </c>
      <c r="BZ76" s="56">
        <f t="shared" si="405"/>
        <v>0</v>
      </c>
      <c r="CA76" s="57">
        <f t="shared" si="374"/>
        <v>0</v>
      </c>
      <c r="CB76" s="57">
        <f t="shared" si="375"/>
        <v>0</v>
      </c>
      <c r="CC76" s="57">
        <f t="shared" si="376"/>
        <v>0</v>
      </c>
      <c r="CD76" s="57">
        <f t="shared" si="377"/>
        <v>0</v>
      </c>
      <c r="CE76" s="57">
        <f t="shared" si="378"/>
        <v>0</v>
      </c>
      <c r="CF76" s="57">
        <f t="shared" si="379"/>
        <v>0</v>
      </c>
      <c r="CG76" s="250">
        <f>AN76-Y76</f>
        <v>0</v>
      </c>
      <c r="CH76" s="57" t="e">
        <f t="shared" si="381"/>
        <v>#DIV/0!</v>
      </c>
      <c r="CI76" s="57" t="e">
        <f t="shared" si="382"/>
        <v>#DIV/0!</v>
      </c>
      <c r="CJ76" s="57" t="e">
        <f t="shared" si="383"/>
        <v>#DIV/0!</v>
      </c>
      <c r="CK76" s="253" t="e">
        <f t="shared" si="383"/>
        <v>#DIV/0!</v>
      </c>
      <c r="CL76" s="55" t="e">
        <f t="shared" si="384"/>
        <v>#DIV/0!</v>
      </c>
      <c r="CN76" s="2" t="s">
        <v>89</v>
      </c>
      <c r="CO76" s="56">
        <f t="shared" si="406"/>
        <v>0</v>
      </c>
      <c r="CP76" s="57">
        <f t="shared" si="385"/>
        <v>0</v>
      </c>
      <c r="CQ76" s="57">
        <f t="shared" si="386"/>
        <v>0</v>
      </c>
      <c r="CR76" s="57">
        <f t="shared" si="387"/>
        <v>0</v>
      </c>
      <c r="CS76" s="57">
        <f t="shared" si="388"/>
        <v>0</v>
      </c>
      <c r="CT76" s="57">
        <f t="shared" si="389"/>
        <v>0</v>
      </c>
      <c r="CU76" s="57">
        <f t="shared" si="390"/>
        <v>0</v>
      </c>
      <c r="CV76" s="250">
        <f t="shared" si="391"/>
        <v>0</v>
      </c>
      <c r="CW76" s="57" t="e">
        <f t="shared" si="392"/>
        <v>#DIV/0!</v>
      </c>
      <c r="CX76" s="57" t="e">
        <f t="shared" si="393"/>
        <v>#DIV/0!</v>
      </c>
      <c r="CY76" s="57" t="e">
        <f t="shared" si="394"/>
        <v>#DIV/0!</v>
      </c>
      <c r="CZ76" s="253" t="e">
        <f t="shared" si="394"/>
        <v>#DIV/0!</v>
      </c>
      <c r="DA76" s="62" t="e">
        <f t="shared" si="395"/>
        <v>#DIV/0!</v>
      </c>
      <c r="DC76" s="2" t="s">
        <v>89</v>
      </c>
      <c r="DD76" s="200">
        <f t="shared" si="407"/>
        <v>0</v>
      </c>
      <c r="DE76" s="201">
        <f t="shared" si="408"/>
        <v>0</v>
      </c>
      <c r="DF76" s="200">
        <f t="shared" si="409"/>
        <v>0</v>
      </c>
      <c r="DG76" s="201">
        <f t="shared" si="410"/>
        <v>0</v>
      </c>
      <c r="DH76" s="200">
        <f t="shared" si="411"/>
        <v>0</v>
      </c>
      <c r="DI76" s="201">
        <f t="shared" si="412"/>
        <v>0</v>
      </c>
      <c r="DJ76" s="200">
        <f t="shared" si="413"/>
        <v>0</v>
      </c>
      <c r="DK76" s="201">
        <f t="shared" si="414"/>
        <v>0</v>
      </c>
      <c r="DL76" s="200">
        <f t="shared" si="415"/>
        <v>0</v>
      </c>
      <c r="DM76" s="201">
        <f t="shared" si="416"/>
        <v>0</v>
      </c>
      <c r="DN76" s="200">
        <f t="shared" si="417"/>
        <v>0</v>
      </c>
      <c r="DO76" s="201">
        <f t="shared" si="418"/>
        <v>0</v>
      </c>
      <c r="DP76" s="200">
        <f t="shared" si="419"/>
        <v>0</v>
      </c>
      <c r="DQ76" s="201">
        <f t="shared" si="420"/>
        <v>0</v>
      </c>
      <c r="DR76" s="200">
        <f t="shared" si="421"/>
        <v>0</v>
      </c>
      <c r="DS76" s="201">
        <f t="shared" si="422"/>
        <v>0</v>
      </c>
      <c r="DT76" s="200" t="e">
        <f t="shared" si="423"/>
        <v>#DIV/0!</v>
      </c>
      <c r="DU76" s="201">
        <f t="shared" si="424"/>
        <v>0</v>
      </c>
      <c r="DV76" s="200" t="e">
        <f t="shared" si="425"/>
        <v>#DIV/0!</v>
      </c>
      <c r="DW76" s="201">
        <f t="shared" si="426"/>
        <v>0</v>
      </c>
      <c r="DX76" s="200" t="e">
        <f t="shared" si="427"/>
        <v>#DIV/0!</v>
      </c>
      <c r="DY76" s="201">
        <f t="shared" si="428"/>
        <v>0</v>
      </c>
      <c r="DZ76" s="202" t="e">
        <f t="shared" si="429"/>
        <v>#DIV/0!</v>
      </c>
      <c r="EA76" s="201">
        <f t="shared" si="396"/>
        <v>0</v>
      </c>
      <c r="EB76" s="190" t="e">
        <f t="shared" si="430"/>
        <v>#DIV/0!</v>
      </c>
      <c r="EC76" s="190" t="e">
        <f t="shared" si="431"/>
        <v>#DIV/0!</v>
      </c>
    </row>
    <row r="77" spans="1:133" x14ac:dyDescent="0.2">
      <c r="A77" s="65" t="s">
        <v>54</v>
      </c>
      <c r="B77" s="17">
        <f t="shared" ref="B77:M77" si="532">SUM(B57:B76)</f>
        <v>57021.664153912301</v>
      </c>
      <c r="C77" s="17">
        <f t="shared" si="532"/>
        <v>102825.43815160291</v>
      </c>
      <c r="D77" s="17">
        <f t="shared" si="532"/>
        <v>195446.95711009332</v>
      </c>
      <c r="E77" s="17">
        <f t="shared" si="532"/>
        <v>62383.557876300314</v>
      </c>
      <c r="F77" s="17">
        <f t="shared" si="532"/>
        <v>14911.65539151484</v>
      </c>
      <c r="G77" s="17">
        <f t="shared" si="532"/>
        <v>33493.524524494889</v>
      </c>
      <c r="H77" s="17">
        <f t="shared" si="532"/>
        <v>5706.8727631860402</v>
      </c>
      <c r="I77" s="72">
        <f t="shared" si="532"/>
        <v>39200.397287680928</v>
      </c>
      <c r="J77" s="17">
        <f t="shared" si="532"/>
        <v>0</v>
      </c>
      <c r="K77" s="17">
        <f t="shared" si="532"/>
        <v>0</v>
      </c>
      <c r="L77" s="17">
        <f t="shared" si="532"/>
        <v>0</v>
      </c>
      <c r="M77" s="72">
        <f t="shared" si="532"/>
        <v>0</v>
      </c>
      <c r="N77" s="17">
        <f t="shared" si="398"/>
        <v>471789.66997110459</v>
      </c>
      <c r="O77" s="17"/>
      <c r="P77" s="17"/>
      <c r="Q77" s="65" t="s">
        <v>54</v>
      </c>
      <c r="R77" s="17">
        <f t="shared" ref="R77:AC77" si="533">SUM(R57:R76)</f>
        <v>0</v>
      </c>
      <c r="S77" s="17">
        <f t="shared" si="533"/>
        <v>0</v>
      </c>
      <c r="T77" s="17">
        <f t="shared" si="533"/>
        <v>0</v>
      </c>
      <c r="U77" s="17">
        <f t="shared" si="533"/>
        <v>0</v>
      </c>
      <c r="V77" s="17">
        <f t="shared" si="533"/>
        <v>0</v>
      </c>
      <c r="W77" s="17">
        <f t="shared" si="533"/>
        <v>0</v>
      </c>
      <c r="X77" s="17">
        <f t="shared" si="533"/>
        <v>0</v>
      </c>
      <c r="Y77" s="72">
        <f t="shared" si="533"/>
        <v>0</v>
      </c>
      <c r="Z77" s="17" t="e">
        <f t="shared" si="533"/>
        <v>#DIV/0!</v>
      </c>
      <c r="AA77" s="17" t="e">
        <f t="shared" si="533"/>
        <v>#DIV/0!</v>
      </c>
      <c r="AB77" s="17" t="e">
        <f t="shared" si="533"/>
        <v>#DIV/0!</v>
      </c>
      <c r="AC77" s="72" t="e">
        <f t="shared" si="533"/>
        <v>#DIV/0!</v>
      </c>
      <c r="AD77" s="17" t="e">
        <f t="shared" si="400"/>
        <v>#DIV/0!</v>
      </c>
      <c r="AF77" s="65" t="s">
        <v>54</v>
      </c>
      <c r="AG77" s="17">
        <f t="shared" ref="AG77:AR77" si="534">SUM(AG57:AG76)</f>
        <v>0</v>
      </c>
      <c r="AH77" s="17">
        <f t="shared" si="534"/>
        <v>0</v>
      </c>
      <c r="AI77" s="17">
        <f t="shared" si="534"/>
        <v>0</v>
      </c>
      <c r="AJ77" s="17">
        <f t="shared" si="534"/>
        <v>0</v>
      </c>
      <c r="AK77" s="17">
        <f t="shared" si="534"/>
        <v>0</v>
      </c>
      <c r="AL77" s="17">
        <f t="shared" si="534"/>
        <v>0</v>
      </c>
      <c r="AM77" s="17">
        <f t="shared" si="534"/>
        <v>0</v>
      </c>
      <c r="AN77" s="72">
        <f t="shared" si="534"/>
        <v>0</v>
      </c>
      <c r="AO77" s="17">
        <f t="shared" si="534"/>
        <v>0</v>
      </c>
      <c r="AP77" s="17">
        <f t="shared" si="534"/>
        <v>0</v>
      </c>
      <c r="AQ77" s="17">
        <f t="shared" si="534"/>
        <v>0</v>
      </c>
      <c r="AR77" s="72">
        <f t="shared" si="534"/>
        <v>0</v>
      </c>
      <c r="AS77" s="17">
        <f t="shared" si="402"/>
        <v>0</v>
      </c>
      <c r="AU77" s="65" t="s">
        <v>54</v>
      </c>
      <c r="AV77" s="17">
        <f t="shared" ref="AV77:BH77" si="535">SUM(AV57:AV76)</f>
        <v>0</v>
      </c>
      <c r="AW77" s="17">
        <f t="shared" si="535"/>
        <v>0</v>
      </c>
      <c r="AX77" s="17">
        <f t="shared" si="535"/>
        <v>0</v>
      </c>
      <c r="AY77" s="17">
        <f t="shared" si="535"/>
        <v>0</v>
      </c>
      <c r="AZ77" s="17">
        <f t="shared" si="535"/>
        <v>0</v>
      </c>
      <c r="BA77" s="17">
        <f t="shared" si="535"/>
        <v>0</v>
      </c>
      <c r="BB77" s="17">
        <f t="shared" si="535"/>
        <v>0</v>
      </c>
      <c r="BC77" s="72">
        <f t="shared" si="535"/>
        <v>0</v>
      </c>
      <c r="BD77" s="17" t="e">
        <f t="shared" si="535"/>
        <v>#DIV/0!</v>
      </c>
      <c r="BE77" s="17" t="e">
        <f t="shared" si="535"/>
        <v>#DIV/0!</v>
      </c>
      <c r="BF77" s="17" t="e">
        <f t="shared" si="535"/>
        <v>#DIV/0!</v>
      </c>
      <c r="BG77" s="72" t="e">
        <f t="shared" si="535"/>
        <v>#DIV/0!</v>
      </c>
      <c r="BH77" s="24" t="e">
        <f t="shared" si="535"/>
        <v>#DIV/0!</v>
      </c>
      <c r="BJ77" s="65" t="s">
        <v>54</v>
      </c>
      <c r="BK77" s="24">
        <f t="shared" ref="BK77:BW77" si="536">SUM(BK57:BK76)</f>
        <v>0</v>
      </c>
      <c r="BL77" s="24">
        <f t="shared" si="536"/>
        <v>0</v>
      </c>
      <c r="BM77" s="24">
        <f t="shared" si="536"/>
        <v>0</v>
      </c>
      <c r="BN77" s="24">
        <f t="shared" si="536"/>
        <v>0</v>
      </c>
      <c r="BO77" s="24">
        <f t="shared" si="536"/>
        <v>0</v>
      </c>
      <c r="BP77" s="24">
        <f t="shared" si="536"/>
        <v>0</v>
      </c>
      <c r="BQ77" s="24">
        <f t="shared" si="536"/>
        <v>0</v>
      </c>
      <c r="BR77" s="24">
        <f t="shared" si="536"/>
        <v>0</v>
      </c>
      <c r="BS77" s="24">
        <f t="shared" si="536"/>
        <v>0</v>
      </c>
      <c r="BT77" s="24">
        <f t="shared" si="536"/>
        <v>0</v>
      </c>
      <c r="BU77" s="24">
        <f t="shared" si="536"/>
        <v>0</v>
      </c>
      <c r="BV77" s="24">
        <f t="shared" si="536"/>
        <v>0</v>
      </c>
      <c r="BW77" s="24" t="e">
        <f t="shared" si="536"/>
        <v>#DIV/0!</v>
      </c>
      <c r="BX77" s="24"/>
      <c r="BY77" s="65" t="s">
        <v>54</v>
      </c>
      <c r="BZ77" s="55">
        <f t="shared" si="405"/>
        <v>0</v>
      </c>
      <c r="CA77" s="55">
        <f t="shared" si="374"/>
        <v>0</v>
      </c>
      <c r="CB77" s="55">
        <f t="shared" si="375"/>
        <v>0</v>
      </c>
      <c r="CC77" s="55">
        <f t="shared" si="376"/>
        <v>0</v>
      </c>
      <c r="CD77" s="55">
        <f t="shared" si="377"/>
        <v>0</v>
      </c>
      <c r="CE77" s="55">
        <f t="shared" si="378"/>
        <v>0</v>
      </c>
      <c r="CF77" s="55">
        <f t="shared" si="379"/>
        <v>0</v>
      </c>
      <c r="CG77" s="55">
        <f>AN77-Y77</f>
        <v>0</v>
      </c>
      <c r="CH77" s="55" t="e">
        <f t="shared" si="381"/>
        <v>#DIV/0!</v>
      </c>
      <c r="CI77" s="55" t="e">
        <f t="shared" si="382"/>
        <v>#DIV/0!</v>
      </c>
      <c r="CJ77" s="55" t="e">
        <f t="shared" si="383"/>
        <v>#DIV/0!</v>
      </c>
      <c r="CK77" s="55" t="e">
        <f t="shared" si="383"/>
        <v>#DIV/0!</v>
      </c>
      <c r="CL77" s="55" t="e">
        <f t="shared" si="384"/>
        <v>#DIV/0!</v>
      </c>
      <c r="CN77" s="65" t="s">
        <v>54</v>
      </c>
      <c r="CO77" s="55">
        <f t="shared" si="406"/>
        <v>0</v>
      </c>
      <c r="CP77" s="55">
        <f t="shared" si="385"/>
        <v>0</v>
      </c>
      <c r="CQ77" s="55">
        <f t="shared" si="386"/>
        <v>0</v>
      </c>
      <c r="CR77" s="55">
        <f t="shared" si="387"/>
        <v>0</v>
      </c>
      <c r="CS77" s="55">
        <f t="shared" si="388"/>
        <v>0</v>
      </c>
      <c r="CT77" s="55">
        <f t="shared" si="389"/>
        <v>0</v>
      </c>
      <c r="CU77" s="55">
        <f t="shared" si="390"/>
        <v>0</v>
      </c>
      <c r="CV77" s="55">
        <f t="shared" si="391"/>
        <v>0</v>
      </c>
      <c r="CW77" s="55" t="e">
        <f t="shared" si="392"/>
        <v>#DIV/0!</v>
      </c>
      <c r="CX77" s="55" t="e">
        <f t="shared" si="393"/>
        <v>#DIV/0!</v>
      </c>
      <c r="CY77" s="55" t="e">
        <f t="shared" si="394"/>
        <v>#DIV/0!</v>
      </c>
      <c r="CZ77" s="55" t="e">
        <f t="shared" si="394"/>
        <v>#DIV/0!</v>
      </c>
      <c r="DA77" s="62" t="e">
        <f t="shared" si="395"/>
        <v>#DIV/0!</v>
      </c>
      <c r="DC77" s="65" t="s">
        <v>54</v>
      </c>
      <c r="DD77" s="190">
        <f t="shared" ref="DD77:EC77" si="537">SUM(DD57:DD76)</f>
        <v>0</v>
      </c>
      <c r="DE77" s="190">
        <f t="shared" si="537"/>
        <v>0</v>
      </c>
      <c r="DF77" s="190">
        <f t="shared" si="537"/>
        <v>0</v>
      </c>
      <c r="DG77" s="190">
        <f t="shared" si="537"/>
        <v>0</v>
      </c>
      <c r="DH77" s="190">
        <f t="shared" si="537"/>
        <v>0</v>
      </c>
      <c r="DI77" s="190">
        <f t="shared" si="537"/>
        <v>0</v>
      </c>
      <c r="DJ77" s="190">
        <f t="shared" si="537"/>
        <v>0</v>
      </c>
      <c r="DK77" s="190">
        <f t="shared" si="537"/>
        <v>0</v>
      </c>
      <c r="DL77" s="190">
        <f t="shared" si="537"/>
        <v>0</v>
      </c>
      <c r="DM77" s="190">
        <f t="shared" si="537"/>
        <v>0</v>
      </c>
      <c r="DN77" s="190">
        <f t="shared" si="537"/>
        <v>0</v>
      </c>
      <c r="DO77" s="190">
        <f t="shared" si="537"/>
        <v>0</v>
      </c>
      <c r="DP77" s="190">
        <f t="shared" si="537"/>
        <v>0</v>
      </c>
      <c r="DQ77" s="190">
        <f t="shared" si="537"/>
        <v>0</v>
      </c>
      <c r="DR77" s="190">
        <f t="shared" si="537"/>
        <v>0</v>
      </c>
      <c r="DS77" s="190">
        <f t="shared" si="537"/>
        <v>0</v>
      </c>
      <c r="DT77" s="190" t="e">
        <f t="shared" si="537"/>
        <v>#DIV/0!</v>
      </c>
      <c r="DU77" s="190">
        <f t="shared" si="537"/>
        <v>0</v>
      </c>
      <c r="DV77" s="190" t="e">
        <f t="shared" si="537"/>
        <v>#DIV/0!</v>
      </c>
      <c r="DW77" s="190">
        <f t="shared" si="537"/>
        <v>0</v>
      </c>
      <c r="DX77" s="190" t="e">
        <f t="shared" si="537"/>
        <v>#DIV/0!</v>
      </c>
      <c r="DY77" s="190">
        <f t="shared" si="537"/>
        <v>0</v>
      </c>
      <c r="DZ77" s="190" t="e">
        <f t="shared" si="537"/>
        <v>#DIV/0!</v>
      </c>
      <c r="EA77" s="190">
        <f t="shared" si="537"/>
        <v>0</v>
      </c>
      <c r="EB77" s="190" t="e">
        <f t="shared" si="537"/>
        <v>#DIV/0!</v>
      </c>
      <c r="EC77" s="190" t="e">
        <f t="shared" si="537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targets!AW78</f>
        <v>2505218.2593726893</v>
      </c>
      <c r="C83" s="37">
        <f>targets!AX78</f>
        <v>697554.4557472138</v>
      </c>
      <c r="D83" s="37">
        <f>targets!AY78</f>
        <v>261864.66136649912</v>
      </c>
      <c r="E83" s="37">
        <f>targets!AZ78</f>
        <v>0</v>
      </c>
      <c r="F83" s="37">
        <f>targets!BA78</f>
        <v>0</v>
      </c>
      <c r="G83" s="37">
        <f>SUM(targets!BB78:BG78)</f>
        <v>0</v>
      </c>
      <c r="H83" s="37">
        <f>SUM(targets!BH78:BM78)</f>
        <v>0</v>
      </c>
      <c r="I83" s="74">
        <f>SUM(G83:H83)</f>
        <v>0</v>
      </c>
      <c r="J83" s="37">
        <f>targets!BN78</f>
        <v>0</v>
      </c>
      <c r="K83" s="37">
        <f>targets!BO78</f>
        <v>0</v>
      </c>
      <c r="L83" s="37">
        <f>targets!BP78</f>
        <v>0</v>
      </c>
      <c r="M83" s="177">
        <f>SUM(J83:L83)</f>
        <v>0</v>
      </c>
      <c r="N83" s="17">
        <f>SUM(B83:L83)-I83</f>
        <v>3464637.376486402</v>
      </c>
      <c r="O83" s="17"/>
      <c r="P83" s="17"/>
      <c r="Q83" s="66" t="s">
        <v>4</v>
      </c>
      <c r="R83" s="36">
        <f t="shared" ref="R83:R102" si="538">B83*(AG$103/B$103)</f>
        <v>0</v>
      </c>
      <c r="S83" s="37">
        <f t="shared" ref="S83:S102" si="539">C83*(AH$103/C$103)</f>
        <v>0</v>
      </c>
      <c r="T83" s="37">
        <f t="shared" ref="T83:T102" si="540">D83*(AI$103/D$103)</f>
        <v>0</v>
      </c>
      <c r="U83" s="37">
        <f t="shared" ref="U83:U102" si="541">E83*(AJ$103/E$103)</f>
        <v>0</v>
      </c>
      <c r="V83" s="37">
        <f t="shared" ref="V83:V102" si="542">F83*(AK$103/F$103)</f>
        <v>0</v>
      </c>
      <c r="W83" s="37">
        <f t="shared" ref="W83:W102" si="543">G83*(AL$103/G$103)</f>
        <v>0</v>
      </c>
      <c r="X83" s="37">
        <f t="shared" ref="X83:X102" si="544">H83*(AM$103/H$103)</f>
        <v>0</v>
      </c>
      <c r="Y83" s="74">
        <f>SUM(W83:X83)</f>
        <v>0</v>
      </c>
      <c r="Z83" s="37">
        <f t="shared" ref="Z83:Z102" si="545">J83*(AO$103/J$103)</f>
        <v>0</v>
      </c>
      <c r="AA83" s="37">
        <f t="shared" ref="AA83:AA102" si="546">K83*(AP$103/K$103)</f>
        <v>0</v>
      </c>
      <c r="AB83" s="37">
        <f t="shared" ref="AB83:AB102" si="547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8">IF(R103&gt;0,R83/R103,0)</f>
        <v>0</v>
      </c>
      <c r="AW83" s="37">
        <f t="shared" si="548"/>
        <v>0</v>
      </c>
      <c r="AX83" s="37">
        <f t="shared" si="548"/>
        <v>0</v>
      </c>
      <c r="AY83" s="37">
        <f t="shared" si="548"/>
        <v>0</v>
      </c>
      <c r="AZ83" s="37">
        <f t="shared" si="548"/>
        <v>0</v>
      </c>
      <c r="BA83" s="37">
        <f t="shared" si="548"/>
        <v>0</v>
      </c>
      <c r="BB83" s="37">
        <f t="shared" si="548"/>
        <v>0</v>
      </c>
      <c r="BC83" s="74">
        <f t="shared" si="548"/>
        <v>0</v>
      </c>
      <c r="BD83" s="37">
        <f t="shared" si="548"/>
        <v>0</v>
      </c>
      <c r="BE83" s="37">
        <f t="shared" si="548"/>
        <v>0</v>
      </c>
      <c r="BF83" s="37">
        <f t="shared" si="548"/>
        <v>0</v>
      </c>
      <c r="BG83" s="177">
        <f t="shared" si="548"/>
        <v>0</v>
      </c>
      <c r="BH83" s="24" t="e">
        <f>AD83/AD103</f>
        <v>#DIV/0!</v>
      </c>
      <c r="BJ83" s="66" t="s">
        <v>4</v>
      </c>
      <c r="BK83" s="36">
        <f t="shared" ref="BK83:BV83" si="549">IF(AG103&gt;0,AG83/AG103,0)</f>
        <v>0</v>
      </c>
      <c r="BL83" s="37">
        <f t="shared" si="549"/>
        <v>0</v>
      </c>
      <c r="BM83" s="37">
        <f t="shared" si="549"/>
        <v>0</v>
      </c>
      <c r="BN83" s="37">
        <f t="shared" si="549"/>
        <v>0</v>
      </c>
      <c r="BO83" s="37">
        <f t="shared" si="549"/>
        <v>0</v>
      </c>
      <c r="BP83" s="37">
        <f t="shared" si="549"/>
        <v>0</v>
      </c>
      <c r="BQ83" s="37">
        <f t="shared" si="549"/>
        <v>0</v>
      </c>
      <c r="BR83" s="74">
        <f t="shared" si="549"/>
        <v>0</v>
      </c>
      <c r="BS83" s="37">
        <f t="shared" si="549"/>
        <v>0</v>
      </c>
      <c r="BT83" s="37">
        <f t="shared" si="549"/>
        <v>0</v>
      </c>
      <c r="BU83" s="37">
        <f t="shared" si="549"/>
        <v>0</v>
      </c>
      <c r="BV83" s="177">
        <f t="shared" si="549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50">AH83-S83</f>
        <v>0</v>
      </c>
      <c r="CB83" s="53">
        <f t="shared" ref="CB83:CB103" si="551">AI83-T83</f>
        <v>0</v>
      </c>
      <c r="CC83" s="53">
        <f t="shared" ref="CC83:CC103" si="552">AJ83-U83</f>
        <v>0</v>
      </c>
      <c r="CD83" s="53">
        <f t="shared" ref="CD83:CD103" si="553">AK83-V83</f>
        <v>0</v>
      </c>
      <c r="CE83" s="53">
        <f t="shared" ref="CE83:CE103" si="554">AL83-W83</f>
        <v>0</v>
      </c>
      <c r="CF83" s="53">
        <f t="shared" ref="CF83:CF103" si="555">AM83-X83</f>
        <v>0</v>
      </c>
      <c r="CG83" s="248">
        <f t="shared" ref="CG83:CG98" si="556">AN83-Y83</f>
        <v>0</v>
      </c>
      <c r="CH83" s="53">
        <f t="shared" ref="CH83:CH103" si="557">AO83-Z83</f>
        <v>0</v>
      </c>
      <c r="CI83" s="53">
        <f t="shared" ref="CI83:CI103" si="558">AP83-AA83</f>
        <v>0</v>
      </c>
      <c r="CJ83" s="53">
        <f t="shared" ref="CJ83:CK103" si="559">AQ83-AB83</f>
        <v>0</v>
      </c>
      <c r="CK83" s="251">
        <f>AR83-AC83</f>
        <v>0</v>
      </c>
      <c r="CL83" s="55">
        <f t="shared" ref="CL83:CL103" si="560">AS83-AD83</f>
        <v>0</v>
      </c>
      <c r="CN83" s="66" t="s">
        <v>4</v>
      </c>
      <c r="CO83" s="58">
        <f>BK83-AV83</f>
        <v>0</v>
      </c>
      <c r="CP83" s="53">
        <f t="shared" ref="CP83:CP103" si="561">BL83-AW83</f>
        <v>0</v>
      </c>
      <c r="CQ83" s="53">
        <f t="shared" ref="CQ83:CQ103" si="562">BM83-AX83</f>
        <v>0</v>
      </c>
      <c r="CR83" s="53">
        <f t="shared" ref="CR83:CR103" si="563">BN83-AY83</f>
        <v>0</v>
      </c>
      <c r="CS83" s="53">
        <f t="shared" ref="CS83:CS103" si="564">BO83-AZ83</f>
        <v>0</v>
      </c>
      <c r="CT83" s="53">
        <f t="shared" ref="CT83:CT103" si="565">BP83-BA83</f>
        <v>0</v>
      </c>
      <c r="CU83" s="53">
        <f t="shared" ref="CU83:CU103" si="566">BQ83-BB83</f>
        <v>0</v>
      </c>
      <c r="CV83" s="248">
        <f t="shared" ref="CV83:CV103" si="567">BR83-BC83</f>
        <v>0</v>
      </c>
      <c r="CW83" s="53">
        <f t="shared" ref="CW83:CW103" si="568">BS83-BD83</f>
        <v>0</v>
      </c>
      <c r="CX83" s="53">
        <f t="shared" ref="CX83:CX103" si="569">BT83-BE83</f>
        <v>0</v>
      </c>
      <c r="CY83" s="53">
        <f t="shared" ref="CY83:CZ103" si="570">BU83-BF83</f>
        <v>0</v>
      </c>
      <c r="CZ83" s="251">
        <f>BV83-BG83</f>
        <v>0</v>
      </c>
      <c r="DA83" s="62" t="e">
        <f t="shared" ref="DA83:DA103" si="571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72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targets!AW79</f>
        <v>0</v>
      </c>
      <c r="C84" s="36">
        <f>targets!AX79</f>
        <v>1570410.9046762115</v>
      </c>
      <c r="D84" s="245">
        <f>targets!AY79</f>
        <v>221519.96798517631</v>
      </c>
      <c r="E84" s="245">
        <f>targets!AZ79</f>
        <v>0</v>
      </c>
      <c r="F84" s="245">
        <f>targets!BA79</f>
        <v>0</v>
      </c>
      <c r="G84" s="245">
        <f>SUM(targets!BB79:BG79)</f>
        <v>9857.000749110357</v>
      </c>
      <c r="H84" s="245">
        <f>SUM(targets!BH79:BM79)</f>
        <v>0</v>
      </c>
      <c r="I84" s="246">
        <f t="shared" ref="I84:I102" si="573">SUM(G84:H84)</f>
        <v>9857.000749110357</v>
      </c>
      <c r="J84" s="245">
        <f>targets!BN79</f>
        <v>97.728172937654222</v>
      </c>
      <c r="K84" s="245">
        <f>targets!BO79</f>
        <v>4325.3009660091775</v>
      </c>
      <c r="L84" s="245">
        <f>targets!BP79</f>
        <v>0</v>
      </c>
      <c r="M84" s="178">
        <f t="shared" ref="M84:M102" si="574">SUM(J84:L84)</f>
        <v>4423.0291389468321</v>
      </c>
      <c r="N84" s="17">
        <f t="shared" ref="N84:N102" si="575">SUM(B84:L84)-I84</f>
        <v>1806210.9025494449</v>
      </c>
      <c r="O84" s="17"/>
      <c r="P84" s="17"/>
      <c r="Q84" s="66" t="s">
        <v>41</v>
      </c>
      <c r="R84" s="38">
        <f t="shared" si="538"/>
        <v>0</v>
      </c>
      <c r="S84" s="36">
        <f t="shared" si="539"/>
        <v>0</v>
      </c>
      <c r="T84" s="245">
        <f t="shared" si="540"/>
        <v>0</v>
      </c>
      <c r="U84" s="245">
        <f t="shared" si="541"/>
        <v>0</v>
      </c>
      <c r="V84" s="245">
        <f t="shared" si="542"/>
        <v>0</v>
      </c>
      <c r="W84" s="245">
        <f t="shared" si="543"/>
        <v>0</v>
      </c>
      <c r="X84" s="245">
        <f t="shared" si="544"/>
        <v>0</v>
      </c>
      <c r="Y84" s="246">
        <f t="shared" ref="Y84:Y102" si="576">SUM(W84:X84)</f>
        <v>0</v>
      </c>
      <c r="Z84" s="245">
        <f t="shared" si="545"/>
        <v>0</v>
      </c>
      <c r="AA84" s="245">
        <f t="shared" si="546"/>
        <v>0</v>
      </c>
      <c r="AB84" s="245">
        <f t="shared" si="547"/>
        <v>0</v>
      </c>
      <c r="AC84" s="178">
        <f t="shared" ref="AC84:AC102" si="577">SUM(Z84:AB84)</f>
        <v>0</v>
      </c>
      <c r="AD84" s="17">
        <f t="shared" ref="AD84:AD103" si="578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5">
        <f t="array" ref="AI84">SUM(IF((modeldata!$F:$F=calibration!$AF$80)*(modeldata!$G:$G=calibration!AI$82)*(modeldata!$H:$H=calibration!$AF84),modeldata!$E:$E,0))</f>
        <v>0</v>
      </c>
      <c r="AJ84" s="245">
        <f t="array" ref="AJ84">SUM(IF((modeldata!$F:$F=calibration!$AF$80)*(modeldata!$G:$G=calibration!AJ$82)*(modeldata!$H:$H=calibration!$AF84),modeldata!$E:$E,0))</f>
        <v>0</v>
      </c>
      <c r="AK84" s="245">
        <f t="array" ref="AK84">SUM(IF((modeldata!$F:$F=calibration!$AF$80)*(modeldata!$G:$G=calibration!AK$82)*(modeldata!$H:$H=calibration!$AF84),modeldata!$E:$E,0))</f>
        <v>0</v>
      </c>
      <c r="AL84" s="245">
        <f t="array" ref="AL84">SUM(IF((modeldata!$F:$F=calibration!$AF$80)*(modeldata!$G:$G=calibration!AL$82)*(modeldata!$H:$H=calibration!$AF84),modeldata!$E:$E,0))</f>
        <v>0</v>
      </c>
      <c r="AM84" s="245">
        <f t="array" ref="AM84">SUM(IF((modeldata!$F:$F=calibration!$AF$80)*(modeldata!$G:$G=calibration!AM$82)*(modeldata!$H:$H=calibration!$AF84),modeldata!$E:$E,0))</f>
        <v>0</v>
      </c>
      <c r="AN84" s="246">
        <f>AL84+AM84</f>
        <v>0</v>
      </c>
      <c r="AO84" s="245">
        <f t="array" ref="AO84">SUM(IF((modeldata!$F:$F=calibration!$AF$80)*(modeldata!$G:$G=calibration!AO$82)*(modeldata!$H:$H=calibration!$AF84),modeldata!$E:$E,0))</f>
        <v>0</v>
      </c>
      <c r="AP84" s="245">
        <f t="array" ref="AP84">SUM(IF((modeldata!$F:$F=calibration!$AF$80)*(modeldata!$G:$G=calibration!AP$82)*(modeldata!$H:$H=calibration!$AF84),modeldata!$E:$E,0))</f>
        <v>0</v>
      </c>
      <c r="AQ84" s="245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9">SUM(AG84:AQ84)-AN84</f>
        <v>0</v>
      </c>
      <c r="AU84" s="66" t="s">
        <v>41</v>
      </c>
      <c r="AV84" s="38">
        <f t="shared" ref="AV84:BG84" si="580">IF(R103&gt;0,R84/R103,0)</f>
        <v>0</v>
      </c>
      <c r="AW84" s="36">
        <f t="shared" si="580"/>
        <v>0</v>
      </c>
      <c r="AX84" s="245">
        <f t="shared" si="580"/>
        <v>0</v>
      </c>
      <c r="AY84" s="245">
        <f t="shared" si="580"/>
        <v>0</v>
      </c>
      <c r="AZ84" s="245">
        <f t="shared" si="580"/>
        <v>0</v>
      </c>
      <c r="BA84" s="245">
        <f t="shared" si="580"/>
        <v>0</v>
      </c>
      <c r="BB84" s="245">
        <f t="shared" si="580"/>
        <v>0</v>
      </c>
      <c r="BC84" s="246">
        <f t="shared" si="580"/>
        <v>0</v>
      </c>
      <c r="BD84" s="245">
        <f t="shared" si="580"/>
        <v>0</v>
      </c>
      <c r="BE84" s="245">
        <f t="shared" si="580"/>
        <v>0</v>
      </c>
      <c r="BF84" s="245">
        <f t="shared" si="580"/>
        <v>0</v>
      </c>
      <c r="BG84" s="178">
        <f t="shared" si="580"/>
        <v>0</v>
      </c>
      <c r="BH84" s="24" t="e">
        <f>AD84/AD103</f>
        <v>#DIV/0!</v>
      </c>
      <c r="BJ84" s="66" t="s">
        <v>41</v>
      </c>
      <c r="BK84" s="38">
        <f t="shared" ref="BK84:BV84" si="581">IF(AG103&gt;0,AG84/AG103,0)</f>
        <v>0</v>
      </c>
      <c r="BL84" s="36">
        <f t="shared" si="581"/>
        <v>0</v>
      </c>
      <c r="BM84" s="245">
        <f t="shared" si="581"/>
        <v>0</v>
      </c>
      <c r="BN84" s="245">
        <f t="shared" si="581"/>
        <v>0</v>
      </c>
      <c r="BO84" s="245">
        <f t="shared" si="581"/>
        <v>0</v>
      </c>
      <c r="BP84" s="245">
        <f t="shared" si="581"/>
        <v>0</v>
      </c>
      <c r="BQ84" s="245">
        <f t="shared" si="581"/>
        <v>0</v>
      </c>
      <c r="BR84" s="246">
        <f t="shared" si="581"/>
        <v>0</v>
      </c>
      <c r="BS84" s="245">
        <f t="shared" si="581"/>
        <v>0</v>
      </c>
      <c r="BT84" s="245">
        <f t="shared" si="581"/>
        <v>0</v>
      </c>
      <c r="BU84" s="245">
        <f t="shared" si="581"/>
        <v>0</v>
      </c>
      <c r="BV84" s="178">
        <f t="shared" si="581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82">AG84-R84</f>
        <v>0</v>
      </c>
      <c r="CA84" s="58">
        <f t="shared" si="550"/>
        <v>0</v>
      </c>
      <c r="CB84" s="55">
        <f t="shared" si="551"/>
        <v>0</v>
      </c>
      <c r="CC84" s="55">
        <f t="shared" si="552"/>
        <v>0</v>
      </c>
      <c r="CD84" s="55">
        <f t="shared" si="553"/>
        <v>0</v>
      </c>
      <c r="CE84" s="55">
        <f t="shared" si="554"/>
        <v>0</v>
      </c>
      <c r="CF84" s="55">
        <f t="shared" si="555"/>
        <v>0</v>
      </c>
      <c r="CG84" s="249">
        <f t="shared" si="556"/>
        <v>0</v>
      </c>
      <c r="CH84" s="55">
        <f t="shared" si="557"/>
        <v>0</v>
      </c>
      <c r="CI84" s="55">
        <f t="shared" si="558"/>
        <v>0</v>
      </c>
      <c r="CJ84" s="55">
        <f t="shared" si="559"/>
        <v>0</v>
      </c>
      <c r="CK84" s="252">
        <f t="shared" si="559"/>
        <v>0</v>
      </c>
      <c r="CL84" s="55">
        <f t="shared" si="560"/>
        <v>0</v>
      </c>
      <c r="CN84" s="66" t="s">
        <v>41</v>
      </c>
      <c r="CO84" s="54">
        <f t="shared" ref="CO84:CO103" si="583">BK84-AV84</f>
        <v>0</v>
      </c>
      <c r="CP84" s="58">
        <f t="shared" si="561"/>
        <v>0</v>
      </c>
      <c r="CQ84" s="55">
        <f t="shared" si="562"/>
        <v>0</v>
      </c>
      <c r="CR84" s="55">
        <f t="shared" si="563"/>
        <v>0</v>
      </c>
      <c r="CS84" s="55">
        <f t="shared" si="564"/>
        <v>0</v>
      </c>
      <c r="CT84" s="55">
        <f t="shared" si="565"/>
        <v>0</v>
      </c>
      <c r="CU84" s="55">
        <f t="shared" si="566"/>
        <v>0</v>
      </c>
      <c r="CV84" s="249">
        <f t="shared" si="567"/>
        <v>0</v>
      </c>
      <c r="CW84" s="55">
        <f t="shared" si="568"/>
        <v>0</v>
      </c>
      <c r="CX84" s="55">
        <f t="shared" si="569"/>
        <v>0</v>
      </c>
      <c r="CY84" s="55">
        <f t="shared" si="570"/>
        <v>0</v>
      </c>
      <c r="CZ84" s="252">
        <f t="shared" si="570"/>
        <v>0</v>
      </c>
      <c r="DA84" s="62" t="e">
        <f t="shared" si="571"/>
        <v>#DIV/0!</v>
      </c>
      <c r="DC84" s="66" t="s">
        <v>41</v>
      </c>
      <c r="DD84" s="198">
        <f t="shared" ref="DD84:DD102" si="584">AV84</f>
        <v>0</v>
      </c>
      <c r="DE84" s="199">
        <f t="shared" ref="DE84:DE102" si="585">BK84</f>
        <v>0</v>
      </c>
      <c r="DF84" s="193">
        <f t="shared" ref="DF84:DF102" si="586">AW84</f>
        <v>0</v>
      </c>
      <c r="DG84" s="194">
        <f t="shared" ref="DG84:DG102" si="587">BL84</f>
        <v>0</v>
      </c>
      <c r="DH84" s="198">
        <f t="shared" ref="DH84:DH102" si="588">AX84</f>
        <v>0</v>
      </c>
      <c r="DI84" s="199">
        <f t="shared" ref="DI84:DI102" si="589">BM84</f>
        <v>0</v>
      </c>
      <c r="DJ84" s="198">
        <f t="shared" ref="DJ84:DJ102" si="590">AY84</f>
        <v>0</v>
      </c>
      <c r="DK84" s="199">
        <f t="shared" ref="DK84:DK102" si="591">BN84</f>
        <v>0</v>
      </c>
      <c r="DL84" s="198">
        <f t="shared" ref="DL84:DL102" si="592">AZ84</f>
        <v>0</v>
      </c>
      <c r="DM84" s="199">
        <f t="shared" ref="DM84:DM102" si="593">BO84</f>
        <v>0</v>
      </c>
      <c r="DN84" s="198">
        <f t="shared" ref="DN84:DN102" si="594">BA84</f>
        <v>0</v>
      </c>
      <c r="DO84" s="199">
        <f t="shared" ref="DO84:DO102" si="595">BP84</f>
        <v>0</v>
      </c>
      <c r="DP84" s="198">
        <f t="shared" ref="DP84:DP102" si="596">BB84</f>
        <v>0</v>
      </c>
      <c r="DQ84" s="199">
        <f t="shared" ref="DQ84:DQ102" si="597">BQ84</f>
        <v>0</v>
      </c>
      <c r="DR84" s="198">
        <f t="shared" ref="DR84:DR102" si="598">BC84</f>
        <v>0</v>
      </c>
      <c r="DS84" s="199">
        <f t="shared" ref="DS84:DS102" si="599">BR84</f>
        <v>0</v>
      </c>
      <c r="DT84" s="198">
        <f t="shared" ref="DT84:DT102" si="600">BD84</f>
        <v>0</v>
      </c>
      <c r="DU84" s="199">
        <f t="shared" ref="DU84:DU102" si="601">BS84</f>
        <v>0</v>
      </c>
      <c r="DV84" s="198">
        <f t="shared" ref="DV84:DV102" si="602">BE84</f>
        <v>0</v>
      </c>
      <c r="DW84" s="199">
        <f t="shared" ref="DW84:DW102" si="603">BT84</f>
        <v>0</v>
      </c>
      <c r="DX84" s="198">
        <f t="shared" ref="DX84:DX102" si="604">BF84</f>
        <v>0</v>
      </c>
      <c r="DY84" s="199">
        <f t="shared" ref="DY84:DY102" si="605">BU84</f>
        <v>0</v>
      </c>
      <c r="DZ84" s="190">
        <f t="shared" ref="DZ84:DZ102" si="606">BG84</f>
        <v>0</v>
      </c>
      <c r="EA84" s="199">
        <f t="shared" si="572"/>
        <v>0</v>
      </c>
      <c r="EB84" s="190" t="e">
        <f t="shared" ref="EB84:EB102" si="607">BH84</f>
        <v>#DIV/0!</v>
      </c>
      <c r="EC84" s="190" t="e">
        <f t="shared" ref="EC84:EC102" si="608">BW84</f>
        <v>#DIV/0!</v>
      </c>
    </row>
    <row r="85" spans="1:133" x14ac:dyDescent="0.2">
      <c r="A85" s="66" t="s">
        <v>42</v>
      </c>
      <c r="B85" s="38">
        <f>targets!AW80</f>
        <v>0</v>
      </c>
      <c r="C85" s="245">
        <f>targets!AX80</f>
        <v>0</v>
      </c>
      <c r="D85" s="36">
        <f>targets!AY80</f>
        <v>732182.06651445385</v>
      </c>
      <c r="E85" s="245">
        <f>targets!AZ80</f>
        <v>0</v>
      </c>
      <c r="F85" s="245">
        <f>targets!BA80</f>
        <v>0</v>
      </c>
      <c r="G85" s="245">
        <f>SUM(targets!BB80:BG80)</f>
        <v>571.42679042332827</v>
      </c>
      <c r="H85" s="245">
        <f>SUM(targets!BH80:BM80)</f>
        <v>0</v>
      </c>
      <c r="I85" s="246">
        <f t="shared" si="573"/>
        <v>571.42679042332827</v>
      </c>
      <c r="J85" s="245">
        <f>targets!BN80</f>
        <v>0</v>
      </c>
      <c r="K85" s="245">
        <f>targets!BO80</f>
        <v>6835.7102891047261</v>
      </c>
      <c r="L85" s="245">
        <f>targets!BP80</f>
        <v>0</v>
      </c>
      <c r="M85" s="178">
        <f t="shared" si="574"/>
        <v>6835.7102891047261</v>
      </c>
      <c r="N85" s="17">
        <f t="shared" si="575"/>
        <v>739589.20359398192</v>
      </c>
      <c r="O85" s="17"/>
      <c r="P85" s="17"/>
      <c r="Q85" s="66" t="s">
        <v>42</v>
      </c>
      <c r="R85" s="38">
        <f t="shared" si="538"/>
        <v>0</v>
      </c>
      <c r="S85" s="245">
        <f t="shared" si="539"/>
        <v>0</v>
      </c>
      <c r="T85" s="36">
        <f t="shared" si="540"/>
        <v>0</v>
      </c>
      <c r="U85" s="245">
        <f t="shared" si="541"/>
        <v>0</v>
      </c>
      <c r="V85" s="245">
        <f t="shared" si="542"/>
        <v>0</v>
      </c>
      <c r="W85" s="245">
        <f t="shared" si="543"/>
        <v>0</v>
      </c>
      <c r="X85" s="245">
        <f t="shared" si="544"/>
        <v>0</v>
      </c>
      <c r="Y85" s="246">
        <f t="shared" si="576"/>
        <v>0</v>
      </c>
      <c r="Z85" s="245">
        <f t="shared" si="545"/>
        <v>0</v>
      </c>
      <c r="AA85" s="245">
        <f t="shared" si="546"/>
        <v>0</v>
      </c>
      <c r="AB85" s="245">
        <f t="shared" si="547"/>
        <v>0</v>
      </c>
      <c r="AC85" s="178">
        <f t="shared" si="577"/>
        <v>0</v>
      </c>
      <c r="AD85" s="17">
        <f t="shared" si="578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5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5">
        <f t="array" ref="AJ85">SUM(IF((modeldata!$F:$F=calibration!$AF$80)*(modeldata!$G:$G=calibration!AJ$82)*(modeldata!$H:$H=calibration!$AF85),modeldata!$E:$E,0))</f>
        <v>0</v>
      </c>
      <c r="AK85" s="245">
        <f t="array" ref="AK85">SUM(IF((modeldata!$F:$F=calibration!$AF$80)*(modeldata!$G:$G=calibration!AK$82)*(modeldata!$H:$H=calibration!$AF85),modeldata!$E:$E,0))</f>
        <v>0</v>
      </c>
      <c r="AL85" s="245">
        <f t="array" ref="AL85">SUM(IF((modeldata!$F:$F=calibration!$AF$80)*(modeldata!$G:$G=calibration!AL$82)*(modeldata!$H:$H=calibration!$AF85),modeldata!$E:$E,0))</f>
        <v>0</v>
      </c>
      <c r="AM85" s="245">
        <f t="array" ref="AM85">SUM(IF((modeldata!$F:$F=calibration!$AF$80)*(modeldata!$G:$G=calibration!AM$82)*(modeldata!$H:$H=calibration!$AF85),modeldata!$E:$E,0))</f>
        <v>0</v>
      </c>
      <c r="AN85" s="246">
        <f t="shared" ref="AN85:AN102" si="609">AL85+AM85</f>
        <v>0</v>
      </c>
      <c r="AO85" s="245">
        <f t="array" ref="AO85">SUM(IF((modeldata!$F:$F=calibration!$AF$80)*(modeldata!$G:$G=calibration!AO$82)*(modeldata!$H:$H=calibration!$AF85),modeldata!$E:$E,0))</f>
        <v>0</v>
      </c>
      <c r="AP85" s="245">
        <f t="array" ref="AP85">SUM(IF((modeldata!$F:$F=calibration!$AF$80)*(modeldata!$G:$G=calibration!AP$82)*(modeldata!$H:$H=calibration!$AF85),modeldata!$E:$E,0))</f>
        <v>0</v>
      </c>
      <c r="AQ85" s="245">
        <f t="array" ref="AQ85">SUM(IF((modeldata!$F:$F=calibration!$AF$80)*(modeldata!$G:$G=calibration!AQ$82)*(modeldata!$H:$H=calibration!$AF85),modeldata!$E:$E,0))</f>
        <v>0</v>
      </c>
      <c r="AR85" s="178">
        <f t="shared" ref="AR85:AR99" si="610">SUM(AO85:AQ85)</f>
        <v>0</v>
      </c>
      <c r="AS85" s="17">
        <f t="shared" si="579"/>
        <v>0</v>
      </c>
      <c r="AU85" s="66" t="s">
        <v>42</v>
      </c>
      <c r="AV85" s="38">
        <f t="shared" ref="AV85:BG85" si="611">IF(R103&gt;0,R85/R103,0)</f>
        <v>0</v>
      </c>
      <c r="AW85" s="245">
        <f t="shared" si="611"/>
        <v>0</v>
      </c>
      <c r="AX85" s="36">
        <f t="shared" si="611"/>
        <v>0</v>
      </c>
      <c r="AY85" s="245">
        <f t="shared" si="611"/>
        <v>0</v>
      </c>
      <c r="AZ85" s="245">
        <f t="shared" si="611"/>
        <v>0</v>
      </c>
      <c r="BA85" s="245">
        <f t="shared" si="611"/>
        <v>0</v>
      </c>
      <c r="BB85" s="245">
        <f t="shared" si="611"/>
        <v>0</v>
      </c>
      <c r="BC85" s="246">
        <f t="shared" si="611"/>
        <v>0</v>
      </c>
      <c r="BD85" s="245">
        <f t="shared" si="611"/>
        <v>0</v>
      </c>
      <c r="BE85" s="245">
        <f t="shared" si="611"/>
        <v>0</v>
      </c>
      <c r="BF85" s="245">
        <f t="shared" si="611"/>
        <v>0</v>
      </c>
      <c r="BG85" s="178">
        <f t="shared" si="611"/>
        <v>0</v>
      </c>
      <c r="BH85" s="24" t="e">
        <f>AD85/AD103</f>
        <v>#DIV/0!</v>
      </c>
      <c r="BJ85" s="66" t="s">
        <v>42</v>
      </c>
      <c r="BK85" s="38">
        <f t="shared" ref="BK85:BV85" si="612">IF(AG103&gt;0,AG85/AG103,0)</f>
        <v>0</v>
      </c>
      <c r="BL85" s="245">
        <f t="shared" si="612"/>
        <v>0</v>
      </c>
      <c r="BM85" s="36">
        <f t="shared" si="612"/>
        <v>0</v>
      </c>
      <c r="BN85" s="245">
        <f t="shared" si="612"/>
        <v>0</v>
      </c>
      <c r="BO85" s="245">
        <f t="shared" si="612"/>
        <v>0</v>
      </c>
      <c r="BP85" s="245">
        <f t="shared" si="612"/>
        <v>0</v>
      </c>
      <c r="BQ85" s="245">
        <f t="shared" si="612"/>
        <v>0</v>
      </c>
      <c r="BR85" s="246">
        <f t="shared" si="612"/>
        <v>0</v>
      </c>
      <c r="BS85" s="245">
        <f t="shared" si="612"/>
        <v>0</v>
      </c>
      <c r="BT85" s="245">
        <f t="shared" si="612"/>
        <v>0</v>
      </c>
      <c r="BU85" s="245">
        <f t="shared" si="612"/>
        <v>0</v>
      </c>
      <c r="BV85" s="178">
        <f t="shared" si="612"/>
        <v>0</v>
      </c>
      <c r="BW85" s="24" t="e">
        <f>AS85/AS103</f>
        <v>#DIV/0!</v>
      </c>
      <c r="BX85" s="24"/>
      <c r="BY85" s="66" t="s">
        <v>42</v>
      </c>
      <c r="BZ85" s="54">
        <f t="shared" si="582"/>
        <v>0</v>
      </c>
      <c r="CA85" s="55">
        <f t="shared" si="550"/>
        <v>0</v>
      </c>
      <c r="CB85" s="58">
        <f t="shared" si="551"/>
        <v>0</v>
      </c>
      <c r="CC85" s="55">
        <f t="shared" si="552"/>
        <v>0</v>
      </c>
      <c r="CD85" s="55">
        <f t="shared" si="553"/>
        <v>0</v>
      </c>
      <c r="CE85" s="55">
        <f t="shared" si="554"/>
        <v>0</v>
      </c>
      <c r="CF85" s="55">
        <f t="shared" si="555"/>
        <v>0</v>
      </c>
      <c r="CG85" s="249">
        <f t="shared" si="556"/>
        <v>0</v>
      </c>
      <c r="CH85" s="55">
        <f t="shared" si="557"/>
        <v>0</v>
      </c>
      <c r="CI85" s="55">
        <f t="shared" si="558"/>
        <v>0</v>
      </c>
      <c r="CJ85" s="55">
        <f t="shared" si="559"/>
        <v>0</v>
      </c>
      <c r="CK85" s="252">
        <f t="shared" si="559"/>
        <v>0</v>
      </c>
      <c r="CL85" s="55">
        <f t="shared" si="560"/>
        <v>0</v>
      </c>
      <c r="CN85" s="66" t="s">
        <v>42</v>
      </c>
      <c r="CO85" s="54">
        <f t="shared" si="583"/>
        <v>0</v>
      </c>
      <c r="CP85" s="55">
        <f t="shared" si="561"/>
        <v>0</v>
      </c>
      <c r="CQ85" s="58">
        <f t="shared" si="562"/>
        <v>0</v>
      </c>
      <c r="CR85" s="55">
        <f t="shared" si="563"/>
        <v>0</v>
      </c>
      <c r="CS85" s="55">
        <f t="shared" si="564"/>
        <v>0</v>
      </c>
      <c r="CT85" s="55">
        <f t="shared" si="565"/>
        <v>0</v>
      </c>
      <c r="CU85" s="55">
        <f t="shared" si="566"/>
        <v>0</v>
      </c>
      <c r="CV85" s="249">
        <f t="shared" si="567"/>
        <v>0</v>
      </c>
      <c r="CW85" s="55">
        <f t="shared" si="568"/>
        <v>0</v>
      </c>
      <c r="CX85" s="55">
        <f t="shared" si="569"/>
        <v>0</v>
      </c>
      <c r="CY85" s="55">
        <f t="shared" si="570"/>
        <v>0</v>
      </c>
      <c r="CZ85" s="252">
        <f t="shared" si="570"/>
        <v>0</v>
      </c>
      <c r="DA85" s="62" t="e">
        <f t="shared" si="571"/>
        <v>#DIV/0!</v>
      </c>
      <c r="DC85" s="66" t="s">
        <v>42</v>
      </c>
      <c r="DD85" s="198">
        <f t="shared" si="584"/>
        <v>0</v>
      </c>
      <c r="DE85" s="199">
        <f t="shared" si="585"/>
        <v>0</v>
      </c>
      <c r="DF85" s="198">
        <f t="shared" si="586"/>
        <v>0</v>
      </c>
      <c r="DG85" s="199">
        <f t="shared" si="587"/>
        <v>0</v>
      </c>
      <c r="DH85" s="193">
        <f t="shared" si="588"/>
        <v>0</v>
      </c>
      <c r="DI85" s="194">
        <f t="shared" si="589"/>
        <v>0</v>
      </c>
      <c r="DJ85" s="198">
        <f t="shared" si="590"/>
        <v>0</v>
      </c>
      <c r="DK85" s="199">
        <f t="shared" si="591"/>
        <v>0</v>
      </c>
      <c r="DL85" s="198">
        <f t="shared" si="592"/>
        <v>0</v>
      </c>
      <c r="DM85" s="199">
        <f t="shared" si="593"/>
        <v>0</v>
      </c>
      <c r="DN85" s="198">
        <f t="shared" si="594"/>
        <v>0</v>
      </c>
      <c r="DO85" s="199">
        <f t="shared" si="595"/>
        <v>0</v>
      </c>
      <c r="DP85" s="198">
        <f t="shared" si="596"/>
        <v>0</v>
      </c>
      <c r="DQ85" s="199">
        <f t="shared" si="597"/>
        <v>0</v>
      </c>
      <c r="DR85" s="198">
        <f t="shared" si="598"/>
        <v>0</v>
      </c>
      <c r="DS85" s="199">
        <f t="shared" si="599"/>
        <v>0</v>
      </c>
      <c r="DT85" s="198">
        <f t="shared" si="600"/>
        <v>0</v>
      </c>
      <c r="DU85" s="199">
        <f t="shared" si="601"/>
        <v>0</v>
      </c>
      <c r="DV85" s="198">
        <f t="shared" si="602"/>
        <v>0</v>
      </c>
      <c r="DW85" s="199">
        <f t="shared" si="603"/>
        <v>0</v>
      </c>
      <c r="DX85" s="198">
        <f t="shared" si="604"/>
        <v>0</v>
      </c>
      <c r="DY85" s="199">
        <f t="shared" si="605"/>
        <v>0</v>
      </c>
      <c r="DZ85" s="190">
        <f t="shared" si="606"/>
        <v>0</v>
      </c>
      <c r="EA85" s="199">
        <f t="shared" si="572"/>
        <v>0</v>
      </c>
      <c r="EB85" s="190" t="e">
        <f t="shared" si="607"/>
        <v>#DIV/0!</v>
      </c>
      <c r="EC85" s="190" t="e">
        <f t="shared" si="608"/>
        <v>#DIV/0!</v>
      </c>
    </row>
    <row r="86" spans="1:133" x14ac:dyDescent="0.2">
      <c r="A86" s="66" t="s">
        <v>2</v>
      </c>
      <c r="B86" s="38">
        <f>targets!AW81</f>
        <v>46475.450472859069</v>
      </c>
      <c r="C86" s="245">
        <f>targets!AX81</f>
        <v>49075.986431325895</v>
      </c>
      <c r="D86" s="245">
        <f>targets!AY81</f>
        <v>50693.55319457093</v>
      </c>
      <c r="E86" s="36">
        <f>targets!AZ81</f>
        <v>425070.63853340497</v>
      </c>
      <c r="F86" s="245">
        <f>targets!BA81</f>
        <v>0</v>
      </c>
      <c r="G86" s="245">
        <f>SUM(targets!BB81:BG81)</f>
        <v>51827.369392864071</v>
      </c>
      <c r="H86" s="245">
        <f>SUM(targets!BH81:BM81)</f>
        <v>0</v>
      </c>
      <c r="I86" s="246">
        <f t="shared" si="573"/>
        <v>51827.369392864071</v>
      </c>
      <c r="J86" s="245">
        <f>targets!BN81</f>
        <v>251.35087277419979</v>
      </c>
      <c r="K86" s="245">
        <f>targets!BO81</f>
        <v>1930.2185785373708</v>
      </c>
      <c r="L86" s="245">
        <f>targets!BP81</f>
        <v>158.58798642963697</v>
      </c>
      <c r="M86" s="178">
        <f t="shared" si="574"/>
        <v>2340.1574377412076</v>
      </c>
      <c r="N86" s="17">
        <f t="shared" si="575"/>
        <v>625483.15546276607</v>
      </c>
      <c r="O86" s="17"/>
      <c r="P86" s="17"/>
      <c r="Q86" s="66" t="s">
        <v>2</v>
      </c>
      <c r="R86" s="38">
        <f t="shared" si="538"/>
        <v>0</v>
      </c>
      <c r="S86" s="245">
        <f t="shared" si="539"/>
        <v>0</v>
      </c>
      <c r="T86" s="245">
        <f t="shared" si="540"/>
        <v>0</v>
      </c>
      <c r="U86" s="36">
        <f t="shared" si="541"/>
        <v>0</v>
      </c>
      <c r="V86" s="245">
        <f t="shared" si="542"/>
        <v>0</v>
      </c>
      <c r="W86" s="245">
        <f t="shared" si="543"/>
        <v>0</v>
      </c>
      <c r="X86" s="245">
        <f t="shared" si="544"/>
        <v>0</v>
      </c>
      <c r="Y86" s="246">
        <f t="shared" si="576"/>
        <v>0</v>
      </c>
      <c r="Z86" s="245">
        <f t="shared" si="545"/>
        <v>0</v>
      </c>
      <c r="AA86" s="245">
        <f t="shared" si="546"/>
        <v>0</v>
      </c>
      <c r="AB86" s="245">
        <f t="shared" si="547"/>
        <v>0</v>
      </c>
      <c r="AC86" s="178">
        <f t="shared" si="577"/>
        <v>0</v>
      </c>
      <c r="AD86" s="17">
        <f t="shared" si="578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5">
        <f t="array" ref="AH86">SUM(IF((modeldata!$F:$F=calibration!$AF$80)*(modeldata!$G:$G=calibration!AH$82)*(modeldata!$H:$H=calibration!$AF86),modeldata!$E:$E,0))</f>
        <v>0</v>
      </c>
      <c r="AI86" s="245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5">
        <f t="array" ref="AK86">SUM(IF((modeldata!$F:$F=calibration!$AF$80)*(modeldata!$G:$G=calibration!AK$82)*(modeldata!$H:$H=calibration!$AF86),modeldata!$E:$E,0))</f>
        <v>0</v>
      </c>
      <c r="AL86" s="245">
        <f t="array" ref="AL86">SUM(IF((modeldata!$F:$F=calibration!$AF$80)*(modeldata!$G:$G=calibration!AL$82)*(modeldata!$H:$H=calibration!$AF86),modeldata!$E:$E,0))</f>
        <v>0</v>
      </c>
      <c r="AM86" s="245">
        <f t="array" ref="AM86">SUM(IF((modeldata!$F:$F=calibration!$AF$80)*(modeldata!$G:$G=calibration!AM$82)*(modeldata!$H:$H=calibration!$AF86),modeldata!$E:$E,0))</f>
        <v>0</v>
      </c>
      <c r="AN86" s="246">
        <f t="shared" si="609"/>
        <v>0</v>
      </c>
      <c r="AO86" s="245">
        <f t="array" ref="AO86">SUM(IF((modeldata!$F:$F=calibration!$AF$80)*(modeldata!$G:$G=calibration!AO$82)*(modeldata!$H:$H=calibration!$AF86),modeldata!$E:$E,0))</f>
        <v>0</v>
      </c>
      <c r="AP86" s="245">
        <f t="array" ref="AP86">SUM(IF((modeldata!$F:$F=calibration!$AF$80)*(modeldata!$G:$G=calibration!AP$82)*(modeldata!$H:$H=calibration!$AF86),modeldata!$E:$E,0))</f>
        <v>0</v>
      </c>
      <c r="AQ86" s="245">
        <f t="array" ref="AQ86">SUM(IF((modeldata!$F:$F=calibration!$AF$80)*(modeldata!$G:$G=calibration!AQ$82)*(modeldata!$H:$H=calibration!$AF86),modeldata!$E:$E,0))</f>
        <v>0</v>
      </c>
      <c r="AR86" s="178">
        <f t="shared" si="610"/>
        <v>0</v>
      </c>
      <c r="AS86" s="17">
        <f t="shared" si="579"/>
        <v>0</v>
      </c>
      <c r="AU86" s="66" t="s">
        <v>2</v>
      </c>
      <c r="AV86" s="38">
        <f t="shared" ref="AV86:BG86" si="613">IF(R103&gt;0,R86/R103,0)</f>
        <v>0</v>
      </c>
      <c r="AW86" s="245">
        <f t="shared" si="613"/>
        <v>0</v>
      </c>
      <c r="AX86" s="245">
        <f t="shared" si="613"/>
        <v>0</v>
      </c>
      <c r="AY86" s="36">
        <f t="shared" si="613"/>
        <v>0</v>
      </c>
      <c r="AZ86" s="245">
        <f t="shared" si="613"/>
        <v>0</v>
      </c>
      <c r="BA86" s="245">
        <f t="shared" si="613"/>
        <v>0</v>
      </c>
      <c r="BB86" s="245">
        <f t="shared" si="613"/>
        <v>0</v>
      </c>
      <c r="BC86" s="246">
        <f t="shared" si="613"/>
        <v>0</v>
      </c>
      <c r="BD86" s="245">
        <f t="shared" si="613"/>
        <v>0</v>
      </c>
      <c r="BE86" s="245">
        <f t="shared" si="613"/>
        <v>0</v>
      </c>
      <c r="BF86" s="245">
        <f t="shared" si="613"/>
        <v>0</v>
      </c>
      <c r="BG86" s="178">
        <f t="shared" si="613"/>
        <v>0</v>
      </c>
      <c r="BH86" s="24" t="e">
        <f>AD86/AD103</f>
        <v>#DIV/0!</v>
      </c>
      <c r="BJ86" s="66" t="s">
        <v>2</v>
      </c>
      <c r="BK86" s="38">
        <f t="shared" ref="BK86:BV86" si="614">IF(AG103&gt;0,AG86/AG103,0)</f>
        <v>0</v>
      </c>
      <c r="BL86" s="245">
        <f t="shared" si="614"/>
        <v>0</v>
      </c>
      <c r="BM86" s="245">
        <f t="shared" si="614"/>
        <v>0</v>
      </c>
      <c r="BN86" s="36">
        <f t="shared" si="614"/>
        <v>0</v>
      </c>
      <c r="BO86" s="245">
        <f t="shared" si="614"/>
        <v>0</v>
      </c>
      <c r="BP86" s="245">
        <f t="shared" si="614"/>
        <v>0</v>
      </c>
      <c r="BQ86" s="245">
        <f t="shared" si="614"/>
        <v>0</v>
      </c>
      <c r="BR86" s="246">
        <f t="shared" si="614"/>
        <v>0</v>
      </c>
      <c r="BS86" s="245">
        <f t="shared" si="614"/>
        <v>0</v>
      </c>
      <c r="BT86" s="245">
        <f t="shared" si="614"/>
        <v>0</v>
      </c>
      <c r="BU86" s="245">
        <f t="shared" si="614"/>
        <v>0</v>
      </c>
      <c r="BV86" s="178">
        <f t="shared" si="614"/>
        <v>0</v>
      </c>
      <c r="BW86" s="24" t="e">
        <f>AS86/AS103</f>
        <v>#DIV/0!</v>
      </c>
      <c r="BX86" s="24"/>
      <c r="BY86" s="66" t="s">
        <v>2</v>
      </c>
      <c r="BZ86" s="54">
        <f t="shared" si="582"/>
        <v>0</v>
      </c>
      <c r="CA86" s="55">
        <f t="shared" si="550"/>
        <v>0</v>
      </c>
      <c r="CB86" s="55">
        <f t="shared" si="551"/>
        <v>0</v>
      </c>
      <c r="CC86" s="58">
        <f t="shared" si="552"/>
        <v>0</v>
      </c>
      <c r="CD86" s="55">
        <f t="shared" si="553"/>
        <v>0</v>
      </c>
      <c r="CE86" s="55">
        <f t="shared" si="554"/>
        <v>0</v>
      </c>
      <c r="CF86" s="55">
        <f t="shared" si="555"/>
        <v>0</v>
      </c>
      <c r="CG86" s="249">
        <f t="shared" si="556"/>
        <v>0</v>
      </c>
      <c r="CH86" s="55">
        <f t="shared" si="557"/>
        <v>0</v>
      </c>
      <c r="CI86" s="55">
        <f t="shared" si="558"/>
        <v>0</v>
      </c>
      <c r="CJ86" s="55">
        <f t="shared" si="559"/>
        <v>0</v>
      </c>
      <c r="CK86" s="252">
        <f t="shared" si="559"/>
        <v>0</v>
      </c>
      <c r="CL86" s="55">
        <f t="shared" si="560"/>
        <v>0</v>
      </c>
      <c r="CN86" s="66" t="s">
        <v>2</v>
      </c>
      <c r="CO86" s="54">
        <f t="shared" si="583"/>
        <v>0</v>
      </c>
      <c r="CP86" s="55">
        <f t="shared" si="561"/>
        <v>0</v>
      </c>
      <c r="CQ86" s="55">
        <f t="shared" si="562"/>
        <v>0</v>
      </c>
      <c r="CR86" s="58">
        <f t="shared" si="563"/>
        <v>0</v>
      </c>
      <c r="CS86" s="55">
        <f t="shared" si="564"/>
        <v>0</v>
      </c>
      <c r="CT86" s="55">
        <f t="shared" si="565"/>
        <v>0</v>
      </c>
      <c r="CU86" s="55">
        <f t="shared" si="566"/>
        <v>0</v>
      </c>
      <c r="CV86" s="249">
        <f t="shared" si="567"/>
        <v>0</v>
      </c>
      <c r="CW86" s="55">
        <f t="shared" si="568"/>
        <v>0</v>
      </c>
      <c r="CX86" s="55">
        <f t="shared" si="569"/>
        <v>0</v>
      </c>
      <c r="CY86" s="55">
        <f t="shared" si="570"/>
        <v>0</v>
      </c>
      <c r="CZ86" s="252">
        <f t="shared" si="570"/>
        <v>0</v>
      </c>
      <c r="DA86" s="62" t="e">
        <f t="shared" si="571"/>
        <v>#DIV/0!</v>
      </c>
      <c r="DC86" s="66" t="s">
        <v>2</v>
      </c>
      <c r="DD86" s="198">
        <f t="shared" si="584"/>
        <v>0</v>
      </c>
      <c r="DE86" s="199">
        <f t="shared" si="585"/>
        <v>0</v>
      </c>
      <c r="DF86" s="198">
        <f t="shared" si="586"/>
        <v>0</v>
      </c>
      <c r="DG86" s="199">
        <f t="shared" si="587"/>
        <v>0</v>
      </c>
      <c r="DH86" s="198">
        <f t="shared" si="588"/>
        <v>0</v>
      </c>
      <c r="DI86" s="199">
        <f t="shared" si="589"/>
        <v>0</v>
      </c>
      <c r="DJ86" s="193">
        <f t="shared" si="590"/>
        <v>0</v>
      </c>
      <c r="DK86" s="194">
        <f t="shared" si="591"/>
        <v>0</v>
      </c>
      <c r="DL86" s="198">
        <f t="shared" si="592"/>
        <v>0</v>
      </c>
      <c r="DM86" s="199">
        <f t="shared" si="593"/>
        <v>0</v>
      </c>
      <c r="DN86" s="198">
        <f t="shared" si="594"/>
        <v>0</v>
      </c>
      <c r="DO86" s="199">
        <f t="shared" si="595"/>
        <v>0</v>
      </c>
      <c r="DP86" s="198">
        <f t="shared" si="596"/>
        <v>0</v>
      </c>
      <c r="DQ86" s="199">
        <f t="shared" si="597"/>
        <v>0</v>
      </c>
      <c r="DR86" s="198">
        <f t="shared" si="598"/>
        <v>0</v>
      </c>
      <c r="DS86" s="199">
        <f t="shared" si="599"/>
        <v>0</v>
      </c>
      <c r="DT86" s="198">
        <f t="shared" si="600"/>
        <v>0</v>
      </c>
      <c r="DU86" s="199">
        <f t="shared" si="601"/>
        <v>0</v>
      </c>
      <c r="DV86" s="198">
        <f t="shared" si="602"/>
        <v>0</v>
      </c>
      <c r="DW86" s="199">
        <f t="shared" si="603"/>
        <v>0</v>
      </c>
      <c r="DX86" s="198">
        <f t="shared" si="604"/>
        <v>0</v>
      </c>
      <c r="DY86" s="199">
        <f t="shared" si="605"/>
        <v>0</v>
      </c>
      <c r="DZ86" s="190">
        <f t="shared" si="606"/>
        <v>0</v>
      </c>
      <c r="EA86" s="199">
        <f t="shared" si="572"/>
        <v>0</v>
      </c>
      <c r="EB86" s="190" t="e">
        <f t="shared" si="607"/>
        <v>#DIV/0!</v>
      </c>
      <c r="EC86" s="190" t="e">
        <f t="shared" si="608"/>
        <v>#DIV/0!</v>
      </c>
    </row>
    <row r="87" spans="1:133" x14ac:dyDescent="0.2">
      <c r="A87" s="66" t="s">
        <v>3</v>
      </c>
      <c r="B87" s="38">
        <f>targets!AW82</f>
        <v>0</v>
      </c>
      <c r="C87" s="245">
        <f>targets!AX82</f>
        <v>0</v>
      </c>
      <c r="D87" s="245">
        <f>targets!AY82</f>
        <v>0</v>
      </c>
      <c r="E87" s="245">
        <f>targets!AZ82</f>
        <v>0</v>
      </c>
      <c r="F87" s="36">
        <f>targets!BA82</f>
        <v>179433.68565808388</v>
      </c>
      <c r="G87" s="245">
        <f>SUM(targets!BB82:BG82)</f>
        <v>0</v>
      </c>
      <c r="H87" s="245">
        <f>SUM(targets!BH82:BM82)</f>
        <v>0</v>
      </c>
      <c r="I87" s="246">
        <f t="shared" si="573"/>
        <v>0</v>
      </c>
      <c r="J87" s="245">
        <f>targets!BN82</f>
        <v>0</v>
      </c>
      <c r="K87" s="245">
        <f>targets!BO82</f>
        <v>0</v>
      </c>
      <c r="L87" s="245">
        <f>targets!BP82</f>
        <v>0</v>
      </c>
      <c r="M87" s="178">
        <f t="shared" si="574"/>
        <v>0</v>
      </c>
      <c r="N87" s="17">
        <f t="shared" si="575"/>
        <v>179433.68565808388</v>
      </c>
      <c r="O87" s="17"/>
      <c r="P87" s="17"/>
      <c r="Q87" s="66" t="s">
        <v>3</v>
      </c>
      <c r="R87" s="38">
        <f t="shared" si="538"/>
        <v>0</v>
      </c>
      <c r="S87" s="245">
        <f t="shared" si="539"/>
        <v>0</v>
      </c>
      <c r="T87" s="245">
        <f t="shared" si="540"/>
        <v>0</v>
      </c>
      <c r="U87" s="245">
        <f t="shared" si="541"/>
        <v>0</v>
      </c>
      <c r="V87" s="36">
        <f t="shared" si="542"/>
        <v>0</v>
      </c>
      <c r="W87" s="245">
        <f t="shared" si="543"/>
        <v>0</v>
      </c>
      <c r="X87" s="245">
        <f t="shared" si="544"/>
        <v>0</v>
      </c>
      <c r="Y87" s="246">
        <f t="shared" si="576"/>
        <v>0</v>
      </c>
      <c r="Z87" s="245">
        <f t="shared" si="545"/>
        <v>0</v>
      </c>
      <c r="AA87" s="245">
        <f t="shared" si="546"/>
        <v>0</v>
      </c>
      <c r="AB87" s="245">
        <f t="shared" si="547"/>
        <v>0</v>
      </c>
      <c r="AC87" s="178">
        <f t="shared" si="577"/>
        <v>0</v>
      </c>
      <c r="AD87" s="17">
        <f t="shared" si="578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5">
        <f t="array" ref="AH87">SUM(IF((modeldata!$F:$F=calibration!$AF$80)*(modeldata!$G:$G=calibration!AH$82)*(modeldata!$H:$H=calibration!$AF87),modeldata!$E:$E,0))</f>
        <v>0</v>
      </c>
      <c r="AI87" s="245">
        <f t="array" ref="AI87">SUM(IF((modeldata!$F:$F=calibration!$AF$80)*(modeldata!$G:$G=calibration!AI$82)*(modeldata!$H:$H=calibration!$AF87),modeldata!$E:$E,0))</f>
        <v>0</v>
      </c>
      <c r="AJ87" s="245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5">
        <f t="array" ref="AL87">SUM(IF((modeldata!$F:$F=calibration!$AF$80)*(modeldata!$G:$G=calibration!AL$82)*(modeldata!$H:$H=calibration!$AF87),modeldata!$E:$E,0))</f>
        <v>0</v>
      </c>
      <c r="AM87" s="245">
        <f t="array" ref="AM87">SUM(IF((modeldata!$F:$F=calibration!$AF$80)*(modeldata!$G:$G=calibration!AM$82)*(modeldata!$H:$H=calibration!$AF87),modeldata!$E:$E,0))</f>
        <v>0</v>
      </c>
      <c r="AN87" s="246">
        <f t="shared" si="609"/>
        <v>0</v>
      </c>
      <c r="AO87" s="245">
        <f t="array" ref="AO87">SUM(IF((modeldata!$F:$F=calibration!$AF$80)*(modeldata!$G:$G=calibration!AO$82)*(modeldata!$H:$H=calibration!$AF87),modeldata!$E:$E,0))</f>
        <v>0</v>
      </c>
      <c r="AP87" s="245">
        <f t="array" ref="AP87">SUM(IF((modeldata!$F:$F=calibration!$AF$80)*(modeldata!$G:$G=calibration!AP$82)*(modeldata!$H:$H=calibration!$AF87),modeldata!$E:$E,0))</f>
        <v>0</v>
      </c>
      <c r="AQ87" s="245">
        <f t="array" ref="AQ87">SUM(IF((modeldata!$F:$F=calibration!$AF$80)*(modeldata!$G:$G=calibration!AQ$82)*(modeldata!$H:$H=calibration!$AF87),modeldata!$E:$E,0))</f>
        <v>0</v>
      </c>
      <c r="AR87" s="178">
        <f t="shared" si="610"/>
        <v>0</v>
      </c>
      <c r="AS87" s="17">
        <f t="shared" si="579"/>
        <v>0</v>
      </c>
      <c r="AU87" s="66" t="s">
        <v>3</v>
      </c>
      <c r="AV87" s="38">
        <f t="shared" ref="AV87:BG87" si="615">IF(R103&gt;0,R87/R103,0)</f>
        <v>0</v>
      </c>
      <c r="AW87" s="245">
        <f t="shared" si="615"/>
        <v>0</v>
      </c>
      <c r="AX87" s="245">
        <f t="shared" si="615"/>
        <v>0</v>
      </c>
      <c r="AY87" s="245">
        <f t="shared" si="615"/>
        <v>0</v>
      </c>
      <c r="AZ87" s="36">
        <f t="shared" si="615"/>
        <v>0</v>
      </c>
      <c r="BA87" s="245">
        <f t="shared" si="615"/>
        <v>0</v>
      </c>
      <c r="BB87" s="245">
        <f t="shared" si="615"/>
        <v>0</v>
      </c>
      <c r="BC87" s="246">
        <f t="shared" si="615"/>
        <v>0</v>
      </c>
      <c r="BD87" s="245">
        <f t="shared" si="615"/>
        <v>0</v>
      </c>
      <c r="BE87" s="245">
        <f t="shared" si="615"/>
        <v>0</v>
      </c>
      <c r="BF87" s="245">
        <f t="shared" si="615"/>
        <v>0</v>
      </c>
      <c r="BG87" s="178">
        <f t="shared" si="615"/>
        <v>0</v>
      </c>
      <c r="BH87" s="24" t="e">
        <f>AD87/AD103</f>
        <v>#DIV/0!</v>
      </c>
      <c r="BJ87" s="66" t="s">
        <v>3</v>
      </c>
      <c r="BK87" s="38">
        <f t="shared" ref="BK87:BV87" si="616">IF(AG103&gt;0,AG87/AG103,0)</f>
        <v>0</v>
      </c>
      <c r="BL87" s="245">
        <f t="shared" si="616"/>
        <v>0</v>
      </c>
      <c r="BM87" s="245">
        <f t="shared" si="616"/>
        <v>0</v>
      </c>
      <c r="BN87" s="245">
        <f t="shared" si="616"/>
        <v>0</v>
      </c>
      <c r="BO87" s="36">
        <f t="shared" si="616"/>
        <v>0</v>
      </c>
      <c r="BP87" s="245">
        <f t="shared" si="616"/>
        <v>0</v>
      </c>
      <c r="BQ87" s="245">
        <f t="shared" si="616"/>
        <v>0</v>
      </c>
      <c r="BR87" s="246">
        <f t="shared" si="616"/>
        <v>0</v>
      </c>
      <c r="BS87" s="245">
        <f t="shared" si="616"/>
        <v>0</v>
      </c>
      <c r="BT87" s="245">
        <f t="shared" si="616"/>
        <v>0</v>
      </c>
      <c r="BU87" s="245">
        <f t="shared" si="616"/>
        <v>0</v>
      </c>
      <c r="BV87" s="178">
        <f t="shared" si="616"/>
        <v>0</v>
      </c>
      <c r="BW87" s="24" t="e">
        <f>AS87/AS103</f>
        <v>#DIV/0!</v>
      </c>
      <c r="BX87" s="24"/>
      <c r="BY87" s="66" t="s">
        <v>3</v>
      </c>
      <c r="BZ87" s="54">
        <f t="shared" si="582"/>
        <v>0</v>
      </c>
      <c r="CA87" s="55">
        <f t="shared" si="550"/>
        <v>0</v>
      </c>
      <c r="CB87" s="55">
        <f t="shared" si="551"/>
        <v>0</v>
      </c>
      <c r="CC87" s="55">
        <f t="shared" si="552"/>
        <v>0</v>
      </c>
      <c r="CD87" s="58">
        <f t="shared" si="553"/>
        <v>0</v>
      </c>
      <c r="CE87" s="55">
        <f t="shared" si="554"/>
        <v>0</v>
      </c>
      <c r="CF87" s="55">
        <f t="shared" si="555"/>
        <v>0</v>
      </c>
      <c r="CG87" s="249">
        <f t="shared" si="556"/>
        <v>0</v>
      </c>
      <c r="CH87" s="55">
        <f t="shared" si="557"/>
        <v>0</v>
      </c>
      <c r="CI87" s="55">
        <f t="shared" si="558"/>
        <v>0</v>
      </c>
      <c r="CJ87" s="55">
        <f t="shared" si="559"/>
        <v>0</v>
      </c>
      <c r="CK87" s="252">
        <f t="shared" si="559"/>
        <v>0</v>
      </c>
      <c r="CL87" s="55">
        <f t="shared" si="560"/>
        <v>0</v>
      </c>
      <c r="CN87" s="66" t="s">
        <v>3</v>
      </c>
      <c r="CO87" s="54">
        <f t="shared" si="583"/>
        <v>0</v>
      </c>
      <c r="CP87" s="55">
        <f t="shared" si="561"/>
        <v>0</v>
      </c>
      <c r="CQ87" s="55">
        <f t="shared" si="562"/>
        <v>0</v>
      </c>
      <c r="CR87" s="55">
        <f t="shared" si="563"/>
        <v>0</v>
      </c>
      <c r="CS87" s="58">
        <f t="shared" si="564"/>
        <v>0</v>
      </c>
      <c r="CT87" s="55">
        <f t="shared" si="565"/>
        <v>0</v>
      </c>
      <c r="CU87" s="55">
        <f t="shared" si="566"/>
        <v>0</v>
      </c>
      <c r="CV87" s="249">
        <f t="shared" si="567"/>
        <v>0</v>
      </c>
      <c r="CW87" s="55">
        <f t="shared" si="568"/>
        <v>0</v>
      </c>
      <c r="CX87" s="55">
        <f t="shared" si="569"/>
        <v>0</v>
      </c>
      <c r="CY87" s="55">
        <f t="shared" si="570"/>
        <v>0</v>
      </c>
      <c r="CZ87" s="252">
        <f t="shared" si="570"/>
        <v>0</v>
      </c>
      <c r="DA87" s="62" t="e">
        <f t="shared" si="571"/>
        <v>#DIV/0!</v>
      </c>
      <c r="DC87" s="66" t="s">
        <v>3</v>
      </c>
      <c r="DD87" s="198">
        <f t="shared" si="584"/>
        <v>0</v>
      </c>
      <c r="DE87" s="199">
        <f t="shared" si="585"/>
        <v>0</v>
      </c>
      <c r="DF87" s="198">
        <f t="shared" si="586"/>
        <v>0</v>
      </c>
      <c r="DG87" s="199">
        <f t="shared" si="587"/>
        <v>0</v>
      </c>
      <c r="DH87" s="198">
        <f t="shared" si="588"/>
        <v>0</v>
      </c>
      <c r="DI87" s="199">
        <f t="shared" si="589"/>
        <v>0</v>
      </c>
      <c r="DJ87" s="198">
        <f t="shared" si="590"/>
        <v>0</v>
      </c>
      <c r="DK87" s="199">
        <f t="shared" si="591"/>
        <v>0</v>
      </c>
      <c r="DL87" s="193">
        <f t="shared" si="592"/>
        <v>0</v>
      </c>
      <c r="DM87" s="194">
        <f t="shared" si="593"/>
        <v>0</v>
      </c>
      <c r="DN87" s="198">
        <f t="shared" si="594"/>
        <v>0</v>
      </c>
      <c r="DO87" s="199">
        <f t="shared" si="595"/>
        <v>0</v>
      </c>
      <c r="DP87" s="198">
        <f t="shared" si="596"/>
        <v>0</v>
      </c>
      <c r="DQ87" s="199">
        <f t="shared" si="597"/>
        <v>0</v>
      </c>
      <c r="DR87" s="198">
        <f t="shared" si="598"/>
        <v>0</v>
      </c>
      <c r="DS87" s="199">
        <f t="shared" si="599"/>
        <v>0</v>
      </c>
      <c r="DT87" s="198">
        <f t="shared" si="600"/>
        <v>0</v>
      </c>
      <c r="DU87" s="199">
        <f t="shared" si="601"/>
        <v>0</v>
      </c>
      <c r="DV87" s="198">
        <f t="shared" si="602"/>
        <v>0</v>
      </c>
      <c r="DW87" s="199">
        <f t="shared" si="603"/>
        <v>0</v>
      </c>
      <c r="DX87" s="198">
        <f t="shared" si="604"/>
        <v>0</v>
      </c>
      <c r="DY87" s="199">
        <f t="shared" si="605"/>
        <v>0</v>
      </c>
      <c r="DZ87" s="190">
        <f t="shared" si="606"/>
        <v>0</v>
      </c>
      <c r="EA87" s="199">
        <f t="shared" si="572"/>
        <v>0</v>
      </c>
      <c r="EB87" s="190" t="e">
        <f t="shared" si="607"/>
        <v>#DIV/0!</v>
      </c>
      <c r="EC87" s="190" t="e">
        <f t="shared" si="608"/>
        <v>#DIV/0!</v>
      </c>
    </row>
    <row r="88" spans="1:133" x14ac:dyDescent="0.2">
      <c r="A88" s="66" t="s">
        <v>5</v>
      </c>
      <c r="B88" s="38">
        <f>targets!AW83</f>
        <v>0</v>
      </c>
      <c r="C88" s="245">
        <f>targets!AX83</f>
        <v>0</v>
      </c>
      <c r="D88" s="245">
        <f>targets!AY83</f>
        <v>0</v>
      </c>
      <c r="E88" s="245">
        <f>targets!AZ83</f>
        <v>0</v>
      </c>
      <c r="F88" s="245">
        <f>targets!BA83</f>
        <v>0</v>
      </c>
      <c r="G88" s="39">
        <f>SUM(targets!BB83:BG83)</f>
        <v>98449.781066521173</v>
      </c>
      <c r="H88" s="245">
        <f>SUM(targets!BH83:BM83)</f>
        <v>0</v>
      </c>
      <c r="I88" s="246">
        <f t="shared" si="573"/>
        <v>98449.781066521173</v>
      </c>
      <c r="J88" s="245">
        <f>targets!BN83</f>
        <v>0</v>
      </c>
      <c r="K88" s="245">
        <f>targets!BO83</f>
        <v>0</v>
      </c>
      <c r="L88" s="245">
        <f>targets!BP83</f>
        <v>0</v>
      </c>
      <c r="M88" s="178">
        <f t="shared" si="574"/>
        <v>0</v>
      </c>
      <c r="N88" s="17">
        <f t="shared" si="575"/>
        <v>98449.781066521173</v>
      </c>
      <c r="O88" s="17"/>
      <c r="P88" s="17"/>
      <c r="Q88" s="66" t="s">
        <v>5</v>
      </c>
      <c r="R88" s="38">
        <f t="shared" si="538"/>
        <v>0</v>
      </c>
      <c r="S88" s="245">
        <f t="shared" si="539"/>
        <v>0</v>
      </c>
      <c r="T88" s="245">
        <f t="shared" si="540"/>
        <v>0</v>
      </c>
      <c r="U88" s="245">
        <f t="shared" si="541"/>
        <v>0</v>
      </c>
      <c r="V88" s="245">
        <f t="shared" si="542"/>
        <v>0</v>
      </c>
      <c r="W88" s="39">
        <f t="shared" si="543"/>
        <v>0</v>
      </c>
      <c r="X88" s="245">
        <f t="shared" si="544"/>
        <v>0</v>
      </c>
      <c r="Y88" s="246">
        <f t="shared" si="576"/>
        <v>0</v>
      </c>
      <c r="Z88" s="245">
        <f t="shared" si="545"/>
        <v>0</v>
      </c>
      <c r="AA88" s="245">
        <f t="shared" si="546"/>
        <v>0</v>
      </c>
      <c r="AB88" s="245">
        <f t="shared" si="547"/>
        <v>0</v>
      </c>
      <c r="AC88" s="178">
        <f t="shared" si="577"/>
        <v>0</v>
      </c>
      <c r="AD88" s="17">
        <f t="shared" si="578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5">
        <f t="array" ref="AH88">SUM(IF((modeldata!$F:$F=calibration!$AF$80)*(modeldata!$G:$G=calibration!AH$82)*(modeldata!$H:$H=calibration!$AF88),modeldata!$E:$E,0))</f>
        <v>0</v>
      </c>
      <c r="AI88" s="245">
        <f t="array" ref="AI88">SUM(IF((modeldata!$F:$F=calibration!$AF$80)*(modeldata!$G:$G=calibration!AI$82)*(modeldata!$H:$H=calibration!$AF88),modeldata!$E:$E,0))</f>
        <v>0</v>
      </c>
      <c r="AJ88" s="245">
        <f t="array" ref="AJ88">SUM(IF((modeldata!$F:$F=calibration!$AF$80)*(modeldata!$G:$G=calibration!AJ$82)*(modeldata!$H:$H=calibration!$AF88),modeldata!$E:$E,0))</f>
        <v>0</v>
      </c>
      <c r="AK88" s="245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5">
        <f t="array" ref="AM88">SUM(IF((modeldata!$F:$F=calibration!$AF$80)*(modeldata!$G:$G=calibration!AM$82)*(modeldata!$H:$H=calibration!$AF88),modeldata!$E:$E,0))</f>
        <v>0</v>
      </c>
      <c r="AN88" s="246">
        <f t="shared" ref="AN88:AN93" si="617">AL88+AM88+AL94+AM94</f>
        <v>0</v>
      </c>
      <c r="AO88" s="245">
        <f t="array" ref="AO88">SUM(IF((modeldata!$F:$F=calibration!$AF$80)*(modeldata!$G:$G=calibration!AO$82)*(modeldata!$H:$H=calibration!$AF88),modeldata!$E:$E,0))</f>
        <v>0</v>
      </c>
      <c r="AP88" s="245">
        <f t="array" ref="AP88">SUM(IF((modeldata!$F:$F=calibration!$AF$80)*(modeldata!$G:$G=calibration!AP$82)*(modeldata!$H:$H=calibration!$AF88),modeldata!$E:$E,0))</f>
        <v>0</v>
      </c>
      <c r="AQ88" s="245">
        <f t="array" ref="AQ88">SUM(IF((modeldata!$F:$F=calibration!$AF$80)*(modeldata!$G:$G=calibration!AQ$82)*(modeldata!$H:$H=calibration!$AF88),modeldata!$E:$E,0))</f>
        <v>0</v>
      </c>
      <c r="AR88" s="178">
        <f t="shared" si="610"/>
        <v>0</v>
      </c>
      <c r="AS88" s="17">
        <f t="shared" si="579"/>
        <v>0</v>
      </c>
      <c r="AU88" s="66" t="s">
        <v>5</v>
      </c>
      <c r="AV88" s="38">
        <f t="shared" ref="AV88:BG88" si="618">IF(R103&gt;0,R88/R103,0)</f>
        <v>0</v>
      </c>
      <c r="AW88" s="245">
        <f t="shared" si="618"/>
        <v>0</v>
      </c>
      <c r="AX88" s="245">
        <f t="shared" si="618"/>
        <v>0</v>
      </c>
      <c r="AY88" s="245">
        <f t="shared" si="618"/>
        <v>0</v>
      </c>
      <c r="AZ88" s="245">
        <f t="shared" si="618"/>
        <v>0</v>
      </c>
      <c r="BA88" s="39">
        <f t="shared" si="618"/>
        <v>0</v>
      </c>
      <c r="BB88" s="245">
        <f t="shared" si="618"/>
        <v>0</v>
      </c>
      <c r="BC88" s="246">
        <f t="shared" si="618"/>
        <v>0</v>
      </c>
      <c r="BD88" s="245">
        <f t="shared" si="618"/>
        <v>0</v>
      </c>
      <c r="BE88" s="245">
        <f t="shared" si="618"/>
        <v>0</v>
      </c>
      <c r="BF88" s="245">
        <f t="shared" si="618"/>
        <v>0</v>
      </c>
      <c r="BG88" s="178">
        <f t="shared" si="618"/>
        <v>0</v>
      </c>
      <c r="BH88" s="24" t="e">
        <f>AD88/AD103</f>
        <v>#DIV/0!</v>
      </c>
      <c r="BJ88" s="66" t="s">
        <v>5</v>
      </c>
      <c r="BK88" s="38">
        <f t="shared" ref="BK88:BV88" si="619">IF(AG103&gt;0,AG88/AG103,0)</f>
        <v>0</v>
      </c>
      <c r="BL88" s="245">
        <f t="shared" si="619"/>
        <v>0</v>
      </c>
      <c r="BM88" s="245">
        <f t="shared" si="619"/>
        <v>0</v>
      </c>
      <c r="BN88" s="245">
        <f t="shared" si="619"/>
        <v>0</v>
      </c>
      <c r="BO88" s="245">
        <f t="shared" si="619"/>
        <v>0</v>
      </c>
      <c r="BP88" s="39">
        <f t="shared" si="619"/>
        <v>0</v>
      </c>
      <c r="BQ88" s="245">
        <f t="shared" si="619"/>
        <v>0</v>
      </c>
      <c r="BR88" s="246">
        <f t="shared" si="619"/>
        <v>0</v>
      </c>
      <c r="BS88" s="245">
        <f t="shared" si="619"/>
        <v>0</v>
      </c>
      <c r="BT88" s="245">
        <f t="shared" si="619"/>
        <v>0</v>
      </c>
      <c r="BU88" s="245">
        <f t="shared" si="619"/>
        <v>0</v>
      </c>
      <c r="BV88" s="178">
        <f t="shared" si="619"/>
        <v>0</v>
      </c>
      <c r="BW88" s="24" t="e">
        <f>AS88/AS103</f>
        <v>#DIV/0!</v>
      </c>
      <c r="BX88" s="24"/>
      <c r="BY88" s="66" t="s">
        <v>5</v>
      </c>
      <c r="BZ88" s="54">
        <f t="shared" si="582"/>
        <v>0</v>
      </c>
      <c r="CA88" s="55">
        <f t="shared" si="550"/>
        <v>0</v>
      </c>
      <c r="CB88" s="55">
        <f t="shared" si="551"/>
        <v>0</v>
      </c>
      <c r="CC88" s="55">
        <f t="shared" si="552"/>
        <v>0</v>
      </c>
      <c r="CD88" s="55">
        <f t="shared" si="553"/>
        <v>0</v>
      </c>
      <c r="CE88" s="59">
        <f t="shared" si="554"/>
        <v>0</v>
      </c>
      <c r="CF88" s="55">
        <f t="shared" si="555"/>
        <v>0</v>
      </c>
      <c r="CG88" s="249">
        <f t="shared" si="556"/>
        <v>0</v>
      </c>
      <c r="CH88" s="55">
        <f t="shared" si="557"/>
        <v>0</v>
      </c>
      <c r="CI88" s="55">
        <f t="shared" si="558"/>
        <v>0</v>
      </c>
      <c r="CJ88" s="55">
        <f t="shared" si="559"/>
        <v>0</v>
      </c>
      <c r="CK88" s="252">
        <f t="shared" si="559"/>
        <v>0</v>
      </c>
      <c r="CL88" s="55">
        <f t="shared" si="560"/>
        <v>0</v>
      </c>
      <c r="CN88" s="66" t="s">
        <v>5</v>
      </c>
      <c r="CO88" s="54">
        <f t="shared" si="583"/>
        <v>0</v>
      </c>
      <c r="CP88" s="55">
        <f t="shared" si="561"/>
        <v>0</v>
      </c>
      <c r="CQ88" s="55">
        <f t="shared" si="562"/>
        <v>0</v>
      </c>
      <c r="CR88" s="55">
        <f t="shared" si="563"/>
        <v>0</v>
      </c>
      <c r="CS88" s="55">
        <f t="shared" si="564"/>
        <v>0</v>
      </c>
      <c r="CT88" s="59">
        <f t="shared" si="565"/>
        <v>0</v>
      </c>
      <c r="CU88" s="55">
        <f t="shared" si="566"/>
        <v>0</v>
      </c>
      <c r="CV88" s="249">
        <f t="shared" si="567"/>
        <v>0</v>
      </c>
      <c r="CW88" s="55">
        <f t="shared" si="568"/>
        <v>0</v>
      </c>
      <c r="CX88" s="55">
        <f t="shared" si="569"/>
        <v>0</v>
      </c>
      <c r="CY88" s="55">
        <f t="shared" si="570"/>
        <v>0</v>
      </c>
      <c r="CZ88" s="252">
        <f t="shared" si="570"/>
        <v>0</v>
      </c>
      <c r="DA88" s="62" t="e">
        <f t="shared" si="571"/>
        <v>#DIV/0!</v>
      </c>
      <c r="DC88" s="66" t="s">
        <v>5</v>
      </c>
      <c r="DD88" s="198">
        <f t="shared" si="584"/>
        <v>0</v>
      </c>
      <c r="DE88" s="199">
        <f t="shared" si="585"/>
        <v>0</v>
      </c>
      <c r="DF88" s="198">
        <f t="shared" si="586"/>
        <v>0</v>
      </c>
      <c r="DG88" s="199">
        <f t="shared" si="587"/>
        <v>0</v>
      </c>
      <c r="DH88" s="198">
        <f t="shared" si="588"/>
        <v>0</v>
      </c>
      <c r="DI88" s="199">
        <f t="shared" si="589"/>
        <v>0</v>
      </c>
      <c r="DJ88" s="198">
        <f t="shared" si="590"/>
        <v>0</v>
      </c>
      <c r="DK88" s="199">
        <f t="shared" si="591"/>
        <v>0</v>
      </c>
      <c r="DL88" s="198">
        <f t="shared" si="592"/>
        <v>0</v>
      </c>
      <c r="DM88" s="199">
        <f t="shared" si="593"/>
        <v>0</v>
      </c>
      <c r="DN88" s="195">
        <f t="shared" si="594"/>
        <v>0</v>
      </c>
      <c r="DO88" s="196">
        <f t="shared" si="595"/>
        <v>0</v>
      </c>
      <c r="DP88" s="198">
        <f t="shared" si="596"/>
        <v>0</v>
      </c>
      <c r="DQ88" s="199">
        <f t="shared" si="597"/>
        <v>0</v>
      </c>
      <c r="DR88" s="198">
        <f t="shared" si="598"/>
        <v>0</v>
      </c>
      <c r="DS88" s="199">
        <f t="shared" si="599"/>
        <v>0</v>
      </c>
      <c r="DT88" s="198">
        <f t="shared" si="600"/>
        <v>0</v>
      </c>
      <c r="DU88" s="199">
        <f t="shared" si="601"/>
        <v>0</v>
      </c>
      <c r="DV88" s="198">
        <f t="shared" si="602"/>
        <v>0</v>
      </c>
      <c r="DW88" s="199">
        <f t="shared" si="603"/>
        <v>0</v>
      </c>
      <c r="DX88" s="198">
        <f t="shared" si="604"/>
        <v>0</v>
      </c>
      <c r="DY88" s="199">
        <f t="shared" si="605"/>
        <v>0</v>
      </c>
      <c r="DZ88" s="190">
        <f t="shared" si="606"/>
        <v>0</v>
      </c>
      <c r="EA88" s="199">
        <f t="shared" si="572"/>
        <v>0</v>
      </c>
      <c r="EB88" s="190" t="e">
        <f t="shared" si="607"/>
        <v>#DIV/0!</v>
      </c>
      <c r="EC88" s="190" t="e">
        <f t="shared" si="608"/>
        <v>#DIV/0!</v>
      </c>
    </row>
    <row r="89" spans="1:133" ht="25.5" x14ac:dyDescent="0.2">
      <c r="A89" s="66" t="s">
        <v>346</v>
      </c>
      <c r="B89" s="38">
        <f>targets!AW84</f>
        <v>0</v>
      </c>
      <c r="C89" s="245">
        <f>targets!AX84</f>
        <v>0</v>
      </c>
      <c r="D89" s="245">
        <f>targets!AY84</f>
        <v>0</v>
      </c>
      <c r="E89" s="245">
        <f>targets!AZ84</f>
        <v>0</v>
      </c>
      <c r="F89" s="245">
        <f>targets!BA84</f>
        <v>0</v>
      </c>
      <c r="G89" s="40">
        <f>SUM(targets!BB84:BG84)</f>
        <v>20245.053451152507</v>
      </c>
      <c r="H89" s="245">
        <f>SUM(targets!BH84:BM84)</f>
        <v>0</v>
      </c>
      <c r="I89" s="246">
        <f t="shared" si="573"/>
        <v>20245.053451152507</v>
      </c>
      <c r="J89" s="245">
        <f>targets!BN84</f>
        <v>0</v>
      </c>
      <c r="K89" s="245">
        <f>targets!BO84</f>
        <v>0</v>
      </c>
      <c r="L89" s="245">
        <f>targets!BP84</f>
        <v>0</v>
      </c>
      <c r="M89" s="178">
        <f t="shared" si="574"/>
        <v>0</v>
      </c>
      <c r="N89" s="17">
        <f t="shared" si="575"/>
        <v>20245.053451152507</v>
      </c>
      <c r="O89" s="17"/>
      <c r="P89" s="17"/>
      <c r="Q89" s="66" t="s">
        <v>346</v>
      </c>
      <c r="R89" s="38">
        <f t="shared" si="538"/>
        <v>0</v>
      </c>
      <c r="S89" s="245">
        <f t="shared" si="539"/>
        <v>0</v>
      </c>
      <c r="T89" s="245">
        <f t="shared" si="540"/>
        <v>0</v>
      </c>
      <c r="U89" s="245">
        <f t="shared" si="541"/>
        <v>0</v>
      </c>
      <c r="V89" s="245">
        <f t="shared" si="542"/>
        <v>0</v>
      </c>
      <c r="W89" s="40">
        <f t="shared" si="543"/>
        <v>0</v>
      </c>
      <c r="X89" s="245">
        <f t="shared" si="544"/>
        <v>0</v>
      </c>
      <c r="Y89" s="246">
        <f t="shared" si="576"/>
        <v>0</v>
      </c>
      <c r="Z89" s="245">
        <f t="shared" si="545"/>
        <v>0</v>
      </c>
      <c r="AA89" s="245">
        <f t="shared" si="546"/>
        <v>0</v>
      </c>
      <c r="AB89" s="245">
        <f t="shared" si="547"/>
        <v>0</v>
      </c>
      <c r="AC89" s="178">
        <f t="shared" si="577"/>
        <v>0</v>
      </c>
      <c r="AD89" s="17">
        <f t="shared" si="578"/>
        <v>0</v>
      </c>
      <c r="AF89" s="66" t="s">
        <v>43</v>
      </c>
      <c r="AG89" s="38">
        <f t="array" ref="AG89">SUM(IF((modeldata!$F:$F=calibration!$AF$80)*(modeldata!$G:$G=calibration!AG$82)*(modeldata!$H:$H=calibration!$AF89),modeldata!$E:$E,0))</f>
        <v>0</v>
      </c>
      <c r="AH89" s="245">
        <f t="array" ref="AH89">SUM(IF((modeldata!$F:$F=calibration!$AF$80)*(modeldata!$G:$G=calibration!AH$82)*(modeldata!$H:$H=calibration!$AF89),modeldata!$E:$E,0))</f>
        <v>0</v>
      </c>
      <c r="AI89" s="245">
        <f t="array" ref="AI89">SUM(IF((modeldata!$F:$F=calibration!$AF$80)*(modeldata!$G:$G=calibration!AI$82)*(modeldata!$H:$H=calibration!$AF89),modeldata!$E:$E,0))</f>
        <v>0</v>
      </c>
      <c r="AJ89" s="245">
        <f t="array" ref="AJ89">SUM(IF((modeldata!$F:$F=calibration!$AF$80)*(modeldata!$G:$G=calibration!AJ$82)*(modeldata!$H:$H=calibration!$AF89),modeldata!$E:$E,0))</f>
        <v>0</v>
      </c>
      <c r="AK89" s="245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5">
        <f t="array" ref="AM89">SUM(IF((modeldata!$F:$F=calibration!$AF$80)*(modeldata!$G:$G=calibration!AM$82)*(modeldata!$H:$H=calibration!$AF89),modeldata!$E:$E,0))</f>
        <v>0</v>
      </c>
      <c r="AN89" s="246">
        <f t="shared" si="617"/>
        <v>0</v>
      </c>
      <c r="AO89" s="245">
        <f t="array" ref="AO89">SUM(IF((modeldata!$F:$F=calibration!$AF$80)*(modeldata!$G:$G=calibration!AO$82)*(modeldata!$H:$H=calibration!$AF89),modeldata!$E:$E,0))</f>
        <v>0</v>
      </c>
      <c r="AP89" s="245">
        <f t="array" ref="AP89">SUM(IF((modeldata!$F:$F=calibration!$AF$80)*(modeldata!$G:$G=calibration!AP$82)*(modeldata!$H:$H=calibration!$AF89),modeldata!$E:$E,0))</f>
        <v>0</v>
      </c>
      <c r="AQ89" s="245">
        <f t="array" ref="AQ89">SUM(IF((modeldata!$F:$F=calibration!$AF$80)*(modeldata!$G:$G=calibration!AQ$82)*(modeldata!$H:$H=calibration!$AF89),modeldata!$E:$E,0))</f>
        <v>0</v>
      </c>
      <c r="AR89" s="178">
        <f t="shared" si="610"/>
        <v>0</v>
      </c>
      <c r="AS89" s="17">
        <f t="shared" si="579"/>
        <v>0</v>
      </c>
      <c r="AU89" s="66" t="s">
        <v>346</v>
      </c>
      <c r="AV89" s="38">
        <f t="shared" ref="AV89:BG90" si="620">IF(R103&gt;0,R89/R103,0)</f>
        <v>0</v>
      </c>
      <c r="AW89" s="245">
        <f t="shared" si="620"/>
        <v>0</v>
      </c>
      <c r="AX89" s="245">
        <f t="shared" si="620"/>
        <v>0</v>
      </c>
      <c r="AY89" s="245">
        <f t="shared" si="620"/>
        <v>0</v>
      </c>
      <c r="AZ89" s="245">
        <f t="shared" si="620"/>
        <v>0</v>
      </c>
      <c r="BA89" s="40">
        <f t="shared" si="620"/>
        <v>0</v>
      </c>
      <c r="BB89" s="245">
        <f t="shared" si="620"/>
        <v>0</v>
      </c>
      <c r="BC89" s="246">
        <f t="shared" si="620"/>
        <v>0</v>
      </c>
      <c r="BD89" s="245">
        <f t="shared" si="620"/>
        <v>0</v>
      </c>
      <c r="BE89" s="245">
        <f t="shared" si="620"/>
        <v>0</v>
      </c>
      <c r="BF89" s="245">
        <f t="shared" si="620"/>
        <v>0</v>
      </c>
      <c r="BG89" s="178">
        <f t="shared" si="620"/>
        <v>0</v>
      </c>
      <c r="BH89" s="24" t="e">
        <f>AD89/AD103</f>
        <v>#DIV/0!</v>
      </c>
      <c r="BJ89" s="66" t="s">
        <v>346</v>
      </c>
      <c r="BK89" s="38">
        <f t="shared" ref="BK89:BV89" si="621">IF(AG103&gt;0,AG89/AG103,0)</f>
        <v>0</v>
      </c>
      <c r="BL89" s="245">
        <f t="shared" si="621"/>
        <v>0</v>
      </c>
      <c r="BM89" s="245">
        <f t="shared" si="621"/>
        <v>0</v>
      </c>
      <c r="BN89" s="245">
        <f t="shared" si="621"/>
        <v>0</v>
      </c>
      <c r="BO89" s="245">
        <f t="shared" si="621"/>
        <v>0</v>
      </c>
      <c r="BP89" s="40">
        <f t="shared" si="621"/>
        <v>0</v>
      </c>
      <c r="BQ89" s="245">
        <f t="shared" si="621"/>
        <v>0</v>
      </c>
      <c r="BR89" s="246">
        <f t="shared" si="621"/>
        <v>0</v>
      </c>
      <c r="BS89" s="245">
        <f t="shared" si="621"/>
        <v>0</v>
      </c>
      <c r="BT89" s="245">
        <f t="shared" si="621"/>
        <v>0</v>
      </c>
      <c r="BU89" s="245">
        <f t="shared" si="621"/>
        <v>0</v>
      </c>
      <c r="BV89" s="178">
        <f t="shared" si="621"/>
        <v>0</v>
      </c>
      <c r="BW89" s="24" t="e">
        <f>AS89/AS103</f>
        <v>#DIV/0!</v>
      </c>
      <c r="BX89" s="24"/>
      <c r="BY89" s="66" t="s">
        <v>346</v>
      </c>
      <c r="BZ89" s="54">
        <f t="shared" si="582"/>
        <v>0</v>
      </c>
      <c r="CA89" s="55">
        <f t="shared" si="550"/>
        <v>0</v>
      </c>
      <c r="CB89" s="55">
        <f t="shared" si="551"/>
        <v>0</v>
      </c>
      <c r="CC89" s="55">
        <f t="shared" si="552"/>
        <v>0</v>
      </c>
      <c r="CD89" s="55">
        <f t="shared" si="553"/>
        <v>0</v>
      </c>
      <c r="CE89" s="60">
        <f t="shared" si="554"/>
        <v>0</v>
      </c>
      <c r="CF89" s="55">
        <f t="shared" si="555"/>
        <v>0</v>
      </c>
      <c r="CG89" s="249">
        <f t="shared" si="556"/>
        <v>0</v>
      </c>
      <c r="CH89" s="55">
        <f t="shared" si="557"/>
        <v>0</v>
      </c>
      <c r="CI89" s="55">
        <f t="shared" si="558"/>
        <v>0</v>
      </c>
      <c r="CJ89" s="55">
        <f t="shared" si="559"/>
        <v>0</v>
      </c>
      <c r="CK89" s="252">
        <f t="shared" si="559"/>
        <v>0</v>
      </c>
      <c r="CL89" s="55">
        <f t="shared" si="560"/>
        <v>0</v>
      </c>
      <c r="CN89" s="66" t="s">
        <v>346</v>
      </c>
      <c r="CO89" s="54">
        <f t="shared" si="583"/>
        <v>0</v>
      </c>
      <c r="CP89" s="55">
        <f t="shared" si="561"/>
        <v>0</v>
      </c>
      <c r="CQ89" s="55">
        <f t="shared" si="562"/>
        <v>0</v>
      </c>
      <c r="CR89" s="55">
        <f t="shared" si="563"/>
        <v>0</v>
      </c>
      <c r="CS89" s="55">
        <f t="shared" si="564"/>
        <v>0</v>
      </c>
      <c r="CT89" s="60">
        <f t="shared" si="565"/>
        <v>0</v>
      </c>
      <c r="CU89" s="55">
        <f t="shared" si="566"/>
        <v>0</v>
      </c>
      <c r="CV89" s="249">
        <f t="shared" si="567"/>
        <v>0</v>
      </c>
      <c r="CW89" s="55">
        <f t="shared" si="568"/>
        <v>0</v>
      </c>
      <c r="CX89" s="55">
        <f t="shared" si="569"/>
        <v>0</v>
      </c>
      <c r="CY89" s="55">
        <f t="shared" si="570"/>
        <v>0</v>
      </c>
      <c r="CZ89" s="252">
        <f t="shared" si="570"/>
        <v>0</v>
      </c>
      <c r="DA89" s="62" t="e">
        <f t="shared" si="571"/>
        <v>#DIV/0!</v>
      </c>
      <c r="DC89" s="66" t="s">
        <v>346</v>
      </c>
      <c r="DD89" s="198">
        <f t="shared" si="584"/>
        <v>0</v>
      </c>
      <c r="DE89" s="199">
        <f t="shared" si="585"/>
        <v>0</v>
      </c>
      <c r="DF89" s="198">
        <f t="shared" si="586"/>
        <v>0</v>
      </c>
      <c r="DG89" s="199">
        <f t="shared" si="587"/>
        <v>0</v>
      </c>
      <c r="DH89" s="198">
        <f t="shared" si="588"/>
        <v>0</v>
      </c>
      <c r="DI89" s="199">
        <f t="shared" si="589"/>
        <v>0</v>
      </c>
      <c r="DJ89" s="198">
        <f t="shared" si="590"/>
        <v>0</v>
      </c>
      <c r="DK89" s="199">
        <f t="shared" si="591"/>
        <v>0</v>
      </c>
      <c r="DL89" s="198">
        <f t="shared" si="592"/>
        <v>0</v>
      </c>
      <c r="DM89" s="199">
        <f t="shared" si="593"/>
        <v>0</v>
      </c>
      <c r="DN89" s="198">
        <f t="shared" si="594"/>
        <v>0</v>
      </c>
      <c r="DO89" s="199">
        <f t="shared" si="595"/>
        <v>0</v>
      </c>
      <c r="DP89" s="198">
        <f t="shared" si="596"/>
        <v>0</v>
      </c>
      <c r="DQ89" s="199">
        <f t="shared" si="597"/>
        <v>0</v>
      </c>
      <c r="DR89" s="198">
        <f t="shared" si="598"/>
        <v>0</v>
      </c>
      <c r="DS89" s="199">
        <f t="shared" si="599"/>
        <v>0</v>
      </c>
      <c r="DT89" s="198">
        <f t="shared" si="600"/>
        <v>0</v>
      </c>
      <c r="DU89" s="199">
        <f t="shared" si="601"/>
        <v>0</v>
      </c>
      <c r="DV89" s="198">
        <f t="shared" si="602"/>
        <v>0</v>
      </c>
      <c r="DW89" s="199">
        <f t="shared" si="603"/>
        <v>0</v>
      </c>
      <c r="DX89" s="198">
        <f t="shared" si="604"/>
        <v>0</v>
      </c>
      <c r="DY89" s="199">
        <f t="shared" si="605"/>
        <v>0</v>
      </c>
      <c r="DZ89" s="190">
        <f t="shared" si="606"/>
        <v>0</v>
      </c>
      <c r="EA89" s="199">
        <f t="shared" si="572"/>
        <v>0</v>
      </c>
      <c r="EB89" s="190" t="e">
        <f t="shared" si="607"/>
        <v>#DIV/0!</v>
      </c>
      <c r="EC89" s="190" t="e">
        <f t="shared" si="608"/>
        <v>#DIV/0!</v>
      </c>
    </row>
    <row r="90" spans="1:133" x14ac:dyDescent="0.2">
      <c r="A90" s="2" t="s">
        <v>349</v>
      </c>
      <c r="B90" s="38">
        <f>targets!AW85</f>
        <v>0</v>
      </c>
      <c r="C90" s="245">
        <f>targets!AX85</f>
        <v>0</v>
      </c>
      <c r="D90" s="245">
        <f>targets!AY85</f>
        <v>0</v>
      </c>
      <c r="E90" s="245">
        <f>targets!AZ85</f>
        <v>0</v>
      </c>
      <c r="F90" s="245">
        <f>targets!BA85</f>
        <v>0</v>
      </c>
      <c r="G90" s="40">
        <f>SUM(targets!BB85:BG85)</f>
        <v>102.91349200709024</v>
      </c>
      <c r="H90" s="245">
        <f>SUM(targets!BH85:BM85)</f>
        <v>0</v>
      </c>
      <c r="I90" s="246">
        <f>SUM(G90:H90)</f>
        <v>102.91349200709024</v>
      </c>
      <c r="J90" s="245">
        <f>targets!BN85</f>
        <v>0</v>
      </c>
      <c r="K90" s="245">
        <f>targets!BO85</f>
        <v>0</v>
      </c>
      <c r="L90" s="245">
        <f>targets!BP85</f>
        <v>0</v>
      </c>
      <c r="M90" s="178">
        <f>SUM(J90:L90)</f>
        <v>0</v>
      </c>
      <c r="N90" s="17">
        <f>SUM(B90:L90)-I90</f>
        <v>102.91349200709024</v>
      </c>
      <c r="O90" s="17"/>
      <c r="P90" s="17"/>
      <c r="Q90" s="2" t="s">
        <v>349</v>
      </c>
      <c r="R90" s="38">
        <f t="shared" si="538"/>
        <v>0</v>
      </c>
      <c r="S90" s="245">
        <f t="shared" si="539"/>
        <v>0</v>
      </c>
      <c r="T90" s="245">
        <f t="shared" si="540"/>
        <v>0</v>
      </c>
      <c r="U90" s="245">
        <f t="shared" si="541"/>
        <v>0</v>
      </c>
      <c r="V90" s="245">
        <f t="shared" si="542"/>
        <v>0</v>
      </c>
      <c r="W90" s="40">
        <f t="shared" si="543"/>
        <v>0</v>
      </c>
      <c r="X90" s="245">
        <f t="shared" si="544"/>
        <v>0</v>
      </c>
      <c r="Y90" s="246">
        <f>SUM(W90:X90)</f>
        <v>0</v>
      </c>
      <c r="Z90" s="245">
        <f t="shared" si="545"/>
        <v>0</v>
      </c>
      <c r="AA90" s="245">
        <f t="shared" si="546"/>
        <v>0</v>
      </c>
      <c r="AB90" s="245">
        <f t="shared" si="547"/>
        <v>0</v>
      </c>
      <c r="AC90" s="178">
        <f>SUM(Z90:AB90)</f>
        <v>0</v>
      </c>
      <c r="AD90" s="17"/>
      <c r="AF90" s="2" t="s">
        <v>44</v>
      </c>
      <c r="AG90" s="38">
        <f t="array" ref="AG90">SUM(IF((modeldata!$F:$F=calibration!$AF$80)*(modeldata!$G:$G=calibration!AG$82)*(modeldata!$H:$H=calibration!$AF90),modeldata!$E:$E,0))</f>
        <v>0</v>
      </c>
      <c r="AH90" s="245">
        <f t="array" ref="AH90">SUM(IF((modeldata!$F:$F=calibration!$AF$80)*(modeldata!$G:$G=calibration!AH$82)*(modeldata!$H:$H=calibration!$AF90),modeldata!$E:$E,0))</f>
        <v>0</v>
      </c>
      <c r="AI90" s="245">
        <f t="array" ref="AI90">SUM(IF((modeldata!$F:$F=calibration!$AF$80)*(modeldata!$G:$G=calibration!AI$82)*(modeldata!$H:$H=calibration!$AF90),modeldata!$E:$E,0))</f>
        <v>0</v>
      </c>
      <c r="AJ90" s="245">
        <f t="array" ref="AJ90">SUM(IF((modeldata!$F:$F=calibration!$AF$80)*(modeldata!$G:$G=calibration!AJ$82)*(modeldata!$H:$H=calibration!$AF90),modeldata!$E:$E,0))</f>
        <v>0</v>
      </c>
      <c r="AK90" s="245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5">
        <f t="array" ref="AM90">SUM(IF((modeldata!$F:$F=calibration!$AF$80)*(modeldata!$G:$G=calibration!AM$82)*(modeldata!$H:$H=calibration!$AF90),modeldata!$E:$E,0))</f>
        <v>0</v>
      </c>
      <c r="AN90" s="246">
        <f t="shared" si="617"/>
        <v>0</v>
      </c>
      <c r="AO90" s="245">
        <f t="array" ref="AO90">SUM(IF((modeldata!$F:$F=calibration!$AF$80)*(modeldata!$G:$G=calibration!AO$82)*(modeldata!$H:$H=calibration!$AF90),modeldata!$E:$E,0))</f>
        <v>0</v>
      </c>
      <c r="AP90" s="245">
        <f t="array" ref="AP90">SUM(IF((modeldata!$F:$F=calibration!$AF$80)*(modeldata!$G:$G=calibration!AP$82)*(modeldata!$H:$H=calibration!$AF90),modeldata!$E:$E,0))</f>
        <v>0</v>
      </c>
      <c r="AQ90" s="245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349</v>
      </c>
      <c r="AV90" s="38">
        <f t="shared" si="620"/>
        <v>0</v>
      </c>
      <c r="AW90" s="245">
        <f t="shared" si="620"/>
        <v>0</v>
      </c>
      <c r="AX90" s="245">
        <f t="shared" si="620"/>
        <v>0</v>
      </c>
      <c r="AY90" s="245">
        <f t="shared" si="620"/>
        <v>0</v>
      </c>
      <c r="AZ90" s="245">
        <f t="shared" si="620"/>
        <v>0</v>
      </c>
      <c r="BA90" s="40">
        <f t="shared" si="620"/>
        <v>0</v>
      </c>
      <c r="BB90" s="245">
        <f t="shared" si="620"/>
        <v>0</v>
      </c>
      <c r="BC90" s="246">
        <f t="shared" si="620"/>
        <v>0</v>
      </c>
      <c r="BD90" s="245">
        <f t="shared" si="620"/>
        <v>0</v>
      </c>
      <c r="BE90" s="245">
        <f t="shared" si="620"/>
        <v>0</v>
      </c>
      <c r="BF90" s="245">
        <f t="shared" si="620"/>
        <v>0</v>
      </c>
      <c r="BG90" s="178">
        <f t="shared" si="620"/>
        <v>0</v>
      </c>
      <c r="BH90" s="24" t="e">
        <f>AD90/AD104</f>
        <v>#DIV/0!</v>
      </c>
      <c r="BJ90" s="2" t="s">
        <v>349</v>
      </c>
      <c r="BK90" s="38">
        <f t="shared" ref="BK90:BV90" si="622">IF(AG112&gt;0,AG90/AG112,0)</f>
        <v>0</v>
      </c>
      <c r="BL90" s="245">
        <f t="shared" si="622"/>
        <v>0</v>
      </c>
      <c r="BM90" s="245">
        <f t="shared" si="622"/>
        <v>0</v>
      </c>
      <c r="BN90" s="245">
        <f t="shared" si="622"/>
        <v>0</v>
      </c>
      <c r="BO90" s="245">
        <f t="shared" si="622"/>
        <v>0</v>
      </c>
      <c r="BP90" s="40">
        <f t="shared" si="622"/>
        <v>0</v>
      </c>
      <c r="BQ90" s="245">
        <f t="shared" si="622"/>
        <v>0</v>
      </c>
      <c r="BR90" s="246">
        <f t="shared" si="622"/>
        <v>0</v>
      </c>
      <c r="BS90" s="245">
        <f t="shared" si="622"/>
        <v>0</v>
      </c>
      <c r="BT90" s="245">
        <f t="shared" si="622"/>
        <v>0</v>
      </c>
      <c r="BU90" s="245">
        <f t="shared" si="622"/>
        <v>0</v>
      </c>
      <c r="BV90" s="178">
        <f t="shared" si="622"/>
        <v>0</v>
      </c>
      <c r="BW90" s="24" t="e">
        <f>AS90/AS112</f>
        <v>#DIV/0!</v>
      </c>
      <c r="BX90" s="24"/>
      <c r="BY90" s="2" t="s">
        <v>349</v>
      </c>
      <c r="BZ90" s="54">
        <f t="shared" ref="BZ90:CL90" si="623">AG90-R90</f>
        <v>0</v>
      </c>
      <c r="CA90" s="55">
        <f t="shared" si="623"/>
        <v>0</v>
      </c>
      <c r="CB90" s="55">
        <f t="shared" si="623"/>
        <v>0</v>
      </c>
      <c r="CC90" s="55">
        <f t="shared" si="623"/>
        <v>0</v>
      </c>
      <c r="CD90" s="55">
        <f t="shared" si="623"/>
        <v>0</v>
      </c>
      <c r="CE90" s="60">
        <f t="shared" si="623"/>
        <v>0</v>
      </c>
      <c r="CF90" s="55">
        <f t="shared" si="623"/>
        <v>0</v>
      </c>
      <c r="CG90" s="249">
        <f t="shared" si="623"/>
        <v>0</v>
      </c>
      <c r="CH90" s="55">
        <f t="shared" si="623"/>
        <v>0</v>
      </c>
      <c r="CI90" s="55">
        <f t="shared" si="623"/>
        <v>0</v>
      </c>
      <c r="CJ90" s="55">
        <f t="shared" si="623"/>
        <v>0</v>
      </c>
      <c r="CK90" s="252">
        <f t="shared" si="623"/>
        <v>0</v>
      </c>
      <c r="CL90" s="55">
        <f t="shared" si="623"/>
        <v>0</v>
      </c>
      <c r="CN90" s="2" t="s">
        <v>349</v>
      </c>
      <c r="CO90" s="54">
        <f t="shared" ref="CO90:DA90" si="624">BK90-AV90</f>
        <v>0</v>
      </c>
      <c r="CP90" s="55">
        <f t="shared" si="624"/>
        <v>0</v>
      </c>
      <c r="CQ90" s="55">
        <f t="shared" si="624"/>
        <v>0</v>
      </c>
      <c r="CR90" s="55">
        <f t="shared" si="624"/>
        <v>0</v>
      </c>
      <c r="CS90" s="55">
        <f t="shared" si="624"/>
        <v>0</v>
      </c>
      <c r="CT90" s="60">
        <f t="shared" si="624"/>
        <v>0</v>
      </c>
      <c r="CU90" s="55">
        <f t="shared" si="624"/>
        <v>0</v>
      </c>
      <c r="CV90" s="249">
        <f t="shared" si="624"/>
        <v>0</v>
      </c>
      <c r="CW90" s="55">
        <f t="shared" si="624"/>
        <v>0</v>
      </c>
      <c r="CX90" s="55">
        <f t="shared" si="624"/>
        <v>0</v>
      </c>
      <c r="CY90" s="55">
        <f t="shared" si="624"/>
        <v>0</v>
      </c>
      <c r="CZ90" s="252">
        <f t="shared" si="624"/>
        <v>0</v>
      </c>
      <c r="DA90" s="62" t="e">
        <f t="shared" si="624"/>
        <v>#DIV/0!</v>
      </c>
      <c r="DC90" s="2" t="s">
        <v>349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targets!AW86</f>
        <v>0</v>
      </c>
      <c r="C91" s="245">
        <f>targets!AX86</f>
        <v>0</v>
      </c>
      <c r="D91" s="245">
        <f>targets!AY86</f>
        <v>0</v>
      </c>
      <c r="E91" s="245">
        <f>targets!AZ86</f>
        <v>0</v>
      </c>
      <c r="F91" s="245">
        <f>targets!BA86</f>
        <v>0</v>
      </c>
      <c r="G91" s="40">
        <f>SUM(targets!BB86:BG86)</f>
        <v>7473.6957533315126</v>
      </c>
      <c r="H91" s="245">
        <f>SUM(targets!BH86:BM86)</f>
        <v>0</v>
      </c>
      <c r="I91" s="246">
        <f t="shared" si="573"/>
        <v>7473.6957533315126</v>
      </c>
      <c r="J91" s="245">
        <f>targets!BN86</f>
        <v>0</v>
      </c>
      <c r="K91" s="245">
        <f>targets!BO86</f>
        <v>0</v>
      </c>
      <c r="L91" s="245">
        <f>targets!BP86</f>
        <v>0</v>
      </c>
      <c r="M91" s="178">
        <f t="shared" si="574"/>
        <v>0</v>
      </c>
      <c r="N91" s="17">
        <f t="shared" si="575"/>
        <v>7473.6957533315126</v>
      </c>
      <c r="O91" s="17"/>
      <c r="P91" s="17"/>
      <c r="Q91" s="64" t="s">
        <v>45</v>
      </c>
      <c r="R91" s="38">
        <f t="shared" si="538"/>
        <v>0</v>
      </c>
      <c r="S91" s="245">
        <f t="shared" si="539"/>
        <v>0</v>
      </c>
      <c r="T91" s="245">
        <f t="shared" si="540"/>
        <v>0</v>
      </c>
      <c r="U91" s="245">
        <f t="shared" si="541"/>
        <v>0</v>
      </c>
      <c r="V91" s="245">
        <f t="shared" si="542"/>
        <v>0</v>
      </c>
      <c r="W91" s="40">
        <f t="shared" si="543"/>
        <v>0</v>
      </c>
      <c r="X91" s="245">
        <f t="shared" si="544"/>
        <v>0</v>
      </c>
      <c r="Y91" s="246">
        <f t="shared" si="576"/>
        <v>0</v>
      </c>
      <c r="Z91" s="245">
        <f t="shared" si="545"/>
        <v>0</v>
      </c>
      <c r="AA91" s="245">
        <f t="shared" si="546"/>
        <v>0</v>
      </c>
      <c r="AB91" s="245">
        <f t="shared" si="547"/>
        <v>0</v>
      </c>
      <c r="AC91" s="178">
        <f t="shared" si="577"/>
        <v>0</v>
      </c>
      <c r="AD91" s="17">
        <f t="shared" si="578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5">
        <f t="array" ref="AH91">SUM(IF((modeldata!$F:$F=calibration!$AF$80)*(modeldata!$G:$G=calibration!AH$82)*(modeldata!$H:$H=calibration!$AF91),modeldata!$E:$E,0))</f>
        <v>0</v>
      </c>
      <c r="AI91" s="245">
        <f t="array" ref="AI91">SUM(IF((modeldata!$F:$F=calibration!$AF$80)*(modeldata!$G:$G=calibration!AI$82)*(modeldata!$H:$H=calibration!$AF91),modeldata!$E:$E,0))</f>
        <v>0</v>
      </c>
      <c r="AJ91" s="245">
        <f t="array" ref="AJ91">SUM(IF((modeldata!$F:$F=calibration!$AF$80)*(modeldata!$G:$G=calibration!AJ$82)*(modeldata!$H:$H=calibration!$AF91),modeldata!$E:$E,0))</f>
        <v>0</v>
      </c>
      <c r="AK91" s="245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5">
        <f t="array" ref="AM91">SUM(IF((modeldata!$F:$F=calibration!$AF$80)*(modeldata!$G:$G=calibration!AM$82)*(modeldata!$H:$H=calibration!$AF91),modeldata!$E:$E,0))</f>
        <v>0</v>
      </c>
      <c r="AN91" s="246">
        <f t="shared" si="617"/>
        <v>0</v>
      </c>
      <c r="AO91" s="245">
        <f t="array" ref="AO91">SUM(IF((modeldata!$F:$F=calibration!$AF$80)*(modeldata!$G:$G=calibration!AO$82)*(modeldata!$H:$H=calibration!$AF91),modeldata!$E:$E,0))</f>
        <v>0</v>
      </c>
      <c r="AP91" s="245">
        <f t="array" ref="AP91">SUM(IF((modeldata!$F:$F=calibration!$AF$80)*(modeldata!$G:$G=calibration!AP$82)*(modeldata!$H:$H=calibration!$AF91),modeldata!$E:$E,0))</f>
        <v>0</v>
      </c>
      <c r="AQ91" s="245">
        <f t="array" ref="AQ91">SUM(IF((modeldata!$F:$F=calibration!$AF$80)*(modeldata!$G:$G=calibration!AQ$82)*(modeldata!$H:$H=calibration!$AF91),modeldata!$E:$E,0))</f>
        <v>0</v>
      </c>
      <c r="AR91" s="178">
        <f t="shared" si="610"/>
        <v>0</v>
      </c>
      <c r="AS91" s="17">
        <f t="shared" si="579"/>
        <v>0</v>
      </c>
      <c r="AU91" s="64" t="s">
        <v>45</v>
      </c>
      <c r="AV91" s="38">
        <f t="shared" ref="AV91:BG91" si="625">IF(R103&gt;0,R91/R103,0)</f>
        <v>0</v>
      </c>
      <c r="AW91" s="245">
        <f t="shared" si="625"/>
        <v>0</v>
      </c>
      <c r="AX91" s="245">
        <f t="shared" si="625"/>
        <v>0</v>
      </c>
      <c r="AY91" s="245">
        <f t="shared" si="625"/>
        <v>0</v>
      </c>
      <c r="AZ91" s="245">
        <f t="shared" si="625"/>
        <v>0</v>
      </c>
      <c r="BA91" s="40">
        <f t="shared" si="625"/>
        <v>0</v>
      </c>
      <c r="BB91" s="245">
        <f t="shared" si="625"/>
        <v>0</v>
      </c>
      <c r="BC91" s="246">
        <f t="shared" si="625"/>
        <v>0</v>
      </c>
      <c r="BD91" s="245">
        <f t="shared" si="625"/>
        <v>0</v>
      </c>
      <c r="BE91" s="245">
        <f t="shared" si="625"/>
        <v>0</v>
      </c>
      <c r="BF91" s="245">
        <f t="shared" si="625"/>
        <v>0</v>
      </c>
      <c r="BG91" s="178">
        <f t="shared" si="625"/>
        <v>0</v>
      </c>
      <c r="BH91" s="24" t="e">
        <f>AD91/AD103</f>
        <v>#DIV/0!</v>
      </c>
      <c r="BJ91" s="64" t="s">
        <v>45</v>
      </c>
      <c r="BK91" s="38">
        <f t="shared" ref="BK91:BV91" si="626">IF(AG103&gt;0,AG91/AG103,0)</f>
        <v>0</v>
      </c>
      <c r="BL91" s="245">
        <f t="shared" si="626"/>
        <v>0</v>
      </c>
      <c r="BM91" s="245">
        <f t="shared" si="626"/>
        <v>0</v>
      </c>
      <c r="BN91" s="245">
        <f t="shared" si="626"/>
        <v>0</v>
      </c>
      <c r="BO91" s="245">
        <f t="shared" si="626"/>
        <v>0</v>
      </c>
      <c r="BP91" s="40">
        <f t="shared" si="626"/>
        <v>0</v>
      </c>
      <c r="BQ91" s="245">
        <f t="shared" si="626"/>
        <v>0</v>
      </c>
      <c r="BR91" s="246">
        <f t="shared" si="626"/>
        <v>0</v>
      </c>
      <c r="BS91" s="245">
        <f t="shared" si="626"/>
        <v>0</v>
      </c>
      <c r="BT91" s="245">
        <f t="shared" si="626"/>
        <v>0</v>
      </c>
      <c r="BU91" s="245">
        <f t="shared" si="626"/>
        <v>0</v>
      </c>
      <c r="BV91" s="178">
        <f t="shared" si="626"/>
        <v>0</v>
      </c>
      <c r="BW91" s="24" t="e">
        <f>AS91/AS103</f>
        <v>#DIV/0!</v>
      </c>
      <c r="BX91" s="24"/>
      <c r="BY91" s="64" t="s">
        <v>45</v>
      </c>
      <c r="BZ91" s="54">
        <f t="shared" si="582"/>
        <v>0</v>
      </c>
      <c r="CA91" s="55">
        <f t="shared" si="550"/>
        <v>0</v>
      </c>
      <c r="CB91" s="55">
        <f t="shared" si="551"/>
        <v>0</v>
      </c>
      <c r="CC91" s="55">
        <f t="shared" si="552"/>
        <v>0</v>
      </c>
      <c r="CD91" s="55">
        <f t="shared" si="553"/>
        <v>0</v>
      </c>
      <c r="CE91" s="60">
        <f t="shared" si="554"/>
        <v>0</v>
      </c>
      <c r="CF91" s="55">
        <f t="shared" si="555"/>
        <v>0</v>
      </c>
      <c r="CG91" s="249">
        <f t="shared" si="556"/>
        <v>0</v>
      </c>
      <c r="CH91" s="55">
        <f t="shared" si="557"/>
        <v>0</v>
      </c>
      <c r="CI91" s="55">
        <f t="shared" si="558"/>
        <v>0</v>
      </c>
      <c r="CJ91" s="55">
        <f t="shared" si="559"/>
        <v>0</v>
      </c>
      <c r="CK91" s="252">
        <f t="shared" si="559"/>
        <v>0</v>
      </c>
      <c r="CL91" s="55">
        <f t="shared" si="560"/>
        <v>0</v>
      </c>
      <c r="CN91" s="64" t="s">
        <v>45</v>
      </c>
      <c r="CO91" s="54">
        <f t="shared" si="583"/>
        <v>0</v>
      </c>
      <c r="CP91" s="55">
        <f t="shared" si="561"/>
        <v>0</v>
      </c>
      <c r="CQ91" s="55">
        <f t="shared" si="562"/>
        <v>0</v>
      </c>
      <c r="CR91" s="55">
        <f t="shared" si="563"/>
        <v>0</v>
      </c>
      <c r="CS91" s="55">
        <f t="shared" si="564"/>
        <v>0</v>
      </c>
      <c r="CT91" s="60">
        <f t="shared" si="565"/>
        <v>0</v>
      </c>
      <c r="CU91" s="55">
        <f t="shared" si="566"/>
        <v>0</v>
      </c>
      <c r="CV91" s="249">
        <f t="shared" si="567"/>
        <v>0</v>
      </c>
      <c r="CW91" s="55">
        <f t="shared" si="568"/>
        <v>0</v>
      </c>
      <c r="CX91" s="55">
        <f t="shared" si="569"/>
        <v>0</v>
      </c>
      <c r="CY91" s="55">
        <f t="shared" si="570"/>
        <v>0</v>
      </c>
      <c r="CZ91" s="252">
        <f t="shared" si="570"/>
        <v>0</v>
      </c>
      <c r="DA91" s="62" t="e">
        <f t="shared" si="571"/>
        <v>#DIV/0!</v>
      </c>
      <c r="DC91" s="64" t="s">
        <v>45</v>
      </c>
      <c r="DD91" s="198">
        <f t="shared" si="584"/>
        <v>0</v>
      </c>
      <c r="DE91" s="199">
        <f t="shared" si="585"/>
        <v>0</v>
      </c>
      <c r="DF91" s="198">
        <f t="shared" si="586"/>
        <v>0</v>
      </c>
      <c r="DG91" s="199">
        <f t="shared" si="587"/>
        <v>0</v>
      </c>
      <c r="DH91" s="198">
        <f t="shared" si="588"/>
        <v>0</v>
      </c>
      <c r="DI91" s="199">
        <f t="shared" si="589"/>
        <v>0</v>
      </c>
      <c r="DJ91" s="198">
        <f t="shared" si="590"/>
        <v>0</v>
      </c>
      <c r="DK91" s="199">
        <f t="shared" si="591"/>
        <v>0</v>
      </c>
      <c r="DL91" s="198">
        <f t="shared" si="592"/>
        <v>0</v>
      </c>
      <c r="DM91" s="199">
        <f t="shared" si="593"/>
        <v>0</v>
      </c>
      <c r="DN91" s="198">
        <f t="shared" si="594"/>
        <v>0</v>
      </c>
      <c r="DO91" s="199">
        <f t="shared" si="595"/>
        <v>0</v>
      </c>
      <c r="DP91" s="198">
        <f t="shared" si="596"/>
        <v>0</v>
      </c>
      <c r="DQ91" s="199">
        <f t="shared" si="597"/>
        <v>0</v>
      </c>
      <c r="DR91" s="198">
        <f t="shared" si="598"/>
        <v>0</v>
      </c>
      <c r="DS91" s="199">
        <f t="shared" si="599"/>
        <v>0</v>
      </c>
      <c r="DT91" s="198">
        <f t="shared" si="600"/>
        <v>0</v>
      </c>
      <c r="DU91" s="199">
        <f t="shared" si="601"/>
        <v>0</v>
      </c>
      <c r="DV91" s="198">
        <f t="shared" si="602"/>
        <v>0</v>
      </c>
      <c r="DW91" s="199">
        <f t="shared" si="603"/>
        <v>0</v>
      </c>
      <c r="DX91" s="198">
        <f t="shared" si="604"/>
        <v>0</v>
      </c>
      <c r="DY91" s="199">
        <f t="shared" si="605"/>
        <v>0</v>
      </c>
      <c r="DZ91" s="190">
        <f t="shared" si="606"/>
        <v>0</v>
      </c>
      <c r="EA91" s="199">
        <f t="shared" si="572"/>
        <v>0</v>
      </c>
      <c r="EB91" s="190" t="e">
        <f t="shared" si="607"/>
        <v>#DIV/0!</v>
      </c>
      <c r="EC91" s="190" t="e">
        <f t="shared" si="608"/>
        <v>#DIV/0!</v>
      </c>
    </row>
    <row r="92" spans="1:133" x14ac:dyDescent="0.2">
      <c r="A92" s="64" t="s">
        <v>46</v>
      </c>
      <c r="B92" s="38">
        <f>targets!AW87</f>
        <v>0</v>
      </c>
      <c r="C92" s="245">
        <f>targets!AX87</f>
        <v>0</v>
      </c>
      <c r="D92" s="245">
        <f>targets!AY87</f>
        <v>0</v>
      </c>
      <c r="E92" s="245">
        <f>targets!AZ87</f>
        <v>0</v>
      </c>
      <c r="F92" s="245">
        <f>targets!BA87</f>
        <v>0</v>
      </c>
      <c r="G92" s="40">
        <f>SUM(targets!BB87:BG87)</f>
        <v>21093.424651054578</v>
      </c>
      <c r="H92" s="245">
        <f>SUM(targets!BH87:BM87)</f>
        <v>0</v>
      </c>
      <c r="I92" s="246">
        <f t="shared" si="573"/>
        <v>21093.424651054578</v>
      </c>
      <c r="J92" s="245">
        <f>targets!BN87</f>
        <v>0</v>
      </c>
      <c r="K92" s="245">
        <f>targets!BO87</f>
        <v>0</v>
      </c>
      <c r="L92" s="245">
        <f>targets!BP87</f>
        <v>0</v>
      </c>
      <c r="M92" s="178">
        <f t="shared" si="574"/>
        <v>0</v>
      </c>
      <c r="N92" s="17">
        <f t="shared" si="575"/>
        <v>21093.424651054578</v>
      </c>
      <c r="O92" s="17"/>
      <c r="P92" s="17"/>
      <c r="Q92" s="64" t="s">
        <v>46</v>
      </c>
      <c r="R92" s="38">
        <f t="shared" si="538"/>
        <v>0</v>
      </c>
      <c r="S92" s="245">
        <f t="shared" si="539"/>
        <v>0</v>
      </c>
      <c r="T92" s="245">
        <f t="shared" si="540"/>
        <v>0</v>
      </c>
      <c r="U92" s="245">
        <f t="shared" si="541"/>
        <v>0</v>
      </c>
      <c r="V92" s="245">
        <f t="shared" si="542"/>
        <v>0</v>
      </c>
      <c r="W92" s="40">
        <f t="shared" si="543"/>
        <v>0</v>
      </c>
      <c r="X92" s="245">
        <f t="shared" si="544"/>
        <v>0</v>
      </c>
      <c r="Y92" s="246">
        <f t="shared" si="576"/>
        <v>0</v>
      </c>
      <c r="Z92" s="245">
        <f t="shared" si="545"/>
        <v>0</v>
      </c>
      <c r="AA92" s="245">
        <f t="shared" si="546"/>
        <v>0</v>
      </c>
      <c r="AB92" s="245">
        <f t="shared" si="547"/>
        <v>0</v>
      </c>
      <c r="AC92" s="178">
        <f t="shared" si="577"/>
        <v>0</v>
      </c>
      <c r="AD92" s="17">
        <f t="shared" si="578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5">
        <f t="array" ref="AH92">SUM(IF((modeldata!$F:$F=calibration!$AF$80)*(modeldata!$G:$G=calibration!AH$82)*(modeldata!$H:$H=calibration!$AF92),modeldata!$E:$E,0))</f>
        <v>0</v>
      </c>
      <c r="AI92" s="245">
        <f t="array" ref="AI92">SUM(IF((modeldata!$F:$F=calibration!$AF$80)*(modeldata!$G:$G=calibration!AI$82)*(modeldata!$H:$H=calibration!$AF92),modeldata!$E:$E,0))</f>
        <v>0</v>
      </c>
      <c r="AJ92" s="245">
        <f t="array" ref="AJ92">SUM(IF((modeldata!$F:$F=calibration!$AF$80)*(modeldata!$G:$G=calibration!AJ$82)*(modeldata!$H:$H=calibration!$AF92),modeldata!$E:$E,0))</f>
        <v>0</v>
      </c>
      <c r="AK92" s="245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5">
        <f t="array" ref="AM92">SUM(IF((modeldata!$F:$F=calibration!$AF$80)*(modeldata!$G:$G=calibration!AM$82)*(modeldata!$H:$H=calibration!$AF92),modeldata!$E:$E,0))</f>
        <v>0</v>
      </c>
      <c r="AN92" s="246">
        <f t="shared" si="617"/>
        <v>0</v>
      </c>
      <c r="AO92" s="245">
        <f t="array" ref="AO92">SUM(IF((modeldata!$F:$F=calibration!$AF$80)*(modeldata!$G:$G=calibration!AO$82)*(modeldata!$H:$H=calibration!$AF92),modeldata!$E:$E,0))</f>
        <v>0</v>
      </c>
      <c r="AP92" s="245">
        <f t="array" ref="AP92">SUM(IF((modeldata!$F:$F=calibration!$AF$80)*(modeldata!$G:$G=calibration!AP$82)*(modeldata!$H:$H=calibration!$AF92),modeldata!$E:$E,0))</f>
        <v>0</v>
      </c>
      <c r="AQ92" s="245">
        <f t="array" ref="AQ92">SUM(IF((modeldata!$F:$F=calibration!$AF$80)*(modeldata!$G:$G=calibration!AQ$82)*(modeldata!$H:$H=calibration!$AF92),modeldata!$E:$E,0))</f>
        <v>0</v>
      </c>
      <c r="AR92" s="178">
        <f t="shared" si="610"/>
        <v>0</v>
      </c>
      <c r="AS92" s="17">
        <f t="shared" si="579"/>
        <v>0</v>
      </c>
      <c r="AU92" s="64" t="s">
        <v>46</v>
      </c>
      <c r="AV92" s="38">
        <f t="shared" ref="AV92:BG92" si="627">IF(R103&gt;0,R92/R103,0)</f>
        <v>0</v>
      </c>
      <c r="AW92" s="245">
        <f t="shared" si="627"/>
        <v>0</v>
      </c>
      <c r="AX92" s="245">
        <f t="shared" si="627"/>
        <v>0</v>
      </c>
      <c r="AY92" s="245">
        <f t="shared" si="627"/>
        <v>0</v>
      </c>
      <c r="AZ92" s="245">
        <f t="shared" si="627"/>
        <v>0</v>
      </c>
      <c r="BA92" s="40">
        <f t="shared" si="627"/>
        <v>0</v>
      </c>
      <c r="BB92" s="245">
        <f t="shared" si="627"/>
        <v>0</v>
      </c>
      <c r="BC92" s="246">
        <f t="shared" si="627"/>
        <v>0</v>
      </c>
      <c r="BD92" s="245">
        <f t="shared" si="627"/>
        <v>0</v>
      </c>
      <c r="BE92" s="245">
        <f t="shared" si="627"/>
        <v>0</v>
      </c>
      <c r="BF92" s="245">
        <f t="shared" si="627"/>
        <v>0</v>
      </c>
      <c r="BG92" s="178">
        <f t="shared" si="627"/>
        <v>0</v>
      </c>
      <c r="BH92" s="24" t="e">
        <f>AD92/AD103</f>
        <v>#DIV/0!</v>
      </c>
      <c r="BJ92" s="64" t="s">
        <v>46</v>
      </c>
      <c r="BK92" s="38">
        <f t="shared" ref="BK92:BV92" si="628">IF(AG103&gt;0,AG92/AG103,0)</f>
        <v>0</v>
      </c>
      <c r="BL92" s="245">
        <f t="shared" si="628"/>
        <v>0</v>
      </c>
      <c r="BM92" s="245">
        <f t="shared" si="628"/>
        <v>0</v>
      </c>
      <c r="BN92" s="245">
        <f t="shared" si="628"/>
        <v>0</v>
      </c>
      <c r="BO92" s="245">
        <f t="shared" si="628"/>
        <v>0</v>
      </c>
      <c r="BP92" s="40">
        <f t="shared" si="628"/>
        <v>0</v>
      </c>
      <c r="BQ92" s="245">
        <f t="shared" si="628"/>
        <v>0</v>
      </c>
      <c r="BR92" s="246">
        <f t="shared" si="628"/>
        <v>0</v>
      </c>
      <c r="BS92" s="245">
        <f t="shared" si="628"/>
        <v>0</v>
      </c>
      <c r="BT92" s="245">
        <f t="shared" si="628"/>
        <v>0</v>
      </c>
      <c r="BU92" s="245">
        <f t="shared" si="628"/>
        <v>0</v>
      </c>
      <c r="BV92" s="178">
        <f t="shared" si="628"/>
        <v>0</v>
      </c>
      <c r="BW92" s="24" t="e">
        <f>AS92/AS103</f>
        <v>#DIV/0!</v>
      </c>
      <c r="BX92" s="24"/>
      <c r="BY92" s="64" t="s">
        <v>46</v>
      </c>
      <c r="BZ92" s="54">
        <f t="shared" si="582"/>
        <v>0</v>
      </c>
      <c r="CA92" s="55">
        <f t="shared" si="550"/>
        <v>0</v>
      </c>
      <c r="CB92" s="55">
        <f t="shared" si="551"/>
        <v>0</v>
      </c>
      <c r="CC92" s="55">
        <f t="shared" si="552"/>
        <v>0</v>
      </c>
      <c r="CD92" s="55">
        <f t="shared" si="553"/>
        <v>0</v>
      </c>
      <c r="CE92" s="60">
        <f t="shared" si="554"/>
        <v>0</v>
      </c>
      <c r="CF92" s="55">
        <f t="shared" si="555"/>
        <v>0</v>
      </c>
      <c r="CG92" s="249">
        <f t="shared" si="556"/>
        <v>0</v>
      </c>
      <c r="CH92" s="55">
        <f t="shared" si="557"/>
        <v>0</v>
      </c>
      <c r="CI92" s="55">
        <f t="shared" si="558"/>
        <v>0</v>
      </c>
      <c r="CJ92" s="55">
        <f t="shared" si="559"/>
        <v>0</v>
      </c>
      <c r="CK92" s="252">
        <f t="shared" si="559"/>
        <v>0</v>
      </c>
      <c r="CL92" s="55">
        <f t="shared" si="560"/>
        <v>0</v>
      </c>
      <c r="CN92" s="64" t="s">
        <v>46</v>
      </c>
      <c r="CO92" s="54">
        <f t="shared" si="583"/>
        <v>0</v>
      </c>
      <c r="CP92" s="55">
        <f t="shared" si="561"/>
        <v>0</v>
      </c>
      <c r="CQ92" s="55">
        <f t="shared" si="562"/>
        <v>0</v>
      </c>
      <c r="CR92" s="55">
        <f t="shared" si="563"/>
        <v>0</v>
      </c>
      <c r="CS92" s="55">
        <f t="shared" si="564"/>
        <v>0</v>
      </c>
      <c r="CT92" s="60">
        <f t="shared" si="565"/>
        <v>0</v>
      </c>
      <c r="CU92" s="55">
        <f t="shared" si="566"/>
        <v>0</v>
      </c>
      <c r="CV92" s="249">
        <f t="shared" si="567"/>
        <v>0</v>
      </c>
      <c r="CW92" s="55">
        <f t="shared" si="568"/>
        <v>0</v>
      </c>
      <c r="CX92" s="55">
        <f t="shared" si="569"/>
        <v>0</v>
      </c>
      <c r="CY92" s="55">
        <f t="shared" si="570"/>
        <v>0</v>
      </c>
      <c r="CZ92" s="252">
        <f t="shared" si="570"/>
        <v>0</v>
      </c>
      <c r="DA92" s="62" t="e">
        <f t="shared" si="571"/>
        <v>#DIV/0!</v>
      </c>
      <c r="DC92" s="64" t="s">
        <v>46</v>
      </c>
      <c r="DD92" s="198">
        <f t="shared" si="584"/>
        <v>0</v>
      </c>
      <c r="DE92" s="199">
        <f t="shared" si="585"/>
        <v>0</v>
      </c>
      <c r="DF92" s="198">
        <f t="shared" si="586"/>
        <v>0</v>
      </c>
      <c r="DG92" s="199">
        <f t="shared" si="587"/>
        <v>0</v>
      </c>
      <c r="DH92" s="198">
        <f t="shared" si="588"/>
        <v>0</v>
      </c>
      <c r="DI92" s="199">
        <f t="shared" si="589"/>
        <v>0</v>
      </c>
      <c r="DJ92" s="198">
        <f t="shared" si="590"/>
        <v>0</v>
      </c>
      <c r="DK92" s="199">
        <f t="shared" si="591"/>
        <v>0</v>
      </c>
      <c r="DL92" s="198">
        <f t="shared" si="592"/>
        <v>0</v>
      </c>
      <c r="DM92" s="199">
        <f t="shared" si="593"/>
        <v>0</v>
      </c>
      <c r="DN92" s="198">
        <f t="shared" si="594"/>
        <v>0</v>
      </c>
      <c r="DO92" s="199">
        <f t="shared" si="595"/>
        <v>0</v>
      </c>
      <c r="DP92" s="198">
        <f t="shared" si="596"/>
        <v>0</v>
      </c>
      <c r="DQ92" s="199">
        <f t="shared" si="597"/>
        <v>0</v>
      </c>
      <c r="DR92" s="198">
        <f t="shared" si="598"/>
        <v>0</v>
      </c>
      <c r="DS92" s="199">
        <f t="shared" si="599"/>
        <v>0</v>
      </c>
      <c r="DT92" s="198">
        <f t="shared" si="600"/>
        <v>0</v>
      </c>
      <c r="DU92" s="199">
        <f t="shared" si="601"/>
        <v>0</v>
      </c>
      <c r="DV92" s="198">
        <f t="shared" si="602"/>
        <v>0</v>
      </c>
      <c r="DW92" s="199">
        <f t="shared" si="603"/>
        <v>0</v>
      </c>
      <c r="DX92" s="198">
        <f t="shared" si="604"/>
        <v>0</v>
      </c>
      <c r="DY92" s="199">
        <f t="shared" si="605"/>
        <v>0</v>
      </c>
      <c r="DZ92" s="190">
        <f t="shared" si="606"/>
        <v>0</v>
      </c>
      <c r="EA92" s="199">
        <f t="shared" si="572"/>
        <v>0</v>
      </c>
      <c r="EB92" s="190" t="e">
        <f t="shared" si="607"/>
        <v>#DIV/0!</v>
      </c>
      <c r="EC92" s="190" t="e">
        <f t="shared" si="608"/>
        <v>#DIV/0!</v>
      </c>
    </row>
    <row r="93" spans="1:133" x14ac:dyDescent="0.2">
      <c r="A93" s="64" t="s">
        <v>47</v>
      </c>
      <c r="B93" s="38">
        <f>targets!AW88</f>
        <v>0</v>
      </c>
      <c r="C93" s="245">
        <f>targets!AX88</f>
        <v>0</v>
      </c>
      <c r="D93" s="245">
        <f>targets!AY88</f>
        <v>0</v>
      </c>
      <c r="E93" s="245">
        <f>targets!AZ88</f>
        <v>0</v>
      </c>
      <c r="F93" s="245">
        <f>targets!BA88</f>
        <v>0</v>
      </c>
      <c r="G93" s="41">
        <f>SUM(targets!BB88:BG88)</f>
        <v>1601.7669440944405</v>
      </c>
      <c r="H93" s="245">
        <f>SUM(targets!BH88:BM88)</f>
        <v>0</v>
      </c>
      <c r="I93" s="246">
        <f t="shared" si="573"/>
        <v>1601.7669440944405</v>
      </c>
      <c r="J93" s="245">
        <f>targets!BN88</f>
        <v>0</v>
      </c>
      <c r="K93" s="245">
        <f>targets!BO88</f>
        <v>0</v>
      </c>
      <c r="L93" s="245">
        <f>targets!BP88</f>
        <v>0</v>
      </c>
      <c r="M93" s="178">
        <f t="shared" si="574"/>
        <v>0</v>
      </c>
      <c r="N93" s="17">
        <f t="shared" si="575"/>
        <v>1601.7669440944405</v>
      </c>
      <c r="O93" s="17"/>
      <c r="P93" s="17"/>
      <c r="Q93" s="64" t="s">
        <v>47</v>
      </c>
      <c r="R93" s="38">
        <f t="shared" si="538"/>
        <v>0</v>
      </c>
      <c r="S93" s="245">
        <f t="shared" si="539"/>
        <v>0</v>
      </c>
      <c r="T93" s="245">
        <f t="shared" si="540"/>
        <v>0</v>
      </c>
      <c r="U93" s="245">
        <f t="shared" si="541"/>
        <v>0</v>
      </c>
      <c r="V93" s="245">
        <f t="shared" si="542"/>
        <v>0</v>
      </c>
      <c r="W93" s="41">
        <f t="shared" si="543"/>
        <v>0</v>
      </c>
      <c r="X93" s="245">
        <f t="shared" si="544"/>
        <v>0</v>
      </c>
      <c r="Y93" s="246">
        <f t="shared" si="576"/>
        <v>0</v>
      </c>
      <c r="Z93" s="245">
        <f t="shared" si="545"/>
        <v>0</v>
      </c>
      <c r="AA93" s="245">
        <f t="shared" si="546"/>
        <v>0</v>
      </c>
      <c r="AB93" s="245">
        <f t="shared" si="547"/>
        <v>0</v>
      </c>
      <c r="AC93" s="178">
        <f t="shared" si="577"/>
        <v>0</v>
      </c>
      <c r="AD93" s="17">
        <f t="shared" si="578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5">
        <f t="array" ref="AH93">SUM(IF((modeldata!$F:$F=calibration!$AF$80)*(modeldata!$G:$G=calibration!AH$82)*(modeldata!$H:$H=calibration!$AF93),modeldata!$E:$E,0))</f>
        <v>0</v>
      </c>
      <c r="AI93" s="245">
        <f t="array" ref="AI93">SUM(IF((modeldata!$F:$F=calibration!$AF$80)*(modeldata!$G:$G=calibration!AI$82)*(modeldata!$H:$H=calibration!$AF93),modeldata!$E:$E,0))</f>
        <v>0</v>
      </c>
      <c r="AJ93" s="245">
        <f t="array" ref="AJ93">SUM(IF((modeldata!$F:$F=calibration!$AF$80)*(modeldata!$G:$G=calibration!AJ$82)*(modeldata!$H:$H=calibration!$AF93),modeldata!$E:$E,0))</f>
        <v>0</v>
      </c>
      <c r="AK93" s="245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5">
        <f t="array" ref="AM93">SUM(IF((modeldata!$F:$F=calibration!$AF$80)*(modeldata!$G:$G=calibration!AM$82)*(modeldata!$H:$H=calibration!$AF93),modeldata!$E:$E,0))</f>
        <v>0</v>
      </c>
      <c r="AN93" s="246">
        <f t="shared" si="617"/>
        <v>0</v>
      </c>
      <c r="AO93" s="245">
        <f t="array" ref="AO93">SUM(IF((modeldata!$F:$F=calibration!$AF$80)*(modeldata!$G:$G=calibration!AO$82)*(modeldata!$H:$H=calibration!$AF93),modeldata!$E:$E,0))</f>
        <v>0</v>
      </c>
      <c r="AP93" s="245">
        <f t="array" ref="AP93">SUM(IF((modeldata!$F:$F=calibration!$AF$80)*(modeldata!$G:$G=calibration!AP$82)*(modeldata!$H:$H=calibration!$AF93),modeldata!$E:$E,0))</f>
        <v>0</v>
      </c>
      <c r="AQ93" s="245">
        <f t="array" ref="AQ93">SUM(IF((modeldata!$F:$F=calibration!$AF$80)*(modeldata!$G:$G=calibration!AQ$82)*(modeldata!$H:$H=calibration!$AF93),modeldata!$E:$E,0))</f>
        <v>0</v>
      </c>
      <c r="AR93" s="178">
        <f t="shared" si="610"/>
        <v>0</v>
      </c>
      <c r="AS93" s="17">
        <f t="shared" si="579"/>
        <v>0</v>
      </c>
      <c r="AU93" s="64" t="s">
        <v>47</v>
      </c>
      <c r="AV93" s="38">
        <f t="shared" ref="AV93:BG93" si="629">IF(R103&gt;0,R93/R103,0)</f>
        <v>0</v>
      </c>
      <c r="AW93" s="245">
        <f t="shared" si="629"/>
        <v>0</v>
      </c>
      <c r="AX93" s="245">
        <f t="shared" si="629"/>
        <v>0</v>
      </c>
      <c r="AY93" s="245">
        <f t="shared" si="629"/>
        <v>0</v>
      </c>
      <c r="AZ93" s="245">
        <f t="shared" si="629"/>
        <v>0</v>
      </c>
      <c r="BA93" s="41">
        <f t="shared" si="629"/>
        <v>0</v>
      </c>
      <c r="BB93" s="245">
        <f t="shared" si="629"/>
        <v>0</v>
      </c>
      <c r="BC93" s="246">
        <f t="shared" si="629"/>
        <v>0</v>
      </c>
      <c r="BD93" s="245">
        <f t="shared" si="629"/>
        <v>0</v>
      </c>
      <c r="BE93" s="245">
        <f t="shared" si="629"/>
        <v>0</v>
      </c>
      <c r="BF93" s="245">
        <f t="shared" si="629"/>
        <v>0</v>
      </c>
      <c r="BG93" s="178">
        <f t="shared" si="629"/>
        <v>0</v>
      </c>
      <c r="BH93" s="24" t="e">
        <f>AD93/AD103</f>
        <v>#DIV/0!</v>
      </c>
      <c r="BJ93" s="64" t="s">
        <v>47</v>
      </c>
      <c r="BK93" s="38">
        <f t="shared" ref="BK93:BV93" si="630">IF(AG103&gt;0,AG93/AG103,0)</f>
        <v>0</v>
      </c>
      <c r="BL93" s="245">
        <f t="shared" si="630"/>
        <v>0</v>
      </c>
      <c r="BM93" s="245">
        <f t="shared" si="630"/>
        <v>0</v>
      </c>
      <c r="BN93" s="245">
        <f t="shared" si="630"/>
        <v>0</v>
      </c>
      <c r="BO93" s="245">
        <f t="shared" si="630"/>
        <v>0</v>
      </c>
      <c r="BP93" s="41">
        <f t="shared" si="630"/>
        <v>0</v>
      </c>
      <c r="BQ93" s="245">
        <f t="shared" si="630"/>
        <v>0</v>
      </c>
      <c r="BR93" s="246">
        <f t="shared" si="630"/>
        <v>0</v>
      </c>
      <c r="BS93" s="245">
        <f t="shared" si="630"/>
        <v>0</v>
      </c>
      <c r="BT93" s="245">
        <f t="shared" si="630"/>
        <v>0</v>
      </c>
      <c r="BU93" s="245">
        <f t="shared" si="630"/>
        <v>0</v>
      </c>
      <c r="BV93" s="178">
        <f t="shared" si="630"/>
        <v>0</v>
      </c>
      <c r="BW93" s="24" t="e">
        <f>AS93/AS103</f>
        <v>#DIV/0!</v>
      </c>
      <c r="BX93" s="24"/>
      <c r="BY93" s="64" t="s">
        <v>47</v>
      </c>
      <c r="BZ93" s="54">
        <f t="shared" si="582"/>
        <v>0</v>
      </c>
      <c r="CA93" s="55">
        <f t="shared" si="550"/>
        <v>0</v>
      </c>
      <c r="CB93" s="55">
        <f t="shared" si="551"/>
        <v>0</v>
      </c>
      <c r="CC93" s="55">
        <f t="shared" si="552"/>
        <v>0</v>
      </c>
      <c r="CD93" s="55">
        <f t="shared" si="553"/>
        <v>0</v>
      </c>
      <c r="CE93" s="61">
        <f t="shared" si="554"/>
        <v>0</v>
      </c>
      <c r="CF93" s="55">
        <f t="shared" si="555"/>
        <v>0</v>
      </c>
      <c r="CG93" s="249">
        <f t="shared" si="556"/>
        <v>0</v>
      </c>
      <c r="CH93" s="55">
        <f t="shared" si="557"/>
        <v>0</v>
      </c>
      <c r="CI93" s="55">
        <f t="shared" si="558"/>
        <v>0</v>
      </c>
      <c r="CJ93" s="55">
        <f t="shared" si="559"/>
        <v>0</v>
      </c>
      <c r="CK93" s="252">
        <f t="shared" si="559"/>
        <v>0</v>
      </c>
      <c r="CL93" s="55">
        <f t="shared" si="560"/>
        <v>0</v>
      </c>
      <c r="CN93" s="64" t="s">
        <v>47</v>
      </c>
      <c r="CO93" s="54">
        <f t="shared" si="583"/>
        <v>0</v>
      </c>
      <c r="CP93" s="55">
        <f t="shared" si="561"/>
        <v>0</v>
      </c>
      <c r="CQ93" s="55">
        <f t="shared" si="562"/>
        <v>0</v>
      </c>
      <c r="CR93" s="55">
        <f t="shared" si="563"/>
        <v>0</v>
      </c>
      <c r="CS93" s="55">
        <f t="shared" si="564"/>
        <v>0</v>
      </c>
      <c r="CT93" s="61">
        <f t="shared" si="565"/>
        <v>0</v>
      </c>
      <c r="CU93" s="55">
        <f t="shared" si="566"/>
        <v>0</v>
      </c>
      <c r="CV93" s="249">
        <f t="shared" si="567"/>
        <v>0</v>
      </c>
      <c r="CW93" s="55">
        <f t="shared" si="568"/>
        <v>0</v>
      </c>
      <c r="CX93" s="55">
        <f t="shared" si="569"/>
        <v>0</v>
      </c>
      <c r="CY93" s="55">
        <f t="shared" si="570"/>
        <v>0</v>
      </c>
      <c r="CZ93" s="252">
        <f t="shared" si="570"/>
        <v>0</v>
      </c>
      <c r="DA93" s="62" t="e">
        <f t="shared" si="571"/>
        <v>#DIV/0!</v>
      </c>
      <c r="DC93" s="64" t="s">
        <v>47</v>
      </c>
      <c r="DD93" s="198">
        <f t="shared" si="584"/>
        <v>0</v>
      </c>
      <c r="DE93" s="199">
        <f t="shared" si="585"/>
        <v>0</v>
      </c>
      <c r="DF93" s="198">
        <f t="shared" si="586"/>
        <v>0</v>
      </c>
      <c r="DG93" s="199">
        <f t="shared" si="587"/>
        <v>0</v>
      </c>
      <c r="DH93" s="198">
        <f t="shared" si="588"/>
        <v>0</v>
      </c>
      <c r="DI93" s="199">
        <f t="shared" si="589"/>
        <v>0</v>
      </c>
      <c r="DJ93" s="198">
        <f t="shared" si="590"/>
        <v>0</v>
      </c>
      <c r="DK93" s="199">
        <f t="shared" si="591"/>
        <v>0</v>
      </c>
      <c r="DL93" s="198">
        <f t="shared" si="592"/>
        <v>0</v>
      </c>
      <c r="DM93" s="199">
        <f t="shared" si="593"/>
        <v>0</v>
      </c>
      <c r="DN93" s="200">
        <f t="shared" si="594"/>
        <v>0</v>
      </c>
      <c r="DO93" s="201">
        <f t="shared" si="595"/>
        <v>0</v>
      </c>
      <c r="DP93" s="198">
        <f t="shared" si="596"/>
        <v>0</v>
      </c>
      <c r="DQ93" s="199">
        <f t="shared" si="597"/>
        <v>0</v>
      </c>
      <c r="DR93" s="198">
        <f t="shared" si="598"/>
        <v>0</v>
      </c>
      <c r="DS93" s="199">
        <f t="shared" si="599"/>
        <v>0</v>
      </c>
      <c r="DT93" s="198">
        <f t="shared" si="600"/>
        <v>0</v>
      </c>
      <c r="DU93" s="199">
        <f t="shared" si="601"/>
        <v>0</v>
      </c>
      <c r="DV93" s="198">
        <f t="shared" si="602"/>
        <v>0</v>
      </c>
      <c r="DW93" s="199">
        <f t="shared" si="603"/>
        <v>0</v>
      </c>
      <c r="DX93" s="198">
        <f t="shared" si="604"/>
        <v>0</v>
      </c>
      <c r="DY93" s="199">
        <f t="shared" si="605"/>
        <v>0</v>
      </c>
      <c r="DZ93" s="190">
        <f t="shared" si="606"/>
        <v>0</v>
      </c>
      <c r="EA93" s="199">
        <f t="shared" si="572"/>
        <v>0</v>
      </c>
      <c r="EB93" s="190" t="e">
        <f t="shared" si="607"/>
        <v>#DIV/0!</v>
      </c>
      <c r="EC93" s="190" t="e">
        <f t="shared" si="608"/>
        <v>#DIV/0!</v>
      </c>
    </row>
    <row r="94" spans="1:133" x14ac:dyDescent="0.2">
      <c r="A94" s="66" t="s">
        <v>40</v>
      </c>
      <c r="B94" s="38">
        <f>targets!AW89</f>
        <v>0</v>
      </c>
      <c r="C94" s="245">
        <f>targets!AX89</f>
        <v>0</v>
      </c>
      <c r="D94" s="245">
        <f>targets!AY89</f>
        <v>0</v>
      </c>
      <c r="E94" s="245">
        <f>targets!AZ89</f>
        <v>0</v>
      </c>
      <c r="F94" s="245">
        <f>targets!BA89</f>
        <v>0</v>
      </c>
      <c r="G94" s="245">
        <f>SUM(targets!BB89:BG89)</f>
        <v>0</v>
      </c>
      <c r="H94" s="39">
        <f>SUM(targets!BH89:BM89)</f>
        <v>1112.5456498288145</v>
      </c>
      <c r="I94" s="246">
        <f t="shared" si="573"/>
        <v>1112.5456498288145</v>
      </c>
      <c r="J94" s="245">
        <f>targets!BN89</f>
        <v>0</v>
      </c>
      <c r="K94" s="245">
        <f>targets!BO89</f>
        <v>0</v>
      </c>
      <c r="L94" s="245">
        <f>targets!BP89</f>
        <v>0</v>
      </c>
      <c r="M94" s="178">
        <f t="shared" si="574"/>
        <v>0</v>
      </c>
      <c r="N94" s="17">
        <f t="shared" si="575"/>
        <v>1112.5456498288145</v>
      </c>
      <c r="O94" s="17"/>
      <c r="P94" s="17"/>
      <c r="Q94" s="66" t="s">
        <v>40</v>
      </c>
      <c r="R94" s="38">
        <f t="shared" si="538"/>
        <v>0</v>
      </c>
      <c r="S94" s="245">
        <f t="shared" si="539"/>
        <v>0</v>
      </c>
      <c r="T94" s="245">
        <f t="shared" si="540"/>
        <v>0</v>
      </c>
      <c r="U94" s="245">
        <f t="shared" si="541"/>
        <v>0</v>
      </c>
      <c r="V94" s="245">
        <f t="shared" si="542"/>
        <v>0</v>
      </c>
      <c r="W94" s="245">
        <f t="shared" si="543"/>
        <v>0</v>
      </c>
      <c r="X94" s="39">
        <f t="shared" si="544"/>
        <v>0</v>
      </c>
      <c r="Y94" s="246">
        <f t="shared" si="576"/>
        <v>0</v>
      </c>
      <c r="Z94" s="245">
        <f t="shared" si="545"/>
        <v>0</v>
      </c>
      <c r="AA94" s="245">
        <f t="shared" si="546"/>
        <v>0</v>
      </c>
      <c r="AB94" s="245">
        <f t="shared" si="547"/>
        <v>0</v>
      </c>
      <c r="AC94" s="178">
        <f t="shared" si="577"/>
        <v>0</v>
      </c>
      <c r="AD94" s="17">
        <f t="shared" si="578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5">
        <f t="array" ref="AH94">SUM(IF((modeldata!$F:$F=calibration!$AF$80)*(modeldata!$G:$G=calibration!AH$82)*(modeldata!$H:$H=calibration!$AF94),modeldata!$E:$E,0))</f>
        <v>0</v>
      </c>
      <c r="AI94" s="245">
        <f t="array" ref="AI94">SUM(IF((modeldata!$F:$F=calibration!$AF$80)*(modeldata!$G:$G=calibration!AI$82)*(modeldata!$H:$H=calibration!$AF94),modeldata!$E:$E,0))</f>
        <v>0</v>
      </c>
      <c r="AJ94" s="245">
        <f t="array" ref="AJ94">SUM(IF((modeldata!$F:$F=calibration!$AF$80)*(modeldata!$G:$G=calibration!AJ$82)*(modeldata!$H:$H=calibration!$AF94),modeldata!$E:$E,0))</f>
        <v>0</v>
      </c>
      <c r="AK94" s="245">
        <f t="array" ref="AK94">SUM(IF((modeldata!$F:$F=calibration!$AF$80)*(modeldata!$G:$G=calibration!AK$82)*(modeldata!$H:$H=calibration!$AF94),modeldata!$E:$E,0))</f>
        <v>0</v>
      </c>
      <c r="AL94" s="245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6"/>
      <c r="AO94" s="245">
        <f t="array" ref="AO94">SUM(IF((modeldata!$F:$F=calibration!$AF$80)*(modeldata!$G:$G=calibration!AO$82)*(modeldata!$H:$H=calibration!$AF94),modeldata!$E:$E,0))</f>
        <v>0</v>
      </c>
      <c r="AP94" s="245">
        <f t="array" ref="AP94">SUM(IF((modeldata!$F:$F=calibration!$AF$80)*(modeldata!$G:$G=calibration!AP$82)*(modeldata!$H:$H=calibration!$AF94),modeldata!$E:$E,0))</f>
        <v>0</v>
      </c>
      <c r="AQ94" s="245">
        <f t="array" ref="AQ94">SUM(IF((modeldata!$F:$F=calibration!$AF$80)*(modeldata!$G:$G=calibration!AQ$82)*(modeldata!$H:$H=calibration!$AF94),modeldata!$E:$E,0))</f>
        <v>0</v>
      </c>
      <c r="AR94" s="178">
        <f t="shared" si="610"/>
        <v>0</v>
      </c>
      <c r="AS94" s="17">
        <f t="shared" si="579"/>
        <v>0</v>
      </c>
      <c r="AU94" s="66" t="s">
        <v>40</v>
      </c>
      <c r="AV94" s="38">
        <f t="shared" ref="AV94:BG94" si="631">IF(R103&gt;0,R94/R103,0)</f>
        <v>0</v>
      </c>
      <c r="AW94" s="245">
        <f t="shared" si="631"/>
        <v>0</v>
      </c>
      <c r="AX94" s="245">
        <f t="shared" si="631"/>
        <v>0</v>
      </c>
      <c r="AY94" s="245">
        <f t="shared" si="631"/>
        <v>0</v>
      </c>
      <c r="AZ94" s="245">
        <f t="shared" si="631"/>
        <v>0</v>
      </c>
      <c r="BA94" s="245">
        <f t="shared" si="631"/>
        <v>0</v>
      </c>
      <c r="BB94" s="39">
        <f t="shared" si="631"/>
        <v>0</v>
      </c>
      <c r="BC94" s="246">
        <f t="shared" si="631"/>
        <v>0</v>
      </c>
      <c r="BD94" s="245">
        <f t="shared" si="631"/>
        <v>0</v>
      </c>
      <c r="BE94" s="245">
        <f t="shared" si="631"/>
        <v>0</v>
      </c>
      <c r="BF94" s="245">
        <f t="shared" si="631"/>
        <v>0</v>
      </c>
      <c r="BG94" s="178">
        <f t="shared" si="631"/>
        <v>0</v>
      </c>
      <c r="BH94" s="24" t="e">
        <f>AD94/AD103</f>
        <v>#DIV/0!</v>
      </c>
      <c r="BJ94" s="66" t="s">
        <v>40</v>
      </c>
      <c r="BK94" s="38">
        <f t="shared" ref="BK94:BV94" si="632">IF(AG103&gt;0,AG94/AG103,0)</f>
        <v>0</v>
      </c>
      <c r="BL94" s="245">
        <f t="shared" si="632"/>
        <v>0</v>
      </c>
      <c r="BM94" s="245">
        <f t="shared" si="632"/>
        <v>0</v>
      </c>
      <c r="BN94" s="245">
        <f t="shared" si="632"/>
        <v>0</v>
      </c>
      <c r="BO94" s="245">
        <f t="shared" si="632"/>
        <v>0</v>
      </c>
      <c r="BP94" s="245">
        <f t="shared" si="632"/>
        <v>0</v>
      </c>
      <c r="BQ94" s="39">
        <f t="shared" si="632"/>
        <v>0</v>
      </c>
      <c r="BR94" s="246">
        <f t="shared" si="632"/>
        <v>0</v>
      </c>
      <c r="BS94" s="245">
        <f t="shared" si="632"/>
        <v>0</v>
      </c>
      <c r="BT94" s="245">
        <f t="shared" si="632"/>
        <v>0</v>
      </c>
      <c r="BU94" s="245">
        <f t="shared" si="632"/>
        <v>0</v>
      </c>
      <c r="BV94" s="178">
        <f t="shared" si="632"/>
        <v>0</v>
      </c>
      <c r="BW94" s="24" t="e">
        <f>AS94/AS103</f>
        <v>#DIV/0!</v>
      </c>
      <c r="BX94" s="24"/>
      <c r="BY94" s="66" t="s">
        <v>40</v>
      </c>
      <c r="BZ94" s="54">
        <f t="shared" si="582"/>
        <v>0</v>
      </c>
      <c r="CA94" s="55">
        <f t="shared" si="550"/>
        <v>0</v>
      </c>
      <c r="CB94" s="55">
        <f t="shared" si="551"/>
        <v>0</v>
      </c>
      <c r="CC94" s="55">
        <f t="shared" si="552"/>
        <v>0</v>
      </c>
      <c r="CD94" s="55">
        <f t="shared" si="553"/>
        <v>0</v>
      </c>
      <c r="CE94" s="55">
        <f t="shared" si="554"/>
        <v>0</v>
      </c>
      <c r="CF94" s="59">
        <f t="shared" si="555"/>
        <v>0</v>
      </c>
      <c r="CG94" s="249">
        <f t="shared" si="556"/>
        <v>0</v>
      </c>
      <c r="CH94" s="55">
        <f t="shared" si="557"/>
        <v>0</v>
      </c>
      <c r="CI94" s="55">
        <f t="shared" si="558"/>
        <v>0</v>
      </c>
      <c r="CJ94" s="55">
        <f t="shared" si="559"/>
        <v>0</v>
      </c>
      <c r="CK94" s="252">
        <f t="shared" si="559"/>
        <v>0</v>
      </c>
      <c r="CL94" s="55">
        <f t="shared" si="560"/>
        <v>0</v>
      </c>
      <c r="CN94" s="66" t="s">
        <v>40</v>
      </c>
      <c r="CO94" s="54">
        <f t="shared" si="583"/>
        <v>0</v>
      </c>
      <c r="CP94" s="55">
        <f t="shared" si="561"/>
        <v>0</v>
      </c>
      <c r="CQ94" s="55">
        <f t="shared" si="562"/>
        <v>0</v>
      </c>
      <c r="CR94" s="55">
        <f t="shared" si="563"/>
        <v>0</v>
      </c>
      <c r="CS94" s="55">
        <f t="shared" si="564"/>
        <v>0</v>
      </c>
      <c r="CT94" s="55">
        <f t="shared" si="565"/>
        <v>0</v>
      </c>
      <c r="CU94" s="59">
        <f t="shared" si="566"/>
        <v>0</v>
      </c>
      <c r="CV94" s="249">
        <f t="shared" si="567"/>
        <v>0</v>
      </c>
      <c r="CW94" s="55">
        <f t="shared" si="568"/>
        <v>0</v>
      </c>
      <c r="CX94" s="55">
        <f t="shared" si="569"/>
        <v>0</v>
      </c>
      <c r="CY94" s="55">
        <f t="shared" si="570"/>
        <v>0</v>
      </c>
      <c r="CZ94" s="252">
        <f t="shared" si="570"/>
        <v>0</v>
      </c>
      <c r="DA94" s="62" t="e">
        <f t="shared" si="571"/>
        <v>#DIV/0!</v>
      </c>
      <c r="DC94" s="66" t="s">
        <v>40</v>
      </c>
      <c r="DD94" s="198">
        <f t="shared" si="584"/>
        <v>0</v>
      </c>
      <c r="DE94" s="199">
        <f t="shared" si="585"/>
        <v>0</v>
      </c>
      <c r="DF94" s="198">
        <f t="shared" si="586"/>
        <v>0</v>
      </c>
      <c r="DG94" s="199">
        <f t="shared" si="587"/>
        <v>0</v>
      </c>
      <c r="DH94" s="198">
        <f t="shared" si="588"/>
        <v>0</v>
      </c>
      <c r="DI94" s="199">
        <f t="shared" si="589"/>
        <v>0</v>
      </c>
      <c r="DJ94" s="198">
        <f t="shared" si="590"/>
        <v>0</v>
      </c>
      <c r="DK94" s="199">
        <f t="shared" si="591"/>
        <v>0</v>
      </c>
      <c r="DL94" s="198">
        <f t="shared" si="592"/>
        <v>0</v>
      </c>
      <c r="DM94" s="199">
        <f t="shared" si="593"/>
        <v>0</v>
      </c>
      <c r="DN94" s="198">
        <f t="shared" si="594"/>
        <v>0</v>
      </c>
      <c r="DO94" s="199">
        <f t="shared" si="595"/>
        <v>0</v>
      </c>
      <c r="DP94" s="195">
        <f t="shared" si="596"/>
        <v>0</v>
      </c>
      <c r="DQ94" s="196">
        <f t="shared" si="597"/>
        <v>0</v>
      </c>
      <c r="DR94" s="198">
        <f t="shared" si="598"/>
        <v>0</v>
      </c>
      <c r="DS94" s="199">
        <f t="shared" si="599"/>
        <v>0</v>
      </c>
      <c r="DT94" s="198">
        <f t="shared" si="600"/>
        <v>0</v>
      </c>
      <c r="DU94" s="199">
        <f t="shared" si="601"/>
        <v>0</v>
      </c>
      <c r="DV94" s="198">
        <f t="shared" si="602"/>
        <v>0</v>
      </c>
      <c r="DW94" s="199">
        <f t="shared" si="603"/>
        <v>0</v>
      </c>
      <c r="DX94" s="198">
        <f t="shared" si="604"/>
        <v>0</v>
      </c>
      <c r="DY94" s="199">
        <f t="shared" si="605"/>
        <v>0</v>
      </c>
      <c r="DZ94" s="190">
        <f t="shared" si="606"/>
        <v>0</v>
      </c>
      <c r="EA94" s="199">
        <f t="shared" si="572"/>
        <v>0</v>
      </c>
      <c r="EB94" s="190" t="e">
        <f t="shared" si="607"/>
        <v>#DIV/0!</v>
      </c>
      <c r="EC94" s="190" t="e">
        <f t="shared" si="608"/>
        <v>#DIV/0!</v>
      </c>
    </row>
    <row r="95" spans="1:133" ht="25.5" x14ac:dyDescent="0.2">
      <c r="A95" s="66" t="s">
        <v>347</v>
      </c>
      <c r="B95" s="38">
        <f>targets!AW90</f>
        <v>0</v>
      </c>
      <c r="C95" s="245">
        <f>targets!AX90</f>
        <v>0</v>
      </c>
      <c r="D95" s="245">
        <f>targets!AY90</f>
        <v>0</v>
      </c>
      <c r="E95" s="245">
        <f>targets!AZ90</f>
        <v>0</v>
      </c>
      <c r="F95" s="245">
        <f>targets!BA90</f>
        <v>0</v>
      </c>
      <c r="G95" s="245">
        <f>SUM(targets!BB90:BG90)</f>
        <v>0</v>
      </c>
      <c r="H95" s="40">
        <f>SUM(targets!BH90:BM90)</f>
        <v>444.68305205157037</v>
      </c>
      <c r="I95" s="246">
        <f t="shared" si="573"/>
        <v>444.68305205157037</v>
      </c>
      <c r="J95" s="245">
        <f>targets!BN90</f>
        <v>0</v>
      </c>
      <c r="K95" s="245">
        <f>targets!BO90</f>
        <v>0</v>
      </c>
      <c r="L95" s="245">
        <f>targets!BP90</f>
        <v>0</v>
      </c>
      <c r="M95" s="178">
        <f t="shared" si="574"/>
        <v>0</v>
      </c>
      <c r="N95" s="17">
        <f t="shared" si="575"/>
        <v>444.68305205157037</v>
      </c>
      <c r="O95" s="17"/>
      <c r="P95" s="17"/>
      <c r="Q95" s="66" t="s">
        <v>347</v>
      </c>
      <c r="R95" s="38">
        <f t="shared" si="538"/>
        <v>0</v>
      </c>
      <c r="S95" s="245">
        <f t="shared" si="539"/>
        <v>0</v>
      </c>
      <c r="T95" s="245">
        <f t="shared" si="540"/>
        <v>0</v>
      </c>
      <c r="U95" s="245">
        <f t="shared" si="541"/>
        <v>0</v>
      </c>
      <c r="V95" s="245">
        <f t="shared" si="542"/>
        <v>0</v>
      </c>
      <c r="W95" s="245">
        <f t="shared" si="543"/>
        <v>0</v>
      </c>
      <c r="X95" s="40">
        <f t="shared" si="544"/>
        <v>0</v>
      </c>
      <c r="Y95" s="246">
        <f t="shared" si="576"/>
        <v>0</v>
      </c>
      <c r="Z95" s="245">
        <f t="shared" si="545"/>
        <v>0</v>
      </c>
      <c r="AA95" s="245">
        <f t="shared" si="546"/>
        <v>0</v>
      </c>
      <c r="AB95" s="245">
        <f t="shared" si="547"/>
        <v>0</v>
      </c>
      <c r="AC95" s="178">
        <f t="shared" si="577"/>
        <v>0</v>
      </c>
      <c r="AD95" s="17">
        <f t="shared" si="578"/>
        <v>0</v>
      </c>
      <c r="AF95" s="66" t="s">
        <v>347</v>
      </c>
      <c r="AG95" s="38">
        <f t="array" ref="AG95">SUM(IF((modeldata!$F:$F=calibration!$AF$80)*(modeldata!$G:$G=calibration!AG$82)*(modeldata!$H:$H=calibration!$AF95),modeldata!$E:$E,0))</f>
        <v>0</v>
      </c>
      <c r="AH95" s="245">
        <f t="array" ref="AH95">SUM(IF((modeldata!$F:$F=calibration!$AF$80)*(modeldata!$G:$G=calibration!AH$82)*(modeldata!$H:$H=calibration!$AF95),modeldata!$E:$E,0))</f>
        <v>0</v>
      </c>
      <c r="AI95" s="245">
        <f t="array" ref="AI95">SUM(IF((modeldata!$F:$F=calibration!$AF$80)*(modeldata!$G:$G=calibration!AI$82)*(modeldata!$H:$H=calibration!$AF95),modeldata!$E:$E,0))</f>
        <v>0</v>
      </c>
      <c r="AJ95" s="245">
        <f t="array" ref="AJ95">SUM(IF((modeldata!$F:$F=calibration!$AF$80)*(modeldata!$G:$G=calibration!AJ$82)*(modeldata!$H:$H=calibration!$AF95),modeldata!$E:$E,0))</f>
        <v>0</v>
      </c>
      <c r="AK95" s="245">
        <f t="array" ref="AK95">SUM(IF((modeldata!$F:$F=calibration!$AF$80)*(modeldata!$G:$G=calibration!AK$82)*(modeldata!$H:$H=calibration!$AF95),modeldata!$E:$E,0))</f>
        <v>0</v>
      </c>
      <c r="AL95" s="245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6"/>
      <c r="AO95" s="245">
        <f t="array" ref="AO95">SUM(IF((modeldata!$F:$F=calibration!$AF$80)*(modeldata!$G:$G=calibration!AO$82)*(modeldata!$H:$H=calibration!$AF95),modeldata!$E:$E,0))</f>
        <v>0</v>
      </c>
      <c r="AP95" s="245">
        <f t="array" ref="AP95">SUM(IF((modeldata!$F:$F=calibration!$AF$80)*(modeldata!$G:$G=calibration!AP$82)*(modeldata!$H:$H=calibration!$AF95),modeldata!$E:$E,0))</f>
        <v>0</v>
      </c>
      <c r="AQ95" s="245">
        <f t="array" ref="AQ95">SUM(IF((modeldata!$F:$F=calibration!$AF$80)*(modeldata!$G:$G=calibration!AQ$82)*(modeldata!$H:$H=calibration!$AF95),modeldata!$E:$E,0))</f>
        <v>0</v>
      </c>
      <c r="AR95" s="178">
        <f t="shared" si="610"/>
        <v>0</v>
      </c>
      <c r="AS95" s="17">
        <f t="shared" si="579"/>
        <v>0</v>
      </c>
      <c r="AU95" s="66" t="s">
        <v>347</v>
      </c>
      <c r="AV95" s="38">
        <f t="shared" ref="AV95:BG95" si="633">IF(R103&gt;0,R95/R103,0)</f>
        <v>0</v>
      </c>
      <c r="AW95" s="245">
        <f t="shared" si="633"/>
        <v>0</v>
      </c>
      <c r="AX95" s="245">
        <f t="shared" si="633"/>
        <v>0</v>
      </c>
      <c r="AY95" s="245">
        <f t="shared" si="633"/>
        <v>0</v>
      </c>
      <c r="AZ95" s="245">
        <f t="shared" si="633"/>
        <v>0</v>
      </c>
      <c r="BA95" s="245">
        <f t="shared" si="633"/>
        <v>0</v>
      </c>
      <c r="BB95" s="40">
        <f t="shared" si="633"/>
        <v>0</v>
      </c>
      <c r="BC95" s="246">
        <f t="shared" si="633"/>
        <v>0</v>
      </c>
      <c r="BD95" s="245">
        <f t="shared" si="633"/>
        <v>0</v>
      </c>
      <c r="BE95" s="245">
        <f t="shared" si="633"/>
        <v>0</v>
      </c>
      <c r="BF95" s="245">
        <f t="shared" si="633"/>
        <v>0</v>
      </c>
      <c r="BG95" s="178">
        <f t="shared" si="633"/>
        <v>0</v>
      </c>
      <c r="BH95" s="24" t="e">
        <f>AD95/AD103</f>
        <v>#DIV/0!</v>
      </c>
      <c r="BJ95" s="66" t="s">
        <v>347</v>
      </c>
      <c r="BK95" s="38">
        <f t="shared" ref="BK95:BV95" si="634">IF(AG103&gt;0,AG95/AG103,0)</f>
        <v>0</v>
      </c>
      <c r="BL95" s="245">
        <f t="shared" si="634"/>
        <v>0</v>
      </c>
      <c r="BM95" s="245">
        <f t="shared" si="634"/>
        <v>0</v>
      </c>
      <c r="BN95" s="245">
        <f t="shared" si="634"/>
        <v>0</v>
      </c>
      <c r="BO95" s="245">
        <f t="shared" si="634"/>
        <v>0</v>
      </c>
      <c r="BP95" s="245">
        <f t="shared" si="634"/>
        <v>0</v>
      </c>
      <c r="BQ95" s="40">
        <f t="shared" si="634"/>
        <v>0</v>
      </c>
      <c r="BR95" s="246">
        <f t="shared" si="634"/>
        <v>0</v>
      </c>
      <c r="BS95" s="245">
        <f t="shared" si="634"/>
        <v>0</v>
      </c>
      <c r="BT95" s="245">
        <f t="shared" si="634"/>
        <v>0</v>
      </c>
      <c r="BU95" s="245">
        <f t="shared" si="634"/>
        <v>0</v>
      </c>
      <c r="BV95" s="178">
        <f t="shared" si="634"/>
        <v>0</v>
      </c>
      <c r="BW95" s="24" t="e">
        <f>AS95/AS103</f>
        <v>#DIV/0!</v>
      </c>
      <c r="BX95" s="24"/>
      <c r="BY95" s="66" t="s">
        <v>347</v>
      </c>
      <c r="BZ95" s="54">
        <f t="shared" si="582"/>
        <v>0</v>
      </c>
      <c r="CA95" s="55">
        <f t="shared" si="550"/>
        <v>0</v>
      </c>
      <c r="CB95" s="55">
        <f t="shared" si="551"/>
        <v>0</v>
      </c>
      <c r="CC95" s="55">
        <f t="shared" si="552"/>
        <v>0</v>
      </c>
      <c r="CD95" s="55">
        <f t="shared" si="553"/>
        <v>0</v>
      </c>
      <c r="CE95" s="55">
        <f t="shared" si="554"/>
        <v>0</v>
      </c>
      <c r="CF95" s="60">
        <f t="shared" si="555"/>
        <v>0</v>
      </c>
      <c r="CG95" s="249">
        <f t="shared" si="556"/>
        <v>0</v>
      </c>
      <c r="CH95" s="55">
        <f t="shared" si="557"/>
        <v>0</v>
      </c>
      <c r="CI95" s="55">
        <f t="shared" si="558"/>
        <v>0</v>
      </c>
      <c r="CJ95" s="55">
        <f t="shared" si="559"/>
        <v>0</v>
      </c>
      <c r="CK95" s="252">
        <f t="shared" si="559"/>
        <v>0</v>
      </c>
      <c r="CL95" s="55">
        <f t="shared" si="560"/>
        <v>0</v>
      </c>
      <c r="CN95" s="66" t="s">
        <v>347</v>
      </c>
      <c r="CO95" s="54">
        <f t="shared" si="583"/>
        <v>0</v>
      </c>
      <c r="CP95" s="55">
        <f t="shared" si="561"/>
        <v>0</v>
      </c>
      <c r="CQ95" s="55">
        <f t="shared" si="562"/>
        <v>0</v>
      </c>
      <c r="CR95" s="55">
        <f t="shared" si="563"/>
        <v>0</v>
      </c>
      <c r="CS95" s="55">
        <f t="shared" si="564"/>
        <v>0</v>
      </c>
      <c r="CT95" s="55">
        <f t="shared" si="565"/>
        <v>0</v>
      </c>
      <c r="CU95" s="60">
        <f t="shared" si="566"/>
        <v>0</v>
      </c>
      <c r="CV95" s="249">
        <f t="shared" si="567"/>
        <v>0</v>
      </c>
      <c r="CW95" s="55">
        <f t="shared" si="568"/>
        <v>0</v>
      </c>
      <c r="CX95" s="55">
        <f t="shared" si="569"/>
        <v>0</v>
      </c>
      <c r="CY95" s="55">
        <f t="shared" si="570"/>
        <v>0</v>
      </c>
      <c r="CZ95" s="252">
        <f t="shared" si="570"/>
        <v>0</v>
      </c>
      <c r="DA95" s="62" t="e">
        <f t="shared" si="571"/>
        <v>#DIV/0!</v>
      </c>
      <c r="DC95" s="66" t="s">
        <v>347</v>
      </c>
      <c r="DD95" s="198">
        <f t="shared" si="584"/>
        <v>0</v>
      </c>
      <c r="DE95" s="199">
        <f t="shared" si="585"/>
        <v>0</v>
      </c>
      <c r="DF95" s="198">
        <f t="shared" si="586"/>
        <v>0</v>
      </c>
      <c r="DG95" s="199">
        <f t="shared" si="587"/>
        <v>0</v>
      </c>
      <c r="DH95" s="198">
        <f t="shared" si="588"/>
        <v>0</v>
      </c>
      <c r="DI95" s="199">
        <f t="shared" si="589"/>
        <v>0</v>
      </c>
      <c r="DJ95" s="198">
        <f t="shared" si="590"/>
        <v>0</v>
      </c>
      <c r="DK95" s="199">
        <f t="shared" si="591"/>
        <v>0</v>
      </c>
      <c r="DL95" s="198">
        <f t="shared" si="592"/>
        <v>0</v>
      </c>
      <c r="DM95" s="199">
        <f t="shared" si="593"/>
        <v>0</v>
      </c>
      <c r="DN95" s="198">
        <f t="shared" si="594"/>
        <v>0</v>
      </c>
      <c r="DO95" s="199">
        <f t="shared" si="595"/>
        <v>0</v>
      </c>
      <c r="DP95" s="198">
        <f t="shared" si="596"/>
        <v>0</v>
      </c>
      <c r="DQ95" s="199">
        <f t="shared" si="597"/>
        <v>0</v>
      </c>
      <c r="DR95" s="198">
        <f t="shared" si="598"/>
        <v>0</v>
      </c>
      <c r="DS95" s="199">
        <f t="shared" si="599"/>
        <v>0</v>
      </c>
      <c r="DT95" s="198">
        <f t="shared" si="600"/>
        <v>0</v>
      </c>
      <c r="DU95" s="199">
        <f t="shared" si="601"/>
        <v>0</v>
      </c>
      <c r="DV95" s="198">
        <f t="shared" si="602"/>
        <v>0</v>
      </c>
      <c r="DW95" s="199">
        <f t="shared" si="603"/>
        <v>0</v>
      </c>
      <c r="DX95" s="198">
        <f t="shared" si="604"/>
        <v>0</v>
      </c>
      <c r="DY95" s="199">
        <f t="shared" si="605"/>
        <v>0</v>
      </c>
      <c r="DZ95" s="190">
        <f t="shared" si="606"/>
        <v>0</v>
      </c>
      <c r="EA95" s="199">
        <f t="shared" si="572"/>
        <v>0</v>
      </c>
      <c r="EB95" s="190" t="e">
        <f t="shared" si="607"/>
        <v>#DIV/0!</v>
      </c>
      <c r="EC95" s="190" t="e">
        <f t="shared" si="608"/>
        <v>#DIV/0!</v>
      </c>
    </row>
    <row r="96" spans="1:133" x14ac:dyDescent="0.2">
      <c r="A96" s="2" t="s">
        <v>350</v>
      </c>
      <c r="B96" s="38">
        <f>targets!AW91</f>
        <v>0</v>
      </c>
      <c r="C96" s="245">
        <f>targets!AX91</f>
        <v>0</v>
      </c>
      <c r="D96" s="245">
        <f>targets!AY91</f>
        <v>0</v>
      </c>
      <c r="E96" s="245">
        <f>targets!AZ91</f>
        <v>0</v>
      </c>
      <c r="F96" s="245">
        <f>targets!BA91</f>
        <v>0</v>
      </c>
      <c r="G96" s="245">
        <f>SUM(targets!BB91:BG91)</f>
        <v>0</v>
      </c>
      <c r="H96" s="40">
        <f>SUM(targets!BH91:BM91)</f>
        <v>60.050036625312295</v>
      </c>
      <c r="I96" s="246">
        <f t="shared" ref="I96" si="635">SUM(G96:H96)</f>
        <v>60.050036625312295</v>
      </c>
      <c r="J96" s="245">
        <f>targets!BN91</f>
        <v>0</v>
      </c>
      <c r="K96" s="245">
        <f>targets!BO91</f>
        <v>0</v>
      </c>
      <c r="L96" s="245">
        <f>targets!BP91</f>
        <v>0</v>
      </c>
      <c r="M96" s="178">
        <f t="shared" ref="M96" si="636">SUM(J96:L96)</f>
        <v>0</v>
      </c>
      <c r="N96" s="17">
        <f>SUM(B96:L96)-I96</f>
        <v>60.050036625312295</v>
      </c>
      <c r="O96" s="17"/>
      <c r="P96" s="17"/>
      <c r="Q96" s="2" t="s">
        <v>350</v>
      </c>
      <c r="R96" s="38">
        <f t="shared" si="538"/>
        <v>0</v>
      </c>
      <c r="S96" s="245">
        <f t="shared" si="539"/>
        <v>0</v>
      </c>
      <c r="T96" s="245">
        <f t="shared" si="540"/>
        <v>0</v>
      </c>
      <c r="U96" s="245">
        <f t="shared" si="541"/>
        <v>0</v>
      </c>
      <c r="V96" s="245">
        <f t="shared" si="542"/>
        <v>0</v>
      </c>
      <c r="W96" s="245">
        <f t="shared" si="543"/>
        <v>0</v>
      </c>
      <c r="X96" s="40">
        <f t="shared" si="544"/>
        <v>0</v>
      </c>
      <c r="Y96" s="246">
        <f t="shared" ref="Y96" si="637">SUM(W96:X96)</f>
        <v>0</v>
      </c>
      <c r="Z96" s="245">
        <f t="shared" si="545"/>
        <v>0</v>
      </c>
      <c r="AA96" s="245">
        <f t="shared" si="546"/>
        <v>0</v>
      </c>
      <c r="AB96" s="245">
        <f t="shared" si="547"/>
        <v>0</v>
      </c>
      <c r="AC96" s="178">
        <f t="shared" ref="AC96" si="638">SUM(Z96:AB96)</f>
        <v>0</v>
      </c>
      <c r="AD96" s="17"/>
      <c r="AF96" s="2" t="s">
        <v>350</v>
      </c>
      <c r="AG96" s="38">
        <f t="array" ref="AG96">SUM(IF((modeldata!$F:$F=calibration!$AF$80)*(modeldata!$G:$G=calibration!AG$82)*(modeldata!$H:$H=calibration!$AF96),modeldata!$E:$E,0))</f>
        <v>0</v>
      </c>
      <c r="AH96" s="245">
        <f t="array" ref="AH96">SUM(IF((modeldata!$F:$F=calibration!$AF$80)*(modeldata!$G:$G=calibration!AH$82)*(modeldata!$H:$H=calibration!$AF96),modeldata!$E:$E,0))</f>
        <v>0</v>
      </c>
      <c r="AI96" s="245">
        <f t="array" ref="AI96">SUM(IF((modeldata!$F:$F=calibration!$AF$80)*(modeldata!$G:$G=calibration!AI$82)*(modeldata!$H:$H=calibration!$AF96),modeldata!$E:$E,0))</f>
        <v>0</v>
      </c>
      <c r="AJ96" s="245">
        <f t="array" ref="AJ96">SUM(IF((modeldata!$F:$F=calibration!$AF$80)*(modeldata!$G:$G=calibration!AJ$82)*(modeldata!$H:$H=calibration!$AF96),modeldata!$E:$E,0))</f>
        <v>0</v>
      </c>
      <c r="AK96" s="245">
        <f t="array" ref="AK96">SUM(IF((modeldata!$F:$F=calibration!$AF$80)*(modeldata!$G:$G=calibration!AK$82)*(modeldata!$H:$H=calibration!$AF96),modeldata!$E:$E,0))</f>
        <v>0</v>
      </c>
      <c r="AL96" s="245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6"/>
      <c r="AO96" s="245">
        <f t="array" ref="AO96">SUM(IF((modeldata!$F:$F=calibration!$AF$80)*(modeldata!$G:$G=calibration!AO$82)*(modeldata!$H:$H=calibration!$AF96),modeldata!$E:$E,0))</f>
        <v>0</v>
      </c>
      <c r="AP96" s="245">
        <f t="array" ref="AP96">SUM(IF((modeldata!$F:$F=calibration!$AF$80)*(modeldata!$G:$G=calibration!AP$82)*(modeldata!$H:$H=calibration!$AF96),modeldata!$E:$E,0))</f>
        <v>0</v>
      </c>
      <c r="AQ96" s="245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350</v>
      </c>
      <c r="AV96" s="38">
        <f t="shared" ref="AV96:BG96" si="639">IF(R105&gt;0,R96/R105,0)</f>
        <v>0</v>
      </c>
      <c r="AW96" s="245">
        <f t="shared" si="639"/>
        <v>0</v>
      </c>
      <c r="AX96" s="245">
        <f t="shared" si="639"/>
        <v>0</v>
      </c>
      <c r="AY96" s="245">
        <f t="shared" si="639"/>
        <v>0</v>
      </c>
      <c r="AZ96" s="245">
        <f t="shared" si="639"/>
        <v>0</v>
      </c>
      <c r="BA96" s="245">
        <f t="shared" si="639"/>
        <v>0</v>
      </c>
      <c r="BB96" s="40">
        <f t="shared" si="639"/>
        <v>0</v>
      </c>
      <c r="BC96" s="246">
        <f t="shared" si="639"/>
        <v>0</v>
      </c>
      <c r="BD96" s="245">
        <f t="shared" si="639"/>
        <v>0</v>
      </c>
      <c r="BE96" s="245">
        <f t="shared" si="639"/>
        <v>0</v>
      </c>
      <c r="BF96" s="245">
        <f t="shared" si="639"/>
        <v>0</v>
      </c>
      <c r="BG96" s="178">
        <f t="shared" si="639"/>
        <v>0</v>
      </c>
      <c r="BH96" s="24" t="e">
        <f>AD96/AD105</f>
        <v>#DIV/0!</v>
      </c>
      <c r="BJ96" s="2" t="s">
        <v>350</v>
      </c>
      <c r="BK96" s="38">
        <f t="shared" ref="BK96:BV96" si="640">IF(AG112&gt;0,AG96/AG112,0)</f>
        <v>0</v>
      </c>
      <c r="BL96" s="245">
        <f t="shared" si="640"/>
        <v>0</v>
      </c>
      <c r="BM96" s="245">
        <f t="shared" si="640"/>
        <v>0</v>
      </c>
      <c r="BN96" s="245">
        <f t="shared" si="640"/>
        <v>0</v>
      </c>
      <c r="BO96" s="245">
        <f t="shared" si="640"/>
        <v>0</v>
      </c>
      <c r="BP96" s="245">
        <f t="shared" si="640"/>
        <v>0</v>
      </c>
      <c r="BQ96" s="40">
        <f t="shared" si="640"/>
        <v>0</v>
      </c>
      <c r="BR96" s="246">
        <f t="shared" si="640"/>
        <v>0</v>
      </c>
      <c r="BS96" s="245">
        <f t="shared" si="640"/>
        <v>0</v>
      </c>
      <c r="BT96" s="245">
        <f t="shared" si="640"/>
        <v>0</v>
      </c>
      <c r="BU96" s="245">
        <f t="shared" si="640"/>
        <v>0</v>
      </c>
      <c r="BV96" s="178">
        <f t="shared" si="640"/>
        <v>0</v>
      </c>
      <c r="BW96" s="24" t="e">
        <f>AS96/AS112</f>
        <v>#DIV/0!</v>
      </c>
      <c r="BX96" s="24"/>
      <c r="BY96" s="2" t="s">
        <v>350</v>
      </c>
      <c r="BZ96" s="54">
        <f t="shared" ref="BZ96" si="641">AG96-R96</f>
        <v>0</v>
      </c>
      <c r="CA96" s="55">
        <f t="shared" ref="CA96" si="642">AH96-S96</f>
        <v>0</v>
      </c>
      <c r="CB96" s="55">
        <f t="shared" ref="CB96" si="643">AI96-T96</f>
        <v>0</v>
      </c>
      <c r="CC96" s="55">
        <f t="shared" ref="CC96" si="644">AJ96-U96</f>
        <v>0</v>
      </c>
      <c r="CD96" s="55">
        <f t="shared" ref="CD96" si="645">AK96-V96</f>
        <v>0</v>
      </c>
      <c r="CE96" s="55">
        <f t="shared" ref="CE96" si="646">AL96-W96</f>
        <v>0</v>
      </c>
      <c r="CF96" s="60">
        <f t="shared" ref="CF96" si="647">AM96-X96</f>
        <v>0</v>
      </c>
      <c r="CG96" s="249">
        <f t="shared" ref="CG96" si="648">AN96-Y96</f>
        <v>0</v>
      </c>
      <c r="CH96" s="55">
        <f t="shared" ref="CH96" si="649">AO96-Z96</f>
        <v>0</v>
      </c>
      <c r="CI96" s="55">
        <f t="shared" ref="CI96" si="650">AP96-AA96</f>
        <v>0</v>
      </c>
      <c r="CJ96" s="55">
        <f t="shared" ref="CJ96" si="651">AQ96-AB96</f>
        <v>0</v>
      </c>
      <c r="CK96" s="252">
        <f t="shared" ref="CK96" si="652">AR96-AC96</f>
        <v>0</v>
      </c>
      <c r="CL96" s="55">
        <f t="shared" ref="CL96" si="653">AS96-AD96</f>
        <v>0</v>
      </c>
      <c r="CN96" s="2" t="s">
        <v>350</v>
      </c>
      <c r="CO96" s="54">
        <f t="shared" ref="CO96" si="654">BK96-AV96</f>
        <v>0</v>
      </c>
      <c r="CP96" s="55">
        <f t="shared" ref="CP96" si="655">BL96-AW96</f>
        <v>0</v>
      </c>
      <c r="CQ96" s="55">
        <f t="shared" ref="CQ96" si="656">BM96-AX96</f>
        <v>0</v>
      </c>
      <c r="CR96" s="55">
        <f t="shared" ref="CR96" si="657">BN96-AY96</f>
        <v>0</v>
      </c>
      <c r="CS96" s="55">
        <f t="shared" ref="CS96" si="658">BO96-AZ96</f>
        <v>0</v>
      </c>
      <c r="CT96" s="55">
        <f t="shared" ref="CT96" si="659">BP96-BA96</f>
        <v>0</v>
      </c>
      <c r="CU96" s="60">
        <f t="shared" ref="CU96" si="660">BQ96-BB96</f>
        <v>0</v>
      </c>
      <c r="CV96" s="249">
        <f t="shared" ref="CV96" si="661">BR96-BC96</f>
        <v>0</v>
      </c>
      <c r="CW96" s="55">
        <f t="shared" ref="CW96" si="662">BS96-BD96</f>
        <v>0</v>
      </c>
      <c r="CX96" s="55">
        <f t="shared" ref="CX96" si="663">BT96-BE96</f>
        <v>0</v>
      </c>
      <c r="CY96" s="55">
        <f t="shared" ref="CY96" si="664">BU96-BF96</f>
        <v>0</v>
      </c>
      <c r="CZ96" s="252">
        <f t="shared" ref="CZ96" si="665">BV96-BG96</f>
        <v>0</v>
      </c>
      <c r="DA96" s="62" t="e">
        <f t="shared" ref="DA96" si="666">BW96-BH96</f>
        <v>#DIV/0!</v>
      </c>
      <c r="DC96" s="2" t="s">
        <v>350</v>
      </c>
      <c r="DD96" s="198">
        <f t="shared" ref="DD96" si="667">AV96</f>
        <v>0</v>
      </c>
      <c r="DE96" s="199">
        <f t="shared" ref="DE96" si="668">BK96</f>
        <v>0</v>
      </c>
      <c r="DF96" s="198">
        <f t="shared" ref="DF96" si="669">AW96</f>
        <v>0</v>
      </c>
      <c r="DG96" s="199">
        <f t="shared" ref="DG96" si="670">BL96</f>
        <v>0</v>
      </c>
      <c r="DH96" s="198">
        <f t="shared" ref="DH96" si="671">AX96</f>
        <v>0</v>
      </c>
      <c r="DI96" s="199">
        <f t="shared" ref="DI96" si="672">BM96</f>
        <v>0</v>
      </c>
      <c r="DJ96" s="198">
        <f t="shared" ref="DJ96" si="673">AY96</f>
        <v>0</v>
      </c>
      <c r="DK96" s="199">
        <f t="shared" ref="DK96" si="674">BN96</f>
        <v>0</v>
      </c>
      <c r="DL96" s="198">
        <f t="shared" ref="DL96" si="675">AZ96</f>
        <v>0</v>
      </c>
      <c r="DM96" s="199">
        <f t="shared" ref="DM96" si="676">BO96</f>
        <v>0</v>
      </c>
      <c r="DN96" s="198">
        <f t="shared" ref="DN96" si="677">BA96</f>
        <v>0</v>
      </c>
      <c r="DO96" s="199">
        <f t="shared" ref="DO96" si="678">BP96</f>
        <v>0</v>
      </c>
      <c r="DP96" s="198">
        <f t="shared" ref="DP96" si="679">BB96</f>
        <v>0</v>
      </c>
      <c r="DQ96" s="199">
        <f t="shared" ref="DQ96" si="680">BQ96</f>
        <v>0</v>
      </c>
      <c r="DR96" s="198">
        <f t="shared" ref="DR96" si="681">BC96</f>
        <v>0</v>
      </c>
      <c r="DS96" s="199">
        <f t="shared" ref="DS96" si="682">BR96</f>
        <v>0</v>
      </c>
      <c r="DT96" s="198">
        <f t="shared" ref="DT96" si="683">BD96</f>
        <v>0</v>
      </c>
      <c r="DU96" s="199">
        <f t="shared" ref="DU96" si="684">BS96</f>
        <v>0</v>
      </c>
      <c r="DV96" s="198">
        <f t="shared" ref="DV96" si="685">BE96</f>
        <v>0</v>
      </c>
      <c r="DW96" s="199">
        <f t="shared" ref="DW96" si="686">BT96</f>
        <v>0</v>
      </c>
      <c r="DX96" s="198">
        <f t="shared" ref="DX96" si="687">BF96</f>
        <v>0</v>
      </c>
      <c r="DY96" s="199">
        <f t="shared" ref="DY96" si="688">BU96</f>
        <v>0</v>
      </c>
      <c r="DZ96" s="190">
        <f t="shared" ref="DZ96" si="689">BG96</f>
        <v>0</v>
      </c>
      <c r="EA96" s="199">
        <f t="shared" ref="EA96" si="690">BV96</f>
        <v>0</v>
      </c>
      <c r="EB96" s="190" t="e">
        <f t="shared" ref="EB96" si="691">BH96</f>
        <v>#DIV/0!</v>
      </c>
      <c r="EC96" s="190" t="e">
        <f t="shared" ref="EC96" si="692">BW96</f>
        <v>#DIV/0!</v>
      </c>
    </row>
    <row r="97" spans="1:133" x14ac:dyDescent="0.2">
      <c r="A97" s="64" t="s">
        <v>50</v>
      </c>
      <c r="B97" s="38">
        <f>targets!AW92</f>
        <v>0</v>
      </c>
      <c r="C97" s="245">
        <f>targets!AX92</f>
        <v>0</v>
      </c>
      <c r="D97" s="245">
        <f>targets!AY92</f>
        <v>0</v>
      </c>
      <c r="E97" s="245">
        <f>targets!AZ92</f>
        <v>0</v>
      </c>
      <c r="F97" s="245">
        <f>targets!BA92</f>
        <v>0</v>
      </c>
      <c r="G97" s="245">
        <f>SUM(targets!BB92:BG92)</f>
        <v>0</v>
      </c>
      <c r="H97" s="40">
        <f>SUM(targets!BH92:BM92)</f>
        <v>0</v>
      </c>
      <c r="I97" s="246">
        <f t="shared" si="573"/>
        <v>0</v>
      </c>
      <c r="J97" s="245">
        <f>targets!BN92</f>
        <v>0</v>
      </c>
      <c r="K97" s="245">
        <f>targets!BO92</f>
        <v>0</v>
      </c>
      <c r="L97" s="245">
        <f>targets!BP92</f>
        <v>0</v>
      </c>
      <c r="M97" s="178">
        <f t="shared" si="574"/>
        <v>0</v>
      </c>
      <c r="N97" s="17">
        <f t="shared" si="575"/>
        <v>0</v>
      </c>
      <c r="O97" s="17"/>
      <c r="P97" s="17"/>
      <c r="Q97" s="64" t="s">
        <v>50</v>
      </c>
      <c r="R97" s="38">
        <f t="shared" si="538"/>
        <v>0</v>
      </c>
      <c r="S97" s="245">
        <f t="shared" si="539"/>
        <v>0</v>
      </c>
      <c r="T97" s="245">
        <f t="shared" si="540"/>
        <v>0</v>
      </c>
      <c r="U97" s="245">
        <f t="shared" si="541"/>
        <v>0</v>
      </c>
      <c r="V97" s="245">
        <f t="shared" si="542"/>
        <v>0</v>
      </c>
      <c r="W97" s="245">
        <f t="shared" si="543"/>
        <v>0</v>
      </c>
      <c r="X97" s="40">
        <f t="shared" si="544"/>
        <v>0</v>
      </c>
      <c r="Y97" s="246">
        <f t="shared" si="576"/>
        <v>0</v>
      </c>
      <c r="Z97" s="245">
        <f t="shared" si="545"/>
        <v>0</v>
      </c>
      <c r="AA97" s="245">
        <f t="shared" si="546"/>
        <v>0</v>
      </c>
      <c r="AB97" s="245">
        <f t="shared" si="547"/>
        <v>0</v>
      </c>
      <c r="AC97" s="178">
        <f t="shared" si="577"/>
        <v>0</v>
      </c>
      <c r="AD97" s="17">
        <f t="shared" si="578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5">
        <f t="array" ref="AH97">SUM(IF((modeldata!$F:$F=calibration!$AF$80)*(modeldata!$G:$G=calibration!AH$82)*(modeldata!$H:$H=calibration!$AF97),modeldata!$E:$E,0))</f>
        <v>0</v>
      </c>
      <c r="AI97" s="245">
        <f t="array" ref="AI97">SUM(IF((modeldata!$F:$F=calibration!$AF$80)*(modeldata!$G:$G=calibration!AI$82)*(modeldata!$H:$H=calibration!$AF97),modeldata!$E:$E,0))</f>
        <v>0</v>
      </c>
      <c r="AJ97" s="245">
        <f t="array" ref="AJ97">SUM(IF((modeldata!$F:$F=calibration!$AF$80)*(modeldata!$G:$G=calibration!AJ$82)*(modeldata!$H:$H=calibration!$AF97),modeldata!$E:$E,0))</f>
        <v>0</v>
      </c>
      <c r="AK97" s="245">
        <f t="array" ref="AK97">SUM(IF((modeldata!$F:$F=calibration!$AF$80)*(modeldata!$G:$G=calibration!AK$82)*(modeldata!$H:$H=calibration!$AF97),modeldata!$E:$E,0))</f>
        <v>0</v>
      </c>
      <c r="AL97" s="245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6"/>
      <c r="AO97" s="245">
        <f t="array" ref="AO97">SUM(IF((modeldata!$F:$F=calibration!$AF$80)*(modeldata!$G:$G=calibration!AO$82)*(modeldata!$H:$H=calibration!$AF97),modeldata!$E:$E,0))</f>
        <v>0</v>
      </c>
      <c r="AP97" s="245">
        <f t="array" ref="AP97">SUM(IF((modeldata!$F:$F=calibration!$AF$80)*(modeldata!$G:$G=calibration!AP$82)*(modeldata!$H:$H=calibration!$AF97),modeldata!$E:$E,0))</f>
        <v>0</v>
      </c>
      <c r="AQ97" s="245">
        <f t="array" ref="AQ97">SUM(IF((modeldata!$F:$F=calibration!$AF$80)*(modeldata!$G:$G=calibration!AQ$82)*(modeldata!$H:$H=calibration!$AF97),modeldata!$E:$E,0))</f>
        <v>0</v>
      </c>
      <c r="AR97" s="178">
        <f t="shared" si="610"/>
        <v>0</v>
      </c>
      <c r="AS97" s="17">
        <f t="shared" si="579"/>
        <v>0</v>
      </c>
      <c r="AU97" s="64" t="s">
        <v>50</v>
      </c>
      <c r="AV97" s="38">
        <f t="shared" ref="AV97:BG97" si="693">IF(R103&gt;0,R97/R103,0)</f>
        <v>0</v>
      </c>
      <c r="AW97" s="245">
        <f t="shared" si="693"/>
        <v>0</v>
      </c>
      <c r="AX97" s="245">
        <f t="shared" si="693"/>
        <v>0</v>
      </c>
      <c r="AY97" s="245">
        <f t="shared" si="693"/>
        <v>0</v>
      </c>
      <c r="AZ97" s="245">
        <f t="shared" si="693"/>
        <v>0</v>
      </c>
      <c r="BA97" s="245">
        <f t="shared" si="693"/>
        <v>0</v>
      </c>
      <c r="BB97" s="40">
        <f t="shared" si="693"/>
        <v>0</v>
      </c>
      <c r="BC97" s="246">
        <f t="shared" si="693"/>
        <v>0</v>
      </c>
      <c r="BD97" s="245">
        <f t="shared" si="693"/>
        <v>0</v>
      </c>
      <c r="BE97" s="245">
        <f t="shared" si="693"/>
        <v>0</v>
      </c>
      <c r="BF97" s="245">
        <f t="shared" si="693"/>
        <v>0</v>
      </c>
      <c r="BG97" s="178">
        <f t="shared" si="693"/>
        <v>0</v>
      </c>
      <c r="BH97" s="24" t="e">
        <f>AD97/AD103</f>
        <v>#DIV/0!</v>
      </c>
      <c r="BJ97" s="64" t="s">
        <v>50</v>
      </c>
      <c r="BK97" s="38">
        <f t="shared" ref="BK97:BV97" si="694">IF(AG103&gt;0,AG97/AG103,0)</f>
        <v>0</v>
      </c>
      <c r="BL97" s="245">
        <f t="shared" si="694"/>
        <v>0</v>
      </c>
      <c r="BM97" s="245">
        <f t="shared" si="694"/>
        <v>0</v>
      </c>
      <c r="BN97" s="245">
        <f t="shared" si="694"/>
        <v>0</v>
      </c>
      <c r="BO97" s="245">
        <f t="shared" si="694"/>
        <v>0</v>
      </c>
      <c r="BP97" s="245">
        <f t="shared" si="694"/>
        <v>0</v>
      </c>
      <c r="BQ97" s="40">
        <f t="shared" si="694"/>
        <v>0</v>
      </c>
      <c r="BR97" s="246">
        <f t="shared" si="694"/>
        <v>0</v>
      </c>
      <c r="BS97" s="245">
        <f t="shared" si="694"/>
        <v>0</v>
      </c>
      <c r="BT97" s="245">
        <f t="shared" si="694"/>
        <v>0</v>
      </c>
      <c r="BU97" s="245">
        <f t="shared" si="694"/>
        <v>0</v>
      </c>
      <c r="BV97" s="178">
        <f t="shared" si="694"/>
        <v>0</v>
      </c>
      <c r="BW97" s="24" t="e">
        <f>AS97/AS103</f>
        <v>#DIV/0!</v>
      </c>
      <c r="BX97" s="24"/>
      <c r="BY97" s="64" t="s">
        <v>50</v>
      </c>
      <c r="BZ97" s="54">
        <f t="shared" si="582"/>
        <v>0</v>
      </c>
      <c r="CA97" s="55">
        <f t="shared" si="550"/>
        <v>0</v>
      </c>
      <c r="CB97" s="55">
        <f t="shared" si="551"/>
        <v>0</v>
      </c>
      <c r="CC97" s="55">
        <f t="shared" si="552"/>
        <v>0</v>
      </c>
      <c r="CD97" s="55">
        <f t="shared" si="553"/>
        <v>0</v>
      </c>
      <c r="CE97" s="55">
        <f t="shared" si="554"/>
        <v>0</v>
      </c>
      <c r="CF97" s="60">
        <f t="shared" si="555"/>
        <v>0</v>
      </c>
      <c r="CG97" s="249">
        <f t="shared" si="556"/>
        <v>0</v>
      </c>
      <c r="CH97" s="55">
        <f t="shared" si="557"/>
        <v>0</v>
      </c>
      <c r="CI97" s="55">
        <f t="shared" si="558"/>
        <v>0</v>
      </c>
      <c r="CJ97" s="55">
        <f t="shared" si="559"/>
        <v>0</v>
      </c>
      <c r="CK97" s="252">
        <f t="shared" si="559"/>
        <v>0</v>
      </c>
      <c r="CL97" s="55">
        <f t="shared" si="560"/>
        <v>0</v>
      </c>
      <c r="CN97" s="64" t="s">
        <v>50</v>
      </c>
      <c r="CO97" s="54">
        <f t="shared" si="583"/>
        <v>0</v>
      </c>
      <c r="CP97" s="55">
        <f t="shared" si="561"/>
        <v>0</v>
      </c>
      <c r="CQ97" s="55">
        <f t="shared" si="562"/>
        <v>0</v>
      </c>
      <c r="CR97" s="55">
        <f t="shared" si="563"/>
        <v>0</v>
      </c>
      <c r="CS97" s="55">
        <f t="shared" si="564"/>
        <v>0</v>
      </c>
      <c r="CT97" s="55">
        <f t="shared" si="565"/>
        <v>0</v>
      </c>
      <c r="CU97" s="60">
        <f t="shared" si="566"/>
        <v>0</v>
      </c>
      <c r="CV97" s="249">
        <f t="shared" si="567"/>
        <v>0</v>
      </c>
      <c r="CW97" s="55">
        <f t="shared" si="568"/>
        <v>0</v>
      </c>
      <c r="CX97" s="55">
        <f t="shared" si="569"/>
        <v>0</v>
      </c>
      <c r="CY97" s="55">
        <f t="shared" si="570"/>
        <v>0</v>
      </c>
      <c r="CZ97" s="252">
        <f t="shared" si="570"/>
        <v>0</v>
      </c>
      <c r="DA97" s="62" t="e">
        <f t="shared" si="571"/>
        <v>#DIV/0!</v>
      </c>
      <c r="DC97" s="64" t="s">
        <v>50</v>
      </c>
      <c r="DD97" s="198">
        <f t="shared" si="584"/>
        <v>0</v>
      </c>
      <c r="DE97" s="199">
        <f t="shared" si="585"/>
        <v>0</v>
      </c>
      <c r="DF97" s="198">
        <f t="shared" si="586"/>
        <v>0</v>
      </c>
      <c r="DG97" s="199">
        <f t="shared" si="587"/>
        <v>0</v>
      </c>
      <c r="DH97" s="198">
        <f t="shared" si="588"/>
        <v>0</v>
      </c>
      <c r="DI97" s="199">
        <f t="shared" si="589"/>
        <v>0</v>
      </c>
      <c r="DJ97" s="198">
        <f t="shared" si="590"/>
        <v>0</v>
      </c>
      <c r="DK97" s="199">
        <f t="shared" si="591"/>
        <v>0</v>
      </c>
      <c r="DL97" s="198">
        <f t="shared" si="592"/>
        <v>0</v>
      </c>
      <c r="DM97" s="199">
        <f t="shared" si="593"/>
        <v>0</v>
      </c>
      <c r="DN97" s="198">
        <f t="shared" si="594"/>
        <v>0</v>
      </c>
      <c r="DO97" s="199">
        <f t="shared" si="595"/>
        <v>0</v>
      </c>
      <c r="DP97" s="198">
        <f t="shared" si="596"/>
        <v>0</v>
      </c>
      <c r="DQ97" s="199">
        <f t="shared" si="597"/>
        <v>0</v>
      </c>
      <c r="DR97" s="198">
        <f t="shared" si="598"/>
        <v>0</v>
      </c>
      <c r="DS97" s="199">
        <f t="shared" si="599"/>
        <v>0</v>
      </c>
      <c r="DT97" s="198">
        <f t="shared" si="600"/>
        <v>0</v>
      </c>
      <c r="DU97" s="199">
        <f t="shared" si="601"/>
        <v>0</v>
      </c>
      <c r="DV97" s="198">
        <f t="shared" si="602"/>
        <v>0</v>
      </c>
      <c r="DW97" s="199">
        <f t="shared" si="603"/>
        <v>0</v>
      </c>
      <c r="DX97" s="198">
        <f t="shared" si="604"/>
        <v>0</v>
      </c>
      <c r="DY97" s="199">
        <f t="shared" si="605"/>
        <v>0</v>
      </c>
      <c r="DZ97" s="190">
        <f t="shared" si="606"/>
        <v>0</v>
      </c>
      <c r="EA97" s="199">
        <f t="shared" si="572"/>
        <v>0</v>
      </c>
      <c r="EB97" s="190" t="e">
        <f t="shared" si="607"/>
        <v>#DIV/0!</v>
      </c>
      <c r="EC97" s="190" t="e">
        <f t="shared" si="608"/>
        <v>#DIV/0!</v>
      </c>
    </row>
    <row r="98" spans="1:133" x14ac:dyDescent="0.2">
      <c r="A98" s="64" t="s">
        <v>51</v>
      </c>
      <c r="B98" s="38">
        <f>targets!AW93</f>
        <v>0</v>
      </c>
      <c r="C98" s="245">
        <f>targets!AX93</f>
        <v>0</v>
      </c>
      <c r="D98" s="245">
        <f>targets!AY93</f>
        <v>0</v>
      </c>
      <c r="E98" s="245">
        <f>targets!AZ93</f>
        <v>0</v>
      </c>
      <c r="F98" s="245">
        <f>targets!BA93</f>
        <v>0</v>
      </c>
      <c r="G98" s="245">
        <f>SUM(targets!BB93:BG93)</f>
        <v>0</v>
      </c>
      <c r="H98" s="40">
        <f>SUM(targets!BH93:BM93)</f>
        <v>4918.5262736837058</v>
      </c>
      <c r="I98" s="246">
        <f t="shared" si="573"/>
        <v>4918.5262736837058</v>
      </c>
      <c r="J98" s="245">
        <f>targets!BN93</f>
        <v>0</v>
      </c>
      <c r="K98" s="245">
        <f>targets!BO93</f>
        <v>0</v>
      </c>
      <c r="L98" s="245">
        <f>targets!BP93</f>
        <v>0</v>
      </c>
      <c r="M98" s="178">
        <f t="shared" si="574"/>
        <v>0</v>
      </c>
      <c r="N98" s="17">
        <f t="shared" si="575"/>
        <v>4918.5262736837058</v>
      </c>
      <c r="O98" s="17"/>
      <c r="P98" s="17"/>
      <c r="Q98" s="64" t="s">
        <v>51</v>
      </c>
      <c r="R98" s="38">
        <f t="shared" si="538"/>
        <v>0</v>
      </c>
      <c r="S98" s="245">
        <f t="shared" si="539"/>
        <v>0</v>
      </c>
      <c r="T98" s="245">
        <f t="shared" si="540"/>
        <v>0</v>
      </c>
      <c r="U98" s="245">
        <f t="shared" si="541"/>
        <v>0</v>
      </c>
      <c r="V98" s="245">
        <f t="shared" si="542"/>
        <v>0</v>
      </c>
      <c r="W98" s="245">
        <f t="shared" si="543"/>
        <v>0</v>
      </c>
      <c r="X98" s="40">
        <f t="shared" si="544"/>
        <v>0</v>
      </c>
      <c r="Y98" s="246">
        <f t="shared" si="576"/>
        <v>0</v>
      </c>
      <c r="Z98" s="245">
        <f t="shared" si="545"/>
        <v>0</v>
      </c>
      <c r="AA98" s="245">
        <f t="shared" si="546"/>
        <v>0</v>
      </c>
      <c r="AB98" s="245">
        <f t="shared" si="547"/>
        <v>0</v>
      </c>
      <c r="AC98" s="178">
        <f t="shared" si="577"/>
        <v>0</v>
      </c>
      <c r="AD98" s="17">
        <f t="shared" si="578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5">
        <f t="array" ref="AH98">SUM(IF((modeldata!$F:$F=calibration!$AF$80)*(modeldata!$G:$G=calibration!AH$82)*(modeldata!$H:$H=calibration!$AF98),modeldata!$E:$E,0))</f>
        <v>0</v>
      </c>
      <c r="AI98" s="245">
        <f t="array" ref="AI98">SUM(IF((modeldata!$F:$F=calibration!$AF$80)*(modeldata!$G:$G=calibration!AI$82)*(modeldata!$H:$H=calibration!$AF98),modeldata!$E:$E,0))</f>
        <v>0</v>
      </c>
      <c r="AJ98" s="245">
        <f t="array" ref="AJ98">SUM(IF((modeldata!$F:$F=calibration!$AF$80)*(modeldata!$G:$G=calibration!AJ$82)*(modeldata!$H:$H=calibration!$AF98),modeldata!$E:$E,0))</f>
        <v>0</v>
      </c>
      <c r="AK98" s="245">
        <f t="array" ref="AK98">SUM(IF((modeldata!$F:$F=calibration!$AF$80)*(modeldata!$G:$G=calibration!AK$82)*(modeldata!$H:$H=calibration!$AF98),modeldata!$E:$E,0))</f>
        <v>0</v>
      </c>
      <c r="AL98" s="245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6"/>
      <c r="AO98" s="245">
        <f t="array" ref="AO98">SUM(IF((modeldata!$F:$F=calibration!$AF$80)*(modeldata!$G:$G=calibration!AO$82)*(modeldata!$H:$H=calibration!$AF98),modeldata!$E:$E,0))</f>
        <v>0</v>
      </c>
      <c r="AP98" s="245">
        <f t="array" ref="AP98">SUM(IF((modeldata!$F:$F=calibration!$AF$80)*(modeldata!$G:$G=calibration!AP$82)*(modeldata!$H:$H=calibration!$AF98),modeldata!$E:$E,0))</f>
        <v>0</v>
      </c>
      <c r="AQ98" s="245">
        <f t="array" ref="AQ98">SUM(IF((modeldata!$F:$F=calibration!$AF$80)*(modeldata!$G:$G=calibration!AQ$82)*(modeldata!$H:$H=calibration!$AF98),modeldata!$E:$E,0))</f>
        <v>0</v>
      </c>
      <c r="AR98" s="178">
        <f t="shared" si="610"/>
        <v>0</v>
      </c>
      <c r="AS98" s="17">
        <f t="shared" si="579"/>
        <v>0</v>
      </c>
      <c r="AU98" s="64" t="s">
        <v>51</v>
      </c>
      <c r="AV98" s="38">
        <f t="shared" ref="AV98:BG98" si="695">IF(R103&gt;0,R98/R103,0)</f>
        <v>0</v>
      </c>
      <c r="AW98" s="245">
        <f t="shared" si="695"/>
        <v>0</v>
      </c>
      <c r="AX98" s="245">
        <f t="shared" si="695"/>
        <v>0</v>
      </c>
      <c r="AY98" s="245">
        <f t="shared" si="695"/>
        <v>0</v>
      </c>
      <c r="AZ98" s="245">
        <f t="shared" si="695"/>
        <v>0</v>
      </c>
      <c r="BA98" s="245">
        <f t="shared" si="695"/>
        <v>0</v>
      </c>
      <c r="BB98" s="40">
        <f t="shared" si="695"/>
        <v>0</v>
      </c>
      <c r="BC98" s="246">
        <f t="shared" si="695"/>
        <v>0</v>
      </c>
      <c r="BD98" s="245">
        <f t="shared" si="695"/>
        <v>0</v>
      </c>
      <c r="BE98" s="245">
        <f t="shared" si="695"/>
        <v>0</v>
      </c>
      <c r="BF98" s="245">
        <f t="shared" si="695"/>
        <v>0</v>
      </c>
      <c r="BG98" s="178">
        <f t="shared" si="695"/>
        <v>0</v>
      </c>
      <c r="BH98" s="24" t="e">
        <f>AD98/AD103</f>
        <v>#DIV/0!</v>
      </c>
      <c r="BJ98" s="64" t="s">
        <v>51</v>
      </c>
      <c r="BK98" s="38">
        <f t="shared" ref="BK98:BV98" si="696">IF(AG103&gt;0,AG98/AG103,0)</f>
        <v>0</v>
      </c>
      <c r="BL98" s="245">
        <f t="shared" si="696"/>
        <v>0</v>
      </c>
      <c r="BM98" s="245">
        <f t="shared" si="696"/>
        <v>0</v>
      </c>
      <c r="BN98" s="245">
        <f t="shared" si="696"/>
        <v>0</v>
      </c>
      <c r="BO98" s="245">
        <f t="shared" si="696"/>
        <v>0</v>
      </c>
      <c r="BP98" s="245">
        <f t="shared" si="696"/>
        <v>0</v>
      </c>
      <c r="BQ98" s="40">
        <f t="shared" si="696"/>
        <v>0</v>
      </c>
      <c r="BR98" s="246">
        <f t="shared" si="696"/>
        <v>0</v>
      </c>
      <c r="BS98" s="245">
        <f t="shared" si="696"/>
        <v>0</v>
      </c>
      <c r="BT98" s="245">
        <f t="shared" si="696"/>
        <v>0</v>
      </c>
      <c r="BU98" s="245">
        <f t="shared" si="696"/>
        <v>0</v>
      </c>
      <c r="BV98" s="178">
        <f t="shared" si="696"/>
        <v>0</v>
      </c>
      <c r="BW98" s="24" t="e">
        <f>AS98/AS103</f>
        <v>#DIV/0!</v>
      </c>
      <c r="BX98" s="24"/>
      <c r="BY98" s="64" t="s">
        <v>51</v>
      </c>
      <c r="BZ98" s="54">
        <f t="shared" si="582"/>
        <v>0</v>
      </c>
      <c r="CA98" s="55">
        <f t="shared" si="550"/>
        <v>0</v>
      </c>
      <c r="CB98" s="55">
        <f t="shared" si="551"/>
        <v>0</v>
      </c>
      <c r="CC98" s="55">
        <f t="shared" si="552"/>
        <v>0</v>
      </c>
      <c r="CD98" s="55">
        <f t="shared" si="553"/>
        <v>0</v>
      </c>
      <c r="CE98" s="55">
        <f t="shared" si="554"/>
        <v>0</v>
      </c>
      <c r="CF98" s="60">
        <f t="shared" si="555"/>
        <v>0</v>
      </c>
      <c r="CG98" s="249">
        <f t="shared" si="556"/>
        <v>0</v>
      </c>
      <c r="CH98" s="55">
        <f t="shared" si="557"/>
        <v>0</v>
      </c>
      <c r="CI98" s="55">
        <f t="shared" si="558"/>
        <v>0</v>
      </c>
      <c r="CJ98" s="55">
        <f t="shared" si="559"/>
        <v>0</v>
      </c>
      <c r="CK98" s="252">
        <f t="shared" si="559"/>
        <v>0</v>
      </c>
      <c r="CL98" s="55">
        <f t="shared" si="560"/>
        <v>0</v>
      </c>
      <c r="CN98" s="64" t="s">
        <v>51</v>
      </c>
      <c r="CO98" s="54">
        <f t="shared" si="583"/>
        <v>0</v>
      </c>
      <c r="CP98" s="55">
        <f t="shared" si="561"/>
        <v>0</v>
      </c>
      <c r="CQ98" s="55">
        <f t="shared" si="562"/>
        <v>0</v>
      </c>
      <c r="CR98" s="55">
        <f t="shared" si="563"/>
        <v>0</v>
      </c>
      <c r="CS98" s="55">
        <f t="shared" si="564"/>
        <v>0</v>
      </c>
      <c r="CT98" s="55">
        <f t="shared" si="565"/>
        <v>0</v>
      </c>
      <c r="CU98" s="60">
        <f t="shared" si="566"/>
        <v>0</v>
      </c>
      <c r="CV98" s="249">
        <f t="shared" si="567"/>
        <v>0</v>
      </c>
      <c r="CW98" s="55">
        <f t="shared" si="568"/>
        <v>0</v>
      </c>
      <c r="CX98" s="55">
        <f t="shared" si="569"/>
        <v>0</v>
      </c>
      <c r="CY98" s="55">
        <f t="shared" si="570"/>
        <v>0</v>
      </c>
      <c r="CZ98" s="252">
        <f t="shared" si="570"/>
        <v>0</v>
      </c>
      <c r="DA98" s="62" t="e">
        <f t="shared" si="571"/>
        <v>#DIV/0!</v>
      </c>
      <c r="DC98" s="64" t="s">
        <v>51</v>
      </c>
      <c r="DD98" s="198">
        <f t="shared" si="584"/>
        <v>0</v>
      </c>
      <c r="DE98" s="199">
        <f t="shared" si="585"/>
        <v>0</v>
      </c>
      <c r="DF98" s="198">
        <f t="shared" si="586"/>
        <v>0</v>
      </c>
      <c r="DG98" s="199">
        <f t="shared" si="587"/>
        <v>0</v>
      </c>
      <c r="DH98" s="198">
        <f t="shared" si="588"/>
        <v>0</v>
      </c>
      <c r="DI98" s="199">
        <f t="shared" si="589"/>
        <v>0</v>
      </c>
      <c r="DJ98" s="198">
        <f t="shared" si="590"/>
        <v>0</v>
      </c>
      <c r="DK98" s="199">
        <f t="shared" si="591"/>
        <v>0</v>
      </c>
      <c r="DL98" s="198">
        <f t="shared" si="592"/>
        <v>0</v>
      </c>
      <c r="DM98" s="199">
        <f t="shared" si="593"/>
        <v>0</v>
      </c>
      <c r="DN98" s="198">
        <f t="shared" si="594"/>
        <v>0</v>
      </c>
      <c r="DO98" s="199">
        <f t="shared" si="595"/>
        <v>0</v>
      </c>
      <c r="DP98" s="198">
        <f t="shared" si="596"/>
        <v>0</v>
      </c>
      <c r="DQ98" s="199">
        <f t="shared" si="597"/>
        <v>0</v>
      </c>
      <c r="DR98" s="198">
        <f t="shared" si="598"/>
        <v>0</v>
      </c>
      <c r="DS98" s="199">
        <f t="shared" si="599"/>
        <v>0</v>
      </c>
      <c r="DT98" s="198">
        <f t="shared" si="600"/>
        <v>0</v>
      </c>
      <c r="DU98" s="199">
        <f t="shared" si="601"/>
        <v>0</v>
      </c>
      <c r="DV98" s="198">
        <f t="shared" si="602"/>
        <v>0</v>
      </c>
      <c r="DW98" s="199">
        <f t="shared" si="603"/>
        <v>0</v>
      </c>
      <c r="DX98" s="198">
        <f t="shared" si="604"/>
        <v>0</v>
      </c>
      <c r="DY98" s="199">
        <f t="shared" si="605"/>
        <v>0</v>
      </c>
      <c r="DZ98" s="190">
        <f t="shared" si="606"/>
        <v>0</v>
      </c>
      <c r="EA98" s="199">
        <f t="shared" si="572"/>
        <v>0</v>
      </c>
      <c r="EB98" s="190" t="e">
        <f t="shared" si="607"/>
        <v>#DIV/0!</v>
      </c>
      <c r="EC98" s="190" t="e">
        <f t="shared" si="608"/>
        <v>#DIV/0!</v>
      </c>
    </row>
    <row r="99" spans="1:133" x14ac:dyDescent="0.2">
      <c r="A99" s="64" t="s">
        <v>52</v>
      </c>
      <c r="B99" s="38">
        <f>targets!AW94</f>
        <v>0</v>
      </c>
      <c r="C99" s="245">
        <f>targets!AX94</f>
        <v>0</v>
      </c>
      <c r="D99" s="245">
        <f>targets!AY94</f>
        <v>0</v>
      </c>
      <c r="E99" s="245">
        <f>targets!AZ94</f>
        <v>0</v>
      </c>
      <c r="F99" s="245">
        <f>targets!BA94</f>
        <v>0</v>
      </c>
      <c r="G99" s="245">
        <f>SUM(targets!BB94:BG94)</f>
        <v>0</v>
      </c>
      <c r="H99" s="41">
        <f>SUM(targets!BH94:BM94)</f>
        <v>0</v>
      </c>
      <c r="I99" s="246">
        <f t="shared" si="573"/>
        <v>0</v>
      </c>
      <c r="J99" s="245">
        <f>targets!BN94</f>
        <v>0</v>
      </c>
      <c r="K99" s="245">
        <f>targets!BO94</f>
        <v>0</v>
      </c>
      <c r="L99" s="245">
        <f>targets!BP94</f>
        <v>0</v>
      </c>
      <c r="M99" s="178">
        <f t="shared" si="574"/>
        <v>0</v>
      </c>
      <c r="N99" s="17">
        <f t="shared" si="575"/>
        <v>0</v>
      </c>
      <c r="O99" s="17"/>
      <c r="P99" s="17"/>
      <c r="Q99" s="64" t="s">
        <v>52</v>
      </c>
      <c r="R99" s="38">
        <f t="shared" si="538"/>
        <v>0</v>
      </c>
      <c r="S99" s="245">
        <f t="shared" si="539"/>
        <v>0</v>
      </c>
      <c r="T99" s="245">
        <f t="shared" si="540"/>
        <v>0</v>
      </c>
      <c r="U99" s="245">
        <f t="shared" si="541"/>
        <v>0</v>
      </c>
      <c r="V99" s="245">
        <f t="shared" si="542"/>
        <v>0</v>
      </c>
      <c r="W99" s="245">
        <f t="shared" si="543"/>
        <v>0</v>
      </c>
      <c r="X99" s="41">
        <f t="shared" si="544"/>
        <v>0</v>
      </c>
      <c r="Y99" s="246">
        <f t="shared" si="576"/>
        <v>0</v>
      </c>
      <c r="Z99" s="245">
        <f t="shared" si="545"/>
        <v>0</v>
      </c>
      <c r="AA99" s="245">
        <f t="shared" si="546"/>
        <v>0</v>
      </c>
      <c r="AB99" s="245">
        <f t="shared" si="547"/>
        <v>0</v>
      </c>
      <c r="AC99" s="178">
        <f t="shared" si="577"/>
        <v>0</v>
      </c>
      <c r="AD99" s="17">
        <f t="shared" si="578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5">
        <f t="array" ref="AH99">SUM(IF((modeldata!$F:$F=calibration!$AF$80)*(modeldata!$G:$G=calibration!AH$82)*(modeldata!$H:$H=calibration!$AF99),modeldata!$E:$E,0))</f>
        <v>0</v>
      </c>
      <c r="AI99" s="245">
        <f t="array" ref="AI99">SUM(IF((modeldata!$F:$F=calibration!$AF$80)*(modeldata!$G:$G=calibration!AI$82)*(modeldata!$H:$H=calibration!$AF99),modeldata!$E:$E,0))</f>
        <v>0</v>
      </c>
      <c r="AJ99" s="245">
        <f t="array" ref="AJ99">SUM(IF((modeldata!$F:$F=calibration!$AF$80)*(modeldata!$G:$G=calibration!AJ$82)*(modeldata!$H:$H=calibration!$AF99),modeldata!$E:$E,0))</f>
        <v>0</v>
      </c>
      <c r="AK99" s="245">
        <f t="array" ref="AK99">SUM(IF((modeldata!$F:$F=calibration!$AF$80)*(modeldata!$G:$G=calibration!AK$82)*(modeldata!$H:$H=calibration!$AF99),modeldata!$E:$E,0))</f>
        <v>0</v>
      </c>
      <c r="AL99" s="245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6"/>
      <c r="AO99" s="245">
        <f t="array" ref="AO99">SUM(IF((modeldata!$F:$F=calibration!$AF$80)*(modeldata!$G:$G=calibration!AO$82)*(modeldata!$H:$H=calibration!$AF99),modeldata!$E:$E,0))</f>
        <v>0</v>
      </c>
      <c r="AP99" s="245">
        <f t="array" ref="AP99">SUM(IF((modeldata!$F:$F=calibration!$AF$80)*(modeldata!$G:$G=calibration!AP$82)*(modeldata!$H:$H=calibration!$AF99),modeldata!$E:$E,0))</f>
        <v>0</v>
      </c>
      <c r="AQ99" s="245">
        <f t="array" ref="AQ99">SUM(IF((modeldata!$F:$F=calibration!$AF$80)*(modeldata!$G:$G=calibration!AQ$82)*(modeldata!$H:$H=calibration!$AF99),modeldata!$E:$E,0))</f>
        <v>0</v>
      </c>
      <c r="AR99" s="178">
        <f t="shared" si="610"/>
        <v>0</v>
      </c>
      <c r="AS99" s="17">
        <f t="shared" si="579"/>
        <v>0</v>
      </c>
      <c r="AU99" s="64" t="s">
        <v>52</v>
      </c>
      <c r="AV99" s="38">
        <f t="shared" ref="AV99:BG99" si="697">IF(R103&gt;0,R99/R103,0)</f>
        <v>0</v>
      </c>
      <c r="AW99" s="245">
        <f t="shared" si="697"/>
        <v>0</v>
      </c>
      <c r="AX99" s="245">
        <f t="shared" si="697"/>
        <v>0</v>
      </c>
      <c r="AY99" s="245">
        <f t="shared" si="697"/>
        <v>0</v>
      </c>
      <c r="AZ99" s="245">
        <f t="shared" si="697"/>
        <v>0</v>
      </c>
      <c r="BA99" s="245">
        <f t="shared" si="697"/>
        <v>0</v>
      </c>
      <c r="BB99" s="41">
        <f t="shared" si="697"/>
        <v>0</v>
      </c>
      <c r="BC99" s="246">
        <f t="shared" si="697"/>
        <v>0</v>
      </c>
      <c r="BD99" s="245">
        <f t="shared" si="697"/>
        <v>0</v>
      </c>
      <c r="BE99" s="245">
        <f t="shared" si="697"/>
        <v>0</v>
      </c>
      <c r="BF99" s="245">
        <f t="shared" si="697"/>
        <v>0</v>
      </c>
      <c r="BG99" s="178">
        <f t="shared" si="697"/>
        <v>0</v>
      </c>
      <c r="BH99" s="24" t="e">
        <f>AD99/AD103</f>
        <v>#DIV/0!</v>
      </c>
      <c r="BJ99" s="64" t="s">
        <v>52</v>
      </c>
      <c r="BK99" s="38">
        <f t="shared" ref="BK99:BV99" si="698">IF(AG103&gt;0,AG99/AG103,0)</f>
        <v>0</v>
      </c>
      <c r="BL99" s="245">
        <f t="shared" si="698"/>
        <v>0</v>
      </c>
      <c r="BM99" s="245">
        <f t="shared" si="698"/>
        <v>0</v>
      </c>
      <c r="BN99" s="245">
        <f t="shared" si="698"/>
        <v>0</v>
      </c>
      <c r="BO99" s="245">
        <f t="shared" si="698"/>
        <v>0</v>
      </c>
      <c r="BP99" s="245">
        <f t="shared" si="698"/>
        <v>0</v>
      </c>
      <c r="BQ99" s="41">
        <f t="shared" si="698"/>
        <v>0</v>
      </c>
      <c r="BR99" s="246">
        <f t="shared" si="698"/>
        <v>0</v>
      </c>
      <c r="BS99" s="245">
        <f t="shared" si="698"/>
        <v>0</v>
      </c>
      <c r="BT99" s="245">
        <f t="shared" si="698"/>
        <v>0</v>
      </c>
      <c r="BU99" s="245">
        <f t="shared" si="698"/>
        <v>0</v>
      </c>
      <c r="BV99" s="178">
        <f t="shared" si="698"/>
        <v>0</v>
      </c>
      <c r="BW99" s="24" t="e">
        <f>AS99/AS103</f>
        <v>#DIV/0!</v>
      </c>
      <c r="BX99" s="24"/>
      <c r="BY99" s="64" t="s">
        <v>52</v>
      </c>
      <c r="BZ99" s="54">
        <f t="shared" si="582"/>
        <v>0</v>
      </c>
      <c r="CA99" s="55">
        <f t="shared" si="550"/>
        <v>0</v>
      </c>
      <c r="CB99" s="55">
        <f t="shared" si="551"/>
        <v>0</v>
      </c>
      <c r="CC99" s="55">
        <f t="shared" si="552"/>
        <v>0</v>
      </c>
      <c r="CD99" s="55">
        <f t="shared" si="553"/>
        <v>0</v>
      </c>
      <c r="CE99" s="55">
        <f t="shared" si="554"/>
        <v>0</v>
      </c>
      <c r="CF99" s="61">
        <f t="shared" si="555"/>
        <v>0</v>
      </c>
      <c r="CG99" s="249">
        <f>AN99-Y99</f>
        <v>0</v>
      </c>
      <c r="CH99" s="55">
        <f t="shared" si="557"/>
        <v>0</v>
      </c>
      <c r="CI99" s="55">
        <f t="shared" si="558"/>
        <v>0</v>
      </c>
      <c r="CJ99" s="55">
        <f t="shared" si="559"/>
        <v>0</v>
      </c>
      <c r="CK99" s="252">
        <f t="shared" si="559"/>
        <v>0</v>
      </c>
      <c r="CL99" s="55">
        <f t="shared" si="560"/>
        <v>0</v>
      </c>
      <c r="CN99" s="64" t="s">
        <v>52</v>
      </c>
      <c r="CO99" s="54">
        <f t="shared" si="583"/>
        <v>0</v>
      </c>
      <c r="CP99" s="55">
        <f t="shared" si="561"/>
        <v>0</v>
      </c>
      <c r="CQ99" s="55">
        <f t="shared" si="562"/>
        <v>0</v>
      </c>
      <c r="CR99" s="55">
        <f t="shared" si="563"/>
        <v>0</v>
      </c>
      <c r="CS99" s="55">
        <f t="shared" si="564"/>
        <v>0</v>
      </c>
      <c r="CT99" s="55">
        <f t="shared" si="565"/>
        <v>0</v>
      </c>
      <c r="CU99" s="61">
        <f t="shared" si="566"/>
        <v>0</v>
      </c>
      <c r="CV99" s="249">
        <f t="shared" si="567"/>
        <v>0</v>
      </c>
      <c r="CW99" s="55">
        <f t="shared" si="568"/>
        <v>0</v>
      </c>
      <c r="CX99" s="55">
        <f t="shared" si="569"/>
        <v>0</v>
      </c>
      <c r="CY99" s="55">
        <f t="shared" si="570"/>
        <v>0</v>
      </c>
      <c r="CZ99" s="252">
        <f t="shared" si="570"/>
        <v>0</v>
      </c>
      <c r="DA99" s="62" t="e">
        <f t="shared" si="571"/>
        <v>#DIV/0!</v>
      </c>
      <c r="DC99" s="64" t="s">
        <v>52</v>
      </c>
      <c r="DD99" s="198">
        <f t="shared" si="584"/>
        <v>0</v>
      </c>
      <c r="DE99" s="199">
        <f t="shared" si="585"/>
        <v>0</v>
      </c>
      <c r="DF99" s="198">
        <f t="shared" si="586"/>
        <v>0</v>
      </c>
      <c r="DG99" s="199">
        <f t="shared" si="587"/>
        <v>0</v>
      </c>
      <c r="DH99" s="198">
        <f t="shared" si="588"/>
        <v>0</v>
      </c>
      <c r="DI99" s="199">
        <f t="shared" si="589"/>
        <v>0</v>
      </c>
      <c r="DJ99" s="198">
        <f t="shared" si="590"/>
        <v>0</v>
      </c>
      <c r="DK99" s="199">
        <f t="shared" si="591"/>
        <v>0</v>
      </c>
      <c r="DL99" s="198">
        <f t="shared" si="592"/>
        <v>0</v>
      </c>
      <c r="DM99" s="199">
        <f t="shared" si="593"/>
        <v>0</v>
      </c>
      <c r="DN99" s="198">
        <f t="shared" si="594"/>
        <v>0</v>
      </c>
      <c r="DO99" s="199">
        <f t="shared" si="595"/>
        <v>0</v>
      </c>
      <c r="DP99" s="200">
        <f t="shared" si="596"/>
        <v>0</v>
      </c>
      <c r="DQ99" s="201">
        <f t="shared" si="597"/>
        <v>0</v>
      </c>
      <c r="DR99" s="198">
        <f t="shared" si="598"/>
        <v>0</v>
      </c>
      <c r="DS99" s="199">
        <f t="shared" si="599"/>
        <v>0</v>
      </c>
      <c r="DT99" s="198">
        <f t="shared" si="600"/>
        <v>0</v>
      </c>
      <c r="DU99" s="199">
        <f t="shared" si="601"/>
        <v>0</v>
      </c>
      <c r="DV99" s="198">
        <f t="shared" si="602"/>
        <v>0</v>
      </c>
      <c r="DW99" s="199">
        <f t="shared" si="603"/>
        <v>0</v>
      </c>
      <c r="DX99" s="198">
        <f t="shared" si="604"/>
        <v>0</v>
      </c>
      <c r="DY99" s="199">
        <f t="shared" si="605"/>
        <v>0</v>
      </c>
      <c r="DZ99" s="190">
        <f t="shared" si="606"/>
        <v>0</v>
      </c>
      <c r="EA99" s="199">
        <f t="shared" si="572"/>
        <v>0</v>
      </c>
      <c r="EB99" s="190" t="e">
        <f t="shared" si="607"/>
        <v>#DIV/0!</v>
      </c>
      <c r="EC99" s="190" t="e">
        <f t="shared" si="608"/>
        <v>#DIV/0!</v>
      </c>
    </row>
    <row r="100" spans="1:133" x14ac:dyDescent="0.2">
      <c r="A100" s="2" t="s">
        <v>6</v>
      </c>
      <c r="B100" s="38">
        <f>targets!AW95</f>
        <v>0</v>
      </c>
      <c r="C100" s="245">
        <f>targets!AX95</f>
        <v>0</v>
      </c>
      <c r="D100" s="245">
        <f>targets!AY95</f>
        <v>0</v>
      </c>
      <c r="E100" s="245">
        <f>targets!AZ95</f>
        <v>0</v>
      </c>
      <c r="F100" s="245">
        <f>targets!BA95</f>
        <v>0</v>
      </c>
      <c r="G100" s="245">
        <f>SUM(targets!BB95:BG95)</f>
        <v>330.54329177102028</v>
      </c>
      <c r="H100" s="245">
        <f>SUM(targets!BH95:BM95)</f>
        <v>0</v>
      </c>
      <c r="I100" s="246">
        <f t="shared" si="573"/>
        <v>330.54329177102028</v>
      </c>
      <c r="J100" s="245">
        <f>targets!BN95</f>
        <v>1360.949866591018</v>
      </c>
      <c r="K100" s="245">
        <f>targets!BO95</f>
        <v>480.74622895656171</v>
      </c>
      <c r="L100" s="245">
        <f>targets!BP95</f>
        <v>0</v>
      </c>
      <c r="M100" s="178">
        <f t="shared" si="574"/>
        <v>1841.6960955475797</v>
      </c>
      <c r="N100" s="17">
        <f t="shared" si="575"/>
        <v>2172.2393873186002</v>
      </c>
      <c r="O100" s="17"/>
      <c r="P100" s="17"/>
      <c r="Q100" s="2" t="s">
        <v>6</v>
      </c>
      <c r="R100" s="38">
        <f t="shared" si="538"/>
        <v>0</v>
      </c>
      <c r="S100" s="245">
        <f t="shared" si="539"/>
        <v>0</v>
      </c>
      <c r="T100" s="245">
        <f t="shared" si="540"/>
        <v>0</v>
      </c>
      <c r="U100" s="245">
        <f t="shared" si="541"/>
        <v>0</v>
      </c>
      <c r="V100" s="245">
        <f t="shared" si="542"/>
        <v>0</v>
      </c>
      <c r="W100" s="245">
        <f t="shared" si="543"/>
        <v>0</v>
      </c>
      <c r="X100" s="245">
        <f t="shared" si="544"/>
        <v>0</v>
      </c>
      <c r="Y100" s="246">
        <f t="shared" si="576"/>
        <v>0</v>
      </c>
      <c r="Z100" s="245">
        <f t="shared" si="545"/>
        <v>0</v>
      </c>
      <c r="AA100" s="245">
        <f t="shared" si="546"/>
        <v>0</v>
      </c>
      <c r="AB100" s="245">
        <f t="shared" si="547"/>
        <v>0</v>
      </c>
      <c r="AC100" s="178">
        <f t="shared" si="577"/>
        <v>0</v>
      </c>
      <c r="AD100" s="17">
        <f t="shared" si="578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5">
        <f t="array" ref="AH100">SUM(IF((modeldata!$F:$F=calibration!$AF$80)*(modeldata!$G:$G=calibration!AH$82)*(modeldata!$H:$H=calibration!$AF100),modeldata!$E:$E,0))</f>
        <v>0</v>
      </c>
      <c r="AI100" s="245">
        <f t="array" ref="AI100">SUM(IF((modeldata!$F:$F=calibration!$AF$80)*(modeldata!$G:$G=calibration!AI$82)*(modeldata!$H:$H=calibration!$AF100),modeldata!$E:$E,0))</f>
        <v>0</v>
      </c>
      <c r="AJ100" s="245">
        <f t="array" ref="AJ100">SUM(IF((modeldata!$F:$F=calibration!$AF$80)*(modeldata!$G:$G=calibration!AJ$82)*(modeldata!$H:$H=calibration!$AF100),modeldata!$E:$E,0))</f>
        <v>0</v>
      </c>
      <c r="AK100" s="245">
        <f t="array" ref="AK100">SUM(IF((modeldata!$F:$F=calibration!$AF$80)*(modeldata!$G:$G=calibration!AK$82)*(modeldata!$H:$H=calibration!$AF100),modeldata!$E:$E,0))</f>
        <v>0</v>
      </c>
      <c r="AL100" s="245">
        <f t="array" ref="AL100">SUM(IF((modeldata!$F:$F=calibration!$AF$80)*(modeldata!$G:$G=calibration!AL$82)*(modeldata!$H:$H=calibration!$AF100),modeldata!$E:$E,0))</f>
        <v>0</v>
      </c>
      <c r="AM100" s="245">
        <f t="array" ref="AM100">SUM(IF((modeldata!$F:$F=calibration!$AF$80)*(modeldata!$G:$G=calibration!AM$82)*(modeldata!$H:$H=calibration!$AF100),modeldata!$E:$E,0))</f>
        <v>0</v>
      </c>
      <c r="AN100" s="246">
        <f t="shared" si="609"/>
        <v>0</v>
      </c>
      <c r="AO100" s="245">
        <f t="array" ref="AO100">SUM(IF((modeldata!$F:$F=calibration!$AF$80)*(modeldata!$G:$G=calibration!AO$82)*(modeldata!$H:$H=calibration!$AF100),modeldata!$E:$E,0))</f>
        <v>0</v>
      </c>
      <c r="AP100" s="245">
        <f t="array" ref="AP100">SUM(IF((modeldata!$F:$F=calibration!$AF$80)*(modeldata!$G:$G=calibration!AP$82)*(modeldata!$H:$H=calibration!$AF100),modeldata!$E:$E,0))</f>
        <v>0</v>
      </c>
      <c r="AQ100" s="245">
        <f t="array" ref="AQ100">SUM(IF((modeldata!$F:$F=calibration!$AF$80)*(modeldata!$G:$G=calibration!AQ$82)*(modeldata!$H:$H=calibration!$AF100),modeldata!$E:$E,0))</f>
        <v>0</v>
      </c>
      <c r="AR100" s="178">
        <f t="shared" ref="AR100:AR102" si="699">SUM(AO100:AQ100)</f>
        <v>0</v>
      </c>
      <c r="AS100" s="17">
        <f t="shared" si="579"/>
        <v>0</v>
      </c>
      <c r="AU100" s="2" t="s">
        <v>6</v>
      </c>
      <c r="AV100" s="38">
        <f t="shared" ref="AV100:BG100" si="700">IF(R103&gt;0,R100/R103,0)</f>
        <v>0</v>
      </c>
      <c r="AW100" s="245">
        <f t="shared" si="700"/>
        <v>0</v>
      </c>
      <c r="AX100" s="245">
        <f t="shared" si="700"/>
        <v>0</v>
      </c>
      <c r="AY100" s="245">
        <f t="shared" si="700"/>
        <v>0</v>
      </c>
      <c r="AZ100" s="245">
        <f t="shared" si="700"/>
        <v>0</v>
      </c>
      <c r="BA100" s="245">
        <f t="shared" si="700"/>
        <v>0</v>
      </c>
      <c r="BB100" s="245">
        <f t="shared" si="700"/>
        <v>0</v>
      </c>
      <c r="BC100" s="246">
        <f t="shared" si="700"/>
        <v>0</v>
      </c>
      <c r="BD100" s="245">
        <f t="shared" si="700"/>
        <v>0</v>
      </c>
      <c r="BE100" s="245">
        <f t="shared" si="700"/>
        <v>0</v>
      </c>
      <c r="BF100" s="245">
        <f t="shared" si="700"/>
        <v>0</v>
      </c>
      <c r="BG100" s="178">
        <f t="shared" si="700"/>
        <v>0</v>
      </c>
      <c r="BH100" s="24" t="e">
        <f>AD100/AD103</f>
        <v>#DIV/0!</v>
      </c>
      <c r="BJ100" s="2" t="s">
        <v>6</v>
      </c>
      <c r="BK100" s="38">
        <f t="shared" ref="BK100:BV100" si="701">IF(AG103&gt;0,AG100/AG103,0)</f>
        <v>0</v>
      </c>
      <c r="BL100" s="245">
        <f t="shared" si="701"/>
        <v>0</v>
      </c>
      <c r="BM100" s="245">
        <f t="shared" si="701"/>
        <v>0</v>
      </c>
      <c r="BN100" s="245">
        <f t="shared" si="701"/>
        <v>0</v>
      </c>
      <c r="BO100" s="245">
        <f t="shared" si="701"/>
        <v>0</v>
      </c>
      <c r="BP100" s="245">
        <f t="shared" si="701"/>
        <v>0</v>
      </c>
      <c r="BQ100" s="245">
        <f t="shared" si="701"/>
        <v>0</v>
      </c>
      <c r="BR100" s="246">
        <f t="shared" si="701"/>
        <v>0</v>
      </c>
      <c r="BS100" s="245">
        <f t="shared" si="701"/>
        <v>0</v>
      </c>
      <c r="BT100" s="245">
        <f t="shared" si="701"/>
        <v>0</v>
      </c>
      <c r="BU100" s="245">
        <f t="shared" si="701"/>
        <v>0</v>
      </c>
      <c r="BV100" s="178">
        <f t="shared" si="701"/>
        <v>0</v>
      </c>
      <c r="BW100" s="24" t="e">
        <f>AS100/AS103</f>
        <v>#DIV/0!</v>
      </c>
      <c r="BX100" s="24"/>
      <c r="BY100" s="2" t="s">
        <v>6</v>
      </c>
      <c r="BZ100" s="54">
        <f t="shared" si="582"/>
        <v>0</v>
      </c>
      <c r="CA100" s="55">
        <f t="shared" si="550"/>
        <v>0</v>
      </c>
      <c r="CB100" s="55">
        <f t="shared" si="551"/>
        <v>0</v>
      </c>
      <c r="CC100" s="55">
        <f t="shared" si="552"/>
        <v>0</v>
      </c>
      <c r="CD100" s="55">
        <f t="shared" si="553"/>
        <v>0</v>
      </c>
      <c r="CE100" s="55">
        <f t="shared" si="554"/>
        <v>0</v>
      </c>
      <c r="CF100" s="55">
        <f t="shared" si="555"/>
        <v>0</v>
      </c>
      <c r="CG100" s="249">
        <f>AN100-Y100</f>
        <v>0</v>
      </c>
      <c r="CH100" s="55">
        <f t="shared" si="557"/>
        <v>0</v>
      </c>
      <c r="CI100" s="55">
        <f t="shared" si="558"/>
        <v>0</v>
      </c>
      <c r="CJ100" s="55">
        <f t="shared" si="559"/>
        <v>0</v>
      </c>
      <c r="CK100" s="252">
        <f t="shared" si="559"/>
        <v>0</v>
      </c>
      <c r="CL100" s="55">
        <f t="shared" si="560"/>
        <v>0</v>
      </c>
      <c r="CN100" s="2" t="s">
        <v>6</v>
      </c>
      <c r="CO100" s="54">
        <f t="shared" si="583"/>
        <v>0</v>
      </c>
      <c r="CP100" s="55">
        <f t="shared" si="561"/>
        <v>0</v>
      </c>
      <c r="CQ100" s="55">
        <f t="shared" si="562"/>
        <v>0</v>
      </c>
      <c r="CR100" s="55">
        <f t="shared" si="563"/>
        <v>0</v>
      </c>
      <c r="CS100" s="55">
        <f t="shared" si="564"/>
        <v>0</v>
      </c>
      <c r="CT100" s="55">
        <f t="shared" si="565"/>
        <v>0</v>
      </c>
      <c r="CU100" s="55">
        <f t="shared" si="566"/>
        <v>0</v>
      </c>
      <c r="CV100" s="249">
        <f t="shared" si="567"/>
        <v>0</v>
      </c>
      <c r="CW100" s="55">
        <f t="shared" si="568"/>
        <v>0</v>
      </c>
      <c r="CX100" s="55">
        <f t="shared" si="569"/>
        <v>0</v>
      </c>
      <c r="CY100" s="55">
        <f t="shared" si="570"/>
        <v>0</v>
      </c>
      <c r="CZ100" s="252">
        <f t="shared" si="570"/>
        <v>0</v>
      </c>
      <c r="DA100" s="62" t="e">
        <f t="shared" si="571"/>
        <v>#DIV/0!</v>
      </c>
      <c r="DC100" s="2" t="s">
        <v>6</v>
      </c>
      <c r="DD100" s="198">
        <f t="shared" si="584"/>
        <v>0</v>
      </c>
      <c r="DE100" s="199">
        <f t="shared" si="585"/>
        <v>0</v>
      </c>
      <c r="DF100" s="198">
        <f t="shared" si="586"/>
        <v>0</v>
      </c>
      <c r="DG100" s="199">
        <f t="shared" si="587"/>
        <v>0</v>
      </c>
      <c r="DH100" s="198">
        <f t="shared" si="588"/>
        <v>0</v>
      </c>
      <c r="DI100" s="199">
        <f t="shared" si="589"/>
        <v>0</v>
      </c>
      <c r="DJ100" s="198">
        <f t="shared" si="590"/>
        <v>0</v>
      </c>
      <c r="DK100" s="199">
        <f t="shared" si="591"/>
        <v>0</v>
      </c>
      <c r="DL100" s="198">
        <f t="shared" si="592"/>
        <v>0</v>
      </c>
      <c r="DM100" s="199">
        <f t="shared" si="593"/>
        <v>0</v>
      </c>
      <c r="DN100" s="198">
        <f t="shared" si="594"/>
        <v>0</v>
      </c>
      <c r="DO100" s="199">
        <f t="shared" si="595"/>
        <v>0</v>
      </c>
      <c r="DP100" s="198">
        <f t="shared" si="596"/>
        <v>0</v>
      </c>
      <c r="DQ100" s="199">
        <f t="shared" si="597"/>
        <v>0</v>
      </c>
      <c r="DR100" s="198">
        <f t="shared" si="598"/>
        <v>0</v>
      </c>
      <c r="DS100" s="199">
        <f t="shared" si="599"/>
        <v>0</v>
      </c>
      <c r="DT100" s="198">
        <f t="shared" si="600"/>
        <v>0</v>
      </c>
      <c r="DU100" s="199">
        <f t="shared" si="601"/>
        <v>0</v>
      </c>
      <c r="DV100" s="198">
        <f t="shared" si="602"/>
        <v>0</v>
      </c>
      <c r="DW100" s="199">
        <f t="shared" si="603"/>
        <v>0</v>
      </c>
      <c r="DX100" s="198">
        <f t="shared" si="604"/>
        <v>0</v>
      </c>
      <c r="DY100" s="199">
        <f t="shared" si="605"/>
        <v>0</v>
      </c>
      <c r="DZ100" s="190">
        <f t="shared" si="606"/>
        <v>0</v>
      </c>
      <c r="EA100" s="199">
        <f t="shared" si="572"/>
        <v>0</v>
      </c>
      <c r="EB100" s="190" t="e">
        <f t="shared" si="607"/>
        <v>#DIV/0!</v>
      </c>
      <c r="EC100" s="190" t="e">
        <f t="shared" si="608"/>
        <v>#DIV/0!</v>
      </c>
    </row>
    <row r="101" spans="1:133" x14ac:dyDescent="0.2">
      <c r="A101" s="2" t="s">
        <v>88</v>
      </c>
      <c r="B101" s="38">
        <f>targets!AW96</f>
        <v>0</v>
      </c>
      <c r="C101" s="245">
        <f>targets!AX96</f>
        <v>0</v>
      </c>
      <c r="D101" s="245">
        <f>targets!AY96</f>
        <v>0</v>
      </c>
      <c r="E101" s="245">
        <f>targets!AZ96</f>
        <v>0</v>
      </c>
      <c r="F101" s="245">
        <f>targets!BA96</f>
        <v>0</v>
      </c>
      <c r="G101" s="245">
        <f>SUM(targets!BB96:BG96)</f>
        <v>14931.202362217236</v>
      </c>
      <c r="H101" s="245">
        <f>SUM(targets!BH96:BM96)</f>
        <v>0</v>
      </c>
      <c r="I101" s="246">
        <f t="shared" si="573"/>
        <v>14931.202362217236</v>
      </c>
      <c r="J101" s="245">
        <f>targets!BN96</f>
        <v>0</v>
      </c>
      <c r="K101" s="245">
        <f>targets!BO96</f>
        <v>31964.808544834395</v>
      </c>
      <c r="L101" s="245">
        <f>targets!BP96</f>
        <v>19.460105202643724</v>
      </c>
      <c r="M101" s="178">
        <f t="shared" si="574"/>
        <v>31984.26865003704</v>
      </c>
      <c r="N101" s="17">
        <f t="shared" si="575"/>
        <v>46915.471012254275</v>
      </c>
      <c r="O101" s="17"/>
      <c r="P101" s="17"/>
      <c r="Q101" s="2" t="s">
        <v>88</v>
      </c>
      <c r="R101" s="38">
        <f t="shared" si="538"/>
        <v>0</v>
      </c>
      <c r="S101" s="245">
        <f t="shared" si="539"/>
        <v>0</v>
      </c>
      <c r="T101" s="245">
        <f t="shared" si="540"/>
        <v>0</v>
      </c>
      <c r="U101" s="245">
        <f t="shared" si="541"/>
        <v>0</v>
      </c>
      <c r="V101" s="245">
        <f t="shared" si="542"/>
        <v>0</v>
      </c>
      <c r="W101" s="245">
        <f t="shared" si="543"/>
        <v>0</v>
      </c>
      <c r="X101" s="245">
        <f t="shared" si="544"/>
        <v>0</v>
      </c>
      <c r="Y101" s="246">
        <f t="shared" si="576"/>
        <v>0</v>
      </c>
      <c r="Z101" s="245">
        <f t="shared" si="545"/>
        <v>0</v>
      </c>
      <c r="AA101" s="245">
        <f t="shared" si="546"/>
        <v>0</v>
      </c>
      <c r="AB101" s="245">
        <f t="shared" si="547"/>
        <v>0</v>
      </c>
      <c r="AC101" s="178">
        <f t="shared" si="577"/>
        <v>0</v>
      </c>
      <c r="AD101" s="17">
        <f t="shared" si="578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5">
        <f t="array" ref="AH101">SUM(IF((modeldata!$F:$F=calibration!$AF$80)*(modeldata!$G:$G=calibration!AH$82)*(modeldata!$H:$H=calibration!$AF101),modeldata!$E:$E,0))</f>
        <v>0</v>
      </c>
      <c r="AI101" s="245">
        <f t="array" ref="AI101">SUM(IF((modeldata!$F:$F=calibration!$AF$80)*(modeldata!$G:$G=calibration!AI$82)*(modeldata!$H:$H=calibration!$AF101),modeldata!$E:$E,0))</f>
        <v>0</v>
      </c>
      <c r="AJ101" s="245">
        <f t="array" ref="AJ101">SUM(IF((modeldata!$F:$F=calibration!$AF$80)*(modeldata!$G:$G=calibration!AJ$82)*(modeldata!$H:$H=calibration!$AF101),modeldata!$E:$E,0))</f>
        <v>0</v>
      </c>
      <c r="AK101" s="245">
        <f t="array" ref="AK101">SUM(IF((modeldata!$F:$F=calibration!$AF$80)*(modeldata!$G:$G=calibration!AK$82)*(modeldata!$H:$H=calibration!$AF101),modeldata!$E:$E,0))</f>
        <v>0</v>
      </c>
      <c r="AL101" s="245">
        <f t="array" ref="AL101">SUM(IF((modeldata!$F:$F=calibration!$AF$80)*(modeldata!$G:$G=calibration!AL$82)*(modeldata!$H:$H=calibration!$AF101),modeldata!$E:$E,0))</f>
        <v>0</v>
      </c>
      <c r="AM101" s="245">
        <f t="array" ref="AM101">SUM(IF((modeldata!$F:$F=calibration!$AF$80)*(modeldata!$G:$G=calibration!AM$82)*(modeldata!$H:$H=calibration!$AF101),modeldata!$E:$E,0))</f>
        <v>0</v>
      </c>
      <c r="AN101" s="246">
        <f t="shared" si="609"/>
        <v>0</v>
      </c>
      <c r="AO101" s="245">
        <f t="array" ref="AO101">SUM(IF((modeldata!$F:$F=calibration!$AF$80)*(modeldata!$G:$G=calibration!AO$82)*(modeldata!$H:$H=calibration!$AF101),modeldata!$E:$E,0))</f>
        <v>0</v>
      </c>
      <c r="AP101" s="245">
        <f t="array" ref="AP101">SUM(IF((modeldata!$F:$F=calibration!$AF$80)*(modeldata!$G:$G=calibration!AP$82)*(modeldata!$H:$H=calibration!$AF101),modeldata!$E:$E,0))</f>
        <v>0</v>
      </c>
      <c r="AQ101" s="245">
        <f t="array" ref="AQ101">SUM(IF((modeldata!$F:$F=calibration!$AF$80)*(modeldata!$G:$G=calibration!AQ$82)*(modeldata!$H:$H=calibration!$AF101),modeldata!$E:$E,0))</f>
        <v>0</v>
      </c>
      <c r="AR101" s="178">
        <f t="shared" si="699"/>
        <v>0</v>
      </c>
      <c r="AS101" s="17">
        <f t="shared" si="579"/>
        <v>0</v>
      </c>
      <c r="AU101" s="2" t="s">
        <v>88</v>
      </c>
      <c r="AV101" s="38">
        <f t="shared" ref="AV101:BG101" si="702">IF(R103&gt;0,R101/R103,0)</f>
        <v>0</v>
      </c>
      <c r="AW101" s="245">
        <f t="shared" si="702"/>
        <v>0</v>
      </c>
      <c r="AX101" s="245">
        <f t="shared" si="702"/>
        <v>0</v>
      </c>
      <c r="AY101" s="245">
        <f t="shared" si="702"/>
        <v>0</v>
      </c>
      <c r="AZ101" s="245">
        <f t="shared" si="702"/>
        <v>0</v>
      </c>
      <c r="BA101" s="245">
        <f t="shared" si="702"/>
        <v>0</v>
      </c>
      <c r="BB101" s="245">
        <f t="shared" si="702"/>
        <v>0</v>
      </c>
      <c r="BC101" s="246">
        <f t="shared" si="702"/>
        <v>0</v>
      </c>
      <c r="BD101" s="245">
        <f t="shared" si="702"/>
        <v>0</v>
      </c>
      <c r="BE101" s="245">
        <f t="shared" si="702"/>
        <v>0</v>
      </c>
      <c r="BF101" s="245">
        <f t="shared" si="702"/>
        <v>0</v>
      </c>
      <c r="BG101" s="178">
        <f t="shared" si="702"/>
        <v>0</v>
      </c>
      <c r="BH101" s="24" t="e">
        <f>AD101/AD103</f>
        <v>#DIV/0!</v>
      </c>
      <c r="BJ101" s="2" t="s">
        <v>88</v>
      </c>
      <c r="BK101" s="38">
        <f t="shared" ref="BK101:BV101" si="703">IF(AG103&gt;0,AG101/AG103,0)</f>
        <v>0</v>
      </c>
      <c r="BL101" s="245">
        <f t="shared" si="703"/>
        <v>0</v>
      </c>
      <c r="BM101" s="245">
        <f t="shared" si="703"/>
        <v>0</v>
      </c>
      <c r="BN101" s="245">
        <f t="shared" si="703"/>
        <v>0</v>
      </c>
      <c r="BO101" s="245">
        <f t="shared" si="703"/>
        <v>0</v>
      </c>
      <c r="BP101" s="245">
        <f t="shared" si="703"/>
        <v>0</v>
      </c>
      <c r="BQ101" s="245">
        <f t="shared" si="703"/>
        <v>0</v>
      </c>
      <c r="BR101" s="246">
        <f t="shared" si="703"/>
        <v>0</v>
      </c>
      <c r="BS101" s="245">
        <f t="shared" si="703"/>
        <v>0</v>
      </c>
      <c r="BT101" s="245">
        <f t="shared" si="703"/>
        <v>0</v>
      </c>
      <c r="BU101" s="245">
        <f t="shared" si="703"/>
        <v>0</v>
      </c>
      <c r="BV101" s="178">
        <f t="shared" si="703"/>
        <v>0</v>
      </c>
      <c r="BW101" s="24" t="e">
        <f>AS101/AS103</f>
        <v>#DIV/0!</v>
      </c>
      <c r="BX101" s="24"/>
      <c r="BY101" s="2" t="s">
        <v>88</v>
      </c>
      <c r="BZ101" s="54">
        <f t="shared" si="582"/>
        <v>0</v>
      </c>
      <c r="CA101" s="55">
        <f t="shared" si="550"/>
        <v>0</v>
      </c>
      <c r="CB101" s="55">
        <f t="shared" si="551"/>
        <v>0</v>
      </c>
      <c r="CC101" s="55">
        <f t="shared" si="552"/>
        <v>0</v>
      </c>
      <c r="CD101" s="55">
        <f t="shared" si="553"/>
        <v>0</v>
      </c>
      <c r="CE101" s="55">
        <f t="shared" si="554"/>
        <v>0</v>
      </c>
      <c r="CF101" s="55">
        <f t="shared" si="555"/>
        <v>0</v>
      </c>
      <c r="CG101" s="249">
        <f>AN101-Y101</f>
        <v>0</v>
      </c>
      <c r="CH101" s="55">
        <f t="shared" si="557"/>
        <v>0</v>
      </c>
      <c r="CI101" s="55">
        <f t="shared" si="558"/>
        <v>0</v>
      </c>
      <c r="CJ101" s="55">
        <f t="shared" si="559"/>
        <v>0</v>
      </c>
      <c r="CK101" s="252">
        <f t="shared" si="559"/>
        <v>0</v>
      </c>
      <c r="CL101" s="55">
        <f t="shared" si="560"/>
        <v>0</v>
      </c>
      <c r="CN101" s="2" t="s">
        <v>88</v>
      </c>
      <c r="CO101" s="54">
        <f t="shared" si="583"/>
        <v>0</v>
      </c>
      <c r="CP101" s="55">
        <f t="shared" si="561"/>
        <v>0</v>
      </c>
      <c r="CQ101" s="55">
        <f t="shared" si="562"/>
        <v>0</v>
      </c>
      <c r="CR101" s="55">
        <f t="shared" si="563"/>
        <v>0</v>
      </c>
      <c r="CS101" s="55">
        <f t="shared" si="564"/>
        <v>0</v>
      </c>
      <c r="CT101" s="55">
        <f t="shared" si="565"/>
        <v>0</v>
      </c>
      <c r="CU101" s="55">
        <f t="shared" si="566"/>
        <v>0</v>
      </c>
      <c r="CV101" s="249">
        <f t="shared" si="567"/>
        <v>0</v>
      </c>
      <c r="CW101" s="55">
        <f t="shared" si="568"/>
        <v>0</v>
      </c>
      <c r="CX101" s="55">
        <f t="shared" si="569"/>
        <v>0</v>
      </c>
      <c r="CY101" s="55">
        <f t="shared" si="570"/>
        <v>0</v>
      </c>
      <c r="CZ101" s="252">
        <f t="shared" si="570"/>
        <v>0</v>
      </c>
      <c r="DA101" s="62" t="e">
        <f t="shared" si="571"/>
        <v>#DIV/0!</v>
      </c>
      <c r="DC101" s="2" t="s">
        <v>88</v>
      </c>
      <c r="DD101" s="198">
        <f t="shared" si="584"/>
        <v>0</v>
      </c>
      <c r="DE101" s="199">
        <f t="shared" si="585"/>
        <v>0</v>
      </c>
      <c r="DF101" s="198">
        <f t="shared" si="586"/>
        <v>0</v>
      </c>
      <c r="DG101" s="199">
        <f t="shared" si="587"/>
        <v>0</v>
      </c>
      <c r="DH101" s="198">
        <f t="shared" si="588"/>
        <v>0</v>
      </c>
      <c r="DI101" s="199">
        <f t="shared" si="589"/>
        <v>0</v>
      </c>
      <c r="DJ101" s="198">
        <f t="shared" si="590"/>
        <v>0</v>
      </c>
      <c r="DK101" s="199">
        <f t="shared" si="591"/>
        <v>0</v>
      </c>
      <c r="DL101" s="198">
        <f t="shared" si="592"/>
        <v>0</v>
      </c>
      <c r="DM101" s="199">
        <f t="shared" si="593"/>
        <v>0</v>
      </c>
      <c r="DN101" s="198">
        <f t="shared" si="594"/>
        <v>0</v>
      </c>
      <c r="DO101" s="199">
        <f t="shared" si="595"/>
        <v>0</v>
      </c>
      <c r="DP101" s="198">
        <f t="shared" si="596"/>
        <v>0</v>
      </c>
      <c r="DQ101" s="199">
        <f t="shared" si="597"/>
        <v>0</v>
      </c>
      <c r="DR101" s="198">
        <f t="shared" si="598"/>
        <v>0</v>
      </c>
      <c r="DS101" s="199">
        <f t="shared" si="599"/>
        <v>0</v>
      </c>
      <c r="DT101" s="198">
        <f t="shared" si="600"/>
        <v>0</v>
      </c>
      <c r="DU101" s="199">
        <f t="shared" si="601"/>
        <v>0</v>
      </c>
      <c r="DV101" s="198">
        <f t="shared" si="602"/>
        <v>0</v>
      </c>
      <c r="DW101" s="199">
        <f t="shared" si="603"/>
        <v>0</v>
      </c>
      <c r="DX101" s="198">
        <f t="shared" si="604"/>
        <v>0</v>
      </c>
      <c r="DY101" s="199">
        <f t="shared" si="605"/>
        <v>0</v>
      </c>
      <c r="DZ101" s="190">
        <f t="shared" si="606"/>
        <v>0</v>
      </c>
      <c r="EA101" s="199">
        <f t="shared" si="572"/>
        <v>0</v>
      </c>
      <c r="EB101" s="190" t="e">
        <f t="shared" si="607"/>
        <v>#DIV/0!</v>
      </c>
      <c r="EC101" s="190" t="e">
        <f t="shared" si="608"/>
        <v>#DIV/0!</v>
      </c>
    </row>
    <row r="102" spans="1:133" x14ac:dyDescent="0.2">
      <c r="A102" s="2" t="s">
        <v>89</v>
      </c>
      <c r="B102" s="42">
        <f>targets!AW97</f>
        <v>0</v>
      </c>
      <c r="C102" s="43">
        <f>targets!AX97</f>
        <v>0</v>
      </c>
      <c r="D102" s="43">
        <f>targets!AY97</f>
        <v>0</v>
      </c>
      <c r="E102" s="43">
        <f>targets!AZ97</f>
        <v>0</v>
      </c>
      <c r="F102" s="43">
        <f>targets!BA97</f>
        <v>0</v>
      </c>
      <c r="G102" s="43">
        <f>SUM(targets!BB97:BG97)</f>
        <v>266.6282424554629</v>
      </c>
      <c r="H102" s="43">
        <f>SUM(targets!BH97:BM97)</f>
        <v>0</v>
      </c>
      <c r="I102" s="75">
        <f t="shared" si="573"/>
        <v>266.6282424554629</v>
      </c>
      <c r="J102" s="43">
        <f>targets!BN97</f>
        <v>0</v>
      </c>
      <c r="K102" s="43">
        <f>targets!BO97</f>
        <v>0</v>
      </c>
      <c r="L102" s="43">
        <f>targets!BP97</f>
        <v>178.04809163228069</v>
      </c>
      <c r="M102" s="247">
        <f t="shared" si="574"/>
        <v>178.04809163228069</v>
      </c>
      <c r="N102" s="17">
        <f t="shared" si="575"/>
        <v>444.67633408774361</v>
      </c>
      <c r="O102" s="17"/>
      <c r="P102" s="17"/>
      <c r="Q102" s="2" t="s">
        <v>89</v>
      </c>
      <c r="R102" s="42">
        <f t="shared" si="538"/>
        <v>0</v>
      </c>
      <c r="S102" s="43">
        <f t="shared" si="539"/>
        <v>0</v>
      </c>
      <c r="T102" s="43">
        <f t="shared" si="540"/>
        <v>0</v>
      </c>
      <c r="U102" s="43">
        <f t="shared" si="541"/>
        <v>0</v>
      </c>
      <c r="V102" s="43">
        <f t="shared" si="542"/>
        <v>0</v>
      </c>
      <c r="W102" s="43">
        <f t="shared" si="543"/>
        <v>0</v>
      </c>
      <c r="X102" s="43">
        <f t="shared" si="544"/>
        <v>0</v>
      </c>
      <c r="Y102" s="75">
        <f t="shared" si="576"/>
        <v>0</v>
      </c>
      <c r="Z102" s="43">
        <f t="shared" si="545"/>
        <v>0</v>
      </c>
      <c r="AA102" s="43">
        <f t="shared" si="546"/>
        <v>0</v>
      </c>
      <c r="AB102" s="43">
        <f t="shared" si="547"/>
        <v>0</v>
      </c>
      <c r="AC102" s="247">
        <f t="shared" si="577"/>
        <v>0</v>
      </c>
      <c r="AD102" s="17">
        <f t="shared" si="578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9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7">
        <f t="shared" si="699"/>
        <v>0</v>
      </c>
      <c r="AS102" s="17">
        <f t="shared" si="579"/>
        <v>0</v>
      </c>
      <c r="AU102" s="2" t="s">
        <v>89</v>
      </c>
      <c r="AV102" s="42">
        <f t="shared" ref="AV102:BG102" si="704">IF(R103&gt;0,R102/R103,0)</f>
        <v>0</v>
      </c>
      <c r="AW102" s="43">
        <f t="shared" si="704"/>
        <v>0</v>
      </c>
      <c r="AX102" s="43">
        <f t="shared" si="704"/>
        <v>0</v>
      </c>
      <c r="AY102" s="43">
        <f t="shared" si="704"/>
        <v>0</v>
      </c>
      <c r="AZ102" s="43">
        <f t="shared" si="704"/>
        <v>0</v>
      </c>
      <c r="BA102" s="43">
        <f t="shared" si="704"/>
        <v>0</v>
      </c>
      <c r="BB102" s="43">
        <f t="shared" si="704"/>
        <v>0</v>
      </c>
      <c r="BC102" s="75">
        <f t="shared" si="704"/>
        <v>0</v>
      </c>
      <c r="BD102" s="43">
        <f t="shared" si="704"/>
        <v>0</v>
      </c>
      <c r="BE102" s="43">
        <f t="shared" si="704"/>
        <v>0</v>
      </c>
      <c r="BF102" s="43">
        <f t="shared" si="704"/>
        <v>0</v>
      </c>
      <c r="BG102" s="247">
        <f t="shared" si="704"/>
        <v>0</v>
      </c>
      <c r="BH102" s="24" t="e">
        <f>AD102/AD103</f>
        <v>#DIV/0!</v>
      </c>
      <c r="BJ102" s="2" t="s">
        <v>89</v>
      </c>
      <c r="BK102" s="42">
        <f t="shared" ref="BK102:BV102" si="705">IF(AG103&gt;0,AG102/AG103,0)</f>
        <v>0</v>
      </c>
      <c r="BL102" s="43">
        <f t="shared" si="705"/>
        <v>0</v>
      </c>
      <c r="BM102" s="43">
        <f t="shared" si="705"/>
        <v>0</v>
      </c>
      <c r="BN102" s="43">
        <f t="shared" si="705"/>
        <v>0</v>
      </c>
      <c r="BO102" s="43">
        <f t="shared" si="705"/>
        <v>0</v>
      </c>
      <c r="BP102" s="43">
        <f t="shared" si="705"/>
        <v>0</v>
      </c>
      <c r="BQ102" s="43">
        <f t="shared" si="705"/>
        <v>0</v>
      </c>
      <c r="BR102" s="75">
        <f t="shared" si="705"/>
        <v>0</v>
      </c>
      <c r="BS102" s="43">
        <f t="shared" si="705"/>
        <v>0</v>
      </c>
      <c r="BT102" s="43">
        <f t="shared" si="705"/>
        <v>0</v>
      </c>
      <c r="BU102" s="43">
        <f t="shared" si="705"/>
        <v>0</v>
      </c>
      <c r="BV102" s="247">
        <f t="shared" si="705"/>
        <v>0</v>
      </c>
      <c r="BW102" s="24" t="e">
        <f>AS102/AS103</f>
        <v>#DIV/0!</v>
      </c>
      <c r="BX102" s="24"/>
      <c r="BY102" s="2" t="s">
        <v>89</v>
      </c>
      <c r="BZ102" s="56">
        <f t="shared" si="582"/>
        <v>0</v>
      </c>
      <c r="CA102" s="57">
        <f t="shared" si="550"/>
        <v>0</v>
      </c>
      <c r="CB102" s="57">
        <f t="shared" si="551"/>
        <v>0</v>
      </c>
      <c r="CC102" s="57">
        <f t="shared" si="552"/>
        <v>0</v>
      </c>
      <c r="CD102" s="57">
        <f t="shared" si="553"/>
        <v>0</v>
      </c>
      <c r="CE102" s="57">
        <f t="shared" si="554"/>
        <v>0</v>
      </c>
      <c r="CF102" s="57">
        <f t="shared" si="555"/>
        <v>0</v>
      </c>
      <c r="CG102" s="250">
        <f>AN102-Y102</f>
        <v>0</v>
      </c>
      <c r="CH102" s="57">
        <f t="shared" si="557"/>
        <v>0</v>
      </c>
      <c r="CI102" s="57">
        <f t="shared" si="558"/>
        <v>0</v>
      </c>
      <c r="CJ102" s="57">
        <f t="shared" si="559"/>
        <v>0</v>
      </c>
      <c r="CK102" s="253">
        <f t="shared" si="559"/>
        <v>0</v>
      </c>
      <c r="CL102" s="55">
        <f t="shared" si="560"/>
        <v>0</v>
      </c>
      <c r="CN102" s="2" t="s">
        <v>89</v>
      </c>
      <c r="CO102" s="56">
        <f t="shared" si="583"/>
        <v>0</v>
      </c>
      <c r="CP102" s="57">
        <f t="shared" si="561"/>
        <v>0</v>
      </c>
      <c r="CQ102" s="57">
        <f t="shared" si="562"/>
        <v>0</v>
      </c>
      <c r="CR102" s="57">
        <f t="shared" si="563"/>
        <v>0</v>
      </c>
      <c r="CS102" s="57">
        <f t="shared" si="564"/>
        <v>0</v>
      </c>
      <c r="CT102" s="57">
        <f t="shared" si="565"/>
        <v>0</v>
      </c>
      <c r="CU102" s="57">
        <f t="shared" si="566"/>
        <v>0</v>
      </c>
      <c r="CV102" s="250">
        <f t="shared" si="567"/>
        <v>0</v>
      </c>
      <c r="CW102" s="57">
        <f t="shared" si="568"/>
        <v>0</v>
      </c>
      <c r="CX102" s="57">
        <f t="shared" si="569"/>
        <v>0</v>
      </c>
      <c r="CY102" s="57">
        <f t="shared" si="570"/>
        <v>0</v>
      </c>
      <c r="CZ102" s="253">
        <f t="shared" si="570"/>
        <v>0</v>
      </c>
      <c r="DA102" s="62" t="e">
        <f t="shared" si="571"/>
        <v>#DIV/0!</v>
      </c>
      <c r="DC102" s="2" t="s">
        <v>89</v>
      </c>
      <c r="DD102" s="200">
        <f t="shared" si="584"/>
        <v>0</v>
      </c>
      <c r="DE102" s="201">
        <f t="shared" si="585"/>
        <v>0</v>
      </c>
      <c r="DF102" s="200">
        <f t="shared" si="586"/>
        <v>0</v>
      </c>
      <c r="DG102" s="201">
        <f t="shared" si="587"/>
        <v>0</v>
      </c>
      <c r="DH102" s="200">
        <f t="shared" si="588"/>
        <v>0</v>
      </c>
      <c r="DI102" s="201">
        <f t="shared" si="589"/>
        <v>0</v>
      </c>
      <c r="DJ102" s="200">
        <f t="shared" si="590"/>
        <v>0</v>
      </c>
      <c r="DK102" s="201">
        <f t="shared" si="591"/>
        <v>0</v>
      </c>
      <c r="DL102" s="200">
        <f t="shared" si="592"/>
        <v>0</v>
      </c>
      <c r="DM102" s="201">
        <f t="shared" si="593"/>
        <v>0</v>
      </c>
      <c r="DN102" s="200">
        <f t="shared" si="594"/>
        <v>0</v>
      </c>
      <c r="DO102" s="201">
        <f t="shared" si="595"/>
        <v>0</v>
      </c>
      <c r="DP102" s="200">
        <f t="shared" si="596"/>
        <v>0</v>
      </c>
      <c r="DQ102" s="201">
        <f t="shared" si="597"/>
        <v>0</v>
      </c>
      <c r="DR102" s="200">
        <f t="shared" si="598"/>
        <v>0</v>
      </c>
      <c r="DS102" s="201">
        <f t="shared" si="599"/>
        <v>0</v>
      </c>
      <c r="DT102" s="200">
        <f t="shared" si="600"/>
        <v>0</v>
      </c>
      <c r="DU102" s="201">
        <f t="shared" si="601"/>
        <v>0</v>
      </c>
      <c r="DV102" s="200">
        <f t="shared" si="602"/>
        <v>0</v>
      </c>
      <c r="DW102" s="201">
        <f t="shared" si="603"/>
        <v>0</v>
      </c>
      <c r="DX102" s="200">
        <f t="shared" si="604"/>
        <v>0</v>
      </c>
      <c r="DY102" s="201">
        <f t="shared" si="605"/>
        <v>0</v>
      </c>
      <c r="DZ102" s="202">
        <f t="shared" si="606"/>
        <v>0</v>
      </c>
      <c r="EA102" s="201">
        <f t="shared" si="572"/>
        <v>0</v>
      </c>
      <c r="EB102" s="190" t="e">
        <f t="shared" si="607"/>
        <v>#DIV/0!</v>
      </c>
      <c r="EC102" s="190" t="e">
        <f t="shared" si="608"/>
        <v>#DIV/0!</v>
      </c>
    </row>
    <row r="103" spans="1:133" x14ac:dyDescent="0.2">
      <c r="A103" s="65" t="s">
        <v>54</v>
      </c>
      <c r="B103" s="17">
        <f t="shared" ref="B103:M103" si="706">SUM(B83:B102)</f>
        <v>2551693.7098455485</v>
      </c>
      <c r="C103" s="17">
        <f t="shared" si="706"/>
        <v>2317041.346854751</v>
      </c>
      <c r="D103" s="17">
        <f t="shared" si="706"/>
        <v>1266260.2490607002</v>
      </c>
      <c r="E103" s="17">
        <f t="shared" si="706"/>
        <v>425070.63853340497</v>
      </c>
      <c r="F103" s="17">
        <f t="shared" si="706"/>
        <v>179433.68565808388</v>
      </c>
      <c r="G103" s="17">
        <f t="shared" si="706"/>
        <v>226750.8061870028</v>
      </c>
      <c r="H103" s="17">
        <f t="shared" si="706"/>
        <v>6535.805012189403</v>
      </c>
      <c r="I103" s="72">
        <f t="shared" si="706"/>
        <v>233286.61119919224</v>
      </c>
      <c r="J103" s="17">
        <f t="shared" si="706"/>
        <v>1710.028912302872</v>
      </c>
      <c r="K103" s="17">
        <f t="shared" si="706"/>
        <v>45536.784607442227</v>
      </c>
      <c r="L103" s="17">
        <f t="shared" si="706"/>
        <v>356.09618326456138</v>
      </c>
      <c r="M103" s="72">
        <f t="shared" si="706"/>
        <v>47602.909703009667</v>
      </c>
      <c r="N103" s="17">
        <f>SUM(B103:L103)-I103</f>
        <v>7020389.1508546919</v>
      </c>
      <c r="O103" s="17"/>
      <c r="P103" s="17"/>
      <c r="Q103" s="65" t="s">
        <v>54</v>
      </c>
      <c r="R103" s="17">
        <f t="shared" ref="R103:AC103" si="707">SUM(R83:R102)</f>
        <v>0</v>
      </c>
      <c r="S103" s="17">
        <f t="shared" si="707"/>
        <v>0</v>
      </c>
      <c r="T103" s="17">
        <f t="shared" si="707"/>
        <v>0</v>
      </c>
      <c r="U103" s="17">
        <f t="shared" si="707"/>
        <v>0</v>
      </c>
      <c r="V103" s="17">
        <f t="shared" si="707"/>
        <v>0</v>
      </c>
      <c r="W103" s="17">
        <f t="shared" si="707"/>
        <v>0</v>
      </c>
      <c r="X103" s="17">
        <f t="shared" si="707"/>
        <v>0</v>
      </c>
      <c r="Y103" s="72">
        <f t="shared" si="707"/>
        <v>0</v>
      </c>
      <c r="Z103" s="17">
        <f t="shared" si="707"/>
        <v>0</v>
      </c>
      <c r="AA103" s="17">
        <f t="shared" si="707"/>
        <v>0</v>
      </c>
      <c r="AB103" s="17">
        <f t="shared" si="707"/>
        <v>0</v>
      </c>
      <c r="AC103" s="72">
        <f t="shared" si="707"/>
        <v>0</v>
      </c>
      <c r="AD103" s="17">
        <f t="shared" si="578"/>
        <v>0</v>
      </c>
      <c r="AF103" s="65" t="s">
        <v>54</v>
      </c>
      <c r="AG103" s="17">
        <f t="shared" ref="AG103:AR103" si="708">SUM(AG83:AG102)</f>
        <v>0</v>
      </c>
      <c r="AH103" s="17">
        <f t="shared" si="708"/>
        <v>0</v>
      </c>
      <c r="AI103" s="17">
        <f t="shared" si="708"/>
        <v>0</v>
      </c>
      <c r="AJ103" s="17">
        <f t="shared" si="708"/>
        <v>0</v>
      </c>
      <c r="AK103" s="17">
        <f t="shared" si="708"/>
        <v>0</v>
      </c>
      <c r="AL103" s="17">
        <f t="shared" si="708"/>
        <v>0</v>
      </c>
      <c r="AM103" s="17">
        <f t="shared" si="708"/>
        <v>0</v>
      </c>
      <c r="AN103" s="72">
        <f t="shared" si="708"/>
        <v>0</v>
      </c>
      <c r="AO103" s="17">
        <f t="shared" si="708"/>
        <v>0</v>
      </c>
      <c r="AP103" s="17">
        <f t="shared" si="708"/>
        <v>0</v>
      </c>
      <c r="AQ103" s="17">
        <f t="shared" si="708"/>
        <v>0</v>
      </c>
      <c r="AR103" s="72">
        <f t="shared" si="708"/>
        <v>0</v>
      </c>
      <c r="AS103" s="17">
        <f t="shared" si="579"/>
        <v>0</v>
      </c>
      <c r="AU103" s="65" t="s">
        <v>54</v>
      </c>
      <c r="AV103" s="17">
        <f t="shared" ref="AV103:BH103" si="709">SUM(AV83:AV102)</f>
        <v>0</v>
      </c>
      <c r="AW103" s="17">
        <f t="shared" si="709"/>
        <v>0</v>
      </c>
      <c r="AX103" s="17">
        <f t="shared" si="709"/>
        <v>0</v>
      </c>
      <c r="AY103" s="17">
        <f t="shared" si="709"/>
        <v>0</v>
      </c>
      <c r="AZ103" s="17">
        <f t="shared" si="709"/>
        <v>0</v>
      </c>
      <c r="BA103" s="17">
        <f t="shared" si="709"/>
        <v>0</v>
      </c>
      <c r="BB103" s="17">
        <f t="shared" si="709"/>
        <v>0</v>
      </c>
      <c r="BC103" s="72">
        <f t="shared" si="709"/>
        <v>0</v>
      </c>
      <c r="BD103" s="17">
        <f t="shared" si="709"/>
        <v>0</v>
      </c>
      <c r="BE103" s="17">
        <f t="shared" si="709"/>
        <v>0</v>
      </c>
      <c r="BF103" s="17">
        <f t="shared" si="709"/>
        <v>0</v>
      </c>
      <c r="BG103" s="72">
        <f t="shared" si="709"/>
        <v>0</v>
      </c>
      <c r="BH103" s="24" t="e">
        <f t="shared" si="709"/>
        <v>#DIV/0!</v>
      </c>
      <c r="BJ103" s="65" t="s">
        <v>54</v>
      </c>
      <c r="BK103" s="24">
        <f t="shared" ref="BK103:BW103" si="710">SUM(BK83:BK102)</f>
        <v>0</v>
      </c>
      <c r="BL103" s="24">
        <f t="shared" si="710"/>
        <v>0</v>
      </c>
      <c r="BM103" s="24">
        <f t="shared" si="710"/>
        <v>0</v>
      </c>
      <c r="BN103" s="24">
        <f t="shared" si="710"/>
        <v>0</v>
      </c>
      <c r="BO103" s="24">
        <f t="shared" si="710"/>
        <v>0</v>
      </c>
      <c r="BP103" s="24">
        <f t="shared" si="710"/>
        <v>0</v>
      </c>
      <c r="BQ103" s="24">
        <f t="shared" si="710"/>
        <v>0</v>
      </c>
      <c r="BR103" s="24">
        <f t="shared" si="710"/>
        <v>0</v>
      </c>
      <c r="BS103" s="24">
        <f t="shared" si="710"/>
        <v>0</v>
      </c>
      <c r="BT103" s="24">
        <f t="shared" si="710"/>
        <v>0</v>
      </c>
      <c r="BU103" s="24">
        <f t="shared" si="710"/>
        <v>0</v>
      </c>
      <c r="BV103" s="24">
        <f t="shared" si="710"/>
        <v>0</v>
      </c>
      <c r="BW103" s="24" t="e">
        <f t="shared" si="710"/>
        <v>#DIV/0!</v>
      </c>
      <c r="BX103" s="24"/>
      <c r="BY103" s="65" t="s">
        <v>54</v>
      </c>
      <c r="BZ103" s="55">
        <f t="shared" si="582"/>
        <v>0</v>
      </c>
      <c r="CA103" s="55">
        <f t="shared" si="550"/>
        <v>0</v>
      </c>
      <c r="CB103" s="55">
        <f t="shared" si="551"/>
        <v>0</v>
      </c>
      <c r="CC103" s="55">
        <f t="shared" si="552"/>
        <v>0</v>
      </c>
      <c r="CD103" s="55">
        <f t="shared" si="553"/>
        <v>0</v>
      </c>
      <c r="CE103" s="55">
        <f t="shared" si="554"/>
        <v>0</v>
      </c>
      <c r="CF103" s="55">
        <f t="shared" si="555"/>
        <v>0</v>
      </c>
      <c r="CG103" s="55">
        <f>AN103-Y103</f>
        <v>0</v>
      </c>
      <c r="CH103" s="55">
        <f t="shared" si="557"/>
        <v>0</v>
      </c>
      <c r="CI103" s="55">
        <f t="shared" si="558"/>
        <v>0</v>
      </c>
      <c r="CJ103" s="55">
        <f t="shared" si="559"/>
        <v>0</v>
      </c>
      <c r="CK103" s="55">
        <f t="shared" si="559"/>
        <v>0</v>
      </c>
      <c r="CL103" s="55">
        <f t="shared" si="560"/>
        <v>0</v>
      </c>
      <c r="CN103" s="65" t="s">
        <v>54</v>
      </c>
      <c r="CO103" s="55">
        <f t="shared" si="583"/>
        <v>0</v>
      </c>
      <c r="CP103" s="55">
        <f t="shared" si="561"/>
        <v>0</v>
      </c>
      <c r="CQ103" s="55">
        <f t="shared" si="562"/>
        <v>0</v>
      </c>
      <c r="CR103" s="55">
        <f t="shared" si="563"/>
        <v>0</v>
      </c>
      <c r="CS103" s="55">
        <f t="shared" si="564"/>
        <v>0</v>
      </c>
      <c r="CT103" s="55">
        <f t="shared" si="565"/>
        <v>0</v>
      </c>
      <c r="CU103" s="55">
        <f t="shared" si="566"/>
        <v>0</v>
      </c>
      <c r="CV103" s="55">
        <f t="shared" si="567"/>
        <v>0</v>
      </c>
      <c r="CW103" s="55">
        <f t="shared" si="568"/>
        <v>0</v>
      </c>
      <c r="CX103" s="55">
        <f t="shared" si="569"/>
        <v>0</v>
      </c>
      <c r="CY103" s="55">
        <f t="shared" si="570"/>
        <v>0</v>
      </c>
      <c r="CZ103" s="55">
        <f t="shared" si="570"/>
        <v>0</v>
      </c>
      <c r="DA103" s="62" t="e">
        <f t="shared" si="571"/>
        <v>#DIV/0!</v>
      </c>
      <c r="DC103" s="65" t="s">
        <v>54</v>
      </c>
      <c r="DD103" s="190">
        <f t="shared" ref="DD103:EC103" si="711">SUM(DD83:DD102)</f>
        <v>0</v>
      </c>
      <c r="DE103" s="190">
        <f t="shared" si="711"/>
        <v>0</v>
      </c>
      <c r="DF103" s="190">
        <f t="shared" si="711"/>
        <v>0</v>
      </c>
      <c r="DG103" s="190">
        <f t="shared" si="711"/>
        <v>0</v>
      </c>
      <c r="DH103" s="190">
        <f t="shared" si="711"/>
        <v>0</v>
      </c>
      <c r="DI103" s="190">
        <f t="shared" si="711"/>
        <v>0</v>
      </c>
      <c r="DJ103" s="190">
        <f t="shared" si="711"/>
        <v>0</v>
      </c>
      <c r="DK103" s="190">
        <f t="shared" si="711"/>
        <v>0</v>
      </c>
      <c r="DL103" s="190">
        <f t="shared" si="711"/>
        <v>0</v>
      </c>
      <c r="DM103" s="190">
        <f t="shared" si="711"/>
        <v>0</v>
      </c>
      <c r="DN103" s="190">
        <f t="shared" si="711"/>
        <v>0</v>
      </c>
      <c r="DO103" s="190">
        <f t="shared" si="711"/>
        <v>0</v>
      </c>
      <c r="DP103" s="190">
        <f t="shared" si="711"/>
        <v>0</v>
      </c>
      <c r="DQ103" s="190">
        <f t="shared" si="711"/>
        <v>0</v>
      </c>
      <c r="DR103" s="190">
        <f t="shared" si="711"/>
        <v>0</v>
      </c>
      <c r="DS103" s="190">
        <f t="shared" si="711"/>
        <v>0</v>
      </c>
      <c r="DT103" s="190">
        <f t="shared" si="711"/>
        <v>0</v>
      </c>
      <c r="DU103" s="190">
        <f t="shared" si="711"/>
        <v>0</v>
      </c>
      <c r="DV103" s="190">
        <f t="shared" si="711"/>
        <v>0</v>
      </c>
      <c r="DW103" s="190">
        <f t="shared" si="711"/>
        <v>0</v>
      </c>
      <c r="DX103" s="190">
        <f t="shared" si="711"/>
        <v>0</v>
      </c>
      <c r="DY103" s="190">
        <f t="shared" si="711"/>
        <v>0</v>
      </c>
      <c r="DZ103" s="190">
        <f t="shared" si="711"/>
        <v>0</v>
      </c>
      <c r="EA103" s="190">
        <f t="shared" si="711"/>
        <v>0</v>
      </c>
      <c r="EB103" s="190" t="e">
        <f t="shared" si="711"/>
        <v>#DIV/0!</v>
      </c>
      <c r="EC103" s="190" t="e">
        <f t="shared" si="711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targets!AW102</f>
        <v>1816598.7797230922</v>
      </c>
      <c r="C109" s="37">
        <f>targets!AX102</f>
        <v>316471.57803529693</v>
      </c>
      <c r="D109" s="37">
        <f>targets!AY102</f>
        <v>130959.25470638393</v>
      </c>
      <c r="E109" s="37">
        <f>targets!AZ102</f>
        <v>0</v>
      </c>
      <c r="F109" s="37">
        <f>targets!BA102</f>
        <v>0</v>
      </c>
      <c r="G109" s="37">
        <f>SUM(targets!BB102:BG102)</f>
        <v>0</v>
      </c>
      <c r="H109" s="37">
        <f>SUM(targets!BH102:BM102)</f>
        <v>0</v>
      </c>
      <c r="I109" s="74">
        <f>SUM(G109:H109)</f>
        <v>0</v>
      </c>
      <c r="J109" s="37">
        <f>targets!BN102</f>
        <v>0</v>
      </c>
      <c r="K109" s="37">
        <f>targets!BO102</f>
        <v>0</v>
      </c>
      <c r="L109" s="37">
        <f>targets!BP102</f>
        <v>0</v>
      </c>
      <c r="M109" s="177">
        <f>SUM(J109:L109)</f>
        <v>0</v>
      </c>
      <c r="N109" s="17">
        <f t="shared" ref="N109:N129" si="712">SUM(B109:L109)-I109</f>
        <v>2264029.6124647735</v>
      </c>
      <c r="O109" s="17"/>
      <c r="P109" s="17"/>
      <c r="Q109" s="66" t="s">
        <v>4</v>
      </c>
      <c r="R109" s="36">
        <f t="shared" ref="R109:R128" si="713">B109*(AG$129/B$129)</f>
        <v>0</v>
      </c>
      <c r="S109" s="37">
        <f t="shared" ref="S109:S128" si="714">C109*(AH$129/C$129)</f>
        <v>0</v>
      </c>
      <c r="T109" s="37">
        <f t="shared" ref="T109:T128" si="715">D109*(AI$129/D$129)</f>
        <v>0</v>
      </c>
      <c r="U109" s="37">
        <f t="shared" ref="U109:U128" si="716">E109*(AJ$129/E$129)</f>
        <v>0</v>
      </c>
      <c r="V109" s="37">
        <f t="shared" ref="V109:V128" si="717">F109*(AK$129/F$129)</f>
        <v>0</v>
      </c>
      <c r="W109" s="37">
        <f t="shared" ref="W109:W128" si="718">G109*(AL$129/G$129)</f>
        <v>0</v>
      </c>
      <c r="X109" s="37">
        <f t="shared" ref="X109:X128" si="719">H109*(AM$129/H$129)</f>
        <v>0</v>
      </c>
      <c r="Y109" s="74">
        <f>SUM(W109:X109)</f>
        <v>0</v>
      </c>
      <c r="Z109" s="37">
        <f t="shared" ref="Z109:Z128" si="720">J109*(AO$129/J$129)</f>
        <v>0</v>
      </c>
      <c r="AA109" s="37">
        <f t="shared" ref="AA109:AA128" si="721">K109*(AP$129/K$129)</f>
        <v>0</v>
      </c>
      <c r="AB109" s="37">
        <f t="shared" ref="AB109:AB128" si="722">L109*(AQ$129/L$129)</f>
        <v>0</v>
      </c>
      <c r="AC109" s="177">
        <f>SUM(Z109:AB109)</f>
        <v>0</v>
      </c>
      <c r="AD109" s="17">
        <f t="shared" ref="AD109:AD129" si="723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24">SUM(AG109:AQ109)-AN109</f>
        <v>0</v>
      </c>
      <c r="AU109" s="66" t="s">
        <v>4</v>
      </c>
      <c r="AV109" s="36">
        <f t="shared" ref="AV109:BG109" si="725">IF(R129&gt;0,R109/R129,0)</f>
        <v>0</v>
      </c>
      <c r="AW109" s="37">
        <f t="shared" si="725"/>
        <v>0</v>
      </c>
      <c r="AX109" s="37">
        <f t="shared" si="725"/>
        <v>0</v>
      </c>
      <c r="AY109" s="37">
        <f t="shared" si="725"/>
        <v>0</v>
      </c>
      <c r="AZ109" s="37">
        <f t="shared" si="725"/>
        <v>0</v>
      </c>
      <c r="BA109" s="37">
        <f t="shared" si="725"/>
        <v>0</v>
      </c>
      <c r="BB109" s="37">
        <f t="shared" si="725"/>
        <v>0</v>
      </c>
      <c r="BC109" s="74">
        <f t="shared" si="725"/>
        <v>0</v>
      </c>
      <c r="BD109" s="37">
        <f t="shared" si="725"/>
        <v>0</v>
      </c>
      <c r="BE109" s="37">
        <f t="shared" si="725"/>
        <v>0</v>
      </c>
      <c r="BF109" s="37">
        <f t="shared" si="725"/>
        <v>0</v>
      </c>
      <c r="BG109" s="177">
        <f t="shared" si="725"/>
        <v>0</v>
      </c>
      <c r="BH109" s="24" t="e">
        <f>AD109/AD129</f>
        <v>#DIV/0!</v>
      </c>
      <c r="BJ109" s="66" t="s">
        <v>4</v>
      </c>
      <c r="BK109" s="36">
        <f t="shared" ref="BK109:BV109" si="726">IF(AG129&gt;0,AG109/AG129,0)</f>
        <v>0</v>
      </c>
      <c r="BL109" s="37">
        <f t="shared" si="726"/>
        <v>0</v>
      </c>
      <c r="BM109" s="37">
        <f t="shared" si="726"/>
        <v>0</v>
      </c>
      <c r="BN109" s="37">
        <f t="shared" si="726"/>
        <v>0</v>
      </c>
      <c r="BO109" s="37">
        <f t="shared" si="726"/>
        <v>0</v>
      </c>
      <c r="BP109" s="37">
        <f t="shared" si="726"/>
        <v>0</v>
      </c>
      <c r="BQ109" s="37">
        <f t="shared" si="726"/>
        <v>0</v>
      </c>
      <c r="BR109" s="74">
        <f t="shared" si="726"/>
        <v>0</v>
      </c>
      <c r="BS109" s="37">
        <f t="shared" si="726"/>
        <v>0</v>
      </c>
      <c r="BT109" s="37">
        <f t="shared" si="726"/>
        <v>0</v>
      </c>
      <c r="BU109" s="37">
        <f t="shared" si="726"/>
        <v>0</v>
      </c>
      <c r="BV109" s="177">
        <f t="shared" si="726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7">AH109-S109</f>
        <v>0</v>
      </c>
      <c r="CB109" s="53">
        <f t="shared" ref="CB109:CB129" si="728">AI109-T109</f>
        <v>0</v>
      </c>
      <c r="CC109" s="53">
        <f t="shared" ref="CC109:CC129" si="729">AJ109-U109</f>
        <v>0</v>
      </c>
      <c r="CD109" s="53">
        <f t="shared" ref="CD109:CD129" si="730">AK109-V109</f>
        <v>0</v>
      </c>
      <c r="CE109" s="53">
        <f t="shared" ref="CE109:CE129" si="731">AL109-W109</f>
        <v>0</v>
      </c>
      <c r="CF109" s="53">
        <f t="shared" ref="CF109:CF129" si="732">AM109-X109</f>
        <v>0</v>
      </c>
      <c r="CG109" s="248">
        <f t="shared" ref="CG109:CG124" si="733">AN109-Y109</f>
        <v>0</v>
      </c>
      <c r="CH109" s="53">
        <f t="shared" ref="CH109:CH129" si="734">AO109-Z109</f>
        <v>0</v>
      </c>
      <c r="CI109" s="53">
        <f t="shared" ref="CI109:CI129" si="735">AP109-AA109</f>
        <v>0</v>
      </c>
      <c r="CJ109" s="53">
        <f t="shared" ref="CJ109:CK129" si="736">AQ109-AB109</f>
        <v>0</v>
      </c>
      <c r="CK109" s="251">
        <f>AR109-AC109</f>
        <v>0</v>
      </c>
      <c r="CL109" s="55">
        <f t="shared" ref="CL109:CL129" si="737">AS109-AD109</f>
        <v>0</v>
      </c>
      <c r="CN109" s="66" t="s">
        <v>4</v>
      </c>
      <c r="CO109" s="58">
        <f>BK109-AV109</f>
        <v>0</v>
      </c>
      <c r="CP109" s="53">
        <f t="shared" ref="CP109:CP129" si="738">BL109-AW109</f>
        <v>0</v>
      </c>
      <c r="CQ109" s="53">
        <f t="shared" ref="CQ109:CQ129" si="739">BM109-AX109</f>
        <v>0</v>
      </c>
      <c r="CR109" s="53">
        <f t="shared" ref="CR109:CR129" si="740">BN109-AY109</f>
        <v>0</v>
      </c>
      <c r="CS109" s="53">
        <f t="shared" ref="CS109:CS129" si="741">BO109-AZ109</f>
        <v>0</v>
      </c>
      <c r="CT109" s="53">
        <f t="shared" ref="CT109:CT129" si="742">BP109-BA109</f>
        <v>0</v>
      </c>
      <c r="CU109" s="53">
        <f t="shared" ref="CU109:CU129" si="743">BQ109-BB109</f>
        <v>0</v>
      </c>
      <c r="CV109" s="248">
        <f t="shared" ref="CV109:CV129" si="744">BR109-BC109</f>
        <v>0</v>
      </c>
      <c r="CW109" s="53">
        <f t="shared" ref="CW109:CW129" si="745">BS109-BD109</f>
        <v>0</v>
      </c>
      <c r="CX109" s="53">
        <f t="shared" ref="CX109:CX129" si="746">BT109-BE109</f>
        <v>0</v>
      </c>
      <c r="CY109" s="53">
        <f t="shared" ref="CY109:CZ129" si="747">BU109-BF109</f>
        <v>0</v>
      </c>
      <c r="CZ109" s="251">
        <f>BV109-BG109</f>
        <v>0</v>
      </c>
      <c r="DA109" s="62" t="e">
        <f t="shared" ref="DA109:DA129" si="748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9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targets!AW103</f>
        <v>0</v>
      </c>
      <c r="C110" s="36">
        <f>targets!AX103</f>
        <v>1051430.0289935293</v>
      </c>
      <c r="D110" s="245">
        <f>targets!AY103</f>
        <v>160457.65065177347</v>
      </c>
      <c r="E110" s="245">
        <f>targets!AZ103</f>
        <v>0</v>
      </c>
      <c r="F110" s="245">
        <f>targets!BA103</f>
        <v>0</v>
      </c>
      <c r="G110" s="245">
        <f>SUM(targets!BB103:BG103)</f>
        <v>36274.857565563143</v>
      </c>
      <c r="H110" s="245">
        <f>SUM(targets!BH103:BM103)</f>
        <v>0</v>
      </c>
      <c r="I110" s="246">
        <f t="shared" ref="I110:I128" si="750">SUM(G110:H110)</f>
        <v>36274.857565563143</v>
      </c>
      <c r="J110" s="245">
        <f>targets!BN103</f>
        <v>2471.5515688250866</v>
      </c>
      <c r="K110" s="245">
        <f>targets!BO103</f>
        <v>3390.8961038281282</v>
      </c>
      <c r="L110" s="245">
        <f>targets!BP103</f>
        <v>205.16013072997288</v>
      </c>
      <c r="M110" s="178">
        <f t="shared" ref="M110:M128" si="751">SUM(J110:L110)</f>
        <v>6067.6078033831873</v>
      </c>
      <c r="N110" s="17">
        <f>SUM(B110:L110)-I110</f>
        <v>1254230.145014249</v>
      </c>
      <c r="O110" s="17"/>
      <c r="P110" s="17"/>
      <c r="Q110" s="66" t="s">
        <v>41</v>
      </c>
      <c r="R110" s="38">
        <f t="shared" si="713"/>
        <v>0</v>
      </c>
      <c r="S110" s="36">
        <f t="shared" si="714"/>
        <v>0</v>
      </c>
      <c r="T110" s="245">
        <f t="shared" si="715"/>
        <v>0</v>
      </c>
      <c r="U110" s="245">
        <f t="shared" si="716"/>
        <v>0</v>
      </c>
      <c r="V110" s="245">
        <f t="shared" si="717"/>
        <v>0</v>
      </c>
      <c r="W110" s="245">
        <f t="shared" si="718"/>
        <v>0</v>
      </c>
      <c r="X110" s="245">
        <f t="shared" si="719"/>
        <v>0</v>
      </c>
      <c r="Y110" s="246">
        <f t="shared" ref="Y110:Y128" si="752">SUM(W110:X110)</f>
        <v>0</v>
      </c>
      <c r="Z110" s="245">
        <f t="shared" si="720"/>
        <v>0</v>
      </c>
      <c r="AA110" s="245">
        <f t="shared" si="721"/>
        <v>0</v>
      </c>
      <c r="AB110" s="245">
        <f t="shared" si="722"/>
        <v>0</v>
      </c>
      <c r="AC110" s="178">
        <f>SUM(Z110:AB110)</f>
        <v>0</v>
      </c>
      <c r="AD110" s="17">
        <f t="shared" si="723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5">
        <f t="array" ref="AI110">SUM(IF((modeldata!$F:$F=calibration!$AF$106)*(modeldata!$G:$G=calibration!AI$108)*(modeldata!$H:$H=calibration!$AF110),modeldata!$E:$E,0))</f>
        <v>0</v>
      </c>
      <c r="AJ110" s="245">
        <f t="array" ref="AJ110">SUM(IF((modeldata!$F:$F=calibration!$AF$106)*(modeldata!$G:$G=calibration!AJ$108)*(modeldata!$H:$H=calibration!$AF110),modeldata!$E:$E,0))</f>
        <v>0</v>
      </c>
      <c r="AK110" s="245">
        <f t="array" ref="AK110">SUM(IF((modeldata!$F:$F=calibration!$AF$106)*(modeldata!$G:$G=calibration!AK$108)*(modeldata!$H:$H=calibration!$AF110),modeldata!$E:$E,0))</f>
        <v>0</v>
      </c>
      <c r="AL110" s="245">
        <f t="array" ref="AL110">SUM(IF((modeldata!$F:$F=calibration!$AF$106)*(modeldata!$G:$G=calibration!AL$108)*(modeldata!$H:$H=calibration!$AF110),modeldata!$E:$E,0))</f>
        <v>0</v>
      </c>
      <c r="AM110" s="245">
        <f t="array" ref="AM110">SUM(IF((modeldata!$F:$F=calibration!$AF$106)*(modeldata!$G:$G=calibration!AM$108)*(modeldata!$H:$H=calibration!$AF110),modeldata!$E:$E,0))</f>
        <v>0</v>
      </c>
      <c r="AN110" s="246">
        <f t="shared" ref="AN110:AN128" si="753">AL110+AM110</f>
        <v>0</v>
      </c>
      <c r="AO110" s="245">
        <f t="array" ref="AO110">SUM(IF((modeldata!$F:$F=calibration!$AF$106)*(modeldata!$G:$G=calibration!AO$108)*(modeldata!$H:$H=calibration!$AF110),modeldata!$E:$E,0))</f>
        <v>0</v>
      </c>
      <c r="AP110" s="245">
        <f t="array" ref="AP110">SUM(IF((modeldata!$F:$F=calibration!$AF$106)*(modeldata!$G:$G=calibration!AP$108)*(modeldata!$H:$H=calibration!$AF110),modeldata!$E:$E,0))</f>
        <v>0</v>
      </c>
      <c r="AQ110" s="245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24"/>
        <v>0</v>
      </c>
      <c r="AU110" s="66" t="s">
        <v>41</v>
      </c>
      <c r="AV110" s="38">
        <f t="shared" ref="AV110:BG110" si="754">IF(R129&gt;0,R110/R129,0)</f>
        <v>0</v>
      </c>
      <c r="AW110" s="36">
        <f t="shared" si="754"/>
        <v>0</v>
      </c>
      <c r="AX110" s="245">
        <f t="shared" si="754"/>
        <v>0</v>
      </c>
      <c r="AY110" s="245">
        <f t="shared" si="754"/>
        <v>0</v>
      </c>
      <c r="AZ110" s="245">
        <f t="shared" si="754"/>
        <v>0</v>
      </c>
      <c r="BA110" s="245">
        <f t="shared" si="754"/>
        <v>0</v>
      </c>
      <c r="BB110" s="245">
        <f t="shared" si="754"/>
        <v>0</v>
      </c>
      <c r="BC110" s="246">
        <f t="shared" si="754"/>
        <v>0</v>
      </c>
      <c r="BD110" s="245">
        <f t="shared" si="754"/>
        <v>0</v>
      </c>
      <c r="BE110" s="245">
        <f t="shared" si="754"/>
        <v>0</v>
      </c>
      <c r="BF110" s="245">
        <f t="shared" si="754"/>
        <v>0</v>
      </c>
      <c r="BG110" s="178">
        <f t="shared" si="754"/>
        <v>0</v>
      </c>
      <c r="BH110" s="24" t="e">
        <f>AD110/AD129</f>
        <v>#DIV/0!</v>
      </c>
      <c r="BJ110" s="66" t="s">
        <v>41</v>
      </c>
      <c r="BK110" s="38">
        <f t="shared" ref="BK110:BV110" si="755">IF(AG129&gt;0,AG110/AG129,0)</f>
        <v>0</v>
      </c>
      <c r="BL110" s="36">
        <f t="shared" si="755"/>
        <v>0</v>
      </c>
      <c r="BM110" s="245">
        <f t="shared" si="755"/>
        <v>0</v>
      </c>
      <c r="BN110" s="245">
        <f t="shared" si="755"/>
        <v>0</v>
      </c>
      <c r="BO110" s="245">
        <f t="shared" si="755"/>
        <v>0</v>
      </c>
      <c r="BP110" s="245">
        <f t="shared" si="755"/>
        <v>0</v>
      </c>
      <c r="BQ110" s="245">
        <f t="shared" si="755"/>
        <v>0</v>
      </c>
      <c r="BR110" s="246">
        <f t="shared" si="755"/>
        <v>0</v>
      </c>
      <c r="BS110" s="245">
        <f t="shared" si="755"/>
        <v>0</v>
      </c>
      <c r="BT110" s="245">
        <f t="shared" si="755"/>
        <v>0</v>
      </c>
      <c r="BU110" s="245">
        <f t="shared" si="755"/>
        <v>0</v>
      </c>
      <c r="BV110" s="178">
        <f t="shared" si="755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6">AG110-R110</f>
        <v>0</v>
      </c>
      <c r="CA110" s="58">
        <f t="shared" si="727"/>
        <v>0</v>
      </c>
      <c r="CB110" s="55">
        <f t="shared" si="728"/>
        <v>0</v>
      </c>
      <c r="CC110" s="55">
        <f t="shared" si="729"/>
        <v>0</v>
      </c>
      <c r="CD110" s="55">
        <f t="shared" si="730"/>
        <v>0</v>
      </c>
      <c r="CE110" s="55">
        <f t="shared" si="731"/>
        <v>0</v>
      </c>
      <c r="CF110" s="55">
        <f t="shared" si="732"/>
        <v>0</v>
      </c>
      <c r="CG110" s="249">
        <f t="shared" si="733"/>
        <v>0</v>
      </c>
      <c r="CH110" s="55">
        <f t="shared" si="734"/>
        <v>0</v>
      </c>
      <c r="CI110" s="55">
        <f t="shared" si="735"/>
        <v>0</v>
      </c>
      <c r="CJ110" s="55">
        <f t="shared" si="736"/>
        <v>0</v>
      </c>
      <c r="CK110" s="252">
        <f t="shared" si="736"/>
        <v>0</v>
      </c>
      <c r="CL110" s="55">
        <f t="shared" si="737"/>
        <v>0</v>
      </c>
      <c r="CN110" s="66" t="s">
        <v>41</v>
      </c>
      <c r="CO110" s="54">
        <f t="shared" ref="CO110:CO129" si="757">BK110-AV110</f>
        <v>0</v>
      </c>
      <c r="CP110" s="58">
        <f t="shared" si="738"/>
        <v>0</v>
      </c>
      <c r="CQ110" s="55">
        <f t="shared" si="739"/>
        <v>0</v>
      </c>
      <c r="CR110" s="55">
        <f t="shared" si="740"/>
        <v>0</v>
      </c>
      <c r="CS110" s="55">
        <f t="shared" si="741"/>
        <v>0</v>
      </c>
      <c r="CT110" s="55">
        <f t="shared" si="742"/>
        <v>0</v>
      </c>
      <c r="CU110" s="55">
        <f t="shared" si="743"/>
        <v>0</v>
      </c>
      <c r="CV110" s="249">
        <f t="shared" si="744"/>
        <v>0</v>
      </c>
      <c r="CW110" s="55">
        <f t="shared" si="745"/>
        <v>0</v>
      </c>
      <c r="CX110" s="55">
        <f t="shared" si="746"/>
        <v>0</v>
      </c>
      <c r="CY110" s="55">
        <f t="shared" si="747"/>
        <v>0</v>
      </c>
      <c r="CZ110" s="252">
        <f t="shared" si="747"/>
        <v>0</v>
      </c>
      <c r="DA110" s="62" t="e">
        <f t="shared" si="748"/>
        <v>#DIV/0!</v>
      </c>
      <c r="DC110" s="66" t="s">
        <v>41</v>
      </c>
      <c r="DD110" s="198">
        <f t="shared" ref="DD110:DD128" si="758">AV110</f>
        <v>0</v>
      </c>
      <c r="DE110" s="199">
        <f t="shared" ref="DE110:DE128" si="759">BK110</f>
        <v>0</v>
      </c>
      <c r="DF110" s="193">
        <f t="shared" ref="DF110:DF128" si="760">AW110</f>
        <v>0</v>
      </c>
      <c r="DG110" s="194">
        <f t="shared" ref="DG110:DG128" si="761">BL110</f>
        <v>0</v>
      </c>
      <c r="DH110" s="198">
        <f t="shared" ref="DH110:DH128" si="762">AX110</f>
        <v>0</v>
      </c>
      <c r="DI110" s="199">
        <f t="shared" ref="DI110:DI128" si="763">BM110</f>
        <v>0</v>
      </c>
      <c r="DJ110" s="198">
        <f t="shared" ref="DJ110:DJ128" si="764">AY110</f>
        <v>0</v>
      </c>
      <c r="DK110" s="199">
        <f t="shared" ref="DK110:DK128" si="765">BN110</f>
        <v>0</v>
      </c>
      <c r="DL110" s="198">
        <f t="shared" ref="DL110:DL128" si="766">AZ110</f>
        <v>0</v>
      </c>
      <c r="DM110" s="199">
        <f t="shared" ref="DM110:DM128" si="767">BO110</f>
        <v>0</v>
      </c>
      <c r="DN110" s="198">
        <f t="shared" ref="DN110:DN128" si="768">BA110</f>
        <v>0</v>
      </c>
      <c r="DO110" s="199">
        <f t="shared" ref="DO110:DO128" si="769">BP110</f>
        <v>0</v>
      </c>
      <c r="DP110" s="198">
        <f t="shared" ref="DP110:DP128" si="770">BB110</f>
        <v>0</v>
      </c>
      <c r="DQ110" s="199">
        <f t="shared" ref="DQ110:DQ128" si="771">BQ110</f>
        <v>0</v>
      </c>
      <c r="DR110" s="198">
        <f t="shared" ref="DR110:DR128" si="772">BC110</f>
        <v>0</v>
      </c>
      <c r="DS110" s="199">
        <f t="shared" ref="DS110:DS128" si="773">BR110</f>
        <v>0</v>
      </c>
      <c r="DT110" s="198">
        <f t="shared" ref="DT110:DT128" si="774">BD110</f>
        <v>0</v>
      </c>
      <c r="DU110" s="199">
        <f t="shared" ref="DU110:DU128" si="775">BS110</f>
        <v>0</v>
      </c>
      <c r="DV110" s="198">
        <f t="shared" ref="DV110:DV128" si="776">BE110</f>
        <v>0</v>
      </c>
      <c r="DW110" s="199">
        <f t="shared" ref="DW110:DW128" si="777">BT110</f>
        <v>0</v>
      </c>
      <c r="DX110" s="198">
        <f t="shared" ref="DX110:DX128" si="778">BF110</f>
        <v>0</v>
      </c>
      <c r="DY110" s="199">
        <f t="shared" ref="DY110:DY128" si="779">BU110</f>
        <v>0</v>
      </c>
      <c r="DZ110" s="190">
        <f t="shared" ref="DZ110:DZ128" si="780">BG110</f>
        <v>0</v>
      </c>
      <c r="EA110" s="199">
        <f t="shared" si="749"/>
        <v>0</v>
      </c>
      <c r="EB110" s="190" t="e">
        <f t="shared" ref="EB110:EB128" si="781">BH110</f>
        <v>#DIV/0!</v>
      </c>
      <c r="EC110" s="190" t="e">
        <f t="shared" ref="EC110:EC128" si="782">BW110</f>
        <v>#DIV/0!</v>
      </c>
    </row>
    <row r="111" spans="1:133" x14ac:dyDescent="0.2">
      <c r="A111" s="66" t="s">
        <v>42</v>
      </c>
      <c r="B111" s="38">
        <f>targets!AW104</f>
        <v>0</v>
      </c>
      <c r="C111" s="245">
        <f>targets!AX104</f>
        <v>0</v>
      </c>
      <c r="D111" s="36">
        <f>targets!AY104</f>
        <v>510584.81320336752</v>
      </c>
      <c r="E111" s="245">
        <f>targets!AZ104</f>
        <v>0</v>
      </c>
      <c r="F111" s="245">
        <f>targets!BA104</f>
        <v>0</v>
      </c>
      <c r="G111" s="245">
        <f>SUM(targets!BB104:BG104)</f>
        <v>5502.0969469661832</v>
      </c>
      <c r="H111" s="245">
        <f>SUM(targets!BH104:BM104)</f>
        <v>0</v>
      </c>
      <c r="I111" s="246">
        <f t="shared" si="750"/>
        <v>5502.0969469661832</v>
      </c>
      <c r="J111" s="245">
        <f>targets!BN104</f>
        <v>823.85052294169554</v>
      </c>
      <c r="K111" s="245">
        <f>targets!BO104</f>
        <v>3405.5344535734271</v>
      </c>
      <c r="L111" s="245">
        <f>targets!BP104</f>
        <v>0</v>
      </c>
      <c r="M111" s="178">
        <f t="shared" si="751"/>
        <v>4229.3849765151226</v>
      </c>
      <c r="N111" s="17">
        <f t="shared" si="712"/>
        <v>520316.2951268488</v>
      </c>
      <c r="O111" s="17"/>
      <c r="P111" s="17"/>
      <c r="Q111" s="66" t="s">
        <v>42</v>
      </c>
      <c r="R111" s="38">
        <f t="shared" si="713"/>
        <v>0</v>
      </c>
      <c r="S111" s="245">
        <f t="shared" si="714"/>
        <v>0</v>
      </c>
      <c r="T111" s="36">
        <f t="shared" si="715"/>
        <v>0</v>
      </c>
      <c r="U111" s="245">
        <f t="shared" si="716"/>
        <v>0</v>
      </c>
      <c r="V111" s="245">
        <f t="shared" si="717"/>
        <v>0</v>
      </c>
      <c r="W111" s="245">
        <f t="shared" si="718"/>
        <v>0</v>
      </c>
      <c r="X111" s="245">
        <f t="shared" si="719"/>
        <v>0</v>
      </c>
      <c r="Y111" s="246">
        <f t="shared" si="752"/>
        <v>0</v>
      </c>
      <c r="Z111" s="245">
        <f t="shared" si="720"/>
        <v>0</v>
      </c>
      <c r="AA111" s="245">
        <f t="shared" si="721"/>
        <v>0</v>
      </c>
      <c r="AB111" s="245">
        <f t="shared" si="722"/>
        <v>0</v>
      </c>
      <c r="AC111" s="178">
        <f t="shared" ref="AC111:AC128" si="783">SUM(Z111:AB111)</f>
        <v>0</v>
      </c>
      <c r="AD111" s="17">
        <f t="shared" si="723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5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5">
        <f t="array" ref="AJ111">SUM(IF((modeldata!$F:$F=calibration!$AF$106)*(modeldata!$G:$G=calibration!AJ$108)*(modeldata!$H:$H=calibration!$AF111),modeldata!$E:$E,0))</f>
        <v>0</v>
      </c>
      <c r="AK111" s="245">
        <f t="array" ref="AK111">SUM(IF((modeldata!$F:$F=calibration!$AF$106)*(modeldata!$G:$G=calibration!AK$108)*(modeldata!$H:$H=calibration!$AF111),modeldata!$E:$E,0))</f>
        <v>0</v>
      </c>
      <c r="AL111" s="245">
        <f t="array" ref="AL111">SUM(IF((modeldata!$F:$F=calibration!$AF$106)*(modeldata!$G:$G=calibration!AL$108)*(modeldata!$H:$H=calibration!$AF111),modeldata!$E:$E,0))</f>
        <v>0</v>
      </c>
      <c r="AM111" s="245">
        <f t="array" ref="AM111">SUM(IF((modeldata!$F:$F=calibration!$AF$106)*(modeldata!$G:$G=calibration!AM$108)*(modeldata!$H:$H=calibration!$AF111),modeldata!$E:$E,0))</f>
        <v>0</v>
      </c>
      <c r="AN111" s="246">
        <f t="shared" si="753"/>
        <v>0</v>
      </c>
      <c r="AO111" s="245">
        <f t="array" ref="AO111">SUM(IF((modeldata!$F:$F=calibration!$AF$106)*(modeldata!$G:$G=calibration!AO$108)*(modeldata!$H:$H=calibration!$AF111),modeldata!$E:$E,0))</f>
        <v>0</v>
      </c>
      <c r="AP111" s="245">
        <f t="array" ref="AP111">SUM(IF((modeldata!$F:$F=calibration!$AF$106)*(modeldata!$G:$G=calibration!AP$108)*(modeldata!$H:$H=calibration!$AF111),modeldata!$E:$E,0))</f>
        <v>0</v>
      </c>
      <c r="AQ111" s="245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84">SUM(AO111:AQ111)</f>
        <v>0</v>
      </c>
      <c r="AS111" s="17">
        <f t="shared" si="724"/>
        <v>0</v>
      </c>
      <c r="AU111" s="66" t="s">
        <v>42</v>
      </c>
      <c r="AV111" s="38">
        <f t="shared" ref="AV111:BG111" si="785">IF(R129&gt;0,R111/R129,0)</f>
        <v>0</v>
      </c>
      <c r="AW111" s="245">
        <f t="shared" si="785"/>
        <v>0</v>
      </c>
      <c r="AX111" s="36">
        <f t="shared" si="785"/>
        <v>0</v>
      </c>
      <c r="AY111" s="245">
        <f t="shared" si="785"/>
        <v>0</v>
      </c>
      <c r="AZ111" s="245">
        <f t="shared" si="785"/>
        <v>0</v>
      </c>
      <c r="BA111" s="245">
        <f t="shared" si="785"/>
        <v>0</v>
      </c>
      <c r="BB111" s="245">
        <f t="shared" si="785"/>
        <v>0</v>
      </c>
      <c r="BC111" s="246">
        <f t="shared" si="785"/>
        <v>0</v>
      </c>
      <c r="BD111" s="245">
        <f t="shared" si="785"/>
        <v>0</v>
      </c>
      <c r="BE111" s="245">
        <f t="shared" si="785"/>
        <v>0</v>
      </c>
      <c r="BF111" s="245">
        <f t="shared" si="785"/>
        <v>0</v>
      </c>
      <c r="BG111" s="178">
        <f t="shared" si="785"/>
        <v>0</v>
      </c>
      <c r="BH111" s="24" t="e">
        <f>AD111/AD129</f>
        <v>#DIV/0!</v>
      </c>
      <c r="BJ111" s="66" t="s">
        <v>42</v>
      </c>
      <c r="BK111" s="38">
        <f t="shared" ref="BK111:BV111" si="786">IF(AG129&gt;0,AG111/AG129,0)</f>
        <v>0</v>
      </c>
      <c r="BL111" s="245">
        <f t="shared" si="786"/>
        <v>0</v>
      </c>
      <c r="BM111" s="36">
        <f t="shared" si="786"/>
        <v>0</v>
      </c>
      <c r="BN111" s="245">
        <f t="shared" si="786"/>
        <v>0</v>
      </c>
      <c r="BO111" s="245">
        <f t="shared" si="786"/>
        <v>0</v>
      </c>
      <c r="BP111" s="245">
        <f t="shared" si="786"/>
        <v>0</v>
      </c>
      <c r="BQ111" s="245">
        <f t="shared" si="786"/>
        <v>0</v>
      </c>
      <c r="BR111" s="246">
        <f t="shared" si="786"/>
        <v>0</v>
      </c>
      <c r="BS111" s="245">
        <f t="shared" si="786"/>
        <v>0</v>
      </c>
      <c r="BT111" s="245">
        <f t="shared" si="786"/>
        <v>0</v>
      </c>
      <c r="BU111" s="245">
        <f t="shared" si="786"/>
        <v>0</v>
      </c>
      <c r="BV111" s="178">
        <f t="shared" si="786"/>
        <v>0</v>
      </c>
      <c r="BW111" s="24" t="e">
        <f>AS111/AS129</f>
        <v>#DIV/0!</v>
      </c>
      <c r="BX111" s="24"/>
      <c r="BY111" s="66" t="s">
        <v>42</v>
      </c>
      <c r="BZ111" s="54">
        <f t="shared" si="756"/>
        <v>0</v>
      </c>
      <c r="CA111" s="55">
        <f t="shared" si="727"/>
        <v>0</v>
      </c>
      <c r="CB111" s="58">
        <f t="shared" si="728"/>
        <v>0</v>
      </c>
      <c r="CC111" s="55">
        <f t="shared" si="729"/>
        <v>0</v>
      </c>
      <c r="CD111" s="55">
        <f t="shared" si="730"/>
        <v>0</v>
      </c>
      <c r="CE111" s="55">
        <f t="shared" si="731"/>
        <v>0</v>
      </c>
      <c r="CF111" s="55">
        <f t="shared" si="732"/>
        <v>0</v>
      </c>
      <c r="CG111" s="249">
        <f t="shared" si="733"/>
        <v>0</v>
      </c>
      <c r="CH111" s="55">
        <f t="shared" si="734"/>
        <v>0</v>
      </c>
      <c r="CI111" s="55">
        <f t="shared" si="735"/>
        <v>0</v>
      </c>
      <c r="CJ111" s="55">
        <f t="shared" si="736"/>
        <v>0</v>
      </c>
      <c r="CK111" s="252">
        <f t="shared" si="736"/>
        <v>0</v>
      </c>
      <c r="CL111" s="55">
        <f t="shared" si="737"/>
        <v>0</v>
      </c>
      <c r="CN111" s="66" t="s">
        <v>42</v>
      </c>
      <c r="CO111" s="54">
        <f t="shared" si="757"/>
        <v>0</v>
      </c>
      <c r="CP111" s="55">
        <f t="shared" si="738"/>
        <v>0</v>
      </c>
      <c r="CQ111" s="58">
        <f t="shared" si="739"/>
        <v>0</v>
      </c>
      <c r="CR111" s="55">
        <f t="shared" si="740"/>
        <v>0</v>
      </c>
      <c r="CS111" s="55">
        <f t="shared" si="741"/>
        <v>0</v>
      </c>
      <c r="CT111" s="55">
        <f t="shared" si="742"/>
        <v>0</v>
      </c>
      <c r="CU111" s="55">
        <f t="shared" si="743"/>
        <v>0</v>
      </c>
      <c r="CV111" s="249">
        <f t="shared" si="744"/>
        <v>0</v>
      </c>
      <c r="CW111" s="55">
        <f t="shared" si="745"/>
        <v>0</v>
      </c>
      <c r="CX111" s="55">
        <f t="shared" si="746"/>
        <v>0</v>
      </c>
      <c r="CY111" s="55">
        <f t="shared" si="747"/>
        <v>0</v>
      </c>
      <c r="CZ111" s="252">
        <f t="shared" si="747"/>
        <v>0</v>
      </c>
      <c r="DA111" s="62" t="e">
        <f t="shared" si="748"/>
        <v>#DIV/0!</v>
      </c>
      <c r="DC111" s="66" t="s">
        <v>42</v>
      </c>
      <c r="DD111" s="198">
        <f t="shared" si="758"/>
        <v>0</v>
      </c>
      <c r="DE111" s="199">
        <f t="shared" si="759"/>
        <v>0</v>
      </c>
      <c r="DF111" s="198">
        <f t="shared" si="760"/>
        <v>0</v>
      </c>
      <c r="DG111" s="199">
        <f t="shared" si="761"/>
        <v>0</v>
      </c>
      <c r="DH111" s="193">
        <f t="shared" si="762"/>
        <v>0</v>
      </c>
      <c r="DI111" s="194">
        <f t="shared" si="763"/>
        <v>0</v>
      </c>
      <c r="DJ111" s="198">
        <f t="shared" si="764"/>
        <v>0</v>
      </c>
      <c r="DK111" s="199">
        <f t="shared" si="765"/>
        <v>0</v>
      </c>
      <c r="DL111" s="198">
        <f t="shared" si="766"/>
        <v>0</v>
      </c>
      <c r="DM111" s="199">
        <f t="shared" si="767"/>
        <v>0</v>
      </c>
      <c r="DN111" s="198">
        <f t="shared" si="768"/>
        <v>0</v>
      </c>
      <c r="DO111" s="199">
        <f t="shared" si="769"/>
        <v>0</v>
      </c>
      <c r="DP111" s="198">
        <f t="shared" si="770"/>
        <v>0</v>
      </c>
      <c r="DQ111" s="199">
        <f t="shared" si="771"/>
        <v>0</v>
      </c>
      <c r="DR111" s="198">
        <f t="shared" si="772"/>
        <v>0</v>
      </c>
      <c r="DS111" s="199">
        <f t="shared" si="773"/>
        <v>0</v>
      </c>
      <c r="DT111" s="198">
        <f t="shared" si="774"/>
        <v>0</v>
      </c>
      <c r="DU111" s="199">
        <f t="shared" si="775"/>
        <v>0</v>
      </c>
      <c r="DV111" s="198">
        <f t="shared" si="776"/>
        <v>0</v>
      </c>
      <c r="DW111" s="199">
        <f t="shared" si="777"/>
        <v>0</v>
      </c>
      <c r="DX111" s="198">
        <f t="shared" si="778"/>
        <v>0</v>
      </c>
      <c r="DY111" s="199">
        <f t="shared" si="779"/>
        <v>0</v>
      </c>
      <c r="DZ111" s="190">
        <f t="shared" si="780"/>
        <v>0</v>
      </c>
      <c r="EA111" s="199">
        <f t="shared" si="749"/>
        <v>0</v>
      </c>
      <c r="EB111" s="190" t="e">
        <f t="shared" si="781"/>
        <v>#DIV/0!</v>
      </c>
      <c r="EC111" s="190" t="e">
        <f t="shared" si="782"/>
        <v>#DIV/0!</v>
      </c>
    </row>
    <row r="112" spans="1:133" x14ac:dyDescent="0.2">
      <c r="A112" s="66" t="s">
        <v>2</v>
      </c>
      <c r="B112" s="38">
        <f>targets!AW105</f>
        <v>84653.482185648129</v>
      </c>
      <c r="C112" s="245">
        <f>targets!AX105</f>
        <v>84337.539051529398</v>
      </c>
      <c r="D112" s="245">
        <f>targets!AY105</f>
        <v>63904.521117281438</v>
      </c>
      <c r="E112" s="36">
        <f>targets!AZ105</f>
        <v>1901262.3526099424</v>
      </c>
      <c r="F112" s="245">
        <f>targets!BA105</f>
        <v>0</v>
      </c>
      <c r="G112" s="245">
        <f>SUM(targets!BB105:BG105)</f>
        <v>90157.498616281184</v>
      </c>
      <c r="H112" s="245">
        <f>SUM(targets!BH105:BM105)</f>
        <v>0</v>
      </c>
      <c r="I112" s="246">
        <f t="shared" si="750"/>
        <v>90157.498616281184</v>
      </c>
      <c r="J112" s="245">
        <f>targets!BN105</f>
        <v>308.99554077149537</v>
      </c>
      <c r="K112" s="245">
        <f>targets!BO105</f>
        <v>3476.3329860303234</v>
      </c>
      <c r="L112" s="245">
        <f>targets!BP105</f>
        <v>568.72260740944307</v>
      </c>
      <c r="M112" s="178">
        <f t="shared" si="751"/>
        <v>4354.0511342112623</v>
      </c>
      <c r="N112" s="17">
        <f t="shared" si="712"/>
        <v>2228669.4447148941</v>
      </c>
      <c r="O112" s="17"/>
      <c r="P112" s="17"/>
      <c r="Q112" s="66" t="s">
        <v>2</v>
      </c>
      <c r="R112" s="38">
        <f t="shared" si="713"/>
        <v>0</v>
      </c>
      <c r="S112" s="245">
        <f t="shared" si="714"/>
        <v>0</v>
      </c>
      <c r="T112" s="245">
        <f t="shared" si="715"/>
        <v>0</v>
      </c>
      <c r="U112" s="36">
        <f t="shared" si="716"/>
        <v>0</v>
      </c>
      <c r="V112" s="245">
        <f t="shared" si="717"/>
        <v>0</v>
      </c>
      <c r="W112" s="245">
        <f t="shared" si="718"/>
        <v>0</v>
      </c>
      <c r="X112" s="245">
        <f t="shared" si="719"/>
        <v>0</v>
      </c>
      <c r="Y112" s="246">
        <f t="shared" si="752"/>
        <v>0</v>
      </c>
      <c r="Z112" s="245">
        <f t="shared" si="720"/>
        <v>0</v>
      </c>
      <c r="AA112" s="245">
        <f t="shared" si="721"/>
        <v>0</v>
      </c>
      <c r="AB112" s="245">
        <f t="shared" si="722"/>
        <v>0</v>
      </c>
      <c r="AC112" s="178">
        <f t="shared" si="783"/>
        <v>0</v>
      </c>
      <c r="AD112" s="17">
        <f t="shared" si="723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5">
        <f t="array" ref="AH112">SUM(IF((modeldata!$F:$F=calibration!$AF$106)*(modeldata!$G:$G=calibration!AH$108)*(modeldata!$H:$H=calibration!$AF112),modeldata!$E:$E,0))</f>
        <v>0</v>
      </c>
      <c r="AI112" s="245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5">
        <f t="array" ref="AK112">SUM(IF((modeldata!$F:$F=calibration!$AF$106)*(modeldata!$G:$G=calibration!AK$108)*(modeldata!$H:$H=calibration!$AF112),modeldata!$E:$E,0))</f>
        <v>0</v>
      </c>
      <c r="AL112" s="245">
        <f t="array" ref="AL112">SUM(IF((modeldata!$F:$F=calibration!$AF$106)*(modeldata!$G:$G=calibration!AL$108)*(modeldata!$H:$H=calibration!$AF112),modeldata!$E:$E,0))</f>
        <v>0</v>
      </c>
      <c r="AM112" s="245">
        <f t="array" ref="AM112">SUM(IF((modeldata!$F:$F=calibration!$AF$106)*(modeldata!$G:$G=calibration!AM$108)*(modeldata!$H:$H=calibration!$AF112),modeldata!$E:$E,0))</f>
        <v>0</v>
      </c>
      <c r="AN112" s="246">
        <f t="shared" si="753"/>
        <v>0</v>
      </c>
      <c r="AO112" s="245">
        <f t="array" ref="AO112">SUM(IF((modeldata!$F:$F=calibration!$AF$106)*(modeldata!$G:$G=calibration!AO$108)*(modeldata!$H:$H=calibration!$AF112),modeldata!$E:$E,0))</f>
        <v>0</v>
      </c>
      <c r="AP112" s="245">
        <f t="array" ref="AP112">SUM(IF((modeldata!$F:$F=calibration!$AF$106)*(modeldata!$G:$G=calibration!AP$108)*(modeldata!$H:$H=calibration!$AF112),modeldata!$E:$E,0))</f>
        <v>0</v>
      </c>
      <c r="AQ112" s="245">
        <f t="array" ref="AQ112">SUM(IF((modeldata!$F:$F=calibration!$AF$106)*(modeldata!$G:$G=calibration!AQ$108)*(modeldata!$H:$H=calibration!$AF112),modeldata!$E:$E,0))</f>
        <v>0</v>
      </c>
      <c r="AR112" s="178">
        <f t="shared" si="784"/>
        <v>0</v>
      </c>
      <c r="AS112" s="17">
        <f t="shared" si="724"/>
        <v>0</v>
      </c>
      <c r="AU112" s="66" t="s">
        <v>2</v>
      </c>
      <c r="AV112" s="38">
        <f t="shared" ref="AV112:BG112" si="787">IF(R129&gt;0,R112/R129,0)</f>
        <v>0</v>
      </c>
      <c r="AW112" s="245">
        <f t="shared" si="787"/>
        <v>0</v>
      </c>
      <c r="AX112" s="245">
        <f t="shared" si="787"/>
        <v>0</v>
      </c>
      <c r="AY112" s="36">
        <f t="shared" si="787"/>
        <v>0</v>
      </c>
      <c r="AZ112" s="245">
        <f t="shared" si="787"/>
        <v>0</v>
      </c>
      <c r="BA112" s="245">
        <f t="shared" si="787"/>
        <v>0</v>
      </c>
      <c r="BB112" s="245">
        <f t="shared" si="787"/>
        <v>0</v>
      </c>
      <c r="BC112" s="246">
        <f t="shared" si="787"/>
        <v>0</v>
      </c>
      <c r="BD112" s="245">
        <f t="shared" si="787"/>
        <v>0</v>
      </c>
      <c r="BE112" s="245">
        <f t="shared" si="787"/>
        <v>0</v>
      </c>
      <c r="BF112" s="245">
        <f t="shared" si="787"/>
        <v>0</v>
      </c>
      <c r="BG112" s="178">
        <f t="shared" si="787"/>
        <v>0</v>
      </c>
      <c r="BH112" s="24" t="e">
        <f>AD112/AD129</f>
        <v>#DIV/0!</v>
      </c>
      <c r="BJ112" s="66" t="s">
        <v>2</v>
      </c>
      <c r="BK112" s="38">
        <f t="shared" ref="BK112:BV112" si="788">IF(AG129&gt;0,AG112/AG129,0)</f>
        <v>0</v>
      </c>
      <c r="BL112" s="245">
        <f t="shared" si="788"/>
        <v>0</v>
      </c>
      <c r="BM112" s="245">
        <f t="shared" si="788"/>
        <v>0</v>
      </c>
      <c r="BN112" s="36">
        <f t="shared" si="788"/>
        <v>0</v>
      </c>
      <c r="BO112" s="245">
        <f t="shared" si="788"/>
        <v>0</v>
      </c>
      <c r="BP112" s="245">
        <f t="shared" si="788"/>
        <v>0</v>
      </c>
      <c r="BQ112" s="245">
        <f t="shared" si="788"/>
        <v>0</v>
      </c>
      <c r="BR112" s="246">
        <f t="shared" si="788"/>
        <v>0</v>
      </c>
      <c r="BS112" s="245">
        <f t="shared" si="788"/>
        <v>0</v>
      </c>
      <c r="BT112" s="245">
        <f t="shared" si="788"/>
        <v>0</v>
      </c>
      <c r="BU112" s="245">
        <f t="shared" si="788"/>
        <v>0</v>
      </c>
      <c r="BV112" s="178">
        <f t="shared" si="788"/>
        <v>0</v>
      </c>
      <c r="BW112" s="24" t="e">
        <f>AS112/AS129</f>
        <v>#DIV/0!</v>
      </c>
      <c r="BX112" s="24"/>
      <c r="BY112" s="66" t="s">
        <v>2</v>
      </c>
      <c r="BZ112" s="54">
        <f t="shared" si="756"/>
        <v>0</v>
      </c>
      <c r="CA112" s="55">
        <f t="shared" si="727"/>
        <v>0</v>
      </c>
      <c r="CB112" s="55">
        <f t="shared" si="728"/>
        <v>0</v>
      </c>
      <c r="CC112" s="58">
        <f t="shared" si="729"/>
        <v>0</v>
      </c>
      <c r="CD112" s="55">
        <f t="shared" si="730"/>
        <v>0</v>
      </c>
      <c r="CE112" s="55">
        <f t="shared" si="731"/>
        <v>0</v>
      </c>
      <c r="CF112" s="55">
        <f t="shared" si="732"/>
        <v>0</v>
      </c>
      <c r="CG112" s="249">
        <f t="shared" si="733"/>
        <v>0</v>
      </c>
      <c r="CH112" s="55">
        <f t="shared" si="734"/>
        <v>0</v>
      </c>
      <c r="CI112" s="55">
        <f t="shared" si="735"/>
        <v>0</v>
      </c>
      <c r="CJ112" s="55">
        <f t="shared" si="736"/>
        <v>0</v>
      </c>
      <c r="CK112" s="252">
        <f t="shared" si="736"/>
        <v>0</v>
      </c>
      <c r="CL112" s="55">
        <f t="shared" si="737"/>
        <v>0</v>
      </c>
      <c r="CN112" s="66" t="s">
        <v>2</v>
      </c>
      <c r="CO112" s="54">
        <f t="shared" si="757"/>
        <v>0</v>
      </c>
      <c r="CP112" s="55">
        <f t="shared" si="738"/>
        <v>0</v>
      </c>
      <c r="CQ112" s="55">
        <f t="shared" si="739"/>
        <v>0</v>
      </c>
      <c r="CR112" s="58">
        <f t="shared" si="740"/>
        <v>0</v>
      </c>
      <c r="CS112" s="55">
        <f t="shared" si="741"/>
        <v>0</v>
      </c>
      <c r="CT112" s="55">
        <f t="shared" si="742"/>
        <v>0</v>
      </c>
      <c r="CU112" s="55">
        <f t="shared" si="743"/>
        <v>0</v>
      </c>
      <c r="CV112" s="249">
        <f t="shared" si="744"/>
        <v>0</v>
      </c>
      <c r="CW112" s="55">
        <f t="shared" si="745"/>
        <v>0</v>
      </c>
      <c r="CX112" s="55">
        <f t="shared" si="746"/>
        <v>0</v>
      </c>
      <c r="CY112" s="55">
        <f t="shared" si="747"/>
        <v>0</v>
      </c>
      <c r="CZ112" s="252">
        <f t="shared" si="747"/>
        <v>0</v>
      </c>
      <c r="DA112" s="62" t="e">
        <f t="shared" si="748"/>
        <v>#DIV/0!</v>
      </c>
      <c r="DC112" s="66" t="s">
        <v>2</v>
      </c>
      <c r="DD112" s="198">
        <f t="shared" si="758"/>
        <v>0</v>
      </c>
      <c r="DE112" s="199">
        <f t="shared" si="759"/>
        <v>0</v>
      </c>
      <c r="DF112" s="198">
        <f t="shared" si="760"/>
        <v>0</v>
      </c>
      <c r="DG112" s="199">
        <f t="shared" si="761"/>
        <v>0</v>
      </c>
      <c r="DH112" s="198">
        <f t="shared" si="762"/>
        <v>0</v>
      </c>
      <c r="DI112" s="199">
        <f t="shared" si="763"/>
        <v>0</v>
      </c>
      <c r="DJ112" s="193">
        <f t="shared" si="764"/>
        <v>0</v>
      </c>
      <c r="DK112" s="194">
        <f t="shared" si="765"/>
        <v>0</v>
      </c>
      <c r="DL112" s="198">
        <f t="shared" si="766"/>
        <v>0</v>
      </c>
      <c r="DM112" s="199">
        <f t="shared" si="767"/>
        <v>0</v>
      </c>
      <c r="DN112" s="198">
        <f t="shared" si="768"/>
        <v>0</v>
      </c>
      <c r="DO112" s="199">
        <f t="shared" si="769"/>
        <v>0</v>
      </c>
      <c r="DP112" s="198">
        <f t="shared" si="770"/>
        <v>0</v>
      </c>
      <c r="DQ112" s="199">
        <f t="shared" si="771"/>
        <v>0</v>
      </c>
      <c r="DR112" s="198">
        <f t="shared" si="772"/>
        <v>0</v>
      </c>
      <c r="DS112" s="199">
        <f t="shared" si="773"/>
        <v>0</v>
      </c>
      <c r="DT112" s="198">
        <f t="shared" si="774"/>
        <v>0</v>
      </c>
      <c r="DU112" s="199">
        <f t="shared" si="775"/>
        <v>0</v>
      </c>
      <c r="DV112" s="198">
        <f t="shared" si="776"/>
        <v>0</v>
      </c>
      <c r="DW112" s="199">
        <f t="shared" si="777"/>
        <v>0</v>
      </c>
      <c r="DX112" s="198">
        <f t="shared" si="778"/>
        <v>0</v>
      </c>
      <c r="DY112" s="199">
        <f t="shared" si="779"/>
        <v>0</v>
      </c>
      <c r="DZ112" s="190">
        <f t="shared" si="780"/>
        <v>0</v>
      </c>
      <c r="EA112" s="199">
        <f t="shared" si="749"/>
        <v>0</v>
      </c>
      <c r="EB112" s="190" t="e">
        <f t="shared" si="781"/>
        <v>#DIV/0!</v>
      </c>
      <c r="EC112" s="190" t="e">
        <f t="shared" si="782"/>
        <v>#DIV/0!</v>
      </c>
    </row>
    <row r="113" spans="1:133" x14ac:dyDescent="0.2">
      <c r="A113" s="66" t="s">
        <v>3</v>
      </c>
      <c r="B113" s="38">
        <f>targets!AW106</f>
        <v>0</v>
      </c>
      <c r="C113" s="245">
        <f>targets!AX106</f>
        <v>0</v>
      </c>
      <c r="D113" s="245">
        <f>targets!AY106</f>
        <v>0</v>
      </c>
      <c r="E113" s="245">
        <f>targets!AZ106</f>
        <v>0</v>
      </c>
      <c r="F113" s="36">
        <f>targets!BA106</f>
        <v>169315.07869984649</v>
      </c>
      <c r="G113" s="245">
        <f>SUM(targets!BB106:BG106)</f>
        <v>0</v>
      </c>
      <c r="H113" s="245">
        <f>SUM(targets!BH106:BM106)</f>
        <v>0</v>
      </c>
      <c r="I113" s="246">
        <f t="shared" si="750"/>
        <v>0</v>
      </c>
      <c r="J113" s="245">
        <f>targets!BN106</f>
        <v>0</v>
      </c>
      <c r="K113" s="245">
        <f>targets!BO106</f>
        <v>0</v>
      </c>
      <c r="L113" s="245">
        <f>targets!BP106</f>
        <v>0</v>
      </c>
      <c r="M113" s="178">
        <f t="shared" si="751"/>
        <v>0</v>
      </c>
      <c r="N113" s="17">
        <f t="shared" si="712"/>
        <v>169315.07869984649</v>
      </c>
      <c r="O113" s="17"/>
      <c r="P113" s="17"/>
      <c r="Q113" s="66" t="s">
        <v>3</v>
      </c>
      <c r="R113" s="38">
        <f t="shared" si="713"/>
        <v>0</v>
      </c>
      <c r="S113" s="245">
        <f t="shared" si="714"/>
        <v>0</v>
      </c>
      <c r="T113" s="245">
        <f t="shared" si="715"/>
        <v>0</v>
      </c>
      <c r="U113" s="245">
        <f t="shared" si="716"/>
        <v>0</v>
      </c>
      <c r="V113" s="36">
        <f t="shared" si="717"/>
        <v>0</v>
      </c>
      <c r="W113" s="245">
        <f t="shared" si="718"/>
        <v>0</v>
      </c>
      <c r="X113" s="245">
        <f t="shared" si="719"/>
        <v>0</v>
      </c>
      <c r="Y113" s="246">
        <f t="shared" si="752"/>
        <v>0</v>
      </c>
      <c r="Z113" s="245">
        <f t="shared" si="720"/>
        <v>0</v>
      </c>
      <c r="AA113" s="245">
        <f t="shared" si="721"/>
        <v>0</v>
      </c>
      <c r="AB113" s="245">
        <f t="shared" si="722"/>
        <v>0</v>
      </c>
      <c r="AC113" s="178">
        <f t="shared" si="783"/>
        <v>0</v>
      </c>
      <c r="AD113" s="17">
        <f t="shared" si="723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5">
        <f t="array" ref="AH113">SUM(IF((modeldata!$F:$F=calibration!$AF$106)*(modeldata!$G:$G=calibration!AH$108)*(modeldata!$H:$H=calibration!$AF113),modeldata!$E:$E,0))</f>
        <v>0</v>
      </c>
      <c r="AI113" s="245">
        <f t="array" ref="AI113">SUM(IF((modeldata!$F:$F=calibration!$AF$106)*(modeldata!$G:$G=calibration!AI$108)*(modeldata!$H:$H=calibration!$AF113),modeldata!$E:$E,0))</f>
        <v>0</v>
      </c>
      <c r="AJ113" s="245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5">
        <f t="array" ref="AL113">SUM(IF((modeldata!$F:$F=calibration!$AF$106)*(modeldata!$G:$G=calibration!AL$108)*(modeldata!$H:$H=calibration!$AF113),modeldata!$E:$E,0))</f>
        <v>0</v>
      </c>
      <c r="AM113" s="245">
        <f t="array" ref="AM113">SUM(IF((modeldata!$F:$F=calibration!$AF$106)*(modeldata!$G:$G=calibration!AM$108)*(modeldata!$H:$H=calibration!$AF113),modeldata!$E:$E,0))</f>
        <v>0</v>
      </c>
      <c r="AN113" s="246">
        <f t="shared" si="753"/>
        <v>0</v>
      </c>
      <c r="AO113" s="245">
        <f t="array" ref="AO113">SUM(IF((modeldata!$F:$F=calibration!$AF$106)*(modeldata!$G:$G=calibration!AO$108)*(modeldata!$H:$H=calibration!$AF113),modeldata!$E:$E,0))</f>
        <v>0</v>
      </c>
      <c r="AP113" s="245">
        <f t="array" ref="AP113">SUM(IF((modeldata!$F:$F=calibration!$AF$106)*(modeldata!$G:$G=calibration!AP$108)*(modeldata!$H:$H=calibration!$AF113),modeldata!$E:$E,0))</f>
        <v>0</v>
      </c>
      <c r="AQ113" s="245">
        <f t="array" ref="AQ113">SUM(IF((modeldata!$F:$F=calibration!$AF$106)*(modeldata!$G:$G=calibration!AQ$108)*(modeldata!$H:$H=calibration!$AF113),modeldata!$E:$E,0))</f>
        <v>0</v>
      </c>
      <c r="AR113" s="178">
        <f t="shared" si="784"/>
        <v>0</v>
      </c>
      <c r="AS113" s="17">
        <f t="shared" si="724"/>
        <v>0</v>
      </c>
      <c r="AU113" s="66" t="s">
        <v>3</v>
      </c>
      <c r="AV113" s="38">
        <f t="shared" ref="AV113:BG113" si="789">IF(R129&gt;0,R113/R129,0)</f>
        <v>0</v>
      </c>
      <c r="AW113" s="245">
        <f t="shared" si="789"/>
        <v>0</v>
      </c>
      <c r="AX113" s="245">
        <f t="shared" si="789"/>
        <v>0</v>
      </c>
      <c r="AY113" s="245">
        <f t="shared" si="789"/>
        <v>0</v>
      </c>
      <c r="AZ113" s="36">
        <f t="shared" si="789"/>
        <v>0</v>
      </c>
      <c r="BA113" s="245">
        <f t="shared" si="789"/>
        <v>0</v>
      </c>
      <c r="BB113" s="245">
        <f t="shared" si="789"/>
        <v>0</v>
      </c>
      <c r="BC113" s="246">
        <f t="shared" si="789"/>
        <v>0</v>
      </c>
      <c r="BD113" s="245">
        <f t="shared" si="789"/>
        <v>0</v>
      </c>
      <c r="BE113" s="245">
        <f t="shared" si="789"/>
        <v>0</v>
      </c>
      <c r="BF113" s="245">
        <f t="shared" si="789"/>
        <v>0</v>
      </c>
      <c r="BG113" s="178">
        <f t="shared" si="789"/>
        <v>0</v>
      </c>
      <c r="BH113" s="24" t="e">
        <f>AD113/AD129</f>
        <v>#DIV/0!</v>
      </c>
      <c r="BJ113" s="66" t="s">
        <v>3</v>
      </c>
      <c r="BK113" s="38">
        <f t="shared" ref="BK113:BV113" si="790">IF(AG129&gt;0,AG113/AG129,0)</f>
        <v>0</v>
      </c>
      <c r="BL113" s="245">
        <f t="shared" si="790"/>
        <v>0</v>
      </c>
      <c r="BM113" s="245">
        <f t="shared" si="790"/>
        <v>0</v>
      </c>
      <c r="BN113" s="245">
        <f t="shared" si="790"/>
        <v>0</v>
      </c>
      <c r="BO113" s="36">
        <f t="shared" si="790"/>
        <v>0</v>
      </c>
      <c r="BP113" s="245">
        <f t="shared" si="790"/>
        <v>0</v>
      </c>
      <c r="BQ113" s="245">
        <f t="shared" si="790"/>
        <v>0</v>
      </c>
      <c r="BR113" s="246">
        <f t="shared" si="790"/>
        <v>0</v>
      </c>
      <c r="BS113" s="245">
        <f t="shared" si="790"/>
        <v>0</v>
      </c>
      <c r="BT113" s="245">
        <f t="shared" si="790"/>
        <v>0</v>
      </c>
      <c r="BU113" s="245">
        <f t="shared" si="790"/>
        <v>0</v>
      </c>
      <c r="BV113" s="178">
        <f t="shared" si="790"/>
        <v>0</v>
      </c>
      <c r="BW113" s="24" t="e">
        <f>AS113/AS129</f>
        <v>#DIV/0!</v>
      </c>
      <c r="BX113" s="24"/>
      <c r="BY113" s="66" t="s">
        <v>3</v>
      </c>
      <c r="BZ113" s="54">
        <f t="shared" si="756"/>
        <v>0</v>
      </c>
      <c r="CA113" s="55">
        <f t="shared" si="727"/>
        <v>0</v>
      </c>
      <c r="CB113" s="55">
        <f t="shared" si="728"/>
        <v>0</v>
      </c>
      <c r="CC113" s="55">
        <f t="shared" si="729"/>
        <v>0</v>
      </c>
      <c r="CD113" s="58">
        <f t="shared" si="730"/>
        <v>0</v>
      </c>
      <c r="CE113" s="55">
        <f t="shared" si="731"/>
        <v>0</v>
      </c>
      <c r="CF113" s="55">
        <f t="shared" si="732"/>
        <v>0</v>
      </c>
      <c r="CG113" s="249">
        <f t="shared" si="733"/>
        <v>0</v>
      </c>
      <c r="CH113" s="55">
        <f t="shared" si="734"/>
        <v>0</v>
      </c>
      <c r="CI113" s="55">
        <f t="shared" si="735"/>
        <v>0</v>
      </c>
      <c r="CJ113" s="55">
        <f t="shared" si="736"/>
        <v>0</v>
      </c>
      <c r="CK113" s="252">
        <f t="shared" si="736"/>
        <v>0</v>
      </c>
      <c r="CL113" s="55">
        <f t="shared" si="737"/>
        <v>0</v>
      </c>
      <c r="CN113" s="66" t="s">
        <v>3</v>
      </c>
      <c r="CO113" s="54">
        <f t="shared" si="757"/>
        <v>0</v>
      </c>
      <c r="CP113" s="55">
        <f t="shared" si="738"/>
        <v>0</v>
      </c>
      <c r="CQ113" s="55">
        <f t="shared" si="739"/>
        <v>0</v>
      </c>
      <c r="CR113" s="55">
        <f t="shared" si="740"/>
        <v>0</v>
      </c>
      <c r="CS113" s="58">
        <f t="shared" si="741"/>
        <v>0</v>
      </c>
      <c r="CT113" s="55">
        <f t="shared" si="742"/>
        <v>0</v>
      </c>
      <c r="CU113" s="55">
        <f t="shared" si="743"/>
        <v>0</v>
      </c>
      <c r="CV113" s="249">
        <f t="shared" si="744"/>
        <v>0</v>
      </c>
      <c r="CW113" s="55">
        <f t="shared" si="745"/>
        <v>0</v>
      </c>
      <c r="CX113" s="55">
        <f t="shared" si="746"/>
        <v>0</v>
      </c>
      <c r="CY113" s="55">
        <f t="shared" si="747"/>
        <v>0</v>
      </c>
      <c r="CZ113" s="252">
        <f t="shared" si="747"/>
        <v>0</v>
      </c>
      <c r="DA113" s="62" t="e">
        <f t="shared" si="748"/>
        <v>#DIV/0!</v>
      </c>
      <c r="DC113" s="66" t="s">
        <v>3</v>
      </c>
      <c r="DD113" s="198">
        <f t="shared" si="758"/>
        <v>0</v>
      </c>
      <c r="DE113" s="199">
        <f t="shared" si="759"/>
        <v>0</v>
      </c>
      <c r="DF113" s="198">
        <f t="shared" si="760"/>
        <v>0</v>
      </c>
      <c r="DG113" s="199">
        <f t="shared" si="761"/>
        <v>0</v>
      </c>
      <c r="DH113" s="198">
        <f t="shared" si="762"/>
        <v>0</v>
      </c>
      <c r="DI113" s="199">
        <f t="shared" si="763"/>
        <v>0</v>
      </c>
      <c r="DJ113" s="198">
        <f t="shared" si="764"/>
        <v>0</v>
      </c>
      <c r="DK113" s="199">
        <f t="shared" si="765"/>
        <v>0</v>
      </c>
      <c r="DL113" s="193">
        <f t="shared" si="766"/>
        <v>0</v>
      </c>
      <c r="DM113" s="194">
        <f t="shared" si="767"/>
        <v>0</v>
      </c>
      <c r="DN113" s="198">
        <f t="shared" si="768"/>
        <v>0</v>
      </c>
      <c r="DO113" s="199">
        <f t="shared" si="769"/>
        <v>0</v>
      </c>
      <c r="DP113" s="198">
        <f t="shared" si="770"/>
        <v>0</v>
      </c>
      <c r="DQ113" s="199">
        <f t="shared" si="771"/>
        <v>0</v>
      </c>
      <c r="DR113" s="198">
        <f t="shared" si="772"/>
        <v>0</v>
      </c>
      <c r="DS113" s="199">
        <f t="shared" si="773"/>
        <v>0</v>
      </c>
      <c r="DT113" s="198">
        <f t="shared" si="774"/>
        <v>0</v>
      </c>
      <c r="DU113" s="199">
        <f t="shared" si="775"/>
        <v>0</v>
      </c>
      <c r="DV113" s="198">
        <f t="shared" si="776"/>
        <v>0</v>
      </c>
      <c r="DW113" s="199">
        <f t="shared" si="777"/>
        <v>0</v>
      </c>
      <c r="DX113" s="198">
        <f t="shared" si="778"/>
        <v>0</v>
      </c>
      <c r="DY113" s="199">
        <f t="shared" si="779"/>
        <v>0</v>
      </c>
      <c r="DZ113" s="190">
        <f t="shared" si="780"/>
        <v>0</v>
      </c>
      <c r="EA113" s="199">
        <f t="shared" si="749"/>
        <v>0</v>
      </c>
      <c r="EB113" s="190" t="e">
        <f t="shared" si="781"/>
        <v>#DIV/0!</v>
      </c>
      <c r="EC113" s="190" t="e">
        <f t="shared" si="782"/>
        <v>#DIV/0!</v>
      </c>
    </row>
    <row r="114" spans="1:133" x14ac:dyDescent="0.2">
      <c r="A114" s="66" t="s">
        <v>5</v>
      </c>
      <c r="B114" s="38">
        <f>targets!AW107</f>
        <v>0</v>
      </c>
      <c r="C114" s="245">
        <f>targets!AX107</f>
        <v>0</v>
      </c>
      <c r="D114" s="245">
        <f>targets!AY107</f>
        <v>0</v>
      </c>
      <c r="E114" s="245">
        <f>targets!AZ107</f>
        <v>0</v>
      </c>
      <c r="F114" s="245">
        <f>targets!BA107</f>
        <v>0</v>
      </c>
      <c r="G114" s="39">
        <f>SUM(targets!BB107:BG107)</f>
        <v>123681.5198367081</v>
      </c>
      <c r="H114" s="245">
        <f>SUM(targets!BH107:BM107)</f>
        <v>0</v>
      </c>
      <c r="I114" s="246">
        <f t="shared" si="750"/>
        <v>123681.5198367081</v>
      </c>
      <c r="J114" s="245">
        <f>targets!BN107</f>
        <v>0</v>
      </c>
      <c r="K114" s="245">
        <f>targets!BO107</f>
        <v>0</v>
      </c>
      <c r="L114" s="245">
        <f>targets!BP107</f>
        <v>0</v>
      </c>
      <c r="M114" s="178">
        <f t="shared" si="751"/>
        <v>0</v>
      </c>
      <c r="N114" s="17">
        <f t="shared" si="712"/>
        <v>123681.5198367081</v>
      </c>
      <c r="O114" s="17"/>
      <c r="P114" s="17"/>
      <c r="Q114" s="66" t="s">
        <v>5</v>
      </c>
      <c r="R114" s="38">
        <f t="shared" si="713"/>
        <v>0</v>
      </c>
      <c r="S114" s="245">
        <f t="shared" si="714"/>
        <v>0</v>
      </c>
      <c r="T114" s="245">
        <f t="shared" si="715"/>
        <v>0</v>
      </c>
      <c r="U114" s="245">
        <f t="shared" si="716"/>
        <v>0</v>
      </c>
      <c r="V114" s="245">
        <f t="shared" si="717"/>
        <v>0</v>
      </c>
      <c r="W114" s="39">
        <f t="shared" si="718"/>
        <v>0</v>
      </c>
      <c r="X114" s="245">
        <f t="shared" si="719"/>
        <v>0</v>
      </c>
      <c r="Y114" s="246">
        <f t="shared" si="752"/>
        <v>0</v>
      </c>
      <c r="Z114" s="245">
        <f t="shared" si="720"/>
        <v>0</v>
      </c>
      <c r="AA114" s="245">
        <f t="shared" si="721"/>
        <v>0</v>
      </c>
      <c r="AB114" s="245">
        <f t="shared" si="722"/>
        <v>0</v>
      </c>
      <c r="AC114" s="178">
        <f t="shared" si="783"/>
        <v>0</v>
      </c>
      <c r="AD114" s="17">
        <f t="shared" si="723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5">
        <f t="array" ref="AH114">SUM(IF((modeldata!$F:$F=calibration!$AF$106)*(modeldata!$G:$G=calibration!AH$108)*(modeldata!$H:$H=calibration!$AF114),modeldata!$E:$E,0))</f>
        <v>0</v>
      </c>
      <c r="AI114" s="245">
        <f t="array" ref="AI114">SUM(IF((modeldata!$F:$F=calibration!$AF$106)*(modeldata!$G:$G=calibration!AI$108)*(modeldata!$H:$H=calibration!$AF114),modeldata!$E:$E,0))</f>
        <v>0</v>
      </c>
      <c r="AJ114" s="245">
        <f t="array" ref="AJ114">SUM(IF((modeldata!$F:$F=calibration!$AF$106)*(modeldata!$G:$G=calibration!AJ$108)*(modeldata!$H:$H=calibration!$AF114),modeldata!$E:$E,0))</f>
        <v>0</v>
      </c>
      <c r="AK114" s="245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5">
        <f t="array" ref="AM114">SUM(IF((modeldata!$F:$F=calibration!$AF$106)*(modeldata!$G:$G=calibration!AM$108)*(modeldata!$H:$H=calibration!$AF114),modeldata!$E:$E,0))</f>
        <v>0</v>
      </c>
      <c r="AN114" s="246">
        <f t="shared" ref="AN114:AN119" si="791">AL114+AM114+AL120+AM120</f>
        <v>0</v>
      </c>
      <c r="AO114" s="245">
        <f t="array" ref="AO114">SUM(IF((modeldata!$F:$F=calibration!$AF$106)*(modeldata!$G:$G=calibration!AO$108)*(modeldata!$H:$H=calibration!$AF114),modeldata!$E:$E,0))</f>
        <v>0</v>
      </c>
      <c r="AP114" s="245">
        <f t="array" ref="AP114">SUM(IF((modeldata!$F:$F=calibration!$AF$106)*(modeldata!$G:$G=calibration!AP$108)*(modeldata!$H:$H=calibration!$AF114),modeldata!$E:$E,0))</f>
        <v>0</v>
      </c>
      <c r="AQ114" s="245">
        <f t="array" ref="AQ114">SUM(IF((modeldata!$F:$F=calibration!$AF$106)*(modeldata!$G:$G=calibration!AQ$108)*(modeldata!$H:$H=calibration!$AF114),modeldata!$E:$E,0))</f>
        <v>0</v>
      </c>
      <c r="AR114" s="178">
        <f t="shared" si="784"/>
        <v>0</v>
      </c>
      <c r="AS114" s="17">
        <f t="shared" si="724"/>
        <v>0</v>
      </c>
      <c r="AU114" s="66" t="s">
        <v>5</v>
      </c>
      <c r="AV114" s="38">
        <f t="shared" ref="AV114:BG114" si="792">IF(R129&gt;0,R114/R129,0)</f>
        <v>0</v>
      </c>
      <c r="AW114" s="245">
        <f t="shared" si="792"/>
        <v>0</v>
      </c>
      <c r="AX114" s="245">
        <f t="shared" si="792"/>
        <v>0</v>
      </c>
      <c r="AY114" s="245">
        <f t="shared" si="792"/>
        <v>0</v>
      </c>
      <c r="AZ114" s="245">
        <f t="shared" si="792"/>
        <v>0</v>
      </c>
      <c r="BA114" s="39">
        <f t="shared" si="792"/>
        <v>0</v>
      </c>
      <c r="BB114" s="245">
        <f t="shared" si="792"/>
        <v>0</v>
      </c>
      <c r="BC114" s="246">
        <f t="shared" si="792"/>
        <v>0</v>
      </c>
      <c r="BD114" s="245">
        <f t="shared" si="792"/>
        <v>0</v>
      </c>
      <c r="BE114" s="245">
        <f t="shared" si="792"/>
        <v>0</v>
      </c>
      <c r="BF114" s="245">
        <f t="shared" si="792"/>
        <v>0</v>
      </c>
      <c r="BG114" s="178">
        <f t="shared" si="792"/>
        <v>0</v>
      </c>
      <c r="BH114" s="24" t="e">
        <f>AD114/AD129</f>
        <v>#DIV/0!</v>
      </c>
      <c r="BJ114" s="66" t="s">
        <v>5</v>
      </c>
      <c r="BK114" s="38">
        <f t="shared" ref="BK114:BV114" si="793">IF(AG129&gt;0,AG114/AG129,0)</f>
        <v>0</v>
      </c>
      <c r="BL114" s="245">
        <f t="shared" si="793"/>
        <v>0</v>
      </c>
      <c r="BM114" s="245">
        <f t="shared" si="793"/>
        <v>0</v>
      </c>
      <c r="BN114" s="245">
        <f t="shared" si="793"/>
        <v>0</v>
      </c>
      <c r="BO114" s="245">
        <f t="shared" si="793"/>
        <v>0</v>
      </c>
      <c r="BP114" s="39">
        <f t="shared" si="793"/>
        <v>0</v>
      </c>
      <c r="BQ114" s="245">
        <f t="shared" si="793"/>
        <v>0</v>
      </c>
      <c r="BR114" s="246">
        <f t="shared" si="793"/>
        <v>0</v>
      </c>
      <c r="BS114" s="245">
        <f t="shared" si="793"/>
        <v>0</v>
      </c>
      <c r="BT114" s="245">
        <f t="shared" si="793"/>
        <v>0</v>
      </c>
      <c r="BU114" s="245">
        <f t="shared" si="793"/>
        <v>0</v>
      </c>
      <c r="BV114" s="178">
        <f t="shared" si="793"/>
        <v>0</v>
      </c>
      <c r="BW114" s="24" t="e">
        <f>AS114/AS129</f>
        <v>#DIV/0!</v>
      </c>
      <c r="BX114" s="24"/>
      <c r="BY114" s="66" t="s">
        <v>5</v>
      </c>
      <c r="BZ114" s="54">
        <f t="shared" si="756"/>
        <v>0</v>
      </c>
      <c r="CA114" s="55">
        <f t="shared" si="727"/>
        <v>0</v>
      </c>
      <c r="CB114" s="55">
        <f t="shared" si="728"/>
        <v>0</v>
      </c>
      <c r="CC114" s="55">
        <f t="shared" si="729"/>
        <v>0</v>
      </c>
      <c r="CD114" s="55">
        <f t="shared" si="730"/>
        <v>0</v>
      </c>
      <c r="CE114" s="59">
        <f t="shared" si="731"/>
        <v>0</v>
      </c>
      <c r="CF114" s="55">
        <f t="shared" si="732"/>
        <v>0</v>
      </c>
      <c r="CG114" s="249">
        <f t="shared" si="733"/>
        <v>0</v>
      </c>
      <c r="CH114" s="55">
        <f t="shared" si="734"/>
        <v>0</v>
      </c>
      <c r="CI114" s="55">
        <f t="shared" si="735"/>
        <v>0</v>
      </c>
      <c r="CJ114" s="55">
        <f t="shared" si="736"/>
        <v>0</v>
      </c>
      <c r="CK114" s="252">
        <f t="shared" si="736"/>
        <v>0</v>
      </c>
      <c r="CL114" s="55">
        <f t="shared" si="737"/>
        <v>0</v>
      </c>
      <c r="CN114" s="66" t="s">
        <v>5</v>
      </c>
      <c r="CO114" s="54">
        <f t="shared" si="757"/>
        <v>0</v>
      </c>
      <c r="CP114" s="55">
        <f t="shared" si="738"/>
        <v>0</v>
      </c>
      <c r="CQ114" s="55">
        <f t="shared" si="739"/>
        <v>0</v>
      </c>
      <c r="CR114" s="55">
        <f t="shared" si="740"/>
        <v>0</v>
      </c>
      <c r="CS114" s="55">
        <f t="shared" si="741"/>
        <v>0</v>
      </c>
      <c r="CT114" s="59">
        <f t="shared" si="742"/>
        <v>0</v>
      </c>
      <c r="CU114" s="55">
        <f t="shared" si="743"/>
        <v>0</v>
      </c>
      <c r="CV114" s="249">
        <f t="shared" si="744"/>
        <v>0</v>
      </c>
      <c r="CW114" s="55">
        <f t="shared" si="745"/>
        <v>0</v>
      </c>
      <c r="CX114" s="55">
        <f t="shared" si="746"/>
        <v>0</v>
      </c>
      <c r="CY114" s="55">
        <f t="shared" si="747"/>
        <v>0</v>
      </c>
      <c r="CZ114" s="252">
        <f t="shared" si="747"/>
        <v>0</v>
      </c>
      <c r="DA114" s="62" t="e">
        <f t="shared" si="748"/>
        <v>#DIV/0!</v>
      </c>
      <c r="DC114" s="66" t="s">
        <v>5</v>
      </c>
      <c r="DD114" s="198">
        <f t="shared" si="758"/>
        <v>0</v>
      </c>
      <c r="DE114" s="199">
        <f t="shared" si="759"/>
        <v>0</v>
      </c>
      <c r="DF114" s="198">
        <f t="shared" si="760"/>
        <v>0</v>
      </c>
      <c r="DG114" s="199">
        <f t="shared" si="761"/>
        <v>0</v>
      </c>
      <c r="DH114" s="198">
        <f t="shared" si="762"/>
        <v>0</v>
      </c>
      <c r="DI114" s="199">
        <f t="shared" si="763"/>
        <v>0</v>
      </c>
      <c r="DJ114" s="198">
        <f t="shared" si="764"/>
        <v>0</v>
      </c>
      <c r="DK114" s="199">
        <f t="shared" si="765"/>
        <v>0</v>
      </c>
      <c r="DL114" s="198">
        <f t="shared" si="766"/>
        <v>0</v>
      </c>
      <c r="DM114" s="199">
        <f t="shared" si="767"/>
        <v>0</v>
      </c>
      <c r="DN114" s="195">
        <f t="shared" si="768"/>
        <v>0</v>
      </c>
      <c r="DO114" s="196">
        <f t="shared" si="769"/>
        <v>0</v>
      </c>
      <c r="DP114" s="198">
        <f t="shared" si="770"/>
        <v>0</v>
      </c>
      <c r="DQ114" s="199">
        <f t="shared" si="771"/>
        <v>0</v>
      </c>
      <c r="DR114" s="198">
        <f t="shared" si="772"/>
        <v>0</v>
      </c>
      <c r="DS114" s="199">
        <f t="shared" si="773"/>
        <v>0</v>
      </c>
      <c r="DT114" s="198">
        <f t="shared" si="774"/>
        <v>0</v>
      </c>
      <c r="DU114" s="199">
        <f t="shared" si="775"/>
        <v>0</v>
      </c>
      <c r="DV114" s="198">
        <f t="shared" si="776"/>
        <v>0</v>
      </c>
      <c r="DW114" s="199">
        <f t="shared" si="777"/>
        <v>0</v>
      </c>
      <c r="DX114" s="198">
        <f t="shared" si="778"/>
        <v>0</v>
      </c>
      <c r="DY114" s="199">
        <f t="shared" si="779"/>
        <v>0</v>
      </c>
      <c r="DZ114" s="190">
        <f t="shared" si="780"/>
        <v>0</v>
      </c>
      <c r="EA114" s="199">
        <f t="shared" si="749"/>
        <v>0</v>
      </c>
      <c r="EB114" s="190" t="e">
        <f t="shared" si="781"/>
        <v>#DIV/0!</v>
      </c>
      <c r="EC114" s="190" t="e">
        <f t="shared" si="782"/>
        <v>#DIV/0!</v>
      </c>
    </row>
    <row r="115" spans="1:133" ht="25.5" x14ac:dyDescent="0.2">
      <c r="A115" s="66" t="s">
        <v>346</v>
      </c>
      <c r="B115" s="38">
        <f>targets!AW108</f>
        <v>0</v>
      </c>
      <c r="C115" s="245">
        <f>targets!AX108</f>
        <v>0</v>
      </c>
      <c r="D115" s="245">
        <f>targets!AY108</f>
        <v>0</v>
      </c>
      <c r="E115" s="245">
        <f>targets!AZ108</f>
        <v>0</v>
      </c>
      <c r="F115" s="245">
        <f>targets!BA108</f>
        <v>0</v>
      </c>
      <c r="G115" s="40">
        <f>SUM(targets!BB108:BG108)</f>
        <v>32250.070814145893</v>
      </c>
      <c r="H115" s="245">
        <f>SUM(targets!BH108:BM108)</f>
        <v>0</v>
      </c>
      <c r="I115" s="246">
        <f t="shared" si="750"/>
        <v>32250.070814145893</v>
      </c>
      <c r="J115" s="245">
        <f>targets!BN108</f>
        <v>0</v>
      </c>
      <c r="K115" s="245">
        <f>targets!BO108</f>
        <v>0</v>
      </c>
      <c r="L115" s="245">
        <f>targets!BP108</f>
        <v>0</v>
      </c>
      <c r="M115" s="178">
        <f t="shared" si="751"/>
        <v>0</v>
      </c>
      <c r="N115" s="17">
        <f t="shared" si="712"/>
        <v>32250.070814145893</v>
      </c>
      <c r="O115" s="17"/>
      <c r="P115" s="17"/>
      <c r="Q115" s="66" t="s">
        <v>346</v>
      </c>
      <c r="R115" s="38">
        <f t="shared" si="713"/>
        <v>0</v>
      </c>
      <c r="S115" s="245">
        <f t="shared" si="714"/>
        <v>0</v>
      </c>
      <c r="T115" s="245">
        <f t="shared" si="715"/>
        <v>0</v>
      </c>
      <c r="U115" s="245">
        <f t="shared" si="716"/>
        <v>0</v>
      </c>
      <c r="V115" s="245">
        <f t="shared" si="717"/>
        <v>0</v>
      </c>
      <c r="W115" s="40">
        <f t="shared" si="718"/>
        <v>0</v>
      </c>
      <c r="X115" s="245">
        <f t="shared" si="719"/>
        <v>0</v>
      </c>
      <c r="Y115" s="246">
        <f t="shared" si="752"/>
        <v>0</v>
      </c>
      <c r="Z115" s="245">
        <f t="shared" si="720"/>
        <v>0</v>
      </c>
      <c r="AA115" s="245">
        <f t="shared" si="721"/>
        <v>0</v>
      </c>
      <c r="AB115" s="245">
        <f t="shared" si="722"/>
        <v>0</v>
      </c>
      <c r="AC115" s="178">
        <f t="shared" si="783"/>
        <v>0</v>
      </c>
      <c r="AD115" s="17">
        <f t="shared" si="723"/>
        <v>0</v>
      </c>
      <c r="AF115" s="66" t="s">
        <v>43</v>
      </c>
      <c r="AG115" s="38">
        <f t="array" ref="AG115">SUM(IF((modeldata!$F:$F=calibration!$AF$106)*(modeldata!$G:$G=calibration!AG$108)*(modeldata!$H:$H=calibration!$AF115),modeldata!$E:$E,0))</f>
        <v>0</v>
      </c>
      <c r="AH115" s="245">
        <f t="array" ref="AH115">SUM(IF((modeldata!$F:$F=calibration!$AF$106)*(modeldata!$G:$G=calibration!AH$108)*(modeldata!$H:$H=calibration!$AF115),modeldata!$E:$E,0))</f>
        <v>0</v>
      </c>
      <c r="AI115" s="245">
        <f t="array" ref="AI115">SUM(IF((modeldata!$F:$F=calibration!$AF$106)*(modeldata!$G:$G=calibration!AI$108)*(modeldata!$H:$H=calibration!$AF115),modeldata!$E:$E,0))</f>
        <v>0</v>
      </c>
      <c r="AJ115" s="245">
        <f t="array" ref="AJ115">SUM(IF((modeldata!$F:$F=calibration!$AF$106)*(modeldata!$G:$G=calibration!AJ$108)*(modeldata!$H:$H=calibration!$AF115),modeldata!$E:$E,0))</f>
        <v>0</v>
      </c>
      <c r="AK115" s="245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5">
        <f t="array" ref="AM115">SUM(IF((modeldata!$F:$F=calibration!$AF$106)*(modeldata!$G:$G=calibration!AM$108)*(modeldata!$H:$H=calibration!$AF115),modeldata!$E:$E,0))</f>
        <v>0</v>
      </c>
      <c r="AN115" s="246">
        <f t="shared" si="791"/>
        <v>0</v>
      </c>
      <c r="AO115" s="245">
        <f t="array" ref="AO115">SUM(IF((modeldata!$F:$F=calibration!$AF$106)*(modeldata!$G:$G=calibration!AO$108)*(modeldata!$H:$H=calibration!$AF115),modeldata!$E:$E,0))</f>
        <v>0</v>
      </c>
      <c r="AP115" s="245">
        <f t="array" ref="AP115">SUM(IF((modeldata!$F:$F=calibration!$AF$106)*(modeldata!$G:$G=calibration!AP$108)*(modeldata!$H:$H=calibration!$AF115),modeldata!$E:$E,0))</f>
        <v>0</v>
      </c>
      <c r="AQ115" s="245">
        <f t="array" ref="AQ115">SUM(IF((modeldata!$F:$F=calibration!$AF$106)*(modeldata!$G:$G=calibration!AQ$108)*(modeldata!$H:$H=calibration!$AF115),modeldata!$E:$E,0))</f>
        <v>0</v>
      </c>
      <c r="AR115" s="178">
        <f t="shared" si="784"/>
        <v>0</v>
      </c>
      <c r="AS115" s="17">
        <f t="shared" si="724"/>
        <v>0</v>
      </c>
      <c r="AU115" s="66" t="s">
        <v>346</v>
      </c>
      <c r="AV115" s="38">
        <f t="shared" ref="AV115:BG116" si="794">IF(R129&gt;0,R115/R129,0)</f>
        <v>0</v>
      </c>
      <c r="AW115" s="245">
        <f t="shared" si="794"/>
        <v>0</v>
      </c>
      <c r="AX115" s="245">
        <f t="shared" si="794"/>
        <v>0</v>
      </c>
      <c r="AY115" s="245">
        <f t="shared" si="794"/>
        <v>0</v>
      </c>
      <c r="AZ115" s="245">
        <f t="shared" si="794"/>
        <v>0</v>
      </c>
      <c r="BA115" s="40">
        <f t="shared" si="794"/>
        <v>0</v>
      </c>
      <c r="BB115" s="245">
        <f t="shared" si="794"/>
        <v>0</v>
      </c>
      <c r="BC115" s="246">
        <f t="shared" si="794"/>
        <v>0</v>
      </c>
      <c r="BD115" s="245">
        <f t="shared" si="794"/>
        <v>0</v>
      </c>
      <c r="BE115" s="245">
        <f t="shared" si="794"/>
        <v>0</v>
      </c>
      <c r="BF115" s="245">
        <f t="shared" si="794"/>
        <v>0</v>
      </c>
      <c r="BG115" s="178">
        <f t="shared" si="794"/>
        <v>0</v>
      </c>
      <c r="BH115" s="24" t="e">
        <f>AD115/AD129</f>
        <v>#DIV/0!</v>
      </c>
      <c r="BJ115" s="66" t="s">
        <v>346</v>
      </c>
      <c r="BK115" s="38">
        <f t="shared" ref="BK115:BV115" si="795">IF(AG129&gt;0,AG115/AG129,0)</f>
        <v>0</v>
      </c>
      <c r="BL115" s="245">
        <f t="shared" si="795"/>
        <v>0</v>
      </c>
      <c r="BM115" s="245">
        <f t="shared" si="795"/>
        <v>0</v>
      </c>
      <c r="BN115" s="245">
        <f t="shared" si="795"/>
        <v>0</v>
      </c>
      <c r="BO115" s="245">
        <f t="shared" si="795"/>
        <v>0</v>
      </c>
      <c r="BP115" s="40">
        <f t="shared" si="795"/>
        <v>0</v>
      </c>
      <c r="BQ115" s="245">
        <f t="shared" si="795"/>
        <v>0</v>
      </c>
      <c r="BR115" s="246">
        <f t="shared" si="795"/>
        <v>0</v>
      </c>
      <c r="BS115" s="245">
        <f t="shared" si="795"/>
        <v>0</v>
      </c>
      <c r="BT115" s="245">
        <f t="shared" si="795"/>
        <v>0</v>
      </c>
      <c r="BU115" s="245">
        <f t="shared" si="795"/>
        <v>0</v>
      </c>
      <c r="BV115" s="178">
        <f t="shared" si="795"/>
        <v>0</v>
      </c>
      <c r="BW115" s="24" t="e">
        <f>AS115/AS129</f>
        <v>#DIV/0!</v>
      </c>
      <c r="BX115" s="24"/>
      <c r="BY115" s="66" t="s">
        <v>346</v>
      </c>
      <c r="BZ115" s="54">
        <f t="shared" si="756"/>
        <v>0</v>
      </c>
      <c r="CA115" s="55">
        <f t="shared" si="727"/>
        <v>0</v>
      </c>
      <c r="CB115" s="55">
        <f t="shared" si="728"/>
        <v>0</v>
      </c>
      <c r="CC115" s="55">
        <f t="shared" si="729"/>
        <v>0</v>
      </c>
      <c r="CD115" s="55">
        <f t="shared" si="730"/>
        <v>0</v>
      </c>
      <c r="CE115" s="60">
        <f t="shared" si="731"/>
        <v>0</v>
      </c>
      <c r="CF115" s="55">
        <f t="shared" si="732"/>
        <v>0</v>
      </c>
      <c r="CG115" s="249">
        <f t="shared" si="733"/>
        <v>0</v>
      </c>
      <c r="CH115" s="55">
        <f t="shared" si="734"/>
        <v>0</v>
      </c>
      <c r="CI115" s="55">
        <f t="shared" si="735"/>
        <v>0</v>
      </c>
      <c r="CJ115" s="55">
        <f t="shared" si="736"/>
        <v>0</v>
      </c>
      <c r="CK115" s="252">
        <f t="shared" si="736"/>
        <v>0</v>
      </c>
      <c r="CL115" s="55">
        <f t="shared" si="737"/>
        <v>0</v>
      </c>
      <c r="CN115" s="66" t="s">
        <v>346</v>
      </c>
      <c r="CO115" s="54">
        <f t="shared" si="757"/>
        <v>0</v>
      </c>
      <c r="CP115" s="55">
        <f t="shared" si="738"/>
        <v>0</v>
      </c>
      <c r="CQ115" s="55">
        <f t="shared" si="739"/>
        <v>0</v>
      </c>
      <c r="CR115" s="55">
        <f t="shared" si="740"/>
        <v>0</v>
      </c>
      <c r="CS115" s="55">
        <f t="shared" si="741"/>
        <v>0</v>
      </c>
      <c r="CT115" s="60">
        <f t="shared" si="742"/>
        <v>0</v>
      </c>
      <c r="CU115" s="55">
        <f t="shared" si="743"/>
        <v>0</v>
      </c>
      <c r="CV115" s="249">
        <f t="shared" si="744"/>
        <v>0</v>
      </c>
      <c r="CW115" s="55">
        <f t="shared" si="745"/>
        <v>0</v>
      </c>
      <c r="CX115" s="55">
        <f t="shared" si="746"/>
        <v>0</v>
      </c>
      <c r="CY115" s="55">
        <f t="shared" si="747"/>
        <v>0</v>
      </c>
      <c r="CZ115" s="252">
        <f t="shared" si="747"/>
        <v>0</v>
      </c>
      <c r="DA115" s="62" t="e">
        <f t="shared" si="748"/>
        <v>#DIV/0!</v>
      </c>
      <c r="DC115" s="66" t="s">
        <v>346</v>
      </c>
      <c r="DD115" s="198">
        <f t="shared" si="758"/>
        <v>0</v>
      </c>
      <c r="DE115" s="199">
        <f t="shared" si="759"/>
        <v>0</v>
      </c>
      <c r="DF115" s="198">
        <f t="shared" si="760"/>
        <v>0</v>
      </c>
      <c r="DG115" s="199">
        <f t="shared" si="761"/>
        <v>0</v>
      </c>
      <c r="DH115" s="198">
        <f t="shared" si="762"/>
        <v>0</v>
      </c>
      <c r="DI115" s="199">
        <f t="shared" si="763"/>
        <v>0</v>
      </c>
      <c r="DJ115" s="198">
        <f t="shared" si="764"/>
        <v>0</v>
      </c>
      <c r="DK115" s="199">
        <f t="shared" si="765"/>
        <v>0</v>
      </c>
      <c r="DL115" s="198">
        <f t="shared" si="766"/>
        <v>0</v>
      </c>
      <c r="DM115" s="199">
        <f t="shared" si="767"/>
        <v>0</v>
      </c>
      <c r="DN115" s="198">
        <f t="shared" si="768"/>
        <v>0</v>
      </c>
      <c r="DO115" s="199">
        <f t="shared" si="769"/>
        <v>0</v>
      </c>
      <c r="DP115" s="198">
        <f t="shared" si="770"/>
        <v>0</v>
      </c>
      <c r="DQ115" s="199">
        <f t="shared" si="771"/>
        <v>0</v>
      </c>
      <c r="DR115" s="198">
        <f t="shared" si="772"/>
        <v>0</v>
      </c>
      <c r="DS115" s="199">
        <f t="shared" si="773"/>
        <v>0</v>
      </c>
      <c r="DT115" s="198">
        <f t="shared" si="774"/>
        <v>0</v>
      </c>
      <c r="DU115" s="199">
        <f t="shared" si="775"/>
        <v>0</v>
      </c>
      <c r="DV115" s="198">
        <f t="shared" si="776"/>
        <v>0</v>
      </c>
      <c r="DW115" s="199">
        <f t="shared" si="777"/>
        <v>0</v>
      </c>
      <c r="DX115" s="198">
        <f t="shared" si="778"/>
        <v>0</v>
      </c>
      <c r="DY115" s="199">
        <f t="shared" si="779"/>
        <v>0</v>
      </c>
      <c r="DZ115" s="190">
        <f t="shared" si="780"/>
        <v>0</v>
      </c>
      <c r="EA115" s="199">
        <f t="shared" si="749"/>
        <v>0</v>
      </c>
      <c r="EB115" s="190" t="e">
        <f t="shared" si="781"/>
        <v>#DIV/0!</v>
      </c>
      <c r="EC115" s="190" t="e">
        <f t="shared" si="782"/>
        <v>#DIV/0!</v>
      </c>
    </row>
    <row r="116" spans="1:133" x14ac:dyDescent="0.2">
      <c r="A116" s="2" t="s">
        <v>349</v>
      </c>
      <c r="B116" s="38">
        <f>targets!AW109</f>
        <v>0</v>
      </c>
      <c r="C116" s="245">
        <f>targets!AX109</f>
        <v>0</v>
      </c>
      <c r="D116" s="245">
        <f>targets!AY109</f>
        <v>0</v>
      </c>
      <c r="E116" s="245">
        <f>targets!AZ109</f>
        <v>0</v>
      </c>
      <c r="F116" s="245">
        <f>targets!BA109</f>
        <v>0</v>
      </c>
      <c r="G116" s="40">
        <f>SUM(targets!BB109:BG109)</f>
        <v>364.56728935833053</v>
      </c>
      <c r="H116" s="245">
        <f>SUM(targets!BH109:BM109)</f>
        <v>0</v>
      </c>
      <c r="I116" s="246">
        <f>SUM(G116:H116)</f>
        <v>364.56728935833053</v>
      </c>
      <c r="J116" s="245">
        <f>targets!BN109</f>
        <v>0</v>
      </c>
      <c r="K116" s="245">
        <f>targets!BO109</f>
        <v>0</v>
      </c>
      <c r="L116" s="245">
        <f>targets!BP109</f>
        <v>0</v>
      </c>
      <c r="M116" s="178">
        <f>SUM(J116:L116)</f>
        <v>0</v>
      </c>
      <c r="N116" s="17">
        <f>SUM(B116:L116)-I116</f>
        <v>364.56728935833053</v>
      </c>
      <c r="O116" s="17"/>
      <c r="P116" s="17"/>
      <c r="Q116" s="2" t="s">
        <v>349</v>
      </c>
      <c r="R116" s="38">
        <f t="shared" si="713"/>
        <v>0</v>
      </c>
      <c r="S116" s="245">
        <f t="shared" si="714"/>
        <v>0</v>
      </c>
      <c r="T116" s="245">
        <f t="shared" si="715"/>
        <v>0</v>
      </c>
      <c r="U116" s="245">
        <f t="shared" si="716"/>
        <v>0</v>
      </c>
      <c r="V116" s="245">
        <f t="shared" si="717"/>
        <v>0</v>
      </c>
      <c r="W116" s="40">
        <f t="shared" si="718"/>
        <v>0</v>
      </c>
      <c r="X116" s="245">
        <f t="shared" si="719"/>
        <v>0</v>
      </c>
      <c r="Y116" s="246">
        <f>SUM(W116:X116)</f>
        <v>0</v>
      </c>
      <c r="Z116" s="245">
        <f t="shared" si="720"/>
        <v>0</v>
      </c>
      <c r="AA116" s="245">
        <f t="shared" si="721"/>
        <v>0</v>
      </c>
      <c r="AB116" s="245">
        <f t="shared" si="722"/>
        <v>0</v>
      </c>
      <c r="AC116" s="178">
        <f>SUM(Z116:AB116)</f>
        <v>0</v>
      </c>
      <c r="AD116" s="17"/>
      <c r="AF116" s="2" t="s">
        <v>44</v>
      </c>
      <c r="AG116" s="38">
        <f t="array" ref="AG116">SUM(IF((modeldata!$F:$F=calibration!$AF$106)*(modeldata!$G:$G=calibration!AG$108)*(modeldata!$H:$H=calibration!$AF116),modeldata!$E:$E,0))</f>
        <v>0</v>
      </c>
      <c r="AH116" s="245">
        <f t="array" ref="AH116">SUM(IF((modeldata!$F:$F=calibration!$AF$106)*(modeldata!$G:$G=calibration!AH$108)*(modeldata!$H:$H=calibration!$AF116),modeldata!$E:$E,0))</f>
        <v>0</v>
      </c>
      <c r="AI116" s="245">
        <f t="array" ref="AI116">SUM(IF((modeldata!$F:$F=calibration!$AF$106)*(modeldata!$G:$G=calibration!AI$108)*(modeldata!$H:$H=calibration!$AF116),modeldata!$E:$E,0))</f>
        <v>0</v>
      </c>
      <c r="AJ116" s="245">
        <f t="array" ref="AJ116">SUM(IF((modeldata!$F:$F=calibration!$AF$106)*(modeldata!$G:$G=calibration!AJ$108)*(modeldata!$H:$H=calibration!$AF116),modeldata!$E:$E,0))</f>
        <v>0</v>
      </c>
      <c r="AK116" s="245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5">
        <f t="array" ref="AM116">SUM(IF((modeldata!$F:$F=calibration!$AF$106)*(modeldata!$G:$G=calibration!AM$108)*(modeldata!$H:$H=calibration!$AF116),modeldata!$E:$E,0))</f>
        <v>0</v>
      </c>
      <c r="AN116" s="246">
        <f t="shared" si="791"/>
        <v>0</v>
      </c>
      <c r="AO116" s="245">
        <f t="array" ref="AO116">SUM(IF((modeldata!$F:$F=calibration!$AF$106)*(modeldata!$G:$G=calibration!AO$108)*(modeldata!$H:$H=calibration!$AF116),modeldata!$E:$E,0))</f>
        <v>0</v>
      </c>
      <c r="AP116" s="245">
        <f t="array" ref="AP116">SUM(IF((modeldata!$F:$F=calibration!$AF$106)*(modeldata!$G:$G=calibration!AP$108)*(modeldata!$H:$H=calibration!$AF116),modeldata!$E:$E,0))</f>
        <v>0</v>
      </c>
      <c r="AQ116" s="245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349</v>
      </c>
      <c r="AV116" s="38">
        <f t="shared" si="794"/>
        <v>0</v>
      </c>
      <c r="AW116" s="245">
        <f t="shared" si="794"/>
        <v>0</v>
      </c>
      <c r="AX116" s="245">
        <f t="shared" si="794"/>
        <v>0</v>
      </c>
      <c r="AY116" s="245">
        <f t="shared" si="794"/>
        <v>0</v>
      </c>
      <c r="AZ116" s="245">
        <f t="shared" si="794"/>
        <v>0</v>
      </c>
      <c r="BA116" s="40">
        <f t="shared" si="794"/>
        <v>0</v>
      </c>
      <c r="BB116" s="245">
        <f t="shared" si="794"/>
        <v>0</v>
      </c>
      <c r="BC116" s="246">
        <f t="shared" si="794"/>
        <v>0</v>
      </c>
      <c r="BD116" s="245">
        <f t="shared" si="794"/>
        <v>0</v>
      </c>
      <c r="BE116" s="245">
        <f t="shared" si="794"/>
        <v>0</v>
      </c>
      <c r="BF116" s="245">
        <f t="shared" si="794"/>
        <v>0</v>
      </c>
      <c r="BG116" s="178">
        <f t="shared" si="794"/>
        <v>0</v>
      </c>
      <c r="BH116" s="24" t="e">
        <f>AD116/AD130</f>
        <v>#DIV/0!</v>
      </c>
      <c r="BJ116" s="2" t="s">
        <v>349</v>
      </c>
      <c r="BK116" s="38">
        <f t="shared" ref="BK116:BV116" si="796">IF(AG138&gt;0,AG116/AG138,0)</f>
        <v>0</v>
      </c>
      <c r="BL116" s="245">
        <f t="shared" si="796"/>
        <v>0</v>
      </c>
      <c r="BM116" s="245">
        <f t="shared" si="796"/>
        <v>0</v>
      </c>
      <c r="BN116" s="245">
        <f t="shared" si="796"/>
        <v>0</v>
      </c>
      <c r="BO116" s="245">
        <f t="shared" si="796"/>
        <v>0</v>
      </c>
      <c r="BP116" s="40">
        <f t="shared" si="796"/>
        <v>0</v>
      </c>
      <c r="BQ116" s="245">
        <f t="shared" si="796"/>
        <v>0</v>
      </c>
      <c r="BR116" s="246">
        <f t="shared" si="796"/>
        <v>0</v>
      </c>
      <c r="BS116" s="245">
        <f t="shared" si="796"/>
        <v>0</v>
      </c>
      <c r="BT116" s="245">
        <f t="shared" si="796"/>
        <v>0</v>
      </c>
      <c r="BU116" s="245">
        <f t="shared" si="796"/>
        <v>0</v>
      </c>
      <c r="BV116" s="178">
        <f t="shared" si="796"/>
        <v>0</v>
      </c>
      <c r="BW116" s="24" t="e">
        <f>AS116/AS138</f>
        <v>#DIV/0!</v>
      </c>
      <c r="BX116" s="24"/>
      <c r="BY116" s="2" t="s">
        <v>349</v>
      </c>
      <c r="BZ116" s="54">
        <f t="shared" ref="BZ116:CL116" si="797">AG116-R116</f>
        <v>0</v>
      </c>
      <c r="CA116" s="55">
        <f t="shared" si="797"/>
        <v>0</v>
      </c>
      <c r="CB116" s="55">
        <f t="shared" si="797"/>
        <v>0</v>
      </c>
      <c r="CC116" s="55">
        <f t="shared" si="797"/>
        <v>0</v>
      </c>
      <c r="CD116" s="55">
        <f t="shared" si="797"/>
        <v>0</v>
      </c>
      <c r="CE116" s="60">
        <f t="shared" si="797"/>
        <v>0</v>
      </c>
      <c r="CF116" s="55">
        <f t="shared" si="797"/>
        <v>0</v>
      </c>
      <c r="CG116" s="249">
        <f t="shared" si="797"/>
        <v>0</v>
      </c>
      <c r="CH116" s="55">
        <f t="shared" si="797"/>
        <v>0</v>
      </c>
      <c r="CI116" s="55">
        <f t="shared" si="797"/>
        <v>0</v>
      </c>
      <c r="CJ116" s="55">
        <f t="shared" si="797"/>
        <v>0</v>
      </c>
      <c r="CK116" s="252">
        <f t="shared" si="797"/>
        <v>0</v>
      </c>
      <c r="CL116" s="55">
        <f t="shared" si="797"/>
        <v>0</v>
      </c>
      <c r="CN116" s="2" t="s">
        <v>349</v>
      </c>
      <c r="CO116" s="54">
        <f t="shared" ref="CO116:DA116" si="798">BK116-AV116</f>
        <v>0</v>
      </c>
      <c r="CP116" s="55">
        <f t="shared" si="798"/>
        <v>0</v>
      </c>
      <c r="CQ116" s="55">
        <f t="shared" si="798"/>
        <v>0</v>
      </c>
      <c r="CR116" s="55">
        <f t="shared" si="798"/>
        <v>0</v>
      </c>
      <c r="CS116" s="55">
        <f t="shared" si="798"/>
        <v>0</v>
      </c>
      <c r="CT116" s="60">
        <f t="shared" si="798"/>
        <v>0</v>
      </c>
      <c r="CU116" s="55">
        <f t="shared" si="798"/>
        <v>0</v>
      </c>
      <c r="CV116" s="249">
        <f t="shared" si="798"/>
        <v>0</v>
      </c>
      <c r="CW116" s="55">
        <f t="shared" si="798"/>
        <v>0</v>
      </c>
      <c r="CX116" s="55">
        <f t="shared" si="798"/>
        <v>0</v>
      </c>
      <c r="CY116" s="55">
        <f t="shared" si="798"/>
        <v>0</v>
      </c>
      <c r="CZ116" s="252">
        <f t="shared" si="798"/>
        <v>0</v>
      </c>
      <c r="DA116" s="62" t="e">
        <f t="shared" si="798"/>
        <v>#DIV/0!</v>
      </c>
      <c r="DC116" s="2" t="s">
        <v>349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targets!AW110</f>
        <v>0</v>
      </c>
      <c r="C117" s="245">
        <f>targets!AX110</f>
        <v>0</v>
      </c>
      <c r="D117" s="245">
        <f>targets!AY110</f>
        <v>0</v>
      </c>
      <c r="E117" s="245">
        <f>targets!AZ110</f>
        <v>0</v>
      </c>
      <c r="F117" s="245">
        <f>targets!BA110</f>
        <v>0</v>
      </c>
      <c r="G117" s="40">
        <f>SUM(targets!BB110:BG110)</f>
        <v>1547.9076994634036</v>
      </c>
      <c r="H117" s="245">
        <f>SUM(targets!BH110:BM110)</f>
        <v>0</v>
      </c>
      <c r="I117" s="246">
        <f t="shared" si="750"/>
        <v>1547.9076994634036</v>
      </c>
      <c r="J117" s="245">
        <f>targets!BN110</f>
        <v>0</v>
      </c>
      <c r="K117" s="245">
        <f>targets!BO110</f>
        <v>0</v>
      </c>
      <c r="L117" s="245">
        <f>targets!BP110</f>
        <v>0</v>
      </c>
      <c r="M117" s="178">
        <f t="shared" si="751"/>
        <v>0</v>
      </c>
      <c r="N117" s="17">
        <f t="shared" si="712"/>
        <v>1547.9076994634036</v>
      </c>
      <c r="O117" s="17"/>
      <c r="P117" s="17"/>
      <c r="Q117" s="64" t="s">
        <v>45</v>
      </c>
      <c r="R117" s="38">
        <f t="shared" si="713"/>
        <v>0</v>
      </c>
      <c r="S117" s="245">
        <f t="shared" si="714"/>
        <v>0</v>
      </c>
      <c r="T117" s="245">
        <f t="shared" si="715"/>
        <v>0</v>
      </c>
      <c r="U117" s="245">
        <f t="shared" si="716"/>
        <v>0</v>
      </c>
      <c r="V117" s="245">
        <f t="shared" si="717"/>
        <v>0</v>
      </c>
      <c r="W117" s="40">
        <f t="shared" si="718"/>
        <v>0</v>
      </c>
      <c r="X117" s="245">
        <f t="shared" si="719"/>
        <v>0</v>
      </c>
      <c r="Y117" s="246">
        <f t="shared" si="752"/>
        <v>0</v>
      </c>
      <c r="Z117" s="245">
        <f t="shared" si="720"/>
        <v>0</v>
      </c>
      <c r="AA117" s="245">
        <f t="shared" si="721"/>
        <v>0</v>
      </c>
      <c r="AB117" s="245">
        <f t="shared" si="722"/>
        <v>0</v>
      </c>
      <c r="AC117" s="178">
        <f t="shared" si="783"/>
        <v>0</v>
      </c>
      <c r="AD117" s="17">
        <f t="shared" si="723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5">
        <f t="array" ref="AH117">SUM(IF((modeldata!$F:$F=calibration!$AF$106)*(modeldata!$G:$G=calibration!AH$108)*(modeldata!$H:$H=calibration!$AF117),modeldata!$E:$E,0))</f>
        <v>0</v>
      </c>
      <c r="AI117" s="245">
        <f t="array" ref="AI117">SUM(IF((modeldata!$F:$F=calibration!$AF$106)*(modeldata!$G:$G=calibration!AI$108)*(modeldata!$H:$H=calibration!$AF117),modeldata!$E:$E,0))</f>
        <v>0</v>
      </c>
      <c r="AJ117" s="245">
        <f t="array" ref="AJ117">SUM(IF((modeldata!$F:$F=calibration!$AF$106)*(modeldata!$G:$G=calibration!AJ$108)*(modeldata!$H:$H=calibration!$AF117),modeldata!$E:$E,0))</f>
        <v>0</v>
      </c>
      <c r="AK117" s="245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5">
        <f t="array" ref="AM117">SUM(IF((modeldata!$F:$F=calibration!$AF$106)*(modeldata!$G:$G=calibration!AM$108)*(modeldata!$H:$H=calibration!$AF117),modeldata!$E:$E,0))</f>
        <v>0</v>
      </c>
      <c r="AN117" s="246">
        <f t="shared" si="791"/>
        <v>0</v>
      </c>
      <c r="AO117" s="245">
        <f t="array" ref="AO117">SUM(IF((modeldata!$F:$F=calibration!$AF$106)*(modeldata!$G:$G=calibration!AO$108)*(modeldata!$H:$H=calibration!$AF117),modeldata!$E:$E,0))</f>
        <v>0</v>
      </c>
      <c r="AP117" s="245">
        <f t="array" ref="AP117">SUM(IF((modeldata!$F:$F=calibration!$AF$106)*(modeldata!$G:$G=calibration!AP$108)*(modeldata!$H:$H=calibration!$AF117),modeldata!$E:$E,0))</f>
        <v>0</v>
      </c>
      <c r="AQ117" s="245">
        <f t="array" ref="AQ117">SUM(IF((modeldata!$F:$F=calibration!$AF$106)*(modeldata!$G:$G=calibration!AQ$108)*(modeldata!$H:$H=calibration!$AF117),modeldata!$E:$E,0))</f>
        <v>0</v>
      </c>
      <c r="AR117" s="178">
        <f t="shared" si="784"/>
        <v>0</v>
      </c>
      <c r="AS117" s="17">
        <f t="shared" si="724"/>
        <v>0</v>
      </c>
      <c r="AU117" s="64" t="s">
        <v>45</v>
      </c>
      <c r="AV117" s="38">
        <f t="shared" ref="AV117:BG117" si="799">IF(R129&gt;0,R117/R129,0)</f>
        <v>0</v>
      </c>
      <c r="AW117" s="245">
        <f t="shared" si="799"/>
        <v>0</v>
      </c>
      <c r="AX117" s="245">
        <f t="shared" si="799"/>
        <v>0</v>
      </c>
      <c r="AY117" s="245">
        <f t="shared" si="799"/>
        <v>0</v>
      </c>
      <c r="AZ117" s="245">
        <f t="shared" si="799"/>
        <v>0</v>
      </c>
      <c r="BA117" s="40">
        <f t="shared" si="799"/>
        <v>0</v>
      </c>
      <c r="BB117" s="245">
        <f t="shared" si="799"/>
        <v>0</v>
      </c>
      <c r="BC117" s="246">
        <f t="shared" si="799"/>
        <v>0</v>
      </c>
      <c r="BD117" s="245">
        <f t="shared" si="799"/>
        <v>0</v>
      </c>
      <c r="BE117" s="245">
        <f t="shared" si="799"/>
        <v>0</v>
      </c>
      <c r="BF117" s="245">
        <f t="shared" si="799"/>
        <v>0</v>
      </c>
      <c r="BG117" s="178">
        <f t="shared" si="799"/>
        <v>0</v>
      </c>
      <c r="BH117" s="24" t="e">
        <f>AD117/AD129</f>
        <v>#DIV/0!</v>
      </c>
      <c r="BJ117" s="64" t="s">
        <v>45</v>
      </c>
      <c r="BK117" s="38">
        <f t="shared" ref="BK117:BV117" si="800">IF(AG129&gt;0,AG117/AG129,0)</f>
        <v>0</v>
      </c>
      <c r="BL117" s="245">
        <f t="shared" si="800"/>
        <v>0</v>
      </c>
      <c r="BM117" s="245">
        <f t="shared" si="800"/>
        <v>0</v>
      </c>
      <c r="BN117" s="245">
        <f t="shared" si="800"/>
        <v>0</v>
      </c>
      <c r="BO117" s="245">
        <f t="shared" si="800"/>
        <v>0</v>
      </c>
      <c r="BP117" s="40">
        <f t="shared" si="800"/>
        <v>0</v>
      </c>
      <c r="BQ117" s="245">
        <f t="shared" si="800"/>
        <v>0</v>
      </c>
      <c r="BR117" s="246">
        <f t="shared" si="800"/>
        <v>0</v>
      </c>
      <c r="BS117" s="245">
        <f t="shared" si="800"/>
        <v>0</v>
      </c>
      <c r="BT117" s="245">
        <f t="shared" si="800"/>
        <v>0</v>
      </c>
      <c r="BU117" s="245">
        <f t="shared" si="800"/>
        <v>0</v>
      </c>
      <c r="BV117" s="178">
        <f t="shared" si="800"/>
        <v>0</v>
      </c>
      <c r="BW117" s="24" t="e">
        <f>AS117/AS129</f>
        <v>#DIV/0!</v>
      </c>
      <c r="BX117" s="24"/>
      <c r="BY117" s="64" t="s">
        <v>45</v>
      </c>
      <c r="BZ117" s="54">
        <f t="shared" si="756"/>
        <v>0</v>
      </c>
      <c r="CA117" s="55">
        <f t="shared" si="727"/>
        <v>0</v>
      </c>
      <c r="CB117" s="55">
        <f t="shared" si="728"/>
        <v>0</v>
      </c>
      <c r="CC117" s="55">
        <f t="shared" si="729"/>
        <v>0</v>
      </c>
      <c r="CD117" s="55">
        <f t="shared" si="730"/>
        <v>0</v>
      </c>
      <c r="CE117" s="60">
        <f t="shared" si="731"/>
        <v>0</v>
      </c>
      <c r="CF117" s="55">
        <f t="shared" si="732"/>
        <v>0</v>
      </c>
      <c r="CG117" s="249">
        <f t="shared" si="733"/>
        <v>0</v>
      </c>
      <c r="CH117" s="55">
        <f t="shared" si="734"/>
        <v>0</v>
      </c>
      <c r="CI117" s="55">
        <f t="shared" si="735"/>
        <v>0</v>
      </c>
      <c r="CJ117" s="55">
        <f t="shared" si="736"/>
        <v>0</v>
      </c>
      <c r="CK117" s="252">
        <f t="shared" si="736"/>
        <v>0</v>
      </c>
      <c r="CL117" s="55">
        <f t="shared" si="737"/>
        <v>0</v>
      </c>
      <c r="CN117" s="64" t="s">
        <v>45</v>
      </c>
      <c r="CO117" s="54">
        <f t="shared" si="757"/>
        <v>0</v>
      </c>
      <c r="CP117" s="55">
        <f t="shared" si="738"/>
        <v>0</v>
      </c>
      <c r="CQ117" s="55">
        <f t="shared" si="739"/>
        <v>0</v>
      </c>
      <c r="CR117" s="55">
        <f t="shared" si="740"/>
        <v>0</v>
      </c>
      <c r="CS117" s="55">
        <f t="shared" si="741"/>
        <v>0</v>
      </c>
      <c r="CT117" s="60">
        <f t="shared" si="742"/>
        <v>0</v>
      </c>
      <c r="CU117" s="55">
        <f t="shared" si="743"/>
        <v>0</v>
      </c>
      <c r="CV117" s="249">
        <f t="shared" si="744"/>
        <v>0</v>
      </c>
      <c r="CW117" s="55">
        <f t="shared" si="745"/>
        <v>0</v>
      </c>
      <c r="CX117" s="55">
        <f t="shared" si="746"/>
        <v>0</v>
      </c>
      <c r="CY117" s="55">
        <f t="shared" si="747"/>
        <v>0</v>
      </c>
      <c r="CZ117" s="252">
        <f t="shared" si="747"/>
        <v>0</v>
      </c>
      <c r="DA117" s="62" t="e">
        <f t="shared" si="748"/>
        <v>#DIV/0!</v>
      </c>
      <c r="DC117" s="64" t="s">
        <v>45</v>
      </c>
      <c r="DD117" s="198">
        <f t="shared" si="758"/>
        <v>0</v>
      </c>
      <c r="DE117" s="199">
        <f t="shared" si="759"/>
        <v>0</v>
      </c>
      <c r="DF117" s="198">
        <f t="shared" si="760"/>
        <v>0</v>
      </c>
      <c r="DG117" s="199">
        <f t="shared" si="761"/>
        <v>0</v>
      </c>
      <c r="DH117" s="198">
        <f t="shared" si="762"/>
        <v>0</v>
      </c>
      <c r="DI117" s="199">
        <f t="shared" si="763"/>
        <v>0</v>
      </c>
      <c r="DJ117" s="198">
        <f t="shared" si="764"/>
        <v>0</v>
      </c>
      <c r="DK117" s="199">
        <f t="shared" si="765"/>
        <v>0</v>
      </c>
      <c r="DL117" s="198">
        <f t="shared" si="766"/>
        <v>0</v>
      </c>
      <c r="DM117" s="199">
        <f t="shared" si="767"/>
        <v>0</v>
      </c>
      <c r="DN117" s="198">
        <f t="shared" si="768"/>
        <v>0</v>
      </c>
      <c r="DO117" s="199">
        <f t="shared" si="769"/>
        <v>0</v>
      </c>
      <c r="DP117" s="198">
        <f t="shared" si="770"/>
        <v>0</v>
      </c>
      <c r="DQ117" s="199">
        <f t="shared" si="771"/>
        <v>0</v>
      </c>
      <c r="DR117" s="198">
        <f t="shared" si="772"/>
        <v>0</v>
      </c>
      <c r="DS117" s="199">
        <f t="shared" si="773"/>
        <v>0</v>
      </c>
      <c r="DT117" s="198">
        <f t="shared" si="774"/>
        <v>0</v>
      </c>
      <c r="DU117" s="199">
        <f t="shared" si="775"/>
        <v>0</v>
      </c>
      <c r="DV117" s="198">
        <f t="shared" si="776"/>
        <v>0</v>
      </c>
      <c r="DW117" s="199">
        <f t="shared" si="777"/>
        <v>0</v>
      </c>
      <c r="DX117" s="198">
        <f t="shared" si="778"/>
        <v>0</v>
      </c>
      <c r="DY117" s="199">
        <f t="shared" si="779"/>
        <v>0</v>
      </c>
      <c r="DZ117" s="190">
        <f t="shared" si="780"/>
        <v>0</v>
      </c>
      <c r="EA117" s="199">
        <f t="shared" si="749"/>
        <v>0</v>
      </c>
      <c r="EB117" s="190" t="e">
        <f t="shared" si="781"/>
        <v>#DIV/0!</v>
      </c>
      <c r="EC117" s="190" t="e">
        <f t="shared" si="782"/>
        <v>#DIV/0!</v>
      </c>
    </row>
    <row r="118" spans="1:133" x14ac:dyDescent="0.2">
      <c r="A118" s="64" t="s">
        <v>46</v>
      </c>
      <c r="B118" s="38">
        <f>targets!AW111</f>
        <v>0</v>
      </c>
      <c r="C118" s="245">
        <f>targets!AX111</f>
        <v>0</v>
      </c>
      <c r="D118" s="245">
        <f>targets!AY111</f>
        <v>0</v>
      </c>
      <c r="E118" s="245">
        <f>targets!AZ111</f>
        <v>0</v>
      </c>
      <c r="F118" s="245">
        <f>targets!BA111</f>
        <v>0</v>
      </c>
      <c r="G118" s="40">
        <f>SUM(targets!BB111:BG111)</f>
        <v>26507.121219872395</v>
      </c>
      <c r="H118" s="245">
        <f>SUM(targets!BH111:BM111)</f>
        <v>0</v>
      </c>
      <c r="I118" s="246">
        <f t="shared" si="750"/>
        <v>26507.121219872395</v>
      </c>
      <c r="J118" s="245">
        <f>targets!BN111</f>
        <v>0</v>
      </c>
      <c r="K118" s="245">
        <f>targets!BO111</f>
        <v>0</v>
      </c>
      <c r="L118" s="245">
        <f>targets!BP111</f>
        <v>0</v>
      </c>
      <c r="M118" s="178">
        <f t="shared" si="751"/>
        <v>0</v>
      </c>
      <c r="N118" s="17">
        <f t="shared" si="712"/>
        <v>26507.121219872395</v>
      </c>
      <c r="O118" s="17"/>
      <c r="P118" s="17"/>
      <c r="Q118" s="64" t="s">
        <v>46</v>
      </c>
      <c r="R118" s="38">
        <f t="shared" si="713"/>
        <v>0</v>
      </c>
      <c r="S118" s="245">
        <f t="shared" si="714"/>
        <v>0</v>
      </c>
      <c r="T118" s="245">
        <f t="shared" si="715"/>
        <v>0</v>
      </c>
      <c r="U118" s="245">
        <f t="shared" si="716"/>
        <v>0</v>
      </c>
      <c r="V118" s="245">
        <f t="shared" si="717"/>
        <v>0</v>
      </c>
      <c r="W118" s="40">
        <f t="shared" si="718"/>
        <v>0</v>
      </c>
      <c r="X118" s="245">
        <f t="shared" si="719"/>
        <v>0</v>
      </c>
      <c r="Y118" s="246">
        <f t="shared" si="752"/>
        <v>0</v>
      </c>
      <c r="Z118" s="245">
        <f t="shared" si="720"/>
        <v>0</v>
      </c>
      <c r="AA118" s="245">
        <f t="shared" si="721"/>
        <v>0</v>
      </c>
      <c r="AB118" s="245">
        <f t="shared" si="722"/>
        <v>0</v>
      </c>
      <c r="AC118" s="178">
        <f t="shared" si="783"/>
        <v>0</v>
      </c>
      <c r="AD118" s="17">
        <f t="shared" si="723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5">
        <f t="array" ref="AH118">SUM(IF((modeldata!$F:$F=calibration!$AF$106)*(modeldata!$G:$G=calibration!AH$108)*(modeldata!$H:$H=calibration!$AF118),modeldata!$E:$E,0))</f>
        <v>0</v>
      </c>
      <c r="AI118" s="245">
        <f t="array" ref="AI118">SUM(IF((modeldata!$F:$F=calibration!$AF$106)*(modeldata!$G:$G=calibration!AI$108)*(modeldata!$H:$H=calibration!$AF118),modeldata!$E:$E,0))</f>
        <v>0</v>
      </c>
      <c r="AJ118" s="245">
        <f t="array" ref="AJ118">SUM(IF((modeldata!$F:$F=calibration!$AF$106)*(modeldata!$G:$G=calibration!AJ$108)*(modeldata!$H:$H=calibration!$AF118),modeldata!$E:$E,0))</f>
        <v>0</v>
      </c>
      <c r="AK118" s="245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5">
        <f t="array" ref="AM118">SUM(IF((modeldata!$F:$F=calibration!$AF$106)*(modeldata!$G:$G=calibration!AM$108)*(modeldata!$H:$H=calibration!$AF118),modeldata!$E:$E,0))</f>
        <v>0</v>
      </c>
      <c r="AN118" s="246">
        <f t="shared" si="791"/>
        <v>0</v>
      </c>
      <c r="AO118" s="245">
        <f t="array" ref="AO118">SUM(IF((modeldata!$F:$F=calibration!$AF$106)*(modeldata!$G:$G=calibration!AO$108)*(modeldata!$H:$H=calibration!$AF118),modeldata!$E:$E,0))</f>
        <v>0</v>
      </c>
      <c r="AP118" s="245">
        <f t="array" ref="AP118">SUM(IF((modeldata!$F:$F=calibration!$AF$106)*(modeldata!$G:$G=calibration!AP$108)*(modeldata!$H:$H=calibration!$AF118),modeldata!$E:$E,0))</f>
        <v>0</v>
      </c>
      <c r="AQ118" s="245">
        <f t="array" ref="AQ118">SUM(IF((modeldata!$F:$F=calibration!$AF$106)*(modeldata!$G:$G=calibration!AQ$108)*(modeldata!$H:$H=calibration!$AF118),modeldata!$E:$E,0))</f>
        <v>0</v>
      </c>
      <c r="AR118" s="178">
        <f t="shared" si="784"/>
        <v>0</v>
      </c>
      <c r="AS118" s="17">
        <f t="shared" si="724"/>
        <v>0</v>
      </c>
      <c r="AU118" s="64" t="s">
        <v>46</v>
      </c>
      <c r="AV118" s="38">
        <f t="shared" ref="AV118:BG118" si="801">IF(R129&gt;0,R118/R129,0)</f>
        <v>0</v>
      </c>
      <c r="AW118" s="245">
        <f t="shared" si="801"/>
        <v>0</v>
      </c>
      <c r="AX118" s="245">
        <f t="shared" si="801"/>
        <v>0</v>
      </c>
      <c r="AY118" s="245">
        <f t="shared" si="801"/>
        <v>0</v>
      </c>
      <c r="AZ118" s="245">
        <f t="shared" si="801"/>
        <v>0</v>
      </c>
      <c r="BA118" s="40">
        <f t="shared" si="801"/>
        <v>0</v>
      </c>
      <c r="BB118" s="245">
        <f t="shared" si="801"/>
        <v>0</v>
      </c>
      <c r="BC118" s="246">
        <f t="shared" si="801"/>
        <v>0</v>
      </c>
      <c r="BD118" s="245">
        <f t="shared" si="801"/>
        <v>0</v>
      </c>
      <c r="BE118" s="245">
        <f t="shared" si="801"/>
        <v>0</v>
      </c>
      <c r="BF118" s="245">
        <f t="shared" si="801"/>
        <v>0</v>
      </c>
      <c r="BG118" s="178">
        <f t="shared" si="801"/>
        <v>0</v>
      </c>
      <c r="BH118" s="24" t="e">
        <f>AD118/AD129</f>
        <v>#DIV/0!</v>
      </c>
      <c r="BJ118" s="64" t="s">
        <v>46</v>
      </c>
      <c r="BK118" s="38">
        <f t="shared" ref="BK118:BV118" si="802">IF(AG129&gt;0,AG118/AG129,0)</f>
        <v>0</v>
      </c>
      <c r="BL118" s="245">
        <f t="shared" si="802"/>
        <v>0</v>
      </c>
      <c r="BM118" s="245">
        <f t="shared" si="802"/>
        <v>0</v>
      </c>
      <c r="BN118" s="245">
        <f t="shared" si="802"/>
        <v>0</v>
      </c>
      <c r="BO118" s="245">
        <f t="shared" si="802"/>
        <v>0</v>
      </c>
      <c r="BP118" s="40">
        <f t="shared" si="802"/>
        <v>0</v>
      </c>
      <c r="BQ118" s="245">
        <f t="shared" si="802"/>
        <v>0</v>
      </c>
      <c r="BR118" s="246">
        <f t="shared" si="802"/>
        <v>0</v>
      </c>
      <c r="BS118" s="245">
        <f t="shared" si="802"/>
        <v>0</v>
      </c>
      <c r="BT118" s="245">
        <f t="shared" si="802"/>
        <v>0</v>
      </c>
      <c r="BU118" s="245">
        <f t="shared" si="802"/>
        <v>0</v>
      </c>
      <c r="BV118" s="178">
        <f t="shared" si="802"/>
        <v>0</v>
      </c>
      <c r="BW118" s="24" t="e">
        <f>AS118/AS129</f>
        <v>#DIV/0!</v>
      </c>
      <c r="BX118" s="24"/>
      <c r="BY118" s="64" t="s">
        <v>46</v>
      </c>
      <c r="BZ118" s="54">
        <f t="shared" si="756"/>
        <v>0</v>
      </c>
      <c r="CA118" s="55">
        <f t="shared" si="727"/>
        <v>0</v>
      </c>
      <c r="CB118" s="55">
        <f t="shared" si="728"/>
        <v>0</v>
      </c>
      <c r="CC118" s="55">
        <f t="shared" si="729"/>
        <v>0</v>
      </c>
      <c r="CD118" s="55">
        <f t="shared" si="730"/>
        <v>0</v>
      </c>
      <c r="CE118" s="60">
        <f t="shared" si="731"/>
        <v>0</v>
      </c>
      <c r="CF118" s="55">
        <f t="shared" si="732"/>
        <v>0</v>
      </c>
      <c r="CG118" s="249">
        <f t="shared" si="733"/>
        <v>0</v>
      </c>
      <c r="CH118" s="55">
        <f t="shared" si="734"/>
        <v>0</v>
      </c>
      <c r="CI118" s="55">
        <f t="shared" si="735"/>
        <v>0</v>
      </c>
      <c r="CJ118" s="55">
        <f t="shared" si="736"/>
        <v>0</v>
      </c>
      <c r="CK118" s="252">
        <f t="shared" si="736"/>
        <v>0</v>
      </c>
      <c r="CL118" s="55">
        <f t="shared" si="737"/>
        <v>0</v>
      </c>
      <c r="CN118" s="64" t="s">
        <v>46</v>
      </c>
      <c r="CO118" s="54">
        <f t="shared" si="757"/>
        <v>0</v>
      </c>
      <c r="CP118" s="55">
        <f t="shared" si="738"/>
        <v>0</v>
      </c>
      <c r="CQ118" s="55">
        <f t="shared" si="739"/>
        <v>0</v>
      </c>
      <c r="CR118" s="55">
        <f t="shared" si="740"/>
        <v>0</v>
      </c>
      <c r="CS118" s="55">
        <f t="shared" si="741"/>
        <v>0</v>
      </c>
      <c r="CT118" s="60">
        <f t="shared" si="742"/>
        <v>0</v>
      </c>
      <c r="CU118" s="55">
        <f t="shared" si="743"/>
        <v>0</v>
      </c>
      <c r="CV118" s="249">
        <f t="shared" si="744"/>
        <v>0</v>
      </c>
      <c r="CW118" s="55">
        <f t="shared" si="745"/>
        <v>0</v>
      </c>
      <c r="CX118" s="55">
        <f t="shared" si="746"/>
        <v>0</v>
      </c>
      <c r="CY118" s="55">
        <f t="shared" si="747"/>
        <v>0</v>
      </c>
      <c r="CZ118" s="252">
        <f t="shared" si="747"/>
        <v>0</v>
      </c>
      <c r="DA118" s="62" t="e">
        <f t="shared" si="748"/>
        <v>#DIV/0!</v>
      </c>
      <c r="DC118" s="64" t="s">
        <v>46</v>
      </c>
      <c r="DD118" s="198">
        <f t="shared" si="758"/>
        <v>0</v>
      </c>
      <c r="DE118" s="199">
        <f t="shared" si="759"/>
        <v>0</v>
      </c>
      <c r="DF118" s="198">
        <f t="shared" si="760"/>
        <v>0</v>
      </c>
      <c r="DG118" s="199">
        <f t="shared" si="761"/>
        <v>0</v>
      </c>
      <c r="DH118" s="198">
        <f t="shared" si="762"/>
        <v>0</v>
      </c>
      <c r="DI118" s="199">
        <f t="shared" si="763"/>
        <v>0</v>
      </c>
      <c r="DJ118" s="198">
        <f t="shared" si="764"/>
        <v>0</v>
      </c>
      <c r="DK118" s="199">
        <f t="shared" si="765"/>
        <v>0</v>
      </c>
      <c r="DL118" s="198">
        <f t="shared" si="766"/>
        <v>0</v>
      </c>
      <c r="DM118" s="199">
        <f t="shared" si="767"/>
        <v>0</v>
      </c>
      <c r="DN118" s="198">
        <f t="shared" si="768"/>
        <v>0</v>
      </c>
      <c r="DO118" s="199">
        <f t="shared" si="769"/>
        <v>0</v>
      </c>
      <c r="DP118" s="198">
        <f t="shared" si="770"/>
        <v>0</v>
      </c>
      <c r="DQ118" s="199">
        <f t="shared" si="771"/>
        <v>0</v>
      </c>
      <c r="DR118" s="198">
        <f t="shared" si="772"/>
        <v>0</v>
      </c>
      <c r="DS118" s="199">
        <f t="shared" si="773"/>
        <v>0</v>
      </c>
      <c r="DT118" s="198">
        <f t="shared" si="774"/>
        <v>0</v>
      </c>
      <c r="DU118" s="199">
        <f t="shared" si="775"/>
        <v>0</v>
      </c>
      <c r="DV118" s="198">
        <f t="shared" si="776"/>
        <v>0</v>
      </c>
      <c r="DW118" s="199">
        <f t="shared" si="777"/>
        <v>0</v>
      </c>
      <c r="DX118" s="198">
        <f t="shared" si="778"/>
        <v>0</v>
      </c>
      <c r="DY118" s="199">
        <f t="shared" si="779"/>
        <v>0</v>
      </c>
      <c r="DZ118" s="190">
        <f t="shared" si="780"/>
        <v>0</v>
      </c>
      <c r="EA118" s="199">
        <f t="shared" si="749"/>
        <v>0</v>
      </c>
      <c r="EB118" s="190" t="e">
        <f t="shared" si="781"/>
        <v>#DIV/0!</v>
      </c>
      <c r="EC118" s="190" t="e">
        <f t="shared" si="782"/>
        <v>#DIV/0!</v>
      </c>
    </row>
    <row r="119" spans="1:133" x14ac:dyDescent="0.2">
      <c r="A119" s="64" t="s">
        <v>47</v>
      </c>
      <c r="B119" s="38">
        <f>targets!AW112</f>
        <v>0</v>
      </c>
      <c r="C119" s="245">
        <f>targets!AX112</f>
        <v>0</v>
      </c>
      <c r="D119" s="245">
        <f>targets!AY112</f>
        <v>0</v>
      </c>
      <c r="E119" s="245">
        <f>targets!AZ112</f>
        <v>0</v>
      </c>
      <c r="F119" s="245">
        <f>targets!BA112</f>
        <v>0</v>
      </c>
      <c r="G119" s="41">
        <f>SUM(targets!BB112:BG112)</f>
        <v>4034.4842279883951</v>
      </c>
      <c r="H119" s="245">
        <f>SUM(targets!BH112:BM112)</f>
        <v>0</v>
      </c>
      <c r="I119" s="246">
        <f t="shared" si="750"/>
        <v>4034.4842279883951</v>
      </c>
      <c r="J119" s="245">
        <f>targets!BN112</f>
        <v>0</v>
      </c>
      <c r="K119" s="245">
        <f>targets!BO112</f>
        <v>0</v>
      </c>
      <c r="L119" s="245">
        <f>targets!BP112</f>
        <v>0</v>
      </c>
      <c r="M119" s="178">
        <f t="shared" si="751"/>
        <v>0</v>
      </c>
      <c r="N119" s="17">
        <f t="shared" si="712"/>
        <v>4034.4842279883951</v>
      </c>
      <c r="O119" s="17"/>
      <c r="P119" s="17"/>
      <c r="Q119" s="64" t="s">
        <v>47</v>
      </c>
      <c r="R119" s="38">
        <f t="shared" si="713"/>
        <v>0</v>
      </c>
      <c r="S119" s="245">
        <f t="shared" si="714"/>
        <v>0</v>
      </c>
      <c r="T119" s="245">
        <f t="shared" si="715"/>
        <v>0</v>
      </c>
      <c r="U119" s="245">
        <f t="shared" si="716"/>
        <v>0</v>
      </c>
      <c r="V119" s="245">
        <f t="shared" si="717"/>
        <v>0</v>
      </c>
      <c r="W119" s="41">
        <f t="shared" si="718"/>
        <v>0</v>
      </c>
      <c r="X119" s="245">
        <f t="shared" si="719"/>
        <v>0</v>
      </c>
      <c r="Y119" s="246">
        <f t="shared" si="752"/>
        <v>0</v>
      </c>
      <c r="Z119" s="245">
        <f t="shared" si="720"/>
        <v>0</v>
      </c>
      <c r="AA119" s="245">
        <f t="shared" si="721"/>
        <v>0</v>
      </c>
      <c r="AB119" s="245">
        <f t="shared" si="722"/>
        <v>0</v>
      </c>
      <c r="AC119" s="178">
        <f t="shared" si="783"/>
        <v>0</v>
      </c>
      <c r="AD119" s="17">
        <f t="shared" si="723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5">
        <f t="array" ref="AH119">SUM(IF((modeldata!$F:$F=calibration!$AF$106)*(modeldata!$G:$G=calibration!AH$108)*(modeldata!$H:$H=calibration!$AF119),modeldata!$E:$E,0))</f>
        <v>0</v>
      </c>
      <c r="AI119" s="245">
        <f t="array" ref="AI119">SUM(IF((modeldata!$F:$F=calibration!$AF$106)*(modeldata!$G:$G=calibration!AI$108)*(modeldata!$H:$H=calibration!$AF119),modeldata!$E:$E,0))</f>
        <v>0</v>
      </c>
      <c r="AJ119" s="245">
        <f t="array" ref="AJ119">SUM(IF((modeldata!$F:$F=calibration!$AF$106)*(modeldata!$G:$G=calibration!AJ$108)*(modeldata!$H:$H=calibration!$AF119),modeldata!$E:$E,0))</f>
        <v>0</v>
      </c>
      <c r="AK119" s="245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5">
        <f t="array" ref="AM119">SUM(IF((modeldata!$F:$F=calibration!$AF$106)*(modeldata!$G:$G=calibration!AM$108)*(modeldata!$H:$H=calibration!$AF119),modeldata!$E:$E,0))</f>
        <v>0</v>
      </c>
      <c r="AN119" s="246">
        <f t="shared" si="791"/>
        <v>0</v>
      </c>
      <c r="AO119" s="245">
        <f t="array" ref="AO119">SUM(IF((modeldata!$F:$F=calibration!$AF$106)*(modeldata!$G:$G=calibration!AO$108)*(modeldata!$H:$H=calibration!$AF119),modeldata!$E:$E,0))</f>
        <v>0</v>
      </c>
      <c r="AP119" s="245">
        <f t="array" ref="AP119">SUM(IF((modeldata!$F:$F=calibration!$AF$106)*(modeldata!$G:$G=calibration!AP$108)*(modeldata!$H:$H=calibration!$AF119),modeldata!$E:$E,0))</f>
        <v>0</v>
      </c>
      <c r="AQ119" s="245">
        <f t="array" ref="AQ119">SUM(IF((modeldata!$F:$F=calibration!$AF$106)*(modeldata!$G:$G=calibration!AQ$108)*(modeldata!$H:$H=calibration!$AF119),modeldata!$E:$E,0))</f>
        <v>0</v>
      </c>
      <c r="AR119" s="178">
        <f t="shared" si="784"/>
        <v>0</v>
      </c>
      <c r="AS119" s="17">
        <f t="shared" si="724"/>
        <v>0</v>
      </c>
      <c r="AU119" s="64" t="s">
        <v>47</v>
      </c>
      <c r="AV119" s="38">
        <f t="shared" ref="AV119:BG119" si="803">IF(R129&gt;0,R119/R129,0)</f>
        <v>0</v>
      </c>
      <c r="AW119" s="245">
        <f t="shared" si="803"/>
        <v>0</v>
      </c>
      <c r="AX119" s="245">
        <f t="shared" si="803"/>
        <v>0</v>
      </c>
      <c r="AY119" s="245">
        <f t="shared" si="803"/>
        <v>0</v>
      </c>
      <c r="AZ119" s="245">
        <f t="shared" si="803"/>
        <v>0</v>
      </c>
      <c r="BA119" s="41">
        <f t="shared" si="803"/>
        <v>0</v>
      </c>
      <c r="BB119" s="245">
        <f t="shared" si="803"/>
        <v>0</v>
      </c>
      <c r="BC119" s="246">
        <f t="shared" si="803"/>
        <v>0</v>
      </c>
      <c r="BD119" s="245">
        <f t="shared" si="803"/>
        <v>0</v>
      </c>
      <c r="BE119" s="245">
        <f t="shared" si="803"/>
        <v>0</v>
      </c>
      <c r="BF119" s="245">
        <f t="shared" si="803"/>
        <v>0</v>
      </c>
      <c r="BG119" s="178">
        <f t="shared" si="803"/>
        <v>0</v>
      </c>
      <c r="BH119" s="24" t="e">
        <f>AD119/AD129</f>
        <v>#DIV/0!</v>
      </c>
      <c r="BJ119" s="64" t="s">
        <v>47</v>
      </c>
      <c r="BK119" s="38">
        <f t="shared" ref="BK119:BV119" si="804">IF(AG129&gt;0,AG119/AG129,0)</f>
        <v>0</v>
      </c>
      <c r="BL119" s="245">
        <f t="shared" si="804"/>
        <v>0</v>
      </c>
      <c r="BM119" s="245">
        <f t="shared" si="804"/>
        <v>0</v>
      </c>
      <c r="BN119" s="245">
        <f t="shared" si="804"/>
        <v>0</v>
      </c>
      <c r="BO119" s="245">
        <f t="shared" si="804"/>
        <v>0</v>
      </c>
      <c r="BP119" s="41">
        <f t="shared" si="804"/>
        <v>0</v>
      </c>
      <c r="BQ119" s="245">
        <f t="shared" si="804"/>
        <v>0</v>
      </c>
      <c r="BR119" s="246">
        <f t="shared" si="804"/>
        <v>0</v>
      </c>
      <c r="BS119" s="245">
        <f t="shared" si="804"/>
        <v>0</v>
      </c>
      <c r="BT119" s="245">
        <f t="shared" si="804"/>
        <v>0</v>
      </c>
      <c r="BU119" s="245">
        <f t="shared" si="804"/>
        <v>0</v>
      </c>
      <c r="BV119" s="178">
        <f t="shared" si="804"/>
        <v>0</v>
      </c>
      <c r="BW119" s="24" t="e">
        <f>AS119/AS129</f>
        <v>#DIV/0!</v>
      </c>
      <c r="BX119" s="24"/>
      <c r="BY119" s="64" t="s">
        <v>47</v>
      </c>
      <c r="BZ119" s="54">
        <f t="shared" si="756"/>
        <v>0</v>
      </c>
      <c r="CA119" s="55">
        <f t="shared" si="727"/>
        <v>0</v>
      </c>
      <c r="CB119" s="55">
        <f t="shared" si="728"/>
        <v>0</v>
      </c>
      <c r="CC119" s="55">
        <f t="shared" si="729"/>
        <v>0</v>
      </c>
      <c r="CD119" s="55">
        <f t="shared" si="730"/>
        <v>0</v>
      </c>
      <c r="CE119" s="61">
        <f t="shared" si="731"/>
        <v>0</v>
      </c>
      <c r="CF119" s="55">
        <f t="shared" si="732"/>
        <v>0</v>
      </c>
      <c r="CG119" s="249">
        <f t="shared" si="733"/>
        <v>0</v>
      </c>
      <c r="CH119" s="55">
        <f t="shared" si="734"/>
        <v>0</v>
      </c>
      <c r="CI119" s="55">
        <f t="shared" si="735"/>
        <v>0</v>
      </c>
      <c r="CJ119" s="55">
        <f t="shared" si="736"/>
        <v>0</v>
      </c>
      <c r="CK119" s="252">
        <f t="shared" si="736"/>
        <v>0</v>
      </c>
      <c r="CL119" s="55">
        <f t="shared" si="737"/>
        <v>0</v>
      </c>
      <c r="CN119" s="64" t="s">
        <v>47</v>
      </c>
      <c r="CO119" s="54">
        <f t="shared" si="757"/>
        <v>0</v>
      </c>
      <c r="CP119" s="55">
        <f t="shared" si="738"/>
        <v>0</v>
      </c>
      <c r="CQ119" s="55">
        <f t="shared" si="739"/>
        <v>0</v>
      </c>
      <c r="CR119" s="55">
        <f t="shared" si="740"/>
        <v>0</v>
      </c>
      <c r="CS119" s="55">
        <f t="shared" si="741"/>
        <v>0</v>
      </c>
      <c r="CT119" s="61">
        <f t="shared" si="742"/>
        <v>0</v>
      </c>
      <c r="CU119" s="55">
        <f t="shared" si="743"/>
        <v>0</v>
      </c>
      <c r="CV119" s="249">
        <f t="shared" si="744"/>
        <v>0</v>
      </c>
      <c r="CW119" s="55">
        <f t="shared" si="745"/>
        <v>0</v>
      </c>
      <c r="CX119" s="55">
        <f t="shared" si="746"/>
        <v>0</v>
      </c>
      <c r="CY119" s="55">
        <f t="shared" si="747"/>
        <v>0</v>
      </c>
      <c r="CZ119" s="252">
        <f t="shared" si="747"/>
        <v>0</v>
      </c>
      <c r="DA119" s="62" t="e">
        <f t="shared" si="748"/>
        <v>#DIV/0!</v>
      </c>
      <c r="DC119" s="64" t="s">
        <v>47</v>
      </c>
      <c r="DD119" s="198">
        <f t="shared" si="758"/>
        <v>0</v>
      </c>
      <c r="DE119" s="199">
        <f t="shared" si="759"/>
        <v>0</v>
      </c>
      <c r="DF119" s="198">
        <f t="shared" si="760"/>
        <v>0</v>
      </c>
      <c r="DG119" s="199">
        <f t="shared" si="761"/>
        <v>0</v>
      </c>
      <c r="DH119" s="198">
        <f t="shared" si="762"/>
        <v>0</v>
      </c>
      <c r="DI119" s="199">
        <f t="shared" si="763"/>
        <v>0</v>
      </c>
      <c r="DJ119" s="198">
        <f t="shared" si="764"/>
        <v>0</v>
      </c>
      <c r="DK119" s="199">
        <f t="shared" si="765"/>
        <v>0</v>
      </c>
      <c r="DL119" s="198">
        <f t="shared" si="766"/>
        <v>0</v>
      </c>
      <c r="DM119" s="199">
        <f t="shared" si="767"/>
        <v>0</v>
      </c>
      <c r="DN119" s="200">
        <f t="shared" si="768"/>
        <v>0</v>
      </c>
      <c r="DO119" s="201">
        <f t="shared" si="769"/>
        <v>0</v>
      </c>
      <c r="DP119" s="198">
        <f t="shared" si="770"/>
        <v>0</v>
      </c>
      <c r="DQ119" s="199">
        <f t="shared" si="771"/>
        <v>0</v>
      </c>
      <c r="DR119" s="198">
        <f t="shared" si="772"/>
        <v>0</v>
      </c>
      <c r="DS119" s="199">
        <f t="shared" si="773"/>
        <v>0</v>
      </c>
      <c r="DT119" s="198">
        <f t="shared" si="774"/>
        <v>0</v>
      </c>
      <c r="DU119" s="199">
        <f t="shared" si="775"/>
        <v>0</v>
      </c>
      <c r="DV119" s="198">
        <f t="shared" si="776"/>
        <v>0</v>
      </c>
      <c r="DW119" s="199">
        <f t="shared" si="777"/>
        <v>0</v>
      </c>
      <c r="DX119" s="198">
        <f t="shared" si="778"/>
        <v>0</v>
      </c>
      <c r="DY119" s="199">
        <f t="shared" si="779"/>
        <v>0</v>
      </c>
      <c r="DZ119" s="190">
        <f t="shared" si="780"/>
        <v>0</v>
      </c>
      <c r="EA119" s="199">
        <f t="shared" si="749"/>
        <v>0</v>
      </c>
      <c r="EB119" s="190" t="e">
        <f t="shared" si="781"/>
        <v>#DIV/0!</v>
      </c>
      <c r="EC119" s="190" t="e">
        <f t="shared" si="782"/>
        <v>#DIV/0!</v>
      </c>
    </row>
    <row r="120" spans="1:133" x14ac:dyDescent="0.2">
      <c r="A120" s="66" t="s">
        <v>40</v>
      </c>
      <c r="B120" s="38">
        <f>targets!AW113</f>
        <v>0</v>
      </c>
      <c r="C120" s="245">
        <f>targets!AX113</f>
        <v>0</v>
      </c>
      <c r="D120" s="245">
        <f>targets!AY113</f>
        <v>0</v>
      </c>
      <c r="E120" s="245">
        <f>targets!AZ113</f>
        <v>0</v>
      </c>
      <c r="F120" s="245">
        <f>targets!BA113</f>
        <v>0</v>
      </c>
      <c r="G120" s="245">
        <f>SUM(targets!BB113:BG113)</f>
        <v>0</v>
      </c>
      <c r="H120" s="39">
        <f>SUM(targets!BH113:BM113)</f>
        <v>11854.563704525357</v>
      </c>
      <c r="I120" s="246">
        <f t="shared" si="750"/>
        <v>11854.563704525357</v>
      </c>
      <c r="J120" s="245">
        <f>targets!BN113</f>
        <v>0</v>
      </c>
      <c r="K120" s="245">
        <f>targets!BO113</f>
        <v>0</v>
      </c>
      <c r="L120" s="245">
        <f>targets!BP113</f>
        <v>0</v>
      </c>
      <c r="M120" s="178">
        <f t="shared" si="751"/>
        <v>0</v>
      </c>
      <c r="N120" s="17">
        <f t="shared" si="712"/>
        <v>11854.563704525357</v>
      </c>
      <c r="O120" s="17"/>
      <c r="P120" s="17"/>
      <c r="Q120" s="66" t="s">
        <v>40</v>
      </c>
      <c r="R120" s="38">
        <f t="shared" si="713"/>
        <v>0</v>
      </c>
      <c r="S120" s="245">
        <f t="shared" si="714"/>
        <v>0</v>
      </c>
      <c r="T120" s="245">
        <f t="shared" si="715"/>
        <v>0</v>
      </c>
      <c r="U120" s="245">
        <f t="shared" si="716"/>
        <v>0</v>
      </c>
      <c r="V120" s="245">
        <f t="shared" si="717"/>
        <v>0</v>
      </c>
      <c r="W120" s="245">
        <f t="shared" si="718"/>
        <v>0</v>
      </c>
      <c r="X120" s="39">
        <f t="shared" si="719"/>
        <v>0</v>
      </c>
      <c r="Y120" s="246">
        <f t="shared" si="752"/>
        <v>0</v>
      </c>
      <c r="Z120" s="245">
        <f t="shared" si="720"/>
        <v>0</v>
      </c>
      <c r="AA120" s="245">
        <f t="shared" si="721"/>
        <v>0</v>
      </c>
      <c r="AB120" s="245">
        <f t="shared" si="722"/>
        <v>0</v>
      </c>
      <c r="AC120" s="178">
        <f t="shared" si="783"/>
        <v>0</v>
      </c>
      <c r="AD120" s="17">
        <f t="shared" si="723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5">
        <f t="array" ref="AH120">SUM(IF((modeldata!$F:$F=calibration!$AF$106)*(modeldata!$G:$G=calibration!AH$108)*(modeldata!$H:$H=calibration!$AF120),modeldata!$E:$E,0))</f>
        <v>0</v>
      </c>
      <c r="AI120" s="245">
        <f t="array" ref="AI120">SUM(IF((modeldata!$F:$F=calibration!$AF$106)*(modeldata!$G:$G=calibration!AI$108)*(modeldata!$H:$H=calibration!$AF120),modeldata!$E:$E,0))</f>
        <v>0</v>
      </c>
      <c r="AJ120" s="245">
        <f t="array" ref="AJ120">SUM(IF((modeldata!$F:$F=calibration!$AF$106)*(modeldata!$G:$G=calibration!AJ$108)*(modeldata!$H:$H=calibration!$AF120),modeldata!$E:$E,0))</f>
        <v>0</v>
      </c>
      <c r="AK120" s="245">
        <f t="array" ref="AK120">SUM(IF((modeldata!$F:$F=calibration!$AF$106)*(modeldata!$G:$G=calibration!AK$108)*(modeldata!$H:$H=calibration!$AF120),modeldata!$E:$E,0))</f>
        <v>0</v>
      </c>
      <c r="AL120" s="245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6"/>
      <c r="AO120" s="245">
        <f t="array" ref="AO120">SUM(IF((modeldata!$F:$F=calibration!$AF$106)*(modeldata!$G:$G=calibration!AO$108)*(modeldata!$H:$H=calibration!$AF120),modeldata!$E:$E,0))</f>
        <v>0</v>
      </c>
      <c r="AP120" s="245">
        <f t="array" ref="AP120">SUM(IF((modeldata!$F:$F=calibration!$AF$106)*(modeldata!$G:$G=calibration!AP$108)*(modeldata!$H:$H=calibration!$AF120),modeldata!$E:$E,0))</f>
        <v>0</v>
      </c>
      <c r="AQ120" s="245">
        <f t="array" ref="AQ120">SUM(IF((modeldata!$F:$F=calibration!$AF$106)*(modeldata!$G:$G=calibration!AQ$108)*(modeldata!$H:$H=calibration!$AF120),modeldata!$E:$E,0))</f>
        <v>0</v>
      </c>
      <c r="AR120" s="178">
        <f t="shared" si="784"/>
        <v>0</v>
      </c>
      <c r="AS120" s="17">
        <f t="shared" si="724"/>
        <v>0</v>
      </c>
      <c r="AU120" s="66" t="s">
        <v>40</v>
      </c>
      <c r="AV120" s="38">
        <f t="shared" ref="AV120:BG120" si="805">IF(R129&gt;0,R120/R129,0)</f>
        <v>0</v>
      </c>
      <c r="AW120" s="245">
        <f t="shared" si="805"/>
        <v>0</v>
      </c>
      <c r="AX120" s="245">
        <f t="shared" si="805"/>
        <v>0</v>
      </c>
      <c r="AY120" s="245">
        <f t="shared" si="805"/>
        <v>0</v>
      </c>
      <c r="AZ120" s="245">
        <f t="shared" si="805"/>
        <v>0</v>
      </c>
      <c r="BA120" s="245">
        <f t="shared" si="805"/>
        <v>0</v>
      </c>
      <c r="BB120" s="39">
        <f t="shared" si="805"/>
        <v>0</v>
      </c>
      <c r="BC120" s="246">
        <f t="shared" si="805"/>
        <v>0</v>
      </c>
      <c r="BD120" s="245">
        <f t="shared" si="805"/>
        <v>0</v>
      </c>
      <c r="BE120" s="245">
        <f t="shared" si="805"/>
        <v>0</v>
      </c>
      <c r="BF120" s="245">
        <f t="shared" si="805"/>
        <v>0</v>
      </c>
      <c r="BG120" s="178">
        <f t="shared" si="805"/>
        <v>0</v>
      </c>
      <c r="BH120" s="24" t="e">
        <f>AD120/AD129</f>
        <v>#DIV/0!</v>
      </c>
      <c r="BJ120" s="66" t="s">
        <v>40</v>
      </c>
      <c r="BK120" s="38">
        <f t="shared" ref="BK120:BV120" si="806">IF(AG129&gt;0,AG120/AG129,0)</f>
        <v>0</v>
      </c>
      <c r="BL120" s="245">
        <f t="shared" si="806"/>
        <v>0</v>
      </c>
      <c r="BM120" s="245">
        <f t="shared" si="806"/>
        <v>0</v>
      </c>
      <c r="BN120" s="245">
        <f t="shared" si="806"/>
        <v>0</v>
      </c>
      <c r="BO120" s="245">
        <f t="shared" si="806"/>
        <v>0</v>
      </c>
      <c r="BP120" s="245">
        <f t="shared" si="806"/>
        <v>0</v>
      </c>
      <c r="BQ120" s="39">
        <f t="shared" si="806"/>
        <v>0</v>
      </c>
      <c r="BR120" s="246">
        <f t="shared" si="806"/>
        <v>0</v>
      </c>
      <c r="BS120" s="245">
        <f t="shared" si="806"/>
        <v>0</v>
      </c>
      <c r="BT120" s="245">
        <f t="shared" si="806"/>
        <v>0</v>
      </c>
      <c r="BU120" s="245">
        <f t="shared" si="806"/>
        <v>0</v>
      </c>
      <c r="BV120" s="178">
        <f t="shared" si="806"/>
        <v>0</v>
      </c>
      <c r="BW120" s="24" t="e">
        <f>AS120/AS129</f>
        <v>#DIV/0!</v>
      </c>
      <c r="BX120" s="24"/>
      <c r="BY120" s="66" t="s">
        <v>40</v>
      </c>
      <c r="BZ120" s="54">
        <f t="shared" si="756"/>
        <v>0</v>
      </c>
      <c r="CA120" s="55">
        <f t="shared" si="727"/>
        <v>0</v>
      </c>
      <c r="CB120" s="55">
        <f t="shared" si="728"/>
        <v>0</v>
      </c>
      <c r="CC120" s="55">
        <f t="shared" si="729"/>
        <v>0</v>
      </c>
      <c r="CD120" s="55">
        <f t="shared" si="730"/>
        <v>0</v>
      </c>
      <c r="CE120" s="55">
        <f t="shared" si="731"/>
        <v>0</v>
      </c>
      <c r="CF120" s="59">
        <f t="shared" si="732"/>
        <v>0</v>
      </c>
      <c r="CG120" s="249">
        <f t="shared" si="733"/>
        <v>0</v>
      </c>
      <c r="CH120" s="55">
        <f t="shared" si="734"/>
        <v>0</v>
      </c>
      <c r="CI120" s="55">
        <f t="shared" si="735"/>
        <v>0</v>
      </c>
      <c r="CJ120" s="55">
        <f t="shared" si="736"/>
        <v>0</v>
      </c>
      <c r="CK120" s="252">
        <f t="shared" si="736"/>
        <v>0</v>
      </c>
      <c r="CL120" s="55">
        <f t="shared" si="737"/>
        <v>0</v>
      </c>
      <c r="CN120" s="66" t="s">
        <v>40</v>
      </c>
      <c r="CO120" s="54">
        <f t="shared" si="757"/>
        <v>0</v>
      </c>
      <c r="CP120" s="55">
        <f t="shared" si="738"/>
        <v>0</v>
      </c>
      <c r="CQ120" s="55">
        <f t="shared" si="739"/>
        <v>0</v>
      </c>
      <c r="CR120" s="55">
        <f t="shared" si="740"/>
        <v>0</v>
      </c>
      <c r="CS120" s="55">
        <f t="shared" si="741"/>
        <v>0</v>
      </c>
      <c r="CT120" s="55">
        <f t="shared" si="742"/>
        <v>0</v>
      </c>
      <c r="CU120" s="59">
        <f t="shared" si="743"/>
        <v>0</v>
      </c>
      <c r="CV120" s="249">
        <f t="shared" si="744"/>
        <v>0</v>
      </c>
      <c r="CW120" s="55">
        <f t="shared" si="745"/>
        <v>0</v>
      </c>
      <c r="CX120" s="55">
        <f t="shared" si="746"/>
        <v>0</v>
      </c>
      <c r="CY120" s="55">
        <f t="shared" si="747"/>
        <v>0</v>
      </c>
      <c r="CZ120" s="252">
        <f t="shared" si="747"/>
        <v>0</v>
      </c>
      <c r="DA120" s="62" t="e">
        <f t="shared" si="748"/>
        <v>#DIV/0!</v>
      </c>
      <c r="DC120" s="66" t="s">
        <v>40</v>
      </c>
      <c r="DD120" s="198">
        <f t="shared" si="758"/>
        <v>0</v>
      </c>
      <c r="DE120" s="199">
        <f t="shared" si="759"/>
        <v>0</v>
      </c>
      <c r="DF120" s="198">
        <f t="shared" si="760"/>
        <v>0</v>
      </c>
      <c r="DG120" s="199">
        <f t="shared" si="761"/>
        <v>0</v>
      </c>
      <c r="DH120" s="198">
        <f t="shared" si="762"/>
        <v>0</v>
      </c>
      <c r="DI120" s="199">
        <f t="shared" si="763"/>
        <v>0</v>
      </c>
      <c r="DJ120" s="198">
        <f t="shared" si="764"/>
        <v>0</v>
      </c>
      <c r="DK120" s="199">
        <f t="shared" si="765"/>
        <v>0</v>
      </c>
      <c r="DL120" s="198">
        <f t="shared" si="766"/>
        <v>0</v>
      </c>
      <c r="DM120" s="199">
        <f t="shared" si="767"/>
        <v>0</v>
      </c>
      <c r="DN120" s="198">
        <f t="shared" si="768"/>
        <v>0</v>
      </c>
      <c r="DO120" s="199">
        <f t="shared" si="769"/>
        <v>0</v>
      </c>
      <c r="DP120" s="195">
        <f t="shared" si="770"/>
        <v>0</v>
      </c>
      <c r="DQ120" s="196">
        <f t="shared" si="771"/>
        <v>0</v>
      </c>
      <c r="DR120" s="198">
        <f t="shared" si="772"/>
        <v>0</v>
      </c>
      <c r="DS120" s="199">
        <f t="shared" si="773"/>
        <v>0</v>
      </c>
      <c r="DT120" s="198">
        <f t="shared" si="774"/>
        <v>0</v>
      </c>
      <c r="DU120" s="199">
        <f t="shared" si="775"/>
        <v>0</v>
      </c>
      <c r="DV120" s="198">
        <f t="shared" si="776"/>
        <v>0</v>
      </c>
      <c r="DW120" s="199">
        <f t="shared" si="777"/>
        <v>0</v>
      </c>
      <c r="DX120" s="198">
        <f t="shared" si="778"/>
        <v>0</v>
      </c>
      <c r="DY120" s="199">
        <f t="shared" si="779"/>
        <v>0</v>
      </c>
      <c r="DZ120" s="190">
        <f t="shared" si="780"/>
        <v>0</v>
      </c>
      <c r="EA120" s="199">
        <f t="shared" si="749"/>
        <v>0</v>
      </c>
      <c r="EB120" s="190" t="e">
        <f t="shared" si="781"/>
        <v>#DIV/0!</v>
      </c>
      <c r="EC120" s="190" t="e">
        <f t="shared" si="782"/>
        <v>#DIV/0!</v>
      </c>
    </row>
    <row r="121" spans="1:133" ht="25.5" x14ac:dyDescent="0.2">
      <c r="A121" s="66" t="s">
        <v>347</v>
      </c>
      <c r="B121" s="38">
        <f>targets!AW114</f>
        <v>0</v>
      </c>
      <c r="C121" s="245">
        <f>targets!AX114</f>
        <v>0</v>
      </c>
      <c r="D121" s="245">
        <f>targets!AY114</f>
        <v>0</v>
      </c>
      <c r="E121" s="245">
        <f>targets!AZ114</f>
        <v>0</v>
      </c>
      <c r="F121" s="245">
        <f>targets!BA114</f>
        <v>0</v>
      </c>
      <c r="G121" s="245">
        <f>SUM(targets!BB114:BG114)</f>
        <v>0</v>
      </c>
      <c r="H121" s="40">
        <f>SUM(targets!BH114:BM114)</f>
        <v>416.53426691061628</v>
      </c>
      <c r="I121" s="246">
        <f t="shared" si="750"/>
        <v>416.53426691061628</v>
      </c>
      <c r="J121" s="245">
        <f>targets!BN114</f>
        <v>0</v>
      </c>
      <c r="K121" s="245">
        <f>targets!BO114</f>
        <v>0</v>
      </c>
      <c r="L121" s="245">
        <f>targets!BP114</f>
        <v>0</v>
      </c>
      <c r="M121" s="178">
        <f t="shared" si="751"/>
        <v>0</v>
      </c>
      <c r="N121" s="17">
        <f t="shared" si="712"/>
        <v>416.53426691061628</v>
      </c>
      <c r="O121" s="17"/>
      <c r="P121" s="17"/>
      <c r="Q121" s="66" t="s">
        <v>347</v>
      </c>
      <c r="R121" s="38">
        <f t="shared" si="713"/>
        <v>0</v>
      </c>
      <c r="S121" s="245">
        <f t="shared" si="714"/>
        <v>0</v>
      </c>
      <c r="T121" s="245">
        <f t="shared" si="715"/>
        <v>0</v>
      </c>
      <c r="U121" s="245">
        <f t="shared" si="716"/>
        <v>0</v>
      </c>
      <c r="V121" s="245">
        <f t="shared" si="717"/>
        <v>0</v>
      </c>
      <c r="W121" s="245">
        <f t="shared" si="718"/>
        <v>0</v>
      </c>
      <c r="X121" s="40">
        <f t="shared" si="719"/>
        <v>0</v>
      </c>
      <c r="Y121" s="246">
        <f t="shared" si="752"/>
        <v>0</v>
      </c>
      <c r="Z121" s="245">
        <f t="shared" si="720"/>
        <v>0</v>
      </c>
      <c r="AA121" s="245">
        <f t="shared" si="721"/>
        <v>0</v>
      </c>
      <c r="AB121" s="245">
        <f t="shared" si="722"/>
        <v>0</v>
      </c>
      <c r="AC121" s="178">
        <f t="shared" si="783"/>
        <v>0</v>
      </c>
      <c r="AD121" s="17">
        <f t="shared" si="723"/>
        <v>0</v>
      </c>
      <c r="AF121" s="66" t="s">
        <v>347</v>
      </c>
      <c r="AG121" s="38">
        <f t="array" ref="AG121">SUM(IF((modeldata!$F:$F=calibration!$AF$106)*(modeldata!$G:$G=calibration!AG$108)*(modeldata!$H:$H=calibration!$AF121),modeldata!$E:$E,0))</f>
        <v>0</v>
      </c>
      <c r="AH121" s="245">
        <f t="array" ref="AH121">SUM(IF((modeldata!$F:$F=calibration!$AF$106)*(modeldata!$G:$G=calibration!AH$108)*(modeldata!$H:$H=calibration!$AF121),modeldata!$E:$E,0))</f>
        <v>0</v>
      </c>
      <c r="AI121" s="245">
        <f t="array" ref="AI121">SUM(IF((modeldata!$F:$F=calibration!$AF$106)*(modeldata!$G:$G=calibration!AI$108)*(modeldata!$H:$H=calibration!$AF121),modeldata!$E:$E,0))</f>
        <v>0</v>
      </c>
      <c r="AJ121" s="245">
        <f t="array" ref="AJ121">SUM(IF((modeldata!$F:$F=calibration!$AF$106)*(modeldata!$G:$G=calibration!AJ$108)*(modeldata!$H:$H=calibration!$AF121),modeldata!$E:$E,0))</f>
        <v>0</v>
      </c>
      <c r="AK121" s="245">
        <f t="array" ref="AK121">SUM(IF((modeldata!$F:$F=calibration!$AF$106)*(modeldata!$G:$G=calibration!AK$108)*(modeldata!$H:$H=calibration!$AF121),modeldata!$E:$E,0))</f>
        <v>0</v>
      </c>
      <c r="AL121" s="245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6"/>
      <c r="AO121" s="245">
        <f t="array" ref="AO121">SUM(IF((modeldata!$F:$F=calibration!$AF$106)*(modeldata!$G:$G=calibration!AO$108)*(modeldata!$H:$H=calibration!$AF121),modeldata!$E:$E,0))</f>
        <v>0</v>
      </c>
      <c r="AP121" s="245">
        <f t="array" ref="AP121">SUM(IF((modeldata!$F:$F=calibration!$AF$106)*(modeldata!$G:$G=calibration!AP$108)*(modeldata!$H:$H=calibration!$AF121),modeldata!$E:$E,0))</f>
        <v>0</v>
      </c>
      <c r="AQ121" s="245">
        <f t="array" ref="AQ121">SUM(IF((modeldata!$F:$F=calibration!$AF$106)*(modeldata!$G:$G=calibration!AQ$108)*(modeldata!$H:$H=calibration!$AF121),modeldata!$E:$E,0))</f>
        <v>0</v>
      </c>
      <c r="AR121" s="178">
        <f t="shared" si="784"/>
        <v>0</v>
      </c>
      <c r="AS121" s="17">
        <f t="shared" si="724"/>
        <v>0</v>
      </c>
      <c r="AU121" s="66" t="s">
        <v>347</v>
      </c>
      <c r="AV121" s="38">
        <f t="shared" ref="AV121:BG121" si="807">IF(R129&gt;0,R121/R129,0)</f>
        <v>0</v>
      </c>
      <c r="AW121" s="245">
        <f t="shared" si="807"/>
        <v>0</v>
      </c>
      <c r="AX121" s="245">
        <f t="shared" si="807"/>
        <v>0</v>
      </c>
      <c r="AY121" s="245">
        <f t="shared" si="807"/>
        <v>0</v>
      </c>
      <c r="AZ121" s="245">
        <f t="shared" si="807"/>
        <v>0</v>
      </c>
      <c r="BA121" s="245">
        <f t="shared" si="807"/>
        <v>0</v>
      </c>
      <c r="BB121" s="40">
        <f t="shared" si="807"/>
        <v>0</v>
      </c>
      <c r="BC121" s="246">
        <f t="shared" si="807"/>
        <v>0</v>
      </c>
      <c r="BD121" s="245">
        <f t="shared" si="807"/>
        <v>0</v>
      </c>
      <c r="BE121" s="245">
        <f t="shared" si="807"/>
        <v>0</v>
      </c>
      <c r="BF121" s="245">
        <f t="shared" si="807"/>
        <v>0</v>
      </c>
      <c r="BG121" s="178">
        <f t="shared" si="807"/>
        <v>0</v>
      </c>
      <c r="BH121" s="24" t="e">
        <f>AD121/AD129</f>
        <v>#DIV/0!</v>
      </c>
      <c r="BJ121" s="66" t="s">
        <v>347</v>
      </c>
      <c r="BK121" s="38">
        <f t="shared" ref="BK121:BV121" si="808">IF(AG129&gt;0,AG121/AG129,0)</f>
        <v>0</v>
      </c>
      <c r="BL121" s="245">
        <f t="shared" si="808"/>
        <v>0</v>
      </c>
      <c r="BM121" s="245">
        <f t="shared" si="808"/>
        <v>0</v>
      </c>
      <c r="BN121" s="245">
        <f t="shared" si="808"/>
        <v>0</v>
      </c>
      <c r="BO121" s="245">
        <f t="shared" si="808"/>
        <v>0</v>
      </c>
      <c r="BP121" s="245">
        <f t="shared" si="808"/>
        <v>0</v>
      </c>
      <c r="BQ121" s="40">
        <f t="shared" si="808"/>
        <v>0</v>
      </c>
      <c r="BR121" s="246">
        <f t="shared" si="808"/>
        <v>0</v>
      </c>
      <c r="BS121" s="245">
        <f t="shared" si="808"/>
        <v>0</v>
      </c>
      <c r="BT121" s="245">
        <f t="shared" si="808"/>
        <v>0</v>
      </c>
      <c r="BU121" s="245">
        <f t="shared" si="808"/>
        <v>0</v>
      </c>
      <c r="BV121" s="178">
        <f t="shared" si="808"/>
        <v>0</v>
      </c>
      <c r="BW121" s="24" t="e">
        <f>AS121/AS129</f>
        <v>#DIV/0!</v>
      </c>
      <c r="BX121" s="24"/>
      <c r="BY121" s="66" t="s">
        <v>347</v>
      </c>
      <c r="BZ121" s="54">
        <f t="shared" si="756"/>
        <v>0</v>
      </c>
      <c r="CA121" s="55">
        <f t="shared" si="727"/>
        <v>0</v>
      </c>
      <c r="CB121" s="55">
        <f t="shared" si="728"/>
        <v>0</v>
      </c>
      <c r="CC121" s="55">
        <f t="shared" si="729"/>
        <v>0</v>
      </c>
      <c r="CD121" s="55">
        <f t="shared" si="730"/>
        <v>0</v>
      </c>
      <c r="CE121" s="55">
        <f t="shared" si="731"/>
        <v>0</v>
      </c>
      <c r="CF121" s="60">
        <f t="shared" si="732"/>
        <v>0</v>
      </c>
      <c r="CG121" s="249">
        <f t="shared" si="733"/>
        <v>0</v>
      </c>
      <c r="CH121" s="55">
        <f t="shared" si="734"/>
        <v>0</v>
      </c>
      <c r="CI121" s="55">
        <f t="shared" si="735"/>
        <v>0</v>
      </c>
      <c r="CJ121" s="55">
        <f t="shared" si="736"/>
        <v>0</v>
      </c>
      <c r="CK121" s="252">
        <f t="shared" si="736"/>
        <v>0</v>
      </c>
      <c r="CL121" s="55">
        <f t="shared" si="737"/>
        <v>0</v>
      </c>
      <c r="CN121" s="66" t="s">
        <v>347</v>
      </c>
      <c r="CO121" s="54">
        <f t="shared" si="757"/>
        <v>0</v>
      </c>
      <c r="CP121" s="55">
        <f t="shared" si="738"/>
        <v>0</v>
      </c>
      <c r="CQ121" s="55">
        <f t="shared" si="739"/>
        <v>0</v>
      </c>
      <c r="CR121" s="55">
        <f t="shared" si="740"/>
        <v>0</v>
      </c>
      <c r="CS121" s="55">
        <f t="shared" si="741"/>
        <v>0</v>
      </c>
      <c r="CT121" s="55">
        <f t="shared" si="742"/>
        <v>0</v>
      </c>
      <c r="CU121" s="60">
        <f t="shared" si="743"/>
        <v>0</v>
      </c>
      <c r="CV121" s="249">
        <f t="shared" si="744"/>
        <v>0</v>
      </c>
      <c r="CW121" s="55">
        <f t="shared" si="745"/>
        <v>0</v>
      </c>
      <c r="CX121" s="55">
        <f t="shared" si="746"/>
        <v>0</v>
      </c>
      <c r="CY121" s="55">
        <f t="shared" si="747"/>
        <v>0</v>
      </c>
      <c r="CZ121" s="252">
        <f t="shared" si="747"/>
        <v>0</v>
      </c>
      <c r="DA121" s="62" t="e">
        <f t="shared" si="748"/>
        <v>#DIV/0!</v>
      </c>
      <c r="DC121" s="66" t="s">
        <v>347</v>
      </c>
      <c r="DD121" s="198">
        <f t="shared" si="758"/>
        <v>0</v>
      </c>
      <c r="DE121" s="199">
        <f t="shared" si="759"/>
        <v>0</v>
      </c>
      <c r="DF121" s="198">
        <f t="shared" si="760"/>
        <v>0</v>
      </c>
      <c r="DG121" s="199">
        <f t="shared" si="761"/>
        <v>0</v>
      </c>
      <c r="DH121" s="198">
        <f t="shared" si="762"/>
        <v>0</v>
      </c>
      <c r="DI121" s="199">
        <f t="shared" si="763"/>
        <v>0</v>
      </c>
      <c r="DJ121" s="198">
        <f t="shared" si="764"/>
        <v>0</v>
      </c>
      <c r="DK121" s="199">
        <f t="shared" si="765"/>
        <v>0</v>
      </c>
      <c r="DL121" s="198">
        <f t="shared" si="766"/>
        <v>0</v>
      </c>
      <c r="DM121" s="199">
        <f t="shared" si="767"/>
        <v>0</v>
      </c>
      <c r="DN121" s="198">
        <f t="shared" si="768"/>
        <v>0</v>
      </c>
      <c r="DO121" s="199">
        <f t="shared" si="769"/>
        <v>0</v>
      </c>
      <c r="DP121" s="198">
        <f t="shared" si="770"/>
        <v>0</v>
      </c>
      <c r="DQ121" s="199">
        <f t="shared" si="771"/>
        <v>0</v>
      </c>
      <c r="DR121" s="198">
        <f t="shared" si="772"/>
        <v>0</v>
      </c>
      <c r="DS121" s="199">
        <f t="shared" si="773"/>
        <v>0</v>
      </c>
      <c r="DT121" s="198">
        <f t="shared" si="774"/>
        <v>0</v>
      </c>
      <c r="DU121" s="199">
        <f t="shared" si="775"/>
        <v>0</v>
      </c>
      <c r="DV121" s="198">
        <f t="shared" si="776"/>
        <v>0</v>
      </c>
      <c r="DW121" s="199">
        <f t="shared" si="777"/>
        <v>0</v>
      </c>
      <c r="DX121" s="198">
        <f t="shared" si="778"/>
        <v>0</v>
      </c>
      <c r="DY121" s="199">
        <f t="shared" si="779"/>
        <v>0</v>
      </c>
      <c r="DZ121" s="190">
        <f t="shared" si="780"/>
        <v>0</v>
      </c>
      <c r="EA121" s="199">
        <f t="shared" si="749"/>
        <v>0</v>
      </c>
      <c r="EB121" s="190" t="e">
        <f t="shared" si="781"/>
        <v>#DIV/0!</v>
      </c>
      <c r="EC121" s="190" t="e">
        <f t="shared" si="782"/>
        <v>#DIV/0!</v>
      </c>
    </row>
    <row r="122" spans="1:133" x14ac:dyDescent="0.2">
      <c r="A122" s="2" t="s">
        <v>350</v>
      </c>
      <c r="B122" s="38">
        <f>targets!AW115</f>
        <v>0</v>
      </c>
      <c r="C122" s="245">
        <f>targets!AX115</f>
        <v>0</v>
      </c>
      <c r="D122" s="245">
        <f>targets!AY115</f>
        <v>0</v>
      </c>
      <c r="E122" s="245">
        <f>targets!AZ115</f>
        <v>0</v>
      </c>
      <c r="F122" s="245">
        <f>targets!BA115</f>
        <v>0</v>
      </c>
      <c r="G122" s="245">
        <f>SUM(targets!BB115:BG115)</f>
        <v>0</v>
      </c>
      <c r="H122" s="40">
        <f>SUM(targets!BH115:BM115)</f>
        <v>123.60712852596197</v>
      </c>
      <c r="I122" s="246">
        <f>SUM(G122:H122)</f>
        <v>123.60712852596197</v>
      </c>
      <c r="J122" s="245">
        <f>targets!BN115</f>
        <v>0</v>
      </c>
      <c r="K122" s="245">
        <f>targets!BO115</f>
        <v>0</v>
      </c>
      <c r="L122" s="245">
        <f>targets!BP115</f>
        <v>0</v>
      </c>
      <c r="M122" s="178">
        <f>SUM(J122:L122)</f>
        <v>0</v>
      </c>
      <c r="N122" s="17">
        <f>SUM(B122:L122)-I122</f>
        <v>123.60712852596197</v>
      </c>
      <c r="O122" s="17"/>
      <c r="P122" s="17"/>
      <c r="Q122" s="2" t="s">
        <v>350</v>
      </c>
      <c r="R122" s="38">
        <f t="shared" si="713"/>
        <v>0</v>
      </c>
      <c r="S122" s="245">
        <f t="shared" si="714"/>
        <v>0</v>
      </c>
      <c r="T122" s="245">
        <f t="shared" si="715"/>
        <v>0</v>
      </c>
      <c r="U122" s="245">
        <f t="shared" si="716"/>
        <v>0</v>
      </c>
      <c r="V122" s="245">
        <f t="shared" si="717"/>
        <v>0</v>
      </c>
      <c r="W122" s="245">
        <f t="shared" si="718"/>
        <v>0</v>
      </c>
      <c r="X122" s="40">
        <f t="shared" si="719"/>
        <v>0</v>
      </c>
      <c r="Y122" s="246">
        <f t="shared" ref="Y122" si="809">SUM(W122:X122)</f>
        <v>0</v>
      </c>
      <c r="Z122" s="245">
        <f t="shared" si="720"/>
        <v>0</v>
      </c>
      <c r="AA122" s="245">
        <f t="shared" si="721"/>
        <v>0</v>
      </c>
      <c r="AB122" s="245">
        <f t="shared" si="722"/>
        <v>0</v>
      </c>
      <c r="AC122" s="178">
        <f t="shared" ref="AC122" si="810">SUM(Z122:AB122)</f>
        <v>0</v>
      </c>
      <c r="AD122" s="17"/>
      <c r="AF122" s="2" t="s">
        <v>350</v>
      </c>
      <c r="AG122" s="38">
        <f t="array" ref="AG122">SUM(IF((modeldata!$F:$F=calibration!$AF$106)*(modeldata!$G:$G=calibration!AG$108)*(modeldata!$H:$H=calibration!$AF122),modeldata!$E:$E,0))</f>
        <v>0</v>
      </c>
      <c r="AH122" s="245">
        <f t="array" ref="AH122">SUM(IF((modeldata!$F:$F=calibration!$AF$106)*(modeldata!$G:$G=calibration!AH$108)*(modeldata!$H:$H=calibration!$AF122),modeldata!$E:$E,0))</f>
        <v>0</v>
      </c>
      <c r="AI122" s="245">
        <f t="array" ref="AI122">SUM(IF((modeldata!$F:$F=calibration!$AF$106)*(modeldata!$G:$G=calibration!AI$108)*(modeldata!$H:$H=calibration!$AF122),modeldata!$E:$E,0))</f>
        <v>0</v>
      </c>
      <c r="AJ122" s="245">
        <f t="array" ref="AJ122">SUM(IF((modeldata!$F:$F=calibration!$AF$106)*(modeldata!$G:$G=calibration!AJ$108)*(modeldata!$H:$H=calibration!$AF122),modeldata!$E:$E,0))</f>
        <v>0</v>
      </c>
      <c r="AK122" s="245">
        <f t="array" ref="AK122">SUM(IF((modeldata!$F:$F=calibration!$AF$106)*(modeldata!$G:$G=calibration!AK$108)*(modeldata!$H:$H=calibration!$AF122),modeldata!$E:$E,0))</f>
        <v>0</v>
      </c>
      <c r="AL122" s="245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6"/>
      <c r="AO122" s="245">
        <f t="array" ref="AO122">SUM(IF((modeldata!$F:$F=calibration!$AF$106)*(modeldata!$G:$G=calibration!AO$108)*(modeldata!$H:$H=calibration!$AF122),modeldata!$E:$E,0))</f>
        <v>0</v>
      </c>
      <c r="AP122" s="245">
        <f t="array" ref="AP122">SUM(IF((modeldata!$F:$F=calibration!$AF$106)*(modeldata!$G:$G=calibration!AP$108)*(modeldata!$H:$H=calibration!$AF122),modeldata!$E:$E,0))</f>
        <v>0</v>
      </c>
      <c r="AQ122" s="245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350</v>
      </c>
      <c r="AV122" s="38">
        <f t="shared" ref="AV122:BG122" si="811">IF(R131&gt;0,R122/R131,0)</f>
        <v>0</v>
      </c>
      <c r="AW122" s="245">
        <f t="shared" si="811"/>
        <v>0</v>
      </c>
      <c r="AX122" s="245">
        <f t="shared" si="811"/>
        <v>0</v>
      </c>
      <c r="AY122" s="245">
        <f t="shared" si="811"/>
        <v>0</v>
      </c>
      <c r="AZ122" s="245">
        <f t="shared" si="811"/>
        <v>0</v>
      </c>
      <c r="BA122" s="245">
        <f t="shared" si="811"/>
        <v>0</v>
      </c>
      <c r="BB122" s="40">
        <f t="shared" si="811"/>
        <v>0</v>
      </c>
      <c r="BC122" s="246">
        <f t="shared" si="811"/>
        <v>0</v>
      </c>
      <c r="BD122" s="245">
        <f t="shared" si="811"/>
        <v>0</v>
      </c>
      <c r="BE122" s="245">
        <f t="shared" si="811"/>
        <v>0</v>
      </c>
      <c r="BF122" s="245">
        <f t="shared" si="811"/>
        <v>0</v>
      </c>
      <c r="BG122" s="178">
        <f t="shared" si="811"/>
        <v>0</v>
      </c>
      <c r="BH122" s="24" t="e">
        <f>AD122/AD131</f>
        <v>#DIV/0!</v>
      </c>
      <c r="BJ122" s="2" t="s">
        <v>350</v>
      </c>
      <c r="BK122" s="38">
        <f t="shared" ref="BK122:BV122" si="812">IF(AG138&gt;0,AG122/AG138,0)</f>
        <v>0</v>
      </c>
      <c r="BL122" s="245">
        <f t="shared" si="812"/>
        <v>0</v>
      </c>
      <c r="BM122" s="245">
        <f t="shared" si="812"/>
        <v>0</v>
      </c>
      <c r="BN122" s="245">
        <f t="shared" si="812"/>
        <v>0</v>
      </c>
      <c r="BO122" s="245">
        <f t="shared" si="812"/>
        <v>0</v>
      </c>
      <c r="BP122" s="245">
        <f t="shared" si="812"/>
        <v>0</v>
      </c>
      <c r="BQ122" s="40">
        <f t="shared" si="812"/>
        <v>0</v>
      </c>
      <c r="BR122" s="246">
        <f t="shared" si="812"/>
        <v>0</v>
      </c>
      <c r="BS122" s="245">
        <f t="shared" si="812"/>
        <v>0</v>
      </c>
      <c r="BT122" s="245">
        <f t="shared" si="812"/>
        <v>0</v>
      </c>
      <c r="BU122" s="245">
        <f t="shared" si="812"/>
        <v>0</v>
      </c>
      <c r="BV122" s="178">
        <f t="shared" si="812"/>
        <v>0</v>
      </c>
      <c r="BW122" s="24" t="e">
        <f>AS122/AS138</f>
        <v>#DIV/0!</v>
      </c>
      <c r="BX122" s="24"/>
      <c r="BY122" s="2" t="s">
        <v>350</v>
      </c>
      <c r="BZ122" s="54">
        <f t="shared" ref="BZ122" si="813">AG122-R122</f>
        <v>0</v>
      </c>
      <c r="CA122" s="55">
        <f t="shared" ref="CA122" si="814">AH122-S122</f>
        <v>0</v>
      </c>
      <c r="CB122" s="55">
        <f t="shared" ref="CB122" si="815">AI122-T122</f>
        <v>0</v>
      </c>
      <c r="CC122" s="55">
        <f t="shared" ref="CC122" si="816">AJ122-U122</f>
        <v>0</v>
      </c>
      <c r="CD122" s="55">
        <f t="shared" ref="CD122" si="817">AK122-V122</f>
        <v>0</v>
      </c>
      <c r="CE122" s="55">
        <f t="shared" ref="CE122" si="818">AL122-W122</f>
        <v>0</v>
      </c>
      <c r="CF122" s="60">
        <f t="shared" ref="CF122" si="819">AM122-X122</f>
        <v>0</v>
      </c>
      <c r="CG122" s="249">
        <f t="shared" ref="CG122" si="820">AN122-Y122</f>
        <v>0</v>
      </c>
      <c r="CH122" s="55">
        <f t="shared" ref="CH122" si="821">AO122-Z122</f>
        <v>0</v>
      </c>
      <c r="CI122" s="55">
        <f t="shared" ref="CI122" si="822">AP122-AA122</f>
        <v>0</v>
      </c>
      <c r="CJ122" s="55">
        <f t="shared" ref="CJ122" si="823">AQ122-AB122</f>
        <v>0</v>
      </c>
      <c r="CK122" s="252">
        <f t="shared" ref="CK122" si="824">AR122-AC122</f>
        <v>0</v>
      </c>
      <c r="CL122" s="55">
        <f t="shared" ref="CL122" si="825">AS122-AD122</f>
        <v>0</v>
      </c>
      <c r="CN122" s="2" t="s">
        <v>350</v>
      </c>
      <c r="CO122" s="54">
        <f t="shared" ref="CO122" si="826">BK122-AV122</f>
        <v>0</v>
      </c>
      <c r="CP122" s="55">
        <f t="shared" ref="CP122" si="827">BL122-AW122</f>
        <v>0</v>
      </c>
      <c r="CQ122" s="55">
        <f t="shared" ref="CQ122" si="828">BM122-AX122</f>
        <v>0</v>
      </c>
      <c r="CR122" s="55">
        <f t="shared" ref="CR122" si="829">BN122-AY122</f>
        <v>0</v>
      </c>
      <c r="CS122" s="55">
        <f t="shared" ref="CS122" si="830">BO122-AZ122</f>
        <v>0</v>
      </c>
      <c r="CT122" s="55">
        <f t="shared" ref="CT122" si="831">BP122-BA122</f>
        <v>0</v>
      </c>
      <c r="CU122" s="60">
        <f t="shared" ref="CU122" si="832">BQ122-BB122</f>
        <v>0</v>
      </c>
      <c r="CV122" s="249">
        <f t="shared" ref="CV122" si="833">BR122-BC122</f>
        <v>0</v>
      </c>
      <c r="CW122" s="55">
        <f t="shared" ref="CW122" si="834">BS122-BD122</f>
        <v>0</v>
      </c>
      <c r="CX122" s="55">
        <f t="shared" ref="CX122" si="835">BT122-BE122</f>
        <v>0</v>
      </c>
      <c r="CY122" s="55">
        <f t="shared" ref="CY122" si="836">BU122-BF122</f>
        <v>0</v>
      </c>
      <c r="CZ122" s="252">
        <f t="shared" ref="CZ122" si="837">BV122-BG122</f>
        <v>0</v>
      </c>
      <c r="DA122" s="62" t="e">
        <f t="shared" ref="DA122" si="838">BW122-BH122</f>
        <v>#DIV/0!</v>
      </c>
      <c r="DC122" s="2" t="s">
        <v>350</v>
      </c>
      <c r="DD122" s="198">
        <f t="shared" ref="DD122" si="839">AV122</f>
        <v>0</v>
      </c>
      <c r="DE122" s="199">
        <f t="shared" ref="DE122" si="840">BK122</f>
        <v>0</v>
      </c>
      <c r="DF122" s="198">
        <f t="shared" ref="DF122" si="841">AW122</f>
        <v>0</v>
      </c>
      <c r="DG122" s="199">
        <f t="shared" ref="DG122" si="842">BL122</f>
        <v>0</v>
      </c>
      <c r="DH122" s="198">
        <f t="shared" ref="DH122" si="843">AX122</f>
        <v>0</v>
      </c>
      <c r="DI122" s="199">
        <f t="shared" ref="DI122" si="844">BM122</f>
        <v>0</v>
      </c>
      <c r="DJ122" s="198">
        <f t="shared" ref="DJ122" si="845">AY122</f>
        <v>0</v>
      </c>
      <c r="DK122" s="199">
        <f t="shared" ref="DK122" si="846">BN122</f>
        <v>0</v>
      </c>
      <c r="DL122" s="198">
        <f t="shared" ref="DL122" si="847">AZ122</f>
        <v>0</v>
      </c>
      <c r="DM122" s="199">
        <f t="shared" ref="DM122" si="848">BO122</f>
        <v>0</v>
      </c>
      <c r="DN122" s="198">
        <f t="shared" ref="DN122" si="849">BA122</f>
        <v>0</v>
      </c>
      <c r="DO122" s="199">
        <f t="shared" ref="DO122" si="850">BP122</f>
        <v>0</v>
      </c>
      <c r="DP122" s="198">
        <f t="shared" ref="DP122" si="851">BB122</f>
        <v>0</v>
      </c>
      <c r="DQ122" s="199">
        <f t="shared" ref="DQ122" si="852">BQ122</f>
        <v>0</v>
      </c>
      <c r="DR122" s="198">
        <f t="shared" ref="DR122" si="853">BC122</f>
        <v>0</v>
      </c>
      <c r="DS122" s="199">
        <f t="shared" ref="DS122" si="854">BR122</f>
        <v>0</v>
      </c>
      <c r="DT122" s="198">
        <f t="shared" ref="DT122" si="855">BD122</f>
        <v>0</v>
      </c>
      <c r="DU122" s="199">
        <f t="shared" ref="DU122" si="856">BS122</f>
        <v>0</v>
      </c>
      <c r="DV122" s="198">
        <f t="shared" ref="DV122" si="857">BE122</f>
        <v>0</v>
      </c>
      <c r="DW122" s="199">
        <f t="shared" ref="DW122" si="858">BT122</f>
        <v>0</v>
      </c>
      <c r="DX122" s="198">
        <f t="shared" ref="DX122" si="859">BF122</f>
        <v>0</v>
      </c>
      <c r="DY122" s="199">
        <f t="shared" ref="DY122" si="860">BU122</f>
        <v>0</v>
      </c>
      <c r="DZ122" s="190">
        <f t="shared" ref="DZ122" si="861">BG122</f>
        <v>0</v>
      </c>
      <c r="EA122" s="199">
        <f t="shared" ref="EA122" si="862">BV122</f>
        <v>0</v>
      </c>
      <c r="EB122" s="190" t="e">
        <f t="shared" ref="EB122" si="863">BH122</f>
        <v>#DIV/0!</v>
      </c>
      <c r="EC122" s="190" t="e">
        <f t="shared" ref="EC122" si="864">BW122</f>
        <v>#DIV/0!</v>
      </c>
    </row>
    <row r="123" spans="1:133" x14ac:dyDescent="0.2">
      <c r="A123" s="64" t="s">
        <v>50</v>
      </c>
      <c r="B123" s="38">
        <f>targets!AW116</f>
        <v>0</v>
      </c>
      <c r="C123" s="245">
        <f>targets!AX116</f>
        <v>0</v>
      </c>
      <c r="D123" s="245">
        <f>targets!AY116</f>
        <v>0</v>
      </c>
      <c r="E123" s="245">
        <f>targets!AZ116</f>
        <v>0</v>
      </c>
      <c r="F123" s="245">
        <f>targets!BA116</f>
        <v>0</v>
      </c>
      <c r="G123" s="245">
        <f>SUM(targets!BB116:BG116)</f>
        <v>0</v>
      </c>
      <c r="H123" s="40">
        <f>SUM(targets!BH116:BM116)</f>
        <v>170.90862961194017</v>
      </c>
      <c r="I123" s="246">
        <f t="shared" si="750"/>
        <v>170.90862961194017</v>
      </c>
      <c r="J123" s="245">
        <f>targets!BN116</f>
        <v>0</v>
      </c>
      <c r="K123" s="245">
        <f>targets!BO116</f>
        <v>0</v>
      </c>
      <c r="L123" s="245">
        <f>targets!BP116</f>
        <v>0</v>
      </c>
      <c r="M123" s="178">
        <f t="shared" si="751"/>
        <v>0</v>
      </c>
      <c r="N123" s="17">
        <f t="shared" si="712"/>
        <v>170.90862961194017</v>
      </c>
      <c r="O123" s="17"/>
      <c r="P123" s="17"/>
      <c r="Q123" s="64" t="s">
        <v>50</v>
      </c>
      <c r="R123" s="38">
        <f t="shared" si="713"/>
        <v>0</v>
      </c>
      <c r="S123" s="245">
        <f t="shared" si="714"/>
        <v>0</v>
      </c>
      <c r="T123" s="245">
        <f t="shared" si="715"/>
        <v>0</v>
      </c>
      <c r="U123" s="245">
        <f t="shared" si="716"/>
        <v>0</v>
      </c>
      <c r="V123" s="245">
        <f t="shared" si="717"/>
        <v>0</v>
      </c>
      <c r="W123" s="245">
        <f t="shared" si="718"/>
        <v>0</v>
      </c>
      <c r="X123" s="40">
        <f t="shared" si="719"/>
        <v>0</v>
      </c>
      <c r="Y123" s="246">
        <f t="shared" si="752"/>
        <v>0</v>
      </c>
      <c r="Z123" s="245">
        <f t="shared" si="720"/>
        <v>0</v>
      </c>
      <c r="AA123" s="245">
        <f t="shared" si="721"/>
        <v>0</v>
      </c>
      <c r="AB123" s="245">
        <f t="shared" si="722"/>
        <v>0</v>
      </c>
      <c r="AC123" s="178">
        <f t="shared" si="783"/>
        <v>0</v>
      </c>
      <c r="AD123" s="17">
        <f t="shared" si="723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5">
        <f t="array" ref="AH123">SUM(IF((modeldata!$F:$F=calibration!$AF$106)*(modeldata!$G:$G=calibration!AH$108)*(modeldata!$H:$H=calibration!$AF123),modeldata!$E:$E,0))</f>
        <v>0</v>
      </c>
      <c r="AI123" s="245">
        <f t="array" ref="AI123">SUM(IF((modeldata!$F:$F=calibration!$AF$106)*(modeldata!$G:$G=calibration!AI$108)*(modeldata!$H:$H=calibration!$AF123),modeldata!$E:$E,0))</f>
        <v>0</v>
      </c>
      <c r="AJ123" s="245">
        <f t="array" ref="AJ123">SUM(IF((modeldata!$F:$F=calibration!$AF$106)*(modeldata!$G:$G=calibration!AJ$108)*(modeldata!$H:$H=calibration!$AF123),modeldata!$E:$E,0))</f>
        <v>0</v>
      </c>
      <c r="AK123" s="245">
        <f t="array" ref="AK123">SUM(IF((modeldata!$F:$F=calibration!$AF$106)*(modeldata!$G:$G=calibration!AK$108)*(modeldata!$H:$H=calibration!$AF123),modeldata!$E:$E,0))</f>
        <v>0</v>
      </c>
      <c r="AL123" s="245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6"/>
      <c r="AO123" s="245">
        <f t="array" ref="AO123">SUM(IF((modeldata!$F:$F=calibration!$AF$106)*(modeldata!$G:$G=calibration!AO$108)*(modeldata!$H:$H=calibration!$AF123),modeldata!$E:$E,0))</f>
        <v>0</v>
      </c>
      <c r="AP123" s="245">
        <f t="array" ref="AP123">SUM(IF((modeldata!$F:$F=calibration!$AF$106)*(modeldata!$G:$G=calibration!AP$108)*(modeldata!$H:$H=calibration!$AF123),modeldata!$E:$E,0))</f>
        <v>0</v>
      </c>
      <c r="AQ123" s="245">
        <f t="array" ref="AQ123">SUM(IF((modeldata!$F:$F=calibration!$AF$106)*(modeldata!$G:$G=calibration!AQ$108)*(modeldata!$H:$H=calibration!$AF123),modeldata!$E:$E,0))</f>
        <v>0</v>
      </c>
      <c r="AR123" s="178">
        <f t="shared" si="784"/>
        <v>0</v>
      </c>
      <c r="AS123" s="17">
        <f t="shared" si="724"/>
        <v>0</v>
      </c>
      <c r="AU123" s="64" t="s">
        <v>50</v>
      </c>
      <c r="AV123" s="38">
        <f t="shared" ref="AV123:BG123" si="865">IF(R129&gt;0,R123/R129,0)</f>
        <v>0</v>
      </c>
      <c r="AW123" s="245">
        <f t="shared" si="865"/>
        <v>0</v>
      </c>
      <c r="AX123" s="245">
        <f t="shared" si="865"/>
        <v>0</v>
      </c>
      <c r="AY123" s="245">
        <f t="shared" si="865"/>
        <v>0</v>
      </c>
      <c r="AZ123" s="245">
        <f t="shared" si="865"/>
        <v>0</v>
      </c>
      <c r="BA123" s="245">
        <f t="shared" si="865"/>
        <v>0</v>
      </c>
      <c r="BB123" s="40">
        <f t="shared" si="865"/>
        <v>0</v>
      </c>
      <c r="BC123" s="246">
        <f t="shared" si="865"/>
        <v>0</v>
      </c>
      <c r="BD123" s="245">
        <f t="shared" si="865"/>
        <v>0</v>
      </c>
      <c r="BE123" s="245">
        <f t="shared" si="865"/>
        <v>0</v>
      </c>
      <c r="BF123" s="245">
        <f t="shared" si="865"/>
        <v>0</v>
      </c>
      <c r="BG123" s="178">
        <f t="shared" si="865"/>
        <v>0</v>
      </c>
      <c r="BH123" s="24" t="e">
        <f>AD123/AD129</f>
        <v>#DIV/0!</v>
      </c>
      <c r="BJ123" s="64" t="s">
        <v>50</v>
      </c>
      <c r="BK123" s="38">
        <f t="shared" ref="BK123:BV123" si="866">IF(AG129&gt;0,AG123/AG129,0)</f>
        <v>0</v>
      </c>
      <c r="BL123" s="245">
        <f t="shared" si="866"/>
        <v>0</v>
      </c>
      <c r="BM123" s="245">
        <f t="shared" si="866"/>
        <v>0</v>
      </c>
      <c r="BN123" s="245">
        <f t="shared" si="866"/>
        <v>0</v>
      </c>
      <c r="BO123" s="245">
        <f t="shared" si="866"/>
        <v>0</v>
      </c>
      <c r="BP123" s="245">
        <f t="shared" si="866"/>
        <v>0</v>
      </c>
      <c r="BQ123" s="40">
        <f t="shared" si="866"/>
        <v>0</v>
      </c>
      <c r="BR123" s="246">
        <f t="shared" si="866"/>
        <v>0</v>
      </c>
      <c r="BS123" s="245">
        <f t="shared" si="866"/>
        <v>0</v>
      </c>
      <c r="BT123" s="245">
        <f t="shared" si="866"/>
        <v>0</v>
      </c>
      <c r="BU123" s="245">
        <f t="shared" si="866"/>
        <v>0</v>
      </c>
      <c r="BV123" s="178">
        <f t="shared" si="866"/>
        <v>0</v>
      </c>
      <c r="BW123" s="24" t="e">
        <f>AS123/AS129</f>
        <v>#DIV/0!</v>
      </c>
      <c r="BX123" s="24"/>
      <c r="BY123" s="64" t="s">
        <v>50</v>
      </c>
      <c r="BZ123" s="54">
        <f t="shared" si="756"/>
        <v>0</v>
      </c>
      <c r="CA123" s="55">
        <f t="shared" si="727"/>
        <v>0</v>
      </c>
      <c r="CB123" s="55">
        <f t="shared" si="728"/>
        <v>0</v>
      </c>
      <c r="CC123" s="55">
        <f t="shared" si="729"/>
        <v>0</v>
      </c>
      <c r="CD123" s="55">
        <f t="shared" si="730"/>
        <v>0</v>
      </c>
      <c r="CE123" s="55">
        <f t="shared" si="731"/>
        <v>0</v>
      </c>
      <c r="CF123" s="60">
        <f t="shared" si="732"/>
        <v>0</v>
      </c>
      <c r="CG123" s="249">
        <f t="shared" si="733"/>
        <v>0</v>
      </c>
      <c r="CH123" s="55">
        <f t="shared" si="734"/>
        <v>0</v>
      </c>
      <c r="CI123" s="55">
        <f t="shared" si="735"/>
        <v>0</v>
      </c>
      <c r="CJ123" s="55">
        <f t="shared" si="736"/>
        <v>0</v>
      </c>
      <c r="CK123" s="252">
        <f t="shared" si="736"/>
        <v>0</v>
      </c>
      <c r="CL123" s="55">
        <f t="shared" si="737"/>
        <v>0</v>
      </c>
      <c r="CN123" s="64" t="s">
        <v>50</v>
      </c>
      <c r="CO123" s="54">
        <f t="shared" si="757"/>
        <v>0</v>
      </c>
      <c r="CP123" s="55">
        <f t="shared" si="738"/>
        <v>0</v>
      </c>
      <c r="CQ123" s="55">
        <f t="shared" si="739"/>
        <v>0</v>
      </c>
      <c r="CR123" s="55">
        <f t="shared" si="740"/>
        <v>0</v>
      </c>
      <c r="CS123" s="55">
        <f t="shared" si="741"/>
        <v>0</v>
      </c>
      <c r="CT123" s="55">
        <f t="shared" si="742"/>
        <v>0</v>
      </c>
      <c r="CU123" s="60">
        <f t="shared" si="743"/>
        <v>0</v>
      </c>
      <c r="CV123" s="249">
        <f t="shared" si="744"/>
        <v>0</v>
      </c>
      <c r="CW123" s="55">
        <f t="shared" si="745"/>
        <v>0</v>
      </c>
      <c r="CX123" s="55">
        <f t="shared" si="746"/>
        <v>0</v>
      </c>
      <c r="CY123" s="55">
        <f t="shared" si="747"/>
        <v>0</v>
      </c>
      <c r="CZ123" s="252">
        <f t="shared" si="747"/>
        <v>0</v>
      </c>
      <c r="DA123" s="62" t="e">
        <f t="shared" si="748"/>
        <v>#DIV/0!</v>
      </c>
      <c r="DC123" s="64" t="s">
        <v>50</v>
      </c>
      <c r="DD123" s="198">
        <f t="shared" si="758"/>
        <v>0</v>
      </c>
      <c r="DE123" s="199">
        <f t="shared" si="759"/>
        <v>0</v>
      </c>
      <c r="DF123" s="198">
        <f t="shared" si="760"/>
        <v>0</v>
      </c>
      <c r="DG123" s="199">
        <f t="shared" si="761"/>
        <v>0</v>
      </c>
      <c r="DH123" s="198">
        <f t="shared" si="762"/>
        <v>0</v>
      </c>
      <c r="DI123" s="199">
        <f t="shared" si="763"/>
        <v>0</v>
      </c>
      <c r="DJ123" s="198">
        <f t="shared" si="764"/>
        <v>0</v>
      </c>
      <c r="DK123" s="199">
        <f t="shared" si="765"/>
        <v>0</v>
      </c>
      <c r="DL123" s="198">
        <f t="shared" si="766"/>
        <v>0</v>
      </c>
      <c r="DM123" s="199">
        <f t="shared" si="767"/>
        <v>0</v>
      </c>
      <c r="DN123" s="198">
        <f t="shared" si="768"/>
        <v>0</v>
      </c>
      <c r="DO123" s="199">
        <f t="shared" si="769"/>
        <v>0</v>
      </c>
      <c r="DP123" s="198">
        <f t="shared" si="770"/>
        <v>0</v>
      </c>
      <c r="DQ123" s="199">
        <f t="shared" si="771"/>
        <v>0</v>
      </c>
      <c r="DR123" s="198">
        <f t="shared" si="772"/>
        <v>0</v>
      </c>
      <c r="DS123" s="199">
        <f t="shared" si="773"/>
        <v>0</v>
      </c>
      <c r="DT123" s="198">
        <f t="shared" si="774"/>
        <v>0</v>
      </c>
      <c r="DU123" s="199">
        <f t="shared" si="775"/>
        <v>0</v>
      </c>
      <c r="DV123" s="198">
        <f t="shared" si="776"/>
        <v>0</v>
      </c>
      <c r="DW123" s="199">
        <f t="shared" si="777"/>
        <v>0</v>
      </c>
      <c r="DX123" s="198">
        <f t="shared" si="778"/>
        <v>0</v>
      </c>
      <c r="DY123" s="199">
        <f t="shared" si="779"/>
        <v>0</v>
      </c>
      <c r="DZ123" s="190">
        <f t="shared" si="780"/>
        <v>0</v>
      </c>
      <c r="EA123" s="199">
        <f t="shared" si="749"/>
        <v>0</v>
      </c>
      <c r="EB123" s="190" t="e">
        <f t="shared" si="781"/>
        <v>#DIV/0!</v>
      </c>
      <c r="EC123" s="190" t="e">
        <f t="shared" si="782"/>
        <v>#DIV/0!</v>
      </c>
    </row>
    <row r="124" spans="1:133" x14ac:dyDescent="0.2">
      <c r="A124" s="64" t="s">
        <v>51</v>
      </c>
      <c r="B124" s="38">
        <f>targets!AW117</f>
        <v>0</v>
      </c>
      <c r="C124" s="245">
        <f>targets!AX117</f>
        <v>0</v>
      </c>
      <c r="D124" s="245">
        <f>targets!AY117</f>
        <v>0</v>
      </c>
      <c r="E124" s="245">
        <f>targets!AZ117</f>
        <v>0</v>
      </c>
      <c r="F124" s="245">
        <f>targets!BA117</f>
        <v>0</v>
      </c>
      <c r="G124" s="245">
        <f>SUM(targets!BB117:BG117)</f>
        <v>0</v>
      </c>
      <c r="H124" s="40">
        <f>SUM(targets!BH117:BM117)</f>
        <v>10113.115537921407</v>
      </c>
      <c r="I124" s="246">
        <f t="shared" si="750"/>
        <v>10113.115537921407</v>
      </c>
      <c r="J124" s="245">
        <f>targets!BN117</f>
        <v>0</v>
      </c>
      <c r="K124" s="245">
        <f>targets!BO117</f>
        <v>0</v>
      </c>
      <c r="L124" s="245">
        <f>targets!BP117</f>
        <v>0</v>
      </c>
      <c r="M124" s="178">
        <f t="shared" si="751"/>
        <v>0</v>
      </c>
      <c r="N124" s="17">
        <f t="shared" si="712"/>
        <v>10113.115537921407</v>
      </c>
      <c r="O124" s="17"/>
      <c r="P124" s="17"/>
      <c r="Q124" s="64" t="s">
        <v>51</v>
      </c>
      <c r="R124" s="38">
        <f t="shared" si="713"/>
        <v>0</v>
      </c>
      <c r="S124" s="245">
        <f t="shared" si="714"/>
        <v>0</v>
      </c>
      <c r="T124" s="245">
        <f t="shared" si="715"/>
        <v>0</v>
      </c>
      <c r="U124" s="245">
        <f t="shared" si="716"/>
        <v>0</v>
      </c>
      <c r="V124" s="245">
        <f t="shared" si="717"/>
        <v>0</v>
      </c>
      <c r="W124" s="245">
        <f t="shared" si="718"/>
        <v>0</v>
      </c>
      <c r="X124" s="40">
        <f t="shared" si="719"/>
        <v>0</v>
      </c>
      <c r="Y124" s="246">
        <f t="shared" si="752"/>
        <v>0</v>
      </c>
      <c r="Z124" s="245">
        <f t="shared" si="720"/>
        <v>0</v>
      </c>
      <c r="AA124" s="245">
        <f t="shared" si="721"/>
        <v>0</v>
      </c>
      <c r="AB124" s="245">
        <f t="shared" si="722"/>
        <v>0</v>
      </c>
      <c r="AC124" s="178">
        <f t="shared" si="783"/>
        <v>0</v>
      </c>
      <c r="AD124" s="17">
        <f t="shared" si="723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5">
        <f t="array" ref="AH124">SUM(IF((modeldata!$F:$F=calibration!$AF$106)*(modeldata!$G:$G=calibration!AH$108)*(modeldata!$H:$H=calibration!$AF124),modeldata!$E:$E,0))</f>
        <v>0</v>
      </c>
      <c r="AI124" s="245">
        <f t="array" ref="AI124">SUM(IF((modeldata!$F:$F=calibration!$AF$106)*(modeldata!$G:$G=calibration!AI$108)*(modeldata!$H:$H=calibration!$AF124),modeldata!$E:$E,0))</f>
        <v>0</v>
      </c>
      <c r="AJ124" s="245">
        <f t="array" ref="AJ124">SUM(IF((modeldata!$F:$F=calibration!$AF$106)*(modeldata!$G:$G=calibration!AJ$108)*(modeldata!$H:$H=calibration!$AF124),modeldata!$E:$E,0))</f>
        <v>0</v>
      </c>
      <c r="AK124" s="245">
        <f t="array" ref="AK124">SUM(IF((modeldata!$F:$F=calibration!$AF$106)*(modeldata!$G:$G=calibration!AK$108)*(modeldata!$H:$H=calibration!$AF124),modeldata!$E:$E,0))</f>
        <v>0</v>
      </c>
      <c r="AL124" s="245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6"/>
      <c r="AO124" s="245">
        <f t="array" ref="AO124">SUM(IF((modeldata!$F:$F=calibration!$AF$106)*(modeldata!$G:$G=calibration!AO$108)*(modeldata!$H:$H=calibration!$AF124),modeldata!$E:$E,0))</f>
        <v>0</v>
      </c>
      <c r="AP124" s="245">
        <f t="array" ref="AP124">SUM(IF((modeldata!$F:$F=calibration!$AF$106)*(modeldata!$G:$G=calibration!AP$108)*(modeldata!$H:$H=calibration!$AF124),modeldata!$E:$E,0))</f>
        <v>0</v>
      </c>
      <c r="AQ124" s="245">
        <f t="array" ref="AQ124">SUM(IF((modeldata!$F:$F=calibration!$AF$106)*(modeldata!$G:$G=calibration!AQ$108)*(modeldata!$H:$H=calibration!$AF124),modeldata!$E:$E,0))</f>
        <v>0</v>
      </c>
      <c r="AR124" s="178">
        <f t="shared" si="784"/>
        <v>0</v>
      </c>
      <c r="AS124" s="17">
        <f t="shared" si="724"/>
        <v>0</v>
      </c>
      <c r="AU124" s="64" t="s">
        <v>51</v>
      </c>
      <c r="AV124" s="38">
        <f t="shared" ref="AV124:BG124" si="867">IF(R129&gt;0,R124/R129,0)</f>
        <v>0</v>
      </c>
      <c r="AW124" s="245">
        <f t="shared" si="867"/>
        <v>0</v>
      </c>
      <c r="AX124" s="245">
        <f t="shared" si="867"/>
        <v>0</v>
      </c>
      <c r="AY124" s="245">
        <f t="shared" si="867"/>
        <v>0</v>
      </c>
      <c r="AZ124" s="245">
        <f t="shared" si="867"/>
        <v>0</v>
      </c>
      <c r="BA124" s="245">
        <f t="shared" si="867"/>
        <v>0</v>
      </c>
      <c r="BB124" s="40">
        <f t="shared" si="867"/>
        <v>0</v>
      </c>
      <c r="BC124" s="246">
        <f t="shared" si="867"/>
        <v>0</v>
      </c>
      <c r="BD124" s="245">
        <f t="shared" si="867"/>
        <v>0</v>
      </c>
      <c r="BE124" s="245">
        <f t="shared" si="867"/>
        <v>0</v>
      </c>
      <c r="BF124" s="245">
        <f t="shared" si="867"/>
        <v>0</v>
      </c>
      <c r="BG124" s="178">
        <f t="shared" si="867"/>
        <v>0</v>
      </c>
      <c r="BH124" s="24" t="e">
        <f>AD124/AD129</f>
        <v>#DIV/0!</v>
      </c>
      <c r="BJ124" s="64" t="s">
        <v>51</v>
      </c>
      <c r="BK124" s="38">
        <f t="shared" ref="BK124:BV124" si="868">IF(AG129&gt;0,AG124/AG129,0)</f>
        <v>0</v>
      </c>
      <c r="BL124" s="245">
        <f t="shared" si="868"/>
        <v>0</v>
      </c>
      <c r="BM124" s="245">
        <f t="shared" si="868"/>
        <v>0</v>
      </c>
      <c r="BN124" s="245">
        <f t="shared" si="868"/>
        <v>0</v>
      </c>
      <c r="BO124" s="245">
        <f t="shared" si="868"/>
        <v>0</v>
      </c>
      <c r="BP124" s="245">
        <f t="shared" si="868"/>
        <v>0</v>
      </c>
      <c r="BQ124" s="40">
        <f t="shared" si="868"/>
        <v>0</v>
      </c>
      <c r="BR124" s="246">
        <f t="shared" si="868"/>
        <v>0</v>
      </c>
      <c r="BS124" s="245">
        <f t="shared" si="868"/>
        <v>0</v>
      </c>
      <c r="BT124" s="245">
        <f t="shared" si="868"/>
        <v>0</v>
      </c>
      <c r="BU124" s="245">
        <f t="shared" si="868"/>
        <v>0</v>
      </c>
      <c r="BV124" s="178">
        <f t="shared" si="868"/>
        <v>0</v>
      </c>
      <c r="BW124" s="24" t="e">
        <f>AS124/AS129</f>
        <v>#DIV/0!</v>
      </c>
      <c r="BX124" s="24"/>
      <c r="BY124" s="64" t="s">
        <v>51</v>
      </c>
      <c r="BZ124" s="54">
        <f t="shared" si="756"/>
        <v>0</v>
      </c>
      <c r="CA124" s="55">
        <f t="shared" si="727"/>
        <v>0</v>
      </c>
      <c r="CB124" s="55">
        <f t="shared" si="728"/>
        <v>0</v>
      </c>
      <c r="CC124" s="55">
        <f t="shared" si="729"/>
        <v>0</v>
      </c>
      <c r="CD124" s="55">
        <f t="shared" si="730"/>
        <v>0</v>
      </c>
      <c r="CE124" s="55">
        <f t="shared" si="731"/>
        <v>0</v>
      </c>
      <c r="CF124" s="60">
        <f t="shared" si="732"/>
        <v>0</v>
      </c>
      <c r="CG124" s="249">
        <f t="shared" si="733"/>
        <v>0</v>
      </c>
      <c r="CH124" s="55">
        <f t="shared" si="734"/>
        <v>0</v>
      </c>
      <c r="CI124" s="55">
        <f t="shared" si="735"/>
        <v>0</v>
      </c>
      <c r="CJ124" s="55">
        <f t="shared" si="736"/>
        <v>0</v>
      </c>
      <c r="CK124" s="252">
        <f t="shared" si="736"/>
        <v>0</v>
      </c>
      <c r="CL124" s="55">
        <f t="shared" si="737"/>
        <v>0</v>
      </c>
      <c r="CN124" s="64" t="s">
        <v>51</v>
      </c>
      <c r="CO124" s="54">
        <f t="shared" si="757"/>
        <v>0</v>
      </c>
      <c r="CP124" s="55">
        <f t="shared" si="738"/>
        <v>0</v>
      </c>
      <c r="CQ124" s="55">
        <f t="shared" si="739"/>
        <v>0</v>
      </c>
      <c r="CR124" s="55">
        <f t="shared" si="740"/>
        <v>0</v>
      </c>
      <c r="CS124" s="55">
        <f t="shared" si="741"/>
        <v>0</v>
      </c>
      <c r="CT124" s="55">
        <f t="shared" si="742"/>
        <v>0</v>
      </c>
      <c r="CU124" s="60">
        <f t="shared" si="743"/>
        <v>0</v>
      </c>
      <c r="CV124" s="249">
        <f t="shared" si="744"/>
        <v>0</v>
      </c>
      <c r="CW124" s="55">
        <f t="shared" si="745"/>
        <v>0</v>
      </c>
      <c r="CX124" s="55">
        <f t="shared" si="746"/>
        <v>0</v>
      </c>
      <c r="CY124" s="55">
        <f t="shared" si="747"/>
        <v>0</v>
      </c>
      <c r="CZ124" s="252">
        <f t="shared" si="747"/>
        <v>0</v>
      </c>
      <c r="DA124" s="62" t="e">
        <f t="shared" si="748"/>
        <v>#DIV/0!</v>
      </c>
      <c r="DC124" s="64" t="s">
        <v>51</v>
      </c>
      <c r="DD124" s="198">
        <f t="shared" si="758"/>
        <v>0</v>
      </c>
      <c r="DE124" s="199">
        <f t="shared" si="759"/>
        <v>0</v>
      </c>
      <c r="DF124" s="198">
        <f t="shared" si="760"/>
        <v>0</v>
      </c>
      <c r="DG124" s="199">
        <f t="shared" si="761"/>
        <v>0</v>
      </c>
      <c r="DH124" s="198">
        <f t="shared" si="762"/>
        <v>0</v>
      </c>
      <c r="DI124" s="199">
        <f t="shared" si="763"/>
        <v>0</v>
      </c>
      <c r="DJ124" s="198">
        <f t="shared" si="764"/>
        <v>0</v>
      </c>
      <c r="DK124" s="199">
        <f t="shared" si="765"/>
        <v>0</v>
      </c>
      <c r="DL124" s="198">
        <f t="shared" si="766"/>
        <v>0</v>
      </c>
      <c r="DM124" s="199">
        <f t="shared" si="767"/>
        <v>0</v>
      </c>
      <c r="DN124" s="198">
        <f t="shared" si="768"/>
        <v>0</v>
      </c>
      <c r="DO124" s="199">
        <f t="shared" si="769"/>
        <v>0</v>
      </c>
      <c r="DP124" s="198">
        <f t="shared" si="770"/>
        <v>0</v>
      </c>
      <c r="DQ124" s="199">
        <f t="shared" si="771"/>
        <v>0</v>
      </c>
      <c r="DR124" s="198">
        <f t="shared" si="772"/>
        <v>0</v>
      </c>
      <c r="DS124" s="199">
        <f t="shared" si="773"/>
        <v>0</v>
      </c>
      <c r="DT124" s="198">
        <f t="shared" si="774"/>
        <v>0</v>
      </c>
      <c r="DU124" s="199">
        <f t="shared" si="775"/>
        <v>0</v>
      </c>
      <c r="DV124" s="198">
        <f t="shared" si="776"/>
        <v>0</v>
      </c>
      <c r="DW124" s="199">
        <f t="shared" si="777"/>
        <v>0</v>
      </c>
      <c r="DX124" s="198">
        <f t="shared" si="778"/>
        <v>0</v>
      </c>
      <c r="DY124" s="199">
        <f t="shared" si="779"/>
        <v>0</v>
      </c>
      <c r="DZ124" s="190">
        <f t="shared" si="780"/>
        <v>0</v>
      </c>
      <c r="EA124" s="199">
        <f t="shared" si="749"/>
        <v>0</v>
      </c>
      <c r="EB124" s="190" t="e">
        <f t="shared" si="781"/>
        <v>#DIV/0!</v>
      </c>
      <c r="EC124" s="190" t="e">
        <f t="shared" si="782"/>
        <v>#DIV/0!</v>
      </c>
    </row>
    <row r="125" spans="1:133" x14ac:dyDescent="0.2">
      <c r="A125" s="64" t="s">
        <v>52</v>
      </c>
      <c r="B125" s="38">
        <f>targets!AW118</f>
        <v>0</v>
      </c>
      <c r="C125" s="245">
        <f>targets!AX118</f>
        <v>0</v>
      </c>
      <c r="D125" s="245">
        <f>targets!AY118</f>
        <v>0</v>
      </c>
      <c r="E125" s="245">
        <f>targets!AZ118</f>
        <v>0</v>
      </c>
      <c r="F125" s="245">
        <f>targets!BA118</f>
        <v>0</v>
      </c>
      <c r="G125" s="245">
        <f>SUM(targets!BB118:BG118)</f>
        <v>0</v>
      </c>
      <c r="H125" s="41">
        <f>SUM(targets!BH118:BM118)</f>
        <v>1094.0080732279978</v>
      </c>
      <c r="I125" s="246">
        <f t="shared" si="750"/>
        <v>1094.0080732279978</v>
      </c>
      <c r="J125" s="245">
        <f>targets!BN118</f>
        <v>0</v>
      </c>
      <c r="K125" s="245">
        <f>targets!BO118</f>
        <v>0</v>
      </c>
      <c r="L125" s="245">
        <f>targets!BP118</f>
        <v>0</v>
      </c>
      <c r="M125" s="178">
        <f t="shared" si="751"/>
        <v>0</v>
      </c>
      <c r="N125" s="17">
        <f t="shared" si="712"/>
        <v>1094.0080732279978</v>
      </c>
      <c r="O125" s="17"/>
      <c r="P125" s="17"/>
      <c r="Q125" s="64" t="s">
        <v>52</v>
      </c>
      <c r="R125" s="38">
        <f t="shared" si="713"/>
        <v>0</v>
      </c>
      <c r="S125" s="245">
        <f t="shared" si="714"/>
        <v>0</v>
      </c>
      <c r="T125" s="245">
        <f t="shared" si="715"/>
        <v>0</v>
      </c>
      <c r="U125" s="245">
        <f t="shared" si="716"/>
        <v>0</v>
      </c>
      <c r="V125" s="245">
        <f t="shared" si="717"/>
        <v>0</v>
      </c>
      <c r="W125" s="245">
        <f t="shared" si="718"/>
        <v>0</v>
      </c>
      <c r="X125" s="41">
        <f t="shared" si="719"/>
        <v>0</v>
      </c>
      <c r="Y125" s="246">
        <f t="shared" si="752"/>
        <v>0</v>
      </c>
      <c r="Z125" s="245">
        <f t="shared" si="720"/>
        <v>0</v>
      </c>
      <c r="AA125" s="245">
        <f t="shared" si="721"/>
        <v>0</v>
      </c>
      <c r="AB125" s="245">
        <f t="shared" si="722"/>
        <v>0</v>
      </c>
      <c r="AC125" s="178">
        <f t="shared" si="783"/>
        <v>0</v>
      </c>
      <c r="AD125" s="17">
        <f t="shared" si="723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5">
        <f t="array" ref="AH125">SUM(IF((modeldata!$F:$F=calibration!$AF$106)*(modeldata!$G:$G=calibration!AH$108)*(modeldata!$H:$H=calibration!$AF125),modeldata!$E:$E,0))</f>
        <v>0</v>
      </c>
      <c r="AI125" s="245">
        <f t="array" ref="AI125">SUM(IF((modeldata!$F:$F=calibration!$AF$106)*(modeldata!$G:$G=calibration!AI$108)*(modeldata!$H:$H=calibration!$AF125),modeldata!$E:$E,0))</f>
        <v>0</v>
      </c>
      <c r="AJ125" s="245">
        <f t="array" ref="AJ125">SUM(IF((modeldata!$F:$F=calibration!$AF$106)*(modeldata!$G:$G=calibration!AJ$108)*(modeldata!$H:$H=calibration!$AF125),modeldata!$E:$E,0))</f>
        <v>0</v>
      </c>
      <c r="AK125" s="245">
        <f t="array" ref="AK125">SUM(IF((modeldata!$F:$F=calibration!$AF$106)*(modeldata!$G:$G=calibration!AK$108)*(modeldata!$H:$H=calibration!$AF125),modeldata!$E:$E,0))</f>
        <v>0</v>
      </c>
      <c r="AL125" s="245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6"/>
      <c r="AO125" s="245">
        <f t="array" ref="AO125">SUM(IF((modeldata!$F:$F=calibration!$AF$106)*(modeldata!$G:$G=calibration!AO$108)*(modeldata!$H:$H=calibration!$AF125),modeldata!$E:$E,0))</f>
        <v>0</v>
      </c>
      <c r="AP125" s="245">
        <f t="array" ref="AP125">SUM(IF((modeldata!$F:$F=calibration!$AF$106)*(modeldata!$G:$G=calibration!AP$108)*(modeldata!$H:$H=calibration!$AF125),modeldata!$E:$E,0))</f>
        <v>0</v>
      </c>
      <c r="AQ125" s="245">
        <f t="array" ref="AQ125">SUM(IF((modeldata!$F:$F=calibration!$AF$106)*(modeldata!$G:$G=calibration!AQ$108)*(modeldata!$H:$H=calibration!$AF125),modeldata!$E:$E,0))</f>
        <v>0</v>
      </c>
      <c r="AR125" s="178">
        <f t="shared" si="784"/>
        <v>0</v>
      </c>
      <c r="AS125" s="17">
        <f t="shared" si="724"/>
        <v>0</v>
      </c>
      <c r="AU125" s="64" t="s">
        <v>52</v>
      </c>
      <c r="AV125" s="38">
        <f t="shared" ref="AV125:BG125" si="869">IF(R129&gt;0,R125/R129,0)</f>
        <v>0</v>
      </c>
      <c r="AW125" s="245">
        <f t="shared" si="869"/>
        <v>0</v>
      </c>
      <c r="AX125" s="245">
        <f t="shared" si="869"/>
        <v>0</v>
      </c>
      <c r="AY125" s="245">
        <f t="shared" si="869"/>
        <v>0</v>
      </c>
      <c r="AZ125" s="245">
        <f t="shared" si="869"/>
        <v>0</v>
      </c>
      <c r="BA125" s="245">
        <f t="shared" si="869"/>
        <v>0</v>
      </c>
      <c r="BB125" s="41">
        <f t="shared" si="869"/>
        <v>0</v>
      </c>
      <c r="BC125" s="246">
        <f t="shared" si="869"/>
        <v>0</v>
      </c>
      <c r="BD125" s="245">
        <f t="shared" si="869"/>
        <v>0</v>
      </c>
      <c r="BE125" s="245">
        <f t="shared" si="869"/>
        <v>0</v>
      </c>
      <c r="BF125" s="245">
        <f t="shared" si="869"/>
        <v>0</v>
      </c>
      <c r="BG125" s="178">
        <f t="shared" si="869"/>
        <v>0</v>
      </c>
      <c r="BH125" s="24" t="e">
        <f>AD125/AD129</f>
        <v>#DIV/0!</v>
      </c>
      <c r="BJ125" s="64" t="s">
        <v>52</v>
      </c>
      <c r="BK125" s="38">
        <f t="shared" ref="BK125:BV125" si="870">IF(AG129&gt;0,AG125/AG129,0)</f>
        <v>0</v>
      </c>
      <c r="BL125" s="245">
        <f t="shared" si="870"/>
        <v>0</v>
      </c>
      <c r="BM125" s="245">
        <f t="shared" si="870"/>
        <v>0</v>
      </c>
      <c r="BN125" s="245">
        <f t="shared" si="870"/>
        <v>0</v>
      </c>
      <c r="BO125" s="245">
        <f t="shared" si="870"/>
        <v>0</v>
      </c>
      <c r="BP125" s="245">
        <f t="shared" si="870"/>
        <v>0</v>
      </c>
      <c r="BQ125" s="41">
        <f t="shared" si="870"/>
        <v>0</v>
      </c>
      <c r="BR125" s="246">
        <f t="shared" si="870"/>
        <v>0</v>
      </c>
      <c r="BS125" s="245">
        <f t="shared" si="870"/>
        <v>0</v>
      </c>
      <c r="BT125" s="245">
        <f t="shared" si="870"/>
        <v>0</v>
      </c>
      <c r="BU125" s="245">
        <f t="shared" si="870"/>
        <v>0</v>
      </c>
      <c r="BV125" s="178">
        <f t="shared" si="870"/>
        <v>0</v>
      </c>
      <c r="BW125" s="24" t="e">
        <f>AS125/AS129</f>
        <v>#DIV/0!</v>
      </c>
      <c r="BX125" s="24"/>
      <c r="BY125" s="64" t="s">
        <v>52</v>
      </c>
      <c r="BZ125" s="54">
        <f t="shared" si="756"/>
        <v>0</v>
      </c>
      <c r="CA125" s="55">
        <f t="shared" si="727"/>
        <v>0</v>
      </c>
      <c r="CB125" s="55">
        <f t="shared" si="728"/>
        <v>0</v>
      </c>
      <c r="CC125" s="55">
        <f t="shared" si="729"/>
        <v>0</v>
      </c>
      <c r="CD125" s="55">
        <f t="shared" si="730"/>
        <v>0</v>
      </c>
      <c r="CE125" s="55">
        <f t="shared" si="731"/>
        <v>0</v>
      </c>
      <c r="CF125" s="61">
        <f t="shared" si="732"/>
        <v>0</v>
      </c>
      <c r="CG125" s="249">
        <f>AN125-Y125</f>
        <v>0</v>
      </c>
      <c r="CH125" s="55">
        <f t="shared" si="734"/>
        <v>0</v>
      </c>
      <c r="CI125" s="55">
        <f t="shared" si="735"/>
        <v>0</v>
      </c>
      <c r="CJ125" s="55">
        <f t="shared" si="736"/>
        <v>0</v>
      </c>
      <c r="CK125" s="252">
        <f t="shared" si="736"/>
        <v>0</v>
      </c>
      <c r="CL125" s="55">
        <f t="shared" si="737"/>
        <v>0</v>
      </c>
      <c r="CN125" s="64" t="s">
        <v>52</v>
      </c>
      <c r="CO125" s="54">
        <f t="shared" si="757"/>
        <v>0</v>
      </c>
      <c r="CP125" s="55">
        <f t="shared" si="738"/>
        <v>0</v>
      </c>
      <c r="CQ125" s="55">
        <f t="shared" si="739"/>
        <v>0</v>
      </c>
      <c r="CR125" s="55">
        <f t="shared" si="740"/>
        <v>0</v>
      </c>
      <c r="CS125" s="55">
        <f t="shared" si="741"/>
        <v>0</v>
      </c>
      <c r="CT125" s="55">
        <f t="shared" si="742"/>
        <v>0</v>
      </c>
      <c r="CU125" s="61">
        <f t="shared" si="743"/>
        <v>0</v>
      </c>
      <c r="CV125" s="249">
        <f t="shared" si="744"/>
        <v>0</v>
      </c>
      <c r="CW125" s="55">
        <f t="shared" si="745"/>
        <v>0</v>
      </c>
      <c r="CX125" s="55">
        <f t="shared" si="746"/>
        <v>0</v>
      </c>
      <c r="CY125" s="55">
        <f t="shared" si="747"/>
        <v>0</v>
      </c>
      <c r="CZ125" s="252">
        <f t="shared" si="747"/>
        <v>0</v>
      </c>
      <c r="DA125" s="62" t="e">
        <f t="shared" si="748"/>
        <v>#DIV/0!</v>
      </c>
      <c r="DC125" s="64" t="s">
        <v>52</v>
      </c>
      <c r="DD125" s="198">
        <f t="shared" si="758"/>
        <v>0</v>
      </c>
      <c r="DE125" s="199">
        <f t="shared" si="759"/>
        <v>0</v>
      </c>
      <c r="DF125" s="198">
        <f t="shared" si="760"/>
        <v>0</v>
      </c>
      <c r="DG125" s="199">
        <f t="shared" si="761"/>
        <v>0</v>
      </c>
      <c r="DH125" s="198">
        <f t="shared" si="762"/>
        <v>0</v>
      </c>
      <c r="DI125" s="199">
        <f t="shared" si="763"/>
        <v>0</v>
      </c>
      <c r="DJ125" s="198">
        <f t="shared" si="764"/>
        <v>0</v>
      </c>
      <c r="DK125" s="199">
        <f t="shared" si="765"/>
        <v>0</v>
      </c>
      <c r="DL125" s="198">
        <f t="shared" si="766"/>
        <v>0</v>
      </c>
      <c r="DM125" s="199">
        <f t="shared" si="767"/>
        <v>0</v>
      </c>
      <c r="DN125" s="198">
        <f t="shared" si="768"/>
        <v>0</v>
      </c>
      <c r="DO125" s="199">
        <f t="shared" si="769"/>
        <v>0</v>
      </c>
      <c r="DP125" s="200">
        <f t="shared" si="770"/>
        <v>0</v>
      </c>
      <c r="DQ125" s="201">
        <f t="shared" si="771"/>
        <v>0</v>
      </c>
      <c r="DR125" s="198">
        <f t="shared" si="772"/>
        <v>0</v>
      </c>
      <c r="DS125" s="199">
        <f t="shared" si="773"/>
        <v>0</v>
      </c>
      <c r="DT125" s="198">
        <f t="shared" si="774"/>
        <v>0</v>
      </c>
      <c r="DU125" s="199">
        <f t="shared" si="775"/>
        <v>0</v>
      </c>
      <c r="DV125" s="198">
        <f t="shared" si="776"/>
        <v>0</v>
      </c>
      <c r="DW125" s="199">
        <f t="shared" si="777"/>
        <v>0</v>
      </c>
      <c r="DX125" s="198">
        <f t="shared" si="778"/>
        <v>0</v>
      </c>
      <c r="DY125" s="199">
        <f t="shared" si="779"/>
        <v>0</v>
      </c>
      <c r="DZ125" s="190">
        <f t="shared" si="780"/>
        <v>0</v>
      </c>
      <c r="EA125" s="199">
        <f t="shared" si="749"/>
        <v>0</v>
      </c>
      <c r="EB125" s="190" t="e">
        <f t="shared" si="781"/>
        <v>#DIV/0!</v>
      </c>
      <c r="EC125" s="190" t="e">
        <f t="shared" si="782"/>
        <v>#DIV/0!</v>
      </c>
    </row>
    <row r="126" spans="1:133" x14ac:dyDescent="0.2">
      <c r="A126" s="2" t="s">
        <v>6</v>
      </c>
      <c r="B126" s="38">
        <f>targets!AW119</f>
        <v>0</v>
      </c>
      <c r="C126" s="245">
        <f>targets!AX119</f>
        <v>0</v>
      </c>
      <c r="D126" s="245">
        <f>targets!AY119</f>
        <v>0</v>
      </c>
      <c r="E126" s="245">
        <f>targets!AZ119</f>
        <v>0</v>
      </c>
      <c r="F126" s="245">
        <f>targets!BA119</f>
        <v>0</v>
      </c>
      <c r="G126" s="245">
        <f>SUM(targets!BB119:BG119)</f>
        <v>0</v>
      </c>
      <c r="H126" s="245">
        <f>SUM(targets!BH119:BM119)</f>
        <v>0</v>
      </c>
      <c r="I126" s="246">
        <f t="shared" si="750"/>
        <v>0</v>
      </c>
      <c r="J126" s="245">
        <f>targets!BN119</f>
        <v>1767.4362168377761</v>
      </c>
      <c r="K126" s="245">
        <f>targets!BO119</f>
        <v>58.420585930136404</v>
      </c>
      <c r="L126" s="245">
        <f>targets!BP119</f>
        <v>0</v>
      </c>
      <c r="M126" s="178">
        <f t="shared" si="751"/>
        <v>1825.8568027679125</v>
      </c>
      <c r="N126" s="17">
        <f t="shared" si="712"/>
        <v>1825.8568027679125</v>
      </c>
      <c r="O126" s="17"/>
      <c r="P126" s="17"/>
      <c r="Q126" s="2" t="s">
        <v>6</v>
      </c>
      <c r="R126" s="38">
        <f t="shared" si="713"/>
        <v>0</v>
      </c>
      <c r="S126" s="245">
        <f t="shared" si="714"/>
        <v>0</v>
      </c>
      <c r="T126" s="245">
        <f t="shared" si="715"/>
        <v>0</v>
      </c>
      <c r="U126" s="245">
        <f t="shared" si="716"/>
        <v>0</v>
      </c>
      <c r="V126" s="245">
        <f t="shared" si="717"/>
        <v>0</v>
      </c>
      <c r="W126" s="245">
        <f t="shared" si="718"/>
        <v>0</v>
      </c>
      <c r="X126" s="245">
        <f t="shared" si="719"/>
        <v>0</v>
      </c>
      <c r="Y126" s="246">
        <f t="shared" si="752"/>
        <v>0</v>
      </c>
      <c r="Z126" s="245">
        <f t="shared" si="720"/>
        <v>0</v>
      </c>
      <c r="AA126" s="245">
        <f t="shared" si="721"/>
        <v>0</v>
      </c>
      <c r="AB126" s="245">
        <f t="shared" si="722"/>
        <v>0</v>
      </c>
      <c r="AC126" s="178">
        <f t="shared" si="783"/>
        <v>0</v>
      </c>
      <c r="AD126" s="17">
        <f t="shared" si="723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5">
        <f t="array" ref="AH126">SUM(IF((modeldata!$F:$F=calibration!$AF$106)*(modeldata!$G:$G=calibration!AH$108)*(modeldata!$H:$H=calibration!$AF126),modeldata!$E:$E,0))</f>
        <v>0</v>
      </c>
      <c r="AI126" s="245">
        <f t="array" ref="AI126">SUM(IF((modeldata!$F:$F=calibration!$AF$106)*(modeldata!$G:$G=calibration!AI$108)*(modeldata!$H:$H=calibration!$AF126),modeldata!$E:$E,0))</f>
        <v>0</v>
      </c>
      <c r="AJ126" s="245">
        <f t="array" ref="AJ126">SUM(IF((modeldata!$F:$F=calibration!$AF$106)*(modeldata!$G:$G=calibration!AJ$108)*(modeldata!$H:$H=calibration!$AF126),modeldata!$E:$E,0))</f>
        <v>0</v>
      </c>
      <c r="AK126" s="245">
        <f t="array" ref="AK126">SUM(IF((modeldata!$F:$F=calibration!$AF$106)*(modeldata!$G:$G=calibration!AK$108)*(modeldata!$H:$H=calibration!$AF126),modeldata!$E:$E,0))</f>
        <v>0</v>
      </c>
      <c r="AL126" s="245">
        <f t="array" ref="AL126">SUM(IF((modeldata!$F:$F=calibration!$AF$106)*(modeldata!$G:$G=calibration!AL$108)*(modeldata!$H:$H=calibration!$AF126),modeldata!$E:$E,0))</f>
        <v>0</v>
      </c>
      <c r="AM126" s="245">
        <f t="array" ref="AM126">SUM(IF((modeldata!$F:$F=calibration!$AF$106)*(modeldata!$G:$G=calibration!AM$108)*(modeldata!$H:$H=calibration!$AF126),modeldata!$E:$E,0))</f>
        <v>0</v>
      </c>
      <c r="AN126" s="246">
        <f t="shared" si="753"/>
        <v>0</v>
      </c>
      <c r="AO126" s="245">
        <f t="array" ref="AO126">SUM(IF((modeldata!$F:$F=calibration!$AF$106)*(modeldata!$G:$G=calibration!AO$108)*(modeldata!$H:$H=calibration!$AF126),modeldata!$E:$E,0))</f>
        <v>0</v>
      </c>
      <c r="AP126" s="245">
        <f t="array" ref="AP126">SUM(IF((modeldata!$F:$F=calibration!$AF$106)*(modeldata!$G:$G=calibration!AP$108)*(modeldata!$H:$H=calibration!$AF126),modeldata!$E:$E,0))</f>
        <v>0</v>
      </c>
      <c r="AQ126" s="245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71">SUM(AO126:AQ126)</f>
        <v>0</v>
      </c>
      <c r="AS126" s="17">
        <f t="shared" si="724"/>
        <v>0</v>
      </c>
      <c r="AU126" s="2" t="s">
        <v>6</v>
      </c>
      <c r="AV126" s="38">
        <f t="shared" ref="AV126:BG126" si="872">IF(R129&gt;0,R126/R129,0)</f>
        <v>0</v>
      </c>
      <c r="AW126" s="245">
        <f t="shared" si="872"/>
        <v>0</v>
      </c>
      <c r="AX126" s="245">
        <f t="shared" si="872"/>
        <v>0</v>
      </c>
      <c r="AY126" s="245">
        <f t="shared" si="872"/>
        <v>0</v>
      </c>
      <c r="AZ126" s="245">
        <f t="shared" si="872"/>
        <v>0</v>
      </c>
      <c r="BA126" s="245">
        <f t="shared" si="872"/>
        <v>0</v>
      </c>
      <c r="BB126" s="245">
        <f t="shared" si="872"/>
        <v>0</v>
      </c>
      <c r="BC126" s="246">
        <f t="shared" si="872"/>
        <v>0</v>
      </c>
      <c r="BD126" s="245">
        <f t="shared" si="872"/>
        <v>0</v>
      </c>
      <c r="BE126" s="245">
        <f t="shared" si="872"/>
        <v>0</v>
      </c>
      <c r="BF126" s="245">
        <f t="shared" si="872"/>
        <v>0</v>
      </c>
      <c r="BG126" s="178">
        <f t="shared" si="872"/>
        <v>0</v>
      </c>
      <c r="BH126" s="24" t="e">
        <f>AD126/AD129</f>
        <v>#DIV/0!</v>
      </c>
      <c r="BJ126" s="2" t="s">
        <v>6</v>
      </c>
      <c r="BK126" s="38">
        <f t="shared" ref="BK126:BV126" si="873">IF(AG129&gt;0,AG126/AG129,0)</f>
        <v>0</v>
      </c>
      <c r="BL126" s="245">
        <f t="shared" si="873"/>
        <v>0</v>
      </c>
      <c r="BM126" s="245">
        <f t="shared" si="873"/>
        <v>0</v>
      </c>
      <c r="BN126" s="245">
        <f t="shared" si="873"/>
        <v>0</v>
      </c>
      <c r="BO126" s="245">
        <f t="shared" si="873"/>
        <v>0</v>
      </c>
      <c r="BP126" s="245">
        <f t="shared" si="873"/>
        <v>0</v>
      </c>
      <c r="BQ126" s="245">
        <f t="shared" si="873"/>
        <v>0</v>
      </c>
      <c r="BR126" s="246">
        <f t="shared" si="873"/>
        <v>0</v>
      </c>
      <c r="BS126" s="245">
        <f t="shared" si="873"/>
        <v>0</v>
      </c>
      <c r="BT126" s="245">
        <f t="shared" si="873"/>
        <v>0</v>
      </c>
      <c r="BU126" s="245">
        <f t="shared" si="873"/>
        <v>0</v>
      </c>
      <c r="BV126" s="178">
        <f t="shared" si="873"/>
        <v>0</v>
      </c>
      <c r="BW126" s="24" t="e">
        <f>AS126/AS129</f>
        <v>#DIV/0!</v>
      </c>
      <c r="BX126" s="24"/>
      <c r="BY126" s="2" t="s">
        <v>6</v>
      </c>
      <c r="BZ126" s="54">
        <f t="shared" si="756"/>
        <v>0</v>
      </c>
      <c r="CA126" s="55">
        <f t="shared" si="727"/>
        <v>0</v>
      </c>
      <c r="CB126" s="55">
        <f t="shared" si="728"/>
        <v>0</v>
      </c>
      <c r="CC126" s="55">
        <f t="shared" si="729"/>
        <v>0</v>
      </c>
      <c r="CD126" s="55">
        <f t="shared" si="730"/>
        <v>0</v>
      </c>
      <c r="CE126" s="55">
        <f t="shared" si="731"/>
        <v>0</v>
      </c>
      <c r="CF126" s="55">
        <f t="shared" si="732"/>
        <v>0</v>
      </c>
      <c r="CG126" s="249">
        <f>AN126-Y126</f>
        <v>0</v>
      </c>
      <c r="CH126" s="55">
        <f t="shared" si="734"/>
        <v>0</v>
      </c>
      <c r="CI126" s="55">
        <f t="shared" si="735"/>
        <v>0</v>
      </c>
      <c r="CJ126" s="55">
        <f t="shared" si="736"/>
        <v>0</v>
      </c>
      <c r="CK126" s="252">
        <f t="shared" si="736"/>
        <v>0</v>
      </c>
      <c r="CL126" s="55">
        <f t="shared" si="737"/>
        <v>0</v>
      </c>
      <c r="CN126" s="2" t="s">
        <v>6</v>
      </c>
      <c r="CO126" s="54">
        <f t="shared" si="757"/>
        <v>0</v>
      </c>
      <c r="CP126" s="55">
        <f t="shared" si="738"/>
        <v>0</v>
      </c>
      <c r="CQ126" s="55">
        <f t="shared" si="739"/>
        <v>0</v>
      </c>
      <c r="CR126" s="55">
        <f t="shared" si="740"/>
        <v>0</v>
      </c>
      <c r="CS126" s="55">
        <f t="shared" si="741"/>
        <v>0</v>
      </c>
      <c r="CT126" s="55">
        <f t="shared" si="742"/>
        <v>0</v>
      </c>
      <c r="CU126" s="55">
        <f t="shared" si="743"/>
        <v>0</v>
      </c>
      <c r="CV126" s="249">
        <f t="shared" si="744"/>
        <v>0</v>
      </c>
      <c r="CW126" s="55">
        <f t="shared" si="745"/>
        <v>0</v>
      </c>
      <c r="CX126" s="55">
        <f t="shared" si="746"/>
        <v>0</v>
      </c>
      <c r="CY126" s="55">
        <f t="shared" si="747"/>
        <v>0</v>
      </c>
      <c r="CZ126" s="252">
        <f t="shared" si="747"/>
        <v>0</v>
      </c>
      <c r="DA126" s="62" t="e">
        <f t="shared" si="748"/>
        <v>#DIV/0!</v>
      </c>
      <c r="DC126" s="2" t="s">
        <v>6</v>
      </c>
      <c r="DD126" s="198">
        <f t="shared" si="758"/>
        <v>0</v>
      </c>
      <c r="DE126" s="199">
        <f t="shared" si="759"/>
        <v>0</v>
      </c>
      <c r="DF126" s="198">
        <f t="shared" si="760"/>
        <v>0</v>
      </c>
      <c r="DG126" s="199">
        <f t="shared" si="761"/>
        <v>0</v>
      </c>
      <c r="DH126" s="198">
        <f t="shared" si="762"/>
        <v>0</v>
      </c>
      <c r="DI126" s="199">
        <f t="shared" si="763"/>
        <v>0</v>
      </c>
      <c r="DJ126" s="198">
        <f t="shared" si="764"/>
        <v>0</v>
      </c>
      <c r="DK126" s="199">
        <f t="shared" si="765"/>
        <v>0</v>
      </c>
      <c r="DL126" s="198">
        <f t="shared" si="766"/>
        <v>0</v>
      </c>
      <c r="DM126" s="199">
        <f t="shared" si="767"/>
        <v>0</v>
      </c>
      <c r="DN126" s="198">
        <f t="shared" si="768"/>
        <v>0</v>
      </c>
      <c r="DO126" s="199">
        <f t="shared" si="769"/>
        <v>0</v>
      </c>
      <c r="DP126" s="198">
        <f t="shared" si="770"/>
        <v>0</v>
      </c>
      <c r="DQ126" s="199">
        <f t="shared" si="771"/>
        <v>0</v>
      </c>
      <c r="DR126" s="198">
        <f t="shared" si="772"/>
        <v>0</v>
      </c>
      <c r="DS126" s="199">
        <f t="shared" si="773"/>
        <v>0</v>
      </c>
      <c r="DT126" s="198">
        <f t="shared" si="774"/>
        <v>0</v>
      </c>
      <c r="DU126" s="199">
        <f t="shared" si="775"/>
        <v>0</v>
      </c>
      <c r="DV126" s="198">
        <f t="shared" si="776"/>
        <v>0</v>
      </c>
      <c r="DW126" s="199">
        <f t="shared" si="777"/>
        <v>0</v>
      </c>
      <c r="DX126" s="198">
        <f t="shared" si="778"/>
        <v>0</v>
      </c>
      <c r="DY126" s="199">
        <f t="shared" si="779"/>
        <v>0</v>
      </c>
      <c r="DZ126" s="190">
        <f t="shared" si="780"/>
        <v>0</v>
      </c>
      <c r="EA126" s="199">
        <f t="shared" si="749"/>
        <v>0</v>
      </c>
      <c r="EB126" s="190" t="e">
        <f t="shared" si="781"/>
        <v>#DIV/0!</v>
      </c>
      <c r="EC126" s="190" t="e">
        <f t="shared" si="782"/>
        <v>#DIV/0!</v>
      </c>
    </row>
    <row r="127" spans="1:133" x14ac:dyDescent="0.2">
      <c r="A127" s="2" t="s">
        <v>88</v>
      </c>
      <c r="B127" s="38">
        <f>targets!AW120</f>
        <v>0</v>
      </c>
      <c r="C127" s="245">
        <f>targets!AX120</f>
        <v>0</v>
      </c>
      <c r="D127" s="245">
        <f>targets!AY120</f>
        <v>0</v>
      </c>
      <c r="E127" s="245">
        <f>targets!AZ120</f>
        <v>0</v>
      </c>
      <c r="F127" s="245">
        <f>targets!BA120</f>
        <v>0</v>
      </c>
      <c r="G127" s="245">
        <f>SUM(targets!BB120:BG120)</f>
        <v>9319.3085483720934</v>
      </c>
      <c r="H127" s="245">
        <f>SUM(targets!BH120:BM120)</f>
        <v>8027.7589293406327</v>
      </c>
      <c r="I127" s="246">
        <f t="shared" si="750"/>
        <v>17347.067477712728</v>
      </c>
      <c r="J127" s="245">
        <f>targets!BN120</f>
        <v>0</v>
      </c>
      <c r="K127" s="245">
        <f>targets!BO120</f>
        <v>15686.423820899228</v>
      </c>
      <c r="L127" s="245">
        <f>targets!BP120</f>
        <v>483.11116321005204</v>
      </c>
      <c r="M127" s="178">
        <f t="shared" si="751"/>
        <v>16169.534984109281</v>
      </c>
      <c r="N127" s="17">
        <f t="shared" si="712"/>
        <v>33516.602461822011</v>
      </c>
      <c r="O127" s="17"/>
      <c r="P127" s="17"/>
      <c r="Q127" s="2" t="s">
        <v>88</v>
      </c>
      <c r="R127" s="38">
        <f t="shared" si="713"/>
        <v>0</v>
      </c>
      <c r="S127" s="245">
        <f t="shared" si="714"/>
        <v>0</v>
      </c>
      <c r="T127" s="245">
        <f t="shared" si="715"/>
        <v>0</v>
      </c>
      <c r="U127" s="245">
        <f t="shared" si="716"/>
        <v>0</v>
      </c>
      <c r="V127" s="245">
        <f t="shared" si="717"/>
        <v>0</v>
      </c>
      <c r="W127" s="245">
        <f t="shared" si="718"/>
        <v>0</v>
      </c>
      <c r="X127" s="245">
        <f t="shared" si="719"/>
        <v>0</v>
      </c>
      <c r="Y127" s="246">
        <f t="shared" si="752"/>
        <v>0</v>
      </c>
      <c r="Z127" s="245">
        <f t="shared" si="720"/>
        <v>0</v>
      </c>
      <c r="AA127" s="245">
        <f t="shared" si="721"/>
        <v>0</v>
      </c>
      <c r="AB127" s="245">
        <f t="shared" si="722"/>
        <v>0</v>
      </c>
      <c r="AC127" s="178">
        <f t="shared" si="783"/>
        <v>0</v>
      </c>
      <c r="AD127" s="17">
        <f t="shared" si="723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5">
        <f t="array" ref="AH127">SUM(IF((modeldata!$F:$F=calibration!$AF$106)*(modeldata!$G:$G=calibration!AH$108)*(modeldata!$H:$H=calibration!$AF127),modeldata!$E:$E,0))</f>
        <v>0</v>
      </c>
      <c r="AI127" s="245">
        <f t="array" ref="AI127">SUM(IF((modeldata!$F:$F=calibration!$AF$106)*(modeldata!$G:$G=calibration!AI$108)*(modeldata!$H:$H=calibration!$AF127),modeldata!$E:$E,0))</f>
        <v>0</v>
      </c>
      <c r="AJ127" s="245">
        <f t="array" ref="AJ127">SUM(IF((modeldata!$F:$F=calibration!$AF$106)*(modeldata!$G:$G=calibration!AJ$108)*(modeldata!$H:$H=calibration!$AF127),modeldata!$E:$E,0))</f>
        <v>0</v>
      </c>
      <c r="AK127" s="245">
        <f t="array" ref="AK127">SUM(IF((modeldata!$F:$F=calibration!$AF$106)*(modeldata!$G:$G=calibration!AK$108)*(modeldata!$H:$H=calibration!$AF127),modeldata!$E:$E,0))</f>
        <v>0</v>
      </c>
      <c r="AL127" s="245">
        <f t="array" ref="AL127">SUM(IF((modeldata!$F:$F=calibration!$AF$106)*(modeldata!$G:$G=calibration!AL$108)*(modeldata!$H:$H=calibration!$AF127),modeldata!$E:$E,0))</f>
        <v>0</v>
      </c>
      <c r="AM127" s="245">
        <f t="array" ref="AM127">SUM(IF((modeldata!$F:$F=calibration!$AF$106)*(modeldata!$G:$G=calibration!AM$108)*(modeldata!$H:$H=calibration!$AF127),modeldata!$E:$E,0))</f>
        <v>0</v>
      </c>
      <c r="AN127" s="246">
        <f t="shared" si="753"/>
        <v>0</v>
      </c>
      <c r="AO127" s="245">
        <f t="array" ref="AO127">SUM(IF((modeldata!$F:$F=calibration!$AF$106)*(modeldata!$G:$G=calibration!AO$108)*(modeldata!$H:$H=calibration!$AF127),modeldata!$E:$E,0))</f>
        <v>0</v>
      </c>
      <c r="AP127" s="245">
        <f t="array" ref="AP127">SUM(IF((modeldata!$F:$F=calibration!$AF$106)*(modeldata!$G:$G=calibration!AP$108)*(modeldata!$H:$H=calibration!$AF127),modeldata!$E:$E,0))</f>
        <v>0</v>
      </c>
      <c r="AQ127" s="245">
        <f t="array" ref="AQ127">SUM(IF((modeldata!$F:$F=calibration!$AF$106)*(modeldata!$G:$G=calibration!AQ$108)*(modeldata!$H:$H=calibration!$AF127),modeldata!$E:$E,0))</f>
        <v>0</v>
      </c>
      <c r="AR127" s="178">
        <f t="shared" si="871"/>
        <v>0</v>
      </c>
      <c r="AS127" s="17">
        <f t="shared" si="724"/>
        <v>0</v>
      </c>
      <c r="AU127" s="2" t="s">
        <v>88</v>
      </c>
      <c r="AV127" s="38">
        <f t="shared" ref="AV127:BG127" si="874">IF(R129&gt;0,R127/R129,0)</f>
        <v>0</v>
      </c>
      <c r="AW127" s="245">
        <f t="shared" si="874"/>
        <v>0</v>
      </c>
      <c r="AX127" s="245">
        <f t="shared" si="874"/>
        <v>0</v>
      </c>
      <c r="AY127" s="245">
        <f t="shared" si="874"/>
        <v>0</v>
      </c>
      <c r="AZ127" s="245">
        <f t="shared" si="874"/>
        <v>0</v>
      </c>
      <c r="BA127" s="245">
        <f t="shared" si="874"/>
        <v>0</v>
      </c>
      <c r="BB127" s="245">
        <f t="shared" si="874"/>
        <v>0</v>
      </c>
      <c r="BC127" s="246">
        <f t="shared" si="874"/>
        <v>0</v>
      </c>
      <c r="BD127" s="245">
        <f t="shared" si="874"/>
        <v>0</v>
      </c>
      <c r="BE127" s="245">
        <f t="shared" si="874"/>
        <v>0</v>
      </c>
      <c r="BF127" s="245">
        <f t="shared" si="874"/>
        <v>0</v>
      </c>
      <c r="BG127" s="178">
        <f t="shared" si="874"/>
        <v>0</v>
      </c>
      <c r="BH127" s="24" t="e">
        <f>AD127/AD129</f>
        <v>#DIV/0!</v>
      </c>
      <c r="BJ127" s="2" t="s">
        <v>88</v>
      </c>
      <c r="BK127" s="38">
        <f t="shared" ref="BK127:BV127" si="875">IF(AG129&gt;0,AG127/AG129,0)</f>
        <v>0</v>
      </c>
      <c r="BL127" s="245">
        <f t="shared" si="875"/>
        <v>0</v>
      </c>
      <c r="BM127" s="245">
        <f t="shared" si="875"/>
        <v>0</v>
      </c>
      <c r="BN127" s="245">
        <f t="shared" si="875"/>
        <v>0</v>
      </c>
      <c r="BO127" s="245">
        <f t="shared" si="875"/>
        <v>0</v>
      </c>
      <c r="BP127" s="245">
        <f t="shared" si="875"/>
        <v>0</v>
      </c>
      <c r="BQ127" s="245">
        <f t="shared" si="875"/>
        <v>0</v>
      </c>
      <c r="BR127" s="246">
        <f t="shared" si="875"/>
        <v>0</v>
      </c>
      <c r="BS127" s="245">
        <f t="shared" si="875"/>
        <v>0</v>
      </c>
      <c r="BT127" s="245">
        <f t="shared" si="875"/>
        <v>0</v>
      </c>
      <c r="BU127" s="245">
        <f t="shared" si="875"/>
        <v>0</v>
      </c>
      <c r="BV127" s="178">
        <f t="shared" si="875"/>
        <v>0</v>
      </c>
      <c r="BW127" s="24" t="e">
        <f>AS127/AS129</f>
        <v>#DIV/0!</v>
      </c>
      <c r="BX127" s="24"/>
      <c r="BY127" s="2" t="s">
        <v>88</v>
      </c>
      <c r="BZ127" s="54">
        <f t="shared" si="756"/>
        <v>0</v>
      </c>
      <c r="CA127" s="55">
        <f t="shared" si="727"/>
        <v>0</v>
      </c>
      <c r="CB127" s="55">
        <f t="shared" si="728"/>
        <v>0</v>
      </c>
      <c r="CC127" s="55">
        <f t="shared" si="729"/>
        <v>0</v>
      </c>
      <c r="CD127" s="55">
        <f t="shared" si="730"/>
        <v>0</v>
      </c>
      <c r="CE127" s="55">
        <f t="shared" si="731"/>
        <v>0</v>
      </c>
      <c r="CF127" s="55">
        <f t="shared" si="732"/>
        <v>0</v>
      </c>
      <c r="CG127" s="249">
        <f>AN127-Y127</f>
        <v>0</v>
      </c>
      <c r="CH127" s="55">
        <f t="shared" si="734"/>
        <v>0</v>
      </c>
      <c r="CI127" s="55">
        <f t="shared" si="735"/>
        <v>0</v>
      </c>
      <c r="CJ127" s="55">
        <f t="shared" si="736"/>
        <v>0</v>
      </c>
      <c r="CK127" s="252">
        <f t="shared" si="736"/>
        <v>0</v>
      </c>
      <c r="CL127" s="55">
        <f t="shared" si="737"/>
        <v>0</v>
      </c>
      <c r="CN127" s="2" t="s">
        <v>88</v>
      </c>
      <c r="CO127" s="54">
        <f t="shared" si="757"/>
        <v>0</v>
      </c>
      <c r="CP127" s="55">
        <f t="shared" si="738"/>
        <v>0</v>
      </c>
      <c r="CQ127" s="55">
        <f t="shared" si="739"/>
        <v>0</v>
      </c>
      <c r="CR127" s="55">
        <f t="shared" si="740"/>
        <v>0</v>
      </c>
      <c r="CS127" s="55">
        <f t="shared" si="741"/>
        <v>0</v>
      </c>
      <c r="CT127" s="55">
        <f t="shared" si="742"/>
        <v>0</v>
      </c>
      <c r="CU127" s="55">
        <f t="shared" si="743"/>
        <v>0</v>
      </c>
      <c r="CV127" s="249">
        <f t="shared" si="744"/>
        <v>0</v>
      </c>
      <c r="CW127" s="55">
        <f t="shared" si="745"/>
        <v>0</v>
      </c>
      <c r="CX127" s="55">
        <f t="shared" si="746"/>
        <v>0</v>
      </c>
      <c r="CY127" s="55">
        <f t="shared" si="747"/>
        <v>0</v>
      </c>
      <c r="CZ127" s="252">
        <f t="shared" si="747"/>
        <v>0</v>
      </c>
      <c r="DA127" s="62" t="e">
        <f t="shared" si="748"/>
        <v>#DIV/0!</v>
      </c>
      <c r="DC127" s="2" t="s">
        <v>88</v>
      </c>
      <c r="DD127" s="198">
        <f t="shared" si="758"/>
        <v>0</v>
      </c>
      <c r="DE127" s="199">
        <f t="shared" si="759"/>
        <v>0</v>
      </c>
      <c r="DF127" s="198">
        <f t="shared" si="760"/>
        <v>0</v>
      </c>
      <c r="DG127" s="199">
        <f t="shared" si="761"/>
        <v>0</v>
      </c>
      <c r="DH127" s="198">
        <f t="shared" si="762"/>
        <v>0</v>
      </c>
      <c r="DI127" s="199">
        <f t="shared" si="763"/>
        <v>0</v>
      </c>
      <c r="DJ127" s="198">
        <f t="shared" si="764"/>
        <v>0</v>
      </c>
      <c r="DK127" s="199">
        <f t="shared" si="765"/>
        <v>0</v>
      </c>
      <c r="DL127" s="198">
        <f t="shared" si="766"/>
        <v>0</v>
      </c>
      <c r="DM127" s="199">
        <f t="shared" si="767"/>
        <v>0</v>
      </c>
      <c r="DN127" s="198">
        <f t="shared" si="768"/>
        <v>0</v>
      </c>
      <c r="DO127" s="199">
        <f t="shared" si="769"/>
        <v>0</v>
      </c>
      <c r="DP127" s="198">
        <f t="shared" si="770"/>
        <v>0</v>
      </c>
      <c r="DQ127" s="199">
        <f t="shared" si="771"/>
        <v>0</v>
      </c>
      <c r="DR127" s="198">
        <f t="shared" si="772"/>
        <v>0</v>
      </c>
      <c r="DS127" s="199">
        <f t="shared" si="773"/>
        <v>0</v>
      </c>
      <c r="DT127" s="198">
        <f t="shared" si="774"/>
        <v>0</v>
      </c>
      <c r="DU127" s="199">
        <f t="shared" si="775"/>
        <v>0</v>
      </c>
      <c r="DV127" s="198">
        <f t="shared" si="776"/>
        <v>0</v>
      </c>
      <c r="DW127" s="199">
        <f t="shared" si="777"/>
        <v>0</v>
      </c>
      <c r="DX127" s="198">
        <f t="shared" si="778"/>
        <v>0</v>
      </c>
      <c r="DY127" s="199">
        <f t="shared" si="779"/>
        <v>0</v>
      </c>
      <c r="DZ127" s="190">
        <f t="shared" si="780"/>
        <v>0</v>
      </c>
      <c r="EA127" s="199">
        <f t="shared" si="749"/>
        <v>0</v>
      </c>
      <c r="EB127" s="190" t="e">
        <f t="shared" si="781"/>
        <v>#DIV/0!</v>
      </c>
      <c r="EC127" s="190" t="e">
        <f t="shared" si="782"/>
        <v>#DIV/0!</v>
      </c>
    </row>
    <row r="128" spans="1:133" x14ac:dyDescent="0.2">
      <c r="A128" s="2" t="s">
        <v>89</v>
      </c>
      <c r="B128" s="42">
        <f>targets!AW121</f>
        <v>0</v>
      </c>
      <c r="C128" s="43">
        <f>targets!AX121</f>
        <v>0</v>
      </c>
      <c r="D128" s="43">
        <f>targets!AY121</f>
        <v>0</v>
      </c>
      <c r="E128" s="43">
        <f>targets!AZ121</f>
        <v>0</v>
      </c>
      <c r="F128" s="43">
        <f>targets!BA121</f>
        <v>0</v>
      </c>
      <c r="G128" s="43">
        <f>SUM(targets!BB121:BG121)</f>
        <v>77.622921887567998</v>
      </c>
      <c r="H128" s="43">
        <f>SUM(targets!BH121:BM121)</f>
        <v>0</v>
      </c>
      <c r="I128" s="75">
        <f t="shared" si="750"/>
        <v>77.622921887567998</v>
      </c>
      <c r="J128" s="43">
        <f>targets!BN121</f>
        <v>0</v>
      </c>
      <c r="K128" s="43">
        <f>targets!BO121</f>
        <v>0</v>
      </c>
      <c r="L128" s="43">
        <f>targets!BP121</f>
        <v>1128.9429237148406</v>
      </c>
      <c r="M128" s="247">
        <f t="shared" si="751"/>
        <v>1128.9429237148406</v>
      </c>
      <c r="N128" s="17">
        <f t="shared" si="712"/>
        <v>1206.5658456024087</v>
      </c>
      <c r="O128" s="17"/>
      <c r="P128" s="17"/>
      <c r="Q128" s="2" t="s">
        <v>89</v>
      </c>
      <c r="R128" s="42">
        <f t="shared" si="713"/>
        <v>0</v>
      </c>
      <c r="S128" s="43">
        <f t="shared" si="714"/>
        <v>0</v>
      </c>
      <c r="T128" s="43">
        <f t="shared" si="715"/>
        <v>0</v>
      </c>
      <c r="U128" s="43">
        <f t="shared" si="716"/>
        <v>0</v>
      </c>
      <c r="V128" s="43">
        <f t="shared" si="717"/>
        <v>0</v>
      </c>
      <c r="W128" s="43">
        <f t="shared" si="718"/>
        <v>0</v>
      </c>
      <c r="X128" s="43">
        <f t="shared" si="719"/>
        <v>0</v>
      </c>
      <c r="Y128" s="75">
        <f t="shared" si="752"/>
        <v>0</v>
      </c>
      <c r="Z128" s="43">
        <f t="shared" si="720"/>
        <v>0</v>
      </c>
      <c r="AA128" s="43">
        <f t="shared" si="721"/>
        <v>0</v>
      </c>
      <c r="AB128" s="43">
        <f t="shared" si="722"/>
        <v>0</v>
      </c>
      <c r="AC128" s="247">
        <f t="shared" si="783"/>
        <v>0</v>
      </c>
      <c r="AD128" s="17">
        <f t="shared" si="723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53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7">
        <f t="shared" si="871"/>
        <v>0</v>
      </c>
      <c r="AS128" s="17">
        <f t="shared" si="724"/>
        <v>0</v>
      </c>
      <c r="AU128" s="2" t="s">
        <v>89</v>
      </c>
      <c r="AV128" s="42">
        <f t="shared" ref="AV128:BG128" si="876">IF(R129&gt;0,R128/R129,0)</f>
        <v>0</v>
      </c>
      <c r="AW128" s="43">
        <f t="shared" si="876"/>
        <v>0</v>
      </c>
      <c r="AX128" s="43">
        <f t="shared" si="876"/>
        <v>0</v>
      </c>
      <c r="AY128" s="43">
        <f t="shared" si="876"/>
        <v>0</v>
      </c>
      <c r="AZ128" s="43">
        <f t="shared" si="876"/>
        <v>0</v>
      </c>
      <c r="BA128" s="43">
        <f t="shared" si="876"/>
        <v>0</v>
      </c>
      <c r="BB128" s="43">
        <f t="shared" si="876"/>
        <v>0</v>
      </c>
      <c r="BC128" s="75">
        <f t="shared" si="876"/>
        <v>0</v>
      </c>
      <c r="BD128" s="43">
        <f t="shared" si="876"/>
        <v>0</v>
      </c>
      <c r="BE128" s="43">
        <f t="shared" si="876"/>
        <v>0</v>
      </c>
      <c r="BF128" s="43">
        <f t="shared" si="876"/>
        <v>0</v>
      </c>
      <c r="BG128" s="247">
        <f t="shared" si="876"/>
        <v>0</v>
      </c>
      <c r="BH128" s="24" t="e">
        <f>AD128/AD129</f>
        <v>#DIV/0!</v>
      </c>
      <c r="BJ128" s="2" t="s">
        <v>89</v>
      </c>
      <c r="BK128" s="42">
        <f t="shared" ref="BK128:BV128" si="877">IF(AG129&gt;0,AG128/AG129,0)</f>
        <v>0</v>
      </c>
      <c r="BL128" s="43">
        <f t="shared" si="877"/>
        <v>0</v>
      </c>
      <c r="BM128" s="43">
        <f t="shared" si="877"/>
        <v>0</v>
      </c>
      <c r="BN128" s="43">
        <f t="shared" si="877"/>
        <v>0</v>
      </c>
      <c r="BO128" s="43">
        <f t="shared" si="877"/>
        <v>0</v>
      </c>
      <c r="BP128" s="43">
        <f t="shared" si="877"/>
        <v>0</v>
      </c>
      <c r="BQ128" s="43">
        <f t="shared" si="877"/>
        <v>0</v>
      </c>
      <c r="BR128" s="75">
        <f t="shared" si="877"/>
        <v>0</v>
      </c>
      <c r="BS128" s="43">
        <f t="shared" si="877"/>
        <v>0</v>
      </c>
      <c r="BT128" s="43">
        <f t="shared" si="877"/>
        <v>0</v>
      </c>
      <c r="BU128" s="43">
        <f t="shared" si="877"/>
        <v>0</v>
      </c>
      <c r="BV128" s="247">
        <f t="shared" si="877"/>
        <v>0</v>
      </c>
      <c r="BW128" s="24" t="e">
        <f>AS128/AS129</f>
        <v>#DIV/0!</v>
      </c>
      <c r="BX128" s="24"/>
      <c r="BY128" s="2" t="s">
        <v>89</v>
      </c>
      <c r="BZ128" s="56">
        <f t="shared" si="756"/>
        <v>0</v>
      </c>
      <c r="CA128" s="57">
        <f t="shared" si="727"/>
        <v>0</v>
      </c>
      <c r="CB128" s="57">
        <f t="shared" si="728"/>
        <v>0</v>
      </c>
      <c r="CC128" s="57">
        <f t="shared" si="729"/>
        <v>0</v>
      </c>
      <c r="CD128" s="57">
        <f t="shared" si="730"/>
        <v>0</v>
      </c>
      <c r="CE128" s="57">
        <f t="shared" si="731"/>
        <v>0</v>
      </c>
      <c r="CF128" s="57">
        <f t="shared" si="732"/>
        <v>0</v>
      </c>
      <c r="CG128" s="250">
        <f>AN128-Y128</f>
        <v>0</v>
      </c>
      <c r="CH128" s="57">
        <f t="shared" si="734"/>
        <v>0</v>
      </c>
      <c r="CI128" s="57">
        <f t="shared" si="735"/>
        <v>0</v>
      </c>
      <c r="CJ128" s="57">
        <f t="shared" si="736"/>
        <v>0</v>
      </c>
      <c r="CK128" s="253">
        <f t="shared" si="736"/>
        <v>0</v>
      </c>
      <c r="CL128" s="55">
        <f t="shared" si="737"/>
        <v>0</v>
      </c>
      <c r="CN128" s="2" t="s">
        <v>89</v>
      </c>
      <c r="CO128" s="56">
        <f t="shared" si="757"/>
        <v>0</v>
      </c>
      <c r="CP128" s="57">
        <f t="shared" si="738"/>
        <v>0</v>
      </c>
      <c r="CQ128" s="57">
        <f t="shared" si="739"/>
        <v>0</v>
      </c>
      <c r="CR128" s="57">
        <f t="shared" si="740"/>
        <v>0</v>
      </c>
      <c r="CS128" s="57">
        <f t="shared" si="741"/>
        <v>0</v>
      </c>
      <c r="CT128" s="57">
        <f t="shared" si="742"/>
        <v>0</v>
      </c>
      <c r="CU128" s="57">
        <f t="shared" si="743"/>
        <v>0</v>
      </c>
      <c r="CV128" s="250">
        <f t="shared" si="744"/>
        <v>0</v>
      </c>
      <c r="CW128" s="57">
        <f t="shared" si="745"/>
        <v>0</v>
      </c>
      <c r="CX128" s="57">
        <f t="shared" si="746"/>
        <v>0</v>
      </c>
      <c r="CY128" s="57">
        <f t="shared" si="747"/>
        <v>0</v>
      </c>
      <c r="CZ128" s="253">
        <f t="shared" si="747"/>
        <v>0</v>
      </c>
      <c r="DA128" s="62" t="e">
        <f t="shared" si="748"/>
        <v>#DIV/0!</v>
      </c>
      <c r="DC128" s="2" t="s">
        <v>89</v>
      </c>
      <c r="DD128" s="200">
        <f t="shared" si="758"/>
        <v>0</v>
      </c>
      <c r="DE128" s="201">
        <f t="shared" si="759"/>
        <v>0</v>
      </c>
      <c r="DF128" s="200">
        <f t="shared" si="760"/>
        <v>0</v>
      </c>
      <c r="DG128" s="201">
        <f t="shared" si="761"/>
        <v>0</v>
      </c>
      <c r="DH128" s="200">
        <f t="shared" si="762"/>
        <v>0</v>
      </c>
      <c r="DI128" s="201">
        <f t="shared" si="763"/>
        <v>0</v>
      </c>
      <c r="DJ128" s="200">
        <f t="shared" si="764"/>
        <v>0</v>
      </c>
      <c r="DK128" s="201">
        <f t="shared" si="765"/>
        <v>0</v>
      </c>
      <c r="DL128" s="200">
        <f t="shared" si="766"/>
        <v>0</v>
      </c>
      <c r="DM128" s="201">
        <f t="shared" si="767"/>
        <v>0</v>
      </c>
      <c r="DN128" s="200">
        <f t="shared" si="768"/>
        <v>0</v>
      </c>
      <c r="DO128" s="201">
        <f t="shared" si="769"/>
        <v>0</v>
      </c>
      <c r="DP128" s="200">
        <f t="shared" si="770"/>
        <v>0</v>
      </c>
      <c r="DQ128" s="201">
        <f t="shared" si="771"/>
        <v>0</v>
      </c>
      <c r="DR128" s="200">
        <f t="shared" si="772"/>
        <v>0</v>
      </c>
      <c r="DS128" s="201">
        <f t="shared" si="773"/>
        <v>0</v>
      </c>
      <c r="DT128" s="200">
        <f t="shared" si="774"/>
        <v>0</v>
      </c>
      <c r="DU128" s="201">
        <f t="shared" si="775"/>
        <v>0</v>
      </c>
      <c r="DV128" s="200">
        <f t="shared" si="776"/>
        <v>0</v>
      </c>
      <c r="DW128" s="201">
        <f t="shared" si="777"/>
        <v>0</v>
      </c>
      <c r="DX128" s="200">
        <f t="shared" si="778"/>
        <v>0</v>
      </c>
      <c r="DY128" s="201">
        <f t="shared" si="779"/>
        <v>0</v>
      </c>
      <c r="DZ128" s="202">
        <f t="shared" si="780"/>
        <v>0</v>
      </c>
      <c r="EA128" s="201">
        <f t="shared" si="749"/>
        <v>0</v>
      </c>
      <c r="EB128" s="190" t="e">
        <f t="shared" si="781"/>
        <v>#DIV/0!</v>
      </c>
      <c r="EC128" s="190" t="e">
        <f t="shared" si="782"/>
        <v>#DIV/0!</v>
      </c>
    </row>
    <row r="129" spans="1:133" x14ac:dyDescent="0.2">
      <c r="A129" s="65" t="s">
        <v>54</v>
      </c>
      <c r="B129" s="17">
        <f t="shared" ref="B129:M129" si="878">SUM(B109:B128)</f>
        <v>1901252.2619087403</v>
      </c>
      <c r="C129" s="17">
        <f t="shared" si="878"/>
        <v>1452239.1460803556</v>
      </c>
      <c r="D129" s="17">
        <f t="shared" si="878"/>
        <v>865906.23967880639</v>
      </c>
      <c r="E129" s="17">
        <f t="shared" si="878"/>
        <v>1901262.3526099424</v>
      </c>
      <c r="F129" s="17">
        <f t="shared" si="878"/>
        <v>169315.07869984649</v>
      </c>
      <c r="G129" s="17">
        <f t="shared" si="878"/>
        <v>329717.05568660668</v>
      </c>
      <c r="H129" s="17">
        <f t="shared" si="878"/>
        <v>31800.496270063915</v>
      </c>
      <c r="I129" s="17">
        <f t="shared" si="878"/>
        <v>361517.55195667071</v>
      </c>
      <c r="J129" s="17">
        <f t="shared" si="878"/>
        <v>5371.833849376053</v>
      </c>
      <c r="K129" s="17">
        <f t="shared" si="878"/>
        <v>26017.607950261241</v>
      </c>
      <c r="L129" s="17">
        <f t="shared" si="878"/>
        <v>2385.9368250643088</v>
      </c>
      <c r="M129" s="17">
        <f t="shared" si="878"/>
        <v>33775.378624701611</v>
      </c>
      <c r="N129" s="17">
        <f t="shared" si="712"/>
        <v>6685268.0095590642</v>
      </c>
      <c r="O129" s="17"/>
      <c r="P129" s="17"/>
      <c r="Q129" s="65" t="s">
        <v>54</v>
      </c>
      <c r="R129" s="17">
        <f t="shared" ref="R129:AC129" si="879">SUM(R109:R128)</f>
        <v>0</v>
      </c>
      <c r="S129" s="17">
        <f t="shared" si="879"/>
        <v>0</v>
      </c>
      <c r="T129" s="17">
        <f t="shared" si="879"/>
        <v>0</v>
      </c>
      <c r="U129" s="17">
        <f t="shared" si="879"/>
        <v>0</v>
      </c>
      <c r="V129" s="17">
        <f t="shared" si="879"/>
        <v>0</v>
      </c>
      <c r="W129" s="17">
        <f t="shared" si="879"/>
        <v>0</v>
      </c>
      <c r="X129" s="17">
        <f t="shared" si="879"/>
        <v>0</v>
      </c>
      <c r="Y129" s="17">
        <f t="shared" si="879"/>
        <v>0</v>
      </c>
      <c r="Z129" s="17">
        <f t="shared" si="879"/>
        <v>0</v>
      </c>
      <c r="AA129" s="17">
        <f t="shared" si="879"/>
        <v>0</v>
      </c>
      <c r="AB129" s="17">
        <f t="shared" si="879"/>
        <v>0</v>
      </c>
      <c r="AC129" s="17">
        <f t="shared" si="879"/>
        <v>0</v>
      </c>
      <c r="AD129" s="17">
        <f t="shared" si="723"/>
        <v>0</v>
      </c>
      <c r="AF129" s="65" t="s">
        <v>54</v>
      </c>
      <c r="AG129" s="17">
        <f t="shared" ref="AG129:AR129" si="880">SUM(AG109:AG128)</f>
        <v>0</v>
      </c>
      <c r="AH129" s="17">
        <f t="shared" si="880"/>
        <v>0</v>
      </c>
      <c r="AI129" s="17">
        <f t="shared" si="880"/>
        <v>0</v>
      </c>
      <c r="AJ129" s="17">
        <f t="shared" si="880"/>
        <v>0</v>
      </c>
      <c r="AK129" s="17">
        <f t="shared" si="880"/>
        <v>0</v>
      </c>
      <c r="AL129" s="17">
        <f t="shared" si="880"/>
        <v>0</v>
      </c>
      <c r="AM129" s="17">
        <f t="shared" si="880"/>
        <v>0</v>
      </c>
      <c r="AN129" s="17">
        <f t="shared" si="880"/>
        <v>0</v>
      </c>
      <c r="AO129" s="17">
        <f t="shared" si="880"/>
        <v>0</v>
      </c>
      <c r="AP129" s="17">
        <f t="shared" si="880"/>
        <v>0</v>
      </c>
      <c r="AQ129" s="17">
        <f t="shared" si="880"/>
        <v>0</v>
      </c>
      <c r="AR129" s="17">
        <f t="shared" si="880"/>
        <v>0</v>
      </c>
      <c r="AS129" s="17">
        <f t="shared" si="724"/>
        <v>0</v>
      </c>
      <c r="AU129" s="65" t="s">
        <v>54</v>
      </c>
      <c r="AV129" s="17">
        <f t="shared" ref="AV129:BH129" si="881">SUM(AV109:AV128)</f>
        <v>0</v>
      </c>
      <c r="AW129" s="17">
        <f t="shared" si="881"/>
        <v>0</v>
      </c>
      <c r="AX129" s="17">
        <f t="shared" si="881"/>
        <v>0</v>
      </c>
      <c r="AY129" s="17">
        <f t="shared" si="881"/>
        <v>0</v>
      </c>
      <c r="AZ129" s="17">
        <f t="shared" si="881"/>
        <v>0</v>
      </c>
      <c r="BA129" s="17">
        <f t="shared" si="881"/>
        <v>0</v>
      </c>
      <c r="BB129" s="17">
        <f t="shared" si="881"/>
        <v>0</v>
      </c>
      <c r="BC129" s="17">
        <f t="shared" si="881"/>
        <v>0</v>
      </c>
      <c r="BD129" s="17">
        <f t="shared" si="881"/>
        <v>0</v>
      </c>
      <c r="BE129" s="17">
        <f t="shared" si="881"/>
        <v>0</v>
      </c>
      <c r="BF129" s="17">
        <f t="shared" si="881"/>
        <v>0</v>
      </c>
      <c r="BG129" s="17">
        <f t="shared" si="881"/>
        <v>0</v>
      </c>
      <c r="BH129" s="24" t="e">
        <f t="shared" si="881"/>
        <v>#DIV/0!</v>
      </c>
      <c r="BJ129" s="65" t="s">
        <v>54</v>
      </c>
      <c r="BK129" s="24">
        <f t="shared" ref="BK129:BW129" si="882">SUM(BK109:BK128)</f>
        <v>0</v>
      </c>
      <c r="BL129" s="24">
        <f t="shared" si="882"/>
        <v>0</v>
      </c>
      <c r="BM129" s="24">
        <f t="shared" si="882"/>
        <v>0</v>
      </c>
      <c r="BN129" s="24">
        <f t="shared" si="882"/>
        <v>0</v>
      </c>
      <c r="BO129" s="24">
        <f t="shared" si="882"/>
        <v>0</v>
      </c>
      <c r="BP129" s="24">
        <f t="shared" si="882"/>
        <v>0</v>
      </c>
      <c r="BQ129" s="24">
        <f t="shared" si="882"/>
        <v>0</v>
      </c>
      <c r="BR129" s="24">
        <f t="shared" si="882"/>
        <v>0</v>
      </c>
      <c r="BS129" s="24">
        <f t="shared" si="882"/>
        <v>0</v>
      </c>
      <c r="BT129" s="24">
        <f t="shared" si="882"/>
        <v>0</v>
      </c>
      <c r="BU129" s="24">
        <f t="shared" si="882"/>
        <v>0</v>
      </c>
      <c r="BV129" s="24">
        <f t="shared" si="882"/>
        <v>0</v>
      </c>
      <c r="BW129" s="24" t="e">
        <f t="shared" si="882"/>
        <v>#DIV/0!</v>
      </c>
      <c r="BX129" s="24"/>
      <c r="BY129" s="65" t="s">
        <v>54</v>
      </c>
      <c r="BZ129" s="55">
        <f t="shared" si="756"/>
        <v>0</v>
      </c>
      <c r="CA129" s="55">
        <f t="shared" si="727"/>
        <v>0</v>
      </c>
      <c r="CB129" s="55">
        <f t="shared" si="728"/>
        <v>0</v>
      </c>
      <c r="CC129" s="55">
        <f t="shared" si="729"/>
        <v>0</v>
      </c>
      <c r="CD129" s="55">
        <f t="shared" si="730"/>
        <v>0</v>
      </c>
      <c r="CE129" s="55">
        <f t="shared" si="731"/>
        <v>0</v>
      </c>
      <c r="CF129" s="55">
        <f t="shared" si="732"/>
        <v>0</v>
      </c>
      <c r="CG129" s="55">
        <f>AN129-Y129</f>
        <v>0</v>
      </c>
      <c r="CH129" s="55">
        <f t="shared" si="734"/>
        <v>0</v>
      </c>
      <c r="CI129" s="55">
        <f t="shared" si="735"/>
        <v>0</v>
      </c>
      <c r="CJ129" s="55">
        <f t="shared" si="736"/>
        <v>0</v>
      </c>
      <c r="CK129" s="55">
        <f t="shared" si="736"/>
        <v>0</v>
      </c>
      <c r="CL129" s="55">
        <f t="shared" si="737"/>
        <v>0</v>
      </c>
      <c r="CN129" s="65" t="s">
        <v>54</v>
      </c>
      <c r="CO129" s="55">
        <f t="shared" si="757"/>
        <v>0</v>
      </c>
      <c r="CP129" s="55">
        <f t="shared" si="738"/>
        <v>0</v>
      </c>
      <c r="CQ129" s="55">
        <f t="shared" si="739"/>
        <v>0</v>
      </c>
      <c r="CR129" s="55">
        <f t="shared" si="740"/>
        <v>0</v>
      </c>
      <c r="CS129" s="55">
        <f t="shared" si="741"/>
        <v>0</v>
      </c>
      <c r="CT129" s="55">
        <f t="shared" si="742"/>
        <v>0</v>
      </c>
      <c r="CU129" s="55">
        <f t="shared" si="743"/>
        <v>0</v>
      </c>
      <c r="CV129" s="55">
        <f t="shared" si="744"/>
        <v>0</v>
      </c>
      <c r="CW129" s="55">
        <f t="shared" si="745"/>
        <v>0</v>
      </c>
      <c r="CX129" s="55">
        <f t="shared" si="746"/>
        <v>0</v>
      </c>
      <c r="CY129" s="55">
        <f t="shared" si="747"/>
        <v>0</v>
      </c>
      <c r="CZ129" s="55">
        <f t="shared" si="747"/>
        <v>0</v>
      </c>
      <c r="DA129" s="62" t="e">
        <f t="shared" si="748"/>
        <v>#DIV/0!</v>
      </c>
      <c r="DC129" s="65" t="s">
        <v>54</v>
      </c>
      <c r="DD129" s="190">
        <f t="shared" ref="DD129:EC129" si="883">SUM(DD109:DD128)</f>
        <v>0</v>
      </c>
      <c r="DE129" s="190">
        <f t="shared" si="883"/>
        <v>0</v>
      </c>
      <c r="DF129" s="190">
        <f t="shared" si="883"/>
        <v>0</v>
      </c>
      <c r="DG129" s="190">
        <f t="shared" si="883"/>
        <v>0</v>
      </c>
      <c r="DH129" s="190">
        <f t="shared" si="883"/>
        <v>0</v>
      </c>
      <c r="DI129" s="190">
        <f t="shared" si="883"/>
        <v>0</v>
      </c>
      <c r="DJ129" s="190">
        <f t="shared" si="883"/>
        <v>0</v>
      </c>
      <c r="DK129" s="190">
        <f t="shared" si="883"/>
        <v>0</v>
      </c>
      <c r="DL129" s="190">
        <f t="shared" si="883"/>
        <v>0</v>
      </c>
      <c r="DM129" s="190">
        <f t="shared" si="883"/>
        <v>0</v>
      </c>
      <c r="DN129" s="190">
        <f t="shared" si="883"/>
        <v>0</v>
      </c>
      <c r="DO129" s="190">
        <f t="shared" si="883"/>
        <v>0</v>
      </c>
      <c r="DP129" s="190">
        <f t="shared" si="883"/>
        <v>0</v>
      </c>
      <c r="DQ129" s="190">
        <f t="shared" si="883"/>
        <v>0</v>
      </c>
      <c r="DR129" s="190">
        <f t="shared" si="883"/>
        <v>0</v>
      </c>
      <c r="DS129" s="190">
        <f t="shared" si="883"/>
        <v>0</v>
      </c>
      <c r="DT129" s="190">
        <f t="shared" si="883"/>
        <v>0</v>
      </c>
      <c r="DU129" s="190">
        <f t="shared" si="883"/>
        <v>0</v>
      </c>
      <c r="DV129" s="190">
        <f t="shared" si="883"/>
        <v>0</v>
      </c>
      <c r="DW129" s="190">
        <f t="shared" si="883"/>
        <v>0</v>
      </c>
      <c r="DX129" s="190">
        <f t="shared" si="883"/>
        <v>0</v>
      </c>
      <c r="DY129" s="190">
        <f t="shared" si="883"/>
        <v>0</v>
      </c>
      <c r="DZ129" s="190">
        <f t="shared" si="883"/>
        <v>0</v>
      </c>
      <c r="EA129" s="190">
        <f t="shared" si="883"/>
        <v>0</v>
      </c>
      <c r="EB129" s="190" t="e">
        <f t="shared" si="883"/>
        <v>#DIV/0!</v>
      </c>
      <c r="EC129" s="190" t="e">
        <f t="shared" si="883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targets!AW126</f>
        <v>354706.19822595961</v>
      </c>
      <c r="C135" s="37">
        <f>targets!AX126</f>
        <v>13225.386567762547</v>
      </c>
      <c r="D135" s="37">
        <f>targets!AY126</f>
        <v>2658.587833613205</v>
      </c>
      <c r="E135" s="37">
        <f>targets!AZ126</f>
        <v>0</v>
      </c>
      <c r="F135" s="37">
        <f>targets!BA126</f>
        <v>0</v>
      </c>
      <c r="G135" s="37">
        <f>SUM(targets!BB126:BG126)</f>
        <v>0</v>
      </c>
      <c r="H135" s="37">
        <f>SUM(targets!BH126:BM126)</f>
        <v>0</v>
      </c>
      <c r="I135" s="74">
        <f>SUM(G135:H135)</f>
        <v>0</v>
      </c>
      <c r="J135" s="37">
        <f>targets!BN126</f>
        <v>0</v>
      </c>
      <c r="K135" s="37">
        <f>targets!BO126</f>
        <v>0</v>
      </c>
      <c r="L135" s="37">
        <f>targets!BP126</f>
        <v>0</v>
      </c>
      <c r="M135" s="177">
        <f>SUM(J135:L135)</f>
        <v>0</v>
      </c>
      <c r="N135" s="17">
        <f t="shared" ref="N135:N155" si="884">SUM(B135:L135)-I135</f>
        <v>370590.17262733536</v>
      </c>
      <c r="O135" s="17"/>
      <c r="P135" s="17"/>
      <c r="Q135" s="66" t="s">
        <v>4</v>
      </c>
      <c r="R135" s="36">
        <f t="shared" ref="R135:R154" si="885">B135*(AG$155/B$155)</f>
        <v>0</v>
      </c>
      <c r="S135" s="37">
        <f t="shared" ref="S135:S154" si="886">C135*(AH$155/C$155)</f>
        <v>0</v>
      </c>
      <c r="T135" s="37">
        <f t="shared" ref="T135:T154" si="887">D135*(AI$155/D$155)</f>
        <v>0</v>
      </c>
      <c r="U135" s="37">
        <f t="shared" ref="U135:U154" si="888">E135*(AJ$155/E$155)</f>
        <v>0</v>
      </c>
      <c r="V135" s="37">
        <f t="shared" ref="V135:V154" si="889">F135*(AK$155/F$155)</f>
        <v>0</v>
      </c>
      <c r="W135" s="37">
        <f t="shared" ref="W135:W154" si="890">G135*(AL$155/G$155)</f>
        <v>0</v>
      </c>
      <c r="X135" s="37">
        <f t="shared" ref="X135:X154" si="891">H135*(AM$155/H$155)</f>
        <v>0</v>
      </c>
      <c r="Y135" s="74">
        <f>SUM(W135:X135)</f>
        <v>0</v>
      </c>
      <c r="Z135" s="37">
        <f t="shared" ref="Z135:Z154" si="892">J135*(AO$155/J$155)</f>
        <v>0</v>
      </c>
      <c r="AA135" s="37">
        <f t="shared" ref="AA135:AA154" si="893">K135*(AP$155/K$155)</f>
        <v>0</v>
      </c>
      <c r="AB135" s="37">
        <f t="shared" ref="AB135:AB154" si="894">L135*(AQ$155/L$155)</f>
        <v>0</v>
      </c>
      <c r="AC135" s="177">
        <f>SUM(Z135:AB135)</f>
        <v>0</v>
      </c>
      <c r="AD135" s="17">
        <f t="shared" ref="AD135:AD155" si="895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6">SUM(AG135:AQ135)-AN135</f>
        <v>0</v>
      </c>
      <c r="AU135" s="66" t="s">
        <v>4</v>
      </c>
      <c r="AV135" s="36">
        <f t="shared" ref="AV135:BG135" si="897">IF(R155&gt;0,R135/R155,0)</f>
        <v>0</v>
      </c>
      <c r="AW135" s="37">
        <f t="shared" si="897"/>
        <v>0</v>
      </c>
      <c r="AX135" s="37">
        <f t="shared" si="897"/>
        <v>0</v>
      </c>
      <c r="AY135" s="37">
        <f t="shared" si="897"/>
        <v>0</v>
      </c>
      <c r="AZ135" s="37">
        <f t="shared" si="897"/>
        <v>0</v>
      </c>
      <c r="BA135" s="37">
        <f t="shared" si="897"/>
        <v>0</v>
      </c>
      <c r="BB135" s="37">
        <f t="shared" si="897"/>
        <v>0</v>
      </c>
      <c r="BC135" s="74">
        <f t="shared" si="897"/>
        <v>0</v>
      </c>
      <c r="BD135" s="37">
        <f t="shared" si="897"/>
        <v>0</v>
      </c>
      <c r="BE135" s="37">
        <f t="shared" si="897"/>
        <v>0</v>
      </c>
      <c r="BF135" s="37">
        <f t="shared" si="897"/>
        <v>0</v>
      </c>
      <c r="BG135" s="177">
        <f t="shared" si="897"/>
        <v>0</v>
      </c>
      <c r="BH135" s="24" t="e">
        <f>AD135/AD155</f>
        <v>#DIV/0!</v>
      </c>
      <c r="BJ135" s="66" t="s">
        <v>4</v>
      </c>
      <c r="BK135" s="36">
        <f t="shared" ref="BK135:BV135" si="898">IF(AG155&gt;0,AG135/AG155,0)</f>
        <v>0</v>
      </c>
      <c r="BL135" s="37">
        <f t="shared" si="898"/>
        <v>0</v>
      </c>
      <c r="BM135" s="37">
        <f t="shared" si="898"/>
        <v>0</v>
      </c>
      <c r="BN135" s="37">
        <f t="shared" si="898"/>
        <v>0</v>
      </c>
      <c r="BO135" s="37">
        <f t="shared" si="898"/>
        <v>0</v>
      </c>
      <c r="BP135" s="37">
        <f t="shared" si="898"/>
        <v>0</v>
      </c>
      <c r="BQ135" s="37">
        <f t="shared" si="898"/>
        <v>0</v>
      </c>
      <c r="BR135" s="74">
        <f t="shared" si="898"/>
        <v>0</v>
      </c>
      <c r="BS135" s="37">
        <f t="shared" si="898"/>
        <v>0</v>
      </c>
      <c r="BT135" s="37">
        <f t="shared" si="898"/>
        <v>0</v>
      </c>
      <c r="BU135" s="37">
        <f t="shared" si="898"/>
        <v>0</v>
      </c>
      <c r="BV135" s="177">
        <f t="shared" si="898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9">AH135-S135</f>
        <v>0</v>
      </c>
      <c r="CB135" s="53">
        <f t="shared" ref="CB135:CB155" si="900">AI135-T135</f>
        <v>0</v>
      </c>
      <c r="CC135" s="53">
        <f t="shared" ref="CC135:CC155" si="901">AJ135-U135</f>
        <v>0</v>
      </c>
      <c r="CD135" s="53">
        <f t="shared" ref="CD135:CD155" si="902">AK135-V135</f>
        <v>0</v>
      </c>
      <c r="CE135" s="53">
        <f t="shared" ref="CE135:CE155" si="903">AL135-W135</f>
        <v>0</v>
      </c>
      <c r="CF135" s="53">
        <f t="shared" ref="CF135:CF155" si="904">AM135-X135</f>
        <v>0</v>
      </c>
      <c r="CG135" s="248">
        <f t="shared" ref="CG135:CG150" si="905">AN135-Y135</f>
        <v>0</v>
      </c>
      <c r="CH135" s="53">
        <f t="shared" ref="CH135:CH155" si="906">AO135-Z135</f>
        <v>0</v>
      </c>
      <c r="CI135" s="53">
        <f t="shared" ref="CI135:CI155" si="907">AP135-AA135</f>
        <v>0</v>
      </c>
      <c r="CJ135" s="53">
        <f t="shared" ref="CJ135:CK155" si="908">AQ135-AB135</f>
        <v>0</v>
      </c>
      <c r="CK135" s="251">
        <f>AR135-AC135</f>
        <v>0</v>
      </c>
      <c r="CL135" s="55">
        <f t="shared" ref="CL135:CL155" si="909">AS135-AD135</f>
        <v>0</v>
      </c>
      <c r="CN135" s="66" t="s">
        <v>4</v>
      </c>
      <c r="CO135" s="58">
        <f>BK135-AV135</f>
        <v>0</v>
      </c>
      <c r="CP135" s="53">
        <f t="shared" ref="CP135:CP155" si="910">BL135-AW135</f>
        <v>0</v>
      </c>
      <c r="CQ135" s="53">
        <f t="shared" ref="CQ135:CQ155" si="911">BM135-AX135</f>
        <v>0</v>
      </c>
      <c r="CR135" s="53">
        <f t="shared" ref="CR135:CR155" si="912">BN135-AY135</f>
        <v>0</v>
      </c>
      <c r="CS135" s="53">
        <f t="shared" ref="CS135:CS155" si="913">BO135-AZ135</f>
        <v>0</v>
      </c>
      <c r="CT135" s="53">
        <f t="shared" ref="CT135:CT155" si="914">BP135-BA135</f>
        <v>0</v>
      </c>
      <c r="CU135" s="53">
        <f t="shared" ref="CU135:CU155" si="915">BQ135-BB135</f>
        <v>0</v>
      </c>
      <c r="CV135" s="248">
        <f t="shared" ref="CV135:CV155" si="916">BR135-BC135</f>
        <v>0</v>
      </c>
      <c r="CW135" s="53">
        <f t="shared" ref="CW135:CW155" si="917">BS135-BD135</f>
        <v>0</v>
      </c>
      <c r="CX135" s="53">
        <f t="shared" ref="CX135:CX155" si="918">BT135-BE135</f>
        <v>0</v>
      </c>
      <c r="CY135" s="53">
        <f t="shared" ref="CY135:CZ155" si="919">BU135-BF135</f>
        <v>0</v>
      </c>
      <c r="CZ135" s="251">
        <f>BV135-BG135</f>
        <v>0</v>
      </c>
      <c r="DA135" s="62" t="e">
        <f t="shared" ref="DA135:DA155" si="920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21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targets!AW127</f>
        <v>0</v>
      </c>
      <c r="C136" s="36">
        <f>targets!AX127</f>
        <v>147405.45292903139</v>
      </c>
      <c r="D136" s="245">
        <f>targets!AY127</f>
        <v>7595.3087842023224</v>
      </c>
      <c r="E136" s="245">
        <f>targets!AZ127</f>
        <v>0</v>
      </c>
      <c r="F136" s="245">
        <f>targets!BA127</f>
        <v>0</v>
      </c>
      <c r="G136" s="245">
        <f>SUM(targets!BB127:BG127)</f>
        <v>13.906316022051454</v>
      </c>
      <c r="H136" s="245">
        <f>SUM(targets!BH127:BM127)</f>
        <v>0</v>
      </c>
      <c r="I136" s="246">
        <f t="shared" ref="I136:I154" si="922">SUM(G136:H136)</f>
        <v>13.906316022051454</v>
      </c>
      <c r="J136" s="245">
        <f>targets!BN127</f>
        <v>0</v>
      </c>
      <c r="K136" s="245">
        <f>targets!BO127</f>
        <v>0</v>
      </c>
      <c r="L136" s="245">
        <f>targets!BP127</f>
        <v>0</v>
      </c>
      <c r="M136" s="178">
        <f t="shared" ref="M136:M154" si="923">SUM(J136:L136)</f>
        <v>0</v>
      </c>
      <c r="N136" s="17">
        <f t="shared" si="884"/>
        <v>155014.66802925576</v>
      </c>
      <c r="O136" s="17"/>
      <c r="P136" s="17"/>
      <c r="Q136" s="66" t="s">
        <v>41</v>
      </c>
      <c r="R136" s="38">
        <f t="shared" si="885"/>
        <v>0</v>
      </c>
      <c r="S136" s="36">
        <f t="shared" si="886"/>
        <v>0</v>
      </c>
      <c r="T136" s="245">
        <f t="shared" si="887"/>
        <v>0</v>
      </c>
      <c r="U136" s="245">
        <f t="shared" si="888"/>
        <v>0</v>
      </c>
      <c r="V136" s="245">
        <f t="shared" si="889"/>
        <v>0</v>
      </c>
      <c r="W136" s="245">
        <f t="shared" si="890"/>
        <v>0</v>
      </c>
      <c r="X136" s="245">
        <f t="shared" si="891"/>
        <v>0</v>
      </c>
      <c r="Y136" s="246">
        <f t="shared" ref="Y136:Y154" si="924">SUM(W136:X136)</f>
        <v>0</v>
      </c>
      <c r="Z136" s="245">
        <f t="shared" si="892"/>
        <v>0</v>
      </c>
      <c r="AA136" s="245">
        <f t="shared" si="893"/>
        <v>0</v>
      </c>
      <c r="AB136" s="245">
        <f t="shared" si="894"/>
        <v>0</v>
      </c>
      <c r="AC136" s="178">
        <f t="shared" ref="AC136:AC154" si="925">SUM(Z136:AB136)</f>
        <v>0</v>
      </c>
      <c r="AD136" s="17">
        <f t="shared" si="895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5">
        <f t="array" ref="AI136">SUM(IF((modeldata!$F:$F=calibration!$AF$132)*(modeldata!$G:$G=calibration!AI$134)*(modeldata!$H:$H=calibration!$AF136),modeldata!$E:$E,0))</f>
        <v>0</v>
      </c>
      <c r="AJ136" s="245">
        <f t="array" ref="AJ136">SUM(IF((modeldata!$F:$F=calibration!$AF$132)*(modeldata!$G:$G=calibration!AJ$134)*(modeldata!$H:$H=calibration!$AF136),modeldata!$E:$E,0))</f>
        <v>0</v>
      </c>
      <c r="AK136" s="245">
        <f t="array" ref="AK136">SUM(IF((modeldata!$F:$F=calibration!$AF$132)*(modeldata!$G:$G=calibration!AK$134)*(modeldata!$H:$H=calibration!$AF136),modeldata!$E:$E,0))</f>
        <v>0</v>
      </c>
      <c r="AL136" s="245">
        <f t="array" ref="AL136">SUM(IF((modeldata!$F:$F=calibration!$AF$132)*(modeldata!$G:$G=calibration!AL$134)*(modeldata!$H:$H=calibration!$AF136),modeldata!$E:$E,0))</f>
        <v>0</v>
      </c>
      <c r="AM136" s="245">
        <f t="array" ref="AM136">SUM(IF((modeldata!$F:$F=calibration!$AF$132)*(modeldata!$G:$G=calibration!AM$134)*(modeldata!$H:$H=calibration!$AF136),modeldata!$E:$E,0))</f>
        <v>0</v>
      </c>
      <c r="AN136" s="246">
        <f t="shared" ref="AN136:AN154" si="926">AL136+AM136</f>
        <v>0</v>
      </c>
      <c r="AO136" s="245">
        <f t="array" ref="AO136">SUM(IF((modeldata!$F:$F=calibration!$AF$132)*(modeldata!$G:$G=calibration!AO$134)*(modeldata!$H:$H=calibration!$AF136),modeldata!$E:$E,0))</f>
        <v>0</v>
      </c>
      <c r="AP136" s="245">
        <f t="array" ref="AP136">SUM(IF((modeldata!$F:$F=calibration!$AF$132)*(modeldata!$G:$G=calibration!AP$134)*(modeldata!$H:$H=calibration!$AF136),modeldata!$E:$E,0))</f>
        <v>0</v>
      </c>
      <c r="AQ136" s="245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6"/>
        <v>0</v>
      </c>
      <c r="AU136" s="66" t="s">
        <v>41</v>
      </c>
      <c r="AV136" s="38">
        <f t="shared" ref="AV136:BG136" si="927">IF(R155&gt;0,R136/R155,0)</f>
        <v>0</v>
      </c>
      <c r="AW136" s="36">
        <f t="shared" si="927"/>
        <v>0</v>
      </c>
      <c r="AX136" s="245">
        <f t="shared" si="927"/>
        <v>0</v>
      </c>
      <c r="AY136" s="245">
        <f t="shared" si="927"/>
        <v>0</v>
      </c>
      <c r="AZ136" s="245">
        <f t="shared" si="927"/>
        <v>0</v>
      </c>
      <c r="BA136" s="245">
        <f t="shared" si="927"/>
        <v>0</v>
      </c>
      <c r="BB136" s="245">
        <f t="shared" si="927"/>
        <v>0</v>
      </c>
      <c r="BC136" s="246">
        <f t="shared" si="927"/>
        <v>0</v>
      </c>
      <c r="BD136" s="245">
        <f t="shared" si="927"/>
        <v>0</v>
      </c>
      <c r="BE136" s="245">
        <f t="shared" si="927"/>
        <v>0</v>
      </c>
      <c r="BF136" s="245">
        <f t="shared" si="927"/>
        <v>0</v>
      </c>
      <c r="BG136" s="178">
        <f t="shared" si="927"/>
        <v>0</v>
      </c>
      <c r="BH136" s="24" t="e">
        <f>AD136/AD155</f>
        <v>#DIV/0!</v>
      </c>
      <c r="BJ136" s="66" t="s">
        <v>41</v>
      </c>
      <c r="BK136" s="38">
        <f t="shared" ref="BK136:BV136" si="928">IF(AG155&gt;0,AG136/AG155,0)</f>
        <v>0</v>
      </c>
      <c r="BL136" s="36">
        <f t="shared" si="928"/>
        <v>0</v>
      </c>
      <c r="BM136" s="245">
        <f t="shared" si="928"/>
        <v>0</v>
      </c>
      <c r="BN136" s="245">
        <f t="shared" si="928"/>
        <v>0</v>
      </c>
      <c r="BO136" s="245">
        <f t="shared" si="928"/>
        <v>0</v>
      </c>
      <c r="BP136" s="245">
        <f t="shared" si="928"/>
        <v>0</v>
      </c>
      <c r="BQ136" s="245">
        <f t="shared" si="928"/>
        <v>0</v>
      </c>
      <c r="BR136" s="246">
        <f t="shared" si="928"/>
        <v>0</v>
      </c>
      <c r="BS136" s="245">
        <f t="shared" si="928"/>
        <v>0</v>
      </c>
      <c r="BT136" s="245">
        <f t="shared" si="928"/>
        <v>0</v>
      </c>
      <c r="BU136" s="245">
        <f t="shared" si="928"/>
        <v>0</v>
      </c>
      <c r="BV136" s="178">
        <f t="shared" si="928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9">AG136-R136</f>
        <v>0</v>
      </c>
      <c r="CA136" s="58">
        <f t="shared" si="899"/>
        <v>0</v>
      </c>
      <c r="CB136" s="55">
        <f t="shared" si="900"/>
        <v>0</v>
      </c>
      <c r="CC136" s="55">
        <f t="shared" si="901"/>
        <v>0</v>
      </c>
      <c r="CD136" s="55">
        <f t="shared" si="902"/>
        <v>0</v>
      </c>
      <c r="CE136" s="55">
        <f t="shared" si="903"/>
        <v>0</v>
      </c>
      <c r="CF136" s="55">
        <f t="shared" si="904"/>
        <v>0</v>
      </c>
      <c r="CG136" s="249">
        <f t="shared" si="905"/>
        <v>0</v>
      </c>
      <c r="CH136" s="55">
        <f t="shared" si="906"/>
        <v>0</v>
      </c>
      <c r="CI136" s="55">
        <f t="shared" si="907"/>
        <v>0</v>
      </c>
      <c r="CJ136" s="55">
        <f t="shared" si="908"/>
        <v>0</v>
      </c>
      <c r="CK136" s="252">
        <f t="shared" si="908"/>
        <v>0</v>
      </c>
      <c r="CL136" s="55">
        <f t="shared" si="909"/>
        <v>0</v>
      </c>
      <c r="CN136" s="66" t="s">
        <v>41</v>
      </c>
      <c r="CO136" s="54">
        <f t="shared" ref="CO136:CO155" si="930">BK136-AV136</f>
        <v>0</v>
      </c>
      <c r="CP136" s="58">
        <f t="shared" si="910"/>
        <v>0</v>
      </c>
      <c r="CQ136" s="55">
        <f t="shared" si="911"/>
        <v>0</v>
      </c>
      <c r="CR136" s="55">
        <f t="shared" si="912"/>
        <v>0</v>
      </c>
      <c r="CS136" s="55">
        <f t="shared" si="913"/>
        <v>0</v>
      </c>
      <c r="CT136" s="55">
        <f t="shared" si="914"/>
        <v>0</v>
      </c>
      <c r="CU136" s="55">
        <f t="shared" si="915"/>
        <v>0</v>
      </c>
      <c r="CV136" s="249">
        <f t="shared" si="916"/>
        <v>0</v>
      </c>
      <c r="CW136" s="55">
        <f t="shared" si="917"/>
        <v>0</v>
      </c>
      <c r="CX136" s="55">
        <f t="shared" si="918"/>
        <v>0</v>
      </c>
      <c r="CY136" s="55">
        <f t="shared" si="919"/>
        <v>0</v>
      </c>
      <c r="CZ136" s="252">
        <f t="shared" si="919"/>
        <v>0</v>
      </c>
      <c r="DA136" s="62" t="e">
        <f t="shared" si="920"/>
        <v>#DIV/0!</v>
      </c>
      <c r="DC136" s="66" t="s">
        <v>41</v>
      </c>
      <c r="DD136" s="198">
        <f t="shared" ref="DD136:DD154" si="931">AV136</f>
        <v>0</v>
      </c>
      <c r="DE136" s="199">
        <f t="shared" ref="DE136:DE154" si="932">BK136</f>
        <v>0</v>
      </c>
      <c r="DF136" s="193">
        <f t="shared" ref="DF136:DF154" si="933">AW136</f>
        <v>0</v>
      </c>
      <c r="DG136" s="194">
        <f t="shared" ref="DG136:DG154" si="934">BL136</f>
        <v>0</v>
      </c>
      <c r="DH136" s="198">
        <f t="shared" ref="DH136:DH154" si="935">AX136</f>
        <v>0</v>
      </c>
      <c r="DI136" s="199">
        <f t="shared" ref="DI136:DI154" si="936">BM136</f>
        <v>0</v>
      </c>
      <c r="DJ136" s="198">
        <f t="shared" ref="DJ136:DJ154" si="937">AY136</f>
        <v>0</v>
      </c>
      <c r="DK136" s="199">
        <f t="shared" ref="DK136:DK154" si="938">BN136</f>
        <v>0</v>
      </c>
      <c r="DL136" s="198">
        <f t="shared" ref="DL136:DL154" si="939">AZ136</f>
        <v>0</v>
      </c>
      <c r="DM136" s="199">
        <f t="shared" ref="DM136:DM154" si="940">BO136</f>
        <v>0</v>
      </c>
      <c r="DN136" s="198">
        <f t="shared" ref="DN136:DN154" si="941">BA136</f>
        <v>0</v>
      </c>
      <c r="DO136" s="199">
        <f t="shared" ref="DO136:DO154" si="942">BP136</f>
        <v>0</v>
      </c>
      <c r="DP136" s="198">
        <f t="shared" ref="DP136:DP154" si="943">BB136</f>
        <v>0</v>
      </c>
      <c r="DQ136" s="199">
        <f t="shared" ref="DQ136:DQ154" si="944">BQ136</f>
        <v>0</v>
      </c>
      <c r="DR136" s="198">
        <f t="shared" ref="DR136:DR154" si="945">BC136</f>
        <v>0</v>
      </c>
      <c r="DS136" s="199">
        <f t="shared" ref="DS136:DS154" si="946">BR136</f>
        <v>0</v>
      </c>
      <c r="DT136" s="198">
        <f t="shared" ref="DT136:DT154" si="947">BD136</f>
        <v>0</v>
      </c>
      <c r="DU136" s="199">
        <f t="shared" ref="DU136:DU154" si="948">BS136</f>
        <v>0</v>
      </c>
      <c r="DV136" s="198">
        <f t="shared" ref="DV136:DV154" si="949">BE136</f>
        <v>0</v>
      </c>
      <c r="DW136" s="199">
        <f t="shared" ref="DW136:DW154" si="950">BT136</f>
        <v>0</v>
      </c>
      <c r="DX136" s="198">
        <f t="shared" ref="DX136:DX154" si="951">BF136</f>
        <v>0</v>
      </c>
      <c r="DY136" s="199">
        <f t="shared" ref="DY136:DY154" si="952">BU136</f>
        <v>0</v>
      </c>
      <c r="DZ136" s="190">
        <f t="shared" ref="DZ136:DZ154" si="953">BG136</f>
        <v>0</v>
      </c>
      <c r="EA136" s="199">
        <f t="shared" si="921"/>
        <v>0</v>
      </c>
      <c r="EB136" s="190" t="e">
        <f t="shared" ref="EB136:EB154" si="954">BH136</f>
        <v>#DIV/0!</v>
      </c>
      <c r="EC136" s="190" t="e">
        <f t="shared" ref="EC136:EC154" si="955">BW136</f>
        <v>#DIV/0!</v>
      </c>
    </row>
    <row r="137" spans="1:133" x14ac:dyDescent="0.2">
      <c r="A137" s="66" t="s">
        <v>42</v>
      </c>
      <c r="B137" s="38">
        <f>targets!AW128</f>
        <v>0</v>
      </c>
      <c r="C137" s="245">
        <f>targets!AX128</f>
        <v>0</v>
      </c>
      <c r="D137" s="36">
        <f>targets!AY128</f>
        <v>52813.871744991389</v>
      </c>
      <c r="E137" s="245">
        <f>targets!AZ128</f>
        <v>0</v>
      </c>
      <c r="F137" s="245">
        <f>targets!BA128</f>
        <v>0</v>
      </c>
      <c r="G137" s="245">
        <f>SUM(targets!BB128:BG128)</f>
        <v>0</v>
      </c>
      <c r="H137" s="245">
        <f>SUM(targets!BH128:BM128)</f>
        <v>0</v>
      </c>
      <c r="I137" s="246">
        <f t="shared" si="922"/>
        <v>0</v>
      </c>
      <c r="J137" s="245">
        <f>targets!BN128</f>
        <v>0</v>
      </c>
      <c r="K137" s="245">
        <f>targets!BO128</f>
        <v>1419.3392933459966</v>
      </c>
      <c r="L137" s="245">
        <f>targets!BP128</f>
        <v>0</v>
      </c>
      <c r="M137" s="178">
        <f t="shared" si="923"/>
        <v>1419.3392933459966</v>
      </c>
      <c r="N137" s="17">
        <f t="shared" si="884"/>
        <v>54233.211038337387</v>
      </c>
      <c r="O137" s="17"/>
      <c r="P137" s="17"/>
      <c r="Q137" s="66" t="s">
        <v>42</v>
      </c>
      <c r="R137" s="38">
        <f t="shared" si="885"/>
        <v>0</v>
      </c>
      <c r="S137" s="245">
        <f t="shared" si="886"/>
        <v>0</v>
      </c>
      <c r="T137" s="36">
        <f t="shared" si="887"/>
        <v>0</v>
      </c>
      <c r="U137" s="245">
        <f t="shared" si="888"/>
        <v>0</v>
      </c>
      <c r="V137" s="245">
        <f t="shared" si="889"/>
        <v>0</v>
      </c>
      <c r="W137" s="245">
        <f t="shared" si="890"/>
        <v>0</v>
      </c>
      <c r="X137" s="245">
        <f t="shared" si="891"/>
        <v>0</v>
      </c>
      <c r="Y137" s="246">
        <f t="shared" si="924"/>
        <v>0</v>
      </c>
      <c r="Z137" s="245">
        <f t="shared" si="892"/>
        <v>0</v>
      </c>
      <c r="AA137" s="245">
        <f t="shared" si="893"/>
        <v>0</v>
      </c>
      <c r="AB137" s="245">
        <f t="shared" si="894"/>
        <v>0</v>
      </c>
      <c r="AC137" s="178">
        <f t="shared" si="925"/>
        <v>0</v>
      </c>
      <c r="AD137" s="17">
        <f t="shared" si="895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5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5">
        <f t="array" ref="AJ137">SUM(IF((modeldata!$F:$F=calibration!$AF$132)*(modeldata!$G:$G=calibration!AJ$134)*(modeldata!$H:$H=calibration!$AF137),modeldata!$E:$E,0))</f>
        <v>0</v>
      </c>
      <c r="AK137" s="245">
        <f t="array" ref="AK137">SUM(IF((modeldata!$F:$F=calibration!$AF$132)*(modeldata!$G:$G=calibration!AK$134)*(modeldata!$H:$H=calibration!$AF137),modeldata!$E:$E,0))</f>
        <v>0</v>
      </c>
      <c r="AL137" s="245">
        <f t="array" ref="AL137">SUM(IF((modeldata!$F:$F=calibration!$AF$132)*(modeldata!$G:$G=calibration!AL$134)*(modeldata!$H:$H=calibration!$AF137),modeldata!$E:$E,0))</f>
        <v>0</v>
      </c>
      <c r="AM137" s="245">
        <f t="array" ref="AM137">SUM(IF((modeldata!$F:$F=calibration!$AF$132)*(modeldata!$G:$G=calibration!AM$134)*(modeldata!$H:$H=calibration!$AF137),modeldata!$E:$E,0))</f>
        <v>0</v>
      </c>
      <c r="AN137" s="246">
        <f t="shared" si="926"/>
        <v>0</v>
      </c>
      <c r="AO137" s="245">
        <f t="array" ref="AO137">SUM(IF((modeldata!$F:$F=calibration!$AF$132)*(modeldata!$G:$G=calibration!AO$134)*(modeldata!$H:$H=calibration!$AF137),modeldata!$E:$E,0))</f>
        <v>0</v>
      </c>
      <c r="AP137" s="245">
        <f t="array" ref="AP137">SUM(IF((modeldata!$F:$F=calibration!$AF$132)*(modeldata!$G:$G=calibration!AP$134)*(modeldata!$H:$H=calibration!$AF137),modeldata!$E:$E,0))</f>
        <v>0</v>
      </c>
      <c r="AQ137" s="245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6">SUM(AO137:AQ137)</f>
        <v>0</v>
      </c>
      <c r="AS137" s="17">
        <f t="shared" si="896"/>
        <v>0</v>
      </c>
      <c r="AU137" s="66" t="s">
        <v>42</v>
      </c>
      <c r="AV137" s="38">
        <f t="shared" ref="AV137:BG137" si="957">IF(R155&gt;0,R137/R155,0)</f>
        <v>0</v>
      </c>
      <c r="AW137" s="245">
        <f t="shared" si="957"/>
        <v>0</v>
      </c>
      <c r="AX137" s="36">
        <f t="shared" si="957"/>
        <v>0</v>
      </c>
      <c r="AY137" s="245">
        <f t="shared" si="957"/>
        <v>0</v>
      </c>
      <c r="AZ137" s="245">
        <f t="shared" si="957"/>
        <v>0</v>
      </c>
      <c r="BA137" s="245">
        <f t="shared" si="957"/>
        <v>0</v>
      </c>
      <c r="BB137" s="245">
        <f t="shared" si="957"/>
        <v>0</v>
      </c>
      <c r="BC137" s="246">
        <f t="shared" si="957"/>
        <v>0</v>
      </c>
      <c r="BD137" s="245">
        <f t="shared" si="957"/>
        <v>0</v>
      </c>
      <c r="BE137" s="245">
        <f t="shared" si="957"/>
        <v>0</v>
      </c>
      <c r="BF137" s="245">
        <f t="shared" si="957"/>
        <v>0</v>
      </c>
      <c r="BG137" s="178">
        <f t="shared" si="957"/>
        <v>0</v>
      </c>
      <c r="BH137" s="24" t="e">
        <f>AD137/AD155</f>
        <v>#DIV/0!</v>
      </c>
      <c r="BJ137" s="66" t="s">
        <v>42</v>
      </c>
      <c r="BK137" s="38">
        <f t="shared" ref="BK137:BV137" si="958">IF(AG155&gt;0,AG137/AG155,0)</f>
        <v>0</v>
      </c>
      <c r="BL137" s="245">
        <f t="shared" si="958"/>
        <v>0</v>
      </c>
      <c r="BM137" s="36">
        <f t="shared" si="958"/>
        <v>0</v>
      </c>
      <c r="BN137" s="245">
        <f t="shared" si="958"/>
        <v>0</v>
      </c>
      <c r="BO137" s="245">
        <f t="shared" si="958"/>
        <v>0</v>
      </c>
      <c r="BP137" s="245">
        <f t="shared" si="958"/>
        <v>0</v>
      </c>
      <c r="BQ137" s="245">
        <f t="shared" si="958"/>
        <v>0</v>
      </c>
      <c r="BR137" s="246">
        <f t="shared" si="958"/>
        <v>0</v>
      </c>
      <c r="BS137" s="245">
        <f t="shared" si="958"/>
        <v>0</v>
      </c>
      <c r="BT137" s="245">
        <f t="shared" si="958"/>
        <v>0</v>
      </c>
      <c r="BU137" s="245">
        <f t="shared" si="958"/>
        <v>0</v>
      </c>
      <c r="BV137" s="178">
        <f t="shared" si="958"/>
        <v>0</v>
      </c>
      <c r="BW137" s="24" t="e">
        <f>AS137/AS155</f>
        <v>#DIV/0!</v>
      </c>
      <c r="BX137" s="24"/>
      <c r="BY137" s="66" t="s">
        <v>42</v>
      </c>
      <c r="BZ137" s="54">
        <f t="shared" si="929"/>
        <v>0</v>
      </c>
      <c r="CA137" s="55">
        <f t="shared" si="899"/>
        <v>0</v>
      </c>
      <c r="CB137" s="58">
        <f t="shared" si="900"/>
        <v>0</v>
      </c>
      <c r="CC137" s="55">
        <f t="shared" si="901"/>
        <v>0</v>
      </c>
      <c r="CD137" s="55">
        <f t="shared" si="902"/>
        <v>0</v>
      </c>
      <c r="CE137" s="55">
        <f t="shared" si="903"/>
        <v>0</v>
      </c>
      <c r="CF137" s="55">
        <f t="shared" si="904"/>
        <v>0</v>
      </c>
      <c r="CG137" s="249">
        <f t="shared" si="905"/>
        <v>0</v>
      </c>
      <c r="CH137" s="55">
        <f t="shared" si="906"/>
        <v>0</v>
      </c>
      <c r="CI137" s="55">
        <f t="shared" si="907"/>
        <v>0</v>
      </c>
      <c r="CJ137" s="55">
        <f t="shared" si="908"/>
        <v>0</v>
      </c>
      <c r="CK137" s="252">
        <f t="shared" si="908"/>
        <v>0</v>
      </c>
      <c r="CL137" s="55">
        <f t="shared" si="909"/>
        <v>0</v>
      </c>
      <c r="CN137" s="66" t="s">
        <v>42</v>
      </c>
      <c r="CO137" s="54">
        <f t="shared" si="930"/>
        <v>0</v>
      </c>
      <c r="CP137" s="55">
        <f t="shared" si="910"/>
        <v>0</v>
      </c>
      <c r="CQ137" s="58">
        <f t="shared" si="911"/>
        <v>0</v>
      </c>
      <c r="CR137" s="55">
        <f t="shared" si="912"/>
        <v>0</v>
      </c>
      <c r="CS137" s="55">
        <f t="shared" si="913"/>
        <v>0</v>
      </c>
      <c r="CT137" s="55">
        <f t="shared" si="914"/>
        <v>0</v>
      </c>
      <c r="CU137" s="55">
        <f t="shared" si="915"/>
        <v>0</v>
      </c>
      <c r="CV137" s="249">
        <f t="shared" si="916"/>
        <v>0</v>
      </c>
      <c r="CW137" s="55">
        <f t="shared" si="917"/>
        <v>0</v>
      </c>
      <c r="CX137" s="55">
        <f t="shared" si="918"/>
        <v>0</v>
      </c>
      <c r="CY137" s="55">
        <f t="shared" si="919"/>
        <v>0</v>
      </c>
      <c r="CZ137" s="252">
        <f t="shared" si="919"/>
        <v>0</v>
      </c>
      <c r="DA137" s="62" t="e">
        <f t="shared" si="920"/>
        <v>#DIV/0!</v>
      </c>
      <c r="DC137" s="66" t="s">
        <v>42</v>
      </c>
      <c r="DD137" s="198">
        <f t="shared" si="931"/>
        <v>0</v>
      </c>
      <c r="DE137" s="199">
        <f t="shared" si="932"/>
        <v>0</v>
      </c>
      <c r="DF137" s="198">
        <f t="shared" si="933"/>
        <v>0</v>
      </c>
      <c r="DG137" s="199">
        <f t="shared" si="934"/>
        <v>0</v>
      </c>
      <c r="DH137" s="193">
        <f t="shared" si="935"/>
        <v>0</v>
      </c>
      <c r="DI137" s="194">
        <f t="shared" si="936"/>
        <v>0</v>
      </c>
      <c r="DJ137" s="198">
        <f t="shared" si="937"/>
        <v>0</v>
      </c>
      <c r="DK137" s="199">
        <f t="shared" si="938"/>
        <v>0</v>
      </c>
      <c r="DL137" s="198">
        <f t="shared" si="939"/>
        <v>0</v>
      </c>
      <c r="DM137" s="199">
        <f t="shared" si="940"/>
        <v>0</v>
      </c>
      <c r="DN137" s="198">
        <f t="shared" si="941"/>
        <v>0</v>
      </c>
      <c r="DO137" s="199">
        <f t="shared" si="942"/>
        <v>0</v>
      </c>
      <c r="DP137" s="198">
        <f t="shared" si="943"/>
        <v>0</v>
      </c>
      <c r="DQ137" s="199">
        <f t="shared" si="944"/>
        <v>0</v>
      </c>
      <c r="DR137" s="198">
        <f t="shared" si="945"/>
        <v>0</v>
      </c>
      <c r="DS137" s="199">
        <f t="shared" si="946"/>
        <v>0</v>
      </c>
      <c r="DT137" s="198">
        <f t="shared" si="947"/>
        <v>0</v>
      </c>
      <c r="DU137" s="199">
        <f t="shared" si="948"/>
        <v>0</v>
      </c>
      <c r="DV137" s="198">
        <f t="shared" si="949"/>
        <v>0</v>
      </c>
      <c r="DW137" s="199">
        <f t="shared" si="950"/>
        <v>0</v>
      </c>
      <c r="DX137" s="198">
        <f t="shared" si="951"/>
        <v>0</v>
      </c>
      <c r="DY137" s="199">
        <f t="shared" si="952"/>
        <v>0</v>
      </c>
      <c r="DZ137" s="190">
        <f t="shared" si="953"/>
        <v>0</v>
      </c>
      <c r="EA137" s="199">
        <f t="shared" si="921"/>
        <v>0</v>
      </c>
      <c r="EB137" s="190" t="e">
        <f t="shared" si="954"/>
        <v>#DIV/0!</v>
      </c>
      <c r="EC137" s="190" t="e">
        <f t="shared" si="955"/>
        <v>#DIV/0!</v>
      </c>
    </row>
    <row r="138" spans="1:133" x14ac:dyDescent="0.2">
      <c r="A138" s="66" t="s">
        <v>2</v>
      </c>
      <c r="B138" s="38">
        <f>targets!AW129</f>
        <v>9708.4982451715878</v>
      </c>
      <c r="C138" s="245">
        <f>targets!AX129</f>
        <v>795.38326532373208</v>
      </c>
      <c r="D138" s="245">
        <f>targets!AY129</f>
        <v>7034.9492516395894</v>
      </c>
      <c r="E138" s="36">
        <f>targets!AZ129</f>
        <v>243641.28919814352</v>
      </c>
      <c r="F138" s="245">
        <f>targets!BA129</f>
        <v>0</v>
      </c>
      <c r="G138" s="245">
        <f>SUM(targets!BB129:BG129)</f>
        <v>3383.1226007090222</v>
      </c>
      <c r="H138" s="245">
        <f>SUM(targets!BH129:BM129)</f>
        <v>0</v>
      </c>
      <c r="I138" s="246">
        <f t="shared" si="922"/>
        <v>3383.1226007090222</v>
      </c>
      <c r="J138" s="245">
        <f>targets!BN129</f>
        <v>0</v>
      </c>
      <c r="K138" s="245">
        <f>targets!BO129</f>
        <v>574.81712330643222</v>
      </c>
      <c r="L138" s="245">
        <f>targets!BP129</f>
        <v>0</v>
      </c>
      <c r="M138" s="178">
        <f t="shared" si="923"/>
        <v>574.81712330643222</v>
      </c>
      <c r="N138" s="17">
        <f t="shared" si="884"/>
        <v>265138.05968429393</v>
      </c>
      <c r="O138" s="17"/>
      <c r="P138" s="17"/>
      <c r="Q138" s="66" t="s">
        <v>2</v>
      </c>
      <c r="R138" s="38">
        <f t="shared" si="885"/>
        <v>0</v>
      </c>
      <c r="S138" s="245">
        <f t="shared" si="886"/>
        <v>0</v>
      </c>
      <c r="T138" s="245">
        <f t="shared" si="887"/>
        <v>0</v>
      </c>
      <c r="U138" s="36">
        <f t="shared" si="888"/>
        <v>0</v>
      </c>
      <c r="V138" s="245">
        <f t="shared" si="889"/>
        <v>0</v>
      </c>
      <c r="W138" s="245">
        <f t="shared" si="890"/>
        <v>0</v>
      </c>
      <c r="X138" s="245">
        <f t="shared" si="891"/>
        <v>0</v>
      </c>
      <c r="Y138" s="246">
        <f t="shared" si="924"/>
        <v>0</v>
      </c>
      <c r="Z138" s="245">
        <f t="shared" si="892"/>
        <v>0</v>
      </c>
      <c r="AA138" s="245">
        <f t="shared" si="893"/>
        <v>0</v>
      </c>
      <c r="AB138" s="245">
        <f t="shared" si="894"/>
        <v>0</v>
      </c>
      <c r="AC138" s="178">
        <f t="shared" si="925"/>
        <v>0</v>
      </c>
      <c r="AD138" s="17">
        <f t="shared" si="895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5">
        <f t="array" ref="AH138">SUM(IF((modeldata!$F:$F=calibration!$AF$132)*(modeldata!$G:$G=calibration!AH$134)*(modeldata!$H:$H=calibration!$AF138),modeldata!$E:$E,0))</f>
        <v>0</v>
      </c>
      <c r="AI138" s="245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5">
        <f t="array" ref="AK138">SUM(IF((modeldata!$F:$F=calibration!$AF$132)*(modeldata!$G:$G=calibration!AK$134)*(modeldata!$H:$H=calibration!$AF138),modeldata!$E:$E,0))</f>
        <v>0</v>
      </c>
      <c r="AL138" s="245">
        <f t="array" ref="AL138">SUM(IF((modeldata!$F:$F=calibration!$AF$132)*(modeldata!$G:$G=calibration!AL$134)*(modeldata!$H:$H=calibration!$AF138),modeldata!$E:$E,0))</f>
        <v>0</v>
      </c>
      <c r="AM138" s="245">
        <f t="array" ref="AM138">SUM(IF((modeldata!$F:$F=calibration!$AF$132)*(modeldata!$G:$G=calibration!AM$134)*(modeldata!$H:$H=calibration!$AF138),modeldata!$E:$E,0))</f>
        <v>0</v>
      </c>
      <c r="AN138" s="246">
        <f t="shared" si="926"/>
        <v>0</v>
      </c>
      <c r="AO138" s="245">
        <f t="array" ref="AO138">SUM(IF((modeldata!$F:$F=calibration!$AF$132)*(modeldata!$G:$G=calibration!AO$134)*(modeldata!$H:$H=calibration!$AF138),modeldata!$E:$E,0))</f>
        <v>0</v>
      </c>
      <c r="AP138" s="245">
        <f t="array" ref="AP138">SUM(IF((modeldata!$F:$F=calibration!$AF$132)*(modeldata!$G:$G=calibration!AP$134)*(modeldata!$H:$H=calibration!$AF138),modeldata!$E:$E,0))</f>
        <v>0</v>
      </c>
      <c r="AQ138" s="245">
        <f t="array" ref="AQ138">SUM(IF((modeldata!$F:$F=calibration!$AF$132)*(modeldata!$G:$G=calibration!AQ$134)*(modeldata!$H:$H=calibration!$AF138),modeldata!$E:$E,0))</f>
        <v>0</v>
      </c>
      <c r="AR138" s="178">
        <f t="shared" si="956"/>
        <v>0</v>
      </c>
      <c r="AS138" s="17">
        <f t="shared" si="896"/>
        <v>0</v>
      </c>
      <c r="AU138" s="66" t="s">
        <v>2</v>
      </c>
      <c r="AV138" s="38">
        <f t="shared" ref="AV138:BG138" si="959">IF(R155&gt;0,R138/R155,0)</f>
        <v>0</v>
      </c>
      <c r="AW138" s="245">
        <f t="shared" si="959"/>
        <v>0</v>
      </c>
      <c r="AX138" s="245">
        <f t="shared" si="959"/>
        <v>0</v>
      </c>
      <c r="AY138" s="36">
        <f t="shared" si="959"/>
        <v>0</v>
      </c>
      <c r="AZ138" s="245">
        <f t="shared" si="959"/>
        <v>0</v>
      </c>
      <c r="BA138" s="245">
        <f t="shared" si="959"/>
        <v>0</v>
      </c>
      <c r="BB138" s="245">
        <f t="shared" si="959"/>
        <v>0</v>
      </c>
      <c r="BC138" s="246">
        <f t="shared" si="959"/>
        <v>0</v>
      </c>
      <c r="BD138" s="245">
        <f t="shared" si="959"/>
        <v>0</v>
      </c>
      <c r="BE138" s="245">
        <f t="shared" si="959"/>
        <v>0</v>
      </c>
      <c r="BF138" s="245">
        <f t="shared" si="959"/>
        <v>0</v>
      </c>
      <c r="BG138" s="178">
        <f t="shared" si="959"/>
        <v>0</v>
      </c>
      <c r="BH138" s="24" t="e">
        <f>AD138/AD155</f>
        <v>#DIV/0!</v>
      </c>
      <c r="BJ138" s="66" t="s">
        <v>2</v>
      </c>
      <c r="BK138" s="38">
        <f t="shared" ref="BK138:BV138" si="960">IF(AG155&gt;0,AG138/AG155,0)</f>
        <v>0</v>
      </c>
      <c r="BL138" s="245">
        <f t="shared" si="960"/>
        <v>0</v>
      </c>
      <c r="BM138" s="245">
        <f t="shared" si="960"/>
        <v>0</v>
      </c>
      <c r="BN138" s="36">
        <f t="shared" si="960"/>
        <v>0</v>
      </c>
      <c r="BO138" s="245">
        <f t="shared" si="960"/>
        <v>0</v>
      </c>
      <c r="BP138" s="245">
        <f t="shared" si="960"/>
        <v>0</v>
      </c>
      <c r="BQ138" s="245">
        <f t="shared" si="960"/>
        <v>0</v>
      </c>
      <c r="BR138" s="246">
        <f t="shared" si="960"/>
        <v>0</v>
      </c>
      <c r="BS138" s="245">
        <f t="shared" si="960"/>
        <v>0</v>
      </c>
      <c r="BT138" s="245">
        <f t="shared" si="960"/>
        <v>0</v>
      </c>
      <c r="BU138" s="245">
        <f t="shared" si="960"/>
        <v>0</v>
      </c>
      <c r="BV138" s="178">
        <f t="shared" si="960"/>
        <v>0</v>
      </c>
      <c r="BW138" s="24" t="e">
        <f>AS138/AS155</f>
        <v>#DIV/0!</v>
      </c>
      <c r="BX138" s="24"/>
      <c r="BY138" s="66" t="s">
        <v>2</v>
      </c>
      <c r="BZ138" s="54">
        <f t="shared" si="929"/>
        <v>0</v>
      </c>
      <c r="CA138" s="55">
        <f t="shared" si="899"/>
        <v>0</v>
      </c>
      <c r="CB138" s="55">
        <f t="shared" si="900"/>
        <v>0</v>
      </c>
      <c r="CC138" s="58">
        <f t="shared" si="901"/>
        <v>0</v>
      </c>
      <c r="CD138" s="55">
        <f t="shared" si="902"/>
        <v>0</v>
      </c>
      <c r="CE138" s="55">
        <f t="shared" si="903"/>
        <v>0</v>
      </c>
      <c r="CF138" s="55">
        <f t="shared" si="904"/>
        <v>0</v>
      </c>
      <c r="CG138" s="249">
        <f t="shared" si="905"/>
        <v>0</v>
      </c>
      <c r="CH138" s="55">
        <f t="shared" si="906"/>
        <v>0</v>
      </c>
      <c r="CI138" s="55">
        <f t="shared" si="907"/>
        <v>0</v>
      </c>
      <c r="CJ138" s="55">
        <f t="shared" si="908"/>
        <v>0</v>
      </c>
      <c r="CK138" s="252">
        <f t="shared" si="908"/>
        <v>0</v>
      </c>
      <c r="CL138" s="55">
        <f t="shared" si="909"/>
        <v>0</v>
      </c>
      <c r="CN138" s="66" t="s">
        <v>2</v>
      </c>
      <c r="CO138" s="54">
        <f t="shared" si="930"/>
        <v>0</v>
      </c>
      <c r="CP138" s="55">
        <f t="shared" si="910"/>
        <v>0</v>
      </c>
      <c r="CQ138" s="55">
        <f t="shared" si="911"/>
        <v>0</v>
      </c>
      <c r="CR138" s="58">
        <f t="shared" si="912"/>
        <v>0</v>
      </c>
      <c r="CS138" s="55">
        <f t="shared" si="913"/>
        <v>0</v>
      </c>
      <c r="CT138" s="55">
        <f t="shared" si="914"/>
        <v>0</v>
      </c>
      <c r="CU138" s="55">
        <f t="shared" si="915"/>
        <v>0</v>
      </c>
      <c r="CV138" s="249">
        <f t="shared" si="916"/>
        <v>0</v>
      </c>
      <c r="CW138" s="55">
        <f t="shared" si="917"/>
        <v>0</v>
      </c>
      <c r="CX138" s="55">
        <f t="shared" si="918"/>
        <v>0</v>
      </c>
      <c r="CY138" s="55">
        <f t="shared" si="919"/>
        <v>0</v>
      </c>
      <c r="CZ138" s="252">
        <f t="shared" si="919"/>
        <v>0</v>
      </c>
      <c r="DA138" s="62" t="e">
        <f t="shared" si="920"/>
        <v>#DIV/0!</v>
      </c>
      <c r="DC138" s="66" t="s">
        <v>2</v>
      </c>
      <c r="DD138" s="198">
        <f t="shared" si="931"/>
        <v>0</v>
      </c>
      <c r="DE138" s="199">
        <f t="shared" si="932"/>
        <v>0</v>
      </c>
      <c r="DF138" s="198">
        <f t="shared" si="933"/>
        <v>0</v>
      </c>
      <c r="DG138" s="199">
        <f t="shared" si="934"/>
        <v>0</v>
      </c>
      <c r="DH138" s="198">
        <f t="shared" si="935"/>
        <v>0</v>
      </c>
      <c r="DI138" s="199">
        <f t="shared" si="936"/>
        <v>0</v>
      </c>
      <c r="DJ138" s="193">
        <f t="shared" si="937"/>
        <v>0</v>
      </c>
      <c r="DK138" s="194">
        <f t="shared" si="938"/>
        <v>0</v>
      </c>
      <c r="DL138" s="198">
        <f t="shared" si="939"/>
        <v>0</v>
      </c>
      <c r="DM138" s="199">
        <f t="shared" si="940"/>
        <v>0</v>
      </c>
      <c r="DN138" s="198">
        <f t="shared" si="941"/>
        <v>0</v>
      </c>
      <c r="DO138" s="199">
        <f t="shared" si="942"/>
        <v>0</v>
      </c>
      <c r="DP138" s="198">
        <f t="shared" si="943"/>
        <v>0</v>
      </c>
      <c r="DQ138" s="199">
        <f t="shared" si="944"/>
        <v>0</v>
      </c>
      <c r="DR138" s="198">
        <f t="shared" si="945"/>
        <v>0</v>
      </c>
      <c r="DS138" s="199">
        <f t="shared" si="946"/>
        <v>0</v>
      </c>
      <c r="DT138" s="198">
        <f t="shared" si="947"/>
        <v>0</v>
      </c>
      <c r="DU138" s="199">
        <f t="shared" si="948"/>
        <v>0</v>
      </c>
      <c r="DV138" s="198">
        <f t="shared" si="949"/>
        <v>0</v>
      </c>
      <c r="DW138" s="199">
        <f t="shared" si="950"/>
        <v>0</v>
      </c>
      <c r="DX138" s="198">
        <f t="shared" si="951"/>
        <v>0</v>
      </c>
      <c r="DY138" s="199">
        <f t="shared" si="952"/>
        <v>0</v>
      </c>
      <c r="DZ138" s="190">
        <f t="shared" si="953"/>
        <v>0</v>
      </c>
      <c r="EA138" s="199">
        <f t="shared" si="921"/>
        <v>0</v>
      </c>
      <c r="EB138" s="190" t="e">
        <f t="shared" si="954"/>
        <v>#DIV/0!</v>
      </c>
      <c r="EC138" s="190" t="e">
        <f t="shared" si="955"/>
        <v>#DIV/0!</v>
      </c>
    </row>
    <row r="139" spans="1:133" x14ac:dyDescent="0.2">
      <c r="A139" s="66" t="s">
        <v>3</v>
      </c>
      <c r="B139" s="38">
        <f>targets!AW130</f>
        <v>0</v>
      </c>
      <c r="C139" s="245">
        <f>targets!AX130</f>
        <v>0</v>
      </c>
      <c r="D139" s="245">
        <f>targets!AY130</f>
        <v>0</v>
      </c>
      <c r="E139" s="245">
        <f>targets!AZ130</f>
        <v>0</v>
      </c>
      <c r="F139" s="36">
        <f>targets!BA130</f>
        <v>22231.995850296847</v>
      </c>
      <c r="G139" s="245">
        <f>SUM(targets!BB130:BG130)</f>
        <v>0</v>
      </c>
      <c r="H139" s="245">
        <f>SUM(targets!BH130:BM130)</f>
        <v>0</v>
      </c>
      <c r="I139" s="246">
        <f t="shared" si="922"/>
        <v>0</v>
      </c>
      <c r="J139" s="245">
        <f>targets!BN130</f>
        <v>0</v>
      </c>
      <c r="K139" s="245">
        <f>targets!BO130</f>
        <v>0</v>
      </c>
      <c r="L139" s="245">
        <f>targets!BP130</f>
        <v>0</v>
      </c>
      <c r="M139" s="178">
        <f t="shared" si="923"/>
        <v>0</v>
      </c>
      <c r="N139" s="17">
        <f t="shared" si="884"/>
        <v>22231.995850296847</v>
      </c>
      <c r="O139" s="17"/>
      <c r="P139" s="17"/>
      <c r="Q139" s="66" t="s">
        <v>3</v>
      </c>
      <c r="R139" s="38">
        <f t="shared" si="885"/>
        <v>0</v>
      </c>
      <c r="S139" s="245">
        <f t="shared" si="886"/>
        <v>0</v>
      </c>
      <c r="T139" s="245">
        <f t="shared" si="887"/>
        <v>0</v>
      </c>
      <c r="U139" s="245">
        <f t="shared" si="888"/>
        <v>0</v>
      </c>
      <c r="V139" s="36">
        <f t="shared" si="889"/>
        <v>0</v>
      </c>
      <c r="W139" s="245">
        <f t="shared" si="890"/>
        <v>0</v>
      </c>
      <c r="X139" s="245">
        <f t="shared" si="891"/>
        <v>0</v>
      </c>
      <c r="Y139" s="246">
        <f t="shared" si="924"/>
        <v>0</v>
      </c>
      <c r="Z139" s="245">
        <f t="shared" si="892"/>
        <v>0</v>
      </c>
      <c r="AA139" s="245">
        <f t="shared" si="893"/>
        <v>0</v>
      </c>
      <c r="AB139" s="245">
        <f t="shared" si="894"/>
        <v>0</v>
      </c>
      <c r="AC139" s="178">
        <f t="shared" si="925"/>
        <v>0</v>
      </c>
      <c r="AD139" s="17">
        <f t="shared" si="895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5">
        <f t="array" ref="AH139">SUM(IF((modeldata!$F:$F=calibration!$AF$132)*(modeldata!$G:$G=calibration!AH$134)*(modeldata!$H:$H=calibration!$AF139),modeldata!$E:$E,0))</f>
        <v>0</v>
      </c>
      <c r="AI139" s="245">
        <f t="array" ref="AI139">SUM(IF((modeldata!$F:$F=calibration!$AF$132)*(modeldata!$G:$G=calibration!AI$134)*(modeldata!$H:$H=calibration!$AF139),modeldata!$E:$E,0))</f>
        <v>0</v>
      </c>
      <c r="AJ139" s="245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5">
        <f t="array" ref="AL139">SUM(IF((modeldata!$F:$F=calibration!$AF$132)*(modeldata!$G:$G=calibration!AL$134)*(modeldata!$H:$H=calibration!$AF139),modeldata!$E:$E,0))</f>
        <v>0</v>
      </c>
      <c r="AM139" s="245">
        <f t="array" ref="AM139">SUM(IF((modeldata!$F:$F=calibration!$AF$132)*(modeldata!$G:$G=calibration!AM$134)*(modeldata!$H:$H=calibration!$AF139),modeldata!$E:$E,0))</f>
        <v>0</v>
      </c>
      <c r="AN139" s="246">
        <f t="shared" si="926"/>
        <v>0</v>
      </c>
      <c r="AO139" s="245">
        <f t="array" ref="AO139">SUM(IF((modeldata!$F:$F=calibration!$AF$132)*(modeldata!$G:$G=calibration!AO$134)*(modeldata!$H:$H=calibration!$AF139),modeldata!$E:$E,0))</f>
        <v>0</v>
      </c>
      <c r="AP139" s="245">
        <f t="array" ref="AP139">SUM(IF((modeldata!$F:$F=calibration!$AF$132)*(modeldata!$G:$G=calibration!AP$134)*(modeldata!$H:$H=calibration!$AF139),modeldata!$E:$E,0))</f>
        <v>0</v>
      </c>
      <c r="AQ139" s="245">
        <f t="array" ref="AQ139">SUM(IF((modeldata!$F:$F=calibration!$AF$132)*(modeldata!$G:$G=calibration!AQ$134)*(modeldata!$H:$H=calibration!$AF139),modeldata!$E:$E,0))</f>
        <v>0</v>
      </c>
      <c r="AR139" s="178">
        <f t="shared" si="956"/>
        <v>0</v>
      </c>
      <c r="AS139" s="17">
        <f t="shared" si="896"/>
        <v>0</v>
      </c>
      <c r="AU139" s="66" t="s">
        <v>3</v>
      </c>
      <c r="AV139" s="38">
        <f t="shared" ref="AV139:BG139" si="961">IF(R155&gt;0,R139/R155,0)</f>
        <v>0</v>
      </c>
      <c r="AW139" s="245">
        <f t="shared" si="961"/>
        <v>0</v>
      </c>
      <c r="AX139" s="245">
        <f t="shared" si="961"/>
        <v>0</v>
      </c>
      <c r="AY139" s="245">
        <f t="shared" si="961"/>
        <v>0</v>
      </c>
      <c r="AZ139" s="36">
        <f t="shared" si="961"/>
        <v>0</v>
      </c>
      <c r="BA139" s="245">
        <f t="shared" si="961"/>
        <v>0</v>
      </c>
      <c r="BB139" s="245">
        <f t="shared" si="961"/>
        <v>0</v>
      </c>
      <c r="BC139" s="246">
        <f t="shared" si="961"/>
        <v>0</v>
      </c>
      <c r="BD139" s="245">
        <f t="shared" si="961"/>
        <v>0</v>
      </c>
      <c r="BE139" s="245">
        <f t="shared" si="961"/>
        <v>0</v>
      </c>
      <c r="BF139" s="245">
        <f t="shared" si="961"/>
        <v>0</v>
      </c>
      <c r="BG139" s="178">
        <f t="shared" si="961"/>
        <v>0</v>
      </c>
      <c r="BH139" s="24" t="e">
        <f>AD139/AD155</f>
        <v>#DIV/0!</v>
      </c>
      <c r="BJ139" s="66" t="s">
        <v>3</v>
      </c>
      <c r="BK139" s="38">
        <f t="shared" ref="BK139:BV139" si="962">IF(AG155&gt;0,AG139/AG155,0)</f>
        <v>0</v>
      </c>
      <c r="BL139" s="245">
        <f t="shared" si="962"/>
        <v>0</v>
      </c>
      <c r="BM139" s="245">
        <f t="shared" si="962"/>
        <v>0</v>
      </c>
      <c r="BN139" s="245">
        <f t="shared" si="962"/>
        <v>0</v>
      </c>
      <c r="BO139" s="36">
        <f t="shared" si="962"/>
        <v>0</v>
      </c>
      <c r="BP139" s="245">
        <f t="shared" si="962"/>
        <v>0</v>
      </c>
      <c r="BQ139" s="245">
        <f t="shared" si="962"/>
        <v>0</v>
      </c>
      <c r="BR139" s="246">
        <f t="shared" si="962"/>
        <v>0</v>
      </c>
      <c r="BS139" s="245">
        <f t="shared" si="962"/>
        <v>0</v>
      </c>
      <c r="BT139" s="245">
        <f t="shared" si="962"/>
        <v>0</v>
      </c>
      <c r="BU139" s="245">
        <f t="shared" si="962"/>
        <v>0</v>
      </c>
      <c r="BV139" s="178">
        <f t="shared" si="962"/>
        <v>0</v>
      </c>
      <c r="BW139" s="24" t="e">
        <f>AS139/AS155</f>
        <v>#DIV/0!</v>
      </c>
      <c r="BX139" s="24"/>
      <c r="BY139" s="66" t="s">
        <v>3</v>
      </c>
      <c r="BZ139" s="54">
        <f t="shared" si="929"/>
        <v>0</v>
      </c>
      <c r="CA139" s="55">
        <f t="shared" si="899"/>
        <v>0</v>
      </c>
      <c r="CB139" s="55">
        <f t="shared" si="900"/>
        <v>0</v>
      </c>
      <c r="CC139" s="55">
        <f t="shared" si="901"/>
        <v>0</v>
      </c>
      <c r="CD139" s="58">
        <f t="shared" si="902"/>
        <v>0</v>
      </c>
      <c r="CE139" s="55">
        <f t="shared" si="903"/>
        <v>0</v>
      </c>
      <c r="CF139" s="55">
        <f t="shared" si="904"/>
        <v>0</v>
      </c>
      <c r="CG139" s="249">
        <f t="shared" si="905"/>
        <v>0</v>
      </c>
      <c r="CH139" s="55">
        <f t="shared" si="906"/>
        <v>0</v>
      </c>
      <c r="CI139" s="55">
        <f t="shared" si="907"/>
        <v>0</v>
      </c>
      <c r="CJ139" s="55">
        <f t="shared" si="908"/>
        <v>0</v>
      </c>
      <c r="CK139" s="252">
        <f t="shared" si="908"/>
        <v>0</v>
      </c>
      <c r="CL139" s="55">
        <f t="shared" si="909"/>
        <v>0</v>
      </c>
      <c r="CN139" s="66" t="s">
        <v>3</v>
      </c>
      <c r="CO139" s="54">
        <f t="shared" si="930"/>
        <v>0</v>
      </c>
      <c r="CP139" s="55">
        <f t="shared" si="910"/>
        <v>0</v>
      </c>
      <c r="CQ139" s="55">
        <f t="shared" si="911"/>
        <v>0</v>
      </c>
      <c r="CR139" s="55">
        <f t="shared" si="912"/>
        <v>0</v>
      </c>
      <c r="CS139" s="58">
        <f t="shared" si="913"/>
        <v>0</v>
      </c>
      <c r="CT139" s="55">
        <f t="shared" si="914"/>
        <v>0</v>
      </c>
      <c r="CU139" s="55">
        <f t="shared" si="915"/>
        <v>0</v>
      </c>
      <c r="CV139" s="249">
        <f t="shared" si="916"/>
        <v>0</v>
      </c>
      <c r="CW139" s="55">
        <f t="shared" si="917"/>
        <v>0</v>
      </c>
      <c r="CX139" s="55">
        <f t="shared" si="918"/>
        <v>0</v>
      </c>
      <c r="CY139" s="55">
        <f t="shared" si="919"/>
        <v>0</v>
      </c>
      <c r="CZ139" s="252">
        <f t="shared" si="919"/>
        <v>0</v>
      </c>
      <c r="DA139" s="62" t="e">
        <f t="shared" si="920"/>
        <v>#DIV/0!</v>
      </c>
      <c r="DC139" s="66" t="s">
        <v>3</v>
      </c>
      <c r="DD139" s="198">
        <f t="shared" si="931"/>
        <v>0</v>
      </c>
      <c r="DE139" s="199">
        <f t="shared" si="932"/>
        <v>0</v>
      </c>
      <c r="DF139" s="198">
        <f t="shared" si="933"/>
        <v>0</v>
      </c>
      <c r="DG139" s="199">
        <f t="shared" si="934"/>
        <v>0</v>
      </c>
      <c r="DH139" s="198">
        <f t="shared" si="935"/>
        <v>0</v>
      </c>
      <c r="DI139" s="199">
        <f t="shared" si="936"/>
        <v>0</v>
      </c>
      <c r="DJ139" s="198">
        <f t="shared" si="937"/>
        <v>0</v>
      </c>
      <c r="DK139" s="199">
        <f t="shared" si="938"/>
        <v>0</v>
      </c>
      <c r="DL139" s="193">
        <f t="shared" si="939"/>
        <v>0</v>
      </c>
      <c r="DM139" s="194">
        <f t="shared" si="940"/>
        <v>0</v>
      </c>
      <c r="DN139" s="198">
        <f t="shared" si="941"/>
        <v>0</v>
      </c>
      <c r="DO139" s="199">
        <f t="shared" si="942"/>
        <v>0</v>
      </c>
      <c r="DP139" s="198">
        <f t="shared" si="943"/>
        <v>0</v>
      </c>
      <c r="DQ139" s="199">
        <f t="shared" si="944"/>
        <v>0</v>
      </c>
      <c r="DR139" s="198">
        <f t="shared" si="945"/>
        <v>0</v>
      </c>
      <c r="DS139" s="199">
        <f t="shared" si="946"/>
        <v>0</v>
      </c>
      <c r="DT139" s="198">
        <f t="shared" si="947"/>
        <v>0</v>
      </c>
      <c r="DU139" s="199">
        <f t="shared" si="948"/>
        <v>0</v>
      </c>
      <c r="DV139" s="198">
        <f t="shared" si="949"/>
        <v>0</v>
      </c>
      <c r="DW139" s="199">
        <f t="shared" si="950"/>
        <v>0</v>
      </c>
      <c r="DX139" s="198">
        <f t="shared" si="951"/>
        <v>0</v>
      </c>
      <c r="DY139" s="199">
        <f t="shared" si="952"/>
        <v>0</v>
      </c>
      <c r="DZ139" s="190">
        <f t="shared" si="953"/>
        <v>0</v>
      </c>
      <c r="EA139" s="199">
        <f t="shared" si="921"/>
        <v>0</v>
      </c>
      <c r="EB139" s="190" t="e">
        <f t="shared" si="954"/>
        <v>#DIV/0!</v>
      </c>
      <c r="EC139" s="190" t="e">
        <f t="shared" si="955"/>
        <v>#DIV/0!</v>
      </c>
    </row>
    <row r="140" spans="1:133" x14ac:dyDescent="0.2">
      <c r="A140" s="66" t="s">
        <v>5</v>
      </c>
      <c r="B140" s="38">
        <f>targets!AW131</f>
        <v>0</v>
      </c>
      <c r="C140" s="245">
        <f>targets!AX131</f>
        <v>0</v>
      </c>
      <c r="D140" s="245">
        <f>targets!AY131</f>
        <v>0</v>
      </c>
      <c r="E140" s="245">
        <f>targets!AZ131</f>
        <v>0</v>
      </c>
      <c r="F140" s="245">
        <f>targets!BA131</f>
        <v>0</v>
      </c>
      <c r="G140" s="39">
        <f>SUM(targets!BB131:BG131)</f>
        <v>9287.559145246476</v>
      </c>
      <c r="H140" s="245">
        <f>SUM(targets!BH131:BM131)</f>
        <v>0</v>
      </c>
      <c r="I140" s="246">
        <f t="shared" si="922"/>
        <v>9287.559145246476</v>
      </c>
      <c r="J140" s="245">
        <f>targets!BN131</f>
        <v>0</v>
      </c>
      <c r="K140" s="245">
        <f>targets!BO131</f>
        <v>0</v>
      </c>
      <c r="L140" s="245">
        <f>targets!BP131</f>
        <v>0</v>
      </c>
      <c r="M140" s="178">
        <f t="shared" si="923"/>
        <v>0</v>
      </c>
      <c r="N140" s="17">
        <f t="shared" si="884"/>
        <v>9287.559145246476</v>
      </c>
      <c r="O140" s="17"/>
      <c r="P140" s="17"/>
      <c r="Q140" s="66" t="s">
        <v>5</v>
      </c>
      <c r="R140" s="38">
        <f t="shared" si="885"/>
        <v>0</v>
      </c>
      <c r="S140" s="245">
        <f t="shared" si="886"/>
        <v>0</v>
      </c>
      <c r="T140" s="245">
        <f t="shared" si="887"/>
        <v>0</v>
      </c>
      <c r="U140" s="245">
        <f t="shared" si="888"/>
        <v>0</v>
      </c>
      <c r="V140" s="245">
        <f t="shared" si="889"/>
        <v>0</v>
      </c>
      <c r="W140" s="39">
        <f t="shared" si="890"/>
        <v>0</v>
      </c>
      <c r="X140" s="245">
        <f t="shared" si="891"/>
        <v>0</v>
      </c>
      <c r="Y140" s="246">
        <f t="shared" si="924"/>
        <v>0</v>
      </c>
      <c r="Z140" s="245">
        <f t="shared" si="892"/>
        <v>0</v>
      </c>
      <c r="AA140" s="245">
        <f t="shared" si="893"/>
        <v>0</v>
      </c>
      <c r="AB140" s="245">
        <f t="shared" si="894"/>
        <v>0</v>
      </c>
      <c r="AC140" s="178">
        <f t="shared" si="925"/>
        <v>0</v>
      </c>
      <c r="AD140" s="17">
        <f t="shared" si="895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5">
        <f t="array" ref="AH140">SUM(IF((modeldata!$F:$F=calibration!$AF$132)*(modeldata!$G:$G=calibration!AH$134)*(modeldata!$H:$H=calibration!$AF140),modeldata!$E:$E,0))</f>
        <v>0</v>
      </c>
      <c r="AI140" s="245">
        <f t="array" ref="AI140">SUM(IF((modeldata!$F:$F=calibration!$AF$132)*(modeldata!$G:$G=calibration!AI$134)*(modeldata!$H:$H=calibration!$AF140),modeldata!$E:$E,0))</f>
        <v>0</v>
      </c>
      <c r="AJ140" s="245">
        <f t="array" ref="AJ140">SUM(IF((modeldata!$F:$F=calibration!$AF$132)*(modeldata!$G:$G=calibration!AJ$134)*(modeldata!$H:$H=calibration!$AF140),modeldata!$E:$E,0))</f>
        <v>0</v>
      </c>
      <c r="AK140" s="245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5">
        <f t="array" ref="AM140">SUM(IF((modeldata!$F:$F=calibration!$AF$132)*(modeldata!$G:$G=calibration!AM$134)*(modeldata!$H:$H=calibration!$AF140),modeldata!$E:$E,0))</f>
        <v>0</v>
      </c>
      <c r="AN140" s="246">
        <f t="shared" ref="AN140:AN145" si="963">AL140+AM140+AL146+AM146</f>
        <v>0</v>
      </c>
      <c r="AO140" s="245">
        <f t="array" ref="AO140">SUM(IF((modeldata!$F:$F=calibration!$AF$132)*(modeldata!$G:$G=calibration!AO$134)*(modeldata!$H:$H=calibration!$AF140),modeldata!$E:$E,0))</f>
        <v>0</v>
      </c>
      <c r="AP140" s="245">
        <f t="array" ref="AP140">SUM(IF((modeldata!$F:$F=calibration!$AF$132)*(modeldata!$G:$G=calibration!AP$134)*(modeldata!$H:$H=calibration!$AF140),modeldata!$E:$E,0))</f>
        <v>0</v>
      </c>
      <c r="AQ140" s="245">
        <f t="array" ref="AQ140">SUM(IF((modeldata!$F:$F=calibration!$AF$132)*(modeldata!$G:$G=calibration!AQ$134)*(modeldata!$H:$H=calibration!$AF140),modeldata!$E:$E,0))</f>
        <v>0</v>
      </c>
      <c r="AR140" s="178">
        <f t="shared" si="956"/>
        <v>0</v>
      </c>
      <c r="AS140" s="17">
        <f t="shared" si="896"/>
        <v>0</v>
      </c>
      <c r="AU140" s="66" t="s">
        <v>5</v>
      </c>
      <c r="AV140" s="38">
        <f t="shared" ref="AV140:BG140" si="964">IF(R155&gt;0,R140/R155,0)</f>
        <v>0</v>
      </c>
      <c r="AW140" s="245">
        <f t="shared" si="964"/>
        <v>0</v>
      </c>
      <c r="AX140" s="245">
        <f t="shared" si="964"/>
        <v>0</v>
      </c>
      <c r="AY140" s="245">
        <f t="shared" si="964"/>
        <v>0</v>
      </c>
      <c r="AZ140" s="245">
        <f t="shared" si="964"/>
        <v>0</v>
      </c>
      <c r="BA140" s="39">
        <f t="shared" si="964"/>
        <v>0</v>
      </c>
      <c r="BB140" s="245">
        <f t="shared" si="964"/>
        <v>0</v>
      </c>
      <c r="BC140" s="246">
        <f t="shared" si="964"/>
        <v>0</v>
      </c>
      <c r="BD140" s="245">
        <f t="shared" si="964"/>
        <v>0</v>
      </c>
      <c r="BE140" s="245">
        <f t="shared" si="964"/>
        <v>0</v>
      </c>
      <c r="BF140" s="245">
        <f t="shared" si="964"/>
        <v>0</v>
      </c>
      <c r="BG140" s="178">
        <f t="shared" si="964"/>
        <v>0</v>
      </c>
      <c r="BH140" s="24" t="e">
        <f>AD140/AD155</f>
        <v>#DIV/0!</v>
      </c>
      <c r="BJ140" s="66" t="s">
        <v>5</v>
      </c>
      <c r="BK140" s="38">
        <f t="shared" ref="BK140:BV140" si="965">IF(AG155&gt;0,AG140/AG155,0)</f>
        <v>0</v>
      </c>
      <c r="BL140" s="245">
        <f t="shared" si="965"/>
        <v>0</v>
      </c>
      <c r="BM140" s="245">
        <f t="shared" si="965"/>
        <v>0</v>
      </c>
      <c r="BN140" s="245">
        <f t="shared" si="965"/>
        <v>0</v>
      </c>
      <c r="BO140" s="245">
        <f t="shared" si="965"/>
        <v>0</v>
      </c>
      <c r="BP140" s="39">
        <f t="shared" si="965"/>
        <v>0</v>
      </c>
      <c r="BQ140" s="245">
        <f t="shared" si="965"/>
        <v>0</v>
      </c>
      <c r="BR140" s="246">
        <f t="shared" si="965"/>
        <v>0</v>
      </c>
      <c r="BS140" s="245">
        <f t="shared" si="965"/>
        <v>0</v>
      </c>
      <c r="BT140" s="245">
        <f t="shared" si="965"/>
        <v>0</v>
      </c>
      <c r="BU140" s="245">
        <f t="shared" si="965"/>
        <v>0</v>
      </c>
      <c r="BV140" s="178">
        <f t="shared" si="965"/>
        <v>0</v>
      </c>
      <c r="BW140" s="24" t="e">
        <f>AS140/AS155</f>
        <v>#DIV/0!</v>
      </c>
      <c r="BX140" s="24"/>
      <c r="BY140" s="66" t="s">
        <v>5</v>
      </c>
      <c r="BZ140" s="54">
        <f t="shared" si="929"/>
        <v>0</v>
      </c>
      <c r="CA140" s="55">
        <f t="shared" si="899"/>
        <v>0</v>
      </c>
      <c r="CB140" s="55">
        <f t="shared" si="900"/>
        <v>0</v>
      </c>
      <c r="CC140" s="55">
        <f t="shared" si="901"/>
        <v>0</v>
      </c>
      <c r="CD140" s="55">
        <f t="shared" si="902"/>
        <v>0</v>
      </c>
      <c r="CE140" s="59">
        <f t="shared" si="903"/>
        <v>0</v>
      </c>
      <c r="CF140" s="55">
        <f t="shared" si="904"/>
        <v>0</v>
      </c>
      <c r="CG140" s="249">
        <f t="shared" si="905"/>
        <v>0</v>
      </c>
      <c r="CH140" s="55">
        <f t="shared" si="906"/>
        <v>0</v>
      </c>
      <c r="CI140" s="55">
        <f t="shared" si="907"/>
        <v>0</v>
      </c>
      <c r="CJ140" s="55">
        <f t="shared" si="908"/>
        <v>0</v>
      </c>
      <c r="CK140" s="252">
        <f t="shared" si="908"/>
        <v>0</v>
      </c>
      <c r="CL140" s="55">
        <f t="shared" si="909"/>
        <v>0</v>
      </c>
      <c r="CN140" s="66" t="s">
        <v>5</v>
      </c>
      <c r="CO140" s="54">
        <f t="shared" si="930"/>
        <v>0</v>
      </c>
      <c r="CP140" s="55">
        <f t="shared" si="910"/>
        <v>0</v>
      </c>
      <c r="CQ140" s="55">
        <f t="shared" si="911"/>
        <v>0</v>
      </c>
      <c r="CR140" s="55">
        <f t="shared" si="912"/>
        <v>0</v>
      </c>
      <c r="CS140" s="55">
        <f t="shared" si="913"/>
        <v>0</v>
      </c>
      <c r="CT140" s="59">
        <f t="shared" si="914"/>
        <v>0</v>
      </c>
      <c r="CU140" s="55">
        <f t="shared" si="915"/>
        <v>0</v>
      </c>
      <c r="CV140" s="249">
        <f t="shared" si="916"/>
        <v>0</v>
      </c>
      <c r="CW140" s="55">
        <f t="shared" si="917"/>
        <v>0</v>
      </c>
      <c r="CX140" s="55">
        <f t="shared" si="918"/>
        <v>0</v>
      </c>
      <c r="CY140" s="55">
        <f t="shared" si="919"/>
        <v>0</v>
      </c>
      <c r="CZ140" s="252">
        <f t="shared" si="919"/>
        <v>0</v>
      </c>
      <c r="DA140" s="62" t="e">
        <f t="shared" si="920"/>
        <v>#DIV/0!</v>
      </c>
      <c r="DC140" s="66" t="s">
        <v>5</v>
      </c>
      <c r="DD140" s="198">
        <f t="shared" si="931"/>
        <v>0</v>
      </c>
      <c r="DE140" s="199">
        <f t="shared" si="932"/>
        <v>0</v>
      </c>
      <c r="DF140" s="198">
        <f t="shared" si="933"/>
        <v>0</v>
      </c>
      <c r="DG140" s="199">
        <f t="shared" si="934"/>
        <v>0</v>
      </c>
      <c r="DH140" s="198">
        <f t="shared" si="935"/>
        <v>0</v>
      </c>
      <c r="DI140" s="199">
        <f t="shared" si="936"/>
        <v>0</v>
      </c>
      <c r="DJ140" s="198">
        <f t="shared" si="937"/>
        <v>0</v>
      </c>
      <c r="DK140" s="199">
        <f t="shared" si="938"/>
        <v>0</v>
      </c>
      <c r="DL140" s="198">
        <f t="shared" si="939"/>
        <v>0</v>
      </c>
      <c r="DM140" s="199">
        <f t="shared" si="940"/>
        <v>0</v>
      </c>
      <c r="DN140" s="195">
        <f t="shared" si="941"/>
        <v>0</v>
      </c>
      <c r="DO140" s="196">
        <f t="shared" si="942"/>
        <v>0</v>
      </c>
      <c r="DP140" s="198">
        <f t="shared" si="943"/>
        <v>0</v>
      </c>
      <c r="DQ140" s="199">
        <f t="shared" si="944"/>
        <v>0</v>
      </c>
      <c r="DR140" s="198">
        <f t="shared" si="945"/>
        <v>0</v>
      </c>
      <c r="DS140" s="199">
        <f t="shared" si="946"/>
        <v>0</v>
      </c>
      <c r="DT140" s="198">
        <f t="shared" si="947"/>
        <v>0</v>
      </c>
      <c r="DU140" s="199">
        <f t="shared" si="948"/>
        <v>0</v>
      </c>
      <c r="DV140" s="198">
        <f t="shared" si="949"/>
        <v>0</v>
      </c>
      <c r="DW140" s="199">
        <f t="shared" si="950"/>
        <v>0</v>
      </c>
      <c r="DX140" s="198">
        <f t="shared" si="951"/>
        <v>0</v>
      </c>
      <c r="DY140" s="199">
        <f t="shared" si="952"/>
        <v>0</v>
      </c>
      <c r="DZ140" s="190">
        <f t="shared" si="953"/>
        <v>0</v>
      </c>
      <c r="EA140" s="199">
        <f t="shared" si="921"/>
        <v>0</v>
      </c>
      <c r="EB140" s="190" t="e">
        <f t="shared" si="954"/>
        <v>#DIV/0!</v>
      </c>
      <c r="EC140" s="190" t="e">
        <f t="shared" si="955"/>
        <v>#DIV/0!</v>
      </c>
    </row>
    <row r="141" spans="1:133" ht="25.5" x14ac:dyDescent="0.2">
      <c r="A141" s="66" t="s">
        <v>346</v>
      </c>
      <c r="B141" s="38">
        <f>targets!AW132</f>
        <v>0</v>
      </c>
      <c r="C141" s="245">
        <f>targets!AX132</f>
        <v>0</v>
      </c>
      <c r="D141" s="245">
        <f>targets!AY132</f>
        <v>0</v>
      </c>
      <c r="E141" s="245">
        <f>targets!AZ132</f>
        <v>0</v>
      </c>
      <c r="F141" s="245">
        <f>targets!BA132</f>
        <v>0</v>
      </c>
      <c r="G141" s="40">
        <f>SUM(targets!BB132:BG132)</f>
        <v>572.78072818953422</v>
      </c>
      <c r="H141" s="245">
        <f>SUM(targets!BH132:BM132)</f>
        <v>0</v>
      </c>
      <c r="I141" s="246">
        <f t="shared" si="922"/>
        <v>572.78072818953422</v>
      </c>
      <c r="J141" s="245">
        <f>targets!BN132</f>
        <v>0</v>
      </c>
      <c r="K141" s="245">
        <f>targets!BO132</f>
        <v>0</v>
      </c>
      <c r="L141" s="245">
        <f>targets!BP132</f>
        <v>0</v>
      </c>
      <c r="M141" s="178">
        <f t="shared" si="923"/>
        <v>0</v>
      </c>
      <c r="N141" s="17">
        <f t="shared" si="884"/>
        <v>572.78072818953422</v>
      </c>
      <c r="O141" s="17"/>
      <c r="P141" s="17"/>
      <c r="Q141" s="66" t="s">
        <v>346</v>
      </c>
      <c r="R141" s="38">
        <f t="shared" si="885"/>
        <v>0</v>
      </c>
      <c r="S141" s="245">
        <f t="shared" si="886"/>
        <v>0</v>
      </c>
      <c r="T141" s="245">
        <f t="shared" si="887"/>
        <v>0</v>
      </c>
      <c r="U141" s="245">
        <f t="shared" si="888"/>
        <v>0</v>
      </c>
      <c r="V141" s="245">
        <f t="shared" si="889"/>
        <v>0</v>
      </c>
      <c r="W141" s="40">
        <f t="shared" si="890"/>
        <v>0</v>
      </c>
      <c r="X141" s="245">
        <f t="shared" si="891"/>
        <v>0</v>
      </c>
      <c r="Y141" s="246">
        <f t="shared" si="924"/>
        <v>0</v>
      </c>
      <c r="Z141" s="245">
        <f t="shared" si="892"/>
        <v>0</v>
      </c>
      <c r="AA141" s="245">
        <f t="shared" si="893"/>
        <v>0</v>
      </c>
      <c r="AB141" s="245">
        <f t="shared" si="894"/>
        <v>0</v>
      </c>
      <c r="AC141" s="178">
        <f t="shared" si="925"/>
        <v>0</v>
      </c>
      <c r="AD141" s="17">
        <f t="shared" si="895"/>
        <v>0</v>
      </c>
      <c r="AF141" s="66" t="s">
        <v>43</v>
      </c>
      <c r="AG141" s="38">
        <f t="array" ref="AG141">SUM(IF((modeldata!$F:$F=calibration!$AF$132)*(modeldata!$G:$G=calibration!AG$134)*(modeldata!$H:$H=calibration!$AF141),modeldata!$E:$E,0))</f>
        <v>0</v>
      </c>
      <c r="AH141" s="245">
        <f t="array" ref="AH141">SUM(IF((modeldata!$F:$F=calibration!$AF$132)*(modeldata!$G:$G=calibration!AH$134)*(modeldata!$H:$H=calibration!$AF141),modeldata!$E:$E,0))</f>
        <v>0</v>
      </c>
      <c r="AI141" s="245">
        <f t="array" ref="AI141">SUM(IF((modeldata!$F:$F=calibration!$AF$132)*(modeldata!$G:$G=calibration!AI$134)*(modeldata!$H:$H=calibration!$AF141),modeldata!$E:$E,0))</f>
        <v>0</v>
      </c>
      <c r="AJ141" s="245">
        <f t="array" ref="AJ141">SUM(IF((modeldata!$F:$F=calibration!$AF$132)*(modeldata!$G:$G=calibration!AJ$134)*(modeldata!$H:$H=calibration!$AF141),modeldata!$E:$E,0))</f>
        <v>0</v>
      </c>
      <c r="AK141" s="245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5">
        <f t="array" ref="AM141">SUM(IF((modeldata!$F:$F=calibration!$AF$132)*(modeldata!$G:$G=calibration!AM$134)*(modeldata!$H:$H=calibration!$AF141),modeldata!$E:$E,0))</f>
        <v>0</v>
      </c>
      <c r="AN141" s="246">
        <f t="shared" si="963"/>
        <v>0</v>
      </c>
      <c r="AO141" s="245">
        <f t="array" ref="AO141">SUM(IF((modeldata!$F:$F=calibration!$AF$132)*(modeldata!$G:$G=calibration!AO$134)*(modeldata!$H:$H=calibration!$AF141),modeldata!$E:$E,0))</f>
        <v>0</v>
      </c>
      <c r="AP141" s="245">
        <f t="array" ref="AP141">SUM(IF((modeldata!$F:$F=calibration!$AF$132)*(modeldata!$G:$G=calibration!AP$134)*(modeldata!$H:$H=calibration!$AF141),modeldata!$E:$E,0))</f>
        <v>0</v>
      </c>
      <c r="AQ141" s="245">
        <f t="array" ref="AQ141">SUM(IF((modeldata!$F:$F=calibration!$AF$132)*(modeldata!$G:$G=calibration!AQ$134)*(modeldata!$H:$H=calibration!$AF141),modeldata!$E:$E,0))</f>
        <v>0</v>
      </c>
      <c r="AR141" s="178">
        <f t="shared" si="956"/>
        <v>0</v>
      </c>
      <c r="AS141" s="17">
        <f t="shared" si="896"/>
        <v>0</v>
      </c>
      <c r="AU141" s="66" t="s">
        <v>346</v>
      </c>
      <c r="AV141" s="38">
        <f t="shared" ref="AV141:BG142" si="966">IF(R155&gt;0,R141/R155,0)</f>
        <v>0</v>
      </c>
      <c r="AW141" s="245">
        <f t="shared" si="966"/>
        <v>0</v>
      </c>
      <c r="AX141" s="245">
        <f t="shared" si="966"/>
        <v>0</v>
      </c>
      <c r="AY141" s="245">
        <f t="shared" si="966"/>
        <v>0</v>
      </c>
      <c r="AZ141" s="245">
        <f t="shared" si="966"/>
        <v>0</v>
      </c>
      <c r="BA141" s="40">
        <f t="shared" si="966"/>
        <v>0</v>
      </c>
      <c r="BB141" s="245">
        <f t="shared" si="966"/>
        <v>0</v>
      </c>
      <c r="BC141" s="246">
        <f t="shared" si="966"/>
        <v>0</v>
      </c>
      <c r="BD141" s="245">
        <f t="shared" si="966"/>
        <v>0</v>
      </c>
      <c r="BE141" s="245">
        <f t="shared" si="966"/>
        <v>0</v>
      </c>
      <c r="BF141" s="245">
        <f t="shared" si="966"/>
        <v>0</v>
      </c>
      <c r="BG141" s="178">
        <f t="shared" si="966"/>
        <v>0</v>
      </c>
      <c r="BH141" s="24" t="e">
        <f>AD141/AD155</f>
        <v>#DIV/0!</v>
      </c>
      <c r="BJ141" s="66" t="s">
        <v>346</v>
      </c>
      <c r="BK141" s="38">
        <f t="shared" ref="BK141:BV141" si="967">IF(AG155&gt;0,AG141/AG155,0)</f>
        <v>0</v>
      </c>
      <c r="BL141" s="245">
        <f t="shared" si="967"/>
        <v>0</v>
      </c>
      <c r="BM141" s="245">
        <f t="shared" si="967"/>
        <v>0</v>
      </c>
      <c r="BN141" s="245">
        <f t="shared" si="967"/>
        <v>0</v>
      </c>
      <c r="BO141" s="245">
        <f t="shared" si="967"/>
        <v>0</v>
      </c>
      <c r="BP141" s="40">
        <f t="shared" si="967"/>
        <v>0</v>
      </c>
      <c r="BQ141" s="245">
        <f t="shared" si="967"/>
        <v>0</v>
      </c>
      <c r="BR141" s="246">
        <f t="shared" si="967"/>
        <v>0</v>
      </c>
      <c r="BS141" s="245">
        <f t="shared" si="967"/>
        <v>0</v>
      </c>
      <c r="BT141" s="245">
        <f t="shared" si="967"/>
        <v>0</v>
      </c>
      <c r="BU141" s="245">
        <f t="shared" si="967"/>
        <v>0</v>
      </c>
      <c r="BV141" s="178">
        <f t="shared" si="967"/>
        <v>0</v>
      </c>
      <c r="BW141" s="24" t="e">
        <f>AS141/AS155</f>
        <v>#DIV/0!</v>
      </c>
      <c r="BX141" s="24"/>
      <c r="BY141" s="66" t="s">
        <v>346</v>
      </c>
      <c r="BZ141" s="54">
        <f t="shared" si="929"/>
        <v>0</v>
      </c>
      <c r="CA141" s="55">
        <f t="shared" si="899"/>
        <v>0</v>
      </c>
      <c r="CB141" s="55">
        <f t="shared" si="900"/>
        <v>0</v>
      </c>
      <c r="CC141" s="55">
        <f t="shared" si="901"/>
        <v>0</v>
      </c>
      <c r="CD141" s="55">
        <f t="shared" si="902"/>
        <v>0</v>
      </c>
      <c r="CE141" s="60">
        <f t="shared" si="903"/>
        <v>0</v>
      </c>
      <c r="CF141" s="55">
        <f t="shared" si="904"/>
        <v>0</v>
      </c>
      <c r="CG141" s="249">
        <f t="shared" si="905"/>
        <v>0</v>
      </c>
      <c r="CH141" s="55">
        <f t="shared" si="906"/>
        <v>0</v>
      </c>
      <c r="CI141" s="55">
        <f t="shared" si="907"/>
        <v>0</v>
      </c>
      <c r="CJ141" s="55">
        <f t="shared" si="908"/>
        <v>0</v>
      </c>
      <c r="CK141" s="252">
        <f t="shared" si="908"/>
        <v>0</v>
      </c>
      <c r="CL141" s="55">
        <f t="shared" si="909"/>
        <v>0</v>
      </c>
      <c r="CN141" s="66" t="s">
        <v>346</v>
      </c>
      <c r="CO141" s="54">
        <f t="shared" si="930"/>
        <v>0</v>
      </c>
      <c r="CP141" s="55">
        <f t="shared" si="910"/>
        <v>0</v>
      </c>
      <c r="CQ141" s="55">
        <f t="shared" si="911"/>
        <v>0</v>
      </c>
      <c r="CR141" s="55">
        <f t="shared" si="912"/>
        <v>0</v>
      </c>
      <c r="CS141" s="55">
        <f t="shared" si="913"/>
        <v>0</v>
      </c>
      <c r="CT141" s="60">
        <f t="shared" si="914"/>
        <v>0</v>
      </c>
      <c r="CU141" s="55">
        <f t="shared" si="915"/>
        <v>0</v>
      </c>
      <c r="CV141" s="249">
        <f t="shared" si="916"/>
        <v>0</v>
      </c>
      <c r="CW141" s="55">
        <f t="shared" si="917"/>
        <v>0</v>
      </c>
      <c r="CX141" s="55">
        <f t="shared" si="918"/>
        <v>0</v>
      </c>
      <c r="CY141" s="55">
        <f t="shared" si="919"/>
        <v>0</v>
      </c>
      <c r="CZ141" s="252">
        <f t="shared" si="919"/>
        <v>0</v>
      </c>
      <c r="DA141" s="62" t="e">
        <f t="shared" si="920"/>
        <v>#DIV/0!</v>
      </c>
      <c r="DC141" s="66" t="s">
        <v>346</v>
      </c>
      <c r="DD141" s="198">
        <f t="shared" si="931"/>
        <v>0</v>
      </c>
      <c r="DE141" s="199">
        <f t="shared" si="932"/>
        <v>0</v>
      </c>
      <c r="DF141" s="198">
        <f t="shared" si="933"/>
        <v>0</v>
      </c>
      <c r="DG141" s="199">
        <f t="shared" si="934"/>
        <v>0</v>
      </c>
      <c r="DH141" s="198">
        <f t="shared" si="935"/>
        <v>0</v>
      </c>
      <c r="DI141" s="199">
        <f t="shared" si="936"/>
        <v>0</v>
      </c>
      <c r="DJ141" s="198">
        <f t="shared" si="937"/>
        <v>0</v>
      </c>
      <c r="DK141" s="199">
        <f t="shared" si="938"/>
        <v>0</v>
      </c>
      <c r="DL141" s="198">
        <f t="shared" si="939"/>
        <v>0</v>
      </c>
      <c r="DM141" s="199">
        <f t="shared" si="940"/>
        <v>0</v>
      </c>
      <c r="DN141" s="198">
        <f t="shared" si="941"/>
        <v>0</v>
      </c>
      <c r="DO141" s="199">
        <f t="shared" si="942"/>
        <v>0</v>
      </c>
      <c r="DP141" s="198">
        <f t="shared" si="943"/>
        <v>0</v>
      </c>
      <c r="DQ141" s="199">
        <f t="shared" si="944"/>
        <v>0</v>
      </c>
      <c r="DR141" s="198">
        <f t="shared" si="945"/>
        <v>0</v>
      </c>
      <c r="DS141" s="199">
        <f t="shared" si="946"/>
        <v>0</v>
      </c>
      <c r="DT141" s="198">
        <f t="shared" si="947"/>
        <v>0</v>
      </c>
      <c r="DU141" s="199">
        <f t="shared" si="948"/>
        <v>0</v>
      </c>
      <c r="DV141" s="198">
        <f t="shared" si="949"/>
        <v>0</v>
      </c>
      <c r="DW141" s="199">
        <f t="shared" si="950"/>
        <v>0</v>
      </c>
      <c r="DX141" s="198">
        <f t="shared" si="951"/>
        <v>0</v>
      </c>
      <c r="DY141" s="199">
        <f t="shared" si="952"/>
        <v>0</v>
      </c>
      <c r="DZ141" s="190">
        <f t="shared" si="953"/>
        <v>0</v>
      </c>
      <c r="EA141" s="199">
        <f t="shared" si="921"/>
        <v>0</v>
      </c>
      <c r="EB141" s="190" t="e">
        <f t="shared" si="954"/>
        <v>#DIV/0!</v>
      </c>
      <c r="EC141" s="190" t="e">
        <f t="shared" si="955"/>
        <v>#DIV/0!</v>
      </c>
    </row>
    <row r="142" spans="1:133" x14ac:dyDescent="0.2">
      <c r="A142" s="2" t="s">
        <v>349</v>
      </c>
      <c r="B142" s="38">
        <f>targets!AW133</f>
        <v>0</v>
      </c>
      <c r="C142" s="245">
        <f>targets!AX133</f>
        <v>0</v>
      </c>
      <c r="D142" s="245">
        <f>targets!AY133</f>
        <v>0</v>
      </c>
      <c r="E142" s="245">
        <f>targets!AZ133</f>
        <v>0</v>
      </c>
      <c r="F142" s="245">
        <f>targets!BA133</f>
        <v>0</v>
      </c>
      <c r="G142" s="40">
        <f>SUM(targets!BB133:BG133)</f>
        <v>0</v>
      </c>
      <c r="H142" s="245">
        <f>SUM(targets!BH133:BM133)</f>
        <v>0</v>
      </c>
      <c r="I142" s="246">
        <f>SUM(G142:H142)</f>
        <v>0</v>
      </c>
      <c r="J142" s="245">
        <f>targets!BN133</f>
        <v>0</v>
      </c>
      <c r="K142" s="245">
        <f>targets!BO133</f>
        <v>0</v>
      </c>
      <c r="L142" s="245">
        <f>targets!BP133</f>
        <v>0</v>
      </c>
      <c r="M142" s="178">
        <f>SUM(J142:L142)</f>
        <v>0</v>
      </c>
      <c r="N142" s="17">
        <f>SUM(B142:L142)-I142</f>
        <v>0</v>
      </c>
      <c r="O142" s="17"/>
      <c r="P142" s="17"/>
      <c r="Q142" s="2" t="s">
        <v>349</v>
      </c>
      <c r="R142" s="38">
        <f t="shared" si="885"/>
        <v>0</v>
      </c>
      <c r="S142" s="245">
        <f t="shared" si="886"/>
        <v>0</v>
      </c>
      <c r="T142" s="245">
        <f t="shared" si="887"/>
        <v>0</v>
      </c>
      <c r="U142" s="245">
        <f t="shared" si="888"/>
        <v>0</v>
      </c>
      <c r="V142" s="245">
        <f t="shared" si="889"/>
        <v>0</v>
      </c>
      <c r="W142" s="40">
        <f t="shared" si="890"/>
        <v>0</v>
      </c>
      <c r="X142" s="245">
        <f t="shared" si="891"/>
        <v>0</v>
      </c>
      <c r="Y142" s="246">
        <f>SUM(W142:X142)</f>
        <v>0</v>
      </c>
      <c r="Z142" s="245">
        <f t="shared" si="892"/>
        <v>0</v>
      </c>
      <c r="AA142" s="245">
        <f t="shared" si="893"/>
        <v>0</v>
      </c>
      <c r="AB142" s="245">
        <f t="shared" si="894"/>
        <v>0</v>
      </c>
      <c r="AC142" s="178">
        <f>SUM(Z142:AB142)</f>
        <v>0</v>
      </c>
      <c r="AD142" s="17"/>
      <c r="AF142" s="2" t="s">
        <v>44</v>
      </c>
      <c r="AG142" s="38">
        <f t="array" ref="AG142">SUM(IF((modeldata!$F:$F=calibration!$AF$132)*(modeldata!$G:$G=calibration!AG$134)*(modeldata!$H:$H=calibration!$AF142),modeldata!$E:$E,0))</f>
        <v>0</v>
      </c>
      <c r="AH142" s="245">
        <f t="array" ref="AH142">SUM(IF((modeldata!$F:$F=calibration!$AF$132)*(modeldata!$G:$G=calibration!AH$134)*(modeldata!$H:$H=calibration!$AF142),modeldata!$E:$E,0))</f>
        <v>0</v>
      </c>
      <c r="AI142" s="245">
        <f t="array" ref="AI142">SUM(IF((modeldata!$F:$F=calibration!$AF$132)*(modeldata!$G:$G=calibration!AI$134)*(modeldata!$H:$H=calibration!$AF142),modeldata!$E:$E,0))</f>
        <v>0</v>
      </c>
      <c r="AJ142" s="245">
        <f t="array" ref="AJ142">SUM(IF((modeldata!$F:$F=calibration!$AF$132)*(modeldata!$G:$G=calibration!AJ$134)*(modeldata!$H:$H=calibration!$AF142),modeldata!$E:$E,0))</f>
        <v>0</v>
      </c>
      <c r="AK142" s="245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5">
        <f t="array" ref="AM142">SUM(IF((modeldata!$F:$F=calibration!$AF$132)*(modeldata!$G:$G=calibration!AM$134)*(modeldata!$H:$H=calibration!$AF142),modeldata!$E:$E,0))</f>
        <v>0</v>
      </c>
      <c r="AN142" s="246">
        <f t="shared" si="963"/>
        <v>0</v>
      </c>
      <c r="AO142" s="245">
        <f t="array" ref="AO142">SUM(IF((modeldata!$F:$F=calibration!$AF$132)*(modeldata!$G:$G=calibration!AO$134)*(modeldata!$H:$H=calibration!$AF142),modeldata!$E:$E,0))</f>
        <v>0</v>
      </c>
      <c r="AP142" s="245">
        <f t="array" ref="AP142">SUM(IF((modeldata!$F:$F=calibration!$AF$132)*(modeldata!$G:$G=calibration!AP$134)*(modeldata!$H:$H=calibration!$AF142),modeldata!$E:$E,0))</f>
        <v>0</v>
      </c>
      <c r="AQ142" s="245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349</v>
      </c>
      <c r="AV142" s="38">
        <f t="shared" si="966"/>
        <v>0</v>
      </c>
      <c r="AW142" s="245">
        <f t="shared" si="966"/>
        <v>0</v>
      </c>
      <c r="AX142" s="245">
        <f t="shared" si="966"/>
        <v>0</v>
      </c>
      <c r="AY142" s="245">
        <f t="shared" si="966"/>
        <v>0</v>
      </c>
      <c r="AZ142" s="245">
        <f t="shared" si="966"/>
        <v>0</v>
      </c>
      <c r="BA142" s="40">
        <f t="shared" si="966"/>
        <v>0</v>
      </c>
      <c r="BB142" s="245">
        <f t="shared" si="966"/>
        <v>0</v>
      </c>
      <c r="BC142" s="246">
        <f t="shared" si="966"/>
        <v>0</v>
      </c>
      <c r="BD142" s="245">
        <f t="shared" si="966"/>
        <v>0</v>
      </c>
      <c r="BE142" s="245">
        <f t="shared" si="966"/>
        <v>0</v>
      </c>
      <c r="BF142" s="245">
        <f t="shared" si="966"/>
        <v>0</v>
      </c>
      <c r="BG142" s="178">
        <f t="shared" si="966"/>
        <v>0</v>
      </c>
      <c r="BH142" s="24" t="e">
        <f>AD142/AD156</f>
        <v>#DIV/0!</v>
      </c>
      <c r="BJ142" s="2" t="s">
        <v>349</v>
      </c>
      <c r="BK142" s="38">
        <f t="shared" ref="BK142:BV142" si="968">IF(AG164&gt;0,AG142/AG164,0)</f>
        <v>0</v>
      </c>
      <c r="BL142" s="245">
        <f t="shared" si="968"/>
        <v>0</v>
      </c>
      <c r="BM142" s="245">
        <f t="shared" si="968"/>
        <v>0</v>
      </c>
      <c r="BN142" s="245">
        <f t="shared" si="968"/>
        <v>0</v>
      </c>
      <c r="BO142" s="245">
        <f t="shared" si="968"/>
        <v>0</v>
      </c>
      <c r="BP142" s="40">
        <f t="shared" si="968"/>
        <v>0</v>
      </c>
      <c r="BQ142" s="245">
        <f t="shared" si="968"/>
        <v>0</v>
      </c>
      <c r="BR142" s="246">
        <f t="shared" si="968"/>
        <v>0</v>
      </c>
      <c r="BS142" s="245">
        <f t="shared" si="968"/>
        <v>0</v>
      </c>
      <c r="BT142" s="245">
        <f t="shared" si="968"/>
        <v>0</v>
      </c>
      <c r="BU142" s="245">
        <f t="shared" si="968"/>
        <v>0</v>
      </c>
      <c r="BV142" s="178">
        <f t="shared" si="968"/>
        <v>0</v>
      </c>
      <c r="BW142" s="24" t="e">
        <f>AS142/AS164</f>
        <v>#DIV/0!</v>
      </c>
      <c r="BX142" s="24"/>
      <c r="BY142" s="2" t="s">
        <v>349</v>
      </c>
      <c r="BZ142" s="54">
        <f t="shared" ref="BZ142:CL142" si="969">AG142-R142</f>
        <v>0</v>
      </c>
      <c r="CA142" s="55">
        <f t="shared" si="969"/>
        <v>0</v>
      </c>
      <c r="CB142" s="55">
        <f t="shared" si="969"/>
        <v>0</v>
      </c>
      <c r="CC142" s="55">
        <f t="shared" si="969"/>
        <v>0</v>
      </c>
      <c r="CD142" s="55">
        <f t="shared" si="969"/>
        <v>0</v>
      </c>
      <c r="CE142" s="60">
        <f t="shared" si="969"/>
        <v>0</v>
      </c>
      <c r="CF142" s="55">
        <f t="shared" si="969"/>
        <v>0</v>
      </c>
      <c r="CG142" s="249">
        <f t="shared" si="969"/>
        <v>0</v>
      </c>
      <c r="CH142" s="55">
        <f t="shared" si="969"/>
        <v>0</v>
      </c>
      <c r="CI142" s="55">
        <f t="shared" si="969"/>
        <v>0</v>
      </c>
      <c r="CJ142" s="55">
        <f t="shared" si="969"/>
        <v>0</v>
      </c>
      <c r="CK142" s="252">
        <f t="shared" si="969"/>
        <v>0</v>
      </c>
      <c r="CL142" s="55">
        <f t="shared" si="969"/>
        <v>0</v>
      </c>
      <c r="CN142" s="2" t="s">
        <v>349</v>
      </c>
      <c r="CO142" s="54">
        <f t="shared" ref="CO142:DA142" si="970">BK142-AV142</f>
        <v>0</v>
      </c>
      <c r="CP142" s="55">
        <f t="shared" si="970"/>
        <v>0</v>
      </c>
      <c r="CQ142" s="55">
        <f t="shared" si="970"/>
        <v>0</v>
      </c>
      <c r="CR142" s="55">
        <f t="shared" si="970"/>
        <v>0</v>
      </c>
      <c r="CS142" s="55">
        <f t="shared" si="970"/>
        <v>0</v>
      </c>
      <c r="CT142" s="60">
        <f t="shared" si="970"/>
        <v>0</v>
      </c>
      <c r="CU142" s="55">
        <f t="shared" si="970"/>
        <v>0</v>
      </c>
      <c r="CV142" s="249">
        <f t="shared" si="970"/>
        <v>0</v>
      </c>
      <c r="CW142" s="55">
        <f t="shared" si="970"/>
        <v>0</v>
      </c>
      <c r="CX142" s="55">
        <f t="shared" si="970"/>
        <v>0</v>
      </c>
      <c r="CY142" s="55">
        <f t="shared" si="970"/>
        <v>0</v>
      </c>
      <c r="CZ142" s="252">
        <f t="shared" si="970"/>
        <v>0</v>
      </c>
      <c r="DA142" s="62" t="e">
        <f t="shared" si="970"/>
        <v>#DIV/0!</v>
      </c>
      <c r="DC142" s="2" t="s">
        <v>349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targets!AW134</f>
        <v>0</v>
      </c>
      <c r="C143" s="245">
        <f>targets!AX134</f>
        <v>0</v>
      </c>
      <c r="D143" s="245">
        <f>targets!AY134</f>
        <v>0</v>
      </c>
      <c r="E143" s="245">
        <f>targets!AZ134</f>
        <v>0</v>
      </c>
      <c r="F143" s="245">
        <f>targets!BA134</f>
        <v>0</v>
      </c>
      <c r="G143" s="40">
        <f>SUM(targets!BB134:BG134)</f>
        <v>587.36247773329535</v>
      </c>
      <c r="H143" s="245">
        <f>SUM(targets!BH134:BM134)</f>
        <v>0</v>
      </c>
      <c r="I143" s="246">
        <f t="shared" si="922"/>
        <v>587.36247773329535</v>
      </c>
      <c r="J143" s="245">
        <f>targets!BN134</f>
        <v>0</v>
      </c>
      <c r="K143" s="245">
        <f>targets!BO134</f>
        <v>0</v>
      </c>
      <c r="L143" s="245">
        <f>targets!BP134</f>
        <v>0</v>
      </c>
      <c r="M143" s="178">
        <f t="shared" si="923"/>
        <v>0</v>
      </c>
      <c r="N143" s="17">
        <f t="shared" si="884"/>
        <v>587.36247773329535</v>
      </c>
      <c r="O143" s="17"/>
      <c r="P143" s="17"/>
      <c r="Q143" s="64" t="s">
        <v>45</v>
      </c>
      <c r="R143" s="38">
        <f t="shared" si="885"/>
        <v>0</v>
      </c>
      <c r="S143" s="245">
        <f t="shared" si="886"/>
        <v>0</v>
      </c>
      <c r="T143" s="245">
        <f t="shared" si="887"/>
        <v>0</v>
      </c>
      <c r="U143" s="245">
        <f t="shared" si="888"/>
        <v>0</v>
      </c>
      <c r="V143" s="245">
        <f t="shared" si="889"/>
        <v>0</v>
      </c>
      <c r="W143" s="40">
        <f t="shared" si="890"/>
        <v>0</v>
      </c>
      <c r="X143" s="245">
        <f t="shared" si="891"/>
        <v>0</v>
      </c>
      <c r="Y143" s="246">
        <f t="shared" si="924"/>
        <v>0</v>
      </c>
      <c r="Z143" s="245">
        <f t="shared" si="892"/>
        <v>0</v>
      </c>
      <c r="AA143" s="245">
        <f t="shared" si="893"/>
        <v>0</v>
      </c>
      <c r="AB143" s="245">
        <f t="shared" si="894"/>
        <v>0</v>
      </c>
      <c r="AC143" s="178">
        <f t="shared" si="925"/>
        <v>0</v>
      </c>
      <c r="AD143" s="17">
        <f t="shared" si="895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5">
        <f t="array" ref="AH143">SUM(IF((modeldata!$F:$F=calibration!$AF$132)*(modeldata!$G:$G=calibration!AH$134)*(modeldata!$H:$H=calibration!$AF143),modeldata!$E:$E,0))</f>
        <v>0</v>
      </c>
      <c r="AI143" s="245">
        <f t="array" ref="AI143">SUM(IF((modeldata!$F:$F=calibration!$AF$132)*(modeldata!$G:$G=calibration!AI$134)*(modeldata!$H:$H=calibration!$AF143),modeldata!$E:$E,0))</f>
        <v>0</v>
      </c>
      <c r="AJ143" s="245">
        <f t="array" ref="AJ143">SUM(IF((modeldata!$F:$F=calibration!$AF$132)*(modeldata!$G:$G=calibration!AJ$134)*(modeldata!$H:$H=calibration!$AF143),modeldata!$E:$E,0))</f>
        <v>0</v>
      </c>
      <c r="AK143" s="245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5">
        <f t="array" ref="AM143">SUM(IF((modeldata!$F:$F=calibration!$AF$132)*(modeldata!$G:$G=calibration!AM$134)*(modeldata!$H:$H=calibration!$AF143),modeldata!$E:$E,0))</f>
        <v>0</v>
      </c>
      <c r="AN143" s="246">
        <f t="shared" si="963"/>
        <v>0</v>
      </c>
      <c r="AO143" s="245">
        <f t="array" ref="AO143">SUM(IF((modeldata!$F:$F=calibration!$AF$132)*(modeldata!$G:$G=calibration!AO$134)*(modeldata!$H:$H=calibration!$AF143),modeldata!$E:$E,0))</f>
        <v>0</v>
      </c>
      <c r="AP143" s="245">
        <f t="array" ref="AP143">SUM(IF((modeldata!$F:$F=calibration!$AF$132)*(modeldata!$G:$G=calibration!AP$134)*(modeldata!$H:$H=calibration!$AF143),modeldata!$E:$E,0))</f>
        <v>0</v>
      </c>
      <c r="AQ143" s="245">
        <f t="array" ref="AQ143">SUM(IF((modeldata!$F:$F=calibration!$AF$132)*(modeldata!$G:$G=calibration!AQ$134)*(modeldata!$H:$H=calibration!$AF143),modeldata!$E:$E,0))</f>
        <v>0</v>
      </c>
      <c r="AR143" s="178">
        <f t="shared" si="956"/>
        <v>0</v>
      </c>
      <c r="AS143" s="17">
        <f t="shared" si="896"/>
        <v>0</v>
      </c>
      <c r="AU143" s="64" t="s">
        <v>45</v>
      </c>
      <c r="AV143" s="38">
        <f t="shared" ref="AV143:BG143" si="971">IF(R155&gt;0,R143/R155,0)</f>
        <v>0</v>
      </c>
      <c r="AW143" s="245">
        <f t="shared" si="971"/>
        <v>0</v>
      </c>
      <c r="AX143" s="245">
        <f t="shared" si="971"/>
        <v>0</v>
      </c>
      <c r="AY143" s="245">
        <f t="shared" si="971"/>
        <v>0</v>
      </c>
      <c r="AZ143" s="245">
        <f t="shared" si="971"/>
        <v>0</v>
      </c>
      <c r="BA143" s="40">
        <f t="shared" si="971"/>
        <v>0</v>
      </c>
      <c r="BB143" s="245">
        <f t="shared" si="971"/>
        <v>0</v>
      </c>
      <c r="BC143" s="246">
        <f t="shared" si="971"/>
        <v>0</v>
      </c>
      <c r="BD143" s="245">
        <f t="shared" si="971"/>
        <v>0</v>
      </c>
      <c r="BE143" s="245">
        <f t="shared" si="971"/>
        <v>0</v>
      </c>
      <c r="BF143" s="245">
        <f t="shared" si="971"/>
        <v>0</v>
      </c>
      <c r="BG143" s="178">
        <f t="shared" si="971"/>
        <v>0</v>
      </c>
      <c r="BH143" s="24" t="e">
        <f>AD143/AD155</f>
        <v>#DIV/0!</v>
      </c>
      <c r="BJ143" s="64" t="s">
        <v>45</v>
      </c>
      <c r="BK143" s="38">
        <f t="shared" ref="BK143:BV143" si="972">IF(AG155&gt;0,AG143/AG155,0)</f>
        <v>0</v>
      </c>
      <c r="BL143" s="245">
        <f t="shared" si="972"/>
        <v>0</v>
      </c>
      <c r="BM143" s="245">
        <f t="shared" si="972"/>
        <v>0</v>
      </c>
      <c r="BN143" s="245">
        <f t="shared" si="972"/>
        <v>0</v>
      </c>
      <c r="BO143" s="245">
        <f t="shared" si="972"/>
        <v>0</v>
      </c>
      <c r="BP143" s="40">
        <f t="shared" si="972"/>
        <v>0</v>
      </c>
      <c r="BQ143" s="245">
        <f t="shared" si="972"/>
        <v>0</v>
      </c>
      <c r="BR143" s="246">
        <f t="shared" si="972"/>
        <v>0</v>
      </c>
      <c r="BS143" s="245">
        <f t="shared" si="972"/>
        <v>0</v>
      </c>
      <c r="BT143" s="245">
        <f t="shared" si="972"/>
        <v>0</v>
      </c>
      <c r="BU143" s="245">
        <f t="shared" si="972"/>
        <v>0</v>
      </c>
      <c r="BV143" s="178">
        <f t="shared" si="972"/>
        <v>0</v>
      </c>
      <c r="BW143" s="24" t="e">
        <f>AS143/AS155</f>
        <v>#DIV/0!</v>
      </c>
      <c r="BX143" s="24"/>
      <c r="BY143" s="64" t="s">
        <v>45</v>
      </c>
      <c r="BZ143" s="54">
        <f t="shared" si="929"/>
        <v>0</v>
      </c>
      <c r="CA143" s="55">
        <f t="shared" si="899"/>
        <v>0</v>
      </c>
      <c r="CB143" s="55">
        <f t="shared" si="900"/>
        <v>0</v>
      </c>
      <c r="CC143" s="55">
        <f t="shared" si="901"/>
        <v>0</v>
      </c>
      <c r="CD143" s="55">
        <f t="shared" si="902"/>
        <v>0</v>
      </c>
      <c r="CE143" s="60">
        <f t="shared" si="903"/>
        <v>0</v>
      </c>
      <c r="CF143" s="55">
        <f t="shared" si="904"/>
        <v>0</v>
      </c>
      <c r="CG143" s="249">
        <f t="shared" si="905"/>
        <v>0</v>
      </c>
      <c r="CH143" s="55">
        <f t="shared" si="906"/>
        <v>0</v>
      </c>
      <c r="CI143" s="55">
        <f t="shared" si="907"/>
        <v>0</v>
      </c>
      <c r="CJ143" s="55">
        <f t="shared" si="908"/>
        <v>0</v>
      </c>
      <c r="CK143" s="252">
        <f t="shared" si="908"/>
        <v>0</v>
      </c>
      <c r="CL143" s="55">
        <f t="shared" si="909"/>
        <v>0</v>
      </c>
      <c r="CN143" s="64" t="s">
        <v>45</v>
      </c>
      <c r="CO143" s="54">
        <f t="shared" si="930"/>
        <v>0</v>
      </c>
      <c r="CP143" s="55">
        <f t="shared" si="910"/>
        <v>0</v>
      </c>
      <c r="CQ143" s="55">
        <f t="shared" si="911"/>
        <v>0</v>
      </c>
      <c r="CR143" s="55">
        <f t="shared" si="912"/>
        <v>0</v>
      </c>
      <c r="CS143" s="55">
        <f t="shared" si="913"/>
        <v>0</v>
      </c>
      <c r="CT143" s="60">
        <f t="shared" si="914"/>
        <v>0</v>
      </c>
      <c r="CU143" s="55">
        <f t="shared" si="915"/>
        <v>0</v>
      </c>
      <c r="CV143" s="249">
        <f t="shared" si="916"/>
        <v>0</v>
      </c>
      <c r="CW143" s="55">
        <f t="shared" si="917"/>
        <v>0</v>
      </c>
      <c r="CX143" s="55">
        <f t="shared" si="918"/>
        <v>0</v>
      </c>
      <c r="CY143" s="55">
        <f t="shared" si="919"/>
        <v>0</v>
      </c>
      <c r="CZ143" s="252">
        <f t="shared" si="919"/>
        <v>0</v>
      </c>
      <c r="DA143" s="62" t="e">
        <f t="shared" si="920"/>
        <v>#DIV/0!</v>
      </c>
      <c r="DC143" s="64" t="s">
        <v>45</v>
      </c>
      <c r="DD143" s="198">
        <f t="shared" si="931"/>
        <v>0</v>
      </c>
      <c r="DE143" s="199">
        <f t="shared" si="932"/>
        <v>0</v>
      </c>
      <c r="DF143" s="198">
        <f t="shared" si="933"/>
        <v>0</v>
      </c>
      <c r="DG143" s="199">
        <f t="shared" si="934"/>
        <v>0</v>
      </c>
      <c r="DH143" s="198">
        <f t="shared" si="935"/>
        <v>0</v>
      </c>
      <c r="DI143" s="199">
        <f t="shared" si="936"/>
        <v>0</v>
      </c>
      <c r="DJ143" s="198">
        <f t="shared" si="937"/>
        <v>0</v>
      </c>
      <c r="DK143" s="199">
        <f t="shared" si="938"/>
        <v>0</v>
      </c>
      <c r="DL143" s="198">
        <f t="shared" si="939"/>
        <v>0</v>
      </c>
      <c r="DM143" s="199">
        <f t="shared" si="940"/>
        <v>0</v>
      </c>
      <c r="DN143" s="198">
        <f t="shared" si="941"/>
        <v>0</v>
      </c>
      <c r="DO143" s="199">
        <f t="shared" si="942"/>
        <v>0</v>
      </c>
      <c r="DP143" s="198">
        <f t="shared" si="943"/>
        <v>0</v>
      </c>
      <c r="DQ143" s="199">
        <f t="shared" si="944"/>
        <v>0</v>
      </c>
      <c r="DR143" s="198">
        <f t="shared" si="945"/>
        <v>0</v>
      </c>
      <c r="DS143" s="199">
        <f t="shared" si="946"/>
        <v>0</v>
      </c>
      <c r="DT143" s="198">
        <f t="shared" si="947"/>
        <v>0</v>
      </c>
      <c r="DU143" s="199">
        <f t="shared" si="948"/>
        <v>0</v>
      </c>
      <c r="DV143" s="198">
        <f t="shared" si="949"/>
        <v>0</v>
      </c>
      <c r="DW143" s="199">
        <f t="shared" si="950"/>
        <v>0</v>
      </c>
      <c r="DX143" s="198">
        <f t="shared" si="951"/>
        <v>0</v>
      </c>
      <c r="DY143" s="199">
        <f t="shared" si="952"/>
        <v>0</v>
      </c>
      <c r="DZ143" s="190">
        <f t="shared" si="953"/>
        <v>0</v>
      </c>
      <c r="EA143" s="199">
        <f t="shared" si="921"/>
        <v>0</v>
      </c>
      <c r="EB143" s="190" t="e">
        <f t="shared" si="954"/>
        <v>#DIV/0!</v>
      </c>
      <c r="EC143" s="190" t="e">
        <f t="shared" si="955"/>
        <v>#DIV/0!</v>
      </c>
    </row>
    <row r="144" spans="1:133" x14ac:dyDescent="0.2">
      <c r="A144" s="64" t="s">
        <v>46</v>
      </c>
      <c r="B144" s="38">
        <f>targets!AW135</f>
        <v>0</v>
      </c>
      <c r="C144" s="245">
        <f>targets!AX135</f>
        <v>0</v>
      </c>
      <c r="D144" s="245">
        <f>targets!AY135</f>
        <v>0</v>
      </c>
      <c r="E144" s="245">
        <f>targets!AZ135</f>
        <v>0</v>
      </c>
      <c r="F144" s="245">
        <f>targets!BA135</f>
        <v>0</v>
      </c>
      <c r="G144" s="40">
        <f>SUM(targets!BB135:BG135)</f>
        <v>0</v>
      </c>
      <c r="H144" s="245">
        <f>SUM(targets!BH135:BM135)</f>
        <v>0</v>
      </c>
      <c r="I144" s="246">
        <f t="shared" si="922"/>
        <v>0</v>
      </c>
      <c r="J144" s="245">
        <f>targets!BN135</f>
        <v>0</v>
      </c>
      <c r="K144" s="245">
        <f>targets!BO135</f>
        <v>0</v>
      </c>
      <c r="L144" s="245">
        <f>targets!BP135</f>
        <v>0</v>
      </c>
      <c r="M144" s="178">
        <f t="shared" si="923"/>
        <v>0</v>
      </c>
      <c r="N144" s="17">
        <f t="shared" si="884"/>
        <v>0</v>
      </c>
      <c r="O144" s="17"/>
      <c r="P144" s="17"/>
      <c r="Q144" s="64" t="s">
        <v>46</v>
      </c>
      <c r="R144" s="38">
        <f t="shared" si="885"/>
        <v>0</v>
      </c>
      <c r="S144" s="245">
        <f t="shared" si="886"/>
        <v>0</v>
      </c>
      <c r="T144" s="245">
        <f t="shared" si="887"/>
        <v>0</v>
      </c>
      <c r="U144" s="245">
        <f t="shared" si="888"/>
        <v>0</v>
      </c>
      <c r="V144" s="245">
        <f t="shared" si="889"/>
        <v>0</v>
      </c>
      <c r="W144" s="40">
        <f t="shared" si="890"/>
        <v>0</v>
      </c>
      <c r="X144" s="245">
        <f t="shared" si="891"/>
        <v>0</v>
      </c>
      <c r="Y144" s="246">
        <f t="shared" si="924"/>
        <v>0</v>
      </c>
      <c r="Z144" s="245">
        <f t="shared" si="892"/>
        <v>0</v>
      </c>
      <c r="AA144" s="245">
        <f t="shared" si="893"/>
        <v>0</v>
      </c>
      <c r="AB144" s="245">
        <f t="shared" si="894"/>
        <v>0</v>
      </c>
      <c r="AC144" s="178">
        <f t="shared" si="925"/>
        <v>0</v>
      </c>
      <c r="AD144" s="17">
        <f t="shared" si="895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5">
        <f t="array" ref="AH144">SUM(IF((modeldata!$F:$F=calibration!$AF$132)*(modeldata!$G:$G=calibration!AH$134)*(modeldata!$H:$H=calibration!$AF144),modeldata!$E:$E,0))</f>
        <v>0</v>
      </c>
      <c r="AI144" s="245">
        <f t="array" ref="AI144">SUM(IF((modeldata!$F:$F=calibration!$AF$132)*(modeldata!$G:$G=calibration!AI$134)*(modeldata!$H:$H=calibration!$AF144),modeldata!$E:$E,0))</f>
        <v>0</v>
      </c>
      <c r="AJ144" s="245">
        <f t="array" ref="AJ144">SUM(IF((modeldata!$F:$F=calibration!$AF$132)*(modeldata!$G:$G=calibration!AJ$134)*(modeldata!$H:$H=calibration!$AF144),modeldata!$E:$E,0))</f>
        <v>0</v>
      </c>
      <c r="AK144" s="245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5">
        <f t="array" ref="AM144">SUM(IF((modeldata!$F:$F=calibration!$AF$132)*(modeldata!$G:$G=calibration!AM$134)*(modeldata!$H:$H=calibration!$AF144),modeldata!$E:$E,0))</f>
        <v>0</v>
      </c>
      <c r="AN144" s="246">
        <f t="shared" si="963"/>
        <v>0</v>
      </c>
      <c r="AO144" s="245">
        <f t="array" ref="AO144">SUM(IF((modeldata!$F:$F=calibration!$AF$132)*(modeldata!$G:$G=calibration!AO$134)*(modeldata!$H:$H=calibration!$AF144),modeldata!$E:$E,0))</f>
        <v>0</v>
      </c>
      <c r="AP144" s="245">
        <f t="array" ref="AP144">SUM(IF((modeldata!$F:$F=calibration!$AF$132)*(modeldata!$G:$G=calibration!AP$134)*(modeldata!$H:$H=calibration!$AF144),modeldata!$E:$E,0))</f>
        <v>0</v>
      </c>
      <c r="AQ144" s="245">
        <f t="array" ref="AQ144">SUM(IF((modeldata!$F:$F=calibration!$AF$132)*(modeldata!$G:$G=calibration!AQ$134)*(modeldata!$H:$H=calibration!$AF144),modeldata!$E:$E,0))</f>
        <v>0</v>
      </c>
      <c r="AR144" s="178">
        <f t="shared" si="956"/>
        <v>0</v>
      </c>
      <c r="AS144" s="17">
        <f t="shared" si="896"/>
        <v>0</v>
      </c>
      <c r="AU144" s="64" t="s">
        <v>46</v>
      </c>
      <c r="AV144" s="38">
        <f t="shared" ref="AV144:BG144" si="973">IF(R155&gt;0,R144/R155,0)</f>
        <v>0</v>
      </c>
      <c r="AW144" s="245">
        <f t="shared" si="973"/>
        <v>0</v>
      </c>
      <c r="AX144" s="245">
        <f t="shared" si="973"/>
        <v>0</v>
      </c>
      <c r="AY144" s="245">
        <f t="shared" si="973"/>
        <v>0</v>
      </c>
      <c r="AZ144" s="245">
        <f t="shared" si="973"/>
        <v>0</v>
      </c>
      <c r="BA144" s="40">
        <f t="shared" si="973"/>
        <v>0</v>
      </c>
      <c r="BB144" s="245">
        <f t="shared" si="973"/>
        <v>0</v>
      </c>
      <c r="BC144" s="246">
        <f t="shared" si="973"/>
        <v>0</v>
      </c>
      <c r="BD144" s="245">
        <f t="shared" si="973"/>
        <v>0</v>
      </c>
      <c r="BE144" s="245">
        <f t="shared" si="973"/>
        <v>0</v>
      </c>
      <c r="BF144" s="245">
        <f t="shared" si="973"/>
        <v>0</v>
      </c>
      <c r="BG144" s="178">
        <f t="shared" si="973"/>
        <v>0</v>
      </c>
      <c r="BH144" s="24" t="e">
        <f>AD144/AD155</f>
        <v>#DIV/0!</v>
      </c>
      <c r="BJ144" s="64" t="s">
        <v>46</v>
      </c>
      <c r="BK144" s="38">
        <f t="shared" ref="BK144:BV144" si="974">IF(AG155&gt;0,AG144/AG155,0)</f>
        <v>0</v>
      </c>
      <c r="BL144" s="245">
        <f t="shared" si="974"/>
        <v>0</v>
      </c>
      <c r="BM144" s="245">
        <f t="shared" si="974"/>
        <v>0</v>
      </c>
      <c r="BN144" s="245">
        <f t="shared" si="974"/>
        <v>0</v>
      </c>
      <c r="BO144" s="245">
        <f t="shared" si="974"/>
        <v>0</v>
      </c>
      <c r="BP144" s="40">
        <f t="shared" si="974"/>
        <v>0</v>
      </c>
      <c r="BQ144" s="245">
        <f t="shared" si="974"/>
        <v>0</v>
      </c>
      <c r="BR144" s="246">
        <f t="shared" si="974"/>
        <v>0</v>
      </c>
      <c r="BS144" s="245">
        <f t="shared" si="974"/>
        <v>0</v>
      </c>
      <c r="BT144" s="245">
        <f t="shared" si="974"/>
        <v>0</v>
      </c>
      <c r="BU144" s="245">
        <f t="shared" si="974"/>
        <v>0</v>
      </c>
      <c r="BV144" s="178">
        <f t="shared" si="974"/>
        <v>0</v>
      </c>
      <c r="BW144" s="24" t="e">
        <f>AS144/AS155</f>
        <v>#DIV/0!</v>
      </c>
      <c r="BX144" s="24"/>
      <c r="BY144" s="64" t="s">
        <v>46</v>
      </c>
      <c r="BZ144" s="54">
        <f t="shared" si="929"/>
        <v>0</v>
      </c>
      <c r="CA144" s="55">
        <f t="shared" si="899"/>
        <v>0</v>
      </c>
      <c r="CB144" s="55">
        <f t="shared" si="900"/>
        <v>0</v>
      </c>
      <c r="CC144" s="55">
        <f t="shared" si="901"/>
        <v>0</v>
      </c>
      <c r="CD144" s="55">
        <f t="shared" si="902"/>
        <v>0</v>
      </c>
      <c r="CE144" s="60">
        <f t="shared" si="903"/>
        <v>0</v>
      </c>
      <c r="CF144" s="55">
        <f t="shared" si="904"/>
        <v>0</v>
      </c>
      <c r="CG144" s="249">
        <f t="shared" si="905"/>
        <v>0</v>
      </c>
      <c r="CH144" s="55">
        <f t="shared" si="906"/>
        <v>0</v>
      </c>
      <c r="CI144" s="55">
        <f t="shared" si="907"/>
        <v>0</v>
      </c>
      <c r="CJ144" s="55">
        <f t="shared" si="908"/>
        <v>0</v>
      </c>
      <c r="CK144" s="252">
        <f t="shared" si="908"/>
        <v>0</v>
      </c>
      <c r="CL144" s="55">
        <f t="shared" si="909"/>
        <v>0</v>
      </c>
      <c r="CN144" s="64" t="s">
        <v>46</v>
      </c>
      <c r="CO144" s="54">
        <f t="shared" si="930"/>
        <v>0</v>
      </c>
      <c r="CP144" s="55">
        <f t="shared" si="910"/>
        <v>0</v>
      </c>
      <c r="CQ144" s="55">
        <f t="shared" si="911"/>
        <v>0</v>
      </c>
      <c r="CR144" s="55">
        <f t="shared" si="912"/>
        <v>0</v>
      </c>
      <c r="CS144" s="55">
        <f t="shared" si="913"/>
        <v>0</v>
      </c>
      <c r="CT144" s="60">
        <f t="shared" si="914"/>
        <v>0</v>
      </c>
      <c r="CU144" s="55">
        <f t="shared" si="915"/>
        <v>0</v>
      </c>
      <c r="CV144" s="249">
        <f t="shared" si="916"/>
        <v>0</v>
      </c>
      <c r="CW144" s="55">
        <f t="shared" si="917"/>
        <v>0</v>
      </c>
      <c r="CX144" s="55">
        <f t="shared" si="918"/>
        <v>0</v>
      </c>
      <c r="CY144" s="55">
        <f t="shared" si="919"/>
        <v>0</v>
      </c>
      <c r="CZ144" s="252">
        <f t="shared" si="919"/>
        <v>0</v>
      </c>
      <c r="DA144" s="62" t="e">
        <f t="shared" si="920"/>
        <v>#DIV/0!</v>
      </c>
      <c r="DC144" s="64" t="s">
        <v>46</v>
      </c>
      <c r="DD144" s="198">
        <f t="shared" si="931"/>
        <v>0</v>
      </c>
      <c r="DE144" s="199">
        <f t="shared" si="932"/>
        <v>0</v>
      </c>
      <c r="DF144" s="198">
        <f t="shared" si="933"/>
        <v>0</v>
      </c>
      <c r="DG144" s="199">
        <f t="shared" si="934"/>
        <v>0</v>
      </c>
      <c r="DH144" s="198">
        <f t="shared" si="935"/>
        <v>0</v>
      </c>
      <c r="DI144" s="199">
        <f t="shared" si="936"/>
        <v>0</v>
      </c>
      <c r="DJ144" s="198">
        <f t="shared" si="937"/>
        <v>0</v>
      </c>
      <c r="DK144" s="199">
        <f t="shared" si="938"/>
        <v>0</v>
      </c>
      <c r="DL144" s="198">
        <f t="shared" si="939"/>
        <v>0</v>
      </c>
      <c r="DM144" s="199">
        <f t="shared" si="940"/>
        <v>0</v>
      </c>
      <c r="DN144" s="198">
        <f t="shared" si="941"/>
        <v>0</v>
      </c>
      <c r="DO144" s="199">
        <f t="shared" si="942"/>
        <v>0</v>
      </c>
      <c r="DP144" s="198">
        <f t="shared" si="943"/>
        <v>0</v>
      </c>
      <c r="DQ144" s="199">
        <f t="shared" si="944"/>
        <v>0</v>
      </c>
      <c r="DR144" s="198">
        <f t="shared" si="945"/>
        <v>0</v>
      </c>
      <c r="DS144" s="199">
        <f t="shared" si="946"/>
        <v>0</v>
      </c>
      <c r="DT144" s="198">
        <f t="shared" si="947"/>
        <v>0</v>
      </c>
      <c r="DU144" s="199">
        <f t="shared" si="948"/>
        <v>0</v>
      </c>
      <c r="DV144" s="198">
        <f t="shared" si="949"/>
        <v>0</v>
      </c>
      <c r="DW144" s="199">
        <f t="shared" si="950"/>
        <v>0</v>
      </c>
      <c r="DX144" s="198">
        <f t="shared" si="951"/>
        <v>0</v>
      </c>
      <c r="DY144" s="199">
        <f t="shared" si="952"/>
        <v>0</v>
      </c>
      <c r="DZ144" s="190">
        <f t="shared" si="953"/>
        <v>0</v>
      </c>
      <c r="EA144" s="199">
        <f t="shared" si="921"/>
        <v>0</v>
      </c>
      <c r="EB144" s="190" t="e">
        <f t="shared" si="954"/>
        <v>#DIV/0!</v>
      </c>
      <c r="EC144" s="190" t="e">
        <f t="shared" si="955"/>
        <v>#DIV/0!</v>
      </c>
    </row>
    <row r="145" spans="1:133" x14ac:dyDescent="0.2">
      <c r="A145" s="64" t="s">
        <v>47</v>
      </c>
      <c r="B145" s="38">
        <f>targets!AW136</f>
        <v>0</v>
      </c>
      <c r="C145" s="245">
        <f>targets!AX136</f>
        <v>0</v>
      </c>
      <c r="D145" s="245">
        <f>targets!AY136</f>
        <v>0</v>
      </c>
      <c r="E145" s="245">
        <f>targets!AZ136</f>
        <v>0</v>
      </c>
      <c r="F145" s="245">
        <f>targets!BA136</f>
        <v>0</v>
      </c>
      <c r="G145" s="41">
        <f>SUM(targets!BB136:BG136)</f>
        <v>202.48129851861268</v>
      </c>
      <c r="H145" s="245">
        <f>SUM(targets!BH136:BM136)</f>
        <v>0</v>
      </c>
      <c r="I145" s="246">
        <f t="shared" si="922"/>
        <v>202.48129851861268</v>
      </c>
      <c r="J145" s="245">
        <f>targets!BN136</f>
        <v>0</v>
      </c>
      <c r="K145" s="245">
        <f>targets!BO136</f>
        <v>0</v>
      </c>
      <c r="L145" s="245">
        <f>targets!BP136</f>
        <v>0</v>
      </c>
      <c r="M145" s="178">
        <f t="shared" si="923"/>
        <v>0</v>
      </c>
      <c r="N145" s="17">
        <f t="shared" si="884"/>
        <v>202.48129851861268</v>
      </c>
      <c r="O145" s="17"/>
      <c r="P145" s="17"/>
      <c r="Q145" s="64" t="s">
        <v>47</v>
      </c>
      <c r="R145" s="38">
        <f t="shared" si="885"/>
        <v>0</v>
      </c>
      <c r="S145" s="245">
        <f t="shared" si="886"/>
        <v>0</v>
      </c>
      <c r="T145" s="245">
        <f t="shared" si="887"/>
        <v>0</v>
      </c>
      <c r="U145" s="245">
        <f t="shared" si="888"/>
        <v>0</v>
      </c>
      <c r="V145" s="245">
        <f t="shared" si="889"/>
        <v>0</v>
      </c>
      <c r="W145" s="41">
        <f t="shared" si="890"/>
        <v>0</v>
      </c>
      <c r="X145" s="245">
        <f t="shared" si="891"/>
        <v>0</v>
      </c>
      <c r="Y145" s="246">
        <f t="shared" si="924"/>
        <v>0</v>
      </c>
      <c r="Z145" s="245">
        <f t="shared" si="892"/>
        <v>0</v>
      </c>
      <c r="AA145" s="245">
        <f t="shared" si="893"/>
        <v>0</v>
      </c>
      <c r="AB145" s="245">
        <f t="shared" si="894"/>
        <v>0</v>
      </c>
      <c r="AC145" s="178">
        <f t="shared" si="925"/>
        <v>0</v>
      </c>
      <c r="AD145" s="17">
        <f t="shared" si="895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5">
        <f t="array" ref="AH145">SUM(IF((modeldata!$F:$F=calibration!$AF$132)*(modeldata!$G:$G=calibration!AH$134)*(modeldata!$H:$H=calibration!$AF145),modeldata!$E:$E,0))</f>
        <v>0</v>
      </c>
      <c r="AI145" s="245">
        <f t="array" ref="AI145">SUM(IF((modeldata!$F:$F=calibration!$AF$132)*(modeldata!$G:$G=calibration!AI$134)*(modeldata!$H:$H=calibration!$AF145),modeldata!$E:$E,0))</f>
        <v>0</v>
      </c>
      <c r="AJ145" s="245">
        <f t="array" ref="AJ145">SUM(IF((modeldata!$F:$F=calibration!$AF$132)*(modeldata!$G:$G=calibration!AJ$134)*(modeldata!$H:$H=calibration!$AF145),modeldata!$E:$E,0))</f>
        <v>0</v>
      </c>
      <c r="AK145" s="245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5">
        <f t="array" ref="AM145">SUM(IF((modeldata!$F:$F=calibration!$AF$132)*(modeldata!$G:$G=calibration!AM$134)*(modeldata!$H:$H=calibration!$AF145),modeldata!$E:$E,0))</f>
        <v>0</v>
      </c>
      <c r="AN145" s="246">
        <f t="shared" si="963"/>
        <v>0</v>
      </c>
      <c r="AO145" s="245">
        <f t="array" ref="AO145">SUM(IF((modeldata!$F:$F=calibration!$AF$132)*(modeldata!$G:$G=calibration!AO$134)*(modeldata!$H:$H=calibration!$AF145),modeldata!$E:$E,0))</f>
        <v>0</v>
      </c>
      <c r="AP145" s="245">
        <f t="array" ref="AP145">SUM(IF((modeldata!$F:$F=calibration!$AF$132)*(modeldata!$G:$G=calibration!AP$134)*(modeldata!$H:$H=calibration!$AF145),modeldata!$E:$E,0))</f>
        <v>0</v>
      </c>
      <c r="AQ145" s="245">
        <f t="array" ref="AQ145">SUM(IF((modeldata!$F:$F=calibration!$AF$132)*(modeldata!$G:$G=calibration!AQ$134)*(modeldata!$H:$H=calibration!$AF145),modeldata!$E:$E,0))</f>
        <v>0</v>
      </c>
      <c r="AR145" s="178">
        <f t="shared" si="956"/>
        <v>0</v>
      </c>
      <c r="AS145" s="17">
        <f t="shared" si="896"/>
        <v>0</v>
      </c>
      <c r="AU145" s="64" t="s">
        <v>47</v>
      </c>
      <c r="AV145" s="38">
        <f t="shared" ref="AV145:BG145" si="975">IF(R155&gt;0,R145/R155,0)</f>
        <v>0</v>
      </c>
      <c r="AW145" s="245">
        <f t="shared" si="975"/>
        <v>0</v>
      </c>
      <c r="AX145" s="245">
        <f t="shared" si="975"/>
        <v>0</v>
      </c>
      <c r="AY145" s="245">
        <f t="shared" si="975"/>
        <v>0</v>
      </c>
      <c r="AZ145" s="245">
        <f t="shared" si="975"/>
        <v>0</v>
      </c>
      <c r="BA145" s="41">
        <f t="shared" si="975"/>
        <v>0</v>
      </c>
      <c r="BB145" s="245">
        <f t="shared" si="975"/>
        <v>0</v>
      </c>
      <c r="BC145" s="246">
        <f t="shared" si="975"/>
        <v>0</v>
      </c>
      <c r="BD145" s="245">
        <f t="shared" si="975"/>
        <v>0</v>
      </c>
      <c r="BE145" s="245">
        <f t="shared" si="975"/>
        <v>0</v>
      </c>
      <c r="BF145" s="245">
        <f t="shared" si="975"/>
        <v>0</v>
      </c>
      <c r="BG145" s="178">
        <f t="shared" si="975"/>
        <v>0</v>
      </c>
      <c r="BH145" s="24" t="e">
        <f>AD145/AD155</f>
        <v>#DIV/0!</v>
      </c>
      <c r="BJ145" s="64" t="s">
        <v>47</v>
      </c>
      <c r="BK145" s="38">
        <f t="shared" ref="BK145:BV145" si="976">IF(AG155&gt;0,AG145/AG155,0)</f>
        <v>0</v>
      </c>
      <c r="BL145" s="245">
        <f t="shared" si="976"/>
        <v>0</v>
      </c>
      <c r="BM145" s="245">
        <f t="shared" si="976"/>
        <v>0</v>
      </c>
      <c r="BN145" s="245">
        <f t="shared" si="976"/>
        <v>0</v>
      </c>
      <c r="BO145" s="245">
        <f t="shared" si="976"/>
        <v>0</v>
      </c>
      <c r="BP145" s="41">
        <f t="shared" si="976"/>
        <v>0</v>
      </c>
      <c r="BQ145" s="245">
        <f t="shared" si="976"/>
        <v>0</v>
      </c>
      <c r="BR145" s="246">
        <f t="shared" si="976"/>
        <v>0</v>
      </c>
      <c r="BS145" s="245">
        <f t="shared" si="976"/>
        <v>0</v>
      </c>
      <c r="BT145" s="245">
        <f t="shared" si="976"/>
        <v>0</v>
      </c>
      <c r="BU145" s="245">
        <f t="shared" si="976"/>
        <v>0</v>
      </c>
      <c r="BV145" s="178">
        <f t="shared" si="976"/>
        <v>0</v>
      </c>
      <c r="BW145" s="24" t="e">
        <f>AS145/AS155</f>
        <v>#DIV/0!</v>
      </c>
      <c r="BX145" s="24"/>
      <c r="BY145" s="64" t="s">
        <v>47</v>
      </c>
      <c r="BZ145" s="54">
        <f t="shared" si="929"/>
        <v>0</v>
      </c>
      <c r="CA145" s="55">
        <f t="shared" si="899"/>
        <v>0</v>
      </c>
      <c r="CB145" s="55">
        <f t="shared" si="900"/>
        <v>0</v>
      </c>
      <c r="CC145" s="55">
        <f t="shared" si="901"/>
        <v>0</v>
      </c>
      <c r="CD145" s="55">
        <f t="shared" si="902"/>
        <v>0</v>
      </c>
      <c r="CE145" s="61">
        <f t="shared" si="903"/>
        <v>0</v>
      </c>
      <c r="CF145" s="55">
        <f t="shared" si="904"/>
        <v>0</v>
      </c>
      <c r="CG145" s="249">
        <f t="shared" si="905"/>
        <v>0</v>
      </c>
      <c r="CH145" s="55">
        <f t="shared" si="906"/>
        <v>0</v>
      </c>
      <c r="CI145" s="55">
        <f t="shared" si="907"/>
        <v>0</v>
      </c>
      <c r="CJ145" s="55">
        <f t="shared" si="908"/>
        <v>0</v>
      </c>
      <c r="CK145" s="252">
        <f t="shared" si="908"/>
        <v>0</v>
      </c>
      <c r="CL145" s="55">
        <f t="shared" si="909"/>
        <v>0</v>
      </c>
      <c r="CN145" s="64" t="s">
        <v>47</v>
      </c>
      <c r="CO145" s="54">
        <f t="shared" si="930"/>
        <v>0</v>
      </c>
      <c r="CP145" s="55">
        <f t="shared" si="910"/>
        <v>0</v>
      </c>
      <c r="CQ145" s="55">
        <f t="shared" si="911"/>
        <v>0</v>
      </c>
      <c r="CR145" s="55">
        <f t="shared" si="912"/>
        <v>0</v>
      </c>
      <c r="CS145" s="55">
        <f t="shared" si="913"/>
        <v>0</v>
      </c>
      <c r="CT145" s="61">
        <f t="shared" si="914"/>
        <v>0</v>
      </c>
      <c r="CU145" s="55">
        <f t="shared" si="915"/>
        <v>0</v>
      </c>
      <c r="CV145" s="249">
        <f t="shared" si="916"/>
        <v>0</v>
      </c>
      <c r="CW145" s="55">
        <f t="shared" si="917"/>
        <v>0</v>
      </c>
      <c r="CX145" s="55">
        <f t="shared" si="918"/>
        <v>0</v>
      </c>
      <c r="CY145" s="55">
        <f t="shared" si="919"/>
        <v>0</v>
      </c>
      <c r="CZ145" s="252">
        <f t="shared" si="919"/>
        <v>0</v>
      </c>
      <c r="DA145" s="62" t="e">
        <f t="shared" si="920"/>
        <v>#DIV/0!</v>
      </c>
      <c r="DC145" s="64" t="s">
        <v>47</v>
      </c>
      <c r="DD145" s="198">
        <f t="shared" si="931"/>
        <v>0</v>
      </c>
      <c r="DE145" s="199">
        <f t="shared" si="932"/>
        <v>0</v>
      </c>
      <c r="DF145" s="198">
        <f t="shared" si="933"/>
        <v>0</v>
      </c>
      <c r="DG145" s="199">
        <f t="shared" si="934"/>
        <v>0</v>
      </c>
      <c r="DH145" s="198">
        <f t="shared" si="935"/>
        <v>0</v>
      </c>
      <c r="DI145" s="199">
        <f t="shared" si="936"/>
        <v>0</v>
      </c>
      <c r="DJ145" s="198">
        <f t="shared" si="937"/>
        <v>0</v>
      </c>
      <c r="DK145" s="199">
        <f t="shared" si="938"/>
        <v>0</v>
      </c>
      <c r="DL145" s="198">
        <f t="shared" si="939"/>
        <v>0</v>
      </c>
      <c r="DM145" s="199">
        <f t="shared" si="940"/>
        <v>0</v>
      </c>
      <c r="DN145" s="200">
        <f t="shared" si="941"/>
        <v>0</v>
      </c>
      <c r="DO145" s="201">
        <f t="shared" si="942"/>
        <v>0</v>
      </c>
      <c r="DP145" s="198">
        <f t="shared" si="943"/>
        <v>0</v>
      </c>
      <c r="DQ145" s="199">
        <f t="shared" si="944"/>
        <v>0</v>
      </c>
      <c r="DR145" s="198">
        <f t="shared" si="945"/>
        <v>0</v>
      </c>
      <c r="DS145" s="199">
        <f t="shared" si="946"/>
        <v>0</v>
      </c>
      <c r="DT145" s="198">
        <f t="shared" si="947"/>
        <v>0</v>
      </c>
      <c r="DU145" s="199">
        <f t="shared" si="948"/>
        <v>0</v>
      </c>
      <c r="DV145" s="198">
        <f t="shared" si="949"/>
        <v>0</v>
      </c>
      <c r="DW145" s="199">
        <f t="shared" si="950"/>
        <v>0</v>
      </c>
      <c r="DX145" s="198">
        <f t="shared" si="951"/>
        <v>0</v>
      </c>
      <c r="DY145" s="199">
        <f t="shared" si="952"/>
        <v>0</v>
      </c>
      <c r="DZ145" s="190">
        <f t="shared" si="953"/>
        <v>0</v>
      </c>
      <c r="EA145" s="199">
        <f t="shared" si="921"/>
        <v>0</v>
      </c>
      <c r="EB145" s="190" t="e">
        <f t="shared" si="954"/>
        <v>#DIV/0!</v>
      </c>
      <c r="EC145" s="190" t="e">
        <f t="shared" si="955"/>
        <v>#DIV/0!</v>
      </c>
    </row>
    <row r="146" spans="1:133" x14ac:dyDescent="0.2">
      <c r="A146" s="66" t="s">
        <v>40</v>
      </c>
      <c r="B146" s="38">
        <f>targets!AW137</f>
        <v>0</v>
      </c>
      <c r="C146" s="245">
        <f>targets!AX137</f>
        <v>0</v>
      </c>
      <c r="D146" s="245">
        <f>targets!AY137</f>
        <v>0</v>
      </c>
      <c r="E146" s="245">
        <f>targets!AZ137</f>
        <v>0</v>
      </c>
      <c r="F146" s="245">
        <f>targets!BA137</f>
        <v>0</v>
      </c>
      <c r="G146" s="245">
        <f>SUM(targets!BB137:BG137)</f>
        <v>0</v>
      </c>
      <c r="H146" s="39">
        <f>SUM(targets!BH137:BM137)</f>
        <v>0</v>
      </c>
      <c r="I146" s="246">
        <f t="shared" si="922"/>
        <v>0</v>
      </c>
      <c r="J146" s="245">
        <f>targets!BN137</f>
        <v>0</v>
      </c>
      <c r="K146" s="245">
        <f>targets!BO137</f>
        <v>0</v>
      </c>
      <c r="L146" s="245">
        <f>targets!BP137</f>
        <v>0</v>
      </c>
      <c r="M146" s="178">
        <f t="shared" si="923"/>
        <v>0</v>
      </c>
      <c r="N146" s="17">
        <f t="shared" si="884"/>
        <v>0</v>
      </c>
      <c r="O146" s="17"/>
      <c r="P146" s="17"/>
      <c r="Q146" s="66" t="s">
        <v>40</v>
      </c>
      <c r="R146" s="38">
        <f t="shared" si="885"/>
        <v>0</v>
      </c>
      <c r="S146" s="245">
        <f t="shared" si="886"/>
        <v>0</v>
      </c>
      <c r="T146" s="245">
        <f t="shared" si="887"/>
        <v>0</v>
      </c>
      <c r="U146" s="245">
        <f t="shared" si="888"/>
        <v>0</v>
      </c>
      <c r="V146" s="245">
        <f t="shared" si="889"/>
        <v>0</v>
      </c>
      <c r="W146" s="245">
        <f t="shared" si="890"/>
        <v>0</v>
      </c>
      <c r="X146" s="39">
        <f t="shared" si="891"/>
        <v>0</v>
      </c>
      <c r="Y146" s="246">
        <f t="shared" si="924"/>
        <v>0</v>
      </c>
      <c r="Z146" s="245">
        <f t="shared" si="892"/>
        <v>0</v>
      </c>
      <c r="AA146" s="245">
        <f t="shared" si="893"/>
        <v>0</v>
      </c>
      <c r="AB146" s="245">
        <f t="shared" si="894"/>
        <v>0</v>
      </c>
      <c r="AC146" s="178">
        <f t="shared" si="925"/>
        <v>0</v>
      </c>
      <c r="AD146" s="17">
        <f t="shared" si="895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5">
        <f t="array" ref="AH146">SUM(IF((modeldata!$F:$F=calibration!$AF$132)*(modeldata!$G:$G=calibration!AH$134)*(modeldata!$H:$H=calibration!$AF146),modeldata!$E:$E,0))</f>
        <v>0</v>
      </c>
      <c r="AI146" s="245">
        <f t="array" ref="AI146">SUM(IF((modeldata!$F:$F=calibration!$AF$132)*(modeldata!$G:$G=calibration!AI$134)*(modeldata!$H:$H=calibration!$AF146),modeldata!$E:$E,0))</f>
        <v>0</v>
      </c>
      <c r="AJ146" s="245">
        <f t="array" ref="AJ146">SUM(IF((modeldata!$F:$F=calibration!$AF$132)*(modeldata!$G:$G=calibration!AJ$134)*(modeldata!$H:$H=calibration!$AF146),modeldata!$E:$E,0))</f>
        <v>0</v>
      </c>
      <c r="AK146" s="245">
        <f t="array" ref="AK146">SUM(IF((modeldata!$F:$F=calibration!$AF$132)*(modeldata!$G:$G=calibration!AK$134)*(modeldata!$H:$H=calibration!$AF146),modeldata!$E:$E,0))</f>
        <v>0</v>
      </c>
      <c r="AL146" s="245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6"/>
      <c r="AO146" s="245">
        <f t="array" ref="AO146">SUM(IF((modeldata!$F:$F=calibration!$AF$132)*(modeldata!$G:$G=calibration!AO$134)*(modeldata!$H:$H=calibration!$AF146),modeldata!$E:$E,0))</f>
        <v>0</v>
      </c>
      <c r="AP146" s="245">
        <f t="array" ref="AP146">SUM(IF((modeldata!$F:$F=calibration!$AF$132)*(modeldata!$G:$G=calibration!AP$134)*(modeldata!$H:$H=calibration!$AF146),modeldata!$E:$E,0))</f>
        <v>0</v>
      </c>
      <c r="AQ146" s="245">
        <f t="array" ref="AQ146">SUM(IF((modeldata!$F:$F=calibration!$AF$132)*(modeldata!$G:$G=calibration!AQ$134)*(modeldata!$H:$H=calibration!$AF146),modeldata!$E:$E,0))</f>
        <v>0</v>
      </c>
      <c r="AR146" s="178">
        <f t="shared" si="956"/>
        <v>0</v>
      </c>
      <c r="AS146" s="17">
        <f t="shared" si="896"/>
        <v>0</v>
      </c>
      <c r="AU146" s="66" t="s">
        <v>40</v>
      </c>
      <c r="AV146" s="38">
        <f t="shared" ref="AV146:BG146" si="977">IF(R155&gt;0,R146/R155,0)</f>
        <v>0</v>
      </c>
      <c r="AW146" s="245">
        <f t="shared" si="977"/>
        <v>0</v>
      </c>
      <c r="AX146" s="245">
        <f t="shared" si="977"/>
        <v>0</v>
      </c>
      <c r="AY146" s="245">
        <f t="shared" si="977"/>
        <v>0</v>
      </c>
      <c r="AZ146" s="245">
        <f t="shared" si="977"/>
        <v>0</v>
      </c>
      <c r="BA146" s="245">
        <f t="shared" si="977"/>
        <v>0</v>
      </c>
      <c r="BB146" s="39">
        <f t="shared" si="977"/>
        <v>0</v>
      </c>
      <c r="BC146" s="246">
        <f t="shared" si="977"/>
        <v>0</v>
      </c>
      <c r="BD146" s="245">
        <f t="shared" si="977"/>
        <v>0</v>
      </c>
      <c r="BE146" s="245">
        <f t="shared" si="977"/>
        <v>0</v>
      </c>
      <c r="BF146" s="245">
        <f t="shared" si="977"/>
        <v>0</v>
      </c>
      <c r="BG146" s="178">
        <f t="shared" si="977"/>
        <v>0</v>
      </c>
      <c r="BH146" s="24" t="e">
        <f>AD146/AD155</f>
        <v>#DIV/0!</v>
      </c>
      <c r="BJ146" s="66" t="s">
        <v>40</v>
      </c>
      <c r="BK146" s="38">
        <f t="shared" ref="BK146:BV146" si="978">IF(AG155&gt;0,AG146/AG155,0)</f>
        <v>0</v>
      </c>
      <c r="BL146" s="245">
        <f t="shared" si="978"/>
        <v>0</v>
      </c>
      <c r="BM146" s="245">
        <f t="shared" si="978"/>
        <v>0</v>
      </c>
      <c r="BN146" s="245">
        <f t="shared" si="978"/>
        <v>0</v>
      </c>
      <c r="BO146" s="245">
        <f t="shared" si="978"/>
        <v>0</v>
      </c>
      <c r="BP146" s="245">
        <f t="shared" si="978"/>
        <v>0</v>
      </c>
      <c r="BQ146" s="39">
        <f t="shared" si="978"/>
        <v>0</v>
      </c>
      <c r="BR146" s="246">
        <f t="shared" si="978"/>
        <v>0</v>
      </c>
      <c r="BS146" s="245">
        <f t="shared" si="978"/>
        <v>0</v>
      </c>
      <c r="BT146" s="245">
        <f t="shared" si="978"/>
        <v>0</v>
      </c>
      <c r="BU146" s="245">
        <f t="shared" si="978"/>
        <v>0</v>
      </c>
      <c r="BV146" s="178">
        <f t="shared" si="978"/>
        <v>0</v>
      </c>
      <c r="BW146" s="24" t="e">
        <f>AS146/AS155</f>
        <v>#DIV/0!</v>
      </c>
      <c r="BX146" s="24"/>
      <c r="BY146" s="66" t="s">
        <v>40</v>
      </c>
      <c r="BZ146" s="54">
        <f t="shared" si="929"/>
        <v>0</v>
      </c>
      <c r="CA146" s="55">
        <f t="shared" si="899"/>
        <v>0</v>
      </c>
      <c r="CB146" s="55">
        <f t="shared" si="900"/>
        <v>0</v>
      </c>
      <c r="CC146" s="55">
        <f t="shared" si="901"/>
        <v>0</v>
      </c>
      <c r="CD146" s="55">
        <f t="shared" si="902"/>
        <v>0</v>
      </c>
      <c r="CE146" s="55">
        <f t="shared" si="903"/>
        <v>0</v>
      </c>
      <c r="CF146" s="59">
        <f t="shared" si="904"/>
        <v>0</v>
      </c>
      <c r="CG146" s="249">
        <f t="shared" si="905"/>
        <v>0</v>
      </c>
      <c r="CH146" s="55">
        <f t="shared" si="906"/>
        <v>0</v>
      </c>
      <c r="CI146" s="55">
        <f t="shared" si="907"/>
        <v>0</v>
      </c>
      <c r="CJ146" s="55">
        <f t="shared" si="908"/>
        <v>0</v>
      </c>
      <c r="CK146" s="252">
        <f t="shared" si="908"/>
        <v>0</v>
      </c>
      <c r="CL146" s="55">
        <f t="shared" si="909"/>
        <v>0</v>
      </c>
      <c r="CN146" s="66" t="s">
        <v>40</v>
      </c>
      <c r="CO146" s="54">
        <f t="shared" si="930"/>
        <v>0</v>
      </c>
      <c r="CP146" s="55">
        <f t="shared" si="910"/>
        <v>0</v>
      </c>
      <c r="CQ146" s="55">
        <f t="shared" si="911"/>
        <v>0</v>
      </c>
      <c r="CR146" s="55">
        <f t="shared" si="912"/>
        <v>0</v>
      </c>
      <c r="CS146" s="55">
        <f t="shared" si="913"/>
        <v>0</v>
      </c>
      <c r="CT146" s="55">
        <f t="shared" si="914"/>
        <v>0</v>
      </c>
      <c r="CU146" s="59">
        <f t="shared" si="915"/>
        <v>0</v>
      </c>
      <c r="CV146" s="249">
        <f t="shared" si="916"/>
        <v>0</v>
      </c>
      <c r="CW146" s="55">
        <f t="shared" si="917"/>
        <v>0</v>
      </c>
      <c r="CX146" s="55">
        <f t="shared" si="918"/>
        <v>0</v>
      </c>
      <c r="CY146" s="55">
        <f t="shared" si="919"/>
        <v>0</v>
      </c>
      <c r="CZ146" s="252">
        <f t="shared" si="919"/>
        <v>0</v>
      </c>
      <c r="DA146" s="62" t="e">
        <f t="shared" si="920"/>
        <v>#DIV/0!</v>
      </c>
      <c r="DC146" s="66" t="s">
        <v>40</v>
      </c>
      <c r="DD146" s="198">
        <f t="shared" si="931"/>
        <v>0</v>
      </c>
      <c r="DE146" s="199">
        <f t="shared" si="932"/>
        <v>0</v>
      </c>
      <c r="DF146" s="198">
        <f t="shared" si="933"/>
        <v>0</v>
      </c>
      <c r="DG146" s="199">
        <f t="shared" si="934"/>
        <v>0</v>
      </c>
      <c r="DH146" s="198">
        <f t="shared" si="935"/>
        <v>0</v>
      </c>
      <c r="DI146" s="199">
        <f t="shared" si="936"/>
        <v>0</v>
      </c>
      <c r="DJ146" s="198">
        <f t="shared" si="937"/>
        <v>0</v>
      </c>
      <c r="DK146" s="199">
        <f t="shared" si="938"/>
        <v>0</v>
      </c>
      <c r="DL146" s="198">
        <f t="shared" si="939"/>
        <v>0</v>
      </c>
      <c r="DM146" s="199">
        <f t="shared" si="940"/>
        <v>0</v>
      </c>
      <c r="DN146" s="198">
        <f t="shared" si="941"/>
        <v>0</v>
      </c>
      <c r="DO146" s="199">
        <f t="shared" si="942"/>
        <v>0</v>
      </c>
      <c r="DP146" s="195">
        <f t="shared" si="943"/>
        <v>0</v>
      </c>
      <c r="DQ146" s="196">
        <f t="shared" si="944"/>
        <v>0</v>
      </c>
      <c r="DR146" s="198">
        <f t="shared" si="945"/>
        <v>0</v>
      </c>
      <c r="DS146" s="199">
        <f t="shared" si="946"/>
        <v>0</v>
      </c>
      <c r="DT146" s="198">
        <f t="shared" si="947"/>
        <v>0</v>
      </c>
      <c r="DU146" s="199">
        <f t="shared" si="948"/>
        <v>0</v>
      </c>
      <c r="DV146" s="198">
        <f t="shared" si="949"/>
        <v>0</v>
      </c>
      <c r="DW146" s="199">
        <f t="shared" si="950"/>
        <v>0</v>
      </c>
      <c r="DX146" s="198">
        <f t="shared" si="951"/>
        <v>0</v>
      </c>
      <c r="DY146" s="199">
        <f t="shared" si="952"/>
        <v>0</v>
      </c>
      <c r="DZ146" s="190">
        <f t="shared" si="953"/>
        <v>0</v>
      </c>
      <c r="EA146" s="199">
        <f t="shared" si="921"/>
        <v>0</v>
      </c>
      <c r="EB146" s="190" t="e">
        <f t="shared" si="954"/>
        <v>#DIV/0!</v>
      </c>
      <c r="EC146" s="190" t="e">
        <f t="shared" si="955"/>
        <v>#DIV/0!</v>
      </c>
    </row>
    <row r="147" spans="1:133" ht="25.5" x14ac:dyDescent="0.2">
      <c r="A147" s="66" t="s">
        <v>347</v>
      </c>
      <c r="B147" s="38">
        <f>targets!AW138</f>
        <v>0</v>
      </c>
      <c r="C147" s="245">
        <f>targets!AX138</f>
        <v>0</v>
      </c>
      <c r="D147" s="245">
        <f>targets!AY138</f>
        <v>0</v>
      </c>
      <c r="E147" s="245">
        <f>targets!AZ138</f>
        <v>0</v>
      </c>
      <c r="F147" s="245">
        <f>targets!BA138</f>
        <v>0</v>
      </c>
      <c r="G147" s="245">
        <f>SUM(targets!BB138:BG138)</f>
        <v>0</v>
      </c>
      <c r="H147" s="40">
        <f>SUM(targets!BH138:BM138)</f>
        <v>0</v>
      </c>
      <c r="I147" s="246">
        <f t="shared" si="922"/>
        <v>0</v>
      </c>
      <c r="J147" s="245">
        <f>targets!BN138</f>
        <v>0</v>
      </c>
      <c r="K147" s="245">
        <f>targets!BO138</f>
        <v>0</v>
      </c>
      <c r="L147" s="245">
        <f>targets!BP138</f>
        <v>0</v>
      </c>
      <c r="M147" s="178">
        <f t="shared" si="923"/>
        <v>0</v>
      </c>
      <c r="N147" s="17">
        <f t="shared" si="884"/>
        <v>0</v>
      </c>
      <c r="O147" s="17"/>
      <c r="P147" s="17"/>
      <c r="Q147" s="66" t="s">
        <v>347</v>
      </c>
      <c r="R147" s="38">
        <f t="shared" si="885"/>
        <v>0</v>
      </c>
      <c r="S147" s="245">
        <f t="shared" si="886"/>
        <v>0</v>
      </c>
      <c r="T147" s="245">
        <f t="shared" si="887"/>
        <v>0</v>
      </c>
      <c r="U147" s="245">
        <f t="shared" si="888"/>
        <v>0</v>
      </c>
      <c r="V147" s="245">
        <f t="shared" si="889"/>
        <v>0</v>
      </c>
      <c r="W147" s="245">
        <f t="shared" si="890"/>
        <v>0</v>
      </c>
      <c r="X147" s="40">
        <f t="shared" si="891"/>
        <v>0</v>
      </c>
      <c r="Y147" s="246">
        <f t="shared" si="924"/>
        <v>0</v>
      </c>
      <c r="Z147" s="245">
        <f t="shared" si="892"/>
        <v>0</v>
      </c>
      <c r="AA147" s="245">
        <f t="shared" si="893"/>
        <v>0</v>
      </c>
      <c r="AB147" s="245">
        <f t="shared" si="894"/>
        <v>0</v>
      </c>
      <c r="AC147" s="178">
        <f t="shared" si="925"/>
        <v>0</v>
      </c>
      <c r="AD147" s="17">
        <f t="shared" si="895"/>
        <v>0</v>
      </c>
      <c r="AF147" s="66" t="s">
        <v>347</v>
      </c>
      <c r="AG147" s="38">
        <f t="array" ref="AG147">SUM(IF((modeldata!$F:$F=calibration!$AF$132)*(modeldata!$G:$G=calibration!AG$134)*(modeldata!$H:$H=calibration!$AF147),modeldata!$E:$E,0))</f>
        <v>0</v>
      </c>
      <c r="AH147" s="245">
        <f t="array" ref="AH147">SUM(IF((modeldata!$F:$F=calibration!$AF$132)*(modeldata!$G:$G=calibration!AH$134)*(modeldata!$H:$H=calibration!$AF147),modeldata!$E:$E,0))</f>
        <v>0</v>
      </c>
      <c r="AI147" s="245">
        <f t="array" ref="AI147">SUM(IF((modeldata!$F:$F=calibration!$AF$132)*(modeldata!$G:$G=calibration!AI$134)*(modeldata!$H:$H=calibration!$AF147),modeldata!$E:$E,0))</f>
        <v>0</v>
      </c>
      <c r="AJ147" s="245">
        <f t="array" ref="AJ147">SUM(IF((modeldata!$F:$F=calibration!$AF$132)*(modeldata!$G:$G=calibration!AJ$134)*(modeldata!$H:$H=calibration!$AF147),modeldata!$E:$E,0))</f>
        <v>0</v>
      </c>
      <c r="AK147" s="245">
        <f t="array" ref="AK147">SUM(IF((modeldata!$F:$F=calibration!$AF$132)*(modeldata!$G:$G=calibration!AK$134)*(modeldata!$H:$H=calibration!$AF147),modeldata!$E:$E,0))</f>
        <v>0</v>
      </c>
      <c r="AL147" s="245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6"/>
      <c r="AO147" s="245">
        <f t="array" ref="AO147">SUM(IF((modeldata!$F:$F=calibration!$AF$132)*(modeldata!$G:$G=calibration!AO$134)*(modeldata!$H:$H=calibration!$AF147),modeldata!$E:$E,0))</f>
        <v>0</v>
      </c>
      <c r="AP147" s="245">
        <f t="array" ref="AP147">SUM(IF((modeldata!$F:$F=calibration!$AF$132)*(modeldata!$G:$G=calibration!AP$134)*(modeldata!$H:$H=calibration!$AF147),modeldata!$E:$E,0))</f>
        <v>0</v>
      </c>
      <c r="AQ147" s="245">
        <f t="array" ref="AQ147">SUM(IF((modeldata!$F:$F=calibration!$AF$132)*(modeldata!$G:$G=calibration!AQ$134)*(modeldata!$H:$H=calibration!$AF147),modeldata!$E:$E,0))</f>
        <v>0</v>
      </c>
      <c r="AR147" s="178">
        <f t="shared" si="956"/>
        <v>0</v>
      </c>
      <c r="AS147" s="17">
        <f t="shared" si="896"/>
        <v>0</v>
      </c>
      <c r="AU147" s="66" t="s">
        <v>347</v>
      </c>
      <c r="AV147" s="38">
        <f t="shared" ref="AV147:BG147" si="979">IF(R155&gt;0,R147/R155,0)</f>
        <v>0</v>
      </c>
      <c r="AW147" s="245">
        <f t="shared" si="979"/>
        <v>0</v>
      </c>
      <c r="AX147" s="245">
        <f t="shared" si="979"/>
        <v>0</v>
      </c>
      <c r="AY147" s="245">
        <f t="shared" si="979"/>
        <v>0</v>
      </c>
      <c r="AZ147" s="245">
        <f t="shared" si="979"/>
        <v>0</v>
      </c>
      <c r="BA147" s="245">
        <f t="shared" si="979"/>
        <v>0</v>
      </c>
      <c r="BB147" s="40">
        <f t="shared" si="979"/>
        <v>0</v>
      </c>
      <c r="BC147" s="246">
        <f t="shared" si="979"/>
        <v>0</v>
      </c>
      <c r="BD147" s="245">
        <f t="shared" si="979"/>
        <v>0</v>
      </c>
      <c r="BE147" s="245">
        <f t="shared" si="979"/>
        <v>0</v>
      </c>
      <c r="BF147" s="245">
        <f t="shared" si="979"/>
        <v>0</v>
      </c>
      <c r="BG147" s="178">
        <f t="shared" si="979"/>
        <v>0</v>
      </c>
      <c r="BH147" s="24" t="e">
        <f>AD147/AD155</f>
        <v>#DIV/0!</v>
      </c>
      <c r="BJ147" s="66" t="s">
        <v>347</v>
      </c>
      <c r="BK147" s="38">
        <f t="shared" ref="BK147:BV147" si="980">IF(AG155&gt;0,AG147/AG155,0)</f>
        <v>0</v>
      </c>
      <c r="BL147" s="245">
        <f t="shared" si="980"/>
        <v>0</v>
      </c>
      <c r="BM147" s="245">
        <f t="shared" si="980"/>
        <v>0</v>
      </c>
      <c r="BN147" s="245">
        <f t="shared" si="980"/>
        <v>0</v>
      </c>
      <c r="BO147" s="245">
        <f t="shared" si="980"/>
        <v>0</v>
      </c>
      <c r="BP147" s="245">
        <f t="shared" si="980"/>
        <v>0</v>
      </c>
      <c r="BQ147" s="40">
        <f t="shared" si="980"/>
        <v>0</v>
      </c>
      <c r="BR147" s="246">
        <f t="shared" si="980"/>
        <v>0</v>
      </c>
      <c r="BS147" s="245">
        <f t="shared" si="980"/>
        <v>0</v>
      </c>
      <c r="BT147" s="245">
        <f t="shared" si="980"/>
        <v>0</v>
      </c>
      <c r="BU147" s="245">
        <f t="shared" si="980"/>
        <v>0</v>
      </c>
      <c r="BV147" s="178">
        <f t="shared" si="980"/>
        <v>0</v>
      </c>
      <c r="BW147" s="24" t="e">
        <f>AS147/AS155</f>
        <v>#DIV/0!</v>
      </c>
      <c r="BX147" s="24"/>
      <c r="BY147" s="66" t="s">
        <v>347</v>
      </c>
      <c r="BZ147" s="54">
        <f t="shared" si="929"/>
        <v>0</v>
      </c>
      <c r="CA147" s="55">
        <f t="shared" si="899"/>
        <v>0</v>
      </c>
      <c r="CB147" s="55">
        <f t="shared" si="900"/>
        <v>0</v>
      </c>
      <c r="CC147" s="55">
        <f t="shared" si="901"/>
        <v>0</v>
      </c>
      <c r="CD147" s="55">
        <f t="shared" si="902"/>
        <v>0</v>
      </c>
      <c r="CE147" s="55">
        <f t="shared" si="903"/>
        <v>0</v>
      </c>
      <c r="CF147" s="60">
        <f t="shared" si="904"/>
        <v>0</v>
      </c>
      <c r="CG147" s="249">
        <f t="shared" si="905"/>
        <v>0</v>
      </c>
      <c r="CH147" s="55">
        <f t="shared" si="906"/>
        <v>0</v>
      </c>
      <c r="CI147" s="55">
        <f t="shared" si="907"/>
        <v>0</v>
      </c>
      <c r="CJ147" s="55">
        <f t="shared" si="908"/>
        <v>0</v>
      </c>
      <c r="CK147" s="252">
        <f t="shared" si="908"/>
        <v>0</v>
      </c>
      <c r="CL147" s="55">
        <f t="shared" si="909"/>
        <v>0</v>
      </c>
      <c r="CN147" s="66" t="s">
        <v>347</v>
      </c>
      <c r="CO147" s="54">
        <f t="shared" si="930"/>
        <v>0</v>
      </c>
      <c r="CP147" s="55">
        <f t="shared" si="910"/>
        <v>0</v>
      </c>
      <c r="CQ147" s="55">
        <f t="shared" si="911"/>
        <v>0</v>
      </c>
      <c r="CR147" s="55">
        <f t="shared" si="912"/>
        <v>0</v>
      </c>
      <c r="CS147" s="55">
        <f t="shared" si="913"/>
        <v>0</v>
      </c>
      <c r="CT147" s="55">
        <f t="shared" si="914"/>
        <v>0</v>
      </c>
      <c r="CU147" s="60">
        <f t="shared" si="915"/>
        <v>0</v>
      </c>
      <c r="CV147" s="249">
        <f t="shared" si="916"/>
        <v>0</v>
      </c>
      <c r="CW147" s="55">
        <f t="shared" si="917"/>
        <v>0</v>
      </c>
      <c r="CX147" s="55">
        <f t="shared" si="918"/>
        <v>0</v>
      </c>
      <c r="CY147" s="55">
        <f t="shared" si="919"/>
        <v>0</v>
      </c>
      <c r="CZ147" s="252">
        <f t="shared" si="919"/>
        <v>0</v>
      </c>
      <c r="DA147" s="62" t="e">
        <f t="shared" si="920"/>
        <v>#DIV/0!</v>
      </c>
      <c r="DC147" s="66" t="s">
        <v>347</v>
      </c>
      <c r="DD147" s="198">
        <f t="shared" si="931"/>
        <v>0</v>
      </c>
      <c r="DE147" s="199">
        <f t="shared" si="932"/>
        <v>0</v>
      </c>
      <c r="DF147" s="198">
        <f t="shared" si="933"/>
        <v>0</v>
      </c>
      <c r="DG147" s="199">
        <f t="shared" si="934"/>
        <v>0</v>
      </c>
      <c r="DH147" s="198">
        <f t="shared" si="935"/>
        <v>0</v>
      </c>
      <c r="DI147" s="199">
        <f t="shared" si="936"/>
        <v>0</v>
      </c>
      <c r="DJ147" s="198">
        <f t="shared" si="937"/>
        <v>0</v>
      </c>
      <c r="DK147" s="199">
        <f t="shared" si="938"/>
        <v>0</v>
      </c>
      <c r="DL147" s="198">
        <f t="shared" si="939"/>
        <v>0</v>
      </c>
      <c r="DM147" s="199">
        <f t="shared" si="940"/>
        <v>0</v>
      </c>
      <c r="DN147" s="198">
        <f t="shared" si="941"/>
        <v>0</v>
      </c>
      <c r="DO147" s="199">
        <f t="shared" si="942"/>
        <v>0</v>
      </c>
      <c r="DP147" s="198">
        <f t="shared" si="943"/>
        <v>0</v>
      </c>
      <c r="DQ147" s="199">
        <f t="shared" si="944"/>
        <v>0</v>
      </c>
      <c r="DR147" s="198">
        <f t="shared" si="945"/>
        <v>0</v>
      </c>
      <c r="DS147" s="199">
        <f t="shared" si="946"/>
        <v>0</v>
      </c>
      <c r="DT147" s="198">
        <f t="shared" si="947"/>
        <v>0</v>
      </c>
      <c r="DU147" s="199">
        <f t="shared" si="948"/>
        <v>0</v>
      </c>
      <c r="DV147" s="198">
        <f t="shared" si="949"/>
        <v>0</v>
      </c>
      <c r="DW147" s="199">
        <f t="shared" si="950"/>
        <v>0</v>
      </c>
      <c r="DX147" s="198">
        <f t="shared" si="951"/>
        <v>0</v>
      </c>
      <c r="DY147" s="199">
        <f t="shared" si="952"/>
        <v>0</v>
      </c>
      <c r="DZ147" s="190">
        <f t="shared" si="953"/>
        <v>0</v>
      </c>
      <c r="EA147" s="199">
        <f t="shared" si="921"/>
        <v>0</v>
      </c>
      <c r="EB147" s="190" t="e">
        <f t="shared" si="954"/>
        <v>#DIV/0!</v>
      </c>
      <c r="EC147" s="190" t="e">
        <f t="shared" si="955"/>
        <v>#DIV/0!</v>
      </c>
    </row>
    <row r="148" spans="1:133" x14ac:dyDescent="0.2">
      <c r="A148" s="2" t="s">
        <v>350</v>
      </c>
      <c r="B148" s="38">
        <f>targets!AW139</f>
        <v>0</v>
      </c>
      <c r="C148" s="245">
        <f>targets!AX139</f>
        <v>0</v>
      </c>
      <c r="D148" s="245">
        <f>targets!AY139</f>
        <v>0</v>
      </c>
      <c r="E148" s="245">
        <f>targets!AZ139</f>
        <v>0</v>
      </c>
      <c r="F148" s="245">
        <f>targets!BA139</f>
        <v>0</v>
      </c>
      <c r="G148" s="245">
        <f>SUM(targets!BB139:BG139)</f>
        <v>0</v>
      </c>
      <c r="H148" s="40">
        <f>SUM(targets!BH139:BM139)</f>
        <v>0</v>
      </c>
      <c r="I148" s="246">
        <f>SUM(G148:H148)</f>
        <v>0</v>
      </c>
      <c r="J148" s="245">
        <f>targets!BN139</f>
        <v>0</v>
      </c>
      <c r="K148" s="245">
        <f>targets!BO139</f>
        <v>0</v>
      </c>
      <c r="L148" s="245">
        <f>targets!BP139</f>
        <v>0</v>
      </c>
      <c r="M148" s="178">
        <f>SUM(J148:L148)</f>
        <v>0</v>
      </c>
      <c r="N148" s="17">
        <f>SUM(B148:L148)-I148</f>
        <v>0</v>
      </c>
      <c r="O148" s="17"/>
      <c r="P148" s="17"/>
      <c r="Q148" s="2" t="s">
        <v>350</v>
      </c>
      <c r="R148" s="38">
        <f t="shared" si="885"/>
        <v>0</v>
      </c>
      <c r="S148" s="245">
        <f t="shared" si="886"/>
        <v>0</v>
      </c>
      <c r="T148" s="245">
        <f t="shared" si="887"/>
        <v>0</v>
      </c>
      <c r="U148" s="245">
        <f t="shared" si="888"/>
        <v>0</v>
      </c>
      <c r="V148" s="245">
        <f t="shared" si="889"/>
        <v>0</v>
      </c>
      <c r="W148" s="245">
        <f t="shared" si="890"/>
        <v>0</v>
      </c>
      <c r="X148" s="40">
        <f t="shared" si="891"/>
        <v>0</v>
      </c>
      <c r="Y148" s="246">
        <f t="shared" ref="Y148" si="981">SUM(W148:X148)</f>
        <v>0</v>
      </c>
      <c r="Z148" s="245">
        <f t="shared" si="892"/>
        <v>0</v>
      </c>
      <c r="AA148" s="245">
        <f t="shared" si="893"/>
        <v>0</v>
      </c>
      <c r="AB148" s="245">
        <f t="shared" si="894"/>
        <v>0</v>
      </c>
      <c r="AC148" s="178">
        <f t="shared" ref="AC148" si="982">SUM(Z148:AB148)</f>
        <v>0</v>
      </c>
      <c r="AD148" s="17"/>
      <c r="AF148" s="2" t="s">
        <v>350</v>
      </c>
      <c r="AG148" s="38">
        <f t="array" ref="AG148">SUM(IF((modeldata!$F:$F=calibration!$AF$132)*(modeldata!$G:$G=calibration!AG$134)*(modeldata!$H:$H=calibration!$AF148),modeldata!$E:$E,0))</f>
        <v>0</v>
      </c>
      <c r="AH148" s="245">
        <f t="array" ref="AH148">SUM(IF((modeldata!$F:$F=calibration!$AF$132)*(modeldata!$G:$G=calibration!AH$134)*(modeldata!$H:$H=calibration!$AF148),modeldata!$E:$E,0))</f>
        <v>0</v>
      </c>
      <c r="AI148" s="245">
        <f t="array" ref="AI148">SUM(IF((modeldata!$F:$F=calibration!$AF$132)*(modeldata!$G:$G=calibration!AI$134)*(modeldata!$H:$H=calibration!$AF148),modeldata!$E:$E,0))</f>
        <v>0</v>
      </c>
      <c r="AJ148" s="245">
        <f t="array" ref="AJ148">SUM(IF((modeldata!$F:$F=calibration!$AF$132)*(modeldata!$G:$G=calibration!AJ$134)*(modeldata!$H:$H=calibration!$AF148),modeldata!$E:$E,0))</f>
        <v>0</v>
      </c>
      <c r="AK148" s="245">
        <f t="array" ref="AK148">SUM(IF((modeldata!$F:$F=calibration!$AF$132)*(modeldata!$G:$G=calibration!AK$134)*(modeldata!$H:$H=calibration!$AF148),modeldata!$E:$E,0))</f>
        <v>0</v>
      </c>
      <c r="AL148" s="245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6"/>
      <c r="AO148" s="245">
        <f t="array" ref="AO148">SUM(IF((modeldata!$F:$F=calibration!$AF$132)*(modeldata!$G:$G=calibration!AO$134)*(modeldata!$H:$H=calibration!$AF148),modeldata!$E:$E,0))</f>
        <v>0</v>
      </c>
      <c r="AP148" s="245">
        <f t="array" ref="AP148">SUM(IF((modeldata!$F:$F=calibration!$AF$132)*(modeldata!$G:$G=calibration!AP$134)*(modeldata!$H:$H=calibration!$AF148),modeldata!$E:$E,0))</f>
        <v>0</v>
      </c>
      <c r="AQ148" s="245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350</v>
      </c>
      <c r="AV148" s="38">
        <f t="shared" ref="AV148:BG148" si="983">IF(R157&gt;0,R148/R157,0)</f>
        <v>0</v>
      </c>
      <c r="AW148" s="245">
        <f t="shared" si="983"/>
        <v>0</v>
      </c>
      <c r="AX148" s="245">
        <f t="shared" si="983"/>
        <v>0</v>
      </c>
      <c r="AY148" s="245">
        <f t="shared" si="983"/>
        <v>0</v>
      </c>
      <c r="AZ148" s="245">
        <f t="shared" si="983"/>
        <v>0</v>
      </c>
      <c r="BA148" s="245">
        <f t="shared" si="983"/>
        <v>0</v>
      </c>
      <c r="BB148" s="40">
        <f t="shared" si="983"/>
        <v>0</v>
      </c>
      <c r="BC148" s="246">
        <f t="shared" si="983"/>
        <v>0</v>
      </c>
      <c r="BD148" s="245">
        <f t="shared" si="983"/>
        <v>0</v>
      </c>
      <c r="BE148" s="245">
        <f t="shared" si="983"/>
        <v>0</v>
      </c>
      <c r="BF148" s="245">
        <f t="shared" si="983"/>
        <v>0</v>
      </c>
      <c r="BG148" s="178">
        <f t="shared" si="983"/>
        <v>0</v>
      </c>
      <c r="BH148" s="24" t="e">
        <f>AD148/AD157</f>
        <v>#DIV/0!</v>
      </c>
      <c r="BJ148" s="2" t="s">
        <v>350</v>
      </c>
      <c r="BK148" s="38">
        <f t="shared" ref="BK148:BV148" si="984">IF(AG164&gt;0,AG148/AG164,0)</f>
        <v>0</v>
      </c>
      <c r="BL148" s="245">
        <f t="shared" si="984"/>
        <v>0</v>
      </c>
      <c r="BM148" s="245">
        <f t="shared" si="984"/>
        <v>0</v>
      </c>
      <c r="BN148" s="245">
        <f t="shared" si="984"/>
        <v>0</v>
      </c>
      <c r="BO148" s="245">
        <f t="shared" si="984"/>
        <v>0</v>
      </c>
      <c r="BP148" s="245">
        <f t="shared" si="984"/>
        <v>0</v>
      </c>
      <c r="BQ148" s="40">
        <f t="shared" si="984"/>
        <v>0</v>
      </c>
      <c r="BR148" s="246">
        <f t="shared" si="984"/>
        <v>0</v>
      </c>
      <c r="BS148" s="245">
        <f t="shared" si="984"/>
        <v>0</v>
      </c>
      <c r="BT148" s="245">
        <f t="shared" si="984"/>
        <v>0</v>
      </c>
      <c r="BU148" s="245">
        <f t="shared" si="984"/>
        <v>0</v>
      </c>
      <c r="BV148" s="178">
        <f t="shared" si="984"/>
        <v>0</v>
      </c>
      <c r="BW148" s="24" t="e">
        <f>AS148/AS164</f>
        <v>#DIV/0!</v>
      </c>
      <c r="BX148" s="24"/>
      <c r="BY148" s="2" t="s">
        <v>350</v>
      </c>
      <c r="BZ148" s="54">
        <f t="shared" ref="BZ148" si="985">AG148-R148</f>
        <v>0</v>
      </c>
      <c r="CA148" s="55">
        <f t="shared" ref="CA148" si="986">AH148-S148</f>
        <v>0</v>
      </c>
      <c r="CB148" s="55">
        <f t="shared" ref="CB148" si="987">AI148-T148</f>
        <v>0</v>
      </c>
      <c r="CC148" s="55">
        <f t="shared" ref="CC148" si="988">AJ148-U148</f>
        <v>0</v>
      </c>
      <c r="CD148" s="55">
        <f t="shared" ref="CD148" si="989">AK148-V148</f>
        <v>0</v>
      </c>
      <c r="CE148" s="55">
        <f t="shared" ref="CE148" si="990">AL148-W148</f>
        <v>0</v>
      </c>
      <c r="CF148" s="60">
        <f t="shared" ref="CF148" si="991">AM148-X148</f>
        <v>0</v>
      </c>
      <c r="CG148" s="249">
        <f t="shared" ref="CG148" si="992">AN148-Y148</f>
        <v>0</v>
      </c>
      <c r="CH148" s="55">
        <f t="shared" ref="CH148" si="993">AO148-Z148</f>
        <v>0</v>
      </c>
      <c r="CI148" s="55">
        <f t="shared" ref="CI148" si="994">AP148-AA148</f>
        <v>0</v>
      </c>
      <c r="CJ148" s="55">
        <f t="shared" ref="CJ148" si="995">AQ148-AB148</f>
        <v>0</v>
      </c>
      <c r="CK148" s="252">
        <f t="shared" ref="CK148" si="996">AR148-AC148</f>
        <v>0</v>
      </c>
      <c r="CL148" s="55">
        <f t="shared" ref="CL148" si="997">AS148-AD148</f>
        <v>0</v>
      </c>
      <c r="CN148" s="2" t="s">
        <v>350</v>
      </c>
      <c r="CO148" s="54">
        <f t="shared" ref="CO148" si="998">BK148-AV148</f>
        <v>0</v>
      </c>
      <c r="CP148" s="55">
        <f t="shared" ref="CP148" si="999">BL148-AW148</f>
        <v>0</v>
      </c>
      <c r="CQ148" s="55">
        <f t="shared" ref="CQ148" si="1000">BM148-AX148</f>
        <v>0</v>
      </c>
      <c r="CR148" s="55">
        <f t="shared" ref="CR148" si="1001">BN148-AY148</f>
        <v>0</v>
      </c>
      <c r="CS148" s="55">
        <f t="shared" ref="CS148" si="1002">BO148-AZ148</f>
        <v>0</v>
      </c>
      <c r="CT148" s="55">
        <f t="shared" ref="CT148" si="1003">BP148-BA148</f>
        <v>0</v>
      </c>
      <c r="CU148" s="60">
        <f t="shared" ref="CU148" si="1004">BQ148-BB148</f>
        <v>0</v>
      </c>
      <c r="CV148" s="249">
        <f t="shared" ref="CV148" si="1005">BR148-BC148</f>
        <v>0</v>
      </c>
      <c r="CW148" s="55">
        <f t="shared" ref="CW148" si="1006">BS148-BD148</f>
        <v>0</v>
      </c>
      <c r="CX148" s="55">
        <f t="shared" ref="CX148" si="1007">BT148-BE148</f>
        <v>0</v>
      </c>
      <c r="CY148" s="55">
        <f t="shared" ref="CY148" si="1008">BU148-BF148</f>
        <v>0</v>
      </c>
      <c r="CZ148" s="252">
        <f t="shared" ref="CZ148" si="1009">BV148-BG148</f>
        <v>0</v>
      </c>
      <c r="DA148" s="62" t="e">
        <f t="shared" ref="DA148" si="1010">BW148-BH148</f>
        <v>#DIV/0!</v>
      </c>
      <c r="DC148" s="2" t="s">
        <v>350</v>
      </c>
      <c r="DD148" s="198">
        <f t="shared" ref="DD148" si="1011">AV148</f>
        <v>0</v>
      </c>
      <c r="DE148" s="199">
        <f t="shared" ref="DE148" si="1012">BK148</f>
        <v>0</v>
      </c>
      <c r="DF148" s="198">
        <f t="shared" ref="DF148" si="1013">AW148</f>
        <v>0</v>
      </c>
      <c r="DG148" s="199">
        <f t="shared" ref="DG148" si="1014">BL148</f>
        <v>0</v>
      </c>
      <c r="DH148" s="198">
        <f t="shared" ref="DH148" si="1015">AX148</f>
        <v>0</v>
      </c>
      <c r="DI148" s="199">
        <f t="shared" ref="DI148" si="1016">BM148</f>
        <v>0</v>
      </c>
      <c r="DJ148" s="198">
        <f t="shared" ref="DJ148" si="1017">AY148</f>
        <v>0</v>
      </c>
      <c r="DK148" s="199">
        <f t="shared" ref="DK148" si="1018">BN148</f>
        <v>0</v>
      </c>
      <c r="DL148" s="198">
        <f t="shared" ref="DL148" si="1019">AZ148</f>
        <v>0</v>
      </c>
      <c r="DM148" s="199">
        <f t="shared" ref="DM148" si="1020">BO148</f>
        <v>0</v>
      </c>
      <c r="DN148" s="198">
        <f t="shared" ref="DN148" si="1021">BA148</f>
        <v>0</v>
      </c>
      <c r="DO148" s="199">
        <f t="shared" ref="DO148" si="1022">BP148</f>
        <v>0</v>
      </c>
      <c r="DP148" s="198">
        <f t="shared" ref="DP148" si="1023">BB148</f>
        <v>0</v>
      </c>
      <c r="DQ148" s="199">
        <f t="shared" ref="DQ148" si="1024">BQ148</f>
        <v>0</v>
      </c>
      <c r="DR148" s="198">
        <f t="shared" ref="DR148" si="1025">BC148</f>
        <v>0</v>
      </c>
      <c r="DS148" s="199">
        <f t="shared" ref="DS148" si="1026">BR148</f>
        <v>0</v>
      </c>
      <c r="DT148" s="198">
        <f t="shared" ref="DT148" si="1027">BD148</f>
        <v>0</v>
      </c>
      <c r="DU148" s="199">
        <f t="shared" ref="DU148" si="1028">BS148</f>
        <v>0</v>
      </c>
      <c r="DV148" s="198">
        <f t="shared" ref="DV148" si="1029">BE148</f>
        <v>0</v>
      </c>
      <c r="DW148" s="199">
        <f t="shared" ref="DW148" si="1030">BT148</f>
        <v>0</v>
      </c>
      <c r="DX148" s="198">
        <f t="shared" ref="DX148" si="1031">BF148</f>
        <v>0</v>
      </c>
      <c r="DY148" s="199">
        <f t="shared" ref="DY148" si="1032">BU148</f>
        <v>0</v>
      </c>
      <c r="DZ148" s="190">
        <f t="shared" ref="DZ148" si="1033">BG148</f>
        <v>0</v>
      </c>
      <c r="EA148" s="199">
        <f t="shared" ref="EA148" si="1034">BV148</f>
        <v>0</v>
      </c>
      <c r="EB148" s="190" t="e">
        <f t="shared" ref="EB148" si="1035">BH148</f>
        <v>#DIV/0!</v>
      </c>
      <c r="EC148" s="190" t="e">
        <f t="shared" ref="EC148" si="1036">BW148</f>
        <v>#DIV/0!</v>
      </c>
    </row>
    <row r="149" spans="1:133" x14ac:dyDescent="0.2">
      <c r="A149" s="64" t="s">
        <v>50</v>
      </c>
      <c r="B149" s="38">
        <f>targets!AW140</f>
        <v>0</v>
      </c>
      <c r="C149" s="245">
        <f>targets!AX140</f>
        <v>0</v>
      </c>
      <c r="D149" s="245">
        <f>targets!AY140</f>
        <v>0</v>
      </c>
      <c r="E149" s="245">
        <f>targets!AZ140</f>
        <v>0</v>
      </c>
      <c r="F149" s="245">
        <f>targets!BA140</f>
        <v>0</v>
      </c>
      <c r="G149" s="245">
        <f>SUM(targets!BB140:BG140)</f>
        <v>0</v>
      </c>
      <c r="H149" s="40">
        <f>SUM(targets!BH140:BM140)</f>
        <v>0</v>
      </c>
      <c r="I149" s="246">
        <f t="shared" si="922"/>
        <v>0</v>
      </c>
      <c r="J149" s="245">
        <f>targets!BN140</f>
        <v>0</v>
      </c>
      <c r="K149" s="245">
        <f>targets!BO140</f>
        <v>0</v>
      </c>
      <c r="L149" s="245">
        <f>targets!BP140</f>
        <v>0</v>
      </c>
      <c r="M149" s="178">
        <f t="shared" si="923"/>
        <v>0</v>
      </c>
      <c r="N149" s="17">
        <f t="shared" si="884"/>
        <v>0</v>
      </c>
      <c r="O149" s="17"/>
      <c r="P149" s="17"/>
      <c r="Q149" s="64" t="s">
        <v>50</v>
      </c>
      <c r="R149" s="38">
        <f t="shared" si="885"/>
        <v>0</v>
      </c>
      <c r="S149" s="245">
        <f t="shared" si="886"/>
        <v>0</v>
      </c>
      <c r="T149" s="245">
        <f t="shared" si="887"/>
        <v>0</v>
      </c>
      <c r="U149" s="245">
        <f t="shared" si="888"/>
        <v>0</v>
      </c>
      <c r="V149" s="245">
        <f t="shared" si="889"/>
        <v>0</v>
      </c>
      <c r="W149" s="245">
        <f t="shared" si="890"/>
        <v>0</v>
      </c>
      <c r="X149" s="40">
        <f t="shared" si="891"/>
        <v>0</v>
      </c>
      <c r="Y149" s="246">
        <f t="shared" si="924"/>
        <v>0</v>
      </c>
      <c r="Z149" s="245">
        <f t="shared" si="892"/>
        <v>0</v>
      </c>
      <c r="AA149" s="245">
        <f t="shared" si="893"/>
        <v>0</v>
      </c>
      <c r="AB149" s="245">
        <f t="shared" si="894"/>
        <v>0</v>
      </c>
      <c r="AC149" s="178">
        <f t="shared" si="925"/>
        <v>0</v>
      </c>
      <c r="AD149" s="17">
        <f t="shared" si="895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5">
        <f t="array" ref="AH149">SUM(IF((modeldata!$F:$F=calibration!$AF$132)*(modeldata!$G:$G=calibration!AH$134)*(modeldata!$H:$H=calibration!$AF149),modeldata!$E:$E,0))</f>
        <v>0</v>
      </c>
      <c r="AI149" s="245">
        <f t="array" ref="AI149">SUM(IF((modeldata!$F:$F=calibration!$AF$132)*(modeldata!$G:$G=calibration!AI$134)*(modeldata!$H:$H=calibration!$AF149),modeldata!$E:$E,0))</f>
        <v>0</v>
      </c>
      <c r="AJ149" s="245">
        <f t="array" ref="AJ149">SUM(IF((modeldata!$F:$F=calibration!$AF$132)*(modeldata!$G:$G=calibration!AJ$134)*(modeldata!$H:$H=calibration!$AF149),modeldata!$E:$E,0))</f>
        <v>0</v>
      </c>
      <c r="AK149" s="245">
        <f t="array" ref="AK149">SUM(IF((modeldata!$F:$F=calibration!$AF$132)*(modeldata!$G:$G=calibration!AK$134)*(modeldata!$H:$H=calibration!$AF149),modeldata!$E:$E,0))</f>
        <v>0</v>
      </c>
      <c r="AL149" s="245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6"/>
      <c r="AO149" s="245">
        <f t="array" ref="AO149">SUM(IF((modeldata!$F:$F=calibration!$AF$132)*(modeldata!$G:$G=calibration!AO$134)*(modeldata!$H:$H=calibration!$AF149),modeldata!$E:$E,0))</f>
        <v>0</v>
      </c>
      <c r="AP149" s="245">
        <f t="array" ref="AP149">SUM(IF((modeldata!$F:$F=calibration!$AF$132)*(modeldata!$G:$G=calibration!AP$134)*(modeldata!$H:$H=calibration!$AF149),modeldata!$E:$E,0))</f>
        <v>0</v>
      </c>
      <c r="AQ149" s="245">
        <f t="array" ref="AQ149">SUM(IF((modeldata!$F:$F=calibration!$AF$132)*(modeldata!$G:$G=calibration!AQ$134)*(modeldata!$H:$H=calibration!$AF149),modeldata!$E:$E,0))</f>
        <v>0</v>
      </c>
      <c r="AR149" s="178">
        <f t="shared" si="956"/>
        <v>0</v>
      </c>
      <c r="AS149" s="17">
        <f t="shared" si="896"/>
        <v>0</v>
      </c>
      <c r="AU149" s="64" t="s">
        <v>50</v>
      </c>
      <c r="AV149" s="38">
        <f t="shared" ref="AV149:BG149" si="1037">IF(R155&gt;0,R149/R155,0)</f>
        <v>0</v>
      </c>
      <c r="AW149" s="245">
        <f t="shared" si="1037"/>
        <v>0</v>
      </c>
      <c r="AX149" s="245">
        <f t="shared" si="1037"/>
        <v>0</v>
      </c>
      <c r="AY149" s="245">
        <f t="shared" si="1037"/>
        <v>0</v>
      </c>
      <c r="AZ149" s="245">
        <f t="shared" si="1037"/>
        <v>0</v>
      </c>
      <c r="BA149" s="245">
        <f t="shared" si="1037"/>
        <v>0</v>
      </c>
      <c r="BB149" s="40">
        <f t="shared" si="1037"/>
        <v>0</v>
      </c>
      <c r="BC149" s="246">
        <f t="shared" si="1037"/>
        <v>0</v>
      </c>
      <c r="BD149" s="245">
        <f t="shared" si="1037"/>
        <v>0</v>
      </c>
      <c r="BE149" s="245">
        <f t="shared" si="1037"/>
        <v>0</v>
      </c>
      <c r="BF149" s="245">
        <f t="shared" si="1037"/>
        <v>0</v>
      </c>
      <c r="BG149" s="178">
        <f t="shared" si="1037"/>
        <v>0</v>
      </c>
      <c r="BH149" s="24" t="e">
        <f>AD149/AD155</f>
        <v>#DIV/0!</v>
      </c>
      <c r="BJ149" s="64" t="s">
        <v>50</v>
      </c>
      <c r="BK149" s="38">
        <f t="shared" ref="BK149:BV149" si="1038">IF(AG155&gt;0,AG149/AG155,0)</f>
        <v>0</v>
      </c>
      <c r="BL149" s="245">
        <f t="shared" si="1038"/>
        <v>0</v>
      </c>
      <c r="BM149" s="245">
        <f t="shared" si="1038"/>
        <v>0</v>
      </c>
      <c r="BN149" s="245">
        <f t="shared" si="1038"/>
        <v>0</v>
      </c>
      <c r="BO149" s="245">
        <f t="shared" si="1038"/>
        <v>0</v>
      </c>
      <c r="BP149" s="245">
        <f t="shared" si="1038"/>
        <v>0</v>
      </c>
      <c r="BQ149" s="40">
        <f t="shared" si="1038"/>
        <v>0</v>
      </c>
      <c r="BR149" s="246">
        <f t="shared" si="1038"/>
        <v>0</v>
      </c>
      <c r="BS149" s="245">
        <f t="shared" si="1038"/>
        <v>0</v>
      </c>
      <c r="BT149" s="245">
        <f t="shared" si="1038"/>
        <v>0</v>
      </c>
      <c r="BU149" s="245">
        <f t="shared" si="1038"/>
        <v>0</v>
      </c>
      <c r="BV149" s="178">
        <f t="shared" si="1038"/>
        <v>0</v>
      </c>
      <c r="BW149" s="24" t="e">
        <f>AS149/AS155</f>
        <v>#DIV/0!</v>
      </c>
      <c r="BX149" s="24"/>
      <c r="BY149" s="64" t="s">
        <v>50</v>
      </c>
      <c r="BZ149" s="54">
        <f t="shared" si="929"/>
        <v>0</v>
      </c>
      <c r="CA149" s="55">
        <f t="shared" si="899"/>
        <v>0</v>
      </c>
      <c r="CB149" s="55">
        <f t="shared" si="900"/>
        <v>0</v>
      </c>
      <c r="CC149" s="55">
        <f t="shared" si="901"/>
        <v>0</v>
      </c>
      <c r="CD149" s="55">
        <f t="shared" si="902"/>
        <v>0</v>
      </c>
      <c r="CE149" s="55">
        <f t="shared" si="903"/>
        <v>0</v>
      </c>
      <c r="CF149" s="60">
        <f t="shared" si="904"/>
        <v>0</v>
      </c>
      <c r="CG149" s="249">
        <f t="shared" si="905"/>
        <v>0</v>
      </c>
      <c r="CH149" s="55">
        <f t="shared" si="906"/>
        <v>0</v>
      </c>
      <c r="CI149" s="55">
        <f t="shared" si="907"/>
        <v>0</v>
      </c>
      <c r="CJ149" s="55">
        <f t="shared" si="908"/>
        <v>0</v>
      </c>
      <c r="CK149" s="252">
        <f t="shared" si="908"/>
        <v>0</v>
      </c>
      <c r="CL149" s="55">
        <f t="shared" si="909"/>
        <v>0</v>
      </c>
      <c r="CN149" s="64" t="s">
        <v>50</v>
      </c>
      <c r="CO149" s="54">
        <f t="shared" si="930"/>
        <v>0</v>
      </c>
      <c r="CP149" s="55">
        <f t="shared" si="910"/>
        <v>0</v>
      </c>
      <c r="CQ149" s="55">
        <f t="shared" si="911"/>
        <v>0</v>
      </c>
      <c r="CR149" s="55">
        <f t="shared" si="912"/>
        <v>0</v>
      </c>
      <c r="CS149" s="55">
        <f t="shared" si="913"/>
        <v>0</v>
      </c>
      <c r="CT149" s="55">
        <f t="shared" si="914"/>
        <v>0</v>
      </c>
      <c r="CU149" s="60">
        <f t="shared" si="915"/>
        <v>0</v>
      </c>
      <c r="CV149" s="249">
        <f t="shared" si="916"/>
        <v>0</v>
      </c>
      <c r="CW149" s="55">
        <f t="shared" si="917"/>
        <v>0</v>
      </c>
      <c r="CX149" s="55">
        <f t="shared" si="918"/>
        <v>0</v>
      </c>
      <c r="CY149" s="55">
        <f t="shared" si="919"/>
        <v>0</v>
      </c>
      <c r="CZ149" s="252">
        <f t="shared" si="919"/>
        <v>0</v>
      </c>
      <c r="DA149" s="62" t="e">
        <f t="shared" si="920"/>
        <v>#DIV/0!</v>
      </c>
      <c r="DC149" s="64" t="s">
        <v>50</v>
      </c>
      <c r="DD149" s="198">
        <f t="shared" si="931"/>
        <v>0</v>
      </c>
      <c r="DE149" s="199">
        <f t="shared" si="932"/>
        <v>0</v>
      </c>
      <c r="DF149" s="198">
        <f t="shared" si="933"/>
        <v>0</v>
      </c>
      <c r="DG149" s="199">
        <f t="shared" si="934"/>
        <v>0</v>
      </c>
      <c r="DH149" s="198">
        <f t="shared" si="935"/>
        <v>0</v>
      </c>
      <c r="DI149" s="199">
        <f t="shared" si="936"/>
        <v>0</v>
      </c>
      <c r="DJ149" s="198">
        <f t="shared" si="937"/>
        <v>0</v>
      </c>
      <c r="DK149" s="199">
        <f t="shared" si="938"/>
        <v>0</v>
      </c>
      <c r="DL149" s="198">
        <f t="shared" si="939"/>
        <v>0</v>
      </c>
      <c r="DM149" s="199">
        <f t="shared" si="940"/>
        <v>0</v>
      </c>
      <c r="DN149" s="198">
        <f t="shared" si="941"/>
        <v>0</v>
      </c>
      <c r="DO149" s="199">
        <f t="shared" si="942"/>
        <v>0</v>
      </c>
      <c r="DP149" s="198">
        <f t="shared" si="943"/>
        <v>0</v>
      </c>
      <c r="DQ149" s="199">
        <f t="shared" si="944"/>
        <v>0</v>
      </c>
      <c r="DR149" s="198">
        <f t="shared" si="945"/>
        <v>0</v>
      </c>
      <c r="DS149" s="199">
        <f t="shared" si="946"/>
        <v>0</v>
      </c>
      <c r="DT149" s="198">
        <f t="shared" si="947"/>
        <v>0</v>
      </c>
      <c r="DU149" s="199">
        <f t="shared" si="948"/>
        <v>0</v>
      </c>
      <c r="DV149" s="198">
        <f t="shared" si="949"/>
        <v>0</v>
      </c>
      <c r="DW149" s="199">
        <f t="shared" si="950"/>
        <v>0</v>
      </c>
      <c r="DX149" s="198">
        <f t="shared" si="951"/>
        <v>0</v>
      </c>
      <c r="DY149" s="199">
        <f t="shared" si="952"/>
        <v>0</v>
      </c>
      <c r="DZ149" s="190">
        <f t="shared" si="953"/>
        <v>0</v>
      </c>
      <c r="EA149" s="199">
        <f t="shared" si="921"/>
        <v>0</v>
      </c>
      <c r="EB149" s="190" t="e">
        <f t="shared" si="954"/>
        <v>#DIV/0!</v>
      </c>
      <c r="EC149" s="190" t="e">
        <f t="shared" si="955"/>
        <v>#DIV/0!</v>
      </c>
    </row>
    <row r="150" spans="1:133" x14ac:dyDescent="0.2">
      <c r="A150" s="64" t="s">
        <v>51</v>
      </c>
      <c r="B150" s="38">
        <f>targets!AW141</f>
        <v>0</v>
      </c>
      <c r="C150" s="245">
        <f>targets!AX141</f>
        <v>0</v>
      </c>
      <c r="D150" s="245">
        <f>targets!AY141</f>
        <v>0</v>
      </c>
      <c r="E150" s="245">
        <f>targets!AZ141</f>
        <v>0</v>
      </c>
      <c r="F150" s="245">
        <f>targets!BA141</f>
        <v>0</v>
      </c>
      <c r="G150" s="245">
        <f>SUM(targets!BB141:BG141)</f>
        <v>0</v>
      </c>
      <c r="H150" s="40">
        <f>SUM(targets!BH141:BM141)</f>
        <v>2803.1833207230638</v>
      </c>
      <c r="I150" s="246">
        <f t="shared" si="922"/>
        <v>2803.1833207230638</v>
      </c>
      <c r="J150" s="245">
        <f>targets!BN141</f>
        <v>0</v>
      </c>
      <c r="K150" s="245">
        <f>targets!BO141</f>
        <v>0</v>
      </c>
      <c r="L150" s="245">
        <f>targets!BP141</f>
        <v>0</v>
      </c>
      <c r="M150" s="178">
        <f t="shared" si="923"/>
        <v>0</v>
      </c>
      <c r="N150" s="17">
        <f t="shared" si="884"/>
        <v>2803.1833207230638</v>
      </c>
      <c r="O150" s="17"/>
      <c r="P150" s="17"/>
      <c r="Q150" s="64" t="s">
        <v>51</v>
      </c>
      <c r="R150" s="38">
        <f t="shared" si="885"/>
        <v>0</v>
      </c>
      <c r="S150" s="245">
        <f t="shared" si="886"/>
        <v>0</v>
      </c>
      <c r="T150" s="245">
        <f t="shared" si="887"/>
        <v>0</v>
      </c>
      <c r="U150" s="245">
        <f t="shared" si="888"/>
        <v>0</v>
      </c>
      <c r="V150" s="245">
        <f t="shared" si="889"/>
        <v>0</v>
      </c>
      <c r="W150" s="245">
        <f t="shared" si="890"/>
        <v>0</v>
      </c>
      <c r="X150" s="40">
        <f t="shared" si="891"/>
        <v>0</v>
      </c>
      <c r="Y150" s="246">
        <f t="shared" si="924"/>
        <v>0</v>
      </c>
      <c r="Z150" s="245">
        <f t="shared" si="892"/>
        <v>0</v>
      </c>
      <c r="AA150" s="245">
        <f t="shared" si="893"/>
        <v>0</v>
      </c>
      <c r="AB150" s="245">
        <f t="shared" si="894"/>
        <v>0</v>
      </c>
      <c r="AC150" s="178">
        <f t="shared" si="925"/>
        <v>0</v>
      </c>
      <c r="AD150" s="17">
        <f t="shared" si="895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5">
        <f t="array" ref="AH150">SUM(IF((modeldata!$F:$F=calibration!$AF$132)*(modeldata!$G:$G=calibration!AH$134)*(modeldata!$H:$H=calibration!$AF150),modeldata!$E:$E,0))</f>
        <v>0</v>
      </c>
      <c r="AI150" s="245">
        <f t="array" ref="AI150">SUM(IF((modeldata!$F:$F=calibration!$AF$132)*(modeldata!$G:$G=calibration!AI$134)*(modeldata!$H:$H=calibration!$AF150),modeldata!$E:$E,0))</f>
        <v>0</v>
      </c>
      <c r="AJ150" s="245">
        <f t="array" ref="AJ150">SUM(IF((modeldata!$F:$F=calibration!$AF$132)*(modeldata!$G:$G=calibration!AJ$134)*(modeldata!$H:$H=calibration!$AF150),modeldata!$E:$E,0))</f>
        <v>0</v>
      </c>
      <c r="AK150" s="245">
        <f t="array" ref="AK150">SUM(IF((modeldata!$F:$F=calibration!$AF$132)*(modeldata!$G:$G=calibration!AK$134)*(modeldata!$H:$H=calibration!$AF150),modeldata!$E:$E,0))</f>
        <v>0</v>
      </c>
      <c r="AL150" s="245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6"/>
      <c r="AO150" s="245">
        <f t="array" ref="AO150">SUM(IF((modeldata!$F:$F=calibration!$AF$132)*(modeldata!$G:$G=calibration!AO$134)*(modeldata!$H:$H=calibration!$AF150),modeldata!$E:$E,0))</f>
        <v>0</v>
      </c>
      <c r="AP150" s="245">
        <f t="array" ref="AP150">SUM(IF((modeldata!$F:$F=calibration!$AF$132)*(modeldata!$G:$G=calibration!AP$134)*(modeldata!$H:$H=calibration!$AF150),modeldata!$E:$E,0))</f>
        <v>0</v>
      </c>
      <c r="AQ150" s="245">
        <f t="array" ref="AQ150">SUM(IF((modeldata!$F:$F=calibration!$AF$132)*(modeldata!$G:$G=calibration!AQ$134)*(modeldata!$H:$H=calibration!$AF150),modeldata!$E:$E,0))</f>
        <v>0</v>
      </c>
      <c r="AR150" s="178">
        <f t="shared" si="956"/>
        <v>0</v>
      </c>
      <c r="AS150" s="17">
        <f t="shared" si="896"/>
        <v>0</v>
      </c>
      <c r="AU150" s="64" t="s">
        <v>51</v>
      </c>
      <c r="AV150" s="38">
        <f t="shared" ref="AV150:BG150" si="1039">IF(R155&gt;0,R150/R155,0)</f>
        <v>0</v>
      </c>
      <c r="AW150" s="245">
        <f t="shared" si="1039"/>
        <v>0</v>
      </c>
      <c r="AX150" s="245">
        <f t="shared" si="1039"/>
        <v>0</v>
      </c>
      <c r="AY150" s="245">
        <f t="shared" si="1039"/>
        <v>0</v>
      </c>
      <c r="AZ150" s="245">
        <f t="shared" si="1039"/>
        <v>0</v>
      </c>
      <c r="BA150" s="245">
        <f t="shared" si="1039"/>
        <v>0</v>
      </c>
      <c r="BB150" s="40">
        <f t="shared" si="1039"/>
        <v>0</v>
      </c>
      <c r="BC150" s="246">
        <f t="shared" si="1039"/>
        <v>0</v>
      </c>
      <c r="BD150" s="245">
        <f t="shared" si="1039"/>
        <v>0</v>
      </c>
      <c r="BE150" s="245">
        <f t="shared" si="1039"/>
        <v>0</v>
      </c>
      <c r="BF150" s="245">
        <f t="shared" si="1039"/>
        <v>0</v>
      </c>
      <c r="BG150" s="178">
        <f t="shared" si="1039"/>
        <v>0</v>
      </c>
      <c r="BH150" s="24" t="e">
        <f>AD150/AD155</f>
        <v>#DIV/0!</v>
      </c>
      <c r="BJ150" s="64" t="s">
        <v>51</v>
      </c>
      <c r="BK150" s="38">
        <f t="shared" ref="BK150:BV150" si="1040">IF(AG155&gt;0,AG150/AG155,0)</f>
        <v>0</v>
      </c>
      <c r="BL150" s="245">
        <f t="shared" si="1040"/>
        <v>0</v>
      </c>
      <c r="BM150" s="245">
        <f t="shared" si="1040"/>
        <v>0</v>
      </c>
      <c r="BN150" s="245">
        <f t="shared" si="1040"/>
        <v>0</v>
      </c>
      <c r="BO150" s="245">
        <f t="shared" si="1040"/>
        <v>0</v>
      </c>
      <c r="BP150" s="245">
        <f t="shared" si="1040"/>
        <v>0</v>
      </c>
      <c r="BQ150" s="40">
        <f t="shared" si="1040"/>
        <v>0</v>
      </c>
      <c r="BR150" s="246">
        <f t="shared" si="1040"/>
        <v>0</v>
      </c>
      <c r="BS150" s="245">
        <f t="shared" si="1040"/>
        <v>0</v>
      </c>
      <c r="BT150" s="245">
        <f t="shared" si="1040"/>
        <v>0</v>
      </c>
      <c r="BU150" s="245">
        <f t="shared" si="1040"/>
        <v>0</v>
      </c>
      <c r="BV150" s="178">
        <f t="shared" si="1040"/>
        <v>0</v>
      </c>
      <c r="BW150" s="24" t="e">
        <f>AS150/AS155</f>
        <v>#DIV/0!</v>
      </c>
      <c r="BX150" s="24"/>
      <c r="BY150" s="64" t="s">
        <v>51</v>
      </c>
      <c r="BZ150" s="54">
        <f t="shared" si="929"/>
        <v>0</v>
      </c>
      <c r="CA150" s="55">
        <f t="shared" si="899"/>
        <v>0</v>
      </c>
      <c r="CB150" s="55">
        <f t="shared" si="900"/>
        <v>0</v>
      </c>
      <c r="CC150" s="55">
        <f t="shared" si="901"/>
        <v>0</v>
      </c>
      <c r="CD150" s="55">
        <f t="shared" si="902"/>
        <v>0</v>
      </c>
      <c r="CE150" s="55">
        <f t="shared" si="903"/>
        <v>0</v>
      </c>
      <c r="CF150" s="60">
        <f t="shared" si="904"/>
        <v>0</v>
      </c>
      <c r="CG150" s="249">
        <f t="shared" si="905"/>
        <v>0</v>
      </c>
      <c r="CH150" s="55">
        <f t="shared" si="906"/>
        <v>0</v>
      </c>
      <c r="CI150" s="55">
        <f t="shared" si="907"/>
        <v>0</v>
      </c>
      <c r="CJ150" s="55">
        <f t="shared" si="908"/>
        <v>0</v>
      </c>
      <c r="CK150" s="252">
        <f t="shared" si="908"/>
        <v>0</v>
      </c>
      <c r="CL150" s="55">
        <f t="shared" si="909"/>
        <v>0</v>
      </c>
      <c r="CN150" s="64" t="s">
        <v>51</v>
      </c>
      <c r="CO150" s="54">
        <f t="shared" si="930"/>
        <v>0</v>
      </c>
      <c r="CP150" s="55">
        <f t="shared" si="910"/>
        <v>0</v>
      </c>
      <c r="CQ150" s="55">
        <f t="shared" si="911"/>
        <v>0</v>
      </c>
      <c r="CR150" s="55">
        <f t="shared" si="912"/>
        <v>0</v>
      </c>
      <c r="CS150" s="55">
        <f t="shared" si="913"/>
        <v>0</v>
      </c>
      <c r="CT150" s="55">
        <f t="shared" si="914"/>
        <v>0</v>
      </c>
      <c r="CU150" s="60">
        <f t="shared" si="915"/>
        <v>0</v>
      </c>
      <c r="CV150" s="249">
        <f t="shared" si="916"/>
        <v>0</v>
      </c>
      <c r="CW150" s="55">
        <f t="shared" si="917"/>
        <v>0</v>
      </c>
      <c r="CX150" s="55">
        <f t="shared" si="918"/>
        <v>0</v>
      </c>
      <c r="CY150" s="55">
        <f t="shared" si="919"/>
        <v>0</v>
      </c>
      <c r="CZ150" s="252">
        <f t="shared" si="919"/>
        <v>0</v>
      </c>
      <c r="DA150" s="62" t="e">
        <f t="shared" si="920"/>
        <v>#DIV/0!</v>
      </c>
      <c r="DC150" s="64" t="s">
        <v>51</v>
      </c>
      <c r="DD150" s="198">
        <f t="shared" si="931"/>
        <v>0</v>
      </c>
      <c r="DE150" s="199">
        <f t="shared" si="932"/>
        <v>0</v>
      </c>
      <c r="DF150" s="198">
        <f t="shared" si="933"/>
        <v>0</v>
      </c>
      <c r="DG150" s="199">
        <f t="shared" si="934"/>
        <v>0</v>
      </c>
      <c r="DH150" s="198">
        <f t="shared" si="935"/>
        <v>0</v>
      </c>
      <c r="DI150" s="199">
        <f t="shared" si="936"/>
        <v>0</v>
      </c>
      <c r="DJ150" s="198">
        <f t="shared" si="937"/>
        <v>0</v>
      </c>
      <c r="DK150" s="199">
        <f t="shared" si="938"/>
        <v>0</v>
      </c>
      <c r="DL150" s="198">
        <f t="shared" si="939"/>
        <v>0</v>
      </c>
      <c r="DM150" s="199">
        <f t="shared" si="940"/>
        <v>0</v>
      </c>
      <c r="DN150" s="198">
        <f t="shared" si="941"/>
        <v>0</v>
      </c>
      <c r="DO150" s="199">
        <f t="shared" si="942"/>
        <v>0</v>
      </c>
      <c r="DP150" s="198">
        <f t="shared" si="943"/>
        <v>0</v>
      </c>
      <c r="DQ150" s="199">
        <f t="shared" si="944"/>
        <v>0</v>
      </c>
      <c r="DR150" s="198">
        <f t="shared" si="945"/>
        <v>0</v>
      </c>
      <c r="DS150" s="199">
        <f t="shared" si="946"/>
        <v>0</v>
      </c>
      <c r="DT150" s="198">
        <f t="shared" si="947"/>
        <v>0</v>
      </c>
      <c r="DU150" s="199">
        <f t="shared" si="948"/>
        <v>0</v>
      </c>
      <c r="DV150" s="198">
        <f t="shared" si="949"/>
        <v>0</v>
      </c>
      <c r="DW150" s="199">
        <f t="shared" si="950"/>
        <v>0</v>
      </c>
      <c r="DX150" s="198">
        <f t="shared" si="951"/>
        <v>0</v>
      </c>
      <c r="DY150" s="199">
        <f t="shared" si="952"/>
        <v>0</v>
      </c>
      <c r="DZ150" s="190">
        <f t="shared" si="953"/>
        <v>0</v>
      </c>
      <c r="EA150" s="199">
        <f t="shared" si="921"/>
        <v>0</v>
      </c>
      <c r="EB150" s="190" t="e">
        <f t="shared" si="954"/>
        <v>#DIV/0!</v>
      </c>
      <c r="EC150" s="190" t="e">
        <f t="shared" si="955"/>
        <v>#DIV/0!</v>
      </c>
    </row>
    <row r="151" spans="1:133" x14ac:dyDescent="0.2">
      <c r="A151" s="64" t="s">
        <v>52</v>
      </c>
      <c r="B151" s="38">
        <f>targets!AW142</f>
        <v>0</v>
      </c>
      <c r="C151" s="245">
        <f>targets!AX142</f>
        <v>0</v>
      </c>
      <c r="D151" s="245">
        <f>targets!AY142</f>
        <v>0</v>
      </c>
      <c r="E151" s="245">
        <f>targets!AZ142</f>
        <v>0</v>
      </c>
      <c r="F151" s="245">
        <f>targets!BA142</f>
        <v>0</v>
      </c>
      <c r="G151" s="245">
        <f>SUM(targets!BB142:BG142)</f>
        <v>0</v>
      </c>
      <c r="H151" s="41">
        <f>SUM(targets!BH142:BM142)</f>
        <v>0</v>
      </c>
      <c r="I151" s="246">
        <f t="shared" si="922"/>
        <v>0</v>
      </c>
      <c r="J151" s="245">
        <f>targets!BN142</f>
        <v>0</v>
      </c>
      <c r="K151" s="245">
        <f>targets!BO142</f>
        <v>0</v>
      </c>
      <c r="L151" s="245">
        <f>targets!BP142</f>
        <v>0</v>
      </c>
      <c r="M151" s="178">
        <f t="shared" si="923"/>
        <v>0</v>
      </c>
      <c r="N151" s="17">
        <f t="shared" si="884"/>
        <v>0</v>
      </c>
      <c r="O151" s="17"/>
      <c r="P151" s="17"/>
      <c r="Q151" s="64" t="s">
        <v>52</v>
      </c>
      <c r="R151" s="38">
        <f t="shared" si="885"/>
        <v>0</v>
      </c>
      <c r="S151" s="245">
        <f t="shared" si="886"/>
        <v>0</v>
      </c>
      <c r="T151" s="245">
        <f t="shared" si="887"/>
        <v>0</v>
      </c>
      <c r="U151" s="245">
        <f t="shared" si="888"/>
        <v>0</v>
      </c>
      <c r="V151" s="245">
        <f t="shared" si="889"/>
        <v>0</v>
      </c>
      <c r="W151" s="245">
        <f t="shared" si="890"/>
        <v>0</v>
      </c>
      <c r="X151" s="41">
        <f t="shared" si="891"/>
        <v>0</v>
      </c>
      <c r="Y151" s="246">
        <f>SUM(W151:X151)</f>
        <v>0</v>
      </c>
      <c r="Z151" s="245">
        <f t="shared" si="892"/>
        <v>0</v>
      </c>
      <c r="AA151" s="245">
        <f t="shared" si="893"/>
        <v>0</v>
      </c>
      <c r="AB151" s="245">
        <f t="shared" si="894"/>
        <v>0</v>
      </c>
      <c r="AC151" s="178">
        <f t="shared" si="925"/>
        <v>0</v>
      </c>
      <c r="AD151" s="17">
        <f t="shared" si="895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5">
        <f t="array" ref="AH151">SUM(IF((modeldata!$F:$F=calibration!$AF$132)*(modeldata!$G:$G=calibration!AH$134)*(modeldata!$H:$H=calibration!$AF151),modeldata!$E:$E,0))</f>
        <v>0</v>
      </c>
      <c r="AI151" s="245">
        <f t="array" ref="AI151">SUM(IF((modeldata!$F:$F=calibration!$AF$132)*(modeldata!$G:$G=calibration!AI$134)*(modeldata!$H:$H=calibration!$AF151),modeldata!$E:$E,0))</f>
        <v>0</v>
      </c>
      <c r="AJ151" s="245">
        <f t="array" ref="AJ151">SUM(IF((modeldata!$F:$F=calibration!$AF$132)*(modeldata!$G:$G=calibration!AJ$134)*(modeldata!$H:$H=calibration!$AF151),modeldata!$E:$E,0))</f>
        <v>0</v>
      </c>
      <c r="AK151" s="245">
        <f t="array" ref="AK151">SUM(IF((modeldata!$F:$F=calibration!$AF$132)*(modeldata!$G:$G=calibration!AK$134)*(modeldata!$H:$H=calibration!$AF151),modeldata!$E:$E,0))</f>
        <v>0</v>
      </c>
      <c r="AL151" s="245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6"/>
      <c r="AO151" s="245">
        <f t="array" ref="AO151">SUM(IF((modeldata!$F:$F=calibration!$AF$132)*(modeldata!$G:$G=calibration!AO$134)*(modeldata!$H:$H=calibration!$AF151),modeldata!$E:$E,0))</f>
        <v>0</v>
      </c>
      <c r="AP151" s="245">
        <f t="array" ref="AP151">SUM(IF((modeldata!$F:$F=calibration!$AF$132)*(modeldata!$G:$G=calibration!AP$134)*(modeldata!$H:$H=calibration!$AF151),modeldata!$E:$E,0))</f>
        <v>0</v>
      </c>
      <c r="AQ151" s="245">
        <f t="array" ref="AQ151">SUM(IF((modeldata!$F:$F=calibration!$AF$132)*(modeldata!$G:$G=calibration!AQ$134)*(modeldata!$H:$H=calibration!$AF151),modeldata!$E:$E,0))</f>
        <v>0</v>
      </c>
      <c r="AR151" s="178">
        <f t="shared" si="956"/>
        <v>0</v>
      </c>
      <c r="AS151" s="17">
        <f t="shared" si="896"/>
        <v>0</v>
      </c>
      <c r="AU151" s="64" t="s">
        <v>52</v>
      </c>
      <c r="AV151" s="38">
        <f t="shared" ref="AV151:BG151" si="1041">IF(R155&gt;0,R151/R155,0)</f>
        <v>0</v>
      </c>
      <c r="AW151" s="245">
        <f t="shared" si="1041"/>
        <v>0</v>
      </c>
      <c r="AX151" s="245">
        <f t="shared" si="1041"/>
        <v>0</v>
      </c>
      <c r="AY151" s="245">
        <f t="shared" si="1041"/>
        <v>0</v>
      </c>
      <c r="AZ151" s="245">
        <f t="shared" si="1041"/>
        <v>0</v>
      </c>
      <c r="BA151" s="245">
        <f t="shared" si="1041"/>
        <v>0</v>
      </c>
      <c r="BB151" s="41">
        <f t="shared" si="1041"/>
        <v>0</v>
      </c>
      <c r="BC151" s="246">
        <f t="shared" si="1041"/>
        <v>0</v>
      </c>
      <c r="BD151" s="245">
        <f t="shared" si="1041"/>
        <v>0</v>
      </c>
      <c r="BE151" s="245">
        <f t="shared" si="1041"/>
        <v>0</v>
      </c>
      <c r="BF151" s="245">
        <f t="shared" si="1041"/>
        <v>0</v>
      </c>
      <c r="BG151" s="178">
        <f t="shared" si="1041"/>
        <v>0</v>
      </c>
      <c r="BH151" s="24" t="e">
        <f>AD151/AD155</f>
        <v>#DIV/0!</v>
      </c>
      <c r="BJ151" s="64" t="s">
        <v>52</v>
      </c>
      <c r="BK151" s="38">
        <f t="shared" ref="BK151:BV151" si="1042">IF(AG155&gt;0,AG151/AG155,0)</f>
        <v>0</v>
      </c>
      <c r="BL151" s="245">
        <f t="shared" si="1042"/>
        <v>0</v>
      </c>
      <c r="BM151" s="245">
        <f t="shared" si="1042"/>
        <v>0</v>
      </c>
      <c r="BN151" s="245">
        <f t="shared" si="1042"/>
        <v>0</v>
      </c>
      <c r="BO151" s="245">
        <f t="shared" si="1042"/>
        <v>0</v>
      </c>
      <c r="BP151" s="245">
        <f t="shared" si="1042"/>
        <v>0</v>
      </c>
      <c r="BQ151" s="41">
        <f t="shared" si="1042"/>
        <v>0</v>
      </c>
      <c r="BR151" s="246">
        <f t="shared" si="1042"/>
        <v>0</v>
      </c>
      <c r="BS151" s="245">
        <f t="shared" si="1042"/>
        <v>0</v>
      </c>
      <c r="BT151" s="245">
        <f t="shared" si="1042"/>
        <v>0</v>
      </c>
      <c r="BU151" s="245">
        <f t="shared" si="1042"/>
        <v>0</v>
      </c>
      <c r="BV151" s="178">
        <f t="shared" si="1042"/>
        <v>0</v>
      </c>
      <c r="BW151" s="24" t="e">
        <f>AS151/AS155</f>
        <v>#DIV/0!</v>
      </c>
      <c r="BX151" s="24"/>
      <c r="BY151" s="64" t="s">
        <v>52</v>
      </c>
      <c r="BZ151" s="54">
        <f t="shared" si="929"/>
        <v>0</v>
      </c>
      <c r="CA151" s="55">
        <f t="shared" si="899"/>
        <v>0</v>
      </c>
      <c r="CB151" s="55">
        <f t="shared" si="900"/>
        <v>0</v>
      </c>
      <c r="CC151" s="55">
        <f t="shared" si="901"/>
        <v>0</v>
      </c>
      <c r="CD151" s="55">
        <f t="shared" si="902"/>
        <v>0</v>
      </c>
      <c r="CE151" s="55">
        <f t="shared" si="903"/>
        <v>0</v>
      </c>
      <c r="CF151" s="61">
        <f t="shared" si="904"/>
        <v>0</v>
      </c>
      <c r="CG151" s="249">
        <f>AN151-Y151</f>
        <v>0</v>
      </c>
      <c r="CH151" s="55">
        <f t="shared" si="906"/>
        <v>0</v>
      </c>
      <c r="CI151" s="55">
        <f t="shared" si="907"/>
        <v>0</v>
      </c>
      <c r="CJ151" s="55">
        <f t="shared" si="908"/>
        <v>0</v>
      </c>
      <c r="CK151" s="252">
        <f t="shared" si="908"/>
        <v>0</v>
      </c>
      <c r="CL151" s="55">
        <f t="shared" si="909"/>
        <v>0</v>
      </c>
      <c r="CN151" s="64" t="s">
        <v>52</v>
      </c>
      <c r="CO151" s="54">
        <f t="shared" si="930"/>
        <v>0</v>
      </c>
      <c r="CP151" s="55">
        <f t="shared" si="910"/>
        <v>0</v>
      </c>
      <c r="CQ151" s="55">
        <f t="shared" si="911"/>
        <v>0</v>
      </c>
      <c r="CR151" s="55">
        <f t="shared" si="912"/>
        <v>0</v>
      </c>
      <c r="CS151" s="55">
        <f t="shared" si="913"/>
        <v>0</v>
      </c>
      <c r="CT151" s="55">
        <f t="shared" si="914"/>
        <v>0</v>
      </c>
      <c r="CU151" s="61">
        <f t="shared" si="915"/>
        <v>0</v>
      </c>
      <c r="CV151" s="249">
        <f t="shared" si="916"/>
        <v>0</v>
      </c>
      <c r="CW151" s="55">
        <f t="shared" si="917"/>
        <v>0</v>
      </c>
      <c r="CX151" s="55">
        <f t="shared" si="918"/>
        <v>0</v>
      </c>
      <c r="CY151" s="55">
        <f t="shared" si="919"/>
        <v>0</v>
      </c>
      <c r="CZ151" s="252">
        <f t="shared" si="919"/>
        <v>0</v>
      </c>
      <c r="DA151" s="62" t="e">
        <f t="shared" si="920"/>
        <v>#DIV/0!</v>
      </c>
      <c r="DC151" s="64" t="s">
        <v>52</v>
      </c>
      <c r="DD151" s="198">
        <f t="shared" si="931"/>
        <v>0</v>
      </c>
      <c r="DE151" s="199">
        <f t="shared" si="932"/>
        <v>0</v>
      </c>
      <c r="DF151" s="198">
        <f t="shared" si="933"/>
        <v>0</v>
      </c>
      <c r="DG151" s="199">
        <f t="shared" si="934"/>
        <v>0</v>
      </c>
      <c r="DH151" s="198">
        <f t="shared" si="935"/>
        <v>0</v>
      </c>
      <c r="DI151" s="199">
        <f t="shared" si="936"/>
        <v>0</v>
      </c>
      <c r="DJ151" s="198">
        <f t="shared" si="937"/>
        <v>0</v>
      </c>
      <c r="DK151" s="199">
        <f t="shared" si="938"/>
        <v>0</v>
      </c>
      <c r="DL151" s="198">
        <f t="shared" si="939"/>
        <v>0</v>
      </c>
      <c r="DM151" s="199">
        <f t="shared" si="940"/>
        <v>0</v>
      </c>
      <c r="DN151" s="198">
        <f t="shared" si="941"/>
        <v>0</v>
      </c>
      <c r="DO151" s="199">
        <f t="shared" si="942"/>
        <v>0</v>
      </c>
      <c r="DP151" s="200">
        <f t="shared" si="943"/>
        <v>0</v>
      </c>
      <c r="DQ151" s="201">
        <f t="shared" si="944"/>
        <v>0</v>
      </c>
      <c r="DR151" s="198">
        <f t="shared" si="945"/>
        <v>0</v>
      </c>
      <c r="DS151" s="199">
        <f t="shared" si="946"/>
        <v>0</v>
      </c>
      <c r="DT151" s="198">
        <f t="shared" si="947"/>
        <v>0</v>
      </c>
      <c r="DU151" s="199">
        <f t="shared" si="948"/>
        <v>0</v>
      </c>
      <c r="DV151" s="198">
        <f t="shared" si="949"/>
        <v>0</v>
      </c>
      <c r="DW151" s="199">
        <f t="shared" si="950"/>
        <v>0</v>
      </c>
      <c r="DX151" s="198">
        <f t="shared" si="951"/>
        <v>0</v>
      </c>
      <c r="DY151" s="199">
        <f t="shared" si="952"/>
        <v>0</v>
      </c>
      <c r="DZ151" s="190">
        <f t="shared" si="953"/>
        <v>0</v>
      </c>
      <c r="EA151" s="199">
        <f t="shared" si="921"/>
        <v>0</v>
      </c>
      <c r="EB151" s="190" t="e">
        <f t="shared" si="954"/>
        <v>#DIV/0!</v>
      </c>
      <c r="EC151" s="190" t="e">
        <f t="shared" si="955"/>
        <v>#DIV/0!</v>
      </c>
    </row>
    <row r="152" spans="1:133" x14ac:dyDescent="0.2">
      <c r="A152" s="2" t="s">
        <v>6</v>
      </c>
      <c r="B152" s="38">
        <f>targets!AW143</f>
        <v>0</v>
      </c>
      <c r="C152" s="245">
        <f>targets!AX143</f>
        <v>0</v>
      </c>
      <c r="D152" s="245">
        <f>targets!AY143</f>
        <v>0</v>
      </c>
      <c r="E152" s="245">
        <f>targets!AZ143</f>
        <v>0</v>
      </c>
      <c r="F152" s="245">
        <f>targets!BA143</f>
        <v>0</v>
      </c>
      <c r="G152" s="245">
        <f>SUM(targets!BB143:BG143)</f>
        <v>0</v>
      </c>
      <c r="H152" s="245">
        <f>SUM(targets!BH143:BM143)</f>
        <v>0</v>
      </c>
      <c r="I152" s="246">
        <f t="shared" si="922"/>
        <v>0</v>
      </c>
      <c r="J152" s="245">
        <f>targets!BN143</f>
        <v>164.5121910976535</v>
      </c>
      <c r="K152" s="245">
        <f>targets!BO143</f>
        <v>0</v>
      </c>
      <c r="L152" s="245">
        <f>targets!BP143</f>
        <v>0</v>
      </c>
      <c r="M152" s="178">
        <f t="shared" si="923"/>
        <v>164.5121910976535</v>
      </c>
      <c r="N152" s="17">
        <f t="shared" si="884"/>
        <v>164.5121910976535</v>
      </c>
      <c r="O152" s="17"/>
      <c r="P152" s="17"/>
      <c r="Q152" s="2" t="s">
        <v>6</v>
      </c>
      <c r="R152" s="38">
        <f t="shared" si="885"/>
        <v>0</v>
      </c>
      <c r="S152" s="245">
        <f t="shared" si="886"/>
        <v>0</v>
      </c>
      <c r="T152" s="245">
        <f t="shared" si="887"/>
        <v>0</v>
      </c>
      <c r="U152" s="245">
        <f t="shared" si="888"/>
        <v>0</v>
      </c>
      <c r="V152" s="245">
        <f t="shared" si="889"/>
        <v>0</v>
      </c>
      <c r="W152" s="245">
        <f t="shared" si="890"/>
        <v>0</v>
      </c>
      <c r="X152" s="245">
        <f t="shared" si="891"/>
        <v>0</v>
      </c>
      <c r="Y152" s="246">
        <f t="shared" si="924"/>
        <v>0</v>
      </c>
      <c r="Z152" s="245">
        <f t="shared" si="892"/>
        <v>0</v>
      </c>
      <c r="AA152" s="245">
        <f t="shared" si="893"/>
        <v>0</v>
      </c>
      <c r="AB152" s="245">
        <f t="shared" si="894"/>
        <v>0</v>
      </c>
      <c r="AC152" s="178">
        <f t="shared" si="925"/>
        <v>0</v>
      </c>
      <c r="AD152" s="17">
        <f t="shared" si="895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5">
        <f t="array" ref="AH152">SUM(IF((modeldata!$F:$F=calibration!$AF$132)*(modeldata!$G:$G=calibration!AH$134)*(modeldata!$H:$H=calibration!$AF152),modeldata!$E:$E,0))</f>
        <v>0</v>
      </c>
      <c r="AI152" s="245">
        <f t="array" ref="AI152">SUM(IF((modeldata!$F:$F=calibration!$AF$132)*(modeldata!$G:$G=calibration!AI$134)*(modeldata!$H:$H=calibration!$AF152),modeldata!$E:$E,0))</f>
        <v>0</v>
      </c>
      <c r="AJ152" s="245">
        <f t="array" ref="AJ152">SUM(IF((modeldata!$F:$F=calibration!$AF$132)*(modeldata!$G:$G=calibration!AJ$134)*(modeldata!$H:$H=calibration!$AF152),modeldata!$E:$E,0))</f>
        <v>0</v>
      </c>
      <c r="AK152" s="245">
        <f t="array" ref="AK152">SUM(IF((modeldata!$F:$F=calibration!$AF$132)*(modeldata!$G:$G=calibration!AK$134)*(modeldata!$H:$H=calibration!$AF152),modeldata!$E:$E,0))</f>
        <v>0</v>
      </c>
      <c r="AL152" s="245">
        <f t="array" ref="AL152">SUM(IF((modeldata!$F:$F=calibration!$AF$132)*(modeldata!$G:$G=calibration!AL$134)*(modeldata!$H:$H=calibration!$AF152),modeldata!$E:$E,0))</f>
        <v>0</v>
      </c>
      <c r="AM152" s="245">
        <f t="array" ref="AM152">SUM(IF((modeldata!$F:$F=calibration!$AF$132)*(modeldata!$G:$G=calibration!AM$134)*(modeldata!$H:$H=calibration!$AF152),modeldata!$E:$E,0))</f>
        <v>0</v>
      </c>
      <c r="AN152" s="246">
        <f t="shared" si="926"/>
        <v>0</v>
      </c>
      <c r="AO152" s="245">
        <f t="array" ref="AO152">SUM(IF((modeldata!$F:$F=calibration!$AF$132)*(modeldata!$G:$G=calibration!AO$134)*(modeldata!$H:$H=calibration!$AF152),modeldata!$E:$E,0))</f>
        <v>0</v>
      </c>
      <c r="AP152" s="245">
        <f t="array" ref="AP152">SUM(IF((modeldata!$F:$F=calibration!$AF$132)*(modeldata!$G:$G=calibration!AP$134)*(modeldata!$H:$H=calibration!$AF152),modeldata!$E:$E,0))</f>
        <v>0</v>
      </c>
      <c r="AQ152" s="245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43">SUM(AO152:AQ152)</f>
        <v>0</v>
      </c>
      <c r="AS152" s="17">
        <f t="shared" si="896"/>
        <v>0</v>
      </c>
      <c r="AU152" s="2" t="s">
        <v>6</v>
      </c>
      <c r="AV152" s="38">
        <f t="shared" ref="AV152:BG152" si="1044">IF(R155&gt;0,R152/R155,0)</f>
        <v>0</v>
      </c>
      <c r="AW152" s="245">
        <f t="shared" si="1044"/>
        <v>0</v>
      </c>
      <c r="AX152" s="245">
        <f t="shared" si="1044"/>
        <v>0</v>
      </c>
      <c r="AY152" s="245">
        <f t="shared" si="1044"/>
        <v>0</v>
      </c>
      <c r="AZ152" s="245">
        <f t="shared" si="1044"/>
        <v>0</v>
      </c>
      <c r="BA152" s="245">
        <f t="shared" si="1044"/>
        <v>0</v>
      </c>
      <c r="BB152" s="245">
        <f t="shared" si="1044"/>
        <v>0</v>
      </c>
      <c r="BC152" s="246">
        <f t="shared" si="1044"/>
        <v>0</v>
      </c>
      <c r="BD152" s="245">
        <f t="shared" si="1044"/>
        <v>0</v>
      </c>
      <c r="BE152" s="245">
        <f t="shared" si="1044"/>
        <v>0</v>
      </c>
      <c r="BF152" s="245">
        <f t="shared" si="1044"/>
        <v>0</v>
      </c>
      <c r="BG152" s="178">
        <f t="shared" si="1044"/>
        <v>0</v>
      </c>
      <c r="BH152" s="24" t="e">
        <f>AD152/AD155</f>
        <v>#DIV/0!</v>
      </c>
      <c r="BJ152" s="2" t="s">
        <v>6</v>
      </c>
      <c r="BK152" s="38">
        <f t="shared" ref="BK152:BV152" si="1045">IF(AG155&gt;0,AG152/AG155,0)</f>
        <v>0</v>
      </c>
      <c r="BL152" s="245">
        <f t="shared" si="1045"/>
        <v>0</v>
      </c>
      <c r="BM152" s="245">
        <f t="shared" si="1045"/>
        <v>0</v>
      </c>
      <c r="BN152" s="245">
        <f t="shared" si="1045"/>
        <v>0</v>
      </c>
      <c r="BO152" s="245">
        <f t="shared" si="1045"/>
        <v>0</v>
      </c>
      <c r="BP152" s="245">
        <f t="shared" si="1045"/>
        <v>0</v>
      </c>
      <c r="BQ152" s="245">
        <f t="shared" si="1045"/>
        <v>0</v>
      </c>
      <c r="BR152" s="246">
        <f t="shared" si="1045"/>
        <v>0</v>
      </c>
      <c r="BS152" s="245">
        <f t="shared" si="1045"/>
        <v>0</v>
      </c>
      <c r="BT152" s="245">
        <f t="shared" si="1045"/>
        <v>0</v>
      </c>
      <c r="BU152" s="245">
        <f t="shared" si="1045"/>
        <v>0</v>
      </c>
      <c r="BV152" s="178">
        <f t="shared" si="1045"/>
        <v>0</v>
      </c>
      <c r="BW152" s="24" t="e">
        <f>AS152/AS155</f>
        <v>#DIV/0!</v>
      </c>
      <c r="BX152" s="24"/>
      <c r="BY152" s="2" t="s">
        <v>6</v>
      </c>
      <c r="BZ152" s="54">
        <f t="shared" si="929"/>
        <v>0</v>
      </c>
      <c r="CA152" s="55">
        <f t="shared" si="899"/>
        <v>0</v>
      </c>
      <c r="CB152" s="55">
        <f t="shared" si="900"/>
        <v>0</v>
      </c>
      <c r="CC152" s="55">
        <f t="shared" si="901"/>
        <v>0</v>
      </c>
      <c r="CD152" s="55">
        <f t="shared" si="902"/>
        <v>0</v>
      </c>
      <c r="CE152" s="55">
        <f t="shared" si="903"/>
        <v>0</v>
      </c>
      <c r="CF152" s="55">
        <f t="shared" si="904"/>
        <v>0</v>
      </c>
      <c r="CG152" s="249">
        <f>AN152-Y152</f>
        <v>0</v>
      </c>
      <c r="CH152" s="55">
        <f t="shared" si="906"/>
        <v>0</v>
      </c>
      <c r="CI152" s="55">
        <f t="shared" si="907"/>
        <v>0</v>
      </c>
      <c r="CJ152" s="55">
        <f t="shared" si="908"/>
        <v>0</v>
      </c>
      <c r="CK152" s="252">
        <f t="shared" si="908"/>
        <v>0</v>
      </c>
      <c r="CL152" s="55">
        <f t="shared" si="909"/>
        <v>0</v>
      </c>
      <c r="CN152" s="2" t="s">
        <v>6</v>
      </c>
      <c r="CO152" s="54">
        <f t="shared" si="930"/>
        <v>0</v>
      </c>
      <c r="CP152" s="55">
        <f t="shared" si="910"/>
        <v>0</v>
      </c>
      <c r="CQ152" s="55">
        <f t="shared" si="911"/>
        <v>0</v>
      </c>
      <c r="CR152" s="55">
        <f t="shared" si="912"/>
        <v>0</v>
      </c>
      <c r="CS152" s="55">
        <f t="shared" si="913"/>
        <v>0</v>
      </c>
      <c r="CT152" s="55">
        <f t="shared" si="914"/>
        <v>0</v>
      </c>
      <c r="CU152" s="55">
        <f t="shared" si="915"/>
        <v>0</v>
      </c>
      <c r="CV152" s="249">
        <f t="shared" si="916"/>
        <v>0</v>
      </c>
      <c r="CW152" s="55">
        <f t="shared" si="917"/>
        <v>0</v>
      </c>
      <c r="CX152" s="55">
        <f t="shared" si="918"/>
        <v>0</v>
      </c>
      <c r="CY152" s="55">
        <f t="shared" si="919"/>
        <v>0</v>
      </c>
      <c r="CZ152" s="252">
        <f t="shared" si="919"/>
        <v>0</v>
      </c>
      <c r="DA152" s="62" t="e">
        <f t="shared" si="920"/>
        <v>#DIV/0!</v>
      </c>
      <c r="DC152" s="2" t="s">
        <v>6</v>
      </c>
      <c r="DD152" s="198">
        <f t="shared" si="931"/>
        <v>0</v>
      </c>
      <c r="DE152" s="199">
        <f t="shared" si="932"/>
        <v>0</v>
      </c>
      <c r="DF152" s="198">
        <f t="shared" si="933"/>
        <v>0</v>
      </c>
      <c r="DG152" s="199">
        <f t="shared" si="934"/>
        <v>0</v>
      </c>
      <c r="DH152" s="198">
        <f t="shared" si="935"/>
        <v>0</v>
      </c>
      <c r="DI152" s="199">
        <f t="shared" si="936"/>
        <v>0</v>
      </c>
      <c r="DJ152" s="198">
        <f t="shared" si="937"/>
        <v>0</v>
      </c>
      <c r="DK152" s="199">
        <f t="shared" si="938"/>
        <v>0</v>
      </c>
      <c r="DL152" s="198">
        <f t="shared" si="939"/>
        <v>0</v>
      </c>
      <c r="DM152" s="199">
        <f t="shared" si="940"/>
        <v>0</v>
      </c>
      <c r="DN152" s="198">
        <f t="shared" si="941"/>
        <v>0</v>
      </c>
      <c r="DO152" s="199">
        <f t="shared" si="942"/>
        <v>0</v>
      </c>
      <c r="DP152" s="198">
        <f t="shared" si="943"/>
        <v>0</v>
      </c>
      <c r="DQ152" s="199">
        <f t="shared" si="944"/>
        <v>0</v>
      </c>
      <c r="DR152" s="198">
        <f t="shared" si="945"/>
        <v>0</v>
      </c>
      <c r="DS152" s="199">
        <f t="shared" si="946"/>
        <v>0</v>
      </c>
      <c r="DT152" s="198">
        <f t="shared" si="947"/>
        <v>0</v>
      </c>
      <c r="DU152" s="199">
        <f t="shared" si="948"/>
        <v>0</v>
      </c>
      <c r="DV152" s="198">
        <f t="shared" si="949"/>
        <v>0</v>
      </c>
      <c r="DW152" s="199">
        <f t="shared" si="950"/>
        <v>0</v>
      </c>
      <c r="DX152" s="198">
        <f t="shared" si="951"/>
        <v>0</v>
      </c>
      <c r="DY152" s="199">
        <f t="shared" si="952"/>
        <v>0</v>
      </c>
      <c r="DZ152" s="190">
        <f t="shared" si="953"/>
        <v>0</v>
      </c>
      <c r="EA152" s="199">
        <f t="shared" si="921"/>
        <v>0</v>
      </c>
      <c r="EB152" s="190" t="e">
        <f t="shared" si="954"/>
        <v>#DIV/0!</v>
      </c>
      <c r="EC152" s="190" t="e">
        <f t="shared" si="955"/>
        <v>#DIV/0!</v>
      </c>
    </row>
    <row r="153" spans="1:133" x14ac:dyDescent="0.2">
      <c r="A153" s="2" t="s">
        <v>88</v>
      </c>
      <c r="B153" s="38">
        <f>targets!AW144</f>
        <v>0</v>
      </c>
      <c r="C153" s="245">
        <f>targets!AX144</f>
        <v>0</v>
      </c>
      <c r="D153" s="245">
        <f>targets!AY144</f>
        <v>0</v>
      </c>
      <c r="E153" s="245">
        <f>targets!AZ144</f>
        <v>0</v>
      </c>
      <c r="F153" s="245">
        <f>targets!BA144</f>
        <v>0</v>
      </c>
      <c r="G153" s="245">
        <f>SUM(targets!BB144:BG144)</f>
        <v>11.571085140993672</v>
      </c>
      <c r="H153" s="245">
        <f>SUM(targets!BH144:BM144)</f>
        <v>0</v>
      </c>
      <c r="I153" s="246">
        <f t="shared" si="922"/>
        <v>11.571085140993672</v>
      </c>
      <c r="J153" s="245">
        <f>targets!BN144</f>
        <v>0</v>
      </c>
      <c r="K153" s="245">
        <f>targets!BO144</f>
        <v>2551.2775052309808</v>
      </c>
      <c r="L153" s="245">
        <f>targets!BP144</f>
        <v>134.60894610574448</v>
      </c>
      <c r="M153" s="178">
        <f t="shared" si="923"/>
        <v>2685.8864513367253</v>
      </c>
      <c r="N153" s="17">
        <f t="shared" si="884"/>
        <v>2697.4575364777193</v>
      </c>
      <c r="O153" s="17"/>
      <c r="P153" s="17"/>
      <c r="Q153" s="2" t="s">
        <v>88</v>
      </c>
      <c r="R153" s="38">
        <f t="shared" si="885"/>
        <v>0</v>
      </c>
      <c r="S153" s="245">
        <f t="shared" si="886"/>
        <v>0</v>
      </c>
      <c r="T153" s="245">
        <f t="shared" si="887"/>
        <v>0</v>
      </c>
      <c r="U153" s="245">
        <f t="shared" si="888"/>
        <v>0</v>
      </c>
      <c r="V153" s="245">
        <f t="shared" si="889"/>
        <v>0</v>
      </c>
      <c r="W153" s="245">
        <f t="shared" si="890"/>
        <v>0</v>
      </c>
      <c r="X153" s="245">
        <f t="shared" si="891"/>
        <v>0</v>
      </c>
      <c r="Y153" s="246">
        <f t="shared" si="924"/>
        <v>0</v>
      </c>
      <c r="Z153" s="245">
        <f t="shared" si="892"/>
        <v>0</v>
      </c>
      <c r="AA153" s="245">
        <f t="shared" si="893"/>
        <v>0</v>
      </c>
      <c r="AB153" s="245">
        <f t="shared" si="894"/>
        <v>0</v>
      </c>
      <c r="AC153" s="178">
        <f t="shared" si="925"/>
        <v>0</v>
      </c>
      <c r="AD153" s="17">
        <f t="shared" si="895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5">
        <f t="array" ref="AH153">SUM(IF((modeldata!$F:$F=calibration!$AF$132)*(modeldata!$G:$G=calibration!AH$134)*(modeldata!$H:$H=calibration!$AF153),modeldata!$E:$E,0))</f>
        <v>0</v>
      </c>
      <c r="AI153" s="245">
        <f t="array" ref="AI153">SUM(IF((modeldata!$F:$F=calibration!$AF$132)*(modeldata!$G:$G=calibration!AI$134)*(modeldata!$H:$H=calibration!$AF153),modeldata!$E:$E,0))</f>
        <v>0</v>
      </c>
      <c r="AJ153" s="245">
        <f t="array" ref="AJ153">SUM(IF((modeldata!$F:$F=calibration!$AF$132)*(modeldata!$G:$G=calibration!AJ$134)*(modeldata!$H:$H=calibration!$AF153),modeldata!$E:$E,0))</f>
        <v>0</v>
      </c>
      <c r="AK153" s="245">
        <f t="array" ref="AK153">SUM(IF((modeldata!$F:$F=calibration!$AF$132)*(modeldata!$G:$G=calibration!AK$134)*(modeldata!$H:$H=calibration!$AF153),modeldata!$E:$E,0))</f>
        <v>0</v>
      </c>
      <c r="AL153" s="245">
        <f t="array" ref="AL153">SUM(IF((modeldata!$F:$F=calibration!$AF$132)*(modeldata!$G:$G=calibration!AL$134)*(modeldata!$H:$H=calibration!$AF153),modeldata!$E:$E,0))</f>
        <v>0</v>
      </c>
      <c r="AM153" s="245">
        <f t="array" ref="AM153">SUM(IF((modeldata!$F:$F=calibration!$AF$132)*(modeldata!$G:$G=calibration!AM$134)*(modeldata!$H:$H=calibration!$AF153),modeldata!$E:$E,0))</f>
        <v>0</v>
      </c>
      <c r="AN153" s="246">
        <f t="shared" si="926"/>
        <v>0</v>
      </c>
      <c r="AO153" s="245">
        <f t="array" ref="AO153">SUM(IF((modeldata!$F:$F=calibration!$AF$132)*(modeldata!$G:$G=calibration!AO$134)*(modeldata!$H:$H=calibration!$AF153),modeldata!$E:$E,0))</f>
        <v>0</v>
      </c>
      <c r="AP153" s="245">
        <f t="array" ref="AP153">SUM(IF((modeldata!$F:$F=calibration!$AF$132)*(modeldata!$G:$G=calibration!AP$134)*(modeldata!$H:$H=calibration!$AF153),modeldata!$E:$E,0))</f>
        <v>0</v>
      </c>
      <c r="AQ153" s="245">
        <f t="array" ref="AQ153">SUM(IF((modeldata!$F:$F=calibration!$AF$132)*(modeldata!$G:$G=calibration!AQ$134)*(modeldata!$H:$H=calibration!$AF153),modeldata!$E:$E,0))</f>
        <v>0</v>
      </c>
      <c r="AR153" s="178">
        <f t="shared" si="1043"/>
        <v>0</v>
      </c>
      <c r="AS153" s="17">
        <f t="shared" si="896"/>
        <v>0</v>
      </c>
      <c r="AU153" s="2" t="s">
        <v>88</v>
      </c>
      <c r="AV153" s="38">
        <f t="shared" ref="AV153:BG153" si="1046">IF(R155&gt;0,R153/R155,0)</f>
        <v>0</v>
      </c>
      <c r="AW153" s="245">
        <f t="shared" si="1046"/>
        <v>0</v>
      </c>
      <c r="AX153" s="245">
        <f t="shared" si="1046"/>
        <v>0</v>
      </c>
      <c r="AY153" s="245">
        <f t="shared" si="1046"/>
        <v>0</v>
      </c>
      <c r="AZ153" s="245">
        <f t="shared" si="1046"/>
        <v>0</v>
      </c>
      <c r="BA153" s="245">
        <f t="shared" si="1046"/>
        <v>0</v>
      </c>
      <c r="BB153" s="245">
        <f t="shared" si="1046"/>
        <v>0</v>
      </c>
      <c r="BC153" s="246">
        <f t="shared" si="1046"/>
        <v>0</v>
      </c>
      <c r="BD153" s="245">
        <f t="shared" si="1046"/>
        <v>0</v>
      </c>
      <c r="BE153" s="245">
        <f t="shared" si="1046"/>
        <v>0</v>
      </c>
      <c r="BF153" s="245">
        <f t="shared" si="1046"/>
        <v>0</v>
      </c>
      <c r="BG153" s="178">
        <f t="shared" si="1046"/>
        <v>0</v>
      </c>
      <c r="BH153" s="24" t="e">
        <f>AD153/AD155</f>
        <v>#DIV/0!</v>
      </c>
      <c r="BJ153" s="2" t="s">
        <v>88</v>
      </c>
      <c r="BK153" s="38">
        <f t="shared" ref="BK153:BV153" si="1047">IF(AG155&gt;0,AG153/AG155,0)</f>
        <v>0</v>
      </c>
      <c r="BL153" s="245">
        <f t="shared" si="1047"/>
        <v>0</v>
      </c>
      <c r="BM153" s="245">
        <f t="shared" si="1047"/>
        <v>0</v>
      </c>
      <c r="BN153" s="245">
        <f t="shared" si="1047"/>
        <v>0</v>
      </c>
      <c r="BO153" s="245">
        <f t="shared" si="1047"/>
        <v>0</v>
      </c>
      <c r="BP153" s="245">
        <f t="shared" si="1047"/>
        <v>0</v>
      </c>
      <c r="BQ153" s="245">
        <f t="shared" si="1047"/>
        <v>0</v>
      </c>
      <c r="BR153" s="246">
        <f t="shared" si="1047"/>
        <v>0</v>
      </c>
      <c r="BS153" s="245">
        <f t="shared" si="1047"/>
        <v>0</v>
      </c>
      <c r="BT153" s="245">
        <f t="shared" si="1047"/>
        <v>0</v>
      </c>
      <c r="BU153" s="245">
        <f t="shared" si="1047"/>
        <v>0</v>
      </c>
      <c r="BV153" s="178">
        <f t="shared" si="1047"/>
        <v>0</v>
      </c>
      <c r="BW153" s="24" t="e">
        <f>AS153/AS155</f>
        <v>#DIV/0!</v>
      </c>
      <c r="BX153" s="24"/>
      <c r="BY153" s="2" t="s">
        <v>88</v>
      </c>
      <c r="BZ153" s="54">
        <f t="shared" si="929"/>
        <v>0</v>
      </c>
      <c r="CA153" s="55">
        <f t="shared" si="899"/>
        <v>0</v>
      </c>
      <c r="CB153" s="55">
        <f t="shared" si="900"/>
        <v>0</v>
      </c>
      <c r="CC153" s="55">
        <f t="shared" si="901"/>
        <v>0</v>
      </c>
      <c r="CD153" s="55">
        <f t="shared" si="902"/>
        <v>0</v>
      </c>
      <c r="CE153" s="55">
        <f t="shared" si="903"/>
        <v>0</v>
      </c>
      <c r="CF153" s="55">
        <f t="shared" si="904"/>
        <v>0</v>
      </c>
      <c r="CG153" s="249">
        <f>AN153-Y153</f>
        <v>0</v>
      </c>
      <c r="CH153" s="55">
        <f t="shared" si="906"/>
        <v>0</v>
      </c>
      <c r="CI153" s="55">
        <f t="shared" si="907"/>
        <v>0</v>
      </c>
      <c r="CJ153" s="55">
        <f t="shared" si="908"/>
        <v>0</v>
      </c>
      <c r="CK153" s="252">
        <f t="shared" si="908"/>
        <v>0</v>
      </c>
      <c r="CL153" s="55">
        <f t="shared" si="909"/>
        <v>0</v>
      </c>
      <c r="CN153" s="2" t="s">
        <v>88</v>
      </c>
      <c r="CO153" s="54">
        <f t="shared" si="930"/>
        <v>0</v>
      </c>
      <c r="CP153" s="55">
        <f t="shared" si="910"/>
        <v>0</v>
      </c>
      <c r="CQ153" s="55">
        <f t="shared" si="911"/>
        <v>0</v>
      </c>
      <c r="CR153" s="55">
        <f t="shared" si="912"/>
        <v>0</v>
      </c>
      <c r="CS153" s="55">
        <f t="shared" si="913"/>
        <v>0</v>
      </c>
      <c r="CT153" s="55">
        <f t="shared" si="914"/>
        <v>0</v>
      </c>
      <c r="CU153" s="55">
        <f t="shared" si="915"/>
        <v>0</v>
      </c>
      <c r="CV153" s="249">
        <f t="shared" si="916"/>
        <v>0</v>
      </c>
      <c r="CW153" s="55">
        <f t="shared" si="917"/>
        <v>0</v>
      </c>
      <c r="CX153" s="55">
        <f t="shared" si="918"/>
        <v>0</v>
      </c>
      <c r="CY153" s="55">
        <f t="shared" si="919"/>
        <v>0</v>
      </c>
      <c r="CZ153" s="252">
        <f t="shared" si="919"/>
        <v>0</v>
      </c>
      <c r="DA153" s="62" t="e">
        <f t="shared" si="920"/>
        <v>#DIV/0!</v>
      </c>
      <c r="DC153" s="2" t="s">
        <v>88</v>
      </c>
      <c r="DD153" s="198">
        <f t="shared" si="931"/>
        <v>0</v>
      </c>
      <c r="DE153" s="199">
        <f t="shared" si="932"/>
        <v>0</v>
      </c>
      <c r="DF153" s="198">
        <f t="shared" si="933"/>
        <v>0</v>
      </c>
      <c r="DG153" s="199">
        <f t="shared" si="934"/>
        <v>0</v>
      </c>
      <c r="DH153" s="198">
        <f t="shared" si="935"/>
        <v>0</v>
      </c>
      <c r="DI153" s="199">
        <f t="shared" si="936"/>
        <v>0</v>
      </c>
      <c r="DJ153" s="198">
        <f t="shared" si="937"/>
        <v>0</v>
      </c>
      <c r="DK153" s="199">
        <f t="shared" si="938"/>
        <v>0</v>
      </c>
      <c r="DL153" s="198">
        <f t="shared" si="939"/>
        <v>0</v>
      </c>
      <c r="DM153" s="199">
        <f t="shared" si="940"/>
        <v>0</v>
      </c>
      <c r="DN153" s="198">
        <f t="shared" si="941"/>
        <v>0</v>
      </c>
      <c r="DO153" s="199">
        <f t="shared" si="942"/>
        <v>0</v>
      </c>
      <c r="DP153" s="198">
        <f t="shared" si="943"/>
        <v>0</v>
      </c>
      <c r="DQ153" s="199">
        <f t="shared" si="944"/>
        <v>0</v>
      </c>
      <c r="DR153" s="198">
        <f t="shared" si="945"/>
        <v>0</v>
      </c>
      <c r="DS153" s="199">
        <f t="shared" si="946"/>
        <v>0</v>
      </c>
      <c r="DT153" s="198">
        <f t="shared" si="947"/>
        <v>0</v>
      </c>
      <c r="DU153" s="199">
        <f t="shared" si="948"/>
        <v>0</v>
      </c>
      <c r="DV153" s="198">
        <f t="shared" si="949"/>
        <v>0</v>
      </c>
      <c r="DW153" s="199">
        <f t="shared" si="950"/>
        <v>0</v>
      </c>
      <c r="DX153" s="198">
        <f t="shared" si="951"/>
        <v>0</v>
      </c>
      <c r="DY153" s="199">
        <f t="shared" si="952"/>
        <v>0</v>
      </c>
      <c r="DZ153" s="190">
        <f t="shared" si="953"/>
        <v>0</v>
      </c>
      <c r="EA153" s="199">
        <f t="shared" si="921"/>
        <v>0</v>
      </c>
      <c r="EB153" s="190" t="e">
        <f t="shared" si="954"/>
        <v>#DIV/0!</v>
      </c>
      <c r="EC153" s="190" t="e">
        <f t="shared" si="955"/>
        <v>#DIV/0!</v>
      </c>
    </row>
    <row r="154" spans="1:133" x14ac:dyDescent="0.2">
      <c r="A154" s="2" t="s">
        <v>89</v>
      </c>
      <c r="B154" s="42">
        <f>targets!AW145</f>
        <v>0</v>
      </c>
      <c r="C154" s="43">
        <f>targets!AX145</f>
        <v>0</v>
      </c>
      <c r="D154" s="43">
        <f>targets!AY145</f>
        <v>0</v>
      </c>
      <c r="E154" s="43">
        <f>targets!AZ145</f>
        <v>0</v>
      </c>
      <c r="F154" s="43">
        <f>targets!BA145</f>
        <v>0</v>
      </c>
      <c r="G154" s="43">
        <f>SUM(targets!BB145:BG145)</f>
        <v>0</v>
      </c>
      <c r="H154" s="43">
        <f>SUM(targets!BH145:BM145)</f>
        <v>0</v>
      </c>
      <c r="I154" s="75">
        <f t="shared" si="922"/>
        <v>0</v>
      </c>
      <c r="J154" s="43">
        <f>targets!BN145</f>
        <v>0</v>
      </c>
      <c r="K154" s="43">
        <f>targets!BO145</f>
        <v>0</v>
      </c>
      <c r="L154" s="43">
        <f>targets!BP145</f>
        <v>134.60894610574448</v>
      </c>
      <c r="M154" s="247">
        <f t="shared" si="923"/>
        <v>134.60894610574448</v>
      </c>
      <c r="N154" s="17">
        <f t="shared" si="884"/>
        <v>134.60894610574448</v>
      </c>
      <c r="O154" s="17"/>
      <c r="P154" s="17"/>
      <c r="Q154" s="2" t="s">
        <v>89</v>
      </c>
      <c r="R154" s="42">
        <f t="shared" si="885"/>
        <v>0</v>
      </c>
      <c r="S154" s="43">
        <f t="shared" si="886"/>
        <v>0</v>
      </c>
      <c r="T154" s="43">
        <f t="shared" si="887"/>
        <v>0</v>
      </c>
      <c r="U154" s="43">
        <f t="shared" si="888"/>
        <v>0</v>
      </c>
      <c r="V154" s="43">
        <f t="shared" si="889"/>
        <v>0</v>
      </c>
      <c r="W154" s="43">
        <f t="shared" si="890"/>
        <v>0</v>
      </c>
      <c r="X154" s="43">
        <f t="shared" si="891"/>
        <v>0</v>
      </c>
      <c r="Y154" s="75">
        <f t="shared" si="924"/>
        <v>0</v>
      </c>
      <c r="Z154" s="43">
        <f t="shared" si="892"/>
        <v>0</v>
      </c>
      <c r="AA154" s="43">
        <f t="shared" si="893"/>
        <v>0</v>
      </c>
      <c r="AB154" s="43">
        <f t="shared" si="894"/>
        <v>0</v>
      </c>
      <c r="AC154" s="247">
        <f t="shared" si="925"/>
        <v>0</v>
      </c>
      <c r="AD154" s="17">
        <f t="shared" si="895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6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7">
        <f t="shared" si="1043"/>
        <v>0</v>
      </c>
      <c r="AS154" s="17">
        <f t="shared" si="896"/>
        <v>0</v>
      </c>
      <c r="AU154" s="2" t="s">
        <v>89</v>
      </c>
      <c r="AV154" s="42">
        <f t="shared" ref="AV154:BG154" si="1048">IF(R155&gt;0,R154/R155,0)</f>
        <v>0</v>
      </c>
      <c r="AW154" s="43">
        <f t="shared" si="1048"/>
        <v>0</v>
      </c>
      <c r="AX154" s="43">
        <f t="shared" si="1048"/>
        <v>0</v>
      </c>
      <c r="AY154" s="43">
        <f t="shared" si="1048"/>
        <v>0</v>
      </c>
      <c r="AZ154" s="43">
        <f t="shared" si="1048"/>
        <v>0</v>
      </c>
      <c r="BA154" s="43">
        <f t="shared" si="1048"/>
        <v>0</v>
      </c>
      <c r="BB154" s="43">
        <f t="shared" si="1048"/>
        <v>0</v>
      </c>
      <c r="BC154" s="75">
        <f t="shared" si="1048"/>
        <v>0</v>
      </c>
      <c r="BD154" s="43">
        <f t="shared" si="1048"/>
        <v>0</v>
      </c>
      <c r="BE154" s="43">
        <f t="shared" si="1048"/>
        <v>0</v>
      </c>
      <c r="BF154" s="43">
        <f t="shared" si="1048"/>
        <v>0</v>
      </c>
      <c r="BG154" s="247">
        <f t="shared" si="1048"/>
        <v>0</v>
      </c>
      <c r="BH154" s="24" t="e">
        <f>AD154/AD155</f>
        <v>#DIV/0!</v>
      </c>
      <c r="BJ154" s="2" t="s">
        <v>89</v>
      </c>
      <c r="BK154" s="42">
        <f t="shared" ref="BK154:BV154" si="1049">IF(AG155&gt;0,AG154/AG155,0)</f>
        <v>0</v>
      </c>
      <c r="BL154" s="43">
        <f t="shared" si="1049"/>
        <v>0</v>
      </c>
      <c r="BM154" s="43">
        <f t="shared" si="1049"/>
        <v>0</v>
      </c>
      <c r="BN154" s="43">
        <f t="shared" si="1049"/>
        <v>0</v>
      </c>
      <c r="BO154" s="43">
        <f t="shared" si="1049"/>
        <v>0</v>
      </c>
      <c r="BP154" s="43">
        <f t="shared" si="1049"/>
        <v>0</v>
      </c>
      <c r="BQ154" s="43">
        <f t="shared" si="1049"/>
        <v>0</v>
      </c>
      <c r="BR154" s="75">
        <f t="shared" si="1049"/>
        <v>0</v>
      </c>
      <c r="BS154" s="43">
        <f t="shared" si="1049"/>
        <v>0</v>
      </c>
      <c r="BT154" s="43">
        <f t="shared" si="1049"/>
        <v>0</v>
      </c>
      <c r="BU154" s="43">
        <f t="shared" si="1049"/>
        <v>0</v>
      </c>
      <c r="BV154" s="247">
        <f t="shared" si="1049"/>
        <v>0</v>
      </c>
      <c r="BW154" s="24" t="e">
        <f>AS154/AS155</f>
        <v>#DIV/0!</v>
      </c>
      <c r="BX154" s="24"/>
      <c r="BY154" s="2" t="s">
        <v>89</v>
      </c>
      <c r="BZ154" s="56">
        <f t="shared" si="929"/>
        <v>0</v>
      </c>
      <c r="CA154" s="57">
        <f t="shared" si="899"/>
        <v>0</v>
      </c>
      <c r="CB154" s="57">
        <f t="shared" si="900"/>
        <v>0</v>
      </c>
      <c r="CC154" s="57">
        <f t="shared" si="901"/>
        <v>0</v>
      </c>
      <c r="CD154" s="57">
        <f t="shared" si="902"/>
        <v>0</v>
      </c>
      <c r="CE154" s="57">
        <f t="shared" si="903"/>
        <v>0</v>
      </c>
      <c r="CF154" s="57">
        <f t="shared" si="904"/>
        <v>0</v>
      </c>
      <c r="CG154" s="250">
        <f>AN154-Y154</f>
        <v>0</v>
      </c>
      <c r="CH154" s="57">
        <f t="shared" si="906"/>
        <v>0</v>
      </c>
      <c r="CI154" s="57">
        <f t="shared" si="907"/>
        <v>0</v>
      </c>
      <c r="CJ154" s="57">
        <f t="shared" si="908"/>
        <v>0</v>
      </c>
      <c r="CK154" s="253">
        <f t="shared" si="908"/>
        <v>0</v>
      </c>
      <c r="CL154" s="55">
        <f t="shared" si="909"/>
        <v>0</v>
      </c>
      <c r="CN154" s="2" t="s">
        <v>89</v>
      </c>
      <c r="CO154" s="56">
        <f t="shared" si="930"/>
        <v>0</v>
      </c>
      <c r="CP154" s="57">
        <f t="shared" si="910"/>
        <v>0</v>
      </c>
      <c r="CQ154" s="57">
        <f t="shared" si="911"/>
        <v>0</v>
      </c>
      <c r="CR154" s="57">
        <f t="shared" si="912"/>
        <v>0</v>
      </c>
      <c r="CS154" s="57">
        <f t="shared" si="913"/>
        <v>0</v>
      </c>
      <c r="CT154" s="57">
        <f t="shared" si="914"/>
        <v>0</v>
      </c>
      <c r="CU154" s="57">
        <f t="shared" si="915"/>
        <v>0</v>
      </c>
      <c r="CV154" s="250">
        <f t="shared" si="916"/>
        <v>0</v>
      </c>
      <c r="CW154" s="57">
        <f t="shared" si="917"/>
        <v>0</v>
      </c>
      <c r="CX154" s="57">
        <f t="shared" si="918"/>
        <v>0</v>
      </c>
      <c r="CY154" s="57">
        <f t="shared" si="919"/>
        <v>0</v>
      </c>
      <c r="CZ154" s="253">
        <f t="shared" si="919"/>
        <v>0</v>
      </c>
      <c r="DA154" s="62" t="e">
        <f t="shared" si="920"/>
        <v>#DIV/0!</v>
      </c>
      <c r="DC154" s="2" t="s">
        <v>89</v>
      </c>
      <c r="DD154" s="200">
        <f t="shared" si="931"/>
        <v>0</v>
      </c>
      <c r="DE154" s="201">
        <f t="shared" si="932"/>
        <v>0</v>
      </c>
      <c r="DF154" s="200">
        <f t="shared" si="933"/>
        <v>0</v>
      </c>
      <c r="DG154" s="201">
        <f t="shared" si="934"/>
        <v>0</v>
      </c>
      <c r="DH154" s="200">
        <f t="shared" si="935"/>
        <v>0</v>
      </c>
      <c r="DI154" s="201">
        <f t="shared" si="936"/>
        <v>0</v>
      </c>
      <c r="DJ154" s="200">
        <f t="shared" si="937"/>
        <v>0</v>
      </c>
      <c r="DK154" s="201">
        <f t="shared" si="938"/>
        <v>0</v>
      </c>
      <c r="DL154" s="200">
        <f t="shared" si="939"/>
        <v>0</v>
      </c>
      <c r="DM154" s="201">
        <f t="shared" si="940"/>
        <v>0</v>
      </c>
      <c r="DN154" s="200">
        <f t="shared" si="941"/>
        <v>0</v>
      </c>
      <c r="DO154" s="201">
        <f t="shared" si="942"/>
        <v>0</v>
      </c>
      <c r="DP154" s="200">
        <f t="shared" si="943"/>
        <v>0</v>
      </c>
      <c r="DQ154" s="201">
        <f t="shared" si="944"/>
        <v>0</v>
      </c>
      <c r="DR154" s="200">
        <f t="shared" si="945"/>
        <v>0</v>
      </c>
      <c r="DS154" s="201">
        <f t="shared" si="946"/>
        <v>0</v>
      </c>
      <c r="DT154" s="200">
        <f t="shared" si="947"/>
        <v>0</v>
      </c>
      <c r="DU154" s="201">
        <f t="shared" si="948"/>
        <v>0</v>
      </c>
      <c r="DV154" s="200">
        <f t="shared" si="949"/>
        <v>0</v>
      </c>
      <c r="DW154" s="201">
        <f t="shared" si="950"/>
        <v>0</v>
      </c>
      <c r="DX154" s="200">
        <f t="shared" si="951"/>
        <v>0</v>
      </c>
      <c r="DY154" s="201">
        <f t="shared" si="952"/>
        <v>0</v>
      </c>
      <c r="DZ154" s="202">
        <f t="shared" si="953"/>
        <v>0</v>
      </c>
      <c r="EA154" s="201">
        <f t="shared" si="921"/>
        <v>0</v>
      </c>
      <c r="EB154" s="190" t="e">
        <f t="shared" si="954"/>
        <v>#DIV/0!</v>
      </c>
      <c r="EC154" s="190" t="e">
        <f t="shared" si="955"/>
        <v>#DIV/0!</v>
      </c>
    </row>
    <row r="155" spans="1:133" x14ac:dyDescent="0.2">
      <c r="A155" s="65" t="s">
        <v>54</v>
      </c>
      <c r="B155" s="17">
        <f t="shared" ref="B155:M155" si="1050">SUM(B135:B154)</f>
        <v>364414.69647113117</v>
      </c>
      <c r="C155" s="17">
        <f t="shared" si="1050"/>
        <v>161426.22276211769</v>
      </c>
      <c r="D155" s="17">
        <f t="shared" si="1050"/>
        <v>70102.717614446505</v>
      </c>
      <c r="E155" s="17">
        <f t="shared" si="1050"/>
        <v>243641.28919814352</v>
      </c>
      <c r="F155" s="17">
        <f t="shared" si="1050"/>
        <v>22231.995850296847</v>
      </c>
      <c r="G155" s="17">
        <f t="shared" si="1050"/>
        <v>14058.783651559985</v>
      </c>
      <c r="H155" s="17">
        <f t="shared" si="1050"/>
        <v>2803.1833207230638</v>
      </c>
      <c r="I155" s="72">
        <f t="shared" si="1050"/>
        <v>16861.966972283048</v>
      </c>
      <c r="J155" s="17">
        <f t="shared" si="1050"/>
        <v>164.5121910976535</v>
      </c>
      <c r="K155" s="17">
        <f t="shared" si="1050"/>
        <v>4545.4339218834093</v>
      </c>
      <c r="L155" s="17">
        <f t="shared" si="1050"/>
        <v>269.21789221148896</v>
      </c>
      <c r="M155" s="72">
        <f t="shared" si="1050"/>
        <v>4979.1640051925524</v>
      </c>
      <c r="N155" s="17">
        <f t="shared" si="884"/>
        <v>883658.05287361122</v>
      </c>
      <c r="O155" s="17"/>
      <c r="P155" s="17"/>
      <c r="Q155" s="65" t="s">
        <v>54</v>
      </c>
      <c r="R155" s="17">
        <f t="shared" ref="R155:AC155" si="1051">SUM(R135:R154)</f>
        <v>0</v>
      </c>
      <c r="S155" s="17">
        <f t="shared" si="1051"/>
        <v>0</v>
      </c>
      <c r="T155" s="17">
        <f t="shared" si="1051"/>
        <v>0</v>
      </c>
      <c r="U155" s="17">
        <f t="shared" si="1051"/>
        <v>0</v>
      </c>
      <c r="V155" s="17">
        <f t="shared" si="1051"/>
        <v>0</v>
      </c>
      <c r="W155" s="17">
        <f t="shared" si="1051"/>
        <v>0</v>
      </c>
      <c r="X155" s="17">
        <f t="shared" si="1051"/>
        <v>0</v>
      </c>
      <c r="Y155" s="72">
        <f t="shared" si="1051"/>
        <v>0</v>
      </c>
      <c r="Z155" s="17">
        <f t="shared" si="1051"/>
        <v>0</v>
      </c>
      <c r="AA155" s="17">
        <f t="shared" si="1051"/>
        <v>0</v>
      </c>
      <c r="AB155" s="17">
        <f t="shared" si="1051"/>
        <v>0</v>
      </c>
      <c r="AC155" s="72">
        <f t="shared" si="1051"/>
        <v>0</v>
      </c>
      <c r="AD155" s="17">
        <f t="shared" si="895"/>
        <v>0</v>
      </c>
      <c r="AF155" s="65" t="s">
        <v>54</v>
      </c>
      <c r="AG155" s="17">
        <f t="shared" ref="AG155:AR155" si="1052">SUM(AG135:AG154)</f>
        <v>0</v>
      </c>
      <c r="AH155" s="17">
        <f t="shared" si="1052"/>
        <v>0</v>
      </c>
      <c r="AI155" s="17">
        <f t="shared" si="1052"/>
        <v>0</v>
      </c>
      <c r="AJ155" s="17">
        <f t="shared" si="1052"/>
        <v>0</v>
      </c>
      <c r="AK155" s="17">
        <f t="shared" si="1052"/>
        <v>0</v>
      </c>
      <c r="AL155" s="17">
        <f t="shared" si="1052"/>
        <v>0</v>
      </c>
      <c r="AM155" s="17">
        <f t="shared" si="1052"/>
        <v>0</v>
      </c>
      <c r="AN155" s="72">
        <f t="shared" si="1052"/>
        <v>0</v>
      </c>
      <c r="AO155" s="17">
        <f t="shared" si="1052"/>
        <v>0</v>
      </c>
      <c r="AP155" s="17">
        <f t="shared" si="1052"/>
        <v>0</v>
      </c>
      <c r="AQ155" s="17">
        <f t="shared" si="1052"/>
        <v>0</v>
      </c>
      <c r="AR155" s="72">
        <f t="shared" si="1052"/>
        <v>0</v>
      </c>
      <c r="AS155" s="17">
        <f t="shared" si="896"/>
        <v>0</v>
      </c>
      <c r="AU155" s="65" t="s">
        <v>54</v>
      </c>
      <c r="AV155" s="17">
        <f t="shared" ref="AV155:BH155" si="1053">SUM(AV135:AV154)</f>
        <v>0</v>
      </c>
      <c r="AW155" s="17">
        <f t="shared" si="1053"/>
        <v>0</v>
      </c>
      <c r="AX155" s="17">
        <f t="shared" si="1053"/>
        <v>0</v>
      </c>
      <c r="AY155" s="17">
        <f t="shared" si="1053"/>
        <v>0</v>
      </c>
      <c r="AZ155" s="17">
        <f t="shared" si="1053"/>
        <v>0</v>
      </c>
      <c r="BA155" s="17">
        <f t="shared" si="1053"/>
        <v>0</v>
      </c>
      <c r="BB155" s="17">
        <f t="shared" si="1053"/>
        <v>0</v>
      </c>
      <c r="BC155" s="72">
        <f t="shared" si="1053"/>
        <v>0</v>
      </c>
      <c r="BD155" s="17">
        <f t="shared" si="1053"/>
        <v>0</v>
      </c>
      <c r="BE155" s="17">
        <f t="shared" si="1053"/>
        <v>0</v>
      </c>
      <c r="BF155" s="17">
        <f t="shared" si="1053"/>
        <v>0</v>
      </c>
      <c r="BG155" s="72">
        <f t="shared" si="1053"/>
        <v>0</v>
      </c>
      <c r="BH155" s="24" t="e">
        <f t="shared" si="1053"/>
        <v>#DIV/0!</v>
      </c>
      <c r="BJ155" s="65" t="s">
        <v>54</v>
      </c>
      <c r="BK155" s="24">
        <f t="shared" ref="BK155:BW155" si="1054">SUM(BK135:BK154)</f>
        <v>0</v>
      </c>
      <c r="BL155" s="24">
        <f t="shared" si="1054"/>
        <v>0</v>
      </c>
      <c r="BM155" s="24">
        <f t="shared" si="1054"/>
        <v>0</v>
      </c>
      <c r="BN155" s="24">
        <f t="shared" si="1054"/>
        <v>0</v>
      </c>
      <c r="BO155" s="24">
        <f t="shared" si="1054"/>
        <v>0</v>
      </c>
      <c r="BP155" s="24">
        <f t="shared" si="1054"/>
        <v>0</v>
      </c>
      <c r="BQ155" s="24">
        <f t="shared" si="1054"/>
        <v>0</v>
      </c>
      <c r="BR155" s="24">
        <f t="shared" si="1054"/>
        <v>0</v>
      </c>
      <c r="BS155" s="24">
        <f t="shared" si="1054"/>
        <v>0</v>
      </c>
      <c r="BT155" s="24">
        <f t="shared" si="1054"/>
        <v>0</v>
      </c>
      <c r="BU155" s="24">
        <f t="shared" si="1054"/>
        <v>0</v>
      </c>
      <c r="BV155" s="24">
        <f t="shared" si="1054"/>
        <v>0</v>
      </c>
      <c r="BW155" s="24" t="e">
        <f t="shared" si="1054"/>
        <v>#DIV/0!</v>
      </c>
      <c r="BX155" s="24"/>
      <c r="BY155" s="65" t="s">
        <v>54</v>
      </c>
      <c r="BZ155" s="55">
        <f t="shared" si="929"/>
        <v>0</v>
      </c>
      <c r="CA155" s="55">
        <f t="shared" si="899"/>
        <v>0</v>
      </c>
      <c r="CB155" s="55">
        <f t="shared" si="900"/>
        <v>0</v>
      </c>
      <c r="CC155" s="55">
        <f t="shared" si="901"/>
        <v>0</v>
      </c>
      <c r="CD155" s="55">
        <f t="shared" si="902"/>
        <v>0</v>
      </c>
      <c r="CE155" s="55">
        <f t="shared" si="903"/>
        <v>0</v>
      </c>
      <c r="CF155" s="55">
        <f t="shared" si="904"/>
        <v>0</v>
      </c>
      <c r="CG155" s="55">
        <f>AN155-Y155</f>
        <v>0</v>
      </c>
      <c r="CH155" s="55">
        <f t="shared" si="906"/>
        <v>0</v>
      </c>
      <c r="CI155" s="55">
        <f t="shared" si="907"/>
        <v>0</v>
      </c>
      <c r="CJ155" s="55">
        <f t="shared" si="908"/>
        <v>0</v>
      </c>
      <c r="CK155" s="55">
        <f t="shared" si="908"/>
        <v>0</v>
      </c>
      <c r="CL155" s="55">
        <f t="shared" si="909"/>
        <v>0</v>
      </c>
      <c r="CN155" s="65" t="s">
        <v>54</v>
      </c>
      <c r="CO155" s="55">
        <f t="shared" si="930"/>
        <v>0</v>
      </c>
      <c r="CP155" s="55">
        <f t="shared" si="910"/>
        <v>0</v>
      </c>
      <c r="CQ155" s="55">
        <f t="shared" si="911"/>
        <v>0</v>
      </c>
      <c r="CR155" s="55">
        <f t="shared" si="912"/>
        <v>0</v>
      </c>
      <c r="CS155" s="55">
        <f t="shared" si="913"/>
        <v>0</v>
      </c>
      <c r="CT155" s="55">
        <f t="shared" si="914"/>
        <v>0</v>
      </c>
      <c r="CU155" s="55">
        <f t="shared" si="915"/>
        <v>0</v>
      </c>
      <c r="CV155" s="55">
        <f t="shared" si="916"/>
        <v>0</v>
      </c>
      <c r="CW155" s="55">
        <f t="shared" si="917"/>
        <v>0</v>
      </c>
      <c r="CX155" s="55">
        <f t="shared" si="918"/>
        <v>0</v>
      </c>
      <c r="CY155" s="55">
        <f t="shared" si="919"/>
        <v>0</v>
      </c>
      <c r="CZ155" s="55">
        <f t="shared" si="919"/>
        <v>0</v>
      </c>
      <c r="DA155" s="62" t="e">
        <f t="shared" si="920"/>
        <v>#DIV/0!</v>
      </c>
      <c r="DC155" s="65" t="s">
        <v>54</v>
      </c>
      <c r="DD155" s="190">
        <f t="shared" ref="DD155:EC155" si="1055">SUM(DD135:DD154)</f>
        <v>0</v>
      </c>
      <c r="DE155" s="190">
        <f t="shared" si="1055"/>
        <v>0</v>
      </c>
      <c r="DF155" s="190">
        <f t="shared" si="1055"/>
        <v>0</v>
      </c>
      <c r="DG155" s="190">
        <f t="shared" si="1055"/>
        <v>0</v>
      </c>
      <c r="DH155" s="190">
        <f t="shared" si="1055"/>
        <v>0</v>
      </c>
      <c r="DI155" s="190">
        <f t="shared" si="1055"/>
        <v>0</v>
      </c>
      <c r="DJ155" s="190">
        <f t="shared" si="1055"/>
        <v>0</v>
      </c>
      <c r="DK155" s="190">
        <f t="shared" si="1055"/>
        <v>0</v>
      </c>
      <c r="DL155" s="190">
        <f t="shared" si="1055"/>
        <v>0</v>
      </c>
      <c r="DM155" s="190">
        <f t="shared" si="1055"/>
        <v>0</v>
      </c>
      <c r="DN155" s="190">
        <f t="shared" si="1055"/>
        <v>0</v>
      </c>
      <c r="DO155" s="190">
        <f t="shared" si="1055"/>
        <v>0</v>
      </c>
      <c r="DP155" s="190">
        <f t="shared" si="1055"/>
        <v>0</v>
      </c>
      <c r="DQ155" s="190">
        <f t="shared" si="1055"/>
        <v>0</v>
      </c>
      <c r="DR155" s="190">
        <f t="shared" si="1055"/>
        <v>0</v>
      </c>
      <c r="DS155" s="190">
        <f t="shared" si="1055"/>
        <v>0</v>
      </c>
      <c r="DT155" s="190">
        <f t="shared" si="1055"/>
        <v>0</v>
      </c>
      <c r="DU155" s="190">
        <f t="shared" si="1055"/>
        <v>0</v>
      </c>
      <c r="DV155" s="190">
        <f t="shared" si="1055"/>
        <v>0</v>
      </c>
      <c r="DW155" s="190">
        <f t="shared" si="1055"/>
        <v>0</v>
      </c>
      <c r="DX155" s="190">
        <f t="shared" si="1055"/>
        <v>0</v>
      </c>
      <c r="DY155" s="190">
        <f t="shared" si="1055"/>
        <v>0</v>
      </c>
      <c r="DZ155" s="190">
        <f t="shared" si="1055"/>
        <v>0</v>
      </c>
      <c r="EA155" s="190">
        <f t="shared" si="1055"/>
        <v>0</v>
      </c>
      <c r="EB155" s="190" t="e">
        <f t="shared" si="1055"/>
        <v>#DIV/0!</v>
      </c>
      <c r="EC155" s="190" t="e">
        <f t="shared" si="1055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66" t="s">
        <v>117</v>
      </c>
      <c r="C160" s="266"/>
      <c r="D160" s="266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66" t="s">
        <v>4</v>
      </c>
      <c r="S160" s="266" t="s">
        <v>41</v>
      </c>
      <c r="T160" s="266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66" t="s">
        <v>117</v>
      </c>
      <c r="AH160" s="266"/>
      <c r="AI160" s="266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66" t="s">
        <v>117</v>
      </c>
      <c r="AW160" s="266" t="s">
        <v>41</v>
      </c>
      <c r="AX160" s="266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7">
        <f>SUM(targets!AW150:AY150)</f>
        <v>38449.737143206628</v>
      </c>
      <c r="C161" s="268"/>
      <c r="D161" s="269"/>
      <c r="E161" s="37">
        <f>targets!AZ150</f>
        <v>0</v>
      </c>
      <c r="F161" s="37">
        <f>targets!BA150</f>
        <v>0</v>
      </c>
      <c r="G161" s="37">
        <f>SUM(targets!BB150:BG150)</f>
        <v>0</v>
      </c>
      <c r="H161" s="37">
        <f>SUM(targets!BH150:BM150)</f>
        <v>0</v>
      </c>
      <c r="I161" s="74">
        <f>SUM(G161:H161)</f>
        <v>0</v>
      </c>
      <c r="J161" s="37">
        <f>targets!BN150</f>
        <v>0</v>
      </c>
      <c r="K161" s="37">
        <f>targets!BO150</f>
        <v>0</v>
      </c>
      <c r="L161" s="37">
        <f>targets!BP150</f>
        <v>0</v>
      </c>
      <c r="M161" s="177">
        <f>SUM(J161:L161)</f>
        <v>0</v>
      </c>
      <c r="N161" s="17">
        <f t="shared" ref="N161:N180" si="1056">SUM(B161:L161)-I161</f>
        <v>38449.737143206628</v>
      </c>
      <c r="O161" s="227"/>
      <c r="P161" s="17"/>
      <c r="Q161" s="66" t="s">
        <v>4</v>
      </c>
      <c r="R161" s="267">
        <f>B161*(AG$181/B$181)</f>
        <v>0</v>
      </c>
      <c r="S161" s="268"/>
      <c r="T161" s="269"/>
      <c r="U161" s="37">
        <f t="shared" ref="U161:U180" si="1057">E161*(AJ$181/E$181)</f>
        <v>0</v>
      </c>
      <c r="V161" s="37">
        <f t="shared" ref="V161:V180" si="1058">F161*(AK$181/F$181)</f>
        <v>0</v>
      </c>
      <c r="W161" s="37">
        <f t="shared" ref="W161:W180" si="1059">G161*(AL$181/G$181)</f>
        <v>0</v>
      </c>
      <c r="X161" s="37">
        <f t="shared" ref="X161:X180" si="1060">H161*(AM$181/H$181)</f>
        <v>0</v>
      </c>
      <c r="Y161" s="74">
        <f t="shared" ref="Y161:Y180" si="1061">SUM(W161:X161)</f>
        <v>0</v>
      </c>
      <c r="Z161" s="37">
        <f t="shared" ref="Z161:Z180" si="1062">J161*(AO$181/J$181)</f>
        <v>0</v>
      </c>
      <c r="AA161" s="37">
        <f t="shared" ref="AA161:AA180" si="1063">K161*(AP$181/K$181)</f>
        <v>0</v>
      </c>
      <c r="AB161" s="37" t="e">
        <f t="shared" ref="AB161:AB180" si="1064">L161*(AQ$181/L$181)</f>
        <v>#DIV/0!</v>
      </c>
      <c r="AC161" s="177" t="e">
        <f t="shared" ref="AC161:AC180" si="1065">SUM(Z161:AB161)</f>
        <v>#DIV/0!</v>
      </c>
      <c r="AD161" s="17" t="e">
        <f t="shared" ref="AD161:AD181" si="1066">SUM(R161:AB161)-Y161</f>
        <v>#DIV/0!</v>
      </c>
      <c r="AF161" s="66" t="s">
        <v>4</v>
      </c>
      <c r="AG161" s="267">
        <f>SUM(IF((modeldata!$F:$F=calibration!$AF$158)*(modeldata!$G:$G=calibration!AG$160)*(modeldata!$H:$H=calibration!$AF161),modeldata!$E:$E,0))</f>
        <v>0</v>
      </c>
      <c r="AH161" s="268"/>
      <c r="AI161" s="269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7">SUM(AG161:AQ161)-AN161</f>
        <v>0</v>
      </c>
      <c r="AU161" s="66" t="s">
        <v>4</v>
      </c>
      <c r="AV161" s="267">
        <f>IF(R181&gt;0,R161/R181,0)</f>
        <v>0</v>
      </c>
      <c r="AW161" s="268">
        <f>IF(C181&gt;0,C161/C181,0)</f>
        <v>0</v>
      </c>
      <c r="AX161" s="269">
        <f>IF(D181&gt;0,D161/D181,0)</f>
        <v>0</v>
      </c>
      <c r="AY161" s="37">
        <f t="shared" ref="AY161:BG161" si="1068">IF(U181&gt;0,U161/U181,0)</f>
        <v>0</v>
      </c>
      <c r="AZ161" s="37">
        <f t="shared" si="1068"/>
        <v>0</v>
      </c>
      <c r="BA161" s="37">
        <f t="shared" si="1068"/>
        <v>0</v>
      </c>
      <c r="BB161" s="37">
        <f t="shared" si="1068"/>
        <v>0</v>
      </c>
      <c r="BC161" s="74">
        <f t="shared" si="1068"/>
        <v>0</v>
      </c>
      <c r="BD161" s="37">
        <f t="shared" si="1068"/>
        <v>0</v>
      </c>
      <c r="BE161" s="37">
        <f t="shared" si="1068"/>
        <v>0</v>
      </c>
      <c r="BF161" s="37" t="e">
        <f t="shared" si="1068"/>
        <v>#DIV/0!</v>
      </c>
      <c r="BG161" s="177" t="e">
        <f t="shared" si="1068"/>
        <v>#DIV/0!</v>
      </c>
      <c r="BH161" s="24" t="e">
        <f>AD161/AD181</f>
        <v>#DIV/0!</v>
      </c>
      <c r="BJ161" s="66" t="s">
        <v>4</v>
      </c>
      <c r="BK161" s="267">
        <f>IF(AG181&gt;0,AG161/AG181,0)</f>
        <v>0</v>
      </c>
      <c r="BL161" s="268"/>
      <c r="BM161" s="269"/>
      <c r="BN161" s="23">
        <f t="shared" ref="BN161:BV161" si="1069">IF(AJ181&gt;0,AJ161/AJ181,0)</f>
        <v>0</v>
      </c>
      <c r="BO161" s="23">
        <f t="shared" si="1069"/>
        <v>0</v>
      </c>
      <c r="BP161" s="23">
        <f t="shared" si="1069"/>
        <v>0</v>
      </c>
      <c r="BQ161" s="23">
        <f t="shared" si="1069"/>
        <v>0</v>
      </c>
      <c r="BR161" s="76">
        <f t="shared" si="1069"/>
        <v>0</v>
      </c>
      <c r="BS161" s="23">
        <f t="shared" si="1069"/>
        <v>0</v>
      </c>
      <c r="BT161" s="23">
        <f t="shared" si="1069"/>
        <v>0</v>
      </c>
      <c r="BU161" s="23">
        <f t="shared" si="1069"/>
        <v>0</v>
      </c>
      <c r="BV161" s="179">
        <f t="shared" si="1069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70">AH161-S161</f>
        <v>0</v>
      </c>
      <c r="CB161" s="53">
        <f t="shared" ref="CB161:CB181" si="1071">AI161-T161</f>
        <v>0</v>
      </c>
      <c r="CC161" s="53">
        <f t="shared" ref="CC161:CC181" si="1072">AJ161-U161</f>
        <v>0</v>
      </c>
      <c r="CD161" s="53">
        <f t="shared" ref="CD161:CD181" si="1073">AK161-V161</f>
        <v>0</v>
      </c>
      <c r="CE161" s="53">
        <f t="shared" ref="CE161:CE181" si="1074">AL161-W161</f>
        <v>0</v>
      </c>
      <c r="CF161" s="53">
        <f t="shared" ref="CF161:CF181" si="1075">AM161-X161</f>
        <v>0</v>
      </c>
      <c r="CG161" s="248">
        <f t="shared" ref="CG161:CG176" si="1076">AN161-Y161</f>
        <v>0</v>
      </c>
      <c r="CH161" s="53">
        <f t="shared" ref="CH161:CH181" si="1077">AO161-Z161</f>
        <v>0</v>
      </c>
      <c r="CI161" s="53">
        <f t="shared" ref="CI161:CI181" si="1078">AP161-AA161</f>
        <v>0</v>
      </c>
      <c r="CJ161" s="53" t="e">
        <f t="shared" ref="CJ161:CK181" si="1079">AQ161-AB161</f>
        <v>#DIV/0!</v>
      </c>
      <c r="CK161" s="251" t="e">
        <f>AR161-AC161</f>
        <v>#DIV/0!</v>
      </c>
      <c r="CL161" s="55" t="e">
        <f t="shared" ref="CL161:CL181" si="1080">AS161-AD161</f>
        <v>#DIV/0!</v>
      </c>
      <c r="CN161" s="66" t="s">
        <v>4</v>
      </c>
      <c r="CO161" s="58">
        <f>BK161-AV161</f>
        <v>0</v>
      </c>
      <c r="CP161" s="53">
        <f t="shared" ref="CP161:CP181" si="1081">BL161-AW161</f>
        <v>0</v>
      </c>
      <c r="CQ161" s="53">
        <f t="shared" ref="CQ161:CQ181" si="1082">BM161-AX161</f>
        <v>0</v>
      </c>
      <c r="CR161" s="53">
        <f t="shared" ref="CR161:CR180" si="1083">BN161-AY161</f>
        <v>0</v>
      </c>
      <c r="CS161" s="53">
        <f t="shared" ref="CS161:CS180" si="1084">BO161-AZ161</f>
        <v>0</v>
      </c>
      <c r="CT161" s="53">
        <f t="shared" ref="CT161:CT180" si="1085">BP161-BA161</f>
        <v>0</v>
      </c>
      <c r="CU161" s="53">
        <f t="shared" ref="CU161:CU180" si="1086">BQ161-BB161</f>
        <v>0</v>
      </c>
      <c r="CV161" s="248">
        <f t="shared" ref="CV161:CV180" si="1087">BR161-BC161</f>
        <v>0</v>
      </c>
      <c r="CW161" s="53">
        <f t="shared" ref="CW161:CW180" si="1088">BS161-BD161</f>
        <v>0</v>
      </c>
      <c r="CX161" s="53">
        <f t="shared" ref="CX161:CX180" si="1089">BT161-BE161</f>
        <v>0</v>
      </c>
      <c r="CY161" s="53" t="e">
        <f t="shared" ref="CY161:CZ180" si="1090">BU161-BF161</f>
        <v>#DIV/0!</v>
      </c>
      <c r="CZ161" s="251" t="e">
        <f>BV161-BG161</f>
        <v>#DIV/0!</v>
      </c>
      <c r="DA161" s="62" t="e">
        <f t="shared" ref="DA161:DA180" si="1091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 t="e">
        <f>BF161</f>
        <v>#DIV/0!</v>
      </c>
      <c r="DY161" s="196">
        <f>BU161</f>
        <v>0</v>
      </c>
      <c r="DZ161" s="197" t="e">
        <f>BG161</f>
        <v>#DIV/0!</v>
      </c>
      <c r="EA161" s="196">
        <f t="shared" ref="EA161:EA180" si="1092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64">
        <f>SUM(targets!AW151:AY151)</f>
        <v>1365460.6375552993</v>
      </c>
      <c r="C162" s="265"/>
      <c r="D162" s="270"/>
      <c r="E162" s="245">
        <f>targets!AZ151</f>
        <v>0</v>
      </c>
      <c r="F162" s="245">
        <f>targets!BA151</f>
        <v>0</v>
      </c>
      <c r="G162" s="245">
        <f>SUM(targets!BB151:BG151)</f>
        <v>95.159789700886989</v>
      </c>
      <c r="H162" s="245">
        <f>SUM(targets!BH151:BM151)</f>
        <v>0</v>
      </c>
      <c r="I162" s="246">
        <f t="shared" ref="I162:I180" si="1093">SUM(G162:H162)</f>
        <v>95.159789700886989</v>
      </c>
      <c r="J162" s="245">
        <f>targets!BN151</f>
        <v>0</v>
      </c>
      <c r="K162" s="245">
        <f>targets!BO151</f>
        <v>1655.2608058442615</v>
      </c>
      <c r="L162" s="245">
        <f>targets!BP151</f>
        <v>0</v>
      </c>
      <c r="M162" s="178">
        <f t="shared" ref="M162:M180" si="1094">SUM(J162:L162)</f>
        <v>1655.2608058442615</v>
      </c>
      <c r="N162" s="17">
        <f t="shared" si="1056"/>
        <v>1367211.0581508446</v>
      </c>
      <c r="O162" s="227"/>
      <c r="P162" s="17"/>
      <c r="Q162" s="66" t="s">
        <v>41</v>
      </c>
      <c r="R162" s="264">
        <f>B162*(AG$181/B$181)</f>
        <v>0</v>
      </c>
      <c r="S162" s="265"/>
      <c r="T162" s="270"/>
      <c r="U162" s="245">
        <f t="shared" si="1057"/>
        <v>0</v>
      </c>
      <c r="V162" s="245">
        <f t="shared" si="1058"/>
        <v>0</v>
      </c>
      <c r="W162" s="245">
        <f t="shared" si="1059"/>
        <v>0</v>
      </c>
      <c r="X162" s="245">
        <f t="shared" si="1060"/>
        <v>0</v>
      </c>
      <c r="Y162" s="246">
        <f t="shared" si="1061"/>
        <v>0</v>
      </c>
      <c r="Z162" s="245">
        <f t="shared" si="1062"/>
        <v>0</v>
      </c>
      <c r="AA162" s="245">
        <f t="shared" si="1063"/>
        <v>0</v>
      </c>
      <c r="AB162" s="245" t="e">
        <f t="shared" si="1064"/>
        <v>#DIV/0!</v>
      </c>
      <c r="AC162" s="178" t="e">
        <f t="shared" si="1065"/>
        <v>#DIV/0!</v>
      </c>
      <c r="AD162" s="17" t="e">
        <f t="shared" si="1066"/>
        <v>#DIV/0!</v>
      </c>
      <c r="AF162" s="66" t="s">
        <v>41</v>
      </c>
      <c r="AG162" s="264">
        <f t="array" ref="AG162">SUM(IF((modeldata!$F:$F=calibration!$AF$158)*(modeldata!$G:$G=calibration!AG$160)*(modeldata!$H:$H=calibration!$AF162),modeldata!$E:$E,0))</f>
        <v>0</v>
      </c>
      <c r="AH162" s="265"/>
      <c r="AI162" s="270"/>
      <c r="AJ162" s="245">
        <f t="array" ref="AJ162">SUM(IF((modeldata!$F:$F=calibration!$AF$158)*(modeldata!$G:$G=calibration!AJ$160)*(modeldata!$H:$H=calibration!$AF162),modeldata!$E:$E,0))</f>
        <v>0</v>
      </c>
      <c r="AK162" s="245">
        <f t="array" ref="AK162">SUM(IF((modeldata!$F:$F=calibration!$AF$158)*(modeldata!$G:$G=calibration!AK$160)*(modeldata!$H:$H=calibration!$AF162),modeldata!$E:$E,0))</f>
        <v>0</v>
      </c>
      <c r="AL162" s="245">
        <f t="array" ref="AL162">SUM(IF((modeldata!$F:$F=calibration!$AF$158)*(modeldata!$G:$G=calibration!AL$160)*(modeldata!$H:$H=calibration!$AF162),modeldata!$E:$E,0))</f>
        <v>0</v>
      </c>
      <c r="AM162" s="245">
        <f t="array" ref="AM162">SUM(IF((modeldata!$F:$F=calibration!$AF$158)*(modeldata!$G:$G=calibration!AM$160)*(modeldata!$H:$H=calibration!$AF162),modeldata!$E:$E,0))</f>
        <v>0</v>
      </c>
      <c r="AN162" s="246">
        <f t="shared" ref="AN162:AN180" si="1095">AL162+AM162</f>
        <v>0</v>
      </c>
      <c r="AO162" s="245">
        <f t="array" ref="AO162">SUM(IF((modeldata!$F:$F=calibration!$AF$158)*(modeldata!$G:$G=calibration!AO$160)*(modeldata!$H:$H=calibration!$AF162),modeldata!$E:$E,0))</f>
        <v>0</v>
      </c>
      <c r="AP162" s="245">
        <f t="array" ref="AP162">SUM(IF((modeldata!$F:$F=calibration!$AF$158)*(modeldata!$G:$G=calibration!AP$160)*(modeldata!$H:$H=calibration!$AF162),modeldata!$E:$E,0))</f>
        <v>0</v>
      </c>
      <c r="AQ162" s="245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7"/>
        <v>0</v>
      </c>
      <c r="AU162" s="66" t="s">
        <v>41</v>
      </c>
      <c r="AV162" s="264">
        <f>IF(R181&gt;0,R162/R181,0)</f>
        <v>0</v>
      </c>
      <c r="AW162" s="265">
        <f>IF(C181&gt;0,C162/C181,0)</f>
        <v>0</v>
      </c>
      <c r="AX162" s="270">
        <f>IF(D181&gt;0,D162/D181,0)</f>
        <v>0</v>
      </c>
      <c r="AY162" s="245">
        <f t="shared" ref="AY162:BG162" si="1096">IF(U181&gt;0,U162/U181,0)</f>
        <v>0</v>
      </c>
      <c r="AZ162" s="245">
        <f t="shared" si="1096"/>
        <v>0</v>
      </c>
      <c r="BA162" s="245">
        <f t="shared" si="1096"/>
        <v>0</v>
      </c>
      <c r="BB162" s="245">
        <f t="shared" si="1096"/>
        <v>0</v>
      </c>
      <c r="BC162" s="246">
        <f t="shared" si="1096"/>
        <v>0</v>
      </c>
      <c r="BD162" s="245">
        <f t="shared" si="1096"/>
        <v>0</v>
      </c>
      <c r="BE162" s="245">
        <f t="shared" si="1096"/>
        <v>0</v>
      </c>
      <c r="BF162" s="245" t="e">
        <f t="shared" si="1096"/>
        <v>#DIV/0!</v>
      </c>
      <c r="BG162" s="178" t="e">
        <f t="shared" si="1096"/>
        <v>#DIV/0!</v>
      </c>
      <c r="BH162" s="24" t="e">
        <f>AD162/AD181</f>
        <v>#DIV/0!</v>
      </c>
      <c r="BJ162" s="66" t="s">
        <v>41</v>
      </c>
      <c r="BK162" s="279">
        <f t="shared" ref="BK162:BV162" si="1097">IF(AG181&gt;0,AG162/AG181,0)</f>
        <v>0</v>
      </c>
      <c r="BL162" s="280">
        <f t="shared" si="1097"/>
        <v>0</v>
      </c>
      <c r="BM162" s="281">
        <f t="shared" si="1097"/>
        <v>0</v>
      </c>
      <c r="BN162" s="24">
        <f t="shared" si="1097"/>
        <v>0</v>
      </c>
      <c r="BO162" s="24">
        <f t="shared" si="1097"/>
        <v>0</v>
      </c>
      <c r="BP162" s="24">
        <f t="shared" si="1097"/>
        <v>0</v>
      </c>
      <c r="BQ162" s="24">
        <f t="shared" si="1097"/>
        <v>0</v>
      </c>
      <c r="BR162" s="77">
        <f t="shared" si="1097"/>
        <v>0</v>
      </c>
      <c r="BS162" s="24">
        <f t="shared" si="1097"/>
        <v>0</v>
      </c>
      <c r="BT162" s="24">
        <f t="shared" si="1097"/>
        <v>0</v>
      </c>
      <c r="BU162" s="24">
        <f t="shared" si="1097"/>
        <v>0</v>
      </c>
      <c r="BV162" s="180">
        <f t="shared" si="1097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8">AG162-R162</f>
        <v>0</v>
      </c>
      <c r="CA162" s="58">
        <f t="shared" si="1070"/>
        <v>0</v>
      </c>
      <c r="CB162" s="55">
        <f t="shared" si="1071"/>
        <v>0</v>
      </c>
      <c r="CC162" s="55">
        <f t="shared" si="1072"/>
        <v>0</v>
      </c>
      <c r="CD162" s="55">
        <f t="shared" si="1073"/>
        <v>0</v>
      </c>
      <c r="CE162" s="55">
        <f t="shared" si="1074"/>
        <v>0</v>
      </c>
      <c r="CF162" s="55">
        <f t="shared" si="1075"/>
        <v>0</v>
      </c>
      <c r="CG162" s="249">
        <f t="shared" si="1076"/>
        <v>0</v>
      </c>
      <c r="CH162" s="55">
        <f t="shared" si="1077"/>
        <v>0</v>
      </c>
      <c r="CI162" s="55">
        <f t="shared" si="1078"/>
        <v>0</v>
      </c>
      <c r="CJ162" s="55" t="e">
        <f t="shared" si="1079"/>
        <v>#DIV/0!</v>
      </c>
      <c r="CK162" s="252" t="e">
        <f t="shared" si="1079"/>
        <v>#DIV/0!</v>
      </c>
      <c r="CL162" s="55" t="e">
        <f t="shared" si="1080"/>
        <v>#DIV/0!</v>
      </c>
      <c r="CN162" s="66" t="s">
        <v>41</v>
      </c>
      <c r="CO162" s="54">
        <f t="shared" ref="CO162:CO180" si="1099">BK162-AV162</f>
        <v>0</v>
      </c>
      <c r="CP162" s="58">
        <f t="shared" si="1081"/>
        <v>0</v>
      </c>
      <c r="CQ162" s="55">
        <f t="shared" si="1082"/>
        <v>0</v>
      </c>
      <c r="CR162" s="55">
        <f t="shared" si="1083"/>
        <v>0</v>
      </c>
      <c r="CS162" s="55">
        <f t="shared" si="1084"/>
        <v>0</v>
      </c>
      <c r="CT162" s="55">
        <f t="shared" si="1085"/>
        <v>0</v>
      </c>
      <c r="CU162" s="55">
        <f t="shared" si="1086"/>
        <v>0</v>
      </c>
      <c r="CV162" s="249">
        <f t="shared" si="1087"/>
        <v>0</v>
      </c>
      <c r="CW162" s="55">
        <f t="shared" si="1088"/>
        <v>0</v>
      </c>
      <c r="CX162" s="55">
        <f t="shared" si="1089"/>
        <v>0</v>
      </c>
      <c r="CY162" s="55" t="e">
        <f t="shared" si="1090"/>
        <v>#DIV/0!</v>
      </c>
      <c r="CZ162" s="252" t="e">
        <f t="shared" si="1090"/>
        <v>#DIV/0!</v>
      </c>
      <c r="DA162" s="62" t="e">
        <f t="shared" si="1091"/>
        <v>#DIV/0!</v>
      </c>
      <c r="DC162" s="66" t="s">
        <v>41</v>
      </c>
      <c r="DD162" s="198">
        <f t="shared" ref="DD162:DD180" si="1100">AV162</f>
        <v>0</v>
      </c>
      <c r="DE162" s="199">
        <f t="shared" ref="DE162:DE180" si="1101">BK162</f>
        <v>0</v>
      </c>
      <c r="DF162" s="193">
        <f t="shared" ref="DF162:DF180" si="1102">AW162</f>
        <v>0</v>
      </c>
      <c r="DG162" s="194">
        <f t="shared" ref="DG162:DG180" si="1103">BL162</f>
        <v>0</v>
      </c>
      <c r="DH162" s="198">
        <f t="shared" ref="DH162:DH180" si="1104">AX162</f>
        <v>0</v>
      </c>
      <c r="DI162" s="199">
        <f t="shared" ref="DI162:DI180" si="1105">BM162</f>
        <v>0</v>
      </c>
      <c r="DJ162" s="198">
        <f t="shared" ref="DJ162:DJ180" si="1106">AY162</f>
        <v>0</v>
      </c>
      <c r="DK162" s="199">
        <f t="shared" ref="DK162:DK180" si="1107">BN162</f>
        <v>0</v>
      </c>
      <c r="DL162" s="198">
        <f t="shared" ref="DL162:DL180" si="1108">AZ162</f>
        <v>0</v>
      </c>
      <c r="DM162" s="199">
        <f t="shared" ref="DM162:DM180" si="1109">BO162</f>
        <v>0</v>
      </c>
      <c r="DN162" s="198">
        <f t="shared" ref="DN162:DN180" si="1110">BA162</f>
        <v>0</v>
      </c>
      <c r="DO162" s="199">
        <f t="shared" ref="DO162:DO180" si="1111">BP162</f>
        <v>0</v>
      </c>
      <c r="DP162" s="198">
        <f t="shared" ref="DP162:DP180" si="1112">BB162</f>
        <v>0</v>
      </c>
      <c r="DQ162" s="199">
        <f t="shared" ref="DQ162:DQ180" si="1113">BQ162</f>
        <v>0</v>
      </c>
      <c r="DR162" s="198">
        <f t="shared" ref="DR162:DR180" si="1114">BC162</f>
        <v>0</v>
      </c>
      <c r="DS162" s="199">
        <f t="shared" ref="DS162:DS180" si="1115">BR162</f>
        <v>0</v>
      </c>
      <c r="DT162" s="198">
        <f t="shared" ref="DT162:DT180" si="1116">BD162</f>
        <v>0</v>
      </c>
      <c r="DU162" s="199">
        <f t="shared" ref="DU162:DU180" si="1117">BS162</f>
        <v>0</v>
      </c>
      <c r="DV162" s="198">
        <f t="shared" ref="DV162:DV180" si="1118">BE162</f>
        <v>0</v>
      </c>
      <c r="DW162" s="199">
        <f t="shared" ref="DW162:DW180" si="1119">BT162</f>
        <v>0</v>
      </c>
      <c r="DX162" s="198" t="e">
        <f t="shared" ref="DX162:DX180" si="1120">BF162</f>
        <v>#DIV/0!</v>
      </c>
      <c r="DY162" s="199">
        <f t="shared" ref="DY162:DY180" si="1121">BU162</f>
        <v>0</v>
      </c>
      <c r="DZ162" s="190" t="e">
        <f t="shared" ref="DZ162:DZ180" si="1122">BG162</f>
        <v>#DIV/0!</v>
      </c>
      <c r="EA162" s="199">
        <f t="shared" si="1092"/>
        <v>0</v>
      </c>
      <c r="EB162" s="190" t="e">
        <f t="shared" ref="EB162:EB180" si="1123">BH162</f>
        <v>#DIV/0!</v>
      </c>
      <c r="EC162" s="190" t="e">
        <f t="shared" ref="EC162:EC180" si="1124">BW162</f>
        <v>#DIV/0!</v>
      </c>
    </row>
    <row r="163" spans="1:133" x14ac:dyDescent="0.2">
      <c r="A163" s="66" t="s">
        <v>42</v>
      </c>
      <c r="B163" s="271">
        <f>SUM(targets!AW152:AY152)</f>
        <v>2085171.8352775446</v>
      </c>
      <c r="C163" s="272"/>
      <c r="D163" s="273"/>
      <c r="E163" s="245">
        <f>targets!AZ152</f>
        <v>0</v>
      </c>
      <c r="F163" s="245">
        <f>targets!BA152</f>
        <v>0</v>
      </c>
      <c r="G163" s="245">
        <f>SUM(targets!BB152:BG152)</f>
        <v>95.159789700886989</v>
      </c>
      <c r="H163" s="245">
        <f>SUM(targets!BH152:BM152)</f>
        <v>0</v>
      </c>
      <c r="I163" s="246">
        <f t="shared" si="1093"/>
        <v>95.159789700886989</v>
      </c>
      <c r="J163" s="245">
        <f>targets!BN152</f>
        <v>0</v>
      </c>
      <c r="K163" s="245">
        <f>targets!BO152</f>
        <v>3210.1266133605163</v>
      </c>
      <c r="L163" s="245">
        <f>targets!BP152</f>
        <v>0</v>
      </c>
      <c r="M163" s="178">
        <f t="shared" si="1094"/>
        <v>3210.1266133605163</v>
      </c>
      <c r="N163" s="17">
        <f t="shared" si="1056"/>
        <v>2088477.1216806062</v>
      </c>
      <c r="O163" s="229"/>
      <c r="P163" s="17"/>
      <c r="Q163" s="66" t="s">
        <v>42</v>
      </c>
      <c r="R163" s="271">
        <f>B163*(AG$181/B$181)</f>
        <v>0</v>
      </c>
      <c r="S163" s="272"/>
      <c r="T163" s="273"/>
      <c r="U163" s="245">
        <f t="shared" si="1057"/>
        <v>0</v>
      </c>
      <c r="V163" s="245">
        <f t="shared" si="1058"/>
        <v>0</v>
      </c>
      <c r="W163" s="245">
        <f t="shared" si="1059"/>
        <v>0</v>
      </c>
      <c r="X163" s="245">
        <f t="shared" si="1060"/>
        <v>0</v>
      </c>
      <c r="Y163" s="246">
        <f t="shared" si="1061"/>
        <v>0</v>
      </c>
      <c r="Z163" s="245">
        <f t="shared" si="1062"/>
        <v>0</v>
      </c>
      <c r="AA163" s="245">
        <f t="shared" si="1063"/>
        <v>0</v>
      </c>
      <c r="AB163" s="245" t="e">
        <f t="shared" si="1064"/>
        <v>#DIV/0!</v>
      </c>
      <c r="AC163" s="178" t="e">
        <f t="shared" si="1065"/>
        <v>#DIV/0!</v>
      </c>
      <c r="AD163" s="17" t="e">
        <f t="shared" si="1066"/>
        <v>#DIV/0!</v>
      </c>
      <c r="AF163" s="66" t="s">
        <v>42</v>
      </c>
      <c r="AG163" s="271">
        <f t="array" ref="AG163">SUM(IF((modeldata!$F:$F=calibration!$AF$158)*(modeldata!$G:$G=calibration!AG$160)*(modeldata!$H:$H=calibration!$AF163),modeldata!$E:$E,0))</f>
        <v>0</v>
      </c>
      <c r="AH163" s="272"/>
      <c r="AI163" s="273"/>
      <c r="AJ163" s="245">
        <f t="array" ref="AJ163">SUM(IF((modeldata!$F:$F=calibration!$AF$158)*(modeldata!$G:$G=calibration!AJ$160)*(modeldata!$H:$H=calibration!$AF163),modeldata!$E:$E,0))</f>
        <v>0</v>
      </c>
      <c r="AK163" s="245">
        <f t="array" ref="AK163">SUM(IF((modeldata!$F:$F=calibration!$AF$158)*(modeldata!$G:$G=calibration!AK$160)*(modeldata!$H:$H=calibration!$AF163),modeldata!$E:$E,0))</f>
        <v>0</v>
      </c>
      <c r="AL163" s="245">
        <f t="array" ref="AL163">SUM(IF((modeldata!$F:$F=calibration!$AF$158)*(modeldata!$G:$G=calibration!AL$160)*(modeldata!$H:$H=calibration!$AF163),modeldata!$E:$E,0))</f>
        <v>0</v>
      </c>
      <c r="AM163" s="245">
        <f t="array" ref="AM163">SUM(IF((modeldata!$F:$F=calibration!$AF$158)*(modeldata!$G:$G=calibration!AM$160)*(modeldata!$H:$H=calibration!$AF163),modeldata!$E:$E,0))</f>
        <v>0</v>
      </c>
      <c r="AN163" s="246">
        <f t="shared" si="1095"/>
        <v>0</v>
      </c>
      <c r="AO163" s="245">
        <f t="array" ref="AO163">SUM(IF((modeldata!$F:$F=calibration!$AF$158)*(modeldata!$G:$G=calibration!AO$160)*(modeldata!$H:$H=calibration!$AF163),modeldata!$E:$E,0))</f>
        <v>0</v>
      </c>
      <c r="AP163" s="245">
        <f t="array" ref="AP163">SUM(IF((modeldata!$F:$F=calibration!$AF$158)*(modeldata!$G:$G=calibration!AP$160)*(modeldata!$H:$H=calibration!$AF163),modeldata!$E:$E,0))</f>
        <v>0</v>
      </c>
      <c r="AQ163" s="245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25">SUM(AO163:AQ163)</f>
        <v>0</v>
      </c>
      <c r="AS163" s="17">
        <f t="shared" si="1067"/>
        <v>0</v>
      </c>
      <c r="AU163" s="66" t="s">
        <v>42</v>
      </c>
      <c r="AV163" s="271">
        <f>IF(R181&gt;0,R163/R181,0)</f>
        <v>0</v>
      </c>
      <c r="AW163" s="272">
        <f>IF(C181&gt;0,C163/C181,0)</f>
        <v>0</v>
      </c>
      <c r="AX163" s="273">
        <f>IF(D181&gt;0,D163/D181,0)</f>
        <v>0</v>
      </c>
      <c r="AY163" s="245">
        <f t="shared" ref="AY163:BG163" si="1126">IF(U181&gt;0,U163/U181,0)</f>
        <v>0</v>
      </c>
      <c r="AZ163" s="245">
        <f t="shared" si="1126"/>
        <v>0</v>
      </c>
      <c r="BA163" s="245">
        <f t="shared" si="1126"/>
        <v>0</v>
      </c>
      <c r="BB163" s="245">
        <f t="shared" si="1126"/>
        <v>0</v>
      </c>
      <c r="BC163" s="246">
        <f t="shared" si="1126"/>
        <v>0</v>
      </c>
      <c r="BD163" s="245">
        <f t="shared" si="1126"/>
        <v>0</v>
      </c>
      <c r="BE163" s="245">
        <f t="shared" si="1126"/>
        <v>0</v>
      </c>
      <c r="BF163" s="245" t="e">
        <f t="shared" si="1126"/>
        <v>#DIV/0!</v>
      </c>
      <c r="BG163" s="178" t="e">
        <f t="shared" si="1126"/>
        <v>#DIV/0!</v>
      </c>
      <c r="BH163" s="24" t="e">
        <f>AD163/AD181</f>
        <v>#DIV/0!</v>
      </c>
      <c r="BJ163" s="66" t="s">
        <v>42</v>
      </c>
      <c r="BK163" s="275">
        <f>IF(AG181&gt;0,AG163/AG181,0)</f>
        <v>0</v>
      </c>
      <c r="BL163" s="276"/>
      <c r="BM163" s="282"/>
      <c r="BN163" s="24">
        <f t="shared" ref="BN163:BV163" si="1127">IF(AJ181&gt;0,AJ163/AJ181,0)</f>
        <v>0</v>
      </c>
      <c r="BO163" s="24">
        <f t="shared" si="1127"/>
        <v>0</v>
      </c>
      <c r="BP163" s="24">
        <f t="shared" si="1127"/>
        <v>0</v>
      </c>
      <c r="BQ163" s="24">
        <f t="shared" si="1127"/>
        <v>0</v>
      </c>
      <c r="BR163" s="77">
        <f t="shared" si="1127"/>
        <v>0</v>
      </c>
      <c r="BS163" s="24">
        <f t="shared" si="1127"/>
        <v>0</v>
      </c>
      <c r="BT163" s="24">
        <f t="shared" si="1127"/>
        <v>0</v>
      </c>
      <c r="BU163" s="24">
        <f t="shared" si="1127"/>
        <v>0</v>
      </c>
      <c r="BV163" s="180">
        <f t="shared" si="1127"/>
        <v>0</v>
      </c>
      <c r="BW163" s="24" t="e">
        <f>AS163/AS181</f>
        <v>#DIV/0!</v>
      </c>
      <c r="BX163" s="24"/>
      <c r="BY163" s="66" t="s">
        <v>42</v>
      </c>
      <c r="BZ163" s="54">
        <f t="shared" si="1098"/>
        <v>0</v>
      </c>
      <c r="CA163" s="55">
        <f t="shared" si="1070"/>
        <v>0</v>
      </c>
      <c r="CB163" s="58">
        <f t="shared" si="1071"/>
        <v>0</v>
      </c>
      <c r="CC163" s="55">
        <f t="shared" si="1072"/>
        <v>0</v>
      </c>
      <c r="CD163" s="55">
        <f t="shared" si="1073"/>
        <v>0</v>
      </c>
      <c r="CE163" s="55">
        <f t="shared" si="1074"/>
        <v>0</v>
      </c>
      <c r="CF163" s="55">
        <f t="shared" si="1075"/>
        <v>0</v>
      </c>
      <c r="CG163" s="249">
        <f t="shared" si="1076"/>
        <v>0</v>
      </c>
      <c r="CH163" s="55">
        <f t="shared" si="1077"/>
        <v>0</v>
      </c>
      <c r="CI163" s="55">
        <f t="shared" si="1078"/>
        <v>0</v>
      </c>
      <c r="CJ163" s="55" t="e">
        <f t="shared" si="1079"/>
        <v>#DIV/0!</v>
      </c>
      <c r="CK163" s="252" t="e">
        <f t="shared" si="1079"/>
        <v>#DIV/0!</v>
      </c>
      <c r="CL163" s="55" t="e">
        <f t="shared" si="1080"/>
        <v>#DIV/0!</v>
      </c>
      <c r="CN163" s="66" t="s">
        <v>42</v>
      </c>
      <c r="CO163" s="54">
        <f t="shared" si="1099"/>
        <v>0</v>
      </c>
      <c r="CP163" s="55">
        <f t="shared" si="1081"/>
        <v>0</v>
      </c>
      <c r="CQ163" s="58">
        <f t="shared" si="1082"/>
        <v>0</v>
      </c>
      <c r="CR163" s="55">
        <f t="shared" si="1083"/>
        <v>0</v>
      </c>
      <c r="CS163" s="55">
        <f t="shared" si="1084"/>
        <v>0</v>
      </c>
      <c r="CT163" s="55">
        <f t="shared" si="1085"/>
        <v>0</v>
      </c>
      <c r="CU163" s="55">
        <f t="shared" si="1086"/>
        <v>0</v>
      </c>
      <c r="CV163" s="249">
        <f t="shared" si="1087"/>
        <v>0</v>
      </c>
      <c r="CW163" s="55">
        <f t="shared" si="1088"/>
        <v>0</v>
      </c>
      <c r="CX163" s="55">
        <f t="shared" si="1089"/>
        <v>0</v>
      </c>
      <c r="CY163" s="55" t="e">
        <f t="shared" si="1090"/>
        <v>#DIV/0!</v>
      </c>
      <c r="CZ163" s="252" t="e">
        <f t="shared" si="1090"/>
        <v>#DIV/0!</v>
      </c>
      <c r="DA163" s="62" t="e">
        <f t="shared" si="1091"/>
        <v>#DIV/0!</v>
      </c>
      <c r="DC163" s="66" t="s">
        <v>42</v>
      </c>
      <c r="DD163" s="198">
        <f t="shared" si="1100"/>
        <v>0</v>
      </c>
      <c r="DE163" s="199">
        <f t="shared" si="1101"/>
        <v>0</v>
      </c>
      <c r="DF163" s="198">
        <f t="shared" si="1102"/>
        <v>0</v>
      </c>
      <c r="DG163" s="199">
        <f t="shared" si="1103"/>
        <v>0</v>
      </c>
      <c r="DH163" s="193">
        <f t="shared" si="1104"/>
        <v>0</v>
      </c>
      <c r="DI163" s="194">
        <f t="shared" si="1105"/>
        <v>0</v>
      </c>
      <c r="DJ163" s="198">
        <f t="shared" si="1106"/>
        <v>0</v>
      </c>
      <c r="DK163" s="199">
        <f t="shared" si="1107"/>
        <v>0</v>
      </c>
      <c r="DL163" s="198">
        <f t="shared" si="1108"/>
        <v>0</v>
      </c>
      <c r="DM163" s="199">
        <f t="shared" si="1109"/>
        <v>0</v>
      </c>
      <c r="DN163" s="198">
        <f t="shared" si="1110"/>
        <v>0</v>
      </c>
      <c r="DO163" s="199">
        <f t="shared" si="1111"/>
        <v>0</v>
      </c>
      <c r="DP163" s="198">
        <f t="shared" si="1112"/>
        <v>0</v>
      </c>
      <c r="DQ163" s="199">
        <f t="shared" si="1113"/>
        <v>0</v>
      </c>
      <c r="DR163" s="198">
        <f t="shared" si="1114"/>
        <v>0</v>
      </c>
      <c r="DS163" s="199">
        <f t="shared" si="1115"/>
        <v>0</v>
      </c>
      <c r="DT163" s="198">
        <f t="shared" si="1116"/>
        <v>0</v>
      </c>
      <c r="DU163" s="199">
        <f t="shared" si="1117"/>
        <v>0</v>
      </c>
      <c r="DV163" s="198">
        <f t="shared" si="1118"/>
        <v>0</v>
      </c>
      <c r="DW163" s="199">
        <f t="shared" si="1119"/>
        <v>0</v>
      </c>
      <c r="DX163" s="198" t="e">
        <f t="shared" si="1120"/>
        <v>#DIV/0!</v>
      </c>
      <c r="DY163" s="199">
        <f t="shared" si="1121"/>
        <v>0</v>
      </c>
      <c r="DZ163" s="190" t="e">
        <f t="shared" si="1122"/>
        <v>#DIV/0!</v>
      </c>
      <c r="EA163" s="199">
        <f t="shared" si="1092"/>
        <v>0</v>
      </c>
      <c r="EB163" s="190" t="e">
        <f t="shared" si="1123"/>
        <v>#DIV/0!</v>
      </c>
      <c r="EC163" s="190" t="e">
        <f t="shared" si="1124"/>
        <v>#DIV/0!</v>
      </c>
    </row>
    <row r="164" spans="1:133" x14ac:dyDescent="0.2">
      <c r="A164" s="66" t="s">
        <v>2</v>
      </c>
      <c r="B164" s="264">
        <f>SUM(targets!AW153:AY153)</f>
        <v>20251.681667491928</v>
      </c>
      <c r="C164" s="265"/>
      <c r="D164" s="265"/>
      <c r="E164" s="36">
        <f>targets!AZ153</f>
        <v>479892.43465832109</v>
      </c>
      <c r="F164" s="245">
        <f>targets!BA153</f>
        <v>0</v>
      </c>
      <c r="G164" s="245">
        <f>SUM(targets!BB153:BG153)</f>
        <v>2289.8977448805936</v>
      </c>
      <c r="H164" s="245">
        <f>SUM(targets!BH153:BM153)</f>
        <v>0</v>
      </c>
      <c r="I164" s="246">
        <f t="shared" si="1093"/>
        <v>2289.8977448805936</v>
      </c>
      <c r="J164" s="245">
        <f>targets!BN153</f>
        <v>0</v>
      </c>
      <c r="K164" s="245">
        <f>targets!BO153</f>
        <v>179.88976760723335</v>
      </c>
      <c r="L164" s="245">
        <f>targets!BP153</f>
        <v>0</v>
      </c>
      <c r="M164" s="178">
        <f t="shared" si="1094"/>
        <v>179.88976760723335</v>
      </c>
      <c r="N164" s="17">
        <f t="shared" si="1056"/>
        <v>502613.90383830079</v>
      </c>
      <c r="O164" s="208"/>
      <c r="P164" s="17"/>
      <c r="Q164" s="66" t="s">
        <v>2</v>
      </c>
      <c r="R164" s="264">
        <f>B164*(AG$181/B$181)</f>
        <v>0</v>
      </c>
      <c r="S164" s="265"/>
      <c r="T164" s="265"/>
      <c r="U164" s="36">
        <f t="shared" si="1057"/>
        <v>0</v>
      </c>
      <c r="V164" s="245">
        <f t="shared" si="1058"/>
        <v>0</v>
      </c>
      <c r="W164" s="245">
        <f t="shared" si="1059"/>
        <v>0</v>
      </c>
      <c r="X164" s="245">
        <f t="shared" si="1060"/>
        <v>0</v>
      </c>
      <c r="Y164" s="246">
        <f t="shared" si="1061"/>
        <v>0</v>
      </c>
      <c r="Z164" s="245">
        <f t="shared" si="1062"/>
        <v>0</v>
      </c>
      <c r="AA164" s="245">
        <f t="shared" si="1063"/>
        <v>0</v>
      </c>
      <c r="AB164" s="245" t="e">
        <f t="shared" si="1064"/>
        <v>#DIV/0!</v>
      </c>
      <c r="AC164" s="178" t="e">
        <f t="shared" si="1065"/>
        <v>#DIV/0!</v>
      </c>
      <c r="AD164" s="17" t="e">
        <f t="shared" si="1066"/>
        <v>#DIV/0!</v>
      </c>
      <c r="AF164" s="66" t="s">
        <v>2</v>
      </c>
      <c r="AG164" s="264">
        <f t="array" ref="AG164">SUM(IF((modeldata!$F:$F=calibration!$AF$158)*(modeldata!$G:$G=calibration!AG$160)*(modeldata!$H:$H=calibration!$AF164),modeldata!$E:$E,0))</f>
        <v>0</v>
      </c>
      <c r="AH164" s="265"/>
      <c r="AI164" s="265"/>
      <c r="AJ164" s="36">
        <f t="array" ref="AJ164">SUM(IF((modeldata!$F:$F=calibration!$AF$158)*(modeldata!$G:$G=calibration!AJ$160)*(modeldata!$H:$H=calibration!$AF164),modeldata!$E:$E,0))</f>
        <v>0</v>
      </c>
      <c r="AK164" s="245">
        <f t="array" ref="AK164">SUM(IF((modeldata!$F:$F=calibration!$AF$158)*(modeldata!$G:$G=calibration!AK$160)*(modeldata!$H:$H=calibration!$AF164),modeldata!$E:$E,0))</f>
        <v>0</v>
      </c>
      <c r="AL164" s="245">
        <f t="array" ref="AL164">SUM(IF((modeldata!$F:$F=calibration!$AF$158)*(modeldata!$G:$G=calibration!AL$160)*(modeldata!$H:$H=calibration!$AF164),modeldata!$E:$E,0))</f>
        <v>0</v>
      </c>
      <c r="AM164" s="245">
        <f t="array" ref="AM164">SUM(IF((modeldata!$F:$F=calibration!$AF$158)*(modeldata!$G:$G=calibration!AM$160)*(modeldata!$H:$H=calibration!$AF164),modeldata!$E:$E,0))</f>
        <v>0</v>
      </c>
      <c r="AN164" s="246">
        <f t="shared" si="1095"/>
        <v>0</v>
      </c>
      <c r="AO164" s="245">
        <f t="array" ref="AO164">SUM(IF((modeldata!$F:$F=calibration!$AF$158)*(modeldata!$G:$G=calibration!AO$160)*(modeldata!$H:$H=calibration!$AF164),modeldata!$E:$E,0))</f>
        <v>0</v>
      </c>
      <c r="AP164" s="245">
        <f t="array" ref="AP164">SUM(IF((modeldata!$F:$F=calibration!$AF$158)*(modeldata!$G:$G=calibration!AP$160)*(modeldata!$H:$H=calibration!$AF164),modeldata!$E:$E,0))</f>
        <v>0</v>
      </c>
      <c r="AQ164" s="245">
        <f t="array" ref="AQ164">SUM(IF((modeldata!$F:$F=calibration!$AF$158)*(modeldata!$G:$G=calibration!AQ$160)*(modeldata!$H:$H=calibration!$AF164),modeldata!$E:$E,0))</f>
        <v>0</v>
      </c>
      <c r="AR164" s="178">
        <f t="shared" si="1125"/>
        <v>0</v>
      </c>
      <c r="AS164" s="17">
        <f t="shared" si="1067"/>
        <v>0</v>
      </c>
      <c r="AU164" s="66" t="s">
        <v>2</v>
      </c>
      <c r="AV164" s="264">
        <f>IF(R181&gt;0,R164/R181,0)</f>
        <v>0</v>
      </c>
      <c r="AW164" s="265">
        <f>IF(C181&gt;0,C164/C181,0)</f>
        <v>0</v>
      </c>
      <c r="AX164" s="265">
        <f>IF(D181&gt;0,D164/D181,0)</f>
        <v>0</v>
      </c>
      <c r="AY164" s="36">
        <f t="shared" ref="AY164:BG164" si="1128">IF(U181&gt;0,U164/U181,0)</f>
        <v>0</v>
      </c>
      <c r="AZ164" s="245">
        <f t="shared" si="1128"/>
        <v>0</v>
      </c>
      <c r="BA164" s="245">
        <f t="shared" si="1128"/>
        <v>0</v>
      </c>
      <c r="BB164" s="245">
        <f t="shared" si="1128"/>
        <v>0</v>
      </c>
      <c r="BC164" s="246">
        <f t="shared" si="1128"/>
        <v>0</v>
      </c>
      <c r="BD164" s="245">
        <f t="shared" si="1128"/>
        <v>0</v>
      </c>
      <c r="BE164" s="245">
        <f t="shared" si="1128"/>
        <v>0</v>
      </c>
      <c r="BF164" s="245" t="e">
        <f t="shared" si="1128"/>
        <v>#DIV/0!</v>
      </c>
      <c r="BG164" s="178" t="e">
        <f t="shared" si="1128"/>
        <v>#DIV/0!</v>
      </c>
      <c r="BH164" s="24" t="e">
        <f>AD164/AD181</f>
        <v>#DIV/0!</v>
      </c>
      <c r="BJ164" s="66" t="s">
        <v>2</v>
      </c>
      <c r="BK164" s="242">
        <f t="shared" ref="BK164:BV164" si="1129">IF(AG181&gt;0,AG164/AG181,0)</f>
        <v>0</v>
      </c>
      <c r="BL164" s="243">
        <f t="shared" si="1129"/>
        <v>0</v>
      </c>
      <c r="BM164" s="244">
        <f t="shared" si="1129"/>
        <v>0</v>
      </c>
      <c r="BN164" s="22">
        <f t="shared" si="1129"/>
        <v>0</v>
      </c>
      <c r="BO164" s="24">
        <f t="shared" si="1129"/>
        <v>0</v>
      </c>
      <c r="BP164" s="24">
        <f t="shared" si="1129"/>
        <v>0</v>
      </c>
      <c r="BQ164" s="24">
        <f t="shared" si="1129"/>
        <v>0</v>
      </c>
      <c r="BR164" s="77">
        <f t="shared" si="1129"/>
        <v>0</v>
      </c>
      <c r="BS164" s="24">
        <f t="shared" si="1129"/>
        <v>0</v>
      </c>
      <c r="BT164" s="24">
        <f t="shared" si="1129"/>
        <v>0</v>
      </c>
      <c r="BU164" s="24">
        <f t="shared" si="1129"/>
        <v>0</v>
      </c>
      <c r="BV164" s="180">
        <f t="shared" si="1129"/>
        <v>0</v>
      </c>
      <c r="BW164" s="24" t="e">
        <f>AS164/AS181</f>
        <v>#DIV/0!</v>
      </c>
      <c r="BX164" s="24"/>
      <c r="BY164" s="66" t="s">
        <v>2</v>
      </c>
      <c r="BZ164" s="54">
        <f t="shared" si="1098"/>
        <v>0</v>
      </c>
      <c r="CA164" s="55">
        <f t="shared" si="1070"/>
        <v>0</v>
      </c>
      <c r="CB164" s="55">
        <f t="shared" si="1071"/>
        <v>0</v>
      </c>
      <c r="CC164" s="58">
        <f t="shared" si="1072"/>
        <v>0</v>
      </c>
      <c r="CD164" s="55">
        <f t="shared" si="1073"/>
        <v>0</v>
      </c>
      <c r="CE164" s="55">
        <f t="shared" si="1074"/>
        <v>0</v>
      </c>
      <c r="CF164" s="55">
        <f t="shared" si="1075"/>
        <v>0</v>
      </c>
      <c r="CG164" s="249">
        <f t="shared" si="1076"/>
        <v>0</v>
      </c>
      <c r="CH164" s="55">
        <f t="shared" si="1077"/>
        <v>0</v>
      </c>
      <c r="CI164" s="55">
        <f t="shared" si="1078"/>
        <v>0</v>
      </c>
      <c r="CJ164" s="55" t="e">
        <f t="shared" si="1079"/>
        <v>#DIV/0!</v>
      </c>
      <c r="CK164" s="252" t="e">
        <f t="shared" si="1079"/>
        <v>#DIV/0!</v>
      </c>
      <c r="CL164" s="55" t="e">
        <f t="shared" si="1080"/>
        <v>#DIV/0!</v>
      </c>
      <c r="CN164" s="66" t="s">
        <v>2</v>
      </c>
      <c r="CO164" s="54">
        <f t="shared" si="1099"/>
        <v>0</v>
      </c>
      <c r="CP164" s="55">
        <f t="shared" si="1081"/>
        <v>0</v>
      </c>
      <c r="CQ164" s="55">
        <f t="shared" si="1082"/>
        <v>0</v>
      </c>
      <c r="CR164" s="58">
        <f t="shared" si="1083"/>
        <v>0</v>
      </c>
      <c r="CS164" s="55">
        <f t="shared" si="1084"/>
        <v>0</v>
      </c>
      <c r="CT164" s="55">
        <f t="shared" si="1085"/>
        <v>0</v>
      </c>
      <c r="CU164" s="55">
        <f t="shared" si="1086"/>
        <v>0</v>
      </c>
      <c r="CV164" s="249">
        <f t="shared" si="1087"/>
        <v>0</v>
      </c>
      <c r="CW164" s="55">
        <f t="shared" si="1088"/>
        <v>0</v>
      </c>
      <c r="CX164" s="55">
        <f t="shared" si="1089"/>
        <v>0</v>
      </c>
      <c r="CY164" s="55" t="e">
        <f t="shared" si="1090"/>
        <v>#DIV/0!</v>
      </c>
      <c r="CZ164" s="252" t="e">
        <f t="shared" si="1090"/>
        <v>#DIV/0!</v>
      </c>
      <c r="DA164" s="62" t="e">
        <f t="shared" si="1091"/>
        <v>#DIV/0!</v>
      </c>
      <c r="DC164" s="66" t="s">
        <v>2</v>
      </c>
      <c r="DD164" s="198">
        <f t="shared" si="1100"/>
        <v>0</v>
      </c>
      <c r="DE164" s="199">
        <f t="shared" si="1101"/>
        <v>0</v>
      </c>
      <c r="DF164" s="198">
        <f t="shared" si="1102"/>
        <v>0</v>
      </c>
      <c r="DG164" s="199">
        <f t="shared" si="1103"/>
        <v>0</v>
      </c>
      <c r="DH164" s="198">
        <f t="shared" si="1104"/>
        <v>0</v>
      </c>
      <c r="DI164" s="199">
        <f t="shared" si="1105"/>
        <v>0</v>
      </c>
      <c r="DJ164" s="193">
        <f t="shared" si="1106"/>
        <v>0</v>
      </c>
      <c r="DK164" s="194">
        <f t="shared" si="1107"/>
        <v>0</v>
      </c>
      <c r="DL164" s="198">
        <f t="shared" si="1108"/>
        <v>0</v>
      </c>
      <c r="DM164" s="199">
        <f t="shared" si="1109"/>
        <v>0</v>
      </c>
      <c r="DN164" s="198">
        <f t="shared" si="1110"/>
        <v>0</v>
      </c>
      <c r="DO164" s="199">
        <f t="shared" si="1111"/>
        <v>0</v>
      </c>
      <c r="DP164" s="198">
        <f t="shared" si="1112"/>
        <v>0</v>
      </c>
      <c r="DQ164" s="199">
        <f t="shared" si="1113"/>
        <v>0</v>
      </c>
      <c r="DR164" s="198">
        <f t="shared" si="1114"/>
        <v>0</v>
      </c>
      <c r="DS164" s="199">
        <f t="shared" si="1115"/>
        <v>0</v>
      </c>
      <c r="DT164" s="198">
        <f t="shared" si="1116"/>
        <v>0</v>
      </c>
      <c r="DU164" s="199">
        <f t="shared" si="1117"/>
        <v>0</v>
      </c>
      <c r="DV164" s="198">
        <f t="shared" si="1118"/>
        <v>0</v>
      </c>
      <c r="DW164" s="199">
        <f t="shared" si="1119"/>
        <v>0</v>
      </c>
      <c r="DX164" s="198" t="e">
        <f t="shared" si="1120"/>
        <v>#DIV/0!</v>
      </c>
      <c r="DY164" s="199">
        <f t="shared" si="1121"/>
        <v>0</v>
      </c>
      <c r="DZ164" s="190" t="e">
        <f t="shared" si="1122"/>
        <v>#DIV/0!</v>
      </c>
      <c r="EA164" s="199">
        <f t="shared" si="1092"/>
        <v>0</v>
      </c>
      <c r="EB164" s="190" t="e">
        <f t="shared" si="1123"/>
        <v>#DIV/0!</v>
      </c>
      <c r="EC164" s="190" t="e">
        <f t="shared" si="1124"/>
        <v>#DIV/0!</v>
      </c>
    </row>
    <row r="165" spans="1:133" x14ac:dyDescent="0.2">
      <c r="A165" s="66" t="s">
        <v>3</v>
      </c>
      <c r="B165" s="264">
        <f>SUM(targets!AW154:AY154)</f>
        <v>0</v>
      </c>
      <c r="C165" s="265"/>
      <c r="D165" s="265"/>
      <c r="E165" s="245">
        <f>targets!AZ154</f>
        <v>0</v>
      </c>
      <c r="F165" s="36">
        <f>targets!BA154</f>
        <v>38984.272006716543</v>
      </c>
      <c r="G165" s="245">
        <f>SUM(targets!BB154:BG154)</f>
        <v>0</v>
      </c>
      <c r="H165" s="245">
        <f>SUM(targets!BH154:BM154)</f>
        <v>0</v>
      </c>
      <c r="I165" s="246">
        <f t="shared" si="1093"/>
        <v>0</v>
      </c>
      <c r="J165" s="245">
        <f>targets!BN154</f>
        <v>0</v>
      </c>
      <c r="K165" s="245">
        <f>targets!BO154</f>
        <v>0</v>
      </c>
      <c r="L165" s="245">
        <f>targets!BP154</f>
        <v>0</v>
      </c>
      <c r="M165" s="178">
        <f t="shared" si="1094"/>
        <v>0</v>
      </c>
      <c r="N165" s="17">
        <f t="shared" si="1056"/>
        <v>38984.272006716543</v>
      </c>
      <c r="O165" s="208"/>
      <c r="P165" s="17"/>
      <c r="Q165" s="66" t="s">
        <v>3</v>
      </c>
      <c r="R165" s="264">
        <f>B165*(AG$181/B$181)</f>
        <v>0</v>
      </c>
      <c r="S165" s="265"/>
      <c r="T165" s="265"/>
      <c r="U165" s="245">
        <f t="shared" si="1057"/>
        <v>0</v>
      </c>
      <c r="V165" s="36">
        <f t="shared" si="1058"/>
        <v>0</v>
      </c>
      <c r="W165" s="245">
        <f t="shared" si="1059"/>
        <v>0</v>
      </c>
      <c r="X165" s="245">
        <f t="shared" si="1060"/>
        <v>0</v>
      </c>
      <c r="Y165" s="246">
        <f t="shared" si="1061"/>
        <v>0</v>
      </c>
      <c r="Z165" s="245">
        <f t="shared" si="1062"/>
        <v>0</v>
      </c>
      <c r="AA165" s="245">
        <f t="shared" si="1063"/>
        <v>0</v>
      </c>
      <c r="AB165" s="245" t="e">
        <f t="shared" si="1064"/>
        <v>#DIV/0!</v>
      </c>
      <c r="AC165" s="178" t="e">
        <f t="shared" si="1065"/>
        <v>#DIV/0!</v>
      </c>
      <c r="AD165" s="17" t="e">
        <f t="shared" si="1066"/>
        <v>#DIV/0!</v>
      </c>
      <c r="AF165" s="66" t="s">
        <v>3</v>
      </c>
      <c r="AG165" s="264">
        <f t="array" ref="AG165">SUM(IF((modeldata!$F:$F=calibration!$AF$158)*(modeldata!$G:$G=calibration!AG$160)*(modeldata!$H:$H=calibration!$AF165),modeldata!$E:$E,0))</f>
        <v>0</v>
      </c>
      <c r="AH165" s="265">
        <f t="array" ref="AH165">SUM(IF((modeldata!$F:$F=calibration!$AF$158)*(modeldata!$G:$G=calibration!AH$160)*(modeldata!$H:$H=calibration!$AF165),modeldata!$E:$E,0))</f>
        <v>0</v>
      </c>
      <c r="AI165" s="265">
        <f t="array" ref="AI165">SUM(IF((modeldata!$F:$F=calibration!$AF$158)*(modeldata!$G:$G=calibration!AI$160)*(modeldata!$H:$H=calibration!$AF165),modeldata!$E:$E,0))</f>
        <v>0</v>
      </c>
      <c r="AJ165" s="245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5">
        <f t="array" ref="AL165">SUM(IF((modeldata!$F:$F=calibration!$AF$158)*(modeldata!$G:$G=calibration!AL$160)*(modeldata!$H:$H=calibration!$AF165),modeldata!$E:$E,0))</f>
        <v>0</v>
      </c>
      <c r="AM165" s="245">
        <f t="array" ref="AM165">SUM(IF((modeldata!$F:$F=calibration!$AF$158)*(modeldata!$G:$G=calibration!AM$160)*(modeldata!$H:$H=calibration!$AF165),modeldata!$E:$E,0))</f>
        <v>0</v>
      </c>
      <c r="AN165" s="246">
        <f t="shared" si="1095"/>
        <v>0</v>
      </c>
      <c r="AO165" s="245">
        <f t="array" ref="AO165">SUM(IF((modeldata!$F:$F=calibration!$AF$158)*(modeldata!$G:$G=calibration!AO$160)*(modeldata!$H:$H=calibration!$AF165),modeldata!$E:$E,0))</f>
        <v>0</v>
      </c>
      <c r="AP165" s="245">
        <f t="array" ref="AP165">SUM(IF((modeldata!$F:$F=calibration!$AF$158)*(modeldata!$G:$G=calibration!AP$160)*(modeldata!$H:$H=calibration!$AF165),modeldata!$E:$E,0))</f>
        <v>0</v>
      </c>
      <c r="AQ165" s="245">
        <f t="array" ref="AQ165">SUM(IF((modeldata!$F:$F=calibration!$AF$158)*(modeldata!$G:$G=calibration!AQ$160)*(modeldata!$H:$H=calibration!$AF165),modeldata!$E:$E,0))</f>
        <v>0</v>
      </c>
      <c r="AR165" s="178">
        <f t="shared" si="1125"/>
        <v>0</v>
      </c>
      <c r="AS165" s="17">
        <f t="shared" si="1067"/>
        <v>0</v>
      </c>
      <c r="AU165" s="66" t="s">
        <v>3</v>
      </c>
      <c r="AV165" s="264">
        <f t="shared" ref="AV165:BG165" si="1130">IF(R181&gt;0,R165/R181,0)</f>
        <v>0</v>
      </c>
      <c r="AW165" s="265">
        <f t="shared" si="1130"/>
        <v>0</v>
      </c>
      <c r="AX165" s="265">
        <f t="shared" si="1130"/>
        <v>0</v>
      </c>
      <c r="AY165" s="245">
        <f t="shared" si="1130"/>
        <v>0</v>
      </c>
      <c r="AZ165" s="36">
        <f t="shared" si="1130"/>
        <v>0</v>
      </c>
      <c r="BA165" s="245">
        <f t="shared" si="1130"/>
        <v>0</v>
      </c>
      <c r="BB165" s="245">
        <f t="shared" si="1130"/>
        <v>0</v>
      </c>
      <c r="BC165" s="246">
        <f t="shared" si="1130"/>
        <v>0</v>
      </c>
      <c r="BD165" s="245">
        <f t="shared" si="1130"/>
        <v>0</v>
      </c>
      <c r="BE165" s="245">
        <f t="shared" si="1130"/>
        <v>0</v>
      </c>
      <c r="BF165" s="245" t="e">
        <f t="shared" si="1130"/>
        <v>#DIV/0!</v>
      </c>
      <c r="BG165" s="178" t="e">
        <f t="shared" si="1130"/>
        <v>#DIV/0!</v>
      </c>
      <c r="BH165" s="24" t="e">
        <f>AD165/AD181</f>
        <v>#DIV/0!</v>
      </c>
      <c r="BJ165" s="66" t="s">
        <v>3</v>
      </c>
      <c r="BK165" s="25">
        <f t="shared" ref="BK165:BV165" si="1131">IF(AG181&gt;0,AG165/AG181,0)</f>
        <v>0</v>
      </c>
      <c r="BL165" s="24">
        <f t="shared" si="1131"/>
        <v>0</v>
      </c>
      <c r="BM165" s="24">
        <f t="shared" si="1131"/>
        <v>0</v>
      </c>
      <c r="BN165" s="24">
        <f t="shared" si="1131"/>
        <v>0</v>
      </c>
      <c r="BO165" s="22">
        <f t="shared" si="1131"/>
        <v>0</v>
      </c>
      <c r="BP165" s="24">
        <f t="shared" si="1131"/>
        <v>0</v>
      </c>
      <c r="BQ165" s="24">
        <f t="shared" si="1131"/>
        <v>0</v>
      </c>
      <c r="BR165" s="77">
        <f t="shared" si="1131"/>
        <v>0</v>
      </c>
      <c r="BS165" s="24">
        <f t="shared" si="1131"/>
        <v>0</v>
      </c>
      <c r="BT165" s="24">
        <f t="shared" si="1131"/>
        <v>0</v>
      </c>
      <c r="BU165" s="24">
        <f t="shared" si="1131"/>
        <v>0</v>
      </c>
      <c r="BV165" s="180">
        <f t="shared" si="1131"/>
        <v>0</v>
      </c>
      <c r="BW165" s="24" t="e">
        <f>AS165/AS181</f>
        <v>#DIV/0!</v>
      </c>
      <c r="BX165" s="24"/>
      <c r="BY165" s="66" t="s">
        <v>3</v>
      </c>
      <c r="BZ165" s="54">
        <f t="shared" si="1098"/>
        <v>0</v>
      </c>
      <c r="CA165" s="55">
        <f t="shared" si="1070"/>
        <v>0</v>
      </c>
      <c r="CB165" s="55">
        <f t="shared" si="1071"/>
        <v>0</v>
      </c>
      <c r="CC165" s="55">
        <f t="shared" si="1072"/>
        <v>0</v>
      </c>
      <c r="CD165" s="58">
        <f t="shared" si="1073"/>
        <v>0</v>
      </c>
      <c r="CE165" s="55">
        <f t="shared" si="1074"/>
        <v>0</v>
      </c>
      <c r="CF165" s="55">
        <f t="shared" si="1075"/>
        <v>0</v>
      </c>
      <c r="CG165" s="249">
        <f t="shared" si="1076"/>
        <v>0</v>
      </c>
      <c r="CH165" s="55">
        <f t="shared" si="1077"/>
        <v>0</v>
      </c>
      <c r="CI165" s="55">
        <f t="shared" si="1078"/>
        <v>0</v>
      </c>
      <c r="CJ165" s="55" t="e">
        <f t="shared" si="1079"/>
        <v>#DIV/0!</v>
      </c>
      <c r="CK165" s="252" t="e">
        <f t="shared" si="1079"/>
        <v>#DIV/0!</v>
      </c>
      <c r="CL165" s="55" t="e">
        <f t="shared" si="1080"/>
        <v>#DIV/0!</v>
      </c>
      <c r="CN165" s="66" t="s">
        <v>3</v>
      </c>
      <c r="CO165" s="54">
        <f t="shared" si="1099"/>
        <v>0</v>
      </c>
      <c r="CP165" s="55">
        <f t="shared" si="1081"/>
        <v>0</v>
      </c>
      <c r="CQ165" s="55">
        <f t="shared" si="1082"/>
        <v>0</v>
      </c>
      <c r="CR165" s="55">
        <f t="shared" si="1083"/>
        <v>0</v>
      </c>
      <c r="CS165" s="58">
        <f t="shared" si="1084"/>
        <v>0</v>
      </c>
      <c r="CT165" s="55">
        <f t="shared" si="1085"/>
        <v>0</v>
      </c>
      <c r="CU165" s="55">
        <f t="shared" si="1086"/>
        <v>0</v>
      </c>
      <c r="CV165" s="249">
        <f t="shared" si="1087"/>
        <v>0</v>
      </c>
      <c r="CW165" s="55">
        <f t="shared" si="1088"/>
        <v>0</v>
      </c>
      <c r="CX165" s="55">
        <f t="shared" si="1089"/>
        <v>0</v>
      </c>
      <c r="CY165" s="55" t="e">
        <f t="shared" si="1090"/>
        <v>#DIV/0!</v>
      </c>
      <c r="CZ165" s="252" t="e">
        <f t="shared" si="1090"/>
        <v>#DIV/0!</v>
      </c>
      <c r="DA165" s="62" t="e">
        <f t="shared" si="1091"/>
        <v>#DIV/0!</v>
      </c>
      <c r="DC165" s="66" t="s">
        <v>3</v>
      </c>
      <c r="DD165" s="198">
        <f t="shared" si="1100"/>
        <v>0</v>
      </c>
      <c r="DE165" s="199">
        <f t="shared" si="1101"/>
        <v>0</v>
      </c>
      <c r="DF165" s="198">
        <f t="shared" si="1102"/>
        <v>0</v>
      </c>
      <c r="DG165" s="199">
        <f t="shared" si="1103"/>
        <v>0</v>
      </c>
      <c r="DH165" s="198">
        <f t="shared" si="1104"/>
        <v>0</v>
      </c>
      <c r="DI165" s="199">
        <f t="shared" si="1105"/>
        <v>0</v>
      </c>
      <c r="DJ165" s="198">
        <f t="shared" si="1106"/>
        <v>0</v>
      </c>
      <c r="DK165" s="199">
        <f t="shared" si="1107"/>
        <v>0</v>
      </c>
      <c r="DL165" s="193">
        <f t="shared" si="1108"/>
        <v>0</v>
      </c>
      <c r="DM165" s="194">
        <f t="shared" si="1109"/>
        <v>0</v>
      </c>
      <c r="DN165" s="198">
        <f t="shared" si="1110"/>
        <v>0</v>
      </c>
      <c r="DO165" s="199">
        <f t="shared" si="1111"/>
        <v>0</v>
      </c>
      <c r="DP165" s="198">
        <f t="shared" si="1112"/>
        <v>0</v>
      </c>
      <c r="DQ165" s="199">
        <f t="shared" si="1113"/>
        <v>0</v>
      </c>
      <c r="DR165" s="198">
        <f t="shared" si="1114"/>
        <v>0</v>
      </c>
      <c r="DS165" s="199">
        <f t="shared" si="1115"/>
        <v>0</v>
      </c>
      <c r="DT165" s="198">
        <f t="shared" si="1116"/>
        <v>0</v>
      </c>
      <c r="DU165" s="199">
        <f t="shared" si="1117"/>
        <v>0</v>
      </c>
      <c r="DV165" s="198">
        <f t="shared" si="1118"/>
        <v>0</v>
      </c>
      <c r="DW165" s="199">
        <f t="shared" si="1119"/>
        <v>0</v>
      </c>
      <c r="DX165" s="198" t="e">
        <f t="shared" si="1120"/>
        <v>#DIV/0!</v>
      </c>
      <c r="DY165" s="199">
        <f t="shared" si="1121"/>
        <v>0</v>
      </c>
      <c r="DZ165" s="190" t="e">
        <f t="shared" si="1122"/>
        <v>#DIV/0!</v>
      </c>
      <c r="EA165" s="199">
        <f t="shared" si="1092"/>
        <v>0</v>
      </c>
      <c r="EB165" s="190" t="e">
        <f t="shared" si="1123"/>
        <v>#DIV/0!</v>
      </c>
      <c r="EC165" s="190" t="e">
        <f t="shared" si="1124"/>
        <v>#DIV/0!</v>
      </c>
    </row>
    <row r="166" spans="1:133" x14ac:dyDescent="0.2">
      <c r="A166" s="66" t="s">
        <v>5</v>
      </c>
      <c r="B166" s="38">
        <f>targets!AW155</f>
        <v>0</v>
      </c>
      <c r="C166" s="245">
        <f>targets!AX155</f>
        <v>0</v>
      </c>
      <c r="D166" s="245">
        <f>targets!AY155</f>
        <v>0</v>
      </c>
      <c r="E166" s="245">
        <f>targets!AZ155</f>
        <v>0</v>
      </c>
      <c r="F166" s="245">
        <f>targets!BA155</f>
        <v>0</v>
      </c>
      <c r="G166" s="39">
        <f>SUM(targets!BB155:BG155)</f>
        <v>16613.778782577403</v>
      </c>
      <c r="H166" s="245">
        <f>SUM(targets!BH155:BM155)</f>
        <v>0</v>
      </c>
      <c r="I166" s="246">
        <f t="shared" si="1093"/>
        <v>16613.778782577403</v>
      </c>
      <c r="J166" s="245">
        <f>targets!BN155</f>
        <v>0</v>
      </c>
      <c r="K166" s="245">
        <f>targets!BO155</f>
        <v>0</v>
      </c>
      <c r="L166" s="245">
        <f>targets!BP155</f>
        <v>0</v>
      </c>
      <c r="M166" s="178">
        <f t="shared" si="1094"/>
        <v>0</v>
      </c>
      <c r="N166" s="17">
        <f t="shared" si="1056"/>
        <v>16613.778782577403</v>
      </c>
      <c r="O166" s="208"/>
      <c r="P166" s="17"/>
      <c r="Q166" s="66" t="s">
        <v>5</v>
      </c>
      <c r="R166" s="38"/>
      <c r="S166" s="245"/>
      <c r="T166" s="245"/>
      <c r="U166" s="245">
        <f t="shared" si="1057"/>
        <v>0</v>
      </c>
      <c r="V166" s="245">
        <f t="shared" si="1058"/>
        <v>0</v>
      </c>
      <c r="W166" s="39">
        <f t="shared" si="1059"/>
        <v>0</v>
      </c>
      <c r="X166" s="245">
        <f t="shared" si="1060"/>
        <v>0</v>
      </c>
      <c r="Y166" s="246">
        <f t="shared" si="1061"/>
        <v>0</v>
      </c>
      <c r="Z166" s="245">
        <f t="shared" si="1062"/>
        <v>0</v>
      </c>
      <c r="AA166" s="245">
        <f t="shared" si="1063"/>
        <v>0</v>
      </c>
      <c r="AB166" s="245" t="e">
        <f t="shared" si="1064"/>
        <v>#DIV/0!</v>
      </c>
      <c r="AC166" s="178" t="e">
        <f t="shared" si="1065"/>
        <v>#DIV/0!</v>
      </c>
      <c r="AD166" s="17" t="e">
        <f t="shared" si="1066"/>
        <v>#DIV/0!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5">
        <f t="array" ref="AH166">SUM(IF((modeldata!$F:$F=calibration!$AF$158)*(modeldata!$G:$G=calibration!AH$160)*(modeldata!$H:$H=calibration!$AF166),modeldata!$E:$E,0))</f>
        <v>0</v>
      </c>
      <c r="AI166" s="245">
        <f t="array" ref="AI166">SUM(IF((modeldata!$F:$F=calibration!$AF$158)*(modeldata!$G:$G=calibration!AI$160)*(modeldata!$H:$H=calibration!$AF166),modeldata!$E:$E,0))</f>
        <v>0</v>
      </c>
      <c r="AJ166" s="245">
        <f t="array" ref="AJ166">SUM(IF((modeldata!$F:$F=calibration!$AF$158)*(modeldata!$G:$G=calibration!AJ$160)*(modeldata!$H:$H=calibration!$AF166),modeldata!$E:$E,0))</f>
        <v>0</v>
      </c>
      <c r="AK166" s="245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5">
        <f t="array" ref="AM166">SUM(IF((modeldata!$F:$F=calibration!$AF$158)*(modeldata!$G:$G=calibration!AM$160)*(modeldata!$H:$H=calibration!$AF166),modeldata!$E:$E,0))</f>
        <v>0</v>
      </c>
      <c r="AN166" s="246">
        <f t="shared" ref="AN166:AN171" si="1132">AL166+AM166+AL172+AM172</f>
        <v>0</v>
      </c>
      <c r="AO166" s="245">
        <f t="array" ref="AO166">SUM(IF((modeldata!$F:$F=calibration!$AF$158)*(modeldata!$G:$G=calibration!AO$160)*(modeldata!$H:$H=calibration!$AF166),modeldata!$E:$E,0))</f>
        <v>0</v>
      </c>
      <c r="AP166" s="245">
        <f t="array" ref="AP166">SUM(IF((modeldata!$F:$F=calibration!$AF$158)*(modeldata!$G:$G=calibration!AP$160)*(modeldata!$H:$H=calibration!$AF166),modeldata!$E:$E,0))</f>
        <v>0</v>
      </c>
      <c r="AQ166" s="245">
        <f t="array" ref="AQ166">SUM(IF((modeldata!$F:$F=calibration!$AF$158)*(modeldata!$G:$G=calibration!AQ$160)*(modeldata!$H:$H=calibration!$AF166),modeldata!$E:$E,0))</f>
        <v>0</v>
      </c>
      <c r="AR166" s="178">
        <f t="shared" si="1125"/>
        <v>0</v>
      </c>
      <c r="AS166" s="17">
        <f t="shared" si="1067"/>
        <v>0</v>
      </c>
      <c r="AU166" s="66" t="s">
        <v>5</v>
      </c>
      <c r="AV166" s="38">
        <f t="shared" ref="AV166:BG166" si="1133">IF(R181&gt;0,R166/R181,0)</f>
        <v>0</v>
      </c>
      <c r="AW166" s="245">
        <f t="shared" si="1133"/>
        <v>0</v>
      </c>
      <c r="AX166" s="245">
        <f t="shared" si="1133"/>
        <v>0</v>
      </c>
      <c r="AY166" s="245">
        <f t="shared" si="1133"/>
        <v>0</v>
      </c>
      <c r="AZ166" s="245">
        <f t="shared" si="1133"/>
        <v>0</v>
      </c>
      <c r="BA166" s="39">
        <f t="shared" si="1133"/>
        <v>0</v>
      </c>
      <c r="BB166" s="245">
        <f t="shared" si="1133"/>
        <v>0</v>
      </c>
      <c r="BC166" s="246">
        <f t="shared" si="1133"/>
        <v>0</v>
      </c>
      <c r="BD166" s="245">
        <f t="shared" si="1133"/>
        <v>0</v>
      </c>
      <c r="BE166" s="245">
        <f t="shared" si="1133"/>
        <v>0</v>
      </c>
      <c r="BF166" s="245" t="e">
        <f t="shared" si="1133"/>
        <v>#DIV/0!</v>
      </c>
      <c r="BG166" s="178" t="e">
        <f t="shared" si="1133"/>
        <v>#DIV/0!</v>
      </c>
      <c r="BH166" s="24" t="e">
        <f>AD166/AD181</f>
        <v>#DIV/0!</v>
      </c>
      <c r="BJ166" s="66" t="s">
        <v>5</v>
      </c>
      <c r="BK166" s="25">
        <f t="shared" ref="BK166:BV166" si="1134">IF(AG181&gt;0,AG166/AG181,0)</f>
        <v>0</v>
      </c>
      <c r="BL166" s="24">
        <f t="shared" si="1134"/>
        <v>0</v>
      </c>
      <c r="BM166" s="24">
        <f t="shared" si="1134"/>
        <v>0</v>
      </c>
      <c r="BN166" s="24">
        <f t="shared" si="1134"/>
        <v>0</v>
      </c>
      <c r="BO166" s="24">
        <f t="shared" si="1134"/>
        <v>0</v>
      </c>
      <c r="BP166" s="27">
        <f t="shared" si="1134"/>
        <v>0</v>
      </c>
      <c r="BQ166" s="24">
        <f t="shared" si="1134"/>
        <v>0</v>
      </c>
      <c r="BR166" s="77">
        <f t="shared" si="1134"/>
        <v>0</v>
      </c>
      <c r="BS166" s="24">
        <f t="shared" si="1134"/>
        <v>0</v>
      </c>
      <c r="BT166" s="24">
        <f t="shared" si="1134"/>
        <v>0</v>
      </c>
      <c r="BU166" s="24">
        <f t="shared" si="1134"/>
        <v>0</v>
      </c>
      <c r="BV166" s="180">
        <f t="shared" si="1134"/>
        <v>0</v>
      </c>
      <c r="BW166" s="24" t="e">
        <f>AS166/AS181</f>
        <v>#DIV/0!</v>
      </c>
      <c r="BX166" s="24"/>
      <c r="BY166" s="66" t="s">
        <v>5</v>
      </c>
      <c r="BZ166" s="54">
        <f t="shared" si="1098"/>
        <v>0</v>
      </c>
      <c r="CA166" s="55">
        <f t="shared" si="1070"/>
        <v>0</v>
      </c>
      <c r="CB166" s="55">
        <f t="shared" si="1071"/>
        <v>0</v>
      </c>
      <c r="CC166" s="55">
        <f t="shared" si="1072"/>
        <v>0</v>
      </c>
      <c r="CD166" s="55">
        <f t="shared" si="1073"/>
        <v>0</v>
      </c>
      <c r="CE166" s="59">
        <f t="shared" si="1074"/>
        <v>0</v>
      </c>
      <c r="CF166" s="55">
        <f t="shared" si="1075"/>
        <v>0</v>
      </c>
      <c r="CG166" s="249">
        <f t="shared" si="1076"/>
        <v>0</v>
      </c>
      <c r="CH166" s="55">
        <f t="shared" si="1077"/>
        <v>0</v>
      </c>
      <c r="CI166" s="55">
        <f t="shared" si="1078"/>
        <v>0</v>
      </c>
      <c r="CJ166" s="55" t="e">
        <f t="shared" si="1079"/>
        <v>#DIV/0!</v>
      </c>
      <c r="CK166" s="252" t="e">
        <f t="shared" si="1079"/>
        <v>#DIV/0!</v>
      </c>
      <c r="CL166" s="55" t="e">
        <f t="shared" si="1080"/>
        <v>#DIV/0!</v>
      </c>
      <c r="CN166" s="66" t="s">
        <v>5</v>
      </c>
      <c r="CO166" s="54">
        <f t="shared" si="1099"/>
        <v>0</v>
      </c>
      <c r="CP166" s="55">
        <f t="shared" si="1081"/>
        <v>0</v>
      </c>
      <c r="CQ166" s="55">
        <f t="shared" si="1082"/>
        <v>0</v>
      </c>
      <c r="CR166" s="55">
        <f t="shared" si="1083"/>
        <v>0</v>
      </c>
      <c r="CS166" s="55">
        <f t="shared" si="1084"/>
        <v>0</v>
      </c>
      <c r="CT166" s="59">
        <f t="shared" si="1085"/>
        <v>0</v>
      </c>
      <c r="CU166" s="55">
        <f t="shared" si="1086"/>
        <v>0</v>
      </c>
      <c r="CV166" s="249">
        <f t="shared" si="1087"/>
        <v>0</v>
      </c>
      <c r="CW166" s="55">
        <f t="shared" si="1088"/>
        <v>0</v>
      </c>
      <c r="CX166" s="55">
        <f t="shared" si="1089"/>
        <v>0</v>
      </c>
      <c r="CY166" s="55" t="e">
        <f t="shared" si="1090"/>
        <v>#DIV/0!</v>
      </c>
      <c r="CZ166" s="252" t="e">
        <f t="shared" si="1090"/>
        <v>#DIV/0!</v>
      </c>
      <c r="DA166" s="62" t="e">
        <f t="shared" si="1091"/>
        <v>#DIV/0!</v>
      </c>
      <c r="DC166" s="66" t="s">
        <v>5</v>
      </c>
      <c r="DD166" s="198">
        <f t="shared" si="1100"/>
        <v>0</v>
      </c>
      <c r="DE166" s="199">
        <f t="shared" si="1101"/>
        <v>0</v>
      </c>
      <c r="DF166" s="198">
        <f t="shared" si="1102"/>
        <v>0</v>
      </c>
      <c r="DG166" s="199">
        <f t="shared" si="1103"/>
        <v>0</v>
      </c>
      <c r="DH166" s="198">
        <f t="shared" si="1104"/>
        <v>0</v>
      </c>
      <c r="DI166" s="199">
        <f t="shared" si="1105"/>
        <v>0</v>
      </c>
      <c r="DJ166" s="198">
        <f t="shared" si="1106"/>
        <v>0</v>
      </c>
      <c r="DK166" s="199">
        <f t="shared" si="1107"/>
        <v>0</v>
      </c>
      <c r="DL166" s="198">
        <f t="shared" si="1108"/>
        <v>0</v>
      </c>
      <c r="DM166" s="199">
        <f t="shared" si="1109"/>
        <v>0</v>
      </c>
      <c r="DN166" s="195">
        <f t="shared" si="1110"/>
        <v>0</v>
      </c>
      <c r="DO166" s="196">
        <f t="shared" si="1111"/>
        <v>0</v>
      </c>
      <c r="DP166" s="198">
        <f t="shared" si="1112"/>
        <v>0</v>
      </c>
      <c r="DQ166" s="199">
        <f t="shared" si="1113"/>
        <v>0</v>
      </c>
      <c r="DR166" s="198">
        <f t="shared" si="1114"/>
        <v>0</v>
      </c>
      <c r="DS166" s="199">
        <f t="shared" si="1115"/>
        <v>0</v>
      </c>
      <c r="DT166" s="198">
        <f t="shared" si="1116"/>
        <v>0</v>
      </c>
      <c r="DU166" s="199">
        <f t="shared" si="1117"/>
        <v>0</v>
      </c>
      <c r="DV166" s="198">
        <f t="shared" si="1118"/>
        <v>0</v>
      </c>
      <c r="DW166" s="199">
        <f t="shared" si="1119"/>
        <v>0</v>
      </c>
      <c r="DX166" s="198" t="e">
        <f t="shared" si="1120"/>
        <v>#DIV/0!</v>
      </c>
      <c r="DY166" s="199">
        <f t="shared" si="1121"/>
        <v>0</v>
      </c>
      <c r="DZ166" s="190" t="e">
        <f t="shared" si="1122"/>
        <v>#DIV/0!</v>
      </c>
      <c r="EA166" s="199">
        <f t="shared" si="1092"/>
        <v>0</v>
      </c>
      <c r="EB166" s="190" t="e">
        <f t="shared" si="1123"/>
        <v>#DIV/0!</v>
      </c>
      <c r="EC166" s="190" t="e">
        <f t="shared" si="1124"/>
        <v>#DIV/0!</v>
      </c>
    </row>
    <row r="167" spans="1:133" ht="25.5" x14ac:dyDescent="0.2">
      <c r="A167" s="66" t="s">
        <v>346</v>
      </c>
      <c r="B167" s="38">
        <f>targets!AW156</f>
        <v>0</v>
      </c>
      <c r="C167" s="245">
        <f>targets!AX156</f>
        <v>0</v>
      </c>
      <c r="D167" s="245">
        <f>targets!AY156</f>
        <v>0</v>
      </c>
      <c r="E167" s="245">
        <f>targets!AZ156</f>
        <v>0</v>
      </c>
      <c r="F167" s="245">
        <f>targets!BA156</f>
        <v>0</v>
      </c>
      <c r="G167" s="40">
        <f>SUM(targets!BB156:BG156)</f>
        <v>449.97388474747856</v>
      </c>
      <c r="H167" s="245">
        <f>SUM(targets!BH156:BM156)</f>
        <v>0</v>
      </c>
      <c r="I167" s="246">
        <f t="shared" si="1093"/>
        <v>449.97388474747856</v>
      </c>
      <c r="J167" s="245">
        <f>targets!BN156</f>
        <v>0</v>
      </c>
      <c r="K167" s="245">
        <f>targets!BO156</f>
        <v>0</v>
      </c>
      <c r="L167" s="245">
        <f>targets!BP156</f>
        <v>0</v>
      </c>
      <c r="M167" s="178">
        <f t="shared" si="1094"/>
        <v>0</v>
      </c>
      <c r="N167" s="17">
        <f t="shared" si="1056"/>
        <v>449.97388474747856</v>
      </c>
      <c r="O167" s="208"/>
      <c r="P167" s="17"/>
      <c r="Q167" s="66" t="s">
        <v>346</v>
      </c>
      <c r="R167" s="38"/>
      <c r="S167" s="245"/>
      <c r="T167" s="245"/>
      <c r="U167" s="245">
        <f t="shared" si="1057"/>
        <v>0</v>
      </c>
      <c r="V167" s="245">
        <f t="shared" si="1058"/>
        <v>0</v>
      </c>
      <c r="W167" s="40">
        <f t="shared" si="1059"/>
        <v>0</v>
      </c>
      <c r="X167" s="245">
        <f t="shared" si="1060"/>
        <v>0</v>
      </c>
      <c r="Y167" s="246">
        <f t="shared" si="1061"/>
        <v>0</v>
      </c>
      <c r="Z167" s="245">
        <f t="shared" si="1062"/>
        <v>0</v>
      </c>
      <c r="AA167" s="245">
        <f t="shared" si="1063"/>
        <v>0</v>
      </c>
      <c r="AB167" s="245" t="e">
        <f t="shared" si="1064"/>
        <v>#DIV/0!</v>
      </c>
      <c r="AC167" s="178" t="e">
        <f t="shared" si="1065"/>
        <v>#DIV/0!</v>
      </c>
      <c r="AD167" s="17" t="e">
        <f t="shared" si="1066"/>
        <v>#DIV/0!</v>
      </c>
      <c r="AF167" s="66" t="s">
        <v>43</v>
      </c>
      <c r="AG167" s="38">
        <f t="array" ref="AG167">SUM(IF((modeldata!$F:$F=calibration!$AF$158)*(modeldata!$G:$G=calibration!AG$160)*(modeldata!$H:$H=calibration!$AF167),modeldata!$E:$E,0))</f>
        <v>0</v>
      </c>
      <c r="AH167" s="245">
        <f t="array" ref="AH167">SUM(IF((modeldata!$F:$F=calibration!$AF$158)*(modeldata!$G:$G=calibration!AH$160)*(modeldata!$H:$H=calibration!$AF167),modeldata!$E:$E,0))</f>
        <v>0</v>
      </c>
      <c r="AI167" s="245">
        <f t="array" ref="AI167">SUM(IF((modeldata!$F:$F=calibration!$AF$158)*(modeldata!$G:$G=calibration!AI$160)*(modeldata!$H:$H=calibration!$AF167),modeldata!$E:$E,0))</f>
        <v>0</v>
      </c>
      <c r="AJ167" s="245">
        <f t="array" ref="AJ167">SUM(IF((modeldata!$F:$F=calibration!$AF$158)*(modeldata!$G:$G=calibration!AJ$160)*(modeldata!$H:$H=calibration!$AF167),modeldata!$E:$E,0))</f>
        <v>0</v>
      </c>
      <c r="AK167" s="245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5">
        <f t="array" ref="AM167">SUM(IF((modeldata!$F:$F=calibration!$AF$158)*(modeldata!$G:$G=calibration!AM$160)*(modeldata!$H:$H=calibration!$AF167),modeldata!$E:$E,0))</f>
        <v>0</v>
      </c>
      <c r="AN167" s="246">
        <f t="shared" si="1132"/>
        <v>0</v>
      </c>
      <c r="AO167" s="245">
        <f t="array" ref="AO167">SUM(IF((modeldata!$F:$F=calibration!$AF$158)*(modeldata!$G:$G=calibration!AO$160)*(modeldata!$H:$H=calibration!$AF167),modeldata!$E:$E,0))</f>
        <v>0</v>
      </c>
      <c r="AP167" s="245">
        <f t="array" ref="AP167">SUM(IF((modeldata!$F:$F=calibration!$AF$158)*(modeldata!$G:$G=calibration!AP$160)*(modeldata!$H:$H=calibration!$AF167),modeldata!$E:$E,0))</f>
        <v>0</v>
      </c>
      <c r="AQ167" s="245">
        <f t="array" ref="AQ167">SUM(IF((modeldata!$F:$F=calibration!$AF$158)*(modeldata!$G:$G=calibration!AQ$160)*(modeldata!$H:$H=calibration!$AF167),modeldata!$E:$E,0))</f>
        <v>0</v>
      </c>
      <c r="AR167" s="178">
        <f t="shared" si="1125"/>
        <v>0</v>
      </c>
      <c r="AS167" s="17">
        <f t="shared" si="1067"/>
        <v>0</v>
      </c>
      <c r="AU167" s="66" t="s">
        <v>346</v>
      </c>
      <c r="AV167" s="38">
        <f t="shared" ref="AV167:BG167" si="1135">IF(R181&gt;0,R167/R181,0)</f>
        <v>0</v>
      </c>
      <c r="AW167" s="245">
        <f t="shared" si="1135"/>
        <v>0</v>
      </c>
      <c r="AX167" s="245">
        <f t="shared" si="1135"/>
        <v>0</v>
      </c>
      <c r="AY167" s="245">
        <f t="shared" si="1135"/>
        <v>0</v>
      </c>
      <c r="AZ167" s="245">
        <f t="shared" si="1135"/>
        <v>0</v>
      </c>
      <c r="BA167" s="40">
        <f t="shared" si="1135"/>
        <v>0</v>
      </c>
      <c r="BB167" s="245">
        <f t="shared" si="1135"/>
        <v>0</v>
      </c>
      <c r="BC167" s="246">
        <f t="shared" si="1135"/>
        <v>0</v>
      </c>
      <c r="BD167" s="245">
        <f t="shared" si="1135"/>
        <v>0</v>
      </c>
      <c r="BE167" s="245">
        <f t="shared" si="1135"/>
        <v>0</v>
      </c>
      <c r="BF167" s="245" t="e">
        <f t="shared" si="1135"/>
        <v>#DIV/0!</v>
      </c>
      <c r="BG167" s="178" t="e">
        <f t="shared" si="1135"/>
        <v>#DIV/0!</v>
      </c>
      <c r="BH167" s="24" t="e">
        <f>AD167/AD181</f>
        <v>#DIV/0!</v>
      </c>
      <c r="BJ167" s="66" t="s">
        <v>346</v>
      </c>
      <c r="BK167" s="25">
        <f t="shared" ref="BK167:BV167" si="1136">IF(AG181&gt;0,AG167/AG181,0)</f>
        <v>0</v>
      </c>
      <c r="BL167" s="24">
        <f t="shared" si="1136"/>
        <v>0</v>
      </c>
      <c r="BM167" s="24">
        <f t="shared" si="1136"/>
        <v>0</v>
      </c>
      <c r="BN167" s="24">
        <f t="shared" si="1136"/>
        <v>0</v>
      </c>
      <c r="BO167" s="24">
        <f t="shared" si="1136"/>
        <v>0</v>
      </c>
      <c r="BP167" s="28">
        <f t="shared" si="1136"/>
        <v>0</v>
      </c>
      <c r="BQ167" s="24">
        <f t="shared" si="1136"/>
        <v>0</v>
      </c>
      <c r="BR167" s="77">
        <f t="shared" si="1136"/>
        <v>0</v>
      </c>
      <c r="BS167" s="24">
        <f t="shared" si="1136"/>
        <v>0</v>
      </c>
      <c r="BT167" s="24">
        <f t="shared" si="1136"/>
        <v>0</v>
      </c>
      <c r="BU167" s="24">
        <f t="shared" si="1136"/>
        <v>0</v>
      </c>
      <c r="BV167" s="180">
        <f t="shared" si="1136"/>
        <v>0</v>
      </c>
      <c r="BW167" s="24" t="e">
        <f>AS167/AS181</f>
        <v>#DIV/0!</v>
      </c>
      <c r="BX167" s="24"/>
      <c r="BY167" s="66" t="s">
        <v>346</v>
      </c>
      <c r="BZ167" s="54">
        <f t="shared" si="1098"/>
        <v>0</v>
      </c>
      <c r="CA167" s="55">
        <f t="shared" si="1070"/>
        <v>0</v>
      </c>
      <c r="CB167" s="55">
        <f t="shared" si="1071"/>
        <v>0</v>
      </c>
      <c r="CC167" s="55">
        <f t="shared" si="1072"/>
        <v>0</v>
      </c>
      <c r="CD167" s="55">
        <f t="shared" si="1073"/>
        <v>0</v>
      </c>
      <c r="CE167" s="60">
        <f t="shared" si="1074"/>
        <v>0</v>
      </c>
      <c r="CF167" s="55">
        <f t="shared" si="1075"/>
        <v>0</v>
      </c>
      <c r="CG167" s="249">
        <f t="shared" si="1076"/>
        <v>0</v>
      </c>
      <c r="CH167" s="55">
        <f t="shared" si="1077"/>
        <v>0</v>
      </c>
      <c r="CI167" s="55">
        <f t="shared" si="1078"/>
        <v>0</v>
      </c>
      <c r="CJ167" s="55" t="e">
        <f t="shared" si="1079"/>
        <v>#DIV/0!</v>
      </c>
      <c r="CK167" s="252" t="e">
        <f t="shared" si="1079"/>
        <v>#DIV/0!</v>
      </c>
      <c r="CL167" s="55" t="e">
        <f t="shared" si="1080"/>
        <v>#DIV/0!</v>
      </c>
      <c r="CN167" s="66" t="s">
        <v>346</v>
      </c>
      <c r="CO167" s="54">
        <f t="shared" si="1099"/>
        <v>0</v>
      </c>
      <c r="CP167" s="55">
        <f t="shared" si="1081"/>
        <v>0</v>
      </c>
      <c r="CQ167" s="55">
        <f t="shared" si="1082"/>
        <v>0</v>
      </c>
      <c r="CR167" s="55">
        <f t="shared" si="1083"/>
        <v>0</v>
      </c>
      <c r="CS167" s="55">
        <f t="shared" si="1084"/>
        <v>0</v>
      </c>
      <c r="CT167" s="60">
        <f t="shared" si="1085"/>
        <v>0</v>
      </c>
      <c r="CU167" s="55">
        <f t="shared" si="1086"/>
        <v>0</v>
      </c>
      <c r="CV167" s="249">
        <f t="shared" si="1087"/>
        <v>0</v>
      </c>
      <c r="CW167" s="55">
        <f t="shared" si="1088"/>
        <v>0</v>
      </c>
      <c r="CX167" s="55">
        <f t="shared" si="1089"/>
        <v>0</v>
      </c>
      <c r="CY167" s="55" t="e">
        <f t="shared" si="1090"/>
        <v>#DIV/0!</v>
      </c>
      <c r="CZ167" s="252" t="e">
        <f t="shared" si="1090"/>
        <v>#DIV/0!</v>
      </c>
      <c r="DA167" s="62" t="e">
        <f t="shared" si="1091"/>
        <v>#DIV/0!</v>
      </c>
      <c r="DC167" s="66" t="s">
        <v>346</v>
      </c>
      <c r="DD167" s="198">
        <f t="shared" si="1100"/>
        <v>0</v>
      </c>
      <c r="DE167" s="199">
        <f t="shared" si="1101"/>
        <v>0</v>
      </c>
      <c r="DF167" s="198">
        <f t="shared" si="1102"/>
        <v>0</v>
      </c>
      <c r="DG167" s="199">
        <f t="shared" si="1103"/>
        <v>0</v>
      </c>
      <c r="DH167" s="198">
        <f t="shared" si="1104"/>
        <v>0</v>
      </c>
      <c r="DI167" s="199">
        <f t="shared" si="1105"/>
        <v>0</v>
      </c>
      <c r="DJ167" s="198">
        <f t="shared" si="1106"/>
        <v>0</v>
      </c>
      <c r="DK167" s="199">
        <f t="shared" si="1107"/>
        <v>0</v>
      </c>
      <c r="DL167" s="198">
        <f t="shared" si="1108"/>
        <v>0</v>
      </c>
      <c r="DM167" s="199">
        <f t="shared" si="1109"/>
        <v>0</v>
      </c>
      <c r="DN167" s="198">
        <f t="shared" si="1110"/>
        <v>0</v>
      </c>
      <c r="DO167" s="199">
        <f t="shared" si="1111"/>
        <v>0</v>
      </c>
      <c r="DP167" s="198">
        <f t="shared" si="1112"/>
        <v>0</v>
      </c>
      <c r="DQ167" s="199">
        <f t="shared" si="1113"/>
        <v>0</v>
      </c>
      <c r="DR167" s="198">
        <f t="shared" si="1114"/>
        <v>0</v>
      </c>
      <c r="DS167" s="199">
        <f t="shared" si="1115"/>
        <v>0</v>
      </c>
      <c r="DT167" s="198">
        <f t="shared" si="1116"/>
        <v>0</v>
      </c>
      <c r="DU167" s="199">
        <f t="shared" si="1117"/>
        <v>0</v>
      </c>
      <c r="DV167" s="198">
        <f t="shared" si="1118"/>
        <v>0</v>
      </c>
      <c r="DW167" s="199">
        <f t="shared" si="1119"/>
        <v>0</v>
      </c>
      <c r="DX167" s="198" t="e">
        <f t="shared" si="1120"/>
        <v>#DIV/0!</v>
      </c>
      <c r="DY167" s="199">
        <f t="shared" si="1121"/>
        <v>0</v>
      </c>
      <c r="DZ167" s="190" t="e">
        <f t="shared" si="1122"/>
        <v>#DIV/0!</v>
      </c>
      <c r="EA167" s="199">
        <f t="shared" si="1092"/>
        <v>0</v>
      </c>
      <c r="EB167" s="190" t="e">
        <f t="shared" si="1123"/>
        <v>#DIV/0!</v>
      </c>
      <c r="EC167" s="190" t="e">
        <f t="shared" si="1124"/>
        <v>#DIV/0!</v>
      </c>
    </row>
    <row r="168" spans="1:133" x14ac:dyDescent="0.2">
      <c r="A168" s="2" t="s">
        <v>349</v>
      </c>
      <c r="B168" s="38">
        <f>targets!AW157</f>
        <v>0</v>
      </c>
      <c r="C168" s="245">
        <f>targets!AX157</f>
        <v>0</v>
      </c>
      <c r="D168" s="245">
        <f>targets!AY157</f>
        <v>0</v>
      </c>
      <c r="E168" s="245">
        <f>targets!AZ157</f>
        <v>0</v>
      </c>
      <c r="F168" s="245">
        <f>targets!BA157</f>
        <v>0</v>
      </c>
      <c r="G168" s="40">
        <f>SUM(targets!BB157:BG157)</f>
        <v>0</v>
      </c>
      <c r="H168" s="245">
        <f>SUM(targets!BH157:BM157)</f>
        <v>0</v>
      </c>
      <c r="I168" s="246">
        <f>SUM(G168:H168)</f>
        <v>0</v>
      </c>
      <c r="J168" s="245">
        <f>targets!BN157</f>
        <v>0</v>
      </c>
      <c r="K168" s="245">
        <f>targets!BO157</f>
        <v>0</v>
      </c>
      <c r="L168" s="245">
        <f>targets!BP157</f>
        <v>0</v>
      </c>
      <c r="M168" s="178">
        <f>SUM(J168:L168)</f>
        <v>0</v>
      </c>
      <c r="N168" s="17">
        <f>SUM(B168:L168)-I168</f>
        <v>0</v>
      </c>
      <c r="O168" s="208"/>
      <c r="P168" s="17"/>
      <c r="Q168" s="2" t="s">
        <v>349</v>
      </c>
      <c r="R168" s="38">
        <f>B168*(AG$181/B$181)</f>
        <v>0</v>
      </c>
      <c r="S168" s="245">
        <f>C168*(AH$181/B$181)</f>
        <v>0</v>
      </c>
      <c r="T168" s="245">
        <f>D168*(AI$181/B$181)</f>
        <v>0</v>
      </c>
      <c r="U168" s="245">
        <f t="shared" si="1057"/>
        <v>0</v>
      </c>
      <c r="V168" s="245">
        <f t="shared" si="1058"/>
        <v>0</v>
      </c>
      <c r="W168" s="40">
        <f t="shared" si="1059"/>
        <v>0</v>
      </c>
      <c r="X168" s="245">
        <f t="shared" si="1060"/>
        <v>0</v>
      </c>
      <c r="Y168" s="246">
        <f>SUM(W168:X168)</f>
        <v>0</v>
      </c>
      <c r="Z168" s="245">
        <f t="shared" si="1062"/>
        <v>0</v>
      </c>
      <c r="AA168" s="245">
        <f t="shared" si="1063"/>
        <v>0</v>
      </c>
      <c r="AB168" s="245" t="e">
        <f t="shared" si="1064"/>
        <v>#DIV/0!</v>
      </c>
      <c r="AC168" s="178" t="e">
        <f>SUM(Z168:AB168)</f>
        <v>#DIV/0!</v>
      </c>
      <c r="AD168" s="17" t="e">
        <f>SUM(R168:AB168)-Y168</f>
        <v>#DIV/0!</v>
      </c>
      <c r="AF168" s="2" t="s">
        <v>44</v>
      </c>
      <c r="AG168" s="38">
        <f t="array" ref="AG168">SUM(IF((modeldata!$F:$F=calibration!$AF$106)*(modeldata!$G:$G=calibration!AG$108)*(modeldata!$H:$H=calibration!$AF168),modeldata!$E:$E,0))</f>
        <v>0</v>
      </c>
      <c r="AH168" s="245">
        <f t="array" ref="AH168">SUM(IF((modeldata!$F:$F=calibration!$AF$106)*(modeldata!$G:$G=calibration!AH$108)*(modeldata!$H:$H=calibration!$AF168),modeldata!$E:$E,0))</f>
        <v>0</v>
      </c>
      <c r="AI168" s="245">
        <f t="array" ref="AI168">SUM(IF((modeldata!$F:$F=calibration!$AF$106)*(modeldata!$G:$G=calibration!AI$108)*(modeldata!$H:$H=calibration!$AF168),modeldata!$E:$E,0))</f>
        <v>0</v>
      </c>
      <c r="AJ168" s="245">
        <f t="array" ref="AJ168">SUM(IF((modeldata!$F:$F=calibration!$AF$106)*(modeldata!$G:$G=calibration!AJ$108)*(modeldata!$H:$H=calibration!$AF168),modeldata!$E:$E,0))</f>
        <v>0</v>
      </c>
      <c r="AK168" s="245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5">
        <f t="array" ref="AM168">SUM(IF((modeldata!$F:$F=calibration!$AF$106)*(modeldata!$G:$G=calibration!AM$108)*(modeldata!$H:$H=calibration!$AF168),modeldata!$E:$E,0))</f>
        <v>0</v>
      </c>
      <c r="AN168" s="246">
        <f t="shared" si="1132"/>
        <v>0</v>
      </c>
      <c r="AO168" s="245">
        <f t="array" ref="AO168">SUM(IF((modeldata!$F:$F=calibration!$AF$106)*(modeldata!$G:$G=calibration!AO$108)*(modeldata!$H:$H=calibration!$AF168),modeldata!$E:$E,0))</f>
        <v>0</v>
      </c>
      <c r="AP168" s="245">
        <f t="array" ref="AP168">SUM(IF((modeldata!$F:$F=calibration!$AF$106)*(modeldata!$G:$G=calibration!AP$108)*(modeldata!$H:$H=calibration!$AF168),modeldata!$E:$E,0))</f>
        <v>0</v>
      </c>
      <c r="AQ168" s="245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349</v>
      </c>
      <c r="AV168" s="38">
        <f t="shared" ref="AV168:BG168" si="1137">IF(R188&gt;0,R168/R188,0)</f>
        <v>0</v>
      </c>
      <c r="AW168" s="245">
        <f t="shared" si="1137"/>
        <v>0</v>
      </c>
      <c r="AX168" s="245">
        <f t="shared" si="1137"/>
        <v>0</v>
      </c>
      <c r="AY168" s="245">
        <f t="shared" si="1137"/>
        <v>0</v>
      </c>
      <c r="AZ168" s="245">
        <f t="shared" si="1137"/>
        <v>0</v>
      </c>
      <c r="BA168" s="40">
        <f t="shared" si="1137"/>
        <v>0</v>
      </c>
      <c r="BB168" s="245">
        <f t="shared" si="1137"/>
        <v>0</v>
      </c>
      <c r="BC168" s="246">
        <f t="shared" si="1137"/>
        <v>0</v>
      </c>
      <c r="BD168" s="245" t="e">
        <f t="shared" si="1137"/>
        <v>#DIV/0!</v>
      </c>
      <c r="BE168" s="245" t="e">
        <f t="shared" si="1137"/>
        <v>#DIV/0!</v>
      </c>
      <c r="BF168" s="245" t="e">
        <f t="shared" si="1137"/>
        <v>#DIV/0!</v>
      </c>
      <c r="BG168" s="178" t="e">
        <f t="shared" si="1137"/>
        <v>#DIV/0!</v>
      </c>
      <c r="BH168" s="24" t="e">
        <f>AD168/AD182</f>
        <v>#DIV/0!</v>
      </c>
      <c r="BJ168" s="2" t="s">
        <v>349</v>
      </c>
      <c r="BK168" s="25">
        <f t="shared" ref="BK168:BV168" si="1138">IF(AG190&gt;0,AG168/AG190,0)</f>
        <v>0</v>
      </c>
      <c r="BL168" s="24">
        <f t="shared" si="1138"/>
        <v>0</v>
      </c>
      <c r="BM168" s="24">
        <f t="shared" si="1138"/>
        <v>0</v>
      </c>
      <c r="BN168" s="24">
        <f t="shared" si="1138"/>
        <v>0</v>
      </c>
      <c r="BO168" s="24">
        <f t="shared" si="1138"/>
        <v>0</v>
      </c>
      <c r="BP168" s="28">
        <f t="shared" si="1138"/>
        <v>0</v>
      </c>
      <c r="BQ168" s="24">
        <f t="shared" si="1138"/>
        <v>0</v>
      </c>
      <c r="BR168" s="77">
        <f t="shared" si="1138"/>
        <v>0</v>
      </c>
      <c r="BS168" s="24">
        <f t="shared" si="1138"/>
        <v>0</v>
      </c>
      <c r="BT168" s="24">
        <f t="shared" si="1138"/>
        <v>0</v>
      </c>
      <c r="BU168" s="24">
        <f t="shared" si="1138"/>
        <v>0</v>
      </c>
      <c r="BV168" s="180">
        <f t="shared" si="1138"/>
        <v>0</v>
      </c>
      <c r="BW168" s="24" t="e">
        <f>AS168/AS182</f>
        <v>#DIV/0!</v>
      </c>
      <c r="BX168" s="24"/>
      <c r="BY168" s="2" t="s">
        <v>349</v>
      </c>
      <c r="BZ168" s="54">
        <f t="shared" ref="BZ168:CL168" si="1139">AG168-R168</f>
        <v>0</v>
      </c>
      <c r="CA168" s="55">
        <f t="shared" si="1139"/>
        <v>0</v>
      </c>
      <c r="CB168" s="55">
        <f t="shared" si="1139"/>
        <v>0</v>
      </c>
      <c r="CC168" s="55">
        <f t="shared" si="1139"/>
        <v>0</v>
      </c>
      <c r="CD168" s="55">
        <f t="shared" si="1139"/>
        <v>0</v>
      </c>
      <c r="CE168" s="60">
        <f t="shared" si="1139"/>
        <v>0</v>
      </c>
      <c r="CF168" s="55">
        <f t="shared" si="1139"/>
        <v>0</v>
      </c>
      <c r="CG168" s="249">
        <f t="shared" si="1139"/>
        <v>0</v>
      </c>
      <c r="CH168" s="55">
        <f t="shared" si="1139"/>
        <v>0</v>
      </c>
      <c r="CI168" s="55">
        <f t="shared" si="1139"/>
        <v>0</v>
      </c>
      <c r="CJ168" s="55" t="e">
        <f t="shared" si="1139"/>
        <v>#DIV/0!</v>
      </c>
      <c r="CK168" s="252" t="e">
        <f t="shared" si="1139"/>
        <v>#DIV/0!</v>
      </c>
      <c r="CL168" s="55" t="e">
        <f t="shared" si="1139"/>
        <v>#DIV/0!</v>
      </c>
      <c r="CN168" s="2" t="s">
        <v>349</v>
      </c>
      <c r="CO168" s="54">
        <f t="shared" ref="CO168:DA168" si="1140">BK168-AV168</f>
        <v>0</v>
      </c>
      <c r="CP168" s="55">
        <f t="shared" si="1140"/>
        <v>0</v>
      </c>
      <c r="CQ168" s="55">
        <f t="shared" si="1140"/>
        <v>0</v>
      </c>
      <c r="CR168" s="55">
        <f t="shared" si="1140"/>
        <v>0</v>
      </c>
      <c r="CS168" s="55">
        <f t="shared" si="1140"/>
        <v>0</v>
      </c>
      <c r="CT168" s="60">
        <f t="shared" si="1140"/>
        <v>0</v>
      </c>
      <c r="CU168" s="55">
        <f t="shared" si="1140"/>
        <v>0</v>
      </c>
      <c r="CV168" s="249">
        <f t="shared" si="1140"/>
        <v>0</v>
      </c>
      <c r="CW168" s="55" t="e">
        <f t="shared" si="1140"/>
        <v>#DIV/0!</v>
      </c>
      <c r="CX168" s="55" t="e">
        <f t="shared" si="1140"/>
        <v>#DIV/0!</v>
      </c>
      <c r="CY168" s="55" t="e">
        <f t="shared" si="1140"/>
        <v>#DIV/0!</v>
      </c>
      <c r="CZ168" s="252" t="e">
        <f t="shared" si="1140"/>
        <v>#DIV/0!</v>
      </c>
      <c r="DA168" s="62" t="e">
        <f t="shared" si="1140"/>
        <v>#DIV/0!</v>
      </c>
      <c r="DC168" s="2" t="s">
        <v>349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 t="e">
        <f>BD168</f>
        <v>#DIV/0!</v>
      </c>
      <c r="DU168" s="199">
        <f>BS168</f>
        <v>0</v>
      </c>
      <c r="DV168" s="198" t="e">
        <f>BE168</f>
        <v>#DIV/0!</v>
      </c>
      <c r="DW168" s="199">
        <f>BT168</f>
        <v>0</v>
      </c>
      <c r="DX168" s="198" t="e">
        <f>BF168</f>
        <v>#DIV/0!</v>
      </c>
      <c r="DY168" s="199">
        <f>BU168</f>
        <v>0</v>
      </c>
      <c r="DZ168" s="190" t="e">
        <f>BG168</f>
        <v>#DIV/0!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targets!AW158</f>
        <v>0</v>
      </c>
      <c r="C169" s="245">
        <f>targets!AX158</f>
        <v>0</v>
      </c>
      <c r="D169" s="245">
        <f>targets!AY158</f>
        <v>0</v>
      </c>
      <c r="E169" s="245">
        <f>targets!AZ158</f>
        <v>0</v>
      </c>
      <c r="F169" s="245">
        <f>targets!BA158</f>
        <v>0</v>
      </c>
      <c r="G169" s="40">
        <f>SUM(targets!BB158:BG158)</f>
        <v>74.657418374461116</v>
      </c>
      <c r="H169" s="245">
        <f>SUM(targets!BH158:BM158)</f>
        <v>0</v>
      </c>
      <c r="I169" s="246">
        <f t="shared" si="1093"/>
        <v>74.657418374461116</v>
      </c>
      <c r="J169" s="245">
        <f>targets!BN158</f>
        <v>0</v>
      </c>
      <c r="K169" s="245">
        <f>targets!BO158</f>
        <v>0</v>
      </c>
      <c r="L169" s="245">
        <f>targets!BP158</f>
        <v>0</v>
      </c>
      <c r="M169" s="178">
        <f t="shared" si="1094"/>
        <v>0</v>
      </c>
      <c r="N169" s="17">
        <f t="shared" si="1056"/>
        <v>74.657418374461116</v>
      </c>
      <c r="O169" s="208"/>
      <c r="P169" s="17"/>
      <c r="Q169" s="64" t="s">
        <v>45</v>
      </c>
      <c r="R169" s="38"/>
      <c r="S169" s="245"/>
      <c r="T169" s="245"/>
      <c r="U169" s="245">
        <f t="shared" si="1057"/>
        <v>0</v>
      </c>
      <c r="V169" s="245">
        <f t="shared" si="1058"/>
        <v>0</v>
      </c>
      <c r="W169" s="40">
        <f t="shared" si="1059"/>
        <v>0</v>
      </c>
      <c r="X169" s="245">
        <f t="shared" si="1060"/>
        <v>0</v>
      </c>
      <c r="Y169" s="246">
        <f t="shared" si="1061"/>
        <v>0</v>
      </c>
      <c r="Z169" s="245">
        <f t="shared" si="1062"/>
        <v>0</v>
      </c>
      <c r="AA169" s="245">
        <f t="shared" si="1063"/>
        <v>0</v>
      </c>
      <c r="AB169" s="245" t="e">
        <f t="shared" si="1064"/>
        <v>#DIV/0!</v>
      </c>
      <c r="AC169" s="178" t="e">
        <f t="shared" si="1065"/>
        <v>#DIV/0!</v>
      </c>
      <c r="AD169" s="17" t="e">
        <f t="shared" si="1066"/>
        <v>#DIV/0!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5">
        <f t="array" ref="AH169">SUM(IF((modeldata!$F:$F=calibration!$AF$158)*(modeldata!$G:$G=calibration!AH$160)*(modeldata!$H:$H=calibration!$AF169),modeldata!$E:$E,0))</f>
        <v>0</v>
      </c>
      <c r="AI169" s="245">
        <f t="array" ref="AI169">SUM(IF((modeldata!$F:$F=calibration!$AF$158)*(modeldata!$G:$G=calibration!AI$160)*(modeldata!$H:$H=calibration!$AF169),modeldata!$E:$E,0))</f>
        <v>0</v>
      </c>
      <c r="AJ169" s="245">
        <f t="array" ref="AJ169">SUM(IF((modeldata!$F:$F=calibration!$AF$158)*(modeldata!$G:$G=calibration!AJ$160)*(modeldata!$H:$H=calibration!$AF169),modeldata!$E:$E,0))</f>
        <v>0</v>
      </c>
      <c r="AK169" s="245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5">
        <f t="array" ref="AM169">SUM(IF((modeldata!$F:$F=calibration!$AF$158)*(modeldata!$G:$G=calibration!AM$160)*(modeldata!$H:$H=calibration!$AF169),modeldata!$E:$E,0))</f>
        <v>0</v>
      </c>
      <c r="AN169" s="246">
        <f t="shared" si="1132"/>
        <v>0</v>
      </c>
      <c r="AO169" s="245">
        <f t="array" ref="AO169">SUM(IF((modeldata!$F:$F=calibration!$AF$158)*(modeldata!$G:$G=calibration!AO$160)*(modeldata!$H:$H=calibration!$AF169),modeldata!$E:$E,0))</f>
        <v>0</v>
      </c>
      <c r="AP169" s="245">
        <f t="array" ref="AP169">SUM(IF((modeldata!$F:$F=calibration!$AF$158)*(modeldata!$G:$G=calibration!AP$160)*(modeldata!$H:$H=calibration!$AF169),modeldata!$E:$E,0))</f>
        <v>0</v>
      </c>
      <c r="AQ169" s="245">
        <f t="array" ref="AQ169">SUM(IF((modeldata!$F:$F=calibration!$AF$158)*(modeldata!$G:$G=calibration!AQ$160)*(modeldata!$H:$H=calibration!$AF169),modeldata!$E:$E,0))</f>
        <v>0</v>
      </c>
      <c r="AR169" s="178">
        <f t="shared" si="1125"/>
        <v>0</v>
      </c>
      <c r="AS169" s="17">
        <f t="shared" si="1067"/>
        <v>0</v>
      </c>
      <c r="AU169" s="64" t="s">
        <v>45</v>
      </c>
      <c r="AV169" s="38">
        <f t="shared" ref="AV169:BG169" si="1141">IF(R181&gt;0,R169/R181,0)</f>
        <v>0</v>
      </c>
      <c r="AW169" s="245">
        <f t="shared" si="1141"/>
        <v>0</v>
      </c>
      <c r="AX169" s="245">
        <f t="shared" si="1141"/>
        <v>0</v>
      </c>
      <c r="AY169" s="245">
        <f t="shared" si="1141"/>
        <v>0</v>
      </c>
      <c r="AZ169" s="245">
        <f t="shared" si="1141"/>
        <v>0</v>
      </c>
      <c r="BA169" s="40">
        <f t="shared" si="1141"/>
        <v>0</v>
      </c>
      <c r="BB169" s="245">
        <f t="shared" si="1141"/>
        <v>0</v>
      </c>
      <c r="BC169" s="246">
        <f t="shared" si="1141"/>
        <v>0</v>
      </c>
      <c r="BD169" s="245">
        <f t="shared" si="1141"/>
        <v>0</v>
      </c>
      <c r="BE169" s="245">
        <f t="shared" si="1141"/>
        <v>0</v>
      </c>
      <c r="BF169" s="245" t="e">
        <f t="shared" si="1141"/>
        <v>#DIV/0!</v>
      </c>
      <c r="BG169" s="178" t="e">
        <f t="shared" si="1141"/>
        <v>#DIV/0!</v>
      </c>
      <c r="BH169" s="24" t="e">
        <f>AD169/AD181</f>
        <v>#DIV/0!</v>
      </c>
      <c r="BJ169" s="64" t="s">
        <v>45</v>
      </c>
      <c r="BK169" s="25">
        <f t="shared" ref="BK169:BV169" si="1142">IF(AG181&gt;0,AG169/AG181,0)</f>
        <v>0</v>
      </c>
      <c r="BL169" s="24">
        <f t="shared" si="1142"/>
        <v>0</v>
      </c>
      <c r="BM169" s="24">
        <f t="shared" si="1142"/>
        <v>0</v>
      </c>
      <c r="BN169" s="24">
        <f t="shared" si="1142"/>
        <v>0</v>
      </c>
      <c r="BO169" s="24">
        <f t="shared" si="1142"/>
        <v>0</v>
      </c>
      <c r="BP169" s="28">
        <f t="shared" si="1142"/>
        <v>0</v>
      </c>
      <c r="BQ169" s="24">
        <f t="shared" si="1142"/>
        <v>0</v>
      </c>
      <c r="BR169" s="77">
        <f t="shared" si="1142"/>
        <v>0</v>
      </c>
      <c r="BS169" s="24">
        <f t="shared" si="1142"/>
        <v>0</v>
      </c>
      <c r="BT169" s="24">
        <f t="shared" si="1142"/>
        <v>0</v>
      </c>
      <c r="BU169" s="24">
        <f t="shared" si="1142"/>
        <v>0</v>
      </c>
      <c r="BV169" s="180">
        <f t="shared" si="1142"/>
        <v>0</v>
      </c>
      <c r="BW169" s="24" t="e">
        <f>AS169/AS181</f>
        <v>#DIV/0!</v>
      </c>
      <c r="BX169" s="24"/>
      <c r="BY169" s="64" t="s">
        <v>45</v>
      </c>
      <c r="BZ169" s="54">
        <f t="shared" si="1098"/>
        <v>0</v>
      </c>
      <c r="CA169" s="55">
        <f t="shared" si="1070"/>
        <v>0</v>
      </c>
      <c r="CB169" s="55">
        <f t="shared" si="1071"/>
        <v>0</v>
      </c>
      <c r="CC169" s="55">
        <f t="shared" si="1072"/>
        <v>0</v>
      </c>
      <c r="CD169" s="55">
        <f t="shared" si="1073"/>
        <v>0</v>
      </c>
      <c r="CE169" s="60">
        <f t="shared" si="1074"/>
        <v>0</v>
      </c>
      <c r="CF169" s="55">
        <f t="shared" si="1075"/>
        <v>0</v>
      </c>
      <c r="CG169" s="249">
        <f t="shared" si="1076"/>
        <v>0</v>
      </c>
      <c r="CH169" s="55">
        <f t="shared" si="1077"/>
        <v>0</v>
      </c>
      <c r="CI169" s="55">
        <f t="shared" si="1078"/>
        <v>0</v>
      </c>
      <c r="CJ169" s="55" t="e">
        <f t="shared" si="1079"/>
        <v>#DIV/0!</v>
      </c>
      <c r="CK169" s="252" t="e">
        <f t="shared" si="1079"/>
        <v>#DIV/0!</v>
      </c>
      <c r="CL169" s="55" t="e">
        <f t="shared" si="1080"/>
        <v>#DIV/0!</v>
      </c>
      <c r="CN169" s="64" t="s">
        <v>45</v>
      </c>
      <c r="CO169" s="54">
        <f t="shared" si="1099"/>
        <v>0</v>
      </c>
      <c r="CP169" s="55">
        <f t="shared" si="1081"/>
        <v>0</v>
      </c>
      <c r="CQ169" s="55">
        <f t="shared" si="1082"/>
        <v>0</v>
      </c>
      <c r="CR169" s="55">
        <f t="shared" si="1083"/>
        <v>0</v>
      </c>
      <c r="CS169" s="55">
        <f t="shared" si="1084"/>
        <v>0</v>
      </c>
      <c r="CT169" s="60">
        <f t="shared" si="1085"/>
        <v>0</v>
      </c>
      <c r="CU169" s="55">
        <f t="shared" si="1086"/>
        <v>0</v>
      </c>
      <c r="CV169" s="249">
        <f t="shared" si="1087"/>
        <v>0</v>
      </c>
      <c r="CW169" s="55">
        <f t="shared" si="1088"/>
        <v>0</v>
      </c>
      <c r="CX169" s="55">
        <f t="shared" si="1089"/>
        <v>0</v>
      </c>
      <c r="CY169" s="55" t="e">
        <f t="shared" si="1090"/>
        <v>#DIV/0!</v>
      </c>
      <c r="CZ169" s="252" t="e">
        <f t="shared" si="1090"/>
        <v>#DIV/0!</v>
      </c>
      <c r="DA169" s="62" t="e">
        <f t="shared" si="1091"/>
        <v>#DIV/0!</v>
      </c>
      <c r="DC169" s="64" t="s">
        <v>45</v>
      </c>
      <c r="DD169" s="198">
        <f t="shared" si="1100"/>
        <v>0</v>
      </c>
      <c r="DE169" s="199">
        <f t="shared" si="1101"/>
        <v>0</v>
      </c>
      <c r="DF169" s="198">
        <f t="shared" si="1102"/>
        <v>0</v>
      </c>
      <c r="DG169" s="199">
        <f t="shared" si="1103"/>
        <v>0</v>
      </c>
      <c r="DH169" s="198">
        <f t="shared" si="1104"/>
        <v>0</v>
      </c>
      <c r="DI169" s="199">
        <f t="shared" si="1105"/>
        <v>0</v>
      </c>
      <c r="DJ169" s="198">
        <f t="shared" si="1106"/>
        <v>0</v>
      </c>
      <c r="DK169" s="199">
        <f t="shared" si="1107"/>
        <v>0</v>
      </c>
      <c r="DL169" s="198">
        <f t="shared" si="1108"/>
        <v>0</v>
      </c>
      <c r="DM169" s="199">
        <f t="shared" si="1109"/>
        <v>0</v>
      </c>
      <c r="DN169" s="198">
        <f t="shared" si="1110"/>
        <v>0</v>
      </c>
      <c r="DO169" s="199">
        <f t="shared" si="1111"/>
        <v>0</v>
      </c>
      <c r="DP169" s="198">
        <f t="shared" si="1112"/>
        <v>0</v>
      </c>
      <c r="DQ169" s="199">
        <f t="shared" si="1113"/>
        <v>0</v>
      </c>
      <c r="DR169" s="198">
        <f t="shared" si="1114"/>
        <v>0</v>
      </c>
      <c r="DS169" s="199">
        <f t="shared" si="1115"/>
        <v>0</v>
      </c>
      <c r="DT169" s="198">
        <f t="shared" si="1116"/>
        <v>0</v>
      </c>
      <c r="DU169" s="199">
        <f t="shared" si="1117"/>
        <v>0</v>
      </c>
      <c r="DV169" s="198">
        <f t="shared" si="1118"/>
        <v>0</v>
      </c>
      <c r="DW169" s="199">
        <f t="shared" si="1119"/>
        <v>0</v>
      </c>
      <c r="DX169" s="198" t="e">
        <f t="shared" si="1120"/>
        <v>#DIV/0!</v>
      </c>
      <c r="DY169" s="199">
        <f t="shared" si="1121"/>
        <v>0</v>
      </c>
      <c r="DZ169" s="190" t="e">
        <f t="shared" si="1122"/>
        <v>#DIV/0!</v>
      </c>
      <c r="EA169" s="199">
        <f t="shared" si="1092"/>
        <v>0</v>
      </c>
      <c r="EB169" s="190" t="e">
        <f t="shared" si="1123"/>
        <v>#DIV/0!</v>
      </c>
      <c r="EC169" s="190" t="e">
        <f t="shared" si="1124"/>
        <v>#DIV/0!</v>
      </c>
    </row>
    <row r="170" spans="1:133" x14ac:dyDescent="0.2">
      <c r="A170" s="64" t="s">
        <v>46</v>
      </c>
      <c r="B170" s="38">
        <f>targets!AW159</f>
        <v>0</v>
      </c>
      <c r="C170" s="245">
        <f>targets!AX159</f>
        <v>0</v>
      </c>
      <c r="D170" s="245">
        <f>targets!AY159</f>
        <v>0</v>
      </c>
      <c r="E170" s="245">
        <f>targets!AZ159</f>
        <v>0</v>
      </c>
      <c r="F170" s="245">
        <f>targets!BA159</f>
        <v>0</v>
      </c>
      <c r="G170" s="40">
        <f>SUM(targets!BB159:BG159)</f>
        <v>1068.0732700980448</v>
      </c>
      <c r="H170" s="245">
        <f>SUM(targets!BH159:BM159)</f>
        <v>0</v>
      </c>
      <c r="I170" s="246">
        <f t="shared" si="1093"/>
        <v>1068.0732700980448</v>
      </c>
      <c r="J170" s="245">
        <f>targets!BN159</f>
        <v>0</v>
      </c>
      <c r="K170" s="245">
        <f>targets!BO159</f>
        <v>0</v>
      </c>
      <c r="L170" s="245">
        <f>targets!BP159</f>
        <v>0</v>
      </c>
      <c r="M170" s="178">
        <f t="shared" si="1094"/>
        <v>0</v>
      </c>
      <c r="N170" s="17">
        <f t="shared" si="1056"/>
        <v>1068.0732700980448</v>
      </c>
      <c r="O170" s="208"/>
      <c r="P170" s="17"/>
      <c r="Q170" s="64" t="s">
        <v>46</v>
      </c>
      <c r="R170" s="38"/>
      <c r="S170" s="245"/>
      <c r="T170" s="245"/>
      <c r="U170" s="245">
        <f t="shared" si="1057"/>
        <v>0</v>
      </c>
      <c r="V170" s="245">
        <f t="shared" si="1058"/>
        <v>0</v>
      </c>
      <c r="W170" s="40">
        <f t="shared" si="1059"/>
        <v>0</v>
      </c>
      <c r="X170" s="245">
        <f t="shared" si="1060"/>
        <v>0</v>
      </c>
      <c r="Y170" s="246">
        <f t="shared" si="1061"/>
        <v>0</v>
      </c>
      <c r="Z170" s="245">
        <f t="shared" si="1062"/>
        <v>0</v>
      </c>
      <c r="AA170" s="245">
        <f t="shared" si="1063"/>
        <v>0</v>
      </c>
      <c r="AB170" s="245" t="e">
        <f t="shared" si="1064"/>
        <v>#DIV/0!</v>
      </c>
      <c r="AC170" s="178" t="e">
        <f t="shared" si="1065"/>
        <v>#DIV/0!</v>
      </c>
      <c r="AD170" s="17" t="e">
        <f t="shared" si="1066"/>
        <v>#DIV/0!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5">
        <f t="array" ref="AH170">SUM(IF((modeldata!$F:$F=calibration!$AF$158)*(modeldata!$G:$G=calibration!AH$160)*(modeldata!$H:$H=calibration!$AF170),modeldata!$E:$E,0))</f>
        <v>0</v>
      </c>
      <c r="AI170" s="245">
        <f t="array" ref="AI170">SUM(IF((modeldata!$F:$F=calibration!$AF$158)*(modeldata!$G:$G=calibration!AI$160)*(modeldata!$H:$H=calibration!$AF170),modeldata!$E:$E,0))</f>
        <v>0</v>
      </c>
      <c r="AJ170" s="245">
        <f t="array" ref="AJ170">SUM(IF((modeldata!$F:$F=calibration!$AF$158)*(modeldata!$G:$G=calibration!AJ$160)*(modeldata!$H:$H=calibration!$AF170),modeldata!$E:$E,0))</f>
        <v>0</v>
      </c>
      <c r="AK170" s="245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5">
        <f t="array" ref="AM170">SUM(IF((modeldata!$F:$F=calibration!$AF$158)*(modeldata!$G:$G=calibration!AM$160)*(modeldata!$H:$H=calibration!$AF170),modeldata!$E:$E,0))</f>
        <v>0</v>
      </c>
      <c r="AN170" s="246">
        <f t="shared" si="1132"/>
        <v>0</v>
      </c>
      <c r="AO170" s="245">
        <f t="array" ref="AO170">SUM(IF((modeldata!$F:$F=calibration!$AF$158)*(modeldata!$G:$G=calibration!AO$160)*(modeldata!$H:$H=calibration!$AF170),modeldata!$E:$E,0))</f>
        <v>0</v>
      </c>
      <c r="AP170" s="245">
        <f t="array" ref="AP170">SUM(IF((modeldata!$F:$F=calibration!$AF$158)*(modeldata!$G:$G=calibration!AP$160)*(modeldata!$H:$H=calibration!$AF170),modeldata!$E:$E,0))</f>
        <v>0</v>
      </c>
      <c r="AQ170" s="245">
        <f t="array" ref="AQ170">SUM(IF((modeldata!$F:$F=calibration!$AF$158)*(modeldata!$G:$G=calibration!AQ$160)*(modeldata!$H:$H=calibration!$AF170),modeldata!$E:$E,0))</f>
        <v>0</v>
      </c>
      <c r="AR170" s="178">
        <f t="shared" si="1125"/>
        <v>0</v>
      </c>
      <c r="AS170" s="17">
        <f t="shared" si="1067"/>
        <v>0</v>
      </c>
      <c r="AU170" s="64" t="s">
        <v>46</v>
      </c>
      <c r="AV170" s="38">
        <f t="shared" ref="AV170:BG170" si="1143">IF(R181&gt;0,R170/R181,0)</f>
        <v>0</v>
      </c>
      <c r="AW170" s="245">
        <f t="shared" si="1143"/>
        <v>0</v>
      </c>
      <c r="AX170" s="245">
        <f t="shared" si="1143"/>
        <v>0</v>
      </c>
      <c r="AY170" s="245">
        <f t="shared" si="1143"/>
        <v>0</v>
      </c>
      <c r="AZ170" s="245">
        <f t="shared" si="1143"/>
        <v>0</v>
      </c>
      <c r="BA170" s="40">
        <f t="shared" si="1143"/>
        <v>0</v>
      </c>
      <c r="BB170" s="245">
        <f t="shared" si="1143"/>
        <v>0</v>
      </c>
      <c r="BC170" s="246">
        <f t="shared" si="1143"/>
        <v>0</v>
      </c>
      <c r="BD170" s="245">
        <f t="shared" si="1143"/>
        <v>0</v>
      </c>
      <c r="BE170" s="245">
        <f t="shared" si="1143"/>
        <v>0</v>
      </c>
      <c r="BF170" s="245" t="e">
        <f t="shared" si="1143"/>
        <v>#DIV/0!</v>
      </c>
      <c r="BG170" s="178" t="e">
        <f t="shared" si="1143"/>
        <v>#DIV/0!</v>
      </c>
      <c r="BH170" s="24" t="e">
        <f>AD170/AD181</f>
        <v>#DIV/0!</v>
      </c>
      <c r="BJ170" s="64" t="s">
        <v>46</v>
      </c>
      <c r="BK170" s="25">
        <f t="shared" ref="BK170:BV170" si="1144">IF(AG181&gt;0,AG170/AG181,0)</f>
        <v>0</v>
      </c>
      <c r="BL170" s="24">
        <f t="shared" si="1144"/>
        <v>0</v>
      </c>
      <c r="BM170" s="24">
        <f t="shared" si="1144"/>
        <v>0</v>
      </c>
      <c r="BN170" s="24">
        <f t="shared" si="1144"/>
        <v>0</v>
      </c>
      <c r="BO170" s="24">
        <f t="shared" si="1144"/>
        <v>0</v>
      </c>
      <c r="BP170" s="28">
        <f t="shared" si="1144"/>
        <v>0</v>
      </c>
      <c r="BQ170" s="24">
        <f t="shared" si="1144"/>
        <v>0</v>
      </c>
      <c r="BR170" s="77">
        <f t="shared" si="1144"/>
        <v>0</v>
      </c>
      <c r="BS170" s="24">
        <f t="shared" si="1144"/>
        <v>0</v>
      </c>
      <c r="BT170" s="24">
        <f t="shared" si="1144"/>
        <v>0</v>
      </c>
      <c r="BU170" s="24">
        <f t="shared" si="1144"/>
        <v>0</v>
      </c>
      <c r="BV170" s="180">
        <f t="shared" si="1144"/>
        <v>0</v>
      </c>
      <c r="BW170" s="24" t="e">
        <f>AS170/AS181</f>
        <v>#DIV/0!</v>
      </c>
      <c r="BX170" s="24"/>
      <c r="BY170" s="64" t="s">
        <v>46</v>
      </c>
      <c r="BZ170" s="54">
        <f t="shared" si="1098"/>
        <v>0</v>
      </c>
      <c r="CA170" s="55">
        <f t="shared" si="1070"/>
        <v>0</v>
      </c>
      <c r="CB170" s="55">
        <f t="shared" si="1071"/>
        <v>0</v>
      </c>
      <c r="CC170" s="55">
        <f t="shared" si="1072"/>
        <v>0</v>
      </c>
      <c r="CD170" s="55">
        <f t="shared" si="1073"/>
        <v>0</v>
      </c>
      <c r="CE170" s="60">
        <f t="shared" si="1074"/>
        <v>0</v>
      </c>
      <c r="CF170" s="55">
        <f t="shared" si="1075"/>
        <v>0</v>
      </c>
      <c r="CG170" s="249">
        <f t="shared" si="1076"/>
        <v>0</v>
      </c>
      <c r="CH170" s="55">
        <f t="shared" si="1077"/>
        <v>0</v>
      </c>
      <c r="CI170" s="55">
        <f t="shared" si="1078"/>
        <v>0</v>
      </c>
      <c r="CJ170" s="55" t="e">
        <f t="shared" si="1079"/>
        <v>#DIV/0!</v>
      </c>
      <c r="CK170" s="252" t="e">
        <f t="shared" si="1079"/>
        <v>#DIV/0!</v>
      </c>
      <c r="CL170" s="55" t="e">
        <f t="shared" si="1080"/>
        <v>#DIV/0!</v>
      </c>
      <c r="CN170" s="64" t="s">
        <v>46</v>
      </c>
      <c r="CO170" s="54">
        <f t="shared" si="1099"/>
        <v>0</v>
      </c>
      <c r="CP170" s="55">
        <f t="shared" si="1081"/>
        <v>0</v>
      </c>
      <c r="CQ170" s="55">
        <f t="shared" si="1082"/>
        <v>0</v>
      </c>
      <c r="CR170" s="55">
        <f t="shared" si="1083"/>
        <v>0</v>
      </c>
      <c r="CS170" s="55">
        <f t="shared" si="1084"/>
        <v>0</v>
      </c>
      <c r="CT170" s="60">
        <f t="shared" si="1085"/>
        <v>0</v>
      </c>
      <c r="CU170" s="55">
        <f t="shared" si="1086"/>
        <v>0</v>
      </c>
      <c r="CV170" s="249">
        <f t="shared" si="1087"/>
        <v>0</v>
      </c>
      <c r="CW170" s="55">
        <f t="shared" si="1088"/>
        <v>0</v>
      </c>
      <c r="CX170" s="55">
        <f t="shared" si="1089"/>
        <v>0</v>
      </c>
      <c r="CY170" s="55" t="e">
        <f t="shared" si="1090"/>
        <v>#DIV/0!</v>
      </c>
      <c r="CZ170" s="252" t="e">
        <f t="shared" si="1090"/>
        <v>#DIV/0!</v>
      </c>
      <c r="DA170" s="62" t="e">
        <f t="shared" si="1091"/>
        <v>#DIV/0!</v>
      </c>
      <c r="DC170" s="64" t="s">
        <v>46</v>
      </c>
      <c r="DD170" s="198">
        <f t="shared" si="1100"/>
        <v>0</v>
      </c>
      <c r="DE170" s="199">
        <f t="shared" si="1101"/>
        <v>0</v>
      </c>
      <c r="DF170" s="198">
        <f t="shared" si="1102"/>
        <v>0</v>
      </c>
      <c r="DG170" s="199">
        <f t="shared" si="1103"/>
        <v>0</v>
      </c>
      <c r="DH170" s="198">
        <f t="shared" si="1104"/>
        <v>0</v>
      </c>
      <c r="DI170" s="199">
        <f t="shared" si="1105"/>
        <v>0</v>
      </c>
      <c r="DJ170" s="198">
        <f t="shared" si="1106"/>
        <v>0</v>
      </c>
      <c r="DK170" s="199">
        <f t="shared" si="1107"/>
        <v>0</v>
      </c>
      <c r="DL170" s="198">
        <f t="shared" si="1108"/>
        <v>0</v>
      </c>
      <c r="DM170" s="199">
        <f t="shared" si="1109"/>
        <v>0</v>
      </c>
      <c r="DN170" s="198">
        <f t="shared" si="1110"/>
        <v>0</v>
      </c>
      <c r="DO170" s="199">
        <f t="shared" si="1111"/>
        <v>0</v>
      </c>
      <c r="DP170" s="198">
        <f t="shared" si="1112"/>
        <v>0</v>
      </c>
      <c r="DQ170" s="199">
        <f t="shared" si="1113"/>
        <v>0</v>
      </c>
      <c r="DR170" s="198">
        <f t="shared" si="1114"/>
        <v>0</v>
      </c>
      <c r="DS170" s="199">
        <f t="shared" si="1115"/>
        <v>0</v>
      </c>
      <c r="DT170" s="198">
        <f t="shared" si="1116"/>
        <v>0</v>
      </c>
      <c r="DU170" s="199">
        <f t="shared" si="1117"/>
        <v>0</v>
      </c>
      <c r="DV170" s="198">
        <f t="shared" si="1118"/>
        <v>0</v>
      </c>
      <c r="DW170" s="199">
        <f t="shared" si="1119"/>
        <v>0</v>
      </c>
      <c r="DX170" s="198" t="e">
        <f t="shared" si="1120"/>
        <v>#DIV/0!</v>
      </c>
      <c r="DY170" s="199">
        <f t="shared" si="1121"/>
        <v>0</v>
      </c>
      <c r="DZ170" s="190" t="e">
        <f t="shared" si="1122"/>
        <v>#DIV/0!</v>
      </c>
      <c r="EA170" s="199">
        <f t="shared" si="1092"/>
        <v>0</v>
      </c>
      <c r="EB170" s="190" t="e">
        <f t="shared" si="1123"/>
        <v>#DIV/0!</v>
      </c>
      <c r="EC170" s="190" t="e">
        <f t="shared" si="1124"/>
        <v>#DIV/0!</v>
      </c>
    </row>
    <row r="171" spans="1:133" x14ac:dyDescent="0.2">
      <c r="A171" s="64" t="s">
        <v>47</v>
      </c>
      <c r="B171" s="38">
        <f>targets!AW160</f>
        <v>0</v>
      </c>
      <c r="C171" s="245">
        <f>targets!AX160</f>
        <v>0</v>
      </c>
      <c r="D171" s="245">
        <f>targets!AY160</f>
        <v>0</v>
      </c>
      <c r="E171" s="245">
        <f>targets!AZ160</f>
        <v>0</v>
      </c>
      <c r="F171" s="245">
        <f>targets!BA160</f>
        <v>0</v>
      </c>
      <c r="G171" s="41">
        <f>SUM(targets!BB160:BG160)</f>
        <v>445.89277123886825</v>
      </c>
      <c r="H171" s="245">
        <f>SUM(targets!BH160:BM160)</f>
        <v>0</v>
      </c>
      <c r="I171" s="246">
        <f t="shared" si="1093"/>
        <v>445.89277123886825</v>
      </c>
      <c r="J171" s="245">
        <f>targets!BN160</f>
        <v>0</v>
      </c>
      <c r="K171" s="245">
        <f>targets!BO160</f>
        <v>0</v>
      </c>
      <c r="L171" s="245">
        <f>targets!BP160</f>
        <v>0</v>
      </c>
      <c r="M171" s="178">
        <f t="shared" si="1094"/>
        <v>0</v>
      </c>
      <c r="N171" s="17">
        <f t="shared" si="1056"/>
        <v>445.89277123886825</v>
      </c>
      <c r="O171" s="208"/>
      <c r="P171" s="17"/>
      <c r="Q171" s="64" t="s">
        <v>47</v>
      </c>
      <c r="R171" s="38"/>
      <c r="S171" s="245"/>
      <c r="T171" s="245"/>
      <c r="U171" s="245">
        <f t="shared" si="1057"/>
        <v>0</v>
      </c>
      <c r="V171" s="245">
        <f t="shared" si="1058"/>
        <v>0</v>
      </c>
      <c r="W171" s="41">
        <f t="shared" si="1059"/>
        <v>0</v>
      </c>
      <c r="X171" s="245">
        <f t="shared" si="1060"/>
        <v>0</v>
      </c>
      <c r="Y171" s="246">
        <f t="shared" si="1061"/>
        <v>0</v>
      </c>
      <c r="Z171" s="245">
        <f t="shared" si="1062"/>
        <v>0</v>
      </c>
      <c r="AA171" s="245">
        <f t="shared" si="1063"/>
        <v>0</v>
      </c>
      <c r="AB171" s="245" t="e">
        <f t="shared" si="1064"/>
        <v>#DIV/0!</v>
      </c>
      <c r="AC171" s="178" t="e">
        <f t="shared" si="1065"/>
        <v>#DIV/0!</v>
      </c>
      <c r="AD171" s="17" t="e">
        <f t="shared" si="1066"/>
        <v>#DIV/0!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5">
        <f t="array" ref="AH171">SUM(IF((modeldata!$F:$F=calibration!$AF$158)*(modeldata!$G:$G=calibration!AH$160)*(modeldata!$H:$H=calibration!$AF171),modeldata!$E:$E,0))</f>
        <v>0</v>
      </c>
      <c r="AI171" s="245">
        <f t="array" ref="AI171">SUM(IF((modeldata!$F:$F=calibration!$AF$158)*(modeldata!$G:$G=calibration!AI$160)*(modeldata!$H:$H=calibration!$AF171),modeldata!$E:$E,0))</f>
        <v>0</v>
      </c>
      <c r="AJ171" s="245">
        <f t="array" ref="AJ171">SUM(IF((modeldata!$F:$F=calibration!$AF$158)*(modeldata!$G:$G=calibration!AJ$160)*(modeldata!$H:$H=calibration!$AF171),modeldata!$E:$E,0))</f>
        <v>0</v>
      </c>
      <c r="AK171" s="245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5">
        <f t="array" ref="AM171">SUM(IF((modeldata!$F:$F=calibration!$AF$158)*(modeldata!$G:$G=calibration!AM$160)*(modeldata!$H:$H=calibration!$AF171),modeldata!$E:$E,0))</f>
        <v>0</v>
      </c>
      <c r="AN171" s="246">
        <f t="shared" si="1132"/>
        <v>0</v>
      </c>
      <c r="AO171" s="245">
        <f t="array" ref="AO171">SUM(IF((modeldata!$F:$F=calibration!$AF$158)*(modeldata!$G:$G=calibration!AO$160)*(modeldata!$H:$H=calibration!$AF171),modeldata!$E:$E,0))</f>
        <v>0</v>
      </c>
      <c r="AP171" s="245">
        <f t="array" ref="AP171">SUM(IF((modeldata!$F:$F=calibration!$AF$158)*(modeldata!$G:$G=calibration!AP$160)*(modeldata!$H:$H=calibration!$AF171),modeldata!$E:$E,0))</f>
        <v>0</v>
      </c>
      <c r="AQ171" s="245">
        <f t="array" ref="AQ171">SUM(IF((modeldata!$F:$F=calibration!$AF$158)*(modeldata!$G:$G=calibration!AQ$160)*(modeldata!$H:$H=calibration!$AF171),modeldata!$E:$E,0))</f>
        <v>0</v>
      </c>
      <c r="AR171" s="178">
        <f t="shared" si="1125"/>
        <v>0</v>
      </c>
      <c r="AS171" s="17">
        <f t="shared" si="1067"/>
        <v>0</v>
      </c>
      <c r="AU171" s="64" t="s">
        <v>47</v>
      </c>
      <c r="AV171" s="38">
        <f t="shared" ref="AV171:BG171" si="1145">IF(R181&gt;0,R171/R181,0)</f>
        <v>0</v>
      </c>
      <c r="AW171" s="245">
        <f t="shared" si="1145"/>
        <v>0</v>
      </c>
      <c r="AX171" s="245">
        <f t="shared" si="1145"/>
        <v>0</v>
      </c>
      <c r="AY171" s="245">
        <f t="shared" si="1145"/>
        <v>0</v>
      </c>
      <c r="AZ171" s="245">
        <f t="shared" si="1145"/>
        <v>0</v>
      </c>
      <c r="BA171" s="41">
        <f t="shared" si="1145"/>
        <v>0</v>
      </c>
      <c r="BB171" s="245">
        <f t="shared" si="1145"/>
        <v>0</v>
      </c>
      <c r="BC171" s="246">
        <f t="shared" si="1145"/>
        <v>0</v>
      </c>
      <c r="BD171" s="245">
        <f t="shared" si="1145"/>
        <v>0</v>
      </c>
      <c r="BE171" s="245">
        <f t="shared" si="1145"/>
        <v>0</v>
      </c>
      <c r="BF171" s="245" t="e">
        <f t="shared" si="1145"/>
        <v>#DIV/0!</v>
      </c>
      <c r="BG171" s="178" t="e">
        <f t="shared" si="1145"/>
        <v>#DIV/0!</v>
      </c>
      <c r="BH171" s="24" t="e">
        <f>AD171/AD181</f>
        <v>#DIV/0!</v>
      </c>
      <c r="BJ171" s="64" t="s">
        <v>47</v>
      </c>
      <c r="BK171" s="25">
        <f t="shared" ref="BK171:BV171" si="1146">IF(AG181&gt;0,AG171/AG181,0)</f>
        <v>0</v>
      </c>
      <c r="BL171" s="24">
        <f t="shared" si="1146"/>
        <v>0</v>
      </c>
      <c r="BM171" s="24">
        <f t="shared" si="1146"/>
        <v>0</v>
      </c>
      <c r="BN171" s="24">
        <f t="shared" si="1146"/>
        <v>0</v>
      </c>
      <c r="BO171" s="24">
        <f t="shared" si="1146"/>
        <v>0</v>
      </c>
      <c r="BP171" s="29">
        <f t="shared" si="1146"/>
        <v>0</v>
      </c>
      <c r="BQ171" s="24">
        <f t="shared" si="1146"/>
        <v>0</v>
      </c>
      <c r="BR171" s="77">
        <f t="shared" si="1146"/>
        <v>0</v>
      </c>
      <c r="BS171" s="24">
        <f t="shared" si="1146"/>
        <v>0</v>
      </c>
      <c r="BT171" s="24">
        <f t="shared" si="1146"/>
        <v>0</v>
      </c>
      <c r="BU171" s="24">
        <f t="shared" si="1146"/>
        <v>0</v>
      </c>
      <c r="BV171" s="180">
        <f t="shared" si="1146"/>
        <v>0</v>
      </c>
      <c r="BW171" s="24" t="e">
        <f>AS171/AS181</f>
        <v>#DIV/0!</v>
      </c>
      <c r="BX171" s="24"/>
      <c r="BY171" s="64" t="s">
        <v>47</v>
      </c>
      <c r="BZ171" s="54">
        <f t="shared" si="1098"/>
        <v>0</v>
      </c>
      <c r="CA171" s="55">
        <f t="shared" si="1070"/>
        <v>0</v>
      </c>
      <c r="CB171" s="55">
        <f t="shared" si="1071"/>
        <v>0</v>
      </c>
      <c r="CC171" s="55">
        <f t="shared" si="1072"/>
        <v>0</v>
      </c>
      <c r="CD171" s="55">
        <f t="shared" si="1073"/>
        <v>0</v>
      </c>
      <c r="CE171" s="61">
        <f t="shared" si="1074"/>
        <v>0</v>
      </c>
      <c r="CF171" s="55">
        <f t="shared" si="1075"/>
        <v>0</v>
      </c>
      <c r="CG171" s="249">
        <f t="shared" si="1076"/>
        <v>0</v>
      </c>
      <c r="CH171" s="55">
        <f t="shared" si="1077"/>
        <v>0</v>
      </c>
      <c r="CI171" s="55">
        <f t="shared" si="1078"/>
        <v>0</v>
      </c>
      <c r="CJ171" s="55" t="e">
        <f t="shared" si="1079"/>
        <v>#DIV/0!</v>
      </c>
      <c r="CK171" s="252" t="e">
        <f t="shared" si="1079"/>
        <v>#DIV/0!</v>
      </c>
      <c r="CL171" s="55" t="e">
        <f t="shared" si="1080"/>
        <v>#DIV/0!</v>
      </c>
      <c r="CN171" s="64" t="s">
        <v>47</v>
      </c>
      <c r="CO171" s="54">
        <f t="shared" si="1099"/>
        <v>0</v>
      </c>
      <c r="CP171" s="55">
        <f t="shared" si="1081"/>
        <v>0</v>
      </c>
      <c r="CQ171" s="55">
        <f t="shared" si="1082"/>
        <v>0</v>
      </c>
      <c r="CR171" s="55">
        <f t="shared" si="1083"/>
        <v>0</v>
      </c>
      <c r="CS171" s="55">
        <f t="shared" si="1084"/>
        <v>0</v>
      </c>
      <c r="CT171" s="61">
        <f t="shared" si="1085"/>
        <v>0</v>
      </c>
      <c r="CU171" s="55">
        <f t="shared" si="1086"/>
        <v>0</v>
      </c>
      <c r="CV171" s="249">
        <f t="shared" si="1087"/>
        <v>0</v>
      </c>
      <c r="CW171" s="55">
        <f t="shared" si="1088"/>
        <v>0</v>
      </c>
      <c r="CX171" s="55">
        <f t="shared" si="1089"/>
        <v>0</v>
      </c>
      <c r="CY171" s="55" t="e">
        <f t="shared" si="1090"/>
        <v>#DIV/0!</v>
      </c>
      <c r="CZ171" s="252" t="e">
        <f t="shared" si="1090"/>
        <v>#DIV/0!</v>
      </c>
      <c r="DA171" s="62" t="e">
        <f t="shared" si="1091"/>
        <v>#DIV/0!</v>
      </c>
      <c r="DC171" s="64" t="s">
        <v>47</v>
      </c>
      <c r="DD171" s="198">
        <f t="shared" si="1100"/>
        <v>0</v>
      </c>
      <c r="DE171" s="199">
        <f t="shared" si="1101"/>
        <v>0</v>
      </c>
      <c r="DF171" s="198">
        <f t="shared" si="1102"/>
        <v>0</v>
      </c>
      <c r="DG171" s="199">
        <f t="shared" si="1103"/>
        <v>0</v>
      </c>
      <c r="DH171" s="198">
        <f t="shared" si="1104"/>
        <v>0</v>
      </c>
      <c r="DI171" s="199">
        <f t="shared" si="1105"/>
        <v>0</v>
      </c>
      <c r="DJ171" s="198">
        <f t="shared" si="1106"/>
        <v>0</v>
      </c>
      <c r="DK171" s="199">
        <f t="shared" si="1107"/>
        <v>0</v>
      </c>
      <c r="DL171" s="198">
        <f t="shared" si="1108"/>
        <v>0</v>
      </c>
      <c r="DM171" s="199">
        <f t="shared" si="1109"/>
        <v>0</v>
      </c>
      <c r="DN171" s="200">
        <f t="shared" si="1110"/>
        <v>0</v>
      </c>
      <c r="DO171" s="201">
        <f t="shared" si="1111"/>
        <v>0</v>
      </c>
      <c r="DP171" s="198">
        <f t="shared" si="1112"/>
        <v>0</v>
      </c>
      <c r="DQ171" s="199">
        <f t="shared" si="1113"/>
        <v>0</v>
      </c>
      <c r="DR171" s="198">
        <f t="shared" si="1114"/>
        <v>0</v>
      </c>
      <c r="DS171" s="199">
        <f t="shared" si="1115"/>
        <v>0</v>
      </c>
      <c r="DT171" s="198">
        <f t="shared" si="1116"/>
        <v>0</v>
      </c>
      <c r="DU171" s="199">
        <f t="shared" si="1117"/>
        <v>0</v>
      </c>
      <c r="DV171" s="198">
        <f t="shared" si="1118"/>
        <v>0</v>
      </c>
      <c r="DW171" s="199">
        <f t="shared" si="1119"/>
        <v>0</v>
      </c>
      <c r="DX171" s="198" t="e">
        <f t="shared" si="1120"/>
        <v>#DIV/0!</v>
      </c>
      <c r="DY171" s="199">
        <f t="shared" si="1121"/>
        <v>0</v>
      </c>
      <c r="DZ171" s="190" t="e">
        <f t="shared" si="1122"/>
        <v>#DIV/0!</v>
      </c>
      <c r="EA171" s="199">
        <f t="shared" si="1092"/>
        <v>0</v>
      </c>
      <c r="EB171" s="190" t="e">
        <f t="shared" si="1123"/>
        <v>#DIV/0!</v>
      </c>
      <c r="EC171" s="190" t="e">
        <f t="shared" si="1124"/>
        <v>#DIV/0!</v>
      </c>
    </row>
    <row r="172" spans="1:133" x14ac:dyDescent="0.2">
      <c r="A172" s="66" t="s">
        <v>40</v>
      </c>
      <c r="B172" s="38">
        <f>targets!AW161</f>
        <v>0</v>
      </c>
      <c r="C172" s="245">
        <f>targets!AX161</f>
        <v>0</v>
      </c>
      <c r="D172" s="245">
        <f>targets!AY161</f>
        <v>0</v>
      </c>
      <c r="E172" s="245">
        <f>targets!AZ161</f>
        <v>0</v>
      </c>
      <c r="F172" s="245">
        <f>targets!BA161</f>
        <v>0</v>
      </c>
      <c r="G172" s="245">
        <f>SUM(targets!BB161:BG161)</f>
        <v>0</v>
      </c>
      <c r="H172" s="39">
        <f>SUM(targets!BH161:BM161)</f>
        <v>682.48940745406003</v>
      </c>
      <c r="I172" s="246">
        <f t="shared" si="1093"/>
        <v>682.48940745406003</v>
      </c>
      <c r="J172" s="245">
        <f>targets!BN161</f>
        <v>0</v>
      </c>
      <c r="K172" s="245">
        <f>targets!BO161</f>
        <v>0</v>
      </c>
      <c r="L172" s="245">
        <f>targets!BP161</f>
        <v>0</v>
      </c>
      <c r="M172" s="178">
        <f t="shared" si="1094"/>
        <v>0</v>
      </c>
      <c r="N172" s="17">
        <f t="shared" si="1056"/>
        <v>682.48940745406003</v>
      </c>
      <c r="O172" s="208"/>
      <c r="P172" s="17"/>
      <c r="Q172" s="66" t="s">
        <v>40</v>
      </c>
      <c r="R172" s="38"/>
      <c r="S172" s="245"/>
      <c r="T172" s="245"/>
      <c r="U172" s="245">
        <f t="shared" si="1057"/>
        <v>0</v>
      </c>
      <c r="V172" s="245">
        <f t="shared" si="1058"/>
        <v>0</v>
      </c>
      <c r="W172" s="245">
        <f t="shared" si="1059"/>
        <v>0</v>
      </c>
      <c r="X172" s="39">
        <f t="shared" si="1060"/>
        <v>0</v>
      </c>
      <c r="Y172" s="246">
        <f t="shared" si="1061"/>
        <v>0</v>
      </c>
      <c r="Z172" s="245">
        <f t="shared" si="1062"/>
        <v>0</v>
      </c>
      <c r="AA172" s="245">
        <f t="shared" si="1063"/>
        <v>0</v>
      </c>
      <c r="AB172" s="245" t="e">
        <f t="shared" si="1064"/>
        <v>#DIV/0!</v>
      </c>
      <c r="AC172" s="178" t="e">
        <f t="shared" si="1065"/>
        <v>#DIV/0!</v>
      </c>
      <c r="AD172" s="17" t="e">
        <f t="shared" si="1066"/>
        <v>#DIV/0!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5">
        <f t="array" ref="AH172">SUM(IF((modeldata!$F:$F=calibration!$AF$158)*(modeldata!$G:$G=calibration!AH$160)*(modeldata!$H:$H=calibration!$AF172),modeldata!$E:$E,0))</f>
        <v>0</v>
      </c>
      <c r="AI172" s="245">
        <f t="array" ref="AI172">SUM(IF((modeldata!$F:$F=calibration!$AF$158)*(modeldata!$G:$G=calibration!AI$160)*(modeldata!$H:$H=calibration!$AF172),modeldata!$E:$E,0))</f>
        <v>0</v>
      </c>
      <c r="AJ172" s="245">
        <f t="array" ref="AJ172">SUM(IF((modeldata!$F:$F=calibration!$AF$158)*(modeldata!$G:$G=calibration!AJ$160)*(modeldata!$H:$H=calibration!$AF172),modeldata!$E:$E,0))</f>
        <v>0</v>
      </c>
      <c r="AK172" s="245">
        <f t="array" ref="AK172">SUM(IF((modeldata!$F:$F=calibration!$AF$158)*(modeldata!$G:$G=calibration!AK$160)*(modeldata!$H:$H=calibration!$AF172),modeldata!$E:$E,0))</f>
        <v>0</v>
      </c>
      <c r="AL172" s="245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6"/>
      <c r="AO172" s="245">
        <f t="array" ref="AO172">SUM(IF((modeldata!$F:$F=calibration!$AF$158)*(modeldata!$G:$G=calibration!AO$160)*(modeldata!$H:$H=calibration!$AF172),modeldata!$E:$E,0))</f>
        <v>0</v>
      </c>
      <c r="AP172" s="245">
        <f t="array" ref="AP172">SUM(IF((modeldata!$F:$F=calibration!$AF$158)*(modeldata!$G:$G=calibration!AP$160)*(modeldata!$H:$H=calibration!$AF172),modeldata!$E:$E,0))</f>
        <v>0</v>
      </c>
      <c r="AQ172" s="245">
        <f t="array" ref="AQ172">SUM(IF((modeldata!$F:$F=calibration!$AF$158)*(modeldata!$G:$G=calibration!AQ$160)*(modeldata!$H:$H=calibration!$AF172),modeldata!$E:$E,0))</f>
        <v>0</v>
      </c>
      <c r="AR172" s="178">
        <f t="shared" si="1125"/>
        <v>0</v>
      </c>
      <c r="AS172" s="17">
        <f t="shared" si="1067"/>
        <v>0</v>
      </c>
      <c r="AU172" s="66" t="s">
        <v>40</v>
      </c>
      <c r="AV172" s="38">
        <f t="shared" ref="AV172:BG172" si="1147">IF(R181&gt;0,R172/R181,0)</f>
        <v>0</v>
      </c>
      <c r="AW172" s="245">
        <f t="shared" si="1147"/>
        <v>0</v>
      </c>
      <c r="AX172" s="245">
        <f t="shared" si="1147"/>
        <v>0</v>
      </c>
      <c r="AY172" s="245">
        <f t="shared" si="1147"/>
        <v>0</v>
      </c>
      <c r="AZ172" s="245">
        <f t="shared" si="1147"/>
        <v>0</v>
      </c>
      <c r="BA172" s="245">
        <f t="shared" si="1147"/>
        <v>0</v>
      </c>
      <c r="BB172" s="39">
        <f t="shared" si="1147"/>
        <v>0</v>
      </c>
      <c r="BC172" s="246">
        <f t="shared" si="1147"/>
        <v>0</v>
      </c>
      <c r="BD172" s="245">
        <f t="shared" si="1147"/>
        <v>0</v>
      </c>
      <c r="BE172" s="245">
        <f t="shared" si="1147"/>
        <v>0</v>
      </c>
      <c r="BF172" s="245" t="e">
        <f t="shared" si="1147"/>
        <v>#DIV/0!</v>
      </c>
      <c r="BG172" s="178" t="e">
        <f t="shared" si="1147"/>
        <v>#DIV/0!</v>
      </c>
      <c r="BH172" s="24" t="e">
        <f>AD172/AD181</f>
        <v>#DIV/0!</v>
      </c>
      <c r="BJ172" s="66" t="s">
        <v>40</v>
      </c>
      <c r="BK172" s="25">
        <f t="shared" ref="BK172:BV172" si="1148">IF(AG181&gt;0,AG172/AG181,0)</f>
        <v>0</v>
      </c>
      <c r="BL172" s="24">
        <f t="shared" si="1148"/>
        <v>0</v>
      </c>
      <c r="BM172" s="24">
        <f t="shared" si="1148"/>
        <v>0</v>
      </c>
      <c r="BN172" s="24">
        <f t="shared" si="1148"/>
        <v>0</v>
      </c>
      <c r="BO172" s="24">
        <f t="shared" si="1148"/>
        <v>0</v>
      </c>
      <c r="BP172" s="24">
        <f t="shared" si="1148"/>
        <v>0</v>
      </c>
      <c r="BQ172" s="27">
        <f t="shared" si="1148"/>
        <v>0</v>
      </c>
      <c r="BR172" s="77">
        <f t="shared" si="1148"/>
        <v>0</v>
      </c>
      <c r="BS172" s="24">
        <f t="shared" si="1148"/>
        <v>0</v>
      </c>
      <c r="BT172" s="24">
        <f t="shared" si="1148"/>
        <v>0</v>
      </c>
      <c r="BU172" s="24">
        <f t="shared" si="1148"/>
        <v>0</v>
      </c>
      <c r="BV172" s="180">
        <f t="shared" si="1148"/>
        <v>0</v>
      </c>
      <c r="BW172" s="24" t="e">
        <f>AS172/AS181</f>
        <v>#DIV/0!</v>
      </c>
      <c r="BX172" s="24"/>
      <c r="BY172" s="66" t="s">
        <v>40</v>
      </c>
      <c r="BZ172" s="54">
        <f t="shared" si="1098"/>
        <v>0</v>
      </c>
      <c r="CA172" s="55">
        <f t="shared" si="1070"/>
        <v>0</v>
      </c>
      <c r="CB172" s="55">
        <f t="shared" si="1071"/>
        <v>0</v>
      </c>
      <c r="CC172" s="55">
        <f t="shared" si="1072"/>
        <v>0</v>
      </c>
      <c r="CD172" s="55">
        <f t="shared" si="1073"/>
        <v>0</v>
      </c>
      <c r="CE172" s="55">
        <f t="shared" si="1074"/>
        <v>0</v>
      </c>
      <c r="CF172" s="59">
        <f t="shared" si="1075"/>
        <v>0</v>
      </c>
      <c r="CG172" s="249">
        <f t="shared" si="1076"/>
        <v>0</v>
      </c>
      <c r="CH172" s="55">
        <f t="shared" si="1077"/>
        <v>0</v>
      </c>
      <c r="CI172" s="55">
        <f t="shared" si="1078"/>
        <v>0</v>
      </c>
      <c r="CJ172" s="55" t="e">
        <f t="shared" si="1079"/>
        <v>#DIV/0!</v>
      </c>
      <c r="CK172" s="252" t="e">
        <f t="shared" si="1079"/>
        <v>#DIV/0!</v>
      </c>
      <c r="CL172" s="55" t="e">
        <f t="shared" si="1080"/>
        <v>#DIV/0!</v>
      </c>
      <c r="CN172" s="66" t="s">
        <v>40</v>
      </c>
      <c r="CO172" s="54">
        <f t="shared" si="1099"/>
        <v>0</v>
      </c>
      <c r="CP172" s="55">
        <f t="shared" si="1081"/>
        <v>0</v>
      </c>
      <c r="CQ172" s="55">
        <f t="shared" si="1082"/>
        <v>0</v>
      </c>
      <c r="CR172" s="55">
        <f t="shared" si="1083"/>
        <v>0</v>
      </c>
      <c r="CS172" s="55">
        <f t="shared" si="1084"/>
        <v>0</v>
      </c>
      <c r="CT172" s="55">
        <f t="shared" si="1085"/>
        <v>0</v>
      </c>
      <c r="CU172" s="59">
        <f t="shared" si="1086"/>
        <v>0</v>
      </c>
      <c r="CV172" s="249">
        <f t="shared" si="1087"/>
        <v>0</v>
      </c>
      <c r="CW172" s="55">
        <f t="shared" si="1088"/>
        <v>0</v>
      </c>
      <c r="CX172" s="55">
        <f t="shared" si="1089"/>
        <v>0</v>
      </c>
      <c r="CY172" s="55" t="e">
        <f t="shared" si="1090"/>
        <v>#DIV/0!</v>
      </c>
      <c r="CZ172" s="252" t="e">
        <f t="shared" si="1090"/>
        <v>#DIV/0!</v>
      </c>
      <c r="DA172" s="62" t="e">
        <f t="shared" si="1091"/>
        <v>#DIV/0!</v>
      </c>
      <c r="DC172" s="66" t="s">
        <v>40</v>
      </c>
      <c r="DD172" s="198">
        <f t="shared" si="1100"/>
        <v>0</v>
      </c>
      <c r="DE172" s="199">
        <f t="shared" si="1101"/>
        <v>0</v>
      </c>
      <c r="DF172" s="198">
        <f t="shared" si="1102"/>
        <v>0</v>
      </c>
      <c r="DG172" s="199">
        <f t="shared" si="1103"/>
        <v>0</v>
      </c>
      <c r="DH172" s="198">
        <f t="shared" si="1104"/>
        <v>0</v>
      </c>
      <c r="DI172" s="199">
        <f t="shared" si="1105"/>
        <v>0</v>
      </c>
      <c r="DJ172" s="198">
        <f t="shared" si="1106"/>
        <v>0</v>
      </c>
      <c r="DK172" s="199">
        <f t="shared" si="1107"/>
        <v>0</v>
      </c>
      <c r="DL172" s="198">
        <f t="shared" si="1108"/>
        <v>0</v>
      </c>
      <c r="DM172" s="199">
        <f t="shared" si="1109"/>
        <v>0</v>
      </c>
      <c r="DN172" s="198">
        <f t="shared" si="1110"/>
        <v>0</v>
      </c>
      <c r="DO172" s="199">
        <f t="shared" si="1111"/>
        <v>0</v>
      </c>
      <c r="DP172" s="195">
        <f t="shared" si="1112"/>
        <v>0</v>
      </c>
      <c r="DQ172" s="196">
        <f t="shared" si="1113"/>
        <v>0</v>
      </c>
      <c r="DR172" s="198">
        <f t="shared" si="1114"/>
        <v>0</v>
      </c>
      <c r="DS172" s="199">
        <f t="shared" si="1115"/>
        <v>0</v>
      </c>
      <c r="DT172" s="198">
        <f t="shared" si="1116"/>
        <v>0</v>
      </c>
      <c r="DU172" s="199">
        <f t="shared" si="1117"/>
        <v>0</v>
      </c>
      <c r="DV172" s="198">
        <f t="shared" si="1118"/>
        <v>0</v>
      </c>
      <c r="DW172" s="199">
        <f t="shared" si="1119"/>
        <v>0</v>
      </c>
      <c r="DX172" s="198" t="e">
        <f t="shared" si="1120"/>
        <v>#DIV/0!</v>
      </c>
      <c r="DY172" s="199">
        <f t="shared" si="1121"/>
        <v>0</v>
      </c>
      <c r="DZ172" s="190" t="e">
        <f t="shared" si="1122"/>
        <v>#DIV/0!</v>
      </c>
      <c r="EA172" s="199">
        <f t="shared" si="1092"/>
        <v>0</v>
      </c>
      <c r="EB172" s="190" t="e">
        <f t="shared" si="1123"/>
        <v>#DIV/0!</v>
      </c>
      <c r="EC172" s="190" t="e">
        <f t="shared" si="1124"/>
        <v>#DIV/0!</v>
      </c>
    </row>
    <row r="173" spans="1:133" ht="25.5" x14ac:dyDescent="0.2">
      <c r="A173" s="66" t="s">
        <v>347</v>
      </c>
      <c r="B173" s="38">
        <f>targets!AW162</f>
        <v>0</v>
      </c>
      <c r="C173" s="245">
        <f>targets!AX162</f>
        <v>0</v>
      </c>
      <c r="D173" s="245">
        <f>targets!AY162</f>
        <v>0</v>
      </c>
      <c r="E173" s="245">
        <f>targets!AZ162</f>
        <v>0</v>
      </c>
      <c r="F173" s="245">
        <f>targets!BA162</f>
        <v>0</v>
      </c>
      <c r="G173" s="245">
        <f>SUM(targets!BB162:BG162)</f>
        <v>0</v>
      </c>
      <c r="H173" s="40">
        <f>SUM(targets!BH162:BM162)</f>
        <v>134.60086835921021</v>
      </c>
      <c r="I173" s="246">
        <f t="shared" si="1093"/>
        <v>134.60086835921021</v>
      </c>
      <c r="J173" s="245">
        <f>targets!BN162</f>
        <v>0</v>
      </c>
      <c r="K173" s="245">
        <f>targets!BO162</f>
        <v>0</v>
      </c>
      <c r="L173" s="245">
        <f>targets!BP162</f>
        <v>0</v>
      </c>
      <c r="M173" s="178">
        <f t="shared" si="1094"/>
        <v>0</v>
      </c>
      <c r="N173" s="17">
        <f t="shared" si="1056"/>
        <v>134.60086835921021</v>
      </c>
      <c r="O173" s="208"/>
      <c r="P173" s="17"/>
      <c r="Q173" s="66" t="s">
        <v>347</v>
      </c>
      <c r="R173" s="38"/>
      <c r="S173" s="245"/>
      <c r="T173" s="245"/>
      <c r="U173" s="245">
        <f t="shared" si="1057"/>
        <v>0</v>
      </c>
      <c r="V173" s="245">
        <f t="shared" si="1058"/>
        <v>0</v>
      </c>
      <c r="W173" s="245">
        <f t="shared" si="1059"/>
        <v>0</v>
      </c>
      <c r="X173" s="40">
        <f t="shared" si="1060"/>
        <v>0</v>
      </c>
      <c r="Y173" s="246">
        <f t="shared" si="1061"/>
        <v>0</v>
      </c>
      <c r="Z173" s="245">
        <f t="shared" si="1062"/>
        <v>0</v>
      </c>
      <c r="AA173" s="245">
        <f t="shared" si="1063"/>
        <v>0</v>
      </c>
      <c r="AB173" s="245" t="e">
        <f t="shared" si="1064"/>
        <v>#DIV/0!</v>
      </c>
      <c r="AC173" s="178" t="e">
        <f t="shared" si="1065"/>
        <v>#DIV/0!</v>
      </c>
      <c r="AD173" s="17" t="e">
        <f t="shared" si="1066"/>
        <v>#DIV/0!</v>
      </c>
      <c r="AF173" s="66" t="s">
        <v>347</v>
      </c>
      <c r="AG173" s="38">
        <f t="array" ref="AG173">SUM(IF((modeldata!$F:$F=calibration!$AF$158)*(modeldata!$G:$G=calibration!AG$160)*(modeldata!$H:$H=calibration!$AF173),modeldata!$E:$E,0))</f>
        <v>0</v>
      </c>
      <c r="AH173" s="245">
        <f t="array" ref="AH173">SUM(IF((modeldata!$F:$F=calibration!$AF$158)*(modeldata!$G:$G=calibration!AH$160)*(modeldata!$H:$H=calibration!$AF173),modeldata!$E:$E,0))</f>
        <v>0</v>
      </c>
      <c r="AI173" s="245">
        <f t="array" ref="AI173">SUM(IF((modeldata!$F:$F=calibration!$AF$158)*(modeldata!$G:$G=calibration!AI$160)*(modeldata!$H:$H=calibration!$AF173),modeldata!$E:$E,0))</f>
        <v>0</v>
      </c>
      <c r="AJ173" s="245">
        <f t="array" ref="AJ173">SUM(IF((modeldata!$F:$F=calibration!$AF$158)*(modeldata!$G:$G=calibration!AJ$160)*(modeldata!$H:$H=calibration!$AF173),modeldata!$E:$E,0))</f>
        <v>0</v>
      </c>
      <c r="AK173" s="245">
        <f t="array" ref="AK173">SUM(IF((modeldata!$F:$F=calibration!$AF$158)*(modeldata!$G:$G=calibration!AK$160)*(modeldata!$H:$H=calibration!$AF173),modeldata!$E:$E,0))</f>
        <v>0</v>
      </c>
      <c r="AL173" s="245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6"/>
      <c r="AO173" s="245">
        <f t="array" ref="AO173">SUM(IF((modeldata!$F:$F=calibration!$AF$158)*(modeldata!$G:$G=calibration!AO$160)*(modeldata!$H:$H=calibration!$AF173),modeldata!$E:$E,0))</f>
        <v>0</v>
      </c>
      <c r="AP173" s="245">
        <f t="array" ref="AP173">SUM(IF((modeldata!$F:$F=calibration!$AF$158)*(modeldata!$G:$G=calibration!AP$160)*(modeldata!$H:$H=calibration!$AF173),modeldata!$E:$E,0))</f>
        <v>0</v>
      </c>
      <c r="AQ173" s="245">
        <f t="array" ref="AQ173">SUM(IF((modeldata!$F:$F=calibration!$AF$158)*(modeldata!$G:$G=calibration!AQ$160)*(modeldata!$H:$H=calibration!$AF173),modeldata!$E:$E,0))</f>
        <v>0</v>
      </c>
      <c r="AR173" s="178">
        <f t="shared" si="1125"/>
        <v>0</v>
      </c>
      <c r="AS173" s="17">
        <f t="shared" si="1067"/>
        <v>0</v>
      </c>
      <c r="AU173" s="66" t="s">
        <v>347</v>
      </c>
      <c r="AV173" s="38">
        <f t="shared" ref="AV173:BG173" si="1149">IF(R181&gt;0,R173/R181,0)</f>
        <v>0</v>
      </c>
      <c r="AW173" s="245">
        <f t="shared" si="1149"/>
        <v>0</v>
      </c>
      <c r="AX173" s="245">
        <f t="shared" si="1149"/>
        <v>0</v>
      </c>
      <c r="AY173" s="245">
        <f t="shared" si="1149"/>
        <v>0</v>
      </c>
      <c r="AZ173" s="245">
        <f t="shared" si="1149"/>
        <v>0</v>
      </c>
      <c r="BA173" s="245">
        <f t="shared" si="1149"/>
        <v>0</v>
      </c>
      <c r="BB173" s="40">
        <f t="shared" si="1149"/>
        <v>0</v>
      </c>
      <c r="BC173" s="246">
        <f t="shared" si="1149"/>
        <v>0</v>
      </c>
      <c r="BD173" s="245">
        <f t="shared" si="1149"/>
        <v>0</v>
      </c>
      <c r="BE173" s="245">
        <f t="shared" si="1149"/>
        <v>0</v>
      </c>
      <c r="BF173" s="245" t="e">
        <f t="shared" si="1149"/>
        <v>#DIV/0!</v>
      </c>
      <c r="BG173" s="178" t="e">
        <f t="shared" si="1149"/>
        <v>#DIV/0!</v>
      </c>
      <c r="BH173" s="24" t="e">
        <f>AD173/AD181</f>
        <v>#DIV/0!</v>
      </c>
      <c r="BJ173" s="66" t="s">
        <v>347</v>
      </c>
      <c r="BK173" s="25">
        <f t="shared" ref="BK173:BV173" si="1150">IF(AG181&gt;0,AG173/AG181,0)</f>
        <v>0</v>
      </c>
      <c r="BL173" s="24">
        <f t="shared" si="1150"/>
        <v>0</v>
      </c>
      <c r="BM173" s="24">
        <f t="shared" si="1150"/>
        <v>0</v>
      </c>
      <c r="BN173" s="24">
        <f t="shared" si="1150"/>
        <v>0</v>
      </c>
      <c r="BO173" s="24">
        <f t="shared" si="1150"/>
        <v>0</v>
      </c>
      <c r="BP173" s="24">
        <f t="shared" si="1150"/>
        <v>0</v>
      </c>
      <c r="BQ173" s="28">
        <f t="shared" si="1150"/>
        <v>0</v>
      </c>
      <c r="BR173" s="77">
        <f t="shared" si="1150"/>
        <v>0</v>
      </c>
      <c r="BS173" s="24">
        <f t="shared" si="1150"/>
        <v>0</v>
      </c>
      <c r="BT173" s="24">
        <f t="shared" si="1150"/>
        <v>0</v>
      </c>
      <c r="BU173" s="24">
        <f t="shared" si="1150"/>
        <v>0</v>
      </c>
      <c r="BV173" s="180">
        <f t="shared" si="1150"/>
        <v>0</v>
      </c>
      <c r="BW173" s="24" t="e">
        <f>AS173/AS181</f>
        <v>#DIV/0!</v>
      </c>
      <c r="BX173" s="24"/>
      <c r="BY173" s="66" t="s">
        <v>347</v>
      </c>
      <c r="BZ173" s="54">
        <f t="shared" si="1098"/>
        <v>0</v>
      </c>
      <c r="CA173" s="55">
        <f t="shared" si="1070"/>
        <v>0</v>
      </c>
      <c r="CB173" s="55">
        <f t="shared" si="1071"/>
        <v>0</v>
      </c>
      <c r="CC173" s="55">
        <f t="shared" si="1072"/>
        <v>0</v>
      </c>
      <c r="CD173" s="55">
        <f t="shared" si="1073"/>
        <v>0</v>
      </c>
      <c r="CE173" s="55">
        <f t="shared" si="1074"/>
        <v>0</v>
      </c>
      <c r="CF173" s="60">
        <f t="shared" si="1075"/>
        <v>0</v>
      </c>
      <c r="CG173" s="249">
        <f t="shared" si="1076"/>
        <v>0</v>
      </c>
      <c r="CH173" s="55">
        <f t="shared" si="1077"/>
        <v>0</v>
      </c>
      <c r="CI173" s="55">
        <f t="shared" si="1078"/>
        <v>0</v>
      </c>
      <c r="CJ173" s="55" t="e">
        <f t="shared" si="1079"/>
        <v>#DIV/0!</v>
      </c>
      <c r="CK173" s="252" t="e">
        <f t="shared" si="1079"/>
        <v>#DIV/0!</v>
      </c>
      <c r="CL173" s="55" t="e">
        <f t="shared" si="1080"/>
        <v>#DIV/0!</v>
      </c>
      <c r="CN173" s="66" t="s">
        <v>347</v>
      </c>
      <c r="CO173" s="54">
        <f t="shared" si="1099"/>
        <v>0</v>
      </c>
      <c r="CP173" s="55">
        <f t="shared" si="1081"/>
        <v>0</v>
      </c>
      <c r="CQ173" s="55">
        <f t="shared" si="1082"/>
        <v>0</v>
      </c>
      <c r="CR173" s="55">
        <f t="shared" si="1083"/>
        <v>0</v>
      </c>
      <c r="CS173" s="55">
        <f t="shared" si="1084"/>
        <v>0</v>
      </c>
      <c r="CT173" s="55">
        <f t="shared" si="1085"/>
        <v>0</v>
      </c>
      <c r="CU173" s="60">
        <f t="shared" si="1086"/>
        <v>0</v>
      </c>
      <c r="CV173" s="249">
        <f t="shared" si="1087"/>
        <v>0</v>
      </c>
      <c r="CW173" s="55">
        <f t="shared" si="1088"/>
        <v>0</v>
      </c>
      <c r="CX173" s="55">
        <f t="shared" si="1089"/>
        <v>0</v>
      </c>
      <c r="CY173" s="55" t="e">
        <f t="shared" si="1090"/>
        <v>#DIV/0!</v>
      </c>
      <c r="CZ173" s="252" t="e">
        <f t="shared" si="1090"/>
        <v>#DIV/0!</v>
      </c>
      <c r="DA173" s="62" t="e">
        <f t="shared" si="1091"/>
        <v>#DIV/0!</v>
      </c>
      <c r="DC173" s="66" t="s">
        <v>347</v>
      </c>
      <c r="DD173" s="198">
        <f t="shared" si="1100"/>
        <v>0</v>
      </c>
      <c r="DE173" s="199">
        <f t="shared" si="1101"/>
        <v>0</v>
      </c>
      <c r="DF173" s="198">
        <f t="shared" si="1102"/>
        <v>0</v>
      </c>
      <c r="DG173" s="199">
        <f t="shared" si="1103"/>
        <v>0</v>
      </c>
      <c r="DH173" s="198">
        <f t="shared" si="1104"/>
        <v>0</v>
      </c>
      <c r="DI173" s="199">
        <f t="shared" si="1105"/>
        <v>0</v>
      </c>
      <c r="DJ173" s="198">
        <f t="shared" si="1106"/>
        <v>0</v>
      </c>
      <c r="DK173" s="199">
        <f t="shared" si="1107"/>
        <v>0</v>
      </c>
      <c r="DL173" s="198">
        <f t="shared" si="1108"/>
        <v>0</v>
      </c>
      <c r="DM173" s="199">
        <f t="shared" si="1109"/>
        <v>0</v>
      </c>
      <c r="DN173" s="198">
        <f t="shared" si="1110"/>
        <v>0</v>
      </c>
      <c r="DO173" s="199">
        <f t="shared" si="1111"/>
        <v>0</v>
      </c>
      <c r="DP173" s="198">
        <f t="shared" si="1112"/>
        <v>0</v>
      </c>
      <c r="DQ173" s="199">
        <f t="shared" si="1113"/>
        <v>0</v>
      </c>
      <c r="DR173" s="198">
        <f t="shared" si="1114"/>
        <v>0</v>
      </c>
      <c r="DS173" s="199">
        <f t="shared" si="1115"/>
        <v>0</v>
      </c>
      <c r="DT173" s="198">
        <f t="shared" si="1116"/>
        <v>0</v>
      </c>
      <c r="DU173" s="199">
        <f t="shared" si="1117"/>
        <v>0</v>
      </c>
      <c r="DV173" s="198">
        <f t="shared" si="1118"/>
        <v>0</v>
      </c>
      <c r="DW173" s="199">
        <f t="shared" si="1119"/>
        <v>0</v>
      </c>
      <c r="DX173" s="198" t="e">
        <f t="shared" si="1120"/>
        <v>#DIV/0!</v>
      </c>
      <c r="DY173" s="199">
        <f t="shared" si="1121"/>
        <v>0</v>
      </c>
      <c r="DZ173" s="190" t="e">
        <f t="shared" si="1122"/>
        <v>#DIV/0!</v>
      </c>
      <c r="EA173" s="199">
        <f t="shared" si="1092"/>
        <v>0</v>
      </c>
      <c r="EB173" s="190" t="e">
        <f t="shared" si="1123"/>
        <v>#DIV/0!</v>
      </c>
      <c r="EC173" s="190" t="e">
        <f t="shared" si="1124"/>
        <v>#DIV/0!</v>
      </c>
    </row>
    <row r="174" spans="1:133" x14ac:dyDescent="0.2">
      <c r="A174" s="2" t="s">
        <v>350</v>
      </c>
      <c r="B174" s="38">
        <f>targets!AW163</f>
        <v>0</v>
      </c>
      <c r="C174" s="245">
        <f>targets!AX163</f>
        <v>0</v>
      </c>
      <c r="D174" s="245">
        <f>targets!AY163</f>
        <v>0</v>
      </c>
      <c r="E174" s="245">
        <f>targets!AZ163</f>
        <v>0</v>
      </c>
      <c r="F174" s="245">
        <f>targets!BA163</f>
        <v>0</v>
      </c>
      <c r="G174" s="245">
        <f>SUM(targets!BB163:BG163)</f>
        <v>0</v>
      </c>
      <c r="H174" s="40">
        <f>SUM(targets!BH163:BM163)</f>
        <v>0</v>
      </c>
      <c r="I174" s="246">
        <f>SUM(G174:H174)</f>
        <v>0</v>
      </c>
      <c r="J174" s="245">
        <f>targets!BN163</f>
        <v>0</v>
      </c>
      <c r="K174" s="245">
        <f>targets!BO163</f>
        <v>0</v>
      </c>
      <c r="L174" s="245">
        <f>targets!BP163</f>
        <v>0</v>
      </c>
      <c r="M174" s="178">
        <f t="shared" ref="M174" si="1151">SUM(J174:L174)</f>
        <v>0</v>
      </c>
      <c r="N174" s="17">
        <f t="shared" ref="N174" si="1152">SUM(B174:L174)-I174</f>
        <v>0</v>
      </c>
      <c r="O174" s="208"/>
      <c r="P174" s="17"/>
      <c r="Q174" s="2" t="s">
        <v>350</v>
      </c>
      <c r="R174" s="38">
        <f>B174*(AG$181/B$181)</f>
        <v>0</v>
      </c>
      <c r="S174" s="245">
        <f>C174*(AH$181/B$181)</f>
        <v>0</v>
      </c>
      <c r="T174" s="245">
        <f>D174*(AI$181/B$181)</f>
        <v>0</v>
      </c>
      <c r="U174" s="245">
        <f t="shared" si="1057"/>
        <v>0</v>
      </c>
      <c r="V174" s="245">
        <f t="shared" si="1058"/>
        <v>0</v>
      </c>
      <c r="W174" s="245">
        <f t="shared" si="1059"/>
        <v>0</v>
      </c>
      <c r="X174" s="40">
        <f t="shared" si="1060"/>
        <v>0</v>
      </c>
      <c r="Y174" s="246">
        <f t="shared" ref="Y174" si="1153">SUM(W174:X174)</f>
        <v>0</v>
      </c>
      <c r="Z174" s="245">
        <f t="shared" si="1062"/>
        <v>0</v>
      </c>
      <c r="AA174" s="245">
        <f t="shared" si="1063"/>
        <v>0</v>
      </c>
      <c r="AB174" s="245" t="e">
        <f t="shared" si="1064"/>
        <v>#DIV/0!</v>
      </c>
      <c r="AC174" s="178" t="e">
        <f t="shared" ref="AC174" si="1154">SUM(Z174:AB174)</f>
        <v>#DIV/0!</v>
      </c>
      <c r="AD174" s="17" t="e">
        <f>SUM(R174:AB174)-Y174</f>
        <v>#DIV/0!</v>
      </c>
      <c r="AF174" s="2" t="s">
        <v>350</v>
      </c>
      <c r="AG174" s="38">
        <f t="array" ref="AG174">SUM(IF((modeldata!$F:$F=calibration!$AF$106)*(modeldata!$G:$G=calibration!AG$108)*(modeldata!$H:$H=calibration!$AF174),modeldata!$E:$E,0))</f>
        <v>0</v>
      </c>
      <c r="AH174" s="245">
        <f t="array" ref="AH174">SUM(IF((modeldata!$F:$F=calibration!$AF$106)*(modeldata!$G:$G=calibration!AH$108)*(modeldata!$H:$H=calibration!$AF174),modeldata!$E:$E,0))</f>
        <v>0</v>
      </c>
      <c r="AI174" s="245">
        <f t="array" ref="AI174">SUM(IF((modeldata!$F:$F=calibration!$AF$106)*(modeldata!$G:$G=calibration!AI$108)*(modeldata!$H:$H=calibration!$AF174),modeldata!$E:$E,0))</f>
        <v>0</v>
      </c>
      <c r="AJ174" s="245">
        <f t="array" ref="AJ174">SUM(IF((modeldata!$F:$F=calibration!$AF$106)*(modeldata!$G:$G=calibration!AJ$108)*(modeldata!$H:$H=calibration!$AF174),modeldata!$E:$E,0))</f>
        <v>0</v>
      </c>
      <c r="AK174" s="245">
        <f t="array" ref="AK174">SUM(IF((modeldata!$F:$F=calibration!$AF$106)*(modeldata!$G:$G=calibration!AK$108)*(modeldata!$H:$H=calibration!$AF174),modeldata!$E:$E,0))</f>
        <v>0</v>
      </c>
      <c r="AL174" s="245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6"/>
      <c r="AO174" s="245">
        <f t="array" ref="AO174">SUM(IF((modeldata!$F:$F=calibration!$AF$106)*(modeldata!$G:$G=calibration!AO$108)*(modeldata!$H:$H=calibration!$AF174),modeldata!$E:$E,0))</f>
        <v>0</v>
      </c>
      <c r="AP174" s="245">
        <f t="array" ref="AP174">SUM(IF((modeldata!$F:$F=calibration!$AF$106)*(modeldata!$G:$G=calibration!AP$108)*(modeldata!$H:$H=calibration!$AF174),modeldata!$E:$E,0))</f>
        <v>0</v>
      </c>
      <c r="AQ174" s="245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350</v>
      </c>
      <c r="AV174" s="38">
        <f t="shared" ref="AV174:BG174" si="1155">IF(R189&gt;0,R174/R189,0)</f>
        <v>0</v>
      </c>
      <c r="AW174" s="245">
        <f t="shared" si="1155"/>
        <v>0</v>
      </c>
      <c r="AX174" s="245">
        <f t="shared" si="1155"/>
        <v>0</v>
      </c>
      <c r="AY174" s="245">
        <f t="shared" si="1155"/>
        <v>0</v>
      </c>
      <c r="AZ174" s="245">
        <f t="shared" si="1155"/>
        <v>0</v>
      </c>
      <c r="BA174" s="245">
        <f t="shared" si="1155"/>
        <v>0</v>
      </c>
      <c r="BB174" s="40">
        <f t="shared" si="1155"/>
        <v>0</v>
      </c>
      <c r="BC174" s="246">
        <f t="shared" si="1155"/>
        <v>0</v>
      </c>
      <c r="BD174" s="245" t="e">
        <f t="shared" si="1155"/>
        <v>#DIV/0!</v>
      </c>
      <c r="BE174" s="245" t="e">
        <f t="shared" si="1155"/>
        <v>#DIV/0!</v>
      </c>
      <c r="BF174" s="245" t="e">
        <f t="shared" si="1155"/>
        <v>#DIV/0!</v>
      </c>
      <c r="BG174" s="178" t="e">
        <f t="shared" si="1155"/>
        <v>#DIV/0!</v>
      </c>
      <c r="BH174" s="24" t="e">
        <f>AD174/AD183</f>
        <v>#DIV/0!</v>
      </c>
      <c r="BJ174" s="2" t="s">
        <v>350</v>
      </c>
      <c r="BK174" s="25">
        <f t="shared" ref="BK174:BV174" si="1156">IF(AG190&gt;0,AG174/AG190,0)</f>
        <v>0</v>
      </c>
      <c r="BL174" s="24">
        <f t="shared" si="1156"/>
        <v>0</v>
      </c>
      <c r="BM174" s="24">
        <f t="shared" si="1156"/>
        <v>0</v>
      </c>
      <c r="BN174" s="24">
        <f t="shared" si="1156"/>
        <v>0</v>
      </c>
      <c r="BO174" s="24">
        <f t="shared" si="1156"/>
        <v>0</v>
      </c>
      <c r="BP174" s="24">
        <f t="shared" si="1156"/>
        <v>0</v>
      </c>
      <c r="BQ174" s="28">
        <f t="shared" si="1156"/>
        <v>0</v>
      </c>
      <c r="BR174" s="77">
        <f t="shared" si="1156"/>
        <v>0</v>
      </c>
      <c r="BS174" s="24">
        <f t="shared" si="1156"/>
        <v>0</v>
      </c>
      <c r="BT174" s="24">
        <f t="shared" si="1156"/>
        <v>0</v>
      </c>
      <c r="BU174" s="24">
        <f t="shared" si="1156"/>
        <v>0</v>
      </c>
      <c r="BV174" s="180">
        <f t="shared" si="1156"/>
        <v>0</v>
      </c>
      <c r="BW174" s="24" t="e">
        <f>AS174/AS183</f>
        <v>#DIV/0!</v>
      </c>
      <c r="BX174" s="24"/>
      <c r="BY174" s="2" t="s">
        <v>350</v>
      </c>
      <c r="BZ174" s="54">
        <f t="shared" ref="BZ174" si="1157">AG174-R174</f>
        <v>0</v>
      </c>
      <c r="CA174" s="55">
        <f t="shared" ref="CA174" si="1158">AH174-S174</f>
        <v>0</v>
      </c>
      <c r="CB174" s="55">
        <f t="shared" ref="CB174" si="1159">AI174-T174</f>
        <v>0</v>
      </c>
      <c r="CC174" s="55">
        <f t="shared" ref="CC174" si="1160">AJ174-U174</f>
        <v>0</v>
      </c>
      <c r="CD174" s="55">
        <f t="shared" ref="CD174" si="1161">AK174-V174</f>
        <v>0</v>
      </c>
      <c r="CE174" s="55">
        <f t="shared" ref="CE174" si="1162">AL174-W174</f>
        <v>0</v>
      </c>
      <c r="CF174" s="60">
        <f t="shared" ref="CF174" si="1163">AM174-X174</f>
        <v>0</v>
      </c>
      <c r="CG174" s="249">
        <f t="shared" ref="CG174" si="1164">AN174-Y174</f>
        <v>0</v>
      </c>
      <c r="CH174" s="55">
        <f t="shared" ref="CH174" si="1165">AO174-Z174</f>
        <v>0</v>
      </c>
      <c r="CI174" s="55">
        <f t="shared" ref="CI174" si="1166">AP174-AA174</f>
        <v>0</v>
      </c>
      <c r="CJ174" s="55" t="e">
        <f t="shared" ref="CJ174" si="1167">AQ174-AB174</f>
        <v>#DIV/0!</v>
      </c>
      <c r="CK174" s="252" t="e">
        <f t="shared" ref="CK174" si="1168">AR174-AC174</f>
        <v>#DIV/0!</v>
      </c>
      <c r="CL174" s="55" t="e">
        <f>AS174-AD174</f>
        <v>#DIV/0!</v>
      </c>
      <c r="CN174" s="2" t="s">
        <v>350</v>
      </c>
      <c r="CO174" s="54">
        <f t="shared" ref="CO174" si="1169">BK174-AV174</f>
        <v>0</v>
      </c>
      <c r="CP174" s="55">
        <f t="shared" ref="CP174" si="1170">BL174-AW174</f>
        <v>0</v>
      </c>
      <c r="CQ174" s="55">
        <f t="shared" ref="CQ174" si="1171">BM174-AX174</f>
        <v>0</v>
      </c>
      <c r="CR174" s="55">
        <f t="shared" ref="CR174" si="1172">BN174-AY174</f>
        <v>0</v>
      </c>
      <c r="CS174" s="55">
        <f t="shared" ref="CS174" si="1173">BO174-AZ174</f>
        <v>0</v>
      </c>
      <c r="CT174" s="55">
        <f t="shared" ref="CT174" si="1174">BP174-BA174</f>
        <v>0</v>
      </c>
      <c r="CU174" s="60">
        <f t="shared" ref="CU174" si="1175">BQ174-BB174</f>
        <v>0</v>
      </c>
      <c r="CV174" s="249">
        <f t="shared" ref="CV174" si="1176">BR174-BC174</f>
        <v>0</v>
      </c>
      <c r="CW174" s="55" t="e">
        <f t="shared" ref="CW174" si="1177">BS174-BD174</f>
        <v>#DIV/0!</v>
      </c>
      <c r="CX174" s="55" t="e">
        <f t="shared" ref="CX174" si="1178">BT174-BE174</f>
        <v>#DIV/0!</v>
      </c>
      <c r="CY174" s="55" t="e">
        <f t="shared" ref="CY174" si="1179">BU174-BF174</f>
        <v>#DIV/0!</v>
      </c>
      <c r="CZ174" s="252" t="e">
        <f t="shared" ref="CZ174" si="1180">BV174-BG174</f>
        <v>#DIV/0!</v>
      </c>
      <c r="DA174" s="62" t="e">
        <f t="shared" ref="DA174" si="1181">BW174-BH174</f>
        <v>#DIV/0!</v>
      </c>
      <c r="DC174" s="2" t="s">
        <v>350</v>
      </c>
      <c r="DD174" s="198">
        <f t="shared" ref="DD174" si="1182">AV174</f>
        <v>0</v>
      </c>
      <c r="DE174" s="199">
        <f t="shared" ref="DE174" si="1183">BK174</f>
        <v>0</v>
      </c>
      <c r="DF174" s="198">
        <f t="shared" ref="DF174" si="1184">AW174</f>
        <v>0</v>
      </c>
      <c r="DG174" s="199">
        <f t="shared" ref="DG174" si="1185">BL174</f>
        <v>0</v>
      </c>
      <c r="DH174" s="198">
        <f t="shared" ref="DH174" si="1186">AX174</f>
        <v>0</v>
      </c>
      <c r="DI174" s="199">
        <f t="shared" ref="DI174" si="1187">BM174</f>
        <v>0</v>
      </c>
      <c r="DJ174" s="198">
        <f t="shared" ref="DJ174" si="1188">AY174</f>
        <v>0</v>
      </c>
      <c r="DK174" s="199">
        <f t="shared" ref="DK174" si="1189">BN174</f>
        <v>0</v>
      </c>
      <c r="DL174" s="198">
        <f t="shared" ref="DL174" si="1190">AZ174</f>
        <v>0</v>
      </c>
      <c r="DM174" s="199">
        <f t="shared" ref="DM174" si="1191">BO174</f>
        <v>0</v>
      </c>
      <c r="DN174" s="198">
        <f t="shared" ref="DN174" si="1192">BA174</f>
        <v>0</v>
      </c>
      <c r="DO174" s="199">
        <f t="shared" ref="DO174" si="1193">BP174</f>
        <v>0</v>
      </c>
      <c r="DP174" s="198">
        <f t="shared" ref="DP174" si="1194">BB174</f>
        <v>0</v>
      </c>
      <c r="DQ174" s="199">
        <f t="shared" ref="DQ174" si="1195">BQ174</f>
        <v>0</v>
      </c>
      <c r="DR174" s="198">
        <f t="shared" ref="DR174" si="1196">BC174</f>
        <v>0</v>
      </c>
      <c r="DS174" s="199">
        <f t="shared" ref="DS174" si="1197">BR174</f>
        <v>0</v>
      </c>
      <c r="DT174" s="198" t="e">
        <f t="shared" ref="DT174" si="1198">BD174</f>
        <v>#DIV/0!</v>
      </c>
      <c r="DU174" s="199">
        <f t="shared" ref="DU174" si="1199">BS174</f>
        <v>0</v>
      </c>
      <c r="DV174" s="198" t="e">
        <f t="shared" ref="DV174" si="1200">BE174</f>
        <v>#DIV/0!</v>
      </c>
      <c r="DW174" s="199">
        <f t="shared" ref="DW174" si="1201">BT174</f>
        <v>0</v>
      </c>
      <c r="DX174" s="198" t="e">
        <f t="shared" ref="DX174" si="1202">BF174</f>
        <v>#DIV/0!</v>
      </c>
      <c r="DY174" s="199">
        <f t="shared" ref="DY174" si="1203">BU174</f>
        <v>0</v>
      </c>
      <c r="DZ174" s="190" t="e">
        <f t="shared" ref="DZ174" si="1204">BG174</f>
        <v>#DIV/0!</v>
      </c>
      <c r="EA174" s="199">
        <f t="shared" ref="EA174" si="1205">BV174</f>
        <v>0</v>
      </c>
      <c r="EB174" s="190" t="e">
        <f t="shared" ref="EB174" si="1206">BH174</f>
        <v>#DIV/0!</v>
      </c>
      <c r="EC174" s="190" t="e">
        <f t="shared" ref="EC174" si="1207">BW174</f>
        <v>#DIV/0!</v>
      </c>
    </row>
    <row r="175" spans="1:133" x14ac:dyDescent="0.2">
      <c r="A175" s="64" t="s">
        <v>50</v>
      </c>
      <c r="B175" s="38">
        <f>targets!AW164</f>
        <v>0</v>
      </c>
      <c r="C175" s="245">
        <f>targets!AX164</f>
        <v>0</v>
      </c>
      <c r="D175" s="245">
        <f>targets!AY164</f>
        <v>0</v>
      </c>
      <c r="E175" s="245">
        <f>targets!AZ164</f>
        <v>0</v>
      </c>
      <c r="F175" s="245">
        <f>targets!BA164</f>
        <v>0</v>
      </c>
      <c r="G175" s="245">
        <f>SUM(targets!BB164:BG164)</f>
        <v>0</v>
      </c>
      <c r="H175" s="40">
        <f>SUM(targets!BH164:BM164)</f>
        <v>0</v>
      </c>
      <c r="I175" s="246">
        <f t="shared" si="1093"/>
        <v>0</v>
      </c>
      <c r="J175" s="245">
        <f>targets!BN164</f>
        <v>0</v>
      </c>
      <c r="K175" s="245">
        <f>targets!BO164</f>
        <v>0</v>
      </c>
      <c r="L175" s="245">
        <f>targets!BP164</f>
        <v>0</v>
      </c>
      <c r="M175" s="178">
        <f t="shared" si="1094"/>
        <v>0</v>
      </c>
      <c r="N175" s="17">
        <f t="shared" si="1056"/>
        <v>0</v>
      </c>
      <c r="O175" s="208"/>
      <c r="P175" s="17"/>
      <c r="Q175" s="64" t="s">
        <v>50</v>
      </c>
      <c r="R175" s="38"/>
      <c r="S175" s="245"/>
      <c r="T175" s="245"/>
      <c r="U175" s="245">
        <f t="shared" si="1057"/>
        <v>0</v>
      </c>
      <c r="V175" s="245">
        <f t="shared" si="1058"/>
        <v>0</v>
      </c>
      <c r="W175" s="245">
        <f t="shared" si="1059"/>
        <v>0</v>
      </c>
      <c r="X175" s="40">
        <f t="shared" si="1060"/>
        <v>0</v>
      </c>
      <c r="Y175" s="246">
        <f t="shared" si="1061"/>
        <v>0</v>
      </c>
      <c r="Z175" s="245">
        <f t="shared" si="1062"/>
        <v>0</v>
      </c>
      <c r="AA175" s="245">
        <f t="shared" si="1063"/>
        <v>0</v>
      </c>
      <c r="AB175" s="245" t="e">
        <f t="shared" si="1064"/>
        <v>#DIV/0!</v>
      </c>
      <c r="AC175" s="178" t="e">
        <f t="shared" si="1065"/>
        <v>#DIV/0!</v>
      </c>
      <c r="AD175" s="17" t="e">
        <f t="shared" si="1066"/>
        <v>#DIV/0!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5">
        <f t="array" ref="AH175">SUM(IF((modeldata!$F:$F=calibration!$AF$158)*(modeldata!$G:$G=calibration!AH$160)*(modeldata!$H:$H=calibration!$AF175),modeldata!$E:$E,0))</f>
        <v>0</v>
      </c>
      <c r="AI175" s="245">
        <f t="array" ref="AI175">SUM(IF((modeldata!$F:$F=calibration!$AF$158)*(modeldata!$G:$G=calibration!AI$160)*(modeldata!$H:$H=calibration!$AF175),modeldata!$E:$E,0))</f>
        <v>0</v>
      </c>
      <c r="AJ175" s="245">
        <f t="array" ref="AJ175">SUM(IF((modeldata!$F:$F=calibration!$AF$158)*(modeldata!$G:$G=calibration!AJ$160)*(modeldata!$H:$H=calibration!$AF175),modeldata!$E:$E,0))</f>
        <v>0</v>
      </c>
      <c r="AK175" s="245">
        <f t="array" ref="AK175">SUM(IF((modeldata!$F:$F=calibration!$AF$158)*(modeldata!$G:$G=calibration!AK$160)*(modeldata!$H:$H=calibration!$AF175),modeldata!$E:$E,0))</f>
        <v>0</v>
      </c>
      <c r="AL175" s="245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6"/>
      <c r="AO175" s="245">
        <f t="array" ref="AO175">SUM(IF((modeldata!$F:$F=calibration!$AF$158)*(modeldata!$G:$G=calibration!AO$160)*(modeldata!$H:$H=calibration!$AF175),modeldata!$E:$E,0))</f>
        <v>0</v>
      </c>
      <c r="AP175" s="245">
        <f t="array" ref="AP175">SUM(IF((modeldata!$F:$F=calibration!$AF$158)*(modeldata!$G:$G=calibration!AP$160)*(modeldata!$H:$H=calibration!$AF175),modeldata!$E:$E,0))</f>
        <v>0</v>
      </c>
      <c r="AQ175" s="245">
        <f t="array" ref="AQ175">SUM(IF((modeldata!$F:$F=calibration!$AF$158)*(modeldata!$G:$G=calibration!AQ$160)*(modeldata!$H:$H=calibration!$AF175),modeldata!$E:$E,0))</f>
        <v>0</v>
      </c>
      <c r="AR175" s="178">
        <f t="shared" si="1125"/>
        <v>0</v>
      </c>
      <c r="AS175" s="17">
        <f t="shared" si="1067"/>
        <v>0</v>
      </c>
      <c r="AU175" s="64" t="s">
        <v>50</v>
      </c>
      <c r="AV175" s="38">
        <f t="shared" ref="AV175:BG175" si="1208">IF(R181&gt;0,R175/R181,0)</f>
        <v>0</v>
      </c>
      <c r="AW175" s="245">
        <f t="shared" si="1208"/>
        <v>0</v>
      </c>
      <c r="AX175" s="245">
        <f t="shared" si="1208"/>
        <v>0</v>
      </c>
      <c r="AY175" s="245">
        <f t="shared" si="1208"/>
        <v>0</v>
      </c>
      <c r="AZ175" s="245">
        <f t="shared" si="1208"/>
        <v>0</v>
      </c>
      <c r="BA175" s="245">
        <f t="shared" si="1208"/>
        <v>0</v>
      </c>
      <c r="BB175" s="40">
        <f t="shared" si="1208"/>
        <v>0</v>
      </c>
      <c r="BC175" s="246">
        <f t="shared" si="1208"/>
        <v>0</v>
      </c>
      <c r="BD175" s="245">
        <f t="shared" si="1208"/>
        <v>0</v>
      </c>
      <c r="BE175" s="245">
        <f t="shared" si="1208"/>
        <v>0</v>
      </c>
      <c r="BF175" s="245" t="e">
        <f t="shared" si="1208"/>
        <v>#DIV/0!</v>
      </c>
      <c r="BG175" s="178" t="e">
        <f t="shared" si="1208"/>
        <v>#DIV/0!</v>
      </c>
      <c r="BH175" s="24" t="e">
        <f>AD175/AD181</f>
        <v>#DIV/0!</v>
      </c>
      <c r="BJ175" s="64" t="s">
        <v>50</v>
      </c>
      <c r="BK175" s="25">
        <f t="shared" ref="BK175:BV175" si="1209">IF(AG181&gt;0,AG175/AG181,0)</f>
        <v>0</v>
      </c>
      <c r="BL175" s="24">
        <f t="shared" si="1209"/>
        <v>0</v>
      </c>
      <c r="BM175" s="24">
        <f t="shared" si="1209"/>
        <v>0</v>
      </c>
      <c r="BN175" s="24">
        <f t="shared" si="1209"/>
        <v>0</v>
      </c>
      <c r="BO175" s="24">
        <f t="shared" si="1209"/>
        <v>0</v>
      </c>
      <c r="BP175" s="24">
        <f t="shared" si="1209"/>
        <v>0</v>
      </c>
      <c r="BQ175" s="28">
        <f t="shared" si="1209"/>
        <v>0</v>
      </c>
      <c r="BR175" s="77">
        <f t="shared" si="1209"/>
        <v>0</v>
      </c>
      <c r="BS175" s="24">
        <f t="shared" si="1209"/>
        <v>0</v>
      </c>
      <c r="BT175" s="24">
        <f t="shared" si="1209"/>
        <v>0</v>
      </c>
      <c r="BU175" s="24">
        <f t="shared" si="1209"/>
        <v>0</v>
      </c>
      <c r="BV175" s="180">
        <f t="shared" si="1209"/>
        <v>0</v>
      </c>
      <c r="BW175" s="24" t="e">
        <f>AS175/AS181</f>
        <v>#DIV/0!</v>
      </c>
      <c r="BX175" s="24"/>
      <c r="BY175" s="64" t="s">
        <v>50</v>
      </c>
      <c r="BZ175" s="54">
        <f t="shared" si="1098"/>
        <v>0</v>
      </c>
      <c r="CA175" s="55">
        <f t="shared" si="1070"/>
        <v>0</v>
      </c>
      <c r="CB175" s="55">
        <f t="shared" si="1071"/>
        <v>0</v>
      </c>
      <c r="CC175" s="55">
        <f t="shared" si="1072"/>
        <v>0</v>
      </c>
      <c r="CD175" s="55">
        <f t="shared" si="1073"/>
        <v>0</v>
      </c>
      <c r="CE175" s="55">
        <f t="shared" si="1074"/>
        <v>0</v>
      </c>
      <c r="CF175" s="60">
        <f t="shared" si="1075"/>
        <v>0</v>
      </c>
      <c r="CG175" s="249">
        <f t="shared" si="1076"/>
        <v>0</v>
      </c>
      <c r="CH175" s="55">
        <f t="shared" si="1077"/>
        <v>0</v>
      </c>
      <c r="CI175" s="55">
        <f t="shared" si="1078"/>
        <v>0</v>
      </c>
      <c r="CJ175" s="55" t="e">
        <f t="shared" si="1079"/>
        <v>#DIV/0!</v>
      </c>
      <c r="CK175" s="252" t="e">
        <f t="shared" si="1079"/>
        <v>#DIV/0!</v>
      </c>
      <c r="CL175" s="55" t="e">
        <f t="shared" si="1080"/>
        <v>#DIV/0!</v>
      </c>
      <c r="CN175" s="64" t="s">
        <v>50</v>
      </c>
      <c r="CO175" s="54">
        <f t="shared" si="1099"/>
        <v>0</v>
      </c>
      <c r="CP175" s="55">
        <f t="shared" si="1081"/>
        <v>0</v>
      </c>
      <c r="CQ175" s="55">
        <f t="shared" si="1082"/>
        <v>0</v>
      </c>
      <c r="CR175" s="55">
        <f t="shared" si="1083"/>
        <v>0</v>
      </c>
      <c r="CS175" s="55">
        <f t="shared" si="1084"/>
        <v>0</v>
      </c>
      <c r="CT175" s="55">
        <f t="shared" si="1085"/>
        <v>0</v>
      </c>
      <c r="CU175" s="60">
        <f t="shared" si="1086"/>
        <v>0</v>
      </c>
      <c r="CV175" s="249">
        <f t="shared" si="1087"/>
        <v>0</v>
      </c>
      <c r="CW175" s="55">
        <f t="shared" si="1088"/>
        <v>0</v>
      </c>
      <c r="CX175" s="55">
        <f t="shared" si="1089"/>
        <v>0</v>
      </c>
      <c r="CY175" s="55" t="e">
        <f t="shared" si="1090"/>
        <v>#DIV/0!</v>
      </c>
      <c r="CZ175" s="252" t="e">
        <f t="shared" si="1090"/>
        <v>#DIV/0!</v>
      </c>
      <c r="DA175" s="62" t="e">
        <f t="shared" si="1091"/>
        <v>#DIV/0!</v>
      </c>
      <c r="DC175" s="64" t="s">
        <v>50</v>
      </c>
      <c r="DD175" s="198">
        <f t="shared" si="1100"/>
        <v>0</v>
      </c>
      <c r="DE175" s="199">
        <f t="shared" si="1101"/>
        <v>0</v>
      </c>
      <c r="DF175" s="198">
        <f t="shared" si="1102"/>
        <v>0</v>
      </c>
      <c r="DG175" s="199">
        <f t="shared" si="1103"/>
        <v>0</v>
      </c>
      <c r="DH175" s="198">
        <f t="shared" si="1104"/>
        <v>0</v>
      </c>
      <c r="DI175" s="199">
        <f t="shared" si="1105"/>
        <v>0</v>
      </c>
      <c r="DJ175" s="198">
        <f t="shared" si="1106"/>
        <v>0</v>
      </c>
      <c r="DK175" s="199">
        <f t="shared" si="1107"/>
        <v>0</v>
      </c>
      <c r="DL175" s="198">
        <f t="shared" si="1108"/>
        <v>0</v>
      </c>
      <c r="DM175" s="199">
        <f t="shared" si="1109"/>
        <v>0</v>
      </c>
      <c r="DN175" s="198">
        <f t="shared" si="1110"/>
        <v>0</v>
      </c>
      <c r="DO175" s="199">
        <f t="shared" si="1111"/>
        <v>0</v>
      </c>
      <c r="DP175" s="198">
        <f t="shared" si="1112"/>
        <v>0</v>
      </c>
      <c r="DQ175" s="199">
        <f t="shared" si="1113"/>
        <v>0</v>
      </c>
      <c r="DR175" s="198">
        <f t="shared" si="1114"/>
        <v>0</v>
      </c>
      <c r="DS175" s="199">
        <f t="shared" si="1115"/>
        <v>0</v>
      </c>
      <c r="DT175" s="198">
        <f t="shared" si="1116"/>
        <v>0</v>
      </c>
      <c r="DU175" s="199">
        <f t="shared" si="1117"/>
        <v>0</v>
      </c>
      <c r="DV175" s="198">
        <f t="shared" si="1118"/>
        <v>0</v>
      </c>
      <c r="DW175" s="199">
        <f t="shared" si="1119"/>
        <v>0</v>
      </c>
      <c r="DX175" s="198" t="e">
        <f t="shared" si="1120"/>
        <v>#DIV/0!</v>
      </c>
      <c r="DY175" s="199">
        <f t="shared" si="1121"/>
        <v>0</v>
      </c>
      <c r="DZ175" s="190" t="e">
        <f t="shared" si="1122"/>
        <v>#DIV/0!</v>
      </c>
      <c r="EA175" s="199">
        <f t="shared" si="1092"/>
        <v>0</v>
      </c>
      <c r="EB175" s="190" t="e">
        <f t="shared" si="1123"/>
        <v>#DIV/0!</v>
      </c>
      <c r="EC175" s="190" t="e">
        <f t="shared" si="1124"/>
        <v>#DIV/0!</v>
      </c>
    </row>
    <row r="176" spans="1:133" x14ac:dyDescent="0.2">
      <c r="A176" s="64" t="s">
        <v>51</v>
      </c>
      <c r="B176" s="38">
        <f>targets!AW165</f>
        <v>0</v>
      </c>
      <c r="C176" s="245">
        <f>targets!AX165</f>
        <v>0</v>
      </c>
      <c r="D176" s="245">
        <f>targets!AY165</f>
        <v>0</v>
      </c>
      <c r="E176" s="245">
        <f>targets!AZ165</f>
        <v>0</v>
      </c>
      <c r="F176" s="245">
        <f>targets!BA165</f>
        <v>0</v>
      </c>
      <c r="G176" s="245">
        <f>SUM(targets!BB165:BG165)</f>
        <v>0</v>
      </c>
      <c r="H176" s="40">
        <f>SUM(targets!BH165:BM165)</f>
        <v>2592.1287113747899</v>
      </c>
      <c r="I176" s="246">
        <f t="shared" si="1093"/>
        <v>2592.1287113747899</v>
      </c>
      <c r="J176" s="245">
        <f>targets!BN165</f>
        <v>0</v>
      </c>
      <c r="K176" s="245">
        <f>targets!BO165</f>
        <v>0</v>
      </c>
      <c r="L176" s="245">
        <f>targets!BP165</f>
        <v>0</v>
      </c>
      <c r="M176" s="178">
        <f t="shared" si="1094"/>
        <v>0</v>
      </c>
      <c r="N176" s="17">
        <f t="shared" si="1056"/>
        <v>2592.1287113747899</v>
      </c>
      <c r="O176" s="208"/>
      <c r="P176" s="17"/>
      <c r="Q176" s="64" t="s">
        <v>51</v>
      </c>
      <c r="R176" s="38"/>
      <c r="S176" s="245"/>
      <c r="T176" s="245"/>
      <c r="U176" s="245">
        <f t="shared" si="1057"/>
        <v>0</v>
      </c>
      <c r="V176" s="245">
        <f t="shared" si="1058"/>
        <v>0</v>
      </c>
      <c r="W176" s="245">
        <f t="shared" si="1059"/>
        <v>0</v>
      </c>
      <c r="X176" s="40">
        <f t="shared" si="1060"/>
        <v>0</v>
      </c>
      <c r="Y176" s="246">
        <f t="shared" si="1061"/>
        <v>0</v>
      </c>
      <c r="Z176" s="245">
        <f t="shared" si="1062"/>
        <v>0</v>
      </c>
      <c r="AA176" s="245">
        <f t="shared" si="1063"/>
        <v>0</v>
      </c>
      <c r="AB176" s="245" t="e">
        <f t="shared" si="1064"/>
        <v>#DIV/0!</v>
      </c>
      <c r="AC176" s="178" t="e">
        <f t="shared" si="1065"/>
        <v>#DIV/0!</v>
      </c>
      <c r="AD176" s="17" t="e">
        <f t="shared" si="1066"/>
        <v>#DIV/0!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5">
        <f t="array" ref="AH176">SUM(IF((modeldata!$F:$F=calibration!$AF$158)*(modeldata!$G:$G=calibration!AH$160)*(modeldata!$H:$H=calibration!$AF176),modeldata!$E:$E,0))</f>
        <v>0</v>
      </c>
      <c r="AI176" s="245">
        <f t="array" ref="AI176">SUM(IF((modeldata!$F:$F=calibration!$AF$158)*(modeldata!$G:$G=calibration!AI$160)*(modeldata!$H:$H=calibration!$AF176),modeldata!$E:$E,0))</f>
        <v>0</v>
      </c>
      <c r="AJ176" s="245">
        <f t="array" ref="AJ176">SUM(IF((modeldata!$F:$F=calibration!$AF$158)*(modeldata!$G:$G=calibration!AJ$160)*(modeldata!$H:$H=calibration!$AF176),modeldata!$E:$E,0))</f>
        <v>0</v>
      </c>
      <c r="AK176" s="245">
        <f t="array" ref="AK176">SUM(IF((modeldata!$F:$F=calibration!$AF$158)*(modeldata!$G:$G=calibration!AK$160)*(modeldata!$H:$H=calibration!$AF176),modeldata!$E:$E,0))</f>
        <v>0</v>
      </c>
      <c r="AL176" s="245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6"/>
      <c r="AO176" s="245">
        <f t="array" ref="AO176">SUM(IF((modeldata!$F:$F=calibration!$AF$158)*(modeldata!$G:$G=calibration!AO$160)*(modeldata!$H:$H=calibration!$AF176),modeldata!$E:$E,0))</f>
        <v>0</v>
      </c>
      <c r="AP176" s="245">
        <f t="array" ref="AP176">SUM(IF((modeldata!$F:$F=calibration!$AF$158)*(modeldata!$G:$G=calibration!AP$160)*(modeldata!$H:$H=calibration!$AF176),modeldata!$E:$E,0))</f>
        <v>0</v>
      </c>
      <c r="AQ176" s="245">
        <f t="array" ref="AQ176">SUM(IF((modeldata!$F:$F=calibration!$AF$158)*(modeldata!$G:$G=calibration!AQ$160)*(modeldata!$H:$H=calibration!$AF176),modeldata!$E:$E,0))</f>
        <v>0</v>
      </c>
      <c r="AR176" s="178">
        <f t="shared" si="1125"/>
        <v>0</v>
      </c>
      <c r="AS176" s="17">
        <f t="shared" si="1067"/>
        <v>0</v>
      </c>
      <c r="AU176" s="64" t="s">
        <v>51</v>
      </c>
      <c r="AV176" s="38">
        <f t="shared" ref="AV176:BG176" si="1210">IF(R181&gt;0,R176/R181,0)</f>
        <v>0</v>
      </c>
      <c r="AW176" s="245">
        <f t="shared" si="1210"/>
        <v>0</v>
      </c>
      <c r="AX176" s="245">
        <f t="shared" si="1210"/>
        <v>0</v>
      </c>
      <c r="AY176" s="245">
        <f t="shared" si="1210"/>
        <v>0</v>
      </c>
      <c r="AZ176" s="245">
        <f t="shared" si="1210"/>
        <v>0</v>
      </c>
      <c r="BA176" s="245">
        <f t="shared" si="1210"/>
        <v>0</v>
      </c>
      <c r="BB176" s="40">
        <f t="shared" si="1210"/>
        <v>0</v>
      </c>
      <c r="BC176" s="246">
        <f t="shared" si="1210"/>
        <v>0</v>
      </c>
      <c r="BD176" s="245">
        <f t="shared" si="1210"/>
        <v>0</v>
      </c>
      <c r="BE176" s="245">
        <f t="shared" si="1210"/>
        <v>0</v>
      </c>
      <c r="BF176" s="245" t="e">
        <f t="shared" si="1210"/>
        <v>#DIV/0!</v>
      </c>
      <c r="BG176" s="178" t="e">
        <f t="shared" si="1210"/>
        <v>#DIV/0!</v>
      </c>
      <c r="BH176" s="24" t="e">
        <f>AD176/AD181</f>
        <v>#DIV/0!</v>
      </c>
      <c r="BJ176" s="64" t="s">
        <v>51</v>
      </c>
      <c r="BK176" s="25">
        <f t="shared" ref="BK176:BV176" si="1211">IF(AG181&gt;0,AG176/AG181,0)</f>
        <v>0</v>
      </c>
      <c r="BL176" s="24">
        <f t="shared" si="1211"/>
        <v>0</v>
      </c>
      <c r="BM176" s="24">
        <f t="shared" si="1211"/>
        <v>0</v>
      </c>
      <c r="BN176" s="24">
        <f t="shared" si="1211"/>
        <v>0</v>
      </c>
      <c r="BO176" s="24">
        <f t="shared" si="1211"/>
        <v>0</v>
      </c>
      <c r="BP176" s="24">
        <f t="shared" si="1211"/>
        <v>0</v>
      </c>
      <c r="BQ176" s="28">
        <f t="shared" si="1211"/>
        <v>0</v>
      </c>
      <c r="BR176" s="77">
        <f t="shared" si="1211"/>
        <v>0</v>
      </c>
      <c r="BS176" s="24">
        <f t="shared" si="1211"/>
        <v>0</v>
      </c>
      <c r="BT176" s="24">
        <f t="shared" si="1211"/>
        <v>0</v>
      </c>
      <c r="BU176" s="24">
        <f t="shared" si="1211"/>
        <v>0</v>
      </c>
      <c r="BV176" s="180">
        <f t="shared" si="1211"/>
        <v>0</v>
      </c>
      <c r="BW176" s="24" t="e">
        <f>AS176/AS181</f>
        <v>#DIV/0!</v>
      </c>
      <c r="BX176" s="24"/>
      <c r="BY176" s="64" t="s">
        <v>51</v>
      </c>
      <c r="BZ176" s="54">
        <f t="shared" si="1098"/>
        <v>0</v>
      </c>
      <c r="CA176" s="55">
        <f t="shared" si="1070"/>
        <v>0</v>
      </c>
      <c r="CB176" s="55">
        <f t="shared" si="1071"/>
        <v>0</v>
      </c>
      <c r="CC176" s="55">
        <f t="shared" si="1072"/>
        <v>0</v>
      </c>
      <c r="CD176" s="55">
        <f t="shared" si="1073"/>
        <v>0</v>
      </c>
      <c r="CE176" s="55">
        <f t="shared" si="1074"/>
        <v>0</v>
      </c>
      <c r="CF176" s="60">
        <f t="shared" si="1075"/>
        <v>0</v>
      </c>
      <c r="CG176" s="249">
        <f t="shared" si="1076"/>
        <v>0</v>
      </c>
      <c r="CH176" s="55">
        <f t="shared" si="1077"/>
        <v>0</v>
      </c>
      <c r="CI176" s="55">
        <f t="shared" si="1078"/>
        <v>0</v>
      </c>
      <c r="CJ176" s="55" t="e">
        <f t="shared" si="1079"/>
        <v>#DIV/0!</v>
      </c>
      <c r="CK176" s="252" t="e">
        <f t="shared" si="1079"/>
        <v>#DIV/0!</v>
      </c>
      <c r="CL176" s="55" t="e">
        <f t="shared" si="1080"/>
        <v>#DIV/0!</v>
      </c>
      <c r="CN176" s="64" t="s">
        <v>51</v>
      </c>
      <c r="CO176" s="54">
        <f t="shared" si="1099"/>
        <v>0</v>
      </c>
      <c r="CP176" s="55">
        <f t="shared" si="1081"/>
        <v>0</v>
      </c>
      <c r="CQ176" s="55">
        <f t="shared" si="1082"/>
        <v>0</v>
      </c>
      <c r="CR176" s="55">
        <f t="shared" si="1083"/>
        <v>0</v>
      </c>
      <c r="CS176" s="55">
        <f t="shared" si="1084"/>
        <v>0</v>
      </c>
      <c r="CT176" s="55">
        <f t="shared" si="1085"/>
        <v>0</v>
      </c>
      <c r="CU176" s="60">
        <f t="shared" si="1086"/>
        <v>0</v>
      </c>
      <c r="CV176" s="249">
        <f t="shared" si="1087"/>
        <v>0</v>
      </c>
      <c r="CW176" s="55">
        <f t="shared" si="1088"/>
        <v>0</v>
      </c>
      <c r="CX176" s="55">
        <f t="shared" si="1089"/>
        <v>0</v>
      </c>
      <c r="CY176" s="55" t="e">
        <f t="shared" si="1090"/>
        <v>#DIV/0!</v>
      </c>
      <c r="CZ176" s="252" t="e">
        <f t="shared" si="1090"/>
        <v>#DIV/0!</v>
      </c>
      <c r="DA176" s="62" t="e">
        <f t="shared" si="1091"/>
        <v>#DIV/0!</v>
      </c>
      <c r="DC176" s="64" t="s">
        <v>51</v>
      </c>
      <c r="DD176" s="198">
        <f t="shared" si="1100"/>
        <v>0</v>
      </c>
      <c r="DE176" s="199">
        <f t="shared" si="1101"/>
        <v>0</v>
      </c>
      <c r="DF176" s="198">
        <f t="shared" si="1102"/>
        <v>0</v>
      </c>
      <c r="DG176" s="199">
        <f t="shared" si="1103"/>
        <v>0</v>
      </c>
      <c r="DH176" s="198">
        <f t="shared" si="1104"/>
        <v>0</v>
      </c>
      <c r="DI176" s="199">
        <f t="shared" si="1105"/>
        <v>0</v>
      </c>
      <c r="DJ176" s="198">
        <f t="shared" si="1106"/>
        <v>0</v>
      </c>
      <c r="DK176" s="199">
        <f t="shared" si="1107"/>
        <v>0</v>
      </c>
      <c r="DL176" s="198">
        <f t="shared" si="1108"/>
        <v>0</v>
      </c>
      <c r="DM176" s="199">
        <f t="shared" si="1109"/>
        <v>0</v>
      </c>
      <c r="DN176" s="198">
        <f t="shared" si="1110"/>
        <v>0</v>
      </c>
      <c r="DO176" s="199">
        <f t="shared" si="1111"/>
        <v>0</v>
      </c>
      <c r="DP176" s="198">
        <f t="shared" si="1112"/>
        <v>0</v>
      </c>
      <c r="DQ176" s="199">
        <f t="shared" si="1113"/>
        <v>0</v>
      </c>
      <c r="DR176" s="198">
        <f t="shared" si="1114"/>
        <v>0</v>
      </c>
      <c r="DS176" s="199">
        <f t="shared" si="1115"/>
        <v>0</v>
      </c>
      <c r="DT176" s="198">
        <f t="shared" si="1116"/>
        <v>0</v>
      </c>
      <c r="DU176" s="199">
        <f t="shared" si="1117"/>
        <v>0</v>
      </c>
      <c r="DV176" s="198">
        <f t="shared" si="1118"/>
        <v>0</v>
      </c>
      <c r="DW176" s="199">
        <f t="shared" si="1119"/>
        <v>0</v>
      </c>
      <c r="DX176" s="198" t="e">
        <f t="shared" si="1120"/>
        <v>#DIV/0!</v>
      </c>
      <c r="DY176" s="199">
        <f t="shared" si="1121"/>
        <v>0</v>
      </c>
      <c r="DZ176" s="190" t="e">
        <f t="shared" si="1122"/>
        <v>#DIV/0!</v>
      </c>
      <c r="EA176" s="199">
        <f t="shared" si="1092"/>
        <v>0</v>
      </c>
      <c r="EB176" s="190" t="e">
        <f t="shared" si="1123"/>
        <v>#DIV/0!</v>
      </c>
      <c r="EC176" s="190" t="e">
        <f t="shared" si="1124"/>
        <v>#DIV/0!</v>
      </c>
    </row>
    <row r="177" spans="1:133" x14ac:dyDescent="0.2">
      <c r="A177" s="64" t="s">
        <v>52</v>
      </c>
      <c r="B177" s="38">
        <f>targets!AW166</f>
        <v>0</v>
      </c>
      <c r="C177" s="245">
        <f>targets!AX166</f>
        <v>0</v>
      </c>
      <c r="D177" s="245">
        <f>targets!AY166</f>
        <v>0</v>
      </c>
      <c r="E177" s="245">
        <f>targets!AZ166</f>
        <v>0</v>
      </c>
      <c r="F177" s="245">
        <f>targets!BA166</f>
        <v>0</v>
      </c>
      <c r="G177" s="245">
        <f>SUM(targets!BB166:BG166)</f>
        <v>0</v>
      </c>
      <c r="H177" s="41">
        <f>SUM(targets!BH166:BM166)</f>
        <v>425.77933737987439</v>
      </c>
      <c r="I177" s="246">
        <f t="shared" si="1093"/>
        <v>425.77933737987439</v>
      </c>
      <c r="J177" s="245">
        <f>targets!BN166</f>
        <v>0</v>
      </c>
      <c r="K177" s="245">
        <f>targets!BO166</f>
        <v>0</v>
      </c>
      <c r="L177" s="245">
        <f>targets!BP166</f>
        <v>0</v>
      </c>
      <c r="M177" s="178">
        <f t="shared" si="1094"/>
        <v>0</v>
      </c>
      <c r="N177" s="17">
        <f t="shared" si="1056"/>
        <v>425.77933737987439</v>
      </c>
      <c r="O177" s="208"/>
      <c r="P177" s="17"/>
      <c r="Q177" s="64" t="s">
        <v>52</v>
      </c>
      <c r="R177" s="38"/>
      <c r="S177" s="245"/>
      <c r="T177" s="245"/>
      <c r="U177" s="245">
        <f t="shared" si="1057"/>
        <v>0</v>
      </c>
      <c r="V177" s="245">
        <f t="shared" si="1058"/>
        <v>0</v>
      </c>
      <c r="W177" s="245">
        <f t="shared" si="1059"/>
        <v>0</v>
      </c>
      <c r="X177" s="41">
        <f t="shared" si="1060"/>
        <v>0</v>
      </c>
      <c r="Y177" s="246">
        <f t="shared" si="1061"/>
        <v>0</v>
      </c>
      <c r="Z177" s="245">
        <f t="shared" si="1062"/>
        <v>0</v>
      </c>
      <c r="AA177" s="245">
        <f t="shared" si="1063"/>
        <v>0</v>
      </c>
      <c r="AB177" s="245" t="e">
        <f t="shared" si="1064"/>
        <v>#DIV/0!</v>
      </c>
      <c r="AC177" s="178" t="e">
        <f t="shared" si="1065"/>
        <v>#DIV/0!</v>
      </c>
      <c r="AD177" s="17" t="e">
        <f t="shared" si="1066"/>
        <v>#DIV/0!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5">
        <f t="array" ref="AH177">SUM(IF((modeldata!$F:$F=calibration!$AF$158)*(modeldata!$G:$G=calibration!AH$160)*(modeldata!$H:$H=calibration!$AF177),modeldata!$E:$E,0))</f>
        <v>0</v>
      </c>
      <c r="AI177" s="245">
        <f t="array" ref="AI177">SUM(IF((modeldata!$F:$F=calibration!$AF$158)*(modeldata!$G:$G=calibration!AI$160)*(modeldata!$H:$H=calibration!$AF177),modeldata!$E:$E,0))</f>
        <v>0</v>
      </c>
      <c r="AJ177" s="245">
        <f t="array" ref="AJ177">SUM(IF((modeldata!$F:$F=calibration!$AF$158)*(modeldata!$G:$G=calibration!AJ$160)*(modeldata!$H:$H=calibration!$AF177),modeldata!$E:$E,0))</f>
        <v>0</v>
      </c>
      <c r="AK177" s="245">
        <f t="array" ref="AK177">SUM(IF((modeldata!$F:$F=calibration!$AF$158)*(modeldata!$G:$G=calibration!AK$160)*(modeldata!$H:$H=calibration!$AF177),modeldata!$E:$E,0))</f>
        <v>0</v>
      </c>
      <c r="AL177" s="245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6"/>
      <c r="AO177" s="245">
        <f t="array" ref="AO177">SUM(IF((modeldata!$F:$F=calibration!$AF$158)*(modeldata!$G:$G=calibration!AO$160)*(modeldata!$H:$H=calibration!$AF177),modeldata!$E:$E,0))</f>
        <v>0</v>
      </c>
      <c r="AP177" s="245">
        <f t="array" ref="AP177">SUM(IF((modeldata!$F:$F=calibration!$AF$158)*(modeldata!$G:$G=calibration!AP$160)*(modeldata!$H:$H=calibration!$AF177),modeldata!$E:$E,0))</f>
        <v>0</v>
      </c>
      <c r="AQ177" s="245">
        <f t="array" ref="AQ177">SUM(IF((modeldata!$F:$F=calibration!$AF$158)*(modeldata!$G:$G=calibration!AQ$160)*(modeldata!$H:$H=calibration!$AF177),modeldata!$E:$E,0))</f>
        <v>0</v>
      </c>
      <c r="AR177" s="178">
        <f t="shared" si="1125"/>
        <v>0</v>
      </c>
      <c r="AS177" s="17">
        <f t="shared" si="1067"/>
        <v>0</v>
      </c>
      <c r="AU177" s="64" t="s">
        <v>52</v>
      </c>
      <c r="AV177" s="38">
        <f t="shared" ref="AV177:BG177" si="1212">IF(R181&gt;0,R177/R181,0)</f>
        <v>0</v>
      </c>
      <c r="AW177" s="245">
        <f t="shared" si="1212"/>
        <v>0</v>
      </c>
      <c r="AX177" s="245">
        <f t="shared" si="1212"/>
        <v>0</v>
      </c>
      <c r="AY177" s="245">
        <f t="shared" si="1212"/>
        <v>0</v>
      </c>
      <c r="AZ177" s="245">
        <f t="shared" si="1212"/>
        <v>0</v>
      </c>
      <c r="BA177" s="245">
        <f t="shared" si="1212"/>
        <v>0</v>
      </c>
      <c r="BB177" s="41">
        <f t="shared" si="1212"/>
        <v>0</v>
      </c>
      <c r="BC177" s="246">
        <f t="shared" si="1212"/>
        <v>0</v>
      </c>
      <c r="BD177" s="245">
        <f t="shared" si="1212"/>
        <v>0</v>
      </c>
      <c r="BE177" s="245">
        <f t="shared" si="1212"/>
        <v>0</v>
      </c>
      <c r="BF177" s="245" t="e">
        <f t="shared" si="1212"/>
        <v>#DIV/0!</v>
      </c>
      <c r="BG177" s="178" t="e">
        <f t="shared" si="1212"/>
        <v>#DIV/0!</v>
      </c>
      <c r="BH177" s="24" t="e">
        <f>AD177/AD181</f>
        <v>#DIV/0!</v>
      </c>
      <c r="BJ177" s="64" t="s">
        <v>52</v>
      </c>
      <c r="BK177" s="25">
        <f t="shared" ref="BK177:BV177" si="1213">IF(AG181&gt;0,AG177/AG181,0)</f>
        <v>0</v>
      </c>
      <c r="BL177" s="24">
        <f t="shared" si="1213"/>
        <v>0</v>
      </c>
      <c r="BM177" s="24">
        <f t="shared" si="1213"/>
        <v>0</v>
      </c>
      <c r="BN177" s="24">
        <f t="shared" si="1213"/>
        <v>0</v>
      </c>
      <c r="BO177" s="24">
        <f t="shared" si="1213"/>
        <v>0</v>
      </c>
      <c r="BP177" s="24">
        <f t="shared" si="1213"/>
        <v>0</v>
      </c>
      <c r="BQ177" s="29">
        <f t="shared" si="1213"/>
        <v>0</v>
      </c>
      <c r="BR177" s="77">
        <f t="shared" si="1213"/>
        <v>0</v>
      </c>
      <c r="BS177" s="24">
        <f t="shared" si="1213"/>
        <v>0</v>
      </c>
      <c r="BT177" s="24">
        <f t="shared" si="1213"/>
        <v>0</v>
      </c>
      <c r="BU177" s="24">
        <f t="shared" si="1213"/>
        <v>0</v>
      </c>
      <c r="BV177" s="181">
        <f t="shared" si="1213"/>
        <v>0</v>
      </c>
      <c r="BW177" s="24" t="e">
        <f>AS177/AS181</f>
        <v>#DIV/0!</v>
      </c>
      <c r="BX177" s="24"/>
      <c r="BY177" s="64" t="s">
        <v>52</v>
      </c>
      <c r="BZ177" s="54">
        <f t="shared" si="1098"/>
        <v>0</v>
      </c>
      <c r="CA177" s="55">
        <f t="shared" si="1070"/>
        <v>0</v>
      </c>
      <c r="CB177" s="55">
        <f t="shared" si="1071"/>
        <v>0</v>
      </c>
      <c r="CC177" s="55">
        <f t="shared" si="1072"/>
        <v>0</v>
      </c>
      <c r="CD177" s="55">
        <f t="shared" si="1073"/>
        <v>0</v>
      </c>
      <c r="CE177" s="55">
        <f t="shared" si="1074"/>
        <v>0</v>
      </c>
      <c r="CF177" s="61">
        <f t="shared" si="1075"/>
        <v>0</v>
      </c>
      <c r="CG177" s="249">
        <f>AN177-Y177</f>
        <v>0</v>
      </c>
      <c r="CH177" s="55">
        <f t="shared" si="1077"/>
        <v>0</v>
      </c>
      <c r="CI177" s="55">
        <f t="shared" si="1078"/>
        <v>0</v>
      </c>
      <c r="CJ177" s="55" t="e">
        <f t="shared" si="1079"/>
        <v>#DIV/0!</v>
      </c>
      <c r="CK177" s="252" t="e">
        <f t="shared" si="1079"/>
        <v>#DIV/0!</v>
      </c>
      <c r="CL177" s="55" t="e">
        <f t="shared" si="1080"/>
        <v>#DIV/0!</v>
      </c>
      <c r="CN177" s="64" t="s">
        <v>52</v>
      </c>
      <c r="CO177" s="54">
        <f t="shared" si="1099"/>
        <v>0</v>
      </c>
      <c r="CP177" s="55">
        <f t="shared" si="1081"/>
        <v>0</v>
      </c>
      <c r="CQ177" s="55">
        <f t="shared" si="1082"/>
        <v>0</v>
      </c>
      <c r="CR177" s="55">
        <f t="shared" si="1083"/>
        <v>0</v>
      </c>
      <c r="CS177" s="55">
        <f t="shared" si="1084"/>
        <v>0</v>
      </c>
      <c r="CT177" s="55">
        <f t="shared" si="1085"/>
        <v>0</v>
      </c>
      <c r="CU177" s="61">
        <f t="shared" si="1086"/>
        <v>0</v>
      </c>
      <c r="CV177" s="249">
        <f t="shared" si="1087"/>
        <v>0</v>
      </c>
      <c r="CW177" s="55">
        <f t="shared" si="1088"/>
        <v>0</v>
      </c>
      <c r="CX177" s="55">
        <f t="shared" si="1089"/>
        <v>0</v>
      </c>
      <c r="CY177" s="55" t="e">
        <f t="shared" si="1090"/>
        <v>#DIV/0!</v>
      </c>
      <c r="CZ177" s="252" t="e">
        <f t="shared" si="1090"/>
        <v>#DIV/0!</v>
      </c>
      <c r="DA177" s="62" t="e">
        <f t="shared" si="1091"/>
        <v>#DIV/0!</v>
      </c>
      <c r="DC177" s="64" t="s">
        <v>52</v>
      </c>
      <c r="DD177" s="198">
        <f t="shared" si="1100"/>
        <v>0</v>
      </c>
      <c r="DE177" s="199">
        <f t="shared" si="1101"/>
        <v>0</v>
      </c>
      <c r="DF177" s="198">
        <f t="shared" si="1102"/>
        <v>0</v>
      </c>
      <c r="DG177" s="199">
        <f t="shared" si="1103"/>
        <v>0</v>
      </c>
      <c r="DH177" s="198">
        <f t="shared" si="1104"/>
        <v>0</v>
      </c>
      <c r="DI177" s="199">
        <f t="shared" si="1105"/>
        <v>0</v>
      </c>
      <c r="DJ177" s="198">
        <f t="shared" si="1106"/>
        <v>0</v>
      </c>
      <c r="DK177" s="199">
        <f t="shared" si="1107"/>
        <v>0</v>
      </c>
      <c r="DL177" s="198">
        <f t="shared" si="1108"/>
        <v>0</v>
      </c>
      <c r="DM177" s="199">
        <f t="shared" si="1109"/>
        <v>0</v>
      </c>
      <c r="DN177" s="198">
        <f t="shared" si="1110"/>
        <v>0</v>
      </c>
      <c r="DO177" s="199">
        <f t="shared" si="1111"/>
        <v>0</v>
      </c>
      <c r="DP177" s="200">
        <f t="shared" si="1112"/>
        <v>0</v>
      </c>
      <c r="DQ177" s="201">
        <f t="shared" si="1113"/>
        <v>0</v>
      </c>
      <c r="DR177" s="198">
        <f t="shared" si="1114"/>
        <v>0</v>
      </c>
      <c r="DS177" s="199">
        <f t="shared" si="1115"/>
        <v>0</v>
      </c>
      <c r="DT177" s="198">
        <f t="shared" si="1116"/>
        <v>0</v>
      </c>
      <c r="DU177" s="199">
        <f t="shared" si="1117"/>
        <v>0</v>
      </c>
      <c r="DV177" s="198">
        <f t="shared" si="1118"/>
        <v>0</v>
      </c>
      <c r="DW177" s="199">
        <f t="shared" si="1119"/>
        <v>0</v>
      </c>
      <c r="DX177" s="198" t="e">
        <f t="shared" si="1120"/>
        <v>#DIV/0!</v>
      </c>
      <c r="DY177" s="199">
        <f t="shared" si="1121"/>
        <v>0</v>
      </c>
      <c r="DZ177" s="190" t="e">
        <f t="shared" si="1122"/>
        <v>#DIV/0!</v>
      </c>
      <c r="EA177" s="199">
        <f t="shared" si="1092"/>
        <v>0</v>
      </c>
      <c r="EB177" s="190" t="e">
        <f t="shared" si="1123"/>
        <v>#DIV/0!</v>
      </c>
      <c r="EC177" s="190" t="e">
        <f t="shared" si="1124"/>
        <v>#DIV/0!</v>
      </c>
    </row>
    <row r="178" spans="1:133" x14ac:dyDescent="0.2">
      <c r="A178" s="2" t="s">
        <v>6</v>
      </c>
      <c r="B178" s="264">
        <f>SUM(targets!AW167:AY167)</f>
        <v>0</v>
      </c>
      <c r="C178" s="265"/>
      <c r="D178" s="265"/>
      <c r="E178" s="245">
        <f>targets!AZ167</f>
        <v>0</v>
      </c>
      <c r="F178" s="245">
        <f>targets!BA167</f>
        <v>0</v>
      </c>
      <c r="G178" s="245">
        <f>SUM(targets!BB167:BG167)</f>
        <v>0</v>
      </c>
      <c r="H178" s="245">
        <f>SUM(targets!BH167:BM167)</f>
        <v>0</v>
      </c>
      <c r="I178" s="246">
        <f t="shared" si="1093"/>
        <v>0</v>
      </c>
      <c r="J178" s="245">
        <f>targets!BN167</f>
        <v>1278.5385564536098</v>
      </c>
      <c r="K178" s="245">
        <f>targets!BO167</f>
        <v>3210.1266133605163</v>
      </c>
      <c r="L178" s="245">
        <f>targets!BP167</f>
        <v>0</v>
      </c>
      <c r="M178" s="178">
        <f t="shared" si="1094"/>
        <v>4488.6651698141259</v>
      </c>
      <c r="N178" s="17">
        <f t="shared" si="1056"/>
        <v>4488.6651698141259</v>
      </c>
      <c r="O178" s="208"/>
      <c r="P178" s="17"/>
      <c r="Q178" s="2" t="s">
        <v>6</v>
      </c>
      <c r="R178" s="264">
        <f>B178*(AG181/B181)</f>
        <v>0</v>
      </c>
      <c r="S178" s="265"/>
      <c r="T178" s="265"/>
      <c r="U178" s="245">
        <f t="shared" si="1057"/>
        <v>0</v>
      </c>
      <c r="V178" s="245">
        <f t="shared" si="1058"/>
        <v>0</v>
      </c>
      <c r="W178" s="245">
        <f t="shared" si="1059"/>
        <v>0</v>
      </c>
      <c r="X178" s="245">
        <f t="shared" si="1060"/>
        <v>0</v>
      </c>
      <c r="Y178" s="246">
        <f t="shared" si="1061"/>
        <v>0</v>
      </c>
      <c r="Z178" s="245">
        <f t="shared" si="1062"/>
        <v>0</v>
      </c>
      <c r="AA178" s="245">
        <f t="shared" si="1063"/>
        <v>0</v>
      </c>
      <c r="AB178" s="245" t="e">
        <f t="shared" si="1064"/>
        <v>#DIV/0!</v>
      </c>
      <c r="AC178" s="178" t="e">
        <f t="shared" si="1065"/>
        <v>#DIV/0!</v>
      </c>
      <c r="AD178" s="17" t="e">
        <f t="shared" si="1066"/>
        <v>#DIV/0!</v>
      </c>
      <c r="AF178" s="2" t="s">
        <v>6</v>
      </c>
      <c r="AG178" s="264">
        <f t="array" ref="AG178">SUM(IF((modeldata!$F:$F=calibration!$AF$158)*(modeldata!$G:$G=calibration!AG$160)*(modeldata!$H:$H=calibration!$AF178),modeldata!$E:$E,0))</f>
        <v>0</v>
      </c>
      <c r="AH178" s="265"/>
      <c r="AI178" s="265"/>
      <c r="AJ178" s="245">
        <f t="array" ref="AJ178">SUM(IF((modeldata!$F:$F=calibration!$AF$158)*(modeldata!$G:$G=calibration!AJ$160)*(modeldata!$H:$H=calibration!$AF178),modeldata!$E:$E,0))</f>
        <v>0</v>
      </c>
      <c r="AK178" s="245">
        <f t="array" ref="AK178">SUM(IF((modeldata!$F:$F=calibration!$AF$158)*(modeldata!$G:$G=calibration!AK$160)*(modeldata!$H:$H=calibration!$AF178),modeldata!$E:$E,0))</f>
        <v>0</v>
      </c>
      <c r="AL178" s="245">
        <f t="array" ref="AL178">SUM(IF((modeldata!$F:$F=calibration!$AF$158)*(modeldata!$G:$G=calibration!AL$160)*(modeldata!$H:$H=calibration!$AF178),modeldata!$E:$E,0))</f>
        <v>0</v>
      </c>
      <c r="AM178" s="245">
        <f t="array" ref="AM178">SUM(IF((modeldata!$F:$F=calibration!$AF$158)*(modeldata!$G:$G=calibration!AM$160)*(modeldata!$H:$H=calibration!$AF178),modeldata!$E:$E,0))</f>
        <v>0</v>
      </c>
      <c r="AN178" s="246">
        <f t="shared" si="1095"/>
        <v>0</v>
      </c>
      <c r="AO178" s="245">
        <f t="array" ref="AO178">SUM(IF((modeldata!$F:$F=calibration!$AF$158)*(modeldata!$G:$G=calibration!AO$160)*(modeldata!$H:$H=calibration!$AF178),modeldata!$E:$E,0))</f>
        <v>0</v>
      </c>
      <c r="AP178" s="245">
        <f t="array" ref="AP178">SUM(IF((modeldata!$F:$F=calibration!$AF$158)*(modeldata!$G:$G=calibration!AP$160)*(modeldata!$H:$H=calibration!$AF178),modeldata!$E:$E,0))</f>
        <v>0</v>
      </c>
      <c r="AQ178" s="245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14">SUM(AO178:AQ178)</f>
        <v>0</v>
      </c>
      <c r="AS178" s="17">
        <f t="shared" si="1067"/>
        <v>0</v>
      </c>
      <c r="AU178" s="2" t="s">
        <v>6</v>
      </c>
      <c r="AV178" s="264">
        <f>IF(R181&gt;0,R178/R181,0)</f>
        <v>0</v>
      </c>
      <c r="AW178" s="265">
        <f>IF(C181&gt;0,C178/C181,0)</f>
        <v>0</v>
      </c>
      <c r="AX178" s="265">
        <f>IF(D181&gt;0,D178/D181,0)</f>
        <v>0</v>
      </c>
      <c r="AY178" s="245">
        <f>IF(U181&gt;0,U178/U181,0)</f>
        <v>0</v>
      </c>
      <c r="AZ178" s="245">
        <f>IF(V181&gt;0,V178/V181,0)</f>
        <v>0</v>
      </c>
      <c r="BA178" s="245">
        <f t="shared" ref="BA178:BB180" si="1215">MAX(0,IF(W181&gt;0,W178/W181,0))</f>
        <v>0</v>
      </c>
      <c r="BB178" s="245">
        <f t="shared" si="1215"/>
        <v>0</v>
      </c>
      <c r="BC178" s="246">
        <f>IF(Y181&gt;0,Y178/Y181,0)</f>
        <v>0</v>
      </c>
      <c r="BD178" s="245">
        <f>IF(Z181&gt;0,Z178/Z181,0)</f>
        <v>0</v>
      </c>
      <c r="BE178" s="245">
        <f>IF(AA181&gt;0,AA178/AA181,0)</f>
        <v>0</v>
      </c>
      <c r="BF178" s="245" t="e">
        <f>IF(AB181&gt;0,AB178/AB181,0)</f>
        <v>#DIV/0!</v>
      </c>
      <c r="BG178" s="178" t="e">
        <f>IF(AC181&gt;0,AC178/AC181,0)</f>
        <v>#DIV/0!</v>
      </c>
      <c r="BH178" s="24" t="e">
        <f>AD178/AD181</f>
        <v>#DIV/0!</v>
      </c>
      <c r="BJ178" s="2" t="s">
        <v>6</v>
      </c>
      <c r="BK178" s="242">
        <f t="shared" ref="BK178:BV178" si="1216">IF(AG181&gt;0,AG178/AG181,0)</f>
        <v>0</v>
      </c>
      <c r="BL178" s="243">
        <f t="shared" si="1216"/>
        <v>0</v>
      </c>
      <c r="BM178" s="243">
        <f t="shared" si="1216"/>
        <v>0</v>
      </c>
      <c r="BN178" s="24">
        <f t="shared" si="1216"/>
        <v>0</v>
      </c>
      <c r="BO178" s="24">
        <f t="shared" si="1216"/>
        <v>0</v>
      </c>
      <c r="BP178" s="24">
        <f t="shared" si="1216"/>
        <v>0</v>
      </c>
      <c r="BQ178" s="24">
        <f t="shared" si="1216"/>
        <v>0</v>
      </c>
      <c r="BR178" s="77">
        <f t="shared" si="1216"/>
        <v>0</v>
      </c>
      <c r="BS178" s="22">
        <f t="shared" si="1216"/>
        <v>0</v>
      </c>
      <c r="BT178" s="24">
        <f t="shared" si="1216"/>
        <v>0</v>
      </c>
      <c r="BU178" s="26">
        <f t="shared" si="1216"/>
        <v>0</v>
      </c>
      <c r="BV178" s="182">
        <f t="shared" si="1216"/>
        <v>0</v>
      </c>
      <c r="BW178" s="24" t="e">
        <f>AS178/AS181</f>
        <v>#DIV/0!</v>
      </c>
      <c r="BX178" s="24"/>
      <c r="BY178" s="2" t="s">
        <v>6</v>
      </c>
      <c r="BZ178" s="54">
        <f t="shared" si="1098"/>
        <v>0</v>
      </c>
      <c r="CA178" s="55">
        <f t="shared" si="1070"/>
        <v>0</v>
      </c>
      <c r="CB178" s="55">
        <f t="shared" si="1071"/>
        <v>0</v>
      </c>
      <c r="CC178" s="55">
        <f t="shared" si="1072"/>
        <v>0</v>
      </c>
      <c r="CD178" s="55">
        <f t="shared" si="1073"/>
        <v>0</v>
      </c>
      <c r="CE178" s="55">
        <f t="shared" si="1074"/>
        <v>0</v>
      </c>
      <c r="CF178" s="55">
        <f t="shared" si="1075"/>
        <v>0</v>
      </c>
      <c r="CG178" s="249">
        <f>AN178-Y178</f>
        <v>0</v>
      </c>
      <c r="CH178" s="55">
        <f t="shared" si="1077"/>
        <v>0</v>
      </c>
      <c r="CI178" s="55">
        <f t="shared" si="1078"/>
        <v>0</v>
      </c>
      <c r="CJ178" s="55" t="e">
        <f t="shared" si="1079"/>
        <v>#DIV/0!</v>
      </c>
      <c r="CK178" s="252" t="e">
        <f t="shared" si="1079"/>
        <v>#DIV/0!</v>
      </c>
      <c r="CL178" s="55" t="e">
        <f t="shared" si="1080"/>
        <v>#DIV/0!</v>
      </c>
      <c r="CN178" s="2" t="s">
        <v>6</v>
      </c>
      <c r="CO178" s="54">
        <f t="shared" si="1099"/>
        <v>0</v>
      </c>
      <c r="CP178" s="55">
        <f t="shared" si="1081"/>
        <v>0</v>
      </c>
      <c r="CQ178" s="55">
        <f t="shared" si="1082"/>
        <v>0</v>
      </c>
      <c r="CR178" s="55">
        <f t="shared" si="1083"/>
        <v>0</v>
      </c>
      <c r="CS178" s="55">
        <f t="shared" si="1084"/>
        <v>0</v>
      </c>
      <c r="CT178" s="55">
        <f t="shared" si="1085"/>
        <v>0</v>
      </c>
      <c r="CU178" s="55">
        <f t="shared" si="1086"/>
        <v>0</v>
      </c>
      <c r="CV178" s="249">
        <f t="shared" si="1087"/>
        <v>0</v>
      </c>
      <c r="CW178" s="55">
        <f t="shared" si="1088"/>
        <v>0</v>
      </c>
      <c r="CX178" s="55">
        <f t="shared" si="1089"/>
        <v>0</v>
      </c>
      <c r="CY178" s="55" t="e">
        <f t="shared" si="1090"/>
        <v>#DIV/0!</v>
      </c>
      <c r="CZ178" s="252" t="e">
        <f t="shared" si="1090"/>
        <v>#DIV/0!</v>
      </c>
      <c r="DA178" s="62" t="e">
        <f t="shared" si="1091"/>
        <v>#DIV/0!</v>
      </c>
      <c r="DC178" s="2" t="s">
        <v>6</v>
      </c>
      <c r="DD178" s="198">
        <f t="shared" si="1100"/>
        <v>0</v>
      </c>
      <c r="DE178" s="199">
        <f t="shared" si="1101"/>
        <v>0</v>
      </c>
      <c r="DF178" s="198">
        <f t="shared" si="1102"/>
        <v>0</v>
      </c>
      <c r="DG178" s="199">
        <f t="shared" si="1103"/>
        <v>0</v>
      </c>
      <c r="DH178" s="198">
        <f t="shared" si="1104"/>
        <v>0</v>
      </c>
      <c r="DI178" s="199">
        <f t="shared" si="1105"/>
        <v>0</v>
      </c>
      <c r="DJ178" s="198">
        <f t="shared" si="1106"/>
        <v>0</v>
      </c>
      <c r="DK178" s="199">
        <f t="shared" si="1107"/>
        <v>0</v>
      </c>
      <c r="DL178" s="198">
        <f t="shared" si="1108"/>
        <v>0</v>
      </c>
      <c r="DM178" s="199">
        <f t="shared" si="1109"/>
        <v>0</v>
      </c>
      <c r="DN178" s="198">
        <f t="shared" si="1110"/>
        <v>0</v>
      </c>
      <c r="DO178" s="199">
        <f t="shared" si="1111"/>
        <v>0</v>
      </c>
      <c r="DP178" s="198">
        <f t="shared" si="1112"/>
        <v>0</v>
      </c>
      <c r="DQ178" s="199">
        <f t="shared" si="1113"/>
        <v>0</v>
      </c>
      <c r="DR178" s="198">
        <f t="shared" si="1114"/>
        <v>0</v>
      </c>
      <c r="DS178" s="199">
        <f t="shared" si="1115"/>
        <v>0</v>
      </c>
      <c r="DT178" s="198">
        <f t="shared" si="1116"/>
        <v>0</v>
      </c>
      <c r="DU178" s="199">
        <f t="shared" si="1117"/>
        <v>0</v>
      </c>
      <c r="DV178" s="198">
        <f t="shared" si="1118"/>
        <v>0</v>
      </c>
      <c r="DW178" s="199">
        <f t="shared" si="1119"/>
        <v>0</v>
      </c>
      <c r="DX178" s="198" t="e">
        <f t="shared" si="1120"/>
        <v>#DIV/0!</v>
      </c>
      <c r="DY178" s="199">
        <f t="shared" si="1121"/>
        <v>0</v>
      </c>
      <c r="DZ178" s="190" t="e">
        <f t="shared" si="1122"/>
        <v>#DIV/0!</v>
      </c>
      <c r="EA178" s="199">
        <f t="shared" si="1092"/>
        <v>0</v>
      </c>
      <c r="EB178" s="190" t="e">
        <f t="shared" si="1123"/>
        <v>#DIV/0!</v>
      </c>
      <c r="EC178" s="190" t="e">
        <f t="shared" si="1124"/>
        <v>#DIV/0!</v>
      </c>
    </row>
    <row r="179" spans="1:133" x14ac:dyDescent="0.2">
      <c r="A179" s="2" t="s">
        <v>88</v>
      </c>
      <c r="B179" s="264">
        <f>SUM(targets!AW168:AY168)</f>
        <v>0</v>
      </c>
      <c r="C179" s="265"/>
      <c r="D179" s="265"/>
      <c r="E179" s="245">
        <f>targets!AZ168</f>
        <v>0</v>
      </c>
      <c r="F179" s="245">
        <f>targets!BA168</f>
        <v>0</v>
      </c>
      <c r="G179" s="245">
        <f>SUM(targets!BB168:BG168)</f>
        <v>11051.847815125664</v>
      </c>
      <c r="H179" s="245">
        <f>SUM(targets!BH168:BM168)</f>
        <v>0</v>
      </c>
      <c r="I179" s="246">
        <f t="shared" si="1093"/>
        <v>11051.847815125664</v>
      </c>
      <c r="J179" s="245">
        <f>targets!BN168</f>
        <v>0</v>
      </c>
      <c r="K179" s="245">
        <f>targets!BO168</f>
        <v>14186.273486323416</v>
      </c>
      <c r="L179" s="245">
        <f>targets!BP168</f>
        <v>0</v>
      </c>
      <c r="M179" s="178">
        <f t="shared" si="1094"/>
        <v>14186.273486323416</v>
      </c>
      <c r="N179" s="17">
        <f t="shared" si="1056"/>
        <v>25238.121301449079</v>
      </c>
      <c r="O179" s="208"/>
      <c r="P179" s="17"/>
      <c r="Q179" s="2" t="s">
        <v>88</v>
      </c>
      <c r="R179" s="264">
        <f>B179*(AG181/B181)</f>
        <v>0</v>
      </c>
      <c r="S179" s="265"/>
      <c r="T179" s="265"/>
      <c r="U179" s="245">
        <f t="shared" si="1057"/>
        <v>0</v>
      </c>
      <c r="V179" s="245">
        <f t="shared" si="1058"/>
        <v>0</v>
      </c>
      <c r="W179" s="245">
        <f t="shared" si="1059"/>
        <v>0</v>
      </c>
      <c r="X179" s="245">
        <f t="shared" si="1060"/>
        <v>0</v>
      </c>
      <c r="Y179" s="246">
        <f t="shared" si="1061"/>
        <v>0</v>
      </c>
      <c r="Z179" s="245">
        <f t="shared" si="1062"/>
        <v>0</v>
      </c>
      <c r="AA179" s="245">
        <f t="shared" si="1063"/>
        <v>0</v>
      </c>
      <c r="AB179" s="245" t="e">
        <f t="shared" si="1064"/>
        <v>#DIV/0!</v>
      </c>
      <c r="AC179" s="178" t="e">
        <f t="shared" si="1065"/>
        <v>#DIV/0!</v>
      </c>
      <c r="AD179" s="17" t="e">
        <f t="shared" si="1066"/>
        <v>#DIV/0!</v>
      </c>
      <c r="AF179" s="2" t="s">
        <v>88</v>
      </c>
      <c r="AG179" s="264">
        <f t="array" ref="AG179">SUM(IF((modeldata!$F:$F=calibration!$AF$158)*(modeldata!$G:$G=calibration!AG$160)*(modeldata!$H:$H=calibration!$AF179),modeldata!$E:$E,0))</f>
        <v>0</v>
      </c>
      <c r="AH179" s="265"/>
      <c r="AI179" s="265"/>
      <c r="AJ179" s="245">
        <f t="array" ref="AJ179">SUM(IF((modeldata!$F:$F=calibration!$AF$158)*(modeldata!$G:$G=calibration!AJ$160)*(modeldata!$H:$H=calibration!$AF179),modeldata!$E:$E,0))</f>
        <v>0</v>
      </c>
      <c r="AK179" s="245">
        <f t="array" ref="AK179">SUM(IF((modeldata!$F:$F=calibration!$AF$158)*(modeldata!$G:$G=calibration!AK$160)*(modeldata!$H:$H=calibration!$AF179),modeldata!$E:$E,0))</f>
        <v>0</v>
      </c>
      <c r="AL179" s="245">
        <f t="array" ref="AL179">SUM(IF((modeldata!$F:$F=calibration!$AF$158)*(modeldata!$G:$G=calibration!AL$160)*(modeldata!$H:$H=calibration!$AF179),modeldata!$E:$E,0))</f>
        <v>0</v>
      </c>
      <c r="AM179" s="245">
        <f t="array" ref="AM179">SUM(IF((modeldata!$F:$F=calibration!$AF$158)*(modeldata!$G:$G=calibration!AM$160)*(modeldata!$H:$H=calibration!$AF179),modeldata!$E:$E,0))</f>
        <v>0</v>
      </c>
      <c r="AN179" s="246">
        <f t="shared" si="1095"/>
        <v>0</v>
      </c>
      <c r="AO179" s="245">
        <f t="array" ref="AO179">SUM(IF((modeldata!$F:$F=calibration!$AF$158)*(modeldata!$G:$G=calibration!AO$160)*(modeldata!$H:$H=calibration!$AF179),modeldata!$E:$E,0))</f>
        <v>0</v>
      </c>
      <c r="AP179" s="245">
        <f t="array" ref="AP179">SUM(IF((modeldata!$F:$F=calibration!$AF$158)*(modeldata!$G:$G=calibration!AP$160)*(modeldata!$H:$H=calibration!$AF179),modeldata!$E:$E,0))</f>
        <v>0</v>
      </c>
      <c r="AQ179" s="245">
        <f t="array" ref="AQ179">SUM(IF((modeldata!$F:$F=calibration!$AF$158)*(modeldata!$G:$G=calibration!AQ$160)*(modeldata!$H:$H=calibration!$AF179),modeldata!$E:$E,0))</f>
        <v>0</v>
      </c>
      <c r="AR179" s="178">
        <f t="shared" si="1214"/>
        <v>0</v>
      </c>
      <c r="AS179" s="17">
        <f t="shared" si="1067"/>
        <v>0</v>
      </c>
      <c r="AU179" s="2" t="s">
        <v>88</v>
      </c>
      <c r="AV179" s="264">
        <f>IF(R181&gt;0,R179/R181,0)</f>
        <v>0</v>
      </c>
      <c r="AW179" s="265">
        <f>IF(C181&gt;0,C179/C181,0)</f>
        <v>0</v>
      </c>
      <c r="AX179" s="265">
        <f>IF(D181&gt;0,D179/D181,0)</f>
        <v>0</v>
      </c>
      <c r="AY179" s="245">
        <f>IF(U181&gt;0,U179/U181,0)</f>
        <v>0</v>
      </c>
      <c r="AZ179" s="245">
        <f>IF(V181&gt;0,V179/V181,0)</f>
        <v>0</v>
      </c>
      <c r="BA179" s="245">
        <f t="shared" si="1215"/>
        <v>0</v>
      </c>
      <c r="BB179" s="245">
        <f t="shared" si="1215"/>
        <v>0</v>
      </c>
      <c r="BC179" s="246">
        <f>IF(Y181&gt;0,Y179/Y181,0)</f>
        <v>0</v>
      </c>
      <c r="BD179" s="245">
        <f>IF(Z181&gt;0,Z179/Z181,0)</f>
        <v>0</v>
      </c>
      <c r="BE179" s="245">
        <f>IF(AA181&gt;0,AA179/AA181,0)</f>
        <v>0</v>
      </c>
      <c r="BF179" s="245" t="e">
        <f>IF(AB181&gt;0,AB179/AB181,0)</f>
        <v>#DIV/0!</v>
      </c>
      <c r="BG179" s="178" t="e">
        <f>IF(AC181&gt;0,AC179/AC181,0)</f>
        <v>#DIV/0!</v>
      </c>
      <c r="BH179" s="24" t="e">
        <f>AD179/AD181</f>
        <v>#DIV/0!</v>
      </c>
      <c r="BJ179" s="2" t="s">
        <v>88</v>
      </c>
      <c r="BK179" s="242">
        <f t="shared" ref="BK179:BV179" si="1217">IF(AG181&gt;0,AG179/AG181,0)</f>
        <v>0</v>
      </c>
      <c r="BL179" s="243">
        <f t="shared" si="1217"/>
        <v>0</v>
      </c>
      <c r="BM179" s="243">
        <f t="shared" si="1217"/>
        <v>0</v>
      </c>
      <c r="BN179" s="24">
        <f t="shared" si="1217"/>
        <v>0</v>
      </c>
      <c r="BO179" s="24">
        <f t="shared" si="1217"/>
        <v>0</v>
      </c>
      <c r="BP179" s="24">
        <f t="shared" si="1217"/>
        <v>0</v>
      </c>
      <c r="BQ179" s="24">
        <f t="shared" si="1217"/>
        <v>0</v>
      </c>
      <c r="BR179" s="77">
        <f t="shared" si="1217"/>
        <v>0</v>
      </c>
      <c r="BS179" s="24">
        <f t="shared" si="1217"/>
        <v>0</v>
      </c>
      <c r="BT179" s="22">
        <f t="shared" si="1217"/>
        <v>0</v>
      </c>
      <c r="BU179" s="26">
        <f t="shared" si="1217"/>
        <v>0</v>
      </c>
      <c r="BV179" s="183">
        <f t="shared" si="1217"/>
        <v>0</v>
      </c>
      <c r="BW179" s="24" t="e">
        <f>AS179/AS181</f>
        <v>#DIV/0!</v>
      </c>
      <c r="BX179" s="24"/>
      <c r="BY179" s="2" t="s">
        <v>88</v>
      </c>
      <c r="BZ179" s="54">
        <f t="shared" si="1098"/>
        <v>0</v>
      </c>
      <c r="CA179" s="55">
        <f t="shared" si="1070"/>
        <v>0</v>
      </c>
      <c r="CB179" s="55">
        <f t="shared" si="1071"/>
        <v>0</v>
      </c>
      <c r="CC179" s="55">
        <f t="shared" si="1072"/>
        <v>0</v>
      </c>
      <c r="CD179" s="55">
        <f t="shared" si="1073"/>
        <v>0</v>
      </c>
      <c r="CE179" s="55">
        <f t="shared" si="1074"/>
        <v>0</v>
      </c>
      <c r="CF179" s="55">
        <f t="shared" si="1075"/>
        <v>0</v>
      </c>
      <c r="CG179" s="249">
        <f>AN179-Y179</f>
        <v>0</v>
      </c>
      <c r="CH179" s="55">
        <f t="shared" si="1077"/>
        <v>0</v>
      </c>
      <c r="CI179" s="55">
        <f t="shared" si="1078"/>
        <v>0</v>
      </c>
      <c r="CJ179" s="55" t="e">
        <f t="shared" si="1079"/>
        <v>#DIV/0!</v>
      </c>
      <c r="CK179" s="252" t="e">
        <f t="shared" si="1079"/>
        <v>#DIV/0!</v>
      </c>
      <c r="CL179" s="55" t="e">
        <f t="shared" si="1080"/>
        <v>#DIV/0!</v>
      </c>
      <c r="CN179" s="2" t="s">
        <v>88</v>
      </c>
      <c r="CO179" s="54">
        <f t="shared" si="1099"/>
        <v>0</v>
      </c>
      <c r="CP179" s="55">
        <f t="shared" si="1081"/>
        <v>0</v>
      </c>
      <c r="CQ179" s="55">
        <f t="shared" si="1082"/>
        <v>0</v>
      </c>
      <c r="CR179" s="55">
        <f t="shared" si="1083"/>
        <v>0</v>
      </c>
      <c r="CS179" s="55">
        <f t="shared" si="1084"/>
        <v>0</v>
      </c>
      <c r="CT179" s="55">
        <f t="shared" si="1085"/>
        <v>0</v>
      </c>
      <c r="CU179" s="55">
        <f t="shared" si="1086"/>
        <v>0</v>
      </c>
      <c r="CV179" s="249">
        <f t="shared" si="1087"/>
        <v>0</v>
      </c>
      <c r="CW179" s="55">
        <f t="shared" si="1088"/>
        <v>0</v>
      </c>
      <c r="CX179" s="55">
        <f t="shared" si="1089"/>
        <v>0</v>
      </c>
      <c r="CY179" s="55" t="e">
        <f t="shared" si="1090"/>
        <v>#DIV/0!</v>
      </c>
      <c r="CZ179" s="252" t="e">
        <f t="shared" si="1090"/>
        <v>#DIV/0!</v>
      </c>
      <c r="DA179" s="62" t="e">
        <f t="shared" si="1091"/>
        <v>#DIV/0!</v>
      </c>
      <c r="DC179" s="2" t="s">
        <v>88</v>
      </c>
      <c r="DD179" s="198">
        <f t="shared" si="1100"/>
        <v>0</v>
      </c>
      <c r="DE179" s="199">
        <f t="shared" si="1101"/>
        <v>0</v>
      </c>
      <c r="DF179" s="198">
        <f t="shared" si="1102"/>
        <v>0</v>
      </c>
      <c r="DG179" s="199">
        <f t="shared" si="1103"/>
        <v>0</v>
      </c>
      <c r="DH179" s="198">
        <f t="shared" si="1104"/>
        <v>0</v>
      </c>
      <c r="DI179" s="199">
        <f t="shared" si="1105"/>
        <v>0</v>
      </c>
      <c r="DJ179" s="198">
        <f t="shared" si="1106"/>
        <v>0</v>
      </c>
      <c r="DK179" s="199">
        <f t="shared" si="1107"/>
        <v>0</v>
      </c>
      <c r="DL179" s="198">
        <f t="shared" si="1108"/>
        <v>0</v>
      </c>
      <c r="DM179" s="199">
        <f t="shared" si="1109"/>
        <v>0</v>
      </c>
      <c r="DN179" s="198">
        <f t="shared" si="1110"/>
        <v>0</v>
      </c>
      <c r="DO179" s="199">
        <f t="shared" si="1111"/>
        <v>0</v>
      </c>
      <c r="DP179" s="198">
        <f t="shared" si="1112"/>
        <v>0</v>
      </c>
      <c r="DQ179" s="199">
        <f t="shared" si="1113"/>
        <v>0</v>
      </c>
      <c r="DR179" s="198">
        <f t="shared" si="1114"/>
        <v>0</v>
      </c>
      <c r="DS179" s="199">
        <f t="shared" si="1115"/>
        <v>0</v>
      </c>
      <c r="DT179" s="198">
        <f t="shared" si="1116"/>
        <v>0</v>
      </c>
      <c r="DU179" s="199">
        <f t="shared" si="1117"/>
        <v>0</v>
      </c>
      <c r="DV179" s="198">
        <f t="shared" si="1118"/>
        <v>0</v>
      </c>
      <c r="DW179" s="199">
        <f t="shared" si="1119"/>
        <v>0</v>
      </c>
      <c r="DX179" s="198" t="e">
        <f t="shared" si="1120"/>
        <v>#DIV/0!</v>
      </c>
      <c r="DY179" s="199">
        <f t="shared" si="1121"/>
        <v>0</v>
      </c>
      <c r="DZ179" s="190" t="e">
        <f t="shared" si="1122"/>
        <v>#DIV/0!</v>
      </c>
      <c r="EA179" s="199">
        <f t="shared" si="1092"/>
        <v>0</v>
      </c>
      <c r="EB179" s="190" t="e">
        <f t="shared" si="1123"/>
        <v>#DIV/0!</v>
      </c>
      <c r="EC179" s="190" t="e">
        <f t="shared" si="1124"/>
        <v>#DIV/0!</v>
      </c>
    </row>
    <row r="180" spans="1:133" x14ac:dyDescent="0.2">
      <c r="A180" s="2" t="s">
        <v>89</v>
      </c>
      <c r="B180" s="271">
        <f>SUM(targets!AW169:AY169)</f>
        <v>0</v>
      </c>
      <c r="C180" s="272"/>
      <c r="D180" s="272"/>
      <c r="E180" s="43">
        <f>targets!AZ169</f>
        <v>0</v>
      </c>
      <c r="F180" s="43">
        <f>targets!BA169</f>
        <v>0</v>
      </c>
      <c r="G180" s="43">
        <f>SUM(targets!BB169:BG169)</f>
        <v>58.526998184380659</v>
      </c>
      <c r="H180" s="43">
        <f>SUM(targets!BH169:BM169)</f>
        <v>0</v>
      </c>
      <c r="I180" s="75">
        <f t="shared" si="1093"/>
        <v>58.526998184380659</v>
      </c>
      <c r="J180" s="43">
        <f>targets!BN169</f>
        <v>0</v>
      </c>
      <c r="K180" s="43">
        <f>targets!BO169</f>
        <v>0</v>
      </c>
      <c r="L180" s="43">
        <f>targets!BP169</f>
        <v>0</v>
      </c>
      <c r="M180" s="247">
        <f t="shared" si="1094"/>
        <v>0</v>
      </c>
      <c r="N180" s="17">
        <f t="shared" si="1056"/>
        <v>58.526998184380659</v>
      </c>
      <c r="O180" s="208"/>
      <c r="P180" s="17"/>
      <c r="Q180" s="2" t="s">
        <v>89</v>
      </c>
      <c r="R180" s="271">
        <f>B180*(AG181/B181)</f>
        <v>0</v>
      </c>
      <c r="S180" s="272"/>
      <c r="T180" s="272"/>
      <c r="U180" s="43">
        <f t="shared" si="1057"/>
        <v>0</v>
      </c>
      <c r="V180" s="43">
        <f t="shared" si="1058"/>
        <v>0</v>
      </c>
      <c r="W180" s="43">
        <f t="shared" si="1059"/>
        <v>0</v>
      </c>
      <c r="X180" s="43">
        <f t="shared" si="1060"/>
        <v>0</v>
      </c>
      <c r="Y180" s="75">
        <f t="shared" si="1061"/>
        <v>0</v>
      </c>
      <c r="Z180" s="43">
        <f t="shared" si="1062"/>
        <v>0</v>
      </c>
      <c r="AA180" s="43">
        <f t="shared" si="1063"/>
        <v>0</v>
      </c>
      <c r="AB180" s="43" t="e">
        <f t="shared" si="1064"/>
        <v>#DIV/0!</v>
      </c>
      <c r="AC180" s="247" t="e">
        <f t="shared" si="1065"/>
        <v>#DIV/0!</v>
      </c>
      <c r="AD180" s="17" t="e">
        <f t="shared" si="1066"/>
        <v>#DIV/0!</v>
      </c>
      <c r="AF180" s="2" t="s">
        <v>89</v>
      </c>
      <c r="AG180" s="271">
        <f t="array" ref="AG180">SUM(IF((modeldata!$F:$F=calibration!$AF$158)*(modeldata!$G:$G=calibration!AG$160)*(modeldata!$H:$H=calibration!$AF180),modeldata!$E:$E,0))</f>
        <v>0</v>
      </c>
      <c r="AH180" s="272"/>
      <c r="AI180" s="272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95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7">
        <f t="shared" si="1214"/>
        <v>0</v>
      </c>
      <c r="AS180" s="17">
        <f t="shared" si="1067"/>
        <v>0</v>
      </c>
      <c r="AU180" s="2" t="s">
        <v>89</v>
      </c>
      <c r="AV180" s="271">
        <f>IF(R181&gt;0,R180/R181,0)</f>
        <v>0</v>
      </c>
      <c r="AW180" s="272"/>
      <c r="AX180" s="272"/>
      <c r="AY180" s="43">
        <f>IF(U181&gt;0,U180/U181,0)</f>
        <v>0</v>
      </c>
      <c r="AZ180" s="43">
        <f>IF(V181&gt;0,V180/V181,0)</f>
        <v>0</v>
      </c>
      <c r="BA180" s="43">
        <f t="shared" si="1215"/>
        <v>0</v>
      </c>
      <c r="BB180" s="43">
        <f t="shared" si="1215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 t="e">
        <f>IF(AB181&gt;0,AB180/AB181,0)</f>
        <v>#DIV/0!</v>
      </c>
      <c r="BG180" s="247" t="e">
        <f>IF(AC181&gt;0,AC180/AC181,0)</f>
        <v>#DIV/0!</v>
      </c>
      <c r="BH180" s="24" t="e">
        <f>AD180/AD181</f>
        <v>#DIV/0!</v>
      </c>
      <c r="BJ180" s="2" t="s">
        <v>89</v>
      </c>
      <c r="BK180" s="275">
        <f>IF(AG181&gt;0,AG180/AG181,0)</f>
        <v>0</v>
      </c>
      <c r="BL180" s="276"/>
      <c r="BM180" s="276"/>
      <c r="BN180" s="30">
        <f t="shared" ref="BN180:BV180" si="1218">IF(AJ181&gt;0,AJ180/AJ181,0)</f>
        <v>0</v>
      </c>
      <c r="BO180" s="30">
        <f t="shared" si="1218"/>
        <v>0</v>
      </c>
      <c r="BP180" s="30">
        <f t="shared" si="1218"/>
        <v>0</v>
      </c>
      <c r="BQ180" s="30">
        <f t="shared" si="1218"/>
        <v>0</v>
      </c>
      <c r="BR180" s="78">
        <f t="shared" si="1218"/>
        <v>0</v>
      </c>
      <c r="BS180" s="30">
        <f t="shared" si="1218"/>
        <v>0</v>
      </c>
      <c r="BT180" s="30">
        <f t="shared" si="1218"/>
        <v>0</v>
      </c>
      <c r="BU180" s="22">
        <f t="shared" si="1218"/>
        <v>0</v>
      </c>
      <c r="BV180" s="184">
        <f t="shared" si="1218"/>
        <v>0</v>
      </c>
      <c r="BW180" s="24" t="e">
        <f>AS180/AS181</f>
        <v>#DIV/0!</v>
      </c>
      <c r="BX180" s="24"/>
      <c r="BY180" s="2" t="s">
        <v>89</v>
      </c>
      <c r="BZ180" s="56">
        <f t="shared" si="1098"/>
        <v>0</v>
      </c>
      <c r="CA180" s="57">
        <f t="shared" si="1070"/>
        <v>0</v>
      </c>
      <c r="CB180" s="57">
        <f t="shared" si="1071"/>
        <v>0</v>
      </c>
      <c r="CC180" s="57">
        <f t="shared" si="1072"/>
        <v>0</v>
      </c>
      <c r="CD180" s="57">
        <f t="shared" si="1073"/>
        <v>0</v>
      </c>
      <c r="CE180" s="57">
        <f t="shared" si="1074"/>
        <v>0</v>
      </c>
      <c r="CF180" s="57">
        <f t="shared" si="1075"/>
        <v>0</v>
      </c>
      <c r="CG180" s="250">
        <f>AN180-Y180</f>
        <v>0</v>
      </c>
      <c r="CH180" s="57">
        <f t="shared" si="1077"/>
        <v>0</v>
      </c>
      <c r="CI180" s="57">
        <f t="shared" si="1078"/>
        <v>0</v>
      </c>
      <c r="CJ180" s="57" t="e">
        <f t="shared" si="1079"/>
        <v>#DIV/0!</v>
      </c>
      <c r="CK180" s="253" t="e">
        <f t="shared" si="1079"/>
        <v>#DIV/0!</v>
      </c>
      <c r="CL180" s="55" t="e">
        <f t="shared" si="1080"/>
        <v>#DIV/0!</v>
      </c>
      <c r="CN180" s="2" t="s">
        <v>89</v>
      </c>
      <c r="CO180" s="56">
        <f t="shared" si="1099"/>
        <v>0</v>
      </c>
      <c r="CP180" s="57"/>
      <c r="CQ180" s="57"/>
      <c r="CR180" s="57">
        <f t="shared" si="1083"/>
        <v>0</v>
      </c>
      <c r="CS180" s="57">
        <f t="shared" si="1084"/>
        <v>0</v>
      </c>
      <c r="CT180" s="57">
        <f t="shared" si="1085"/>
        <v>0</v>
      </c>
      <c r="CU180" s="57">
        <f t="shared" si="1086"/>
        <v>0</v>
      </c>
      <c r="CV180" s="250">
        <f t="shared" si="1087"/>
        <v>0</v>
      </c>
      <c r="CW180" s="57">
        <f t="shared" si="1088"/>
        <v>0</v>
      </c>
      <c r="CX180" s="57">
        <f t="shared" si="1089"/>
        <v>0</v>
      </c>
      <c r="CY180" s="57" t="e">
        <f t="shared" si="1090"/>
        <v>#DIV/0!</v>
      </c>
      <c r="CZ180" s="253" t="e">
        <f t="shared" si="1090"/>
        <v>#DIV/0!</v>
      </c>
      <c r="DA180" s="62" t="e">
        <f t="shared" si="1091"/>
        <v>#DIV/0!</v>
      </c>
      <c r="DC180" s="2" t="s">
        <v>89</v>
      </c>
      <c r="DD180" s="200">
        <f t="shared" si="1100"/>
        <v>0</v>
      </c>
      <c r="DE180" s="201">
        <f t="shared" si="1101"/>
        <v>0</v>
      </c>
      <c r="DF180" s="200">
        <f t="shared" si="1102"/>
        <v>0</v>
      </c>
      <c r="DG180" s="201">
        <f t="shared" si="1103"/>
        <v>0</v>
      </c>
      <c r="DH180" s="200">
        <f t="shared" si="1104"/>
        <v>0</v>
      </c>
      <c r="DI180" s="201">
        <f t="shared" si="1105"/>
        <v>0</v>
      </c>
      <c r="DJ180" s="200">
        <f t="shared" si="1106"/>
        <v>0</v>
      </c>
      <c r="DK180" s="201">
        <f t="shared" si="1107"/>
        <v>0</v>
      </c>
      <c r="DL180" s="200">
        <f t="shared" si="1108"/>
        <v>0</v>
      </c>
      <c r="DM180" s="201">
        <f t="shared" si="1109"/>
        <v>0</v>
      </c>
      <c r="DN180" s="200">
        <f t="shared" si="1110"/>
        <v>0</v>
      </c>
      <c r="DO180" s="201">
        <f t="shared" si="1111"/>
        <v>0</v>
      </c>
      <c r="DP180" s="200">
        <f t="shared" si="1112"/>
        <v>0</v>
      </c>
      <c r="DQ180" s="201">
        <f t="shared" si="1113"/>
        <v>0</v>
      </c>
      <c r="DR180" s="200">
        <f t="shared" si="1114"/>
        <v>0</v>
      </c>
      <c r="DS180" s="201">
        <f t="shared" si="1115"/>
        <v>0</v>
      </c>
      <c r="DT180" s="200">
        <f t="shared" si="1116"/>
        <v>0</v>
      </c>
      <c r="DU180" s="201">
        <f t="shared" si="1117"/>
        <v>0</v>
      </c>
      <c r="DV180" s="200">
        <f t="shared" si="1118"/>
        <v>0</v>
      </c>
      <c r="DW180" s="201">
        <f t="shared" si="1119"/>
        <v>0</v>
      </c>
      <c r="DX180" s="200" t="e">
        <f t="shared" si="1120"/>
        <v>#DIV/0!</v>
      </c>
      <c r="DY180" s="201">
        <f t="shared" si="1121"/>
        <v>0</v>
      </c>
      <c r="DZ180" s="202" t="e">
        <f t="shared" si="1122"/>
        <v>#DIV/0!</v>
      </c>
      <c r="EA180" s="201">
        <f t="shared" si="1092"/>
        <v>0</v>
      </c>
      <c r="EB180" s="190" t="e">
        <f t="shared" si="1123"/>
        <v>#DIV/0!</v>
      </c>
      <c r="EC180" s="190" t="e">
        <f t="shared" si="1124"/>
        <v>#DIV/0!</v>
      </c>
    </row>
    <row r="181" spans="1:133" x14ac:dyDescent="0.2">
      <c r="A181" s="65" t="s">
        <v>54</v>
      </c>
      <c r="B181" s="277">
        <f>SUM(B161:D180)</f>
        <v>3509333.8916435423</v>
      </c>
      <c r="C181" s="277"/>
      <c r="D181" s="277"/>
      <c r="E181" s="17">
        <f t="shared" ref="E181:M181" si="1219">SUM(E161:E180)</f>
        <v>479892.43465832109</v>
      </c>
      <c r="F181" s="17">
        <f t="shared" si="1219"/>
        <v>38984.272006716543</v>
      </c>
      <c r="G181" s="17">
        <f t="shared" si="1219"/>
        <v>32242.968264628667</v>
      </c>
      <c r="H181" s="17">
        <f t="shared" si="1219"/>
        <v>3834.9983245679346</v>
      </c>
      <c r="I181" s="72">
        <f t="shared" si="1219"/>
        <v>36077.966589196607</v>
      </c>
      <c r="J181" s="17">
        <f t="shared" si="1219"/>
        <v>1278.5385564536098</v>
      </c>
      <c r="K181" s="17">
        <f t="shared" si="1219"/>
        <v>22441.677286495942</v>
      </c>
      <c r="L181" s="17">
        <f t="shared" si="1219"/>
        <v>0</v>
      </c>
      <c r="M181" s="72">
        <f t="shared" si="1219"/>
        <v>23720.215842949554</v>
      </c>
      <c r="N181" s="17">
        <f>SUM(B181:L181)-I181</f>
        <v>4088008.7807407263</v>
      </c>
      <c r="O181" s="208"/>
      <c r="P181" s="17"/>
      <c r="Q181" s="65" t="s">
        <v>54</v>
      </c>
      <c r="R181" s="277">
        <f>SUM(R161:R180)</f>
        <v>0</v>
      </c>
      <c r="S181" s="277"/>
      <c r="T181" s="277"/>
      <c r="U181" s="17">
        <f t="shared" ref="U181:AC181" si="1220">SUM(U161:U180)</f>
        <v>0</v>
      </c>
      <c r="V181" s="17">
        <f t="shared" si="1220"/>
        <v>0</v>
      </c>
      <c r="W181" s="17">
        <f t="shared" si="1220"/>
        <v>0</v>
      </c>
      <c r="X181" s="17">
        <f t="shared" si="1220"/>
        <v>0</v>
      </c>
      <c r="Y181" s="72">
        <f t="shared" si="1220"/>
        <v>0</v>
      </c>
      <c r="Z181" s="17">
        <f t="shared" si="1220"/>
        <v>0</v>
      </c>
      <c r="AA181" s="17">
        <f t="shared" si="1220"/>
        <v>0</v>
      </c>
      <c r="AB181" s="17" t="e">
        <f t="shared" si="1220"/>
        <v>#DIV/0!</v>
      </c>
      <c r="AC181" s="72" t="e">
        <f t="shared" si="1220"/>
        <v>#DIV/0!</v>
      </c>
      <c r="AD181" s="17" t="e">
        <f t="shared" si="1066"/>
        <v>#DIV/0!</v>
      </c>
      <c r="AF181" s="65" t="s">
        <v>54</v>
      </c>
      <c r="AG181" s="277">
        <f>SUM(AG161:AG180)</f>
        <v>0</v>
      </c>
      <c r="AH181" s="277"/>
      <c r="AI181" s="277"/>
      <c r="AJ181" s="17">
        <f t="shared" ref="AJ181:AR181" si="1221">SUM(AJ161:AJ180)</f>
        <v>0</v>
      </c>
      <c r="AK181" s="17">
        <f t="shared" si="1221"/>
        <v>0</v>
      </c>
      <c r="AL181" s="17">
        <f t="shared" si="1221"/>
        <v>0</v>
      </c>
      <c r="AM181" s="17">
        <f t="shared" si="1221"/>
        <v>0</v>
      </c>
      <c r="AN181" s="72">
        <f t="shared" si="1221"/>
        <v>0</v>
      </c>
      <c r="AO181" s="17">
        <f t="shared" si="1221"/>
        <v>0</v>
      </c>
      <c r="AP181" s="17">
        <f t="shared" si="1221"/>
        <v>0</v>
      </c>
      <c r="AQ181" s="17">
        <f t="shared" si="1221"/>
        <v>0</v>
      </c>
      <c r="AR181" s="72">
        <f t="shared" si="1221"/>
        <v>0</v>
      </c>
      <c r="AS181" s="17">
        <f t="shared" si="1067"/>
        <v>0</v>
      </c>
      <c r="AU181" s="65" t="s">
        <v>54</v>
      </c>
      <c r="AV181" s="277">
        <f t="shared" ref="AV181:BH181" si="1222">SUM(AV161:AV180)</f>
        <v>0</v>
      </c>
      <c r="AW181" s="277">
        <f t="shared" si="1222"/>
        <v>0</v>
      </c>
      <c r="AX181" s="277">
        <f t="shared" si="1222"/>
        <v>0</v>
      </c>
      <c r="AY181" s="17">
        <f t="shared" si="1222"/>
        <v>0</v>
      </c>
      <c r="AZ181" s="17">
        <f t="shared" si="1222"/>
        <v>0</v>
      </c>
      <c r="BA181" s="17">
        <f t="shared" si="1222"/>
        <v>0</v>
      </c>
      <c r="BB181" s="17">
        <f t="shared" si="1222"/>
        <v>0</v>
      </c>
      <c r="BC181" s="72">
        <f t="shared" si="1222"/>
        <v>0</v>
      </c>
      <c r="BD181" s="17" t="e">
        <f t="shared" si="1222"/>
        <v>#DIV/0!</v>
      </c>
      <c r="BE181" s="17" t="e">
        <f t="shared" si="1222"/>
        <v>#DIV/0!</v>
      </c>
      <c r="BF181" s="17" t="e">
        <f t="shared" si="1222"/>
        <v>#DIV/0!</v>
      </c>
      <c r="BG181" s="72" t="e">
        <f t="shared" si="1222"/>
        <v>#DIV/0!</v>
      </c>
      <c r="BH181" s="24" t="e">
        <f t="shared" si="1222"/>
        <v>#DIV/0!</v>
      </c>
      <c r="BJ181" s="65" t="s">
        <v>54</v>
      </c>
      <c r="BK181" s="278">
        <f t="shared" ref="BK181:BW181" si="1223">SUM(BK161:BK180)</f>
        <v>0</v>
      </c>
      <c r="BL181" s="278">
        <f t="shared" si="1223"/>
        <v>0</v>
      </c>
      <c r="BM181" s="278">
        <f t="shared" si="1223"/>
        <v>0</v>
      </c>
      <c r="BN181" s="24">
        <f t="shared" si="1223"/>
        <v>0</v>
      </c>
      <c r="BO181" s="24">
        <f t="shared" si="1223"/>
        <v>0</v>
      </c>
      <c r="BP181" s="24">
        <f t="shared" si="1223"/>
        <v>0</v>
      </c>
      <c r="BQ181" s="24">
        <f t="shared" si="1223"/>
        <v>0</v>
      </c>
      <c r="BR181" s="77">
        <f t="shared" si="1223"/>
        <v>0</v>
      </c>
      <c r="BS181" s="24">
        <f t="shared" si="1223"/>
        <v>0</v>
      </c>
      <c r="BT181" s="24">
        <f t="shared" si="1223"/>
        <v>0</v>
      </c>
      <c r="BU181" s="24">
        <f t="shared" si="1223"/>
        <v>0</v>
      </c>
      <c r="BV181" s="24">
        <f t="shared" si="1223"/>
        <v>0</v>
      </c>
      <c r="BW181" s="24" t="e">
        <f t="shared" si="1223"/>
        <v>#DIV/0!</v>
      </c>
      <c r="BX181" s="24"/>
      <c r="BY181" s="65" t="s">
        <v>54</v>
      </c>
      <c r="BZ181" s="55">
        <f t="shared" si="1098"/>
        <v>0</v>
      </c>
      <c r="CA181" s="55">
        <f t="shared" si="1070"/>
        <v>0</v>
      </c>
      <c r="CB181" s="55">
        <f t="shared" si="1071"/>
        <v>0</v>
      </c>
      <c r="CC181" s="55">
        <f t="shared" si="1072"/>
        <v>0</v>
      </c>
      <c r="CD181" s="55">
        <f t="shared" si="1073"/>
        <v>0</v>
      </c>
      <c r="CE181" s="55">
        <f t="shared" si="1074"/>
        <v>0</v>
      </c>
      <c r="CF181" s="55">
        <f t="shared" si="1075"/>
        <v>0</v>
      </c>
      <c r="CG181" s="55">
        <f>AN181-Y181</f>
        <v>0</v>
      </c>
      <c r="CH181" s="55">
        <f t="shared" si="1077"/>
        <v>0</v>
      </c>
      <c r="CI181" s="55">
        <f t="shared" si="1078"/>
        <v>0</v>
      </c>
      <c r="CJ181" s="55" t="e">
        <f t="shared" si="1079"/>
        <v>#DIV/0!</v>
      </c>
      <c r="CK181" s="55" t="e">
        <f t="shared" si="1079"/>
        <v>#DIV/0!</v>
      </c>
      <c r="CL181" s="55" t="e">
        <f t="shared" si="1080"/>
        <v>#DIV/0!</v>
      </c>
      <c r="CN181" s="65" t="s">
        <v>54</v>
      </c>
      <c r="CO181" s="55">
        <f>BK181-AV181</f>
        <v>0</v>
      </c>
      <c r="CP181" s="55">
        <f t="shared" si="1081"/>
        <v>0</v>
      </c>
      <c r="CQ181" s="55">
        <f t="shared" si="1082"/>
        <v>0</v>
      </c>
      <c r="CR181" s="55">
        <f t="shared" ref="CR181:DA181" si="1224">SUM(CR161:CR180)</f>
        <v>0</v>
      </c>
      <c r="CS181" s="55">
        <f t="shared" si="1224"/>
        <v>0</v>
      </c>
      <c r="CT181" s="55">
        <f t="shared" si="1224"/>
        <v>0</v>
      </c>
      <c r="CU181" s="55">
        <f t="shared" si="1224"/>
        <v>0</v>
      </c>
      <c r="CV181" s="55">
        <f t="shared" si="1224"/>
        <v>0</v>
      </c>
      <c r="CW181" s="55" t="e">
        <f t="shared" si="1224"/>
        <v>#DIV/0!</v>
      </c>
      <c r="CX181" s="55" t="e">
        <f t="shared" si="1224"/>
        <v>#DIV/0!</v>
      </c>
      <c r="CY181" s="55" t="e">
        <f t="shared" si="1224"/>
        <v>#DIV/0!</v>
      </c>
      <c r="CZ181" s="55" t="e">
        <f t="shared" si="1224"/>
        <v>#DIV/0!</v>
      </c>
      <c r="DA181" s="190" t="e">
        <f t="shared" si="1224"/>
        <v>#DIV/0!</v>
      </c>
      <c r="DC181" s="65" t="s">
        <v>54</v>
      </c>
      <c r="DD181" s="190">
        <f t="shared" ref="DD181:EC181" si="1225">SUM(DD161:DD180)</f>
        <v>0</v>
      </c>
      <c r="DE181" s="190">
        <f t="shared" si="1225"/>
        <v>0</v>
      </c>
      <c r="DF181" s="190">
        <f t="shared" si="1225"/>
        <v>0</v>
      </c>
      <c r="DG181" s="190">
        <f t="shared" si="1225"/>
        <v>0</v>
      </c>
      <c r="DH181" s="190">
        <f t="shared" si="1225"/>
        <v>0</v>
      </c>
      <c r="DI181" s="190">
        <f t="shared" si="1225"/>
        <v>0</v>
      </c>
      <c r="DJ181" s="190">
        <f t="shared" si="1225"/>
        <v>0</v>
      </c>
      <c r="DK181" s="190">
        <f t="shared" si="1225"/>
        <v>0</v>
      </c>
      <c r="DL181" s="190">
        <f t="shared" si="1225"/>
        <v>0</v>
      </c>
      <c r="DM181" s="190">
        <f t="shared" si="1225"/>
        <v>0</v>
      </c>
      <c r="DN181" s="190">
        <f t="shared" si="1225"/>
        <v>0</v>
      </c>
      <c r="DO181" s="190">
        <f t="shared" si="1225"/>
        <v>0</v>
      </c>
      <c r="DP181" s="190">
        <f t="shared" si="1225"/>
        <v>0</v>
      </c>
      <c r="DQ181" s="190">
        <f t="shared" si="1225"/>
        <v>0</v>
      </c>
      <c r="DR181" s="190">
        <f t="shared" si="1225"/>
        <v>0</v>
      </c>
      <c r="DS181" s="190">
        <f t="shared" si="1225"/>
        <v>0</v>
      </c>
      <c r="DT181" s="190" t="e">
        <f t="shared" si="1225"/>
        <v>#DIV/0!</v>
      </c>
      <c r="DU181" s="190">
        <f t="shared" si="1225"/>
        <v>0</v>
      </c>
      <c r="DV181" s="190" t="e">
        <f t="shared" si="1225"/>
        <v>#DIV/0!</v>
      </c>
      <c r="DW181" s="190">
        <f t="shared" si="1225"/>
        <v>0</v>
      </c>
      <c r="DX181" s="190" t="e">
        <f t="shared" si="1225"/>
        <v>#DIV/0!</v>
      </c>
      <c r="DY181" s="190">
        <f t="shared" si="1225"/>
        <v>0</v>
      </c>
      <c r="DZ181" s="190" t="e">
        <f t="shared" si="1225"/>
        <v>#DIV/0!</v>
      </c>
      <c r="EA181" s="190">
        <f t="shared" si="1225"/>
        <v>0</v>
      </c>
      <c r="EB181" s="190" t="e">
        <f t="shared" si="1225"/>
        <v>#DIV/0!</v>
      </c>
      <c r="EC181" s="190" t="e">
        <f t="shared" si="1225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66" t="s">
        <v>117</v>
      </c>
      <c r="C186" s="266"/>
      <c r="D186" s="266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66" t="s">
        <v>4</v>
      </c>
      <c r="S186" s="266" t="s">
        <v>41</v>
      </c>
      <c r="T186" s="266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66" t="s">
        <v>4</v>
      </c>
      <c r="AH186" s="266" t="s">
        <v>41</v>
      </c>
      <c r="AI186" s="266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66" t="s">
        <v>117</v>
      </c>
      <c r="AW186" s="266"/>
      <c r="AX186" s="266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7">
        <f>SUM(B5:D5,B31:D31,B57:D57,B83:D83,B109:D109,B135:D135,B161)</f>
        <v>10118063.692789825</v>
      </c>
      <c r="C187" s="268"/>
      <c r="D187" s="269"/>
      <c r="E187" s="37">
        <f t="shared" ref="E187:H192" si="1226">SUM(E5,E31,E57,E83,E109,E135,E161)</f>
        <v>0</v>
      </c>
      <c r="F187" s="37">
        <f t="shared" si="1226"/>
        <v>0</v>
      </c>
      <c r="G187" s="37">
        <f t="shared" si="1226"/>
        <v>0</v>
      </c>
      <c r="H187" s="37">
        <f t="shared" si="1226"/>
        <v>0</v>
      </c>
      <c r="I187" s="74">
        <f t="shared" ref="I187:I192" si="1227">SUM(G187:H187)</f>
        <v>0</v>
      </c>
      <c r="J187" s="37">
        <f t="shared" ref="J187:L192" si="1228">SUM(J5,J31,J57,J83,J109,J135,J161)</f>
        <v>0</v>
      </c>
      <c r="K187" s="37">
        <f t="shared" si="1228"/>
        <v>0</v>
      </c>
      <c r="L187" s="37">
        <f t="shared" si="1228"/>
        <v>0</v>
      </c>
      <c r="M187" s="177">
        <f>SUM(J187:L187)</f>
        <v>0</v>
      </c>
      <c r="N187" s="17">
        <f t="shared" ref="N187:N207" si="1229">SUM(B187:L187)-I187</f>
        <v>10118063.692789825</v>
      </c>
      <c r="O187" s="174">
        <f t="shared" ref="O187:O207" si="1230">N187/N$207</f>
        <v>0.39958094291796159</v>
      </c>
      <c r="P187" s="17"/>
      <c r="Q187" s="66" t="s">
        <v>4</v>
      </c>
      <c r="R187" s="267">
        <f>SUM(R5:T5,R31:T31,R57:T57,R83:T83,R109:T109,R135:T135,R161)</f>
        <v>0</v>
      </c>
      <c r="S187" s="268"/>
      <c r="T187" s="269"/>
      <c r="U187" s="37">
        <f t="shared" ref="U187:X199" si="1231">SUM(U5,U31,U57,U83,U109,U135,U161)</f>
        <v>0</v>
      </c>
      <c r="V187" s="37">
        <f t="shared" si="1231"/>
        <v>0</v>
      </c>
      <c r="W187" s="37">
        <f t="shared" si="1231"/>
        <v>0</v>
      </c>
      <c r="X187" s="37">
        <f t="shared" si="1231"/>
        <v>0</v>
      </c>
      <c r="Y187" s="74">
        <f>SUM(W187:X187)</f>
        <v>0</v>
      </c>
      <c r="Z187" s="37" t="e">
        <f t="shared" ref="Z187:AB193" si="1232">SUM(Z5,Z31,Z57,Z83,Z109,Z135,Z161)</f>
        <v>#DIV/0!</v>
      </c>
      <c r="AA187" s="37" t="e">
        <f t="shared" si="1232"/>
        <v>#DIV/0!</v>
      </c>
      <c r="AB187" s="37" t="e">
        <f t="shared" si="1232"/>
        <v>#DIV/0!</v>
      </c>
      <c r="AC187" s="177" t="e">
        <f>SUM(Z187:AB187)</f>
        <v>#DIV/0!</v>
      </c>
      <c r="AD187" s="17" t="e">
        <f t="shared" ref="AD187:AD207" si="1233">SUM(R187:AB187)-Y187</f>
        <v>#DIV/0!</v>
      </c>
      <c r="AE187" s="176" t="e">
        <f t="shared" ref="AE187:AE207" si="1234">AD187/AD$207</f>
        <v>#DIV/0!</v>
      </c>
      <c r="AF187" s="66" t="s">
        <v>4</v>
      </c>
      <c r="AG187" s="267">
        <f>SUM(AG5:AI5,AG31:AI31,AG57:AI57,AG83:AI83,AG109:AI109,AG135:AI135,AG161)</f>
        <v>0</v>
      </c>
      <c r="AH187" s="268"/>
      <c r="AI187" s="269"/>
      <c r="AJ187" s="37">
        <f t="shared" ref="AJ187:AM200" si="1235">SUM(AJ5,AJ31,AJ57,AJ83,AJ109,AJ135,AJ161)</f>
        <v>0</v>
      </c>
      <c r="AK187" s="37">
        <f t="shared" si="1235"/>
        <v>0</v>
      </c>
      <c r="AL187" s="37">
        <f t="shared" si="1235"/>
        <v>0</v>
      </c>
      <c r="AM187" s="37">
        <f t="shared" si="1235"/>
        <v>0</v>
      </c>
      <c r="AN187" s="74">
        <f>AL187+AM187</f>
        <v>0</v>
      </c>
      <c r="AO187" s="37">
        <f t="shared" ref="AO187:AQ200" si="1236">SUM(AO5,AO31,AO57,AO83,AO109,AO135,AO161)</f>
        <v>0</v>
      </c>
      <c r="AP187" s="37">
        <f t="shared" si="1236"/>
        <v>0</v>
      </c>
      <c r="AQ187" s="37">
        <f t="shared" si="1236"/>
        <v>0</v>
      </c>
      <c r="AR187" s="177"/>
      <c r="AS187" s="17">
        <f t="shared" ref="AS187:AS207" si="1237">SUM(AG187:AQ187)-AN187</f>
        <v>0</v>
      </c>
      <c r="AU187" s="66" t="s">
        <v>4</v>
      </c>
      <c r="AV187" s="267">
        <f>IF(R207&gt;0,R187/R207,0)</f>
        <v>0</v>
      </c>
      <c r="AW187" s="268">
        <f>IF(C207&gt;0,C187/C207,0)</f>
        <v>0</v>
      </c>
      <c r="AX187" s="269">
        <f>IF(D207&gt;0,D187/D207,0)</f>
        <v>0</v>
      </c>
      <c r="AY187" s="37">
        <f t="shared" ref="AY187:BG187" si="1238">IF(U207&gt;0,U187/U207,0)</f>
        <v>0</v>
      </c>
      <c r="AZ187" s="37">
        <f t="shared" si="1238"/>
        <v>0</v>
      </c>
      <c r="BA187" s="37">
        <f t="shared" si="1238"/>
        <v>0</v>
      </c>
      <c r="BB187" s="37">
        <f t="shared" si="1238"/>
        <v>0</v>
      </c>
      <c r="BC187" s="74">
        <f t="shared" si="1238"/>
        <v>0</v>
      </c>
      <c r="BD187" s="37" t="e">
        <f t="shared" si="1238"/>
        <v>#DIV/0!</v>
      </c>
      <c r="BE187" s="37" t="e">
        <f t="shared" si="1238"/>
        <v>#DIV/0!</v>
      </c>
      <c r="BF187" s="37" t="e">
        <f t="shared" si="1238"/>
        <v>#DIV/0!</v>
      </c>
      <c r="BG187" s="177" t="e">
        <f t="shared" si="1238"/>
        <v>#DIV/0!</v>
      </c>
      <c r="BH187" s="24" t="e">
        <f>AD187/AD207</f>
        <v>#DIV/0!</v>
      </c>
      <c r="BJ187" s="66" t="s">
        <v>4</v>
      </c>
      <c r="BK187" s="36">
        <f t="shared" ref="BK187:BV187" si="1239">IF(AG207&gt;0,AG187/AG207,0)</f>
        <v>0</v>
      </c>
      <c r="BL187" s="37">
        <f t="shared" si="1239"/>
        <v>0</v>
      </c>
      <c r="BM187" s="37">
        <f t="shared" si="1239"/>
        <v>0</v>
      </c>
      <c r="BN187" s="37">
        <f t="shared" si="1239"/>
        <v>0</v>
      </c>
      <c r="BO187" s="37">
        <f t="shared" si="1239"/>
        <v>0</v>
      </c>
      <c r="BP187" s="37">
        <f t="shared" si="1239"/>
        <v>0</v>
      </c>
      <c r="BQ187" s="37">
        <f t="shared" si="1239"/>
        <v>0</v>
      </c>
      <c r="BR187" s="74">
        <f t="shared" si="1239"/>
        <v>0</v>
      </c>
      <c r="BS187" s="37">
        <f t="shared" si="1239"/>
        <v>0</v>
      </c>
      <c r="BT187" s="37">
        <f t="shared" si="1239"/>
        <v>0</v>
      </c>
      <c r="BU187" s="37">
        <f t="shared" si="1239"/>
        <v>0</v>
      </c>
      <c r="BV187" s="177">
        <f t="shared" si="1239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40">AH187-S187</f>
        <v>0</v>
      </c>
      <c r="CB187" s="53">
        <f t="shared" ref="CB187:CB207" si="1241">AI187-T187</f>
        <v>0</v>
      </c>
      <c r="CC187" s="53">
        <f t="shared" ref="CC187:CC207" si="1242">AJ187-U187</f>
        <v>0</v>
      </c>
      <c r="CD187" s="53">
        <f t="shared" ref="CD187:CD207" si="1243">AK187-V187</f>
        <v>0</v>
      </c>
      <c r="CE187" s="53">
        <f t="shared" ref="CE187:CE207" si="1244">AL187-W187</f>
        <v>0</v>
      </c>
      <c r="CF187" s="53">
        <f t="shared" ref="CF187:CF207" si="1245">AM187-X187</f>
        <v>0</v>
      </c>
      <c r="CG187" s="248">
        <f t="shared" ref="CG187:CG202" si="1246">AN187-Y187</f>
        <v>0</v>
      </c>
      <c r="CH187" s="53" t="e">
        <f t="shared" ref="CH187:CH207" si="1247">AO187-Z187</f>
        <v>#DIV/0!</v>
      </c>
      <c r="CI187" s="53" t="e">
        <f t="shared" ref="CI187:CI207" si="1248">AP187-AA187</f>
        <v>#DIV/0!</v>
      </c>
      <c r="CJ187" s="53" t="e">
        <f t="shared" ref="CJ187:CK207" si="1249">AQ187-AB187</f>
        <v>#DIV/0!</v>
      </c>
      <c r="CK187" s="251" t="e">
        <f>AR187-AC187</f>
        <v>#DIV/0!</v>
      </c>
      <c r="CL187" s="55" t="e">
        <f t="shared" ref="CL187:CL207" si="1250">AS187-AD187</f>
        <v>#DIV/0!</v>
      </c>
      <c r="CN187" s="66" t="s">
        <v>4</v>
      </c>
      <c r="CO187" s="58">
        <f>BK187-AV187</f>
        <v>0</v>
      </c>
      <c r="CP187" s="53">
        <f t="shared" ref="CP187:CP207" si="1251">BL187-AW187</f>
        <v>0</v>
      </c>
      <c r="CQ187" s="53">
        <f t="shared" ref="CQ187:CQ207" si="1252">BM187-AX187</f>
        <v>0</v>
      </c>
      <c r="CR187" s="53">
        <f t="shared" ref="CR187:CR207" si="1253">BN187-AY187</f>
        <v>0</v>
      </c>
      <c r="CS187" s="53">
        <f t="shared" ref="CS187:CS207" si="1254">BO187-AZ187</f>
        <v>0</v>
      </c>
      <c r="CT187" s="53">
        <f t="shared" ref="CT187:CT207" si="1255">BP187-BA187</f>
        <v>0</v>
      </c>
      <c r="CU187" s="53">
        <f t="shared" ref="CU187:CU207" si="1256">BQ187-BB187</f>
        <v>0</v>
      </c>
      <c r="CV187" s="248">
        <f t="shared" ref="CV187:CV207" si="1257">BR187-BC187</f>
        <v>0</v>
      </c>
      <c r="CW187" s="53" t="e">
        <f t="shared" ref="CW187:CW207" si="1258">BS187-BD187</f>
        <v>#DIV/0!</v>
      </c>
      <c r="CX187" s="53" t="e">
        <f t="shared" ref="CX187:CX207" si="1259">BT187-BE187</f>
        <v>#DIV/0!</v>
      </c>
      <c r="CY187" s="53" t="e">
        <f t="shared" ref="CY187:CZ207" si="1260">BU187-BF187</f>
        <v>#DIV/0!</v>
      </c>
      <c r="CZ187" s="251" t="e">
        <f>BV187-BG187</f>
        <v>#DIV/0!</v>
      </c>
      <c r="DA187" s="62" t="e">
        <f t="shared" ref="DA187:DA207" si="1261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 t="e">
        <f>BD187</f>
        <v>#DIV/0!</v>
      </c>
      <c r="DU187" s="196">
        <f>BS187</f>
        <v>0</v>
      </c>
      <c r="DV187" s="195" t="e">
        <f>BE187</f>
        <v>#DIV/0!</v>
      </c>
      <c r="DW187" s="196">
        <f>BT187</f>
        <v>0</v>
      </c>
      <c r="DX187" s="195" t="e">
        <f>BF187</f>
        <v>#DIV/0!</v>
      </c>
      <c r="DY187" s="196">
        <f>BU187</f>
        <v>0</v>
      </c>
      <c r="DZ187" s="197" t="e">
        <f>BG187</f>
        <v>#DIV/0!</v>
      </c>
      <c r="EA187" s="196">
        <f t="shared" ref="EA187:EA206" si="1262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64">
        <f>SUM(B6:D6,B32:D32,B58:D58,B84:D84,B110:D110,B136:D136,B162)</f>
        <v>5365044.2711230908</v>
      </c>
      <c r="C188" s="265"/>
      <c r="D188" s="270"/>
      <c r="E188" s="245">
        <f t="shared" si="1226"/>
        <v>0</v>
      </c>
      <c r="F188" s="245">
        <f t="shared" si="1226"/>
        <v>0</v>
      </c>
      <c r="G188" s="245">
        <f t="shared" si="1226"/>
        <v>72766.229140177602</v>
      </c>
      <c r="H188" s="245">
        <f t="shared" si="1226"/>
        <v>0</v>
      </c>
      <c r="I188" s="246">
        <f t="shared" si="1227"/>
        <v>72766.229140177602</v>
      </c>
      <c r="J188" s="245">
        <f t="shared" si="1228"/>
        <v>2664.6247512636792</v>
      </c>
      <c r="K188" s="245">
        <f t="shared" si="1228"/>
        <v>10732.479698373674</v>
      </c>
      <c r="L188" s="245">
        <f t="shared" si="1228"/>
        <v>459.3762882761514</v>
      </c>
      <c r="M188" s="178">
        <f t="shared" ref="M188:M206" si="1263">SUM(J188:L188)</f>
        <v>13856.480737913505</v>
      </c>
      <c r="N188" s="17">
        <f t="shared" si="1229"/>
        <v>5451666.9810011815</v>
      </c>
      <c r="O188" s="174">
        <f t="shared" si="1230"/>
        <v>0.2152963550027357</v>
      </c>
      <c r="P188" s="17"/>
      <c r="Q188" s="66" t="s">
        <v>41</v>
      </c>
      <c r="R188" s="264">
        <f>SUM(R6:T6,R32:T32,R58:T58,R84:T84,R110:T110,R136:T136,R162)</f>
        <v>0</v>
      </c>
      <c r="S188" s="265"/>
      <c r="T188" s="270"/>
      <c r="U188" s="245">
        <f t="shared" si="1231"/>
        <v>0</v>
      </c>
      <c r="V188" s="245">
        <f t="shared" si="1231"/>
        <v>0</v>
      </c>
      <c r="W188" s="245">
        <f t="shared" si="1231"/>
        <v>0</v>
      </c>
      <c r="X188" s="245">
        <f t="shared" si="1231"/>
        <v>0</v>
      </c>
      <c r="Y188" s="246">
        <f t="shared" ref="Y188:Y206" si="1264">SUM(W188:X188)</f>
        <v>0</v>
      </c>
      <c r="Z188" s="245" t="e">
        <f t="shared" si="1232"/>
        <v>#DIV/0!</v>
      </c>
      <c r="AA188" s="245" t="e">
        <f t="shared" si="1232"/>
        <v>#DIV/0!</v>
      </c>
      <c r="AB188" s="245" t="e">
        <f t="shared" si="1232"/>
        <v>#DIV/0!</v>
      </c>
      <c r="AC188" s="178" t="e">
        <f t="shared" ref="AC188:AC206" si="1265">SUM(Z188:AB188)</f>
        <v>#DIV/0!</v>
      </c>
      <c r="AD188" s="17" t="e">
        <f t="shared" si="1233"/>
        <v>#DIV/0!</v>
      </c>
      <c r="AE188" s="176" t="e">
        <f t="shared" si="1234"/>
        <v>#DIV/0!</v>
      </c>
      <c r="AF188" s="66" t="s">
        <v>41</v>
      </c>
      <c r="AG188" s="264">
        <f>SUM(AG6:AI6,AG32:AI32,AG58:AI58,AG84:AI84,AG110:AI110,AG136:AI136,AG162)</f>
        <v>0</v>
      </c>
      <c r="AH188" s="265"/>
      <c r="AI188" s="270"/>
      <c r="AJ188" s="245">
        <f t="shared" si="1235"/>
        <v>0</v>
      </c>
      <c r="AK188" s="245">
        <f t="shared" si="1235"/>
        <v>0</v>
      </c>
      <c r="AL188" s="245">
        <f t="shared" si="1235"/>
        <v>0</v>
      </c>
      <c r="AM188" s="245">
        <f t="shared" si="1235"/>
        <v>0</v>
      </c>
      <c r="AN188" s="246">
        <f t="shared" ref="AN188:AN191" si="1266">AL188+AM188</f>
        <v>0</v>
      </c>
      <c r="AO188" s="245">
        <f t="shared" si="1236"/>
        <v>0</v>
      </c>
      <c r="AP188" s="245">
        <f t="shared" si="1236"/>
        <v>0</v>
      </c>
      <c r="AQ188" s="245">
        <f t="shared" si="1236"/>
        <v>0</v>
      </c>
      <c r="AR188" s="178">
        <f>SUM(AO188:AQ188)</f>
        <v>0</v>
      </c>
      <c r="AS188" s="17">
        <f t="shared" si="1237"/>
        <v>0</v>
      </c>
      <c r="AU188" s="66" t="s">
        <v>41</v>
      </c>
      <c r="AV188" s="264">
        <f>IF(R207&gt;0,R188/R207,0)</f>
        <v>0</v>
      </c>
      <c r="AW188" s="265">
        <f>IF(C207&gt;0,C188/C207,0)</f>
        <v>0</v>
      </c>
      <c r="AX188" s="270">
        <f>IF(D207&gt;0,D188/D207,0)</f>
        <v>0</v>
      </c>
      <c r="AY188" s="245">
        <f t="shared" ref="AY188:BG188" si="1267">IF(U207&gt;0,U188/U207,0)</f>
        <v>0</v>
      </c>
      <c r="AZ188" s="245">
        <f t="shared" si="1267"/>
        <v>0</v>
      </c>
      <c r="BA188" s="245">
        <f t="shared" si="1267"/>
        <v>0</v>
      </c>
      <c r="BB188" s="245">
        <f t="shared" si="1267"/>
        <v>0</v>
      </c>
      <c r="BC188" s="246">
        <f t="shared" si="1267"/>
        <v>0</v>
      </c>
      <c r="BD188" s="245" t="e">
        <f t="shared" si="1267"/>
        <v>#DIV/0!</v>
      </c>
      <c r="BE188" s="245" t="e">
        <f t="shared" si="1267"/>
        <v>#DIV/0!</v>
      </c>
      <c r="BF188" s="245" t="e">
        <f t="shared" si="1267"/>
        <v>#DIV/0!</v>
      </c>
      <c r="BG188" s="178" t="e">
        <f t="shared" si="1267"/>
        <v>#DIV/0!</v>
      </c>
      <c r="BH188" s="24" t="e">
        <f>AD188/AD207</f>
        <v>#DIV/0!</v>
      </c>
      <c r="BJ188" s="66" t="s">
        <v>41</v>
      </c>
      <c r="BK188" s="38">
        <f t="shared" ref="BK188:BV188" si="1268">IF(AG207&gt;0,AG188/AG207,0)</f>
        <v>0</v>
      </c>
      <c r="BL188" s="36">
        <f t="shared" si="1268"/>
        <v>0</v>
      </c>
      <c r="BM188" s="245">
        <f t="shared" si="1268"/>
        <v>0</v>
      </c>
      <c r="BN188" s="245">
        <f t="shared" si="1268"/>
        <v>0</v>
      </c>
      <c r="BO188" s="245">
        <f t="shared" si="1268"/>
        <v>0</v>
      </c>
      <c r="BP188" s="245">
        <f t="shared" si="1268"/>
        <v>0</v>
      </c>
      <c r="BQ188" s="245">
        <f t="shared" si="1268"/>
        <v>0</v>
      </c>
      <c r="BR188" s="246">
        <f t="shared" si="1268"/>
        <v>0</v>
      </c>
      <c r="BS188" s="245">
        <f t="shared" si="1268"/>
        <v>0</v>
      </c>
      <c r="BT188" s="245">
        <f t="shared" si="1268"/>
        <v>0</v>
      </c>
      <c r="BU188" s="245">
        <f t="shared" si="1268"/>
        <v>0</v>
      </c>
      <c r="BV188" s="178">
        <f t="shared" si="1268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9">AG188-R188</f>
        <v>0</v>
      </c>
      <c r="CA188" s="58">
        <f t="shared" si="1240"/>
        <v>0</v>
      </c>
      <c r="CB188" s="55">
        <f t="shared" si="1241"/>
        <v>0</v>
      </c>
      <c r="CC188" s="55">
        <f t="shared" si="1242"/>
        <v>0</v>
      </c>
      <c r="CD188" s="55">
        <f t="shared" si="1243"/>
        <v>0</v>
      </c>
      <c r="CE188" s="55">
        <f t="shared" si="1244"/>
        <v>0</v>
      </c>
      <c r="CF188" s="55">
        <f t="shared" si="1245"/>
        <v>0</v>
      </c>
      <c r="CG188" s="249">
        <f t="shared" si="1246"/>
        <v>0</v>
      </c>
      <c r="CH188" s="55" t="e">
        <f t="shared" si="1247"/>
        <v>#DIV/0!</v>
      </c>
      <c r="CI188" s="55" t="e">
        <f t="shared" si="1248"/>
        <v>#DIV/0!</v>
      </c>
      <c r="CJ188" s="55" t="e">
        <f t="shared" si="1249"/>
        <v>#DIV/0!</v>
      </c>
      <c r="CK188" s="252" t="e">
        <f t="shared" si="1249"/>
        <v>#DIV/0!</v>
      </c>
      <c r="CL188" s="55" t="e">
        <f t="shared" si="1250"/>
        <v>#DIV/0!</v>
      </c>
      <c r="CN188" s="66" t="s">
        <v>41</v>
      </c>
      <c r="CO188" s="54">
        <f t="shared" ref="CO188:CO207" si="1270">BK188-AV188</f>
        <v>0</v>
      </c>
      <c r="CP188" s="58">
        <f t="shared" si="1251"/>
        <v>0</v>
      </c>
      <c r="CQ188" s="55">
        <f t="shared" si="1252"/>
        <v>0</v>
      </c>
      <c r="CR188" s="55">
        <f t="shared" si="1253"/>
        <v>0</v>
      </c>
      <c r="CS188" s="55">
        <f t="shared" si="1254"/>
        <v>0</v>
      </c>
      <c r="CT188" s="55">
        <f t="shared" si="1255"/>
        <v>0</v>
      </c>
      <c r="CU188" s="55">
        <f t="shared" si="1256"/>
        <v>0</v>
      </c>
      <c r="CV188" s="249">
        <f t="shared" si="1257"/>
        <v>0</v>
      </c>
      <c r="CW188" s="55" t="e">
        <f t="shared" si="1258"/>
        <v>#DIV/0!</v>
      </c>
      <c r="CX188" s="55" t="e">
        <f t="shared" si="1259"/>
        <v>#DIV/0!</v>
      </c>
      <c r="CY188" s="55" t="e">
        <f t="shared" si="1260"/>
        <v>#DIV/0!</v>
      </c>
      <c r="CZ188" s="252" t="e">
        <f t="shared" si="1260"/>
        <v>#DIV/0!</v>
      </c>
      <c r="DA188" s="62" t="e">
        <f t="shared" si="1261"/>
        <v>#DIV/0!</v>
      </c>
      <c r="DC188" s="66" t="s">
        <v>41</v>
      </c>
      <c r="DD188" s="198">
        <f t="shared" ref="DD188:DD206" si="1271">AV188</f>
        <v>0</v>
      </c>
      <c r="DE188" s="199">
        <f t="shared" ref="DE188:DE206" si="1272">BK188</f>
        <v>0</v>
      </c>
      <c r="DF188" s="193">
        <f t="shared" ref="DF188:DF206" si="1273">AW188</f>
        <v>0</v>
      </c>
      <c r="DG188" s="194">
        <f t="shared" ref="DG188:DG206" si="1274">BL188</f>
        <v>0</v>
      </c>
      <c r="DH188" s="198">
        <f t="shared" ref="DH188:DH206" si="1275">AX188</f>
        <v>0</v>
      </c>
      <c r="DI188" s="199">
        <f t="shared" ref="DI188:DI206" si="1276">BM188</f>
        <v>0</v>
      </c>
      <c r="DJ188" s="198">
        <f t="shared" ref="DJ188:DJ206" si="1277">AY188</f>
        <v>0</v>
      </c>
      <c r="DK188" s="199">
        <f t="shared" ref="DK188:DK206" si="1278">BN188</f>
        <v>0</v>
      </c>
      <c r="DL188" s="198">
        <f t="shared" ref="DL188:DL206" si="1279">AZ188</f>
        <v>0</v>
      </c>
      <c r="DM188" s="199">
        <f t="shared" ref="DM188:DM206" si="1280">BO188</f>
        <v>0</v>
      </c>
      <c r="DN188" s="198">
        <f t="shared" ref="DN188:DN206" si="1281">BA188</f>
        <v>0</v>
      </c>
      <c r="DO188" s="199">
        <f t="shared" ref="DO188:DO206" si="1282">BP188</f>
        <v>0</v>
      </c>
      <c r="DP188" s="198">
        <f t="shared" ref="DP188:DP206" si="1283">BB188</f>
        <v>0</v>
      </c>
      <c r="DQ188" s="199">
        <f t="shared" ref="DQ188:DQ206" si="1284">BQ188</f>
        <v>0</v>
      </c>
      <c r="DR188" s="198">
        <f t="shared" ref="DR188:DR206" si="1285">BC188</f>
        <v>0</v>
      </c>
      <c r="DS188" s="199">
        <f t="shared" ref="DS188:DS206" si="1286">BR188</f>
        <v>0</v>
      </c>
      <c r="DT188" s="198" t="e">
        <f t="shared" ref="DT188:DT206" si="1287">BD188</f>
        <v>#DIV/0!</v>
      </c>
      <c r="DU188" s="199">
        <f t="shared" ref="DU188:DU206" si="1288">BS188</f>
        <v>0</v>
      </c>
      <c r="DV188" s="198" t="e">
        <f t="shared" ref="DV188:DV206" si="1289">BE188</f>
        <v>#DIV/0!</v>
      </c>
      <c r="DW188" s="199">
        <f t="shared" ref="DW188:DW206" si="1290">BT188</f>
        <v>0</v>
      </c>
      <c r="DX188" s="198" t="e">
        <f t="shared" ref="DX188:DX206" si="1291">BF188</f>
        <v>#DIV/0!</v>
      </c>
      <c r="DY188" s="199">
        <f t="shared" ref="DY188:DY206" si="1292">BU188</f>
        <v>0</v>
      </c>
      <c r="DZ188" s="190" t="e">
        <f t="shared" ref="DZ188:DZ206" si="1293">BG188</f>
        <v>#DIV/0!</v>
      </c>
      <c r="EA188" s="199">
        <f t="shared" si="1262"/>
        <v>0</v>
      </c>
      <c r="EB188" s="190" t="e">
        <f t="shared" ref="EB188:EB206" si="1294">BH188</f>
        <v>#DIV/0!</v>
      </c>
      <c r="EC188" s="190" t="e">
        <f t="shared" ref="EC188:EC206" si="1295">BW188</f>
        <v>#DIV/0!</v>
      </c>
    </row>
    <row r="189" spans="1:133" x14ac:dyDescent="0.2">
      <c r="A189" s="66" t="s">
        <v>42</v>
      </c>
      <c r="B189" s="271">
        <f>SUM(B7:D7,B33:D33,B59:D59,B85:D85,B111:D111,B137:D137,B163)</f>
        <v>3717393.5340088764</v>
      </c>
      <c r="C189" s="272"/>
      <c r="D189" s="273"/>
      <c r="E189" s="245">
        <f t="shared" si="1226"/>
        <v>0</v>
      </c>
      <c r="F189" s="245">
        <f t="shared" si="1226"/>
        <v>0</v>
      </c>
      <c r="G189" s="245">
        <f t="shared" si="1226"/>
        <v>23167.355166049158</v>
      </c>
      <c r="H189" s="245">
        <f t="shared" si="1226"/>
        <v>0</v>
      </c>
      <c r="I189" s="246">
        <f t="shared" si="1227"/>
        <v>23167.355166049158</v>
      </c>
      <c r="J189" s="245">
        <f t="shared" si="1228"/>
        <v>823.85052294169554</v>
      </c>
      <c r="K189" s="245">
        <f t="shared" si="1228"/>
        <v>15126.445939979398</v>
      </c>
      <c r="L189" s="245">
        <f t="shared" si="1228"/>
        <v>0</v>
      </c>
      <c r="M189" s="178">
        <f t="shared" si="1263"/>
        <v>15950.296462921093</v>
      </c>
      <c r="N189" s="17">
        <f t="shared" si="1229"/>
        <v>3756511.1856378471</v>
      </c>
      <c r="O189" s="174">
        <f t="shared" si="1230"/>
        <v>0.14835153515673966</v>
      </c>
      <c r="P189" s="17"/>
      <c r="Q189" s="66" t="s">
        <v>42</v>
      </c>
      <c r="R189" s="271">
        <f>SUM(R7:T7,R33:T33,R59:T59,R85:T85,R111:T111,R137:T137,R163)</f>
        <v>0</v>
      </c>
      <c r="S189" s="272"/>
      <c r="T189" s="273"/>
      <c r="U189" s="245">
        <f t="shared" si="1231"/>
        <v>0</v>
      </c>
      <c r="V189" s="245">
        <f t="shared" si="1231"/>
        <v>0</v>
      </c>
      <c r="W189" s="245">
        <f t="shared" si="1231"/>
        <v>0</v>
      </c>
      <c r="X189" s="245">
        <f t="shared" si="1231"/>
        <v>0</v>
      </c>
      <c r="Y189" s="246">
        <f t="shared" si="1264"/>
        <v>0</v>
      </c>
      <c r="Z189" s="245" t="e">
        <f t="shared" si="1232"/>
        <v>#DIV/0!</v>
      </c>
      <c r="AA189" s="245" t="e">
        <f t="shared" si="1232"/>
        <v>#DIV/0!</v>
      </c>
      <c r="AB189" s="245" t="e">
        <f t="shared" si="1232"/>
        <v>#DIV/0!</v>
      </c>
      <c r="AC189" s="178" t="e">
        <f t="shared" si="1265"/>
        <v>#DIV/0!</v>
      </c>
      <c r="AD189" s="17" t="e">
        <f t="shared" si="1233"/>
        <v>#DIV/0!</v>
      </c>
      <c r="AE189" s="176" t="e">
        <f t="shared" si="1234"/>
        <v>#DIV/0!</v>
      </c>
      <c r="AF189" s="66" t="s">
        <v>42</v>
      </c>
      <c r="AG189" s="271">
        <f>SUM(AG7:AI7,AG33:AI33,AG59:AI59,AG85:AI85,AG111:AI111,AG137:AI137,AG163)</f>
        <v>0</v>
      </c>
      <c r="AH189" s="272"/>
      <c r="AI189" s="273"/>
      <c r="AJ189" s="245">
        <f t="shared" si="1235"/>
        <v>0</v>
      </c>
      <c r="AK189" s="245">
        <f t="shared" si="1235"/>
        <v>0</v>
      </c>
      <c r="AL189" s="245">
        <f t="shared" si="1235"/>
        <v>0</v>
      </c>
      <c r="AM189" s="245">
        <f t="shared" si="1235"/>
        <v>0</v>
      </c>
      <c r="AN189" s="246">
        <f t="shared" si="1266"/>
        <v>0</v>
      </c>
      <c r="AO189" s="245">
        <f t="shared" si="1236"/>
        <v>0</v>
      </c>
      <c r="AP189" s="245">
        <f t="shared" si="1236"/>
        <v>0</v>
      </c>
      <c r="AQ189" s="245">
        <f t="shared" si="1236"/>
        <v>0</v>
      </c>
      <c r="AR189" s="178">
        <f t="shared" ref="AR189:AR203" si="1296">SUM(AO189:AQ189)</f>
        <v>0</v>
      </c>
      <c r="AS189" s="17">
        <f t="shared" si="1237"/>
        <v>0</v>
      </c>
      <c r="AU189" s="66" t="s">
        <v>42</v>
      </c>
      <c r="AV189" s="271">
        <f>IF(R207&gt;0,R189/R207,0)</f>
        <v>0</v>
      </c>
      <c r="AW189" s="272">
        <f>IF(C207&gt;0,C189/C207,0)</f>
        <v>0</v>
      </c>
      <c r="AX189" s="273">
        <f>IF(D207&gt;0,D189/D207,0)</f>
        <v>0</v>
      </c>
      <c r="AY189" s="245">
        <f t="shared" ref="AY189:BG189" si="1297">IF(U207&gt;0,U189/U207,0)</f>
        <v>0</v>
      </c>
      <c r="AZ189" s="245">
        <f t="shared" si="1297"/>
        <v>0</v>
      </c>
      <c r="BA189" s="245">
        <f t="shared" si="1297"/>
        <v>0</v>
      </c>
      <c r="BB189" s="245">
        <f t="shared" si="1297"/>
        <v>0</v>
      </c>
      <c r="BC189" s="246">
        <f t="shared" si="1297"/>
        <v>0</v>
      </c>
      <c r="BD189" s="245" t="e">
        <f t="shared" si="1297"/>
        <v>#DIV/0!</v>
      </c>
      <c r="BE189" s="245" t="e">
        <f t="shared" si="1297"/>
        <v>#DIV/0!</v>
      </c>
      <c r="BF189" s="245" t="e">
        <f t="shared" si="1297"/>
        <v>#DIV/0!</v>
      </c>
      <c r="BG189" s="178" t="e">
        <f t="shared" si="1297"/>
        <v>#DIV/0!</v>
      </c>
      <c r="BH189" s="24" t="e">
        <f>AD189/AD207</f>
        <v>#DIV/0!</v>
      </c>
      <c r="BJ189" s="66" t="s">
        <v>42</v>
      </c>
      <c r="BK189" s="38">
        <f t="shared" ref="BK189:BV189" si="1298">IF(AG207&gt;0,AG189/AG207,0)</f>
        <v>0</v>
      </c>
      <c r="BL189" s="245">
        <f t="shared" si="1298"/>
        <v>0</v>
      </c>
      <c r="BM189" s="36">
        <f t="shared" si="1298"/>
        <v>0</v>
      </c>
      <c r="BN189" s="245">
        <f t="shared" si="1298"/>
        <v>0</v>
      </c>
      <c r="BO189" s="245">
        <f t="shared" si="1298"/>
        <v>0</v>
      </c>
      <c r="BP189" s="245">
        <f t="shared" si="1298"/>
        <v>0</v>
      </c>
      <c r="BQ189" s="245">
        <f t="shared" si="1298"/>
        <v>0</v>
      </c>
      <c r="BR189" s="246">
        <f t="shared" si="1298"/>
        <v>0</v>
      </c>
      <c r="BS189" s="245">
        <f t="shared" si="1298"/>
        <v>0</v>
      </c>
      <c r="BT189" s="245">
        <f t="shared" si="1298"/>
        <v>0</v>
      </c>
      <c r="BU189" s="245">
        <f t="shared" si="1298"/>
        <v>0</v>
      </c>
      <c r="BV189" s="178">
        <f t="shared" si="1298"/>
        <v>0</v>
      </c>
      <c r="BW189" s="24" t="e">
        <f>AS189/AS207</f>
        <v>#DIV/0!</v>
      </c>
      <c r="BX189" s="24"/>
      <c r="BY189" s="66" t="s">
        <v>42</v>
      </c>
      <c r="BZ189" s="54">
        <f t="shared" si="1269"/>
        <v>0</v>
      </c>
      <c r="CA189" s="55">
        <f t="shared" si="1240"/>
        <v>0</v>
      </c>
      <c r="CB189" s="58">
        <f t="shared" si="1241"/>
        <v>0</v>
      </c>
      <c r="CC189" s="55">
        <f t="shared" si="1242"/>
        <v>0</v>
      </c>
      <c r="CD189" s="55">
        <f t="shared" si="1243"/>
        <v>0</v>
      </c>
      <c r="CE189" s="55">
        <f t="shared" si="1244"/>
        <v>0</v>
      </c>
      <c r="CF189" s="55">
        <f t="shared" si="1245"/>
        <v>0</v>
      </c>
      <c r="CG189" s="249">
        <f t="shared" si="1246"/>
        <v>0</v>
      </c>
      <c r="CH189" s="55" t="e">
        <f t="shared" si="1247"/>
        <v>#DIV/0!</v>
      </c>
      <c r="CI189" s="55" t="e">
        <f t="shared" si="1248"/>
        <v>#DIV/0!</v>
      </c>
      <c r="CJ189" s="55" t="e">
        <f t="shared" si="1249"/>
        <v>#DIV/0!</v>
      </c>
      <c r="CK189" s="252" t="e">
        <f t="shared" si="1249"/>
        <v>#DIV/0!</v>
      </c>
      <c r="CL189" s="55" t="e">
        <f t="shared" si="1250"/>
        <v>#DIV/0!</v>
      </c>
      <c r="CN189" s="66" t="s">
        <v>42</v>
      </c>
      <c r="CO189" s="54">
        <f t="shared" si="1270"/>
        <v>0</v>
      </c>
      <c r="CP189" s="55">
        <f t="shared" si="1251"/>
        <v>0</v>
      </c>
      <c r="CQ189" s="58">
        <f t="shared" si="1252"/>
        <v>0</v>
      </c>
      <c r="CR189" s="55">
        <f t="shared" si="1253"/>
        <v>0</v>
      </c>
      <c r="CS189" s="55">
        <f t="shared" si="1254"/>
        <v>0</v>
      </c>
      <c r="CT189" s="55">
        <f t="shared" si="1255"/>
        <v>0</v>
      </c>
      <c r="CU189" s="55">
        <f t="shared" si="1256"/>
        <v>0</v>
      </c>
      <c r="CV189" s="249">
        <f t="shared" si="1257"/>
        <v>0</v>
      </c>
      <c r="CW189" s="55" t="e">
        <f t="shared" si="1258"/>
        <v>#DIV/0!</v>
      </c>
      <c r="CX189" s="55" t="e">
        <f t="shared" si="1259"/>
        <v>#DIV/0!</v>
      </c>
      <c r="CY189" s="55" t="e">
        <f t="shared" si="1260"/>
        <v>#DIV/0!</v>
      </c>
      <c r="CZ189" s="252" t="e">
        <f t="shared" si="1260"/>
        <v>#DIV/0!</v>
      </c>
      <c r="DA189" s="62" t="e">
        <f t="shared" si="1261"/>
        <v>#DIV/0!</v>
      </c>
      <c r="DC189" s="66" t="s">
        <v>42</v>
      </c>
      <c r="DD189" s="198">
        <f t="shared" si="1271"/>
        <v>0</v>
      </c>
      <c r="DE189" s="199">
        <f t="shared" si="1272"/>
        <v>0</v>
      </c>
      <c r="DF189" s="198">
        <f t="shared" si="1273"/>
        <v>0</v>
      </c>
      <c r="DG189" s="199">
        <f t="shared" si="1274"/>
        <v>0</v>
      </c>
      <c r="DH189" s="193">
        <f t="shared" si="1275"/>
        <v>0</v>
      </c>
      <c r="DI189" s="194">
        <f t="shared" si="1276"/>
        <v>0</v>
      </c>
      <c r="DJ189" s="198">
        <f t="shared" si="1277"/>
        <v>0</v>
      </c>
      <c r="DK189" s="199">
        <f t="shared" si="1278"/>
        <v>0</v>
      </c>
      <c r="DL189" s="198">
        <f t="shared" si="1279"/>
        <v>0</v>
      </c>
      <c r="DM189" s="199">
        <f t="shared" si="1280"/>
        <v>0</v>
      </c>
      <c r="DN189" s="198">
        <f t="shared" si="1281"/>
        <v>0</v>
      </c>
      <c r="DO189" s="199">
        <f t="shared" si="1282"/>
        <v>0</v>
      </c>
      <c r="DP189" s="198">
        <f t="shared" si="1283"/>
        <v>0</v>
      </c>
      <c r="DQ189" s="199">
        <f t="shared" si="1284"/>
        <v>0</v>
      </c>
      <c r="DR189" s="198">
        <f t="shared" si="1285"/>
        <v>0</v>
      </c>
      <c r="DS189" s="199">
        <f t="shared" si="1286"/>
        <v>0</v>
      </c>
      <c r="DT189" s="198" t="e">
        <f t="shared" si="1287"/>
        <v>#DIV/0!</v>
      </c>
      <c r="DU189" s="199">
        <f t="shared" si="1288"/>
        <v>0</v>
      </c>
      <c r="DV189" s="198" t="e">
        <f t="shared" si="1289"/>
        <v>#DIV/0!</v>
      </c>
      <c r="DW189" s="199">
        <f t="shared" si="1290"/>
        <v>0</v>
      </c>
      <c r="DX189" s="198" t="e">
        <f t="shared" si="1291"/>
        <v>#DIV/0!</v>
      </c>
      <c r="DY189" s="199">
        <f t="shared" si="1292"/>
        <v>0</v>
      </c>
      <c r="DZ189" s="190" t="e">
        <f t="shared" si="1293"/>
        <v>#DIV/0!</v>
      </c>
      <c r="EA189" s="199">
        <f t="shared" si="1262"/>
        <v>0</v>
      </c>
      <c r="EB189" s="190" t="e">
        <f t="shared" si="1294"/>
        <v>#DIV/0!</v>
      </c>
      <c r="EC189" s="190" t="e">
        <f t="shared" si="1295"/>
        <v>#DIV/0!</v>
      </c>
    </row>
    <row r="190" spans="1:133" x14ac:dyDescent="0.2">
      <c r="A190" s="66" t="s">
        <v>2</v>
      </c>
      <c r="B190" s="264">
        <f>SUM(B8:D8,B34:D34,B60:D60,B86:D86,B112:D112,B138:D138,B164)</f>
        <v>586196.05508838035</v>
      </c>
      <c r="C190" s="265"/>
      <c r="D190" s="265"/>
      <c r="E190" s="36">
        <f t="shared" si="1226"/>
        <v>3324760.3393372945</v>
      </c>
      <c r="F190" s="245">
        <f t="shared" si="1226"/>
        <v>9811.8930048393195</v>
      </c>
      <c r="G190" s="245">
        <f t="shared" si="1226"/>
        <v>277054.66946844093</v>
      </c>
      <c r="H190" s="245">
        <f t="shared" si="1226"/>
        <v>0</v>
      </c>
      <c r="I190" s="246">
        <f t="shared" si="1227"/>
        <v>277054.66946844093</v>
      </c>
      <c r="J190" s="245">
        <f t="shared" si="1228"/>
        <v>1447.4666182050369</v>
      </c>
      <c r="K190" s="245">
        <f t="shared" si="1228"/>
        <v>12152.557765604342</v>
      </c>
      <c r="L190" s="245">
        <f t="shared" si="1228"/>
        <v>727.31059383908007</v>
      </c>
      <c r="M190" s="178">
        <f t="shared" si="1263"/>
        <v>14327.334977648459</v>
      </c>
      <c r="N190" s="17">
        <f t="shared" si="1229"/>
        <v>4212150.2918766029</v>
      </c>
      <c r="O190" s="174">
        <f t="shared" si="1230"/>
        <v>0.16634556140811813</v>
      </c>
      <c r="P190" s="17"/>
      <c r="Q190" s="66" t="s">
        <v>2</v>
      </c>
      <c r="R190" s="264">
        <f>SUM(R8:T8,R34:T34,R60:T60,R86:T86,R112:T112,R138:T138,R164)</f>
        <v>0</v>
      </c>
      <c r="S190" s="265"/>
      <c r="T190" s="265"/>
      <c r="U190" s="36">
        <f t="shared" si="1231"/>
        <v>0</v>
      </c>
      <c r="V190" s="245">
        <f t="shared" si="1231"/>
        <v>0</v>
      </c>
      <c r="W190" s="245">
        <f t="shared" si="1231"/>
        <v>0</v>
      </c>
      <c r="X190" s="245">
        <f t="shared" si="1231"/>
        <v>0</v>
      </c>
      <c r="Y190" s="246">
        <f t="shared" si="1264"/>
        <v>0</v>
      </c>
      <c r="Z190" s="245" t="e">
        <f t="shared" si="1232"/>
        <v>#DIV/0!</v>
      </c>
      <c r="AA190" s="245" t="e">
        <f t="shared" si="1232"/>
        <v>#DIV/0!</v>
      </c>
      <c r="AB190" s="245" t="e">
        <f t="shared" si="1232"/>
        <v>#DIV/0!</v>
      </c>
      <c r="AC190" s="178" t="e">
        <f t="shared" si="1265"/>
        <v>#DIV/0!</v>
      </c>
      <c r="AD190" s="17" t="e">
        <f t="shared" si="1233"/>
        <v>#DIV/0!</v>
      </c>
      <c r="AE190" s="176" t="e">
        <f t="shared" si="1234"/>
        <v>#DIV/0!</v>
      </c>
      <c r="AF190" s="66" t="s">
        <v>2</v>
      </c>
      <c r="AG190" s="264">
        <f>SUM(AG8:AI8,AG34:AI34,AG60:AI60,AG86:AI86,AG112:AI112,AG138:AI138,AG164)</f>
        <v>0</v>
      </c>
      <c r="AH190" s="265"/>
      <c r="AI190" s="265"/>
      <c r="AJ190" s="36">
        <f t="shared" si="1235"/>
        <v>0</v>
      </c>
      <c r="AK190" s="245">
        <f t="shared" si="1235"/>
        <v>0</v>
      </c>
      <c r="AL190" s="245">
        <f t="shared" si="1235"/>
        <v>0</v>
      </c>
      <c r="AM190" s="245">
        <f t="shared" si="1235"/>
        <v>0</v>
      </c>
      <c r="AN190" s="246">
        <f t="shared" si="1266"/>
        <v>0</v>
      </c>
      <c r="AO190" s="245">
        <f t="shared" si="1236"/>
        <v>0</v>
      </c>
      <c r="AP190" s="245">
        <f t="shared" si="1236"/>
        <v>0</v>
      </c>
      <c r="AQ190" s="245">
        <f t="shared" si="1236"/>
        <v>0</v>
      </c>
      <c r="AR190" s="178">
        <f t="shared" si="1296"/>
        <v>0</v>
      </c>
      <c r="AS190" s="17">
        <f t="shared" si="1237"/>
        <v>0</v>
      </c>
      <c r="AU190" s="66" t="s">
        <v>2</v>
      </c>
      <c r="AV190" s="264">
        <f>IF(R207&gt;0,R190/R207,0)</f>
        <v>0</v>
      </c>
      <c r="AW190" s="265">
        <f>IF(C207&gt;0,C190/C207,0)</f>
        <v>0</v>
      </c>
      <c r="AX190" s="265">
        <f>IF(D207&gt;0,D190/D207,0)</f>
        <v>0</v>
      </c>
      <c r="AY190" s="36">
        <f t="shared" ref="AY190:BG190" si="1299">IF(U207&gt;0,U190/U207,0)</f>
        <v>0</v>
      </c>
      <c r="AZ190" s="245">
        <f t="shared" si="1299"/>
        <v>0</v>
      </c>
      <c r="BA190" s="245">
        <f t="shared" si="1299"/>
        <v>0</v>
      </c>
      <c r="BB190" s="245">
        <f t="shared" si="1299"/>
        <v>0</v>
      </c>
      <c r="BC190" s="246">
        <f t="shared" si="1299"/>
        <v>0</v>
      </c>
      <c r="BD190" s="245" t="e">
        <f t="shared" si="1299"/>
        <v>#DIV/0!</v>
      </c>
      <c r="BE190" s="245" t="e">
        <f t="shared" si="1299"/>
        <v>#DIV/0!</v>
      </c>
      <c r="BF190" s="245" t="e">
        <f t="shared" si="1299"/>
        <v>#DIV/0!</v>
      </c>
      <c r="BG190" s="178" t="e">
        <f t="shared" si="1299"/>
        <v>#DIV/0!</v>
      </c>
      <c r="BH190" s="24" t="e">
        <f>AD190/AD207</f>
        <v>#DIV/0!</v>
      </c>
      <c r="BJ190" s="66" t="s">
        <v>2</v>
      </c>
      <c r="BK190" s="38">
        <f t="shared" ref="BK190:BV190" si="1300">IF(AG207&gt;0,AG190/AG207,0)</f>
        <v>0</v>
      </c>
      <c r="BL190" s="245">
        <f t="shared" si="1300"/>
        <v>0</v>
      </c>
      <c r="BM190" s="245">
        <f t="shared" si="1300"/>
        <v>0</v>
      </c>
      <c r="BN190" s="36">
        <f t="shared" si="1300"/>
        <v>0</v>
      </c>
      <c r="BO190" s="245">
        <f t="shared" si="1300"/>
        <v>0</v>
      </c>
      <c r="BP190" s="245">
        <f t="shared" si="1300"/>
        <v>0</v>
      </c>
      <c r="BQ190" s="245">
        <f t="shared" si="1300"/>
        <v>0</v>
      </c>
      <c r="BR190" s="246">
        <f t="shared" si="1300"/>
        <v>0</v>
      </c>
      <c r="BS190" s="245">
        <f t="shared" si="1300"/>
        <v>0</v>
      </c>
      <c r="BT190" s="245">
        <f t="shared" si="1300"/>
        <v>0</v>
      </c>
      <c r="BU190" s="245">
        <f t="shared" si="1300"/>
        <v>0</v>
      </c>
      <c r="BV190" s="178">
        <f t="shared" si="1300"/>
        <v>0</v>
      </c>
      <c r="BW190" s="24" t="e">
        <f>AS190/AS207</f>
        <v>#DIV/0!</v>
      </c>
      <c r="BX190" s="24"/>
      <c r="BY190" s="66" t="s">
        <v>2</v>
      </c>
      <c r="BZ190" s="54">
        <f t="shared" si="1269"/>
        <v>0</v>
      </c>
      <c r="CA190" s="55">
        <f t="shared" si="1240"/>
        <v>0</v>
      </c>
      <c r="CB190" s="55">
        <f t="shared" si="1241"/>
        <v>0</v>
      </c>
      <c r="CC190" s="58">
        <f t="shared" si="1242"/>
        <v>0</v>
      </c>
      <c r="CD190" s="55">
        <f t="shared" si="1243"/>
        <v>0</v>
      </c>
      <c r="CE190" s="55">
        <f t="shared" si="1244"/>
        <v>0</v>
      </c>
      <c r="CF190" s="55">
        <f t="shared" si="1245"/>
        <v>0</v>
      </c>
      <c r="CG190" s="249">
        <f t="shared" si="1246"/>
        <v>0</v>
      </c>
      <c r="CH190" s="55" t="e">
        <f t="shared" si="1247"/>
        <v>#DIV/0!</v>
      </c>
      <c r="CI190" s="55" t="e">
        <f t="shared" si="1248"/>
        <v>#DIV/0!</v>
      </c>
      <c r="CJ190" s="55" t="e">
        <f t="shared" si="1249"/>
        <v>#DIV/0!</v>
      </c>
      <c r="CK190" s="252" t="e">
        <f t="shared" si="1249"/>
        <v>#DIV/0!</v>
      </c>
      <c r="CL190" s="55" t="e">
        <f t="shared" si="1250"/>
        <v>#DIV/0!</v>
      </c>
      <c r="CN190" s="66" t="s">
        <v>2</v>
      </c>
      <c r="CO190" s="54">
        <f t="shared" si="1270"/>
        <v>0</v>
      </c>
      <c r="CP190" s="55">
        <f t="shared" si="1251"/>
        <v>0</v>
      </c>
      <c r="CQ190" s="55">
        <f t="shared" si="1252"/>
        <v>0</v>
      </c>
      <c r="CR190" s="58">
        <f t="shared" si="1253"/>
        <v>0</v>
      </c>
      <c r="CS190" s="55">
        <f t="shared" si="1254"/>
        <v>0</v>
      </c>
      <c r="CT190" s="55">
        <f t="shared" si="1255"/>
        <v>0</v>
      </c>
      <c r="CU190" s="55">
        <f t="shared" si="1256"/>
        <v>0</v>
      </c>
      <c r="CV190" s="249">
        <f t="shared" si="1257"/>
        <v>0</v>
      </c>
      <c r="CW190" s="55" t="e">
        <f t="shared" si="1258"/>
        <v>#DIV/0!</v>
      </c>
      <c r="CX190" s="55" t="e">
        <f t="shared" si="1259"/>
        <v>#DIV/0!</v>
      </c>
      <c r="CY190" s="55" t="e">
        <f t="shared" si="1260"/>
        <v>#DIV/0!</v>
      </c>
      <c r="CZ190" s="252" t="e">
        <f t="shared" si="1260"/>
        <v>#DIV/0!</v>
      </c>
      <c r="DA190" s="62" t="e">
        <f t="shared" si="1261"/>
        <v>#DIV/0!</v>
      </c>
      <c r="DC190" s="66" t="s">
        <v>2</v>
      </c>
      <c r="DD190" s="198">
        <f t="shared" si="1271"/>
        <v>0</v>
      </c>
      <c r="DE190" s="199">
        <f t="shared" si="1272"/>
        <v>0</v>
      </c>
      <c r="DF190" s="198">
        <f t="shared" si="1273"/>
        <v>0</v>
      </c>
      <c r="DG190" s="199">
        <f t="shared" si="1274"/>
        <v>0</v>
      </c>
      <c r="DH190" s="198">
        <f t="shared" si="1275"/>
        <v>0</v>
      </c>
      <c r="DI190" s="199">
        <f t="shared" si="1276"/>
        <v>0</v>
      </c>
      <c r="DJ190" s="193">
        <f t="shared" si="1277"/>
        <v>0</v>
      </c>
      <c r="DK190" s="194">
        <f t="shared" si="1278"/>
        <v>0</v>
      </c>
      <c r="DL190" s="198">
        <f t="shared" si="1279"/>
        <v>0</v>
      </c>
      <c r="DM190" s="199">
        <f t="shared" si="1280"/>
        <v>0</v>
      </c>
      <c r="DN190" s="198">
        <f t="shared" si="1281"/>
        <v>0</v>
      </c>
      <c r="DO190" s="199">
        <f t="shared" si="1282"/>
        <v>0</v>
      </c>
      <c r="DP190" s="198">
        <f t="shared" si="1283"/>
        <v>0</v>
      </c>
      <c r="DQ190" s="199">
        <f t="shared" si="1284"/>
        <v>0</v>
      </c>
      <c r="DR190" s="198">
        <f t="shared" si="1285"/>
        <v>0</v>
      </c>
      <c r="DS190" s="199">
        <f t="shared" si="1286"/>
        <v>0</v>
      </c>
      <c r="DT190" s="198" t="e">
        <f t="shared" si="1287"/>
        <v>#DIV/0!</v>
      </c>
      <c r="DU190" s="199">
        <f t="shared" si="1288"/>
        <v>0</v>
      </c>
      <c r="DV190" s="198" t="e">
        <f t="shared" si="1289"/>
        <v>#DIV/0!</v>
      </c>
      <c r="DW190" s="199">
        <f t="shared" si="1290"/>
        <v>0</v>
      </c>
      <c r="DX190" s="198" t="e">
        <f t="shared" si="1291"/>
        <v>#DIV/0!</v>
      </c>
      <c r="DY190" s="199">
        <f t="shared" si="1292"/>
        <v>0</v>
      </c>
      <c r="DZ190" s="190" t="e">
        <f t="shared" si="1293"/>
        <v>#DIV/0!</v>
      </c>
      <c r="EA190" s="199">
        <f t="shared" si="1262"/>
        <v>0</v>
      </c>
      <c r="EB190" s="190" t="e">
        <f t="shared" si="1294"/>
        <v>#DIV/0!</v>
      </c>
      <c r="EC190" s="190" t="e">
        <f t="shared" si="1295"/>
        <v>#DIV/0!</v>
      </c>
    </row>
    <row r="191" spans="1:133" x14ac:dyDescent="0.2">
      <c r="A191" s="66" t="s">
        <v>3</v>
      </c>
      <c r="B191" s="264">
        <f>SUM(B9:D9,B35:D35,B61:D61,B87:D87,B113:D113,B139:D139,B165)</f>
        <v>0</v>
      </c>
      <c r="C191" s="265"/>
      <c r="D191" s="265"/>
      <c r="E191" s="245">
        <f t="shared" si="1226"/>
        <v>0</v>
      </c>
      <c r="F191" s="36">
        <f t="shared" si="1226"/>
        <v>561498.89593735989</v>
      </c>
      <c r="G191" s="245">
        <f t="shared" si="1226"/>
        <v>16526.496464525153</v>
      </c>
      <c r="H191" s="245">
        <f t="shared" si="1226"/>
        <v>0</v>
      </c>
      <c r="I191" s="246">
        <f t="shared" si="1227"/>
        <v>16526.496464525153</v>
      </c>
      <c r="J191" s="245">
        <f t="shared" si="1228"/>
        <v>0</v>
      </c>
      <c r="K191" s="245">
        <f t="shared" si="1228"/>
        <v>0</v>
      </c>
      <c r="L191" s="245">
        <f t="shared" si="1228"/>
        <v>0</v>
      </c>
      <c r="M191" s="178">
        <f t="shared" si="1263"/>
        <v>0</v>
      </c>
      <c r="N191" s="17">
        <f t="shared" si="1229"/>
        <v>578025.39240188501</v>
      </c>
      <c r="O191" s="174">
        <f t="shared" si="1230"/>
        <v>2.2827285767242075E-2</v>
      </c>
      <c r="P191" s="17"/>
      <c r="Q191" s="66" t="s">
        <v>3</v>
      </c>
      <c r="R191" s="264">
        <f>SUM(R9:T9,R35:T35,R61:T61,R87:T87,R113:T113,R139:T139,R165)</f>
        <v>0</v>
      </c>
      <c r="S191" s="265"/>
      <c r="T191" s="265"/>
      <c r="U191" s="245">
        <f t="shared" si="1231"/>
        <v>0</v>
      </c>
      <c r="V191" s="36">
        <f t="shared" si="1231"/>
        <v>0</v>
      </c>
      <c r="W191" s="245">
        <f t="shared" si="1231"/>
        <v>0</v>
      </c>
      <c r="X191" s="245">
        <f t="shared" si="1231"/>
        <v>0</v>
      </c>
      <c r="Y191" s="246">
        <f t="shared" si="1264"/>
        <v>0</v>
      </c>
      <c r="Z191" s="245" t="e">
        <f t="shared" si="1232"/>
        <v>#DIV/0!</v>
      </c>
      <c r="AA191" s="245" t="e">
        <f t="shared" si="1232"/>
        <v>#DIV/0!</v>
      </c>
      <c r="AB191" s="245" t="e">
        <f t="shared" si="1232"/>
        <v>#DIV/0!</v>
      </c>
      <c r="AC191" s="178" t="e">
        <f t="shared" si="1265"/>
        <v>#DIV/0!</v>
      </c>
      <c r="AD191" s="17" t="e">
        <f t="shared" si="1233"/>
        <v>#DIV/0!</v>
      </c>
      <c r="AE191" s="176" t="e">
        <f t="shared" si="1234"/>
        <v>#DIV/0!</v>
      </c>
      <c r="AF191" s="66" t="s">
        <v>3</v>
      </c>
      <c r="AG191" s="264"/>
      <c r="AH191" s="265"/>
      <c r="AI191" s="265"/>
      <c r="AJ191" s="245">
        <f t="shared" si="1235"/>
        <v>0</v>
      </c>
      <c r="AK191" s="36">
        <f t="shared" si="1235"/>
        <v>0</v>
      </c>
      <c r="AL191" s="245">
        <f t="shared" si="1235"/>
        <v>0</v>
      </c>
      <c r="AM191" s="245">
        <f t="shared" si="1235"/>
        <v>0</v>
      </c>
      <c r="AN191" s="246">
        <f t="shared" si="1266"/>
        <v>0</v>
      </c>
      <c r="AO191" s="245">
        <f t="shared" si="1236"/>
        <v>0</v>
      </c>
      <c r="AP191" s="245">
        <f t="shared" si="1236"/>
        <v>0</v>
      </c>
      <c r="AQ191" s="245">
        <f t="shared" si="1236"/>
        <v>0</v>
      </c>
      <c r="AR191" s="178">
        <f t="shared" si="1296"/>
        <v>0</v>
      </c>
      <c r="AS191" s="17">
        <f t="shared" si="1237"/>
        <v>0</v>
      </c>
      <c r="AU191" s="66" t="s">
        <v>3</v>
      </c>
      <c r="AV191" s="264">
        <f t="shared" ref="AV191:BG191" si="1301">IF(R207&gt;0,R191/R207,0)</f>
        <v>0</v>
      </c>
      <c r="AW191" s="265">
        <f t="shared" si="1301"/>
        <v>0</v>
      </c>
      <c r="AX191" s="265">
        <f t="shared" si="1301"/>
        <v>0</v>
      </c>
      <c r="AY191" s="245">
        <f t="shared" si="1301"/>
        <v>0</v>
      </c>
      <c r="AZ191" s="36">
        <f t="shared" si="1301"/>
        <v>0</v>
      </c>
      <c r="BA191" s="245">
        <f t="shared" si="1301"/>
        <v>0</v>
      </c>
      <c r="BB191" s="245">
        <f t="shared" si="1301"/>
        <v>0</v>
      </c>
      <c r="BC191" s="246">
        <f t="shared" si="1301"/>
        <v>0</v>
      </c>
      <c r="BD191" s="245" t="e">
        <f t="shared" si="1301"/>
        <v>#DIV/0!</v>
      </c>
      <c r="BE191" s="245" t="e">
        <f t="shared" si="1301"/>
        <v>#DIV/0!</v>
      </c>
      <c r="BF191" s="245" t="e">
        <f t="shared" si="1301"/>
        <v>#DIV/0!</v>
      </c>
      <c r="BG191" s="178" t="e">
        <f t="shared" si="1301"/>
        <v>#DIV/0!</v>
      </c>
      <c r="BH191" s="24" t="e">
        <f>AD191/AD207</f>
        <v>#DIV/0!</v>
      </c>
      <c r="BJ191" s="66" t="s">
        <v>3</v>
      </c>
      <c r="BK191" s="38">
        <f t="shared" ref="BK191:BV191" si="1302">IF(AG207&gt;0,AG191/AG207,0)</f>
        <v>0</v>
      </c>
      <c r="BL191" s="245">
        <f t="shared" si="1302"/>
        <v>0</v>
      </c>
      <c r="BM191" s="245">
        <f t="shared" si="1302"/>
        <v>0</v>
      </c>
      <c r="BN191" s="245">
        <f t="shared" si="1302"/>
        <v>0</v>
      </c>
      <c r="BO191" s="36">
        <f t="shared" si="1302"/>
        <v>0</v>
      </c>
      <c r="BP191" s="245">
        <f t="shared" si="1302"/>
        <v>0</v>
      </c>
      <c r="BQ191" s="245">
        <f t="shared" si="1302"/>
        <v>0</v>
      </c>
      <c r="BR191" s="246">
        <f t="shared" si="1302"/>
        <v>0</v>
      </c>
      <c r="BS191" s="245">
        <f t="shared" si="1302"/>
        <v>0</v>
      </c>
      <c r="BT191" s="245">
        <f t="shared" si="1302"/>
        <v>0</v>
      </c>
      <c r="BU191" s="245">
        <f t="shared" si="1302"/>
        <v>0</v>
      </c>
      <c r="BV191" s="178">
        <f t="shared" si="1302"/>
        <v>0</v>
      </c>
      <c r="BW191" s="24" t="e">
        <f>AS191/AS207</f>
        <v>#DIV/0!</v>
      </c>
      <c r="BX191" s="24"/>
      <c r="BY191" s="66" t="s">
        <v>3</v>
      </c>
      <c r="BZ191" s="54">
        <f t="shared" si="1269"/>
        <v>0</v>
      </c>
      <c r="CA191" s="55">
        <f t="shared" si="1240"/>
        <v>0</v>
      </c>
      <c r="CB191" s="55">
        <f t="shared" si="1241"/>
        <v>0</v>
      </c>
      <c r="CC191" s="55">
        <f t="shared" si="1242"/>
        <v>0</v>
      </c>
      <c r="CD191" s="58">
        <f t="shared" si="1243"/>
        <v>0</v>
      </c>
      <c r="CE191" s="55">
        <f t="shared" si="1244"/>
        <v>0</v>
      </c>
      <c r="CF191" s="55">
        <f t="shared" si="1245"/>
        <v>0</v>
      </c>
      <c r="CG191" s="249">
        <f t="shared" si="1246"/>
        <v>0</v>
      </c>
      <c r="CH191" s="55" t="e">
        <f t="shared" si="1247"/>
        <v>#DIV/0!</v>
      </c>
      <c r="CI191" s="55" t="e">
        <f t="shared" si="1248"/>
        <v>#DIV/0!</v>
      </c>
      <c r="CJ191" s="55" t="e">
        <f t="shared" si="1249"/>
        <v>#DIV/0!</v>
      </c>
      <c r="CK191" s="252" t="e">
        <f t="shared" si="1249"/>
        <v>#DIV/0!</v>
      </c>
      <c r="CL191" s="55" t="e">
        <f t="shared" si="1250"/>
        <v>#DIV/0!</v>
      </c>
      <c r="CN191" s="66" t="s">
        <v>3</v>
      </c>
      <c r="CO191" s="54">
        <f t="shared" si="1270"/>
        <v>0</v>
      </c>
      <c r="CP191" s="55">
        <f t="shared" si="1251"/>
        <v>0</v>
      </c>
      <c r="CQ191" s="55">
        <f t="shared" si="1252"/>
        <v>0</v>
      </c>
      <c r="CR191" s="55">
        <f t="shared" si="1253"/>
        <v>0</v>
      </c>
      <c r="CS191" s="58">
        <f t="shared" si="1254"/>
        <v>0</v>
      </c>
      <c r="CT191" s="55">
        <f t="shared" si="1255"/>
        <v>0</v>
      </c>
      <c r="CU191" s="55">
        <f t="shared" si="1256"/>
        <v>0</v>
      </c>
      <c r="CV191" s="249">
        <f t="shared" si="1257"/>
        <v>0</v>
      </c>
      <c r="CW191" s="55" t="e">
        <f t="shared" si="1258"/>
        <v>#DIV/0!</v>
      </c>
      <c r="CX191" s="55" t="e">
        <f t="shared" si="1259"/>
        <v>#DIV/0!</v>
      </c>
      <c r="CY191" s="55" t="e">
        <f t="shared" si="1260"/>
        <v>#DIV/0!</v>
      </c>
      <c r="CZ191" s="252" t="e">
        <f t="shared" si="1260"/>
        <v>#DIV/0!</v>
      </c>
      <c r="DA191" s="62" t="e">
        <f t="shared" si="1261"/>
        <v>#DIV/0!</v>
      </c>
      <c r="DC191" s="66" t="s">
        <v>3</v>
      </c>
      <c r="DD191" s="198">
        <f t="shared" si="1271"/>
        <v>0</v>
      </c>
      <c r="DE191" s="199">
        <f t="shared" si="1272"/>
        <v>0</v>
      </c>
      <c r="DF191" s="198">
        <f t="shared" si="1273"/>
        <v>0</v>
      </c>
      <c r="DG191" s="199">
        <f t="shared" si="1274"/>
        <v>0</v>
      </c>
      <c r="DH191" s="198">
        <f t="shared" si="1275"/>
        <v>0</v>
      </c>
      <c r="DI191" s="199">
        <f t="shared" si="1276"/>
        <v>0</v>
      </c>
      <c r="DJ191" s="198">
        <f t="shared" si="1277"/>
        <v>0</v>
      </c>
      <c r="DK191" s="199">
        <f t="shared" si="1278"/>
        <v>0</v>
      </c>
      <c r="DL191" s="193">
        <f t="shared" si="1279"/>
        <v>0</v>
      </c>
      <c r="DM191" s="194">
        <f t="shared" si="1280"/>
        <v>0</v>
      </c>
      <c r="DN191" s="198">
        <f t="shared" si="1281"/>
        <v>0</v>
      </c>
      <c r="DO191" s="199">
        <f t="shared" si="1282"/>
        <v>0</v>
      </c>
      <c r="DP191" s="198">
        <f t="shared" si="1283"/>
        <v>0</v>
      </c>
      <c r="DQ191" s="199">
        <f t="shared" si="1284"/>
        <v>0</v>
      </c>
      <c r="DR191" s="198">
        <f t="shared" si="1285"/>
        <v>0</v>
      </c>
      <c r="DS191" s="199">
        <f t="shared" si="1286"/>
        <v>0</v>
      </c>
      <c r="DT191" s="198" t="e">
        <f t="shared" si="1287"/>
        <v>#DIV/0!</v>
      </c>
      <c r="DU191" s="199">
        <f t="shared" si="1288"/>
        <v>0</v>
      </c>
      <c r="DV191" s="198" t="e">
        <f t="shared" si="1289"/>
        <v>#DIV/0!</v>
      </c>
      <c r="DW191" s="199">
        <f t="shared" si="1290"/>
        <v>0</v>
      </c>
      <c r="DX191" s="198" t="e">
        <f t="shared" si="1291"/>
        <v>#DIV/0!</v>
      </c>
      <c r="DY191" s="199">
        <f t="shared" si="1292"/>
        <v>0</v>
      </c>
      <c r="DZ191" s="190" t="e">
        <f t="shared" si="1293"/>
        <v>#DIV/0!</v>
      </c>
      <c r="EA191" s="199">
        <f t="shared" si="1262"/>
        <v>0</v>
      </c>
      <c r="EB191" s="190" t="e">
        <f t="shared" si="1294"/>
        <v>#DIV/0!</v>
      </c>
      <c r="EC191" s="190" t="e">
        <f t="shared" si="1295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5">
        <f>SUM(C10,C36,C62,C88,C114,C140,C166)</f>
        <v>0</v>
      </c>
      <c r="D192" s="245">
        <f>SUM(D10,D36,D62,D88,D114,D140,D166)</f>
        <v>0</v>
      </c>
      <c r="E192" s="245">
        <f t="shared" si="1226"/>
        <v>0</v>
      </c>
      <c r="F192" s="245">
        <f t="shared" si="1226"/>
        <v>0</v>
      </c>
      <c r="G192" s="39">
        <f t="shared" si="1226"/>
        <v>535005.10631620628</v>
      </c>
      <c r="H192" s="245">
        <f t="shared" si="1226"/>
        <v>0</v>
      </c>
      <c r="I192" s="246">
        <f t="shared" si="1227"/>
        <v>535005.10631620628</v>
      </c>
      <c r="J192" s="245">
        <f t="shared" si="1228"/>
        <v>0</v>
      </c>
      <c r="K192" s="245">
        <f t="shared" si="1228"/>
        <v>0</v>
      </c>
      <c r="L192" s="245">
        <f t="shared" si="1228"/>
        <v>0</v>
      </c>
      <c r="M192" s="178">
        <f t="shared" si="1263"/>
        <v>0</v>
      </c>
      <c r="N192" s="17">
        <f t="shared" si="1229"/>
        <v>535005.10631620628</v>
      </c>
      <c r="O192" s="174">
        <f t="shared" si="1230"/>
        <v>2.1128335552986585E-2</v>
      </c>
      <c r="P192" s="17"/>
      <c r="Q192" s="66" t="s">
        <v>5</v>
      </c>
      <c r="R192" s="38"/>
      <c r="S192" s="245"/>
      <c r="T192" s="245"/>
      <c r="U192" s="245">
        <f t="shared" si="1231"/>
        <v>0</v>
      </c>
      <c r="V192" s="245">
        <f t="shared" si="1231"/>
        <v>0</v>
      </c>
      <c r="W192" s="39">
        <f t="shared" si="1231"/>
        <v>0</v>
      </c>
      <c r="X192" s="245">
        <f t="shared" si="1231"/>
        <v>0</v>
      </c>
      <c r="Y192" s="246">
        <f t="shared" si="1264"/>
        <v>0</v>
      </c>
      <c r="Z192" s="245" t="e">
        <f t="shared" si="1232"/>
        <v>#DIV/0!</v>
      </c>
      <c r="AA192" s="245" t="e">
        <f t="shared" si="1232"/>
        <v>#DIV/0!</v>
      </c>
      <c r="AB192" s="245" t="e">
        <f t="shared" si="1232"/>
        <v>#DIV/0!</v>
      </c>
      <c r="AC192" s="178" t="e">
        <f t="shared" si="1265"/>
        <v>#DIV/0!</v>
      </c>
      <c r="AD192" s="17" t="e">
        <f t="shared" si="1233"/>
        <v>#DIV/0!</v>
      </c>
      <c r="AE192" s="176" t="e">
        <f t="shared" si="1234"/>
        <v>#DIV/0!</v>
      </c>
      <c r="AF192" s="66" t="s">
        <v>5</v>
      </c>
      <c r="AG192" s="38"/>
      <c r="AH192" s="245"/>
      <c r="AI192" s="245"/>
      <c r="AJ192" s="245">
        <f t="shared" si="1235"/>
        <v>0</v>
      </c>
      <c r="AK192" s="245">
        <f t="shared" si="1235"/>
        <v>0</v>
      </c>
      <c r="AL192" s="39">
        <f t="shared" si="1235"/>
        <v>0</v>
      </c>
      <c r="AM192" s="245">
        <f t="shared" si="1235"/>
        <v>0</v>
      </c>
      <c r="AN192" s="246">
        <f t="shared" ref="AN192:AN197" si="1303">AL192+AM192+AL198+AM198</f>
        <v>0</v>
      </c>
      <c r="AO192" s="245">
        <f t="shared" si="1236"/>
        <v>0</v>
      </c>
      <c r="AP192" s="245">
        <f t="shared" si="1236"/>
        <v>0</v>
      </c>
      <c r="AQ192" s="245">
        <f t="shared" si="1236"/>
        <v>0</v>
      </c>
      <c r="AR192" s="178">
        <f t="shared" si="1296"/>
        <v>0</v>
      </c>
      <c r="AS192" s="17">
        <f t="shared" si="1237"/>
        <v>0</v>
      </c>
      <c r="AU192" s="66" t="s">
        <v>5</v>
      </c>
      <c r="AV192" s="38">
        <f t="shared" ref="AV192:BG192" si="1304">IF(R207&gt;0,R192/R207,0)</f>
        <v>0</v>
      </c>
      <c r="AW192" s="245">
        <f t="shared" si="1304"/>
        <v>0</v>
      </c>
      <c r="AX192" s="245">
        <f t="shared" si="1304"/>
        <v>0</v>
      </c>
      <c r="AY192" s="245">
        <f t="shared" si="1304"/>
        <v>0</v>
      </c>
      <c r="AZ192" s="245">
        <f t="shared" si="1304"/>
        <v>0</v>
      </c>
      <c r="BA192" s="39">
        <f t="shared" si="1304"/>
        <v>0</v>
      </c>
      <c r="BB192" s="245">
        <f t="shared" si="1304"/>
        <v>0</v>
      </c>
      <c r="BC192" s="246">
        <f t="shared" si="1304"/>
        <v>0</v>
      </c>
      <c r="BD192" s="245" t="e">
        <f t="shared" si="1304"/>
        <v>#DIV/0!</v>
      </c>
      <c r="BE192" s="245" t="e">
        <f t="shared" si="1304"/>
        <v>#DIV/0!</v>
      </c>
      <c r="BF192" s="245" t="e">
        <f t="shared" si="1304"/>
        <v>#DIV/0!</v>
      </c>
      <c r="BG192" s="178" t="e">
        <f t="shared" si="1304"/>
        <v>#DIV/0!</v>
      </c>
      <c r="BH192" s="24" t="e">
        <f>AD192/AD207</f>
        <v>#DIV/0!</v>
      </c>
      <c r="BJ192" s="66" t="s">
        <v>5</v>
      </c>
      <c r="BK192" s="38">
        <f t="shared" ref="BK192:BV192" si="1305">IF(AG207&gt;0,AG192/AG207,0)</f>
        <v>0</v>
      </c>
      <c r="BL192" s="245">
        <f t="shared" si="1305"/>
        <v>0</v>
      </c>
      <c r="BM192" s="245">
        <f t="shared" si="1305"/>
        <v>0</v>
      </c>
      <c r="BN192" s="245">
        <f t="shared" si="1305"/>
        <v>0</v>
      </c>
      <c r="BO192" s="245">
        <f t="shared" si="1305"/>
        <v>0</v>
      </c>
      <c r="BP192" s="39">
        <f t="shared" si="1305"/>
        <v>0</v>
      </c>
      <c r="BQ192" s="245">
        <f t="shared" si="1305"/>
        <v>0</v>
      </c>
      <c r="BR192" s="246">
        <f t="shared" si="1305"/>
        <v>0</v>
      </c>
      <c r="BS192" s="245">
        <f t="shared" si="1305"/>
        <v>0</v>
      </c>
      <c r="BT192" s="245">
        <f t="shared" si="1305"/>
        <v>0</v>
      </c>
      <c r="BU192" s="245">
        <f t="shared" si="1305"/>
        <v>0</v>
      </c>
      <c r="BV192" s="178">
        <f t="shared" si="1305"/>
        <v>0</v>
      </c>
      <c r="BW192" s="24" t="e">
        <f>AS192/AS207</f>
        <v>#DIV/0!</v>
      </c>
      <c r="BX192" s="24"/>
      <c r="BY192" s="66" t="s">
        <v>5</v>
      </c>
      <c r="BZ192" s="54">
        <f t="shared" si="1269"/>
        <v>0</v>
      </c>
      <c r="CA192" s="55">
        <f t="shared" si="1240"/>
        <v>0</v>
      </c>
      <c r="CB192" s="55">
        <f t="shared" si="1241"/>
        <v>0</v>
      </c>
      <c r="CC192" s="55">
        <f t="shared" si="1242"/>
        <v>0</v>
      </c>
      <c r="CD192" s="55">
        <f t="shared" si="1243"/>
        <v>0</v>
      </c>
      <c r="CE192" s="59">
        <f t="shared" si="1244"/>
        <v>0</v>
      </c>
      <c r="CF192" s="55">
        <f t="shared" si="1245"/>
        <v>0</v>
      </c>
      <c r="CG192" s="249">
        <f t="shared" si="1246"/>
        <v>0</v>
      </c>
      <c r="CH192" s="55" t="e">
        <f t="shared" si="1247"/>
        <v>#DIV/0!</v>
      </c>
      <c r="CI192" s="55" t="e">
        <f t="shared" si="1248"/>
        <v>#DIV/0!</v>
      </c>
      <c r="CJ192" s="55" t="e">
        <f t="shared" si="1249"/>
        <v>#DIV/0!</v>
      </c>
      <c r="CK192" s="252" t="e">
        <f t="shared" si="1249"/>
        <v>#DIV/0!</v>
      </c>
      <c r="CL192" s="55" t="e">
        <f t="shared" si="1250"/>
        <v>#DIV/0!</v>
      </c>
      <c r="CN192" s="66" t="s">
        <v>5</v>
      </c>
      <c r="CO192" s="54">
        <f t="shared" si="1270"/>
        <v>0</v>
      </c>
      <c r="CP192" s="55">
        <f t="shared" si="1251"/>
        <v>0</v>
      </c>
      <c r="CQ192" s="55">
        <f t="shared" si="1252"/>
        <v>0</v>
      </c>
      <c r="CR192" s="55">
        <f t="shared" si="1253"/>
        <v>0</v>
      </c>
      <c r="CS192" s="55">
        <f t="shared" si="1254"/>
        <v>0</v>
      </c>
      <c r="CT192" s="59">
        <f t="shared" si="1255"/>
        <v>0</v>
      </c>
      <c r="CU192" s="55">
        <f t="shared" si="1256"/>
        <v>0</v>
      </c>
      <c r="CV192" s="249">
        <f t="shared" si="1257"/>
        <v>0</v>
      </c>
      <c r="CW192" s="55" t="e">
        <f t="shared" si="1258"/>
        <v>#DIV/0!</v>
      </c>
      <c r="CX192" s="55" t="e">
        <f t="shared" si="1259"/>
        <v>#DIV/0!</v>
      </c>
      <c r="CY192" s="55" t="e">
        <f t="shared" si="1260"/>
        <v>#DIV/0!</v>
      </c>
      <c r="CZ192" s="252" t="e">
        <f t="shared" si="1260"/>
        <v>#DIV/0!</v>
      </c>
      <c r="DA192" s="62" t="e">
        <f t="shared" si="1261"/>
        <v>#DIV/0!</v>
      </c>
      <c r="DC192" s="66" t="s">
        <v>5</v>
      </c>
      <c r="DD192" s="198">
        <f t="shared" si="1271"/>
        <v>0</v>
      </c>
      <c r="DE192" s="199">
        <f t="shared" si="1272"/>
        <v>0</v>
      </c>
      <c r="DF192" s="198">
        <f t="shared" si="1273"/>
        <v>0</v>
      </c>
      <c r="DG192" s="199">
        <f t="shared" si="1274"/>
        <v>0</v>
      </c>
      <c r="DH192" s="198">
        <f t="shared" si="1275"/>
        <v>0</v>
      </c>
      <c r="DI192" s="199">
        <f t="shared" si="1276"/>
        <v>0</v>
      </c>
      <c r="DJ192" s="198">
        <f t="shared" si="1277"/>
        <v>0</v>
      </c>
      <c r="DK192" s="199">
        <f t="shared" si="1278"/>
        <v>0</v>
      </c>
      <c r="DL192" s="198">
        <f t="shared" si="1279"/>
        <v>0</v>
      </c>
      <c r="DM192" s="199">
        <f t="shared" si="1280"/>
        <v>0</v>
      </c>
      <c r="DN192" s="195">
        <f t="shared" si="1281"/>
        <v>0</v>
      </c>
      <c r="DO192" s="196">
        <f t="shared" si="1282"/>
        <v>0</v>
      </c>
      <c r="DP192" s="198">
        <f t="shared" si="1283"/>
        <v>0</v>
      </c>
      <c r="DQ192" s="199">
        <f t="shared" si="1284"/>
        <v>0</v>
      </c>
      <c r="DR192" s="198">
        <f t="shared" si="1285"/>
        <v>0</v>
      </c>
      <c r="DS192" s="199">
        <f t="shared" si="1286"/>
        <v>0</v>
      </c>
      <c r="DT192" s="198" t="e">
        <f t="shared" si="1287"/>
        <v>#DIV/0!</v>
      </c>
      <c r="DU192" s="199">
        <f t="shared" si="1288"/>
        <v>0</v>
      </c>
      <c r="DV192" s="198" t="e">
        <f t="shared" si="1289"/>
        <v>#DIV/0!</v>
      </c>
      <c r="DW192" s="199">
        <f t="shared" si="1290"/>
        <v>0</v>
      </c>
      <c r="DX192" s="198" t="e">
        <f t="shared" si="1291"/>
        <v>#DIV/0!</v>
      </c>
      <c r="DY192" s="199">
        <f t="shared" si="1292"/>
        <v>0</v>
      </c>
      <c r="DZ192" s="190" t="e">
        <f t="shared" si="1293"/>
        <v>#DIV/0!</v>
      </c>
      <c r="EA192" s="199">
        <f t="shared" si="1262"/>
        <v>0</v>
      </c>
      <c r="EB192" s="190" t="e">
        <f t="shared" si="1294"/>
        <v>#DIV/0!</v>
      </c>
      <c r="EC192" s="190" t="e">
        <f t="shared" si="1295"/>
        <v>#DIV/0!</v>
      </c>
    </row>
    <row r="193" spans="1:133" ht="25.5" x14ac:dyDescent="0.2">
      <c r="A193" s="66" t="s">
        <v>346</v>
      </c>
      <c r="B193" s="38">
        <f t="shared" ref="B193:H193" si="1306">SUM(B11,B37,B63,B89,B115,B141,B167)</f>
        <v>0</v>
      </c>
      <c r="C193" s="245">
        <f t="shared" si="1306"/>
        <v>0</v>
      </c>
      <c r="D193" s="245">
        <f t="shared" si="1306"/>
        <v>0</v>
      </c>
      <c r="E193" s="245">
        <f t="shared" si="1306"/>
        <v>0</v>
      </c>
      <c r="F193" s="245">
        <f t="shared" si="1306"/>
        <v>0</v>
      </c>
      <c r="G193" s="40">
        <f t="shared" si="1306"/>
        <v>107785.97351853942</v>
      </c>
      <c r="H193" s="245">
        <f t="shared" si="1306"/>
        <v>0</v>
      </c>
      <c r="I193" s="246">
        <f t="shared" ref="I193:I206" si="1307">SUM(G193:H193)</f>
        <v>107785.97351853942</v>
      </c>
      <c r="J193" s="245">
        <f t="shared" ref="J193:L193" si="1308">SUM(J11,J37,J63,J89,J115,J141,J167)</f>
        <v>0</v>
      </c>
      <c r="K193" s="245">
        <f t="shared" si="1308"/>
        <v>0</v>
      </c>
      <c r="L193" s="245">
        <f t="shared" si="1308"/>
        <v>0</v>
      </c>
      <c r="M193" s="178">
        <f t="shared" si="1263"/>
        <v>0</v>
      </c>
      <c r="N193" s="17">
        <f t="shared" si="1229"/>
        <v>107785.97351853942</v>
      </c>
      <c r="O193" s="174">
        <f t="shared" si="1230"/>
        <v>4.256666318730503E-3</v>
      </c>
      <c r="P193" s="17"/>
      <c r="Q193" s="66" t="s">
        <v>346</v>
      </c>
      <c r="R193" s="38"/>
      <c r="S193" s="245"/>
      <c r="T193" s="245"/>
      <c r="U193" s="245">
        <f t="shared" si="1231"/>
        <v>0</v>
      </c>
      <c r="V193" s="245">
        <f t="shared" si="1231"/>
        <v>0</v>
      </c>
      <c r="W193" s="40">
        <f t="shared" si="1231"/>
        <v>0</v>
      </c>
      <c r="X193" s="245">
        <f t="shared" si="1231"/>
        <v>0</v>
      </c>
      <c r="Y193" s="246">
        <f t="shared" si="1264"/>
        <v>0</v>
      </c>
      <c r="Z193" s="245" t="e">
        <f t="shared" si="1232"/>
        <v>#DIV/0!</v>
      </c>
      <c r="AA193" s="245" t="e">
        <f t="shared" si="1232"/>
        <v>#DIV/0!</v>
      </c>
      <c r="AB193" s="245" t="e">
        <f t="shared" si="1232"/>
        <v>#DIV/0!</v>
      </c>
      <c r="AC193" s="178" t="e">
        <f t="shared" si="1265"/>
        <v>#DIV/0!</v>
      </c>
      <c r="AD193" s="17" t="e">
        <f t="shared" si="1233"/>
        <v>#DIV/0!</v>
      </c>
      <c r="AE193" s="176" t="e">
        <f t="shared" si="1234"/>
        <v>#DIV/0!</v>
      </c>
      <c r="AF193" s="66" t="s">
        <v>43</v>
      </c>
      <c r="AG193" s="38"/>
      <c r="AH193" s="245"/>
      <c r="AI193" s="245"/>
      <c r="AJ193" s="245">
        <f t="shared" si="1235"/>
        <v>0</v>
      </c>
      <c r="AK193" s="245">
        <f t="shared" si="1235"/>
        <v>0</v>
      </c>
      <c r="AL193" s="40">
        <f t="shared" si="1235"/>
        <v>0</v>
      </c>
      <c r="AM193" s="245">
        <f t="shared" si="1235"/>
        <v>0</v>
      </c>
      <c r="AN193" s="246">
        <f t="shared" si="1303"/>
        <v>0</v>
      </c>
      <c r="AO193" s="245">
        <f t="shared" si="1236"/>
        <v>0</v>
      </c>
      <c r="AP193" s="245">
        <f t="shared" si="1236"/>
        <v>0</v>
      </c>
      <c r="AQ193" s="245">
        <f t="shared" si="1236"/>
        <v>0</v>
      </c>
      <c r="AR193" s="178">
        <f t="shared" si="1296"/>
        <v>0</v>
      </c>
      <c r="AS193" s="17">
        <f t="shared" si="1237"/>
        <v>0</v>
      </c>
      <c r="AU193" s="66" t="s">
        <v>346</v>
      </c>
      <c r="AV193" s="38">
        <f t="shared" ref="AV193:BG193" si="1309">IF(R207&gt;0,R193/R207,0)</f>
        <v>0</v>
      </c>
      <c r="AW193" s="245">
        <f t="shared" si="1309"/>
        <v>0</v>
      </c>
      <c r="AX193" s="245">
        <f t="shared" si="1309"/>
        <v>0</v>
      </c>
      <c r="AY193" s="245">
        <f t="shared" si="1309"/>
        <v>0</v>
      </c>
      <c r="AZ193" s="245">
        <f t="shared" si="1309"/>
        <v>0</v>
      </c>
      <c r="BA193" s="40">
        <f t="shared" si="1309"/>
        <v>0</v>
      </c>
      <c r="BB193" s="245">
        <f t="shared" si="1309"/>
        <v>0</v>
      </c>
      <c r="BC193" s="246">
        <f t="shared" si="1309"/>
        <v>0</v>
      </c>
      <c r="BD193" s="245" t="e">
        <f t="shared" si="1309"/>
        <v>#DIV/0!</v>
      </c>
      <c r="BE193" s="245" t="e">
        <f t="shared" si="1309"/>
        <v>#DIV/0!</v>
      </c>
      <c r="BF193" s="245" t="e">
        <f t="shared" si="1309"/>
        <v>#DIV/0!</v>
      </c>
      <c r="BG193" s="178" t="e">
        <f t="shared" si="1309"/>
        <v>#DIV/0!</v>
      </c>
      <c r="BH193" s="24" t="e">
        <f>AD193/AD207</f>
        <v>#DIV/0!</v>
      </c>
      <c r="BJ193" s="66" t="s">
        <v>346</v>
      </c>
      <c r="BK193" s="38">
        <f t="shared" ref="BK193:BV193" si="1310">IF(AG207&gt;0,AG193/AG207,0)</f>
        <v>0</v>
      </c>
      <c r="BL193" s="245">
        <f t="shared" si="1310"/>
        <v>0</v>
      </c>
      <c r="BM193" s="245">
        <f t="shared" si="1310"/>
        <v>0</v>
      </c>
      <c r="BN193" s="245">
        <f t="shared" si="1310"/>
        <v>0</v>
      </c>
      <c r="BO193" s="245">
        <f t="shared" si="1310"/>
        <v>0</v>
      </c>
      <c r="BP193" s="40">
        <f t="shared" si="1310"/>
        <v>0</v>
      </c>
      <c r="BQ193" s="245">
        <f t="shared" si="1310"/>
        <v>0</v>
      </c>
      <c r="BR193" s="246">
        <f t="shared" si="1310"/>
        <v>0</v>
      </c>
      <c r="BS193" s="245">
        <f t="shared" si="1310"/>
        <v>0</v>
      </c>
      <c r="BT193" s="245">
        <f t="shared" si="1310"/>
        <v>0</v>
      </c>
      <c r="BU193" s="245">
        <f t="shared" si="1310"/>
        <v>0</v>
      </c>
      <c r="BV193" s="178">
        <f t="shared" si="1310"/>
        <v>0</v>
      </c>
      <c r="BW193" s="24" t="e">
        <f>AS193/AS207</f>
        <v>#DIV/0!</v>
      </c>
      <c r="BX193" s="24"/>
      <c r="BY193" s="66" t="s">
        <v>346</v>
      </c>
      <c r="BZ193" s="54">
        <f t="shared" si="1269"/>
        <v>0</v>
      </c>
      <c r="CA193" s="55">
        <f t="shared" si="1240"/>
        <v>0</v>
      </c>
      <c r="CB193" s="55">
        <f t="shared" si="1241"/>
        <v>0</v>
      </c>
      <c r="CC193" s="55">
        <f t="shared" si="1242"/>
        <v>0</v>
      </c>
      <c r="CD193" s="55">
        <f t="shared" si="1243"/>
        <v>0</v>
      </c>
      <c r="CE193" s="60">
        <f t="shared" si="1244"/>
        <v>0</v>
      </c>
      <c r="CF193" s="55">
        <f t="shared" si="1245"/>
        <v>0</v>
      </c>
      <c r="CG193" s="249">
        <f t="shared" si="1246"/>
        <v>0</v>
      </c>
      <c r="CH193" s="55" t="e">
        <f t="shared" si="1247"/>
        <v>#DIV/0!</v>
      </c>
      <c r="CI193" s="55" t="e">
        <f t="shared" si="1248"/>
        <v>#DIV/0!</v>
      </c>
      <c r="CJ193" s="55" t="e">
        <f t="shared" si="1249"/>
        <v>#DIV/0!</v>
      </c>
      <c r="CK193" s="252" t="e">
        <f t="shared" si="1249"/>
        <v>#DIV/0!</v>
      </c>
      <c r="CL193" s="55" t="e">
        <f t="shared" si="1250"/>
        <v>#DIV/0!</v>
      </c>
      <c r="CN193" s="66" t="s">
        <v>346</v>
      </c>
      <c r="CO193" s="54">
        <f t="shared" si="1270"/>
        <v>0</v>
      </c>
      <c r="CP193" s="55">
        <f t="shared" si="1251"/>
        <v>0</v>
      </c>
      <c r="CQ193" s="55">
        <f t="shared" si="1252"/>
        <v>0</v>
      </c>
      <c r="CR193" s="55">
        <f t="shared" si="1253"/>
        <v>0</v>
      </c>
      <c r="CS193" s="55">
        <f t="shared" si="1254"/>
        <v>0</v>
      </c>
      <c r="CT193" s="60">
        <f t="shared" si="1255"/>
        <v>0</v>
      </c>
      <c r="CU193" s="55">
        <f t="shared" si="1256"/>
        <v>0</v>
      </c>
      <c r="CV193" s="249">
        <f t="shared" si="1257"/>
        <v>0</v>
      </c>
      <c r="CW193" s="55" t="e">
        <f t="shared" si="1258"/>
        <v>#DIV/0!</v>
      </c>
      <c r="CX193" s="55" t="e">
        <f t="shared" si="1259"/>
        <v>#DIV/0!</v>
      </c>
      <c r="CY193" s="55" t="e">
        <f t="shared" si="1260"/>
        <v>#DIV/0!</v>
      </c>
      <c r="CZ193" s="252" t="e">
        <f t="shared" si="1260"/>
        <v>#DIV/0!</v>
      </c>
      <c r="DA193" s="62" t="e">
        <f t="shared" si="1261"/>
        <v>#DIV/0!</v>
      </c>
      <c r="DC193" s="66" t="s">
        <v>346</v>
      </c>
      <c r="DD193" s="198">
        <f t="shared" si="1271"/>
        <v>0</v>
      </c>
      <c r="DE193" s="199">
        <f t="shared" si="1272"/>
        <v>0</v>
      </c>
      <c r="DF193" s="198">
        <f t="shared" si="1273"/>
        <v>0</v>
      </c>
      <c r="DG193" s="199">
        <f t="shared" si="1274"/>
        <v>0</v>
      </c>
      <c r="DH193" s="198">
        <f t="shared" si="1275"/>
        <v>0</v>
      </c>
      <c r="DI193" s="199">
        <f t="shared" si="1276"/>
        <v>0</v>
      </c>
      <c r="DJ193" s="198">
        <f t="shared" si="1277"/>
        <v>0</v>
      </c>
      <c r="DK193" s="199">
        <f t="shared" si="1278"/>
        <v>0</v>
      </c>
      <c r="DL193" s="198">
        <f t="shared" si="1279"/>
        <v>0</v>
      </c>
      <c r="DM193" s="199">
        <f t="shared" si="1280"/>
        <v>0</v>
      </c>
      <c r="DN193" s="198">
        <f t="shared" si="1281"/>
        <v>0</v>
      </c>
      <c r="DO193" s="199">
        <f t="shared" si="1282"/>
        <v>0</v>
      </c>
      <c r="DP193" s="198">
        <f t="shared" si="1283"/>
        <v>0</v>
      </c>
      <c r="DQ193" s="199">
        <f t="shared" si="1284"/>
        <v>0</v>
      </c>
      <c r="DR193" s="198">
        <f t="shared" si="1285"/>
        <v>0</v>
      </c>
      <c r="DS193" s="199">
        <f t="shared" si="1286"/>
        <v>0</v>
      </c>
      <c r="DT193" s="198" t="e">
        <f t="shared" si="1287"/>
        <v>#DIV/0!</v>
      </c>
      <c r="DU193" s="199">
        <f t="shared" si="1288"/>
        <v>0</v>
      </c>
      <c r="DV193" s="198" t="e">
        <f t="shared" si="1289"/>
        <v>#DIV/0!</v>
      </c>
      <c r="DW193" s="199">
        <f t="shared" si="1290"/>
        <v>0</v>
      </c>
      <c r="DX193" s="198" t="e">
        <f t="shared" si="1291"/>
        <v>#DIV/0!</v>
      </c>
      <c r="DY193" s="199">
        <f t="shared" si="1292"/>
        <v>0</v>
      </c>
      <c r="DZ193" s="190" t="e">
        <f t="shared" si="1293"/>
        <v>#DIV/0!</v>
      </c>
      <c r="EA193" s="199">
        <f t="shared" si="1262"/>
        <v>0</v>
      </c>
      <c r="EB193" s="190" t="e">
        <f t="shared" si="1294"/>
        <v>#DIV/0!</v>
      </c>
      <c r="EC193" s="190" t="e">
        <f t="shared" si="1295"/>
        <v>#DIV/0!</v>
      </c>
    </row>
    <row r="194" spans="1:133" x14ac:dyDescent="0.2">
      <c r="A194" s="2" t="s">
        <v>349</v>
      </c>
      <c r="B194" s="38">
        <f t="shared" ref="B194:H194" si="1311">SUM(B12,B38,B64,B90,B116,B142,B168)</f>
        <v>0</v>
      </c>
      <c r="C194" s="245">
        <f t="shared" si="1311"/>
        <v>0</v>
      </c>
      <c r="D194" s="245">
        <f t="shared" si="1311"/>
        <v>0</v>
      </c>
      <c r="E194" s="245">
        <f t="shared" si="1311"/>
        <v>0</v>
      </c>
      <c r="F194" s="245">
        <f t="shared" si="1311"/>
        <v>0</v>
      </c>
      <c r="G194" s="40">
        <f t="shared" si="1311"/>
        <v>2423.433249970989</v>
      </c>
      <c r="H194" s="245">
        <f t="shared" si="1311"/>
        <v>0</v>
      </c>
      <c r="I194" s="246">
        <f t="shared" si="1307"/>
        <v>2423.433249970989</v>
      </c>
      <c r="J194" s="245">
        <f t="shared" ref="J194:L194" si="1312">SUM(J12,J38,J64,J90,J116,J142,J168)</f>
        <v>0</v>
      </c>
      <c r="K194" s="245">
        <f t="shared" si="1312"/>
        <v>0</v>
      </c>
      <c r="L194" s="245">
        <f t="shared" si="1312"/>
        <v>0</v>
      </c>
      <c r="M194" s="178">
        <f>SUM(J194:L194)</f>
        <v>0</v>
      </c>
      <c r="N194" s="17">
        <f>SUM(B194:L194)-I194</f>
        <v>2423.433249970989</v>
      </c>
      <c r="O194" s="174">
        <f t="shared" si="1230"/>
        <v>9.5705835871759116E-5</v>
      </c>
      <c r="P194" s="17"/>
      <c r="Q194" s="2" t="s">
        <v>349</v>
      </c>
      <c r="R194" s="38"/>
      <c r="S194" s="245"/>
      <c r="T194" s="245"/>
      <c r="U194" s="245">
        <f t="shared" si="1231"/>
        <v>0</v>
      </c>
      <c r="V194" s="245">
        <f t="shared" si="1231"/>
        <v>0</v>
      </c>
      <c r="W194" s="40">
        <f t="shared" si="1231"/>
        <v>0</v>
      </c>
      <c r="X194" s="245">
        <f t="shared" si="1231"/>
        <v>0</v>
      </c>
      <c r="Y194" s="246">
        <f>SUM(W194:X194)</f>
        <v>0</v>
      </c>
      <c r="Z194" s="245" t="e">
        <f>SUM(Z25,Z38,Z64,Z90,Z116,Z142,Z168)</f>
        <v>#DIV/0!</v>
      </c>
      <c r="AA194" s="245" t="e">
        <f>SUM(AA25,AA38,AA64,AA90,AA116,AA142,AA168)</f>
        <v>#DIV/0!</v>
      </c>
      <c r="AB194" s="245" t="e">
        <f>SUM(AB25,AB38,AB64,AB90,AB116,AB142,AB168)</f>
        <v>#DIV/0!</v>
      </c>
      <c r="AC194" s="178" t="e">
        <f>SUM(Z194:AB194)</f>
        <v>#DIV/0!</v>
      </c>
      <c r="AD194" s="17" t="e">
        <f>SUM(R194:AB194)-Y194</f>
        <v>#DIV/0!</v>
      </c>
      <c r="AE194" s="176" t="e">
        <f t="shared" si="1234"/>
        <v>#DIV/0!</v>
      </c>
      <c r="AF194" s="2" t="s">
        <v>44</v>
      </c>
      <c r="AG194" s="38"/>
      <c r="AH194" s="245"/>
      <c r="AI194" s="245"/>
      <c r="AJ194" s="245">
        <f t="shared" si="1235"/>
        <v>0</v>
      </c>
      <c r="AK194" s="245">
        <f t="shared" si="1235"/>
        <v>0</v>
      </c>
      <c r="AL194" s="40">
        <f t="shared" si="1235"/>
        <v>0</v>
      </c>
      <c r="AM194" s="245">
        <f t="shared" si="1235"/>
        <v>0</v>
      </c>
      <c r="AN194" s="246">
        <f t="shared" si="1303"/>
        <v>0</v>
      </c>
      <c r="AO194" s="245">
        <f t="shared" si="1236"/>
        <v>0</v>
      </c>
      <c r="AP194" s="245">
        <f t="shared" si="1236"/>
        <v>0</v>
      </c>
      <c r="AQ194" s="245">
        <f t="shared" si="1236"/>
        <v>0</v>
      </c>
      <c r="AR194" s="178">
        <f>SUM(AO194:AQ194)</f>
        <v>0</v>
      </c>
      <c r="AS194" s="17">
        <f>SUM(AG194:AQ194)-AN194</f>
        <v>0</v>
      </c>
      <c r="AU194" s="2" t="s">
        <v>349</v>
      </c>
      <c r="AV194" s="38">
        <f t="shared" ref="AV194:BG194" si="1313">IF(R214&gt;0,R194/R214,0)</f>
        <v>0</v>
      </c>
      <c r="AW194" s="245">
        <f t="shared" si="1313"/>
        <v>0</v>
      </c>
      <c r="AX194" s="245">
        <f t="shared" si="1313"/>
        <v>0</v>
      </c>
      <c r="AY194" s="245">
        <f t="shared" si="1313"/>
        <v>0</v>
      </c>
      <c r="AZ194" s="245">
        <f t="shared" si="1313"/>
        <v>0</v>
      </c>
      <c r="BA194" s="40">
        <f t="shared" si="1313"/>
        <v>0</v>
      </c>
      <c r="BB194" s="245">
        <f t="shared" si="1313"/>
        <v>0</v>
      </c>
      <c r="BC194" s="246">
        <f t="shared" si="1313"/>
        <v>0</v>
      </c>
      <c r="BD194" s="245">
        <f t="shared" si="1313"/>
        <v>0</v>
      </c>
      <c r="BE194" s="245">
        <f t="shared" si="1313"/>
        <v>0</v>
      </c>
      <c r="BF194" s="245">
        <f t="shared" si="1313"/>
        <v>0</v>
      </c>
      <c r="BG194" s="178">
        <f t="shared" si="1313"/>
        <v>0</v>
      </c>
      <c r="BH194" s="24" t="e">
        <f>AD194/AD214</f>
        <v>#DIV/0!</v>
      </c>
      <c r="BJ194" s="2" t="s">
        <v>349</v>
      </c>
      <c r="BK194" s="38">
        <f t="shared" ref="BK194:BV194" si="1314">IF(AG216&gt;0,AG194/AG216,0)</f>
        <v>0</v>
      </c>
      <c r="BL194" s="245">
        <f t="shared" si="1314"/>
        <v>0</v>
      </c>
      <c r="BM194" s="245">
        <f t="shared" si="1314"/>
        <v>0</v>
      </c>
      <c r="BN194" s="245">
        <f t="shared" si="1314"/>
        <v>0</v>
      </c>
      <c r="BO194" s="245">
        <f t="shared" si="1314"/>
        <v>0</v>
      </c>
      <c r="BP194" s="40">
        <f t="shared" si="1314"/>
        <v>0</v>
      </c>
      <c r="BQ194" s="245">
        <f t="shared" si="1314"/>
        <v>0</v>
      </c>
      <c r="BR194" s="246">
        <f t="shared" si="1314"/>
        <v>0</v>
      </c>
      <c r="BS194" s="245">
        <f t="shared" si="1314"/>
        <v>0</v>
      </c>
      <c r="BT194" s="245">
        <f t="shared" si="1314"/>
        <v>0</v>
      </c>
      <c r="BU194" s="245">
        <f t="shared" si="1314"/>
        <v>0</v>
      </c>
      <c r="BV194" s="178">
        <f t="shared" si="1314"/>
        <v>0</v>
      </c>
      <c r="BW194" s="24" t="e">
        <f>AS194/AS208</f>
        <v>#DIV/0!</v>
      </c>
      <c r="BX194" s="24"/>
      <c r="BY194" s="2" t="s">
        <v>349</v>
      </c>
      <c r="BZ194" s="54">
        <f t="shared" ref="BZ194:CL194" si="1315">AG194-R194</f>
        <v>0</v>
      </c>
      <c r="CA194" s="55">
        <f t="shared" si="1315"/>
        <v>0</v>
      </c>
      <c r="CB194" s="55">
        <f t="shared" si="1315"/>
        <v>0</v>
      </c>
      <c r="CC194" s="55">
        <f t="shared" si="1315"/>
        <v>0</v>
      </c>
      <c r="CD194" s="55">
        <f t="shared" si="1315"/>
        <v>0</v>
      </c>
      <c r="CE194" s="60">
        <f t="shared" si="1315"/>
        <v>0</v>
      </c>
      <c r="CF194" s="55">
        <f t="shared" si="1315"/>
        <v>0</v>
      </c>
      <c r="CG194" s="249">
        <f t="shared" si="1315"/>
        <v>0</v>
      </c>
      <c r="CH194" s="55" t="e">
        <f t="shared" si="1315"/>
        <v>#DIV/0!</v>
      </c>
      <c r="CI194" s="55" t="e">
        <f t="shared" si="1315"/>
        <v>#DIV/0!</v>
      </c>
      <c r="CJ194" s="55" t="e">
        <f t="shared" si="1315"/>
        <v>#DIV/0!</v>
      </c>
      <c r="CK194" s="252" t="e">
        <f t="shared" si="1315"/>
        <v>#DIV/0!</v>
      </c>
      <c r="CL194" s="55" t="e">
        <f t="shared" si="1315"/>
        <v>#DIV/0!</v>
      </c>
      <c r="CN194" s="2" t="s">
        <v>349</v>
      </c>
      <c r="CO194" s="54">
        <f t="shared" ref="CO194:DA194" si="1316">BK194-AV194</f>
        <v>0</v>
      </c>
      <c r="CP194" s="55">
        <f t="shared" si="1316"/>
        <v>0</v>
      </c>
      <c r="CQ194" s="55">
        <f t="shared" si="1316"/>
        <v>0</v>
      </c>
      <c r="CR194" s="55">
        <f t="shared" si="1316"/>
        <v>0</v>
      </c>
      <c r="CS194" s="55">
        <f t="shared" si="1316"/>
        <v>0</v>
      </c>
      <c r="CT194" s="60">
        <f t="shared" si="1316"/>
        <v>0</v>
      </c>
      <c r="CU194" s="55">
        <f t="shared" si="1316"/>
        <v>0</v>
      </c>
      <c r="CV194" s="249">
        <f t="shared" si="1316"/>
        <v>0</v>
      </c>
      <c r="CW194" s="55">
        <f t="shared" si="1316"/>
        <v>0</v>
      </c>
      <c r="CX194" s="55">
        <f t="shared" si="1316"/>
        <v>0</v>
      </c>
      <c r="CY194" s="55">
        <f t="shared" si="1316"/>
        <v>0</v>
      </c>
      <c r="CZ194" s="252">
        <f t="shared" si="1316"/>
        <v>0</v>
      </c>
      <c r="DA194" s="62" t="e">
        <f t="shared" si="1316"/>
        <v>#DIV/0!</v>
      </c>
      <c r="DC194" s="2" t="s">
        <v>349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7">SUM(B13,B39,B65,B91,B117,B143,B169)</f>
        <v>0</v>
      </c>
      <c r="C195" s="245">
        <f t="shared" si="1317"/>
        <v>0</v>
      </c>
      <c r="D195" s="245">
        <f t="shared" si="1317"/>
        <v>0</v>
      </c>
      <c r="E195" s="245">
        <f t="shared" si="1317"/>
        <v>0</v>
      </c>
      <c r="F195" s="245">
        <f t="shared" si="1317"/>
        <v>0</v>
      </c>
      <c r="G195" s="40">
        <f t="shared" si="1317"/>
        <v>26812.685653256933</v>
      </c>
      <c r="H195" s="245">
        <f t="shared" si="1317"/>
        <v>0</v>
      </c>
      <c r="I195" s="246">
        <f t="shared" si="1307"/>
        <v>26812.685653256933</v>
      </c>
      <c r="J195" s="245">
        <f t="shared" ref="J195:L195" si="1318">SUM(J13,J39,J65,J91,J117,J143,J169)</f>
        <v>0</v>
      </c>
      <c r="K195" s="245">
        <f t="shared" si="1318"/>
        <v>0</v>
      </c>
      <c r="L195" s="245">
        <f t="shared" si="1318"/>
        <v>0</v>
      </c>
      <c r="M195" s="178">
        <f t="shared" si="1263"/>
        <v>0</v>
      </c>
      <c r="N195" s="17">
        <f t="shared" si="1229"/>
        <v>26812.685653256933</v>
      </c>
      <c r="O195" s="174">
        <f t="shared" si="1230"/>
        <v>1.0588822664880074E-3</v>
      </c>
      <c r="P195" s="17"/>
      <c r="Q195" s="64" t="s">
        <v>45</v>
      </c>
      <c r="R195" s="38"/>
      <c r="S195" s="245"/>
      <c r="T195" s="245"/>
      <c r="U195" s="245">
        <f t="shared" si="1231"/>
        <v>0</v>
      </c>
      <c r="V195" s="245">
        <f t="shared" si="1231"/>
        <v>0</v>
      </c>
      <c r="W195" s="40">
        <f t="shared" si="1231"/>
        <v>0</v>
      </c>
      <c r="X195" s="245">
        <f t="shared" si="1231"/>
        <v>0</v>
      </c>
      <c r="Y195" s="246">
        <f t="shared" si="1264"/>
        <v>0</v>
      </c>
      <c r="Z195" s="245" t="e">
        <f t="shared" ref="Z195:AB199" si="1319">SUM(Z13,Z39,Z65,Z91,Z117,Z143,Z169)</f>
        <v>#DIV/0!</v>
      </c>
      <c r="AA195" s="245" t="e">
        <f t="shared" si="1319"/>
        <v>#DIV/0!</v>
      </c>
      <c r="AB195" s="245" t="e">
        <f t="shared" si="1319"/>
        <v>#DIV/0!</v>
      </c>
      <c r="AC195" s="178" t="e">
        <f t="shared" si="1265"/>
        <v>#DIV/0!</v>
      </c>
      <c r="AD195" s="17" t="e">
        <f t="shared" si="1233"/>
        <v>#DIV/0!</v>
      </c>
      <c r="AE195" s="176" t="e">
        <f t="shared" si="1234"/>
        <v>#DIV/0!</v>
      </c>
      <c r="AF195" s="64" t="s">
        <v>45</v>
      </c>
      <c r="AG195" s="38"/>
      <c r="AH195" s="245"/>
      <c r="AI195" s="245"/>
      <c r="AJ195" s="245">
        <f t="shared" si="1235"/>
        <v>0</v>
      </c>
      <c r="AK195" s="245">
        <f t="shared" si="1235"/>
        <v>0</v>
      </c>
      <c r="AL195" s="40">
        <f t="shared" si="1235"/>
        <v>0</v>
      </c>
      <c r="AM195" s="245">
        <f t="shared" si="1235"/>
        <v>0</v>
      </c>
      <c r="AN195" s="246">
        <f t="shared" si="1303"/>
        <v>0</v>
      </c>
      <c r="AO195" s="245">
        <f t="shared" si="1236"/>
        <v>0</v>
      </c>
      <c r="AP195" s="245">
        <f t="shared" si="1236"/>
        <v>0</v>
      </c>
      <c r="AQ195" s="245">
        <f t="shared" si="1236"/>
        <v>0</v>
      </c>
      <c r="AR195" s="178">
        <f t="shared" si="1296"/>
        <v>0</v>
      </c>
      <c r="AS195" s="17">
        <f t="shared" si="1237"/>
        <v>0</v>
      </c>
      <c r="AU195" s="64" t="s">
        <v>45</v>
      </c>
      <c r="AV195" s="38">
        <f t="shared" ref="AV195:BG195" si="1320">IF(R207&gt;0,R195/R207,0)</f>
        <v>0</v>
      </c>
      <c r="AW195" s="245">
        <f t="shared" si="1320"/>
        <v>0</v>
      </c>
      <c r="AX195" s="245">
        <f t="shared" si="1320"/>
        <v>0</v>
      </c>
      <c r="AY195" s="245">
        <f t="shared" si="1320"/>
        <v>0</v>
      </c>
      <c r="AZ195" s="245">
        <f t="shared" si="1320"/>
        <v>0</v>
      </c>
      <c r="BA195" s="40">
        <f t="shared" si="1320"/>
        <v>0</v>
      </c>
      <c r="BB195" s="245">
        <f t="shared" si="1320"/>
        <v>0</v>
      </c>
      <c r="BC195" s="246">
        <f t="shared" si="1320"/>
        <v>0</v>
      </c>
      <c r="BD195" s="245" t="e">
        <f t="shared" si="1320"/>
        <v>#DIV/0!</v>
      </c>
      <c r="BE195" s="245" t="e">
        <f t="shared" si="1320"/>
        <v>#DIV/0!</v>
      </c>
      <c r="BF195" s="245" t="e">
        <f t="shared" si="1320"/>
        <v>#DIV/0!</v>
      </c>
      <c r="BG195" s="178" t="e">
        <f t="shared" si="1320"/>
        <v>#DIV/0!</v>
      </c>
      <c r="BH195" s="24" t="e">
        <f>AD195/AD207</f>
        <v>#DIV/0!</v>
      </c>
      <c r="BJ195" s="64" t="s">
        <v>45</v>
      </c>
      <c r="BK195" s="38">
        <f t="shared" ref="BK195:BV195" si="1321">IF(AG207&gt;0,AG195/AG207,0)</f>
        <v>0</v>
      </c>
      <c r="BL195" s="245">
        <f t="shared" si="1321"/>
        <v>0</v>
      </c>
      <c r="BM195" s="245">
        <f t="shared" si="1321"/>
        <v>0</v>
      </c>
      <c r="BN195" s="245">
        <f t="shared" si="1321"/>
        <v>0</v>
      </c>
      <c r="BO195" s="245">
        <f t="shared" si="1321"/>
        <v>0</v>
      </c>
      <c r="BP195" s="40">
        <f t="shared" si="1321"/>
        <v>0</v>
      </c>
      <c r="BQ195" s="245">
        <f t="shared" si="1321"/>
        <v>0</v>
      </c>
      <c r="BR195" s="246">
        <f t="shared" si="1321"/>
        <v>0</v>
      </c>
      <c r="BS195" s="245">
        <f t="shared" si="1321"/>
        <v>0</v>
      </c>
      <c r="BT195" s="245">
        <f t="shared" si="1321"/>
        <v>0</v>
      </c>
      <c r="BU195" s="245">
        <f t="shared" si="1321"/>
        <v>0</v>
      </c>
      <c r="BV195" s="178">
        <f t="shared" si="1321"/>
        <v>0</v>
      </c>
      <c r="BW195" s="24" t="e">
        <f>AS195/AS207</f>
        <v>#DIV/0!</v>
      </c>
      <c r="BX195" s="24"/>
      <c r="BY195" s="64" t="s">
        <v>45</v>
      </c>
      <c r="BZ195" s="54">
        <f t="shared" si="1269"/>
        <v>0</v>
      </c>
      <c r="CA195" s="55">
        <f t="shared" si="1240"/>
        <v>0</v>
      </c>
      <c r="CB195" s="55">
        <f t="shared" si="1241"/>
        <v>0</v>
      </c>
      <c r="CC195" s="55">
        <f t="shared" si="1242"/>
        <v>0</v>
      </c>
      <c r="CD195" s="55">
        <f t="shared" si="1243"/>
        <v>0</v>
      </c>
      <c r="CE195" s="60">
        <f t="shared" si="1244"/>
        <v>0</v>
      </c>
      <c r="CF195" s="55">
        <f t="shared" si="1245"/>
        <v>0</v>
      </c>
      <c r="CG195" s="249">
        <f t="shared" si="1246"/>
        <v>0</v>
      </c>
      <c r="CH195" s="55" t="e">
        <f t="shared" si="1247"/>
        <v>#DIV/0!</v>
      </c>
      <c r="CI195" s="55" t="e">
        <f t="shared" si="1248"/>
        <v>#DIV/0!</v>
      </c>
      <c r="CJ195" s="55" t="e">
        <f t="shared" si="1249"/>
        <v>#DIV/0!</v>
      </c>
      <c r="CK195" s="252" t="e">
        <f t="shared" si="1249"/>
        <v>#DIV/0!</v>
      </c>
      <c r="CL195" s="55" t="e">
        <f t="shared" si="1250"/>
        <v>#DIV/0!</v>
      </c>
      <c r="CN195" s="64" t="s">
        <v>45</v>
      </c>
      <c r="CO195" s="54">
        <f t="shared" si="1270"/>
        <v>0</v>
      </c>
      <c r="CP195" s="55">
        <f t="shared" si="1251"/>
        <v>0</v>
      </c>
      <c r="CQ195" s="55">
        <f t="shared" si="1252"/>
        <v>0</v>
      </c>
      <c r="CR195" s="55">
        <f t="shared" si="1253"/>
        <v>0</v>
      </c>
      <c r="CS195" s="55">
        <f t="shared" si="1254"/>
        <v>0</v>
      </c>
      <c r="CT195" s="60">
        <f t="shared" si="1255"/>
        <v>0</v>
      </c>
      <c r="CU195" s="55">
        <f t="shared" si="1256"/>
        <v>0</v>
      </c>
      <c r="CV195" s="249">
        <f t="shared" si="1257"/>
        <v>0</v>
      </c>
      <c r="CW195" s="55" t="e">
        <f t="shared" si="1258"/>
        <v>#DIV/0!</v>
      </c>
      <c r="CX195" s="55" t="e">
        <f t="shared" si="1259"/>
        <v>#DIV/0!</v>
      </c>
      <c r="CY195" s="55" t="e">
        <f t="shared" si="1260"/>
        <v>#DIV/0!</v>
      </c>
      <c r="CZ195" s="252" t="e">
        <f t="shared" si="1260"/>
        <v>#DIV/0!</v>
      </c>
      <c r="DA195" s="62" t="e">
        <f t="shared" si="1261"/>
        <v>#DIV/0!</v>
      </c>
      <c r="DC195" s="64" t="s">
        <v>45</v>
      </c>
      <c r="DD195" s="198">
        <f t="shared" si="1271"/>
        <v>0</v>
      </c>
      <c r="DE195" s="199">
        <f t="shared" si="1272"/>
        <v>0</v>
      </c>
      <c r="DF195" s="198">
        <f t="shared" si="1273"/>
        <v>0</v>
      </c>
      <c r="DG195" s="199">
        <f t="shared" si="1274"/>
        <v>0</v>
      </c>
      <c r="DH195" s="198">
        <f t="shared" si="1275"/>
        <v>0</v>
      </c>
      <c r="DI195" s="199">
        <f t="shared" si="1276"/>
        <v>0</v>
      </c>
      <c r="DJ195" s="198">
        <f t="shared" si="1277"/>
        <v>0</v>
      </c>
      <c r="DK195" s="199">
        <f t="shared" si="1278"/>
        <v>0</v>
      </c>
      <c r="DL195" s="198">
        <f t="shared" si="1279"/>
        <v>0</v>
      </c>
      <c r="DM195" s="199">
        <f t="shared" si="1280"/>
        <v>0</v>
      </c>
      <c r="DN195" s="198">
        <f t="shared" si="1281"/>
        <v>0</v>
      </c>
      <c r="DO195" s="199">
        <f t="shared" si="1282"/>
        <v>0</v>
      </c>
      <c r="DP195" s="198">
        <f t="shared" si="1283"/>
        <v>0</v>
      </c>
      <c r="DQ195" s="199">
        <f t="shared" si="1284"/>
        <v>0</v>
      </c>
      <c r="DR195" s="198">
        <f t="shared" si="1285"/>
        <v>0</v>
      </c>
      <c r="DS195" s="199">
        <f t="shared" si="1286"/>
        <v>0</v>
      </c>
      <c r="DT195" s="198" t="e">
        <f t="shared" si="1287"/>
        <v>#DIV/0!</v>
      </c>
      <c r="DU195" s="199">
        <f t="shared" si="1288"/>
        <v>0</v>
      </c>
      <c r="DV195" s="198" t="e">
        <f t="shared" si="1289"/>
        <v>#DIV/0!</v>
      </c>
      <c r="DW195" s="199">
        <f t="shared" si="1290"/>
        <v>0</v>
      </c>
      <c r="DX195" s="198" t="e">
        <f t="shared" si="1291"/>
        <v>#DIV/0!</v>
      </c>
      <c r="DY195" s="199">
        <f t="shared" si="1292"/>
        <v>0</v>
      </c>
      <c r="DZ195" s="190" t="e">
        <f t="shared" si="1293"/>
        <v>#DIV/0!</v>
      </c>
      <c r="EA195" s="199">
        <f t="shared" si="1262"/>
        <v>0</v>
      </c>
      <c r="EB195" s="190" t="e">
        <f t="shared" si="1294"/>
        <v>#DIV/0!</v>
      </c>
      <c r="EC195" s="190" t="e">
        <f t="shared" si="1295"/>
        <v>#DIV/0!</v>
      </c>
    </row>
    <row r="196" spans="1:133" x14ac:dyDescent="0.2">
      <c r="A196" s="64" t="s">
        <v>46</v>
      </c>
      <c r="B196" s="38">
        <f t="shared" ref="B196:H196" si="1322">SUM(B14,B40,B66,B92,B118,B144,B170)</f>
        <v>0</v>
      </c>
      <c r="C196" s="245">
        <f t="shared" si="1322"/>
        <v>0</v>
      </c>
      <c r="D196" s="245">
        <f t="shared" si="1322"/>
        <v>0</v>
      </c>
      <c r="E196" s="245">
        <f t="shared" si="1322"/>
        <v>0</v>
      </c>
      <c r="F196" s="245">
        <f t="shared" si="1322"/>
        <v>0</v>
      </c>
      <c r="G196" s="40">
        <f t="shared" si="1322"/>
        <v>136294.73446014585</v>
      </c>
      <c r="H196" s="245">
        <f t="shared" si="1322"/>
        <v>0</v>
      </c>
      <c r="I196" s="246">
        <f t="shared" si="1307"/>
        <v>136294.73446014585</v>
      </c>
      <c r="J196" s="245">
        <f t="shared" ref="J196:L196" si="1323">SUM(J14,J40,J66,J92,J118,J144,J170)</f>
        <v>0</v>
      </c>
      <c r="K196" s="245">
        <f t="shared" si="1323"/>
        <v>0</v>
      </c>
      <c r="L196" s="245">
        <f t="shared" si="1323"/>
        <v>0</v>
      </c>
      <c r="M196" s="178">
        <f t="shared" si="1263"/>
        <v>0</v>
      </c>
      <c r="N196" s="17">
        <f t="shared" si="1229"/>
        <v>136294.73446014585</v>
      </c>
      <c r="O196" s="174">
        <f t="shared" si="1230"/>
        <v>5.3825297175335287E-3</v>
      </c>
      <c r="P196" s="17"/>
      <c r="Q196" s="64" t="s">
        <v>46</v>
      </c>
      <c r="R196" s="38"/>
      <c r="S196" s="245"/>
      <c r="T196" s="245"/>
      <c r="U196" s="245">
        <f t="shared" si="1231"/>
        <v>0</v>
      </c>
      <c r="V196" s="245">
        <f t="shared" si="1231"/>
        <v>0</v>
      </c>
      <c r="W196" s="40">
        <f t="shared" si="1231"/>
        <v>0</v>
      </c>
      <c r="X196" s="245">
        <f t="shared" si="1231"/>
        <v>0</v>
      </c>
      <c r="Y196" s="246">
        <f t="shared" si="1264"/>
        <v>0</v>
      </c>
      <c r="Z196" s="245" t="e">
        <f t="shared" si="1319"/>
        <v>#DIV/0!</v>
      </c>
      <c r="AA196" s="245" t="e">
        <f t="shared" si="1319"/>
        <v>#DIV/0!</v>
      </c>
      <c r="AB196" s="245" t="e">
        <f t="shared" si="1319"/>
        <v>#DIV/0!</v>
      </c>
      <c r="AC196" s="178" t="e">
        <f t="shared" si="1265"/>
        <v>#DIV/0!</v>
      </c>
      <c r="AD196" s="17" t="e">
        <f t="shared" si="1233"/>
        <v>#DIV/0!</v>
      </c>
      <c r="AE196" s="176" t="e">
        <f t="shared" si="1234"/>
        <v>#DIV/0!</v>
      </c>
      <c r="AF196" s="64" t="s">
        <v>46</v>
      </c>
      <c r="AG196" s="38"/>
      <c r="AH196" s="245"/>
      <c r="AI196" s="245"/>
      <c r="AJ196" s="245">
        <f t="shared" si="1235"/>
        <v>0</v>
      </c>
      <c r="AK196" s="245">
        <f t="shared" si="1235"/>
        <v>0</v>
      </c>
      <c r="AL196" s="40">
        <f t="shared" si="1235"/>
        <v>0</v>
      </c>
      <c r="AM196" s="245">
        <f t="shared" si="1235"/>
        <v>0</v>
      </c>
      <c r="AN196" s="246">
        <f t="shared" si="1303"/>
        <v>0</v>
      </c>
      <c r="AO196" s="245">
        <f t="shared" si="1236"/>
        <v>0</v>
      </c>
      <c r="AP196" s="245">
        <f t="shared" si="1236"/>
        <v>0</v>
      </c>
      <c r="AQ196" s="245">
        <f t="shared" si="1236"/>
        <v>0</v>
      </c>
      <c r="AR196" s="178">
        <f t="shared" si="1296"/>
        <v>0</v>
      </c>
      <c r="AS196" s="17">
        <f t="shared" si="1237"/>
        <v>0</v>
      </c>
      <c r="AU196" s="64" t="s">
        <v>46</v>
      </c>
      <c r="AV196" s="38">
        <f t="shared" ref="AV196:BG196" si="1324">IF(R207&gt;0,R196/R207,0)</f>
        <v>0</v>
      </c>
      <c r="AW196" s="245">
        <f t="shared" si="1324"/>
        <v>0</v>
      </c>
      <c r="AX196" s="245">
        <f t="shared" si="1324"/>
        <v>0</v>
      </c>
      <c r="AY196" s="245">
        <f t="shared" si="1324"/>
        <v>0</v>
      </c>
      <c r="AZ196" s="245">
        <f t="shared" si="1324"/>
        <v>0</v>
      </c>
      <c r="BA196" s="40">
        <f t="shared" si="1324"/>
        <v>0</v>
      </c>
      <c r="BB196" s="245">
        <f t="shared" si="1324"/>
        <v>0</v>
      </c>
      <c r="BC196" s="246">
        <f t="shared" si="1324"/>
        <v>0</v>
      </c>
      <c r="BD196" s="245" t="e">
        <f t="shared" si="1324"/>
        <v>#DIV/0!</v>
      </c>
      <c r="BE196" s="245" t="e">
        <f t="shared" si="1324"/>
        <v>#DIV/0!</v>
      </c>
      <c r="BF196" s="245" t="e">
        <f t="shared" si="1324"/>
        <v>#DIV/0!</v>
      </c>
      <c r="BG196" s="178" t="e">
        <f t="shared" si="1324"/>
        <v>#DIV/0!</v>
      </c>
      <c r="BH196" s="24" t="e">
        <f>AD196/AD207</f>
        <v>#DIV/0!</v>
      </c>
      <c r="BJ196" s="64" t="s">
        <v>46</v>
      </c>
      <c r="BK196" s="38">
        <f t="shared" ref="BK196:BV196" si="1325">IF(AG207&gt;0,AG196/AG207,0)</f>
        <v>0</v>
      </c>
      <c r="BL196" s="245">
        <f t="shared" si="1325"/>
        <v>0</v>
      </c>
      <c r="BM196" s="245">
        <f t="shared" si="1325"/>
        <v>0</v>
      </c>
      <c r="BN196" s="245">
        <f t="shared" si="1325"/>
        <v>0</v>
      </c>
      <c r="BO196" s="245">
        <f t="shared" si="1325"/>
        <v>0</v>
      </c>
      <c r="BP196" s="40">
        <f t="shared" si="1325"/>
        <v>0</v>
      </c>
      <c r="BQ196" s="245">
        <f t="shared" si="1325"/>
        <v>0</v>
      </c>
      <c r="BR196" s="246">
        <f t="shared" si="1325"/>
        <v>0</v>
      </c>
      <c r="BS196" s="245">
        <f t="shared" si="1325"/>
        <v>0</v>
      </c>
      <c r="BT196" s="245">
        <f t="shared" si="1325"/>
        <v>0</v>
      </c>
      <c r="BU196" s="245">
        <f t="shared" si="1325"/>
        <v>0</v>
      </c>
      <c r="BV196" s="178">
        <f t="shared" si="1325"/>
        <v>0</v>
      </c>
      <c r="BW196" s="24" t="e">
        <f>AS196/AS207</f>
        <v>#DIV/0!</v>
      </c>
      <c r="BX196" s="24"/>
      <c r="BY196" s="64" t="s">
        <v>46</v>
      </c>
      <c r="BZ196" s="54">
        <f t="shared" si="1269"/>
        <v>0</v>
      </c>
      <c r="CA196" s="55">
        <f t="shared" si="1240"/>
        <v>0</v>
      </c>
      <c r="CB196" s="55">
        <f t="shared" si="1241"/>
        <v>0</v>
      </c>
      <c r="CC196" s="55">
        <f t="shared" si="1242"/>
        <v>0</v>
      </c>
      <c r="CD196" s="55">
        <f t="shared" si="1243"/>
        <v>0</v>
      </c>
      <c r="CE196" s="60">
        <f t="shared" si="1244"/>
        <v>0</v>
      </c>
      <c r="CF196" s="55">
        <f t="shared" si="1245"/>
        <v>0</v>
      </c>
      <c r="CG196" s="249">
        <f t="shared" si="1246"/>
        <v>0</v>
      </c>
      <c r="CH196" s="55" t="e">
        <f t="shared" si="1247"/>
        <v>#DIV/0!</v>
      </c>
      <c r="CI196" s="55" t="e">
        <f t="shared" si="1248"/>
        <v>#DIV/0!</v>
      </c>
      <c r="CJ196" s="55" t="e">
        <f t="shared" si="1249"/>
        <v>#DIV/0!</v>
      </c>
      <c r="CK196" s="252" t="e">
        <f t="shared" si="1249"/>
        <v>#DIV/0!</v>
      </c>
      <c r="CL196" s="55" t="e">
        <f t="shared" si="1250"/>
        <v>#DIV/0!</v>
      </c>
      <c r="CN196" s="64" t="s">
        <v>46</v>
      </c>
      <c r="CO196" s="54">
        <f t="shared" si="1270"/>
        <v>0</v>
      </c>
      <c r="CP196" s="55">
        <f t="shared" si="1251"/>
        <v>0</v>
      </c>
      <c r="CQ196" s="55">
        <f t="shared" si="1252"/>
        <v>0</v>
      </c>
      <c r="CR196" s="55">
        <f t="shared" si="1253"/>
        <v>0</v>
      </c>
      <c r="CS196" s="55">
        <f t="shared" si="1254"/>
        <v>0</v>
      </c>
      <c r="CT196" s="60">
        <f t="shared" si="1255"/>
        <v>0</v>
      </c>
      <c r="CU196" s="55">
        <f t="shared" si="1256"/>
        <v>0</v>
      </c>
      <c r="CV196" s="249">
        <f t="shared" si="1257"/>
        <v>0</v>
      </c>
      <c r="CW196" s="55" t="e">
        <f t="shared" si="1258"/>
        <v>#DIV/0!</v>
      </c>
      <c r="CX196" s="55" t="e">
        <f t="shared" si="1259"/>
        <v>#DIV/0!</v>
      </c>
      <c r="CY196" s="55" t="e">
        <f t="shared" si="1260"/>
        <v>#DIV/0!</v>
      </c>
      <c r="CZ196" s="252" t="e">
        <f t="shared" si="1260"/>
        <v>#DIV/0!</v>
      </c>
      <c r="DA196" s="62" t="e">
        <f t="shared" si="1261"/>
        <v>#DIV/0!</v>
      </c>
      <c r="DC196" s="64" t="s">
        <v>46</v>
      </c>
      <c r="DD196" s="198">
        <f t="shared" si="1271"/>
        <v>0</v>
      </c>
      <c r="DE196" s="199">
        <f t="shared" si="1272"/>
        <v>0</v>
      </c>
      <c r="DF196" s="198">
        <f t="shared" si="1273"/>
        <v>0</v>
      </c>
      <c r="DG196" s="199">
        <f t="shared" si="1274"/>
        <v>0</v>
      </c>
      <c r="DH196" s="198">
        <f t="shared" si="1275"/>
        <v>0</v>
      </c>
      <c r="DI196" s="199">
        <f t="shared" si="1276"/>
        <v>0</v>
      </c>
      <c r="DJ196" s="198">
        <f t="shared" si="1277"/>
        <v>0</v>
      </c>
      <c r="DK196" s="199">
        <f t="shared" si="1278"/>
        <v>0</v>
      </c>
      <c r="DL196" s="198">
        <f t="shared" si="1279"/>
        <v>0</v>
      </c>
      <c r="DM196" s="199">
        <f t="shared" si="1280"/>
        <v>0</v>
      </c>
      <c r="DN196" s="198">
        <f t="shared" si="1281"/>
        <v>0</v>
      </c>
      <c r="DO196" s="199">
        <f t="shared" si="1282"/>
        <v>0</v>
      </c>
      <c r="DP196" s="198">
        <f t="shared" si="1283"/>
        <v>0</v>
      </c>
      <c r="DQ196" s="199">
        <f t="shared" si="1284"/>
        <v>0</v>
      </c>
      <c r="DR196" s="198">
        <f t="shared" si="1285"/>
        <v>0</v>
      </c>
      <c r="DS196" s="199">
        <f t="shared" si="1286"/>
        <v>0</v>
      </c>
      <c r="DT196" s="198" t="e">
        <f t="shared" si="1287"/>
        <v>#DIV/0!</v>
      </c>
      <c r="DU196" s="199">
        <f t="shared" si="1288"/>
        <v>0</v>
      </c>
      <c r="DV196" s="198" t="e">
        <f t="shared" si="1289"/>
        <v>#DIV/0!</v>
      </c>
      <c r="DW196" s="199">
        <f t="shared" si="1290"/>
        <v>0</v>
      </c>
      <c r="DX196" s="198" t="e">
        <f t="shared" si="1291"/>
        <v>#DIV/0!</v>
      </c>
      <c r="DY196" s="199">
        <f t="shared" si="1292"/>
        <v>0</v>
      </c>
      <c r="DZ196" s="190" t="e">
        <f t="shared" si="1293"/>
        <v>#DIV/0!</v>
      </c>
      <c r="EA196" s="199">
        <f t="shared" si="1262"/>
        <v>0</v>
      </c>
      <c r="EB196" s="190" t="e">
        <f t="shared" si="1294"/>
        <v>#DIV/0!</v>
      </c>
      <c r="EC196" s="190" t="e">
        <f t="shared" si="1295"/>
        <v>#DIV/0!</v>
      </c>
    </row>
    <row r="197" spans="1:133" x14ac:dyDescent="0.2">
      <c r="A197" s="64" t="s">
        <v>47</v>
      </c>
      <c r="B197" s="38">
        <f t="shared" ref="B197:H197" si="1326">SUM(B15,B41,B67,B93,B119,B145,B171)</f>
        <v>0</v>
      </c>
      <c r="C197" s="245">
        <f t="shared" si="1326"/>
        <v>0</v>
      </c>
      <c r="D197" s="245">
        <f t="shared" si="1326"/>
        <v>0</v>
      </c>
      <c r="E197" s="245">
        <f t="shared" si="1326"/>
        <v>0</v>
      </c>
      <c r="F197" s="245">
        <f t="shared" si="1326"/>
        <v>0</v>
      </c>
      <c r="G197" s="41">
        <f t="shared" si="1326"/>
        <v>53507.100572409166</v>
      </c>
      <c r="H197" s="245">
        <f t="shared" si="1326"/>
        <v>0</v>
      </c>
      <c r="I197" s="246">
        <f t="shared" si="1307"/>
        <v>53507.100572409166</v>
      </c>
      <c r="J197" s="245">
        <f t="shared" ref="J197:L197" si="1327">SUM(J15,J41,J67,J93,J119,J145,J171)</f>
        <v>0</v>
      </c>
      <c r="K197" s="245">
        <f t="shared" si="1327"/>
        <v>0</v>
      </c>
      <c r="L197" s="245">
        <f t="shared" si="1327"/>
        <v>0</v>
      </c>
      <c r="M197" s="178">
        <f t="shared" si="1263"/>
        <v>0</v>
      </c>
      <c r="N197" s="17">
        <f t="shared" si="1229"/>
        <v>53507.100572409166</v>
      </c>
      <c r="O197" s="174">
        <f t="shared" si="1230"/>
        <v>2.1130938041796707E-3</v>
      </c>
      <c r="P197" s="17"/>
      <c r="Q197" s="64" t="s">
        <v>47</v>
      </c>
      <c r="R197" s="38"/>
      <c r="S197" s="245"/>
      <c r="T197" s="245"/>
      <c r="U197" s="245">
        <f t="shared" si="1231"/>
        <v>0</v>
      </c>
      <c r="V197" s="245">
        <f t="shared" si="1231"/>
        <v>0</v>
      </c>
      <c r="W197" s="41">
        <f t="shared" si="1231"/>
        <v>0</v>
      </c>
      <c r="X197" s="245">
        <f t="shared" si="1231"/>
        <v>0</v>
      </c>
      <c r="Y197" s="246">
        <f t="shared" si="1264"/>
        <v>0</v>
      </c>
      <c r="Z197" s="245" t="e">
        <f t="shared" si="1319"/>
        <v>#DIV/0!</v>
      </c>
      <c r="AA197" s="245" t="e">
        <f t="shared" si="1319"/>
        <v>#DIV/0!</v>
      </c>
      <c r="AB197" s="245" t="e">
        <f t="shared" si="1319"/>
        <v>#DIV/0!</v>
      </c>
      <c r="AC197" s="178" t="e">
        <f t="shared" si="1265"/>
        <v>#DIV/0!</v>
      </c>
      <c r="AD197" s="17" t="e">
        <f t="shared" si="1233"/>
        <v>#DIV/0!</v>
      </c>
      <c r="AE197" s="176" t="e">
        <f t="shared" si="1234"/>
        <v>#DIV/0!</v>
      </c>
      <c r="AF197" s="64" t="s">
        <v>47</v>
      </c>
      <c r="AG197" s="38"/>
      <c r="AH197" s="245"/>
      <c r="AI197" s="245"/>
      <c r="AJ197" s="245">
        <f t="shared" si="1235"/>
        <v>0</v>
      </c>
      <c r="AK197" s="245">
        <f t="shared" si="1235"/>
        <v>0</v>
      </c>
      <c r="AL197" s="41">
        <f t="shared" si="1235"/>
        <v>0</v>
      </c>
      <c r="AM197" s="245">
        <f t="shared" si="1235"/>
        <v>0</v>
      </c>
      <c r="AN197" s="246">
        <f t="shared" si="1303"/>
        <v>0</v>
      </c>
      <c r="AO197" s="245">
        <f t="shared" si="1236"/>
        <v>0</v>
      </c>
      <c r="AP197" s="245">
        <f t="shared" si="1236"/>
        <v>0</v>
      </c>
      <c r="AQ197" s="245">
        <f t="shared" si="1236"/>
        <v>0</v>
      </c>
      <c r="AR197" s="178">
        <f t="shared" si="1296"/>
        <v>0</v>
      </c>
      <c r="AS197" s="17">
        <f t="shared" si="1237"/>
        <v>0</v>
      </c>
      <c r="AU197" s="64" t="s">
        <v>47</v>
      </c>
      <c r="AV197" s="38">
        <f t="shared" ref="AV197:BG197" si="1328">IF(R207&gt;0,R197/R207,0)</f>
        <v>0</v>
      </c>
      <c r="AW197" s="245">
        <f t="shared" si="1328"/>
        <v>0</v>
      </c>
      <c r="AX197" s="245">
        <f t="shared" si="1328"/>
        <v>0</v>
      </c>
      <c r="AY197" s="245">
        <f t="shared" si="1328"/>
        <v>0</v>
      </c>
      <c r="AZ197" s="245">
        <f t="shared" si="1328"/>
        <v>0</v>
      </c>
      <c r="BA197" s="41">
        <f t="shared" si="1328"/>
        <v>0</v>
      </c>
      <c r="BB197" s="245">
        <f t="shared" si="1328"/>
        <v>0</v>
      </c>
      <c r="BC197" s="246">
        <f t="shared" si="1328"/>
        <v>0</v>
      </c>
      <c r="BD197" s="245" t="e">
        <f t="shared" si="1328"/>
        <v>#DIV/0!</v>
      </c>
      <c r="BE197" s="245" t="e">
        <f t="shared" si="1328"/>
        <v>#DIV/0!</v>
      </c>
      <c r="BF197" s="245" t="e">
        <f t="shared" si="1328"/>
        <v>#DIV/0!</v>
      </c>
      <c r="BG197" s="178" t="e">
        <f t="shared" si="1328"/>
        <v>#DIV/0!</v>
      </c>
      <c r="BH197" s="24" t="e">
        <f>AD197/AD207</f>
        <v>#DIV/0!</v>
      </c>
      <c r="BJ197" s="64" t="s">
        <v>47</v>
      </c>
      <c r="BK197" s="38">
        <f t="shared" ref="BK197:BV197" si="1329">IF(AG207&gt;0,AG197/AG207,0)</f>
        <v>0</v>
      </c>
      <c r="BL197" s="245">
        <f t="shared" si="1329"/>
        <v>0</v>
      </c>
      <c r="BM197" s="245">
        <f t="shared" si="1329"/>
        <v>0</v>
      </c>
      <c r="BN197" s="245">
        <f t="shared" si="1329"/>
        <v>0</v>
      </c>
      <c r="BO197" s="245">
        <f t="shared" si="1329"/>
        <v>0</v>
      </c>
      <c r="BP197" s="41">
        <f t="shared" si="1329"/>
        <v>0</v>
      </c>
      <c r="BQ197" s="245">
        <f t="shared" si="1329"/>
        <v>0</v>
      </c>
      <c r="BR197" s="246">
        <f t="shared" si="1329"/>
        <v>0</v>
      </c>
      <c r="BS197" s="245">
        <f t="shared" si="1329"/>
        <v>0</v>
      </c>
      <c r="BT197" s="245">
        <f t="shared" si="1329"/>
        <v>0</v>
      </c>
      <c r="BU197" s="245">
        <f t="shared" si="1329"/>
        <v>0</v>
      </c>
      <c r="BV197" s="178">
        <f t="shared" si="1329"/>
        <v>0</v>
      </c>
      <c r="BW197" s="24" t="e">
        <f>AS197/AS207</f>
        <v>#DIV/0!</v>
      </c>
      <c r="BX197" s="24"/>
      <c r="BY197" s="64" t="s">
        <v>47</v>
      </c>
      <c r="BZ197" s="54">
        <f t="shared" si="1269"/>
        <v>0</v>
      </c>
      <c r="CA197" s="55">
        <f t="shared" si="1240"/>
        <v>0</v>
      </c>
      <c r="CB197" s="55">
        <f t="shared" si="1241"/>
        <v>0</v>
      </c>
      <c r="CC197" s="55">
        <f t="shared" si="1242"/>
        <v>0</v>
      </c>
      <c r="CD197" s="55">
        <f t="shared" si="1243"/>
        <v>0</v>
      </c>
      <c r="CE197" s="61">
        <f t="shared" si="1244"/>
        <v>0</v>
      </c>
      <c r="CF197" s="55">
        <f t="shared" si="1245"/>
        <v>0</v>
      </c>
      <c r="CG197" s="249">
        <f t="shared" si="1246"/>
        <v>0</v>
      </c>
      <c r="CH197" s="55" t="e">
        <f t="shared" si="1247"/>
        <v>#DIV/0!</v>
      </c>
      <c r="CI197" s="55" t="e">
        <f t="shared" si="1248"/>
        <v>#DIV/0!</v>
      </c>
      <c r="CJ197" s="55" t="e">
        <f t="shared" si="1249"/>
        <v>#DIV/0!</v>
      </c>
      <c r="CK197" s="252" t="e">
        <f t="shared" si="1249"/>
        <v>#DIV/0!</v>
      </c>
      <c r="CL197" s="55" t="e">
        <f t="shared" si="1250"/>
        <v>#DIV/0!</v>
      </c>
      <c r="CN197" s="64" t="s">
        <v>47</v>
      </c>
      <c r="CO197" s="54">
        <f t="shared" si="1270"/>
        <v>0</v>
      </c>
      <c r="CP197" s="55">
        <f t="shared" si="1251"/>
        <v>0</v>
      </c>
      <c r="CQ197" s="55">
        <f t="shared" si="1252"/>
        <v>0</v>
      </c>
      <c r="CR197" s="55">
        <f t="shared" si="1253"/>
        <v>0</v>
      </c>
      <c r="CS197" s="55">
        <f t="shared" si="1254"/>
        <v>0</v>
      </c>
      <c r="CT197" s="61">
        <f t="shared" si="1255"/>
        <v>0</v>
      </c>
      <c r="CU197" s="55">
        <f t="shared" si="1256"/>
        <v>0</v>
      </c>
      <c r="CV197" s="249">
        <f t="shared" si="1257"/>
        <v>0</v>
      </c>
      <c r="CW197" s="55" t="e">
        <f t="shared" si="1258"/>
        <v>#DIV/0!</v>
      </c>
      <c r="CX197" s="55" t="e">
        <f t="shared" si="1259"/>
        <v>#DIV/0!</v>
      </c>
      <c r="CY197" s="55" t="e">
        <f t="shared" si="1260"/>
        <v>#DIV/0!</v>
      </c>
      <c r="CZ197" s="252" t="e">
        <f t="shared" si="1260"/>
        <v>#DIV/0!</v>
      </c>
      <c r="DA197" s="62" t="e">
        <f t="shared" si="1261"/>
        <v>#DIV/0!</v>
      </c>
      <c r="DC197" s="64" t="s">
        <v>47</v>
      </c>
      <c r="DD197" s="198">
        <f t="shared" si="1271"/>
        <v>0</v>
      </c>
      <c r="DE197" s="199">
        <f t="shared" si="1272"/>
        <v>0</v>
      </c>
      <c r="DF197" s="198">
        <f t="shared" si="1273"/>
        <v>0</v>
      </c>
      <c r="DG197" s="199">
        <f t="shared" si="1274"/>
        <v>0</v>
      </c>
      <c r="DH197" s="198">
        <f t="shared" si="1275"/>
        <v>0</v>
      </c>
      <c r="DI197" s="199">
        <f t="shared" si="1276"/>
        <v>0</v>
      </c>
      <c r="DJ197" s="198">
        <f t="shared" si="1277"/>
        <v>0</v>
      </c>
      <c r="DK197" s="199">
        <f t="shared" si="1278"/>
        <v>0</v>
      </c>
      <c r="DL197" s="198">
        <f t="shared" si="1279"/>
        <v>0</v>
      </c>
      <c r="DM197" s="199">
        <f t="shared" si="1280"/>
        <v>0</v>
      </c>
      <c r="DN197" s="200">
        <f t="shared" si="1281"/>
        <v>0</v>
      </c>
      <c r="DO197" s="201">
        <f t="shared" si="1282"/>
        <v>0</v>
      </c>
      <c r="DP197" s="198">
        <f t="shared" si="1283"/>
        <v>0</v>
      </c>
      <c r="DQ197" s="199">
        <f t="shared" si="1284"/>
        <v>0</v>
      </c>
      <c r="DR197" s="198">
        <f t="shared" si="1285"/>
        <v>0</v>
      </c>
      <c r="DS197" s="199">
        <f t="shared" si="1286"/>
        <v>0</v>
      </c>
      <c r="DT197" s="198" t="e">
        <f t="shared" si="1287"/>
        <v>#DIV/0!</v>
      </c>
      <c r="DU197" s="199">
        <f t="shared" si="1288"/>
        <v>0</v>
      </c>
      <c r="DV197" s="198" t="e">
        <f t="shared" si="1289"/>
        <v>#DIV/0!</v>
      </c>
      <c r="DW197" s="199">
        <f t="shared" si="1290"/>
        <v>0</v>
      </c>
      <c r="DX197" s="198" t="e">
        <f t="shared" si="1291"/>
        <v>#DIV/0!</v>
      </c>
      <c r="DY197" s="199">
        <f t="shared" si="1292"/>
        <v>0</v>
      </c>
      <c r="DZ197" s="190" t="e">
        <f t="shared" si="1293"/>
        <v>#DIV/0!</v>
      </c>
      <c r="EA197" s="199">
        <f t="shared" si="1262"/>
        <v>0</v>
      </c>
      <c r="EB197" s="190" t="e">
        <f t="shared" si="1294"/>
        <v>#DIV/0!</v>
      </c>
      <c r="EC197" s="190" t="e">
        <f t="shared" si="1295"/>
        <v>#DIV/0!</v>
      </c>
    </row>
    <row r="198" spans="1:133" x14ac:dyDescent="0.2">
      <c r="A198" s="66" t="s">
        <v>40</v>
      </c>
      <c r="B198" s="38">
        <f t="shared" ref="B198:H198" si="1330">SUM(B16,B42,B68,B94,B120,B146,B172)</f>
        <v>0</v>
      </c>
      <c r="C198" s="245">
        <f t="shared" si="1330"/>
        <v>0</v>
      </c>
      <c r="D198" s="245">
        <f t="shared" si="1330"/>
        <v>0</v>
      </c>
      <c r="E198" s="245">
        <f t="shared" si="1330"/>
        <v>0</v>
      </c>
      <c r="F198" s="245">
        <f t="shared" si="1330"/>
        <v>0</v>
      </c>
      <c r="G198" s="245">
        <f t="shared" si="1330"/>
        <v>0</v>
      </c>
      <c r="H198" s="39">
        <f t="shared" si="1330"/>
        <v>20094.800174147476</v>
      </c>
      <c r="I198" s="246">
        <f t="shared" si="1307"/>
        <v>20094.800174147476</v>
      </c>
      <c r="J198" s="245">
        <f t="shared" ref="J198:L198" si="1331">SUM(J16,J42,J68,J94,J120,J146,J172)</f>
        <v>0</v>
      </c>
      <c r="K198" s="245">
        <f t="shared" si="1331"/>
        <v>0</v>
      </c>
      <c r="L198" s="245">
        <f t="shared" si="1331"/>
        <v>0</v>
      </c>
      <c r="M198" s="178">
        <f t="shared" si="1263"/>
        <v>0</v>
      </c>
      <c r="N198" s="17">
        <f t="shared" si="1229"/>
        <v>20094.800174147476</v>
      </c>
      <c r="O198" s="174">
        <f t="shared" si="1230"/>
        <v>7.9358061434775539E-4</v>
      </c>
      <c r="P198" s="17"/>
      <c r="Q198" s="66" t="s">
        <v>40</v>
      </c>
      <c r="R198" s="38"/>
      <c r="S198" s="245"/>
      <c r="T198" s="245"/>
      <c r="U198" s="245">
        <f t="shared" si="1231"/>
        <v>0</v>
      </c>
      <c r="V198" s="245">
        <f t="shared" si="1231"/>
        <v>0</v>
      </c>
      <c r="W198" s="245">
        <f t="shared" si="1231"/>
        <v>0</v>
      </c>
      <c r="X198" s="39">
        <f t="shared" si="1231"/>
        <v>0</v>
      </c>
      <c r="Y198" s="246">
        <f t="shared" si="1264"/>
        <v>0</v>
      </c>
      <c r="Z198" s="245" t="e">
        <f t="shared" si="1319"/>
        <v>#DIV/0!</v>
      </c>
      <c r="AA198" s="245" t="e">
        <f t="shared" si="1319"/>
        <v>#DIV/0!</v>
      </c>
      <c r="AB198" s="245" t="e">
        <f t="shared" si="1319"/>
        <v>#DIV/0!</v>
      </c>
      <c r="AC198" s="178" t="e">
        <f t="shared" si="1265"/>
        <v>#DIV/0!</v>
      </c>
      <c r="AD198" s="17" t="e">
        <f t="shared" si="1233"/>
        <v>#DIV/0!</v>
      </c>
      <c r="AE198" s="176" t="e">
        <f t="shared" si="1234"/>
        <v>#DIV/0!</v>
      </c>
      <c r="AF198" s="66" t="s">
        <v>40</v>
      </c>
      <c r="AG198" s="38"/>
      <c r="AH198" s="245"/>
      <c r="AI198" s="245"/>
      <c r="AJ198" s="245">
        <f t="shared" si="1235"/>
        <v>0</v>
      </c>
      <c r="AK198" s="245">
        <f t="shared" si="1235"/>
        <v>0</v>
      </c>
      <c r="AL198" s="245">
        <f t="shared" si="1235"/>
        <v>0</v>
      </c>
      <c r="AM198" s="39">
        <f t="shared" si="1235"/>
        <v>0</v>
      </c>
      <c r="AN198" s="246"/>
      <c r="AO198" s="245">
        <f t="shared" si="1236"/>
        <v>0</v>
      </c>
      <c r="AP198" s="245">
        <f t="shared" si="1236"/>
        <v>0</v>
      </c>
      <c r="AQ198" s="245">
        <f t="shared" si="1236"/>
        <v>0</v>
      </c>
      <c r="AR198" s="178">
        <f t="shared" si="1296"/>
        <v>0</v>
      </c>
      <c r="AS198" s="17">
        <f t="shared" si="1237"/>
        <v>0</v>
      </c>
      <c r="AU198" s="66" t="s">
        <v>40</v>
      </c>
      <c r="AV198" s="38">
        <f t="shared" ref="AV198:BG198" si="1332">IF(R207&gt;0,R198/R207,0)</f>
        <v>0</v>
      </c>
      <c r="AW198" s="245">
        <f t="shared" si="1332"/>
        <v>0</v>
      </c>
      <c r="AX198" s="245">
        <f t="shared" si="1332"/>
        <v>0</v>
      </c>
      <c r="AY198" s="245">
        <f t="shared" si="1332"/>
        <v>0</v>
      </c>
      <c r="AZ198" s="245">
        <f t="shared" si="1332"/>
        <v>0</v>
      </c>
      <c r="BA198" s="245">
        <f t="shared" si="1332"/>
        <v>0</v>
      </c>
      <c r="BB198" s="39">
        <f t="shared" si="1332"/>
        <v>0</v>
      </c>
      <c r="BC198" s="246">
        <f t="shared" si="1332"/>
        <v>0</v>
      </c>
      <c r="BD198" s="245" t="e">
        <f t="shared" si="1332"/>
        <v>#DIV/0!</v>
      </c>
      <c r="BE198" s="245" t="e">
        <f t="shared" si="1332"/>
        <v>#DIV/0!</v>
      </c>
      <c r="BF198" s="245" t="e">
        <f t="shared" si="1332"/>
        <v>#DIV/0!</v>
      </c>
      <c r="BG198" s="178" t="e">
        <f t="shared" si="1332"/>
        <v>#DIV/0!</v>
      </c>
      <c r="BH198" s="24" t="e">
        <f>AD198/AD207</f>
        <v>#DIV/0!</v>
      </c>
      <c r="BJ198" s="66" t="s">
        <v>40</v>
      </c>
      <c r="BK198" s="38">
        <f t="shared" ref="BK198:BV198" si="1333">IF(AG207&gt;0,AG198/AG207,0)</f>
        <v>0</v>
      </c>
      <c r="BL198" s="245">
        <f t="shared" si="1333"/>
        <v>0</v>
      </c>
      <c r="BM198" s="245">
        <f t="shared" si="1333"/>
        <v>0</v>
      </c>
      <c r="BN198" s="245">
        <f t="shared" si="1333"/>
        <v>0</v>
      </c>
      <c r="BO198" s="245">
        <f t="shared" si="1333"/>
        <v>0</v>
      </c>
      <c r="BP198" s="245">
        <f t="shared" si="1333"/>
        <v>0</v>
      </c>
      <c r="BQ198" s="39">
        <f t="shared" si="1333"/>
        <v>0</v>
      </c>
      <c r="BR198" s="246">
        <f t="shared" si="1333"/>
        <v>0</v>
      </c>
      <c r="BS198" s="245">
        <f t="shared" si="1333"/>
        <v>0</v>
      </c>
      <c r="BT198" s="245">
        <f t="shared" si="1333"/>
        <v>0</v>
      </c>
      <c r="BU198" s="245">
        <f t="shared" si="1333"/>
        <v>0</v>
      </c>
      <c r="BV198" s="178">
        <f t="shared" si="1333"/>
        <v>0</v>
      </c>
      <c r="BW198" s="24" t="e">
        <f>AS198/AS207</f>
        <v>#DIV/0!</v>
      </c>
      <c r="BX198" s="24"/>
      <c r="BY198" s="66" t="s">
        <v>40</v>
      </c>
      <c r="BZ198" s="54">
        <f t="shared" si="1269"/>
        <v>0</v>
      </c>
      <c r="CA198" s="55">
        <f t="shared" si="1240"/>
        <v>0</v>
      </c>
      <c r="CB198" s="55">
        <f t="shared" si="1241"/>
        <v>0</v>
      </c>
      <c r="CC198" s="55">
        <f t="shared" si="1242"/>
        <v>0</v>
      </c>
      <c r="CD198" s="55">
        <f t="shared" si="1243"/>
        <v>0</v>
      </c>
      <c r="CE198" s="55">
        <f t="shared" si="1244"/>
        <v>0</v>
      </c>
      <c r="CF198" s="59">
        <f t="shared" si="1245"/>
        <v>0</v>
      </c>
      <c r="CG198" s="249">
        <f t="shared" si="1246"/>
        <v>0</v>
      </c>
      <c r="CH198" s="55" t="e">
        <f t="shared" si="1247"/>
        <v>#DIV/0!</v>
      </c>
      <c r="CI198" s="55" t="e">
        <f t="shared" si="1248"/>
        <v>#DIV/0!</v>
      </c>
      <c r="CJ198" s="55" t="e">
        <f t="shared" si="1249"/>
        <v>#DIV/0!</v>
      </c>
      <c r="CK198" s="252" t="e">
        <f t="shared" si="1249"/>
        <v>#DIV/0!</v>
      </c>
      <c r="CL198" s="55" t="e">
        <f t="shared" si="1250"/>
        <v>#DIV/0!</v>
      </c>
      <c r="CN198" s="66" t="s">
        <v>40</v>
      </c>
      <c r="CO198" s="54">
        <f t="shared" si="1270"/>
        <v>0</v>
      </c>
      <c r="CP198" s="55">
        <f t="shared" si="1251"/>
        <v>0</v>
      </c>
      <c r="CQ198" s="55">
        <f t="shared" si="1252"/>
        <v>0</v>
      </c>
      <c r="CR198" s="55">
        <f t="shared" si="1253"/>
        <v>0</v>
      </c>
      <c r="CS198" s="55">
        <f t="shared" si="1254"/>
        <v>0</v>
      </c>
      <c r="CT198" s="55">
        <f t="shared" si="1255"/>
        <v>0</v>
      </c>
      <c r="CU198" s="59">
        <f t="shared" si="1256"/>
        <v>0</v>
      </c>
      <c r="CV198" s="249">
        <f t="shared" si="1257"/>
        <v>0</v>
      </c>
      <c r="CW198" s="55" t="e">
        <f t="shared" si="1258"/>
        <v>#DIV/0!</v>
      </c>
      <c r="CX198" s="55" t="e">
        <f t="shared" si="1259"/>
        <v>#DIV/0!</v>
      </c>
      <c r="CY198" s="55" t="e">
        <f t="shared" si="1260"/>
        <v>#DIV/0!</v>
      </c>
      <c r="CZ198" s="252" t="e">
        <f t="shared" si="1260"/>
        <v>#DIV/0!</v>
      </c>
      <c r="DA198" s="62" t="e">
        <f t="shared" si="1261"/>
        <v>#DIV/0!</v>
      </c>
      <c r="DC198" s="66" t="s">
        <v>40</v>
      </c>
      <c r="DD198" s="198">
        <f t="shared" si="1271"/>
        <v>0</v>
      </c>
      <c r="DE198" s="199">
        <f t="shared" si="1272"/>
        <v>0</v>
      </c>
      <c r="DF198" s="198">
        <f t="shared" si="1273"/>
        <v>0</v>
      </c>
      <c r="DG198" s="199">
        <f t="shared" si="1274"/>
        <v>0</v>
      </c>
      <c r="DH198" s="198">
        <f t="shared" si="1275"/>
        <v>0</v>
      </c>
      <c r="DI198" s="199">
        <f t="shared" si="1276"/>
        <v>0</v>
      </c>
      <c r="DJ198" s="198">
        <f t="shared" si="1277"/>
        <v>0</v>
      </c>
      <c r="DK198" s="199">
        <f t="shared" si="1278"/>
        <v>0</v>
      </c>
      <c r="DL198" s="198">
        <f t="shared" si="1279"/>
        <v>0</v>
      </c>
      <c r="DM198" s="199">
        <f t="shared" si="1280"/>
        <v>0</v>
      </c>
      <c r="DN198" s="198">
        <f t="shared" si="1281"/>
        <v>0</v>
      </c>
      <c r="DO198" s="199">
        <f t="shared" si="1282"/>
        <v>0</v>
      </c>
      <c r="DP198" s="195">
        <f t="shared" si="1283"/>
        <v>0</v>
      </c>
      <c r="DQ198" s="196">
        <f t="shared" si="1284"/>
        <v>0</v>
      </c>
      <c r="DR198" s="198">
        <f t="shared" si="1285"/>
        <v>0</v>
      </c>
      <c r="DS198" s="199">
        <f t="shared" si="1286"/>
        <v>0</v>
      </c>
      <c r="DT198" s="198" t="e">
        <f t="shared" si="1287"/>
        <v>#DIV/0!</v>
      </c>
      <c r="DU198" s="199">
        <f t="shared" si="1288"/>
        <v>0</v>
      </c>
      <c r="DV198" s="198" t="e">
        <f t="shared" si="1289"/>
        <v>#DIV/0!</v>
      </c>
      <c r="DW198" s="199">
        <f t="shared" si="1290"/>
        <v>0</v>
      </c>
      <c r="DX198" s="198" t="e">
        <f t="shared" si="1291"/>
        <v>#DIV/0!</v>
      </c>
      <c r="DY198" s="199">
        <f t="shared" si="1292"/>
        <v>0</v>
      </c>
      <c r="DZ198" s="190" t="e">
        <f t="shared" si="1293"/>
        <v>#DIV/0!</v>
      </c>
      <c r="EA198" s="199">
        <f t="shared" si="1262"/>
        <v>0</v>
      </c>
      <c r="EB198" s="190" t="e">
        <f t="shared" si="1294"/>
        <v>#DIV/0!</v>
      </c>
      <c r="EC198" s="190" t="e">
        <f t="shared" si="1295"/>
        <v>#DIV/0!</v>
      </c>
    </row>
    <row r="199" spans="1:133" ht="25.5" x14ac:dyDescent="0.2">
      <c r="A199" s="66" t="s">
        <v>347</v>
      </c>
      <c r="B199" s="38">
        <f t="shared" ref="B199:H199" si="1334">SUM(B17,B43,B69,B95,B121,B147,B173)</f>
        <v>0</v>
      </c>
      <c r="C199" s="245">
        <f t="shared" si="1334"/>
        <v>0</v>
      </c>
      <c r="D199" s="245">
        <f t="shared" si="1334"/>
        <v>0</v>
      </c>
      <c r="E199" s="245">
        <f t="shared" si="1334"/>
        <v>0</v>
      </c>
      <c r="F199" s="245">
        <f t="shared" si="1334"/>
        <v>0</v>
      </c>
      <c r="G199" s="245">
        <f t="shared" si="1334"/>
        <v>0</v>
      </c>
      <c r="H199" s="40">
        <f t="shared" si="1334"/>
        <v>3367.7104226524821</v>
      </c>
      <c r="I199" s="246">
        <f t="shared" si="1307"/>
        <v>3367.7104226524821</v>
      </c>
      <c r="J199" s="245">
        <f t="shared" ref="J199:L199" si="1335">SUM(J17,J43,J69,J95,J121,J147,J173)</f>
        <v>0</v>
      </c>
      <c r="K199" s="245">
        <f t="shared" si="1335"/>
        <v>0</v>
      </c>
      <c r="L199" s="245">
        <f t="shared" si="1335"/>
        <v>0</v>
      </c>
      <c r="M199" s="178">
        <f t="shared" si="1263"/>
        <v>0</v>
      </c>
      <c r="N199" s="17">
        <f t="shared" si="1229"/>
        <v>3367.7104226524821</v>
      </c>
      <c r="O199" s="174">
        <f t="shared" si="1230"/>
        <v>1.3299707799991988E-4</v>
      </c>
      <c r="P199" s="17"/>
      <c r="Q199" s="66" t="s">
        <v>347</v>
      </c>
      <c r="R199" s="38"/>
      <c r="S199" s="245"/>
      <c r="T199" s="245"/>
      <c r="U199" s="245">
        <f t="shared" si="1231"/>
        <v>0</v>
      </c>
      <c r="V199" s="245">
        <f t="shared" si="1231"/>
        <v>0</v>
      </c>
      <c r="W199" s="245">
        <f t="shared" si="1231"/>
        <v>0</v>
      </c>
      <c r="X199" s="40">
        <f t="shared" si="1231"/>
        <v>0</v>
      </c>
      <c r="Y199" s="246">
        <f t="shared" si="1264"/>
        <v>0</v>
      </c>
      <c r="Z199" s="245" t="e">
        <f t="shared" si="1319"/>
        <v>#DIV/0!</v>
      </c>
      <c r="AA199" s="245" t="e">
        <f t="shared" si="1319"/>
        <v>#DIV/0!</v>
      </c>
      <c r="AB199" s="245" t="e">
        <f t="shared" si="1319"/>
        <v>#DIV/0!</v>
      </c>
      <c r="AC199" s="178" t="e">
        <f t="shared" si="1265"/>
        <v>#DIV/0!</v>
      </c>
      <c r="AD199" s="17" t="e">
        <f t="shared" si="1233"/>
        <v>#DIV/0!</v>
      </c>
      <c r="AE199" s="176" t="e">
        <f t="shared" si="1234"/>
        <v>#DIV/0!</v>
      </c>
      <c r="AF199" s="66" t="s">
        <v>347</v>
      </c>
      <c r="AG199" s="38"/>
      <c r="AH199" s="245"/>
      <c r="AI199" s="245"/>
      <c r="AJ199" s="245">
        <f t="shared" si="1235"/>
        <v>0</v>
      </c>
      <c r="AK199" s="245">
        <f t="shared" si="1235"/>
        <v>0</v>
      </c>
      <c r="AL199" s="245">
        <f t="shared" si="1235"/>
        <v>0</v>
      </c>
      <c r="AM199" s="40">
        <f t="shared" si="1235"/>
        <v>0</v>
      </c>
      <c r="AN199" s="246"/>
      <c r="AO199" s="245">
        <f t="shared" si="1236"/>
        <v>0</v>
      </c>
      <c r="AP199" s="245">
        <f t="shared" si="1236"/>
        <v>0</v>
      </c>
      <c r="AQ199" s="245">
        <f t="shared" si="1236"/>
        <v>0</v>
      </c>
      <c r="AR199" s="178">
        <f t="shared" si="1296"/>
        <v>0</v>
      </c>
      <c r="AS199" s="17">
        <f t="shared" si="1237"/>
        <v>0</v>
      </c>
      <c r="AU199" s="66" t="s">
        <v>347</v>
      </c>
      <c r="AV199" s="38">
        <f t="shared" ref="AV199:BG199" si="1336">IF(R207&gt;0,R199/R207,0)</f>
        <v>0</v>
      </c>
      <c r="AW199" s="245">
        <f t="shared" si="1336"/>
        <v>0</v>
      </c>
      <c r="AX199" s="245">
        <f t="shared" si="1336"/>
        <v>0</v>
      </c>
      <c r="AY199" s="245">
        <f t="shared" si="1336"/>
        <v>0</v>
      </c>
      <c r="AZ199" s="245">
        <f t="shared" si="1336"/>
        <v>0</v>
      </c>
      <c r="BA199" s="245">
        <f t="shared" si="1336"/>
        <v>0</v>
      </c>
      <c r="BB199" s="40">
        <f t="shared" si="1336"/>
        <v>0</v>
      </c>
      <c r="BC199" s="246">
        <f t="shared" si="1336"/>
        <v>0</v>
      </c>
      <c r="BD199" s="245" t="e">
        <f t="shared" si="1336"/>
        <v>#DIV/0!</v>
      </c>
      <c r="BE199" s="245" t="e">
        <f t="shared" si="1336"/>
        <v>#DIV/0!</v>
      </c>
      <c r="BF199" s="245" t="e">
        <f t="shared" si="1336"/>
        <v>#DIV/0!</v>
      </c>
      <c r="BG199" s="178" t="e">
        <f t="shared" si="1336"/>
        <v>#DIV/0!</v>
      </c>
      <c r="BH199" s="24" t="e">
        <f>AD199/AD207</f>
        <v>#DIV/0!</v>
      </c>
      <c r="BJ199" s="66" t="s">
        <v>347</v>
      </c>
      <c r="BK199" s="38">
        <f t="shared" ref="BK199:BV199" si="1337">IF(AG207&gt;0,AG199/AG207,0)</f>
        <v>0</v>
      </c>
      <c r="BL199" s="245">
        <f t="shared" si="1337"/>
        <v>0</v>
      </c>
      <c r="BM199" s="245">
        <f t="shared" si="1337"/>
        <v>0</v>
      </c>
      <c r="BN199" s="245">
        <f t="shared" si="1337"/>
        <v>0</v>
      </c>
      <c r="BO199" s="245">
        <f t="shared" si="1337"/>
        <v>0</v>
      </c>
      <c r="BP199" s="245">
        <f t="shared" si="1337"/>
        <v>0</v>
      </c>
      <c r="BQ199" s="40">
        <f t="shared" si="1337"/>
        <v>0</v>
      </c>
      <c r="BR199" s="246">
        <f t="shared" si="1337"/>
        <v>0</v>
      </c>
      <c r="BS199" s="245">
        <f t="shared" si="1337"/>
        <v>0</v>
      </c>
      <c r="BT199" s="245">
        <f t="shared" si="1337"/>
        <v>0</v>
      </c>
      <c r="BU199" s="245">
        <f t="shared" si="1337"/>
        <v>0</v>
      </c>
      <c r="BV199" s="178">
        <f t="shared" si="1337"/>
        <v>0</v>
      </c>
      <c r="BW199" s="24" t="e">
        <f>AS199/AS207</f>
        <v>#DIV/0!</v>
      </c>
      <c r="BX199" s="24"/>
      <c r="BY199" s="66" t="s">
        <v>347</v>
      </c>
      <c r="BZ199" s="54">
        <f t="shared" si="1269"/>
        <v>0</v>
      </c>
      <c r="CA199" s="55">
        <f t="shared" si="1240"/>
        <v>0</v>
      </c>
      <c r="CB199" s="55">
        <f t="shared" si="1241"/>
        <v>0</v>
      </c>
      <c r="CC199" s="55">
        <f t="shared" si="1242"/>
        <v>0</v>
      </c>
      <c r="CD199" s="55">
        <f t="shared" si="1243"/>
        <v>0</v>
      </c>
      <c r="CE199" s="55">
        <f t="shared" si="1244"/>
        <v>0</v>
      </c>
      <c r="CF199" s="60">
        <f t="shared" si="1245"/>
        <v>0</v>
      </c>
      <c r="CG199" s="249">
        <f t="shared" si="1246"/>
        <v>0</v>
      </c>
      <c r="CH199" s="55" t="e">
        <f t="shared" si="1247"/>
        <v>#DIV/0!</v>
      </c>
      <c r="CI199" s="55" t="e">
        <f t="shared" si="1248"/>
        <v>#DIV/0!</v>
      </c>
      <c r="CJ199" s="55" t="e">
        <f t="shared" si="1249"/>
        <v>#DIV/0!</v>
      </c>
      <c r="CK199" s="252" t="e">
        <f t="shared" si="1249"/>
        <v>#DIV/0!</v>
      </c>
      <c r="CL199" s="55" t="e">
        <f t="shared" si="1250"/>
        <v>#DIV/0!</v>
      </c>
      <c r="CN199" s="66" t="s">
        <v>347</v>
      </c>
      <c r="CO199" s="54">
        <f t="shared" si="1270"/>
        <v>0</v>
      </c>
      <c r="CP199" s="55">
        <f t="shared" si="1251"/>
        <v>0</v>
      </c>
      <c r="CQ199" s="55">
        <f t="shared" si="1252"/>
        <v>0</v>
      </c>
      <c r="CR199" s="55">
        <f t="shared" si="1253"/>
        <v>0</v>
      </c>
      <c r="CS199" s="55">
        <f t="shared" si="1254"/>
        <v>0</v>
      </c>
      <c r="CT199" s="55">
        <f t="shared" si="1255"/>
        <v>0</v>
      </c>
      <c r="CU199" s="60">
        <f t="shared" si="1256"/>
        <v>0</v>
      </c>
      <c r="CV199" s="249">
        <f t="shared" si="1257"/>
        <v>0</v>
      </c>
      <c r="CW199" s="55" t="e">
        <f t="shared" si="1258"/>
        <v>#DIV/0!</v>
      </c>
      <c r="CX199" s="55" t="e">
        <f t="shared" si="1259"/>
        <v>#DIV/0!</v>
      </c>
      <c r="CY199" s="55" t="e">
        <f t="shared" si="1260"/>
        <v>#DIV/0!</v>
      </c>
      <c r="CZ199" s="252" t="e">
        <f t="shared" si="1260"/>
        <v>#DIV/0!</v>
      </c>
      <c r="DA199" s="62" t="e">
        <f t="shared" si="1261"/>
        <v>#DIV/0!</v>
      </c>
      <c r="DC199" s="66" t="s">
        <v>347</v>
      </c>
      <c r="DD199" s="198">
        <f t="shared" si="1271"/>
        <v>0</v>
      </c>
      <c r="DE199" s="199">
        <f t="shared" si="1272"/>
        <v>0</v>
      </c>
      <c r="DF199" s="198">
        <f t="shared" si="1273"/>
        <v>0</v>
      </c>
      <c r="DG199" s="199">
        <f t="shared" si="1274"/>
        <v>0</v>
      </c>
      <c r="DH199" s="198">
        <f t="shared" si="1275"/>
        <v>0</v>
      </c>
      <c r="DI199" s="199">
        <f t="shared" si="1276"/>
        <v>0</v>
      </c>
      <c r="DJ199" s="198">
        <f t="shared" si="1277"/>
        <v>0</v>
      </c>
      <c r="DK199" s="199">
        <f t="shared" si="1278"/>
        <v>0</v>
      </c>
      <c r="DL199" s="198">
        <f t="shared" si="1279"/>
        <v>0</v>
      </c>
      <c r="DM199" s="199">
        <f t="shared" si="1280"/>
        <v>0</v>
      </c>
      <c r="DN199" s="198">
        <f t="shared" si="1281"/>
        <v>0</v>
      </c>
      <c r="DO199" s="199">
        <f t="shared" si="1282"/>
        <v>0</v>
      </c>
      <c r="DP199" s="198">
        <f t="shared" si="1283"/>
        <v>0</v>
      </c>
      <c r="DQ199" s="199">
        <f t="shared" si="1284"/>
        <v>0</v>
      </c>
      <c r="DR199" s="198">
        <f t="shared" si="1285"/>
        <v>0</v>
      </c>
      <c r="DS199" s="199">
        <f t="shared" si="1286"/>
        <v>0</v>
      </c>
      <c r="DT199" s="198" t="e">
        <f t="shared" si="1287"/>
        <v>#DIV/0!</v>
      </c>
      <c r="DU199" s="199">
        <f t="shared" si="1288"/>
        <v>0</v>
      </c>
      <c r="DV199" s="198" t="e">
        <f t="shared" si="1289"/>
        <v>#DIV/0!</v>
      </c>
      <c r="DW199" s="199">
        <f t="shared" si="1290"/>
        <v>0</v>
      </c>
      <c r="DX199" s="198" t="e">
        <f t="shared" si="1291"/>
        <v>#DIV/0!</v>
      </c>
      <c r="DY199" s="199">
        <f t="shared" si="1292"/>
        <v>0</v>
      </c>
      <c r="DZ199" s="190" t="e">
        <f t="shared" si="1293"/>
        <v>#DIV/0!</v>
      </c>
      <c r="EA199" s="199">
        <f t="shared" si="1262"/>
        <v>0</v>
      </c>
      <c r="EB199" s="190" t="e">
        <f t="shared" si="1294"/>
        <v>#DIV/0!</v>
      </c>
      <c r="EC199" s="190" t="e">
        <f t="shared" si="1295"/>
        <v>#DIV/0!</v>
      </c>
    </row>
    <row r="200" spans="1:133" x14ac:dyDescent="0.2">
      <c r="A200" s="2" t="s">
        <v>350</v>
      </c>
      <c r="B200" s="38">
        <f t="shared" ref="B200:H200" si="1338">SUM(B18,B44,B70,B96,B122,B148,B174)</f>
        <v>0</v>
      </c>
      <c r="C200" s="245">
        <f t="shared" si="1338"/>
        <v>0</v>
      </c>
      <c r="D200" s="245">
        <f t="shared" si="1338"/>
        <v>0</v>
      </c>
      <c r="E200" s="245">
        <f t="shared" si="1338"/>
        <v>0</v>
      </c>
      <c r="F200" s="245">
        <f t="shared" si="1338"/>
        <v>0</v>
      </c>
      <c r="G200" s="245">
        <f t="shared" si="1338"/>
        <v>0</v>
      </c>
      <c r="H200" s="40">
        <f t="shared" si="1338"/>
        <v>1230.1367797424414</v>
      </c>
      <c r="I200" s="246">
        <f t="shared" si="1307"/>
        <v>1230.1367797424414</v>
      </c>
      <c r="J200" s="245">
        <f t="shared" ref="J200:L200" si="1339">SUM(J18,J44,J70,J96,J122,J148,J174)</f>
        <v>0</v>
      </c>
      <c r="K200" s="245">
        <f t="shared" si="1339"/>
        <v>0</v>
      </c>
      <c r="L200" s="245">
        <f t="shared" si="1339"/>
        <v>0</v>
      </c>
      <c r="M200" s="178">
        <f t="shared" ref="M200" si="1340">SUM(J200:L200)</f>
        <v>0</v>
      </c>
      <c r="N200" s="17">
        <f t="shared" ref="N200" si="1341">SUM(B200:L200)-I200</f>
        <v>1230.1367797424414</v>
      </c>
      <c r="O200" s="174">
        <f t="shared" si="1230"/>
        <v>4.8580363722934705E-5</v>
      </c>
      <c r="P200" s="17"/>
      <c r="Q200" s="2" t="s">
        <v>350</v>
      </c>
      <c r="R200" s="38"/>
      <c r="S200" s="245"/>
      <c r="T200" s="245"/>
      <c r="U200" s="245">
        <f t="shared" ref="U200:U206" si="1342">SUM(U18,U44,U70,U96,U122,U148,U174)</f>
        <v>0</v>
      </c>
      <c r="V200" s="245">
        <f t="shared" ref="V200:X206" si="1343">SUM(V18,V44,V70,V96,V122,V148,V174)</f>
        <v>0</v>
      </c>
      <c r="W200" s="245">
        <f t="shared" si="1343"/>
        <v>0</v>
      </c>
      <c r="X200" s="40">
        <f t="shared" si="1343"/>
        <v>0</v>
      </c>
      <c r="Y200" s="246">
        <f>SUM(W200:X200)</f>
        <v>0</v>
      </c>
      <c r="Z200" s="245" t="e">
        <f>SUM(Z26,Z44,Z70,Z96,Z122,Z148,Z174)</f>
        <v>#DIV/0!</v>
      </c>
      <c r="AA200" s="245" t="e">
        <f>SUM(AA26,AA44,AA70,AA96,AA122,AA148,AA174)</f>
        <v>#DIV/0!</v>
      </c>
      <c r="AB200" s="245" t="e">
        <f>SUM(AB26,AB44,AB70,AB96,AB122,AB148,AB174)</f>
        <v>#DIV/0!</v>
      </c>
      <c r="AC200" s="178" t="e">
        <f>SUM(Z200:AB200)</f>
        <v>#DIV/0!</v>
      </c>
      <c r="AD200" s="17" t="e">
        <f>SUM(R200:AB200)-Y200</f>
        <v>#DIV/0!</v>
      </c>
      <c r="AE200" s="176" t="e">
        <f t="shared" si="1234"/>
        <v>#DIV/0!</v>
      </c>
      <c r="AF200" s="2" t="s">
        <v>350</v>
      </c>
      <c r="AG200" s="38"/>
      <c r="AH200" s="245"/>
      <c r="AI200" s="245"/>
      <c r="AJ200" s="245">
        <f t="shared" si="1235"/>
        <v>0</v>
      </c>
      <c r="AK200" s="245">
        <f t="shared" si="1235"/>
        <v>0</v>
      </c>
      <c r="AL200" s="245">
        <f t="shared" si="1235"/>
        <v>0</v>
      </c>
      <c r="AM200" s="40">
        <f t="shared" si="1235"/>
        <v>0</v>
      </c>
      <c r="AN200" s="246"/>
      <c r="AO200" s="245">
        <f t="shared" si="1236"/>
        <v>0</v>
      </c>
      <c r="AP200" s="245">
        <f t="shared" si="1236"/>
        <v>0</v>
      </c>
      <c r="AQ200" s="245">
        <f t="shared" si="1236"/>
        <v>0</v>
      </c>
      <c r="AR200" s="178">
        <f>SUM(AO200:AQ200)</f>
        <v>0</v>
      </c>
      <c r="AS200" s="17">
        <f>SUM(AG200:AQ200)-AN200</f>
        <v>0</v>
      </c>
      <c r="AU200" s="2" t="s">
        <v>350</v>
      </c>
      <c r="AV200" s="38">
        <f t="shared" ref="AV200:BG200" si="1344">IF(R214&gt;0,R200/R214,0)</f>
        <v>0</v>
      </c>
      <c r="AW200" s="245">
        <f t="shared" si="1344"/>
        <v>0</v>
      </c>
      <c r="AX200" s="245">
        <f t="shared" si="1344"/>
        <v>0</v>
      </c>
      <c r="AY200" s="245">
        <f t="shared" si="1344"/>
        <v>0</v>
      </c>
      <c r="AZ200" s="245">
        <f t="shared" si="1344"/>
        <v>0</v>
      </c>
      <c r="BA200" s="245">
        <f t="shared" si="1344"/>
        <v>0</v>
      </c>
      <c r="BB200" s="40">
        <f t="shared" si="1344"/>
        <v>0</v>
      </c>
      <c r="BC200" s="246">
        <f t="shared" si="1344"/>
        <v>0</v>
      </c>
      <c r="BD200" s="245">
        <f t="shared" si="1344"/>
        <v>0</v>
      </c>
      <c r="BE200" s="245">
        <f t="shared" si="1344"/>
        <v>0</v>
      </c>
      <c r="BF200" s="245">
        <f t="shared" si="1344"/>
        <v>0</v>
      </c>
      <c r="BG200" s="178">
        <f t="shared" si="1344"/>
        <v>0</v>
      </c>
      <c r="BH200" s="24" t="e">
        <f>AD200/AD214</f>
        <v>#DIV/0!</v>
      </c>
      <c r="BJ200" s="2" t="s">
        <v>350</v>
      </c>
      <c r="BK200" s="38">
        <f t="shared" ref="BK200:BV200" si="1345">IF(AG216&gt;0,AG200/AG216,0)</f>
        <v>0</v>
      </c>
      <c r="BL200" s="245">
        <f t="shared" si="1345"/>
        <v>0</v>
      </c>
      <c r="BM200" s="245">
        <f t="shared" si="1345"/>
        <v>0</v>
      </c>
      <c r="BN200" s="245">
        <f t="shared" si="1345"/>
        <v>0</v>
      </c>
      <c r="BO200" s="245">
        <f t="shared" si="1345"/>
        <v>0</v>
      </c>
      <c r="BP200" s="245">
        <f t="shared" si="1345"/>
        <v>0</v>
      </c>
      <c r="BQ200" s="40">
        <f t="shared" si="1345"/>
        <v>0</v>
      </c>
      <c r="BR200" s="246">
        <f t="shared" si="1345"/>
        <v>0</v>
      </c>
      <c r="BS200" s="245">
        <f t="shared" si="1345"/>
        <v>0</v>
      </c>
      <c r="BT200" s="245">
        <f t="shared" si="1345"/>
        <v>0</v>
      </c>
      <c r="BU200" s="245">
        <f t="shared" si="1345"/>
        <v>0</v>
      </c>
      <c r="BV200" s="178">
        <f t="shared" si="1345"/>
        <v>0</v>
      </c>
      <c r="BW200" s="24" t="e">
        <f>AS200/AS209</f>
        <v>#DIV/0!</v>
      </c>
      <c r="BX200" s="24"/>
      <c r="BY200" s="2" t="s">
        <v>350</v>
      </c>
      <c r="BZ200" s="54">
        <f t="shared" ref="BZ200" si="1346">AG200-R200</f>
        <v>0</v>
      </c>
      <c r="CA200" s="55">
        <f t="shared" ref="CA200" si="1347">AH200-S200</f>
        <v>0</v>
      </c>
      <c r="CB200" s="55">
        <f t="shared" ref="CB200" si="1348">AI200-T200</f>
        <v>0</v>
      </c>
      <c r="CC200" s="55">
        <f t="shared" ref="CC200" si="1349">AJ200-U200</f>
        <v>0</v>
      </c>
      <c r="CD200" s="55">
        <f t="shared" ref="CD200" si="1350">AK200-V200</f>
        <v>0</v>
      </c>
      <c r="CE200" s="55">
        <f t="shared" ref="CE200" si="1351">AL200-W200</f>
        <v>0</v>
      </c>
      <c r="CF200" s="60">
        <f t="shared" ref="CF200" si="1352">AM200-X200</f>
        <v>0</v>
      </c>
      <c r="CG200" s="249">
        <f t="shared" ref="CG200" si="1353">AN200-Y200</f>
        <v>0</v>
      </c>
      <c r="CH200" s="55" t="e">
        <f t="shared" ref="CH200" si="1354">AO200-Z200</f>
        <v>#DIV/0!</v>
      </c>
      <c r="CI200" s="55" t="e">
        <f t="shared" ref="CI200" si="1355">AP200-AA200</f>
        <v>#DIV/0!</v>
      </c>
      <c r="CJ200" s="55" t="e">
        <f t="shared" ref="CJ200" si="1356">AQ200-AB200</f>
        <v>#DIV/0!</v>
      </c>
      <c r="CK200" s="252" t="e">
        <f t="shared" ref="CK200" si="1357">AR200-AC200</f>
        <v>#DIV/0!</v>
      </c>
      <c r="CL200" s="55" t="e">
        <f t="shared" ref="CL200" si="1358">AS200-AD200</f>
        <v>#DIV/0!</v>
      </c>
      <c r="CN200" s="2" t="s">
        <v>350</v>
      </c>
      <c r="CO200" s="54">
        <f t="shared" ref="CO200" si="1359">BK200-AV200</f>
        <v>0</v>
      </c>
      <c r="CP200" s="55">
        <f t="shared" ref="CP200" si="1360">BL200-AW200</f>
        <v>0</v>
      </c>
      <c r="CQ200" s="55">
        <f t="shared" ref="CQ200" si="1361">BM200-AX200</f>
        <v>0</v>
      </c>
      <c r="CR200" s="55">
        <f t="shared" ref="CR200" si="1362">BN200-AY200</f>
        <v>0</v>
      </c>
      <c r="CS200" s="55">
        <f t="shared" ref="CS200" si="1363">BO200-AZ200</f>
        <v>0</v>
      </c>
      <c r="CT200" s="55">
        <f t="shared" ref="CT200" si="1364">BP200-BA200</f>
        <v>0</v>
      </c>
      <c r="CU200" s="60">
        <f t="shared" ref="CU200" si="1365">BQ200-BB200</f>
        <v>0</v>
      </c>
      <c r="CV200" s="249">
        <f t="shared" ref="CV200" si="1366">BR200-BC200</f>
        <v>0</v>
      </c>
      <c r="CW200" s="55">
        <f t="shared" ref="CW200" si="1367">BS200-BD200</f>
        <v>0</v>
      </c>
      <c r="CX200" s="55">
        <f t="shared" ref="CX200" si="1368">BT200-BE200</f>
        <v>0</v>
      </c>
      <c r="CY200" s="55">
        <f t="shared" ref="CY200" si="1369">BU200-BF200</f>
        <v>0</v>
      </c>
      <c r="CZ200" s="252">
        <f t="shared" ref="CZ200" si="1370">BV200-BG200</f>
        <v>0</v>
      </c>
      <c r="DA200" s="62" t="e">
        <f t="shared" ref="DA200" si="1371">BW200-BH200</f>
        <v>#DIV/0!</v>
      </c>
      <c r="DC200" s="2" t="s">
        <v>350</v>
      </c>
      <c r="DD200" s="198">
        <f t="shared" ref="DD200" si="1372">AV200</f>
        <v>0</v>
      </c>
      <c r="DE200" s="199">
        <f t="shared" ref="DE200" si="1373">BK200</f>
        <v>0</v>
      </c>
      <c r="DF200" s="198">
        <f t="shared" ref="DF200" si="1374">AW200</f>
        <v>0</v>
      </c>
      <c r="DG200" s="199">
        <f t="shared" ref="DG200" si="1375">BL200</f>
        <v>0</v>
      </c>
      <c r="DH200" s="198">
        <f t="shared" ref="DH200" si="1376">AX200</f>
        <v>0</v>
      </c>
      <c r="DI200" s="199">
        <f t="shared" ref="DI200" si="1377">BM200</f>
        <v>0</v>
      </c>
      <c r="DJ200" s="198">
        <f t="shared" ref="DJ200" si="1378">AY200</f>
        <v>0</v>
      </c>
      <c r="DK200" s="199">
        <f t="shared" ref="DK200" si="1379">BN200</f>
        <v>0</v>
      </c>
      <c r="DL200" s="198">
        <f t="shared" ref="DL200" si="1380">AZ200</f>
        <v>0</v>
      </c>
      <c r="DM200" s="199">
        <f t="shared" ref="DM200" si="1381">BO200</f>
        <v>0</v>
      </c>
      <c r="DN200" s="198">
        <f t="shared" ref="DN200" si="1382">BA200</f>
        <v>0</v>
      </c>
      <c r="DO200" s="199">
        <f t="shared" ref="DO200" si="1383">BP200</f>
        <v>0</v>
      </c>
      <c r="DP200" s="198">
        <f t="shared" ref="DP200" si="1384">BB200</f>
        <v>0</v>
      </c>
      <c r="DQ200" s="199">
        <f t="shared" ref="DQ200" si="1385">BQ200</f>
        <v>0</v>
      </c>
      <c r="DR200" s="198">
        <f t="shared" ref="DR200" si="1386">BC200</f>
        <v>0</v>
      </c>
      <c r="DS200" s="199">
        <f t="shared" ref="DS200" si="1387">BR200</f>
        <v>0</v>
      </c>
      <c r="DT200" s="198">
        <f t="shared" ref="DT200" si="1388">BD200</f>
        <v>0</v>
      </c>
      <c r="DU200" s="199">
        <f t="shared" ref="DU200" si="1389">BS200</f>
        <v>0</v>
      </c>
      <c r="DV200" s="198">
        <f t="shared" ref="DV200" si="1390">BE200</f>
        <v>0</v>
      </c>
      <c r="DW200" s="199">
        <f t="shared" ref="DW200" si="1391">BT200</f>
        <v>0</v>
      </c>
      <c r="DX200" s="198">
        <f t="shared" ref="DX200" si="1392">BF200</f>
        <v>0</v>
      </c>
      <c r="DY200" s="199">
        <f t="shared" ref="DY200" si="1393">BU200</f>
        <v>0</v>
      </c>
      <c r="DZ200" s="190">
        <f t="shared" ref="DZ200" si="1394">BG200</f>
        <v>0</v>
      </c>
      <c r="EA200" s="199">
        <f t="shared" ref="EA200" si="1395">BV200</f>
        <v>0</v>
      </c>
      <c r="EB200" s="190" t="e">
        <f t="shared" ref="EB200" si="1396">BH200</f>
        <v>#DIV/0!</v>
      </c>
      <c r="EC200" s="190" t="e">
        <f t="shared" ref="EC200" si="1397">BW200</f>
        <v>#DIV/0!</v>
      </c>
    </row>
    <row r="201" spans="1:133" x14ac:dyDescent="0.2">
      <c r="A201" s="64" t="s">
        <v>50</v>
      </c>
      <c r="B201" s="38">
        <f t="shared" ref="B201:H201" si="1398">SUM(B19,B45,B71,B97,B123,B149,B175)</f>
        <v>0</v>
      </c>
      <c r="C201" s="245">
        <f t="shared" si="1398"/>
        <v>0</v>
      </c>
      <c r="D201" s="245">
        <f t="shared" si="1398"/>
        <v>0</v>
      </c>
      <c r="E201" s="245">
        <f t="shared" si="1398"/>
        <v>0</v>
      </c>
      <c r="F201" s="245">
        <f t="shared" si="1398"/>
        <v>0</v>
      </c>
      <c r="G201" s="245">
        <f t="shared" si="1398"/>
        <v>0</v>
      </c>
      <c r="H201" s="40">
        <f t="shared" si="1398"/>
        <v>1846.0202441645279</v>
      </c>
      <c r="I201" s="246">
        <f t="shared" si="1307"/>
        <v>1846.0202441645279</v>
      </c>
      <c r="J201" s="245">
        <f t="shared" ref="J201:L201" si="1399">SUM(J19,J45,J71,J97,J123,J149,J175)</f>
        <v>0</v>
      </c>
      <c r="K201" s="245">
        <f t="shared" si="1399"/>
        <v>0</v>
      </c>
      <c r="L201" s="245">
        <f t="shared" si="1399"/>
        <v>0</v>
      </c>
      <c r="M201" s="178">
        <f t="shared" si="1263"/>
        <v>0</v>
      </c>
      <c r="N201" s="17">
        <f t="shared" si="1229"/>
        <v>1846.0202441645279</v>
      </c>
      <c r="O201" s="174">
        <f t="shared" si="1230"/>
        <v>7.2902734377383816E-5</v>
      </c>
      <c r="P201" s="17"/>
      <c r="Q201" s="64" t="s">
        <v>50</v>
      </c>
      <c r="R201" s="38"/>
      <c r="S201" s="245"/>
      <c r="T201" s="245"/>
      <c r="U201" s="245">
        <f t="shared" si="1342"/>
        <v>0</v>
      </c>
      <c r="V201" s="245">
        <f t="shared" si="1343"/>
        <v>0</v>
      </c>
      <c r="W201" s="245">
        <f t="shared" si="1343"/>
        <v>0</v>
      </c>
      <c r="X201" s="40">
        <f t="shared" si="1343"/>
        <v>0</v>
      </c>
      <c r="Y201" s="246">
        <f t="shared" si="1264"/>
        <v>0</v>
      </c>
      <c r="Z201" s="245" t="e">
        <f t="shared" ref="Z201:AB204" si="1400">SUM(Z21,Z45,Z71,Z97,Z123,Z149,Z175)</f>
        <v>#DIV/0!</v>
      </c>
      <c r="AA201" s="245" t="e">
        <f t="shared" si="1400"/>
        <v>#DIV/0!</v>
      </c>
      <c r="AB201" s="245" t="e">
        <f t="shared" si="1400"/>
        <v>#DIV/0!</v>
      </c>
      <c r="AC201" s="178" t="e">
        <f t="shared" si="1265"/>
        <v>#DIV/0!</v>
      </c>
      <c r="AD201" s="17" t="e">
        <f t="shared" si="1233"/>
        <v>#DIV/0!</v>
      </c>
      <c r="AE201" s="176" t="e">
        <f t="shared" si="1234"/>
        <v>#DIV/0!</v>
      </c>
      <c r="AF201" s="64" t="s">
        <v>50</v>
      </c>
      <c r="AG201" s="38"/>
      <c r="AH201" s="245"/>
      <c r="AI201" s="245"/>
      <c r="AJ201" s="245">
        <f t="shared" ref="AJ201:AK206" si="1401">SUM(AJ19,AJ45,AJ71,AJ97,AJ123,AJ149,AJ175)</f>
        <v>0</v>
      </c>
      <c r="AK201" s="245">
        <f t="shared" si="1401"/>
        <v>0</v>
      </c>
      <c r="AL201" s="245">
        <f t="shared" ref="AL201:AM201" si="1402">SUM(AL19,AL45,AL71,AL97,AL123,AL149,AL175)</f>
        <v>0</v>
      </c>
      <c r="AM201" s="40">
        <f t="shared" si="1402"/>
        <v>0</v>
      </c>
      <c r="AN201" s="246"/>
      <c r="AO201" s="245">
        <f t="shared" ref="AO201:AQ201" si="1403">SUM(AO19,AO45,AO71,AO97,AO123,AO149,AO175)</f>
        <v>0</v>
      </c>
      <c r="AP201" s="245">
        <f t="shared" si="1403"/>
        <v>0</v>
      </c>
      <c r="AQ201" s="245">
        <f t="shared" si="1403"/>
        <v>0</v>
      </c>
      <c r="AR201" s="178">
        <f t="shared" si="1296"/>
        <v>0</v>
      </c>
      <c r="AS201" s="17">
        <f t="shared" si="1237"/>
        <v>0</v>
      </c>
      <c r="AU201" s="64" t="s">
        <v>50</v>
      </c>
      <c r="AV201" s="38">
        <f t="shared" ref="AV201:BG201" si="1404">IF(R207&gt;0,R201/R207,0)</f>
        <v>0</v>
      </c>
      <c r="AW201" s="245">
        <f t="shared" si="1404"/>
        <v>0</v>
      </c>
      <c r="AX201" s="245">
        <f t="shared" si="1404"/>
        <v>0</v>
      </c>
      <c r="AY201" s="245">
        <f t="shared" si="1404"/>
        <v>0</v>
      </c>
      <c r="AZ201" s="245">
        <f t="shared" si="1404"/>
        <v>0</v>
      </c>
      <c r="BA201" s="245">
        <f t="shared" si="1404"/>
        <v>0</v>
      </c>
      <c r="BB201" s="40">
        <f t="shared" si="1404"/>
        <v>0</v>
      </c>
      <c r="BC201" s="246">
        <f t="shared" si="1404"/>
        <v>0</v>
      </c>
      <c r="BD201" s="245" t="e">
        <f t="shared" si="1404"/>
        <v>#DIV/0!</v>
      </c>
      <c r="BE201" s="245" t="e">
        <f t="shared" si="1404"/>
        <v>#DIV/0!</v>
      </c>
      <c r="BF201" s="245" t="e">
        <f t="shared" si="1404"/>
        <v>#DIV/0!</v>
      </c>
      <c r="BG201" s="178" t="e">
        <f t="shared" si="1404"/>
        <v>#DIV/0!</v>
      </c>
      <c r="BH201" s="24" t="e">
        <f>AD201/AD207</f>
        <v>#DIV/0!</v>
      </c>
      <c r="BJ201" s="64" t="s">
        <v>50</v>
      </c>
      <c r="BK201" s="38">
        <f t="shared" ref="BK201:BV201" si="1405">IF(AG207&gt;0,AG201/AG207,0)</f>
        <v>0</v>
      </c>
      <c r="BL201" s="245">
        <f t="shared" si="1405"/>
        <v>0</v>
      </c>
      <c r="BM201" s="245">
        <f t="shared" si="1405"/>
        <v>0</v>
      </c>
      <c r="BN201" s="245">
        <f t="shared" si="1405"/>
        <v>0</v>
      </c>
      <c r="BO201" s="245">
        <f t="shared" si="1405"/>
        <v>0</v>
      </c>
      <c r="BP201" s="245">
        <f t="shared" si="1405"/>
        <v>0</v>
      </c>
      <c r="BQ201" s="40">
        <f t="shared" si="1405"/>
        <v>0</v>
      </c>
      <c r="BR201" s="246">
        <f t="shared" si="1405"/>
        <v>0</v>
      </c>
      <c r="BS201" s="245">
        <f t="shared" si="1405"/>
        <v>0</v>
      </c>
      <c r="BT201" s="245">
        <f t="shared" si="1405"/>
        <v>0</v>
      </c>
      <c r="BU201" s="245">
        <f t="shared" si="1405"/>
        <v>0</v>
      </c>
      <c r="BV201" s="178">
        <f t="shared" si="1405"/>
        <v>0</v>
      </c>
      <c r="BW201" s="24" t="e">
        <f>AS201/AS207</f>
        <v>#DIV/0!</v>
      </c>
      <c r="BX201" s="24"/>
      <c r="BY201" s="64" t="s">
        <v>50</v>
      </c>
      <c r="BZ201" s="54">
        <f t="shared" si="1269"/>
        <v>0</v>
      </c>
      <c r="CA201" s="55">
        <f t="shared" si="1240"/>
        <v>0</v>
      </c>
      <c r="CB201" s="55">
        <f t="shared" si="1241"/>
        <v>0</v>
      </c>
      <c r="CC201" s="55">
        <f t="shared" si="1242"/>
        <v>0</v>
      </c>
      <c r="CD201" s="55">
        <f t="shared" si="1243"/>
        <v>0</v>
      </c>
      <c r="CE201" s="55">
        <f t="shared" si="1244"/>
        <v>0</v>
      </c>
      <c r="CF201" s="60">
        <f t="shared" si="1245"/>
        <v>0</v>
      </c>
      <c r="CG201" s="249">
        <f t="shared" si="1246"/>
        <v>0</v>
      </c>
      <c r="CH201" s="55" t="e">
        <f t="shared" si="1247"/>
        <v>#DIV/0!</v>
      </c>
      <c r="CI201" s="55" t="e">
        <f t="shared" si="1248"/>
        <v>#DIV/0!</v>
      </c>
      <c r="CJ201" s="55" t="e">
        <f t="shared" si="1249"/>
        <v>#DIV/0!</v>
      </c>
      <c r="CK201" s="252" t="e">
        <f t="shared" si="1249"/>
        <v>#DIV/0!</v>
      </c>
      <c r="CL201" s="55" t="e">
        <f t="shared" si="1250"/>
        <v>#DIV/0!</v>
      </c>
      <c r="CN201" s="64" t="s">
        <v>50</v>
      </c>
      <c r="CO201" s="54">
        <f t="shared" si="1270"/>
        <v>0</v>
      </c>
      <c r="CP201" s="55">
        <f t="shared" si="1251"/>
        <v>0</v>
      </c>
      <c r="CQ201" s="55">
        <f t="shared" si="1252"/>
        <v>0</v>
      </c>
      <c r="CR201" s="55">
        <f t="shared" si="1253"/>
        <v>0</v>
      </c>
      <c r="CS201" s="55">
        <f t="shared" si="1254"/>
        <v>0</v>
      </c>
      <c r="CT201" s="55">
        <f t="shared" si="1255"/>
        <v>0</v>
      </c>
      <c r="CU201" s="60">
        <f t="shared" si="1256"/>
        <v>0</v>
      </c>
      <c r="CV201" s="249">
        <f t="shared" si="1257"/>
        <v>0</v>
      </c>
      <c r="CW201" s="55" t="e">
        <f t="shared" si="1258"/>
        <v>#DIV/0!</v>
      </c>
      <c r="CX201" s="55" t="e">
        <f t="shared" si="1259"/>
        <v>#DIV/0!</v>
      </c>
      <c r="CY201" s="55" t="e">
        <f t="shared" si="1260"/>
        <v>#DIV/0!</v>
      </c>
      <c r="CZ201" s="252" t="e">
        <f t="shared" si="1260"/>
        <v>#DIV/0!</v>
      </c>
      <c r="DA201" s="62" t="e">
        <f t="shared" si="1261"/>
        <v>#DIV/0!</v>
      </c>
      <c r="DC201" s="64" t="s">
        <v>50</v>
      </c>
      <c r="DD201" s="198">
        <f t="shared" si="1271"/>
        <v>0</v>
      </c>
      <c r="DE201" s="199">
        <f t="shared" si="1272"/>
        <v>0</v>
      </c>
      <c r="DF201" s="198">
        <f t="shared" si="1273"/>
        <v>0</v>
      </c>
      <c r="DG201" s="199">
        <f t="shared" si="1274"/>
        <v>0</v>
      </c>
      <c r="DH201" s="198">
        <f t="shared" si="1275"/>
        <v>0</v>
      </c>
      <c r="DI201" s="199">
        <f t="shared" si="1276"/>
        <v>0</v>
      </c>
      <c r="DJ201" s="198">
        <f t="shared" si="1277"/>
        <v>0</v>
      </c>
      <c r="DK201" s="199">
        <f t="shared" si="1278"/>
        <v>0</v>
      </c>
      <c r="DL201" s="198">
        <f t="shared" si="1279"/>
        <v>0</v>
      </c>
      <c r="DM201" s="199">
        <f t="shared" si="1280"/>
        <v>0</v>
      </c>
      <c r="DN201" s="198">
        <f t="shared" si="1281"/>
        <v>0</v>
      </c>
      <c r="DO201" s="199">
        <f t="shared" si="1282"/>
        <v>0</v>
      </c>
      <c r="DP201" s="198">
        <f t="shared" si="1283"/>
        <v>0</v>
      </c>
      <c r="DQ201" s="199">
        <f t="shared" si="1284"/>
        <v>0</v>
      </c>
      <c r="DR201" s="198">
        <f t="shared" si="1285"/>
        <v>0</v>
      </c>
      <c r="DS201" s="199">
        <f t="shared" si="1286"/>
        <v>0</v>
      </c>
      <c r="DT201" s="198" t="e">
        <f t="shared" si="1287"/>
        <v>#DIV/0!</v>
      </c>
      <c r="DU201" s="199">
        <f t="shared" si="1288"/>
        <v>0</v>
      </c>
      <c r="DV201" s="198" t="e">
        <f t="shared" si="1289"/>
        <v>#DIV/0!</v>
      </c>
      <c r="DW201" s="199">
        <f t="shared" si="1290"/>
        <v>0</v>
      </c>
      <c r="DX201" s="198" t="e">
        <f t="shared" si="1291"/>
        <v>#DIV/0!</v>
      </c>
      <c r="DY201" s="199">
        <f t="shared" si="1292"/>
        <v>0</v>
      </c>
      <c r="DZ201" s="190" t="e">
        <f t="shared" si="1293"/>
        <v>#DIV/0!</v>
      </c>
      <c r="EA201" s="199">
        <f t="shared" si="1262"/>
        <v>0</v>
      </c>
      <c r="EB201" s="190" t="e">
        <f t="shared" si="1294"/>
        <v>#DIV/0!</v>
      </c>
      <c r="EC201" s="190" t="e">
        <f t="shared" si="1295"/>
        <v>#DIV/0!</v>
      </c>
    </row>
    <row r="202" spans="1:133" x14ac:dyDescent="0.2">
      <c r="A202" s="64" t="s">
        <v>51</v>
      </c>
      <c r="B202" s="38">
        <f t="shared" ref="B202:H202" si="1406">SUM(B20,B46,B72,B98,B124,B150,B176)</f>
        <v>0</v>
      </c>
      <c r="C202" s="245">
        <f t="shared" si="1406"/>
        <v>0</v>
      </c>
      <c r="D202" s="245">
        <f t="shared" si="1406"/>
        <v>0</v>
      </c>
      <c r="E202" s="245">
        <f t="shared" si="1406"/>
        <v>0</v>
      </c>
      <c r="F202" s="245">
        <f t="shared" si="1406"/>
        <v>0</v>
      </c>
      <c r="G202" s="245">
        <f t="shared" si="1406"/>
        <v>0</v>
      </c>
      <c r="H202" s="40">
        <f t="shared" si="1406"/>
        <v>109440.83333931229</v>
      </c>
      <c r="I202" s="246">
        <f t="shared" si="1307"/>
        <v>109440.83333931229</v>
      </c>
      <c r="J202" s="245">
        <f t="shared" ref="J202:L202" si="1407">SUM(J20,J46,J72,J98,J124,J150,J176)</f>
        <v>0</v>
      </c>
      <c r="K202" s="245">
        <f t="shared" si="1407"/>
        <v>0</v>
      </c>
      <c r="L202" s="245">
        <f t="shared" si="1407"/>
        <v>0</v>
      </c>
      <c r="M202" s="178">
        <f t="shared" si="1263"/>
        <v>0</v>
      </c>
      <c r="N202" s="17">
        <f t="shared" si="1229"/>
        <v>109440.83333931229</v>
      </c>
      <c r="O202" s="174">
        <f t="shared" si="1230"/>
        <v>4.3220197764333515E-3</v>
      </c>
      <c r="P202" s="17"/>
      <c r="Q202" s="64" t="s">
        <v>51</v>
      </c>
      <c r="R202" s="38"/>
      <c r="S202" s="245"/>
      <c r="T202" s="245"/>
      <c r="U202" s="245">
        <f t="shared" si="1342"/>
        <v>0</v>
      </c>
      <c r="V202" s="245">
        <f t="shared" si="1343"/>
        <v>0</v>
      </c>
      <c r="W202" s="245">
        <f t="shared" si="1343"/>
        <v>0</v>
      </c>
      <c r="X202" s="40">
        <f t="shared" si="1343"/>
        <v>0</v>
      </c>
      <c r="Y202" s="246">
        <f t="shared" si="1264"/>
        <v>0</v>
      </c>
      <c r="Z202" s="245" t="e">
        <f t="shared" si="1400"/>
        <v>#DIV/0!</v>
      </c>
      <c r="AA202" s="245" t="e">
        <f t="shared" si="1400"/>
        <v>#DIV/0!</v>
      </c>
      <c r="AB202" s="245" t="e">
        <f t="shared" si="1400"/>
        <v>#DIV/0!</v>
      </c>
      <c r="AC202" s="178" t="e">
        <f t="shared" si="1265"/>
        <v>#DIV/0!</v>
      </c>
      <c r="AD202" s="17" t="e">
        <f t="shared" si="1233"/>
        <v>#DIV/0!</v>
      </c>
      <c r="AE202" s="176" t="e">
        <f t="shared" si="1234"/>
        <v>#DIV/0!</v>
      </c>
      <c r="AF202" s="64" t="s">
        <v>51</v>
      </c>
      <c r="AG202" s="38"/>
      <c r="AH202" s="245"/>
      <c r="AI202" s="245"/>
      <c r="AJ202" s="245">
        <f t="shared" si="1401"/>
        <v>0</v>
      </c>
      <c r="AK202" s="245">
        <f t="shared" si="1401"/>
        <v>0</v>
      </c>
      <c r="AL202" s="245">
        <f t="shared" ref="AL202:AM202" si="1408">SUM(AL20,AL46,AL72,AL98,AL124,AL150,AL176)</f>
        <v>0</v>
      </c>
      <c r="AM202" s="40">
        <f t="shared" si="1408"/>
        <v>0</v>
      </c>
      <c r="AN202" s="246"/>
      <c r="AO202" s="245">
        <f t="shared" ref="AO202:AQ202" si="1409">SUM(AO20,AO46,AO72,AO98,AO124,AO150,AO176)</f>
        <v>0</v>
      </c>
      <c r="AP202" s="245">
        <f t="shared" si="1409"/>
        <v>0</v>
      </c>
      <c r="AQ202" s="245">
        <f t="shared" si="1409"/>
        <v>0</v>
      </c>
      <c r="AR202" s="178">
        <f t="shared" si="1296"/>
        <v>0</v>
      </c>
      <c r="AS202" s="17">
        <f t="shared" si="1237"/>
        <v>0</v>
      </c>
      <c r="AU202" s="64" t="s">
        <v>51</v>
      </c>
      <c r="AV202" s="38">
        <f t="shared" ref="AV202:BG202" si="1410">IF(R207&gt;0,R202/R207,0)</f>
        <v>0</v>
      </c>
      <c r="AW202" s="245">
        <f t="shared" si="1410"/>
        <v>0</v>
      </c>
      <c r="AX202" s="245">
        <f t="shared" si="1410"/>
        <v>0</v>
      </c>
      <c r="AY202" s="245">
        <f t="shared" si="1410"/>
        <v>0</v>
      </c>
      <c r="AZ202" s="245">
        <f t="shared" si="1410"/>
        <v>0</v>
      </c>
      <c r="BA202" s="245">
        <f t="shared" si="1410"/>
        <v>0</v>
      </c>
      <c r="BB202" s="40">
        <f t="shared" si="1410"/>
        <v>0</v>
      </c>
      <c r="BC202" s="246">
        <f t="shared" si="1410"/>
        <v>0</v>
      </c>
      <c r="BD202" s="245" t="e">
        <f t="shared" si="1410"/>
        <v>#DIV/0!</v>
      </c>
      <c r="BE202" s="245" t="e">
        <f t="shared" si="1410"/>
        <v>#DIV/0!</v>
      </c>
      <c r="BF202" s="245" t="e">
        <f t="shared" si="1410"/>
        <v>#DIV/0!</v>
      </c>
      <c r="BG202" s="178" t="e">
        <f t="shared" si="1410"/>
        <v>#DIV/0!</v>
      </c>
      <c r="BH202" s="24" t="e">
        <f>AD202/AD207</f>
        <v>#DIV/0!</v>
      </c>
      <c r="BJ202" s="64" t="s">
        <v>51</v>
      </c>
      <c r="BK202" s="38">
        <f t="shared" ref="BK202:BV202" si="1411">IF(AG207&gt;0,AG202/AG207,0)</f>
        <v>0</v>
      </c>
      <c r="BL202" s="245">
        <f t="shared" si="1411"/>
        <v>0</v>
      </c>
      <c r="BM202" s="245">
        <f t="shared" si="1411"/>
        <v>0</v>
      </c>
      <c r="BN202" s="245">
        <f t="shared" si="1411"/>
        <v>0</v>
      </c>
      <c r="BO202" s="245">
        <f t="shared" si="1411"/>
        <v>0</v>
      </c>
      <c r="BP202" s="245">
        <f t="shared" si="1411"/>
        <v>0</v>
      </c>
      <c r="BQ202" s="40">
        <f t="shared" si="1411"/>
        <v>0</v>
      </c>
      <c r="BR202" s="246">
        <f t="shared" si="1411"/>
        <v>0</v>
      </c>
      <c r="BS202" s="245">
        <f t="shared" si="1411"/>
        <v>0</v>
      </c>
      <c r="BT202" s="245">
        <f t="shared" si="1411"/>
        <v>0</v>
      </c>
      <c r="BU202" s="245">
        <f t="shared" si="1411"/>
        <v>0</v>
      </c>
      <c r="BV202" s="178">
        <f t="shared" si="1411"/>
        <v>0</v>
      </c>
      <c r="BW202" s="24" t="e">
        <f>AS202/AS207</f>
        <v>#DIV/0!</v>
      </c>
      <c r="BX202" s="24"/>
      <c r="BY202" s="64" t="s">
        <v>51</v>
      </c>
      <c r="BZ202" s="54">
        <f t="shared" si="1269"/>
        <v>0</v>
      </c>
      <c r="CA202" s="55">
        <f t="shared" si="1240"/>
        <v>0</v>
      </c>
      <c r="CB202" s="55">
        <f t="shared" si="1241"/>
        <v>0</v>
      </c>
      <c r="CC202" s="55">
        <f t="shared" si="1242"/>
        <v>0</v>
      </c>
      <c r="CD202" s="55">
        <f t="shared" si="1243"/>
        <v>0</v>
      </c>
      <c r="CE202" s="55">
        <f t="shared" si="1244"/>
        <v>0</v>
      </c>
      <c r="CF202" s="60">
        <f t="shared" si="1245"/>
        <v>0</v>
      </c>
      <c r="CG202" s="249">
        <f t="shared" si="1246"/>
        <v>0</v>
      </c>
      <c r="CH202" s="55" t="e">
        <f t="shared" si="1247"/>
        <v>#DIV/0!</v>
      </c>
      <c r="CI202" s="55" t="e">
        <f t="shared" si="1248"/>
        <v>#DIV/0!</v>
      </c>
      <c r="CJ202" s="55" t="e">
        <f t="shared" si="1249"/>
        <v>#DIV/0!</v>
      </c>
      <c r="CK202" s="252" t="e">
        <f t="shared" si="1249"/>
        <v>#DIV/0!</v>
      </c>
      <c r="CL202" s="55" t="e">
        <f t="shared" si="1250"/>
        <v>#DIV/0!</v>
      </c>
      <c r="CN202" s="64" t="s">
        <v>51</v>
      </c>
      <c r="CO202" s="54">
        <f t="shared" si="1270"/>
        <v>0</v>
      </c>
      <c r="CP202" s="55">
        <f t="shared" si="1251"/>
        <v>0</v>
      </c>
      <c r="CQ202" s="55">
        <f t="shared" si="1252"/>
        <v>0</v>
      </c>
      <c r="CR202" s="55">
        <f t="shared" si="1253"/>
        <v>0</v>
      </c>
      <c r="CS202" s="55">
        <f t="shared" si="1254"/>
        <v>0</v>
      </c>
      <c r="CT202" s="55">
        <f t="shared" si="1255"/>
        <v>0</v>
      </c>
      <c r="CU202" s="60">
        <f t="shared" si="1256"/>
        <v>0</v>
      </c>
      <c r="CV202" s="249">
        <f t="shared" si="1257"/>
        <v>0</v>
      </c>
      <c r="CW202" s="55" t="e">
        <f t="shared" si="1258"/>
        <v>#DIV/0!</v>
      </c>
      <c r="CX202" s="55" t="e">
        <f t="shared" si="1259"/>
        <v>#DIV/0!</v>
      </c>
      <c r="CY202" s="55" t="e">
        <f t="shared" si="1260"/>
        <v>#DIV/0!</v>
      </c>
      <c r="CZ202" s="252" t="e">
        <f t="shared" si="1260"/>
        <v>#DIV/0!</v>
      </c>
      <c r="DA202" s="62" t="e">
        <f t="shared" si="1261"/>
        <v>#DIV/0!</v>
      </c>
      <c r="DC202" s="64" t="s">
        <v>51</v>
      </c>
      <c r="DD202" s="198">
        <f t="shared" si="1271"/>
        <v>0</v>
      </c>
      <c r="DE202" s="199">
        <f t="shared" si="1272"/>
        <v>0</v>
      </c>
      <c r="DF202" s="198">
        <f t="shared" si="1273"/>
        <v>0</v>
      </c>
      <c r="DG202" s="199">
        <f t="shared" si="1274"/>
        <v>0</v>
      </c>
      <c r="DH202" s="198">
        <f t="shared" si="1275"/>
        <v>0</v>
      </c>
      <c r="DI202" s="199">
        <f t="shared" si="1276"/>
        <v>0</v>
      </c>
      <c r="DJ202" s="198">
        <f t="shared" si="1277"/>
        <v>0</v>
      </c>
      <c r="DK202" s="199">
        <f t="shared" si="1278"/>
        <v>0</v>
      </c>
      <c r="DL202" s="198">
        <f t="shared" si="1279"/>
        <v>0</v>
      </c>
      <c r="DM202" s="199">
        <f t="shared" si="1280"/>
        <v>0</v>
      </c>
      <c r="DN202" s="198">
        <f t="shared" si="1281"/>
        <v>0</v>
      </c>
      <c r="DO202" s="199">
        <f t="shared" si="1282"/>
        <v>0</v>
      </c>
      <c r="DP202" s="198">
        <f t="shared" si="1283"/>
        <v>0</v>
      </c>
      <c r="DQ202" s="199">
        <f t="shared" si="1284"/>
        <v>0</v>
      </c>
      <c r="DR202" s="198">
        <f t="shared" si="1285"/>
        <v>0</v>
      </c>
      <c r="DS202" s="199">
        <f t="shared" si="1286"/>
        <v>0</v>
      </c>
      <c r="DT202" s="198" t="e">
        <f t="shared" si="1287"/>
        <v>#DIV/0!</v>
      </c>
      <c r="DU202" s="199">
        <f t="shared" si="1288"/>
        <v>0</v>
      </c>
      <c r="DV202" s="198" t="e">
        <f t="shared" si="1289"/>
        <v>#DIV/0!</v>
      </c>
      <c r="DW202" s="199">
        <f t="shared" si="1290"/>
        <v>0</v>
      </c>
      <c r="DX202" s="198" t="e">
        <f t="shared" si="1291"/>
        <v>#DIV/0!</v>
      </c>
      <c r="DY202" s="199">
        <f t="shared" si="1292"/>
        <v>0</v>
      </c>
      <c r="DZ202" s="190" t="e">
        <f t="shared" si="1293"/>
        <v>#DIV/0!</v>
      </c>
      <c r="EA202" s="199">
        <f t="shared" si="1262"/>
        <v>0</v>
      </c>
      <c r="EB202" s="190" t="e">
        <f t="shared" si="1294"/>
        <v>#DIV/0!</v>
      </c>
      <c r="EC202" s="190" t="e">
        <f t="shared" si="1295"/>
        <v>#DIV/0!</v>
      </c>
    </row>
    <row r="203" spans="1:133" x14ac:dyDescent="0.2">
      <c r="A203" s="64" t="s">
        <v>52</v>
      </c>
      <c r="B203" s="38">
        <f t="shared" ref="B203:H203" si="1412">SUM(B21,B47,B73,B99,B125,B151,B177)</f>
        <v>0</v>
      </c>
      <c r="C203" s="245">
        <f t="shared" si="1412"/>
        <v>0</v>
      </c>
      <c r="D203" s="245">
        <f t="shared" si="1412"/>
        <v>0</v>
      </c>
      <c r="E203" s="245">
        <f t="shared" si="1412"/>
        <v>0</v>
      </c>
      <c r="F203" s="245">
        <f t="shared" si="1412"/>
        <v>0</v>
      </c>
      <c r="G203" s="245">
        <f t="shared" si="1412"/>
        <v>0</v>
      </c>
      <c r="H203" s="41">
        <f t="shared" si="1412"/>
        <v>30631.896322671262</v>
      </c>
      <c r="I203" s="246">
        <f t="shared" si="1307"/>
        <v>30631.896322671262</v>
      </c>
      <c r="J203" s="245">
        <f t="shared" ref="J203:L203" si="1413">SUM(J21,J47,J73,J99,J125,J151,J177)</f>
        <v>0</v>
      </c>
      <c r="K203" s="245">
        <f t="shared" si="1413"/>
        <v>0</v>
      </c>
      <c r="L203" s="245">
        <f t="shared" si="1413"/>
        <v>0</v>
      </c>
      <c r="M203" s="178">
        <f t="shared" si="1263"/>
        <v>0</v>
      </c>
      <c r="N203" s="17">
        <f t="shared" si="1229"/>
        <v>30631.896322671262</v>
      </c>
      <c r="O203" s="174">
        <f t="shared" si="1230"/>
        <v>1.2097099195669666E-3</v>
      </c>
      <c r="P203" s="17"/>
      <c r="Q203" s="64" t="s">
        <v>52</v>
      </c>
      <c r="R203" s="38"/>
      <c r="S203" s="245"/>
      <c r="T203" s="245"/>
      <c r="U203" s="245">
        <f t="shared" si="1342"/>
        <v>0</v>
      </c>
      <c r="V203" s="245">
        <f t="shared" si="1343"/>
        <v>0</v>
      </c>
      <c r="W203" s="245">
        <f t="shared" si="1343"/>
        <v>0</v>
      </c>
      <c r="X203" s="41">
        <f t="shared" si="1343"/>
        <v>0</v>
      </c>
      <c r="Y203" s="246">
        <f t="shared" si="1264"/>
        <v>0</v>
      </c>
      <c r="Z203" s="245" t="e">
        <f t="shared" si="1400"/>
        <v>#DIV/0!</v>
      </c>
      <c r="AA203" s="245" t="e">
        <f t="shared" si="1400"/>
        <v>#DIV/0!</v>
      </c>
      <c r="AB203" s="245" t="e">
        <f t="shared" si="1400"/>
        <v>#DIV/0!</v>
      </c>
      <c r="AC203" s="178" t="e">
        <f t="shared" si="1265"/>
        <v>#DIV/0!</v>
      </c>
      <c r="AD203" s="17" t="e">
        <f t="shared" si="1233"/>
        <v>#DIV/0!</v>
      </c>
      <c r="AE203" s="176" t="e">
        <f t="shared" si="1234"/>
        <v>#DIV/0!</v>
      </c>
      <c r="AF203" s="64" t="s">
        <v>52</v>
      </c>
      <c r="AG203" s="38"/>
      <c r="AH203" s="245"/>
      <c r="AI203" s="245"/>
      <c r="AJ203" s="245">
        <f t="shared" si="1401"/>
        <v>0</v>
      </c>
      <c r="AK203" s="245">
        <f t="shared" si="1401"/>
        <v>0</v>
      </c>
      <c r="AL203" s="245">
        <f t="shared" ref="AL203:AM203" si="1414">SUM(AL21,AL47,AL73,AL99,AL125,AL151,AL177)</f>
        <v>0</v>
      </c>
      <c r="AM203" s="41">
        <f t="shared" si="1414"/>
        <v>0</v>
      </c>
      <c r="AN203" s="246"/>
      <c r="AO203" s="245">
        <f t="shared" ref="AO203:AQ203" si="1415">SUM(AO21,AO47,AO73,AO99,AO125,AO151,AO177)</f>
        <v>0</v>
      </c>
      <c r="AP203" s="245">
        <f t="shared" si="1415"/>
        <v>0</v>
      </c>
      <c r="AQ203" s="245">
        <f t="shared" si="1415"/>
        <v>0</v>
      </c>
      <c r="AR203" s="178">
        <f t="shared" si="1296"/>
        <v>0</v>
      </c>
      <c r="AS203" s="17">
        <f t="shared" si="1237"/>
        <v>0</v>
      </c>
      <c r="AU203" s="64" t="s">
        <v>52</v>
      </c>
      <c r="AV203" s="38">
        <f t="shared" ref="AV203:BG203" si="1416">IF(R207&gt;0,R203/R207,0)</f>
        <v>0</v>
      </c>
      <c r="AW203" s="245">
        <f t="shared" si="1416"/>
        <v>0</v>
      </c>
      <c r="AX203" s="245">
        <f t="shared" si="1416"/>
        <v>0</v>
      </c>
      <c r="AY203" s="245">
        <f t="shared" si="1416"/>
        <v>0</v>
      </c>
      <c r="AZ203" s="245">
        <f t="shared" si="1416"/>
        <v>0</v>
      </c>
      <c r="BA203" s="245">
        <f t="shared" si="1416"/>
        <v>0</v>
      </c>
      <c r="BB203" s="41">
        <f t="shared" si="1416"/>
        <v>0</v>
      </c>
      <c r="BC203" s="246">
        <f t="shared" si="1416"/>
        <v>0</v>
      </c>
      <c r="BD203" s="245" t="e">
        <f t="shared" si="1416"/>
        <v>#DIV/0!</v>
      </c>
      <c r="BE203" s="245" t="e">
        <f t="shared" si="1416"/>
        <v>#DIV/0!</v>
      </c>
      <c r="BF203" s="245" t="e">
        <f t="shared" si="1416"/>
        <v>#DIV/0!</v>
      </c>
      <c r="BG203" s="178" t="e">
        <f t="shared" si="1416"/>
        <v>#DIV/0!</v>
      </c>
      <c r="BH203" s="24" t="e">
        <f>AD203/AD207</f>
        <v>#DIV/0!</v>
      </c>
      <c r="BJ203" s="64" t="s">
        <v>52</v>
      </c>
      <c r="BK203" s="38">
        <f t="shared" ref="BK203:BV203" si="1417">IF(AG207&gt;0,AG203/AG207,0)</f>
        <v>0</v>
      </c>
      <c r="BL203" s="245">
        <f t="shared" si="1417"/>
        <v>0</v>
      </c>
      <c r="BM203" s="245">
        <f t="shared" si="1417"/>
        <v>0</v>
      </c>
      <c r="BN203" s="245">
        <f t="shared" si="1417"/>
        <v>0</v>
      </c>
      <c r="BO203" s="245">
        <f t="shared" si="1417"/>
        <v>0</v>
      </c>
      <c r="BP203" s="245">
        <f t="shared" si="1417"/>
        <v>0</v>
      </c>
      <c r="BQ203" s="41">
        <f t="shared" si="1417"/>
        <v>0</v>
      </c>
      <c r="BR203" s="246">
        <f t="shared" si="1417"/>
        <v>0</v>
      </c>
      <c r="BS203" s="245">
        <f t="shared" si="1417"/>
        <v>0</v>
      </c>
      <c r="BT203" s="245">
        <f t="shared" si="1417"/>
        <v>0</v>
      </c>
      <c r="BU203" s="245">
        <f t="shared" si="1417"/>
        <v>0</v>
      </c>
      <c r="BV203" s="178">
        <f t="shared" si="1417"/>
        <v>0</v>
      </c>
      <c r="BW203" s="24" t="e">
        <f>AS203/AS207</f>
        <v>#DIV/0!</v>
      </c>
      <c r="BX203" s="24"/>
      <c r="BY203" s="64" t="s">
        <v>52</v>
      </c>
      <c r="BZ203" s="54">
        <f t="shared" si="1269"/>
        <v>0</v>
      </c>
      <c r="CA203" s="55">
        <f t="shared" si="1240"/>
        <v>0</v>
      </c>
      <c r="CB203" s="55">
        <f t="shared" si="1241"/>
        <v>0</v>
      </c>
      <c r="CC203" s="55">
        <f t="shared" si="1242"/>
        <v>0</v>
      </c>
      <c r="CD203" s="55">
        <f t="shared" si="1243"/>
        <v>0</v>
      </c>
      <c r="CE203" s="55">
        <f t="shared" si="1244"/>
        <v>0</v>
      </c>
      <c r="CF203" s="61">
        <f t="shared" si="1245"/>
        <v>0</v>
      </c>
      <c r="CG203" s="249">
        <f>AN203-Y203</f>
        <v>0</v>
      </c>
      <c r="CH203" s="55" t="e">
        <f t="shared" si="1247"/>
        <v>#DIV/0!</v>
      </c>
      <c r="CI203" s="55" t="e">
        <f t="shared" si="1248"/>
        <v>#DIV/0!</v>
      </c>
      <c r="CJ203" s="55" t="e">
        <f t="shared" si="1249"/>
        <v>#DIV/0!</v>
      </c>
      <c r="CK203" s="252" t="e">
        <f t="shared" si="1249"/>
        <v>#DIV/0!</v>
      </c>
      <c r="CL203" s="55" t="e">
        <f t="shared" si="1250"/>
        <v>#DIV/0!</v>
      </c>
      <c r="CN203" s="64" t="s">
        <v>52</v>
      </c>
      <c r="CO203" s="54">
        <f t="shared" si="1270"/>
        <v>0</v>
      </c>
      <c r="CP203" s="55">
        <f t="shared" si="1251"/>
        <v>0</v>
      </c>
      <c r="CQ203" s="55">
        <f t="shared" si="1252"/>
        <v>0</v>
      </c>
      <c r="CR203" s="55">
        <f t="shared" si="1253"/>
        <v>0</v>
      </c>
      <c r="CS203" s="55">
        <f t="shared" si="1254"/>
        <v>0</v>
      </c>
      <c r="CT203" s="55">
        <f t="shared" si="1255"/>
        <v>0</v>
      </c>
      <c r="CU203" s="61">
        <f t="shared" si="1256"/>
        <v>0</v>
      </c>
      <c r="CV203" s="249">
        <f t="shared" si="1257"/>
        <v>0</v>
      </c>
      <c r="CW203" s="55" t="e">
        <f t="shared" si="1258"/>
        <v>#DIV/0!</v>
      </c>
      <c r="CX203" s="55" t="e">
        <f t="shared" si="1259"/>
        <v>#DIV/0!</v>
      </c>
      <c r="CY203" s="55" t="e">
        <f t="shared" si="1260"/>
        <v>#DIV/0!</v>
      </c>
      <c r="CZ203" s="252" t="e">
        <f t="shared" si="1260"/>
        <v>#DIV/0!</v>
      </c>
      <c r="DA203" s="62" t="e">
        <f t="shared" si="1261"/>
        <v>#DIV/0!</v>
      </c>
      <c r="DC203" s="64" t="s">
        <v>52</v>
      </c>
      <c r="DD203" s="198">
        <f t="shared" si="1271"/>
        <v>0</v>
      </c>
      <c r="DE203" s="199">
        <f t="shared" si="1272"/>
        <v>0</v>
      </c>
      <c r="DF203" s="198">
        <f t="shared" si="1273"/>
        <v>0</v>
      </c>
      <c r="DG203" s="199">
        <f t="shared" si="1274"/>
        <v>0</v>
      </c>
      <c r="DH203" s="198">
        <f t="shared" si="1275"/>
        <v>0</v>
      </c>
      <c r="DI203" s="199">
        <f t="shared" si="1276"/>
        <v>0</v>
      </c>
      <c r="DJ203" s="198">
        <f t="shared" si="1277"/>
        <v>0</v>
      </c>
      <c r="DK203" s="199">
        <f t="shared" si="1278"/>
        <v>0</v>
      </c>
      <c r="DL203" s="198">
        <f t="shared" si="1279"/>
        <v>0</v>
      </c>
      <c r="DM203" s="199">
        <f t="shared" si="1280"/>
        <v>0</v>
      </c>
      <c r="DN203" s="198">
        <f t="shared" si="1281"/>
        <v>0</v>
      </c>
      <c r="DO203" s="199">
        <f t="shared" si="1282"/>
        <v>0</v>
      </c>
      <c r="DP203" s="200">
        <f t="shared" si="1283"/>
        <v>0</v>
      </c>
      <c r="DQ203" s="201">
        <f t="shared" si="1284"/>
        <v>0</v>
      </c>
      <c r="DR203" s="198">
        <f t="shared" si="1285"/>
        <v>0</v>
      </c>
      <c r="DS203" s="199">
        <f t="shared" si="1286"/>
        <v>0</v>
      </c>
      <c r="DT203" s="198" t="e">
        <f t="shared" si="1287"/>
        <v>#DIV/0!</v>
      </c>
      <c r="DU203" s="199">
        <f t="shared" si="1288"/>
        <v>0</v>
      </c>
      <c r="DV203" s="198" t="e">
        <f t="shared" si="1289"/>
        <v>#DIV/0!</v>
      </c>
      <c r="DW203" s="199">
        <f t="shared" si="1290"/>
        <v>0</v>
      </c>
      <c r="DX203" s="198" t="e">
        <f t="shared" si="1291"/>
        <v>#DIV/0!</v>
      </c>
      <c r="DY203" s="199">
        <f t="shared" si="1292"/>
        <v>0</v>
      </c>
      <c r="DZ203" s="190" t="e">
        <f t="shared" si="1293"/>
        <v>#DIV/0!</v>
      </c>
      <c r="EA203" s="199">
        <f t="shared" si="1262"/>
        <v>0</v>
      </c>
      <c r="EB203" s="190" t="e">
        <f t="shared" si="1294"/>
        <v>#DIV/0!</v>
      </c>
      <c r="EC203" s="190" t="e">
        <f t="shared" si="1295"/>
        <v>#DIV/0!</v>
      </c>
    </row>
    <row r="204" spans="1:133" x14ac:dyDescent="0.2">
      <c r="A204" s="2" t="s">
        <v>6</v>
      </c>
      <c r="B204" s="38">
        <f t="shared" ref="B204:H204" si="1418">SUM(B22,B48,B74,B100,B126,B152,B178)</f>
        <v>0</v>
      </c>
      <c r="C204" s="245">
        <f t="shared" si="1418"/>
        <v>0</v>
      </c>
      <c r="D204" s="245">
        <f t="shared" si="1418"/>
        <v>0</v>
      </c>
      <c r="E204" s="245">
        <f t="shared" si="1418"/>
        <v>0</v>
      </c>
      <c r="F204" s="245">
        <f t="shared" si="1418"/>
        <v>0</v>
      </c>
      <c r="G204" s="245">
        <f t="shared" si="1418"/>
        <v>330.54329177102028</v>
      </c>
      <c r="H204" s="245">
        <f t="shared" si="1418"/>
        <v>0</v>
      </c>
      <c r="I204" s="246">
        <f t="shared" si="1307"/>
        <v>330.54329177102028</v>
      </c>
      <c r="J204" s="245">
        <f t="shared" ref="J204:L204" si="1419">SUM(J22,J48,J74,J100,J126,J152,J178)</f>
        <v>7183.9747956927558</v>
      </c>
      <c r="K204" s="245">
        <f t="shared" si="1419"/>
        <v>4026.4544235307822</v>
      </c>
      <c r="L204" s="245">
        <f t="shared" si="1419"/>
        <v>0</v>
      </c>
      <c r="M204" s="178">
        <f t="shared" si="1263"/>
        <v>11210.429219223537</v>
      </c>
      <c r="N204" s="17">
        <f>SUM(B204:L204)-I204</f>
        <v>11540.972510994558</v>
      </c>
      <c r="O204" s="174">
        <f t="shared" si="1230"/>
        <v>4.5577422895842139E-4</v>
      </c>
      <c r="P204" s="17"/>
      <c r="Q204" s="2" t="s">
        <v>6</v>
      </c>
      <c r="R204" s="38"/>
      <c r="S204" s="245"/>
      <c r="T204" s="245"/>
      <c r="U204" s="245">
        <f t="shared" si="1342"/>
        <v>0</v>
      </c>
      <c r="V204" s="245">
        <f t="shared" si="1343"/>
        <v>0</v>
      </c>
      <c r="W204" s="245">
        <f t="shared" si="1343"/>
        <v>0</v>
      </c>
      <c r="X204" s="37">
        <f t="shared" si="1343"/>
        <v>0</v>
      </c>
      <c r="Y204" s="246">
        <f t="shared" si="1264"/>
        <v>0</v>
      </c>
      <c r="Z204" s="245" t="e">
        <f t="shared" si="1400"/>
        <v>#DIV/0!</v>
      </c>
      <c r="AA204" s="245" t="e">
        <f t="shared" si="1400"/>
        <v>#DIV/0!</v>
      </c>
      <c r="AB204" s="245" t="e">
        <f t="shared" si="1400"/>
        <v>#DIV/0!</v>
      </c>
      <c r="AC204" s="178" t="e">
        <f t="shared" si="1265"/>
        <v>#DIV/0!</v>
      </c>
      <c r="AD204" s="17" t="e">
        <f t="shared" si="1233"/>
        <v>#DIV/0!</v>
      </c>
      <c r="AE204" s="176" t="e">
        <f t="shared" si="1234"/>
        <v>#DIV/0!</v>
      </c>
      <c r="AF204" s="2" t="s">
        <v>6</v>
      </c>
      <c r="AG204" s="38"/>
      <c r="AH204" s="245"/>
      <c r="AI204" s="245"/>
      <c r="AJ204" s="245">
        <f t="shared" si="1401"/>
        <v>0</v>
      </c>
      <c r="AK204" s="245">
        <f t="shared" si="1401"/>
        <v>0</v>
      </c>
      <c r="AL204" s="245">
        <f t="shared" ref="AL204:AM204" si="1420">SUM(AL22,AL48,AL74,AL100,AL126,AL152,AL178)</f>
        <v>0</v>
      </c>
      <c r="AM204" s="245">
        <f t="shared" si="1420"/>
        <v>0</v>
      </c>
      <c r="AN204" s="246"/>
      <c r="AO204" s="245">
        <f t="shared" ref="AO204:AQ204" si="1421">SUM(AO22,AO48,AO74,AO100,AO126,AO152,AO178)</f>
        <v>0</v>
      </c>
      <c r="AP204" s="245">
        <f t="shared" si="1421"/>
        <v>0</v>
      </c>
      <c r="AQ204" s="245">
        <f t="shared" si="1421"/>
        <v>0</v>
      </c>
      <c r="AR204" s="178">
        <f t="shared" ref="AR204:AR206" si="1422">SUM(AO204:AQ204)</f>
        <v>0</v>
      </c>
      <c r="AS204" s="17">
        <f t="shared" si="1237"/>
        <v>0</v>
      </c>
      <c r="AU204" s="2" t="s">
        <v>6</v>
      </c>
      <c r="AV204" s="38">
        <f>IF(R207&gt;0,R204/R207,0)</f>
        <v>0</v>
      </c>
      <c r="AW204" s="245">
        <f>IF(C207&gt;0,C204/C207,0)</f>
        <v>0</v>
      </c>
      <c r="AX204" s="245">
        <f>IF(D207&gt;0,D204/D207,0)</f>
        <v>0</v>
      </c>
      <c r="AY204" s="245">
        <f t="shared" ref="AY204:BG204" si="1423">IF(U207&gt;0,U204/U207,0)</f>
        <v>0</v>
      </c>
      <c r="AZ204" s="245">
        <f t="shared" si="1423"/>
        <v>0</v>
      </c>
      <c r="BA204" s="245">
        <f t="shared" si="1423"/>
        <v>0</v>
      </c>
      <c r="BB204" s="245">
        <f t="shared" si="1423"/>
        <v>0</v>
      </c>
      <c r="BC204" s="246">
        <f t="shared" si="1423"/>
        <v>0</v>
      </c>
      <c r="BD204" s="245" t="e">
        <f t="shared" si="1423"/>
        <v>#DIV/0!</v>
      </c>
      <c r="BE204" s="245" t="e">
        <f t="shared" si="1423"/>
        <v>#DIV/0!</v>
      </c>
      <c r="BF204" s="245" t="e">
        <f t="shared" si="1423"/>
        <v>#DIV/0!</v>
      </c>
      <c r="BG204" s="178" t="e">
        <f t="shared" si="1423"/>
        <v>#DIV/0!</v>
      </c>
      <c r="BH204" s="24" t="e">
        <f>AD204/AD207</f>
        <v>#DIV/0!</v>
      </c>
      <c r="BJ204" s="2" t="s">
        <v>6</v>
      </c>
      <c r="BK204" s="38">
        <f t="shared" ref="BK204:BV204" si="1424">IF(AG207&gt;0,AG204/AG207,0)</f>
        <v>0</v>
      </c>
      <c r="BL204" s="245">
        <f t="shared" si="1424"/>
        <v>0</v>
      </c>
      <c r="BM204" s="245">
        <f t="shared" si="1424"/>
        <v>0</v>
      </c>
      <c r="BN204" s="245">
        <f t="shared" si="1424"/>
        <v>0</v>
      </c>
      <c r="BO204" s="245">
        <f t="shared" si="1424"/>
        <v>0</v>
      </c>
      <c r="BP204" s="245">
        <f t="shared" si="1424"/>
        <v>0</v>
      </c>
      <c r="BQ204" s="245">
        <f t="shared" si="1424"/>
        <v>0</v>
      </c>
      <c r="BR204" s="246">
        <f t="shared" si="1424"/>
        <v>0</v>
      </c>
      <c r="BS204" s="245">
        <f t="shared" si="1424"/>
        <v>0</v>
      </c>
      <c r="BT204" s="245">
        <f t="shared" si="1424"/>
        <v>0</v>
      </c>
      <c r="BU204" s="245">
        <f t="shared" si="1424"/>
        <v>0</v>
      </c>
      <c r="BV204" s="178">
        <f t="shared" si="1424"/>
        <v>0</v>
      </c>
      <c r="BW204" s="24" t="e">
        <f>AS204/AS207</f>
        <v>#DIV/0!</v>
      </c>
      <c r="BX204" s="24"/>
      <c r="BY204" s="2" t="s">
        <v>6</v>
      </c>
      <c r="BZ204" s="54">
        <f t="shared" si="1269"/>
        <v>0</v>
      </c>
      <c r="CA204" s="55">
        <f t="shared" si="1240"/>
        <v>0</v>
      </c>
      <c r="CB204" s="55">
        <f t="shared" si="1241"/>
        <v>0</v>
      </c>
      <c r="CC204" s="55">
        <f t="shared" si="1242"/>
        <v>0</v>
      </c>
      <c r="CD204" s="55">
        <f t="shared" si="1243"/>
        <v>0</v>
      </c>
      <c r="CE204" s="55">
        <f t="shared" si="1244"/>
        <v>0</v>
      </c>
      <c r="CF204" s="55">
        <f t="shared" si="1245"/>
        <v>0</v>
      </c>
      <c r="CG204" s="249">
        <f>AN204-Y204</f>
        <v>0</v>
      </c>
      <c r="CH204" s="55" t="e">
        <f t="shared" si="1247"/>
        <v>#DIV/0!</v>
      </c>
      <c r="CI204" s="55" t="e">
        <f t="shared" si="1248"/>
        <v>#DIV/0!</v>
      </c>
      <c r="CJ204" s="55" t="e">
        <f t="shared" si="1249"/>
        <v>#DIV/0!</v>
      </c>
      <c r="CK204" s="252" t="e">
        <f t="shared" si="1249"/>
        <v>#DIV/0!</v>
      </c>
      <c r="CL204" s="55" t="e">
        <f t="shared" si="1250"/>
        <v>#DIV/0!</v>
      </c>
      <c r="CN204" s="2" t="s">
        <v>6</v>
      </c>
      <c r="CO204" s="54">
        <f t="shared" si="1270"/>
        <v>0</v>
      </c>
      <c r="CP204" s="55">
        <f t="shared" si="1251"/>
        <v>0</v>
      </c>
      <c r="CQ204" s="55">
        <f t="shared" si="1252"/>
        <v>0</v>
      </c>
      <c r="CR204" s="55">
        <f t="shared" si="1253"/>
        <v>0</v>
      </c>
      <c r="CS204" s="55">
        <f t="shared" si="1254"/>
        <v>0</v>
      </c>
      <c r="CT204" s="55">
        <f t="shared" si="1255"/>
        <v>0</v>
      </c>
      <c r="CU204" s="55">
        <f t="shared" si="1256"/>
        <v>0</v>
      </c>
      <c r="CV204" s="249">
        <f t="shared" si="1257"/>
        <v>0</v>
      </c>
      <c r="CW204" s="55" t="e">
        <f t="shared" si="1258"/>
        <v>#DIV/0!</v>
      </c>
      <c r="CX204" s="55" t="e">
        <f t="shared" si="1259"/>
        <v>#DIV/0!</v>
      </c>
      <c r="CY204" s="55" t="e">
        <f t="shared" si="1260"/>
        <v>#DIV/0!</v>
      </c>
      <c r="CZ204" s="252" t="e">
        <f t="shared" si="1260"/>
        <v>#DIV/0!</v>
      </c>
      <c r="DA204" s="62" t="e">
        <f t="shared" si="1261"/>
        <v>#DIV/0!</v>
      </c>
      <c r="DC204" s="2" t="s">
        <v>6</v>
      </c>
      <c r="DD204" s="198">
        <f t="shared" si="1271"/>
        <v>0</v>
      </c>
      <c r="DE204" s="199">
        <f t="shared" si="1272"/>
        <v>0</v>
      </c>
      <c r="DF204" s="198">
        <f t="shared" si="1273"/>
        <v>0</v>
      </c>
      <c r="DG204" s="199">
        <f t="shared" si="1274"/>
        <v>0</v>
      </c>
      <c r="DH204" s="198">
        <f t="shared" si="1275"/>
        <v>0</v>
      </c>
      <c r="DI204" s="199">
        <f t="shared" si="1276"/>
        <v>0</v>
      </c>
      <c r="DJ204" s="198">
        <f t="shared" si="1277"/>
        <v>0</v>
      </c>
      <c r="DK204" s="199">
        <f t="shared" si="1278"/>
        <v>0</v>
      </c>
      <c r="DL204" s="198">
        <f t="shared" si="1279"/>
        <v>0</v>
      </c>
      <c r="DM204" s="199">
        <f t="shared" si="1280"/>
        <v>0</v>
      </c>
      <c r="DN204" s="198">
        <f t="shared" si="1281"/>
        <v>0</v>
      </c>
      <c r="DO204" s="199">
        <f t="shared" si="1282"/>
        <v>0</v>
      </c>
      <c r="DP204" s="198">
        <f t="shared" si="1283"/>
        <v>0</v>
      </c>
      <c r="DQ204" s="199">
        <f t="shared" si="1284"/>
        <v>0</v>
      </c>
      <c r="DR204" s="198">
        <f t="shared" si="1285"/>
        <v>0</v>
      </c>
      <c r="DS204" s="199">
        <f t="shared" si="1286"/>
        <v>0</v>
      </c>
      <c r="DT204" s="198" t="e">
        <f t="shared" si="1287"/>
        <v>#DIV/0!</v>
      </c>
      <c r="DU204" s="199">
        <f t="shared" si="1288"/>
        <v>0</v>
      </c>
      <c r="DV204" s="198" t="e">
        <f t="shared" si="1289"/>
        <v>#DIV/0!</v>
      </c>
      <c r="DW204" s="199">
        <f t="shared" si="1290"/>
        <v>0</v>
      </c>
      <c r="DX204" s="198" t="e">
        <f t="shared" si="1291"/>
        <v>#DIV/0!</v>
      </c>
      <c r="DY204" s="199">
        <f t="shared" si="1292"/>
        <v>0</v>
      </c>
      <c r="DZ204" s="190" t="e">
        <f t="shared" si="1293"/>
        <v>#DIV/0!</v>
      </c>
      <c r="EA204" s="199">
        <f t="shared" si="1262"/>
        <v>0</v>
      </c>
      <c r="EB204" s="190" t="e">
        <f t="shared" si="1294"/>
        <v>#DIV/0!</v>
      </c>
      <c r="EC204" s="190" t="e">
        <f t="shared" si="1295"/>
        <v>#DIV/0!</v>
      </c>
    </row>
    <row r="205" spans="1:133" x14ac:dyDescent="0.2">
      <c r="A205" s="2" t="s">
        <v>88</v>
      </c>
      <c r="B205" s="38">
        <f t="shared" ref="B205:H205" si="1425">SUM(B23,B49,B75,B101,B127,B153,B179)</f>
        <v>0</v>
      </c>
      <c r="C205" s="245">
        <f t="shared" si="1425"/>
        <v>0</v>
      </c>
      <c r="D205" s="245">
        <f t="shared" si="1425"/>
        <v>0</v>
      </c>
      <c r="E205" s="245">
        <f t="shared" si="1425"/>
        <v>0</v>
      </c>
      <c r="F205" s="245">
        <f t="shared" si="1425"/>
        <v>0</v>
      </c>
      <c r="G205" s="245">
        <f t="shared" si="1425"/>
        <v>58419.940466687047</v>
      </c>
      <c r="H205" s="245">
        <f t="shared" si="1425"/>
        <v>8926.2786609660616</v>
      </c>
      <c r="I205" s="246">
        <f t="shared" si="1307"/>
        <v>67346.219127653108</v>
      </c>
      <c r="J205" s="245">
        <f t="shared" ref="J205:L205" si="1426">SUM(J23,J49,J75,J101,J127,J153,J179)</f>
        <v>0</v>
      </c>
      <c r="K205" s="245">
        <f t="shared" si="1426"/>
        <v>90233.769405054976</v>
      </c>
      <c r="L205" s="245">
        <f t="shared" si="1426"/>
        <v>2700.989950633561</v>
      </c>
      <c r="M205" s="178">
        <f t="shared" si="1263"/>
        <v>92934.75935568854</v>
      </c>
      <c r="N205" s="17">
        <f t="shared" si="1229"/>
        <v>160280.97848334163</v>
      </c>
      <c r="O205" s="174">
        <f t="shared" si="1230"/>
        <v>6.3297906060648798E-3</v>
      </c>
      <c r="P205" s="17"/>
      <c r="Q205" s="2" t="s">
        <v>88</v>
      </c>
      <c r="R205" s="38"/>
      <c r="S205" s="245"/>
      <c r="T205" s="245"/>
      <c r="U205" s="245">
        <f t="shared" si="1342"/>
        <v>0</v>
      </c>
      <c r="V205" s="245">
        <f t="shared" si="1343"/>
        <v>0</v>
      </c>
      <c r="W205" s="245">
        <f t="shared" si="1343"/>
        <v>0</v>
      </c>
      <c r="X205" s="245">
        <f t="shared" si="1343"/>
        <v>0</v>
      </c>
      <c r="Y205" s="246">
        <f t="shared" si="1264"/>
        <v>0</v>
      </c>
      <c r="Z205" s="245" t="e">
        <f>SUM(Z12,Z49,Z75,Z101,Z127,Z153,Z179)</f>
        <v>#DIV/0!</v>
      </c>
      <c r="AA205" s="245" t="e">
        <f>SUM(AA12,AA49,AA75,AA101,AA127,AA153,AA179)</f>
        <v>#DIV/0!</v>
      </c>
      <c r="AB205" s="245" t="e">
        <f>SUM(AB12,AB49,AB75,AB101,AB127,AB153,AB179)</f>
        <v>#DIV/0!</v>
      </c>
      <c r="AC205" s="178" t="e">
        <f t="shared" si="1265"/>
        <v>#DIV/0!</v>
      </c>
      <c r="AD205" s="17" t="e">
        <f t="shared" si="1233"/>
        <v>#DIV/0!</v>
      </c>
      <c r="AE205" s="176" t="e">
        <f t="shared" si="1234"/>
        <v>#DIV/0!</v>
      </c>
      <c r="AF205" s="2" t="s">
        <v>88</v>
      </c>
      <c r="AG205" s="38"/>
      <c r="AH205" s="245"/>
      <c r="AI205" s="245"/>
      <c r="AJ205" s="245">
        <f t="shared" si="1401"/>
        <v>0</v>
      </c>
      <c r="AK205" s="245">
        <f t="shared" si="1401"/>
        <v>0</v>
      </c>
      <c r="AL205" s="245">
        <f t="shared" ref="AL205:AM205" si="1427">SUM(AL23,AL49,AL75,AL101,AL127,AL153,AL179)</f>
        <v>0</v>
      </c>
      <c r="AM205" s="245">
        <f t="shared" si="1427"/>
        <v>0</v>
      </c>
      <c r="AN205" s="246"/>
      <c r="AO205" s="245">
        <f t="shared" ref="AO205:AQ205" si="1428">SUM(AO23,AO49,AO75,AO101,AO127,AO153,AO179)</f>
        <v>0</v>
      </c>
      <c r="AP205" s="245">
        <f t="shared" si="1428"/>
        <v>0</v>
      </c>
      <c r="AQ205" s="245">
        <f t="shared" si="1428"/>
        <v>0</v>
      </c>
      <c r="AR205" s="178">
        <f t="shared" si="1422"/>
        <v>0</v>
      </c>
      <c r="AS205" s="17">
        <f t="shared" si="1237"/>
        <v>0</v>
      </c>
      <c r="AU205" s="2" t="s">
        <v>88</v>
      </c>
      <c r="AV205" s="38">
        <f>IF(R207&gt;0,R205/R207,0)</f>
        <v>0</v>
      </c>
      <c r="AW205" s="245">
        <f>IF(C207&gt;0,C205/C207,0)</f>
        <v>0</v>
      </c>
      <c r="AX205" s="245">
        <f>IF(D207&gt;0,D205/D207,0)</f>
        <v>0</v>
      </c>
      <c r="AY205" s="245">
        <f t="shared" ref="AY205:BG205" si="1429">IF(U207&gt;0,U205/U207,0)</f>
        <v>0</v>
      </c>
      <c r="AZ205" s="245">
        <f t="shared" si="1429"/>
        <v>0</v>
      </c>
      <c r="BA205" s="245">
        <f t="shared" si="1429"/>
        <v>0</v>
      </c>
      <c r="BB205" s="245">
        <f t="shared" si="1429"/>
        <v>0</v>
      </c>
      <c r="BC205" s="246">
        <f t="shared" si="1429"/>
        <v>0</v>
      </c>
      <c r="BD205" s="245" t="e">
        <f t="shared" si="1429"/>
        <v>#DIV/0!</v>
      </c>
      <c r="BE205" s="245" t="e">
        <f t="shared" si="1429"/>
        <v>#DIV/0!</v>
      </c>
      <c r="BF205" s="245" t="e">
        <f t="shared" si="1429"/>
        <v>#DIV/0!</v>
      </c>
      <c r="BG205" s="178" t="e">
        <f t="shared" si="1429"/>
        <v>#DIV/0!</v>
      </c>
      <c r="BH205" s="24" t="e">
        <f>AD205/AD207</f>
        <v>#DIV/0!</v>
      </c>
      <c r="BJ205" s="2" t="s">
        <v>88</v>
      </c>
      <c r="BK205" s="38">
        <f t="shared" ref="BK205:BV205" si="1430">IF(AG207&gt;0,AG205/AG207,0)</f>
        <v>0</v>
      </c>
      <c r="BL205" s="245">
        <f t="shared" si="1430"/>
        <v>0</v>
      </c>
      <c r="BM205" s="245">
        <f t="shared" si="1430"/>
        <v>0</v>
      </c>
      <c r="BN205" s="245">
        <f t="shared" si="1430"/>
        <v>0</v>
      </c>
      <c r="BO205" s="245">
        <f t="shared" si="1430"/>
        <v>0</v>
      </c>
      <c r="BP205" s="245">
        <f t="shared" si="1430"/>
        <v>0</v>
      </c>
      <c r="BQ205" s="245">
        <f t="shared" si="1430"/>
        <v>0</v>
      </c>
      <c r="BR205" s="246">
        <f t="shared" si="1430"/>
        <v>0</v>
      </c>
      <c r="BS205" s="245">
        <f t="shared" si="1430"/>
        <v>0</v>
      </c>
      <c r="BT205" s="245">
        <f t="shared" si="1430"/>
        <v>0</v>
      </c>
      <c r="BU205" s="245">
        <f t="shared" si="1430"/>
        <v>0</v>
      </c>
      <c r="BV205" s="178">
        <f t="shared" si="1430"/>
        <v>0</v>
      </c>
      <c r="BW205" s="24" t="e">
        <f>AS205/AS207</f>
        <v>#DIV/0!</v>
      </c>
      <c r="BX205" s="24"/>
      <c r="BY205" s="2" t="s">
        <v>88</v>
      </c>
      <c r="BZ205" s="54">
        <f t="shared" si="1269"/>
        <v>0</v>
      </c>
      <c r="CA205" s="55">
        <f t="shared" si="1240"/>
        <v>0</v>
      </c>
      <c r="CB205" s="55">
        <f t="shared" si="1241"/>
        <v>0</v>
      </c>
      <c r="CC205" s="55">
        <f t="shared" si="1242"/>
        <v>0</v>
      </c>
      <c r="CD205" s="55">
        <f t="shared" si="1243"/>
        <v>0</v>
      </c>
      <c r="CE205" s="55">
        <f t="shared" si="1244"/>
        <v>0</v>
      </c>
      <c r="CF205" s="55">
        <f t="shared" si="1245"/>
        <v>0</v>
      </c>
      <c r="CG205" s="249">
        <f>AN205-Y205</f>
        <v>0</v>
      </c>
      <c r="CH205" s="55" t="e">
        <f t="shared" si="1247"/>
        <v>#DIV/0!</v>
      </c>
      <c r="CI205" s="55" t="e">
        <f t="shared" si="1248"/>
        <v>#DIV/0!</v>
      </c>
      <c r="CJ205" s="55" t="e">
        <f t="shared" si="1249"/>
        <v>#DIV/0!</v>
      </c>
      <c r="CK205" s="252" t="e">
        <f t="shared" si="1249"/>
        <v>#DIV/0!</v>
      </c>
      <c r="CL205" s="55" t="e">
        <f t="shared" si="1250"/>
        <v>#DIV/0!</v>
      </c>
      <c r="CN205" s="2" t="s">
        <v>88</v>
      </c>
      <c r="CO205" s="54">
        <f t="shared" si="1270"/>
        <v>0</v>
      </c>
      <c r="CP205" s="55">
        <f t="shared" si="1251"/>
        <v>0</v>
      </c>
      <c r="CQ205" s="55">
        <f t="shared" si="1252"/>
        <v>0</v>
      </c>
      <c r="CR205" s="55">
        <f t="shared" si="1253"/>
        <v>0</v>
      </c>
      <c r="CS205" s="55">
        <f t="shared" si="1254"/>
        <v>0</v>
      </c>
      <c r="CT205" s="55">
        <f t="shared" si="1255"/>
        <v>0</v>
      </c>
      <c r="CU205" s="55">
        <f t="shared" si="1256"/>
        <v>0</v>
      </c>
      <c r="CV205" s="249">
        <f t="shared" si="1257"/>
        <v>0</v>
      </c>
      <c r="CW205" s="55" t="e">
        <f t="shared" si="1258"/>
        <v>#DIV/0!</v>
      </c>
      <c r="CX205" s="55" t="e">
        <f t="shared" si="1259"/>
        <v>#DIV/0!</v>
      </c>
      <c r="CY205" s="55" t="e">
        <f t="shared" si="1260"/>
        <v>#DIV/0!</v>
      </c>
      <c r="CZ205" s="252" t="e">
        <f t="shared" si="1260"/>
        <v>#DIV/0!</v>
      </c>
      <c r="DA205" s="62" t="e">
        <f t="shared" si="1261"/>
        <v>#DIV/0!</v>
      </c>
      <c r="DC205" s="2" t="s">
        <v>88</v>
      </c>
      <c r="DD205" s="198">
        <f t="shared" si="1271"/>
        <v>0</v>
      </c>
      <c r="DE205" s="199">
        <f t="shared" si="1272"/>
        <v>0</v>
      </c>
      <c r="DF205" s="198">
        <f t="shared" si="1273"/>
        <v>0</v>
      </c>
      <c r="DG205" s="199">
        <f t="shared" si="1274"/>
        <v>0</v>
      </c>
      <c r="DH205" s="198">
        <f t="shared" si="1275"/>
        <v>0</v>
      </c>
      <c r="DI205" s="199">
        <f t="shared" si="1276"/>
        <v>0</v>
      </c>
      <c r="DJ205" s="198">
        <f t="shared" si="1277"/>
        <v>0</v>
      </c>
      <c r="DK205" s="199">
        <f t="shared" si="1278"/>
        <v>0</v>
      </c>
      <c r="DL205" s="198">
        <f t="shared" si="1279"/>
        <v>0</v>
      </c>
      <c r="DM205" s="199">
        <f t="shared" si="1280"/>
        <v>0</v>
      </c>
      <c r="DN205" s="198">
        <f t="shared" si="1281"/>
        <v>0</v>
      </c>
      <c r="DO205" s="199">
        <f t="shared" si="1282"/>
        <v>0</v>
      </c>
      <c r="DP205" s="198">
        <f t="shared" si="1283"/>
        <v>0</v>
      </c>
      <c r="DQ205" s="199">
        <f t="shared" si="1284"/>
        <v>0</v>
      </c>
      <c r="DR205" s="198">
        <f t="shared" si="1285"/>
        <v>0</v>
      </c>
      <c r="DS205" s="199">
        <f t="shared" si="1286"/>
        <v>0</v>
      </c>
      <c r="DT205" s="198" t="e">
        <f t="shared" si="1287"/>
        <v>#DIV/0!</v>
      </c>
      <c r="DU205" s="199">
        <f t="shared" si="1288"/>
        <v>0</v>
      </c>
      <c r="DV205" s="198" t="e">
        <f t="shared" si="1289"/>
        <v>#DIV/0!</v>
      </c>
      <c r="DW205" s="199">
        <f t="shared" si="1290"/>
        <v>0</v>
      </c>
      <c r="DX205" s="198" t="e">
        <f t="shared" si="1291"/>
        <v>#DIV/0!</v>
      </c>
      <c r="DY205" s="199">
        <f t="shared" si="1292"/>
        <v>0</v>
      </c>
      <c r="DZ205" s="190" t="e">
        <f t="shared" si="1293"/>
        <v>#DIV/0!</v>
      </c>
      <c r="EA205" s="199">
        <f t="shared" si="1262"/>
        <v>0</v>
      </c>
      <c r="EB205" s="190" t="e">
        <f t="shared" si="1294"/>
        <v>#DIV/0!</v>
      </c>
      <c r="EC205" s="190" t="e">
        <f t="shared" si="1295"/>
        <v>#DIV/0!</v>
      </c>
    </row>
    <row r="206" spans="1:133" ht="13.5" customHeight="1" x14ac:dyDescent="0.2">
      <c r="A206" s="2" t="s">
        <v>89</v>
      </c>
      <c r="B206" s="42">
        <f t="shared" ref="B206:H206" si="1431">SUM(B24,B50,B76,B102,B128,B154,B180)</f>
        <v>0</v>
      </c>
      <c r="C206" s="43">
        <f t="shared" si="1431"/>
        <v>0</v>
      </c>
      <c r="D206" s="43">
        <f t="shared" si="1431"/>
        <v>0</v>
      </c>
      <c r="E206" s="43">
        <f t="shared" si="1431"/>
        <v>0</v>
      </c>
      <c r="F206" s="43">
        <f t="shared" si="1431"/>
        <v>0</v>
      </c>
      <c r="G206" s="43">
        <f t="shared" si="1431"/>
        <v>1653.8311999331013</v>
      </c>
      <c r="H206" s="43">
        <f t="shared" si="1431"/>
        <v>0</v>
      </c>
      <c r="I206" s="75">
        <f t="shared" si="1307"/>
        <v>1653.8311999331013</v>
      </c>
      <c r="J206" s="43">
        <f t="shared" ref="J206:L206" si="1432">SUM(J24,J50,J76,J102,J128,J154,J180)</f>
        <v>0</v>
      </c>
      <c r="K206" s="43">
        <f t="shared" si="1432"/>
        <v>0</v>
      </c>
      <c r="L206" s="43">
        <f t="shared" si="1432"/>
        <v>3353.5560138883061</v>
      </c>
      <c r="M206" s="247">
        <f t="shared" si="1263"/>
        <v>3353.5560138883061</v>
      </c>
      <c r="N206" s="17">
        <f t="shared" si="1229"/>
        <v>5007.3872138214065</v>
      </c>
      <c r="O206" s="174">
        <f t="shared" si="1230"/>
        <v>1.9775092994126148E-4</v>
      </c>
      <c r="P206" s="17"/>
      <c r="Q206" s="2" t="s">
        <v>89</v>
      </c>
      <c r="R206" s="42"/>
      <c r="S206" s="43"/>
      <c r="T206" s="43"/>
      <c r="U206" s="43">
        <f t="shared" si="1342"/>
        <v>0</v>
      </c>
      <c r="V206" s="43">
        <f t="shared" si="1343"/>
        <v>0</v>
      </c>
      <c r="W206" s="43">
        <f t="shared" si="1343"/>
        <v>0</v>
      </c>
      <c r="X206" s="43">
        <f t="shared" si="1343"/>
        <v>0</v>
      </c>
      <c r="Y206" s="75">
        <f t="shared" si="1264"/>
        <v>0</v>
      </c>
      <c r="Z206" s="43" t="e">
        <f>SUM(Z18,Z50,Z76,Z102,Z128,Z154,Z180)</f>
        <v>#DIV/0!</v>
      </c>
      <c r="AA206" s="43" t="e">
        <f>SUM(AA18,AA50,AA76,AA102,AA128,AA154,AA180)</f>
        <v>#DIV/0!</v>
      </c>
      <c r="AB206" s="43" t="e">
        <f>SUM(AB18,AB50,AB76,AB102,AB128,AB154,AB180)</f>
        <v>#DIV/0!</v>
      </c>
      <c r="AC206" s="247" t="e">
        <f t="shared" si="1265"/>
        <v>#DIV/0!</v>
      </c>
      <c r="AD206" s="17" t="e">
        <f t="shared" si="1233"/>
        <v>#DIV/0!</v>
      </c>
      <c r="AE206" s="176" t="e">
        <f t="shared" si="1234"/>
        <v>#DIV/0!</v>
      </c>
      <c r="AF206" s="2" t="s">
        <v>89</v>
      </c>
      <c r="AG206" s="42"/>
      <c r="AH206" s="43"/>
      <c r="AI206" s="43"/>
      <c r="AJ206" s="43">
        <f t="shared" si="1401"/>
        <v>0</v>
      </c>
      <c r="AK206" s="43">
        <f t="shared" si="1401"/>
        <v>0</v>
      </c>
      <c r="AL206" s="43">
        <f t="shared" ref="AL206:AM206" si="1433">SUM(AL24,AL50,AL76,AL102,AL128,AL154,AL180)</f>
        <v>0</v>
      </c>
      <c r="AM206" s="43">
        <f t="shared" si="1433"/>
        <v>0</v>
      </c>
      <c r="AN206" s="75"/>
      <c r="AO206" s="43">
        <f t="shared" ref="AO206:AQ206" si="1434">SUM(AO24,AO50,AO76,AO102,AO128,AO154,AO180)</f>
        <v>0</v>
      </c>
      <c r="AP206" s="43">
        <f t="shared" si="1434"/>
        <v>0</v>
      </c>
      <c r="AQ206" s="43">
        <f t="shared" si="1434"/>
        <v>0</v>
      </c>
      <c r="AR206" s="247">
        <f t="shared" si="1422"/>
        <v>0</v>
      </c>
      <c r="AS206" s="17">
        <f t="shared" si="1237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35">IF(U207&gt;0,U206/U207,0)</f>
        <v>0</v>
      </c>
      <c r="AZ206" s="43">
        <f t="shared" si="1435"/>
        <v>0</v>
      </c>
      <c r="BA206" s="43">
        <f t="shared" si="1435"/>
        <v>0</v>
      </c>
      <c r="BB206" s="43">
        <f t="shared" si="1435"/>
        <v>0</v>
      </c>
      <c r="BC206" s="75">
        <f t="shared" si="1435"/>
        <v>0</v>
      </c>
      <c r="BD206" s="43" t="e">
        <f t="shared" si="1435"/>
        <v>#DIV/0!</v>
      </c>
      <c r="BE206" s="43" t="e">
        <f t="shared" si="1435"/>
        <v>#DIV/0!</v>
      </c>
      <c r="BF206" s="43" t="e">
        <f t="shared" si="1435"/>
        <v>#DIV/0!</v>
      </c>
      <c r="BG206" s="247" t="e">
        <f t="shared" si="1435"/>
        <v>#DIV/0!</v>
      </c>
      <c r="BH206" s="24" t="e">
        <f>AD206/AD207</f>
        <v>#DIV/0!</v>
      </c>
      <c r="BJ206" s="2" t="s">
        <v>89</v>
      </c>
      <c r="BK206" s="42">
        <f t="shared" ref="BK206:BV206" si="1436">IF(AG207&gt;0,AG206/AG207,0)</f>
        <v>0</v>
      </c>
      <c r="BL206" s="43">
        <f t="shared" si="1436"/>
        <v>0</v>
      </c>
      <c r="BM206" s="43">
        <f t="shared" si="1436"/>
        <v>0</v>
      </c>
      <c r="BN206" s="43">
        <f t="shared" si="1436"/>
        <v>0</v>
      </c>
      <c r="BO206" s="43">
        <f t="shared" si="1436"/>
        <v>0</v>
      </c>
      <c r="BP206" s="43">
        <f t="shared" si="1436"/>
        <v>0</v>
      </c>
      <c r="BQ206" s="43">
        <f t="shared" si="1436"/>
        <v>0</v>
      </c>
      <c r="BR206" s="75">
        <f t="shared" si="1436"/>
        <v>0</v>
      </c>
      <c r="BS206" s="43">
        <f t="shared" si="1436"/>
        <v>0</v>
      </c>
      <c r="BT206" s="43">
        <f t="shared" si="1436"/>
        <v>0</v>
      </c>
      <c r="BU206" s="43">
        <f t="shared" si="1436"/>
        <v>0</v>
      </c>
      <c r="BV206" s="247">
        <f t="shared" si="1436"/>
        <v>0</v>
      </c>
      <c r="BW206" s="24" t="e">
        <f>AS206/AS207</f>
        <v>#DIV/0!</v>
      </c>
      <c r="BX206" s="24"/>
      <c r="BY206" s="2" t="s">
        <v>89</v>
      </c>
      <c r="BZ206" s="56">
        <f t="shared" si="1269"/>
        <v>0</v>
      </c>
      <c r="CA206" s="57">
        <f t="shared" si="1240"/>
        <v>0</v>
      </c>
      <c r="CB206" s="57">
        <f t="shared" si="1241"/>
        <v>0</v>
      </c>
      <c r="CC206" s="57">
        <f t="shared" si="1242"/>
        <v>0</v>
      </c>
      <c r="CD206" s="57">
        <f t="shared" si="1243"/>
        <v>0</v>
      </c>
      <c r="CE206" s="57">
        <f t="shared" si="1244"/>
        <v>0</v>
      </c>
      <c r="CF206" s="57">
        <f t="shared" si="1245"/>
        <v>0</v>
      </c>
      <c r="CG206" s="250">
        <f>AN206-Y206</f>
        <v>0</v>
      </c>
      <c r="CH206" s="57" t="e">
        <f t="shared" si="1247"/>
        <v>#DIV/0!</v>
      </c>
      <c r="CI206" s="57" t="e">
        <f t="shared" si="1248"/>
        <v>#DIV/0!</v>
      </c>
      <c r="CJ206" s="57" t="e">
        <f t="shared" si="1249"/>
        <v>#DIV/0!</v>
      </c>
      <c r="CK206" s="253" t="e">
        <f t="shared" si="1249"/>
        <v>#DIV/0!</v>
      </c>
      <c r="CL206" s="55" t="e">
        <f t="shared" si="1250"/>
        <v>#DIV/0!</v>
      </c>
      <c r="CN206" s="2" t="s">
        <v>89</v>
      </c>
      <c r="CO206" s="56">
        <f t="shared" si="1270"/>
        <v>0</v>
      </c>
      <c r="CP206" s="57">
        <f t="shared" si="1251"/>
        <v>0</v>
      </c>
      <c r="CQ206" s="57">
        <f t="shared" si="1252"/>
        <v>0</v>
      </c>
      <c r="CR206" s="57">
        <f t="shared" si="1253"/>
        <v>0</v>
      </c>
      <c r="CS206" s="57">
        <f t="shared" si="1254"/>
        <v>0</v>
      </c>
      <c r="CT206" s="57">
        <f t="shared" si="1255"/>
        <v>0</v>
      </c>
      <c r="CU206" s="57">
        <f t="shared" si="1256"/>
        <v>0</v>
      </c>
      <c r="CV206" s="250">
        <f t="shared" si="1257"/>
        <v>0</v>
      </c>
      <c r="CW206" s="57" t="e">
        <f t="shared" si="1258"/>
        <v>#DIV/0!</v>
      </c>
      <c r="CX206" s="57" t="e">
        <f t="shared" si="1259"/>
        <v>#DIV/0!</v>
      </c>
      <c r="CY206" s="57" t="e">
        <f t="shared" si="1260"/>
        <v>#DIV/0!</v>
      </c>
      <c r="CZ206" s="253" t="e">
        <f t="shared" si="1260"/>
        <v>#DIV/0!</v>
      </c>
      <c r="DA206" s="62" t="e">
        <f t="shared" si="1261"/>
        <v>#DIV/0!</v>
      </c>
      <c r="DC206" s="2" t="s">
        <v>89</v>
      </c>
      <c r="DD206" s="200">
        <f t="shared" si="1271"/>
        <v>0</v>
      </c>
      <c r="DE206" s="201">
        <f t="shared" si="1272"/>
        <v>0</v>
      </c>
      <c r="DF206" s="200">
        <f t="shared" si="1273"/>
        <v>0</v>
      </c>
      <c r="DG206" s="201">
        <f t="shared" si="1274"/>
        <v>0</v>
      </c>
      <c r="DH206" s="200">
        <f t="shared" si="1275"/>
        <v>0</v>
      </c>
      <c r="DI206" s="201">
        <f t="shared" si="1276"/>
        <v>0</v>
      </c>
      <c r="DJ206" s="200">
        <f t="shared" si="1277"/>
        <v>0</v>
      </c>
      <c r="DK206" s="201">
        <f t="shared" si="1278"/>
        <v>0</v>
      </c>
      <c r="DL206" s="200">
        <f t="shared" si="1279"/>
        <v>0</v>
      </c>
      <c r="DM206" s="201">
        <f t="shared" si="1280"/>
        <v>0</v>
      </c>
      <c r="DN206" s="200">
        <f t="shared" si="1281"/>
        <v>0</v>
      </c>
      <c r="DO206" s="201">
        <f t="shared" si="1282"/>
        <v>0</v>
      </c>
      <c r="DP206" s="200">
        <f t="shared" si="1283"/>
        <v>0</v>
      </c>
      <c r="DQ206" s="201">
        <f t="shared" si="1284"/>
        <v>0</v>
      </c>
      <c r="DR206" s="200">
        <f t="shared" si="1285"/>
        <v>0</v>
      </c>
      <c r="DS206" s="201">
        <f t="shared" si="1286"/>
        <v>0</v>
      </c>
      <c r="DT206" s="200" t="e">
        <f t="shared" si="1287"/>
        <v>#DIV/0!</v>
      </c>
      <c r="DU206" s="201">
        <f t="shared" si="1288"/>
        <v>0</v>
      </c>
      <c r="DV206" s="200" t="e">
        <f t="shared" si="1289"/>
        <v>#DIV/0!</v>
      </c>
      <c r="DW206" s="201">
        <f t="shared" si="1290"/>
        <v>0</v>
      </c>
      <c r="DX206" s="200" t="e">
        <f t="shared" si="1291"/>
        <v>#DIV/0!</v>
      </c>
      <c r="DY206" s="201">
        <f t="shared" si="1292"/>
        <v>0</v>
      </c>
      <c r="DZ206" s="202" t="e">
        <f t="shared" si="1293"/>
        <v>#DIV/0!</v>
      </c>
      <c r="EA206" s="201">
        <f t="shared" si="1262"/>
        <v>0</v>
      </c>
      <c r="EB206" s="190" t="e">
        <f t="shared" si="1294"/>
        <v>#DIV/0!</v>
      </c>
      <c r="EC206" s="190" t="e">
        <f t="shared" si="1295"/>
        <v>#DIV/0!</v>
      </c>
    </row>
    <row r="207" spans="1:133" x14ac:dyDescent="0.2">
      <c r="A207" s="65" t="s">
        <v>54</v>
      </c>
      <c r="B207" s="277">
        <f>SUM(B187:D206)</f>
        <v>19786697.553010173</v>
      </c>
      <c r="C207" s="277"/>
      <c r="D207" s="277"/>
      <c r="E207" s="17">
        <f t="shared" ref="E207:M207" si="1437">SUM(E187:E206)</f>
        <v>3324760.3393372945</v>
      </c>
      <c r="F207" s="17">
        <f t="shared" si="1437"/>
        <v>571310.7889421992</v>
      </c>
      <c r="G207" s="17">
        <f t="shared" si="1437"/>
        <v>1311748.0989681128</v>
      </c>
      <c r="H207" s="17">
        <f t="shared" si="1437"/>
        <v>175537.67594365653</v>
      </c>
      <c r="I207" s="72">
        <f t="shared" si="1437"/>
        <v>1487285.7749117699</v>
      </c>
      <c r="J207" s="17">
        <f t="shared" si="1437"/>
        <v>12119.916688103167</v>
      </c>
      <c r="K207" s="17">
        <f t="shared" si="1437"/>
        <v>132271.70723254318</v>
      </c>
      <c r="L207" s="17">
        <f t="shared" si="1437"/>
        <v>7241.2328466370982</v>
      </c>
      <c r="M207" s="72">
        <f t="shared" si="1437"/>
        <v>151632.85676728343</v>
      </c>
      <c r="N207" s="17">
        <f t="shared" si="1229"/>
        <v>25321687.312968716</v>
      </c>
      <c r="O207" s="174">
        <f t="shared" si="1230"/>
        <v>1</v>
      </c>
      <c r="P207" s="17"/>
      <c r="Q207" s="65" t="s">
        <v>54</v>
      </c>
      <c r="R207" s="277">
        <f>SUM(R187:R206)</f>
        <v>0</v>
      </c>
      <c r="S207" s="277"/>
      <c r="T207" s="277"/>
      <c r="U207" s="17">
        <f t="shared" ref="U207:AC207" si="1438">SUM(U187:U206)</f>
        <v>0</v>
      </c>
      <c r="V207" s="17">
        <f t="shared" si="1438"/>
        <v>0</v>
      </c>
      <c r="W207" s="17">
        <f t="shared" si="1438"/>
        <v>0</v>
      </c>
      <c r="X207" s="17">
        <f t="shared" si="1438"/>
        <v>0</v>
      </c>
      <c r="Y207" s="72">
        <f t="shared" si="1438"/>
        <v>0</v>
      </c>
      <c r="Z207" s="17" t="e">
        <f t="shared" si="1438"/>
        <v>#DIV/0!</v>
      </c>
      <c r="AA207" s="17" t="e">
        <f t="shared" si="1438"/>
        <v>#DIV/0!</v>
      </c>
      <c r="AB207" s="17" t="e">
        <f t="shared" si="1438"/>
        <v>#DIV/0!</v>
      </c>
      <c r="AC207" s="72" t="e">
        <f t="shared" si="1438"/>
        <v>#DIV/0!</v>
      </c>
      <c r="AD207" s="17" t="e">
        <f t="shared" si="1233"/>
        <v>#DIV/0!</v>
      </c>
      <c r="AE207" s="176" t="e">
        <f t="shared" si="1234"/>
        <v>#DIV/0!</v>
      </c>
      <c r="AF207" s="65" t="s">
        <v>54</v>
      </c>
      <c r="AG207" s="277">
        <f>SUM(AG187:AG206)</f>
        <v>0</v>
      </c>
      <c r="AH207" s="277"/>
      <c r="AI207" s="277"/>
      <c r="AJ207" s="17">
        <f t="shared" ref="AJ207:AR207" si="1439">SUM(AJ187:AJ206)</f>
        <v>0</v>
      </c>
      <c r="AK207" s="17">
        <f t="shared" si="1439"/>
        <v>0</v>
      </c>
      <c r="AL207" s="17">
        <f t="shared" si="1439"/>
        <v>0</v>
      </c>
      <c r="AM207" s="17">
        <f t="shared" si="1439"/>
        <v>0</v>
      </c>
      <c r="AN207" s="17">
        <f t="shared" si="1439"/>
        <v>0</v>
      </c>
      <c r="AO207" s="17">
        <f t="shared" si="1439"/>
        <v>0</v>
      </c>
      <c r="AP207" s="17">
        <f t="shared" si="1439"/>
        <v>0</v>
      </c>
      <c r="AQ207" s="17">
        <f t="shared" si="1439"/>
        <v>0</v>
      </c>
      <c r="AR207" s="17">
        <f t="shared" si="1439"/>
        <v>0</v>
      </c>
      <c r="AS207" s="17">
        <f t="shared" si="1237"/>
        <v>0</v>
      </c>
      <c r="AU207" s="65" t="s">
        <v>54</v>
      </c>
      <c r="AV207" s="278">
        <f t="shared" ref="AV207:BH207" si="1440">SUM(AV187:AV206)</f>
        <v>0</v>
      </c>
      <c r="AW207" s="278">
        <f t="shared" si="1440"/>
        <v>0</v>
      </c>
      <c r="AX207" s="278">
        <f t="shared" si="1440"/>
        <v>0</v>
      </c>
      <c r="AY207" s="24">
        <f t="shared" si="1440"/>
        <v>0</v>
      </c>
      <c r="AZ207" s="24">
        <f t="shared" si="1440"/>
        <v>0</v>
      </c>
      <c r="BA207" s="24">
        <f t="shared" si="1440"/>
        <v>0</v>
      </c>
      <c r="BB207" s="24">
        <f t="shared" si="1440"/>
        <v>0</v>
      </c>
      <c r="BC207" s="24">
        <f t="shared" si="1440"/>
        <v>0</v>
      </c>
      <c r="BD207" s="24" t="e">
        <f t="shared" si="1440"/>
        <v>#DIV/0!</v>
      </c>
      <c r="BE207" s="24" t="e">
        <f t="shared" si="1440"/>
        <v>#DIV/0!</v>
      </c>
      <c r="BF207" s="24" t="e">
        <f t="shared" si="1440"/>
        <v>#DIV/0!</v>
      </c>
      <c r="BG207" s="24" t="e">
        <f t="shared" si="1440"/>
        <v>#DIV/0!</v>
      </c>
      <c r="BH207" s="24" t="e">
        <f t="shared" si="1440"/>
        <v>#DIV/0!</v>
      </c>
      <c r="BJ207" s="65" t="s">
        <v>54</v>
      </c>
      <c r="BK207" s="24">
        <f t="shared" ref="BK207:BW207" si="1441">SUM(BK187:BK206)</f>
        <v>0</v>
      </c>
      <c r="BL207" s="24">
        <f t="shared" si="1441"/>
        <v>0</v>
      </c>
      <c r="BM207" s="24">
        <f t="shared" si="1441"/>
        <v>0</v>
      </c>
      <c r="BN207" s="24">
        <f t="shared" si="1441"/>
        <v>0</v>
      </c>
      <c r="BO207" s="24">
        <f t="shared" si="1441"/>
        <v>0</v>
      </c>
      <c r="BP207" s="24">
        <f t="shared" si="1441"/>
        <v>0</v>
      </c>
      <c r="BQ207" s="24">
        <f t="shared" si="1441"/>
        <v>0</v>
      </c>
      <c r="BR207" s="24">
        <f t="shared" si="1441"/>
        <v>0</v>
      </c>
      <c r="BS207" s="24">
        <f t="shared" si="1441"/>
        <v>0</v>
      </c>
      <c r="BT207" s="24">
        <f t="shared" si="1441"/>
        <v>0</v>
      </c>
      <c r="BU207" s="24">
        <f t="shared" si="1441"/>
        <v>0</v>
      </c>
      <c r="BV207" s="24">
        <f t="shared" si="1441"/>
        <v>0</v>
      </c>
      <c r="BW207" s="24" t="e">
        <f t="shared" si="1441"/>
        <v>#DIV/0!</v>
      </c>
      <c r="BX207" s="24"/>
      <c r="BY207" s="65" t="s">
        <v>54</v>
      </c>
      <c r="BZ207" s="55">
        <f t="shared" si="1269"/>
        <v>0</v>
      </c>
      <c r="CA207" s="55">
        <f t="shared" si="1240"/>
        <v>0</v>
      </c>
      <c r="CB207" s="55">
        <f t="shared" si="1241"/>
        <v>0</v>
      </c>
      <c r="CC207" s="55">
        <f t="shared" si="1242"/>
        <v>0</v>
      </c>
      <c r="CD207" s="55">
        <f t="shared" si="1243"/>
        <v>0</v>
      </c>
      <c r="CE207" s="55">
        <f t="shared" si="1244"/>
        <v>0</v>
      </c>
      <c r="CF207" s="55">
        <f t="shared" si="1245"/>
        <v>0</v>
      </c>
      <c r="CG207" s="55">
        <f>AN207-Y207</f>
        <v>0</v>
      </c>
      <c r="CH207" s="55" t="e">
        <f t="shared" si="1247"/>
        <v>#DIV/0!</v>
      </c>
      <c r="CI207" s="55" t="e">
        <f t="shared" si="1248"/>
        <v>#DIV/0!</v>
      </c>
      <c r="CJ207" s="55" t="e">
        <f t="shared" si="1249"/>
        <v>#DIV/0!</v>
      </c>
      <c r="CK207" s="55" t="e">
        <f t="shared" si="1249"/>
        <v>#DIV/0!</v>
      </c>
      <c r="CL207" s="55" t="e">
        <f t="shared" si="1250"/>
        <v>#DIV/0!</v>
      </c>
      <c r="CN207" s="65" t="s">
        <v>54</v>
      </c>
      <c r="CO207" s="62">
        <f t="shared" si="1270"/>
        <v>0</v>
      </c>
      <c r="CP207" s="62">
        <f t="shared" si="1251"/>
        <v>0</v>
      </c>
      <c r="CQ207" s="62">
        <f t="shared" si="1252"/>
        <v>0</v>
      </c>
      <c r="CR207" s="62">
        <f t="shared" si="1253"/>
        <v>0</v>
      </c>
      <c r="CS207" s="62">
        <f t="shared" si="1254"/>
        <v>0</v>
      </c>
      <c r="CT207" s="62">
        <f t="shared" si="1255"/>
        <v>0</v>
      </c>
      <c r="CU207" s="62">
        <f t="shared" si="1256"/>
        <v>0</v>
      </c>
      <c r="CV207" s="62">
        <f t="shared" si="1257"/>
        <v>0</v>
      </c>
      <c r="CW207" s="62" t="e">
        <f t="shared" si="1258"/>
        <v>#DIV/0!</v>
      </c>
      <c r="CX207" s="62" t="e">
        <f t="shared" si="1259"/>
        <v>#DIV/0!</v>
      </c>
      <c r="CY207" s="62" t="e">
        <f t="shared" si="1260"/>
        <v>#DIV/0!</v>
      </c>
      <c r="CZ207" s="62" t="e">
        <f t="shared" si="1260"/>
        <v>#DIV/0!</v>
      </c>
      <c r="DA207" s="62" t="e">
        <f t="shared" si="1261"/>
        <v>#DIV/0!</v>
      </c>
      <c r="DC207" s="65" t="s">
        <v>54</v>
      </c>
      <c r="DD207" s="190">
        <f t="shared" ref="DD207:EC207" si="1442">SUM(DD187:DD206)</f>
        <v>0</v>
      </c>
      <c r="DE207" s="190">
        <f t="shared" si="1442"/>
        <v>0</v>
      </c>
      <c r="DF207" s="190">
        <f t="shared" si="1442"/>
        <v>0</v>
      </c>
      <c r="DG207" s="190">
        <f t="shared" si="1442"/>
        <v>0</v>
      </c>
      <c r="DH207" s="190">
        <f t="shared" si="1442"/>
        <v>0</v>
      </c>
      <c r="DI207" s="190">
        <f t="shared" si="1442"/>
        <v>0</v>
      </c>
      <c r="DJ207" s="190">
        <f t="shared" si="1442"/>
        <v>0</v>
      </c>
      <c r="DK207" s="190">
        <f t="shared" si="1442"/>
        <v>0</v>
      </c>
      <c r="DL207" s="190">
        <f t="shared" si="1442"/>
        <v>0</v>
      </c>
      <c r="DM207" s="190">
        <f t="shared" si="1442"/>
        <v>0</v>
      </c>
      <c r="DN207" s="190">
        <f t="shared" si="1442"/>
        <v>0</v>
      </c>
      <c r="DO207" s="190">
        <f t="shared" si="1442"/>
        <v>0</v>
      </c>
      <c r="DP207" s="190">
        <f t="shared" si="1442"/>
        <v>0</v>
      </c>
      <c r="DQ207" s="190">
        <f t="shared" si="1442"/>
        <v>0</v>
      </c>
      <c r="DR207" s="190">
        <f t="shared" si="1442"/>
        <v>0</v>
      </c>
      <c r="DS207" s="190">
        <f t="shared" si="1442"/>
        <v>0</v>
      </c>
      <c r="DT207" s="190" t="e">
        <f t="shared" si="1442"/>
        <v>#DIV/0!</v>
      </c>
      <c r="DU207" s="190">
        <f t="shared" si="1442"/>
        <v>0</v>
      </c>
      <c r="DV207" s="190" t="e">
        <f t="shared" si="1442"/>
        <v>#DIV/0!</v>
      </c>
      <c r="DW207" s="190">
        <f t="shared" si="1442"/>
        <v>0</v>
      </c>
      <c r="DX207" s="190" t="e">
        <f t="shared" si="1442"/>
        <v>#DIV/0!</v>
      </c>
      <c r="DY207" s="190">
        <f t="shared" si="1442"/>
        <v>0</v>
      </c>
      <c r="DZ207" s="190" t="e">
        <f t="shared" si="1442"/>
        <v>#DIV/0!</v>
      </c>
      <c r="EA207" s="190">
        <f t="shared" si="1442"/>
        <v>0</v>
      </c>
      <c r="EB207" s="190" t="e">
        <f t="shared" si="1442"/>
        <v>#DIV/0!</v>
      </c>
      <c r="EC207" s="190" t="e">
        <f t="shared" si="1442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74"/>
      <c r="L215" s="274"/>
      <c r="M215" s="137"/>
      <c r="N215" s="274"/>
      <c r="O215" s="274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B160:D160"/>
    <mergeCell ref="B161:D161"/>
    <mergeCell ref="B162:D162"/>
    <mergeCell ref="B163:D163"/>
    <mergeCell ref="B164:D164"/>
    <mergeCell ref="BK161:BM161"/>
    <mergeCell ref="BK162:BM162"/>
    <mergeCell ref="BK163:BM163"/>
    <mergeCell ref="AV160:AX160"/>
    <mergeCell ref="AV161:AX161"/>
    <mergeCell ref="AV162:AX162"/>
    <mergeCell ref="AV163:AX163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186:D186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19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X30" sqref="X30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 t="e">
        <f>calibration!BG32</f>
        <v>#DIV/0!</v>
      </c>
      <c r="L33" s="34">
        <f>calibration!BV32</f>
        <v>0</v>
      </c>
      <c r="M33" s="34" t="e">
        <f t="shared" si="2"/>
        <v>#DIV/0!</v>
      </c>
      <c r="N33" s="35" t="e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#DIV/0!</v>
      </c>
      <c r="O33" s="35" t="e">
        <f>MAX(J33+N33,-7)</f>
        <v>#DIV/0!</v>
      </c>
      <c r="P33" s="47" t="e">
        <f t="shared" ref="P33:P39" si="78">O33/-university_c_ivt</f>
        <v>#DIV/0!</v>
      </c>
      <c r="R33" s="9">
        <v>-1.2256488522781979</v>
      </c>
      <c r="S33" s="34" t="e">
        <f>calibration!BG58</f>
        <v>#DIV/0!</v>
      </c>
      <c r="T33" s="34">
        <f>calibration!BV58</f>
        <v>0</v>
      </c>
      <c r="U33" s="34" t="e">
        <f t="shared" si="4"/>
        <v>#DIV/0!</v>
      </c>
      <c r="V33" s="35" t="e">
        <f t="shared" ref="V33:V38" si="79">IF(AND(S33&lt;&gt;0,T33&lt;&gt;0),school_damp*(LN(S33/T33)-LN(1-SUM(S$33:S$38))+LN(1-SUM(T$33:T$38)+0.01)),IF(AND(S33=0,T33&lt;&gt;0),school_damp*LN(T33),IF(AND(S33&lt;&gt;0,T33=0),school_damp*LN(S33),0)))</f>
        <v>#DIV/0!</v>
      </c>
      <c r="W33" s="35" t="e">
        <f>MAX(R33+V33,-7)</f>
        <v>#DIV/0!</v>
      </c>
      <c r="X33" s="47" t="e">
        <f t="shared" si="75"/>
        <v>#DIV/0!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 t="e">
        <f>calibration!BG33</f>
        <v>#DIV/0!</v>
      </c>
      <c r="L34" s="185">
        <f>calibration!BV33</f>
        <v>0</v>
      </c>
      <c r="M34" s="185" t="e">
        <f t="shared" si="2"/>
        <v>#DIV/0!</v>
      </c>
      <c r="N34" s="9" t="e">
        <f t="shared" si="77"/>
        <v>#DIV/0!</v>
      </c>
      <c r="O34" s="9" t="e">
        <f t="shared" ref="O34:O36" si="86">MAX(J34+N34,-7)</f>
        <v>#DIV/0!</v>
      </c>
      <c r="P34" s="44" t="e">
        <f t="shared" si="78"/>
        <v>#DIV/0!</v>
      </c>
      <c r="R34" s="9">
        <v>-2.3155138871218437</v>
      </c>
      <c r="S34" s="185" t="e">
        <f>calibration!BG59</f>
        <v>#DIV/0!</v>
      </c>
      <c r="T34" s="185">
        <f>calibration!BV59</f>
        <v>0</v>
      </c>
      <c r="U34" s="185" t="e">
        <f t="shared" si="4"/>
        <v>#DIV/0!</v>
      </c>
      <c r="V34" s="9" t="e">
        <f t="shared" si="79"/>
        <v>#DIV/0!</v>
      </c>
      <c r="W34" s="9" t="e">
        <f t="shared" ref="W34:W35" si="87">MAX(R34+V34,-7)</f>
        <v>#DIV/0!</v>
      </c>
      <c r="X34" s="44" t="e">
        <f t="shared" si="75"/>
        <v>#DIV/0!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 t="e">
        <f>calibration!BG34</f>
        <v>#DIV/0!</v>
      </c>
      <c r="L35" s="185">
        <f>calibration!BV34</f>
        <v>0</v>
      </c>
      <c r="M35" s="185" t="e">
        <f t="shared" si="2"/>
        <v>#DIV/0!</v>
      </c>
      <c r="N35" s="9" t="e">
        <f t="shared" si="77"/>
        <v>#DIV/0!</v>
      </c>
      <c r="O35" s="9" t="e">
        <f t="shared" si="86"/>
        <v>#DIV/0!</v>
      </c>
      <c r="P35" s="44" t="e">
        <f t="shared" si="78"/>
        <v>#DIV/0!</v>
      </c>
      <c r="R35" s="9">
        <v>0.61984619118278861</v>
      </c>
      <c r="S35" s="185" t="e">
        <f>calibration!BG60</f>
        <v>#DIV/0!</v>
      </c>
      <c r="T35" s="185">
        <f>calibration!BV60</f>
        <v>0</v>
      </c>
      <c r="U35" s="185" t="e">
        <f t="shared" si="4"/>
        <v>#DIV/0!</v>
      </c>
      <c r="V35" s="9" t="e">
        <f t="shared" si="79"/>
        <v>#DIV/0!</v>
      </c>
      <c r="W35" s="9" t="e">
        <f t="shared" si="87"/>
        <v>#DIV/0!</v>
      </c>
      <c r="X35" s="44" t="e">
        <f t="shared" si="75"/>
        <v>#DIV/0!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 t="e">
        <f>SUM(calibration!BG36:BG41)</f>
        <v>#DIV/0!</v>
      </c>
      <c r="L36" s="185">
        <f>SUM(calibration!BV36:BV41)</f>
        <v>0</v>
      </c>
      <c r="M36" s="185" t="e">
        <f t="shared" ref="M36" si="91">L36-K36</f>
        <v>#DIV/0!</v>
      </c>
      <c r="N36" s="9" t="e">
        <f t="shared" si="77"/>
        <v>#DIV/0!</v>
      </c>
      <c r="O36" s="9" t="e">
        <f t="shared" si="86"/>
        <v>#DIV/0!</v>
      </c>
      <c r="P36" s="44" t="e">
        <f t="shared" si="78"/>
        <v>#DIV/0!</v>
      </c>
      <c r="R36" s="9">
        <v>0</v>
      </c>
      <c r="S36" s="185" t="e">
        <f>SUM(calibration!BG62:BG67)</f>
        <v>#DIV/0!</v>
      </c>
      <c r="T36" s="185">
        <f>SUM(calibration!BV62:BV67)</f>
        <v>0</v>
      </c>
      <c r="U36" s="185" t="e">
        <f t="shared" ref="U36" si="92">T36-S36</f>
        <v>#DIV/0!</v>
      </c>
      <c r="V36" s="9" t="e">
        <f t="shared" si="79"/>
        <v>#DIV/0!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 t="e">
        <f>calibration!BG48</f>
        <v>#DIV/0!</v>
      </c>
      <c r="L37" s="185">
        <f>calibration!BV48</f>
        <v>0</v>
      </c>
      <c r="M37" s="185" t="e">
        <f t="shared" ref="M37:M39" si="98">L37-K37</f>
        <v>#DIV/0!</v>
      </c>
      <c r="N37" s="9" t="e">
        <f t="shared" si="77"/>
        <v>#DIV/0!</v>
      </c>
      <c r="O37" s="9" t="e">
        <f t="shared" ref="O37:O38" si="99">MAX(J37+N37,-7)</f>
        <v>#DIV/0!</v>
      </c>
      <c r="P37" s="44" t="e">
        <f t="shared" si="78"/>
        <v>#DIV/0!</v>
      </c>
      <c r="R37" s="9">
        <v>-0.59879755193905637</v>
      </c>
      <c r="S37" s="185" t="e">
        <f>calibration!BG74</f>
        <v>#DIV/0!</v>
      </c>
      <c r="T37" s="185">
        <f>calibration!BV74</f>
        <v>0</v>
      </c>
      <c r="U37" s="185" t="e">
        <f t="shared" ref="U37:U39" si="100">T37-S37</f>
        <v>#DIV/0!</v>
      </c>
      <c r="V37" s="9" t="e">
        <f t="shared" si="79"/>
        <v>#DIV/0!</v>
      </c>
      <c r="W37" s="9" t="e">
        <f t="shared" ref="W37:W38" si="101">MAX(R37+V37,-7)</f>
        <v>#DIV/0!</v>
      </c>
      <c r="X37" s="44" t="e">
        <f t="shared" si="75"/>
        <v>#DIV/0!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 t="e">
        <f>calibration!BG49</f>
        <v>#DIV/0!</v>
      </c>
      <c r="L38" s="185">
        <f>calibration!BV49</f>
        <v>0</v>
      </c>
      <c r="M38" s="185" t="e">
        <f t="shared" si="98"/>
        <v>#DIV/0!</v>
      </c>
      <c r="N38" s="9" t="e">
        <f t="shared" si="77"/>
        <v>#DIV/0!</v>
      </c>
      <c r="O38" s="9" t="e">
        <f t="shared" si="99"/>
        <v>#DIV/0!</v>
      </c>
      <c r="P38" s="44" t="e">
        <f t="shared" si="78"/>
        <v>#DIV/0!</v>
      </c>
      <c r="R38" s="9">
        <v>0.13047709044330735</v>
      </c>
      <c r="S38" s="185" t="e">
        <f>calibration!BG75</f>
        <v>#DIV/0!</v>
      </c>
      <c r="T38" s="185">
        <f>calibration!BV75</f>
        <v>0</v>
      </c>
      <c r="U38" s="185" t="e">
        <f t="shared" si="100"/>
        <v>#DIV/0!</v>
      </c>
      <c r="V38" s="9" t="e">
        <f t="shared" si="79"/>
        <v>#DIV/0!</v>
      </c>
      <c r="W38" s="9" t="e">
        <f t="shared" si="101"/>
        <v>#DIV/0!</v>
      </c>
      <c r="X38" s="44" t="e">
        <f t="shared" si="75"/>
        <v>#DIV/0!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 t="e">
        <f>calibration!BG50</f>
        <v>#DIV/0!</v>
      </c>
      <c r="L39" s="33">
        <f>calibration!BV50</f>
        <v>0</v>
      </c>
      <c r="M39" s="33" t="e">
        <f t="shared" si="98"/>
        <v>#DIV/0!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 t="e">
        <f>calibration!BG76</f>
        <v>#DIV/0!</v>
      </c>
      <c r="T39" s="33">
        <f>calibration!BV76</f>
        <v>0</v>
      </c>
      <c r="U39" s="33" t="e">
        <f t="shared" si="100"/>
        <v>#DIV/0!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 t="e">
        <f>calibration!BG162</f>
        <v>#DIV/0!</v>
      </c>
      <c r="AB62" s="34">
        <f>calibration!BV162</f>
        <v>0</v>
      </c>
      <c r="AC62" s="34" t="e">
        <f t="shared" ref="AC62:AC64" si="119">AB62-AA62</f>
        <v>#DIV/0!</v>
      </c>
      <c r="AD62" s="35" t="e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#DIV/0!</v>
      </c>
      <c r="AE62" s="35" t="e">
        <f>MAX(Z62+AD62,-7)</f>
        <v>#DIV/0!</v>
      </c>
      <c r="AF62" s="47" t="e">
        <f t="shared" si="113"/>
        <v>#DIV/0!</v>
      </c>
      <c r="AH62" s="9">
        <v>-7</v>
      </c>
      <c r="AM62" s="35" t="e">
        <f t="shared" si="109"/>
        <v>#DIV/0!</v>
      </c>
    </row>
    <row r="63" spans="1:41" x14ac:dyDescent="0.2">
      <c r="A63" s="2" t="s">
        <v>142</v>
      </c>
      <c r="Z63" s="9">
        <v>-7</v>
      </c>
      <c r="AA63" s="185" t="e">
        <f>calibration!BG163</f>
        <v>#DIV/0!</v>
      </c>
      <c r="AB63" s="185">
        <f>calibration!BV163</f>
        <v>0</v>
      </c>
      <c r="AC63" s="185" t="e">
        <f t="shared" si="119"/>
        <v>#DIV/0!</v>
      </c>
      <c r="AD63" s="9" t="e">
        <f t="shared" si="120"/>
        <v>#DIV/0!</v>
      </c>
      <c r="AE63" s="9" t="e">
        <f t="shared" ref="AE63:AE65" si="121">MAX(Z63+AD63,-7)</f>
        <v>#DIV/0!</v>
      </c>
      <c r="AF63" s="44" t="e">
        <f t="shared" si="113"/>
        <v>#DIV/0!</v>
      </c>
      <c r="AH63" s="9">
        <v>-7</v>
      </c>
      <c r="AM63" s="9" t="e">
        <f t="shared" si="109"/>
        <v>#DIV/0!</v>
      </c>
    </row>
    <row r="64" spans="1:41" x14ac:dyDescent="0.2">
      <c r="A64" s="2" t="s">
        <v>143</v>
      </c>
      <c r="Z64" s="9">
        <v>-7</v>
      </c>
      <c r="AA64" s="185" t="e">
        <f>calibration!BG164</f>
        <v>#DIV/0!</v>
      </c>
      <c r="AB64" s="185">
        <f>calibration!BV164</f>
        <v>0</v>
      </c>
      <c r="AC64" s="185" t="e">
        <f t="shared" si="119"/>
        <v>#DIV/0!</v>
      </c>
      <c r="AD64" s="9" t="e">
        <f t="shared" si="120"/>
        <v>#DIV/0!</v>
      </c>
      <c r="AE64" s="9" t="e">
        <f t="shared" si="121"/>
        <v>#DIV/0!</v>
      </c>
      <c r="AF64" s="44" t="e">
        <f t="shared" si="113"/>
        <v>#DIV/0!</v>
      </c>
      <c r="AH64" s="9">
        <v>-7</v>
      </c>
      <c r="AM64" s="9" t="e">
        <f t="shared" si="109"/>
        <v>#DIV/0!</v>
      </c>
    </row>
    <row r="65" spans="1:39" x14ac:dyDescent="0.2">
      <c r="A65" s="2" t="s">
        <v>144</v>
      </c>
      <c r="Z65" s="9">
        <v>-0.56531380905006035</v>
      </c>
      <c r="AA65" s="185" t="e">
        <f>SUM(calibration!BG166:BG171)</f>
        <v>#DIV/0!</v>
      </c>
      <c r="AB65" s="185">
        <f>SUM(calibration!BV166:BV171)</f>
        <v>0</v>
      </c>
      <c r="AC65" s="185" t="e">
        <f t="shared" ref="AC65" si="122">AB65-AA65</f>
        <v>#DIV/0!</v>
      </c>
      <c r="AD65" s="9" t="e">
        <f t="shared" si="120"/>
        <v>#DIV/0!</v>
      </c>
      <c r="AE65" s="9" t="e">
        <f t="shared" si="121"/>
        <v>#DIV/0!</v>
      </c>
      <c r="AF65" s="44" t="e">
        <f t="shared" si="113"/>
        <v>#DIV/0!</v>
      </c>
      <c r="AH65" s="9">
        <v>-0.56531380905006035</v>
      </c>
      <c r="AM65" s="9" t="e">
        <f t="shared" si="109"/>
        <v>#DIV/0!</v>
      </c>
    </row>
    <row r="66" spans="1:39" x14ac:dyDescent="0.2">
      <c r="A66" s="2" t="s">
        <v>327</v>
      </c>
      <c r="Z66" s="9">
        <v>-7</v>
      </c>
      <c r="AA66" s="185" t="e">
        <f>calibration!BG178</f>
        <v>#DIV/0!</v>
      </c>
      <c r="AB66" s="185">
        <f>calibration!BV178</f>
        <v>0</v>
      </c>
      <c r="AC66" s="185" t="e">
        <f t="shared" ref="AC66:AC68" si="123">AB66-AA66</f>
        <v>#DIV/0!</v>
      </c>
      <c r="AD66" s="9" t="e">
        <f t="shared" si="120"/>
        <v>#DIV/0!</v>
      </c>
      <c r="AE66" s="9" t="e">
        <f t="shared" ref="AE66:AE67" si="124">MAX(Z66+AD66,-7)</f>
        <v>#DIV/0!</v>
      </c>
      <c r="AF66" s="44" t="e">
        <f t="shared" si="113"/>
        <v>#DIV/0!</v>
      </c>
      <c r="AH66" s="9">
        <v>-7</v>
      </c>
      <c r="AM66" s="9" t="e">
        <f t="shared" si="109"/>
        <v>#DIV/0!</v>
      </c>
    </row>
    <row r="67" spans="1:39" x14ac:dyDescent="0.2">
      <c r="A67" s="2" t="s">
        <v>328</v>
      </c>
      <c r="Z67" s="9">
        <v>-0.24695434747379874</v>
      </c>
      <c r="AA67" s="185" t="e">
        <f>calibration!BG179</f>
        <v>#DIV/0!</v>
      </c>
      <c r="AB67" s="185">
        <f>calibration!BV179</f>
        <v>0</v>
      </c>
      <c r="AC67" s="185" t="e">
        <f t="shared" si="123"/>
        <v>#DIV/0!</v>
      </c>
      <c r="AD67" s="9" t="e">
        <f t="shared" si="120"/>
        <v>#DIV/0!</v>
      </c>
      <c r="AE67" s="9" t="e">
        <f t="shared" si="124"/>
        <v>#DIV/0!</v>
      </c>
      <c r="AF67" s="44" t="e">
        <f t="shared" si="113"/>
        <v>#DIV/0!</v>
      </c>
      <c r="AH67" s="9">
        <v>-0.24695434747379874</v>
      </c>
      <c r="AM67" s="9" t="e">
        <f t="shared" si="109"/>
        <v>#DIV/0!</v>
      </c>
    </row>
    <row r="68" spans="1:39" x14ac:dyDescent="0.2">
      <c r="A68" s="2" t="s">
        <v>329</v>
      </c>
      <c r="Y68" s="51"/>
      <c r="Z68" s="10">
        <v>0</v>
      </c>
      <c r="AA68" s="33" t="e">
        <f>calibration!BG180</f>
        <v>#DIV/0!</v>
      </c>
      <c r="AB68" s="33">
        <f>calibration!BV180</f>
        <v>0</v>
      </c>
      <c r="AC68" s="33" t="e">
        <f t="shared" si="123"/>
        <v>#DIV/0!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FH295"/>
  <sheetViews>
    <sheetView topLeftCell="AW141" zoomScaleNormal="100" workbookViewId="0">
      <selection activeCell="BT169" sqref="BT169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16384" width="9.140625" style="203"/>
  </cols>
  <sheetData>
    <row r="1" spans="2:164" s="232" customFormat="1" ht="12.75" x14ac:dyDescent="0.2">
      <c r="B1" s="1" t="s">
        <v>348</v>
      </c>
      <c r="Y1" s="232" t="s">
        <v>351</v>
      </c>
      <c r="AV1" s="232" t="s">
        <v>351</v>
      </c>
      <c r="BT1" s="232" t="s">
        <v>353</v>
      </c>
      <c r="CQ1" s="232" t="s">
        <v>355</v>
      </c>
      <c r="DP1" s="232" t="s">
        <v>357</v>
      </c>
      <c r="EM1" s="232" t="s">
        <v>359</v>
      </c>
    </row>
    <row r="2" spans="2:164" ht="12.75" x14ac:dyDescent="0.2">
      <c r="B2" s="204"/>
      <c r="H2" s="204"/>
    </row>
    <row r="3" spans="2:164" ht="12.75" x14ac:dyDescent="0.2">
      <c r="B3" s="205" t="s">
        <v>330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352</v>
      </c>
      <c r="AV3" s="5" t="s">
        <v>363</v>
      </c>
      <c r="BT3" s="203" t="s">
        <v>354</v>
      </c>
      <c r="CQ3" s="203" t="s">
        <v>356</v>
      </c>
      <c r="DP3" s="203" t="s">
        <v>358</v>
      </c>
      <c r="EM3" s="203" t="s">
        <v>360</v>
      </c>
    </row>
    <row r="4" spans="2:164" x14ac:dyDescent="0.2">
      <c r="B4" s="203" t="s">
        <v>234</v>
      </c>
      <c r="Y4" s="203" t="s">
        <v>234</v>
      </c>
      <c r="AV4" s="203" t="s">
        <v>234</v>
      </c>
      <c r="BT4" s="203" t="s">
        <v>234</v>
      </c>
      <c r="CO4" s="203" t="s">
        <v>234</v>
      </c>
      <c r="CQ4" s="203" t="s">
        <v>234</v>
      </c>
      <c r="DP4" s="203" t="s">
        <v>234</v>
      </c>
      <c r="EM4" s="203" t="s">
        <v>234</v>
      </c>
    </row>
    <row r="5" spans="2:164" ht="36" x14ac:dyDescent="0.2">
      <c r="B5" s="224" t="s">
        <v>331</v>
      </c>
      <c r="C5" s="225" t="s">
        <v>332</v>
      </c>
      <c r="D5" s="225" t="s">
        <v>333</v>
      </c>
      <c r="E5" s="225" t="s">
        <v>334</v>
      </c>
      <c r="F5" s="225" t="s">
        <v>2</v>
      </c>
      <c r="G5" s="225" t="s">
        <v>3</v>
      </c>
      <c r="H5" s="225" t="s">
        <v>335</v>
      </c>
      <c r="I5" s="225" t="s">
        <v>362</v>
      </c>
      <c r="J5" s="225" t="s">
        <v>349</v>
      </c>
      <c r="K5" s="225" t="s">
        <v>337</v>
      </c>
      <c r="L5" s="225" t="s">
        <v>338</v>
      </c>
      <c r="M5" s="225" t="s">
        <v>339</v>
      </c>
      <c r="N5" s="225" t="s">
        <v>340</v>
      </c>
      <c r="O5" s="225" t="s">
        <v>361</v>
      </c>
      <c r="P5" s="225" t="s">
        <v>350</v>
      </c>
      <c r="Q5" s="225" t="s">
        <v>341</v>
      </c>
      <c r="R5" s="225" t="s">
        <v>342</v>
      </c>
      <c r="S5" s="225" t="s">
        <v>343</v>
      </c>
      <c r="T5" s="225" t="s">
        <v>6</v>
      </c>
      <c r="U5" s="225" t="s">
        <v>344</v>
      </c>
      <c r="V5" s="225" t="s">
        <v>345</v>
      </c>
      <c r="W5" s="226" t="s">
        <v>7</v>
      </c>
      <c r="Y5" s="224" t="s">
        <v>331</v>
      </c>
      <c r="Z5" s="225" t="s">
        <v>332</v>
      </c>
      <c r="AA5" s="225" t="s">
        <v>333</v>
      </c>
      <c r="AB5" s="225" t="s">
        <v>334</v>
      </c>
      <c r="AC5" s="225" t="s">
        <v>2</v>
      </c>
      <c r="AD5" s="225" t="s">
        <v>3</v>
      </c>
      <c r="AE5" s="225" t="s">
        <v>335</v>
      </c>
      <c r="AF5" s="225" t="s">
        <v>362</v>
      </c>
      <c r="AG5" s="225" t="s">
        <v>349</v>
      </c>
      <c r="AH5" s="225" t="s">
        <v>337</v>
      </c>
      <c r="AI5" s="225" t="s">
        <v>338</v>
      </c>
      <c r="AJ5" s="225" t="s">
        <v>339</v>
      </c>
      <c r="AK5" s="225" t="s">
        <v>340</v>
      </c>
      <c r="AL5" s="225" t="s">
        <v>361</v>
      </c>
      <c r="AM5" s="225" t="s">
        <v>350</v>
      </c>
      <c r="AN5" s="225" t="s">
        <v>341</v>
      </c>
      <c r="AO5" s="225" t="s">
        <v>342</v>
      </c>
      <c r="AP5" s="225" t="s">
        <v>343</v>
      </c>
      <c r="AQ5" s="225" t="s">
        <v>6</v>
      </c>
      <c r="AR5" s="225" t="s">
        <v>344</v>
      </c>
      <c r="AS5" s="225" t="s">
        <v>345</v>
      </c>
      <c r="AT5" s="226" t="s">
        <v>7</v>
      </c>
      <c r="AV5" s="224" t="s">
        <v>331</v>
      </c>
      <c r="AW5" s="225" t="s">
        <v>332</v>
      </c>
      <c r="AX5" s="225" t="s">
        <v>333</v>
      </c>
      <c r="AY5" s="225" t="s">
        <v>334</v>
      </c>
      <c r="AZ5" s="225" t="s">
        <v>2</v>
      </c>
      <c r="BA5" s="225" t="s">
        <v>3</v>
      </c>
      <c r="BB5" s="225" t="s">
        <v>335</v>
      </c>
      <c r="BC5" s="225" t="s">
        <v>362</v>
      </c>
      <c r="BD5" s="225" t="s">
        <v>349</v>
      </c>
      <c r="BE5" s="225" t="s">
        <v>337</v>
      </c>
      <c r="BF5" s="225" t="s">
        <v>338</v>
      </c>
      <c r="BG5" s="225" t="s">
        <v>339</v>
      </c>
      <c r="BH5" s="225" t="s">
        <v>340</v>
      </c>
      <c r="BI5" s="225" t="s">
        <v>361</v>
      </c>
      <c r="BJ5" s="225" t="s">
        <v>350</v>
      </c>
      <c r="BK5" s="225" t="s">
        <v>341</v>
      </c>
      <c r="BL5" s="225" t="s">
        <v>342</v>
      </c>
      <c r="BM5" s="225" t="s">
        <v>343</v>
      </c>
      <c r="BN5" s="225" t="s">
        <v>6</v>
      </c>
      <c r="BO5" s="225" t="s">
        <v>344</v>
      </c>
      <c r="BP5" s="225" t="s">
        <v>345</v>
      </c>
      <c r="BQ5" s="226" t="s">
        <v>7</v>
      </c>
      <c r="BR5" s="235"/>
      <c r="BS5" s="236"/>
      <c r="BT5" s="224" t="s">
        <v>331</v>
      </c>
      <c r="BU5" s="225" t="s">
        <v>332</v>
      </c>
      <c r="BV5" s="225" t="s">
        <v>333</v>
      </c>
      <c r="BW5" s="225" t="s">
        <v>334</v>
      </c>
      <c r="BX5" s="225" t="s">
        <v>2</v>
      </c>
      <c r="BY5" s="225" t="s">
        <v>3</v>
      </c>
      <c r="BZ5" s="225" t="s">
        <v>335</v>
      </c>
      <c r="CA5" s="225" t="s">
        <v>362</v>
      </c>
      <c r="CB5" s="225" t="s">
        <v>349</v>
      </c>
      <c r="CC5" s="225" t="s">
        <v>337</v>
      </c>
      <c r="CD5" s="225" t="s">
        <v>338</v>
      </c>
      <c r="CE5" s="225" t="s">
        <v>339</v>
      </c>
      <c r="CF5" s="225" t="s">
        <v>340</v>
      </c>
      <c r="CG5" s="225" t="s">
        <v>361</v>
      </c>
      <c r="CH5" s="225" t="s">
        <v>350</v>
      </c>
      <c r="CI5" s="225" t="s">
        <v>341</v>
      </c>
      <c r="CJ5" s="225" t="s">
        <v>342</v>
      </c>
      <c r="CK5" s="225" t="s">
        <v>343</v>
      </c>
      <c r="CL5" s="225" t="s">
        <v>6</v>
      </c>
      <c r="CM5" s="225" t="s">
        <v>344</v>
      </c>
      <c r="CN5" s="225" t="s">
        <v>345</v>
      </c>
      <c r="CO5" s="226" t="s">
        <v>7</v>
      </c>
      <c r="CP5" s="236"/>
      <c r="CQ5" s="224" t="s">
        <v>331</v>
      </c>
      <c r="CR5" s="225" t="s">
        <v>332</v>
      </c>
      <c r="CS5" s="225" t="s">
        <v>333</v>
      </c>
      <c r="CT5" s="225" t="s">
        <v>334</v>
      </c>
      <c r="CU5" s="225" t="s">
        <v>2</v>
      </c>
      <c r="CV5" s="225" t="s">
        <v>3</v>
      </c>
      <c r="CW5" s="225" t="s">
        <v>335</v>
      </c>
      <c r="CX5" s="225" t="s">
        <v>362</v>
      </c>
      <c r="CY5" s="225" t="s">
        <v>349</v>
      </c>
      <c r="CZ5" s="225" t="s">
        <v>337</v>
      </c>
      <c r="DA5" s="225" t="s">
        <v>338</v>
      </c>
      <c r="DB5" s="225" t="s">
        <v>339</v>
      </c>
      <c r="DC5" s="225" t="s">
        <v>340</v>
      </c>
      <c r="DD5" s="225" t="s">
        <v>361</v>
      </c>
      <c r="DE5" s="225" t="s">
        <v>350</v>
      </c>
      <c r="DF5" s="225" t="s">
        <v>341</v>
      </c>
      <c r="DG5" s="225" t="s">
        <v>342</v>
      </c>
      <c r="DH5" s="225" t="s">
        <v>343</v>
      </c>
      <c r="DI5" s="225" t="s">
        <v>6</v>
      </c>
      <c r="DJ5" s="225" t="s">
        <v>344</v>
      </c>
      <c r="DK5" s="225" t="s">
        <v>345</v>
      </c>
      <c r="DL5" s="226" t="s">
        <v>7</v>
      </c>
      <c r="DM5" s="235"/>
      <c r="DN5" s="235"/>
      <c r="DO5" s="236"/>
      <c r="DP5" s="224" t="s">
        <v>331</v>
      </c>
      <c r="DQ5" s="225" t="s">
        <v>332</v>
      </c>
      <c r="DR5" s="225" t="s">
        <v>333</v>
      </c>
      <c r="DS5" s="225" t="s">
        <v>334</v>
      </c>
      <c r="DT5" s="225" t="s">
        <v>2</v>
      </c>
      <c r="DU5" s="225" t="s">
        <v>3</v>
      </c>
      <c r="DV5" s="225" t="s">
        <v>335</v>
      </c>
      <c r="DW5" s="225" t="s">
        <v>362</v>
      </c>
      <c r="DX5" s="225" t="s">
        <v>349</v>
      </c>
      <c r="DY5" s="225" t="s">
        <v>337</v>
      </c>
      <c r="DZ5" s="225" t="s">
        <v>338</v>
      </c>
      <c r="EA5" s="225" t="s">
        <v>339</v>
      </c>
      <c r="EB5" s="225" t="s">
        <v>340</v>
      </c>
      <c r="EC5" s="225" t="s">
        <v>361</v>
      </c>
      <c r="ED5" s="225" t="s">
        <v>350</v>
      </c>
      <c r="EE5" s="225" t="s">
        <v>341</v>
      </c>
      <c r="EF5" s="225" t="s">
        <v>342</v>
      </c>
      <c r="EG5" s="225" t="s">
        <v>343</v>
      </c>
      <c r="EH5" s="225" t="s">
        <v>6</v>
      </c>
      <c r="EI5" s="225" t="s">
        <v>344</v>
      </c>
      <c r="EJ5" s="225" t="s">
        <v>345</v>
      </c>
      <c r="EK5" s="226" t="s">
        <v>7</v>
      </c>
      <c r="EL5" s="239"/>
      <c r="EM5" s="224" t="s">
        <v>331</v>
      </c>
      <c r="EN5" s="225" t="s">
        <v>332</v>
      </c>
      <c r="EO5" s="225" t="s">
        <v>333</v>
      </c>
      <c r="EP5" s="225" t="s">
        <v>334</v>
      </c>
      <c r="EQ5" s="225" t="s">
        <v>2</v>
      </c>
      <c r="ER5" s="225" t="s">
        <v>3</v>
      </c>
      <c r="ES5" s="225" t="s">
        <v>335</v>
      </c>
      <c r="ET5" s="225" t="s">
        <v>362</v>
      </c>
      <c r="EU5" s="225" t="s">
        <v>349</v>
      </c>
      <c r="EV5" s="225" t="s">
        <v>337</v>
      </c>
      <c r="EW5" s="225" t="s">
        <v>338</v>
      </c>
      <c r="EX5" s="225" t="s">
        <v>339</v>
      </c>
      <c r="EY5" s="225" t="s">
        <v>340</v>
      </c>
      <c r="EZ5" s="225" t="s">
        <v>361</v>
      </c>
      <c r="FA5" s="225" t="s">
        <v>350</v>
      </c>
      <c r="FB5" s="225" t="s">
        <v>341</v>
      </c>
      <c r="FC5" s="225" t="s">
        <v>342</v>
      </c>
      <c r="FD5" s="225" t="s">
        <v>343</v>
      </c>
      <c r="FE5" s="225" t="s">
        <v>6</v>
      </c>
      <c r="FF5" s="225" t="s">
        <v>344</v>
      </c>
      <c r="FG5" s="225" t="s">
        <v>345</v>
      </c>
      <c r="FH5" s="226" t="s">
        <v>7</v>
      </c>
    </row>
    <row r="6" spans="2:164" x14ac:dyDescent="0.2">
      <c r="B6" s="233" t="s">
        <v>332</v>
      </c>
      <c r="C6" s="227">
        <v>10195</v>
      </c>
      <c r="D6" s="227">
        <v>1235</v>
      </c>
      <c r="E6" s="227">
        <v>327</v>
      </c>
      <c r="F6" s="227">
        <v>12</v>
      </c>
      <c r="G6" s="227">
        <v>1</v>
      </c>
      <c r="H6" s="227">
        <v>64</v>
      </c>
      <c r="I6" s="227">
        <v>20</v>
      </c>
      <c r="J6" s="227">
        <v>13</v>
      </c>
      <c r="K6" s="227">
        <v>4</v>
      </c>
      <c r="L6" s="227">
        <v>33</v>
      </c>
      <c r="M6" s="227">
        <v>15</v>
      </c>
      <c r="N6" s="227">
        <v>5</v>
      </c>
      <c r="O6" s="227">
        <v>4</v>
      </c>
      <c r="P6" s="227">
        <v>1</v>
      </c>
      <c r="Q6" s="227">
        <v>3</v>
      </c>
      <c r="R6" s="227">
        <v>26</v>
      </c>
      <c r="S6" s="227">
        <v>8</v>
      </c>
      <c r="T6" s="227">
        <v>3</v>
      </c>
      <c r="U6" s="227">
        <v>20</v>
      </c>
      <c r="V6" s="227">
        <v>0</v>
      </c>
      <c r="W6" s="230">
        <v>11989</v>
      </c>
      <c r="Y6" s="233" t="s">
        <v>332</v>
      </c>
      <c r="Z6" s="227">
        <v>3150631.2657023789</v>
      </c>
      <c r="AA6" s="227">
        <v>553324.69847028947</v>
      </c>
      <c r="AB6" s="227">
        <v>188749.48718289469</v>
      </c>
      <c r="AC6" s="254">
        <v>2084.1394413035173</v>
      </c>
      <c r="AD6" s="254">
        <v>13.861670110279343</v>
      </c>
      <c r="AE6" s="254">
        <v>6605.5610438122512</v>
      </c>
      <c r="AF6" s="254">
        <v>1653.5462311585527</v>
      </c>
      <c r="AG6" s="254">
        <v>676.21845044565714</v>
      </c>
      <c r="AH6" s="254">
        <v>380.15928640592591</v>
      </c>
      <c r="AI6" s="254">
        <v>10993.993483962058</v>
      </c>
      <c r="AJ6" s="254">
        <v>3707.247894280526</v>
      </c>
      <c r="AK6" s="254">
        <v>146.58730295976625</v>
      </c>
      <c r="AL6" s="254">
        <v>1138.123148738998</v>
      </c>
      <c r="AM6" s="254">
        <v>64.964708127517937</v>
      </c>
      <c r="AN6" s="254">
        <v>966.12271953817833</v>
      </c>
      <c r="AO6" s="254">
        <v>7814.8974775053066</v>
      </c>
      <c r="AP6" s="254">
        <v>1412.9808529647273</v>
      </c>
      <c r="AQ6" s="254">
        <v>188.24890763720143</v>
      </c>
      <c r="AR6" s="254">
        <v>5348.8455515542109</v>
      </c>
      <c r="AS6" s="254">
        <v>0</v>
      </c>
      <c r="AT6" s="230">
        <v>3935900.9495260678</v>
      </c>
      <c r="AV6" s="233" t="s">
        <v>332</v>
      </c>
      <c r="AW6" s="227">
        <v>3150631.2657023789</v>
      </c>
      <c r="AX6" s="227">
        <v>553324.69847028947</v>
      </c>
      <c r="AY6" s="227">
        <v>188749.48718289469</v>
      </c>
      <c r="AZ6" s="232">
        <v>0</v>
      </c>
      <c r="BA6" s="259">
        <v>0</v>
      </c>
      <c r="BB6" s="232">
        <v>0</v>
      </c>
      <c r="BC6" s="232">
        <v>0</v>
      </c>
      <c r="BD6" s="232">
        <v>0</v>
      </c>
      <c r="BE6" s="232">
        <v>0</v>
      </c>
      <c r="BF6" s="232">
        <v>0</v>
      </c>
      <c r="BG6" s="232">
        <v>0</v>
      </c>
      <c r="BH6" s="232">
        <v>0</v>
      </c>
      <c r="BI6" s="232">
        <v>0</v>
      </c>
      <c r="BJ6" s="232">
        <v>0</v>
      </c>
      <c r="BK6" s="232">
        <v>0</v>
      </c>
      <c r="BL6" s="232">
        <v>0</v>
      </c>
      <c r="BM6" s="232">
        <v>0</v>
      </c>
      <c r="BN6" s="232">
        <v>0</v>
      </c>
      <c r="BO6" s="232">
        <v>0</v>
      </c>
      <c r="BP6" s="254">
        <v>0</v>
      </c>
      <c r="BQ6" s="230">
        <f t="shared" ref="BQ6:BQ25" si="0">SUM(AW6:BP6)</f>
        <v>3892705.451355563</v>
      </c>
      <c r="BR6" s="237"/>
      <c r="BS6" s="227"/>
      <c r="BT6" s="233" t="s">
        <v>332</v>
      </c>
      <c r="BU6" s="227">
        <v>1113</v>
      </c>
      <c r="BV6" s="227">
        <v>107</v>
      </c>
      <c r="BW6" s="227">
        <v>34</v>
      </c>
      <c r="BX6" s="227">
        <v>0</v>
      </c>
      <c r="BY6" s="227">
        <v>0</v>
      </c>
      <c r="BZ6" s="227">
        <v>4</v>
      </c>
      <c r="CA6" s="227">
        <v>0</v>
      </c>
      <c r="CB6" s="227">
        <v>2</v>
      </c>
      <c r="CC6" s="227">
        <v>0</v>
      </c>
      <c r="CD6" s="227">
        <v>1</v>
      </c>
      <c r="CE6" s="227">
        <v>0</v>
      </c>
      <c r="CF6" s="227">
        <v>0</v>
      </c>
      <c r="CG6" s="227">
        <v>0</v>
      </c>
      <c r="CH6" s="227">
        <v>1</v>
      </c>
      <c r="CI6" s="227">
        <v>0</v>
      </c>
      <c r="CJ6" s="227">
        <v>2</v>
      </c>
      <c r="CK6" s="227">
        <v>3</v>
      </c>
      <c r="CL6" s="227">
        <v>0</v>
      </c>
      <c r="CM6" s="227">
        <v>2</v>
      </c>
      <c r="CN6" s="227">
        <v>0</v>
      </c>
      <c r="CO6" s="230">
        <v>1269</v>
      </c>
      <c r="CP6" s="227"/>
      <c r="CQ6" s="233" t="s">
        <v>332</v>
      </c>
      <c r="CR6" s="227">
        <v>307471.74580857839</v>
      </c>
      <c r="CS6" s="227">
        <v>27744.16108125672</v>
      </c>
      <c r="CT6" s="227">
        <v>26340.166263875268</v>
      </c>
      <c r="CU6" s="227">
        <v>0</v>
      </c>
      <c r="CV6" s="227">
        <v>0</v>
      </c>
      <c r="CW6" s="227">
        <v>90.438803270419484</v>
      </c>
      <c r="CX6" s="227">
        <v>0</v>
      </c>
      <c r="CY6" s="227">
        <v>183.19387710788618</v>
      </c>
      <c r="CZ6" s="227">
        <v>0</v>
      </c>
      <c r="DA6" s="227">
        <v>3937.9968525111481</v>
      </c>
      <c r="DB6" s="227">
        <v>0</v>
      </c>
      <c r="DC6" s="227">
        <v>0</v>
      </c>
      <c r="DD6" s="227">
        <v>0</v>
      </c>
      <c r="DE6" s="227">
        <v>64.964708127517937</v>
      </c>
      <c r="DF6" s="227">
        <v>0</v>
      </c>
      <c r="DG6" s="227">
        <v>851.71137904650811</v>
      </c>
      <c r="DH6" s="227">
        <v>96.273326006239529</v>
      </c>
      <c r="DI6" s="227">
        <v>0</v>
      </c>
      <c r="DJ6" s="227">
        <v>2536.7430136143917</v>
      </c>
      <c r="DK6" s="227">
        <v>0</v>
      </c>
      <c r="DL6" s="230">
        <v>369317.39511339436</v>
      </c>
      <c r="DM6" s="237"/>
      <c r="DN6" s="237"/>
      <c r="DO6" s="227"/>
      <c r="DP6" s="233" t="s">
        <v>332</v>
      </c>
      <c r="DQ6" s="227">
        <v>1874</v>
      </c>
      <c r="DR6" s="227">
        <v>197</v>
      </c>
      <c r="DS6" s="227">
        <v>50</v>
      </c>
      <c r="DT6" s="227">
        <v>0</v>
      </c>
      <c r="DU6" s="227">
        <v>0</v>
      </c>
      <c r="DV6" s="227">
        <v>4</v>
      </c>
      <c r="DW6" s="227">
        <v>0</v>
      </c>
      <c r="DX6" s="227">
        <v>5</v>
      </c>
      <c r="DY6" s="227">
        <v>0</v>
      </c>
      <c r="DZ6" s="227">
        <v>1</v>
      </c>
      <c r="EA6" s="227">
        <v>1</v>
      </c>
      <c r="EB6" s="227">
        <v>0</v>
      </c>
      <c r="EC6" s="227">
        <v>2</v>
      </c>
      <c r="ED6" s="227">
        <v>1</v>
      </c>
      <c r="EE6" s="227">
        <v>2</v>
      </c>
      <c r="EF6" s="227">
        <v>2</v>
      </c>
      <c r="EG6" s="227">
        <v>3</v>
      </c>
      <c r="EH6" s="227">
        <v>0</v>
      </c>
      <c r="EI6" s="227">
        <v>2</v>
      </c>
      <c r="EJ6" s="227">
        <v>0</v>
      </c>
      <c r="EK6" s="230">
        <v>2144</v>
      </c>
      <c r="EL6" s="227"/>
      <c r="EM6" s="233" t="s">
        <v>332</v>
      </c>
      <c r="EN6" s="227">
        <v>661157.65791305795</v>
      </c>
      <c r="EO6" s="227">
        <v>78071.765625504006</v>
      </c>
      <c r="EP6" s="227">
        <v>52047.479006652022</v>
      </c>
      <c r="EQ6" s="227">
        <v>0</v>
      </c>
      <c r="ER6" s="227">
        <v>0</v>
      </c>
      <c r="ES6" s="227">
        <v>90.438803270419484</v>
      </c>
      <c r="ET6" s="227">
        <v>0</v>
      </c>
      <c r="EU6" s="227">
        <v>327.58800987971256</v>
      </c>
      <c r="EV6" s="227">
        <v>0</v>
      </c>
      <c r="EW6" s="227">
        <v>3937.9968525111481</v>
      </c>
      <c r="EX6" s="227">
        <v>56.928103847561133</v>
      </c>
      <c r="EY6" s="227">
        <v>0</v>
      </c>
      <c r="EZ6" s="227">
        <v>887.88867565045473</v>
      </c>
      <c r="FA6" s="227">
        <v>64.964708127517937</v>
      </c>
      <c r="FB6" s="227">
        <v>920.89427909405379</v>
      </c>
      <c r="FC6" s="227">
        <v>851.71137904650811</v>
      </c>
      <c r="FD6" s="227">
        <v>96.273326006239529</v>
      </c>
      <c r="FE6" s="227">
        <v>0</v>
      </c>
      <c r="FF6" s="227">
        <v>2536.7430136143917</v>
      </c>
      <c r="FG6" s="227">
        <v>0</v>
      </c>
      <c r="FH6" s="230">
        <v>801048.32969626214</v>
      </c>
    </row>
    <row r="7" spans="2:164" x14ac:dyDescent="0.2">
      <c r="B7" s="215" t="s">
        <v>333</v>
      </c>
      <c r="C7" s="227">
        <v>0</v>
      </c>
      <c r="D7" s="227">
        <v>1579</v>
      </c>
      <c r="E7" s="227">
        <v>192</v>
      </c>
      <c r="F7" s="227">
        <v>0</v>
      </c>
      <c r="G7" s="227">
        <v>0</v>
      </c>
      <c r="H7" s="227">
        <v>74</v>
      </c>
      <c r="I7" s="227">
        <v>17</v>
      </c>
      <c r="J7" s="227">
        <v>1</v>
      </c>
      <c r="K7" s="227">
        <v>3</v>
      </c>
      <c r="L7" s="227">
        <v>43</v>
      </c>
      <c r="M7" s="227">
        <v>21</v>
      </c>
      <c r="N7" s="227">
        <v>1</v>
      </c>
      <c r="O7" s="227">
        <v>0</v>
      </c>
      <c r="P7" s="227">
        <v>7</v>
      </c>
      <c r="Q7" s="227">
        <v>0</v>
      </c>
      <c r="R7" s="227">
        <v>21</v>
      </c>
      <c r="S7" s="227">
        <v>11</v>
      </c>
      <c r="T7" s="227">
        <v>1</v>
      </c>
      <c r="U7" s="227">
        <v>15</v>
      </c>
      <c r="V7" s="227">
        <v>2</v>
      </c>
      <c r="W7" s="230">
        <v>1988</v>
      </c>
      <c r="Y7" s="215" t="s">
        <v>333</v>
      </c>
      <c r="Z7" s="227">
        <v>0</v>
      </c>
      <c r="AA7" s="227">
        <v>540615.18394727004</v>
      </c>
      <c r="AB7" s="227">
        <v>147121.61556636461</v>
      </c>
      <c r="AC7" s="227">
        <v>0</v>
      </c>
      <c r="AD7" s="227">
        <v>0</v>
      </c>
      <c r="AE7" s="227">
        <v>12750.76859623253</v>
      </c>
      <c r="AF7" s="227">
        <v>1088.04572864191</v>
      </c>
      <c r="AG7" s="227">
        <v>395.15166578344184</v>
      </c>
      <c r="AH7" s="227">
        <v>209.46042588192657</v>
      </c>
      <c r="AI7" s="227">
        <v>2022.3165485776053</v>
      </c>
      <c r="AJ7" s="227">
        <v>2949.213234485067</v>
      </c>
      <c r="AK7" s="254">
        <v>8.37838897845592</v>
      </c>
      <c r="AL7" s="254">
        <v>0</v>
      </c>
      <c r="AM7" s="254">
        <v>911.17614934992366</v>
      </c>
      <c r="AN7" s="254">
        <v>0</v>
      </c>
      <c r="AO7" s="254">
        <v>2225.5614073542565</v>
      </c>
      <c r="AP7" s="254">
        <v>4382.6047927155005</v>
      </c>
      <c r="AQ7" s="227">
        <v>95.345009500938488</v>
      </c>
      <c r="AR7" s="227">
        <v>1361.0218226921061</v>
      </c>
      <c r="AS7" s="227">
        <v>254.21615754617852</v>
      </c>
      <c r="AT7" s="230">
        <v>716390.05944137461</v>
      </c>
      <c r="AV7" s="215" t="s">
        <v>333</v>
      </c>
      <c r="AW7" s="227">
        <v>0</v>
      </c>
      <c r="AX7" s="227">
        <v>540615.18394727004</v>
      </c>
      <c r="AY7" s="227">
        <v>147121.61556636461</v>
      </c>
      <c r="AZ7" s="227">
        <v>0</v>
      </c>
      <c r="BA7" s="227">
        <v>0</v>
      </c>
      <c r="BB7" s="227">
        <v>12750.76859623253</v>
      </c>
      <c r="BC7" s="227">
        <v>1088.04572864191</v>
      </c>
      <c r="BD7" s="227">
        <v>395.15166578344184</v>
      </c>
      <c r="BE7" s="227">
        <v>209.46042588192657</v>
      </c>
      <c r="BF7" s="227">
        <v>2022.3165485776053</v>
      </c>
      <c r="BG7" s="227">
        <v>2949.213234485067</v>
      </c>
      <c r="BH7" s="232">
        <v>0</v>
      </c>
      <c r="BI7" s="254">
        <v>0</v>
      </c>
      <c r="BJ7" s="232">
        <v>0</v>
      </c>
      <c r="BK7" s="254">
        <v>0</v>
      </c>
      <c r="BL7" s="232">
        <v>0</v>
      </c>
      <c r="BM7" s="232">
        <v>0</v>
      </c>
      <c r="BN7" s="227">
        <v>95.345009500938488</v>
      </c>
      <c r="BO7" s="227">
        <v>1361.0218226921061</v>
      </c>
      <c r="BP7" s="227">
        <v>254.21615754617852</v>
      </c>
      <c r="BQ7" s="230">
        <f t="shared" si="0"/>
        <v>708862.33870297635</v>
      </c>
      <c r="BR7" s="237"/>
      <c r="BS7" s="227"/>
      <c r="BT7" s="215" t="s">
        <v>333</v>
      </c>
      <c r="BU7" s="227">
        <v>0</v>
      </c>
      <c r="BV7" s="227">
        <v>148</v>
      </c>
      <c r="BW7" s="227">
        <v>25</v>
      </c>
      <c r="BX7" s="227">
        <v>0</v>
      </c>
      <c r="BY7" s="227">
        <v>0</v>
      </c>
      <c r="BZ7" s="227">
        <v>2</v>
      </c>
      <c r="CA7" s="227">
        <v>0</v>
      </c>
      <c r="CB7" s="227">
        <v>0</v>
      </c>
      <c r="CC7" s="227">
        <v>0</v>
      </c>
      <c r="CD7" s="227">
        <v>0</v>
      </c>
      <c r="CE7" s="227">
        <v>0</v>
      </c>
      <c r="CF7" s="227">
        <v>0</v>
      </c>
      <c r="CG7" s="227">
        <v>0</v>
      </c>
      <c r="CH7" s="227">
        <v>1</v>
      </c>
      <c r="CI7" s="227">
        <v>0</v>
      </c>
      <c r="CJ7" s="227">
        <v>0</v>
      </c>
      <c r="CK7" s="227">
        <v>0</v>
      </c>
      <c r="CL7" s="227">
        <v>0</v>
      </c>
      <c r="CM7" s="227">
        <v>0</v>
      </c>
      <c r="CN7" s="227">
        <v>0</v>
      </c>
      <c r="CO7" s="230">
        <v>176</v>
      </c>
      <c r="CP7" s="227"/>
      <c r="CQ7" s="215" t="s">
        <v>333</v>
      </c>
      <c r="CR7" s="227">
        <v>0</v>
      </c>
      <c r="CS7" s="227">
        <v>45446.91552166894</v>
      </c>
      <c r="CT7" s="227">
        <v>3876.3082125234951</v>
      </c>
      <c r="CU7" s="227">
        <v>0</v>
      </c>
      <c r="CV7" s="227">
        <v>0</v>
      </c>
      <c r="CW7" s="227">
        <v>84.668459005861166</v>
      </c>
      <c r="CX7" s="227">
        <v>0</v>
      </c>
      <c r="CY7" s="227">
        <v>0</v>
      </c>
      <c r="CZ7" s="227">
        <v>0</v>
      </c>
      <c r="DA7" s="227">
        <v>0</v>
      </c>
      <c r="DB7" s="227">
        <v>0</v>
      </c>
      <c r="DC7" s="227">
        <v>0</v>
      </c>
      <c r="DD7" s="227">
        <v>0</v>
      </c>
      <c r="DE7" s="227">
        <v>64.468210900804166</v>
      </c>
      <c r="DF7" s="227">
        <v>0</v>
      </c>
      <c r="DG7" s="227">
        <v>0</v>
      </c>
      <c r="DH7" s="227">
        <v>0</v>
      </c>
      <c r="DI7" s="227">
        <v>0</v>
      </c>
      <c r="DJ7" s="227">
        <v>0</v>
      </c>
      <c r="DK7" s="227">
        <v>0</v>
      </c>
      <c r="DL7" s="230">
        <v>49472.360404099098</v>
      </c>
      <c r="DM7" s="237"/>
      <c r="DN7" s="237"/>
      <c r="DO7" s="227"/>
      <c r="DP7" s="215" t="s">
        <v>333</v>
      </c>
      <c r="DQ7" s="227">
        <v>0</v>
      </c>
      <c r="DR7" s="227">
        <v>244</v>
      </c>
      <c r="DS7" s="227">
        <v>37</v>
      </c>
      <c r="DT7" s="227">
        <v>0</v>
      </c>
      <c r="DU7" s="227">
        <v>0</v>
      </c>
      <c r="DV7" s="227">
        <v>2</v>
      </c>
      <c r="DW7" s="227">
        <v>0</v>
      </c>
      <c r="DX7" s="227">
        <v>0</v>
      </c>
      <c r="DY7" s="227">
        <v>0</v>
      </c>
      <c r="DZ7" s="227">
        <v>0</v>
      </c>
      <c r="EA7" s="227">
        <v>0</v>
      </c>
      <c r="EB7" s="227">
        <v>0</v>
      </c>
      <c r="EC7" s="227">
        <v>0</v>
      </c>
      <c r="ED7" s="227">
        <v>1</v>
      </c>
      <c r="EE7" s="227">
        <v>0</v>
      </c>
      <c r="EF7" s="227">
        <v>0</v>
      </c>
      <c r="EG7" s="227">
        <v>1</v>
      </c>
      <c r="EH7" s="227">
        <v>0</v>
      </c>
      <c r="EI7" s="227">
        <v>0</v>
      </c>
      <c r="EJ7" s="227">
        <v>0</v>
      </c>
      <c r="EK7" s="230">
        <v>285</v>
      </c>
      <c r="EL7" s="227"/>
      <c r="EM7" s="215" t="s">
        <v>333</v>
      </c>
      <c r="EN7" s="227">
        <v>0</v>
      </c>
      <c r="EO7" s="227">
        <v>99961.396346516747</v>
      </c>
      <c r="EP7" s="227">
        <v>16335.500741475185</v>
      </c>
      <c r="EQ7" s="227">
        <v>0</v>
      </c>
      <c r="ER7" s="227">
        <v>0</v>
      </c>
      <c r="ES7" s="227">
        <v>84.668459005861166</v>
      </c>
      <c r="ET7" s="227">
        <v>0</v>
      </c>
      <c r="EU7" s="227">
        <v>0</v>
      </c>
      <c r="EV7" s="227">
        <v>0</v>
      </c>
      <c r="EW7" s="227">
        <v>0</v>
      </c>
      <c r="EX7" s="227">
        <v>0</v>
      </c>
      <c r="EY7" s="227">
        <v>0</v>
      </c>
      <c r="EZ7" s="227">
        <v>0</v>
      </c>
      <c r="FA7" s="227">
        <v>64.468210900804166</v>
      </c>
      <c r="FB7" s="227">
        <v>0</v>
      </c>
      <c r="FC7" s="227">
        <v>0</v>
      </c>
      <c r="FD7" s="227">
        <v>1807.5207853197044</v>
      </c>
      <c r="FE7" s="227">
        <v>0</v>
      </c>
      <c r="FF7" s="227">
        <v>0</v>
      </c>
      <c r="FG7" s="227">
        <v>0</v>
      </c>
      <c r="FH7" s="230">
        <v>118253.5545432183</v>
      </c>
    </row>
    <row r="8" spans="2:164" ht="24" x14ac:dyDescent="0.2">
      <c r="B8" s="216" t="s">
        <v>334</v>
      </c>
      <c r="C8" s="227">
        <v>0</v>
      </c>
      <c r="D8" s="228">
        <v>0</v>
      </c>
      <c r="E8" s="229">
        <v>357</v>
      </c>
      <c r="F8" s="229">
        <v>0</v>
      </c>
      <c r="G8" s="229">
        <v>0</v>
      </c>
      <c r="H8" s="229">
        <v>27</v>
      </c>
      <c r="I8" s="229">
        <v>11</v>
      </c>
      <c r="J8" s="229">
        <v>1</v>
      </c>
      <c r="K8" s="229">
        <v>1</v>
      </c>
      <c r="L8" s="229">
        <v>30</v>
      </c>
      <c r="M8" s="229">
        <v>4</v>
      </c>
      <c r="N8" s="229">
        <v>0</v>
      </c>
      <c r="O8" s="229">
        <v>2</v>
      </c>
      <c r="P8" s="229">
        <v>1</v>
      </c>
      <c r="Q8" s="229">
        <v>0</v>
      </c>
      <c r="R8" s="229">
        <v>7</v>
      </c>
      <c r="S8" s="229">
        <v>6</v>
      </c>
      <c r="T8" s="229">
        <v>0</v>
      </c>
      <c r="U8" s="229">
        <v>6</v>
      </c>
      <c r="V8" s="229">
        <v>0</v>
      </c>
      <c r="W8" s="231">
        <v>453</v>
      </c>
      <c r="X8" s="207"/>
      <c r="Y8" s="216" t="s">
        <v>334</v>
      </c>
      <c r="Z8" s="227">
        <v>0</v>
      </c>
      <c r="AA8" s="228">
        <v>0</v>
      </c>
      <c r="AB8" s="229">
        <v>197288.97648080761</v>
      </c>
      <c r="AC8" s="229">
        <v>0</v>
      </c>
      <c r="AD8" s="229">
        <v>0</v>
      </c>
      <c r="AE8" s="229">
        <v>6814.3687529687913</v>
      </c>
      <c r="AF8" s="229">
        <v>2455.4584780719306</v>
      </c>
      <c r="AG8" s="229">
        <v>31.303885766013298</v>
      </c>
      <c r="AH8" s="229">
        <v>14.593588437183959</v>
      </c>
      <c r="AI8" s="229">
        <v>4388.8289797434409</v>
      </c>
      <c r="AJ8" s="229">
        <v>1636.6473429914217</v>
      </c>
      <c r="AK8" s="256">
        <v>0</v>
      </c>
      <c r="AL8" s="256">
        <v>315.53746053425516</v>
      </c>
      <c r="AM8" s="256">
        <v>31.303885766013298</v>
      </c>
      <c r="AN8" s="256">
        <v>0</v>
      </c>
      <c r="AO8" s="256">
        <v>8439.9297942068915</v>
      </c>
      <c r="AP8" s="256">
        <v>1747.2854341656939</v>
      </c>
      <c r="AQ8" s="229">
        <v>0</v>
      </c>
      <c r="AR8" s="229">
        <v>255.73529059473145</v>
      </c>
      <c r="AS8" s="229">
        <v>0</v>
      </c>
      <c r="AT8" s="231">
        <v>223419.969374054</v>
      </c>
      <c r="AV8" s="216" t="s">
        <v>334</v>
      </c>
      <c r="AW8" s="227">
        <v>0</v>
      </c>
      <c r="AX8" s="228">
        <v>0</v>
      </c>
      <c r="AY8" s="229">
        <v>197288.97648080761</v>
      </c>
      <c r="AZ8" s="229">
        <v>0</v>
      </c>
      <c r="BA8" s="229">
        <v>0</v>
      </c>
      <c r="BB8" s="229">
        <v>6814.3687529687913</v>
      </c>
      <c r="BC8" s="229">
        <v>2455.4584780719306</v>
      </c>
      <c r="BD8" s="229">
        <v>31.303885766013298</v>
      </c>
      <c r="BE8" s="229">
        <v>14.593588437183959</v>
      </c>
      <c r="BF8" s="229">
        <v>4388.8289797434409</v>
      </c>
      <c r="BG8" s="229">
        <v>1636.6473429914217</v>
      </c>
      <c r="BH8" s="256">
        <v>0</v>
      </c>
      <c r="BI8" s="260">
        <v>0</v>
      </c>
      <c r="BJ8" s="260">
        <v>0</v>
      </c>
      <c r="BK8" s="256">
        <v>0</v>
      </c>
      <c r="BL8" s="260">
        <v>0</v>
      </c>
      <c r="BM8" s="260">
        <v>0</v>
      </c>
      <c r="BN8" s="229">
        <v>0</v>
      </c>
      <c r="BO8" s="229">
        <v>255.73529059473145</v>
      </c>
      <c r="BP8" s="229">
        <v>0</v>
      </c>
      <c r="BQ8" s="230">
        <f t="shared" si="0"/>
        <v>212885.91279938113</v>
      </c>
      <c r="BR8" s="238"/>
      <c r="BS8" s="227"/>
      <c r="BT8" s="216" t="s">
        <v>334</v>
      </c>
      <c r="BU8" s="227">
        <v>0</v>
      </c>
      <c r="BV8" s="228">
        <v>0</v>
      </c>
      <c r="BW8" s="229">
        <v>30</v>
      </c>
      <c r="BX8" s="229">
        <v>0</v>
      </c>
      <c r="BY8" s="229">
        <v>0</v>
      </c>
      <c r="BZ8" s="229">
        <v>0</v>
      </c>
      <c r="CA8" s="229">
        <v>0</v>
      </c>
      <c r="CB8" s="229">
        <v>0</v>
      </c>
      <c r="CC8" s="229">
        <v>0</v>
      </c>
      <c r="CD8" s="229">
        <v>0</v>
      </c>
      <c r="CE8" s="229">
        <v>0</v>
      </c>
      <c r="CF8" s="229">
        <v>0</v>
      </c>
      <c r="CG8" s="229">
        <v>0</v>
      </c>
      <c r="CH8" s="229">
        <v>0</v>
      </c>
      <c r="CI8" s="229">
        <v>0</v>
      </c>
      <c r="CJ8" s="229">
        <v>0</v>
      </c>
      <c r="CK8" s="229">
        <v>0</v>
      </c>
      <c r="CL8" s="229">
        <v>0</v>
      </c>
      <c r="CM8" s="229">
        <v>0</v>
      </c>
      <c r="CN8" s="229">
        <v>0</v>
      </c>
      <c r="CO8" s="231">
        <v>30</v>
      </c>
      <c r="CP8" s="227"/>
      <c r="CQ8" s="216" t="s">
        <v>334</v>
      </c>
      <c r="CR8" s="227">
        <v>0</v>
      </c>
      <c r="CS8" s="228">
        <v>0</v>
      </c>
      <c r="CT8" s="229">
        <v>22486.812681663941</v>
      </c>
      <c r="CU8" s="229">
        <v>0</v>
      </c>
      <c r="CV8" s="229">
        <v>0</v>
      </c>
      <c r="CW8" s="229">
        <v>0</v>
      </c>
      <c r="CX8" s="229">
        <v>0</v>
      </c>
      <c r="CY8" s="229">
        <v>0</v>
      </c>
      <c r="CZ8" s="229">
        <v>0</v>
      </c>
      <c r="DA8" s="229">
        <v>0</v>
      </c>
      <c r="DB8" s="229">
        <v>0</v>
      </c>
      <c r="DC8" s="229">
        <v>0</v>
      </c>
      <c r="DD8" s="229">
        <v>0</v>
      </c>
      <c r="DE8" s="229">
        <v>0</v>
      </c>
      <c r="DF8" s="229">
        <v>0</v>
      </c>
      <c r="DG8" s="229">
        <v>0</v>
      </c>
      <c r="DH8" s="229">
        <v>0</v>
      </c>
      <c r="DI8" s="229">
        <v>0</v>
      </c>
      <c r="DJ8" s="229">
        <v>0</v>
      </c>
      <c r="DK8" s="229">
        <v>0</v>
      </c>
      <c r="DL8" s="231">
        <v>22486.812681663941</v>
      </c>
      <c r="DM8" s="238"/>
      <c r="DN8" s="238"/>
      <c r="DO8" s="227"/>
      <c r="DP8" s="216" t="s">
        <v>334</v>
      </c>
      <c r="DQ8" s="227">
        <v>0</v>
      </c>
      <c r="DR8" s="228">
        <v>0</v>
      </c>
      <c r="DS8" s="229">
        <v>45</v>
      </c>
      <c r="DT8" s="229">
        <v>0</v>
      </c>
      <c r="DU8" s="229">
        <v>0</v>
      </c>
      <c r="DV8" s="229">
        <v>0</v>
      </c>
      <c r="DW8" s="229">
        <v>0</v>
      </c>
      <c r="DX8" s="229">
        <v>0</v>
      </c>
      <c r="DY8" s="229">
        <v>0</v>
      </c>
      <c r="DZ8" s="229">
        <v>0</v>
      </c>
      <c r="EA8" s="229">
        <v>0</v>
      </c>
      <c r="EB8" s="229">
        <v>0</v>
      </c>
      <c r="EC8" s="229">
        <v>0</v>
      </c>
      <c r="ED8" s="229">
        <v>0</v>
      </c>
      <c r="EE8" s="229">
        <v>0</v>
      </c>
      <c r="EF8" s="229">
        <v>0</v>
      </c>
      <c r="EG8" s="229">
        <v>0</v>
      </c>
      <c r="EH8" s="229">
        <v>0</v>
      </c>
      <c r="EI8" s="229">
        <v>0</v>
      </c>
      <c r="EJ8" s="229">
        <v>0</v>
      </c>
      <c r="EK8" s="231">
        <v>45</v>
      </c>
      <c r="EL8" s="228"/>
      <c r="EM8" s="216" t="s">
        <v>334</v>
      </c>
      <c r="EN8" s="227">
        <v>0</v>
      </c>
      <c r="EO8" s="228">
        <v>0</v>
      </c>
      <c r="EP8" s="229">
        <v>35966.705398564896</v>
      </c>
      <c r="EQ8" s="229">
        <v>0</v>
      </c>
      <c r="ER8" s="229">
        <v>0</v>
      </c>
      <c r="ES8" s="229">
        <v>0</v>
      </c>
      <c r="ET8" s="229">
        <v>0</v>
      </c>
      <c r="EU8" s="229">
        <v>0</v>
      </c>
      <c r="EV8" s="229">
        <v>0</v>
      </c>
      <c r="EW8" s="229">
        <v>0</v>
      </c>
      <c r="EX8" s="229">
        <v>0</v>
      </c>
      <c r="EY8" s="229">
        <v>0</v>
      </c>
      <c r="EZ8" s="229">
        <v>0</v>
      </c>
      <c r="FA8" s="229">
        <v>0</v>
      </c>
      <c r="FB8" s="229">
        <v>0</v>
      </c>
      <c r="FC8" s="229">
        <v>0</v>
      </c>
      <c r="FD8" s="229">
        <v>0</v>
      </c>
      <c r="FE8" s="229">
        <v>0</v>
      </c>
      <c r="FF8" s="229">
        <v>0</v>
      </c>
      <c r="FG8" s="229">
        <v>0</v>
      </c>
      <c r="FH8" s="231">
        <v>35966.705398564896</v>
      </c>
    </row>
    <row r="9" spans="2:164" x14ac:dyDescent="0.2">
      <c r="B9" s="217" t="s">
        <v>2</v>
      </c>
      <c r="C9" s="227">
        <v>406</v>
      </c>
      <c r="D9" s="228">
        <v>184</v>
      </c>
      <c r="E9" s="208">
        <v>75</v>
      </c>
      <c r="F9" s="208">
        <v>969</v>
      </c>
      <c r="G9" s="208">
        <v>74</v>
      </c>
      <c r="H9" s="208">
        <v>383</v>
      </c>
      <c r="I9" s="208">
        <v>152</v>
      </c>
      <c r="J9" s="208">
        <v>8</v>
      </c>
      <c r="K9" s="208">
        <v>25</v>
      </c>
      <c r="L9" s="208">
        <v>180</v>
      </c>
      <c r="M9" s="208">
        <v>52</v>
      </c>
      <c r="N9" s="208">
        <v>0</v>
      </c>
      <c r="O9" s="208">
        <v>4</v>
      </c>
      <c r="P9" s="208">
        <v>6</v>
      </c>
      <c r="Q9" s="208">
        <v>2</v>
      </c>
      <c r="R9" s="208">
        <v>37</v>
      </c>
      <c r="S9" s="208">
        <v>12</v>
      </c>
      <c r="T9" s="208">
        <v>3</v>
      </c>
      <c r="U9" s="208">
        <v>46</v>
      </c>
      <c r="V9" s="208">
        <v>0</v>
      </c>
      <c r="W9" s="222">
        <v>2618</v>
      </c>
      <c r="X9" s="208"/>
      <c r="Y9" s="217" t="s">
        <v>2</v>
      </c>
      <c r="Z9" s="227">
        <v>90225.528273716249</v>
      </c>
      <c r="AA9" s="228">
        <v>47074.514278237439</v>
      </c>
      <c r="AB9" s="208">
        <v>19575.708359740478</v>
      </c>
      <c r="AC9" s="208">
        <v>186572.27942932682</v>
      </c>
      <c r="AD9" s="255">
        <v>9811.8930048393195</v>
      </c>
      <c r="AE9" s="208">
        <v>50491.833545392248</v>
      </c>
      <c r="AF9" s="208">
        <v>16495.507293439336</v>
      </c>
      <c r="AG9" s="208">
        <v>587.81849279070093</v>
      </c>
      <c r="AH9" s="208">
        <v>1314.929239785075</v>
      </c>
      <c r="AI9" s="208">
        <v>13907.29468397169</v>
      </c>
      <c r="AJ9" s="208">
        <v>4861.0089409026787</v>
      </c>
      <c r="AK9" s="255">
        <v>0</v>
      </c>
      <c r="AL9" s="255">
        <v>1275.5167300346966</v>
      </c>
      <c r="AM9" s="255">
        <v>457.40497451627937</v>
      </c>
      <c r="AN9" s="255">
        <v>920.89427909405379</v>
      </c>
      <c r="AO9" s="255">
        <v>17566.126582955123</v>
      </c>
      <c r="AP9" s="255">
        <v>1807.1482487776286</v>
      </c>
      <c r="AQ9" s="208">
        <v>887.12020465934177</v>
      </c>
      <c r="AR9" s="208">
        <v>5991.2993101229831</v>
      </c>
      <c r="AS9" s="208">
        <v>0</v>
      </c>
      <c r="AT9" s="222">
        <v>469823.82587230211</v>
      </c>
      <c r="AV9" s="217" t="s">
        <v>2</v>
      </c>
      <c r="AW9" s="227">
        <v>90225.528273716249</v>
      </c>
      <c r="AX9" s="228">
        <v>47074.514278237439</v>
      </c>
      <c r="AY9" s="208">
        <v>19575.708359740478</v>
      </c>
      <c r="AZ9" s="208">
        <v>186572.27942932682</v>
      </c>
      <c r="BA9" s="255">
        <v>9811.8930048393195</v>
      </c>
      <c r="BB9" s="208">
        <v>50491.833545392248</v>
      </c>
      <c r="BC9" s="208">
        <v>16495.507293439336</v>
      </c>
      <c r="BD9" s="208">
        <v>587.81849279070093</v>
      </c>
      <c r="BE9" s="208">
        <v>1314.929239785075</v>
      </c>
      <c r="BF9" s="208">
        <v>13907.29468397169</v>
      </c>
      <c r="BG9" s="208">
        <v>4861.0089409026787</v>
      </c>
      <c r="BH9" s="255">
        <v>0</v>
      </c>
      <c r="BI9" s="258">
        <v>0</v>
      </c>
      <c r="BJ9" s="258">
        <v>0</v>
      </c>
      <c r="BK9" s="258">
        <v>0</v>
      </c>
      <c r="BL9" s="258">
        <v>0</v>
      </c>
      <c r="BM9" s="258">
        <v>0</v>
      </c>
      <c r="BN9" s="208">
        <v>887.12020465934177</v>
      </c>
      <c r="BO9" s="208">
        <v>5991.2993101229831</v>
      </c>
      <c r="BP9" s="208">
        <v>0</v>
      </c>
      <c r="BQ9" s="230">
        <f t="shared" si="0"/>
        <v>447796.73505692434</v>
      </c>
      <c r="BR9" s="214"/>
      <c r="BS9" s="227"/>
      <c r="BT9" s="217" t="s">
        <v>2</v>
      </c>
      <c r="BU9" s="227">
        <v>16</v>
      </c>
      <c r="BV9" s="228">
        <v>7</v>
      </c>
      <c r="BW9" s="208">
        <v>5</v>
      </c>
      <c r="BX9" s="208">
        <v>9</v>
      </c>
      <c r="BY9" s="208">
        <v>1</v>
      </c>
      <c r="BZ9" s="208">
        <v>10</v>
      </c>
      <c r="CA9" s="208">
        <v>0</v>
      </c>
      <c r="CB9" s="208">
        <v>2</v>
      </c>
      <c r="CC9" s="208">
        <v>0</v>
      </c>
      <c r="CD9" s="208">
        <v>1</v>
      </c>
      <c r="CE9" s="208">
        <v>0</v>
      </c>
      <c r="CF9" s="208">
        <v>0</v>
      </c>
      <c r="CG9" s="208">
        <v>0</v>
      </c>
      <c r="CH9" s="208">
        <v>1</v>
      </c>
      <c r="CI9" s="208">
        <v>0</v>
      </c>
      <c r="CJ9" s="208">
        <v>0</v>
      </c>
      <c r="CK9" s="208">
        <v>0</v>
      </c>
      <c r="CL9" s="208">
        <v>0</v>
      </c>
      <c r="CM9" s="208">
        <v>0</v>
      </c>
      <c r="CN9" s="208">
        <v>0</v>
      </c>
      <c r="CO9" s="222">
        <v>52</v>
      </c>
      <c r="CP9" s="227"/>
      <c r="CQ9" s="217" t="s">
        <v>2</v>
      </c>
      <c r="CR9" s="227">
        <v>607.16613819378551</v>
      </c>
      <c r="CS9" s="228">
        <v>164.40862370861942</v>
      </c>
      <c r="CT9" s="208">
        <v>157.12244423456627</v>
      </c>
      <c r="CU9" s="208">
        <v>12752.113171553658</v>
      </c>
      <c r="CV9" s="208">
        <v>29.356761326224333</v>
      </c>
      <c r="CW9" s="208">
        <v>4918.094976916942</v>
      </c>
      <c r="CX9" s="208">
        <v>0</v>
      </c>
      <c r="CY9" s="208">
        <v>45.901619861173238</v>
      </c>
      <c r="CZ9" s="208">
        <v>0</v>
      </c>
      <c r="DA9" s="208">
        <v>22.950809930586619</v>
      </c>
      <c r="DB9" s="208">
        <v>0</v>
      </c>
      <c r="DC9" s="208">
        <v>0</v>
      </c>
      <c r="DD9" s="208">
        <v>0</v>
      </c>
      <c r="DE9" s="208">
        <v>64.468210900804166</v>
      </c>
      <c r="DF9" s="208">
        <v>0</v>
      </c>
      <c r="DG9" s="208">
        <v>0</v>
      </c>
      <c r="DH9" s="208">
        <v>0</v>
      </c>
      <c r="DI9" s="208">
        <v>0</v>
      </c>
      <c r="DJ9" s="208">
        <v>0</v>
      </c>
      <c r="DK9" s="208">
        <v>0</v>
      </c>
      <c r="DL9" s="222">
        <v>18761.582756626354</v>
      </c>
      <c r="DM9" s="214"/>
      <c r="DN9" s="214"/>
      <c r="DO9" s="227"/>
      <c r="DP9" s="217" t="s">
        <v>2</v>
      </c>
      <c r="DQ9" s="227">
        <v>27</v>
      </c>
      <c r="DR9" s="228">
        <v>23</v>
      </c>
      <c r="DS9" s="208">
        <v>6</v>
      </c>
      <c r="DT9" s="208">
        <v>20</v>
      </c>
      <c r="DU9" s="208">
        <v>1</v>
      </c>
      <c r="DV9" s="208">
        <v>10</v>
      </c>
      <c r="DW9" s="208">
        <v>0</v>
      </c>
      <c r="DX9" s="208">
        <v>2</v>
      </c>
      <c r="DY9" s="208">
        <v>0</v>
      </c>
      <c r="DZ9" s="208">
        <v>1</v>
      </c>
      <c r="EA9" s="208">
        <v>0</v>
      </c>
      <c r="EB9" s="208">
        <v>0</v>
      </c>
      <c r="EC9" s="208">
        <v>0</v>
      </c>
      <c r="ED9" s="208">
        <v>1</v>
      </c>
      <c r="EE9" s="208">
        <v>0</v>
      </c>
      <c r="EF9" s="208">
        <v>0</v>
      </c>
      <c r="EG9" s="208">
        <v>0</v>
      </c>
      <c r="EH9" s="208">
        <v>0</v>
      </c>
      <c r="EI9" s="208">
        <v>0</v>
      </c>
      <c r="EJ9" s="208">
        <v>0</v>
      </c>
      <c r="EK9" s="222">
        <v>91</v>
      </c>
      <c r="EL9" s="228"/>
      <c r="EM9" s="217" t="s">
        <v>2</v>
      </c>
      <c r="EN9" s="227">
        <v>2749.4765316269263</v>
      </c>
      <c r="EO9" s="228">
        <v>5507.0058290553625</v>
      </c>
      <c r="EP9" s="208">
        <v>266.89631125808802</v>
      </c>
      <c r="EQ9" s="208">
        <v>22041.566478977209</v>
      </c>
      <c r="ER9" s="208">
        <v>29.356761326224333</v>
      </c>
      <c r="ES9" s="208">
        <v>4918.094976916942</v>
      </c>
      <c r="ET9" s="208">
        <v>0</v>
      </c>
      <c r="EU9" s="208">
        <v>45.901619861173238</v>
      </c>
      <c r="EV9" s="208">
        <v>0</v>
      </c>
      <c r="EW9" s="208">
        <v>22.950809930586619</v>
      </c>
      <c r="EX9" s="208">
        <v>0</v>
      </c>
      <c r="EY9" s="208">
        <v>0</v>
      </c>
      <c r="EZ9" s="208">
        <v>0</v>
      </c>
      <c r="FA9" s="208">
        <v>64.468210900804166</v>
      </c>
      <c r="FB9" s="208">
        <v>0</v>
      </c>
      <c r="FC9" s="208">
        <v>0</v>
      </c>
      <c r="FD9" s="208">
        <v>0</v>
      </c>
      <c r="FE9" s="208">
        <v>0</v>
      </c>
      <c r="FF9" s="208">
        <v>0</v>
      </c>
      <c r="FG9" s="208">
        <v>0</v>
      </c>
      <c r="FH9" s="222">
        <v>35645.717529853318</v>
      </c>
    </row>
    <row r="10" spans="2:164" x14ac:dyDescent="0.2">
      <c r="B10" s="217" t="s">
        <v>3</v>
      </c>
      <c r="C10" s="227">
        <v>25</v>
      </c>
      <c r="D10" s="228">
        <v>21</v>
      </c>
      <c r="E10" s="208">
        <v>3</v>
      </c>
      <c r="F10" s="208">
        <v>0</v>
      </c>
      <c r="G10" s="208">
        <v>841</v>
      </c>
      <c r="H10" s="208">
        <v>28</v>
      </c>
      <c r="I10" s="208">
        <v>9</v>
      </c>
      <c r="J10" s="208">
        <v>0</v>
      </c>
      <c r="K10" s="208">
        <v>5</v>
      </c>
      <c r="L10" s="208">
        <v>38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990</v>
      </c>
      <c r="X10" s="208"/>
      <c r="Y10" s="217" t="s">
        <v>3</v>
      </c>
      <c r="Z10" s="254">
        <v>4960.5479051786961</v>
      </c>
      <c r="AA10" s="254">
        <v>3387.3987516085467</v>
      </c>
      <c r="AB10" s="255">
        <v>175.45936763078623</v>
      </c>
      <c r="AC10" s="255">
        <v>0</v>
      </c>
      <c r="AD10" s="208">
        <v>124442.15529786014</v>
      </c>
      <c r="AE10" s="255">
        <v>10484.992483840317</v>
      </c>
      <c r="AF10" s="255">
        <v>559.12124243877724</v>
      </c>
      <c r="AG10" s="255">
        <v>0</v>
      </c>
      <c r="AH10" s="255">
        <v>690.10505693840093</v>
      </c>
      <c r="AI10" s="255">
        <v>3814.0277752178299</v>
      </c>
      <c r="AJ10" s="255">
        <v>978.24990608982898</v>
      </c>
      <c r="AK10" s="255">
        <v>0</v>
      </c>
      <c r="AL10" s="255">
        <v>0</v>
      </c>
      <c r="AM10" s="255">
        <v>0</v>
      </c>
      <c r="AN10" s="255">
        <v>0</v>
      </c>
      <c r="AO10" s="255">
        <v>33.001637769500448</v>
      </c>
      <c r="AP10" s="255">
        <v>0</v>
      </c>
      <c r="AQ10" s="255">
        <v>128.66081391241173</v>
      </c>
      <c r="AR10" s="255">
        <v>411.64195905443654</v>
      </c>
      <c r="AS10" s="255">
        <v>0</v>
      </c>
      <c r="AT10" s="222">
        <v>150065.36219753962</v>
      </c>
      <c r="AV10" s="217" t="s">
        <v>3</v>
      </c>
      <c r="AW10" s="232">
        <v>0</v>
      </c>
      <c r="AX10" s="232">
        <v>0</v>
      </c>
      <c r="AY10" s="258">
        <v>0</v>
      </c>
      <c r="AZ10" s="255">
        <v>0</v>
      </c>
      <c r="BA10" s="208">
        <v>124442.15529786014</v>
      </c>
      <c r="BB10" s="255">
        <v>10484.992483840317</v>
      </c>
      <c r="BC10" s="255">
        <v>559.12124243877724</v>
      </c>
      <c r="BD10" s="255">
        <v>0</v>
      </c>
      <c r="BE10" s="255">
        <v>690.10505693840093</v>
      </c>
      <c r="BF10" s="255">
        <v>3814.0277752178299</v>
      </c>
      <c r="BG10" s="255">
        <v>978.24990608982898</v>
      </c>
      <c r="BH10" s="255">
        <v>0</v>
      </c>
      <c r="BI10" s="255">
        <v>0</v>
      </c>
      <c r="BJ10" s="255">
        <v>0</v>
      </c>
      <c r="BK10" s="255">
        <v>0</v>
      </c>
      <c r="BL10" s="258">
        <v>0</v>
      </c>
      <c r="BM10" s="255">
        <v>0</v>
      </c>
      <c r="BN10" s="258">
        <v>0</v>
      </c>
      <c r="BO10" s="258">
        <v>0</v>
      </c>
      <c r="BP10" s="255">
        <v>0</v>
      </c>
      <c r="BQ10" s="230">
        <f t="shared" si="0"/>
        <v>140968.65176238527</v>
      </c>
      <c r="BR10" s="214"/>
      <c r="BS10" s="227"/>
      <c r="BT10" s="217" t="s">
        <v>3</v>
      </c>
      <c r="BU10" s="227">
        <v>2</v>
      </c>
      <c r="BV10" s="228">
        <v>0</v>
      </c>
      <c r="BW10" s="208">
        <v>0</v>
      </c>
      <c r="BX10" s="208">
        <v>0</v>
      </c>
      <c r="BY10" s="208">
        <v>15</v>
      </c>
      <c r="BZ10" s="208">
        <v>0</v>
      </c>
      <c r="CA10" s="208">
        <v>0</v>
      </c>
      <c r="CB10" s="208">
        <v>0</v>
      </c>
      <c r="CC10" s="208">
        <v>0</v>
      </c>
      <c r="CD10" s="208">
        <v>0</v>
      </c>
      <c r="CE10" s="208">
        <v>0</v>
      </c>
      <c r="CF10" s="208">
        <v>0</v>
      </c>
      <c r="CG10" s="208">
        <v>0</v>
      </c>
      <c r="CH10" s="208">
        <v>0</v>
      </c>
      <c r="CI10" s="208">
        <v>0</v>
      </c>
      <c r="CJ10" s="208">
        <v>0</v>
      </c>
      <c r="CK10" s="208">
        <v>0</v>
      </c>
      <c r="CL10" s="208">
        <v>0</v>
      </c>
      <c r="CM10" s="208">
        <v>0</v>
      </c>
      <c r="CN10" s="208">
        <v>0</v>
      </c>
      <c r="CO10" s="222">
        <v>17</v>
      </c>
      <c r="CP10" s="227"/>
      <c r="CQ10" s="217" t="s">
        <v>3</v>
      </c>
      <c r="CR10" s="227">
        <v>69.370838982404777</v>
      </c>
      <c r="CS10" s="228">
        <v>0</v>
      </c>
      <c r="CT10" s="208">
        <v>0</v>
      </c>
      <c r="CU10" s="208">
        <v>0</v>
      </c>
      <c r="CV10" s="208">
        <v>1200.7930698328223</v>
      </c>
      <c r="CW10" s="208">
        <v>0</v>
      </c>
      <c r="CX10" s="208">
        <v>0</v>
      </c>
      <c r="CY10" s="208">
        <v>0</v>
      </c>
      <c r="CZ10" s="208">
        <v>0</v>
      </c>
      <c r="DA10" s="208">
        <v>0</v>
      </c>
      <c r="DB10" s="208">
        <v>0</v>
      </c>
      <c r="DC10" s="208">
        <v>0</v>
      </c>
      <c r="DD10" s="208">
        <v>0</v>
      </c>
      <c r="DE10" s="208">
        <v>0</v>
      </c>
      <c r="DF10" s="208">
        <v>0</v>
      </c>
      <c r="DG10" s="208">
        <v>0</v>
      </c>
      <c r="DH10" s="208">
        <v>0</v>
      </c>
      <c r="DI10" s="208">
        <v>0</v>
      </c>
      <c r="DJ10" s="208">
        <v>0</v>
      </c>
      <c r="DK10" s="208">
        <v>0</v>
      </c>
      <c r="DL10" s="222">
        <v>1270.1639088152272</v>
      </c>
      <c r="DM10" s="214"/>
      <c r="DN10" s="214"/>
      <c r="DO10" s="227"/>
      <c r="DP10" s="217" t="s">
        <v>3</v>
      </c>
      <c r="DQ10" s="227">
        <v>8</v>
      </c>
      <c r="DR10" s="228">
        <v>1</v>
      </c>
      <c r="DS10" s="208">
        <v>0</v>
      </c>
      <c r="DT10" s="208">
        <v>0</v>
      </c>
      <c r="DU10" s="208">
        <v>52</v>
      </c>
      <c r="DV10" s="208">
        <v>0</v>
      </c>
      <c r="DW10" s="208">
        <v>0</v>
      </c>
      <c r="DX10" s="208">
        <v>0</v>
      </c>
      <c r="DY10" s="208">
        <v>0</v>
      </c>
      <c r="DZ10" s="208">
        <v>3</v>
      </c>
      <c r="EA10" s="208">
        <v>0</v>
      </c>
      <c r="EB10" s="208">
        <v>0</v>
      </c>
      <c r="EC10" s="208">
        <v>0</v>
      </c>
      <c r="ED10" s="208">
        <v>0</v>
      </c>
      <c r="EE10" s="208">
        <v>0</v>
      </c>
      <c r="EF10" s="208">
        <v>0</v>
      </c>
      <c r="EG10" s="208">
        <v>0</v>
      </c>
      <c r="EH10" s="208">
        <v>0</v>
      </c>
      <c r="EI10" s="208">
        <v>0</v>
      </c>
      <c r="EJ10" s="208">
        <v>0</v>
      </c>
      <c r="EK10" s="222">
        <v>64</v>
      </c>
      <c r="EL10" s="228"/>
      <c r="EM10" s="217" t="s">
        <v>3</v>
      </c>
      <c r="EN10" s="227">
        <v>318.12450095424572</v>
      </c>
      <c r="EO10" s="228">
        <v>41.458943661973493</v>
      </c>
      <c r="EP10" s="208">
        <v>0</v>
      </c>
      <c r="EQ10" s="208">
        <v>0</v>
      </c>
      <c r="ER10" s="208">
        <v>3617.6059795898182</v>
      </c>
      <c r="ES10" s="208">
        <v>0</v>
      </c>
      <c r="ET10" s="208">
        <v>0</v>
      </c>
      <c r="EU10" s="208">
        <v>0</v>
      </c>
      <c r="EV10" s="208">
        <v>0</v>
      </c>
      <c r="EW10" s="208">
        <v>42.43449517765621</v>
      </c>
      <c r="EX10" s="208">
        <v>0</v>
      </c>
      <c r="EY10" s="208">
        <v>0</v>
      </c>
      <c r="EZ10" s="208">
        <v>0</v>
      </c>
      <c r="FA10" s="208">
        <v>0</v>
      </c>
      <c r="FB10" s="208">
        <v>0</v>
      </c>
      <c r="FC10" s="208">
        <v>0</v>
      </c>
      <c r="FD10" s="208">
        <v>0</v>
      </c>
      <c r="FE10" s="208">
        <v>0</v>
      </c>
      <c r="FF10" s="208">
        <v>0</v>
      </c>
      <c r="FG10" s="208">
        <v>0</v>
      </c>
      <c r="FH10" s="222">
        <v>4019.6239193836936</v>
      </c>
    </row>
    <row r="11" spans="2:164" x14ac:dyDescent="0.2">
      <c r="B11" s="217" t="s">
        <v>335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1173</v>
      </c>
      <c r="I11" s="208">
        <v>80</v>
      </c>
      <c r="J11" s="208">
        <v>0</v>
      </c>
      <c r="K11" s="208">
        <v>22</v>
      </c>
      <c r="L11" s="208">
        <v>34</v>
      </c>
      <c r="M11" s="208">
        <v>22</v>
      </c>
      <c r="N11" s="208">
        <v>1</v>
      </c>
      <c r="O11" s="208">
        <v>1</v>
      </c>
      <c r="P11" s="208">
        <v>3</v>
      </c>
      <c r="Q11" s="208">
        <v>1</v>
      </c>
      <c r="R11" s="208">
        <v>0</v>
      </c>
      <c r="S11" s="208">
        <v>1</v>
      </c>
      <c r="T11" s="208">
        <v>0</v>
      </c>
      <c r="U11" s="208">
        <v>0</v>
      </c>
      <c r="V11" s="208">
        <v>0</v>
      </c>
      <c r="W11" s="222">
        <v>1339</v>
      </c>
      <c r="X11" s="208"/>
      <c r="Y11" s="217" t="s">
        <v>335</v>
      </c>
      <c r="Z11" s="227">
        <v>0</v>
      </c>
      <c r="AA11" s="228">
        <v>0</v>
      </c>
      <c r="AB11" s="255">
        <v>45.750491940629352</v>
      </c>
      <c r="AC11" s="208">
        <v>0</v>
      </c>
      <c r="AD11" s="208">
        <v>0</v>
      </c>
      <c r="AE11" s="208">
        <v>216826.61298198369</v>
      </c>
      <c r="AF11" s="208">
        <v>7107.0016608135775</v>
      </c>
      <c r="AG11" s="208">
        <v>0</v>
      </c>
      <c r="AH11" s="208">
        <v>1811.3045019987328</v>
      </c>
      <c r="AI11" s="208">
        <v>12817.824396230964</v>
      </c>
      <c r="AJ11" s="208">
        <v>1428.7167359488349</v>
      </c>
      <c r="AK11" s="255">
        <v>42.559291194600554</v>
      </c>
      <c r="AL11" s="255">
        <v>168.54888130616766</v>
      </c>
      <c r="AM11" s="255">
        <v>94.688382574947383</v>
      </c>
      <c r="AN11" s="255">
        <v>460.44713954702689</v>
      </c>
      <c r="AO11" s="255">
        <v>0</v>
      </c>
      <c r="AP11" s="255">
        <v>29.360337322224471</v>
      </c>
      <c r="AQ11" s="208">
        <v>0</v>
      </c>
      <c r="AR11" s="208">
        <v>0</v>
      </c>
      <c r="AS11" s="208">
        <v>0</v>
      </c>
      <c r="AT11" s="222">
        <v>240832.81480086141</v>
      </c>
      <c r="AV11" s="217" t="s">
        <v>335</v>
      </c>
      <c r="AW11" s="227">
        <v>0</v>
      </c>
      <c r="AX11" s="228">
        <v>0</v>
      </c>
      <c r="AY11" s="258">
        <v>0</v>
      </c>
      <c r="AZ11" s="208">
        <v>0</v>
      </c>
      <c r="BA11" s="208">
        <v>0</v>
      </c>
      <c r="BB11" s="208">
        <v>216826.61298198369</v>
      </c>
      <c r="BC11" s="208">
        <v>7107.0016608135775</v>
      </c>
      <c r="BD11" s="208">
        <v>0</v>
      </c>
      <c r="BE11" s="208">
        <v>1811.3045019987328</v>
      </c>
      <c r="BF11" s="208">
        <v>12817.824396230964</v>
      </c>
      <c r="BG11" s="208">
        <v>1428.7167359488349</v>
      </c>
      <c r="BH11" s="258">
        <v>0</v>
      </c>
      <c r="BI11" s="258">
        <v>0</v>
      </c>
      <c r="BJ11" s="258">
        <v>0</v>
      </c>
      <c r="BK11" s="258">
        <v>0</v>
      </c>
      <c r="BL11" s="255">
        <v>0</v>
      </c>
      <c r="BM11" s="258">
        <v>0</v>
      </c>
      <c r="BN11" s="208">
        <v>0</v>
      </c>
      <c r="BO11" s="208">
        <v>0</v>
      </c>
      <c r="BP11" s="208">
        <v>0</v>
      </c>
      <c r="BQ11" s="230">
        <f t="shared" si="0"/>
        <v>239991.46027697579</v>
      </c>
      <c r="BR11" s="214"/>
      <c r="BS11" s="227"/>
      <c r="BT11" s="217" t="s">
        <v>335</v>
      </c>
      <c r="BU11" s="227">
        <v>0</v>
      </c>
      <c r="BV11" s="228">
        <v>0</v>
      </c>
      <c r="BW11" s="208">
        <v>0</v>
      </c>
      <c r="BX11" s="208">
        <v>0</v>
      </c>
      <c r="BY11" s="208">
        <v>0</v>
      </c>
      <c r="BZ11" s="208">
        <v>8</v>
      </c>
      <c r="CA11" s="208">
        <v>0</v>
      </c>
      <c r="CB11" s="208">
        <v>0</v>
      </c>
      <c r="CC11" s="208">
        <v>0</v>
      </c>
      <c r="CD11" s="208">
        <v>1</v>
      </c>
      <c r="CE11" s="208">
        <v>0</v>
      </c>
      <c r="CF11" s="208">
        <v>0</v>
      </c>
      <c r="CG11" s="208">
        <v>0</v>
      </c>
      <c r="CH11" s="208">
        <v>0</v>
      </c>
      <c r="CI11" s="208">
        <v>0</v>
      </c>
      <c r="CJ11" s="208">
        <v>0</v>
      </c>
      <c r="CK11" s="208">
        <v>0</v>
      </c>
      <c r="CL11" s="208">
        <v>0</v>
      </c>
      <c r="CM11" s="208">
        <v>0</v>
      </c>
      <c r="CN11" s="208">
        <v>0</v>
      </c>
      <c r="CO11" s="222">
        <v>9</v>
      </c>
      <c r="CP11" s="227"/>
      <c r="CQ11" s="217" t="s">
        <v>335</v>
      </c>
      <c r="CR11" s="227">
        <v>0</v>
      </c>
      <c r="CS11" s="228">
        <v>0</v>
      </c>
      <c r="CT11" s="208">
        <v>0</v>
      </c>
      <c r="CU11" s="208">
        <v>0</v>
      </c>
      <c r="CV11" s="208">
        <v>0</v>
      </c>
      <c r="CW11" s="208">
        <v>11035.011550593728</v>
      </c>
      <c r="CX11" s="208">
        <v>0</v>
      </c>
      <c r="CY11" s="208">
        <v>0</v>
      </c>
      <c r="CZ11" s="208">
        <v>0</v>
      </c>
      <c r="DA11" s="208">
        <v>3937.9968525111481</v>
      </c>
      <c r="DB11" s="208">
        <v>0</v>
      </c>
      <c r="DC11" s="208">
        <v>0</v>
      </c>
      <c r="DD11" s="208">
        <v>0</v>
      </c>
      <c r="DE11" s="208">
        <v>0</v>
      </c>
      <c r="DF11" s="208">
        <v>0</v>
      </c>
      <c r="DG11" s="208">
        <v>0</v>
      </c>
      <c r="DH11" s="208">
        <v>0</v>
      </c>
      <c r="DI11" s="208">
        <v>0</v>
      </c>
      <c r="DJ11" s="208">
        <v>0</v>
      </c>
      <c r="DK11" s="208">
        <v>0</v>
      </c>
      <c r="DL11" s="222">
        <v>14973.008403104875</v>
      </c>
      <c r="DM11" s="214"/>
      <c r="DN11" s="214"/>
      <c r="DO11" s="227"/>
      <c r="DP11" s="217" t="s">
        <v>335</v>
      </c>
      <c r="DQ11" s="227">
        <v>0</v>
      </c>
      <c r="DR11" s="228">
        <v>0</v>
      </c>
      <c r="DS11" s="208">
        <v>0</v>
      </c>
      <c r="DT11" s="208">
        <v>0</v>
      </c>
      <c r="DU11" s="208">
        <v>0</v>
      </c>
      <c r="DV11" s="208">
        <v>8</v>
      </c>
      <c r="DW11" s="208">
        <v>0</v>
      </c>
      <c r="DX11" s="208">
        <v>0</v>
      </c>
      <c r="DY11" s="208">
        <v>0</v>
      </c>
      <c r="DZ11" s="208">
        <v>1</v>
      </c>
      <c r="EA11" s="208">
        <v>0</v>
      </c>
      <c r="EB11" s="208">
        <v>0</v>
      </c>
      <c r="EC11" s="208">
        <v>0</v>
      </c>
      <c r="ED11" s="208">
        <v>0</v>
      </c>
      <c r="EE11" s="208">
        <v>1</v>
      </c>
      <c r="EF11" s="208">
        <v>0</v>
      </c>
      <c r="EG11" s="208">
        <v>0</v>
      </c>
      <c r="EH11" s="208">
        <v>0</v>
      </c>
      <c r="EI11" s="208">
        <v>0</v>
      </c>
      <c r="EJ11" s="208">
        <v>0</v>
      </c>
      <c r="EK11" s="222">
        <v>10</v>
      </c>
      <c r="EL11" s="228"/>
      <c r="EM11" s="217" t="s">
        <v>335</v>
      </c>
      <c r="EN11" s="227">
        <v>0</v>
      </c>
      <c r="EO11" s="228">
        <v>0</v>
      </c>
      <c r="EP11" s="208">
        <v>0</v>
      </c>
      <c r="EQ11" s="208">
        <v>0</v>
      </c>
      <c r="ER11" s="208">
        <v>0</v>
      </c>
      <c r="ES11" s="208">
        <v>11035.011550593728</v>
      </c>
      <c r="ET11" s="208">
        <v>0</v>
      </c>
      <c r="EU11" s="208">
        <v>0</v>
      </c>
      <c r="EV11" s="208">
        <v>0</v>
      </c>
      <c r="EW11" s="208">
        <v>3937.9968525111481</v>
      </c>
      <c r="EX11" s="208">
        <v>0</v>
      </c>
      <c r="EY11" s="208">
        <v>0</v>
      </c>
      <c r="EZ11" s="208">
        <v>0</v>
      </c>
      <c r="FA11" s="208">
        <v>0</v>
      </c>
      <c r="FB11" s="208">
        <v>460.44713954702689</v>
      </c>
      <c r="FC11" s="208">
        <v>0</v>
      </c>
      <c r="FD11" s="208">
        <v>0</v>
      </c>
      <c r="FE11" s="208">
        <v>0</v>
      </c>
      <c r="FF11" s="208">
        <v>0</v>
      </c>
      <c r="FG11" s="208">
        <v>0</v>
      </c>
      <c r="FH11" s="222">
        <v>15433.455542651902</v>
      </c>
    </row>
    <row r="12" spans="2:164" x14ac:dyDescent="0.2">
      <c r="B12" s="217" t="s">
        <v>362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438</v>
      </c>
      <c r="J12" s="208">
        <v>3</v>
      </c>
      <c r="K12" s="208">
        <v>2</v>
      </c>
      <c r="L12" s="208">
        <v>20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1</v>
      </c>
      <c r="S12" s="208">
        <v>0</v>
      </c>
      <c r="T12" s="208">
        <v>0</v>
      </c>
      <c r="U12" s="208">
        <v>0</v>
      </c>
      <c r="V12" s="208">
        <v>0</v>
      </c>
      <c r="W12" s="222">
        <v>473</v>
      </c>
      <c r="X12" s="208"/>
      <c r="Y12" s="217" t="s">
        <v>362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48649.154839836185</v>
      </c>
      <c r="AG12" s="208">
        <v>449.68056265293092</v>
      </c>
      <c r="AH12" s="208">
        <v>114.9327697949925</v>
      </c>
      <c r="AI12" s="208">
        <v>934.58943481282245</v>
      </c>
      <c r="AJ12" s="208">
        <v>219.27308635906095</v>
      </c>
      <c r="AK12" s="255">
        <v>0</v>
      </c>
      <c r="AL12" s="255">
        <v>527.95487169583055</v>
      </c>
      <c r="AM12" s="255">
        <v>22.490668160860551</v>
      </c>
      <c r="AN12" s="255">
        <v>0</v>
      </c>
      <c r="AO12" s="255">
        <v>22.912071624488394</v>
      </c>
      <c r="AP12" s="255">
        <v>0</v>
      </c>
      <c r="AQ12" s="208">
        <v>0</v>
      </c>
      <c r="AR12" s="208">
        <v>0</v>
      </c>
      <c r="AS12" s="208">
        <v>0</v>
      </c>
      <c r="AT12" s="222">
        <v>50940.988304937171</v>
      </c>
      <c r="AV12" s="217" t="s">
        <v>362</v>
      </c>
      <c r="AW12" s="227">
        <v>0</v>
      </c>
      <c r="AX12" s="228">
        <v>0</v>
      </c>
      <c r="AY12" s="208">
        <v>0</v>
      </c>
      <c r="AZ12" s="208">
        <v>0</v>
      </c>
      <c r="BA12" s="208">
        <v>0</v>
      </c>
      <c r="BB12" s="208">
        <v>0</v>
      </c>
      <c r="BC12" s="208">
        <v>48649.154839836185</v>
      </c>
      <c r="BD12" s="208">
        <v>449.68056265293092</v>
      </c>
      <c r="BE12" s="208">
        <v>114.9327697949925</v>
      </c>
      <c r="BF12" s="208">
        <v>934.58943481282245</v>
      </c>
      <c r="BG12" s="208">
        <v>219.27308635906095</v>
      </c>
      <c r="BH12" s="255">
        <v>0</v>
      </c>
      <c r="BI12" s="258">
        <v>0</v>
      </c>
      <c r="BJ12" s="258">
        <v>0</v>
      </c>
      <c r="BK12" s="255">
        <v>0</v>
      </c>
      <c r="BL12" s="258">
        <v>0</v>
      </c>
      <c r="BM12" s="255">
        <v>0</v>
      </c>
      <c r="BN12" s="208">
        <v>0</v>
      </c>
      <c r="BO12" s="208">
        <v>0</v>
      </c>
      <c r="BP12" s="208">
        <v>0</v>
      </c>
      <c r="BQ12" s="230">
        <f t="shared" si="0"/>
        <v>50367.630693455991</v>
      </c>
      <c r="BR12" s="214"/>
      <c r="BS12" s="227"/>
      <c r="BT12" s="217" t="s">
        <v>362</v>
      </c>
      <c r="BU12" s="227">
        <v>0</v>
      </c>
      <c r="BV12" s="228">
        <v>0</v>
      </c>
      <c r="BW12" s="208">
        <v>0</v>
      </c>
      <c r="BX12" s="208">
        <v>0</v>
      </c>
      <c r="BY12" s="208">
        <v>0</v>
      </c>
      <c r="BZ12" s="208">
        <v>0</v>
      </c>
      <c r="CA12" s="208">
        <v>0</v>
      </c>
      <c r="CB12" s="208">
        <v>0</v>
      </c>
      <c r="CC12" s="208">
        <v>0</v>
      </c>
      <c r="CD12" s="208">
        <v>0</v>
      </c>
      <c r="CE12" s="208">
        <v>0</v>
      </c>
      <c r="CF12" s="208">
        <v>0</v>
      </c>
      <c r="CG12" s="208">
        <v>0</v>
      </c>
      <c r="CH12" s="208">
        <v>0</v>
      </c>
      <c r="CI12" s="208">
        <v>0</v>
      </c>
      <c r="CJ12" s="208">
        <v>0</v>
      </c>
      <c r="CK12" s="208">
        <v>0</v>
      </c>
      <c r="CL12" s="208">
        <v>0</v>
      </c>
      <c r="CM12" s="208">
        <v>0</v>
      </c>
      <c r="CN12" s="208">
        <v>0</v>
      </c>
      <c r="CO12" s="222">
        <v>0</v>
      </c>
      <c r="CP12" s="227"/>
      <c r="CQ12" s="217" t="s">
        <v>362</v>
      </c>
      <c r="CR12" s="227">
        <v>0</v>
      </c>
      <c r="CS12" s="228">
        <v>0</v>
      </c>
      <c r="CT12" s="208">
        <v>0</v>
      </c>
      <c r="CU12" s="208">
        <v>0</v>
      </c>
      <c r="CV12" s="208">
        <v>0</v>
      </c>
      <c r="CW12" s="208">
        <v>0</v>
      </c>
      <c r="CX12" s="208">
        <v>0</v>
      </c>
      <c r="CY12" s="208">
        <v>0</v>
      </c>
      <c r="CZ12" s="208">
        <v>0</v>
      </c>
      <c r="DA12" s="208">
        <v>0</v>
      </c>
      <c r="DB12" s="208">
        <v>0</v>
      </c>
      <c r="DC12" s="208">
        <v>0</v>
      </c>
      <c r="DD12" s="208">
        <v>0</v>
      </c>
      <c r="DE12" s="208">
        <v>0</v>
      </c>
      <c r="DF12" s="208">
        <v>0</v>
      </c>
      <c r="DG12" s="208">
        <v>0</v>
      </c>
      <c r="DH12" s="208">
        <v>0</v>
      </c>
      <c r="DI12" s="208">
        <v>0</v>
      </c>
      <c r="DJ12" s="208">
        <v>0</v>
      </c>
      <c r="DK12" s="208">
        <v>0</v>
      </c>
      <c r="DL12" s="222">
        <v>0</v>
      </c>
      <c r="DM12" s="214"/>
      <c r="DN12" s="214"/>
      <c r="DO12" s="227"/>
      <c r="DP12" s="217" t="s">
        <v>362</v>
      </c>
      <c r="DQ12" s="227">
        <v>0</v>
      </c>
      <c r="DR12" s="228">
        <v>0</v>
      </c>
      <c r="DS12" s="208">
        <v>0</v>
      </c>
      <c r="DT12" s="208">
        <v>0</v>
      </c>
      <c r="DU12" s="208">
        <v>0</v>
      </c>
      <c r="DV12" s="208">
        <v>0</v>
      </c>
      <c r="DW12" s="208">
        <v>0</v>
      </c>
      <c r="DX12" s="208">
        <v>0</v>
      </c>
      <c r="DY12" s="208">
        <v>0</v>
      </c>
      <c r="DZ12" s="208">
        <v>0</v>
      </c>
      <c r="EA12" s="208">
        <v>0</v>
      </c>
      <c r="EB12" s="208">
        <v>0</v>
      </c>
      <c r="EC12" s="208">
        <v>0</v>
      </c>
      <c r="ED12" s="208">
        <v>0</v>
      </c>
      <c r="EE12" s="208">
        <v>0</v>
      </c>
      <c r="EF12" s="208">
        <v>0</v>
      </c>
      <c r="EG12" s="208">
        <v>0</v>
      </c>
      <c r="EH12" s="208">
        <v>0</v>
      </c>
      <c r="EI12" s="208">
        <v>0</v>
      </c>
      <c r="EJ12" s="208">
        <v>0</v>
      </c>
      <c r="EK12" s="222">
        <v>0</v>
      </c>
      <c r="EL12" s="228"/>
      <c r="EM12" s="217" t="s">
        <v>362</v>
      </c>
      <c r="EN12" s="227">
        <v>0</v>
      </c>
      <c r="EO12" s="228">
        <v>0</v>
      </c>
      <c r="EP12" s="208">
        <v>0</v>
      </c>
      <c r="EQ12" s="208">
        <v>0</v>
      </c>
      <c r="ER12" s="208">
        <v>0</v>
      </c>
      <c r="ES12" s="208">
        <v>0</v>
      </c>
      <c r="ET12" s="208">
        <v>0</v>
      </c>
      <c r="EU12" s="208">
        <v>0</v>
      </c>
      <c r="EV12" s="208">
        <v>0</v>
      </c>
      <c r="EW12" s="208">
        <v>0</v>
      </c>
      <c r="EX12" s="208">
        <v>0</v>
      </c>
      <c r="EY12" s="208">
        <v>0</v>
      </c>
      <c r="EZ12" s="208">
        <v>0</v>
      </c>
      <c r="FA12" s="208">
        <v>0</v>
      </c>
      <c r="FB12" s="208">
        <v>0</v>
      </c>
      <c r="FC12" s="208">
        <v>0</v>
      </c>
      <c r="FD12" s="208">
        <v>0</v>
      </c>
      <c r="FE12" s="208">
        <v>0</v>
      </c>
      <c r="FF12" s="208">
        <v>0</v>
      </c>
      <c r="FG12" s="208">
        <v>0</v>
      </c>
      <c r="FH12" s="222">
        <v>0</v>
      </c>
    </row>
    <row r="13" spans="2:164" x14ac:dyDescent="0.2">
      <c r="B13" s="217" t="s">
        <v>349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42</v>
      </c>
      <c r="K13" s="208">
        <v>0</v>
      </c>
      <c r="L13" s="208">
        <v>4</v>
      </c>
      <c r="M13" s="208">
        <v>4</v>
      </c>
      <c r="N13" s="208">
        <v>0</v>
      </c>
      <c r="O13" s="208">
        <v>0</v>
      </c>
      <c r="P13" s="208">
        <v>6</v>
      </c>
      <c r="Q13" s="208">
        <v>0</v>
      </c>
      <c r="R13" s="208">
        <v>1</v>
      </c>
      <c r="S13" s="208">
        <v>0</v>
      </c>
      <c r="T13" s="208">
        <v>0</v>
      </c>
      <c r="U13" s="208">
        <v>0</v>
      </c>
      <c r="V13" s="208">
        <v>0</v>
      </c>
      <c r="W13" s="222">
        <v>57</v>
      </c>
      <c r="X13" s="208"/>
      <c r="Y13" s="217" t="s">
        <v>349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1751.4472885400064</v>
      </c>
      <c r="AH13" s="208">
        <v>0</v>
      </c>
      <c r="AI13" s="208">
        <v>97.17168595600522</v>
      </c>
      <c r="AJ13" s="208">
        <v>107.33349410955647</v>
      </c>
      <c r="AK13" s="255">
        <v>0</v>
      </c>
      <c r="AL13" s="255">
        <v>0</v>
      </c>
      <c r="AM13" s="255">
        <v>441.13433050230879</v>
      </c>
      <c r="AN13" s="255">
        <v>0</v>
      </c>
      <c r="AO13" s="255">
        <v>103.62067374227783</v>
      </c>
      <c r="AP13" s="255">
        <v>0</v>
      </c>
      <c r="AQ13" s="208">
        <v>0</v>
      </c>
      <c r="AR13" s="208">
        <v>0</v>
      </c>
      <c r="AS13" s="208">
        <v>0</v>
      </c>
      <c r="AT13" s="222">
        <v>2500.7074728501543</v>
      </c>
      <c r="AV13" s="217" t="s">
        <v>349</v>
      </c>
      <c r="AW13" s="227">
        <v>0</v>
      </c>
      <c r="AX13" s="228">
        <v>0</v>
      </c>
      <c r="AY13" s="208">
        <v>0</v>
      </c>
      <c r="AZ13" s="208">
        <v>0</v>
      </c>
      <c r="BA13" s="208">
        <v>0</v>
      </c>
      <c r="BB13" s="208">
        <v>0</v>
      </c>
      <c r="BC13" s="208">
        <v>0</v>
      </c>
      <c r="BD13" s="208">
        <v>1751.4472885400064</v>
      </c>
      <c r="BE13" s="208">
        <v>0</v>
      </c>
      <c r="BF13" s="208">
        <v>97.17168595600522</v>
      </c>
      <c r="BG13" s="208">
        <v>107.33349410955647</v>
      </c>
      <c r="BH13" s="255">
        <v>0</v>
      </c>
      <c r="BI13" s="255">
        <v>0</v>
      </c>
      <c r="BJ13" s="258">
        <v>0</v>
      </c>
      <c r="BK13" s="255">
        <v>0</v>
      </c>
      <c r="BL13" s="258">
        <v>0</v>
      </c>
      <c r="BM13" s="255">
        <v>0</v>
      </c>
      <c r="BN13" s="208">
        <v>0</v>
      </c>
      <c r="BO13" s="208">
        <v>0</v>
      </c>
      <c r="BP13" s="208">
        <v>0</v>
      </c>
      <c r="BQ13" s="230">
        <f t="shared" si="0"/>
        <v>1955.9524686055681</v>
      </c>
      <c r="BR13" s="214"/>
      <c r="BS13" s="227"/>
      <c r="BT13" s="217" t="s">
        <v>349</v>
      </c>
      <c r="BU13" s="227">
        <v>0</v>
      </c>
      <c r="BV13" s="228">
        <v>0</v>
      </c>
      <c r="BW13" s="208">
        <v>0</v>
      </c>
      <c r="BX13" s="208">
        <v>0</v>
      </c>
      <c r="BY13" s="208">
        <v>0</v>
      </c>
      <c r="BZ13" s="208">
        <v>0</v>
      </c>
      <c r="CA13" s="208">
        <v>0</v>
      </c>
      <c r="CB13" s="208">
        <v>12</v>
      </c>
      <c r="CC13" s="208">
        <v>0</v>
      </c>
      <c r="CD13" s="208">
        <v>1</v>
      </c>
      <c r="CE13" s="208">
        <v>1</v>
      </c>
      <c r="CF13" s="208">
        <v>0</v>
      </c>
      <c r="CG13" s="208">
        <v>0</v>
      </c>
      <c r="CH13" s="208">
        <v>1</v>
      </c>
      <c r="CI13" s="208">
        <v>0</v>
      </c>
      <c r="CJ13" s="208">
        <v>0</v>
      </c>
      <c r="CK13" s="208">
        <v>0</v>
      </c>
      <c r="CL13" s="208">
        <v>0</v>
      </c>
      <c r="CM13" s="208">
        <v>0</v>
      </c>
      <c r="CN13" s="208">
        <v>0</v>
      </c>
      <c r="CO13" s="222">
        <v>15</v>
      </c>
      <c r="CP13" s="227"/>
      <c r="CQ13" s="217" t="s">
        <v>349</v>
      </c>
      <c r="CR13" s="227">
        <v>0</v>
      </c>
      <c r="CS13" s="228">
        <v>0</v>
      </c>
      <c r="CT13" s="208">
        <v>0</v>
      </c>
      <c r="CU13" s="208">
        <v>0</v>
      </c>
      <c r="CV13" s="208">
        <v>0</v>
      </c>
      <c r="CW13" s="208">
        <v>0</v>
      </c>
      <c r="CX13" s="208">
        <v>0</v>
      </c>
      <c r="CY13" s="208">
        <v>514.36876512464539</v>
      </c>
      <c r="CZ13" s="208">
        <v>0</v>
      </c>
      <c r="DA13" s="208">
        <v>22.950809930586619</v>
      </c>
      <c r="DB13" s="208">
        <v>22.696291160245615</v>
      </c>
      <c r="DC13" s="208">
        <v>0</v>
      </c>
      <c r="DD13" s="208">
        <v>0</v>
      </c>
      <c r="DE13" s="208">
        <v>64.964708127517937</v>
      </c>
      <c r="DF13" s="208">
        <v>0</v>
      </c>
      <c r="DG13" s="208">
        <v>0</v>
      </c>
      <c r="DH13" s="208">
        <v>0</v>
      </c>
      <c r="DI13" s="208">
        <v>0</v>
      </c>
      <c r="DJ13" s="208">
        <v>0</v>
      </c>
      <c r="DK13" s="208">
        <v>0</v>
      </c>
      <c r="DL13" s="222">
        <v>624.98057434299562</v>
      </c>
      <c r="DM13" s="214"/>
      <c r="DN13" s="214"/>
      <c r="DO13" s="227"/>
      <c r="DP13" s="217" t="s">
        <v>349</v>
      </c>
      <c r="DQ13" s="227">
        <v>0</v>
      </c>
      <c r="DR13" s="228">
        <v>0</v>
      </c>
      <c r="DS13" s="208">
        <v>0</v>
      </c>
      <c r="DT13" s="208">
        <v>0</v>
      </c>
      <c r="DU13" s="208">
        <v>0</v>
      </c>
      <c r="DV13" s="208">
        <v>0</v>
      </c>
      <c r="DW13" s="208">
        <v>0</v>
      </c>
      <c r="DX13" s="208">
        <v>13</v>
      </c>
      <c r="DY13" s="208">
        <v>0</v>
      </c>
      <c r="DZ13" s="208">
        <v>1</v>
      </c>
      <c r="EA13" s="208">
        <v>2</v>
      </c>
      <c r="EB13" s="208">
        <v>0</v>
      </c>
      <c r="EC13" s="208">
        <v>0</v>
      </c>
      <c r="ED13" s="208">
        <v>1</v>
      </c>
      <c r="EE13" s="208">
        <v>0</v>
      </c>
      <c r="EF13" s="208">
        <v>0</v>
      </c>
      <c r="EG13" s="208">
        <v>0</v>
      </c>
      <c r="EH13" s="208">
        <v>0</v>
      </c>
      <c r="EI13" s="208">
        <v>0</v>
      </c>
      <c r="EJ13" s="208">
        <v>0</v>
      </c>
      <c r="EK13" s="222">
        <v>17</v>
      </c>
      <c r="EL13" s="228"/>
      <c r="EM13" s="217" t="s">
        <v>349</v>
      </c>
      <c r="EN13" s="227">
        <v>0</v>
      </c>
      <c r="EO13" s="228">
        <v>0</v>
      </c>
      <c r="EP13" s="208">
        <v>0</v>
      </c>
      <c r="EQ13" s="208">
        <v>0</v>
      </c>
      <c r="ER13" s="208">
        <v>0</v>
      </c>
      <c r="ES13" s="208">
        <v>0</v>
      </c>
      <c r="ET13" s="208">
        <v>0</v>
      </c>
      <c r="EU13" s="208">
        <v>562.50014271525413</v>
      </c>
      <c r="EV13" s="208">
        <v>0</v>
      </c>
      <c r="EW13" s="208">
        <v>22.950809930586619</v>
      </c>
      <c r="EX13" s="208">
        <v>79.624395007806754</v>
      </c>
      <c r="EY13" s="208">
        <v>0</v>
      </c>
      <c r="EZ13" s="208">
        <v>0</v>
      </c>
      <c r="FA13" s="208">
        <v>64.964708127517937</v>
      </c>
      <c r="FB13" s="208">
        <v>0</v>
      </c>
      <c r="FC13" s="208">
        <v>0</v>
      </c>
      <c r="FD13" s="208">
        <v>0</v>
      </c>
      <c r="FE13" s="208">
        <v>0</v>
      </c>
      <c r="FF13" s="208">
        <v>0</v>
      </c>
      <c r="FG13" s="208">
        <v>0</v>
      </c>
      <c r="FH13" s="222">
        <v>730.04005578116539</v>
      </c>
    </row>
    <row r="14" spans="2:164" x14ac:dyDescent="0.2">
      <c r="B14" s="217" t="s">
        <v>337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93</v>
      </c>
      <c r="L14" s="208">
        <v>14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2</v>
      </c>
      <c r="S14" s="208">
        <v>0</v>
      </c>
      <c r="T14" s="208">
        <v>0</v>
      </c>
      <c r="U14" s="208">
        <v>0</v>
      </c>
      <c r="V14" s="208">
        <v>0</v>
      </c>
      <c r="W14" s="222">
        <v>109</v>
      </c>
      <c r="X14" s="208"/>
      <c r="Y14" s="217" t="s">
        <v>337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11648.307246599352</v>
      </c>
      <c r="AI14" s="208">
        <v>5480.7550577549055</v>
      </c>
      <c r="AJ14" s="208">
        <v>0</v>
      </c>
      <c r="AK14" s="255">
        <v>0</v>
      </c>
      <c r="AL14" s="255">
        <v>0</v>
      </c>
      <c r="AM14" s="255">
        <v>0</v>
      </c>
      <c r="AN14" s="255">
        <v>0</v>
      </c>
      <c r="AO14" s="255">
        <v>4634.3299286715546</v>
      </c>
      <c r="AP14" s="255">
        <v>0</v>
      </c>
      <c r="AQ14" s="208">
        <v>0</v>
      </c>
      <c r="AR14" s="208">
        <v>0</v>
      </c>
      <c r="AS14" s="208">
        <v>0</v>
      </c>
      <c r="AT14" s="222">
        <v>21763.392233025814</v>
      </c>
      <c r="AV14" s="217" t="s">
        <v>337</v>
      </c>
      <c r="AW14" s="227">
        <v>0</v>
      </c>
      <c r="AX14" s="228">
        <v>0</v>
      </c>
      <c r="AY14" s="208">
        <v>0</v>
      </c>
      <c r="AZ14" s="208">
        <v>0</v>
      </c>
      <c r="BA14" s="208">
        <v>0</v>
      </c>
      <c r="BB14" s="208">
        <v>0</v>
      </c>
      <c r="BC14" s="208">
        <v>0</v>
      </c>
      <c r="BD14" s="208">
        <v>0</v>
      </c>
      <c r="BE14" s="208">
        <v>11648.307246599352</v>
      </c>
      <c r="BF14" s="208">
        <v>5480.7550577549055</v>
      </c>
      <c r="BG14" s="208">
        <v>0</v>
      </c>
      <c r="BH14" s="255">
        <v>0</v>
      </c>
      <c r="BI14" s="255">
        <v>0</v>
      </c>
      <c r="BJ14" s="255">
        <v>0</v>
      </c>
      <c r="BK14" s="255">
        <v>0</v>
      </c>
      <c r="BL14" s="258">
        <v>0</v>
      </c>
      <c r="BM14" s="255">
        <v>0</v>
      </c>
      <c r="BN14" s="208">
        <v>0</v>
      </c>
      <c r="BO14" s="208">
        <v>0</v>
      </c>
      <c r="BP14" s="208">
        <v>0</v>
      </c>
      <c r="BQ14" s="230">
        <f t="shared" si="0"/>
        <v>17129.062304354258</v>
      </c>
      <c r="BR14" s="214"/>
      <c r="BS14" s="227"/>
      <c r="BT14" s="217" t="s">
        <v>337</v>
      </c>
      <c r="BU14" s="227">
        <v>0</v>
      </c>
      <c r="BV14" s="228">
        <v>0</v>
      </c>
      <c r="BW14" s="208">
        <v>0</v>
      </c>
      <c r="BX14" s="208">
        <v>0</v>
      </c>
      <c r="BY14" s="208">
        <v>0</v>
      </c>
      <c r="BZ14" s="208">
        <v>0</v>
      </c>
      <c r="CA14" s="208">
        <v>0</v>
      </c>
      <c r="CB14" s="208">
        <v>0</v>
      </c>
      <c r="CC14" s="208">
        <v>0</v>
      </c>
      <c r="CD14" s="208">
        <v>1</v>
      </c>
      <c r="CE14" s="208">
        <v>0</v>
      </c>
      <c r="CF14" s="208">
        <v>0</v>
      </c>
      <c r="CG14" s="208">
        <v>0</v>
      </c>
      <c r="CH14" s="208">
        <v>0</v>
      </c>
      <c r="CI14" s="208">
        <v>0</v>
      </c>
      <c r="CJ14" s="208">
        <v>0</v>
      </c>
      <c r="CK14" s="208">
        <v>0</v>
      </c>
      <c r="CL14" s="208">
        <v>0</v>
      </c>
      <c r="CM14" s="208">
        <v>0</v>
      </c>
      <c r="CN14" s="208">
        <v>0</v>
      </c>
      <c r="CO14" s="222">
        <v>1</v>
      </c>
      <c r="CP14" s="227"/>
      <c r="CQ14" s="217" t="s">
        <v>337</v>
      </c>
      <c r="CR14" s="227">
        <v>0</v>
      </c>
      <c r="CS14" s="228">
        <v>0</v>
      </c>
      <c r="CT14" s="208">
        <v>0</v>
      </c>
      <c r="CU14" s="208">
        <v>0</v>
      </c>
      <c r="CV14" s="208">
        <v>0</v>
      </c>
      <c r="CW14" s="208">
        <v>0</v>
      </c>
      <c r="CX14" s="208">
        <v>0</v>
      </c>
      <c r="CY14" s="208">
        <v>0</v>
      </c>
      <c r="CZ14" s="208">
        <v>0</v>
      </c>
      <c r="DA14" s="208">
        <v>3937.9968525111481</v>
      </c>
      <c r="DB14" s="208">
        <v>0</v>
      </c>
      <c r="DC14" s="208">
        <v>0</v>
      </c>
      <c r="DD14" s="208">
        <v>0</v>
      </c>
      <c r="DE14" s="208">
        <v>0</v>
      </c>
      <c r="DF14" s="208">
        <v>0</v>
      </c>
      <c r="DG14" s="208">
        <v>0</v>
      </c>
      <c r="DH14" s="208">
        <v>0</v>
      </c>
      <c r="DI14" s="208">
        <v>0</v>
      </c>
      <c r="DJ14" s="208">
        <v>0</v>
      </c>
      <c r="DK14" s="208">
        <v>0</v>
      </c>
      <c r="DL14" s="222">
        <v>3937.9968525111481</v>
      </c>
      <c r="DM14" s="214"/>
      <c r="DN14" s="214"/>
      <c r="DO14" s="227"/>
      <c r="DP14" s="217" t="s">
        <v>337</v>
      </c>
      <c r="DQ14" s="227">
        <v>0</v>
      </c>
      <c r="DR14" s="228">
        <v>0</v>
      </c>
      <c r="DS14" s="208">
        <v>0</v>
      </c>
      <c r="DT14" s="208">
        <v>0</v>
      </c>
      <c r="DU14" s="208">
        <v>0</v>
      </c>
      <c r="DV14" s="208">
        <v>0</v>
      </c>
      <c r="DW14" s="208">
        <v>0</v>
      </c>
      <c r="DX14" s="208">
        <v>0</v>
      </c>
      <c r="DY14" s="208">
        <v>0</v>
      </c>
      <c r="DZ14" s="208">
        <v>1</v>
      </c>
      <c r="EA14" s="208">
        <v>0</v>
      </c>
      <c r="EB14" s="208">
        <v>0</v>
      </c>
      <c r="EC14" s="208">
        <v>0</v>
      </c>
      <c r="ED14" s="208">
        <v>0</v>
      </c>
      <c r="EE14" s="208">
        <v>0</v>
      </c>
      <c r="EF14" s="208">
        <v>0</v>
      </c>
      <c r="EG14" s="208">
        <v>0</v>
      </c>
      <c r="EH14" s="208">
        <v>0</v>
      </c>
      <c r="EI14" s="208">
        <v>0</v>
      </c>
      <c r="EJ14" s="208">
        <v>0</v>
      </c>
      <c r="EK14" s="222">
        <v>1</v>
      </c>
      <c r="EL14" s="228"/>
      <c r="EM14" s="217" t="s">
        <v>337</v>
      </c>
      <c r="EN14" s="227">
        <v>0</v>
      </c>
      <c r="EO14" s="228">
        <v>0</v>
      </c>
      <c r="EP14" s="208">
        <v>0</v>
      </c>
      <c r="EQ14" s="208">
        <v>0</v>
      </c>
      <c r="ER14" s="208">
        <v>0</v>
      </c>
      <c r="ES14" s="208">
        <v>0</v>
      </c>
      <c r="ET14" s="208">
        <v>0</v>
      </c>
      <c r="EU14" s="208">
        <v>0</v>
      </c>
      <c r="EV14" s="208">
        <v>0</v>
      </c>
      <c r="EW14" s="208">
        <v>3937.9968525111481</v>
      </c>
      <c r="EX14" s="208">
        <v>0</v>
      </c>
      <c r="EY14" s="208">
        <v>0</v>
      </c>
      <c r="EZ14" s="208">
        <v>0</v>
      </c>
      <c r="FA14" s="208">
        <v>0</v>
      </c>
      <c r="FB14" s="208">
        <v>0</v>
      </c>
      <c r="FC14" s="208">
        <v>0</v>
      </c>
      <c r="FD14" s="208">
        <v>0</v>
      </c>
      <c r="FE14" s="208">
        <v>0</v>
      </c>
      <c r="FF14" s="208">
        <v>0</v>
      </c>
      <c r="FG14" s="208">
        <v>0</v>
      </c>
      <c r="FH14" s="222">
        <v>3937.9968525111481</v>
      </c>
    </row>
    <row r="15" spans="2:164" x14ac:dyDescent="0.2">
      <c r="B15" s="217" t="s">
        <v>338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615</v>
      </c>
      <c r="M15" s="208">
        <v>11</v>
      </c>
      <c r="N15" s="208">
        <v>0</v>
      </c>
      <c r="O15" s="208">
        <v>0</v>
      </c>
      <c r="P15" s="208">
        <v>0</v>
      </c>
      <c r="Q15" s="208">
        <v>0</v>
      </c>
      <c r="R15" s="208">
        <v>29</v>
      </c>
      <c r="S15" s="208">
        <v>0</v>
      </c>
      <c r="T15" s="208">
        <v>0</v>
      </c>
      <c r="U15" s="208">
        <v>0</v>
      </c>
      <c r="V15" s="208">
        <v>0</v>
      </c>
      <c r="W15" s="222">
        <v>655</v>
      </c>
      <c r="X15" s="208"/>
      <c r="Y15" s="217" t="s">
        <v>338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78705.909037884645</v>
      </c>
      <c r="AJ15" s="208">
        <v>1278.74239137218</v>
      </c>
      <c r="AK15" s="255">
        <v>0</v>
      </c>
      <c r="AL15" s="255">
        <v>0</v>
      </c>
      <c r="AM15" s="255">
        <v>0</v>
      </c>
      <c r="AN15" s="255">
        <v>0</v>
      </c>
      <c r="AO15" s="255">
        <v>5580.1322871134416</v>
      </c>
      <c r="AP15" s="255">
        <v>0</v>
      </c>
      <c r="AQ15" s="208">
        <v>0</v>
      </c>
      <c r="AR15" s="208">
        <v>0</v>
      </c>
      <c r="AS15" s="208">
        <v>0</v>
      </c>
      <c r="AT15" s="222">
        <v>85564.783716370279</v>
      </c>
      <c r="AV15" s="217" t="s">
        <v>338</v>
      </c>
      <c r="AW15" s="227">
        <v>0</v>
      </c>
      <c r="AX15" s="228">
        <v>0</v>
      </c>
      <c r="AY15" s="208">
        <v>0</v>
      </c>
      <c r="AZ15" s="208">
        <v>0</v>
      </c>
      <c r="BA15" s="208">
        <v>0</v>
      </c>
      <c r="BB15" s="208">
        <v>0</v>
      </c>
      <c r="BC15" s="208">
        <v>0</v>
      </c>
      <c r="BD15" s="208">
        <v>0</v>
      </c>
      <c r="BE15" s="208">
        <v>0</v>
      </c>
      <c r="BF15" s="208">
        <v>78705.909037884645</v>
      </c>
      <c r="BG15" s="208">
        <v>1278.74239137218</v>
      </c>
      <c r="BH15" s="255">
        <v>0</v>
      </c>
      <c r="BI15" s="255">
        <v>0</v>
      </c>
      <c r="BJ15" s="255">
        <v>0</v>
      </c>
      <c r="BK15" s="255">
        <v>0</v>
      </c>
      <c r="BL15" s="258">
        <v>0</v>
      </c>
      <c r="BM15" s="255">
        <v>0</v>
      </c>
      <c r="BN15" s="208">
        <v>0</v>
      </c>
      <c r="BO15" s="208">
        <v>0</v>
      </c>
      <c r="BP15" s="208">
        <v>0</v>
      </c>
      <c r="BQ15" s="230">
        <f t="shared" si="0"/>
        <v>79984.651429256832</v>
      </c>
      <c r="BR15" s="214"/>
      <c r="BS15" s="227"/>
      <c r="BT15" s="217" t="s">
        <v>338</v>
      </c>
      <c r="BU15" s="227">
        <v>0</v>
      </c>
      <c r="BV15" s="228">
        <v>0</v>
      </c>
      <c r="BW15" s="208">
        <v>0</v>
      </c>
      <c r="BX15" s="208">
        <v>0</v>
      </c>
      <c r="BY15" s="208">
        <v>0</v>
      </c>
      <c r="BZ15" s="208">
        <v>0</v>
      </c>
      <c r="CA15" s="208">
        <v>0</v>
      </c>
      <c r="CB15" s="208">
        <v>0</v>
      </c>
      <c r="CC15" s="208">
        <v>0</v>
      </c>
      <c r="CD15" s="208">
        <v>5</v>
      </c>
      <c r="CE15" s="208">
        <v>0</v>
      </c>
      <c r="CF15" s="208">
        <v>0</v>
      </c>
      <c r="CG15" s="208">
        <v>0</v>
      </c>
      <c r="CH15" s="208">
        <v>0</v>
      </c>
      <c r="CI15" s="208">
        <v>0</v>
      </c>
      <c r="CJ15" s="208">
        <v>1</v>
      </c>
      <c r="CK15" s="208">
        <v>0</v>
      </c>
      <c r="CL15" s="208">
        <v>0</v>
      </c>
      <c r="CM15" s="208">
        <v>0</v>
      </c>
      <c r="CN15" s="208">
        <v>0</v>
      </c>
      <c r="CO15" s="222">
        <v>6</v>
      </c>
      <c r="CP15" s="227"/>
      <c r="CQ15" s="217" t="s">
        <v>338</v>
      </c>
      <c r="CR15" s="227">
        <v>0</v>
      </c>
      <c r="CS15" s="228">
        <v>0</v>
      </c>
      <c r="CT15" s="208">
        <v>0</v>
      </c>
      <c r="CU15" s="208">
        <v>0</v>
      </c>
      <c r="CV15" s="208">
        <v>0</v>
      </c>
      <c r="CW15" s="208">
        <v>0</v>
      </c>
      <c r="CX15" s="208">
        <v>0</v>
      </c>
      <c r="CY15" s="208">
        <v>0</v>
      </c>
      <c r="CZ15" s="208">
        <v>0</v>
      </c>
      <c r="DA15" s="208">
        <v>7963.4677372021497</v>
      </c>
      <c r="DB15" s="208">
        <v>0</v>
      </c>
      <c r="DC15" s="208">
        <v>0</v>
      </c>
      <c r="DD15" s="208">
        <v>0</v>
      </c>
      <c r="DE15" s="208">
        <v>0</v>
      </c>
      <c r="DF15" s="208">
        <v>0</v>
      </c>
      <c r="DG15" s="208">
        <v>22.912071624488394</v>
      </c>
      <c r="DH15" s="208">
        <v>0</v>
      </c>
      <c r="DI15" s="208">
        <v>0</v>
      </c>
      <c r="DJ15" s="208">
        <v>0</v>
      </c>
      <c r="DK15" s="208">
        <v>0</v>
      </c>
      <c r="DL15" s="222">
        <v>7986.3798088266385</v>
      </c>
      <c r="DM15" s="214"/>
      <c r="DN15" s="214"/>
      <c r="DO15" s="227"/>
      <c r="DP15" s="217" t="s">
        <v>338</v>
      </c>
      <c r="DQ15" s="227">
        <v>0</v>
      </c>
      <c r="DR15" s="228">
        <v>0</v>
      </c>
      <c r="DS15" s="208">
        <v>0</v>
      </c>
      <c r="DT15" s="208">
        <v>0</v>
      </c>
      <c r="DU15" s="208">
        <v>0</v>
      </c>
      <c r="DV15" s="208">
        <v>0</v>
      </c>
      <c r="DW15" s="208">
        <v>0</v>
      </c>
      <c r="DX15" s="208">
        <v>0</v>
      </c>
      <c r="DY15" s="208">
        <v>0</v>
      </c>
      <c r="DZ15" s="208">
        <v>6</v>
      </c>
      <c r="EA15" s="208">
        <v>0</v>
      </c>
      <c r="EB15" s="208">
        <v>0</v>
      </c>
      <c r="EC15" s="208">
        <v>0</v>
      </c>
      <c r="ED15" s="208">
        <v>0</v>
      </c>
      <c r="EE15" s="208">
        <v>0</v>
      </c>
      <c r="EF15" s="208">
        <v>1</v>
      </c>
      <c r="EG15" s="208">
        <v>0</v>
      </c>
      <c r="EH15" s="208">
        <v>0</v>
      </c>
      <c r="EI15" s="208">
        <v>0</v>
      </c>
      <c r="EJ15" s="208">
        <v>0</v>
      </c>
      <c r="EK15" s="222">
        <v>7</v>
      </c>
      <c r="EL15" s="228"/>
      <c r="EM15" s="217" t="s">
        <v>338</v>
      </c>
      <c r="EN15" s="227">
        <v>0</v>
      </c>
      <c r="EO15" s="228">
        <v>0</v>
      </c>
      <c r="EP15" s="208">
        <v>0</v>
      </c>
      <c r="EQ15" s="208">
        <v>0</v>
      </c>
      <c r="ER15" s="208">
        <v>0</v>
      </c>
      <c r="ES15" s="208">
        <v>0</v>
      </c>
      <c r="ET15" s="208">
        <v>0</v>
      </c>
      <c r="EU15" s="208">
        <v>0</v>
      </c>
      <c r="EV15" s="208">
        <v>0</v>
      </c>
      <c r="EW15" s="208">
        <v>7977.6125689280352</v>
      </c>
      <c r="EX15" s="208">
        <v>0</v>
      </c>
      <c r="EY15" s="208">
        <v>0</v>
      </c>
      <c r="EZ15" s="208">
        <v>0</v>
      </c>
      <c r="FA15" s="208">
        <v>0</v>
      </c>
      <c r="FB15" s="208">
        <v>0</v>
      </c>
      <c r="FC15" s="208">
        <v>22.912071624488394</v>
      </c>
      <c r="FD15" s="208">
        <v>0</v>
      </c>
      <c r="FE15" s="208">
        <v>0</v>
      </c>
      <c r="FF15" s="208">
        <v>0</v>
      </c>
      <c r="FG15" s="208">
        <v>0</v>
      </c>
      <c r="FH15" s="222">
        <v>8000.524640552524</v>
      </c>
    </row>
    <row r="16" spans="2:164" x14ac:dyDescent="0.2">
      <c r="B16" s="217" t="s">
        <v>339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0</v>
      </c>
      <c r="I16" s="208">
        <v>0</v>
      </c>
      <c r="J16" s="208">
        <v>0</v>
      </c>
      <c r="K16" s="208">
        <v>0</v>
      </c>
      <c r="L16" s="208">
        <v>0</v>
      </c>
      <c r="M16" s="208">
        <v>252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13</v>
      </c>
      <c r="T16" s="208">
        <v>0</v>
      </c>
      <c r="U16" s="208">
        <v>0</v>
      </c>
      <c r="V16" s="208">
        <v>0</v>
      </c>
      <c r="W16" s="222">
        <v>265</v>
      </c>
      <c r="X16" s="208"/>
      <c r="Y16" s="217" t="s">
        <v>339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0</v>
      </c>
      <c r="AF16" s="208">
        <v>0</v>
      </c>
      <c r="AG16" s="208">
        <v>0</v>
      </c>
      <c r="AH16" s="208">
        <v>0</v>
      </c>
      <c r="AI16" s="208">
        <v>0</v>
      </c>
      <c r="AJ16" s="208">
        <v>46002.584629237346</v>
      </c>
      <c r="AK16" s="255">
        <v>0</v>
      </c>
      <c r="AL16" s="255">
        <v>0</v>
      </c>
      <c r="AM16" s="255">
        <v>0</v>
      </c>
      <c r="AN16" s="255">
        <v>0</v>
      </c>
      <c r="AO16" s="255">
        <v>0</v>
      </c>
      <c r="AP16" s="255">
        <v>4632.02068608832</v>
      </c>
      <c r="AQ16" s="208">
        <v>0</v>
      </c>
      <c r="AR16" s="208">
        <v>0</v>
      </c>
      <c r="AS16" s="208">
        <v>0</v>
      </c>
      <c r="AT16" s="222">
        <v>50634.605315325665</v>
      </c>
      <c r="AV16" s="217" t="s">
        <v>339</v>
      </c>
      <c r="AW16" s="227">
        <v>0</v>
      </c>
      <c r="AX16" s="228">
        <v>0</v>
      </c>
      <c r="AY16" s="208">
        <v>0</v>
      </c>
      <c r="AZ16" s="208">
        <v>0</v>
      </c>
      <c r="BA16" s="208">
        <v>0</v>
      </c>
      <c r="BB16" s="208">
        <v>0</v>
      </c>
      <c r="BC16" s="208">
        <v>0</v>
      </c>
      <c r="BD16" s="208">
        <v>0</v>
      </c>
      <c r="BE16" s="208">
        <v>0</v>
      </c>
      <c r="BF16" s="208">
        <v>0</v>
      </c>
      <c r="BG16" s="208">
        <v>46002.584629237346</v>
      </c>
      <c r="BH16" s="255">
        <v>0</v>
      </c>
      <c r="BI16" s="255">
        <v>0</v>
      </c>
      <c r="BJ16" s="255">
        <v>0</v>
      </c>
      <c r="BK16" s="255">
        <v>0</v>
      </c>
      <c r="BL16" s="255">
        <v>0</v>
      </c>
      <c r="BM16" s="258">
        <v>0</v>
      </c>
      <c r="BN16" s="208">
        <v>0</v>
      </c>
      <c r="BO16" s="208">
        <v>0</v>
      </c>
      <c r="BP16" s="208">
        <v>0</v>
      </c>
      <c r="BQ16" s="230">
        <f t="shared" si="0"/>
        <v>46002.584629237346</v>
      </c>
      <c r="BR16" s="214"/>
      <c r="BS16" s="227"/>
      <c r="BT16" s="217" t="s">
        <v>339</v>
      </c>
      <c r="BU16" s="227">
        <v>0</v>
      </c>
      <c r="BV16" s="228">
        <v>0</v>
      </c>
      <c r="BW16" s="208">
        <v>0</v>
      </c>
      <c r="BX16" s="208">
        <v>0</v>
      </c>
      <c r="BY16" s="208">
        <v>0</v>
      </c>
      <c r="BZ16" s="208">
        <v>0</v>
      </c>
      <c r="CA16" s="208">
        <v>0</v>
      </c>
      <c r="CB16" s="208">
        <v>0</v>
      </c>
      <c r="CC16" s="208">
        <v>0</v>
      </c>
      <c r="CD16" s="208">
        <v>0</v>
      </c>
      <c r="CE16" s="208">
        <v>2</v>
      </c>
      <c r="CF16" s="208">
        <v>0</v>
      </c>
      <c r="CG16" s="208">
        <v>0</v>
      </c>
      <c r="CH16" s="208">
        <v>0</v>
      </c>
      <c r="CI16" s="208">
        <v>0</v>
      </c>
      <c r="CJ16" s="208">
        <v>0</v>
      </c>
      <c r="CK16" s="208">
        <v>0</v>
      </c>
      <c r="CL16" s="208">
        <v>0</v>
      </c>
      <c r="CM16" s="208">
        <v>0</v>
      </c>
      <c r="CN16" s="208">
        <v>0</v>
      </c>
      <c r="CO16" s="222">
        <v>2</v>
      </c>
      <c r="CP16" s="227"/>
      <c r="CQ16" s="217" t="s">
        <v>339</v>
      </c>
      <c r="CR16" s="227">
        <v>0</v>
      </c>
      <c r="CS16" s="228">
        <v>0</v>
      </c>
      <c r="CT16" s="208">
        <v>0</v>
      </c>
      <c r="CU16" s="208">
        <v>0</v>
      </c>
      <c r="CV16" s="208">
        <v>0</v>
      </c>
      <c r="CW16" s="208">
        <v>0</v>
      </c>
      <c r="CX16" s="208">
        <v>0</v>
      </c>
      <c r="CY16" s="208">
        <v>0</v>
      </c>
      <c r="CZ16" s="208">
        <v>0</v>
      </c>
      <c r="DA16" s="208">
        <v>0</v>
      </c>
      <c r="DB16" s="208">
        <v>45.392582320491229</v>
      </c>
      <c r="DC16" s="208">
        <v>0</v>
      </c>
      <c r="DD16" s="208">
        <v>0</v>
      </c>
      <c r="DE16" s="208">
        <v>0</v>
      </c>
      <c r="DF16" s="208">
        <v>0</v>
      </c>
      <c r="DG16" s="208">
        <v>0</v>
      </c>
      <c r="DH16" s="208">
        <v>0</v>
      </c>
      <c r="DI16" s="208">
        <v>0</v>
      </c>
      <c r="DJ16" s="208">
        <v>0</v>
      </c>
      <c r="DK16" s="208">
        <v>0</v>
      </c>
      <c r="DL16" s="222">
        <v>45.392582320491229</v>
      </c>
      <c r="DM16" s="214"/>
      <c r="DN16" s="214"/>
      <c r="DO16" s="227"/>
      <c r="DP16" s="217" t="s">
        <v>339</v>
      </c>
      <c r="DQ16" s="227">
        <v>0</v>
      </c>
      <c r="DR16" s="228">
        <v>0</v>
      </c>
      <c r="DS16" s="208">
        <v>0</v>
      </c>
      <c r="DT16" s="208">
        <v>0</v>
      </c>
      <c r="DU16" s="208">
        <v>0</v>
      </c>
      <c r="DV16" s="208">
        <v>0</v>
      </c>
      <c r="DW16" s="208">
        <v>0</v>
      </c>
      <c r="DX16" s="208">
        <v>0</v>
      </c>
      <c r="DY16" s="208">
        <v>0</v>
      </c>
      <c r="DZ16" s="208">
        <v>0</v>
      </c>
      <c r="EA16" s="208">
        <v>5</v>
      </c>
      <c r="EB16" s="208">
        <v>0</v>
      </c>
      <c r="EC16" s="208">
        <v>0</v>
      </c>
      <c r="ED16" s="208">
        <v>0</v>
      </c>
      <c r="EE16" s="208">
        <v>0</v>
      </c>
      <c r="EF16" s="208">
        <v>0</v>
      </c>
      <c r="EG16" s="208">
        <v>1</v>
      </c>
      <c r="EH16" s="208">
        <v>0</v>
      </c>
      <c r="EI16" s="208">
        <v>0</v>
      </c>
      <c r="EJ16" s="208">
        <v>0</v>
      </c>
      <c r="EK16" s="222">
        <v>6</v>
      </c>
      <c r="EL16" s="228"/>
      <c r="EM16" s="217" t="s">
        <v>339</v>
      </c>
      <c r="EN16" s="227">
        <v>0</v>
      </c>
      <c r="EO16" s="228">
        <v>0</v>
      </c>
      <c r="EP16" s="208">
        <v>0</v>
      </c>
      <c r="EQ16" s="208">
        <v>0</v>
      </c>
      <c r="ER16" s="208">
        <v>0</v>
      </c>
      <c r="ES16" s="208">
        <v>0</v>
      </c>
      <c r="ET16" s="208">
        <v>0</v>
      </c>
      <c r="EU16" s="208">
        <v>0</v>
      </c>
      <c r="EV16" s="208">
        <v>0</v>
      </c>
      <c r="EW16" s="208">
        <v>0</v>
      </c>
      <c r="EX16" s="208">
        <v>208.38527867944998</v>
      </c>
      <c r="EY16" s="208">
        <v>0</v>
      </c>
      <c r="EZ16" s="208">
        <v>0</v>
      </c>
      <c r="FA16" s="208">
        <v>0</v>
      </c>
      <c r="FB16" s="208">
        <v>0</v>
      </c>
      <c r="FC16" s="208">
        <v>0</v>
      </c>
      <c r="FD16" s="208">
        <v>1807.5207853197044</v>
      </c>
      <c r="FE16" s="208">
        <v>0</v>
      </c>
      <c r="FF16" s="208">
        <v>0</v>
      </c>
      <c r="FG16" s="208">
        <v>0</v>
      </c>
      <c r="FH16" s="222">
        <v>2015.9060639991544</v>
      </c>
    </row>
    <row r="17" spans="2:164" x14ac:dyDescent="0.2">
      <c r="B17" s="217" t="s">
        <v>340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1</v>
      </c>
      <c r="I17" s="208">
        <v>0</v>
      </c>
      <c r="J17" s="208">
        <v>0</v>
      </c>
      <c r="K17" s="208">
        <v>0</v>
      </c>
      <c r="L17" s="208">
        <v>0</v>
      </c>
      <c r="M17" s="208">
        <v>0</v>
      </c>
      <c r="N17" s="208">
        <v>9</v>
      </c>
      <c r="O17" s="208">
        <v>2</v>
      </c>
      <c r="P17" s="208">
        <v>1</v>
      </c>
      <c r="Q17" s="208">
        <v>0</v>
      </c>
      <c r="R17" s="208">
        <v>1</v>
      </c>
      <c r="S17" s="208">
        <v>1</v>
      </c>
      <c r="T17" s="208">
        <v>0</v>
      </c>
      <c r="U17" s="208">
        <v>0</v>
      </c>
      <c r="V17" s="208">
        <v>0</v>
      </c>
      <c r="W17" s="222">
        <v>15</v>
      </c>
      <c r="X17" s="208"/>
      <c r="Y17" s="217" t="s">
        <v>340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55">
        <v>8.0136498733620094</v>
      </c>
      <c r="AF17" s="255">
        <v>0</v>
      </c>
      <c r="AG17" s="255">
        <v>0</v>
      </c>
      <c r="AH17" s="255">
        <v>0</v>
      </c>
      <c r="AI17" s="255">
        <v>0</v>
      </c>
      <c r="AJ17" s="255">
        <v>0</v>
      </c>
      <c r="AK17" s="208">
        <v>216.35053096696976</v>
      </c>
      <c r="AL17" s="208">
        <v>364.33366766660492</v>
      </c>
      <c r="AM17" s="208">
        <v>32.065953980446686</v>
      </c>
      <c r="AN17" s="208">
        <v>0</v>
      </c>
      <c r="AO17" s="208">
        <v>50.16784982979776</v>
      </c>
      <c r="AP17" s="208">
        <v>31.346233653625085</v>
      </c>
      <c r="AQ17" s="208">
        <v>0</v>
      </c>
      <c r="AR17" s="208">
        <v>0</v>
      </c>
      <c r="AS17" s="208">
        <v>0</v>
      </c>
      <c r="AT17" s="222">
        <v>702.27788597080621</v>
      </c>
      <c r="AV17" s="217" t="s">
        <v>340</v>
      </c>
      <c r="AW17" s="227">
        <v>0</v>
      </c>
      <c r="AX17" s="228">
        <v>0</v>
      </c>
      <c r="AY17" s="208">
        <v>0</v>
      </c>
      <c r="AZ17" s="208">
        <v>0</v>
      </c>
      <c r="BA17" s="208">
        <v>0</v>
      </c>
      <c r="BB17" s="258">
        <v>0</v>
      </c>
      <c r="BC17" s="255">
        <v>0</v>
      </c>
      <c r="BD17" s="255">
        <v>0</v>
      </c>
      <c r="BE17" s="255">
        <v>0</v>
      </c>
      <c r="BF17" s="255">
        <v>0</v>
      </c>
      <c r="BG17" s="255">
        <v>0</v>
      </c>
      <c r="BH17" s="208">
        <v>216.35053096696976</v>
      </c>
      <c r="BI17" s="208">
        <v>364.33366766660492</v>
      </c>
      <c r="BJ17" s="208">
        <v>32.065953980446686</v>
      </c>
      <c r="BK17" s="208">
        <v>0</v>
      </c>
      <c r="BL17" s="208">
        <v>50.16784982979776</v>
      </c>
      <c r="BM17" s="208">
        <v>31.346233653625085</v>
      </c>
      <c r="BN17" s="208">
        <v>0</v>
      </c>
      <c r="BO17" s="208">
        <v>0</v>
      </c>
      <c r="BP17" s="208">
        <v>0</v>
      </c>
      <c r="BQ17" s="230">
        <f t="shared" si="0"/>
        <v>694.26423609744415</v>
      </c>
      <c r="BR17" s="214"/>
      <c r="BS17" s="227"/>
      <c r="BT17" s="217" t="s">
        <v>340</v>
      </c>
      <c r="BU17" s="227">
        <v>0</v>
      </c>
      <c r="BV17" s="228">
        <v>0</v>
      </c>
      <c r="BW17" s="208">
        <v>0</v>
      </c>
      <c r="BX17" s="208">
        <v>0</v>
      </c>
      <c r="BY17" s="208">
        <v>0</v>
      </c>
      <c r="BZ17" s="208">
        <v>0</v>
      </c>
      <c r="CA17" s="208">
        <v>0</v>
      </c>
      <c r="CB17" s="208">
        <v>0</v>
      </c>
      <c r="CC17" s="208">
        <v>0</v>
      </c>
      <c r="CD17" s="208">
        <v>0</v>
      </c>
      <c r="CE17" s="208">
        <v>0</v>
      </c>
      <c r="CF17" s="208">
        <v>0</v>
      </c>
      <c r="CG17" s="208">
        <v>0</v>
      </c>
      <c r="CH17" s="208">
        <v>1</v>
      </c>
      <c r="CI17" s="208">
        <v>0</v>
      </c>
      <c r="CJ17" s="208">
        <v>0</v>
      </c>
      <c r="CK17" s="208">
        <v>0</v>
      </c>
      <c r="CL17" s="208">
        <v>0</v>
      </c>
      <c r="CM17" s="208">
        <v>0</v>
      </c>
      <c r="CN17" s="208">
        <v>0</v>
      </c>
      <c r="CO17" s="222">
        <v>1</v>
      </c>
      <c r="CP17" s="227"/>
      <c r="CQ17" s="217" t="s">
        <v>340</v>
      </c>
      <c r="CR17" s="227">
        <v>0</v>
      </c>
      <c r="CS17" s="228">
        <v>0</v>
      </c>
      <c r="CT17" s="208">
        <v>0</v>
      </c>
      <c r="CU17" s="208">
        <v>0</v>
      </c>
      <c r="CV17" s="208">
        <v>0</v>
      </c>
      <c r="CW17" s="208">
        <v>0</v>
      </c>
      <c r="CX17" s="208">
        <v>0</v>
      </c>
      <c r="CY17" s="208">
        <v>0</v>
      </c>
      <c r="CZ17" s="208">
        <v>0</v>
      </c>
      <c r="DA17" s="208">
        <v>0</v>
      </c>
      <c r="DB17" s="208">
        <v>0</v>
      </c>
      <c r="DC17" s="208">
        <v>0</v>
      </c>
      <c r="DD17" s="208">
        <v>0</v>
      </c>
      <c r="DE17" s="208">
        <v>32.065953980446686</v>
      </c>
      <c r="DF17" s="208">
        <v>0</v>
      </c>
      <c r="DG17" s="208">
        <v>0</v>
      </c>
      <c r="DH17" s="208">
        <v>0</v>
      </c>
      <c r="DI17" s="208">
        <v>0</v>
      </c>
      <c r="DJ17" s="208">
        <v>0</v>
      </c>
      <c r="DK17" s="208">
        <v>0</v>
      </c>
      <c r="DL17" s="222">
        <v>32.065953980446686</v>
      </c>
      <c r="DM17" s="214"/>
      <c r="DN17" s="214"/>
      <c r="DO17" s="227"/>
      <c r="DP17" s="217" t="s">
        <v>340</v>
      </c>
      <c r="DQ17" s="227">
        <v>0</v>
      </c>
      <c r="DR17" s="228">
        <v>0</v>
      </c>
      <c r="DS17" s="208">
        <v>0</v>
      </c>
      <c r="DT17" s="208">
        <v>0</v>
      </c>
      <c r="DU17" s="208">
        <v>0</v>
      </c>
      <c r="DV17" s="208">
        <v>0</v>
      </c>
      <c r="DW17" s="208">
        <v>0</v>
      </c>
      <c r="DX17" s="208">
        <v>0</v>
      </c>
      <c r="DY17" s="208">
        <v>0</v>
      </c>
      <c r="DZ17" s="208">
        <v>0</v>
      </c>
      <c r="EA17" s="208">
        <v>0</v>
      </c>
      <c r="EB17" s="208">
        <v>0</v>
      </c>
      <c r="EC17" s="208">
        <v>0</v>
      </c>
      <c r="ED17" s="208">
        <v>1</v>
      </c>
      <c r="EE17" s="208">
        <v>0</v>
      </c>
      <c r="EF17" s="208">
        <v>0</v>
      </c>
      <c r="EG17" s="208">
        <v>0</v>
      </c>
      <c r="EH17" s="208">
        <v>0</v>
      </c>
      <c r="EI17" s="208">
        <v>0</v>
      </c>
      <c r="EJ17" s="208">
        <v>0</v>
      </c>
      <c r="EK17" s="222">
        <v>1</v>
      </c>
      <c r="EL17" s="228"/>
      <c r="EM17" s="217" t="s">
        <v>340</v>
      </c>
      <c r="EN17" s="227">
        <v>0</v>
      </c>
      <c r="EO17" s="228">
        <v>0</v>
      </c>
      <c r="EP17" s="208">
        <v>0</v>
      </c>
      <c r="EQ17" s="208">
        <v>0</v>
      </c>
      <c r="ER17" s="208">
        <v>0</v>
      </c>
      <c r="ES17" s="208">
        <v>0</v>
      </c>
      <c r="ET17" s="208">
        <v>0</v>
      </c>
      <c r="EU17" s="208">
        <v>0</v>
      </c>
      <c r="EV17" s="208">
        <v>0</v>
      </c>
      <c r="EW17" s="208">
        <v>0</v>
      </c>
      <c r="EX17" s="208">
        <v>0</v>
      </c>
      <c r="EY17" s="208">
        <v>0</v>
      </c>
      <c r="EZ17" s="208">
        <v>0</v>
      </c>
      <c r="FA17" s="208">
        <v>32.065953980446686</v>
      </c>
      <c r="FB17" s="208">
        <v>0</v>
      </c>
      <c r="FC17" s="208">
        <v>0</v>
      </c>
      <c r="FD17" s="208">
        <v>0</v>
      </c>
      <c r="FE17" s="208">
        <v>0</v>
      </c>
      <c r="FF17" s="208">
        <v>0</v>
      </c>
      <c r="FG17" s="208">
        <v>0</v>
      </c>
      <c r="FH17" s="222">
        <v>32.065953980446686</v>
      </c>
    </row>
    <row r="18" spans="2:164" x14ac:dyDescent="0.2">
      <c r="B18" s="217" t="s">
        <v>361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6</v>
      </c>
      <c r="J18" s="208">
        <v>0</v>
      </c>
      <c r="K18" s="208">
        <v>0</v>
      </c>
      <c r="L18" s="208">
        <v>0</v>
      </c>
      <c r="M18" s="208">
        <v>0</v>
      </c>
      <c r="N18" s="208">
        <v>0</v>
      </c>
      <c r="O18" s="208">
        <v>9</v>
      </c>
      <c r="P18" s="208">
        <v>0</v>
      </c>
      <c r="Q18" s="208">
        <v>0</v>
      </c>
      <c r="R18" s="208">
        <v>0</v>
      </c>
      <c r="S18" s="208">
        <v>1</v>
      </c>
      <c r="T18" s="208">
        <v>0</v>
      </c>
      <c r="U18" s="208">
        <v>0</v>
      </c>
      <c r="V18" s="208">
        <v>0</v>
      </c>
      <c r="W18" s="222">
        <v>16</v>
      </c>
      <c r="X18" s="208"/>
      <c r="Y18" s="217" t="s">
        <v>361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55">
        <v>0</v>
      </c>
      <c r="AF18" s="255">
        <v>391.77646034400789</v>
      </c>
      <c r="AG18" s="255">
        <v>0</v>
      </c>
      <c r="AH18" s="255">
        <v>0</v>
      </c>
      <c r="AI18" s="255">
        <v>0</v>
      </c>
      <c r="AJ18" s="255">
        <v>0</v>
      </c>
      <c r="AK18" s="208">
        <v>0</v>
      </c>
      <c r="AL18" s="208">
        <v>2171.1384938061024</v>
      </c>
      <c r="AM18" s="208">
        <v>0</v>
      </c>
      <c r="AN18" s="208">
        <v>0</v>
      </c>
      <c r="AO18" s="208">
        <v>0</v>
      </c>
      <c r="AP18" s="208">
        <v>66.648737434734386</v>
      </c>
      <c r="AQ18" s="208">
        <v>0</v>
      </c>
      <c r="AR18" s="208">
        <v>0</v>
      </c>
      <c r="AS18" s="208">
        <v>0</v>
      </c>
      <c r="AT18" s="222">
        <v>2629.5636915848445</v>
      </c>
      <c r="AV18" s="217" t="s">
        <v>361</v>
      </c>
      <c r="AW18" s="227">
        <v>0</v>
      </c>
      <c r="AX18" s="228">
        <v>0</v>
      </c>
      <c r="AY18" s="208">
        <v>0</v>
      </c>
      <c r="AZ18" s="208">
        <v>0</v>
      </c>
      <c r="BA18" s="208">
        <v>0</v>
      </c>
      <c r="BB18" s="255">
        <v>0</v>
      </c>
      <c r="BC18" s="258">
        <v>0</v>
      </c>
      <c r="BD18" s="255">
        <v>0</v>
      </c>
      <c r="BE18" s="255">
        <v>0</v>
      </c>
      <c r="BF18" s="255">
        <v>0</v>
      </c>
      <c r="BG18" s="255">
        <v>0</v>
      </c>
      <c r="BH18" s="208">
        <v>0</v>
      </c>
      <c r="BI18" s="208">
        <v>2171.1384938061024</v>
      </c>
      <c r="BJ18" s="208">
        <v>0</v>
      </c>
      <c r="BK18" s="208">
        <v>0</v>
      </c>
      <c r="BL18" s="208">
        <v>0</v>
      </c>
      <c r="BM18" s="208">
        <v>66.648737434734386</v>
      </c>
      <c r="BN18" s="208">
        <v>0</v>
      </c>
      <c r="BO18" s="208">
        <v>0</v>
      </c>
      <c r="BP18" s="208">
        <v>0</v>
      </c>
      <c r="BQ18" s="230">
        <f t="shared" si="0"/>
        <v>2237.7872312408367</v>
      </c>
      <c r="BR18" s="214"/>
      <c r="BS18" s="227"/>
      <c r="BT18" s="217" t="s">
        <v>361</v>
      </c>
      <c r="BU18" s="227">
        <v>0</v>
      </c>
      <c r="BV18" s="228">
        <v>0</v>
      </c>
      <c r="BW18" s="208">
        <v>0</v>
      </c>
      <c r="BX18" s="208">
        <v>0</v>
      </c>
      <c r="BY18" s="208">
        <v>0</v>
      </c>
      <c r="BZ18" s="208">
        <v>0</v>
      </c>
      <c r="CA18" s="208">
        <v>0</v>
      </c>
      <c r="CB18" s="208">
        <v>0</v>
      </c>
      <c r="CC18" s="208">
        <v>0</v>
      </c>
      <c r="CD18" s="208">
        <v>0</v>
      </c>
      <c r="CE18" s="208">
        <v>0</v>
      </c>
      <c r="CF18" s="208">
        <v>0</v>
      </c>
      <c r="CG18" s="208">
        <v>0</v>
      </c>
      <c r="CH18" s="208">
        <v>0</v>
      </c>
      <c r="CI18" s="208">
        <v>0</v>
      </c>
      <c r="CJ18" s="208">
        <v>0</v>
      </c>
      <c r="CK18" s="208">
        <v>0</v>
      </c>
      <c r="CL18" s="208">
        <v>0</v>
      </c>
      <c r="CM18" s="208">
        <v>0</v>
      </c>
      <c r="CN18" s="208">
        <v>0</v>
      </c>
      <c r="CO18" s="222">
        <v>0</v>
      </c>
      <c r="CP18" s="227"/>
      <c r="CQ18" s="217" t="s">
        <v>361</v>
      </c>
      <c r="CR18" s="227">
        <v>0</v>
      </c>
      <c r="CS18" s="228">
        <v>0</v>
      </c>
      <c r="CT18" s="208">
        <v>0</v>
      </c>
      <c r="CU18" s="208">
        <v>0</v>
      </c>
      <c r="CV18" s="208">
        <v>0</v>
      </c>
      <c r="CW18" s="208">
        <v>0</v>
      </c>
      <c r="CX18" s="208">
        <v>0</v>
      </c>
      <c r="CY18" s="208">
        <v>0</v>
      </c>
      <c r="CZ18" s="208">
        <v>0</v>
      </c>
      <c r="DA18" s="208">
        <v>0</v>
      </c>
      <c r="DB18" s="208">
        <v>0</v>
      </c>
      <c r="DC18" s="208">
        <v>0</v>
      </c>
      <c r="DD18" s="208">
        <v>0</v>
      </c>
      <c r="DE18" s="208">
        <v>0</v>
      </c>
      <c r="DF18" s="208">
        <v>0</v>
      </c>
      <c r="DG18" s="208">
        <v>0</v>
      </c>
      <c r="DH18" s="208">
        <v>0</v>
      </c>
      <c r="DI18" s="208">
        <v>0</v>
      </c>
      <c r="DJ18" s="208">
        <v>0</v>
      </c>
      <c r="DK18" s="208">
        <v>0</v>
      </c>
      <c r="DL18" s="222">
        <v>0</v>
      </c>
      <c r="DM18" s="214"/>
      <c r="DN18" s="214"/>
      <c r="DO18" s="227"/>
      <c r="DP18" s="217" t="s">
        <v>361</v>
      </c>
      <c r="DQ18" s="227">
        <v>0</v>
      </c>
      <c r="DR18" s="228">
        <v>0</v>
      </c>
      <c r="DS18" s="208">
        <v>0</v>
      </c>
      <c r="DT18" s="208">
        <v>0</v>
      </c>
      <c r="DU18" s="208">
        <v>0</v>
      </c>
      <c r="DV18" s="208">
        <v>0</v>
      </c>
      <c r="DW18" s="208">
        <v>0</v>
      </c>
      <c r="DX18" s="208">
        <v>0</v>
      </c>
      <c r="DY18" s="208">
        <v>0</v>
      </c>
      <c r="DZ18" s="208">
        <v>0</v>
      </c>
      <c r="EA18" s="208">
        <v>0</v>
      </c>
      <c r="EB18" s="208">
        <v>0</v>
      </c>
      <c r="EC18" s="208">
        <v>1</v>
      </c>
      <c r="ED18" s="208">
        <v>0</v>
      </c>
      <c r="EE18" s="208">
        <v>0</v>
      </c>
      <c r="EF18" s="208">
        <v>0</v>
      </c>
      <c r="EG18" s="208">
        <v>0</v>
      </c>
      <c r="EH18" s="208">
        <v>0</v>
      </c>
      <c r="EI18" s="208">
        <v>0</v>
      </c>
      <c r="EJ18" s="208">
        <v>0</v>
      </c>
      <c r="EK18" s="222">
        <v>1</v>
      </c>
      <c r="EL18" s="228"/>
      <c r="EM18" s="217" t="s">
        <v>361</v>
      </c>
      <c r="EN18" s="227">
        <v>0</v>
      </c>
      <c r="EO18" s="228">
        <v>0</v>
      </c>
      <c r="EP18" s="208">
        <v>0</v>
      </c>
      <c r="EQ18" s="208">
        <v>0</v>
      </c>
      <c r="ER18" s="208">
        <v>0</v>
      </c>
      <c r="ES18" s="208">
        <v>0</v>
      </c>
      <c r="ET18" s="208">
        <v>0</v>
      </c>
      <c r="EU18" s="208">
        <v>0</v>
      </c>
      <c r="EV18" s="208">
        <v>0</v>
      </c>
      <c r="EW18" s="208">
        <v>0</v>
      </c>
      <c r="EX18" s="208">
        <v>0</v>
      </c>
      <c r="EY18" s="208">
        <v>0</v>
      </c>
      <c r="EZ18" s="208">
        <v>443.94433782522736</v>
      </c>
      <c r="FA18" s="208">
        <v>0</v>
      </c>
      <c r="FB18" s="208">
        <v>0</v>
      </c>
      <c r="FC18" s="208">
        <v>0</v>
      </c>
      <c r="FD18" s="208">
        <v>0</v>
      </c>
      <c r="FE18" s="208">
        <v>0</v>
      </c>
      <c r="FF18" s="208">
        <v>0</v>
      </c>
      <c r="FG18" s="208">
        <v>0</v>
      </c>
      <c r="FH18" s="222">
        <v>443.94433782522736</v>
      </c>
    </row>
    <row r="19" spans="2:164" x14ac:dyDescent="0.2">
      <c r="B19" s="217" t="s">
        <v>350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2</v>
      </c>
      <c r="K19" s="208">
        <v>0</v>
      </c>
      <c r="L19" s="208">
        <v>1</v>
      </c>
      <c r="M19" s="208">
        <v>0</v>
      </c>
      <c r="N19" s="208">
        <v>0</v>
      </c>
      <c r="O19" s="208">
        <v>0</v>
      </c>
      <c r="P19" s="208">
        <v>21</v>
      </c>
      <c r="Q19" s="208">
        <v>0</v>
      </c>
      <c r="R19" s="208">
        <v>1</v>
      </c>
      <c r="S19" s="208">
        <v>0</v>
      </c>
      <c r="T19" s="208">
        <v>0</v>
      </c>
      <c r="U19" s="208">
        <v>0</v>
      </c>
      <c r="V19" s="208">
        <v>0</v>
      </c>
      <c r="W19" s="222">
        <v>25</v>
      </c>
      <c r="X19" s="208"/>
      <c r="Y19" s="217" t="s">
        <v>350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55">
        <v>0</v>
      </c>
      <c r="AF19" s="255">
        <v>0</v>
      </c>
      <c r="AG19" s="255">
        <v>45.87039652896901</v>
      </c>
      <c r="AH19" s="255">
        <v>0</v>
      </c>
      <c r="AI19" s="255">
        <v>107.04994066296211</v>
      </c>
      <c r="AJ19" s="255">
        <v>0</v>
      </c>
      <c r="AK19" s="208">
        <v>0</v>
      </c>
      <c r="AL19" s="208">
        <v>0</v>
      </c>
      <c r="AM19" s="208">
        <v>1023.5675429666786</v>
      </c>
      <c r="AN19" s="208">
        <v>0</v>
      </c>
      <c r="AO19" s="208">
        <v>22.912071624488394</v>
      </c>
      <c r="AP19" s="208">
        <v>0</v>
      </c>
      <c r="AQ19" s="208">
        <v>0</v>
      </c>
      <c r="AR19" s="208">
        <v>0</v>
      </c>
      <c r="AS19" s="208">
        <v>0</v>
      </c>
      <c r="AT19" s="222">
        <v>1199.3999517830982</v>
      </c>
      <c r="AV19" s="217" t="s">
        <v>350</v>
      </c>
      <c r="AW19" s="227">
        <v>0</v>
      </c>
      <c r="AX19" s="228">
        <v>0</v>
      </c>
      <c r="AY19" s="208">
        <v>0</v>
      </c>
      <c r="AZ19" s="208">
        <v>0</v>
      </c>
      <c r="BA19" s="208">
        <v>0</v>
      </c>
      <c r="BB19" s="255">
        <v>0</v>
      </c>
      <c r="BC19" s="255">
        <v>0</v>
      </c>
      <c r="BD19" s="258">
        <v>0</v>
      </c>
      <c r="BE19" s="255">
        <v>0</v>
      </c>
      <c r="BF19" s="258">
        <v>0</v>
      </c>
      <c r="BG19" s="255">
        <v>0</v>
      </c>
      <c r="BH19" s="208">
        <v>0</v>
      </c>
      <c r="BI19" s="208">
        <v>0</v>
      </c>
      <c r="BJ19" s="208">
        <v>1023.5675429666786</v>
      </c>
      <c r="BK19" s="208">
        <v>0</v>
      </c>
      <c r="BL19" s="208">
        <v>22.912071624488394</v>
      </c>
      <c r="BM19" s="208">
        <v>0</v>
      </c>
      <c r="BN19" s="208">
        <v>0</v>
      </c>
      <c r="BO19" s="208">
        <v>0</v>
      </c>
      <c r="BP19" s="208">
        <v>0</v>
      </c>
      <c r="BQ19" s="230">
        <f t="shared" si="0"/>
        <v>1046.4796145911671</v>
      </c>
      <c r="BR19" s="214"/>
      <c r="BS19" s="227"/>
      <c r="BT19" s="234" t="s">
        <v>350</v>
      </c>
      <c r="BU19" s="227">
        <v>0</v>
      </c>
      <c r="BV19" s="228">
        <v>0</v>
      </c>
      <c r="BW19" s="208">
        <v>0</v>
      </c>
      <c r="BX19" s="208">
        <v>0</v>
      </c>
      <c r="BY19" s="208">
        <v>0</v>
      </c>
      <c r="BZ19" s="208">
        <v>0</v>
      </c>
      <c r="CA19" s="208">
        <v>0</v>
      </c>
      <c r="CB19" s="208">
        <v>1</v>
      </c>
      <c r="CC19" s="208">
        <v>0</v>
      </c>
      <c r="CD19" s="208">
        <v>0</v>
      </c>
      <c r="CE19" s="208">
        <v>0</v>
      </c>
      <c r="CF19" s="208">
        <v>0</v>
      </c>
      <c r="CG19" s="208">
        <v>0</v>
      </c>
      <c r="CH19" s="208">
        <v>14</v>
      </c>
      <c r="CI19" s="208">
        <v>0</v>
      </c>
      <c r="CJ19" s="208">
        <v>1</v>
      </c>
      <c r="CK19" s="208">
        <v>0</v>
      </c>
      <c r="CL19" s="208">
        <v>0</v>
      </c>
      <c r="CM19" s="208">
        <v>0</v>
      </c>
      <c r="CN19" s="208">
        <v>0</v>
      </c>
      <c r="CO19" s="222">
        <v>16</v>
      </c>
      <c r="CP19" s="227"/>
      <c r="CQ19" s="234" t="s">
        <v>350</v>
      </c>
      <c r="CR19" s="227">
        <v>0</v>
      </c>
      <c r="CS19" s="228">
        <v>0</v>
      </c>
      <c r="CT19" s="208">
        <v>0</v>
      </c>
      <c r="CU19" s="208">
        <v>0</v>
      </c>
      <c r="CV19" s="208">
        <v>0</v>
      </c>
      <c r="CW19" s="208">
        <v>0</v>
      </c>
      <c r="CX19" s="208">
        <v>0</v>
      </c>
      <c r="CY19" s="208">
        <v>32.015846978094153</v>
      </c>
      <c r="CZ19" s="208">
        <v>0</v>
      </c>
      <c r="DA19" s="208">
        <v>0</v>
      </c>
      <c r="DB19" s="208">
        <v>0</v>
      </c>
      <c r="DC19" s="208">
        <v>0</v>
      </c>
      <c r="DD19" s="208">
        <v>0</v>
      </c>
      <c r="DE19" s="208">
        <v>575.39917450913276</v>
      </c>
      <c r="DF19" s="208">
        <v>0</v>
      </c>
      <c r="DG19" s="208">
        <v>22.912071624488394</v>
      </c>
      <c r="DH19" s="208">
        <v>0</v>
      </c>
      <c r="DI19" s="208">
        <v>0</v>
      </c>
      <c r="DJ19" s="208">
        <v>0</v>
      </c>
      <c r="DK19" s="208">
        <v>0</v>
      </c>
      <c r="DL19" s="222">
        <v>630.32709311171527</v>
      </c>
      <c r="DM19" s="214"/>
      <c r="DN19" s="214"/>
      <c r="DO19" s="227"/>
      <c r="DP19" s="234" t="s">
        <v>350</v>
      </c>
      <c r="DQ19" s="227">
        <v>0</v>
      </c>
      <c r="DR19" s="228">
        <v>0</v>
      </c>
      <c r="DS19" s="208">
        <v>0</v>
      </c>
      <c r="DT19" s="208">
        <v>0</v>
      </c>
      <c r="DU19" s="208">
        <v>0</v>
      </c>
      <c r="DV19" s="208">
        <v>0</v>
      </c>
      <c r="DW19" s="208">
        <v>0</v>
      </c>
      <c r="DX19" s="208">
        <v>1</v>
      </c>
      <c r="DY19" s="208">
        <v>0</v>
      </c>
      <c r="DZ19" s="208">
        <v>0</v>
      </c>
      <c r="EA19" s="208">
        <v>0</v>
      </c>
      <c r="EB19" s="208">
        <v>0</v>
      </c>
      <c r="EC19" s="208">
        <v>0</v>
      </c>
      <c r="ED19" s="208">
        <v>14</v>
      </c>
      <c r="EE19" s="208">
        <v>0</v>
      </c>
      <c r="EF19" s="208">
        <v>1</v>
      </c>
      <c r="EG19" s="208">
        <v>0</v>
      </c>
      <c r="EH19" s="208">
        <v>0</v>
      </c>
      <c r="EI19" s="208">
        <v>0</v>
      </c>
      <c r="EJ19" s="208">
        <v>0</v>
      </c>
      <c r="EK19" s="222">
        <v>16</v>
      </c>
      <c r="EL19" s="241"/>
      <c r="EM19" s="234" t="s">
        <v>350</v>
      </c>
      <c r="EN19" s="227">
        <v>0</v>
      </c>
      <c r="EO19" s="228">
        <v>0</v>
      </c>
      <c r="EP19" s="208">
        <v>0</v>
      </c>
      <c r="EQ19" s="208">
        <v>0</v>
      </c>
      <c r="ER19" s="208">
        <v>0</v>
      </c>
      <c r="ES19" s="208">
        <v>0</v>
      </c>
      <c r="ET19" s="208">
        <v>0</v>
      </c>
      <c r="EU19" s="208">
        <v>32.015846978094153</v>
      </c>
      <c r="EV19" s="208">
        <v>0</v>
      </c>
      <c r="EW19" s="208">
        <v>0</v>
      </c>
      <c r="EX19" s="208">
        <v>0</v>
      </c>
      <c r="EY19" s="208">
        <v>0</v>
      </c>
      <c r="EZ19" s="208">
        <v>0</v>
      </c>
      <c r="FA19" s="208">
        <v>575.39917450913276</v>
      </c>
      <c r="FB19" s="208">
        <v>0</v>
      </c>
      <c r="FC19" s="208">
        <v>22.912071624488394</v>
      </c>
      <c r="FD19" s="208">
        <v>0</v>
      </c>
      <c r="FE19" s="208">
        <v>0</v>
      </c>
      <c r="FF19" s="208">
        <v>0</v>
      </c>
      <c r="FG19" s="208">
        <v>0</v>
      </c>
      <c r="FH19" s="222">
        <v>630.32709311171527</v>
      </c>
    </row>
    <row r="20" spans="2:164" x14ac:dyDescent="0.2">
      <c r="B20" s="217" t="s">
        <v>341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1</v>
      </c>
      <c r="M20" s="208">
        <v>0</v>
      </c>
      <c r="N20" s="208">
        <v>0</v>
      </c>
      <c r="O20" s="208">
        <v>0</v>
      </c>
      <c r="P20" s="208">
        <v>0</v>
      </c>
      <c r="Q20" s="208">
        <v>9</v>
      </c>
      <c r="R20" s="208">
        <v>0</v>
      </c>
      <c r="S20" s="208">
        <v>0</v>
      </c>
      <c r="T20" s="208">
        <v>0</v>
      </c>
      <c r="U20" s="208">
        <v>0</v>
      </c>
      <c r="V20" s="208">
        <v>0</v>
      </c>
      <c r="W20" s="222">
        <v>10</v>
      </c>
      <c r="X20" s="208"/>
      <c r="Y20" s="217" t="s">
        <v>341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55">
        <v>0</v>
      </c>
      <c r="AF20" s="255">
        <v>0</v>
      </c>
      <c r="AG20" s="255">
        <v>0</v>
      </c>
      <c r="AH20" s="255">
        <v>0</v>
      </c>
      <c r="AI20" s="255">
        <v>562.755954527874</v>
      </c>
      <c r="AJ20" s="255">
        <v>0</v>
      </c>
      <c r="AK20" s="208">
        <v>0</v>
      </c>
      <c r="AL20" s="208">
        <v>0</v>
      </c>
      <c r="AM20" s="208">
        <v>0</v>
      </c>
      <c r="AN20" s="208">
        <v>1675.1116145525878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22">
        <v>2237.8675690804616</v>
      </c>
      <c r="AV20" s="217" t="s">
        <v>341</v>
      </c>
      <c r="AW20" s="227">
        <v>0</v>
      </c>
      <c r="AX20" s="228">
        <v>0</v>
      </c>
      <c r="AY20" s="208">
        <v>0</v>
      </c>
      <c r="AZ20" s="208">
        <v>0</v>
      </c>
      <c r="BA20" s="208">
        <v>0</v>
      </c>
      <c r="BB20" s="255">
        <v>0</v>
      </c>
      <c r="BC20" s="255">
        <v>0</v>
      </c>
      <c r="BD20" s="255">
        <v>0</v>
      </c>
      <c r="BE20" s="255">
        <v>0</v>
      </c>
      <c r="BF20" s="258">
        <v>0</v>
      </c>
      <c r="BG20" s="255">
        <v>0</v>
      </c>
      <c r="BH20" s="208">
        <v>0</v>
      </c>
      <c r="BI20" s="208">
        <v>0</v>
      </c>
      <c r="BJ20" s="208">
        <v>0</v>
      </c>
      <c r="BK20" s="208">
        <v>1675.1116145525878</v>
      </c>
      <c r="BL20" s="208">
        <v>0</v>
      </c>
      <c r="BM20" s="208">
        <v>0</v>
      </c>
      <c r="BN20" s="208">
        <v>0</v>
      </c>
      <c r="BO20" s="208">
        <v>0</v>
      </c>
      <c r="BP20" s="208">
        <v>0</v>
      </c>
      <c r="BQ20" s="230">
        <f t="shared" si="0"/>
        <v>1675.1116145525878</v>
      </c>
      <c r="BR20" s="214"/>
      <c r="BS20" s="227"/>
      <c r="BT20" s="217" t="s">
        <v>341</v>
      </c>
      <c r="BU20" s="227">
        <v>0</v>
      </c>
      <c r="BV20" s="228">
        <v>0</v>
      </c>
      <c r="BW20" s="208">
        <v>0</v>
      </c>
      <c r="BX20" s="208">
        <v>0</v>
      </c>
      <c r="BY20" s="208">
        <v>0</v>
      </c>
      <c r="BZ20" s="208">
        <v>0</v>
      </c>
      <c r="CA20" s="208">
        <v>0</v>
      </c>
      <c r="CB20" s="208">
        <v>0</v>
      </c>
      <c r="CC20" s="208">
        <v>0</v>
      </c>
      <c r="CD20" s="208">
        <v>0</v>
      </c>
      <c r="CE20" s="208">
        <v>0</v>
      </c>
      <c r="CF20" s="208">
        <v>0</v>
      </c>
      <c r="CG20" s="208">
        <v>0</v>
      </c>
      <c r="CH20" s="208">
        <v>0</v>
      </c>
      <c r="CI20" s="208">
        <v>0</v>
      </c>
      <c r="CJ20" s="208">
        <v>0</v>
      </c>
      <c r="CK20" s="208">
        <v>0</v>
      </c>
      <c r="CL20" s="208">
        <v>0</v>
      </c>
      <c r="CM20" s="208">
        <v>0</v>
      </c>
      <c r="CN20" s="208">
        <v>0</v>
      </c>
      <c r="CO20" s="222">
        <v>0</v>
      </c>
      <c r="CP20" s="227"/>
      <c r="CQ20" s="217" t="s">
        <v>341</v>
      </c>
      <c r="CR20" s="227">
        <v>0</v>
      </c>
      <c r="CS20" s="228">
        <v>0</v>
      </c>
      <c r="CT20" s="208">
        <v>0</v>
      </c>
      <c r="CU20" s="208">
        <v>0</v>
      </c>
      <c r="CV20" s="208">
        <v>0</v>
      </c>
      <c r="CW20" s="208">
        <v>0</v>
      </c>
      <c r="CX20" s="208">
        <v>0</v>
      </c>
      <c r="CY20" s="208">
        <v>0</v>
      </c>
      <c r="CZ20" s="208">
        <v>0</v>
      </c>
      <c r="DA20" s="208">
        <v>0</v>
      </c>
      <c r="DB20" s="208">
        <v>0</v>
      </c>
      <c r="DC20" s="208">
        <v>0</v>
      </c>
      <c r="DD20" s="208">
        <v>0</v>
      </c>
      <c r="DE20" s="208">
        <v>0</v>
      </c>
      <c r="DF20" s="208">
        <v>0</v>
      </c>
      <c r="DG20" s="208">
        <v>0</v>
      </c>
      <c r="DH20" s="208">
        <v>0</v>
      </c>
      <c r="DI20" s="208">
        <v>0</v>
      </c>
      <c r="DJ20" s="208">
        <v>0</v>
      </c>
      <c r="DK20" s="208">
        <v>0</v>
      </c>
      <c r="DL20" s="222">
        <v>0</v>
      </c>
      <c r="DM20" s="214"/>
      <c r="DN20" s="214"/>
      <c r="DO20" s="227"/>
      <c r="DP20" s="217" t="s">
        <v>341</v>
      </c>
      <c r="DQ20" s="227">
        <v>0</v>
      </c>
      <c r="DR20" s="228">
        <v>0</v>
      </c>
      <c r="DS20" s="208">
        <v>0</v>
      </c>
      <c r="DT20" s="208">
        <v>0</v>
      </c>
      <c r="DU20" s="208">
        <v>0</v>
      </c>
      <c r="DV20" s="208">
        <v>0</v>
      </c>
      <c r="DW20" s="208">
        <v>0</v>
      </c>
      <c r="DX20" s="208">
        <v>0</v>
      </c>
      <c r="DY20" s="208">
        <v>0</v>
      </c>
      <c r="DZ20" s="208">
        <v>0</v>
      </c>
      <c r="EA20" s="208">
        <v>0</v>
      </c>
      <c r="EB20" s="208">
        <v>0</v>
      </c>
      <c r="EC20" s="208">
        <v>0</v>
      </c>
      <c r="ED20" s="208">
        <v>0</v>
      </c>
      <c r="EE20" s="208">
        <v>3</v>
      </c>
      <c r="EF20" s="208">
        <v>0</v>
      </c>
      <c r="EG20" s="208">
        <v>0</v>
      </c>
      <c r="EH20" s="208">
        <v>0</v>
      </c>
      <c r="EI20" s="208">
        <v>0</v>
      </c>
      <c r="EJ20" s="208">
        <v>0</v>
      </c>
      <c r="EK20" s="222">
        <v>3</v>
      </c>
      <c r="EL20" s="228"/>
      <c r="EM20" s="217" t="s">
        <v>341</v>
      </c>
      <c r="EN20" s="227">
        <v>0</v>
      </c>
      <c r="EO20" s="228">
        <v>0</v>
      </c>
      <c r="EP20" s="208">
        <v>0</v>
      </c>
      <c r="EQ20" s="208">
        <v>0</v>
      </c>
      <c r="ER20" s="208">
        <v>0</v>
      </c>
      <c r="ES20" s="208">
        <v>0</v>
      </c>
      <c r="ET20" s="208">
        <v>0</v>
      </c>
      <c r="EU20" s="208">
        <v>0</v>
      </c>
      <c r="EV20" s="208">
        <v>0</v>
      </c>
      <c r="EW20" s="208">
        <v>0</v>
      </c>
      <c r="EX20" s="208">
        <v>0</v>
      </c>
      <c r="EY20" s="208">
        <v>0</v>
      </c>
      <c r="EZ20" s="208">
        <v>0</v>
      </c>
      <c r="FA20" s="208">
        <v>0</v>
      </c>
      <c r="FB20" s="208">
        <v>1381.3414186410807</v>
      </c>
      <c r="FC20" s="208">
        <v>0</v>
      </c>
      <c r="FD20" s="208">
        <v>0</v>
      </c>
      <c r="FE20" s="208">
        <v>0</v>
      </c>
      <c r="FF20" s="208">
        <v>0</v>
      </c>
      <c r="FG20" s="208">
        <v>0</v>
      </c>
      <c r="FH20" s="222">
        <v>1381.3414186410807</v>
      </c>
    </row>
    <row r="21" spans="2:164" x14ac:dyDescent="0.2">
      <c r="B21" s="217" t="s">
        <v>342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31</v>
      </c>
      <c r="M21" s="208">
        <v>1</v>
      </c>
      <c r="N21" s="208">
        <v>0</v>
      </c>
      <c r="O21" s="208">
        <v>0</v>
      </c>
      <c r="P21" s="208">
        <v>0</v>
      </c>
      <c r="Q21" s="208">
        <v>0</v>
      </c>
      <c r="R21" s="208">
        <v>284</v>
      </c>
      <c r="S21" s="208">
        <v>2</v>
      </c>
      <c r="T21" s="208">
        <v>0</v>
      </c>
      <c r="U21" s="208">
        <v>0</v>
      </c>
      <c r="V21" s="208">
        <v>0</v>
      </c>
      <c r="W21" s="222">
        <v>318</v>
      </c>
      <c r="X21" s="208"/>
      <c r="Y21" s="217" t="s">
        <v>342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55">
        <v>0</v>
      </c>
      <c r="AF21" s="255">
        <v>0</v>
      </c>
      <c r="AG21" s="255">
        <v>0</v>
      </c>
      <c r="AH21" s="255">
        <v>0</v>
      </c>
      <c r="AI21" s="255">
        <v>1902.7052005214566</v>
      </c>
      <c r="AJ21" s="255">
        <v>49.186621501199227</v>
      </c>
      <c r="AK21" s="208">
        <v>0</v>
      </c>
      <c r="AL21" s="208">
        <v>0</v>
      </c>
      <c r="AM21" s="208">
        <v>0</v>
      </c>
      <c r="AN21" s="208">
        <v>0</v>
      </c>
      <c r="AO21" s="208">
        <v>87094.488211622214</v>
      </c>
      <c r="AP21" s="208">
        <v>54.114131711741464</v>
      </c>
      <c r="AQ21" s="208">
        <v>0</v>
      </c>
      <c r="AR21" s="208">
        <v>0</v>
      </c>
      <c r="AS21" s="208">
        <v>0</v>
      </c>
      <c r="AT21" s="222">
        <v>89100.49416535662</v>
      </c>
      <c r="AV21" s="217" t="s">
        <v>342</v>
      </c>
      <c r="AW21" s="227">
        <v>0</v>
      </c>
      <c r="AX21" s="228">
        <v>0</v>
      </c>
      <c r="AY21" s="208">
        <v>0</v>
      </c>
      <c r="AZ21" s="208">
        <v>0</v>
      </c>
      <c r="BA21" s="208">
        <v>0</v>
      </c>
      <c r="BB21" s="255">
        <v>0</v>
      </c>
      <c r="BC21" s="255">
        <v>0</v>
      </c>
      <c r="BD21" s="255">
        <v>0</v>
      </c>
      <c r="BE21" s="255">
        <v>0</v>
      </c>
      <c r="BF21" s="258">
        <v>0</v>
      </c>
      <c r="BG21" s="258">
        <v>0</v>
      </c>
      <c r="BH21" s="208">
        <v>0</v>
      </c>
      <c r="BI21" s="208">
        <v>0</v>
      </c>
      <c r="BJ21" s="208">
        <v>0</v>
      </c>
      <c r="BK21" s="208">
        <v>0</v>
      </c>
      <c r="BL21" s="208">
        <v>87094.488211622214</v>
      </c>
      <c r="BM21" s="208">
        <v>54.114131711741464</v>
      </c>
      <c r="BN21" s="208">
        <v>0</v>
      </c>
      <c r="BO21" s="208">
        <v>0</v>
      </c>
      <c r="BP21" s="208">
        <v>0</v>
      </c>
      <c r="BQ21" s="230">
        <f t="shared" si="0"/>
        <v>87148.602343333958</v>
      </c>
      <c r="BR21" s="214"/>
      <c r="BS21" s="227"/>
      <c r="BT21" s="217" t="s">
        <v>342</v>
      </c>
      <c r="BU21" s="227">
        <v>0</v>
      </c>
      <c r="BV21" s="228">
        <v>0</v>
      </c>
      <c r="BW21" s="208">
        <v>0</v>
      </c>
      <c r="BX21" s="208">
        <v>0</v>
      </c>
      <c r="BY21" s="208">
        <v>0</v>
      </c>
      <c r="BZ21" s="208">
        <v>0</v>
      </c>
      <c r="CA21" s="208">
        <v>0</v>
      </c>
      <c r="CB21" s="208">
        <v>0</v>
      </c>
      <c r="CC21" s="208">
        <v>0</v>
      </c>
      <c r="CD21" s="208">
        <v>0</v>
      </c>
      <c r="CE21" s="208">
        <v>0</v>
      </c>
      <c r="CF21" s="208">
        <v>0</v>
      </c>
      <c r="CG21" s="208">
        <v>0</v>
      </c>
      <c r="CH21" s="208">
        <v>0</v>
      </c>
      <c r="CI21" s="208">
        <v>0</v>
      </c>
      <c r="CJ21" s="208">
        <v>12</v>
      </c>
      <c r="CK21" s="208">
        <v>1</v>
      </c>
      <c r="CL21" s="208">
        <v>0</v>
      </c>
      <c r="CM21" s="208">
        <v>0</v>
      </c>
      <c r="CN21" s="208">
        <v>0</v>
      </c>
      <c r="CO21" s="222">
        <v>13</v>
      </c>
      <c r="CP21" s="227"/>
      <c r="CQ21" s="217" t="s">
        <v>342</v>
      </c>
      <c r="CR21" s="227">
        <v>0</v>
      </c>
      <c r="CS21" s="228">
        <v>0</v>
      </c>
      <c r="CT21" s="208">
        <v>0</v>
      </c>
      <c r="CU21" s="208">
        <v>0</v>
      </c>
      <c r="CV21" s="208">
        <v>0</v>
      </c>
      <c r="CW21" s="208">
        <v>0</v>
      </c>
      <c r="CX21" s="208">
        <v>0</v>
      </c>
      <c r="CY21" s="208">
        <v>0</v>
      </c>
      <c r="CZ21" s="208">
        <v>0</v>
      </c>
      <c r="DA21" s="208">
        <v>0</v>
      </c>
      <c r="DB21" s="208">
        <v>0</v>
      </c>
      <c r="DC21" s="208">
        <v>0</v>
      </c>
      <c r="DD21" s="208">
        <v>0</v>
      </c>
      <c r="DE21" s="208">
        <v>0</v>
      </c>
      <c r="DF21" s="208">
        <v>0</v>
      </c>
      <c r="DG21" s="208">
        <v>1194.0321781208893</v>
      </c>
      <c r="DH21" s="208">
        <v>22.762270331720043</v>
      </c>
      <c r="DI21" s="208">
        <v>0</v>
      </c>
      <c r="DJ21" s="208">
        <v>0</v>
      </c>
      <c r="DK21" s="208">
        <v>0</v>
      </c>
      <c r="DL21" s="222">
        <v>1216.7944484526092</v>
      </c>
      <c r="DM21" s="214"/>
      <c r="DN21" s="214"/>
      <c r="DO21" s="227"/>
      <c r="DP21" s="217" t="s">
        <v>342</v>
      </c>
      <c r="DQ21" s="227">
        <v>0</v>
      </c>
      <c r="DR21" s="228">
        <v>0</v>
      </c>
      <c r="DS21" s="208">
        <v>0</v>
      </c>
      <c r="DT21" s="208">
        <v>0</v>
      </c>
      <c r="DU21" s="208">
        <v>0</v>
      </c>
      <c r="DV21" s="208">
        <v>0</v>
      </c>
      <c r="DW21" s="208">
        <v>0</v>
      </c>
      <c r="DX21" s="208">
        <v>0</v>
      </c>
      <c r="DY21" s="208">
        <v>0</v>
      </c>
      <c r="DZ21" s="208">
        <v>0</v>
      </c>
      <c r="EA21" s="208">
        <v>0</v>
      </c>
      <c r="EB21" s="208">
        <v>0</v>
      </c>
      <c r="EC21" s="208">
        <v>0</v>
      </c>
      <c r="ED21" s="208">
        <v>0</v>
      </c>
      <c r="EE21" s="208">
        <v>0</v>
      </c>
      <c r="EF21" s="208">
        <v>12</v>
      </c>
      <c r="EG21" s="208">
        <v>1</v>
      </c>
      <c r="EH21" s="208">
        <v>0</v>
      </c>
      <c r="EI21" s="208">
        <v>0</v>
      </c>
      <c r="EJ21" s="208">
        <v>0</v>
      </c>
      <c r="EK21" s="222">
        <v>13</v>
      </c>
      <c r="EL21" s="228"/>
      <c r="EM21" s="217" t="s">
        <v>342</v>
      </c>
      <c r="EN21" s="227">
        <v>0</v>
      </c>
      <c r="EO21" s="228">
        <v>0</v>
      </c>
      <c r="EP21" s="208">
        <v>0</v>
      </c>
      <c r="EQ21" s="208">
        <v>0</v>
      </c>
      <c r="ER21" s="208">
        <v>0</v>
      </c>
      <c r="ES21" s="208">
        <v>0</v>
      </c>
      <c r="ET21" s="208">
        <v>0</v>
      </c>
      <c r="EU21" s="208">
        <v>0</v>
      </c>
      <c r="EV21" s="208">
        <v>0</v>
      </c>
      <c r="EW21" s="208">
        <v>0</v>
      </c>
      <c r="EX21" s="208">
        <v>0</v>
      </c>
      <c r="EY21" s="208">
        <v>0</v>
      </c>
      <c r="EZ21" s="208">
        <v>0</v>
      </c>
      <c r="FA21" s="208">
        <v>0</v>
      </c>
      <c r="FB21" s="208">
        <v>0</v>
      </c>
      <c r="FC21" s="208">
        <v>1194.0321781208893</v>
      </c>
      <c r="FD21" s="208">
        <v>22.762270331720043</v>
      </c>
      <c r="FE21" s="208">
        <v>0</v>
      </c>
      <c r="FF21" s="208">
        <v>0</v>
      </c>
      <c r="FG21" s="208">
        <v>0</v>
      </c>
      <c r="FH21" s="222">
        <v>1216.7944484526092</v>
      </c>
    </row>
    <row r="22" spans="2:164" x14ac:dyDescent="0.2">
      <c r="B22" s="217" t="s">
        <v>343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0</v>
      </c>
      <c r="I22" s="208">
        <v>0</v>
      </c>
      <c r="J22" s="208">
        <v>0</v>
      </c>
      <c r="K22" s="208">
        <v>0</v>
      </c>
      <c r="L22" s="208">
        <v>0</v>
      </c>
      <c r="M22" s="208">
        <v>8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99</v>
      </c>
      <c r="T22" s="208">
        <v>0</v>
      </c>
      <c r="U22" s="208">
        <v>0</v>
      </c>
      <c r="V22" s="208">
        <v>0</v>
      </c>
      <c r="W22" s="222">
        <v>107</v>
      </c>
      <c r="X22" s="208"/>
      <c r="Y22" s="217" t="s">
        <v>343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55">
        <v>0</v>
      </c>
      <c r="AF22" s="255">
        <v>0</v>
      </c>
      <c r="AG22" s="255">
        <v>0</v>
      </c>
      <c r="AH22" s="255">
        <v>0</v>
      </c>
      <c r="AI22" s="255">
        <v>0</v>
      </c>
      <c r="AJ22" s="255">
        <v>3895.2108913955335</v>
      </c>
      <c r="AK22" s="208">
        <v>0</v>
      </c>
      <c r="AL22" s="208">
        <v>0</v>
      </c>
      <c r="AM22" s="208">
        <v>0</v>
      </c>
      <c r="AN22" s="208">
        <v>0</v>
      </c>
      <c r="AO22" s="208">
        <v>0</v>
      </c>
      <c r="AP22" s="208">
        <v>29112.108912063391</v>
      </c>
      <c r="AQ22" s="208">
        <v>0</v>
      </c>
      <c r="AR22" s="208">
        <v>0</v>
      </c>
      <c r="AS22" s="208">
        <v>0</v>
      </c>
      <c r="AT22" s="222">
        <v>33007.319803458922</v>
      </c>
      <c r="AV22" s="217" t="s">
        <v>343</v>
      </c>
      <c r="AW22" s="227">
        <v>0</v>
      </c>
      <c r="AX22" s="228">
        <v>0</v>
      </c>
      <c r="AY22" s="208">
        <v>0</v>
      </c>
      <c r="AZ22" s="208">
        <v>0</v>
      </c>
      <c r="BA22" s="208">
        <v>0</v>
      </c>
      <c r="BB22" s="255">
        <v>0</v>
      </c>
      <c r="BC22" s="255">
        <v>0</v>
      </c>
      <c r="BD22" s="255">
        <v>0</v>
      </c>
      <c r="BE22" s="255">
        <v>0</v>
      </c>
      <c r="BF22" s="255">
        <v>0</v>
      </c>
      <c r="BG22" s="258">
        <v>0</v>
      </c>
      <c r="BH22" s="208">
        <v>0</v>
      </c>
      <c r="BI22" s="208">
        <v>0</v>
      </c>
      <c r="BJ22" s="208">
        <v>0</v>
      </c>
      <c r="BK22" s="208">
        <v>0</v>
      </c>
      <c r="BL22" s="208">
        <v>0</v>
      </c>
      <c r="BM22" s="208">
        <v>29112.108912063391</v>
      </c>
      <c r="BN22" s="208">
        <v>0</v>
      </c>
      <c r="BO22" s="208">
        <v>0</v>
      </c>
      <c r="BP22" s="208">
        <v>0</v>
      </c>
      <c r="BQ22" s="230">
        <f t="shared" si="0"/>
        <v>29112.108912063391</v>
      </c>
      <c r="BR22" s="214"/>
      <c r="BS22" s="227"/>
      <c r="BT22" s="217" t="s">
        <v>343</v>
      </c>
      <c r="BU22" s="227">
        <v>0</v>
      </c>
      <c r="BV22" s="228">
        <v>0</v>
      </c>
      <c r="BW22" s="208">
        <v>0</v>
      </c>
      <c r="BX22" s="208">
        <v>0</v>
      </c>
      <c r="BY22" s="208">
        <v>0</v>
      </c>
      <c r="BZ22" s="208">
        <v>0</v>
      </c>
      <c r="CA22" s="208">
        <v>0</v>
      </c>
      <c r="CB22" s="208">
        <v>0</v>
      </c>
      <c r="CC22" s="208">
        <v>0</v>
      </c>
      <c r="CD22" s="208">
        <v>0</v>
      </c>
      <c r="CE22" s="208">
        <v>1</v>
      </c>
      <c r="CF22" s="208">
        <v>0</v>
      </c>
      <c r="CG22" s="208">
        <v>0</v>
      </c>
      <c r="CH22" s="208">
        <v>0</v>
      </c>
      <c r="CI22" s="208">
        <v>0</v>
      </c>
      <c r="CJ22" s="208">
        <v>0</v>
      </c>
      <c r="CK22" s="208">
        <v>5</v>
      </c>
      <c r="CL22" s="208">
        <v>0</v>
      </c>
      <c r="CM22" s="208">
        <v>0</v>
      </c>
      <c r="CN22" s="208">
        <v>0</v>
      </c>
      <c r="CO22" s="222">
        <v>6</v>
      </c>
      <c r="CP22" s="227"/>
      <c r="CQ22" s="217" t="s">
        <v>343</v>
      </c>
      <c r="CR22" s="227">
        <v>0</v>
      </c>
      <c r="CS22" s="228">
        <v>0</v>
      </c>
      <c r="CT22" s="208">
        <v>0</v>
      </c>
      <c r="CU22" s="208">
        <v>0</v>
      </c>
      <c r="CV22" s="208">
        <v>0</v>
      </c>
      <c r="CW22" s="208">
        <v>0</v>
      </c>
      <c r="CX22" s="208">
        <v>0</v>
      </c>
      <c r="CY22" s="208">
        <v>0</v>
      </c>
      <c r="CZ22" s="208">
        <v>0</v>
      </c>
      <c r="DA22" s="208">
        <v>0</v>
      </c>
      <c r="DB22" s="208">
        <v>22.696291160245615</v>
      </c>
      <c r="DC22" s="208">
        <v>0</v>
      </c>
      <c r="DD22" s="208">
        <v>0</v>
      </c>
      <c r="DE22" s="208">
        <v>0</v>
      </c>
      <c r="DF22" s="208">
        <v>0</v>
      </c>
      <c r="DG22" s="208">
        <v>0</v>
      </c>
      <c r="DH22" s="208">
        <v>132.46902833265315</v>
      </c>
      <c r="DI22" s="208">
        <v>0</v>
      </c>
      <c r="DJ22" s="208">
        <v>0</v>
      </c>
      <c r="DK22" s="208">
        <v>0</v>
      </c>
      <c r="DL22" s="222">
        <v>155.16531949289876</v>
      </c>
      <c r="DM22" s="214"/>
      <c r="DN22" s="214"/>
      <c r="DO22" s="227"/>
      <c r="DP22" s="217" t="s">
        <v>343</v>
      </c>
      <c r="DQ22" s="227">
        <v>0</v>
      </c>
      <c r="DR22" s="228">
        <v>0</v>
      </c>
      <c r="DS22" s="208">
        <v>0</v>
      </c>
      <c r="DT22" s="208">
        <v>0</v>
      </c>
      <c r="DU22" s="208">
        <v>0</v>
      </c>
      <c r="DV22" s="208">
        <v>0</v>
      </c>
      <c r="DW22" s="208">
        <v>0</v>
      </c>
      <c r="DX22" s="208">
        <v>0</v>
      </c>
      <c r="DY22" s="208">
        <v>0</v>
      </c>
      <c r="DZ22" s="208">
        <v>0</v>
      </c>
      <c r="EA22" s="208">
        <v>2</v>
      </c>
      <c r="EB22" s="208">
        <v>0</v>
      </c>
      <c r="EC22" s="208">
        <v>0</v>
      </c>
      <c r="ED22" s="208">
        <v>0</v>
      </c>
      <c r="EE22" s="208">
        <v>0</v>
      </c>
      <c r="EF22" s="208">
        <v>0</v>
      </c>
      <c r="EG22" s="208">
        <v>10</v>
      </c>
      <c r="EH22" s="208">
        <v>0</v>
      </c>
      <c r="EI22" s="208">
        <v>0</v>
      </c>
      <c r="EJ22" s="208">
        <v>0</v>
      </c>
      <c r="EK22" s="222">
        <v>12</v>
      </c>
      <c r="EL22" s="228"/>
      <c r="EM22" s="217" t="s">
        <v>343</v>
      </c>
      <c r="EN22" s="227">
        <v>0</v>
      </c>
      <c r="EO22" s="228">
        <v>0</v>
      </c>
      <c r="EP22" s="208">
        <v>0</v>
      </c>
      <c r="EQ22" s="208">
        <v>0</v>
      </c>
      <c r="ER22" s="208">
        <v>0</v>
      </c>
      <c r="ES22" s="208">
        <v>0</v>
      </c>
      <c r="ET22" s="208">
        <v>0</v>
      </c>
      <c r="EU22" s="208">
        <v>0</v>
      </c>
      <c r="EV22" s="208">
        <v>0</v>
      </c>
      <c r="EW22" s="208">
        <v>0</v>
      </c>
      <c r="EX22" s="208">
        <v>71.832779824082095</v>
      </c>
      <c r="EY22" s="208">
        <v>0</v>
      </c>
      <c r="EZ22" s="208">
        <v>0</v>
      </c>
      <c r="FA22" s="208">
        <v>0</v>
      </c>
      <c r="FB22" s="208">
        <v>0</v>
      </c>
      <c r="FC22" s="208">
        <v>0</v>
      </c>
      <c r="FD22" s="208">
        <v>9170.0729549311745</v>
      </c>
      <c r="FE22" s="208">
        <v>0</v>
      </c>
      <c r="FF22" s="208">
        <v>0</v>
      </c>
      <c r="FG22" s="208">
        <v>0</v>
      </c>
      <c r="FH22" s="222">
        <v>9241.9057347552571</v>
      </c>
    </row>
    <row r="23" spans="2:164" x14ac:dyDescent="0.2">
      <c r="B23" s="217" t="s">
        <v>6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0</v>
      </c>
      <c r="I23" s="208">
        <v>0</v>
      </c>
      <c r="J23" s="208">
        <v>0</v>
      </c>
      <c r="K23" s="208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10</v>
      </c>
      <c r="U23" s="208">
        <v>2</v>
      </c>
      <c r="V23" s="208">
        <v>0</v>
      </c>
      <c r="W23" s="222">
        <v>12</v>
      </c>
      <c r="X23" s="208"/>
      <c r="Y23" s="217" t="s">
        <v>6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0</v>
      </c>
      <c r="AF23" s="208">
        <v>0</v>
      </c>
      <c r="AG23" s="208">
        <v>0</v>
      </c>
      <c r="AH23" s="208">
        <v>0</v>
      </c>
      <c r="AI23" s="208">
        <v>0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2612.5379647126979</v>
      </c>
      <c r="AR23" s="208">
        <v>277.16099528356739</v>
      </c>
      <c r="AS23" s="208">
        <v>0</v>
      </c>
      <c r="AT23" s="222">
        <v>2889.6989599962653</v>
      </c>
      <c r="AV23" s="217" t="s">
        <v>6</v>
      </c>
      <c r="AW23" s="227">
        <v>0</v>
      </c>
      <c r="AX23" s="228">
        <v>0</v>
      </c>
      <c r="AY23" s="208">
        <v>0</v>
      </c>
      <c r="AZ23" s="208">
        <v>0</v>
      </c>
      <c r="BA23" s="208">
        <v>0</v>
      </c>
      <c r="BB23" s="208">
        <v>0</v>
      </c>
      <c r="BC23" s="208">
        <v>0</v>
      </c>
      <c r="BD23" s="208">
        <v>0</v>
      </c>
      <c r="BE23" s="208">
        <v>0</v>
      </c>
      <c r="BF23" s="208">
        <v>0</v>
      </c>
      <c r="BG23" s="208">
        <v>0</v>
      </c>
      <c r="BH23" s="208">
        <v>0</v>
      </c>
      <c r="BI23" s="208">
        <v>0</v>
      </c>
      <c r="BJ23" s="208">
        <v>0</v>
      </c>
      <c r="BK23" s="208">
        <v>0</v>
      </c>
      <c r="BL23" s="208">
        <v>0</v>
      </c>
      <c r="BM23" s="208">
        <v>0</v>
      </c>
      <c r="BN23" s="208">
        <v>2612.5379647126979</v>
      </c>
      <c r="BO23" s="208">
        <v>277.16099528356739</v>
      </c>
      <c r="BP23" s="208">
        <v>0</v>
      </c>
      <c r="BQ23" s="230">
        <f t="shared" si="0"/>
        <v>2889.6989599962653</v>
      </c>
      <c r="BR23" s="214"/>
      <c r="BS23" s="227"/>
      <c r="BT23" s="217" t="s">
        <v>6</v>
      </c>
      <c r="BU23" s="227">
        <v>0</v>
      </c>
      <c r="BV23" s="228">
        <v>0</v>
      </c>
      <c r="BW23" s="208">
        <v>0</v>
      </c>
      <c r="BX23" s="208">
        <v>0</v>
      </c>
      <c r="BY23" s="208">
        <v>0</v>
      </c>
      <c r="BZ23" s="208">
        <v>0</v>
      </c>
      <c r="CA23" s="208">
        <v>0</v>
      </c>
      <c r="CB23" s="208">
        <v>0</v>
      </c>
      <c r="CC23" s="208">
        <v>0</v>
      </c>
      <c r="CD23" s="208">
        <v>0</v>
      </c>
      <c r="CE23" s="208">
        <v>0</v>
      </c>
      <c r="CF23" s="208">
        <v>0</v>
      </c>
      <c r="CG23" s="208">
        <v>0</v>
      </c>
      <c r="CH23" s="208">
        <v>0</v>
      </c>
      <c r="CI23" s="208">
        <v>0</v>
      </c>
      <c r="CJ23" s="208">
        <v>0</v>
      </c>
      <c r="CK23" s="208">
        <v>0</v>
      </c>
      <c r="CL23" s="208">
        <v>0</v>
      </c>
      <c r="CM23" s="208">
        <v>0</v>
      </c>
      <c r="CN23" s="208">
        <v>0</v>
      </c>
      <c r="CO23" s="222">
        <v>0</v>
      </c>
      <c r="CP23" s="227"/>
      <c r="CQ23" s="217" t="s">
        <v>6</v>
      </c>
      <c r="CR23" s="227">
        <v>0</v>
      </c>
      <c r="CS23" s="228">
        <v>0</v>
      </c>
      <c r="CT23" s="208">
        <v>0</v>
      </c>
      <c r="CU23" s="208">
        <v>0</v>
      </c>
      <c r="CV23" s="208">
        <v>0</v>
      </c>
      <c r="CW23" s="208">
        <v>0</v>
      </c>
      <c r="CX23" s="208">
        <v>0</v>
      </c>
      <c r="CY23" s="208">
        <v>0</v>
      </c>
      <c r="CZ23" s="208">
        <v>0</v>
      </c>
      <c r="DA23" s="208">
        <v>0</v>
      </c>
      <c r="DB23" s="208">
        <v>0</v>
      </c>
      <c r="DC23" s="208">
        <v>0</v>
      </c>
      <c r="DD23" s="208">
        <v>0</v>
      </c>
      <c r="DE23" s="208">
        <v>0</v>
      </c>
      <c r="DF23" s="208">
        <v>0</v>
      </c>
      <c r="DG23" s="208">
        <v>0</v>
      </c>
      <c r="DH23" s="208">
        <v>0</v>
      </c>
      <c r="DI23" s="208">
        <v>0</v>
      </c>
      <c r="DJ23" s="208">
        <v>0</v>
      </c>
      <c r="DK23" s="208">
        <v>0</v>
      </c>
      <c r="DL23" s="222">
        <v>0</v>
      </c>
      <c r="DM23" s="214"/>
      <c r="DN23" s="214"/>
      <c r="DO23" s="227"/>
      <c r="DP23" s="217" t="s">
        <v>6</v>
      </c>
      <c r="DQ23" s="227">
        <v>0</v>
      </c>
      <c r="DR23" s="228">
        <v>0</v>
      </c>
      <c r="DS23" s="208">
        <v>0</v>
      </c>
      <c r="DT23" s="208">
        <v>0</v>
      </c>
      <c r="DU23" s="208">
        <v>0</v>
      </c>
      <c r="DV23" s="208">
        <v>0</v>
      </c>
      <c r="DW23" s="208">
        <v>0</v>
      </c>
      <c r="DX23" s="208">
        <v>0</v>
      </c>
      <c r="DY23" s="208">
        <v>0</v>
      </c>
      <c r="DZ23" s="208">
        <v>0</v>
      </c>
      <c r="EA23" s="208">
        <v>0</v>
      </c>
      <c r="EB23" s="208">
        <v>0</v>
      </c>
      <c r="EC23" s="208">
        <v>0</v>
      </c>
      <c r="ED23" s="208">
        <v>0</v>
      </c>
      <c r="EE23" s="208">
        <v>0</v>
      </c>
      <c r="EF23" s="208">
        <v>0</v>
      </c>
      <c r="EG23" s="208">
        <v>0</v>
      </c>
      <c r="EH23" s="208">
        <v>0</v>
      </c>
      <c r="EI23" s="208">
        <v>0</v>
      </c>
      <c r="EJ23" s="208">
        <v>0</v>
      </c>
      <c r="EK23" s="222">
        <v>0</v>
      </c>
      <c r="EL23" s="228"/>
      <c r="EM23" s="217" t="s">
        <v>6</v>
      </c>
      <c r="EN23" s="227">
        <v>0</v>
      </c>
      <c r="EO23" s="228">
        <v>0</v>
      </c>
      <c r="EP23" s="208">
        <v>0</v>
      </c>
      <c r="EQ23" s="208">
        <v>0</v>
      </c>
      <c r="ER23" s="208">
        <v>0</v>
      </c>
      <c r="ES23" s="208">
        <v>0</v>
      </c>
      <c r="ET23" s="208">
        <v>0</v>
      </c>
      <c r="EU23" s="208">
        <v>0</v>
      </c>
      <c r="EV23" s="208">
        <v>0</v>
      </c>
      <c r="EW23" s="208">
        <v>0</v>
      </c>
      <c r="EX23" s="208">
        <v>0</v>
      </c>
      <c r="EY23" s="208">
        <v>0</v>
      </c>
      <c r="EZ23" s="208">
        <v>0</v>
      </c>
      <c r="FA23" s="208">
        <v>0</v>
      </c>
      <c r="FB23" s="208">
        <v>0</v>
      </c>
      <c r="FC23" s="208">
        <v>0</v>
      </c>
      <c r="FD23" s="208">
        <v>0</v>
      </c>
      <c r="FE23" s="208">
        <v>0</v>
      </c>
      <c r="FF23" s="208">
        <v>0</v>
      </c>
      <c r="FG23" s="208">
        <v>0</v>
      </c>
      <c r="FH23" s="222">
        <v>0</v>
      </c>
    </row>
    <row r="24" spans="2:164" x14ac:dyDescent="0.2">
      <c r="B24" s="217" t="s">
        <v>344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57</v>
      </c>
      <c r="I24" s="208">
        <v>28</v>
      </c>
      <c r="J24" s="208">
        <v>1</v>
      </c>
      <c r="K24" s="208">
        <v>4</v>
      </c>
      <c r="L24" s="208">
        <v>29</v>
      </c>
      <c r="M24" s="208">
        <v>6</v>
      </c>
      <c r="N24" s="208">
        <v>0</v>
      </c>
      <c r="O24" s="208">
        <v>0</v>
      </c>
      <c r="P24" s="208">
        <v>0</v>
      </c>
      <c r="Q24" s="208">
        <v>0</v>
      </c>
      <c r="R24" s="208">
        <v>11</v>
      </c>
      <c r="S24" s="208">
        <v>2</v>
      </c>
      <c r="T24" s="208">
        <v>0</v>
      </c>
      <c r="U24" s="208">
        <v>129</v>
      </c>
      <c r="V24" s="208">
        <v>5</v>
      </c>
      <c r="W24" s="222">
        <v>272</v>
      </c>
      <c r="X24" s="208"/>
      <c r="Y24" s="217" t="s">
        <v>344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11575.107254546352</v>
      </c>
      <c r="AF24" s="208">
        <v>1713.1837903162423</v>
      </c>
      <c r="AG24" s="208">
        <v>395.15166578344184</v>
      </c>
      <c r="AH24" s="208">
        <v>3255.0426473880416</v>
      </c>
      <c r="AI24" s="208">
        <v>5363.3847317336549</v>
      </c>
      <c r="AJ24" s="208">
        <v>804.14056606332508</v>
      </c>
      <c r="AK24" s="208">
        <v>0</v>
      </c>
      <c r="AL24" s="208">
        <v>0</v>
      </c>
      <c r="AM24" s="208">
        <v>0</v>
      </c>
      <c r="AN24" s="208">
        <v>0</v>
      </c>
      <c r="AO24" s="208">
        <v>779.37202598288445</v>
      </c>
      <c r="AP24" s="208">
        <v>103.39030295600382</v>
      </c>
      <c r="AQ24" s="208">
        <v>0</v>
      </c>
      <c r="AR24" s="208">
        <v>25844.986047766939</v>
      </c>
      <c r="AS24" s="208">
        <v>2063.8097361151208</v>
      </c>
      <c r="AT24" s="222">
        <v>51897.568768652003</v>
      </c>
      <c r="AV24" s="217" t="s">
        <v>344</v>
      </c>
      <c r="AW24" s="227">
        <v>0</v>
      </c>
      <c r="AX24" s="228">
        <v>0</v>
      </c>
      <c r="AY24" s="208">
        <v>0</v>
      </c>
      <c r="AZ24" s="208">
        <v>0</v>
      </c>
      <c r="BA24" s="208">
        <v>0</v>
      </c>
      <c r="BB24" s="208">
        <v>11575.107254546352</v>
      </c>
      <c r="BC24" s="208">
        <v>1713.1837903162423</v>
      </c>
      <c r="BD24" s="208">
        <v>395.15166578344184</v>
      </c>
      <c r="BE24" s="208">
        <v>3255.0426473880416</v>
      </c>
      <c r="BF24" s="208">
        <v>5363.3847317336549</v>
      </c>
      <c r="BG24" s="208">
        <v>804.14056606332508</v>
      </c>
      <c r="BH24" s="208">
        <v>0</v>
      </c>
      <c r="BI24" s="208">
        <v>0</v>
      </c>
      <c r="BJ24" s="208">
        <v>0</v>
      </c>
      <c r="BK24" s="208">
        <v>0</v>
      </c>
      <c r="BL24" s="208">
        <v>779.37202598288445</v>
      </c>
      <c r="BM24" s="208">
        <v>103.39030295600382</v>
      </c>
      <c r="BN24" s="208">
        <v>0</v>
      </c>
      <c r="BO24" s="208">
        <v>25844.986047766939</v>
      </c>
      <c r="BP24" s="208">
        <v>2063.8097361151208</v>
      </c>
      <c r="BQ24" s="230">
        <f t="shared" si="0"/>
        <v>51897.568768652003</v>
      </c>
      <c r="BR24" s="214"/>
      <c r="BS24" s="227"/>
      <c r="BT24" s="217" t="s">
        <v>344</v>
      </c>
      <c r="BU24" s="227">
        <v>0</v>
      </c>
      <c r="BV24" s="228">
        <v>0</v>
      </c>
      <c r="BW24" s="208">
        <v>0</v>
      </c>
      <c r="BX24" s="208">
        <v>0</v>
      </c>
      <c r="BY24" s="208">
        <v>0</v>
      </c>
      <c r="BZ24" s="208">
        <v>0</v>
      </c>
      <c r="CA24" s="208">
        <v>0</v>
      </c>
      <c r="CB24" s="208">
        <v>0</v>
      </c>
      <c r="CC24" s="208">
        <v>0</v>
      </c>
      <c r="CD24" s="208">
        <v>0</v>
      </c>
      <c r="CE24" s="208">
        <v>0</v>
      </c>
      <c r="CF24" s="208">
        <v>0</v>
      </c>
      <c r="CG24" s="208">
        <v>0</v>
      </c>
      <c r="CH24" s="208">
        <v>0</v>
      </c>
      <c r="CI24" s="208">
        <v>0</v>
      </c>
      <c r="CJ24" s="208">
        <v>1</v>
      </c>
      <c r="CK24" s="208">
        <v>0</v>
      </c>
      <c r="CL24" s="208">
        <v>0</v>
      </c>
      <c r="CM24" s="208">
        <v>4</v>
      </c>
      <c r="CN24" s="208">
        <v>0</v>
      </c>
      <c r="CO24" s="222">
        <v>5</v>
      </c>
      <c r="CP24" s="227"/>
      <c r="CQ24" s="217" t="s">
        <v>344</v>
      </c>
      <c r="CR24" s="227">
        <v>0</v>
      </c>
      <c r="CS24" s="228">
        <v>0</v>
      </c>
      <c r="CT24" s="208">
        <v>0</v>
      </c>
      <c r="CU24" s="208">
        <v>0</v>
      </c>
      <c r="CV24" s="208">
        <v>0</v>
      </c>
      <c r="CW24" s="208">
        <v>0</v>
      </c>
      <c r="CX24" s="208">
        <v>0</v>
      </c>
      <c r="CY24" s="208">
        <v>0</v>
      </c>
      <c r="CZ24" s="208">
        <v>0</v>
      </c>
      <c r="DA24" s="208">
        <v>0</v>
      </c>
      <c r="DB24" s="208">
        <v>0</v>
      </c>
      <c r="DC24" s="208">
        <v>0</v>
      </c>
      <c r="DD24" s="208">
        <v>0</v>
      </c>
      <c r="DE24" s="208">
        <v>0</v>
      </c>
      <c r="DF24" s="208">
        <v>0</v>
      </c>
      <c r="DG24" s="208">
        <v>63.484648379031228</v>
      </c>
      <c r="DH24" s="208">
        <v>0</v>
      </c>
      <c r="DI24" s="208">
        <v>0</v>
      </c>
      <c r="DJ24" s="208">
        <v>9429.0292624568592</v>
      </c>
      <c r="DK24" s="208">
        <v>0</v>
      </c>
      <c r="DL24" s="222">
        <v>9492.5139108358908</v>
      </c>
      <c r="DM24" s="214"/>
      <c r="DN24" s="214"/>
      <c r="DO24" s="227"/>
      <c r="DP24" s="217" t="s">
        <v>344</v>
      </c>
      <c r="DQ24" s="227">
        <v>0</v>
      </c>
      <c r="DR24" s="228">
        <v>0</v>
      </c>
      <c r="DS24" s="208">
        <v>0</v>
      </c>
      <c r="DT24" s="208">
        <v>0</v>
      </c>
      <c r="DU24" s="208">
        <v>0</v>
      </c>
      <c r="DV24" s="208">
        <v>0</v>
      </c>
      <c r="DW24" s="208">
        <v>0</v>
      </c>
      <c r="DX24" s="208">
        <v>0</v>
      </c>
      <c r="DY24" s="208">
        <v>0</v>
      </c>
      <c r="DZ24" s="208">
        <v>0</v>
      </c>
      <c r="EA24" s="208">
        <v>0</v>
      </c>
      <c r="EB24" s="208">
        <v>0</v>
      </c>
      <c r="EC24" s="208">
        <v>0</v>
      </c>
      <c r="ED24" s="208">
        <v>0</v>
      </c>
      <c r="EE24" s="208">
        <v>0</v>
      </c>
      <c r="EF24" s="208">
        <v>1</v>
      </c>
      <c r="EG24" s="208">
        <v>0</v>
      </c>
      <c r="EH24" s="208">
        <v>0</v>
      </c>
      <c r="EI24" s="208">
        <v>4</v>
      </c>
      <c r="EJ24" s="208">
        <v>0</v>
      </c>
      <c r="EK24" s="222">
        <v>5</v>
      </c>
      <c r="EL24" s="228"/>
      <c r="EM24" s="217" t="s">
        <v>344</v>
      </c>
      <c r="EN24" s="227">
        <v>0</v>
      </c>
      <c r="EO24" s="228">
        <v>0</v>
      </c>
      <c r="EP24" s="208">
        <v>0</v>
      </c>
      <c r="EQ24" s="208">
        <v>0</v>
      </c>
      <c r="ER24" s="208">
        <v>0</v>
      </c>
      <c r="ES24" s="208">
        <v>0</v>
      </c>
      <c r="ET24" s="208">
        <v>0</v>
      </c>
      <c r="EU24" s="208">
        <v>0</v>
      </c>
      <c r="EV24" s="208">
        <v>0</v>
      </c>
      <c r="EW24" s="208">
        <v>0</v>
      </c>
      <c r="EX24" s="208">
        <v>0</v>
      </c>
      <c r="EY24" s="208">
        <v>0</v>
      </c>
      <c r="EZ24" s="208">
        <v>0</v>
      </c>
      <c r="FA24" s="208">
        <v>0</v>
      </c>
      <c r="FB24" s="208">
        <v>0</v>
      </c>
      <c r="FC24" s="208">
        <v>63.484648379031228</v>
      </c>
      <c r="FD24" s="208">
        <v>0</v>
      </c>
      <c r="FE24" s="208">
        <v>0</v>
      </c>
      <c r="FF24" s="208">
        <v>9429.0292624568592</v>
      </c>
      <c r="FG24" s="208">
        <v>0</v>
      </c>
      <c r="FH24" s="222">
        <v>9492.5139108358908</v>
      </c>
    </row>
    <row r="25" spans="2:164" x14ac:dyDescent="0.2">
      <c r="B25" s="217" t="s">
        <v>345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6</v>
      </c>
      <c r="I25" s="208">
        <v>0</v>
      </c>
      <c r="J25" s="208">
        <v>0</v>
      </c>
      <c r="K25" s="208">
        <v>0</v>
      </c>
      <c r="L25" s="208">
        <v>2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  <c r="U25" s="208">
        <v>0</v>
      </c>
      <c r="V25" s="208">
        <v>9</v>
      </c>
      <c r="W25" s="222">
        <v>17</v>
      </c>
      <c r="X25" s="208"/>
      <c r="Y25" s="217" t="s">
        <v>345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1135.3016663656988</v>
      </c>
      <c r="AF25" s="208">
        <v>0</v>
      </c>
      <c r="AG25" s="208">
        <v>0</v>
      </c>
      <c r="AH25" s="208">
        <v>0</v>
      </c>
      <c r="AI25" s="208">
        <v>115.75137103999086</v>
      </c>
      <c r="AJ25" s="208">
        <v>0</v>
      </c>
      <c r="AK25" s="208">
        <v>0</v>
      </c>
      <c r="AL25" s="208">
        <v>0</v>
      </c>
      <c r="AM25" s="208">
        <v>0</v>
      </c>
      <c r="AN25" s="208">
        <v>0</v>
      </c>
      <c r="AO25" s="208">
        <v>0</v>
      </c>
      <c r="AP25" s="208">
        <v>0</v>
      </c>
      <c r="AQ25" s="208">
        <v>0</v>
      </c>
      <c r="AR25" s="208">
        <v>0</v>
      </c>
      <c r="AS25" s="208">
        <v>1911.9560524354401</v>
      </c>
      <c r="AT25" s="222">
        <v>3163.0090898411299</v>
      </c>
      <c r="AV25" s="217" t="s">
        <v>345</v>
      </c>
      <c r="AW25" s="227">
        <v>0</v>
      </c>
      <c r="AX25" s="228">
        <v>0</v>
      </c>
      <c r="AY25" s="208">
        <v>0</v>
      </c>
      <c r="AZ25" s="208">
        <v>0</v>
      </c>
      <c r="BA25" s="208">
        <v>0</v>
      </c>
      <c r="BB25" s="208">
        <v>1135.3016663656988</v>
      </c>
      <c r="BC25" s="208">
        <v>0</v>
      </c>
      <c r="BD25" s="208">
        <v>0</v>
      </c>
      <c r="BE25" s="208">
        <v>0</v>
      </c>
      <c r="BF25" s="208">
        <v>115.75137103999086</v>
      </c>
      <c r="BG25" s="208">
        <v>0</v>
      </c>
      <c r="BH25" s="208">
        <v>0</v>
      </c>
      <c r="BI25" s="208">
        <v>0</v>
      </c>
      <c r="BJ25" s="208">
        <v>0</v>
      </c>
      <c r="BK25" s="208">
        <v>0</v>
      </c>
      <c r="BL25" s="208">
        <v>0</v>
      </c>
      <c r="BM25" s="208">
        <v>0</v>
      </c>
      <c r="BN25" s="208">
        <v>0</v>
      </c>
      <c r="BO25" s="208">
        <v>0</v>
      </c>
      <c r="BP25" s="208">
        <v>1911.9560524354401</v>
      </c>
      <c r="BQ25" s="222">
        <f t="shared" si="0"/>
        <v>3163.0090898411299</v>
      </c>
      <c r="BR25" s="214"/>
      <c r="BS25" s="227"/>
      <c r="BT25" s="217" t="s">
        <v>345</v>
      </c>
      <c r="BU25" s="227">
        <v>0</v>
      </c>
      <c r="BV25" s="228">
        <v>0</v>
      </c>
      <c r="BW25" s="208">
        <v>0</v>
      </c>
      <c r="BX25" s="208">
        <v>0</v>
      </c>
      <c r="BY25" s="208">
        <v>0</v>
      </c>
      <c r="BZ25" s="208">
        <v>0</v>
      </c>
      <c r="CA25" s="208">
        <v>0</v>
      </c>
      <c r="CB25" s="208">
        <v>0</v>
      </c>
      <c r="CC25" s="208">
        <v>0</v>
      </c>
      <c r="CD25" s="208">
        <v>0</v>
      </c>
      <c r="CE25" s="208">
        <v>0</v>
      </c>
      <c r="CF25" s="208">
        <v>0</v>
      </c>
      <c r="CG25" s="208">
        <v>0</v>
      </c>
      <c r="CH25" s="208">
        <v>0</v>
      </c>
      <c r="CI25" s="208">
        <v>0</v>
      </c>
      <c r="CJ25" s="208">
        <v>0</v>
      </c>
      <c r="CK25" s="208">
        <v>0</v>
      </c>
      <c r="CL25" s="208">
        <v>0</v>
      </c>
      <c r="CM25" s="208">
        <v>0</v>
      </c>
      <c r="CN25" s="208">
        <v>0</v>
      </c>
      <c r="CO25" s="222">
        <v>0</v>
      </c>
      <c r="CP25" s="227"/>
      <c r="CQ25" s="217" t="s">
        <v>345</v>
      </c>
      <c r="CR25" s="227">
        <v>0</v>
      </c>
      <c r="CS25" s="228">
        <v>0</v>
      </c>
      <c r="CT25" s="208">
        <v>0</v>
      </c>
      <c r="CU25" s="208">
        <v>0</v>
      </c>
      <c r="CV25" s="208">
        <v>0</v>
      </c>
      <c r="CW25" s="208">
        <v>0</v>
      </c>
      <c r="CX25" s="208">
        <v>0</v>
      </c>
      <c r="CY25" s="208">
        <v>0</v>
      </c>
      <c r="CZ25" s="208">
        <v>0</v>
      </c>
      <c r="DA25" s="208">
        <v>0</v>
      </c>
      <c r="DB25" s="208">
        <v>0</v>
      </c>
      <c r="DC25" s="208">
        <v>0</v>
      </c>
      <c r="DD25" s="208">
        <v>0</v>
      </c>
      <c r="DE25" s="208">
        <v>0</v>
      </c>
      <c r="DF25" s="208">
        <v>0</v>
      </c>
      <c r="DG25" s="208">
        <v>0</v>
      </c>
      <c r="DH25" s="208">
        <v>0</v>
      </c>
      <c r="DI25" s="208">
        <v>0</v>
      </c>
      <c r="DJ25" s="208">
        <v>0</v>
      </c>
      <c r="DK25" s="208">
        <v>0</v>
      </c>
      <c r="DL25" s="222">
        <v>0</v>
      </c>
      <c r="DM25" s="214"/>
      <c r="DN25" s="214"/>
      <c r="DO25" s="227"/>
      <c r="DP25" s="217" t="s">
        <v>345</v>
      </c>
      <c r="DQ25" s="227">
        <v>0</v>
      </c>
      <c r="DR25" s="228">
        <v>0</v>
      </c>
      <c r="DS25" s="208">
        <v>0</v>
      </c>
      <c r="DT25" s="208">
        <v>0</v>
      </c>
      <c r="DU25" s="208">
        <v>0</v>
      </c>
      <c r="DV25" s="208">
        <v>0</v>
      </c>
      <c r="DW25" s="208">
        <v>0</v>
      </c>
      <c r="DX25" s="208">
        <v>0</v>
      </c>
      <c r="DY25" s="208">
        <v>0</v>
      </c>
      <c r="DZ25" s="208">
        <v>0</v>
      </c>
      <c r="EA25" s="208">
        <v>0</v>
      </c>
      <c r="EB25" s="208">
        <v>0</v>
      </c>
      <c r="EC25" s="208">
        <v>0</v>
      </c>
      <c r="ED25" s="208">
        <v>0</v>
      </c>
      <c r="EE25" s="208">
        <v>0</v>
      </c>
      <c r="EF25" s="208">
        <v>0</v>
      </c>
      <c r="EG25" s="208">
        <v>0</v>
      </c>
      <c r="EH25" s="208">
        <v>0</v>
      </c>
      <c r="EI25" s="208">
        <v>0</v>
      </c>
      <c r="EJ25" s="208">
        <v>0</v>
      </c>
      <c r="EK25" s="222">
        <v>0</v>
      </c>
      <c r="EL25" s="228"/>
      <c r="EM25" s="217" t="s">
        <v>345</v>
      </c>
      <c r="EN25" s="227">
        <v>0</v>
      </c>
      <c r="EO25" s="228">
        <v>0</v>
      </c>
      <c r="EP25" s="208">
        <v>0</v>
      </c>
      <c r="EQ25" s="208">
        <v>0</v>
      </c>
      <c r="ER25" s="208">
        <v>0</v>
      </c>
      <c r="ES25" s="208">
        <v>0</v>
      </c>
      <c r="ET25" s="208">
        <v>0</v>
      </c>
      <c r="EU25" s="208">
        <v>0</v>
      </c>
      <c r="EV25" s="208">
        <v>0</v>
      </c>
      <c r="EW25" s="208">
        <v>0</v>
      </c>
      <c r="EX25" s="208">
        <v>0</v>
      </c>
      <c r="EY25" s="208">
        <v>0</v>
      </c>
      <c r="EZ25" s="208">
        <v>0</v>
      </c>
      <c r="FA25" s="208">
        <v>0</v>
      </c>
      <c r="FB25" s="208">
        <v>0</v>
      </c>
      <c r="FC25" s="208">
        <v>0</v>
      </c>
      <c r="FD25" s="208">
        <v>0</v>
      </c>
      <c r="FE25" s="208">
        <v>0</v>
      </c>
      <c r="FF25" s="208">
        <v>0</v>
      </c>
      <c r="FG25" s="208">
        <v>0</v>
      </c>
      <c r="FH25" s="222">
        <v>0</v>
      </c>
    </row>
    <row r="26" spans="2:164" x14ac:dyDescent="0.2">
      <c r="B26" s="218" t="s">
        <v>7</v>
      </c>
      <c r="C26" s="219">
        <v>10626</v>
      </c>
      <c r="D26" s="220">
        <v>3019</v>
      </c>
      <c r="E26" s="221">
        <v>955</v>
      </c>
      <c r="F26" s="221">
        <v>981</v>
      </c>
      <c r="G26" s="221">
        <v>916</v>
      </c>
      <c r="H26" s="221">
        <v>1813</v>
      </c>
      <c r="I26" s="221">
        <v>761</v>
      </c>
      <c r="J26" s="221">
        <v>71</v>
      </c>
      <c r="K26" s="221">
        <v>159</v>
      </c>
      <c r="L26" s="221">
        <v>1075</v>
      </c>
      <c r="M26" s="221">
        <v>411</v>
      </c>
      <c r="N26" s="221">
        <v>16</v>
      </c>
      <c r="O26" s="221">
        <v>25</v>
      </c>
      <c r="P26" s="221">
        <v>47</v>
      </c>
      <c r="Q26" s="221">
        <v>15</v>
      </c>
      <c r="R26" s="221">
        <v>422</v>
      </c>
      <c r="S26" s="221">
        <v>156</v>
      </c>
      <c r="T26" s="221">
        <v>19</v>
      </c>
      <c r="U26" s="221">
        <v>225</v>
      </c>
      <c r="V26" s="221">
        <v>16</v>
      </c>
      <c r="W26" s="223">
        <v>21728</v>
      </c>
      <c r="X26" s="208"/>
      <c r="Y26" s="218" t="s">
        <v>7</v>
      </c>
      <c r="Z26" s="219">
        <v>3245817.3418812738</v>
      </c>
      <c r="AA26" s="220">
        <v>1144401.7954474057</v>
      </c>
      <c r="AB26" s="221">
        <v>552956.99744937883</v>
      </c>
      <c r="AC26" s="221">
        <v>188656.41887063035</v>
      </c>
      <c r="AD26" s="221">
        <v>134267.90997280975</v>
      </c>
      <c r="AE26" s="221">
        <v>316692.55997501523</v>
      </c>
      <c r="AF26" s="221">
        <v>80112.79572506051</v>
      </c>
      <c r="AG26" s="221">
        <v>4332.6424082911608</v>
      </c>
      <c r="AH26" s="221">
        <v>19438.834763229628</v>
      </c>
      <c r="AI26" s="221">
        <v>141214.35828259788</v>
      </c>
      <c r="AJ26" s="221">
        <v>67917.555734736568</v>
      </c>
      <c r="AK26" s="221">
        <v>413.8755140997925</v>
      </c>
      <c r="AL26" s="221">
        <v>5961.1532537826552</v>
      </c>
      <c r="AM26" s="221">
        <v>3078.7965959449762</v>
      </c>
      <c r="AN26" s="221">
        <v>4022.5757527318469</v>
      </c>
      <c r="AO26" s="221">
        <v>134367.45202000224</v>
      </c>
      <c r="AP26" s="221">
        <v>43379.008669853589</v>
      </c>
      <c r="AQ26" s="221">
        <v>3911.9129004225915</v>
      </c>
      <c r="AR26" s="221">
        <v>39490.690977068974</v>
      </c>
      <c r="AS26" s="221">
        <v>4229.9819460967392</v>
      </c>
      <c r="AT26" s="223">
        <v>6134664.658140434</v>
      </c>
      <c r="AV26" s="218" t="s">
        <v>7</v>
      </c>
      <c r="AW26" s="257">
        <f>SUM(AW6:AW25)</f>
        <v>3240856.793976095</v>
      </c>
      <c r="AX26" s="257">
        <f t="shared" ref="AX26:BP26" si="1">SUM(AX6:AX25)</f>
        <v>1141014.3966957971</v>
      </c>
      <c r="AY26" s="257">
        <f t="shared" si="1"/>
        <v>552735.78758980741</v>
      </c>
      <c r="AZ26" s="257">
        <f t="shared" si="1"/>
        <v>186572.27942932682</v>
      </c>
      <c r="BA26" s="257">
        <f t="shared" si="1"/>
        <v>134254.04830269946</v>
      </c>
      <c r="BB26" s="257">
        <f t="shared" si="1"/>
        <v>310078.98528132966</v>
      </c>
      <c r="BC26" s="257">
        <f t="shared" si="1"/>
        <v>78067.473033557952</v>
      </c>
      <c r="BD26" s="257">
        <f t="shared" si="1"/>
        <v>3610.5535613165353</v>
      </c>
      <c r="BE26" s="257">
        <f t="shared" si="1"/>
        <v>19058.675476823708</v>
      </c>
      <c r="BF26" s="257">
        <f t="shared" si="1"/>
        <v>127647.85370292356</v>
      </c>
      <c r="BG26" s="257">
        <f t="shared" si="1"/>
        <v>60265.910327559301</v>
      </c>
      <c r="BH26" s="257">
        <f t="shared" si="1"/>
        <v>216.35053096696976</v>
      </c>
      <c r="BI26" s="257">
        <f t="shared" si="1"/>
        <v>2535.4721614727073</v>
      </c>
      <c r="BJ26" s="257">
        <f t="shared" si="1"/>
        <v>1055.6334969471252</v>
      </c>
      <c r="BK26" s="257">
        <f t="shared" si="1"/>
        <v>1675.1116145525878</v>
      </c>
      <c r="BL26" s="257">
        <f t="shared" si="1"/>
        <v>87946.940159059392</v>
      </c>
      <c r="BM26" s="257">
        <f t="shared" si="1"/>
        <v>29367.608317819493</v>
      </c>
      <c r="BN26" s="257">
        <f t="shared" si="1"/>
        <v>3595.0031788729784</v>
      </c>
      <c r="BO26" s="257">
        <f t="shared" si="1"/>
        <v>33730.203466460327</v>
      </c>
      <c r="BP26" s="257">
        <f t="shared" si="1"/>
        <v>4229.9819460967392</v>
      </c>
      <c r="BQ26" s="223">
        <f>SUM(BQ6:BQ25)</f>
        <v>6018515.0622494845</v>
      </c>
      <c r="BR26" s="214"/>
      <c r="BT26" s="218" t="s">
        <v>7</v>
      </c>
      <c r="BU26" s="219">
        <v>1131</v>
      </c>
      <c r="BV26" s="220">
        <v>262</v>
      </c>
      <c r="BW26" s="221">
        <v>94</v>
      </c>
      <c r="BX26" s="221">
        <v>9</v>
      </c>
      <c r="BY26" s="221">
        <v>16</v>
      </c>
      <c r="BZ26" s="221">
        <v>24</v>
      </c>
      <c r="CA26" s="221">
        <v>0</v>
      </c>
      <c r="CB26" s="221">
        <v>17</v>
      </c>
      <c r="CC26" s="221">
        <v>0</v>
      </c>
      <c r="CD26" s="221">
        <v>10</v>
      </c>
      <c r="CE26" s="221">
        <v>4</v>
      </c>
      <c r="CF26" s="221">
        <v>0</v>
      </c>
      <c r="CG26" s="221">
        <v>0</v>
      </c>
      <c r="CH26" s="221">
        <v>19</v>
      </c>
      <c r="CI26" s="221">
        <v>0</v>
      </c>
      <c r="CJ26" s="221">
        <v>17</v>
      </c>
      <c r="CK26" s="221">
        <v>9</v>
      </c>
      <c r="CL26" s="221">
        <v>0</v>
      </c>
      <c r="CM26" s="221">
        <v>6</v>
      </c>
      <c r="CN26" s="221">
        <v>0</v>
      </c>
      <c r="CO26" s="223">
        <v>1618</v>
      </c>
      <c r="CQ26" s="218" t="s">
        <v>7</v>
      </c>
      <c r="CR26" s="219">
        <v>308148.28278575459</v>
      </c>
      <c r="CS26" s="220">
        <v>73355.485226634279</v>
      </c>
      <c r="CT26" s="221">
        <v>52860.409602297266</v>
      </c>
      <c r="CU26" s="221">
        <v>12752.113171553658</v>
      </c>
      <c r="CV26" s="221">
        <v>1230.1498311590467</v>
      </c>
      <c r="CW26" s="221">
        <v>16128.213789786951</v>
      </c>
      <c r="CX26" s="221">
        <v>0</v>
      </c>
      <c r="CY26" s="221">
        <v>775.48010907179889</v>
      </c>
      <c r="CZ26" s="221">
        <v>0</v>
      </c>
      <c r="DA26" s="221">
        <v>19823.359914596764</v>
      </c>
      <c r="DB26" s="221">
        <v>90.785164640982458</v>
      </c>
      <c r="DC26" s="221">
        <v>0</v>
      </c>
      <c r="DD26" s="221">
        <v>0</v>
      </c>
      <c r="DE26" s="221">
        <v>866.33096654622364</v>
      </c>
      <c r="DF26" s="221">
        <v>0</v>
      </c>
      <c r="DG26" s="221">
        <v>2155.0523487954051</v>
      </c>
      <c r="DH26" s="221">
        <v>251.50462467061271</v>
      </c>
      <c r="DI26" s="221">
        <v>0</v>
      </c>
      <c r="DJ26" s="221">
        <v>11965.772276071251</v>
      </c>
      <c r="DK26" s="221">
        <v>0</v>
      </c>
      <c r="DL26" s="223">
        <v>500402.93981157872</v>
      </c>
      <c r="DM26" s="214"/>
      <c r="DN26" s="214"/>
      <c r="DP26" s="218" t="s">
        <v>7</v>
      </c>
      <c r="DQ26" s="219">
        <v>1909</v>
      </c>
      <c r="DR26" s="220">
        <v>465</v>
      </c>
      <c r="DS26" s="221">
        <v>138</v>
      </c>
      <c r="DT26" s="221">
        <v>20</v>
      </c>
      <c r="DU26" s="221">
        <v>53</v>
      </c>
      <c r="DV26" s="221">
        <v>24</v>
      </c>
      <c r="DW26" s="221">
        <v>0</v>
      </c>
      <c r="DX26" s="221">
        <v>21</v>
      </c>
      <c r="DY26" s="221">
        <v>0</v>
      </c>
      <c r="DZ26" s="221">
        <v>14</v>
      </c>
      <c r="EA26" s="221">
        <v>10</v>
      </c>
      <c r="EB26" s="221">
        <v>0</v>
      </c>
      <c r="EC26" s="221">
        <v>3</v>
      </c>
      <c r="ED26" s="221">
        <v>19</v>
      </c>
      <c r="EE26" s="221">
        <v>6</v>
      </c>
      <c r="EF26" s="221">
        <v>17</v>
      </c>
      <c r="EG26" s="221">
        <v>16</v>
      </c>
      <c r="EH26" s="221">
        <v>0</v>
      </c>
      <c r="EI26" s="221">
        <v>6</v>
      </c>
      <c r="EJ26" s="221">
        <v>0</v>
      </c>
      <c r="EK26" s="223">
        <v>2721</v>
      </c>
      <c r="EL26" s="240"/>
      <c r="EM26" s="218" t="s">
        <v>7</v>
      </c>
      <c r="EN26" s="219">
        <v>664225.25894563913</v>
      </c>
      <c r="EO26" s="220">
        <v>183581.62674473808</v>
      </c>
      <c r="EP26" s="221">
        <v>104616.5814579502</v>
      </c>
      <c r="EQ26" s="221">
        <v>22041.566478977209</v>
      </c>
      <c r="ER26" s="221">
        <v>3646.9627409160425</v>
      </c>
      <c r="ES26" s="221">
        <v>16128.213789786951</v>
      </c>
      <c r="ET26" s="221">
        <v>0</v>
      </c>
      <c r="EU26" s="221">
        <v>968.00561943423406</v>
      </c>
      <c r="EV26" s="221">
        <v>0</v>
      </c>
      <c r="EW26" s="221">
        <v>19879.939241500306</v>
      </c>
      <c r="EX26" s="221">
        <v>416.77055735889996</v>
      </c>
      <c r="EY26" s="221">
        <v>0</v>
      </c>
      <c r="EZ26" s="221">
        <v>1331.833013475682</v>
      </c>
      <c r="FA26" s="221">
        <v>866.33096654622364</v>
      </c>
      <c r="FB26" s="221">
        <v>2762.6828372821615</v>
      </c>
      <c r="FC26" s="221">
        <v>2155.0523487954051</v>
      </c>
      <c r="FD26" s="221">
        <v>12904.150121908542</v>
      </c>
      <c r="FE26" s="221">
        <v>0</v>
      </c>
      <c r="FF26" s="221">
        <v>11965.772276071251</v>
      </c>
      <c r="FG26" s="221">
        <v>0</v>
      </c>
      <c r="FH26" s="223">
        <v>1047490.7471403803</v>
      </c>
    </row>
    <row r="27" spans="2:164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14"/>
      <c r="BV27" s="206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Q27" s="214"/>
      <c r="CS27" s="206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14"/>
      <c r="DN27" s="214"/>
      <c r="DP27" s="214"/>
      <c r="DR27" s="206"/>
      <c r="DS27" s="208"/>
      <c r="DT27" s="208"/>
      <c r="DU27" s="208"/>
      <c r="DV27" s="208"/>
      <c r="DW27" s="208"/>
      <c r="DX27" s="208"/>
      <c r="DY27" s="208"/>
      <c r="DZ27" s="208"/>
      <c r="EA27" s="208"/>
      <c r="EB27" s="208"/>
      <c r="EC27" s="208"/>
      <c r="ED27" s="208"/>
      <c r="EE27" s="208"/>
      <c r="EF27" s="208"/>
      <c r="EG27" s="208"/>
      <c r="EH27" s="208"/>
      <c r="EI27" s="208"/>
      <c r="EJ27" s="208"/>
      <c r="EK27" s="208"/>
      <c r="EL27" s="206"/>
      <c r="EM27" s="214"/>
      <c r="EO27" s="206"/>
      <c r="EP27" s="208"/>
      <c r="EQ27" s="208"/>
      <c r="ER27" s="208"/>
      <c r="ES27" s="208"/>
      <c r="ET27" s="208"/>
      <c r="EU27" s="208"/>
      <c r="EV27" s="208"/>
      <c r="EW27" s="208"/>
      <c r="EX27" s="208"/>
      <c r="EY27" s="208"/>
      <c r="EZ27" s="208"/>
      <c r="FA27" s="208"/>
      <c r="FB27" s="208"/>
      <c r="FC27" s="208"/>
      <c r="FD27" s="208"/>
      <c r="FE27" s="208"/>
      <c r="FF27" s="208"/>
      <c r="FG27" s="208"/>
      <c r="FH27" s="208"/>
    </row>
    <row r="28" spans="2:164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14" t="s">
        <v>71</v>
      </c>
      <c r="BV28" s="206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Q28" s="214" t="s">
        <v>71</v>
      </c>
      <c r="CS28" s="206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14"/>
      <c r="DN28" s="214"/>
      <c r="DP28" s="214" t="s">
        <v>71</v>
      </c>
      <c r="DR28" s="206"/>
      <c r="DS28" s="208"/>
      <c r="DT28" s="208"/>
      <c r="DU28" s="208"/>
      <c r="DV28" s="208"/>
      <c r="DW28" s="208"/>
      <c r="DX28" s="208"/>
      <c r="DY28" s="208"/>
      <c r="DZ28" s="208"/>
      <c r="EA28" s="208"/>
      <c r="EB28" s="208"/>
      <c r="EC28" s="208"/>
      <c r="ED28" s="208"/>
      <c r="EE28" s="208"/>
      <c r="EF28" s="208"/>
      <c r="EG28" s="208"/>
      <c r="EH28" s="208"/>
      <c r="EI28" s="208"/>
      <c r="EJ28" s="208"/>
      <c r="EK28" s="208"/>
      <c r="EL28" s="206"/>
      <c r="EM28" s="214" t="s">
        <v>71</v>
      </c>
      <c r="EO28" s="206"/>
      <c r="EP28" s="208"/>
      <c r="EQ28" s="208"/>
      <c r="ER28" s="208"/>
      <c r="ES28" s="208"/>
      <c r="ET28" s="208"/>
      <c r="EU28" s="208"/>
      <c r="EV28" s="208"/>
      <c r="EW28" s="208"/>
      <c r="EX28" s="208"/>
      <c r="EY28" s="208"/>
      <c r="EZ28" s="208"/>
      <c r="FA28" s="208"/>
      <c r="FB28" s="208"/>
      <c r="FC28" s="208"/>
      <c r="FD28" s="208"/>
      <c r="FE28" s="208"/>
      <c r="FF28" s="208"/>
      <c r="FG28" s="208"/>
      <c r="FH28" s="208"/>
    </row>
    <row r="29" spans="2:164" ht="36" x14ac:dyDescent="0.2">
      <c r="B29" s="224" t="s">
        <v>331</v>
      </c>
      <c r="C29" s="225" t="s">
        <v>332</v>
      </c>
      <c r="D29" s="225" t="s">
        <v>333</v>
      </c>
      <c r="E29" s="225" t="s">
        <v>334</v>
      </c>
      <c r="F29" s="225" t="s">
        <v>2</v>
      </c>
      <c r="G29" s="225" t="s">
        <v>3</v>
      </c>
      <c r="H29" s="225" t="s">
        <v>335</v>
      </c>
      <c r="I29" s="225" t="s">
        <v>362</v>
      </c>
      <c r="J29" s="225" t="s">
        <v>349</v>
      </c>
      <c r="K29" s="225" t="s">
        <v>337</v>
      </c>
      <c r="L29" s="225" t="s">
        <v>338</v>
      </c>
      <c r="M29" s="225" t="s">
        <v>339</v>
      </c>
      <c r="N29" s="225" t="s">
        <v>340</v>
      </c>
      <c r="O29" s="225" t="s">
        <v>361</v>
      </c>
      <c r="P29" s="225" t="s">
        <v>350</v>
      </c>
      <c r="Q29" s="225" t="s">
        <v>341</v>
      </c>
      <c r="R29" s="225" t="s">
        <v>342</v>
      </c>
      <c r="S29" s="225" t="s">
        <v>343</v>
      </c>
      <c r="T29" s="225" t="s">
        <v>6</v>
      </c>
      <c r="U29" s="225" t="s">
        <v>344</v>
      </c>
      <c r="V29" s="225" t="s">
        <v>345</v>
      </c>
      <c r="W29" s="226" t="s">
        <v>7</v>
      </c>
      <c r="X29" s="208"/>
      <c r="Y29" s="224" t="s">
        <v>331</v>
      </c>
      <c r="Z29" s="225" t="s">
        <v>332</v>
      </c>
      <c r="AA29" s="225" t="s">
        <v>333</v>
      </c>
      <c r="AB29" s="225" t="s">
        <v>334</v>
      </c>
      <c r="AC29" s="225" t="s">
        <v>2</v>
      </c>
      <c r="AD29" s="225" t="s">
        <v>3</v>
      </c>
      <c r="AE29" s="225" t="s">
        <v>335</v>
      </c>
      <c r="AF29" s="225" t="s">
        <v>362</v>
      </c>
      <c r="AG29" s="225" t="s">
        <v>349</v>
      </c>
      <c r="AH29" s="225" t="s">
        <v>337</v>
      </c>
      <c r="AI29" s="225" t="s">
        <v>338</v>
      </c>
      <c r="AJ29" s="225" t="s">
        <v>339</v>
      </c>
      <c r="AK29" s="225" t="s">
        <v>340</v>
      </c>
      <c r="AL29" s="225" t="s">
        <v>361</v>
      </c>
      <c r="AM29" s="225" t="s">
        <v>350</v>
      </c>
      <c r="AN29" s="225" t="s">
        <v>341</v>
      </c>
      <c r="AO29" s="225" t="s">
        <v>342</v>
      </c>
      <c r="AP29" s="225" t="s">
        <v>343</v>
      </c>
      <c r="AQ29" s="225" t="s">
        <v>6</v>
      </c>
      <c r="AR29" s="225" t="s">
        <v>344</v>
      </c>
      <c r="AS29" s="225" t="s">
        <v>345</v>
      </c>
      <c r="AT29" s="226" t="s">
        <v>7</v>
      </c>
      <c r="AV29" s="224" t="s">
        <v>331</v>
      </c>
      <c r="AW29" s="225" t="s">
        <v>332</v>
      </c>
      <c r="AX29" s="225" t="s">
        <v>333</v>
      </c>
      <c r="AY29" s="225" t="s">
        <v>334</v>
      </c>
      <c r="AZ29" s="225" t="s">
        <v>2</v>
      </c>
      <c r="BA29" s="225" t="s">
        <v>3</v>
      </c>
      <c r="BB29" s="225" t="s">
        <v>335</v>
      </c>
      <c r="BC29" s="225" t="s">
        <v>362</v>
      </c>
      <c r="BD29" s="225" t="s">
        <v>349</v>
      </c>
      <c r="BE29" s="225" t="s">
        <v>337</v>
      </c>
      <c r="BF29" s="225" t="s">
        <v>338</v>
      </c>
      <c r="BG29" s="225" t="s">
        <v>339</v>
      </c>
      <c r="BH29" s="225" t="s">
        <v>340</v>
      </c>
      <c r="BI29" s="225" t="s">
        <v>361</v>
      </c>
      <c r="BJ29" s="225" t="s">
        <v>350</v>
      </c>
      <c r="BK29" s="225" t="s">
        <v>341</v>
      </c>
      <c r="BL29" s="225" t="s">
        <v>342</v>
      </c>
      <c r="BM29" s="225" t="s">
        <v>343</v>
      </c>
      <c r="BN29" s="225" t="s">
        <v>6</v>
      </c>
      <c r="BO29" s="225" t="s">
        <v>344</v>
      </c>
      <c r="BP29" s="225" t="s">
        <v>345</v>
      </c>
      <c r="BQ29" s="226" t="s">
        <v>7</v>
      </c>
      <c r="BR29" s="235"/>
      <c r="BS29" s="236"/>
      <c r="BT29" s="224" t="s">
        <v>331</v>
      </c>
      <c r="BU29" s="225" t="s">
        <v>332</v>
      </c>
      <c r="BV29" s="225" t="s">
        <v>333</v>
      </c>
      <c r="BW29" s="225" t="s">
        <v>334</v>
      </c>
      <c r="BX29" s="225" t="s">
        <v>2</v>
      </c>
      <c r="BY29" s="225" t="s">
        <v>3</v>
      </c>
      <c r="BZ29" s="225" t="s">
        <v>335</v>
      </c>
      <c r="CA29" s="225" t="s">
        <v>362</v>
      </c>
      <c r="CB29" s="225" t="s">
        <v>349</v>
      </c>
      <c r="CC29" s="225" t="s">
        <v>337</v>
      </c>
      <c r="CD29" s="225" t="s">
        <v>338</v>
      </c>
      <c r="CE29" s="225" t="s">
        <v>339</v>
      </c>
      <c r="CF29" s="225" t="s">
        <v>340</v>
      </c>
      <c r="CG29" s="225" t="s">
        <v>361</v>
      </c>
      <c r="CH29" s="225" t="s">
        <v>350</v>
      </c>
      <c r="CI29" s="225" t="s">
        <v>341</v>
      </c>
      <c r="CJ29" s="225" t="s">
        <v>342</v>
      </c>
      <c r="CK29" s="225" t="s">
        <v>343</v>
      </c>
      <c r="CL29" s="225" t="s">
        <v>6</v>
      </c>
      <c r="CM29" s="225" t="s">
        <v>344</v>
      </c>
      <c r="CN29" s="225" t="s">
        <v>345</v>
      </c>
      <c r="CO29" s="226" t="s">
        <v>7</v>
      </c>
      <c r="CQ29" s="224" t="s">
        <v>331</v>
      </c>
      <c r="CR29" s="225" t="s">
        <v>332</v>
      </c>
      <c r="CS29" s="225" t="s">
        <v>333</v>
      </c>
      <c r="CT29" s="225" t="s">
        <v>334</v>
      </c>
      <c r="CU29" s="225" t="s">
        <v>2</v>
      </c>
      <c r="CV29" s="225" t="s">
        <v>3</v>
      </c>
      <c r="CW29" s="225" t="s">
        <v>335</v>
      </c>
      <c r="CX29" s="225" t="s">
        <v>362</v>
      </c>
      <c r="CY29" s="225" t="s">
        <v>349</v>
      </c>
      <c r="CZ29" s="225" t="s">
        <v>337</v>
      </c>
      <c r="DA29" s="225" t="s">
        <v>338</v>
      </c>
      <c r="DB29" s="225" t="s">
        <v>339</v>
      </c>
      <c r="DC29" s="225" t="s">
        <v>340</v>
      </c>
      <c r="DD29" s="225" t="s">
        <v>361</v>
      </c>
      <c r="DE29" s="225" t="s">
        <v>350</v>
      </c>
      <c r="DF29" s="225" t="s">
        <v>341</v>
      </c>
      <c r="DG29" s="225" t="s">
        <v>342</v>
      </c>
      <c r="DH29" s="225" t="s">
        <v>343</v>
      </c>
      <c r="DI29" s="225" t="s">
        <v>6</v>
      </c>
      <c r="DJ29" s="225" t="s">
        <v>344</v>
      </c>
      <c r="DK29" s="225" t="s">
        <v>345</v>
      </c>
      <c r="DL29" s="226" t="s">
        <v>7</v>
      </c>
      <c r="DM29" s="214"/>
      <c r="DN29" s="214"/>
      <c r="DP29" s="224" t="s">
        <v>331</v>
      </c>
      <c r="DQ29" s="225" t="s">
        <v>332</v>
      </c>
      <c r="DR29" s="225" t="s">
        <v>333</v>
      </c>
      <c r="DS29" s="225" t="s">
        <v>334</v>
      </c>
      <c r="DT29" s="225" t="s">
        <v>2</v>
      </c>
      <c r="DU29" s="225" t="s">
        <v>3</v>
      </c>
      <c r="DV29" s="225" t="s">
        <v>335</v>
      </c>
      <c r="DW29" s="225" t="s">
        <v>362</v>
      </c>
      <c r="DX29" s="225" t="s">
        <v>349</v>
      </c>
      <c r="DY29" s="225" t="s">
        <v>337</v>
      </c>
      <c r="DZ29" s="225" t="s">
        <v>338</v>
      </c>
      <c r="EA29" s="225" t="s">
        <v>339</v>
      </c>
      <c r="EB29" s="225" t="s">
        <v>340</v>
      </c>
      <c r="EC29" s="225" t="s">
        <v>361</v>
      </c>
      <c r="ED29" s="225" t="s">
        <v>350</v>
      </c>
      <c r="EE29" s="225" t="s">
        <v>341</v>
      </c>
      <c r="EF29" s="225" t="s">
        <v>342</v>
      </c>
      <c r="EG29" s="225" t="s">
        <v>343</v>
      </c>
      <c r="EH29" s="225" t="s">
        <v>6</v>
      </c>
      <c r="EI29" s="225" t="s">
        <v>344</v>
      </c>
      <c r="EJ29" s="225" t="s">
        <v>345</v>
      </c>
      <c r="EK29" s="226" t="s">
        <v>7</v>
      </c>
      <c r="EL29" s="240"/>
      <c r="EM29" s="224" t="s">
        <v>331</v>
      </c>
      <c r="EN29" s="225" t="s">
        <v>332</v>
      </c>
      <c r="EO29" s="225" t="s">
        <v>333</v>
      </c>
      <c r="EP29" s="225" t="s">
        <v>334</v>
      </c>
      <c r="EQ29" s="225" t="s">
        <v>2</v>
      </c>
      <c r="ER29" s="225" t="s">
        <v>3</v>
      </c>
      <c r="ES29" s="225" t="s">
        <v>335</v>
      </c>
      <c r="ET29" s="225" t="s">
        <v>362</v>
      </c>
      <c r="EU29" s="225" t="s">
        <v>349</v>
      </c>
      <c r="EV29" s="225" t="s">
        <v>337</v>
      </c>
      <c r="EW29" s="225" t="s">
        <v>338</v>
      </c>
      <c r="EX29" s="225" t="s">
        <v>339</v>
      </c>
      <c r="EY29" s="225" t="s">
        <v>340</v>
      </c>
      <c r="EZ29" s="225" t="s">
        <v>361</v>
      </c>
      <c r="FA29" s="225" t="s">
        <v>350</v>
      </c>
      <c r="FB29" s="225" t="s">
        <v>341</v>
      </c>
      <c r="FC29" s="225" t="s">
        <v>342</v>
      </c>
      <c r="FD29" s="225" t="s">
        <v>343</v>
      </c>
      <c r="FE29" s="225" t="s">
        <v>6</v>
      </c>
      <c r="FF29" s="225" t="s">
        <v>344</v>
      </c>
      <c r="FG29" s="225" t="s">
        <v>345</v>
      </c>
      <c r="FH29" s="226" t="s">
        <v>7</v>
      </c>
    </row>
    <row r="30" spans="2:164" x14ac:dyDescent="0.2">
      <c r="B30" s="233" t="s">
        <v>332</v>
      </c>
      <c r="C30" s="227">
        <v>95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104</v>
      </c>
      <c r="X30" s="208"/>
      <c r="Y30" s="233" t="s">
        <v>332</v>
      </c>
      <c r="Z30" s="227">
        <v>26800.839105878131</v>
      </c>
      <c r="AA30" s="227">
        <v>461.36451148080528</v>
      </c>
      <c r="AB30" s="227">
        <v>0</v>
      </c>
      <c r="AC30" s="254">
        <v>0</v>
      </c>
      <c r="AD30" s="254">
        <v>185.91972214854167</v>
      </c>
      <c r="AE30" s="254">
        <v>37.869239605390092</v>
      </c>
      <c r="AF30" s="254">
        <v>0</v>
      </c>
      <c r="AG30" s="254">
        <v>0</v>
      </c>
      <c r="AH30" s="254">
        <v>0</v>
      </c>
      <c r="AI30" s="254">
        <v>0</v>
      </c>
      <c r="AJ30" s="254">
        <v>0</v>
      </c>
      <c r="AK30" s="254">
        <v>0</v>
      </c>
      <c r="AL30" s="254">
        <v>0</v>
      </c>
      <c r="AM30" s="254">
        <v>0</v>
      </c>
      <c r="AN30" s="254">
        <v>0</v>
      </c>
      <c r="AO30" s="254">
        <v>31.705986171159939</v>
      </c>
      <c r="AP30" s="254">
        <v>0</v>
      </c>
      <c r="AQ30" s="254">
        <v>0</v>
      </c>
      <c r="AR30" s="254">
        <v>0</v>
      </c>
      <c r="AS30" s="254">
        <v>0</v>
      </c>
      <c r="AT30" s="230">
        <v>27517.698565284027</v>
      </c>
      <c r="AV30" s="233" t="s">
        <v>332</v>
      </c>
      <c r="AW30" s="227">
        <v>26800.839105878131</v>
      </c>
      <c r="AX30" s="227">
        <v>461.36451148080528</v>
      </c>
      <c r="AY30" s="227">
        <v>0</v>
      </c>
      <c r="AZ30" s="254">
        <v>0</v>
      </c>
      <c r="BA30" s="232">
        <v>0</v>
      </c>
      <c r="BB30" s="232">
        <v>0</v>
      </c>
      <c r="BC30" s="254">
        <v>0</v>
      </c>
      <c r="BD30" s="254">
        <v>0</v>
      </c>
      <c r="BE30" s="254">
        <v>0</v>
      </c>
      <c r="BF30" s="254">
        <v>0</v>
      </c>
      <c r="BG30" s="254">
        <v>0</v>
      </c>
      <c r="BH30" s="254">
        <v>0</v>
      </c>
      <c r="BI30" s="254">
        <v>0</v>
      </c>
      <c r="BJ30" s="254">
        <v>0</v>
      </c>
      <c r="BK30" s="254">
        <v>0</v>
      </c>
      <c r="BL30" s="232">
        <v>0</v>
      </c>
      <c r="BM30" s="254">
        <v>0</v>
      </c>
      <c r="BN30" s="254">
        <v>0</v>
      </c>
      <c r="BO30" s="254">
        <v>0</v>
      </c>
      <c r="BP30" s="254">
        <v>0</v>
      </c>
      <c r="BQ30" s="230">
        <f t="shared" ref="BQ30:BQ50" si="2">SUM(AW30:BP30)</f>
        <v>27262.203617358937</v>
      </c>
      <c r="BR30" s="237"/>
      <c r="BS30" s="227"/>
      <c r="BT30" s="233" t="s">
        <v>332</v>
      </c>
      <c r="BU30" s="227">
        <v>2</v>
      </c>
      <c r="BV30" s="227">
        <v>0</v>
      </c>
      <c r="BW30" s="227">
        <v>0</v>
      </c>
      <c r="BX30" s="227">
        <v>0</v>
      </c>
      <c r="BY30" s="227">
        <v>0</v>
      </c>
      <c r="BZ30" s="227">
        <v>0</v>
      </c>
      <c r="CA30" s="227">
        <v>0</v>
      </c>
      <c r="CB30" s="227">
        <v>0</v>
      </c>
      <c r="CC30" s="227">
        <v>0</v>
      </c>
      <c r="CD30" s="227">
        <v>0</v>
      </c>
      <c r="CE30" s="227">
        <v>0</v>
      </c>
      <c r="CF30" s="227">
        <v>0</v>
      </c>
      <c r="CG30" s="227">
        <v>0</v>
      </c>
      <c r="CH30" s="227">
        <v>0</v>
      </c>
      <c r="CI30" s="227">
        <v>0</v>
      </c>
      <c r="CJ30" s="227">
        <v>1</v>
      </c>
      <c r="CK30" s="227">
        <v>0</v>
      </c>
      <c r="CL30" s="227">
        <v>0</v>
      </c>
      <c r="CM30" s="227">
        <v>0</v>
      </c>
      <c r="CN30" s="227">
        <v>0</v>
      </c>
      <c r="CO30" s="230">
        <v>3</v>
      </c>
      <c r="CP30" s="236"/>
      <c r="CQ30" s="233" t="s">
        <v>332</v>
      </c>
      <c r="CR30" s="227">
        <v>63.654270291652153</v>
      </c>
      <c r="CS30" s="227">
        <v>0</v>
      </c>
      <c r="CT30" s="227">
        <v>0</v>
      </c>
      <c r="CU30" s="227">
        <v>0</v>
      </c>
      <c r="CV30" s="227">
        <v>0</v>
      </c>
      <c r="CW30" s="227">
        <v>0</v>
      </c>
      <c r="CX30" s="227">
        <v>0</v>
      </c>
      <c r="CY30" s="227">
        <v>0</v>
      </c>
      <c r="CZ30" s="227">
        <v>0</v>
      </c>
      <c r="DA30" s="227">
        <v>0</v>
      </c>
      <c r="DB30" s="227">
        <v>0</v>
      </c>
      <c r="DC30" s="227">
        <v>0</v>
      </c>
      <c r="DD30" s="227">
        <v>0</v>
      </c>
      <c r="DE30" s="227">
        <v>0</v>
      </c>
      <c r="DF30" s="227">
        <v>0</v>
      </c>
      <c r="DG30" s="227">
        <v>31.705986171159939</v>
      </c>
      <c r="DH30" s="227">
        <v>0</v>
      </c>
      <c r="DI30" s="227">
        <v>0</v>
      </c>
      <c r="DJ30" s="227">
        <v>0</v>
      </c>
      <c r="DK30" s="227">
        <v>0</v>
      </c>
      <c r="DL30" s="230">
        <v>95.360256462812089</v>
      </c>
      <c r="DM30" s="235"/>
      <c r="DN30" s="235"/>
      <c r="DO30" s="236"/>
      <c r="DP30" s="233" t="s">
        <v>332</v>
      </c>
      <c r="DQ30" s="227">
        <v>13</v>
      </c>
      <c r="DR30" s="227">
        <v>2</v>
      </c>
      <c r="DS30" s="227">
        <v>0</v>
      </c>
      <c r="DT30" s="227">
        <v>0</v>
      </c>
      <c r="DU30" s="227">
        <v>0</v>
      </c>
      <c r="DV30" s="227">
        <v>0</v>
      </c>
      <c r="DW30" s="227">
        <v>0</v>
      </c>
      <c r="DX30" s="227">
        <v>0</v>
      </c>
      <c r="DY30" s="227">
        <v>0</v>
      </c>
      <c r="DZ30" s="227">
        <v>0</v>
      </c>
      <c r="EA30" s="227">
        <v>0</v>
      </c>
      <c r="EB30" s="227">
        <v>0</v>
      </c>
      <c r="EC30" s="227">
        <v>0</v>
      </c>
      <c r="ED30" s="227">
        <v>0</v>
      </c>
      <c r="EE30" s="227">
        <v>0</v>
      </c>
      <c r="EF30" s="227">
        <v>1</v>
      </c>
      <c r="EG30" s="227">
        <v>0</v>
      </c>
      <c r="EH30" s="227">
        <v>0</v>
      </c>
      <c r="EI30" s="227">
        <v>0</v>
      </c>
      <c r="EJ30" s="227">
        <v>0</v>
      </c>
      <c r="EK30" s="230">
        <v>16</v>
      </c>
      <c r="EL30" s="239"/>
      <c r="EM30" s="233" t="s">
        <v>332</v>
      </c>
      <c r="EN30" s="227">
        <v>1431.1629871887897</v>
      </c>
      <c r="EO30" s="227">
        <v>346.25202818761034</v>
      </c>
      <c r="EP30" s="227">
        <v>0</v>
      </c>
      <c r="EQ30" s="227">
        <v>0</v>
      </c>
      <c r="ER30" s="227">
        <v>0</v>
      </c>
      <c r="ES30" s="227">
        <v>0</v>
      </c>
      <c r="ET30" s="227">
        <v>0</v>
      </c>
      <c r="EU30" s="227">
        <v>0</v>
      </c>
      <c r="EV30" s="227">
        <v>0</v>
      </c>
      <c r="EW30" s="227">
        <v>0</v>
      </c>
      <c r="EX30" s="227">
        <v>0</v>
      </c>
      <c r="EY30" s="227">
        <v>0</v>
      </c>
      <c r="EZ30" s="227">
        <v>0</v>
      </c>
      <c r="FA30" s="227">
        <v>0</v>
      </c>
      <c r="FB30" s="227">
        <v>0</v>
      </c>
      <c r="FC30" s="227">
        <v>31.705986171159939</v>
      </c>
      <c r="FD30" s="227">
        <v>0</v>
      </c>
      <c r="FE30" s="227">
        <v>0</v>
      </c>
      <c r="FF30" s="227">
        <v>0</v>
      </c>
      <c r="FG30" s="227">
        <v>0</v>
      </c>
      <c r="FH30" s="230">
        <v>1809.1210015475599</v>
      </c>
    </row>
    <row r="31" spans="2:164" x14ac:dyDescent="0.2">
      <c r="B31" s="215" t="s">
        <v>333</v>
      </c>
      <c r="C31" s="227">
        <v>0</v>
      </c>
      <c r="D31" s="227">
        <v>21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27</v>
      </c>
      <c r="X31" s="208"/>
      <c r="Y31" s="215" t="s">
        <v>333</v>
      </c>
      <c r="Z31" s="227">
        <v>0</v>
      </c>
      <c r="AA31" s="227">
        <v>2926.0733995649916</v>
      </c>
      <c r="AB31" s="227">
        <v>13.399293612167861</v>
      </c>
      <c r="AC31" s="227">
        <v>0</v>
      </c>
      <c r="AD31" s="227">
        <v>0</v>
      </c>
      <c r="AE31" s="227">
        <v>151.1053037148107</v>
      </c>
      <c r="AF31" s="227">
        <v>0</v>
      </c>
      <c r="AG31" s="227">
        <v>0</v>
      </c>
      <c r="AH31" s="227">
        <v>0</v>
      </c>
      <c r="AI31" s="227">
        <v>1540.3253115322407</v>
      </c>
      <c r="AJ31" s="227">
        <v>0</v>
      </c>
      <c r="AK31" s="254">
        <v>1995.983180563682</v>
      </c>
      <c r="AL31" s="254">
        <v>0</v>
      </c>
      <c r="AM31" s="254">
        <v>0</v>
      </c>
      <c r="AN31" s="254">
        <v>0</v>
      </c>
      <c r="AO31" s="254">
        <v>0</v>
      </c>
      <c r="AP31" s="254">
        <v>0</v>
      </c>
      <c r="AQ31" s="227">
        <v>0</v>
      </c>
      <c r="AR31" s="227">
        <v>0</v>
      </c>
      <c r="AS31" s="227">
        <v>0</v>
      </c>
      <c r="AT31" s="230">
        <v>6626.8864889878923</v>
      </c>
      <c r="AV31" s="215" t="s">
        <v>333</v>
      </c>
      <c r="AW31" s="227">
        <v>0</v>
      </c>
      <c r="AX31" s="227">
        <v>2926.0733995649916</v>
      </c>
      <c r="AY31" s="227">
        <v>13.399293612167861</v>
      </c>
      <c r="AZ31" s="227">
        <v>0</v>
      </c>
      <c r="BA31" s="227">
        <v>0</v>
      </c>
      <c r="BB31" s="227">
        <v>151.1053037148107</v>
      </c>
      <c r="BC31" s="227">
        <v>0</v>
      </c>
      <c r="BD31" s="227">
        <v>0</v>
      </c>
      <c r="BE31" s="227">
        <v>0</v>
      </c>
      <c r="BF31" s="227">
        <v>1540.3253115322407</v>
      </c>
      <c r="BG31" s="227">
        <v>0</v>
      </c>
      <c r="BH31" s="232">
        <v>0</v>
      </c>
      <c r="BI31" s="254">
        <v>0</v>
      </c>
      <c r="BJ31" s="254">
        <v>0</v>
      </c>
      <c r="BK31" s="254">
        <v>0</v>
      </c>
      <c r="BL31" s="254">
        <v>0</v>
      </c>
      <c r="BM31" s="254">
        <v>0</v>
      </c>
      <c r="BN31" s="227">
        <v>0</v>
      </c>
      <c r="BO31" s="227">
        <v>0</v>
      </c>
      <c r="BP31" s="227">
        <v>0</v>
      </c>
      <c r="BQ31" s="230">
        <f t="shared" si="2"/>
        <v>4630.903308424211</v>
      </c>
      <c r="BR31" s="237"/>
      <c r="BS31" s="227"/>
      <c r="BT31" s="215" t="s">
        <v>333</v>
      </c>
      <c r="BU31" s="227">
        <v>0</v>
      </c>
      <c r="BV31" s="227">
        <v>6</v>
      </c>
      <c r="BW31" s="227">
        <v>0</v>
      </c>
      <c r="BX31" s="227">
        <v>0</v>
      </c>
      <c r="BY31" s="227">
        <v>0</v>
      </c>
      <c r="BZ31" s="227">
        <v>0</v>
      </c>
      <c r="CA31" s="227">
        <v>0</v>
      </c>
      <c r="CB31" s="227">
        <v>0</v>
      </c>
      <c r="CC31" s="227">
        <v>0</v>
      </c>
      <c r="CD31" s="227">
        <v>0</v>
      </c>
      <c r="CE31" s="227">
        <v>0</v>
      </c>
      <c r="CF31" s="227">
        <v>0</v>
      </c>
      <c r="CG31" s="227">
        <v>0</v>
      </c>
      <c r="CH31" s="227">
        <v>0</v>
      </c>
      <c r="CI31" s="227">
        <v>0</v>
      </c>
      <c r="CJ31" s="227">
        <v>0</v>
      </c>
      <c r="CK31" s="227">
        <v>0</v>
      </c>
      <c r="CL31" s="227">
        <v>0</v>
      </c>
      <c r="CM31" s="227">
        <v>0</v>
      </c>
      <c r="CN31" s="227">
        <v>0</v>
      </c>
      <c r="CO31" s="230">
        <v>6</v>
      </c>
      <c r="CP31" s="227"/>
      <c r="CQ31" s="215" t="s">
        <v>333</v>
      </c>
      <c r="CR31" s="227">
        <v>0</v>
      </c>
      <c r="CS31" s="227">
        <v>86.933897467933662</v>
      </c>
      <c r="CT31" s="227">
        <v>0</v>
      </c>
      <c r="CU31" s="227">
        <v>0</v>
      </c>
      <c r="CV31" s="227">
        <v>0</v>
      </c>
      <c r="CW31" s="227">
        <v>0</v>
      </c>
      <c r="CX31" s="227">
        <v>0</v>
      </c>
      <c r="CY31" s="227">
        <v>0</v>
      </c>
      <c r="CZ31" s="227">
        <v>0</v>
      </c>
      <c r="DA31" s="227">
        <v>0</v>
      </c>
      <c r="DB31" s="227">
        <v>0</v>
      </c>
      <c r="DC31" s="227">
        <v>0</v>
      </c>
      <c r="DD31" s="227">
        <v>0</v>
      </c>
      <c r="DE31" s="227">
        <v>0</v>
      </c>
      <c r="DF31" s="227">
        <v>0</v>
      </c>
      <c r="DG31" s="227">
        <v>0</v>
      </c>
      <c r="DH31" s="227">
        <v>0</v>
      </c>
      <c r="DI31" s="227">
        <v>0</v>
      </c>
      <c r="DJ31" s="227">
        <v>0</v>
      </c>
      <c r="DK31" s="227">
        <v>0</v>
      </c>
      <c r="DL31" s="230">
        <v>86.933897467933662</v>
      </c>
      <c r="DM31" s="237"/>
      <c r="DN31" s="237"/>
      <c r="DO31" s="227"/>
      <c r="DP31" s="215" t="s">
        <v>333</v>
      </c>
      <c r="DQ31" s="227">
        <v>0</v>
      </c>
      <c r="DR31" s="227">
        <v>11</v>
      </c>
      <c r="DS31" s="227">
        <v>0</v>
      </c>
      <c r="DT31" s="227">
        <v>0</v>
      </c>
      <c r="DU31" s="227">
        <v>0</v>
      </c>
      <c r="DV31" s="227">
        <v>0</v>
      </c>
      <c r="DW31" s="227">
        <v>0</v>
      </c>
      <c r="DX31" s="227">
        <v>0</v>
      </c>
      <c r="DY31" s="227">
        <v>0</v>
      </c>
      <c r="DZ31" s="227">
        <v>0</v>
      </c>
      <c r="EA31" s="227">
        <v>0</v>
      </c>
      <c r="EB31" s="227">
        <v>0</v>
      </c>
      <c r="EC31" s="227">
        <v>0</v>
      </c>
      <c r="ED31" s="227">
        <v>0</v>
      </c>
      <c r="EE31" s="227">
        <v>0</v>
      </c>
      <c r="EF31" s="227">
        <v>0</v>
      </c>
      <c r="EG31" s="227">
        <v>0</v>
      </c>
      <c r="EH31" s="227">
        <v>0</v>
      </c>
      <c r="EI31" s="227">
        <v>0</v>
      </c>
      <c r="EJ31" s="227">
        <v>0</v>
      </c>
      <c r="EK31" s="230">
        <v>11</v>
      </c>
      <c r="EL31" s="227"/>
      <c r="EM31" s="215" t="s">
        <v>333</v>
      </c>
      <c r="EN31" s="227">
        <v>0</v>
      </c>
      <c r="EO31" s="227">
        <v>458.18803915108811</v>
      </c>
      <c r="EP31" s="227">
        <v>0</v>
      </c>
      <c r="EQ31" s="227">
        <v>0</v>
      </c>
      <c r="ER31" s="227">
        <v>0</v>
      </c>
      <c r="ES31" s="227">
        <v>0</v>
      </c>
      <c r="ET31" s="227">
        <v>0</v>
      </c>
      <c r="EU31" s="227">
        <v>0</v>
      </c>
      <c r="EV31" s="227">
        <v>0</v>
      </c>
      <c r="EW31" s="227">
        <v>0</v>
      </c>
      <c r="EX31" s="227">
        <v>0</v>
      </c>
      <c r="EY31" s="227">
        <v>0</v>
      </c>
      <c r="EZ31" s="227">
        <v>0</v>
      </c>
      <c r="FA31" s="227">
        <v>0</v>
      </c>
      <c r="FB31" s="227">
        <v>0</v>
      </c>
      <c r="FC31" s="227">
        <v>0</v>
      </c>
      <c r="FD31" s="227">
        <v>0</v>
      </c>
      <c r="FE31" s="227">
        <v>0</v>
      </c>
      <c r="FF31" s="227">
        <v>0</v>
      </c>
      <c r="FG31" s="227">
        <v>0</v>
      </c>
      <c r="FH31" s="230">
        <v>458.18803915108811</v>
      </c>
    </row>
    <row r="32" spans="2:164" ht="24" x14ac:dyDescent="0.2">
      <c r="B32" s="216" t="s">
        <v>334</v>
      </c>
      <c r="C32" s="227">
        <v>0</v>
      </c>
      <c r="D32" s="228">
        <v>0</v>
      </c>
      <c r="E32" s="229">
        <v>11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14</v>
      </c>
      <c r="X32" s="209"/>
      <c r="Y32" s="216" t="s">
        <v>334</v>
      </c>
      <c r="Z32" s="227">
        <v>0</v>
      </c>
      <c r="AA32" s="228">
        <v>0</v>
      </c>
      <c r="AB32" s="229">
        <v>3831.3357210018526</v>
      </c>
      <c r="AC32" s="229">
        <v>0</v>
      </c>
      <c r="AD32" s="229">
        <v>0</v>
      </c>
      <c r="AE32" s="229">
        <v>36.52731147554816</v>
      </c>
      <c r="AF32" s="229">
        <v>0</v>
      </c>
      <c r="AG32" s="229">
        <v>0</v>
      </c>
      <c r="AH32" s="229">
        <v>0</v>
      </c>
      <c r="AI32" s="229">
        <v>0</v>
      </c>
      <c r="AJ32" s="229">
        <v>406.27992420916172</v>
      </c>
      <c r="AK32" s="256">
        <v>0</v>
      </c>
      <c r="AL32" s="256">
        <v>0</v>
      </c>
      <c r="AM32" s="256">
        <v>0</v>
      </c>
      <c r="AN32" s="256">
        <v>0</v>
      </c>
      <c r="AO32" s="256">
        <v>0</v>
      </c>
      <c r="AP32" s="256">
        <v>0</v>
      </c>
      <c r="AQ32" s="229">
        <v>0</v>
      </c>
      <c r="AR32" s="229">
        <v>0</v>
      </c>
      <c r="AS32" s="229">
        <v>0</v>
      </c>
      <c r="AT32" s="231">
        <v>4274.1429566865627</v>
      </c>
      <c r="AV32" s="216" t="s">
        <v>334</v>
      </c>
      <c r="AW32" s="227">
        <v>0</v>
      </c>
      <c r="AX32" s="228">
        <v>0</v>
      </c>
      <c r="AY32" s="229">
        <v>3831.3357210018526</v>
      </c>
      <c r="AZ32" s="229">
        <v>0</v>
      </c>
      <c r="BA32" s="229">
        <v>0</v>
      </c>
      <c r="BB32" s="229">
        <v>36.52731147554816</v>
      </c>
      <c r="BC32" s="229">
        <v>0</v>
      </c>
      <c r="BD32" s="229">
        <v>0</v>
      </c>
      <c r="BE32" s="229">
        <v>0</v>
      </c>
      <c r="BF32" s="229">
        <v>0</v>
      </c>
      <c r="BG32" s="229">
        <v>406.27992420916172</v>
      </c>
      <c r="BH32" s="256">
        <v>0</v>
      </c>
      <c r="BI32" s="256">
        <v>0</v>
      </c>
      <c r="BJ32" s="256">
        <v>0</v>
      </c>
      <c r="BK32" s="256">
        <v>0</v>
      </c>
      <c r="BL32" s="256">
        <v>0</v>
      </c>
      <c r="BM32" s="256">
        <v>0</v>
      </c>
      <c r="BN32" s="229">
        <v>0</v>
      </c>
      <c r="BO32" s="229">
        <v>0</v>
      </c>
      <c r="BP32" s="229">
        <v>0</v>
      </c>
      <c r="BQ32" s="230">
        <f t="shared" si="2"/>
        <v>4274.1429566865627</v>
      </c>
      <c r="BR32" s="238"/>
      <c r="BS32" s="227"/>
      <c r="BT32" s="216" t="s">
        <v>334</v>
      </c>
      <c r="BU32" s="227">
        <v>0</v>
      </c>
      <c r="BV32" s="228">
        <v>0</v>
      </c>
      <c r="BW32" s="229">
        <v>0</v>
      </c>
      <c r="BX32" s="229">
        <v>0</v>
      </c>
      <c r="BY32" s="229">
        <v>0</v>
      </c>
      <c r="BZ32" s="229">
        <v>0</v>
      </c>
      <c r="CA32" s="229">
        <v>0</v>
      </c>
      <c r="CB32" s="229">
        <v>0</v>
      </c>
      <c r="CC32" s="229">
        <v>0</v>
      </c>
      <c r="CD32" s="229">
        <v>0</v>
      </c>
      <c r="CE32" s="229">
        <v>0</v>
      </c>
      <c r="CF32" s="229">
        <v>0</v>
      </c>
      <c r="CG32" s="229">
        <v>0</v>
      </c>
      <c r="CH32" s="229">
        <v>0</v>
      </c>
      <c r="CI32" s="229">
        <v>0</v>
      </c>
      <c r="CJ32" s="229">
        <v>0</v>
      </c>
      <c r="CK32" s="229">
        <v>0</v>
      </c>
      <c r="CL32" s="229">
        <v>0</v>
      </c>
      <c r="CM32" s="229">
        <v>0</v>
      </c>
      <c r="CN32" s="229">
        <v>0</v>
      </c>
      <c r="CO32" s="231">
        <v>0</v>
      </c>
      <c r="CP32" s="227"/>
      <c r="CQ32" s="216" t="s">
        <v>334</v>
      </c>
      <c r="CR32" s="227">
        <v>0</v>
      </c>
      <c r="CS32" s="228">
        <v>0</v>
      </c>
      <c r="CT32" s="229">
        <v>0</v>
      </c>
      <c r="CU32" s="229">
        <v>0</v>
      </c>
      <c r="CV32" s="229">
        <v>0</v>
      </c>
      <c r="CW32" s="229">
        <v>0</v>
      </c>
      <c r="CX32" s="229">
        <v>0</v>
      </c>
      <c r="CY32" s="229">
        <v>0</v>
      </c>
      <c r="CZ32" s="229">
        <v>0</v>
      </c>
      <c r="DA32" s="229">
        <v>0</v>
      </c>
      <c r="DB32" s="229">
        <v>0</v>
      </c>
      <c r="DC32" s="229">
        <v>0</v>
      </c>
      <c r="DD32" s="229">
        <v>0</v>
      </c>
      <c r="DE32" s="229">
        <v>0</v>
      </c>
      <c r="DF32" s="229">
        <v>0</v>
      </c>
      <c r="DG32" s="229">
        <v>0</v>
      </c>
      <c r="DH32" s="229">
        <v>0</v>
      </c>
      <c r="DI32" s="229">
        <v>0</v>
      </c>
      <c r="DJ32" s="229">
        <v>0</v>
      </c>
      <c r="DK32" s="229">
        <v>0</v>
      </c>
      <c r="DL32" s="231">
        <v>0</v>
      </c>
      <c r="DM32" s="237"/>
      <c r="DN32" s="237"/>
      <c r="DO32" s="227"/>
      <c r="DP32" s="216" t="s">
        <v>334</v>
      </c>
      <c r="DQ32" s="227">
        <v>0</v>
      </c>
      <c r="DR32" s="228">
        <v>0</v>
      </c>
      <c r="DS32" s="229">
        <v>0</v>
      </c>
      <c r="DT32" s="229">
        <v>0</v>
      </c>
      <c r="DU32" s="229">
        <v>0</v>
      </c>
      <c r="DV32" s="229">
        <v>0</v>
      </c>
      <c r="DW32" s="229">
        <v>0</v>
      </c>
      <c r="DX32" s="229">
        <v>0</v>
      </c>
      <c r="DY32" s="229">
        <v>0</v>
      </c>
      <c r="DZ32" s="229">
        <v>0</v>
      </c>
      <c r="EA32" s="229">
        <v>0</v>
      </c>
      <c r="EB32" s="229">
        <v>0</v>
      </c>
      <c r="EC32" s="229">
        <v>0</v>
      </c>
      <c r="ED32" s="229">
        <v>0</v>
      </c>
      <c r="EE32" s="229">
        <v>0</v>
      </c>
      <c r="EF32" s="229">
        <v>0</v>
      </c>
      <c r="EG32" s="229">
        <v>0</v>
      </c>
      <c r="EH32" s="229">
        <v>0</v>
      </c>
      <c r="EI32" s="229">
        <v>0</v>
      </c>
      <c r="EJ32" s="229">
        <v>0</v>
      </c>
      <c r="EK32" s="231">
        <v>0</v>
      </c>
      <c r="EL32" s="227"/>
      <c r="EM32" s="216" t="s">
        <v>334</v>
      </c>
      <c r="EN32" s="227">
        <v>0</v>
      </c>
      <c r="EO32" s="228">
        <v>0</v>
      </c>
      <c r="EP32" s="229">
        <v>0</v>
      </c>
      <c r="EQ32" s="229">
        <v>0</v>
      </c>
      <c r="ER32" s="229">
        <v>0</v>
      </c>
      <c r="ES32" s="229">
        <v>0</v>
      </c>
      <c r="ET32" s="229">
        <v>0</v>
      </c>
      <c r="EU32" s="229">
        <v>0</v>
      </c>
      <c r="EV32" s="229">
        <v>0</v>
      </c>
      <c r="EW32" s="229">
        <v>0</v>
      </c>
      <c r="EX32" s="229">
        <v>0</v>
      </c>
      <c r="EY32" s="229">
        <v>0</v>
      </c>
      <c r="EZ32" s="229">
        <v>0</v>
      </c>
      <c r="FA32" s="229">
        <v>0</v>
      </c>
      <c r="FB32" s="229">
        <v>0</v>
      </c>
      <c r="FC32" s="229">
        <v>0</v>
      </c>
      <c r="FD32" s="229">
        <v>0</v>
      </c>
      <c r="FE32" s="229">
        <v>0</v>
      </c>
      <c r="FF32" s="229">
        <v>0</v>
      </c>
      <c r="FG32" s="229">
        <v>0</v>
      </c>
      <c r="FH32" s="231">
        <v>0</v>
      </c>
    </row>
    <row r="33" spans="2:164" x14ac:dyDescent="0.2">
      <c r="B33" s="217" t="s">
        <v>2</v>
      </c>
      <c r="C33" s="227">
        <v>13</v>
      </c>
      <c r="D33" s="228">
        <v>9</v>
      </c>
      <c r="E33" s="208">
        <v>2</v>
      </c>
      <c r="F33" s="208">
        <v>69</v>
      </c>
      <c r="G33" s="208">
        <v>3</v>
      </c>
      <c r="H33" s="208">
        <v>24</v>
      </c>
      <c r="I33" s="208">
        <v>4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138</v>
      </c>
      <c r="X33" s="209"/>
      <c r="Y33" s="217" t="s">
        <v>2</v>
      </c>
      <c r="Z33" s="227">
        <v>1361.3551942195325</v>
      </c>
      <c r="AA33" s="228">
        <v>1117.7756554693856</v>
      </c>
      <c r="AB33" s="208">
        <v>613.89053149503138</v>
      </c>
      <c r="AC33" s="208">
        <v>25937.787031855187</v>
      </c>
      <c r="AD33" s="255">
        <v>262.51429609350873</v>
      </c>
      <c r="AE33" s="208">
        <v>37252.342553264221</v>
      </c>
      <c r="AF33" s="208">
        <v>234.98601665898184</v>
      </c>
      <c r="AG33" s="208">
        <v>0</v>
      </c>
      <c r="AH33" s="208">
        <v>0</v>
      </c>
      <c r="AI33" s="208">
        <v>192.6064040853195</v>
      </c>
      <c r="AJ33" s="208">
        <v>840.51728073042409</v>
      </c>
      <c r="AK33" s="255">
        <v>1995.983180563682</v>
      </c>
      <c r="AL33" s="255">
        <v>0</v>
      </c>
      <c r="AM33" s="255">
        <v>0</v>
      </c>
      <c r="AN33" s="255">
        <v>0</v>
      </c>
      <c r="AO33" s="255">
        <v>31.514805373080339</v>
      </c>
      <c r="AP33" s="255">
        <v>0</v>
      </c>
      <c r="AQ33" s="208">
        <v>0</v>
      </c>
      <c r="AR33" s="208">
        <v>0</v>
      </c>
      <c r="AS33" s="208">
        <v>0</v>
      </c>
      <c r="AT33" s="222">
        <v>69841.27294980835</v>
      </c>
      <c r="AV33" s="217" t="s">
        <v>2</v>
      </c>
      <c r="AW33" s="227">
        <v>1361.3551942195325</v>
      </c>
      <c r="AX33" s="228">
        <v>1117.7756554693856</v>
      </c>
      <c r="AY33" s="208">
        <v>613.89053149503138</v>
      </c>
      <c r="AZ33" s="208">
        <v>25937.787031855187</v>
      </c>
      <c r="BA33" s="258">
        <v>0</v>
      </c>
      <c r="BB33" s="208">
        <v>37252.342553264221</v>
      </c>
      <c r="BC33" s="208">
        <v>234.98601665898184</v>
      </c>
      <c r="BD33" s="208">
        <v>0</v>
      </c>
      <c r="BE33" s="208">
        <v>0</v>
      </c>
      <c r="BF33" s="208">
        <v>192.6064040853195</v>
      </c>
      <c r="BG33" s="208">
        <v>840.51728073042409</v>
      </c>
      <c r="BH33" s="258">
        <v>0</v>
      </c>
      <c r="BI33" s="255">
        <v>0</v>
      </c>
      <c r="BJ33" s="255">
        <v>0</v>
      </c>
      <c r="BK33" s="255">
        <v>0</v>
      </c>
      <c r="BL33" s="258">
        <v>0</v>
      </c>
      <c r="BM33" s="255">
        <v>0</v>
      </c>
      <c r="BN33" s="208">
        <v>0</v>
      </c>
      <c r="BO33" s="208">
        <v>0</v>
      </c>
      <c r="BP33" s="208">
        <v>0</v>
      </c>
      <c r="BQ33" s="230">
        <f t="shared" si="2"/>
        <v>67551.260667778086</v>
      </c>
      <c r="BR33" s="214"/>
      <c r="BS33" s="227"/>
      <c r="BT33" s="217" t="s">
        <v>2</v>
      </c>
      <c r="BU33" s="227">
        <v>0</v>
      </c>
      <c r="BV33" s="228">
        <v>0</v>
      </c>
      <c r="BW33" s="208">
        <v>0</v>
      </c>
      <c r="BX33" s="208">
        <v>0</v>
      </c>
      <c r="BY33" s="208">
        <v>0</v>
      </c>
      <c r="BZ33" s="208">
        <v>0</v>
      </c>
      <c r="CA33" s="208">
        <v>0</v>
      </c>
      <c r="CB33" s="208">
        <v>0</v>
      </c>
      <c r="CC33" s="208">
        <v>0</v>
      </c>
      <c r="CD33" s="208">
        <v>0</v>
      </c>
      <c r="CE33" s="208">
        <v>0</v>
      </c>
      <c r="CF33" s="208">
        <v>0</v>
      </c>
      <c r="CG33" s="208">
        <v>0</v>
      </c>
      <c r="CH33" s="208">
        <v>0</v>
      </c>
      <c r="CI33" s="208">
        <v>0</v>
      </c>
      <c r="CJ33" s="208">
        <v>0</v>
      </c>
      <c r="CK33" s="208">
        <v>0</v>
      </c>
      <c r="CL33" s="208">
        <v>0</v>
      </c>
      <c r="CM33" s="208">
        <v>0</v>
      </c>
      <c r="CN33" s="208">
        <v>0</v>
      </c>
      <c r="CO33" s="222">
        <v>0</v>
      </c>
      <c r="CP33" s="227"/>
      <c r="CQ33" s="217" t="s">
        <v>2</v>
      </c>
      <c r="CR33" s="227">
        <v>0</v>
      </c>
      <c r="CS33" s="228">
        <v>0</v>
      </c>
      <c r="CT33" s="208">
        <v>0</v>
      </c>
      <c r="CU33" s="208">
        <v>0</v>
      </c>
      <c r="CV33" s="208">
        <v>0</v>
      </c>
      <c r="CW33" s="208">
        <v>0</v>
      </c>
      <c r="CX33" s="208">
        <v>0</v>
      </c>
      <c r="CY33" s="208">
        <v>0</v>
      </c>
      <c r="CZ33" s="208">
        <v>0</v>
      </c>
      <c r="DA33" s="208">
        <v>0</v>
      </c>
      <c r="DB33" s="208">
        <v>0</v>
      </c>
      <c r="DC33" s="208">
        <v>0</v>
      </c>
      <c r="DD33" s="208">
        <v>0</v>
      </c>
      <c r="DE33" s="208">
        <v>0</v>
      </c>
      <c r="DF33" s="208">
        <v>0</v>
      </c>
      <c r="DG33" s="208">
        <v>0</v>
      </c>
      <c r="DH33" s="208">
        <v>0</v>
      </c>
      <c r="DI33" s="208">
        <v>0</v>
      </c>
      <c r="DJ33" s="208">
        <v>0</v>
      </c>
      <c r="DK33" s="208">
        <v>0</v>
      </c>
      <c r="DL33" s="222">
        <v>0</v>
      </c>
      <c r="DM33" s="238"/>
      <c r="DN33" s="238"/>
      <c r="DO33" s="227"/>
      <c r="DP33" s="217" t="s">
        <v>2</v>
      </c>
      <c r="DQ33" s="227">
        <v>0</v>
      </c>
      <c r="DR33" s="228">
        <v>1</v>
      </c>
      <c r="DS33" s="208">
        <v>0</v>
      </c>
      <c r="DT33" s="208">
        <v>0</v>
      </c>
      <c r="DU33" s="208">
        <v>0</v>
      </c>
      <c r="DV33" s="208">
        <v>0</v>
      </c>
      <c r="DW33" s="208">
        <v>0</v>
      </c>
      <c r="DX33" s="208">
        <v>0</v>
      </c>
      <c r="DY33" s="208">
        <v>0</v>
      </c>
      <c r="DZ33" s="208">
        <v>0</v>
      </c>
      <c r="EA33" s="208">
        <v>0</v>
      </c>
      <c r="EB33" s="208">
        <v>0</v>
      </c>
      <c r="EC33" s="208">
        <v>0</v>
      </c>
      <c r="ED33" s="208">
        <v>0</v>
      </c>
      <c r="EE33" s="208">
        <v>0</v>
      </c>
      <c r="EF33" s="208">
        <v>0</v>
      </c>
      <c r="EG33" s="208">
        <v>0</v>
      </c>
      <c r="EH33" s="208">
        <v>0</v>
      </c>
      <c r="EI33" s="208">
        <v>0</v>
      </c>
      <c r="EJ33" s="208">
        <v>0</v>
      </c>
      <c r="EK33" s="222">
        <v>1</v>
      </c>
      <c r="EL33" s="228"/>
      <c r="EM33" s="217" t="s">
        <v>2</v>
      </c>
      <c r="EN33" s="227">
        <v>0</v>
      </c>
      <c r="EO33" s="228">
        <v>49.532031897337319</v>
      </c>
      <c r="EP33" s="208">
        <v>0</v>
      </c>
      <c r="EQ33" s="208">
        <v>0</v>
      </c>
      <c r="ER33" s="208">
        <v>0</v>
      </c>
      <c r="ES33" s="208">
        <v>0</v>
      </c>
      <c r="ET33" s="208">
        <v>0</v>
      </c>
      <c r="EU33" s="208">
        <v>0</v>
      </c>
      <c r="EV33" s="208">
        <v>0</v>
      </c>
      <c r="EW33" s="208">
        <v>0</v>
      </c>
      <c r="EX33" s="208">
        <v>0</v>
      </c>
      <c r="EY33" s="208">
        <v>0</v>
      </c>
      <c r="EZ33" s="208">
        <v>0</v>
      </c>
      <c r="FA33" s="208">
        <v>0</v>
      </c>
      <c r="FB33" s="208">
        <v>0</v>
      </c>
      <c r="FC33" s="208">
        <v>0</v>
      </c>
      <c r="FD33" s="208">
        <v>0</v>
      </c>
      <c r="FE33" s="208">
        <v>0</v>
      </c>
      <c r="FF33" s="208">
        <v>0</v>
      </c>
      <c r="FG33" s="208">
        <v>0</v>
      </c>
      <c r="FH33" s="222">
        <v>49.532031897337319</v>
      </c>
    </row>
    <row r="34" spans="2:164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67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74</v>
      </c>
      <c r="X34" s="209"/>
      <c r="Y34" s="217" t="s">
        <v>3</v>
      </c>
      <c r="Z34" s="254">
        <v>32.003009130924532</v>
      </c>
      <c r="AA34" s="254">
        <v>833.4686690432859</v>
      </c>
      <c r="AB34" s="255">
        <v>154.0183328774595</v>
      </c>
      <c r="AC34" s="255">
        <v>0</v>
      </c>
      <c r="AD34" s="208">
        <v>12180.053033041177</v>
      </c>
      <c r="AE34" s="255">
        <v>3148.6026032848504</v>
      </c>
      <c r="AF34" s="255">
        <v>0</v>
      </c>
      <c r="AG34" s="255">
        <v>0</v>
      </c>
      <c r="AH34" s="255">
        <v>0</v>
      </c>
      <c r="AI34" s="255">
        <v>0</v>
      </c>
      <c r="AJ34" s="255">
        <v>0</v>
      </c>
      <c r="AK34" s="255">
        <v>0</v>
      </c>
      <c r="AL34" s="255">
        <v>0</v>
      </c>
      <c r="AM34" s="255">
        <v>0</v>
      </c>
      <c r="AN34" s="255">
        <v>0</v>
      </c>
      <c r="AO34" s="255">
        <v>0</v>
      </c>
      <c r="AP34" s="255">
        <v>0</v>
      </c>
      <c r="AQ34" s="255">
        <v>0</v>
      </c>
      <c r="AR34" s="255">
        <v>0</v>
      </c>
      <c r="AS34" s="255">
        <v>0</v>
      </c>
      <c r="AT34" s="222">
        <v>16348.145647377698</v>
      </c>
      <c r="AV34" s="217" t="s">
        <v>3</v>
      </c>
      <c r="AW34" s="232">
        <v>0</v>
      </c>
      <c r="AX34" s="232">
        <v>0</v>
      </c>
      <c r="AY34" s="258">
        <v>0</v>
      </c>
      <c r="AZ34" s="255">
        <v>0</v>
      </c>
      <c r="BA34" s="208">
        <v>12180.053033041177</v>
      </c>
      <c r="BB34" s="258">
        <v>0</v>
      </c>
      <c r="BC34" s="255">
        <v>0</v>
      </c>
      <c r="BD34" s="255">
        <v>0</v>
      </c>
      <c r="BE34" s="255">
        <v>0</v>
      </c>
      <c r="BF34" s="255">
        <v>0</v>
      </c>
      <c r="BG34" s="255">
        <v>0</v>
      </c>
      <c r="BH34" s="255">
        <v>0</v>
      </c>
      <c r="BI34" s="255">
        <v>0</v>
      </c>
      <c r="BJ34" s="255">
        <v>0</v>
      </c>
      <c r="BK34" s="255">
        <v>0</v>
      </c>
      <c r="BL34" s="255">
        <v>0</v>
      </c>
      <c r="BM34" s="255">
        <v>0</v>
      </c>
      <c r="BN34" s="255">
        <v>0</v>
      </c>
      <c r="BO34" s="255">
        <v>0</v>
      </c>
      <c r="BP34" s="255">
        <v>0</v>
      </c>
      <c r="BQ34" s="230">
        <f t="shared" si="2"/>
        <v>12180.053033041177</v>
      </c>
      <c r="BR34" s="214"/>
      <c r="BS34" s="227"/>
      <c r="BT34" s="217" t="s">
        <v>3</v>
      </c>
      <c r="BU34" s="227">
        <v>0</v>
      </c>
      <c r="BV34" s="228">
        <v>0</v>
      </c>
      <c r="BW34" s="208">
        <v>0</v>
      </c>
      <c r="BX34" s="208">
        <v>0</v>
      </c>
      <c r="BY34" s="208">
        <v>0</v>
      </c>
      <c r="BZ34" s="208">
        <v>0</v>
      </c>
      <c r="CA34" s="208">
        <v>0</v>
      </c>
      <c r="CB34" s="208">
        <v>0</v>
      </c>
      <c r="CC34" s="208">
        <v>0</v>
      </c>
      <c r="CD34" s="208">
        <v>0</v>
      </c>
      <c r="CE34" s="208">
        <v>0</v>
      </c>
      <c r="CF34" s="208">
        <v>0</v>
      </c>
      <c r="CG34" s="208">
        <v>0</v>
      </c>
      <c r="CH34" s="208">
        <v>0</v>
      </c>
      <c r="CI34" s="208">
        <v>0</v>
      </c>
      <c r="CJ34" s="208">
        <v>0</v>
      </c>
      <c r="CK34" s="208">
        <v>0</v>
      </c>
      <c r="CL34" s="208">
        <v>0</v>
      </c>
      <c r="CM34" s="208">
        <v>0</v>
      </c>
      <c r="CN34" s="208">
        <v>0</v>
      </c>
      <c r="CO34" s="222">
        <v>0</v>
      </c>
      <c r="CP34" s="227"/>
      <c r="CQ34" s="217" t="s">
        <v>3</v>
      </c>
      <c r="CR34" s="227">
        <v>0</v>
      </c>
      <c r="CS34" s="228">
        <v>0</v>
      </c>
      <c r="CT34" s="208">
        <v>0</v>
      </c>
      <c r="CU34" s="208">
        <v>0</v>
      </c>
      <c r="CV34" s="208">
        <v>0</v>
      </c>
      <c r="CW34" s="208">
        <v>0</v>
      </c>
      <c r="CX34" s="208">
        <v>0</v>
      </c>
      <c r="CY34" s="208">
        <v>0</v>
      </c>
      <c r="CZ34" s="208">
        <v>0</v>
      </c>
      <c r="DA34" s="208">
        <v>0</v>
      </c>
      <c r="DB34" s="208">
        <v>0</v>
      </c>
      <c r="DC34" s="208">
        <v>0</v>
      </c>
      <c r="DD34" s="208">
        <v>0</v>
      </c>
      <c r="DE34" s="208">
        <v>0</v>
      </c>
      <c r="DF34" s="208">
        <v>0</v>
      </c>
      <c r="DG34" s="208">
        <v>0</v>
      </c>
      <c r="DH34" s="208">
        <v>0</v>
      </c>
      <c r="DI34" s="208">
        <v>0</v>
      </c>
      <c r="DJ34" s="208">
        <v>0</v>
      </c>
      <c r="DK34" s="208">
        <v>0</v>
      </c>
      <c r="DL34" s="222">
        <v>0</v>
      </c>
      <c r="DM34" s="214"/>
      <c r="DN34" s="214"/>
      <c r="DO34" s="227"/>
      <c r="DP34" s="217" t="s">
        <v>3</v>
      </c>
      <c r="DQ34" s="227">
        <v>0</v>
      </c>
      <c r="DR34" s="228">
        <v>0</v>
      </c>
      <c r="DS34" s="208">
        <v>0</v>
      </c>
      <c r="DT34" s="208">
        <v>0</v>
      </c>
      <c r="DU34" s="208">
        <v>2</v>
      </c>
      <c r="DV34" s="208">
        <v>0</v>
      </c>
      <c r="DW34" s="208">
        <v>0</v>
      </c>
      <c r="DX34" s="208">
        <v>0</v>
      </c>
      <c r="DY34" s="208">
        <v>0</v>
      </c>
      <c r="DZ34" s="208">
        <v>0</v>
      </c>
      <c r="EA34" s="208">
        <v>0</v>
      </c>
      <c r="EB34" s="208">
        <v>0</v>
      </c>
      <c r="EC34" s="208">
        <v>0</v>
      </c>
      <c r="ED34" s="208">
        <v>0</v>
      </c>
      <c r="EE34" s="208">
        <v>0</v>
      </c>
      <c r="EF34" s="208">
        <v>0</v>
      </c>
      <c r="EG34" s="208">
        <v>0</v>
      </c>
      <c r="EH34" s="208">
        <v>0</v>
      </c>
      <c r="EI34" s="208">
        <v>0</v>
      </c>
      <c r="EJ34" s="208">
        <v>0</v>
      </c>
      <c r="EK34" s="222">
        <v>2</v>
      </c>
      <c r="EL34" s="228"/>
      <c r="EM34" s="217" t="s">
        <v>3</v>
      </c>
      <c r="EN34" s="227">
        <v>0</v>
      </c>
      <c r="EO34" s="228">
        <v>0</v>
      </c>
      <c r="EP34" s="208">
        <v>0</v>
      </c>
      <c r="EQ34" s="208">
        <v>0</v>
      </c>
      <c r="ER34" s="208">
        <v>298.69842046008353</v>
      </c>
      <c r="ES34" s="208">
        <v>0</v>
      </c>
      <c r="ET34" s="208">
        <v>0</v>
      </c>
      <c r="EU34" s="208">
        <v>0</v>
      </c>
      <c r="EV34" s="208">
        <v>0</v>
      </c>
      <c r="EW34" s="208">
        <v>0</v>
      </c>
      <c r="EX34" s="208">
        <v>0</v>
      </c>
      <c r="EY34" s="208">
        <v>0</v>
      </c>
      <c r="EZ34" s="208">
        <v>0</v>
      </c>
      <c r="FA34" s="208">
        <v>0</v>
      </c>
      <c r="FB34" s="208">
        <v>0</v>
      </c>
      <c r="FC34" s="208">
        <v>0</v>
      </c>
      <c r="FD34" s="208">
        <v>0</v>
      </c>
      <c r="FE34" s="208">
        <v>0</v>
      </c>
      <c r="FF34" s="208">
        <v>0</v>
      </c>
      <c r="FG34" s="208">
        <v>0</v>
      </c>
      <c r="FH34" s="222">
        <v>298.69842046008353</v>
      </c>
    </row>
    <row r="35" spans="2:164" x14ac:dyDescent="0.2">
      <c r="B35" s="217" t="s">
        <v>335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34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42</v>
      </c>
      <c r="X35" s="209"/>
      <c r="Y35" s="217" t="s">
        <v>335</v>
      </c>
      <c r="Z35" s="227">
        <v>0</v>
      </c>
      <c r="AA35" s="228">
        <v>0</v>
      </c>
      <c r="AB35" s="255">
        <v>0</v>
      </c>
      <c r="AC35" s="208">
        <v>0</v>
      </c>
      <c r="AD35" s="208">
        <v>0</v>
      </c>
      <c r="AE35" s="208">
        <v>23840.107343534324</v>
      </c>
      <c r="AF35" s="208">
        <v>75.241878644025846</v>
      </c>
      <c r="AG35" s="208">
        <v>0</v>
      </c>
      <c r="AH35" s="208">
        <v>0</v>
      </c>
      <c r="AI35" s="208">
        <v>446.04221471675351</v>
      </c>
      <c r="AJ35" s="208">
        <v>85.365881186005453</v>
      </c>
      <c r="AK35" s="255">
        <v>3991.9663611273641</v>
      </c>
      <c r="AL35" s="255">
        <v>0</v>
      </c>
      <c r="AM35" s="255">
        <v>0</v>
      </c>
      <c r="AN35" s="255">
        <v>0</v>
      </c>
      <c r="AO35" s="255">
        <v>0</v>
      </c>
      <c r="AP35" s="255">
        <v>0</v>
      </c>
      <c r="AQ35" s="208">
        <v>0</v>
      </c>
      <c r="AR35" s="208">
        <v>0</v>
      </c>
      <c r="AS35" s="208">
        <v>0</v>
      </c>
      <c r="AT35" s="222">
        <v>28438.723679208473</v>
      </c>
      <c r="AV35" s="217" t="s">
        <v>335</v>
      </c>
      <c r="AW35" s="227">
        <v>0</v>
      </c>
      <c r="AX35" s="228">
        <v>0</v>
      </c>
      <c r="AY35" s="255">
        <v>0</v>
      </c>
      <c r="AZ35" s="208">
        <v>0</v>
      </c>
      <c r="BA35" s="208">
        <v>0</v>
      </c>
      <c r="BB35" s="208">
        <v>23840.107343534324</v>
      </c>
      <c r="BC35" s="208">
        <v>75.241878644025846</v>
      </c>
      <c r="BD35" s="208">
        <v>0</v>
      </c>
      <c r="BE35" s="208">
        <v>0</v>
      </c>
      <c r="BF35" s="208">
        <v>446.04221471675351</v>
      </c>
      <c r="BG35" s="208">
        <v>85.365881186005453</v>
      </c>
      <c r="BH35" s="258">
        <v>0</v>
      </c>
      <c r="BI35" s="255">
        <v>0</v>
      </c>
      <c r="BJ35" s="255">
        <v>0</v>
      </c>
      <c r="BK35" s="255">
        <v>0</v>
      </c>
      <c r="BL35" s="255">
        <v>0</v>
      </c>
      <c r="BM35" s="255">
        <v>0</v>
      </c>
      <c r="BN35" s="208">
        <v>0</v>
      </c>
      <c r="BO35" s="208">
        <v>0</v>
      </c>
      <c r="BP35" s="208">
        <v>0</v>
      </c>
      <c r="BQ35" s="230">
        <f t="shared" si="2"/>
        <v>24446.757318081105</v>
      </c>
      <c r="BR35" s="214"/>
      <c r="BS35" s="227"/>
      <c r="BT35" s="217" t="s">
        <v>335</v>
      </c>
      <c r="BU35" s="227">
        <v>0</v>
      </c>
      <c r="BV35" s="228">
        <v>0</v>
      </c>
      <c r="BW35" s="208">
        <v>0</v>
      </c>
      <c r="BX35" s="208">
        <v>0</v>
      </c>
      <c r="BY35" s="208">
        <v>0</v>
      </c>
      <c r="BZ35" s="208">
        <v>0</v>
      </c>
      <c r="CA35" s="208">
        <v>0</v>
      </c>
      <c r="CB35" s="208">
        <v>0</v>
      </c>
      <c r="CC35" s="208">
        <v>0</v>
      </c>
      <c r="CD35" s="208">
        <v>0</v>
      </c>
      <c r="CE35" s="208">
        <v>0</v>
      </c>
      <c r="CF35" s="208">
        <v>0</v>
      </c>
      <c r="CG35" s="208">
        <v>0</v>
      </c>
      <c r="CH35" s="208">
        <v>0</v>
      </c>
      <c r="CI35" s="208">
        <v>0</v>
      </c>
      <c r="CJ35" s="208">
        <v>0</v>
      </c>
      <c r="CK35" s="208">
        <v>0</v>
      </c>
      <c r="CL35" s="208">
        <v>0</v>
      </c>
      <c r="CM35" s="208">
        <v>0</v>
      </c>
      <c r="CN35" s="208">
        <v>0</v>
      </c>
      <c r="CO35" s="222">
        <v>0</v>
      </c>
      <c r="CP35" s="227"/>
      <c r="CQ35" s="217" t="s">
        <v>335</v>
      </c>
      <c r="CR35" s="227">
        <v>0</v>
      </c>
      <c r="CS35" s="228">
        <v>0</v>
      </c>
      <c r="CT35" s="208">
        <v>0</v>
      </c>
      <c r="CU35" s="208">
        <v>0</v>
      </c>
      <c r="CV35" s="208">
        <v>0</v>
      </c>
      <c r="CW35" s="208">
        <v>0</v>
      </c>
      <c r="CX35" s="208">
        <v>0</v>
      </c>
      <c r="CY35" s="208">
        <v>0</v>
      </c>
      <c r="CZ35" s="208">
        <v>0</v>
      </c>
      <c r="DA35" s="208">
        <v>0</v>
      </c>
      <c r="DB35" s="208">
        <v>0</v>
      </c>
      <c r="DC35" s="208">
        <v>0</v>
      </c>
      <c r="DD35" s="208">
        <v>0</v>
      </c>
      <c r="DE35" s="208">
        <v>0</v>
      </c>
      <c r="DF35" s="208">
        <v>0</v>
      </c>
      <c r="DG35" s="208">
        <v>0</v>
      </c>
      <c r="DH35" s="208">
        <v>0</v>
      </c>
      <c r="DI35" s="208">
        <v>0</v>
      </c>
      <c r="DJ35" s="208">
        <v>0</v>
      </c>
      <c r="DK35" s="208">
        <v>0</v>
      </c>
      <c r="DL35" s="222">
        <v>0</v>
      </c>
      <c r="DM35" s="214"/>
      <c r="DN35" s="214"/>
      <c r="DO35" s="227"/>
      <c r="DP35" s="217" t="s">
        <v>335</v>
      </c>
      <c r="DQ35" s="227">
        <v>0</v>
      </c>
      <c r="DR35" s="228">
        <v>0</v>
      </c>
      <c r="DS35" s="208">
        <v>0</v>
      </c>
      <c r="DT35" s="208">
        <v>0</v>
      </c>
      <c r="DU35" s="208">
        <v>0</v>
      </c>
      <c r="DV35" s="208">
        <v>0</v>
      </c>
      <c r="DW35" s="208">
        <v>0</v>
      </c>
      <c r="DX35" s="208">
        <v>0</v>
      </c>
      <c r="DY35" s="208">
        <v>0</v>
      </c>
      <c r="DZ35" s="208">
        <v>0</v>
      </c>
      <c r="EA35" s="208">
        <v>0</v>
      </c>
      <c r="EB35" s="208">
        <v>0</v>
      </c>
      <c r="EC35" s="208">
        <v>0</v>
      </c>
      <c r="ED35" s="208">
        <v>0</v>
      </c>
      <c r="EE35" s="208">
        <v>0</v>
      </c>
      <c r="EF35" s="208">
        <v>0</v>
      </c>
      <c r="EG35" s="208">
        <v>0</v>
      </c>
      <c r="EH35" s="208">
        <v>0</v>
      </c>
      <c r="EI35" s="208">
        <v>0</v>
      </c>
      <c r="EJ35" s="208">
        <v>0</v>
      </c>
      <c r="EK35" s="222">
        <v>0</v>
      </c>
      <c r="EL35" s="228"/>
      <c r="EM35" s="217" t="s">
        <v>335</v>
      </c>
      <c r="EN35" s="227">
        <v>0</v>
      </c>
      <c r="EO35" s="228">
        <v>0</v>
      </c>
      <c r="EP35" s="208">
        <v>0</v>
      </c>
      <c r="EQ35" s="208">
        <v>0</v>
      </c>
      <c r="ER35" s="208">
        <v>0</v>
      </c>
      <c r="ES35" s="208">
        <v>0</v>
      </c>
      <c r="ET35" s="208">
        <v>0</v>
      </c>
      <c r="EU35" s="208">
        <v>0</v>
      </c>
      <c r="EV35" s="208">
        <v>0</v>
      </c>
      <c r="EW35" s="208">
        <v>0</v>
      </c>
      <c r="EX35" s="208">
        <v>0</v>
      </c>
      <c r="EY35" s="208">
        <v>0</v>
      </c>
      <c r="EZ35" s="208">
        <v>0</v>
      </c>
      <c r="FA35" s="208">
        <v>0</v>
      </c>
      <c r="FB35" s="208">
        <v>0</v>
      </c>
      <c r="FC35" s="208">
        <v>0</v>
      </c>
      <c r="FD35" s="208">
        <v>0</v>
      </c>
      <c r="FE35" s="208">
        <v>0</v>
      </c>
      <c r="FF35" s="208">
        <v>0</v>
      </c>
      <c r="FG35" s="208">
        <v>0</v>
      </c>
      <c r="FH35" s="222">
        <v>0</v>
      </c>
    </row>
    <row r="36" spans="2:164" x14ac:dyDescent="0.2">
      <c r="B36" s="217" t="s">
        <v>362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13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13</v>
      </c>
      <c r="X36" s="210"/>
      <c r="Y36" s="217" t="s">
        <v>362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3431.1066550151259</v>
      </c>
      <c r="AG36" s="208">
        <v>0</v>
      </c>
      <c r="AH36" s="208">
        <v>0</v>
      </c>
      <c r="AI36" s="208">
        <v>0</v>
      </c>
      <c r="AJ36" s="208">
        <v>0</v>
      </c>
      <c r="AK36" s="255">
        <v>0</v>
      </c>
      <c r="AL36" s="255">
        <v>0</v>
      </c>
      <c r="AM36" s="255">
        <v>0</v>
      </c>
      <c r="AN36" s="255">
        <v>0</v>
      </c>
      <c r="AO36" s="255">
        <v>0</v>
      </c>
      <c r="AP36" s="255">
        <v>0</v>
      </c>
      <c r="AQ36" s="208">
        <v>0</v>
      </c>
      <c r="AR36" s="208">
        <v>0</v>
      </c>
      <c r="AS36" s="208">
        <v>0</v>
      </c>
      <c r="AT36" s="222">
        <v>3431.1066550151259</v>
      </c>
      <c r="AV36" s="217" t="s">
        <v>362</v>
      </c>
      <c r="AW36" s="227">
        <v>0</v>
      </c>
      <c r="AX36" s="228">
        <v>0</v>
      </c>
      <c r="AY36" s="208">
        <v>0</v>
      </c>
      <c r="AZ36" s="208">
        <v>0</v>
      </c>
      <c r="BA36" s="208">
        <v>0</v>
      </c>
      <c r="BB36" s="208">
        <v>0</v>
      </c>
      <c r="BC36" s="208">
        <v>3431.1066550151259</v>
      </c>
      <c r="BD36" s="208">
        <v>0</v>
      </c>
      <c r="BE36" s="208">
        <v>0</v>
      </c>
      <c r="BF36" s="208">
        <v>0</v>
      </c>
      <c r="BG36" s="208">
        <v>0</v>
      </c>
      <c r="BH36" s="255">
        <v>0</v>
      </c>
      <c r="BI36" s="255">
        <v>0</v>
      </c>
      <c r="BJ36" s="255">
        <v>0</v>
      </c>
      <c r="BK36" s="255">
        <v>0</v>
      </c>
      <c r="BL36" s="255">
        <v>0</v>
      </c>
      <c r="BM36" s="255">
        <v>0</v>
      </c>
      <c r="BN36" s="208">
        <v>0</v>
      </c>
      <c r="BO36" s="208">
        <v>0</v>
      </c>
      <c r="BP36" s="208">
        <v>0</v>
      </c>
      <c r="BQ36" s="230">
        <f t="shared" si="2"/>
        <v>3431.1066550151259</v>
      </c>
      <c r="BR36" s="214"/>
      <c r="BS36" s="227"/>
      <c r="BT36" s="217" t="s">
        <v>362</v>
      </c>
      <c r="BU36" s="227">
        <v>0</v>
      </c>
      <c r="BV36" s="228">
        <v>0</v>
      </c>
      <c r="BW36" s="208">
        <v>0</v>
      </c>
      <c r="BX36" s="208">
        <v>0</v>
      </c>
      <c r="BY36" s="208">
        <v>0</v>
      </c>
      <c r="BZ36" s="208">
        <v>0</v>
      </c>
      <c r="CA36" s="208">
        <v>0</v>
      </c>
      <c r="CB36" s="208">
        <v>0</v>
      </c>
      <c r="CC36" s="208">
        <v>0</v>
      </c>
      <c r="CD36" s="208">
        <v>0</v>
      </c>
      <c r="CE36" s="208">
        <v>0</v>
      </c>
      <c r="CF36" s="208">
        <v>0</v>
      </c>
      <c r="CG36" s="208">
        <v>0</v>
      </c>
      <c r="CH36" s="208">
        <v>0</v>
      </c>
      <c r="CI36" s="208">
        <v>0</v>
      </c>
      <c r="CJ36" s="208">
        <v>0</v>
      </c>
      <c r="CK36" s="208">
        <v>0</v>
      </c>
      <c r="CL36" s="208">
        <v>0</v>
      </c>
      <c r="CM36" s="208">
        <v>0</v>
      </c>
      <c r="CN36" s="208">
        <v>0</v>
      </c>
      <c r="CO36" s="222">
        <v>0</v>
      </c>
      <c r="CP36" s="227"/>
      <c r="CQ36" s="217" t="s">
        <v>362</v>
      </c>
      <c r="CR36" s="227">
        <v>0</v>
      </c>
      <c r="CS36" s="228">
        <v>0</v>
      </c>
      <c r="CT36" s="208">
        <v>0</v>
      </c>
      <c r="CU36" s="208">
        <v>0</v>
      </c>
      <c r="CV36" s="208">
        <v>0</v>
      </c>
      <c r="CW36" s="208">
        <v>0</v>
      </c>
      <c r="CX36" s="208">
        <v>0</v>
      </c>
      <c r="CY36" s="208">
        <v>0</v>
      </c>
      <c r="CZ36" s="208">
        <v>0</v>
      </c>
      <c r="DA36" s="208">
        <v>0</v>
      </c>
      <c r="DB36" s="208">
        <v>0</v>
      </c>
      <c r="DC36" s="208">
        <v>0</v>
      </c>
      <c r="DD36" s="208">
        <v>0</v>
      </c>
      <c r="DE36" s="208">
        <v>0</v>
      </c>
      <c r="DF36" s="208">
        <v>0</v>
      </c>
      <c r="DG36" s="208">
        <v>0</v>
      </c>
      <c r="DH36" s="208">
        <v>0</v>
      </c>
      <c r="DI36" s="208">
        <v>0</v>
      </c>
      <c r="DJ36" s="208">
        <v>0</v>
      </c>
      <c r="DK36" s="208">
        <v>0</v>
      </c>
      <c r="DL36" s="222">
        <v>0</v>
      </c>
      <c r="DM36" s="214"/>
      <c r="DN36" s="214"/>
      <c r="DO36" s="227"/>
      <c r="DP36" s="217" t="s">
        <v>362</v>
      </c>
      <c r="DQ36" s="227">
        <v>0</v>
      </c>
      <c r="DR36" s="228">
        <v>0</v>
      </c>
      <c r="DS36" s="208">
        <v>0</v>
      </c>
      <c r="DT36" s="208">
        <v>0</v>
      </c>
      <c r="DU36" s="208">
        <v>0</v>
      </c>
      <c r="DV36" s="208">
        <v>0</v>
      </c>
      <c r="DW36" s="208">
        <v>0</v>
      </c>
      <c r="DX36" s="208">
        <v>0</v>
      </c>
      <c r="DY36" s="208">
        <v>0</v>
      </c>
      <c r="DZ36" s="208">
        <v>0</v>
      </c>
      <c r="EA36" s="208">
        <v>0</v>
      </c>
      <c r="EB36" s="208">
        <v>0</v>
      </c>
      <c r="EC36" s="208">
        <v>0</v>
      </c>
      <c r="ED36" s="208">
        <v>0</v>
      </c>
      <c r="EE36" s="208">
        <v>0</v>
      </c>
      <c r="EF36" s="208">
        <v>0</v>
      </c>
      <c r="EG36" s="208">
        <v>0</v>
      </c>
      <c r="EH36" s="208">
        <v>0</v>
      </c>
      <c r="EI36" s="208">
        <v>0</v>
      </c>
      <c r="EJ36" s="208">
        <v>0</v>
      </c>
      <c r="EK36" s="222">
        <v>0</v>
      </c>
      <c r="EL36" s="228"/>
      <c r="EM36" s="217" t="s">
        <v>362</v>
      </c>
      <c r="EN36" s="227">
        <v>0</v>
      </c>
      <c r="EO36" s="228">
        <v>0</v>
      </c>
      <c r="EP36" s="208">
        <v>0</v>
      </c>
      <c r="EQ36" s="208">
        <v>0</v>
      </c>
      <c r="ER36" s="208">
        <v>0</v>
      </c>
      <c r="ES36" s="208">
        <v>0</v>
      </c>
      <c r="ET36" s="208">
        <v>0</v>
      </c>
      <c r="EU36" s="208">
        <v>0</v>
      </c>
      <c r="EV36" s="208">
        <v>0</v>
      </c>
      <c r="EW36" s="208">
        <v>0</v>
      </c>
      <c r="EX36" s="208">
        <v>0</v>
      </c>
      <c r="EY36" s="208">
        <v>0</v>
      </c>
      <c r="EZ36" s="208">
        <v>0</v>
      </c>
      <c r="FA36" s="208">
        <v>0</v>
      </c>
      <c r="FB36" s="208">
        <v>0</v>
      </c>
      <c r="FC36" s="208">
        <v>0</v>
      </c>
      <c r="FD36" s="208">
        <v>0</v>
      </c>
      <c r="FE36" s="208">
        <v>0</v>
      </c>
      <c r="FF36" s="208">
        <v>0</v>
      </c>
      <c r="FG36" s="208">
        <v>0</v>
      </c>
      <c r="FH36" s="222">
        <v>0</v>
      </c>
    </row>
    <row r="37" spans="2:164" x14ac:dyDescent="0.2">
      <c r="B37" s="217" t="s">
        <v>349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8"/>
      <c r="Y37" s="217" t="s">
        <v>349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55">
        <v>0</v>
      </c>
      <c r="AL37" s="255">
        <v>0</v>
      </c>
      <c r="AM37" s="255">
        <v>0</v>
      </c>
      <c r="AN37" s="255">
        <v>0</v>
      </c>
      <c r="AO37" s="255">
        <v>0</v>
      </c>
      <c r="AP37" s="255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349</v>
      </c>
      <c r="AW37" s="227">
        <v>0</v>
      </c>
      <c r="AX37" s="228">
        <v>0</v>
      </c>
      <c r="AY37" s="208">
        <v>0</v>
      </c>
      <c r="AZ37" s="208">
        <v>0</v>
      </c>
      <c r="BA37" s="208">
        <v>0</v>
      </c>
      <c r="BB37" s="208">
        <v>0</v>
      </c>
      <c r="BC37" s="208">
        <v>0</v>
      </c>
      <c r="BD37" s="208">
        <v>0</v>
      </c>
      <c r="BE37" s="208">
        <v>0</v>
      </c>
      <c r="BF37" s="208">
        <v>0</v>
      </c>
      <c r="BG37" s="208">
        <v>0</v>
      </c>
      <c r="BH37" s="255">
        <v>0</v>
      </c>
      <c r="BI37" s="255">
        <v>0</v>
      </c>
      <c r="BJ37" s="255">
        <v>0</v>
      </c>
      <c r="BK37" s="255">
        <v>0</v>
      </c>
      <c r="BL37" s="255">
        <v>0</v>
      </c>
      <c r="BM37" s="255">
        <v>0</v>
      </c>
      <c r="BN37" s="208">
        <v>0</v>
      </c>
      <c r="BO37" s="208">
        <v>0</v>
      </c>
      <c r="BP37" s="208">
        <v>0</v>
      </c>
      <c r="BQ37" s="230">
        <f t="shared" si="2"/>
        <v>0</v>
      </c>
      <c r="BR37" s="214"/>
      <c r="BS37" s="227"/>
      <c r="BT37" s="217" t="s">
        <v>349</v>
      </c>
      <c r="BU37" s="227">
        <v>0</v>
      </c>
      <c r="BV37" s="228">
        <v>0</v>
      </c>
      <c r="BW37" s="208">
        <v>0</v>
      </c>
      <c r="BX37" s="208">
        <v>0</v>
      </c>
      <c r="BY37" s="208">
        <v>0</v>
      </c>
      <c r="BZ37" s="208">
        <v>0</v>
      </c>
      <c r="CA37" s="208">
        <v>0</v>
      </c>
      <c r="CB37" s="208">
        <v>0</v>
      </c>
      <c r="CC37" s="208">
        <v>0</v>
      </c>
      <c r="CD37" s="208">
        <v>0</v>
      </c>
      <c r="CE37" s="208">
        <v>0</v>
      </c>
      <c r="CF37" s="208">
        <v>0</v>
      </c>
      <c r="CG37" s="208">
        <v>0</v>
      </c>
      <c r="CH37" s="208">
        <v>0</v>
      </c>
      <c r="CI37" s="208">
        <v>0</v>
      </c>
      <c r="CJ37" s="208">
        <v>0</v>
      </c>
      <c r="CK37" s="208">
        <v>0</v>
      </c>
      <c r="CL37" s="208">
        <v>0</v>
      </c>
      <c r="CM37" s="208">
        <v>0</v>
      </c>
      <c r="CN37" s="208">
        <v>0</v>
      </c>
      <c r="CO37" s="222">
        <v>0</v>
      </c>
      <c r="CP37" s="227"/>
      <c r="CQ37" s="217" t="s">
        <v>349</v>
      </c>
      <c r="CR37" s="227">
        <v>0</v>
      </c>
      <c r="CS37" s="228">
        <v>0</v>
      </c>
      <c r="CT37" s="208">
        <v>0</v>
      </c>
      <c r="CU37" s="208">
        <v>0</v>
      </c>
      <c r="CV37" s="208">
        <v>0</v>
      </c>
      <c r="CW37" s="208">
        <v>0</v>
      </c>
      <c r="CX37" s="208">
        <v>0</v>
      </c>
      <c r="CY37" s="208">
        <v>0</v>
      </c>
      <c r="CZ37" s="208">
        <v>0</v>
      </c>
      <c r="DA37" s="208">
        <v>0</v>
      </c>
      <c r="DB37" s="208">
        <v>0</v>
      </c>
      <c r="DC37" s="208">
        <v>0</v>
      </c>
      <c r="DD37" s="208">
        <v>0</v>
      </c>
      <c r="DE37" s="208">
        <v>0</v>
      </c>
      <c r="DF37" s="208">
        <v>0</v>
      </c>
      <c r="DG37" s="208">
        <v>0</v>
      </c>
      <c r="DH37" s="208">
        <v>0</v>
      </c>
      <c r="DI37" s="208">
        <v>0</v>
      </c>
      <c r="DJ37" s="208">
        <v>0</v>
      </c>
      <c r="DK37" s="208">
        <v>0</v>
      </c>
      <c r="DL37" s="222">
        <v>0</v>
      </c>
      <c r="DM37" s="214"/>
      <c r="DN37" s="214"/>
      <c r="DO37" s="227"/>
      <c r="DP37" s="217" t="s">
        <v>349</v>
      </c>
      <c r="DQ37" s="227">
        <v>0</v>
      </c>
      <c r="DR37" s="228">
        <v>0</v>
      </c>
      <c r="DS37" s="208">
        <v>0</v>
      </c>
      <c r="DT37" s="208">
        <v>0</v>
      </c>
      <c r="DU37" s="208">
        <v>0</v>
      </c>
      <c r="DV37" s="208">
        <v>0</v>
      </c>
      <c r="DW37" s="208">
        <v>0</v>
      </c>
      <c r="DX37" s="208">
        <v>0</v>
      </c>
      <c r="DY37" s="208">
        <v>0</v>
      </c>
      <c r="DZ37" s="208">
        <v>0</v>
      </c>
      <c r="EA37" s="208">
        <v>0</v>
      </c>
      <c r="EB37" s="208">
        <v>0</v>
      </c>
      <c r="EC37" s="208">
        <v>0</v>
      </c>
      <c r="ED37" s="208">
        <v>0</v>
      </c>
      <c r="EE37" s="208">
        <v>0</v>
      </c>
      <c r="EF37" s="208">
        <v>0</v>
      </c>
      <c r="EG37" s="208">
        <v>0</v>
      </c>
      <c r="EH37" s="208">
        <v>0</v>
      </c>
      <c r="EI37" s="208">
        <v>0</v>
      </c>
      <c r="EJ37" s="208">
        <v>0</v>
      </c>
      <c r="EK37" s="222">
        <v>0</v>
      </c>
      <c r="EL37" s="228"/>
      <c r="EM37" s="217" t="s">
        <v>349</v>
      </c>
      <c r="EN37" s="227">
        <v>0</v>
      </c>
      <c r="EO37" s="228">
        <v>0</v>
      </c>
      <c r="EP37" s="208">
        <v>0</v>
      </c>
      <c r="EQ37" s="208">
        <v>0</v>
      </c>
      <c r="ER37" s="208">
        <v>0</v>
      </c>
      <c r="ES37" s="208">
        <v>0</v>
      </c>
      <c r="ET37" s="208">
        <v>0</v>
      </c>
      <c r="EU37" s="208">
        <v>0</v>
      </c>
      <c r="EV37" s="208">
        <v>0</v>
      </c>
      <c r="EW37" s="208">
        <v>0</v>
      </c>
      <c r="EX37" s="208">
        <v>0</v>
      </c>
      <c r="EY37" s="208">
        <v>0</v>
      </c>
      <c r="EZ37" s="208">
        <v>0</v>
      </c>
      <c r="FA37" s="208">
        <v>0</v>
      </c>
      <c r="FB37" s="208">
        <v>0</v>
      </c>
      <c r="FC37" s="208">
        <v>0</v>
      </c>
      <c r="FD37" s="208">
        <v>0</v>
      </c>
      <c r="FE37" s="208">
        <v>0</v>
      </c>
      <c r="FF37" s="208">
        <v>0</v>
      </c>
      <c r="FG37" s="208">
        <v>0</v>
      </c>
      <c r="FH37" s="222">
        <v>0</v>
      </c>
    </row>
    <row r="38" spans="2:164" x14ac:dyDescent="0.2">
      <c r="B38" s="217" t="s">
        <v>337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0</v>
      </c>
      <c r="X38" s="209"/>
      <c r="Y38" s="217" t="s">
        <v>337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0</v>
      </c>
      <c r="AJ38" s="208">
        <v>0</v>
      </c>
      <c r="AK38" s="255">
        <v>0</v>
      </c>
      <c r="AL38" s="255">
        <v>0</v>
      </c>
      <c r="AM38" s="255">
        <v>0</v>
      </c>
      <c r="AN38" s="255">
        <v>0</v>
      </c>
      <c r="AO38" s="255">
        <v>0</v>
      </c>
      <c r="AP38" s="255">
        <v>0</v>
      </c>
      <c r="AQ38" s="208">
        <v>0</v>
      </c>
      <c r="AR38" s="208">
        <v>0</v>
      </c>
      <c r="AS38" s="208">
        <v>0</v>
      </c>
      <c r="AT38" s="222">
        <v>0</v>
      </c>
      <c r="AV38" s="217" t="s">
        <v>337</v>
      </c>
      <c r="AW38" s="227">
        <v>0</v>
      </c>
      <c r="AX38" s="228">
        <v>0</v>
      </c>
      <c r="AY38" s="208">
        <v>0</v>
      </c>
      <c r="AZ38" s="208">
        <v>0</v>
      </c>
      <c r="BA38" s="208">
        <v>0</v>
      </c>
      <c r="BB38" s="208">
        <v>0</v>
      </c>
      <c r="BC38" s="208">
        <v>0</v>
      </c>
      <c r="BD38" s="208">
        <v>0</v>
      </c>
      <c r="BE38" s="208">
        <v>0</v>
      </c>
      <c r="BF38" s="208">
        <v>0</v>
      </c>
      <c r="BG38" s="208">
        <v>0</v>
      </c>
      <c r="BH38" s="255">
        <v>0</v>
      </c>
      <c r="BI38" s="255">
        <v>0</v>
      </c>
      <c r="BJ38" s="255">
        <v>0</v>
      </c>
      <c r="BK38" s="255">
        <v>0</v>
      </c>
      <c r="BL38" s="255">
        <v>0</v>
      </c>
      <c r="BM38" s="255">
        <v>0</v>
      </c>
      <c r="BN38" s="208">
        <v>0</v>
      </c>
      <c r="BO38" s="208">
        <v>0</v>
      </c>
      <c r="BP38" s="208">
        <v>0</v>
      </c>
      <c r="BQ38" s="230">
        <f t="shared" si="2"/>
        <v>0</v>
      </c>
      <c r="BR38" s="214"/>
      <c r="BS38" s="227"/>
      <c r="BT38" s="217" t="s">
        <v>337</v>
      </c>
      <c r="BU38" s="227">
        <v>0</v>
      </c>
      <c r="BV38" s="228">
        <v>0</v>
      </c>
      <c r="BW38" s="208">
        <v>0</v>
      </c>
      <c r="BX38" s="208">
        <v>0</v>
      </c>
      <c r="BY38" s="208">
        <v>0</v>
      </c>
      <c r="BZ38" s="208">
        <v>0</v>
      </c>
      <c r="CA38" s="208">
        <v>0</v>
      </c>
      <c r="CB38" s="208">
        <v>0</v>
      </c>
      <c r="CC38" s="208">
        <v>0</v>
      </c>
      <c r="CD38" s="208">
        <v>0</v>
      </c>
      <c r="CE38" s="208">
        <v>0</v>
      </c>
      <c r="CF38" s="208">
        <v>0</v>
      </c>
      <c r="CG38" s="208">
        <v>0</v>
      </c>
      <c r="CH38" s="208">
        <v>0</v>
      </c>
      <c r="CI38" s="208">
        <v>0</v>
      </c>
      <c r="CJ38" s="208">
        <v>0</v>
      </c>
      <c r="CK38" s="208">
        <v>0</v>
      </c>
      <c r="CL38" s="208">
        <v>0</v>
      </c>
      <c r="CM38" s="208">
        <v>0</v>
      </c>
      <c r="CN38" s="208">
        <v>0</v>
      </c>
      <c r="CO38" s="222">
        <v>0</v>
      </c>
      <c r="CP38" s="227"/>
      <c r="CQ38" s="217" t="s">
        <v>337</v>
      </c>
      <c r="CR38" s="227">
        <v>0</v>
      </c>
      <c r="CS38" s="228">
        <v>0</v>
      </c>
      <c r="CT38" s="208">
        <v>0</v>
      </c>
      <c r="CU38" s="208">
        <v>0</v>
      </c>
      <c r="CV38" s="208">
        <v>0</v>
      </c>
      <c r="CW38" s="208">
        <v>0</v>
      </c>
      <c r="CX38" s="208">
        <v>0</v>
      </c>
      <c r="CY38" s="208">
        <v>0</v>
      </c>
      <c r="CZ38" s="208">
        <v>0</v>
      </c>
      <c r="DA38" s="208">
        <v>0</v>
      </c>
      <c r="DB38" s="208">
        <v>0</v>
      </c>
      <c r="DC38" s="208">
        <v>0</v>
      </c>
      <c r="DD38" s="208">
        <v>0</v>
      </c>
      <c r="DE38" s="208">
        <v>0</v>
      </c>
      <c r="DF38" s="208">
        <v>0</v>
      </c>
      <c r="DG38" s="208">
        <v>0</v>
      </c>
      <c r="DH38" s="208">
        <v>0</v>
      </c>
      <c r="DI38" s="208">
        <v>0</v>
      </c>
      <c r="DJ38" s="208">
        <v>0</v>
      </c>
      <c r="DK38" s="208">
        <v>0</v>
      </c>
      <c r="DL38" s="222">
        <v>0</v>
      </c>
      <c r="DM38" s="214"/>
      <c r="DN38" s="214"/>
      <c r="DO38" s="227"/>
      <c r="DP38" s="217" t="s">
        <v>337</v>
      </c>
      <c r="DQ38" s="227">
        <v>0</v>
      </c>
      <c r="DR38" s="228">
        <v>0</v>
      </c>
      <c r="DS38" s="208">
        <v>0</v>
      </c>
      <c r="DT38" s="208">
        <v>0</v>
      </c>
      <c r="DU38" s="208">
        <v>0</v>
      </c>
      <c r="DV38" s="208">
        <v>0</v>
      </c>
      <c r="DW38" s="208">
        <v>0</v>
      </c>
      <c r="DX38" s="208">
        <v>0</v>
      </c>
      <c r="DY38" s="208">
        <v>0</v>
      </c>
      <c r="DZ38" s="208">
        <v>0</v>
      </c>
      <c r="EA38" s="208">
        <v>0</v>
      </c>
      <c r="EB38" s="208">
        <v>0</v>
      </c>
      <c r="EC38" s="208">
        <v>0</v>
      </c>
      <c r="ED38" s="208">
        <v>0</v>
      </c>
      <c r="EE38" s="208">
        <v>0</v>
      </c>
      <c r="EF38" s="208">
        <v>0</v>
      </c>
      <c r="EG38" s="208">
        <v>0</v>
      </c>
      <c r="EH38" s="208">
        <v>0</v>
      </c>
      <c r="EI38" s="208">
        <v>0</v>
      </c>
      <c r="EJ38" s="208">
        <v>0</v>
      </c>
      <c r="EK38" s="222">
        <v>0</v>
      </c>
      <c r="EL38" s="228"/>
      <c r="EM38" s="217" t="s">
        <v>337</v>
      </c>
      <c r="EN38" s="227">
        <v>0</v>
      </c>
      <c r="EO38" s="228">
        <v>0</v>
      </c>
      <c r="EP38" s="208">
        <v>0</v>
      </c>
      <c r="EQ38" s="208">
        <v>0</v>
      </c>
      <c r="ER38" s="208">
        <v>0</v>
      </c>
      <c r="ES38" s="208">
        <v>0</v>
      </c>
      <c r="ET38" s="208">
        <v>0</v>
      </c>
      <c r="EU38" s="208">
        <v>0</v>
      </c>
      <c r="EV38" s="208">
        <v>0</v>
      </c>
      <c r="EW38" s="208">
        <v>0</v>
      </c>
      <c r="EX38" s="208">
        <v>0</v>
      </c>
      <c r="EY38" s="208">
        <v>0</v>
      </c>
      <c r="EZ38" s="208">
        <v>0</v>
      </c>
      <c r="FA38" s="208">
        <v>0</v>
      </c>
      <c r="FB38" s="208">
        <v>0</v>
      </c>
      <c r="FC38" s="208">
        <v>0</v>
      </c>
      <c r="FD38" s="208">
        <v>0</v>
      </c>
      <c r="FE38" s="208">
        <v>0</v>
      </c>
      <c r="FF38" s="208">
        <v>0</v>
      </c>
      <c r="FG38" s="208">
        <v>0</v>
      </c>
      <c r="FH38" s="222">
        <v>0</v>
      </c>
    </row>
    <row r="39" spans="2:164" x14ac:dyDescent="0.2">
      <c r="B39" s="217" t="s">
        <v>338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28</v>
      </c>
      <c r="M39" s="208">
        <v>0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28</v>
      </c>
      <c r="X39" s="209"/>
      <c r="Y39" s="217" t="s">
        <v>338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7318.0401038596519</v>
      </c>
      <c r="AJ39" s="208">
        <v>0</v>
      </c>
      <c r="AK39" s="255">
        <v>0</v>
      </c>
      <c r="AL39" s="255">
        <v>0</v>
      </c>
      <c r="AM39" s="255">
        <v>0</v>
      </c>
      <c r="AN39" s="255">
        <v>0</v>
      </c>
      <c r="AO39" s="255">
        <v>0</v>
      </c>
      <c r="AP39" s="255">
        <v>0</v>
      </c>
      <c r="AQ39" s="208">
        <v>0</v>
      </c>
      <c r="AR39" s="208">
        <v>0</v>
      </c>
      <c r="AS39" s="208">
        <v>0</v>
      </c>
      <c r="AT39" s="222">
        <v>7318.0401038596519</v>
      </c>
      <c r="AV39" s="217" t="s">
        <v>338</v>
      </c>
      <c r="AW39" s="227">
        <v>0</v>
      </c>
      <c r="AX39" s="228">
        <v>0</v>
      </c>
      <c r="AY39" s="208">
        <v>0</v>
      </c>
      <c r="AZ39" s="208">
        <v>0</v>
      </c>
      <c r="BA39" s="208">
        <v>0</v>
      </c>
      <c r="BB39" s="208">
        <v>0</v>
      </c>
      <c r="BC39" s="208">
        <v>0</v>
      </c>
      <c r="BD39" s="208">
        <v>0</v>
      </c>
      <c r="BE39" s="208">
        <v>0</v>
      </c>
      <c r="BF39" s="208">
        <v>7318.0401038596519</v>
      </c>
      <c r="BG39" s="208">
        <v>0</v>
      </c>
      <c r="BH39" s="255">
        <v>0</v>
      </c>
      <c r="BI39" s="255">
        <v>0</v>
      </c>
      <c r="BJ39" s="255">
        <v>0</v>
      </c>
      <c r="BK39" s="255">
        <v>0</v>
      </c>
      <c r="BL39" s="255">
        <v>0</v>
      </c>
      <c r="BM39" s="255">
        <v>0</v>
      </c>
      <c r="BN39" s="208">
        <v>0</v>
      </c>
      <c r="BO39" s="208">
        <v>0</v>
      </c>
      <c r="BP39" s="208">
        <v>0</v>
      </c>
      <c r="BQ39" s="230">
        <f t="shared" si="2"/>
        <v>7318.0401038596519</v>
      </c>
      <c r="BR39" s="214"/>
      <c r="BS39" s="227"/>
      <c r="BT39" s="217" t="s">
        <v>338</v>
      </c>
      <c r="BU39" s="227">
        <v>0</v>
      </c>
      <c r="BV39" s="228">
        <v>0</v>
      </c>
      <c r="BW39" s="208">
        <v>0</v>
      </c>
      <c r="BX39" s="208">
        <v>0</v>
      </c>
      <c r="BY39" s="208">
        <v>0</v>
      </c>
      <c r="BZ39" s="208">
        <v>0</v>
      </c>
      <c r="CA39" s="208">
        <v>0</v>
      </c>
      <c r="CB39" s="208">
        <v>0</v>
      </c>
      <c r="CC39" s="208">
        <v>0</v>
      </c>
      <c r="CD39" s="208">
        <v>0</v>
      </c>
      <c r="CE39" s="208">
        <v>0</v>
      </c>
      <c r="CF39" s="208">
        <v>0</v>
      </c>
      <c r="CG39" s="208">
        <v>0</v>
      </c>
      <c r="CH39" s="208">
        <v>0</v>
      </c>
      <c r="CI39" s="208">
        <v>0</v>
      </c>
      <c r="CJ39" s="208">
        <v>0</v>
      </c>
      <c r="CK39" s="208">
        <v>0</v>
      </c>
      <c r="CL39" s="208">
        <v>0</v>
      </c>
      <c r="CM39" s="208">
        <v>0</v>
      </c>
      <c r="CN39" s="208">
        <v>0</v>
      </c>
      <c r="CO39" s="222">
        <v>0</v>
      </c>
      <c r="CP39" s="227"/>
      <c r="CQ39" s="217" t="s">
        <v>338</v>
      </c>
      <c r="CR39" s="227">
        <v>0</v>
      </c>
      <c r="CS39" s="228">
        <v>0</v>
      </c>
      <c r="CT39" s="208">
        <v>0</v>
      </c>
      <c r="CU39" s="208">
        <v>0</v>
      </c>
      <c r="CV39" s="208">
        <v>0</v>
      </c>
      <c r="CW39" s="208">
        <v>0</v>
      </c>
      <c r="CX39" s="208">
        <v>0</v>
      </c>
      <c r="CY39" s="208">
        <v>0</v>
      </c>
      <c r="CZ39" s="208">
        <v>0</v>
      </c>
      <c r="DA39" s="208">
        <v>0</v>
      </c>
      <c r="DB39" s="208">
        <v>0</v>
      </c>
      <c r="DC39" s="208">
        <v>0</v>
      </c>
      <c r="DD39" s="208">
        <v>0</v>
      </c>
      <c r="DE39" s="208">
        <v>0</v>
      </c>
      <c r="DF39" s="208">
        <v>0</v>
      </c>
      <c r="DG39" s="208">
        <v>0</v>
      </c>
      <c r="DH39" s="208">
        <v>0</v>
      </c>
      <c r="DI39" s="208">
        <v>0</v>
      </c>
      <c r="DJ39" s="208">
        <v>0</v>
      </c>
      <c r="DK39" s="208">
        <v>0</v>
      </c>
      <c r="DL39" s="222">
        <v>0</v>
      </c>
      <c r="DM39" s="214"/>
      <c r="DN39" s="214"/>
      <c r="DO39" s="227"/>
      <c r="DP39" s="217" t="s">
        <v>338</v>
      </c>
      <c r="DQ39" s="227">
        <v>0</v>
      </c>
      <c r="DR39" s="228">
        <v>0</v>
      </c>
      <c r="DS39" s="208">
        <v>0</v>
      </c>
      <c r="DT39" s="208">
        <v>0</v>
      </c>
      <c r="DU39" s="208">
        <v>0</v>
      </c>
      <c r="DV39" s="208">
        <v>0</v>
      </c>
      <c r="DW39" s="208">
        <v>0</v>
      </c>
      <c r="DX39" s="208">
        <v>0</v>
      </c>
      <c r="DY39" s="208">
        <v>0</v>
      </c>
      <c r="DZ39" s="208">
        <v>0</v>
      </c>
      <c r="EA39" s="208">
        <v>0</v>
      </c>
      <c r="EB39" s="208">
        <v>0</v>
      </c>
      <c r="EC39" s="208">
        <v>0</v>
      </c>
      <c r="ED39" s="208">
        <v>0</v>
      </c>
      <c r="EE39" s="208">
        <v>0</v>
      </c>
      <c r="EF39" s="208">
        <v>0</v>
      </c>
      <c r="EG39" s="208">
        <v>0</v>
      </c>
      <c r="EH39" s="208">
        <v>0</v>
      </c>
      <c r="EI39" s="208">
        <v>0</v>
      </c>
      <c r="EJ39" s="208">
        <v>0</v>
      </c>
      <c r="EK39" s="222">
        <v>0</v>
      </c>
      <c r="EL39" s="228"/>
      <c r="EM39" s="217" t="s">
        <v>338</v>
      </c>
      <c r="EN39" s="227">
        <v>0</v>
      </c>
      <c r="EO39" s="228">
        <v>0</v>
      </c>
      <c r="EP39" s="208">
        <v>0</v>
      </c>
      <c r="EQ39" s="208">
        <v>0</v>
      </c>
      <c r="ER39" s="208">
        <v>0</v>
      </c>
      <c r="ES39" s="208">
        <v>0</v>
      </c>
      <c r="ET39" s="208">
        <v>0</v>
      </c>
      <c r="EU39" s="208">
        <v>0</v>
      </c>
      <c r="EV39" s="208">
        <v>0</v>
      </c>
      <c r="EW39" s="208">
        <v>0</v>
      </c>
      <c r="EX39" s="208">
        <v>0</v>
      </c>
      <c r="EY39" s="208">
        <v>0</v>
      </c>
      <c r="EZ39" s="208">
        <v>0</v>
      </c>
      <c r="FA39" s="208">
        <v>0</v>
      </c>
      <c r="FB39" s="208">
        <v>0</v>
      </c>
      <c r="FC39" s="208">
        <v>0</v>
      </c>
      <c r="FD39" s="208">
        <v>0</v>
      </c>
      <c r="FE39" s="208">
        <v>0</v>
      </c>
      <c r="FF39" s="208">
        <v>0</v>
      </c>
      <c r="FG39" s="208">
        <v>0</v>
      </c>
      <c r="FH39" s="222">
        <v>0</v>
      </c>
    </row>
    <row r="40" spans="2:164" x14ac:dyDescent="0.2">
      <c r="B40" s="217" t="s">
        <v>339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5</v>
      </c>
      <c r="N40" s="208">
        <v>0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5</v>
      </c>
      <c r="X40" s="209"/>
      <c r="Y40" s="217" t="s">
        <v>339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904.91508768235406</v>
      </c>
      <c r="AK40" s="255">
        <v>0</v>
      </c>
      <c r="AL40" s="255">
        <v>0</v>
      </c>
      <c r="AM40" s="255">
        <v>0</v>
      </c>
      <c r="AN40" s="255">
        <v>0</v>
      </c>
      <c r="AO40" s="255">
        <v>0</v>
      </c>
      <c r="AP40" s="255">
        <v>0</v>
      </c>
      <c r="AQ40" s="208">
        <v>0</v>
      </c>
      <c r="AR40" s="208">
        <v>0</v>
      </c>
      <c r="AS40" s="208">
        <v>0</v>
      </c>
      <c r="AT40" s="222">
        <v>904.91508768235406</v>
      </c>
      <c r="AV40" s="217" t="s">
        <v>339</v>
      </c>
      <c r="AW40" s="227">
        <v>0</v>
      </c>
      <c r="AX40" s="228">
        <v>0</v>
      </c>
      <c r="AY40" s="208">
        <v>0</v>
      </c>
      <c r="AZ40" s="208">
        <v>0</v>
      </c>
      <c r="BA40" s="208">
        <v>0</v>
      </c>
      <c r="BB40" s="208">
        <v>0</v>
      </c>
      <c r="BC40" s="208">
        <v>0</v>
      </c>
      <c r="BD40" s="208">
        <v>0</v>
      </c>
      <c r="BE40" s="208">
        <v>0</v>
      </c>
      <c r="BF40" s="208">
        <v>0</v>
      </c>
      <c r="BG40" s="208">
        <v>904.91508768235406</v>
      </c>
      <c r="BH40" s="255">
        <v>0</v>
      </c>
      <c r="BI40" s="255">
        <v>0</v>
      </c>
      <c r="BJ40" s="255">
        <v>0</v>
      </c>
      <c r="BK40" s="255">
        <v>0</v>
      </c>
      <c r="BL40" s="255">
        <v>0</v>
      </c>
      <c r="BM40" s="255">
        <v>0</v>
      </c>
      <c r="BN40" s="208">
        <v>0</v>
      </c>
      <c r="BO40" s="208">
        <v>0</v>
      </c>
      <c r="BP40" s="208">
        <v>0</v>
      </c>
      <c r="BQ40" s="230">
        <f t="shared" si="2"/>
        <v>904.91508768235406</v>
      </c>
      <c r="BR40" s="214"/>
      <c r="BS40" s="227"/>
      <c r="BT40" s="217" t="s">
        <v>339</v>
      </c>
      <c r="BU40" s="227">
        <v>0</v>
      </c>
      <c r="BV40" s="228">
        <v>0</v>
      </c>
      <c r="BW40" s="208">
        <v>0</v>
      </c>
      <c r="BX40" s="208">
        <v>0</v>
      </c>
      <c r="BY40" s="208">
        <v>0</v>
      </c>
      <c r="BZ40" s="208">
        <v>0</v>
      </c>
      <c r="CA40" s="208">
        <v>0</v>
      </c>
      <c r="CB40" s="208">
        <v>0</v>
      </c>
      <c r="CC40" s="208">
        <v>0</v>
      </c>
      <c r="CD40" s="208">
        <v>0</v>
      </c>
      <c r="CE40" s="208">
        <v>0</v>
      </c>
      <c r="CF40" s="208">
        <v>0</v>
      </c>
      <c r="CG40" s="208">
        <v>0</v>
      </c>
      <c r="CH40" s="208">
        <v>0</v>
      </c>
      <c r="CI40" s="208">
        <v>0</v>
      </c>
      <c r="CJ40" s="208">
        <v>0</v>
      </c>
      <c r="CK40" s="208">
        <v>0</v>
      </c>
      <c r="CL40" s="208">
        <v>0</v>
      </c>
      <c r="CM40" s="208">
        <v>0</v>
      </c>
      <c r="CN40" s="208">
        <v>0</v>
      </c>
      <c r="CO40" s="222">
        <v>0</v>
      </c>
      <c r="CP40" s="227"/>
      <c r="CQ40" s="217" t="s">
        <v>339</v>
      </c>
      <c r="CR40" s="227">
        <v>0</v>
      </c>
      <c r="CS40" s="228">
        <v>0</v>
      </c>
      <c r="CT40" s="208">
        <v>0</v>
      </c>
      <c r="CU40" s="208">
        <v>0</v>
      </c>
      <c r="CV40" s="208">
        <v>0</v>
      </c>
      <c r="CW40" s="208">
        <v>0</v>
      </c>
      <c r="CX40" s="208">
        <v>0</v>
      </c>
      <c r="CY40" s="208">
        <v>0</v>
      </c>
      <c r="CZ40" s="208">
        <v>0</v>
      </c>
      <c r="DA40" s="208">
        <v>0</v>
      </c>
      <c r="DB40" s="208">
        <v>0</v>
      </c>
      <c r="DC40" s="208">
        <v>0</v>
      </c>
      <c r="DD40" s="208">
        <v>0</v>
      </c>
      <c r="DE40" s="208">
        <v>0</v>
      </c>
      <c r="DF40" s="208">
        <v>0</v>
      </c>
      <c r="DG40" s="208">
        <v>0</v>
      </c>
      <c r="DH40" s="208">
        <v>0</v>
      </c>
      <c r="DI40" s="208">
        <v>0</v>
      </c>
      <c r="DJ40" s="208">
        <v>0</v>
      </c>
      <c r="DK40" s="208">
        <v>0</v>
      </c>
      <c r="DL40" s="222">
        <v>0</v>
      </c>
      <c r="DM40" s="214"/>
      <c r="DN40" s="214"/>
      <c r="DO40" s="227"/>
      <c r="DP40" s="217" t="s">
        <v>339</v>
      </c>
      <c r="DQ40" s="227">
        <v>0</v>
      </c>
      <c r="DR40" s="228">
        <v>0</v>
      </c>
      <c r="DS40" s="208">
        <v>0</v>
      </c>
      <c r="DT40" s="208">
        <v>0</v>
      </c>
      <c r="DU40" s="208">
        <v>0</v>
      </c>
      <c r="DV40" s="208">
        <v>0</v>
      </c>
      <c r="DW40" s="208">
        <v>0</v>
      </c>
      <c r="DX40" s="208">
        <v>0</v>
      </c>
      <c r="DY40" s="208">
        <v>0</v>
      </c>
      <c r="DZ40" s="208">
        <v>0</v>
      </c>
      <c r="EA40" s="208">
        <v>0</v>
      </c>
      <c r="EB40" s="208">
        <v>0</v>
      </c>
      <c r="EC40" s="208">
        <v>0</v>
      </c>
      <c r="ED40" s="208">
        <v>0</v>
      </c>
      <c r="EE40" s="208">
        <v>0</v>
      </c>
      <c r="EF40" s="208">
        <v>0</v>
      </c>
      <c r="EG40" s="208">
        <v>0</v>
      </c>
      <c r="EH40" s="208">
        <v>0</v>
      </c>
      <c r="EI40" s="208">
        <v>0</v>
      </c>
      <c r="EJ40" s="208">
        <v>0</v>
      </c>
      <c r="EK40" s="222">
        <v>0</v>
      </c>
      <c r="EL40" s="228"/>
      <c r="EM40" s="217" t="s">
        <v>339</v>
      </c>
      <c r="EN40" s="227">
        <v>0</v>
      </c>
      <c r="EO40" s="228">
        <v>0</v>
      </c>
      <c r="EP40" s="208">
        <v>0</v>
      </c>
      <c r="EQ40" s="208">
        <v>0</v>
      </c>
      <c r="ER40" s="208">
        <v>0</v>
      </c>
      <c r="ES40" s="208">
        <v>0</v>
      </c>
      <c r="ET40" s="208">
        <v>0</v>
      </c>
      <c r="EU40" s="208">
        <v>0</v>
      </c>
      <c r="EV40" s="208">
        <v>0</v>
      </c>
      <c r="EW40" s="208">
        <v>0</v>
      </c>
      <c r="EX40" s="208">
        <v>0</v>
      </c>
      <c r="EY40" s="208">
        <v>0</v>
      </c>
      <c r="EZ40" s="208">
        <v>0</v>
      </c>
      <c r="FA40" s="208">
        <v>0</v>
      </c>
      <c r="FB40" s="208">
        <v>0</v>
      </c>
      <c r="FC40" s="208">
        <v>0</v>
      </c>
      <c r="FD40" s="208">
        <v>0</v>
      </c>
      <c r="FE40" s="208">
        <v>0</v>
      </c>
      <c r="FF40" s="208">
        <v>0</v>
      </c>
      <c r="FG40" s="208">
        <v>0</v>
      </c>
      <c r="FH40" s="222">
        <v>0</v>
      </c>
    </row>
    <row r="41" spans="2:164" x14ac:dyDescent="0.2">
      <c r="B41" s="217" t="s">
        <v>340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1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1</v>
      </c>
      <c r="Y41" s="217" t="s">
        <v>340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55">
        <v>0</v>
      </c>
      <c r="AF41" s="255">
        <v>0</v>
      </c>
      <c r="AG41" s="255">
        <v>0</v>
      </c>
      <c r="AH41" s="255">
        <v>0</v>
      </c>
      <c r="AI41" s="255">
        <v>0</v>
      </c>
      <c r="AJ41" s="255">
        <v>0</v>
      </c>
      <c r="AK41" s="208">
        <v>1995.983180563682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1995.983180563682</v>
      </c>
      <c r="AV41" s="217" t="s">
        <v>340</v>
      </c>
      <c r="AW41" s="227">
        <v>0</v>
      </c>
      <c r="AX41" s="228">
        <v>0</v>
      </c>
      <c r="AY41" s="208">
        <v>0</v>
      </c>
      <c r="AZ41" s="208">
        <v>0</v>
      </c>
      <c r="BA41" s="208">
        <v>0</v>
      </c>
      <c r="BB41" s="255">
        <v>0</v>
      </c>
      <c r="BC41" s="255">
        <v>0</v>
      </c>
      <c r="BD41" s="255">
        <v>0</v>
      </c>
      <c r="BE41" s="255">
        <v>0</v>
      </c>
      <c r="BF41" s="255">
        <v>0</v>
      </c>
      <c r="BG41" s="255">
        <v>0</v>
      </c>
      <c r="BH41" s="208">
        <v>1995.983180563682</v>
      </c>
      <c r="BI41" s="208">
        <v>0</v>
      </c>
      <c r="BJ41" s="208">
        <v>0</v>
      </c>
      <c r="BK41" s="208">
        <v>0</v>
      </c>
      <c r="BL41" s="208">
        <v>0</v>
      </c>
      <c r="BM41" s="208">
        <v>0</v>
      </c>
      <c r="BN41" s="208">
        <v>0</v>
      </c>
      <c r="BO41" s="208">
        <v>0</v>
      </c>
      <c r="BP41" s="208">
        <v>0</v>
      </c>
      <c r="BQ41" s="230">
        <f t="shared" si="2"/>
        <v>1995.983180563682</v>
      </c>
      <c r="BR41" s="214"/>
      <c r="BS41" s="227"/>
      <c r="BT41" s="217" t="s">
        <v>340</v>
      </c>
      <c r="BU41" s="227">
        <v>0</v>
      </c>
      <c r="BV41" s="228">
        <v>0</v>
      </c>
      <c r="BW41" s="208">
        <v>0</v>
      </c>
      <c r="BX41" s="208">
        <v>0</v>
      </c>
      <c r="BY41" s="208">
        <v>0</v>
      </c>
      <c r="BZ41" s="208">
        <v>0</v>
      </c>
      <c r="CA41" s="208">
        <v>0</v>
      </c>
      <c r="CB41" s="208">
        <v>0</v>
      </c>
      <c r="CC41" s="208">
        <v>0</v>
      </c>
      <c r="CD41" s="208">
        <v>0</v>
      </c>
      <c r="CE41" s="208">
        <v>0</v>
      </c>
      <c r="CF41" s="208">
        <v>0</v>
      </c>
      <c r="CG41" s="208">
        <v>0</v>
      </c>
      <c r="CH41" s="208">
        <v>0</v>
      </c>
      <c r="CI41" s="208">
        <v>0</v>
      </c>
      <c r="CJ41" s="208">
        <v>0</v>
      </c>
      <c r="CK41" s="208">
        <v>0</v>
      </c>
      <c r="CL41" s="208">
        <v>0</v>
      </c>
      <c r="CM41" s="208">
        <v>0</v>
      </c>
      <c r="CN41" s="208">
        <v>0</v>
      </c>
      <c r="CO41" s="222">
        <v>0</v>
      </c>
      <c r="CP41" s="227"/>
      <c r="CQ41" s="217" t="s">
        <v>340</v>
      </c>
      <c r="CR41" s="227">
        <v>0</v>
      </c>
      <c r="CS41" s="228">
        <v>0</v>
      </c>
      <c r="CT41" s="208">
        <v>0</v>
      </c>
      <c r="CU41" s="208">
        <v>0</v>
      </c>
      <c r="CV41" s="208">
        <v>0</v>
      </c>
      <c r="CW41" s="208">
        <v>0</v>
      </c>
      <c r="CX41" s="208">
        <v>0</v>
      </c>
      <c r="CY41" s="208">
        <v>0</v>
      </c>
      <c r="CZ41" s="208">
        <v>0</v>
      </c>
      <c r="DA41" s="208">
        <v>0</v>
      </c>
      <c r="DB41" s="208">
        <v>0</v>
      </c>
      <c r="DC41" s="208">
        <v>0</v>
      </c>
      <c r="DD41" s="208">
        <v>0</v>
      </c>
      <c r="DE41" s="208">
        <v>0</v>
      </c>
      <c r="DF41" s="208">
        <v>0</v>
      </c>
      <c r="DG41" s="208">
        <v>0</v>
      </c>
      <c r="DH41" s="208">
        <v>0</v>
      </c>
      <c r="DI41" s="208">
        <v>0</v>
      </c>
      <c r="DJ41" s="208">
        <v>0</v>
      </c>
      <c r="DK41" s="208">
        <v>0</v>
      </c>
      <c r="DL41" s="222">
        <v>0</v>
      </c>
      <c r="DM41" s="214"/>
      <c r="DN41" s="214"/>
      <c r="DO41" s="227"/>
      <c r="DP41" s="217" t="s">
        <v>340</v>
      </c>
      <c r="DQ41" s="227">
        <v>0</v>
      </c>
      <c r="DR41" s="228">
        <v>0</v>
      </c>
      <c r="DS41" s="208">
        <v>0</v>
      </c>
      <c r="DT41" s="208">
        <v>0</v>
      </c>
      <c r="DU41" s="208">
        <v>0</v>
      </c>
      <c r="DV41" s="208">
        <v>0</v>
      </c>
      <c r="DW41" s="208">
        <v>0</v>
      </c>
      <c r="DX41" s="208">
        <v>0</v>
      </c>
      <c r="DY41" s="208">
        <v>0</v>
      </c>
      <c r="DZ41" s="208">
        <v>0</v>
      </c>
      <c r="EA41" s="208">
        <v>0</v>
      </c>
      <c r="EB41" s="208">
        <v>0</v>
      </c>
      <c r="EC41" s="208">
        <v>0</v>
      </c>
      <c r="ED41" s="208">
        <v>0</v>
      </c>
      <c r="EE41" s="208">
        <v>0</v>
      </c>
      <c r="EF41" s="208">
        <v>0</v>
      </c>
      <c r="EG41" s="208">
        <v>0</v>
      </c>
      <c r="EH41" s="208">
        <v>0</v>
      </c>
      <c r="EI41" s="208">
        <v>0</v>
      </c>
      <c r="EJ41" s="208">
        <v>0</v>
      </c>
      <c r="EK41" s="222">
        <v>0</v>
      </c>
      <c r="EL41" s="228"/>
      <c r="EM41" s="217" t="s">
        <v>340</v>
      </c>
      <c r="EN41" s="227">
        <v>0</v>
      </c>
      <c r="EO41" s="228">
        <v>0</v>
      </c>
      <c r="EP41" s="208">
        <v>0</v>
      </c>
      <c r="EQ41" s="208">
        <v>0</v>
      </c>
      <c r="ER41" s="208">
        <v>0</v>
      </c>
      <c r="ES41" s="208">
        <v>0</v>
      </c>
      <c r="ET41" s="208">
        <v>0</v>
      </c>
      <c r="EU41" s="208">
        <v>0</v>
      </c>
      <c r="EV41" s="208">
        <v>0</v>
      </c>
      <c r="EW41" s="208">
        <v>0</v>
      </c>
      <c r="EX41" s="208">
        <v>0</v>
      </c>
      <c r="EY41" s="208">
        <v>0</v>
      </c>
      <c r="EZ41" s="208">
        <v>0</v>
      </c>
      <c r="FA41" s="208">
        <v>0</v>
      </c>
      <c r="FB41" s="208">
        <v>0</v>
      </c>
      <c r="FC41" s="208">
        <v>0</v>
      </c>
      <c r="FD41" s="208">
        <v>0</v>
      </c>
      <c r="FE41" s="208">
        <v>0</v>
      </c>
      <c r="FF41" s="208">
        <v>0</v>
      </c>
      <c r="FG41" s="208">
        <v>0</v>
      </c>
      <c r="FH41" s="222">
        <v>0</v>
      </c>
    </row>
    <row r="42" spans="2:164" x14ac:dyDescent="0.2">
      <c r="B42" s="217" t="s">
        <v>361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361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55">
        <v>0</v>
      </c>
      <c r="AF42" s="255">
        <v>0</v>
      </c>
      <c r="AG42" s="255">
        <v>0</v>
      </c>
      <c r="AH42" s="255">
        <v>0</v>
      </c>
      <c r="AI42" s="255">
        <v>0</v>
      </c>
      <c r="AJ42" s="255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361</v>
      </c>
      <c r="AW42" s="227">
        <v>0</v>
      </c>
      <c r="AX42" s="228">
        <v>0</v>
      </c>
      <c r="AY42" s="208">
        <v>0</v>
      </c>
      <c r="AZ42" s="208">
        <v>0</v>
      </c>
      <c r="BA42" s="208">
        <v>0</v>
      </c>
      <c r="BB42" s="255">
        <v>0</v>
      </c>
      <c r="BC42" s="255">
        <v>0</v>
      </c>
      <c r="BD42" s="255">
        <v>0</v>
      </c>
      <c r="BE42" s="255">
        <v>0</v>
      </c>
      <c r="BF42" s="255">
        <v>0</v>
      </c>
      <c r="BG42" s="255">
        <v>0</v>
      </c>
      <c r="BH42" s="208">
        <v>0</v>
      </c>
      <c r="BI42" s="208">
        <v>0</v>
      </c>
      <c r="BJ42" s="208">
        <v>0</v>
      </c>
      <c r="BK42" s="208">
        <v>0</v>
      </c>
      <c r="BL42" s="208">
        <v>0</v>
      </c>
      <c r="BM42" s="208">
        <v>0</v>
      </c>
      <c r="BN42" s="208">
        <v>0</v>
      </c>
      <c r="BO42" s="208">
        <v>0</v>
      </c>
      <c r="BP42" s="208">
        <v>0</v>
      </c>
      <c r="BQ42" s="230">
        <f t="shared" si="2"/>
        <v>0</v>
      </c>
      <c r="BR42" s="214"/>
      <c r="BS42" s="227"/>
      <c r="BT42" s="217" t="s">
        <v>361</v>
      </c>
      <c r="BU42" s="227">
        <v>0</v>
      </c>
      <c r="BV42" s="228">
        <v>0</v>
      </c>
      <c r="BW42" s="208">
        <v>0</v>
      </c>
      <c r="BX42" s="208">
        <v>0</v>
      </c>
      <c r="BY42" s="208">
        <v>0</v>
      </c>
      <c r="BZ42" s="208">
        <v>0</v>
      </c>
      <c r="CA42" s="208">
        <v>0</v>
      </c>
      <c r="CB42" s="208">
        <v>0</v>
      </c>
      <c r="CC42" s="208">
        <v>0</v>
      </c>
      <c r="CD42" s="208">
        <v>0</v>
      </c>
      <c r="CE42" s="208">
        <v>0</v>
      </c>
      <c r="CF42" s="208">
        <v>0</v>
      </c>
      <c r="CG42" s="208">
        <v>0</v>
      </c>
      <c r="CH42" s="208">
        <v>0</v>
      </c>
      <c r="CI42" s="208">
        <v>0</v>
      </c>
      <c r="CJ42" s="208">
        <v>0</v>
      </c>
      <c r="CK42" s="208">
        <v>0</v>
      </c>
      <c r="CL42" s="208">
        <v>0</v>
      </c>
      <c r="CM42" s="208">
        <v>0</v>
      </c>
      <c r="CN42" s="208">
        <v>0</v>
      </c>
      <c r="CO42" s="222">
        <v>0</v>
      </c>
      <c r="CP42" s="227"/>
      <c r="CQ42" s="217" t="s">
        <v>361</v>
      </c>
      <c r="CR42" s="227">
        <v>0</v>
      </c>
      <c r="CS42" s="228">
        <v>0</v>
      </c>
      <c r="CT42" s="208">
        <v>0</v>
      </c>
      <c r="CU42" s="208">
        <v>0</v>
      </c>
      <c r="CV42" s="208">
        <v>0</v>
      </c>
      <c r="CW42" s="208">
        <v>0</v>
      </c>
      <c r="CX42" s="208">
        <v>0</v>
      </c>
      <c r="CY42" s="208">
        <v>0</v>
      </c>
      <c r="CZ42" s="208">
        <v>0</v>
      </c>
      <c r="DA42" s="208">
        <v>0</v>
      </c>
      <c r="DB42" s="208">
        <v>0</v>
      </c>
      <c r="DC42" s="208">
        <v>0</v>
      </c>
      <c r="DD42" s="208">
        <v>0</v>
      </c>
      <c r="DE42" s="208">
        <v>0</v>
      </c>
      <c r="DF42" s="208">
        <v>0</v>
      </c>
      <c r="DG42" s="208">
        <v>0</v>
      </c>
      <c r="DH42" s="208">
        <v>0</v>
      </c>
      <c r="DI42" s="208">
        <v>0</v>
      </c>
      <c r="DJ42" s="208">
        <v>0</v>
      </c>
      <c r="DK42" s="208">
        <v>0</v>
      </c>
      <c r="DL42" s="222">
        <v>0</v>
      </c>
      <c r="DM42" s="214"/>
      <c r="DN42" s="214"/>
      <c r="DO42" s="227"/>
      <c r="DP42" s="217" t="s">
        <v>361</v>
      </c>
      <c r="DQ42" s="227">
        <v>0</v>
      </c>
      <c r="DR42" s="228">
        <v>0</v>
      </c>
      <c r="DS42" s="208">
        <v>0</v>
      </c>
      <c r="DT42" s="208">
        <v>0</v>
      </c>
      <c r="DU42" s="208">
        <v>0</v>
      </c>
      <c r="DV42" s="208">
        <v>0</v>
      </c>
      <c r="DW42" s="208">
        <v>0</v>
      </c>
      <c r="DX42" s="208">
        <v>0</v>
      </c>
      <c r="DY42" s="208">
        <v>0</v>
      </c>
      <c r="DZ42" s="208">
        <v>0</v>
      </c>
      <c r="EA42" s="208">
        <v>0</v>
      </c>
      <c r="EB42" s="208">
        <v>0</v>
      </c>
      <c r="EC42" s="208">
        <v>0</v>
      </c>
      <c r="ED42" s="208">
        <v>0</v>
      </c>
      <c r="EE42" s="208">
        <v>0</v>
      </c>
      <c r="EF42" s="208">
        <v>0</v>
      </c>
      <c r="EG42" s="208">
        <v>0</v>
      </c>
      <c r="EH42" s="208">
        <v>0</v>
      </c>
      <c r="EI42" s="208">
        <v>0</v>
      </c>
      <c r="EJ42" s="208">
        <v>0</v>
      </c>
      <c r="EK42" s="222">
        <v>0</v>
      </c>
      <c r="EL42" s="228"/>
      <c r="EM42" s="217" t="s">
        <v>361</v>
      </c>
      <c r="EN42" s="227">
        <v>0</v>
      </c>
      <c r="EO42" s="228">
        <v>0</v>
      </c>
      <c r="EP42" s="208">
        <v>0</v>
      </c>
      <c r="EQ42" s="208">
        <v>0</v>
      </c>
      <c r="ER42" s="208">
        <v>0</v>
      </c>
      <c r="ES42" s="208">
        <v>0</v>
      </c>
      <c r="ET42" s="208">
        <v>0</v>
      </c>
      <c r="EU42" s="208">
        <v>0</v>
      </c>
      <c r="EV42" s="208">
        <v>0</v>
      </c>
      <c r="EW42" s="208">
        <v>0</v>
      </c>
      <c r="EX42" s="208">
        <v>0</v>
      </c>
      <c r="EY42" s="208">
        <v>0</v>
      </c>
      <c r="EZ42" s="208">
        <v>0</v>
      </c>
      <c r="FA42" s="208">
        <v>0</v>
      </c>
      <c r="FB42" s="208">
        <v>0</v>
      </c>
      <c r="FC42" s="208">
        <v>0</v>
      </c>
      <c r="FD42" s="208">
        <v>0</v>
      </c>
      <c r="FE42" s="208">
        <v>0</v>
      </c>
      <c r="FF42" s="208">
        <v>0</v>
      </c>
      <c r="FG42" s="208">
        <v>0</v>
      </c>
      <c r="FH42" s="222">
        <v>0</v>
      </c>
    </row>
    <row r="43" spans="2:164" x14ac:dyDescent="0.2">
      <c r="B43" s="234" t="s">
        <v>350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0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0</v>
      </c>
      <c r="S43" s="208">
        <v>0</v>
      </c>
      <c r="T43" s="208">
        <v>0</v>
      </c>
      <c r="U43" s="208">
        <v>0</v>
      </c>
      <c r="V43" s="208">
        <v>0</v>
      </c>
      <c r="W43" s="222">
        <v>0</v>
      </c>
      <c r="X43" s="208"/>
      <c r="Y43" s="217" t="s">
        <v>350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55">
        <v>0</v>
      </c>
      <c r="AF43" s="255">
        <v>0</v>
      </c>
      <c r="AG43" s="255">
        <v>0</v>
      </c>
      <c r="AH43" s="255">
        <v>0</v>
      </c>
      <c r="AI43" s="255">
        <v>0</v>
      </c>
      <c r="AJ43" s="255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0</v>
      </c>
      <c r="AP43" s="208">
        <v>0</v>
      </c>
      <c r="AQ43" s="208">
        <v>0</v>
      </c>
      <c r="AR43" s="208">
        <v>0</v>
      </c>
      <c r="AS43" s="208">
        <v>0</v>
      </c>
      <c r="AT43" s="222">
        <v>0</v>
      </c>
      <c r="AV43" s="217" t="s">
        <v>350</v>
      </c>
      <c r="AW43" s="227">
        <v>0</v>
      </c>
      <c r="AX43" s="228">
        <v>0</v>
      </c>
      <c r="AY43" s="208">
        <v>0</v>
      </c>
      <c r="AZ43" s="208">
        <v>0</v>
      </c>
      <c r="BA43" s="208">
        <v>0</v>
      </c>
      <c r="BB43" s="255">
        <v>0</v>
      </c>
      <c r="BC43" s="255">
        <v>0</v>
      </c>
      <c r="BD43" s="255">
        <v>0</v>
      </c>
      <c r="BE43" s="255">
        <v>0</v>
      </c>
      <c r="BF43" s="255">
        <v>0</v>
      </c>
      <c r="BG43" s="255">
        <v>0</v>
      </c>
      <c r="BH43" s="208">
        <v>0</v>
      </c>
      <c r="BI43" s="208">
        <v>0</v>
      </c>
      <c r="BJ43" s="208">
        <v>0</v>
      </c>
      <c r="BK43" s="208">
        <v>0</v>
      </c>
      <c r="BL43" s="208">
        <v>0</v>
      </c>
      <c r="BM43" s="208">
        <v>0</v>
      </c>
      <c r="BN43" s="208">
        <v>0</v>
      </c>
      <c r="BO43" s="208">
        <v>0</v>
      </c>
      <c r="BP43" s="208">
        <v>0</v>
      </c>
      <c r="BQ43" s="230">
        <f t="shared" si="2"/>
        <v>0</v>
      </c>
      <c r="BR43" s="214"/>
      <c r="BS43" s="227"/>
      <c r="BT43" s="234" t="s">
        <v>350</v>
      </c>
      <c r="BU43" s="227">
        <v>0</v>
      </c>
      <c r="BV43" s="228">
        <v>0</v>
      </c>
      <c r="BW43" s="208">
        <v>0</v>
      </c>
      <c r="BX43" s="208">
        <v>0</v>
      </c>
      <c r="BY43" s="208">
        <v>0</v>
      </c>
      <c r="BZ43" s="208">
        <v>0</v>
      </c>
      <c r="CA43" s="208">
        <v>0</v>
      </c>
      <c r="CB43" s="208">
        <v>0</v>
      </c>
      <c r="CC43" s="208">
        <v>0</v>
      </c>
      <c r="CD43" s="208">
        <v>0</v>
      </c>
      <c r="CE43" s="208">
        <v>0</v>
      </c>
      <c r="CF43" s="208">
        <v>0</v>
      </c>
      <c r="CG43" s="208">
        <v>0</v>
      </c>
      <c r="CH43" s="208">
        <v>0</v>
      </c>
      <c r="CI43" s="208">
        <v>0</v>
      </c>
      <c r="CJ43" s="208">
        <v>0</v>
      </c>
      <c r="CK43" s="208">
        <v>0</v>
      </c>
      <c r="CL43" s="208">
        <v>0</v>
      </c>
      <c r="CM43" s="208">
        <v>0</v>
      </c>
      <c r="CN43" s="208">
        <v>0</v>
      </c>
      <c r="CO43" s="222">
        <v>0</v>
      </c>
      <c r="CP43" s="227"/>
      <c r="CQ43" s="234" t="s">
        <v>350</v>
      </c>
      <c r="CR43" s="227">
        <v>0</v>
      </c>
      <c r="CS43" s="228">
        <v>0</v>
      </c>
      <c r="CT43" s="208">
        <v>0</v>
      </c>
      <c r="CU43" s="208">
        <v>0</v>
      </c>
      <c r="CV43" s="208">
        <v>0</v>
      </c>
      <c r="CW43" s="208">
        <v>0</v>
      </c>
      <c r="CX43" s="208">
        <v>0</v>
      </c>
      <c r="CY43" s="208">
        <v>0</v>
      </c>
      <c r="CZ43" s="208">
        <v>0</v>
      </c>
      <c r="DA43" s="208">
        <v>0</v>
      </c>
      <c r="DB43" s="208">
        <v>0</v>
      </c>
      <c r="DC43" s="208">
        <v>0</v>
      </c>
      <c r="DD43" s="208">
        <v>0</v>
      </c>
      <c r="DE43" s="208">
        <v>0</v>
      </c>
      <c r="DF43" s="208">
        <v>0</v>
      </c>
      <c r="DG43" s="208">
        <v>0</v>
      </c>
      <c r="DH43" s="208">
        <v>0</v>
      </c>
      <c r="DI43" s="208">
        <v>0</v>
      </c>
      <c r="DJ43" s="208">
        <v>0</v>
      </c>
      <c r="DK43" s="208">
        <v>0</v>
      </c>
      <c r="DL43" s="222">
        <v>0</v>
      </c>
      <c r="DM43" s="214"/>
      <c r="DN43" s="214"/>
      <c r="DO43" s="227"/>
      <c r="DP43" s="234" t="s">
        <v>350</v>
      </c>
      <c r="DQ43" s="227">
        <v>0</v>
      </c>
      <c r="DR43" s="228">
        <v>0</v>
      </c>
      <c r="DS43" s="208">
        <v>0</v>
      </c>
      <c r="DT43" s="208">
        <v>0</v>
      </c>
      <c r="DU43" s="208">
        <v>0</v>
      </c>
      <c r="DV43" s="208">
        <v>0</v>
      </c>
      <c r="DW43" s="208">
        <v>0</v>
      </c>
      <c r="DX43" s="208">
        <v>0</v>
      </c>
      <c r="DY43" s="208">
        <v>0</v>
      </c>
      <c r="DZ43" s="208">
        <v>0</v>
      </c>
      <c r="EA43" s="208">
        <v>0</v>
      </c>
      <c r="EB43" s="208">
        <v>0</v>
      </c>
      <c r="EC43" s="208">
        <v>0</v>
      </c>
      <c r="ED43" s="208">
        <v>0</v>
      </c>
      <c r="EE43" s="208">
        <v>0</v>
      </c>
      <c r="EF43" s="208">
        <v>0</v>
      </c>
      <c r="EG43" s="208">
        <v>0</v>
      </c>
      <c r="EH43" s="208">
        <v>0</v>
      </c>
      <c r="EI43" s="208">
        <v>0</v>
      </c>
      <c r="EJ43" s="208">
        <v>0</v>
      </c>
      <c r="EK43" s="222">
        <v>0</v>
      </c>
      <c r="EL43" s="228"/>
      <c r="EM43" s="234" t="s">
        <v>350</v>
      </c>
      <c r="EN43" s="227">
        <v>0</v>
      </c>
      <c r="EO43" s="228">
        <v>0</v>
      </c>
      <c r="EP43" s="208">
        <v>0</v>
      </c>
      <c r="EQ43" s="208">
        <v>0</v>
      </c>
      <c r="ER43" s="208">
        <v>0</v>
      </c>
      <c r="ES43" s="208">
        <v>0</v>
      </c>
      <c r="ET43" s="208">
        <v>0</v>
      </c>
      <c r="EU43" s="208">
        <v>0</v>
      </c>
      <c r="EV43" s="208">
        <v>0</v>
      </c>
      <c r="EW43" s="208">
        <v>0</v>
      </c>
      <c r="EX43" s="208">
        <v>0</v>
      </c>
      <c r="EY43" s="208">
        <v>0</v>
      </c>
      <c r="EZ43" s="208">
        <v>0</v>
      </c>
      <c r="FA43" s="208">
        <v>0</v>
      </c>
      <c r="FB43" s="208">
        <v>0</v>
      </c>
      <c r="FC43" s="208">
        <v>0</v>
      </c>
      <c r="FD43" s="208">
        <v>0</v>
      </c>
      <c r="FE43" s="208">
        <v>0</v>
      </c>
      <c r="FF43" s="208">
        <v>0</v>
      </c>
      <c r="FG43" s="208">
        <v>0</v>
      </c>
      <c r="FH43" s="222">
        <v>0</v>
      </c>
    </row>
    <row r="44" spans="2:164" x14ac:dyDescent="0.2">
      <c r="B44" s="217" t="s">
        <v>341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0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0</v>
      </c>
      <c r="Y44" s="217" t="s">
        <v>341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55">
        <v>0</v>
      </c>
      <c r="AF44" s="255">
        <v>0</v>
      </c>
      <c r="AG44" s="255">
        <v>0</v>
      </c>
      <c r="AH44" s="255">
        <v>0</v>
      </c>
      <c r="AI44" s="255">
        <v>0</v>
      </c>
      <c r="AJ44" s="255">
        <v>0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0</v>
      </c>
      <c r="AV44" s="217" t="s">
        <v>341</v>
      </c>
      <c r="AW44" s="227">
        <v>0</v>
      </c>
      <c r="AX44" s="228">
        <v>0</v>
      </c>
      <c r="AY44" s="208">
        <v>0</v>
      </c>
      <c r="AZ44" s="208">
        <v>0</v>
      </c>
      <c r="BA44" s="208">
        <v>0</v>
      </c>
      <c r="BB44" s="255">
        <v>0</v>
      </c>
      <c r="BC44" s="255">
        <v>0</v>
      </c>
      <c r="BD44" s="255">
        <v>0</v>
      </c>
      <c r="BE44" s="255">
        <v>0</v>
      </c>
      <c r="BF44" s="255">
        <v>0</v>
      </c>
      <c r="BG44" s="255">
        <v>0</v>
      </c>
      <c r="BH44" s="208">
        <v>0</v>
      </c>
      <c r="BI44" s="208">
        <v>0</v>
      </c>
      <c r="BJ44" s="208">
        <v>0</v>
      </c>
      <c r="BK44" s="208">
        <v>0</v>
      </c>
      <c r="BL44" s="208">
        <v>0</v>
      </c>
      <c r="BM44" s="208">
        <v>0</v>
      </c>
      <c r="BN44" s="208">
        <v>0</v>
      </c>
      <c r="BO44" s="208">
        <v>0</v>
      </c>
      <c r="BP44" s="208">
        <v>0</v>
      </c>
      <c r="BQ44" s="230">
        <f t="shared" si="2"/>
        <v>0</v>
      </c>
      <c r="BR44" s="214"/>
      <c r="BS44" s="227"/>
      <c r="BT44" s="217" t="s">
        <v>341</v>
      </c>
      <c r="BU44" s="227">
        <v>0</v>
      </c>
      <c r="BV44" s="228">
        <v>0</v>
      </c>
      <c r="BW44" s="208">
        <v>0</v>
      </c>
      <c r="BX44" s="208">
        <v>0</v>
      </c>
      <c r="BY44" s="208">
        <v>0</v>
      </c>
      <c r="BZ44" s="208">
        <v>0</v>
      </c>
      <c r="CA44" s="208">
        <v>0</v>
      </c>
      <c r="CB44" s="208">
        <v>0</v>
      </c>
      <c r="CC44" s="208">
        <v>0</v>
      </c>
      <c r="CD44" s="208">
        <v>0</v>
      </c>
      <c r="CE44" s="208">
        <v>0</v>
      </c>
      <c r="CF44" s="208">
        <v>0</v>
      </c>
      <c r="CG44" s="208">
        <v>0</v>
      </c>
      <c r="CH44" s="208">
        <v>0</v>
      </c>
      <c r="CI44" s="208">
        <v>0</v>
      </c>
      <c r="CJ44" s="208">
        <v>0</v>
      </c>
      <c r="CK44" s="208">
        <v>0</v>
      </c>
      <c r="CL44" s="208">
        <v>0</v>
      </c>
      <c r="CM44" s="208">
        <v>0</v>
      </c>
      <c r="CN44" s="208">
        <v>0</v>
      </c>
      <c r="CO44" s="222">
        <v>0</v>
      </c>
      <c r="CP44" s="227"/>
      <c r="CQ44" s="217" t="s">
        <v>341</v>
      </c>
      <c r="CR44" s="227">
        <v>0</v>
      </c>
      <c r="CS44" s="228">
        <v>0</v>
      </c>
      <c r="CT44" s="208">
        <v>0</v>
      </c>
      <c r="CU44" s="208">
        <v>0</v>
      </c>
      <c r="CV44" s="208">
        <v>0</v>
      </c>
      <c r="CW44" s="208">
        <v>0</v>
      </c>
      <c r="CX44" s="208">
        <v>0</v>
      </c>
      <c r="CY44" s="208">
        <v>0</v>
      </c>
      <c r="CZ44" s="208">
        <v>0</v>
      </c>
      <c r="DA44" s="208">
        <v>0</v>
      </c>
      <c r="DB44" s="208">
        <v>0</v>
      </c>
      <c r="DC44" s="208">
        <v>0</v>
      </c>
      <c r="DD44" s="208">
        <v>0</v>
      </c>
      <c r="DE44" s="208">
        <v>0</v>
      </c>
      <c r="DF44" s="208">
        <v>0</v>
      </c>
      <c r="DG44" s="208">
        <v>0</v>
      </c>
      <c r="DH44" s="208">
        <v>0</v>
      </c>
      <c r="DI44" s="208">
        <v>0</v>
      </c>
      <c r="DJ44" s="208">
        <v>0</v>
      </c>
      <c r="DK44" s="208">
        <v>0</v>
      </c>
      <c r="DL44" s="222">
        <v>0</v>
      </c>
      <c r="DM44" s="214"/>
      <c r="DN44" s="214"/>
      <c r="DO44" s="227"/>
      <c r="DP44" s="217" t="s">
        <v>341</v>
      </c>
      <c r="DQ44" s="227">
        <v>0</v>
      </c>
      <c r="DR44" s="228">
        <v>0</v>
      </c>
      <c r="DS44" s="208">
        <v>0</v>
      </c>
      <c r="DT44" s="208">
        <v>0</v>
      </c>
      <c r="DU44" s="208">
        <v>0</v>
      </c>
      <c r="DV44" s="208">
        <v>0</v>
      </c>
      <c r="DW44" s="208">
        <v>0</v>
      </c>
      <c r="DX44" s="208">
        <v>0</v>
      </c>
      <c r="DY44" s="208">
        <v>0</v>
      </c>
      <c r="DZ44" s="208">
        <v>0</v>
      </c>
      <c r="EA44" s="208">
        <v>0</v>
      </c>
      <c r="EB44" s="208">
        <v>0</v>
      </c>
      <c r="EC44" s="208">
        <v>0</v>
      </c>
      <c r="ED44" s="208">
        <v>0</v>
      </c>
      <c r="EE44" s="208">
        <v>0</v>
      </c>
      <c r="EF44" s="208">
        <v>0</v>
      </c>
      <c r="EG44" s="208">
        <v>0</v>
      </c>
      <c r="EH44" s="208">
        <v>0</v>
      </c>
      <c r="EI44" s="208">
        <v>0</v>
      </c>
      <c r="EJ44" s="208">
        <v>0</v>
      </c>
      <c r="EK44" s="222">
        <v>0</v>
      </c>
      <c r="EL44" s="228"/>
      <c r="EM44" s="217" t="s">
        <v>341</v>
      </c>
      <c r="EN44" s="227">
        <v>0</v>
      </c>
      <c r="EO44" s="228">
        <v>0</v>
      </c>
      <c r="EP44" s="208">
        <v>0</v>
      </c>
      <c r="EQ44" s="208">
        <v>0</v>
      </c>
      <c r="ER44" s="208">
        <v>0</v>
      </c>
      <c r="ES44" s="208">
        <v>0</v>
      </c>
      <c r="ET44" s="208">
        <v>0</v>
      </c>
      <c r="EU44" s="208">
        <v>0</v>
      </c>
      <c r="EV44" s="208">
        <v>0</v>
      </c>
      <c r="EW44" s="208">
        <v>0</v>
      </c>
      <c r="EX44" s="208">
        <v>0</v>
      </c>
      <c r="EY44" s="208">
        <v>0</v>
      </c>
      <c r="EZ44" s="208">
        <v>0</v>
      </c>
      <c r="FA44" s="208">
        <v>0</v>
      </c>
      <c r="FB44" s="208">
        <v>0</v>
      </c>
      <c r="FC44" s="208">
        <v>0</v>
      </c>
      <c r="FD44" s="208">
        <v>0</v>
      </c>
      <c r="FE44" s="208">
        <v>0</v>
      </c>
      <c r="FF44" s="208">
        <v>0</v>
      </c>
      <c r="FG44" s="208">
        <v>0</v>
      </c>
      <c r="FH44" s="222">
        <v>0</v>
      </c>
    </row>
    <row r="45" spans="2:164" x14ac:dyDescent="0.2">
      <c r="B45" s="217" t="s">
        <v>342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2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2</v>
      </c>
      <c r="S45" s="208">
        <v>0</v>
      </c>
      <c r="T45" s="208">
        <v>0</v>
      </c>
      <c r="U45" s="208">
        <v>0</v>
      </c>
      <c r="V45" s="208">
        <v>0</v>
      </c>
      <c r="W45" s="222">
        <v>4</v>
      </c>
      <c r="X45" s="207"/>
      <c r="Y45" s="217" t="s">
        <v>342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55">
        <v>0</v>
      </c>
      <c r="AF45" s="255">
        <v>0</v>
      </c>
      <c r="AG45" s="255">
        <v>0</v>
      </c>
      <c r="AH45" s="255">
        <v>0</v>
      </c>
      <c r="AI45" s="255">
        <v>221.50388308649164</v>
      </c>
      <c r="AJ45" s="255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47.46338885770011</v>
      </c>
      <c r="AP45" s="208">
        <v>0</v>
      </c>
      <c r="AQ45" s="208">
        <v>0</v>
      </c>
      <c r="AR45" s="208">
        <v>0</v>
      </c>
      <c r="AS45" s="208">
        <v>0</v>
      </c>
      <c r="AT45" s="222">
        <v>268.96727194419174</v>
      </c>
      <c r="AV45" s="217" t="s">
        <v>342</v>
      </c>
      <c r="AW45" s="227">
        <v>0</v>
      </c>
      <c r="AX45" s="228">
        <v>0</v>
      </c>
      <c r="AY45" s="208">
        <v>0</v>
      </c>
      <c r="AZ45" s="208">
        <v>0</v>
      </c>
      <c r="BA45" s="208">
        <v>0</v>
      </c>
      <c r="BB45" s="255">
        <v>0</v>
      </c>
      <c r="BC45" s="255">
        <v>0</v>
      </c>
      <c r="BD45" s="255">
        <v>0</v>
      </c>
      <c r="BE45" s="255">
        <v>0</v>
      </c>
      <c r="BF45" s="258">
        <v>0</v>
      </c>
      <c r="BG45" s="255">
        <v>0</v>
      </c>
      <c r="BH45" s="208">
        <v>0</v>
      </c>
      <c r="BI45" s="208">
        <v>0</v>
      </c>
      <c r="BJ45" s="208">
        <v>0</v>
      </c>
      <c r="BK45" s="208">
        <v>0</v>
      </c>
      <c r="BL45" s="208">
        <v>47.46338885770011</v>
      </c>
      <c r="BM45" s="208">
        <v>0</v>
      </c>
      <c r="BN45" s="208">
        <v>0</v>
      </c>
      <c r="BO45" s="208">
        <v>0</v>
      </c>
      <c r="BP45" s="208">
        <v>0</v>
      </c>
      <c r="BQ45" s="230">
        <f t="shared" si="2"/>
        <v>47.46338885770011</v>
      </c>
      <c r="BR45" s="214"/>
      <c r="BS45" s="227"/>
      <c r="BT45" s="217" t="s">
        <v>342</v>
      </c>
      <c r="BU45" s="227">
        <v>0</v>
      </c>
      <c r="BV45" s="228">
        <v>0</v>
      </c>
      <c r="BW45" s="208">
        <v>0</v>
      </c>
      <c r="BX45" s="208">
        <v>0</v>
      </c>
      <c r="BY45" s="208">
        <v>0</v>
      </c>
      <c r="BZ45" s="208">
        <v>0</v>
      </c>
      <c r="CA45" s="208">
        <v>0</v>
      </c>
      <c r="CB45" s="208">
        <v>0</v>
      </c>
      <c r="CC45" s="208">
        <v>0</v>
      </c>
      <c r="CD45" s="208">
        <v>0</v>
      </c>
      <c r="CE45" s="208">
        <v>0</v>
      </c>
      <c r="CF45" s="208">
        <v>0</v>
      </c>
      <c r="CG45" s="208">
        <v>0</v>
      </c>
      <c r="CH45" s="208">
        <v>0</v>
      </c>
      <c r="CI45" s="208">
        <v>0</v>
      </c>
      <c r="CJ45" s="208">
        <v>1</v>
      </c>
      <c r="CK45" s="208">
        <v>0</v>
      </c>
      <c r="CL45" s="208">
        <v>0</v>
      </c>
      <c r="CM45" s="208">
        <v>0</v>
      </c>
      <c r="CN45" s="208">
        <v>0</v>
      </c>
      <c r="CO45" s="222">
        <v>1</v>
      </c>
      <c r="CP45" s="227"/>
      <c r="CQ45" s="217" t="s">
        <v>342</v>
      </c>
      <c r="CR45" s="227">
        <v>0</v>
      </c>
      <c r="CS45" s="228">
        <v>0</v>
      </c>
      <c r="CT45" s="208">
        <v>0</v>
      </c>
      <c r="CU45" s="208">
        <v>0</v>
      </c>
      <c r="CV45" s="208">
        <v>0</v>
      </c>
      <c r="CW45" s="208">
        <v>0</v>
      </c>
      <c r="CX45" s="208">
        <v>0</v>
      </c>
      <c r="CY45" s="208">
        <v>0</v>
      </c>
      <c r="CZ45" s="208">
        <v>0</v>
      </c>
      <c r="DA45" s="208">
        <v>0</v>
      </c>
      <c r="DB45" s="208">
        <v>0</v>
      </c>
      <c r="DC45" s="208">
        <v>0</v>
      </c>
      <c r="DD45" s="208">
        <v>0</v>
      </c>
      <c r="DE45" s="208">
        <v>0</v>
      </c>
      <c r="DF45" s="208">
        <v>0</v>
      </c>
      <c r="DG45" s="208">
        <v>31.705986171159939</v>
      </c>
      <c r="DH45" s="208">
        <v>0</v>
      </c>
      <c r="DI45" s="208">
        <v>0</v>
      </c>
      <c r="DJ45" s="208">
        <v>0</v>
      </c>
      <c r="DK45" s="208">
        <v>0</v>
      </c>
      <c r="DL45" s="222">
        <v>31.705986171159939</v>
      </c>
      <c r="DM45" s="214"/>
      <c r="DN45" s="214"/>
      <c r="DO45" s="227"/>
      <c r="DP45" s="217" t="s">
        <v>342</v>
      </c>
      <c r="DQ45" s="227">
        <v>0</v>
      </c>
      <c r="DR45" s="228">
        <v>0</v>
      </c>
      <c r="DS45" s="208">
        <v>0</v>
      </c>
      <c r="DT45" s="208">
        <v>0</v>
      </c>
      <c r="DU45" s="208">
        <v>0</v>
      </c>
      <c r="DV45" s="208">
        <v>0</v>
      </c>
      <c r="DW45" s="208">
        <v>0</v>
      </c>
      <c r="DX45" s="208">
        <v>0</v>
      </c>
      <c r="DY45" s="208">
        <v>0</v>
      </c>
      <c r="DZ45" s="208">
        <v>0</v>
      </c>
      <c r="EA45" s="208">
        <v>0</v>
      </c>
      <c r="EB45" s="208">
        <v>0</v>
      </c>
      <c r="EC45" s="208">
        <v>0</v>
      </c>
      <c r="ED45" s="208">
        <v>0</v>
      </c>
      <c r="EE45" s="208">
        <v>0</v>
      </c>
      <c r="EF45" s="208">
        <v>1</v>
      </c>
      <c r="EG45" s="208">
        <v>0</v>
      </c>
      <c r="EH45" s="208">
        <v>0</v>
      </c>
      <c r="EI45" s="208">
        <v>0</v>
      </c>
      <c r="EJ45" s="208">
        <v>0</v>
      </c>
      <c r="EK45" s="222">
        <v>1</v>
      </c>
      <c r="EL45" s="228"/>
      <c r="EM45" s="217" t="s">
        <v>342</v>
      </c>
      <c r="EN45" s="227">
        <v>0</v>
      </c>
      <c r="EO45" s="228">
        <v>0</v>
      </c>
      <c r="EP45" s="208">
        <v>0</v>
      </c>
      <c r="EQ45" s="208">
        <v>0</v>
      </c>
      <c r="ER45" s="208">
        <v>0</v>
      </c>
      <c r="ES45" s="208">
        <v>0</v>
      </c>
      <c r="ET45" s="208">
        <v>0</v>
      </c>
      <c r="EU45" s="208">
        <v>0</v>
      </c>
      <c r="EV45" s="208">
        <v>0</v>
      </c>
      <c r="EW45" s="208">
        <v>0</v>
      </c>
      <c r="EX45" s="208">
        <v>0</v>
      </c>
      <c r="EY45" s="208">
        <v>0</v>
      </c>
      <c r="EZ45" s="208">
        <v>0</v>
      </c>
      <c r="FA45" s="208">
        <v>0</v>
      </c>
      <c r="FB45" s="208">
        <v>0</v>
      </c>
      <c r="FC45" s="208">
        <v>31.705986171159939</v>
      </c>
      <c r="FD45" s="208">
        <v>0</v>
      </c>
      <c r="FE45" s="208">
        <v>0</v>
      </c>
      <c r="FF45" s="208">
        <v>0</v>
      </c>
      <c r="FG45" s="208">
        <v>0</v>
      </c>
      <c r="FH45" s="222">
        <v>31.705986171159939</v>
      </c>
    </row>
    <row r="46" spans="2:164" x14ac:dyDescent="0.2">
      <c r="B46" s="217" t="s">
        <v>343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1</v>
      </c>
      <c r="N46" s="208">
        <v>0</v>
      </c>
      <c r="O46" s="208">
        <v>0</v>
      </c>
      <c r="P46" s="208">
        <v>0</v>
      </c>
      <c r="Q46" s="208">
        <v>0</v>
      </c>
      <c r="R46" s="208">
        <v>0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7"/>
      <c r="Y46" s="217" t="s">
        <v>343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55">
        <v>0</v>
      </c>
      <c r="AF46" s="255">
        <v>0</v>
      </c>
      <c r="AG46" s="255">
        <v>0</v>
      </c>
      <c r="AH46" s="255">
        <v>0</v>
      </c>
      <c r="AI46" s="255">
        <v>0</v>
      </c>
      <c r="AJ46" s="255">
        <v>78.376523107980276</v>
      </c>
      <c r="AK46" s="208">
        <v>0</v>
      </c>
      <c r="AL46" s="208">
        <v>0</v>
      </c>
      <c r="AM46" s="208">
        <v>0</v>
      </c>
      <c r="AN46" s="208">
        <v>0</v>
      </c>
      <c r="AO46" s="208">
        <v>0</v>
      </c>
      <c r="AP46" s="208">
        <v>0</v>
      </c>
      <c r="AQ46" s="208">
        <v>0</v>
      </c>
      <c r="AR46" s="208">
        <v>0</v>
      </c>
      <c r="AS46" s="208">
        <v>0</v>
      </c>
      <c r="AT46" s="222">
        <v>78.376523107980276</v>
      </c>
      <c r="AV46" s="217" t="s">
        <v>343</v>
      </c>
      <c r="AW46" s="227">
        <v>0</v>
      </c>
      <c r="AX46" s="228">
        <v>0</v>
      </c>
      <c r="AY46" s="208">
        <v>0</v>
      </c>
      <c r="AZ46" s="208">
        <v>0</v>
      </c>
      <c r="BA46" s="208">
        <v>0</v>
      </c>
      <c r="BB46" s="255">
        <v>0</v>
      </c>
      <c r="BC46" s="255">
        <v>0</v>
      </c>
      <c r="BD46" s="255">
        <v>0</v>
      </c>
      <c r="BE46" s="255">
        <v>0</v>
      </c>
      <c r="BF46" s="255">
        <v>0</v>
      </c>
      <c r="BG46" s="258">
        <v>0</v>
      </c>
      <c r="BH46" s="208">
        <v>0</v>
      </c>
      <c r="BI46" s="208">
        <v>0</v>
      </c>
      <c r="BJ46" s="208">
        <v>0</v>
      </c>
      <c r="BK46" s="208">
        <v>0</v>
      </c>
      <c r="BL46" s="208">
        <v>0</v>
      </c>
      <c r="BM46" s="208">
        <v>0</v>
      </c>
      <c r="BN46" s="208">
        <v>0</v>
      </c>
      <c r="BO46" s="208">
        <v>0</v>
      </c>
      <c r="BP46" s="208">
        <v>0</v>
      </c>
      <c r="BQ46" s="230">
        <f t="shared" si="2"/>
        <v>0</v>
      </c>
      <c r="BR46" s="214"/>
      <c r="BS46" s="227"/>
      <c r="BT46" s="217" t="s">
        <v>343</v>
      </c>
      <c r="BU46" s="227">
        <v>0</v>
      </c>
      <c r="BV46" s="228">
        <v>0</v>
      </c>
      <c r="BW46" s="208">
        <v>0</v>
      </c>
      <c r="BX46" s="208">
        <v>0</v>
      </c>
      <c r="BY46" s="208">
        <v>0</v>
      </c>
      <c r="BZ46" s="208">
        <v>0</v>
      </c>
      <c r="CA46" s="208">
        <v>0</v>
      </c>
      <c r="CB46" s="208">
        <v>0</v>
      </c>
      <c r="CC46" s="208">
        <v>0</v>
      </c>
      <c r="CD46" s="208">
        <v>0</v>
      </c>
      <c r="CE46" s="208">
        <v>0</v>
      </c>
      <c r="CF46" s="208">
        <v>0</v>
      </c>
      <c r="CG46" s="208">
        <v>0</v>
      </c>
      <c r="CH46" s="208">
        <v>0</v>
      </c>
      <c r="CI46" s="208">
        <v>0</v>
      </c>
      <c r="CJ46" s="208">
        <v>0</v>
      </c>
      <c r="CK46" s="208">
        <v>0</v>
      </c>
      <c r="CL46" s="208">
        <v>0</v>
      </c>
      <c r="CM46" s="208">
        <v>0</v>
      </c>
      <c r="CN46" s="208">
        <v>0</v>
      </c>
      <c r="CO46" s="222">
        <v>0</v>
      </c>
      <c r="CP46" s="227"/>
      <c r="CQ46" s="217" t="s">
        <v>343</v>
      </c>
      <c r="CR46" s="227">
        <v>0</v>
      </c>
      <c r="CS46" s="228">
        <v>0</v>
      </c>
      <c r="CT46" s="208">
        <v>0</v>
      </c>
      <c r="CU46" s="208">
        <v>0</v>
      </c>
      <c r="CV46" s="208">
        <v>0</v>
      </c>
      <c r="CW46" s="208">
        <v>0</v>
      </c>
      <c r="CX46" s="208">
        <v>0</v>
      </c>
      <c r="CY46" s="208">
        <v>0</v>
      </c>
      <c r="CZ46" s="208">
        <v>0</v>
      </c>
      <c r="DA46" s="208">
        <v>0</v>
      </c>
      <c r="DB46" s="208">
        <v>0</v>
      </c>
      <c r="DC46" s="208">
        <v>0</v>
      </c>
      <c r="DD46" s="208">
        <v>0</v>
      </c>
      <c r="DE46" s="208">
        <v>0</v>
      </c>
      <c r="DF46" s="208">
        <v>0</v>
      </c>
      <c r="DG46" s="208">
        <v>0</v>
      </c>
      <c r="DH46" s="208">
        <v>0</v>
      </c>
      <c r="DI46" s="208">
        <v>0</v>
      </c>
      <c r="DJ46" s="208">
        <v>0</v>
      </c>
      <c r="DK46" s="208">
        <v>0</v>
      </c>
      <c r="DL46" s="222">
        <v>0</v>
      </c>
      <c r="DM46" s="214"/>
      <c r="DN46" s="214"/>
      <c r="DO46" s="227"/>
      <c r="DP46" s="217" t="s">
        <v>343</v>
      </c>
      <c r="DQ46" s="227">
        <v>0</v>
      </c>
      <c r="DR46" s="228">
        <v>0</v>
      </c>
      <c r="DS46" s="208">
        <v>0</v>
      </c>
      <c r="DT46" s="208">
        <v>0</v>
      </c>
      <c r="DU46" s="208">
        <v>0</v>
      </c>
      <c r="DV46" s="208">
        <v>0</v>
      </c>
      <c r="DW46" s="208">
        <v>0</v>
      </c>
      <c r="DX46" s="208">
        <v>0</v>
      </c>
      <c r="DY46" s="208">
        <v>0</v>
      </c>
      <c r="DZ46" s="208">
        <v>0</v>
      </c>
      <c r="EA46" s="208">
        <v>0</v>
      </c>
      <c r="EB46" s="208">
        <v>0</v>
      </c>
      <c r="EC46" s="208">
        <v>0</v>
      </c>
      <c r="ED46" s="208">
        <v>0</v>
      </c>
      <c r="EE46" s="208">
        <v>0</v>
      </c>
      <c r="EF46" s="208">
        <v>0</v>
      </c>
      <c r="EG46" s="208">
        <v>0</v>
      </c>
      <c r="EH46" s="208">
        <v>0</v>
      </c>
      <c r="EI46" s="208">
        <v>0</v>
      </c>
      <c r="EJ46" s="208">
        <v>0</v>
      </c>
      <c r="EK46" s="222">
        <v>0</v>
      </c>
      <c r="EL46" s="228"/>
      <c r="EM46" s="217" t="s">
        <v>343</v>
      </c>
      <c r="EN46" s="227">
        <v>0</v>
      </c>
      <c r="EO46" s="228">
        <v>0</v>
      </c>
      <c r="EP46" s="208">
        <v>0</v>
      </c>
      <c r="EQ46" s="208">
        <v>0</v>
      </c>
      <c r="ER46" s="208">
        <v>0</v>
      </c>
      <c r="ES46" s="208">
        <v>0</v>
      </c>
      <c r="ET46" s="208">
        <v>0</v>
      </c>
      <c r="EU46" s="208">
        <v>0</v>
      </c>
      <c r="EV46" s="208">
        <v>0</v>
      </c>
      <c r="EW46" s="208">
        <v>0</v>
      </c>
      <c r="EX46" s="208">
        <v>0</v>
      </c>
      <c r="EY46" s="208">
        <v>0</v>
      </c>
      <c r="EZ46" s="208">
        <v>0</v>
      </c>
      <c r="FA46" s="208">
        <v>0</v>
      </c>
      <c r="FB46" s="208">
        <v>0</v>
      </c>
      <c r="FC46" s="208">
        <v>0</v>
      </c>
      <c r="FD46" s="208">
        <v>0</v>
      </c>
      <c r="FE46" s="208">
        <v>0</v>
      </c>
      <c r="FF46" s="208">
        <v>0</v>
      </c>
      <c r="FG46" s="208">
        <v>0</v>
      </c>
      <c r="FH46" s="222">
        <v>0</v>
      </c>
    </row>
    <row r="47" spans="2:164" x14ac:dyDescent="0.2">
      <c r="B47" s="217" t="s">
        <v>6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6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v>0</v>
      </c>
      <c r="AX47" s="228">
        <v>0</v>
      </c>
      <c r="AY47" s="208">
        <v>0</v>
      </c>
      <c r="AZ47" s="208">
        <v>0</v>
      </c>
      <c r="BA47" s="208">
        <v>0</v>
      </c>
      <c r="BB47" s="208">
        <v>0</v>
      </c>
      <c r="BC47" s="208">
        <v>0</v>
      </c>
      <c r="BD47" s="208">
        <v>0</v>
      </c>
      <c r="BE47" s="208">
        <v>0</v>
      </c>
      <c r="BF47" s="208">
        <v>0</v>
      </c>
      <c r="BG47" s="208">
        <v>0</v>
      </c>
      <c r="BH47" s="208">
        <v>0</v>
      </c>
      <c r="BI47" s="208">
        <v>0</v>
      </c>
      <c r="BJ47" s="208">
        <v>0</v>
      </c>
      <c r="BK47" s="208">
        <v>0</v>
      </c>
      <c r="BL47" s="208">
        <v>0</v>
      </c>
      <c r="BM47" s="208">
        <v>0</v>
      </c>
      <c r="BN47" s="208">
        <v>0</v>
      </c>
      <c r="BO47" s="208">
        <v>0</v>
      </c>
      <c r="BP47" s="208">
        <v>0</v>
      </c>
      <c r="BQ47" s="230">
        <f t="shared" si="2"/>
        <v>0</v>
      </c>
      <c r="BR47" s="214"/>
      <c r="BS47" s="227"/>
      <c r="BT47" s="217" t="s">
        <v>6</v>
      </c>
      <c r="BU47" s="227">
        <v>0</v>
      </c>
      <c r="BV47" s="228">
        <v>0</v>
      </c>
      <c r="BW47" s="208">
        <v>0</v>
      </c>
      <c r="BX47" s="208">
        <v>0</v>
      </c>
      <c r="BY47" s="208">
        <v>0</v>
      </c>
      <c r="BZ47" s="208">
        <v>0</v>
      </c>
      <c r="CA47" s="208">
        <v>0</v>
      </c>
      <c r="CB47" s="208">
        <v>0</v>
      </c>
      <c r="CC47" s="208">
        <v>0</v>
      </c>
      <c r="CD47" s="208">
        <v>0</v>
      </c>
      <c r="CE47" s="208">
        <v>0</v>
      </c>
      <c r="CF47" s="208">
        <v>0</v>
      </c>
      <c r="CG47" s="208">
        <v>0</v>
      </c>
      <c r="CH47" s="208">
        <v>0</v>
      </c>
      <c r="CI47" s="208">
        <v>0</v>
      </c>
      <c r="CJ47" s="208">
        <v>0</v>
      </c>
      <c r="CK47" s="208">
        <v>0</v>
      </c>
      <c r="CL47" s="208">
        <v>0</v>
      </c>
      <c r="CM47" s="208">
        <v>0</v>
      </c>
      <c r="CN47" s="208">
        <v>0</v>
      </c>
      <c r="CO47" s="222">
        <v>0</v>
      </c>
      <c r="CP47" s="227"/>
      <c r="CQ47" s="217" t="s">
        <v>6</v>
      </c>
      <c r="CR47" s="227">
        <v>0</v>
      </c>
      <c r="CS47" s="228">
        <v>0</v>
      </c>
      <c r="CT47" s="208">
        <v>0</v>
      </c>
      <c r="CU47" s="208">
        <v>0</v>
      </c>
      <c r="CV47" s="208">
        <v>0</v>
      </c>
      <c r="CW47" s="208">
        <v>0</v>
      </c>
      <c r="CX47" s="208">
        <v>0</v>
      </c>
      <c r="CY47" s="208">
        <v>0</v>
      </c>
      <c r="CZ47" s="208">
        <v>0</v>
      </c>
      <c r="DA47" s="208">
        <v>0</v>
      </c>
      <c r="DB47" s="208">
        <v>0</v>
      </c>
      <c r="DC47" s="208">
        <v>0</v>
      </c>
      <c r="DD47" s="208">
        <v>0</v>
      </c>
      <c r="DE47" s="208">
        <v>0</v>
      </c>
      <c r="DF47" s="208">
        <v>0</v>
      </c>
      <c r="DG47" s="208">
        <v>0</v>
      </c>
      <c r="DH47" s="208">
        <v>0</v>
      </c>
      <c r="DI47" s="208">
        <v>0</v>
      </c>
      <c r="DJ47" s="208">
        <v>0</v>
      </c>
      <c r="DK47" s="208">
        <v>0</v>
      </c>
      <c r="DL47" s="222">
        <v>0</v>
      </c>
      <c r="DM47" s="214"/>
      <c r="DN47" s="214"/>
      <c r="DO47" s="227"/>
      <c r="DP47" s="217" t="s">
        <v>6</v>
      </c>
      <c r="DQ47" s="227">
        <v>0</v>
      </c>
      <c r="DR47" s="228">
        <v>0</v>
      </c>
      <c r="DS47" s="208">
        <v>0</v>
      </c>
      <c r="DT47" s="208">
        <v>0</v>
      </c>
      <c r="DU47" s="208">
        <v>0</v>
      </c>
      <c r="DV47" s="208">
        <v>0</v>
      </c>
      <c r="DW47" s="208">
        <v>0</v>
      </c>
      <c r="DX47" s="208">
        <v>0</v>
      </c>
      <c r="DY47" s="208">
        <v>0</v>
      </c>
      <c r="DZ47" s="208">
        <v>0</v>
      </c>
      <c r="EA47" s="208">
        <v>0</v>
      </c>
      <c r="EB47" s="208">
        <v>0</v>
      </c>
      <c r="EC47" s="208">
        <v>0</v>
      </c>
      <c r="ED47" s="208">
        <v>0</v>
      </c>
      <c r="EE47" s="208">
        <v>0</v>
      </c>
      <c r="EF47" s="208">
        <v>0</v>
      </c>
      <c r="EG47" s="208">
        <v>0</v>
      </c>
      <c r="EH47" s="208">
        <v>0</v>
      </c>
      <c r="EI47" s="208">
        <v>0</v>
      </c>
      <c r="EJ47" s="208">
        <v>0</v>
      </c>
      <c r="EK47" s="222">
        <v>0</v>
      </c>
      <c r="EL47" s="228"/>
      <c r="EM47" s="217" t="s">
        <v>6</v>
      </c>
      <c r="EN47" s="227">
        <v>0</v>
      </c>
      <c r="EO47" s="228">
        <v>0</v>
      </c>
      <c r="EP47" s="208">
        <v>0</v>
      </c>
      <c r="EQ47" s="208">
        <v>0</v>
      </c>
      <c r="ER47" s="208">
        <v>0</v>
      </c>
      <c r="ES47" s="208">
        <v>0</v>
      </c>
      <c r="ET47" s="208">
        <v>0</v>
      </c>
      <c r="EU47" s="208">
        <v>0</v>
      </c>
      <c r="EV47" s="208">
        <v>0</v>
      </c>
      <c r="EW47" s="208">
        <v>0</v>
      </c>
      <c r="EX47" s="208">
        <v>0</v>
      </c>
      <c r="EY47" s="208">
        <v>0</v>
      </c>
      <c r="EZ47" s="208">
        <v>0</v>
      </c>
      <c r="FA47" s="208">
        <v>0</v>
      </c>
      <c r="FB47" s="208">
        <v>0</v>
      </c>
      <c r="FC47" s="208">
        <v>0</v>
      </c>
      <c r="FD47" s="208">
        <v>0</v>
      </c>
      <c r="FE47" s="208">
        <v>0</v>
      </c>
      <c r="FF47" s="208">
        <v>0</v>
      </c>
      <c r="FG47" s="208">
        <v>0</v>
      </c>
      <c r="FH47" s="222">
        <v>0</v>
      </c>
    </row>
    <row r="48" spans="2:164" x14ac:dyDescent="0.2">
      <c r="B48" s="217" t="s">
        <v>344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1</v>
      </c>
      <c r="S48" s="208">
        <v>0</v>
      </c>
      <c r="T48" s="208">
        <v>0</v>
      </c>
      <c r="U48" s="208">
        <v>0</v>
      </c>
      <c r="V48" s="208">
        <v>0</v>
      </c>
      <c r="W48" s="222">
        <v>1</v>
      </c>
      <c r="X48" s="208"/>
      <c r="Y48" s="217" t="s">
        <v>344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15.75740268654017</v>
      </c>
      <c r="AP48" s="208">
        <v>0</v>
      </c>
      <c r="AQ48" s="208">
        <v>0</v>
      </c>
      <c r="AR48" s="208">
        <v>0</v>
      </c>
      <c r="AS48" s="208">
        <v>0</v>
      </c>
      <c r="AT48" s="222">
        <v>15.75740268654017</v>
      </c>
      <c r="AV48" s="217" t="s">
        <v>344</v>
      </c>
      <c r="AW48" s="227">
        <v>0</v>
      </c>
      <c r="AX48" s="228">
        <v>0</v>
      </c>
      <c r="AY48" s="208">
        <v>0</v>
      </c>
      <c r="AZ48" s="208">
        <v>0</v>
      </c>
      <c r="BA48" s="208">
        <v>0</v>
      </c>
      <c r="BB48" s="208">
        <v>0</v>
      </c>
      <c r="BC48" s="208">
        <v>0</v>
      </c>
      <c r="BD48" s="208">
        <v>0</v>
      </c>
      <c r="BE48" s="208">
        <v>0</v>
      </c>
      <c r="BF48" s="208">
        <v>0</v>
      </c>
      <c r="BG48" s="208">
        <v>0</v>
      </c>
      <c r="BH48" s="208">
        <v>0</v>
      </c>
      <c r="BI48" s="208">
        <v>0</v>
      </c>
      <c r="BJ48" s="208">
        <v>0</v>
      </c>
      <c r="BK48" s="208">
        <v>0</v>
      </c>
      <c r="BL48" s="208">
        <v>15.75740268654017</v>
      </c>
      <c r="BM48" s="208">
        <v>0</v>
      </c>
      <c r="BN48" s="208">
        <v>0</v>
      </c>
      <c r="BO48" s="208">
        <v>0</v>
      </c>
      <c r="BP48" s="208">
        <v>0</v>
      </c>
      <c r="BQ48" s="230">
        <f t="shared" si="2"/>
        <v>15.75740268654017</v>
      </c>
      <c r="BR48" s="214"/>
      <c r="BS48" s="227"/>
      <c r="BT48" s="217" t="s">
        <v>344</v>
      </c>
      <c r="BU48" s="227">
        <v>0</v>
      </c>
      <c r="BV48" s="228">
        <v>0</v>
      </c>
      <c r="BW48" s="208">
        <v>0</v>
      </c>
      <c r="BX48" s="208">
        <v>0</v>
      </c>
      <c r="BY48" s="208">
        <v>0</v>
      </c>
      <c r="BZ48" s="208">
        <v>0</v>
      </c>
      <c r="CA48" s="208">
        <v>0</v>
      </c>
      <c r="CB48" s="208">
        <v>0</v>
      </c>
      <c r="CC48" s="208">
        <v>0</v>
      </c>
      <c r="CD48" s="208">
        <v>0</v>
      </c>
      <c r="CE48" s="208">
        <v>0</v>
      </c>
      <c r="CF48" s="208">
        <v>0</v>
      </c>
      <c r="CG48" s="208">
        <v>0</v>
      </c>
      <c r="CH48" s="208">
        <v>0</v>
      </c>
      <c r="CI48" s="208">
        <v>0</v>
      </c>
      <c r="CJ48" s="208">
        <v>0</v>
      </c>
      <c r="CK48" s="208">
        <v>0</v>
      </c>
      <c r="CL48" s="208">
        <v>0</v>
      </c>
      <c r="CM48" s="208">
        <v>0</v>
      </c>
      <c r="CN48" s="208">
        <v>0</v>
      </c>
      <c r="CO48" s="222">
        <v>0</v>
      </c>
      <c r="CP48" s="227"/>
      <c r="CQ48" s="217" t="s">
        <v>344</v>
      </c>
      <c r="CR48" s="227">
        <v>0</v>
      </c>
      <c r="CS48" s="228">
        <v>0</v>
      </c>
      <c r="CT48" s="208">
        <v>0</v>
      </c>
      <c r="CU48" s="208">
        <v>0</v>
      </c>
      <c r="CV48" s="208">
        <v>0</v>
      </c>
      <c r="CW48" s="208">
        <v>0</v>
      </c>
      <c r="CX48" s="208">
        <v>0</v>
      </c>
      <c r="CY48" s="208">
        <v>0</v>
      </c>
      <c r="CZ48" s="208">
        <v>0</v>
      </c>
      <c r="DA48" s="208">
        <v>0</v>
      </c>
      <c r="DB48" s="208">
        <v>0</v>
      </c>
      <c r="DC48" s="208">
        <v>0</v>
      </c>
      <c r="DD48" s="208">
        <v>0</v>
      </c>
      <c r="DE48" s="208">
        <v>0</v>
      </c>
      <c r="DF48" s="208">
        <v>0</v>
      </c>
      <c r="DG48" s="208">
        <v>0</v>
      </c>
      <c r="DH48" s="208">
        <v>0</v>
      </c>
      <c r="DI48" s="208">
        <v>0</v>
      </c>
      <c r="DJ48" s="208">
        <v>0</v>
      </c>
      <c r="DK48" s="208">
        <v>0</v>
      </c>
      <c r="DL48" s="222">
        <v>0</v>
      </c>
      <c r="DM48" s="214"/>
      <c r="DN48" s="214"/>
      <c r="DO48" s="227"/>
      <c r="DP48" s="217" t="s">
        <v>344</v>
      </c>
      <c r="DQ48" s="227">
        <v>0</v>
      </c>
      <c r="DR48" s="228">
        <v>0</v>
      </c>
      <c r="DS48" s="208">
        <v>0</v>
      </c>
      <c r="DT48" s="208">
        <v>0</v>
      </c>
      <c r="DU48" s="208">
        <v>0</v>
      </c>
      <c r="DV48" s="208">
        <v>0</v>
      </c>
      <c r="DW48" s="208">
        <v>0</v>
      </c>
      <c r="DX48" s="208">
        <v>0</v>
      </c>
      <c r="DY48" s="208">
        <v>0</v>
      </c>
      <c r="DZ48" s="208">
        <v>0</v>
      </c>
      <c r="EA48" s="208">
        <v>0</v>
      </c>
      <c r="EB48" s="208">
        <v>0</v>
      </c>
      <c r="EC48" s="208">
        <v>0</v>
      </c>
      <c r="ED48" s="208">
        <v>0</v>
      </c>
      <c r="EE48" s="208">
        <v>0</v>
      </c>
      <c r="EF48" s="208">
        <v>0</v>
      </c>
      <c r="EG48" s="208">
        <v>0</v>
      </c>
      <c r="EH48" s="208">
        <v>0</v>
      </c>
      <c r="EI48" s="208">
        <v>0</v>
      </c>
      <c r="EJ48" s="208">
        <v>0</v>
      </c>
      <c r="EK48" s="222">
        <v>0</v>
      </c>
      <c r="EL48" s="228"/>
      <c r="EM48" s="217" t="s">
        <v>344</v>
      </c>
      <c r="EN48" s="227">
        <v>0</v>
      </c>
      <c r="EO48" s="228">
        <v>0</v>
      </c>
      <c r="EP48" s="208">
        <v>0</v>
      </c>
      <c r="EQ48" s="208">
        <v>0</v>
      </c>
      <c r="ER48" s="208">
        <v>0</v>
      </c>
      <c r="ES48" s="208">
        <v>0</v>
      </c>
      <c r="ET48" s="208">
        <v>0</v>
      </c>
      <c r="EU48" s="208">
        <v>0</v>
      </c>
      <c r="EV48" s="208">
        <v>0</v>
      </c>
      <c r="EW48" s="208">
        <v>0</v>
      </c>
      <c r="EX48" s="208">
        <v>0</v>
      </c>
      <c r="EY48" s="208">
        <v>0</v>
      </c>
      <c r="EZ48" s="208">
        <v>0</v>
      </c>
      <c r="FA48" s="208">
        <v>0</v>
      </c>
      <c r="FB48" s="208">
        <v>0</v>
      </c>
      <c r="FC48" s="208">
        <v>0</v>
      </c>
      <c r="FD48" s="208">
        <v>0</v>
      </c>
      <c r="FE48" s="208">
        <v>0</v>
      </c>
      <c r="FF48" s="208">
        <v>0</v>
      </c>
      <c r="FG48" s="208">
        <v>0</v>
      </c>
      <c r="FH48" s="222">
        <v>0</v>
      </c>
    </row>
    <row r="49" spans="2:164" x14ac:dyDescent="0.2">
      <c r="B49" s="217" t="s">
        <v>345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345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345</v>
      </c>
      <c r="AW49" s="227">
        <v>0</v>
      </c>
      <c r="AX49" s="228">
        <v>0</v>
      </c>
      <c r="AY49" s="208">
        <v>0</v>
      </c>
      <c r="AZ49" s="208">
        <v>0</v>
      </c>
      <c r="BA49" s="208">
        <v>0</v>
      </c>
      <c r="BB49" s="208">
        <v>0</v>
      </c>
      <c r="BC49" s="208">
        <v>0</v>
      </c>
      <c r="BD49" s="208">
        <v>0</v>
      </c>
      <c r="BE49" s="208">
        <v>0</v>
      </c>
      <c r="BF49" s="208">
        <v>0</v>
      </c>
      <c r="BG49" s="208">
        <v>0</v>
      </c>
      <c r="BH49" s="208">
        <v>0</v>
      </c>
      <c r="BI49" s="208">
        <v>0</v>
      </c>
      <c r="BJ49" s="208">
        <v>0</v>
      </c>
      <c r="BK49" s="208">
        <v>0</v>
      </c>
      <c r="BL49" s="208">
        <v>0</v>
      </c>
      <c r="BM49" s="208">
        <v>0</v>
      </c>
      <c r="BN49" s="208">
        <v>0</v>
      </c>
      <c r="BO49" s="208">
        <v>0</v>
      </c>
      <c r="BP49" s="208">
        <v>0</v>
      </c>
      <c r="BQ49" s="222">
        <f t="shared" si="2"/>
        <v>0</v>
      </c>
      <c r="BR49" s="214"/>
      <c r="BS49" s="227"/>
      <c r="BT49" s="217" t="s">
        <v>345</v>
      </c>
      <c r="BU49" s="227">
        <v>0</v>
      </c>
      <c r="BV49" s="228">
        <v>0</v>
      </c>
      <c r="BW49" s="208">
        <v>0</v>
      </c>
      <c r="BX49" s="208">
        <v>0</v>
      </c>
      <c r="BY49" s="208">
        <v>0</v>
      </c>
      <c r="BZ49" s="208">
        <v>0</v>
      </c>
      <c r="CA49" s="208">
        <v>0</v>
      </c>
      <c r="CB49" s="208">
        <v>0</v>
      </c>
      <c r="CC49" s="208">
        <v>0</v>
      </c>
      <c r="CD49" s="208">
        <v>0</v>
      </c>
      <c r="CE49" s="208">
        <v>0</v>
      </c>
      <c r="CF49" s="208">
        <v>0</v>
      </c>
      <c r="CG49" s="208">
        <v>0</v>
      </c>
      <c r="CH49" s="208">
        <v>0</v>
      </c>
      <c r="CI49" s="208">
        <v>0</v>
      </c>
      <c r="CJ49" s="208">
        <v>0</v>
      </c>
      <c r="CK49" s="208">
        <v>0</v>
      </c>
      <c r="CL49" s="208">
        <v>0</v>
      </c>
      <c r="CM49" s="208">
        <v>0</v>
      </c>
      <c r="CN49" s="208">
        <v>0</v>
      </c>
      <c r="CO49" s="222">
        <v>0</v>
      </c>
      <c r="CP49" s="227"/>
      <c r="CQ49" s="217" t="s">
        <v>345</v>
      </c>
      <c r="CR49" s="227">
        <v>0</v>
      </c>
      <c r="CS49" s="228">
        <v>0</v>
      </c>
      <c r="CT49" s="208">
        <v>0</v>
      </c>
      <c r="CU49" s="208">
        <v>0</v>
      </c>
      <c r="CV49" s="208">
        <v>0</v>
      </c>
      <c r="CW49" s="208">
        <v>0</v>
      </c>
      <c r="CX49" s="208">
        <v>0</v>
      </c>
      <c r="CY49" s="208">
        <v>0</v>
      </c>
      <c r="CZ49" s="208">
        <v>0</v>
      </c>
      <c r="DA49" s="208">
        <v>0</v>
      </c>
      <c r="DB49" s="208">
        <v>0</v>
      </c>
      <c r="DC49" s="208">
        <v>0</v>
      </c>
      <c r="DD49" s="208">
        <v>0</v>
      </c>
      <c r="DE49" s="208">
        <v>0</v>
      </c>
      <c r="DF49" s="208">
        <v>0</v>
      </c>
      <c r="DG49" s="208">
        <v>0</v>
      </c>
      <c r="DH49" s="208">
        <v>0</v>
      </c>
      <c r="DI49" s="208">
        <v>0</v>
      </c>
      <c r="DJ49" s="208">
        <v>0</v>
      </c>
      <c r="DK49" s="208">
        <v>0</v>
      </c>
      <c r="DL49" s="222">
        <v>0</v>
      </c>
      <c r="DM49" s="214"/>
      <c r="DN49" s="214"/>
      <c r="DO49" s="227"/>
      <c r="DP49" s="217" t="s">
        <v>345</v>
      </c>
      <c r="DQ49" s="227">
        <v>0</v>
      </c>
      <c r="DR49" s="228">
        <v>0</v>
      </c>
      <c r="DS49" s="208">
        <v>0</v>
      </c>
      <c r="DT49" s="208">
        <v>0</v>
      </c>
      <c r="DU49" s="208">
        <v>0</v>
      </c>
      <c r="DV49" s="208">
        <v>0</v>
      </c>
      <c r="DW49" s="208">
        <v>0</v>
      </c>
      <c r="DX49" s="208">
        <v>0</v>
      </c>
      <c r="DY49" s="208">
        <v>0</v>
      </c>
      <c r="DZ49" s="208">
        <v>0</v>
      </c>
      <c r="EA49" s="208">
        <v>0</v>
      </c>
      <c r="EB49" s="208">
        <v>0</v>
      </c>
      <c r="EC49" s="208">
        <v>0</v>
      </c>
      <c r="ED49" s="208">
        <v>0</v>
      </c>
      <c r="EE49" s="208">
        <v>0</v>
      </c>
      <c r="EF49" s="208">
        <v>0</v>
      </c>
      <c r="EG49" s="208">
        <v>0</v>
      </c>
      <c r="EH49" s="208">
        <v>0</v>
      </c>
      <c r="EI49" s="208">
        <v>0</v>
      </c>
      <c r="EJ49" s="208">
        <v>0</v>
      </c>
      <c r="EK49" s="222">
        <v>0</v>
      </c>
      <c r="EL49" s="228"/>
      <c r="EM49" s="217" t="s">
        <v>345</v>
      </c>
      <c r="EN49" s="227">
        <v>0</v>
      </c>
      <c r="EO49" s="228">
        <v>0</v>
      </c>
      <c r="EP49" s="208">
        <v>0</v>
      </c>
      <c r="EQ49" s="208">
        <v>0</v>
      </c>
      <c r="ER49" s="208">
        <v>0</v>
      </c>
      <c r="ES49" s="208">
        <v>0</v>
      </c>
      <c r="ET49" s="208">
        <v>0</v>
      </c>
      <c r="EU49" s="208">
        <v>0</v>
      </c>
      <c r="EV49" s="208">
        <v>0</v>
      </c>
      <c r="EW49" s="208">
        <v>0</v>
      </c>
      <c r="EX49" s="208">
        <v>0</v>
      </c>
      <c r="EY49" s="208">
        <v>0</v>
      </c>
      <c r="EZ49" s="208">
        <v>0</v>
      </c>
      <c r="FA49" s="208">
        <v>0</v>
      </c>
      <c r="FB49" s="208">
        <v>0</v>
      </c>
      <c r="FC49" s="208">
        <v>0</v>
      </c>
      <c r="FD49" s="208">
        <v>0</v>
      </c>
      <c r="FE49" s="208">
        <v>0</v>
      </c>
      <c r="FF49" s="208">
        <v>0</v>
      </c>
      <c r="FG49" s="208">
        <v>0</v>
      </c>
      <c r="FH49" s="222">
        <v>0</v>
      </c>
    </row>
    <row r="50" spans="2:164" x14ac:dyDescent="0.2">
      <c r="B50" s="218" t="s">
        <v>7</v>
      </c>
      <c r="C50" s="219">
        <v>109</v>
      </c>
      <c r="D50" s="220">
        <v>39</v>
      </c>
      <c r="E50" s="221">
        <v>15</v>
      </c>
      <c r="F50" s="221">
        <v>69</v>
      </c>
      <c r="G50" s="221">
        <v>71</v>
      </c>
      <c r="H50" s="221">
        <v>65</v>
      </c>
      <c r="I50" s="221">
        <v>19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452</v>
      </c>
      <c r="X50" s="208"/>
      <c r="Y50" s="218" t="s">
        <v>7</v>
      </c>
      <c r="Z50" s="219">
        <v>28194.197309228588</v>
      </c>
      <c r="AA50" s="220">
        <v>5338.6822355584682</v>
      </c>
      <c r="AB50" s="221">
        <v>4612.6438789865106</v>
      </c>
      <c r="AC50" s="221">
        <v>25937.787031855187</v>
      </c>
      <c r="AD50" s="221">
        <v>12628.487051283228</v>
      </c>
      <c r="AE50" s="221">
        <v>64466.554354879147</v>
      </c>
      <c r="AF50" s="221">
        <v>3741.3345503181336</v>
      </c>
      <c r="AG50" s="221">
        <v>0</v>
      </c>
      <c r="AH50" s="221">
        <v>0</v>
      </c>
      <c r="AI50" s="221">
        <v>9718.5179172804565</v>
      </c>
      <c r="AJ50" s="221">
        <v>2315.4546969159255</v>
      </c>
      <c r="AK50" s="221">
        <v>9979.9159028184094</v>
      </c>
      <c r="AL50" s="221">
        <v>0</v>
      </c>
      <c r="AM50" s="221">
        <v>0</v>
      </c>
      <c r="AN50" s="221">
        <v>0</v>
      </c>
      <c r="AO50" s="221">
        <v>126.44158308848056</v>
      </c>
      <c r="AP50" s="221">
        <v>0</v>
      </c>
      <c r="AQ50" s="221">
        <v>0</v>
      </c>
      <c r="AR50" s="221">
        <v>0</v>
      </c>
      <c r="AS50" s="221">
        <v>0</v>
      </c>
      <c r="AT50" s="223">
        <v>167060.01651221252</v>
      </c>
      <c r="AV50" s="218" t="s">
        <v>7</v>
      </c>
      <c r="AW50" s="257">
        <f>SUM(AW30:AW49)</f>
        <v>28162.194300097664</v>
      </c>
      <c r="AX50" s="257">
        <f t="shared" ref="AX50" si="3">SUM(AX30:AX49)</f>
        <v>4505.2135665151818</v>
      </c>
      <c r="AY50" s="257">
        <f t="shared" ref="AY50" si="4">SUM(AY30:AY49)</f>
        <v>4458.6255461090514</v>
      </c>
      <c r="AZ50" s="257">
        <f t="shared" ref="AZ50" si="5">SUM(AZ30:AZ49)</f>
        <v>25937.787031855187</v>
      </c>
      <c r="BA50" s="257">
        <f t="shared" ref="BA50" si="6">SUM(BA30:BA49)</f>
        <v>12180.053033041177</v>
      </c>
      <c r="BB50" s="257">
        <f t="shared" ref="BB50" si="7">SUM(BB30:BB49)</f>
        <v>61280.082511988905</v>
      </c>
      <c r="BC50" s="257">
        <f t="shared" ref="BC50" si="8">SUM(BC30:BC49)</f>
        <v>3741.3345503181336</v>
      </c>
      <c r="BD50" s="257">
        <f t="shared" ref="BD50" si="9">SUM(BD30:BD49)</f>
        <v>0</v>
      </c>
      <c r="BE50" s="257">
        <f t="shared" ref="BE50" si="10">SUM(BE30:BE49)</f>
        <v>0</v>
      </c>
      <c r="BF50" s="257">
        <f t="shared" ref="BF50" si="11">SUM(BF30:BF49)</f>
        <v>9497.0140341939659</v>
      </c>
      <c r="BG50" s="257">
        <f t="shared" ref="BG50" si="12">SUM(BG30:BG49)</f>
        <v>2237.0781738079454</v>
      </c>
      <c r="BH50" s="257">
        <f t="shared" ref="BH50" si="13">SUM(BH30:BH49)</f>
        <v>1995.983180563682</v>
      </c>
      <c r="BI50" s="257">
        <f t="shared" ref="BI50" si="14">SUM(BI30:BI49)</f>
        <v>0</v>
      </c>
      <c r="BJ50" s="257">
        <f t="shared" ref="BJ50" si="15">SUM(BJ30:BJ49)</f>
        <v>0</v>
      </c>
      <c r="BK50" s="257">
        <f t="shared" ref="BK50" si="16">SUM(BK30:BK49)</f>
        <v>0</v>
      </c>
      <c r="BL50" s="257">
        <f t="shared" ref="BL50" si="17">SUM(BL30:BL49)</f>
        <v>63.220791544240278</v>
      </c>
      <c r="BM50" s="257">
        <f t="shared" ref="BM50" si="18">SUM(BM30:BM49)</f>
        <v>0</v>
      </c>
      <c r="BN50" s="257">
        <f t="shared" ref="BN50" si="19">SUM(BN30:BN49)</f>
        <v>0</v>
      </c>
      <c r="BO50" s="257">
        <f t="shared" ref="BO50" si="20">SUM(BO30:BO49)</f>
        <v>0</v>
      </c>
      <c r="BP50" s="257">
        <f t="shared" ref="BP50" si="21">SUM(BP30:BP49)</f>
        <v>0</v>
      </c>
      <c r="BQ50" s="222">
        <f t="shared" si="2"/>
        <v>154058.58672003512</v>
      </c>
      <c r="BR50" s="214"/>
      <c r="BT50" s="218" t="s">
        <v>7</v>
      </c>
      <c r="BU50" s="219">
        <v>2</v>
      </c>
      <c r="BV50" s="220">
        <v>6</v>
      </c>
      <c r="BW50" s="221">
        <v>0</v>
      </c>
      <c r="BX50" s="221">
        <v>0</v>
      </c>
      <c r="BY50" s="221">
        <v>0</v>
      </c>
      <c r="BZ50" s="221">
        <v>0</v>
      </c>
      <c r="CA50" s="221">
        <v>0</v>
      </c>
      <c r="CB50" s="221">
        <v>0</v>
      </c>
      <c r="CC50" s="221">
        <v>0</v>
      </c>
      <c r="CD50" s="221">
        <v>0</v>
      </c>
      <c r="CE50" s="221">
        <v>0</v>
      </c>
      <c r="CF50" s="221">
        <v>0</v>
      </c>
      <c r="CG50" s="221">
        <v>0</v>
      </c>
      <c r="CH50" s="221">
        <v>0</v>
      </c>
      <c r="CI50" s="221">
        <v>0</v>
      </c>
      <c r="CJ50" s="221">
        <v>2</v>
      </c>
      <c r="CK50" s="221">
        <v>0</v>
      </c>
      <c r="CL50" s="221">
        <v>0</v>
      </c>
      <c r="CM50" s="221">
        <v>0</v>
      </c>
      <c r="CN50" s="221">
        <v>0</v>
      </c>
      <c r="CO50" s="223">
        <v>10</v>
      </c>
      <c r="CP50" s="227"/>
      <c r="CQ50" s="218" t="s">
        <v>7</v>
      </c>
      <c r="CR50" s="219">
        <v>63.654270291652153</v>
      </c>
      <c r="CS50" s="220">
        <v>86.933897467933662</v>
      </c>
      <c r="CT50" s="221">
        <v>0</v>
      </c>
      <c r="CU50" s="221">
        <v>0</v>
      </c>
      <c r="CV50" s="221">
        <v>0</v>
      </c>
      <c r="CW50" s="221">
        <v>0</v>
      </c>
      <c r="CX50" s="221">
        <v>0</v>
      </c>
      <c r="CY50" s="221">
        <v>0</v>
      </c>
      <c r="CZ50" s="221">
        <v>0</v>
      </c>
      <c r="DA50" s="221">
        <v>0</v>
      </c>
      <c r="DB50" s="221">
        <v>0</v>
      </c>
      <c r="DC50" s="221">
        <v>0</v>
      </c>
      <c r="DD50" s="221">
        <v>0</v>
      </c>
      <c r="DE50" s="221">
        <v>0</v>
      </c>
      <c r="DF50" s="221">
        <v>0</v>
      </c>
      <c r="DG50" s="221">
        <v>63.411972342319878</v>
      </c>
      <c r="DH50" s="221">
        <v>0</v>
      </c>
      <c r="DI50" s="221">
        <v>0</v>
      </c>
      <c r="DJ50" s="221">
        <v>0</v>
      </c>
      <c r="DK50" s="221">
        <v>0</v>
      </c>
      <c r="DL50" s="223">
        <v>214.00014010190569</v>
      </c>
      <c r="DM50" s="214"/>
      <c r="DN50" s="214"/>
      <c r="DO50" s="227"/>
      <c r="DP50" s="218" t="s">
        <v>7</v>
      </c>
      <c r="DQ50" s="219">
        <v>13</v>
      </c>
      <c r="DR50" s="220">
        <v>14</v>
      </c>
      <c r="DS50" s="221">
        <v>0</v>
      </c>
      <c r="DT50" s="221">
        <v>0</v>
      </c>
      <c r="DU50" s="221">
        <v>2</v>
      </c>
      <c r="DV50" s="221">
        <v>0</v>
      </c>
      <c r="DW50" s="221">
        <v>0</v>
      </c>
      <c r="DX50" s="221">
        <v>0</v>
      </c>
      <c r="DY50" s="221">
        <v>0</v>
      </c>
      <c r="DZ50" s="221">
        <v>0</v>
      </c>
      <c r="EA50" s="221">
        <v>0</v>
      </c>
      <c r="EB50" s="221">
        <v>0</v>
      </c>
      <c r="EC50" s="221">
        <v>0</v>
      </c>
      <c r="ED50" s="221">
        <v>0</v>
      </c>
      <c r="EE50" s="221">
        <v>0</v>
      </c>
      <c r="EF50" s="221">
        <v>2</v>
      </c>
      <c r="EG50" s="221">
        <v>0</v>
      </c>
      <c r="EH50" s="221">
        <v>0</v>
      </c>
      <c r="EI50" s="221">
        <v>0</v>
      </c>
      <c r="EJ50" s="221">
        <v>0</v>
      </c>
      <c r="EK50" s="223">
        <v>31</v>
      </c>
      <c r="EL50" s="241"/>
      <c r="EM50" s="218" t="s">
        <v>7</v>
      </c>
      <c r="EN50" s="219">
        <v>1431.1629871887897</v>
      </c>
      <c r="EO50" s="220">
        <v>853.97209923603577</v>
      </c>
      <c r="EP50" s="221">
        <v>0</v>
      </c>
      <c r="EQ50" s="221">
        <v>0</v>
      </c>
      <c r="ER50" s="221">
        <v>298.69842046008353</v>
      </c>
      <c r="ES50" s="221">
        <v>0</v>
      </c>
      <c r="ET50" s="221">
        <v>0</v>
      </c>
      <c r="EU50" s="221">
        <v>0</v>
      </c>
      <c r="EV50" s="221">
        <v>0</v>
      </c>
      <c r="EW50" s="221">
        <v>0</v>
      </c>
      <c r="EX50" s="221">
        <v>0</v>
      </c>
      <c r="EY50" s="221">
        <v>0</v>
      </c>
      <c r="EZ50" s="221">
        <v>0</v>
      </c>
      <c r="FA50" s="221">
        <v>0</v>
      </c>
      <c r="FB50" s="221">
        <v>0</v>
      </c>
      <c r="FC50" s="221">
        <v>63.411972342319878</v>
      </c>
      <c r="FD50" s="221">
        <v>0</v>
      </c>
      <c r="FE50" s="221">
        <v>0</v>
      </c>
      <c r="FF50" s="221">
        <v>0</v>
      </c>
      <c r="FG50" s="221">
        <v>0</v>
      </c>
      <c r="FH50" s="223">
        <v>2647.2454792272288</v>
      </c>
    </row>
    <row r="51" spans="2:164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14"/>
      <c r="BV51" s="206"/>
      <c r="BW51" s="208"/>
      <c r="BX51" s="208"/>
      <c r="BY51" s="208"/>
      <c r="BZ51" s="208"/>
      <c r="CA51" s="208"/>
      <c r="CB51" s="208"/>
      <c r="CC51" s="208"/>
      <c r="CD51" s="208"/>
      <c r="CE51" s="208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Q51" s="214"/>
      <c r="CS51" s="206"/>
      <c r="CT51" s="208"/>
      <c r="CU51" s="208"/>
      <c r="CV51" s="208"/>
      <c r="CW51" s="208"/>
      <c r="CX51" s="208"/>
      <c r="CY51" s="208"/>
      <c r="CZ51" s="208"/>
      <c r="DA51" s="208"/>
      <c r="DB51" s="208"/>
      <c r="DC51" s="208"/>
      <c r="DD51" s="208"/>
      <c r="DE51" s="208"/>
      <c r="DF51" s="208"/>
      <c r="DG51" s="208"/>
      <c r="DH51" s="208"/>
      <c r="DI51" s="208"/>
      <c r="DJ51" s="208"/>
      <c r="DK51" s="208"/>
      <c r="DL51" s="208"/>
      <c r="DM51" s="214"/>
      <c r="DN51" s="214"/>
      <c r="DP51" s="214"/>
      <c r="DR51" s="206"/>
      <c r="DS51" s="208"/>
      <c r="DT51" s="208"/>
      <c r="DU51" s="208"/>
      <c r="DV51" s="208"/>
      <c r="DW51" s="208"/>
      <c r="DX51" s="208"/>
      <c r="DY51" s="208"/>
      <c r="DZ51" s="208"/>
      <c r="EA51" s="208"/>
      <c r="EB51" s="208"/>
      <c r="EC51" s="208"/>
      <c r="ED51" s="208"/>
      <c r="EE51" s="208"/>
      <c r="EF51" s="208"/>
      <c r="EG51" s="208"/>
      <c r="EH51" s="208"/>
      <c r="EI51" s="208"/>
      <c r="EJ51" s="208"/>
      <c r="EK51" s="208"/>
      <c r="EL51" s="206"/>
      <c r="EM51" s="214"/>
      <c r="EO51" s="206"/>
      <c r="EP51" s="208"/>
      <c r="EQ51" s="208"/>
      <c r="ER51" s="208"/>
      <c r="ES51" s="208"/>
      <c r="ET51" s="208"/>
      <c r="EU51" s="208"/>
      <c r="EV51" s="208"/>
      <c r="EW51" s="208"/>
      <c r="EX51" s="208"/>
      <c r="EY51" s="208"/>
      <c r="EZ51" s="208"/>
      <c r="FA51" s="208"/>
      <c r="FB51" s="208"/>
      <c r="FC51" s="208"/>
      <c r="FD51" s="208"/>
      <c r="FE51" s="208"/>
      <c r="FF51" s="208"/>
      <c r="FG51" s="208"/>
      <c r="FH51" s="208"/>
    </row>
    <row r="52" spans="2:164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14" t="s">
        <v>233</v>
      </c>
      <c r="BV52" s="206"/>
      <c r="BW52" s="208"/>
      <c r="BX52" s="208"/>
      <c r="BY52" s="208"/>
      <c r="BZ52" s="208"/>
      <c r="CA52" s="208"/>
      <c r="CB52" s="208"/>
      <c r="CC52" s="208"/>
      <c r="CD52" s="208"/>
      <c r="CE52" s="208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Q52" s="214" t="s">
        <v>233</v>
      </c>
      <c r="CS52" s="206"/>
      <c r="CT52" s="208"/>
      <c r="CU52" s="208"/>
      <c r="CV52" s="208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08"/>
      <c r="DK52" s="208"/>
      <c r="DL52" s="208"/>
      <c r="DM52" s="214"/>
      <c r="DN52" s="214"/>
      <c r="DP52" s="214" t="s">
        <v>233</v>
      </c>
      <c r="DR52" s="206"/>
      <c r="DS52" s="208"/>
      <c r="DT52" s="208"/>
      <c r="DU52" s="208"/>
      <c r="DV52" s="208"/>
      <c r="DW52" s="208"/>
      <c r="DX52" s="208"/>
      <c r="DY52" s="208"/>
      <c r="DZ52" s="208"/>
      <c r="EA52" s="208"/>
      <c r="EB52" s="208"/>
      <c r="EC52" s="208"/>
      <c r="ED52" s="208"/>
      <c r="EE52" s="208"/>
      <c r="EF52" s="208"/>
      <c r="EG52" s="208"/>
      <c r="EH52" s="208"/>
      <c r="EI52" s="208"/>
      <c r="EJ52" s="208"/>
      <c r="EK52" s="208"/>
      <c r="EL52" s="206"/>
      <c r="EM52" s="214" t="s">
        <v>233</v>
      </c>
      <c r="EO52" s="206"/>
      <c r="EP52" s="208"/>
      <c r="EQ52" s="208"/>
      <c r="ER52" s="208"/>
      <c r="ES52" s="208"/>
      <c r="ET52" s="208"/>
      <c r="EU52" s="208"/>
      <c r="EV52" s="208"/>
      <c r="EW52" s="208"/>
      <c r="EX52" s="208"/>
      <c r="EY52" s="208"/>
      <c r="EZ52" s="208"/>
      <c r="FA52" s="208"/>
      <c r="FB52" s="208"/>
      <c r="FC52" s="208"/>
      <c r="FD52" s="208"/>
      <c r="FE52" s="208"/>
      <c r="FF52" s="208"/>
      <c r="FG52" s="208"/>
      <c r="FH52" s="208"/>
    </row>
    <row r="53" spans="2:164" ht="36" x14ac:dyDescent="0.2">
      <c r="B53" s="224" t="s">
        <v>331</v>
      </c>
      <c r="C53" s="225" t="s">
        <v>332</v>
      </c>
      <c r="D53" s="225" t="s">
        <v>333</v>
      </c>
      <c r="E53" s="225" t="s">
        <v>334</v>
      </c>
      <c r="F53" s="225" t="s">
        <v>2</v>
      </c>
      <c r="G53" s="225" t="s">
        <v>3</v>
      </c>
      <c r="H53" s="225" t="s">
        <v>335</v>
      </c>
      <c r="I53" s="225" t="s">
        <v>362</v>
      </c>
      <c r="J53" s="225" t="s">
        <v>349</v>
      </c>
      <c r="K53" s="225" t="s">
        <v>337</v>
      </c>
      <c r="L53" s="225" t="s">
        <v>338</v>
      </c>
      <c r="M53" s="225" t="s">
        <v>339</v>
      </c>
      <c r="N53" s="225" t="s">
        <v>340</v>
      </c>
      <c r="O53" s="225" t="s">
        <v>361</v>
      </c>
      <c r="P53" s="225" t="s">
        <v>350</v>
      </c>
      <c r="Q53" s="225" t="s">
        <v>341</v>
      </c>
      <c r="R53" s="225" t="s">
        <v>342</v>
      </c>
      <c r="S53" s="225" t="s">
        <v>343</v>
      </c>
      <c r="T53" s="225" t="s">
        <v>6</v>
      </c>
      <c r="U53" s="225" t="s">
        <v>344</v>
      </c>
      <c r="V53" s="225" t="s">
        <v>345</v>
      </c>
      <c r="W53" s="226" t="s">
        <v>7</v>
      </c>
      <c r="X53" s="208"/>
      <c r="Y53" s="224" t="s">
        <v>331</v>
      </c>
      <c r="Z53" s="225" t="s">
        <v>332</v>
      </c>
      <c r="AA53" s="225" t="s">
        <v>333</v>
      </c>
      <c r="AB53" s="225" t="s">
        <v>334</v>
      </c>
      <c r="AC53" s="225" t="s">
        <v>2</v>
      </c>
      <c r="AD53" s="225" t="s">
        <v>3</v>
      </c>
      <c r="AE53" s="225" t="s">
        <v>335</v>
      </c>
      <c r="AF53" s="225" t="s">
        <v>362</v>
      </c>
      <c r="AG53" s="225" t="s">
        <v>349</v>
      </c>
      <c r="AH53" s="225" t="s">
        <v>337</v>
      </c>
      <c r="AI53" s="225" t="s">
        <v>338</v>
      </c>
      <c r="AJ53" s="225" t="s">
        <v>339</v>
      </c>
      <c r="AK53" s="225" t="s">
        <v>340</v>
      </c>
      <c r="AL53" s="225" t="s">
        <v>361</v>
      </c>
      <c r="AM53" s="225" t="s">
        <v>350</v>
      </c>
      <c r="AN53" s="225" t="s">
        <v>341</v>
      </c>
      <c r="AO53" s="225" t="s">
        <v>342</v>
      </c>
      <c r="AP53" s="225" t="s">
        <v>343</v>
      </c>
      <c r="AQ53" s="225" t="s">
        <v>6</v>
      </c>
      <c r="AR53" s="225" t="s">
        <v>344</v>
      </c>
      <c r="AS53" s="225" t="s">
        <v>345</v>
      </c>
      <c r="AT53" s="226" t="s">
        <v>7</v>
      </c>
      <c r="AV53" s="224" t="s">
        <v>331</v>
      </c>
      <c r="AW53" s="225" t="s">
        <v>332</v>
      </c>
      <c r="AX53" s="225" t="s">
        <v>333</v>
      </c>
      <c r="AY53" s="225" t="s">
        <v>334</v>
      </c>
      <c r="AZ53" s="225" t="s">
        <v>2</v>
      </c>
      <c r="BA53" s="225" t="s">
        <v>3</v>
      </c>
      <c r="BB53" s="225" t="s">
        <v>335</v>
      </c>
      <c r="BC53" s="225" t="s">
        <v>362</v>
      </c>
      <c r="BD53" s="225" t="s">
        <v>349</v>
      </c>
      <c r="BE53" s="225" t="s">
        <v>337</v>
      </c>
      <c r="BF53" s="225" t="s">
        <v>338</v>
      </c>
      <c r="BG53" s="225" t="s">
        <v>339</v>
      </c>
      <c r="BH53" s="225" t="s">
        <v>340</v>
      </c>
      <c r="BI53" s="225" t="s">
        <v>361</v>
      </c>
      <c r="BJ53" s="225" t="s">
        <v>350</v>
      </c>
      <c r="BK53" s="225" t="s">
        <v>341</v>
      </c>
      <c r="BL53" s="225" t="s">
        <v>342</v>
      </c>
      <c r="BM53" s="225" t="s">
        <v>343</v>
      </c>
      <c r="BN53" s="225" t="s">
        <v>6</v>
      </c>
      <c r="BO53" s="225" t="s">
        <v>344</v>
      </c>
      <c r="BP53" s="225" t="s">
        <v>345</v>
      </c>
      <c r="BQ53" s="226" t="s">
        <v>7</v>
      </c>
      <c r="BR53" s="235"/>
      <c r="BS53" s="236"/>
      <c r="BT53" s="224" t="s">
        <v>331</v>
      </c>
      <c r="BU53" s="225" t="s">
        <v>332</v>
      </c>
      <c r="BV53" s="225" t="s">
        <v>333</v>
      </c>
      <c r="BW53" s="225" t="s">
        <v>334</v>
      </c>
      <c r="BX53" s="225" t="s">
        <v>2</v>
      </c>
      <c r="BY53" s="225" t="s">
        <v>3</v>
      </c>
      <c r="BZ53" s="225" t="s">
        <v>335</v>
      </c>
      <c r="CA53" s="225" t="s">
        <v>362</v>
      </c>
      <c r="CB53" s="225" t="s">
        <v>349</v>
      </c>
      <c r="CC53" s="225" t="s">
        <v>337</v>
      </c>
      <c r="CD53" s="225" t="s">
        <v>338</v>
      </c>
      <c r="CE53" s="225" t="s">
        <v>339</v>
      </c>
      <c r="CF53" s="225" t="s">
        <v>340</v>
      </c>
      <c r="CG53" s="225" t="s">
        <v>361</v>
      </c>
      <c r="CH53" s="225" t="s">
        <v>350</v>
      </c>
      <c r="CI53" s="225" t="s">
        <v>341</v>
      </c>
      <c r="CJ53" s="225" t="s">
        <v>342</v>
      </c>
      <c r="CK53" s="225" t="s">
        <v>343</v>
      </c>
      <c r="CL53" s="225" t="s">
        <v>6</v>
      </c>
      <c r="CM53" s="225" t="s">
        <v>344</v>
      </c>
      <c r="CN53" s="225" t="s">
        <v>345</v>
      </c>
      <c r="CO53" s="226" t="s">
        <v>7</v>
      </c>
      <c r="CQ53" s="224" t="s">
        <v>331</v>
      </c>
      <c r="CR53" s="225" t="s">
        <v>332</v>
      </c>
      <c r="CS53" s="225" t="s">
        <v>333</v>
      </c>
      <c r="CT53" s="225" t="s">
        <v>334</v>
      </c>
      <c r="CU53" s="225" t="s">
        <v>2</v>
      </c>
      <c r="CV53" s="225" t="s">
        <v>3</v>
      </c>
      <c r="CW53" s="225" t="s">
        <v>335</v>
      </c>
      <c r="CX53" s="225" t="s">
        <v>362</v>
      </c>
      <c r="CY53" s="225" t="s">
        <v>349</v>
      </c>
      <c r="CZ53" s="225" t="s">
        <v>337</v>
      </c>
      <c r="DA53" s="225" t="s">
        <v>338</v>
      </c>
      <c r="DB53" s="225" t="s">
        <v>339</v>
      </c>
      <c r="DC53" s="225" t="s">
        <v>340</v>
      </c>
      <c r="DD53" s="225" t="s">
        <v>361</v>
      </c>
      <c r="DE53" s="225" t="s">
        <v>350</v>
      </c>
      <c r="DF53" s="225" t="s">
        <v>341</v>
      </c>
      <c r="DG53" s="225" t="s">
        <v>342</v>
      </c>
      <c r="DH53" s="225" t="s">
        <v>343</v>
      </c>
      <c r="DI53" s="225" t="s">
        <v>6</v>
      </c>
      <c r="DJ53" s="225" t="s">
        <v>344</v>
      </c>
      <c r="DK53" s="225" t="s">
        <v>345</v>
      </c>
      <c r="DL53" s="226" t="s">
        <v>7</v>
      </c>
      <c r="DM53" s="214"/>
      <c r="DN53" s="214"/>
      <c r="DP53" s="224" t="s">
        <v>331</v>
      </c>
      <c r="DQ53" s="225" t="s">
        <v>332</v>
      </c>
      <c r="DR53" s="225" t="s">
        <v>333</v>
      </c>
      <c r="DS53" s="225" t="s">
        <v>334</v>
      </c>
      <c r="DT53" s="225" t="s">
        <v>2</v>
      </c>
      <c r="DU53" s="225" t="s">
        <v>3</v>
      </c>
      <c r="DV53" s="225" t="s">
        <v>335</v>
      </c>
      <c r="DW53" s="225" t="s">
        <v>362</v>
      </c>
      <c r="DX53" s="225" t="s">
        <v>349</v>
      </c>
      <c r="DY53" s="225" t="s">
        <v>337</v>
      </c>
      <c r="DZ53" s="225" t="s">
        <v>338</v>
      </c>
      <c r="EA53" s="225" t="s">
        <v>339</v>
      </c>
      <c r="EB53" s="225" t="s">
        <v>340</v>
      </c>
      <c r="EC53" s="225" t="s">
        <v>361</v>
      </c>
      <c r="ED53" s="225" t="s">
        <v>350</v>
      </c>
      <c r="EE53" s="225" t="s">
        <v>341</v>
      </c>
      <c r="EF53" s="225" t="s">
        <v>342</v>
      </c>
      <c r="EG53" s="225" t="s">
        <v>343</v>
      </c>
      <c r="EH53" s="225" t="s">
        <v>6</v>
      </c>
      <c r="EI53" s="225" t="s">
        <v>344</v>
      </c>
      <c r="EJ53" s="225" t="s">
        <v>345</v>
      </c>
      <c r="EK53" s="226" t="s">
        <v>7</v>
      </c>
      <c r="EL53" s="240"/>
      <c r="EM53" s="224" t="s">
        <v>331</v>
      </c>
      <c r="EN53" s="225" t="s">
        <v>332</v>
      </c>
      <c r="EO53" s="225" t="s">
        <v>333</v>
      </c>
      <c r="EP53" s="225" t="s">
        <v>334</v>
      </c>
      <c r="EQ53" s="225" t="s">
        <v>2</v>
      </c>
      <c r="ER53" s="225" t="s">
        <v>3</v>
      </c>
      <c r="ES53" s="225" t="s">
        <v>335</v>
      </c>
      <c r="ET53" s="225" t="s">
        <v>362</v>
      </c>
      <c r="EU53" s="225" t="s">
        <v>349</v>
      </c>
      <c r="EV53" s="225" t="s">
        <v>337</v>
      </c>
      <c r="EW53" s="225" t="s">
        <v>338</v>
      </c>
      <c r="EX53" s="225" t="s">
        <v>339</v>
      </c>
      <c r="EY53" s="225" t="s">
        <v>340</v>
      </c>
      <c r="EZ53" s="225" t="s">
        <v>361</v>
      </c>
      <c r="FA53" s="225" t="s">
        <v>350</v>
      </c>
      <c r="FB53" s="225" t="s">
        <v>341</v>
      </c>
      <c r="FC53" s="225" t="s">
        <v>342</v>
      </c>
      <c r="FD53" s="225" t="s">
        <v>343</v>
      </c>
      <c r="FE53" s="225" t="s">
        <v>6</v>
      </c>
      <c r="FF53" s="225" t="s">
        <v>344</v>
      </c>
      <c r="FG53" s="225" t="s">
        <v>345</v>
      </c>
      <c r="FH53" s="226" t="s">
        <v>7</v>
      </c>
    </row>
    <row r="54" spans="2:164" x14ac:dyDescent="0.2">
      <c r="B54" s="233" t="s">
        <v>332</v>
      </c>
      <c r="C54" s="227">
        <v>37</v>
      </c>
      <c r="D54" s="227">
        <v>13</v>
      </c>
      <c r="E54" s="227">
        <v>0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50</v>
      </c>
      <c r="X54" s="208"/>
      <c r="Y54" s="233" t="s">
        <v>332</v>
      </c>
      <c r="Z54" s="227">
        <v>57011.2788156526</v>
      </c>
      <c r="AA54" s="227">
        <v>3377.8602795302959</v>
      </c>
      <c r="AB54" s="227">
        <v>0</v>
      </c>
      <c r="AC54" s="254">
        <v>0</v>
      </c>
      <c r="AD54" s="254">
        <v>0</v>
      </c>
      <c r="AE54" s="254">
        <v>0</v>
      </c>
      <c r="AF54" s="254">
        <v>0</v>
      </c>
      <c r="AG54" s="254">
        <v>0</v>
      </c>
      <c r="AH54" s="254">
        <v>0</v>
      </c>
      <c r="AI54" s="254">
        <v>0</v>
      </c>
      <c r="AJ54" s="254">
        <v>0</v>
      </c>
      <c r="AK54" s="254">
        <v>0</v>
      </c>
      <c r="AL54" s="254">
        <v>0</v>
      </c>
      <c r="AM54" s="254">
        <v>0</v>
      </c>
      <c r="AN54" s="254">
        <v>0</v>
      </c>
      <c r="AO54" s="254">
        <v>0</v>
      </c>
      <c r="AP54" s="254">
        <v>0</v>
      </c>
      <c r="AQ54" s="254">
        <v>0</v>
      </c>
      <c r="AR54" s="254">
        <v>0</v>
      </c>
      <c r="AS54" s="254">
        <v>0</v>
      </c>
      <c r="AT54" s="230">
        <v>60389.139095182894</v>
      </c>
      <c r="AV54" s="233" t="s">
        <v>332</v>
      </c>
      <c r="AW54" s="227">
        <v>57011.2788156526</v>
      </c>
      <c r="AX54" s="227">
        <v>3377.8602795302959</v>
      </c>
      <c r="AY54" s="227">
        <v>0</v>
      </c>
      <c r="AZ54" s="254">
        <v>0</v>
      </c>
      <c r="BA54" s="254">
        <v>0</v>
      </c>
      <c r="BB54" s="254">
        <v>0</v>
      </c>
      <c r="BC54" s="254">
        <v>0</v>
      </c>
      <c r="BD54" s="254">
        <v>0</v>
      </c>
      <c r="BE54" s="254">
        <v>0</v>
      </c>
      <c r="BF54" s="254">
        <v>0</v>
      </c>
      <c r="BG54" s="254">
        <v>0</v>
      </c>
      <c r="BH54" s="254">
        <v>0</v>
      </c>
      <c r="BI54" s="254">
        <v>0</v>
      </c>
      <c r="BJ54" s="254">
        <v>0</v>
      </c>
      <c r="BK54" s="254">
        <v>0</v>
      </c>
      <c r="BL54" s="254">
        <v>0</v>
      </c>
      <c r="BM54" s="254">
        <v>0</v>
      </c>
      <c r="BN54" s="254">
        <v>0</v>
      </c>
      <c r="BO54" s="254">
        <v>0</v>
      </c>
      <c r="BP54" s="254">
        <v>0</v>
      </c>
      <c r="BQ54" s="230">
        <f t="shared" ref="BQ54:BQ74" si="22">SUM(AW54:BP54)</f>
        <v>60389.139095182894</v>
      </c>
      <c r="BR54" s="237"/>
      <c r="BS54" s="227"/>
      <c r="BT54" s="233" t="s">
        <v>332</v>
      </c>
      <c r="BU54" s="227">
        <v>17</v>
      </c>
      <c r="BV54" s="227">
        <v>0</v>
      </c>
      <c r="BW54" s="227">
        <v>0</v>
      </c>
      <c r="BX54" s="227">
        <v>0</v>
      </c>
      <c r="BY54" s="227">
        <v>0</v>
      </c>
      <c r="BZ54" s="227">
        <v>0</v>
      </c>
      <c r="CA54" s="227">
        <v>0</v>
      </c>
      <c r="CB54" s="227">
        <v>0</v>
      </c>
      <c r="CC54" s="227">
        <v>0</v>
      </c>
      <c r="CD54" s="227">
        <v>0</v>
      </c>
      <c r="CE54" s="227">
        <v>0</v>
      </c>
      <c r="CF54" s="227">
        <v>0</v>
      </c>
      <c r="CG54" s="227">
        <v>0</v>
      </c>
      <c r="CH54" s="227">
        <v>0</v>
      </c>
      <c r="CI54" s="227">
        <v>0</v>
      </c>
      <c r="CJ54" s="227">
        <v>0</v>
      </c>
      <c r="CK54" s="227">
        <v>0</v>
      </c>
      <c r="CL54" s="227">
        <v>0</v>
      </c>
      <c r="CM54" s="227">
        <v>0</v>
      </c>
      <c r="CN54" s="227">
        <v>0</v>
      </c>
      <c r="CO54" s="230">
        <v>17</v>
      </c>
      <c r="CP54" s="236"/>
      <c r="CQ54" s="233" t="s">
        <v>332</v>
      </c>
      <c r="CR54" s="227">
        <v>31034.387224658443</v>
      </c>
      <c r="CS54" s="227">
        <v>0</v>
      </c>
      <c r="CT54" s="227">
        <v>0</v>
      </c>
      <c r="CU54" s="227">
        <v>0</v>
      </c>
      <c r="CV54" s="227">
        <v>0</v>
      </c>
      <c r="CW54" s="227">
        <v>0</v>
      </c>
      <c r="CX54" s="227">
        <v>0</v>
      </c>
      <c r="CY54" s="227">
        <v>0</v>
      </c>
      <c r="CZ54" s="227">
        <v>0</v>
      </c>
      <c r="DA54" s="227">
        <v>0</v>
      </c>
      <c r="DB54" s="227">
        <v>0</v>
      </c>
      <c r="DC54" s="227">
        <v>0</v>
      </c>
      <c r="DD54" s="227">
        <v>0</v>
      </c>
      <c r="DE54" s="227">
        <v>0</v>
      </c>
      <c r="DF54" s="227">
        <v>0</v>
      </c>
      <c r="DG54" s="227">
        <v>0</v>
      </c>
      <c r="DH54" s="227">
        <v>0</v>
      </c>
      <c r="DI54" s="227">
        <v>0</v>
      </c>
      <c r="DJ54" s="227">
        <v>0</v>
      </c>
      <c r="DK54" s="227">
        <v>0</v>
      </c>
      <c r="DL54" s="230">
        <v>31034.387224658443</v>
      </c>
      <c r="DM54" s="235"/>
      <c r="DN54" s="235"/>
      <c r="DO54" s="236"/>
      <c r="DP54" s="233" t="s">
        <v>332</v>
      </c>
      <c r="DQ54" s="227">
        <v>17</v>
      </c>
      <c r="DR54" s="227">
        <v>0</v>
      </c>
      <c r="DS54" s="227">
        <v>0</v>
      </c>
      <c r="DT54" s="227">
        <v>0</v>
      </c>
      <c r="DU54" s="227">
        <v>0</v>
      </c>
      <c r="DV54" s="227">
        <v>0</v>
      </c>
      <c r="DW54" s="227">
        <v>0</v>
      </c>
      <c r="DX54" s="227">
        <v>0</v>
      </c>
      <c r="DY54" s="227">
        <v>0</v>
      </c>
      <c r="DZ54" s="227">
        <v>0</v>
      </c>
      <c r="EA54" s="227">
        <v>0</v>
      </c>
      <c r="EB54" s="227">
        <v>0</v>
      </c>
      <c r="EC54" s="227">
        <v>0</v>
      </c>
      <c r="ED54" s="227">
        <v>0</v>
      </c>
      <c r="EE54" s="227">
        <v>0</v>
      </c>
      <c r="EF54" s="227">
        <v>0</v>
      </c>
      <c r="EG54" s="227">
        <v>0</v>
      </c>
      <c r="EH54" s="227">
        <v>0</v>
      </c>
      <c r="EI54" s="227">
        <v>0</v>
      </c>
      <c r="EJ54" s="227">
        <v>0</v>
      </c>
      <c r="EK54" s="230">
        <v>17</v>
      </c>
      <c r="EL54" s="239"/>
      <c r="EM54" s="233" t="s">
        <v>332</v>
      </c>
      <c r="EN54" s="227">
        <v>31034.387224658443</v>
      </c>
      <c r="EO54" s="227">
        <v>0</v>
      </c>
      <c r="EP54" s="227">
        <v>0</v>
      </c>
      <c r="EQ54" s="227">
        <v>0</v>
      </c>
      <c r="ER54" s="227">
        <v>0</v>
      </c>
      <c r="ES54" s="227">
        <v>0</v>
      </c>
      <c r="ET54" s="227">
        <v>0</v>
      </c>
      <c r="EU54" s="227">
        <v>0</v>
      </c>
      <c r="EV54" s="227">
        <v>0</v>
      </c>
      <c r="EW54" s="227">
        <v>0</v>
      </c>
      <c r="EX54" s="227">
        <v>0</v>
      </c>
      <c r="EY54" s="227">
        <v>0</v>
      </c>
      <c r="EZ54" s="227">
        <v>0</v>
      </c>
      <c r="FA54" s="227">
        <v>0</v>
      </c>
      <c r="FB54" s="227">
        <v>0</v>
      </c>
      <c r="FC54" s="227">
        <v>0</v>
      </c>
      <c r="FD54" s="227">
        <v>0</v>
      </c>
      <c r="FE54" s="227">
        <v>0</v>
      </c>
      <c r="FF54" s="227">
        <v>0</v>
      </c>
      <c r="FG54" s="227">
        <v>0</v>
      </c>
      <c r="FH54" s="230">
        <v>31034.387224658443</v>
      </c>
    </row>
    <row r="55" spans="2:164" x14ac:dyDescent="0.2">
      <c r="B55" s="215" t="s">
        <v>333</v>
      </c>
      <c r="C55" s="227">
        <v>0</v>
      </c>
      <c r="D55" s="227">
        <v>160</v>
      </c>
      <c r="E55" s="227">
        <v>61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0</v>
      </c>
      <c r="V55" s="227">
        <v>0</v>
      </c>
      <c r="W55" s="230">
        <v>234</v>
      </c>
      <c r="X55" s="208"/>
      <c r="Y55" s="215" t="s">
        <v>333</v>
      </c>
      <c r="Z55" s="227">
        <v>0</v>
      </c>
      <c r="AA55" s="227">
        <v>94206.936917350031</v>
      </c>
      <c r="AB55" s="227">
        <v>55881.110423705366</v>
      </c>
      <c r="AC55" s="227">
        <v>0</v>
      </c>
      <c r="AD55" s="227">
        <v>0</v>
      </c>
      <c r="AE55" s="227">
        <v>5220.0271139384195</v>
      </c>
      <c r="AF55" s="227">
        <v>198.89079099320944</v>
      </c>
      <c r="AG55" s="227">
        <v>0</v>
      </c>
      <c r="AH55" s="227">
        <v>0</v>
      </c>
      <c r="AI55" s="227">
        <v>0</v>
      </c>
      <c r="AJ55" s="227">
        <v>0</v>
      </c>
      <c r="AK55" s="254">
        <v>0</v>
      </c>
      <c r="AL55" s="254">
        <v>134.1050040902484</v>
      </c>
      <c r="AM55" s="254">
        <v>0</v>
      </c>
      <c r="AN55" s="254">
        <v>0</v>
      </c>
      <c r="AO55" s="254">
        <v>3635.6275268353475</v>
      </c>
      <c r="AP55" s="254">
        <v>0</v>
      </c>
      <c r="AQ55" s="227">
        <v>0</v>
      </c>
      <c r="AR55" s="227">
        <v>0</v>
      </c>
      <c r="AS55" s="227">
        <v>0</v>
      </c>
      <c r="AT55" s="230">
        <v>159276.69777691262</v>
      </c>
      <c r="AV55" s="215" t="s">
        <v>333</v>
      </c>
      <c r="AW55" s="227">
        <v>0</v>
      </c>
      <c r="AX55" s="227">
        <v>94206.936917350031</v>
      </c>
      <c r="AY55" s="227">
        <v>55881.110423705366</v>
      </c>
      <c r="AZ55" s="227">
        <v>0</v>
      </c>
      <c r="BA55" s="227">
        <v>0</v>
      </c>
      <c r="BB55" s="227">
        <v>5220.0271139384195</v>
      </c>
      <c r="BC55" s="227">
        <v>198.89079099320944</v>
      </c>
      <c r="BD55" s="227">
        <v>0</v>
      </c>
      <c r="BE55" s="227">
        <v>0</v>
      </c>
      <c r="BF55" s="227">
        <v>0</v>
      </c>
      <c r="BG55" s="227">
        <v>0</v>
      </c>
      <c r="BH55" s="254">
        <v>0</v>
      </c>
      <c r="BI55" s="232">
        <v>0</v>
      </c>
      <c r="BJ55" s="254">
        <v>0</v>
      </c>
      <c r="BK55" s="254">
        <v>0</v>
      </c>
      <c r="BL55" s="232">
        <v>0</v>
      </c>
      <c r="BM55" s="254">
        <v>0</v>
      </c>
      <c r="BN55" s="227">
        <v>0</v>
      </c>
      <c r="BO55" s="227">
        <v>0</v>
      </c>
      <c r="BP55" s="227">
        <v>0</v>
      </c>
      <c r="BQ55" s="230">
        <f t="shared" si="22"/>
        <v>155506.96524598703</v>
      </c>
      <c r="BR55" s="237"/>
      <c r="BS55" s="227"/>
      <c r="BT55" s="215" t="s">
        <v>333</v>
      </c>
      <c r="BU55" s="227">
        <v>0</v>
      </c>
      <c r="BV55" s="227">
        <v>8</v>
      </c>
      <c r="BW55" s="227">
        <v>3</v>
      </c>
      <c r="BX55" s="227">
        <v>0</v>
      </c>
      <c r="BY55" s="227">
        <v>0</v>
      </c>
      <c r="BZ55" s="227">
        <v>0</v>
      </c>
      <c r="CA55" s="227">
        <v>0</v>
      </c>
      <c r="CB55" s="227">
        <v>0</v>
      </c>
      <c r="CC55" s="227">
        <v>0</v>
      </c>
      <c r="CD55" s="227">
        <v>0</v>
      </c>
      <c r="CE55" s="227">
        <v>0</v>
      </c>
      <c r="CF55" s="227">
        <v>0</v>
      </c>
      <c r="CG55" s="227">
        <v>0</v>
      </c>
      <c r="CH55" s="227">
        <v>0</v>
      </c>
      <c r="CI55" s="227">
        <v>0</v>
      </c>
      <c r="CJ55" s="227">
        <v>0</v>
      </c>
      <c r="CK55" s="227">
        <v>0</v>
      </c>
      <c r="CL55" s="227">
        <v>0</v>
      </c>
      <c r="CM55" s="227">
        <v>0</v>
      </c>
      <c r="CN55" s="227">
        <v>0</v>
      </c>
      <c r="CO55" s="230">
        <v>11</v>
      </c>
      <c r="CP55" s="227"/>
      <c r="CQ55" s="215" t="s">
        <v>333</v>
      </c>
      <c r="CR55" s="227">
        <v>0</v>
      </c>
      <c r="CS55" s="227">
        <v>8797.5201504556517</v>
      </c>
      <c r="CT55" s="227">
        <v>233.56584074188765</v>
      </c>
      <c r="CU55" s="227">
        <v>0</v>
      </c>
      <c r="CV55" s="227">
        <v>0</v>
      </c>
      <c r="CW55" s="227">
        <v>0</v>
      </c>
      <c r="CX55" s="227">
        <v>0</v>
      </c>
      <c r="CY55" s="227">
        <v>0</v>
      </c>
      <c r="CZ55" s="227">
        <v>0</v>
      </c>
      <c r="DA55" s="227">
        <v>0</v>
      </c>
      <c r="DB55" s="227">
        <v>0</v>
      </c>
      <c r="DC55" s="227">
        <v>0</v>
      </c>
      <c r="DD55" s="227">
        <v>0</v>
      </c>
      <c r="DE55" s="227">
        <v>0</v>
      </c>
      <c r="DF55" s="227">
        <v>0</v>
      </c>
      <c r="DG55" s="227">
        <v>0</v>
      </c>
      <c r="DH55" s="227">
        <v>0</v>
      </c>
      <c r="DI55" s="227">
        <v>0</v>
      </c>
      <c r="DJ55" s="227">
        <v>0</v>
      </c>
      <c r="DK55" s="227">
        <v>0</v>
      </c>
      <c r="DL55" s="230">
        <v>9031.0859911975385</v>
      </c>
      <c r="DM55" s="237"/>
      <c r="DN55" s="237"/>
      <c r="DO55" s="227"/>
      <c r="DP55" s="215" t="s">
        <v>333</v>
      </c>
      <c r="DQ55" s="227">
        <v>0</v>
      </c>
      <c r="DR55" s="227">
        <v>15</v>
      </c>
      <c r="DS55" s="227">
        <v>10</v>
      </c>
      <c r="DT55" s="227">
        <v>0</v>
      </c>
      <c r="DU55" s="227">
        <v>0</v>
      </c>
      <c r="DV55" s="227">
        <v>0</v>
      </c>
      <c r="DW55" s="227">
        <v>0</v>
      </c>
      <c r="DX55" s="227">
        <v>0</v>
      </c>
      <c r="DY55" s="227">
        <v>0</v>
      </c>
      <c r="DZ55" s="227">
        <v>0</v>
      </c>
      <c r="EA55" s="227">
        <v>0</v>
      </c>
      <c r="EB55" s="227">
        <v>0</v>
      </c>
      <c r="EC55" s="227">
        <v>0</v>
      </c>
      <c r="ED55" s="227">
        <v>0</v>
      </c>
      <c r="EE55" s="227">
        <v>0</v>
      </c>
      <c r="EF55" s="227">
        <v>0</v>
      </c>
      <c r="EG55" s="227">
        <v>0</v>
      </c>
      <c r="EH55" s="227">
        <v>0</v>
      </c>
      <c r="EI55" s="227">
        <v>0</v>
      </c>
      <c r="EJ55" s="227">
        <v>0</v>
      </c>
      <c r="EK55" s="230">
        <v>25</v>
      </c>
      <c r="EL55" s="227"/>
      <c r="EM55" s="215" t="s">
        <v>333</v>
      </c>
      <c r="EN55" s="227">
        <v>0</v>
      </c>
      <c r="EO55" s="227">
        <v>16710.577559034646</v>
      </c>
      <c r="EP55" s="227">
        <v>29342.690068302549</v>
      </c>
      <c r="EQ55" s="227">
        <v>0</v>
      </c>
      <c r="ER55" s="227">
        <v>0</v>
      </c>
      <c r="ES55" s="227">
        <v>0</v>
      </c>
      <c r="ET55" s="227">
        <v>0</v>
      </c>
      <c r="EU55" s="227">
        <v>0</v>
      </c>
      <c r="EV55" s="227">
        <v>0</v>
      </c>
      <c r="EW55" s="227">
        <v>0</v>
      </c>
      <c r="EX55" s="227">
        <v>0</v>
      </c>
      <c r="EY55" s="227">
        <v>0</v>
      </c>
      <c r="EZ55" s="227">
        <v>0</v>
      </c>
      <c r="FA55" s="227">
        <v>0</v>
      </c>
      <c r="FB55" s="227">
        <v>0</v>
      </c>
      <c r="FC55" s="227">
        <v>0</v>
      </c>
      <c r="FD55" s="227">
        <v>0</v>
      </c>
      <c r="FE55" s="227">
        <v>0</v>
      </c>
      <c r="FF55" s="227">
        <v>0</v>
      </c>
      <c r="FG55" s="227">
        <v>0</v>
      </c>
      <c r="FH55" s="230">
        <v>46053.267627337191</v>
      </c>
    </row>
    <row r="56" spans="2:164" ht="24" x14ac:dyDescent="0.2">
      <c r="B56" s="216" t="s">
        <v>334</v>
      </c>
      <c r="C56" s="227">
        <v>0</v>
      </c>
      <c r="D56" s="228">
        <v>0</v>
      </c>
      <c r="E56" s="229">
        <v>177</v>
      </c>
      <c r="F56" s="229">
        <v>0</v>
      </c>
      <c r="G56" s="229">
        <v>0</v>
      </c>
      <c r="H56" s="229">
        <v>6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184</v>
      </c>
      <c r="X56" s="208"/>
      <c r="Y56" s="216" t="s">
        <v>334</v>
      </c>
      <c r="Z56" s="227">
        <v>0</v>
      </c>
      <c r="AA56" s="228">
        <v>0</v>
      </c>
      <c r="AB56" s="229">
        <v>135520.63506670966</v>
      </c>
      <c r="AC56" s="229">
        <v>0</v>
      </c>
      <c r="AD56" s="229">
        <v>0</v>
      </c>
      <c r="AE56" s="229">
        <v>923.16373834485842</v>
      </c>
      <c r="AF56" s="229">
        <v>291.49963695040663</v>
      </c>
      <c r="AG56" s="229">
        <v>0</v>
      </c>
      <c r="AH56" s="229">
        <v>0</v>
      </c>
      <c r="AI56" s="229">
        <v>0</v>
      </c>
      <c r="AJ56" s="229">
        <v>0</v>
      </c>
      <c r="AK56" s="256">
        <v>0</v>
      </c>
      <c r="AL56" s="256">
        <v>0</v>
      </c>
      <c r="AM56" s="256">
        <v>0</v>
      </c>
      <c r="AN56" s="256">
        <v>0</v>
      </c>
      <c r="AO56" s="256">
        <v>0</v>
      </c>
      <c r="AP56" s="256">
        <v>0</v>
      </c>
      <c r="AQ56" s="229">
        <v>0</v>
      </c>
      <c r="AR56" s="229">
        <v>0</v>
      </c>
      <c r="AS56" s="229">
        <v>0</v>
      </c>
      <c r="AT56" s="231">
        <v>136735.29844200492</v>
      </c>
      <c r="AV56" s="216" t="s">
        <v>334</v>
      </c>
      <c r="AW56" s="227">
        <v>0</v>
      </c>
      <c r="AX56" s="228">
        <v>0</v>
      </c>
      <c r="AY56" s="229">
        <v>135520.63506670966</v>
      </c>
      <c r="AZ56" s="229">
        <v>0</v>
      </c>
      <c r="BA56" s="229">
        <v>0</v>
      </c>
      <c r="BB56" s="229">
        <v>923.16373834485842</v>
      </c>
      <c r="BC56" s="229">
        <v>291.49963695040663</v>
      </c>
      <c r="BD56" s="229">
        <v>0</v>
      </c>
      <c r="BE56" s="229">
        <v>0</v>
      </c>
      <c r="BF56" s="229">
        <v>0</v>
      </c>
      <c r="BG56" s="229">
        <v>0</v>
      </c>
      <c r="BH56" s="256">
        <v>0</v>
      </c>
      <c r="BI56" s="256">
        <v>0</v>
      </c>
      <c r="BJ56" s="256">
        <v>0</v>
      </c>
      <c r="BK56" s="256">
        <v>0</v>
      </c>
      <c r="BL56" s="256">
        <v>0</v>
      </c>
      <c r="BM56" s="256">
        <v>0</v>
      </c>
      <c r="BN56" s="229">
        <v>0</v>
      </c>
      <c r="BO56" s="229">
        <v>0</v>
      </c>
      <c r="BP56" s="229">
        <v>0</v>
      </c>
      <c r="BQ56" s="230">
        <f t="shared" si="22"/>
        <v>136735.29844200492</v>
      </c>
      <c r="BR56" s="238"/>
      <c r="BS56" s="227"/>
      <c r="BT56" s="216" t="s">
        <v>334</v>
      </c>
      <c r="BU56" s="227">
        <v>0</v>
      </c>
      <c r="BV56" s="228">
        <v>0</v>
      </c>
      <c r="BW56" s="229">
        <v>5</v>
      </c>
      <c r="BX56" s="229">
        <v>0</v>
      </c>
      <c r="BY56" s="229">
        <v>0</v>
      </c>
      <c r="BZ56" s="229">
        <v>0</v>
      </c>
      <c r="CA56" s="229">
        <v>0</v>
      </c>
      <c r="CB56" s="229">
        <v>0</v>
      </c>
      <c r="CC56" s="229">
        <v>0</v>
      </c>
      <c r="CD56" s="229">
        <v>0</v>
      </c>
      <c r="CE56" s="229">
        <v>0</v>
      </c>
      <c r="CF56" s="229">
        <v>0</v>
      </c>
      <c r="CG56" s="229">
        <v>0</v>
      </c>
      <c r="CH56" s="229">
        <v>0</v>
      </c>
      <c r="CI56" s="229">
        <v>0</v>
      </c>
      <c r="CJ56" s="229">
        <v>0</v>
      </c>
      <c r="CK56" s="229">
        <v>0</v>
      </c>
      <c r="CL56" s="229">
        <v>0</v>
      </c>
      <c r="CM56" s="229">
        <v>0</v>
      </c>
      <c r="CN56" s="229">
        <v>0</v>
      </c>
      <c r="CO56" s="231">
        <v>5</v>
      </c>
      <c r="CP56" s="227"/>
      <c r="CQ56" s="216" t="s">
        <v>334</v>
      </c>
      <c r="CR56" s="227">
        <v>0</v>
      </c>
      <c r="CS56" s="228">
        <v>0</v>
      </c>
      <c r="CT56" s="229">
        <v>368.01454089080892</v>
      </c>
      <c r="CU56" s="229">
        <v>0</v>
      </c>
      <c r="CV56" s="229">
        <v>0</v>
      </c>
      <c r="CW56" s="229">
        <v>0</v>
      </c>
      <c r="CX56" s="229">
        <v>0</v>
      </c>
      <c r="CY56" s="229">
        <v>0</v>
      </c>
      <c r="CZ56" s="229">
        <v>0</v>
      </c>
      <c r="DA56" s="229">
        <v>0</v>
      </c>
      <c r="DB56" s="229">
        <v>0</v>
      </c>
      <c r="DC56" s="229">
        <v>0</v>
      </c>
      <c r="DD56" s="229">
        <v>0</v>
      </c>
      <c r="DE56" s="229">
        <v>0</v>
      </c>
      <c r="DF56" s="229">
        <v>0</v>
      </c>
      <c r="DG56" s="229">
        <v>0</v>
      </c>
      <c r="DH56" s="229">
        <v>0</v>
      </c>
      <c r="DI56" s="229">
        <v>0</v>
      </c>
      <c r="DJ56" s="229">
        <v>0</v>
      </c>
      <c r="DK56" s="229">
        <v>0</v>
      </c>
      <c r="DL56" s="231">
        <v>368.01454089080892</v>
      </c>
      <c r="DM56" s="237"/>
      <c r="DN56" s="237"/>
      <c r="DO56" s="227"/>
      <c r="DP56" s="216" t="s">
        <v>334</v>
      </c>
      <c r="DQ56" s="227">
        <v>0</v>
      </c>
      <c r="DR56" s="228">
        <v>0</v>
      </c>
      <c r="DS56" s="229">
        <v>9</v>
      </c>
      <c r="DT56" s="229">
        <v>0</v>
      </c>
      <c r="DU56" s="229">
        <v>0</v>
      </c>
      <c r="DV56" s="229">
        <v>0</v>
      </c>
      <c r="DW56" s="229">
        <v>0</v>
      </c>
      <c r="DX56" s="229">
        <v>0</v>
      </c>
      <c r="DY56" s="229">
        <v>0</v>
      </c>
      <c r="DZ56" s="229">
        <v>0</v>
      </c>
      <c r="EA56" s="229">
        <v>0</v>
      </c>
      <c r="EB56" s="229">
        <v>0</v>
      </c>
      <c r="EC56" s="229">
        <v>0</v>
      </c>
      <c r="ED56" s="229">
        <v>0</v>
      </c>
      <c r="EE56" s="229">
        <v>0</v>
      </c>
      <c r="EF56" s="229">
        <v>0</v>
      </c>
      <c r="EG56" s="229">
        <v>0</v>
      </c>
      <c r="EH56" s="229">
        <v>0</v>
      </c>
      <c r="EI56" s="229">
        <v>0</v>
      </c>
      <c r="EJ56" s="229">
        <v>0</v>
      </c>
      <c r="EK56" s="231">
        <v>9</v>
      </c>
      <c r="EL56" s="227"/>
      <c r="EM56" s="216" t="s">
        <v>334</v>
      </c>
      <c r="EN56" s="227">
        <v>0</v>
      </c>
      <c r="EO56" s="228">
        <v>0</v>
      </c>
      <c r="EP56" s="229">
        <v>17897.610487762253</v>
      </c>
      <c r="EQ56" s="229">
        <v>0</v>
      </c>
      <c r="ER56" s="229">
        <v>0</v>
      </c>
      <c r="ES56" s="229">
        <v>0</v>
      </c>
      <c r="ET56" s="229">
        <v>0</v>
      </c>
      <c r="EU56" s="229">
        <v>0</v>
      </c>
      <c r="EV56" s="229">
        <v>0</v>
      </c>
      <c r="EW56" s="229">
        <v>0</v>
      </c>
      <c r="EX56" s="229">
        <v>0</v>
      </c>
      <c r="EY56" s="229">
        <v>0</v>
      </c>
      <c r="EZ56" s="229">
        <v>0</v>
      </c>
      <c r="FA56" s="229">
        <v>0</v>
      </c>
      <c r="FB56" s="229">
        <v>0</v>
      </c>
      <c r="FC56" s="229">
        <v>0</v>
      </c>
      <c r="FD56" s="229">
        <v>0</v>
      </c>
      <c r="FE56" s="229">
        <v>0</v>
      </c>
      <c r="FF56" s="229">
        <v>0</v>
      </c>
      <c r="FG56" s="229">
        <v>0</v>
      </c>
      <c r="FH56" s="231">
        <v>17897.610487762253</v>
      </c>
    </row>
    <row r="57" spans="2:164" x14ac:dyDescent="0.2">
      <c r="B57" s="217" t="s">
        <v>2</v>
      </c>
      <c r="C57" s="227">
        <v>1</v>
      </c>
      <c r="D57" s="228">
        <v>5</v>
      </c>
      <c r="E57" s="208">
        <v>12</v>
      </c>
      <c r="F57" s="208">
        <v>95</v>
      </c>
      <c r="G57" s="208">
        <v>3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120</v>
      </c>
      <c r="X57" s="208"/>
      <c r="Y57" s="217" t="s">
        <v>2</v>
      </c>
      <c r="Z57" s="227">
        <v>10.38533825969771</v>
      </c>
      <c r="AA57" s="228">
        <v>5240.6409547225821</v>
      </c>
      <c r="AB57" s="208">
        <v>4045.211619678289</v>
      </c>
      <c r="AC57" s="208">
        <v>62383.557876300314</v>
      </c>
      <c r="AD57" s="255">
        <v>1056.6687889099039</v>
      </c>
      <c r="AE57" s="208">
        <v>3217.9366626853521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55">
        <v>0</v>
      </c>
      <c r="AL57" s="255">
        <v>0</v>
      </c>
      <c r="AM57" s="255">
        <v>0</v>
      </c>
      <c r="AN57" s="255">
        <v>0</v>
      </c>
      <c r="AO57" s="255">
        <v>0</v>
      </c>
      <c r="AP57" s="255">
        <v>0</v>
      </c>
      <c r="AQ57" s="208">
        <v>0</v>
      </c>
      <c r="AR57" s="208">
        <v>0</v>
      </c>
      <c r="AS57" s="208">
        <v>0</v>
      </c>
      <c r="AT57" s="222">
        <v>75954.401240556137</v>
      </c>
      <c r="AV57" s="217" t="s">
        <v>2</v>
      </c>
      <c r="AW57" s="227">
        <v>10.38533825969771</v>
      </c>
      <c r="AX57" s="228">
        <v>5240.6409547225821</v>
      </c>
      <c r="AY57" s="208">
        <v>4045.211619678289</v>
      </c>
      <c r="AZ57" s="208">
        <v>62383.557876300314</v>
      </c>
      <c r="BA57" s="258">
        <v>0</v>
      </c>
      <c r="BB57" s="208">
        <v>3217.9366626853521</v>
      </c>
      <c r="BC57" s="208">
        <v>0</v>
      </c>
      <c r="BD57" s="208">
        <v>0</v>
      </c>
      <c r="BE57" s="208">
        <v>0</v>
      </c>
      <c r="BF57" s="208">
        <v>0</v>
      </c>
      <c r="BG57" s="208">
        <v>0</v>
      </c>
      <c r="BH57" s="255">
        <v>0</v>
      </c>
      <c r="BI57" s="255">
        <v>0</v>
      </c>
      <c r="BJ57" s="255">
        <v>0</v>
      </c>
      <c r="BK57" s="255">
        <v>0</v>
      </c>
      <c r="BL57" s="255">
        <v>0</v>
      </c>
      <c r="BM57" s="255">
        <v>0</v>
      </c>
      <c r="BN57" s="208">
        <v>0</v>
      </c>
      <c r="BO57" s="208">
        <v>0</v>
      </c>
      <c r="BP57" s="208">
        <v>0</v>
      </c>
      <c r="BQ57" s="230">
        <f t="shared" si="22"/>
        <v>74897.732451646239</v>
      </c>
      <c r="BR57" s="214"/>
      <c r="BS57" s="227"/>
      <c r="BT57" s="217" t="s">
        <v>2</v>
      </c>
      <c r="BU57" s="227">
        <v>0</v>
      </c>
      <c r="BV57" s="228">
        <v>0</v>
      </c>
      <c r="BW57" s="208">
        <v>0</v>
      </c>
      <c r="BX57" s="208">
        <v>0</v>
      </c>
      <c r="BY57" s="208">
        <v>0</v>
      </c>
      <c r="BZ57" s="208">
        <v>0</v>
      </c>
      <c r="CA57" s="208">
        <v>0</v>
      </c>
      <c r="CB57" s="208">
        <v>0</v>
      </c>
      <c r="CC57" s="208">
        <v>0</v>
      </c>
      <c r="CD57" s="208">
        <v>0</v>
      </c>
      <c r="CE57" s="208">
        <v>0</v>
      </c>
      <c r="CF57" s="208">
        <v>0</v>
      </c>
      <c r="CG57" s="208">
        <v>0</v>
      </c>
      <c r="CH57" s="208">
        <v>0</v>
      </c>
      <c r="CI57" s="208">
        <v>0</v>
      </c>
      <c r="CJ57" s="208">
        <v>0</v>
      </c>
      <c r="CK57" s="208">
        <v>0</v>
      </c>
      <c r="CL57" s="208">
        <v>0</v>
      </c>
      <c r="CM57" s="208">
        <v>0</v>
      </c>
      <c r="CN57" s="208">
        <v>0</v>
      </c>
      <c r="CO57" s="222">
        <v>0</v>
      </c>
      <c r="CP57" s="227"/>
      <c r="CQ57" s="217" t="s">
        <v>2</v>
      </c>
      <c r="CR57" s="227">
        <v>0</v>
      </c>
      <c r="CS57" s="228">
        <v>0</v>
      </c>
      <c r="CT57" s="208">
        <v>0</v>
      </c>
      <c r="CU57" s="208">
        <v>0</v>
      </c>
      <c r="CV57" s="208">
        <v>0</v>
      </c>
      <c r="CW57" s="208">
        <v>0</v>
      </c>
      <c r="CX57" s="208">
        <v>0</v>
      </c>
      <c r="CY57" s="208">
        <v>0</v>
      </c>
      <c r="CZ57" s="208">
        <v>0</v>
      </c>
      <c r="DA57" s="208">
        <v>0</v>
      </c>
      <c r="DB57" s="208">
        <v>0</v>
      </c>
      <c r="DC57" s="208">
        <v>0</v>
      </c>
      <c r="DD57" s="208">
        <v>0</v>
      </c>
      <c r="DE57" s="208">
        <v>0</v>
      </c>
      <c r="DF57" s="208">
        <v>0</v>
      </c>
      <c r="DG57" s="208">
        <v>0</v>
      </c>
      <c r="DH57" s="208">
        <v>0</v>
      </c>
      <c r="DI57" s="208">
        <v>0</v>
      </c>
      <c r="DJ57" s="208">
        <v>0</v>
      </c>
      <c r="DK57" s="208">
        <v>0</v>
      </c>
      <c r="DL57" s="222">
        <v>0</v>
      </c>
      <c r="DM57" s="238"/>
      <c r="DN57" s="238"/>
      <c r="DO57" s="227"/>
      <c r="DP57" s="217" t="s">
        <v>2</v>
      </c>
      <c r="DQ57" s="227">
        <v>0</v>
      </c>
      <c r="DR57" s="228">
        <v>0</v>
      </c>
      <c r="DS57" s="208">
        <v>0</v>
      </c>
      <c r="DT57" s="208">
        <v>2</v>
      </c>
      <c r="DU57" s="208">
        <v>0</v>
      </c>
      <c r="DV57" s="208">
        <v>0</v>
      </c>
      <c r="DW57" s="208">
        <v>0</v>
      </c>
      <c r="DX57" s="208">
        <v>0</v>
      </c>
      <c r="DY57" s="208">
        <v>0</v>
      </c>
      <c r="DZ57" s="208">
        <v>0</v>
      </c>
      <c r="EA57" s="208">
        <v>0</v>
      </c>
      <c r="EB57" s="208">
        <v>0</v>
      </c>
      <c r="EC57" s="208">
        <v>0</v>
      </c>
      <c r="ED57" s="208">
        <v>0</v>
      </c>
      <c r="EE57" s="208">
        <v>0</v>
      </c>
      <c r="EF57" s="208">
        <v>0</v>
      </c>
      <c r="EG57" s="208">
        <v>0</v>
      </c>
      <c r="EH57" s="208">
        <v>0</v>
      </c>
      <c r="EI57" s="208">
        <v>0</v>
      </c>
      <c r="EJ57" s="208">
        <v>0</v>
      </c>
      <c r="EK57" s="222">
        <v>2</v>
      </c>
      <c r="EL57" s="228"/>
      <c r="EM57" s="217" t="s">
        <v>2</v>
      </c>
      <c r="EN57" s="227">
        <v>0</v>
      </c>
      <c r="EO57" s="228">
        <v>0</v>
      </c>
      <c r="EP57" s="208">
        <v>0</v>
      </c>
      <c r="EQ57" s="208">
        <v>284.1760057537677</v>
      </c>
      <c r="ER57" s="208">
        <v>0</v>
      </c>
      <c r="ES57" s="208">
        <v>0</v>
      </c>
      <c r="ET57" s="208">
        <v>0</v>
      </c>
      <c r="EU57" s="208">
        <v>0</v>
      </c>
      <c r="EV57" s="208">
        <v>0</v>
      </c>
      <c r="EW57" s="208">
        <v>0</v>
      </c>
      <c r="EX57" s="208">
        <v>0</v>
      </c>
      <c r="EY57" s="208">
        <v>0</v>
      </c>
      <c r="EZ57" s="208">
        <v>0</v>
      </c>
      <c r="FA57" s="208">
        <v>0</v>
      </c>
      <c r="FB57" s="208">
        <v>0</v>
      </c>
      <c r="FC57" s="208">
        <v>0</v>
      </c>
      <c r="FD57" s="208">
        <v>0</v>
      </c>
      <c r="FE57" s="208">
        <v>0</v>
      </c>
      <c r="FF57" s="208">
        <v>0</v>
      </c>
      <c r="FG57" s="208">
        <v>0</v>
      </c>
      <c r="FH57" s="222">
        <v>284.1760057537677</v>
      </c>
    </row>
    <row r="58" spans="2:164" x14ac:dyDescent="0.2">
      <c r="B58" s="217" t="s">
        <v>3</v>
      </c>
      <c r="C58" s="227">
        <v>0</v>
      </c>
      <c r="D58" s="228">
        <v>4</v>
      </c>
      <c r="E58" s="208">
        <v>1</v>
      </c>
      <c r="F58" s="208">
        <v>0</v>
      </c>
      <c r="G58" s="208">
        <v>49</v>
      </c>
      <c r="H58" s="208">
        <v>0</v>
      </c>
      <c r="I58" s="208">
        <v>0</v>
      </c>
      <c r="J58" s="208">
        <v>0</v>
      </c>
      <c r="K58" s="208">
        <v>0</v>
      </c>
      <c r="L58" s="208">
        <v>1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55</v>
      </c>
      <c r="X58" s="208"/>
      <c r="Y58" s="217" t="s">
        <v>3</v>
      </c>
      <c r="Z58" s="254">
        <v>0</v>
      </c>
      <c r="AA58" s="254">
        <v>744.19915187737683</v>
      </c>
      <c r="AB58" s="255">
        <v>41.772412328087171</v>
      </c>
      <c r="AC58" s="255">
        <v>0</v>
      </c>
      <c r="AD58" s="208">
        <v>14911.65539151484</v>
      </c>
      <c r="AE58" s="255">
        <v>0</v>
      </c>
      <c r="AF58" s="255">
        <v>0</v>
      </c>
      <c r="AG58" s="255">
        <v>0</v>
      </c>
      <c r="AH58" s="255">
        <v>0</v>
      </c>
      <c r="AI58" s="255">
        <v>107.57076930231574</v>
      </c>
      <c r="AJ58" s="255">
        <v>0</v>
      </c>
      <c r="AK58" s="255">
        <v>0</v>
      </c>
      <c r="AL58" s="255">
        <v>0</v>
      </c>
      <c r="AM58" s="255">
        <v>0</v>
      </c>
      <c r="AN58" s="255">
        <v>0</v>
      </c>
      <c r="AO58" s="255">
        <v>0</v>
      </c>
      <c r="AP58" s="255">
        <v>0</v>
      </c>
      <c r="AQ58" s="255">
        <v>0</v>
      </c>
      <c r="AR58" s="255">
        <v>0</v>
      </c>
      <c r="AS58" s="255">
        <v>0</v>
      </c>
      <c r="AT58" s="222">
        <v>15805.197725022619</v>
      </c>
      <c r="AV58" s="217" t="s">
        <v>3</v>
      </c>
      <c r="AW58" s="254">
        <v>0</v>
      </c>
      <c r="AX58" s="232">
        <v>0</v>
      </c>
      <c r="AY58" s="258">
        <v>0</v>
      </c>
      <c r="AZ58" s="255">
        <v>0</v>
      </c>
      <c r="BA58" s="208">
        <v>14911.65539151484</v>
      </c>
      <c r="BB58" s="255">
        <v>0</v>
      </c>
      <c r="BC58" s="255">
        <v>0</v>
      </c>
      <c r="BD58" s="255">
        <v>0</v>
      </c>
      <c r="BE58" s="255">
        <v>0</v>
      </c>
      <c r="BF58" s="258">
        <v>0</v>
      </c>
      <c r="BG58" s="255">
        <v>0</v>
      </c>
      <c r="BH58" s="255">
        <v>0</v>
      </c>
      <c r="BI58" s="255">
        <v>0</v>
      </c>
      <c r="BJ58" s="255">
        <v>0</v>
      </c>
      <c r="BK58" s="255">
        <v>0</v>
      </c>
      <c r="BL58" s="255">
        <v>0</v>
      </c>
      <c r="BM58" s="255">
        <v>0</v>
      </c>
      <c r="BN58" s="255">
        <v>0</v>
      </c>
      <c r="BO58" s="255">
        <v>0</v>
      </c>
      <c r="BP58" s="255">
        <v>0</v>
      </c>
      <c r="BQ58" s="230">
        <f t="shared" si="22"/>
        <v>14911.65539151484</v>
      </c>
      <c r="BR58" s="214"/>
      <c r="BS58" s="227"/>
      <c r="BT58" s="217" t="s">
        <v>3</v>
      </c>
      <c r="BU58" s="227">
        <v>0</v>
      </c>
      <c r="BV58" s="228">
        <v>0</v>
      </c>
      <c r="BW58" s="208">
        <v>0</v>
      </c>
      <c r="BX58" s="208">
        <v>0</v>
      </c>
      <c r="BY58" s="208">
        <v>0</v>
      </c>
      <c r="BZ58" s="208">
        <v>0</v>
      </c>
      <c r="CA58" s="208">
        <v>0</v>
      </c>
      <c r="CB58" s="208">
        <v>0</v>
      </c>
      <c r="CC58" s="208">
        <v>0</v>
      </c>
      <c r="CD58" s="208">
        <v>0</v>
      </c>
      <c r="CE58" s="208">
        <v>0</v>
      </c>
      <c r="CF58" s="208">
        <v>0</v>
      </c>
      <c r="CG58" s="208">
        <v>0</v>
      </c>
      <c r="CH58" s="208">
        <v>0</v>
      </c>
      <c r="CI58" s="208">
        <v>0</v>
      </c>
      <c r="CJ58" s="208">
        <v>0</v>
      </c>
      <c r="CK58" s="208">
        <v>0</v>
      </c>
      <c r="CL58" s="208">
        <v>0</v>
      </c>
      <c r="CM58" s="208">
        <v>0</v>
      </c>
      <c r="CN58" s="208">
        <v>0</v>
      </c>
      <c r="CO58" s="222">
        <v>0</v>
      </c>
      <c r="CP58" s="227"/>
      <c r="CQ58" s="217" t="s">
        <v>3</v>
      </c>
      <c r="CR58" s="227">
        <v>0</v>
      </c>
      <c r="CS58" s="228">
        <v>0</v>
      </c>
      <c r="CT58" s="208">
        <v>0</v>
      </c>
      <c r="CU58" s="208">
        <v>0</v>
      </c>
      <c r="CV58" s="208">
        <v>0</v>
      </c>
      <c r="CW58" s="208">
        <v>0</v>
      </c>
      <c r="CX58" s="208">
        <v>0</v>
      </c>
      <c r="CY58" s="208">
        <v>0</v>
      </c>
      <c r="CZ58" s="208">
        <v>0</v>
      </c>
      <c r="DA58" s="208">
        <v>0</v>
      </c>
      <c r="DB58" s="208">
        <v>0</v>
      </c>
      <c r="DC58" s="208">
        <v>0</v>
      </c>
      <c r="DD58" s="208">
        <v>0</v>
      </c>
      <c r="DE58" s="208">
        <v>0</v>
      </c>
      <c r="DF58" s="208">
        <v>0</v>
      </c>
      <c r="DG58" s="208">
        <v>0</v>
      </c>
      <c r="DH58" s="208">
        <v>0</v>
      </c>
      <c r="DI58" s="208">
        <v>0</v>
      </c>
      <c r="DJ58" s="208">
        <v>0</v>
      </c>
      <c r="DK58" s="208">
        <v>0</v>
      </c>
      <c r="DL58" s="222">
        <v>0</v>
      </c>
      <c r="DM58" s="214"/>
      <c r="DN58" s="214"/>
      <c r="DO58" s="227"/>
      <c r="DP58" s="217" t="s">
        <v>3</v>
      </c>
      <c r="DQ58" s="227">
        <v>0</v>
      </c>
      <c r="DR58" s="228">
        <v>0</v>
      </c>
      <c r="DS58" s="208">
        <v>0</v>
      </c>
      <c r="DT58" s="208">
        <v>0</v>
      </c>
      <c r="DU58" s="208">
        <v>0</v>
      </c>
      <c r="DV58" s="208">
        <v>0</v>
      </c>
      <c r="DW58" s="208">
        <v>0</v>
      </c>
      <c r="DX58" s="208">
        <v>0</v>
      </c>
      <c r="DY58" s="208">
        <v>0</v>
      </c>
      <c r="DZ58" s="208">
        <v>0</v>
      </c>
      <c r="EA58" s="208">
        <v>0</v>
      </c>
      <c r="EB58" s="208">
        <v>0</v>
      </c>
      <c r="EC58" s="208">
        <v>0</v>
      </c>
      <c r="ED58" s="208">
        <v>0</v>
      </c>
      <c r="EE58" s="208">
        <v>0</v>
      </c>
      <c r="EF58" s="208">
        <v>0</v>
      </c>
      <c r="EG58" s="208">
        <v>0</v>
      </c>
      <c r="EH58" s="208">
        <v>0</v>
      </c>
      <c r="EI58" s="208">
        <v>0</v>
      </c>
      <c r="EJ58" s="208">
        <v>0</v>
      </c>
      <c r="EK58" s="222">
        <v>0</v>
      </c>
      <c r="EL58" s="228"/>
      <c r="EM58" s="217" t="s">
        <v>3</v>
      </c>
      <c r="EN58" s="227">
        <v>0</v>
      </c>
      <c r="EO58" s="228">
        <v>0</v>
      </c>
      <c r="EP58" s="208">
        <v>0</v>
      </c>
      <c r="EQ58" s="208">
        <v>0</v>
      </c>
      <c r="ER58" s="208">
        <v>0</v>
      </c>
      <c r="ES58" s="208">
        <v>0</v>
      </c>
      <c r="ET58" s="208">
        <v>0</v>
      </c>
      <c r="EU58" s="208">
        <v>0</v>
      </c>
      <c r="EV58" s="208">
        <v>0</v>
      </c>
      <c r="EW58" s="208">
        <v>0</v>
      </c>
      <c r="EX58" s="208">
        <v>0</v>
      </c>
      <c r="EY58" s="208">
        <v>0</v>
      </c>
      <c r="EZ58" s="208">
        <v>0</v>
      </c>
      <c r="FA58" s="208">
        <v>0</v>
      </c>
      <c r="FB58" s="208">
        <v>0</v>
      </c>
      <c r="FC58" s="208">
        <v>0</v>
      </c>
      <c r="FD58" s="208">
        <v>0</v>
      </c>
      <c r="FE58" s="208">
        <v>0</v>
      </c>
      <c r="FF58" s="208">
        <v>0</v>
      </c>
      <c r="FG58" s="208">
        <v>0</v>
      </c>
      <c r="FH58" s="222">
        <v>0</v>
      </c>
    </row>
    <row r="59" spans="2:164" x14ac:dyDescent="0.2">
      <c r="B59" s="217" t="s">
        <v>335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33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38</v>
      </c>
      <c r="X59" s="208"/>
      <c r="Y59" s="217" t="s">
        <v>335</v>
      </c>
      <c r="Z59" s="227">
        <v>0</v>
      </c>
      <c r="AA59" s="228">
        <v>0</v>
      </c>
      <c r="AB59" s="255">
        <v>0</v>
      </c>
      <c r="AC59" s="208">
        <v>0</v>
      </c>
      <c r="AD59" s="208">
        <v>0</v>
      </c>
      <c r="AE59" s="208">
        <v>22399.606100312209</v>
      </c>
      <c r="AF59" s="208">
        <v>21.033136110715883</v>
      </c>
      <c r="AG59" s="208">
        <v>0</v>
      </c>
      <c r="AH59" s="208">
        <v>0</v>
      </c>
      <c r="AI59" s="208">
        <v>113.61065367333357</v>
      </c>
      <c r="AJ59" s="208">
        <v>0</v>
      </c>
      <c r="AK59" s="255">
        <v>3754.9539956781186</v>
      </c>
      <c r="AL59" s="255">
        <v>0</v>
      </c>
      <c r="AM59" s="255">
        <v>0</v>
      </c>
      <c r="AN59" s="255">
        <v>0</v>
      </c>
      <c r="AO59" s="255">
        <v>0</v>
      </c>
      <c r="AP59" s="255">
        <v>0</v>
      </c>
      <c r="AQ59" s="208">
        <v>0</v>
      </c>
      <c r="AR59" s="208">
        <v>0</v>
      </c>
      <c r="AS59" s="208">
        <v>0</v>
      </c>
      <c r="AT59" s="222">
        <v>26289.203885774376</v>
      </c>
      <c r="AV59" s="217" t="s">
        <v>335</v>
      </c>
      <c r="AW59" s="227">
        <v>0</v>
      </c>
      <c r="AX59" s="228">
        <v>0</v>
      </c>
      <c r="AY59" s="255">
        <v>0</v>
      </c>
      <c r="AZ59" s="208">
        <v>0</v>
      </c>
      <c r="BA59" s="208">
        <v>0</v>
      </c>
      <c r="BB59" s="208">
        <v>22399.606100312209</v>
      </c>
      <c r="BC59" s="208">
        <v>21.033136110715883</v>
      </c>
      <c r="BD59" s="208">
        <v>0</v>
      </c>
      <c r="BE59" s="208">
        <v>0</v>
      </c>
      <c r="BF59" s="208">
        <v>113.61065367333357</v>
      </c>
      <c r="BG59" s="208">
        <v>0</v>
      </c>
      <c r="BH59" s="258">
        <v>0</v>
      </c>
      <c r="BI59" s="255">
        <v>0</v>
      </c>
      <c r="BJ59" s="255">
        <v>0</v>
      </c>
      <c r="BK59" s="255">
        <v>0</v>
      </c>
      <c r="BL59" s="255">
        <v>0</v>
      </c>
      <c r="BM59" s="255">
        <v>0</v>
      </c>
      <c r="BN59" s="208">
        <v>0</v>
      </c>
      <c r="BO59" s="208">
        <v>0</v>
      </c>
      <c r="BP59" s="208">
        <v>0</v>
      </c>
      <c r="BQ59" s="230">
        <f t="shared" si="22"/>
        <v>22534.24989009626</v>
      </c>
      <c r="BR59" s="214"/>
      <c r="BS59" s="227"/>
      <c r="BT59" s="217" t="s">
        <v>335</v>
      </c>
      <c r="BU59" s="227">
        <v>0</v>
      </c>
      <c r="BV59" s="228">
        <v>0</v>
      </c>
      <c r="BW59" s="208">
        <v>0</v>
      </c>
      <c r="BX59" s="208">
        <v>0</v>
      </c>
      <c r="BY59" s="208">
        <v>0</v>
      </c>
      <c r="BZ59" s="208">
        <v>0</v>
      </c>
      <c r="CA59" s="208">
        <v>0</v>
      </c>
      <c r="CB59" s="208">
        <v>0</v>
      </c>
      <c r="CC59" s="208">
        <v>0</v>
      </c>
      <c r="CD59" s="208">
        <v>0</v>
      </c>
      <c r="CE59" s="208">
        <v>0</v>
      </c>
      <c r="CF59" s="208">
        <v>0</v>
      </c>
      <c r="CG59" s="208">
        <v>0</v>
      </c>
      <c r="CH59" s="208">
        <v>0</v>
      </c>
      <c r="CI59" s="208">
        <v>0</v>
      </c>
      <c r="CJ59" s="208">
        <v>0</v>
      </c>
      <c r="CK59" s="208">
        <v>0</v>
      </c>
      <c r="CL59" s="208">
        <v>0</v>
      </c>
      <c r="CM59" s="208">
        <v>0</v>
      </c>
      <c r="CN59" s="208">
        <v>0</v>
      </c>
      <c r="CO59" s="222">
        <v>0</v>
      </c>
      <c r="CP59" s="227"/>
      <c r="CQ59" s="217" t="s">
        <v>335</v>
      </c>
      <c r="CR59" s="227">
        <v>0</v>
      </c>
      <c r="CS59" s="228">
        <v>0</v>
      </c>
      <c r="CT59" s="208">
        <v>0</v>
      </c>
      <c r="CU59" s="208">
        <v>0</v>
      </c>
      <c r="CV59" s="208">
        <v>0</v>
      </c>
      <c r="CW59" s="208">
        <v>0</v>
      </c>
      <c r="CX59" s="208">
        <v>0</v>
      </c>
      <c r="CY59" s="208">
        <v>0</v>
      </c>
      <c r="CZ59" s="208">
        <v>0</v>
      </c>
      <c r="DA59" s="208">
        <v>0</v>
      </c>
      <c r="DB59" s="208">
        <v>0</v>
      </c>
      <c r="DC59" s="208">
        <v>0</v>
      </c>
      <c r="DD59" s="208">
        <v>0</v>
      </c>
      <c r="DE59" s="208">
        <v>0</v>
      </c>
      <c r="DF59" s="208">
        <v>0</v>
      </c>
      <c r="DG59" s="208">
        <v>0</v>
      </c>
      <c r="DH59" s="208">
        <v>0</v>
      </c>
      <c r="DI59" s="208">
        <v>0</v>
      </c>
      <c r="DJ59" s="208">
        <v>0</v>
      </c>
      <c r="DK59" s="208">
        <v>0</v>
      </c>
      <c r="DL59" s="222">
        <v>0</v>
      </c>
      <c r="DM59" s="214"/>
      <c r="DN59" s="214"/>
      <c r="DO59" s="227"/>
      <c r="DP59" s="217" t="s">
        <v>335</v>
      </c>
      <c r="DQ59" s="227">
        <v>0</v>
      </c>
      <c r="DR59" s="228">
        <v>0</v>
      </c>
      <c r="DS59" s="208">
        <v>0</v>
      </c>
      <c r="DT59" s="208">
        <v>0</v>
      </c>
      <c r="DU59" s="208">
        <v>0</v>
      </c>
      <c r="DV59" s="208">
        <v>0</v>
      </c>
      <c r="DW59" s="208">
        <v>0</v>
      </c>
      <c r="DX59" s="208">
        <v>0</v>
      </c>
      <c r="DY59" s="208">
        <v>0</v>
      </c>
      <c r="DZ59" s="208">
        <v>0</v>
      </c>
      <c r="EA59" s="208">
        <v>0</v>
      </c>
      <c r="EB59" s="208">
        <v>0</v>
      </c>
      <c r="EC59" s="208">
        <v>0</v>
      </c>
      <c r="ED59" s="208">
        <v>0</v>
      </c>
      <c r="EE59" s="208">
        <v>0</v>
      </c>
      <c r="EF59" s="208">
        <v>0</v>
      </c>
      <c r="EG59" s="208">
        <v>0</v>
      </c>
      <c r="EH59" s="208">
        <v>0</v>
      </c>
      <c r="EI59" s="208">
        <v>0</v>
      </c>
      <c r="EJ59" s="208">
        <v>0</v>
      </c>
      <c r="EK59" s="222">
        <v>0</v>
      </c>
      <c r="EL59" s="228"/>
      <c r="EM59" s="217" t="s">
        <v>335</v>
      </c>
      <c r="EN59" s="227">
        <v>0</v>
      </c>
      <c r="EO59" s="228">
        <v>0</v>
      </c>
      <c r="EP59" s="208">
        <v>0</v>
      </c>
      <c r="EQ59" s="208">
        <v>0</v>
      </c>
      <c r="ER59" s="208">
        <v>0</v>
      </c>
      <c r="ES59" s="208">
        <v>0</v>
      </c>
      <c r="ET59" s="208">
        <v>0</v>
      </c>
      <c r="EU59" s="208">
        <v>0</v>
      </c>
      <c r="EV59" s="208">
        <v>0</v>
      </c>
      <c r="EW59" s="208">
        <v>0</v>
      </c>
      <c r="EX59" s="208">
        <v>0</v>
      </c>
      <c r="EY59" s="208">
        <v>0</v>
      </c>
      <c r="EZ59" s="208">
        <v>0</v>
      </c>
      <c r="FA59" s="208">
        <v>0</v>
      </c>
      <c r="FB59" s="208">
        <v>0</v>
      </c>
      <c r="FC59" s="208">
        <v>0</v>
      </c>
      <c r="FD59" s="208">
        <v>0</v>
      </c>
      <c r="FE59" s="208">
        <v>0</v>
      </c>
      <c r="FF59" s="208">
        <v>0</v>
      </c>
      <c r="FG59" s="208">
        <v>0</v>
      </c>
      <c r="FH59" s="222">
        <v>0</v>
      </c>
    </row>
    <row r="60" spans="2:164" x14ac:dyDescent="0.2">
      <c r="B60" s="217" t="s">
        <v>362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362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469.35729183290016</v>
      </c>
      <c r="AG60" s="208">
        <v>0</v>
      </c>
      <c r="AH60" s="208">
        <v>0</v>
      </c>
      <c r="AI60" s="208">
        <v>0</v>
      </c>
      <c r="AJ60" s="208">
        <v>0</v>
      </c>
      <c r="AK60" s="255">
        <v>0</v>
      </c>
      <c r="AL60" s="255">
        <v>0</v>
      </c>
      <c r="AM60" s="255">
        <v>0</v>
      </c>
      <c r="AN60" s="255">
        <v>0</v>
      </c>
      <c r="AO60" s="255">
        <v>0</v>
      </c>
      <c r="AP60" s="255">
        <v>0</v>
      </c>
      <c r="AQ60" s="208">
        <v>0</v>
      </c>
      <c r="AR60" s="208">
        <v>0</v>
      </c>
      <c r="AS60" s="208">
        <v>0</v>
      </c>
      <c r="AT60" s="222">
        <v>469.35729183290016</v>
      </c>
      <c r="AV60" s="217" t="s">
        <v>362</v>
      </c>
      <c r="AW60" s="227">
        <v>0</v>
      </c>
      <c r="AX60" s="228">
        <v>0</v>
      </c>
      <c r="AY60" s="208">
        <v>0</v>
      </c>
      <c r="AZ60" s="208">
        <v>0</v>
      </c>
      <c r="BA60" s="208">
        <v>0</v>
      </c>
      <c r="BB60" s="208">
        <v>0</v>
      </c>
      <c r="BC60" s="208">
        <v>469.35729183290016</v>
      </c>
      <c r="BD60" s="208">
        <v>0</v>
      </c>
      <c r="BE60" s="208">
        <v>0</v>
      </c>
      <c r="BF60" s="208">
        <v>0</v>
      </c>
      <c r="BG60" s="208">
        <v>0</v>
      </c>
      <c r="BH60" s="255">
        <v>0</v>
      </c>
      <c r="BI60" s="255">
        <v>0</v>
      </c>
      <c r="BJ60" s="255">
        <v>0</v>
      </c>
      <c r="BK60" s="255">
        <v>0</v>
      </c>
      <c r="BL60" s="255">
        <v>0</v>
      </c>
      <c r="BM60" s="255">
        <v>0</v>
      </c>
      <c r="BN60" s="208">
        <v>0</v>
      </c>
      <c r="BO60" s="208">
        <v>0</v>
      </c>
      <c r="BP60" s="208">
        <v>0</v>
      </c>
      <c r="BQ60" s="230">
        <f t="shared" si="22"/>
        <v>469.35729183290016</v>
      </c>
      <c r="BR60" s="214"/>
      <c r="BS60" s="227"/>
      <c r="BT60" s="217" t="s">
        <v>362</v>
      </c>
      <c r="BU60" s="227">
        <v>0</v>
      </c>
      <c r="BV60" s="228">
        <v>0</v>
      </c>
      <c r="BW60" s="208">
        <v>0</v>
      </c>
      <c r="BX60" s="208">
        <v>0</v>
      </c>
      <c r="BY60" s="208">
        <v>0</v>
      </c>
      <c r="BZ60" s="208">
        <v>0</v>
      </c>
      <c r="CA60" s="208">
        <v>0</v>
      </c>
      <c r="CB60" s="208">
        <v>0</v>
      </c>
      <c r="CC60" s="208">
        <v>0</v>
      </c>
      <c r="CD60" s="208">
        <v>0</v>
      </c>
      <c r="CE60" s="208">
        <v>0</v>
      </c>
      <c r="CF60" s="208">
        <v>0</v>
      </c>
      <c r="CG60" s="208">
        <v>0</v>
      </c>
      <c r="CH60" s="208">
        <v>0</v>
      </c>
      <c r="CI60" s="208">
        <v>0</v>
      </c>
      <c r="CJ60" s="208">
        <v>0</v>
      </c>
      <c r="CK60" s="208">
        <v>0</v>
      </c>
      <c r="CL60" s="208">
        <v>0</v>
      </c>
      <c r="CM60" s="208">
        <v>0</v>
      </c>
      <c r="CN60" s="208">
        <v>0</v>
      </c>
      <c r="CO60" s="222">
        <v>0</v>
      </c>
      <c r="CP60" s="227"/>
      <c r="CQ60" s="217" t="s">
        <v>362</v>
      </c>
      <c r="CR60" s="227">
        <v>0</v>
      </c>
      <c r="CS60" s="228">
        <v>0</v>
      </c>
      <c r="CT60" s="208">
        <v>0</v>
      </c>
      <c r="CU60" s="208">
        <v>0</v>
      </c>
      <c r="CV60" s="208">
        <v>0</v>
      </c>
      <c r="CW60" s="208">
        <v>0</v>
      </c>
      <c r="CX60" s="208">
        <v>0</v>
      </c>
      <c r="CY60" s="208">
        <v>0</v>
      </c>
      <c r="CZ60" s="208">
        <v>0</v>
      </c>
      <c r="DA60" s="208">
        <v>0</v>
      </c>
      <c r="DB60" s="208">
        <v>0</v>
      </c>
      <c r="DC60" s="208">
        <v>0</v>
      </c>
      <c r="DD60" s="208">
        <v>0</v>
      </c>
      <c r="DE60" s="208">
        <v>0</v>
      </c>
      <c r="DF60" s="208">
        <v>0</v>
      </c>
      <c r="DG60" s="208">
        <v>0</v>
      </c>
      <c r="DH60" s="208">
        <v>0</v>
      </c>
      <c r="DI60" s="208">
        <v>0</v>
      </c>
      <c r="DJ60" s="208">
        <v>0</v>
      </c>
      <c r="DK60" s="208">
        <v>0</v>
      </c>
      <c r="DL60" s="222">
        <v>0</v>
      </c>
      <c r="DM60" s="214"/>
      <c r="DN60" s="214"/>
      <c r="DO60" s="227"/>
      <c r="DP60" s="217" t="s">
        <v>362</v>
      </c>
      <c r="DQ60" s="227">
        <v>0</v>
      </c>
      <c r="DR60" s="228">
        <v>0</v>
      </c>
      <c r="DS60" s="208">
        <v>0</v>
      </c>
      <c r="DT60" s="208">
        <v>0</v>
      </c>
      <c r="DU60" s="208">
        <v>0</v>
      </c>
      <c r="DV60" s="208">
        <v>0</v>
      </c>
      <c r="DW60" s="208">
        <v>0</v>
      </c>
      <c r="DX60" s="208">
        <v>0</v>
      </c>
      <c r="DY60" s="208">
        <v>0</v>
      </c>
      <c r="DZ60" s="208">
        <v>0</v>
      </c>
      <c r="EA60" s="208">
        <v>0</v>
      </c>
      <c r="EB60" s="208">
        <v>0</v>
      </c>
      <c r="EC60" s="208">
        <v>0</v>
      </c>
      <c r="ED60" s="208">
        <v>0</v>
      </c>
      <c r="EE60" s="208">
        <v>0</v>
      </c>
      <c r="EF60" s="208">
        <v>0</v>
      </c>
      <c r="EG60" s="208">
        <v>0</v>
      </c>
      <c r="EH60" s="208">
        <v>0</v>
      </c>
      <c r="EI60" s="208">
        <v>0</v>
      </c>
      <c r="EJ60" s="208">
        <v>0</v>
      </c>
      <c r="EK60" s="222">
        <v>0</v>
      </c>
      <c r="EL60" s="228"/>
      <c r="EM60" s="217" t="s">
        <v>362</v>
      </c>
      <c r="EN60" s="227">
        <v>0</v>
      </c>
      <c r="EO60" s="228">
        <v>0</v>
      </c>
      <c r="EP60" s="208">
        <v>0</v>
      </c>
      <c r="EQ60" s="208">
        <v>0</v>
      </c>
      <c r="ER60" s="208">
        <v>0</v>
      </c>
      <c r="ES60" s="208">
        <v>0</v>
      </c>
      <c r="ET60" s="208">
        <v>0</v>
      </c>
      <c r="EU60" s="208">
        <v>0</v>
      </c>
      <c r="EV60" s="208">
        <v>0</v>
      </c>
      <c r="EW60" s="208">
        <v>0</v>
      </c>
      <c r="EX60" s="208">
        <v>0</v>
      </c>
      <c r="EY60" s="208">
        <v>0</v>
      </c>
      <c r="EZ60" s="208">
        <v>0</v>
      </c>
      <c r="FA60" s="208">
        <v>0</v>
      </c>
      <c r="FB60" s="208">
        <v>0</v>
      </c>
      <c r="FC60" s="208">
        <v>0</v>
      </c>
      <c r="FD60" s="208">
        <v>0</v>
      </c>
      <c r="FE60" s="208">
        <v>0</v>
      </c>
      <c r="FF60" s="208">
        <v>0</v>
      </c>
      <c r="FG60" s="208">
        <v>0</v>
      </c>
      <c r="FH60" s="222">
        <v>0</v>
      </c>
    </row>
    <row r="61" spans="2:164" x14ac:dyDescent="0.2">
      <c r="B61" s="217" t="s">
        <v>349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Y61" s="217" t="s">
        <v>349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55">
        <v>0</v>
      </c>
      <c r="AL61" s="255">
        <v>0</v>
      </c>
      <c r="AM61" s="255">
        <v>0</v>
      </c>
      <c r="AN61" s="255">
        <v>0</v>
      </c>
      <c r="AO61" s="255">
        <v>0</v>
      </c>
      <c r="AP61" s="255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349</v>
      </c>
      <c r="AW61" s="227">
        <v>0</v>
      </c>
      <c r="AX61" s="228">
        <v>0</v>
      </c>
      <c r="AY61" s="208">
        <v>0</v>
      </c>
      <c r="AZ61" s="208">
        <v>0</v>
      </c>
      <c r="BA61" s="208">
        <v>0</v>
      </c>
      <c r="BB61" s="208">
        <v>0</v>
      </c>
      <c r="BC61" s="208">
        <v>0</v>
      </c>
      <c r="BD61" s="208">
        <v>0</v>
      </c>
      <c r="BE61" s="208">
        <v>0</v>
      </c>
      <c r="BF61" s="208">
        <v>0</v>
      </c>
      <c r="BG61" s="208">
        <v>0</v>
      </c>
      <c r="BH61" s="255">
        <v>0</v>
      </c>
      <c r="BI61" s="255">
        <v>0</v>
      </c>
      <c r="BJ61" s="255">
        <v>0</v>
      </c>
      <c r="BK61" s="255">
        <v>0</v>
      </c>
      <c r="BL61" s="255">
        <v>0</v>
      </c>
      <c r="BM61" s="255">
        <v>0</v>
      </c>
      <c r="BN61" s="208">
        <v>0</v>
      </c>
      <c r="BO61" s="208">
        <v>0</v>
      </c>
      <c r="BP61" s="208">
        <v>0</v>
      </c>
      <c r="BQ61" s="230">
        <f t="shared" si="22"/>
        <v>0</v>
      </c>
      <c r="BR61" s="214"/>
      <c r="BS61" s="227"/>
      <c r="BT61" s="217" t="s">
        <v>349</v>
      </c>
      <c r="BU61" s="227">
        <v>0</v>
      </c>
      <c r="BV61" s="228">
        <v>0</v>
      </c>
      <c r="BW61" s="208">
        <v>0</v>
      </c>
      <c r="BX61" s="208">
        <v>0</v>
      </c>
      <c r="BY61" s="208">
        <v>0</v>
      </c>
      <c r="BZ61" s="208">
        <v>0</v>
      </c>
      <c r="CA61" s="208">
        <v>0</v>
      </c>
      <c r="CB61" s="208">
        <v>0</v>
      </c>
      <c r="CC61" s="208">
        <v>0</v>
      </c>
      <c r="CD61" s="208">
        <v>0</v>
      </c>
      <c r="CE61" s="208">
        <v>0</v>
      </c>
      <c r="CF61" s="208">
        <v>0</v>
      </c>
      <c r="CG61" s="208">
        <v>0</v>
      </c>
      <c r="CH61" s="208">
        <v>0</v>
      </c>
      <c r="CI61" s="208">
        <v>0</v>
      </c>
      <c r="CJ61" s="208">
        <v>0</v>
      </c>
      <c r="CK61" s="208">
        <v>0</v>
      </c>
      <c r="CL61" s="208">
        <v>0</v>
      </c>
      <c r="CM61" s="208">
        <v>0</v>
      </c>
      <c r="CN61" s="208">
        <v>0</v>
      </c>
      <c r="CO61" s="222">
        <v>0</v>
      </c>
      <c r="CP61" s="227"/>
      <c r="CQ61" s="217" t="s">
        <v>349</v>
      </c>
      <c r="CR61" s="227">
        <v>0</v>
      </c>
      <c r="CS61" s="228">
        <v>0</v>
      </c>
      <c r="CT61" s="208">
        <v>0</v>
      </c>
      <c r="CU61" s="208">
        <v>0</v>
      </c>
      <c r="CV61" s="208">
        <v>0</v>
      </c>
      <c r="CW61" s="208">
        <v>0</v>
      </c>
      <c r="CX61" s="208">
        <v>0</v>
      </c>
      <c r="CY61" s="208">
        <v>0</v>
      </c>
      <c r="CZ61" s="208">
        <v>0</v>
      </c>
      <c r="DA61" s="208">
        <v>0</v>
      </c>
      <c r="DB61" s="208">
        <v>0</v>
      </c>
      <c r="DC61" s="208">
        <v>0</v>
      </c>
      <c r="DD61" s="208">
        <v>0</v>
      </c>
      <c r="DE61" s="208">
        <v>0</v>
      </c>
      <c r="DF61" s="208">
        <v>0</v>
      </c>
      <c r="DG61" s="208">
        <v>0</v>
      </c>
      <c r="DH61" s="208">
        <v>0</v>
      </c>
      <c r="DI61" s="208">
        <v>0</v>
      </c>
      <c r="DJ61" s="208">
        <v>0</v>
      </c>
      <c r="DK61" s="208">
        <v>0</v>
      </c>
      <c r="DL61" s="222">
        <v>0</v>
      </c>
      <c r="DM61" s="214"/>
      <c r="DN61" s="214"/>
      <c r="DO61" s="227"/>
      <c r="DP61" s="217" t="s">
        <v>349</v>
      </c>
      <c r="DQ61" s="227">
        <v>0</v>
      </c>
      <c r="DR61" s="228">
        <v>0</v>
      </c>
      <c r="DS61" s="208">
        <v>0</v>
      </c>
      <c r="DT61" s="208">
        <v>0</v>
      </c>
      <c r="DU61" s="208">
        <v>0</v>
      </c>
      <c r="DV61" s="208">
        <v>0</v>
      </c>
      <c r="DW61" s="208">
        <v>0</v>
      </c>
      <c r="DX61" s="208">
        <v>0</v>
      </c>
      <c r="DY61" s="208">
        <v>0</v>
      </c>
      <c r="DZ61" s="208">
        <v>0</v>
      </c>
      <c r="EA61" s="208">
        <v>0</v>
      </c>
      <c r="EB61" s="208">
        <v>0</v>
      </c>
      <c r="EC61" s="208">
        <v>0</v>
      </c>
      <c r="ED61" s="208">
        <v>0</v>
      </c>
      <c r="EE61" s="208">
        <v>0</v>
      </c>
      <c r="EF61" s="208">
        <v>0</v>
      </c>
      <c r="EG61" s="208">
        <v>0</v>
      </c>
      <c r="EH61" s="208">
        <v>0</v>
      </c>
      <c r="EI61" s="208">
        <v>0</v>
      </c>
      <c r="EJ61" s="208">
        <v>0</v>
      </c>
      <c r="EK61" s="222">
        <v>0</v>
      </c>
      <c r="EL61" s="228"/>
      <c r="EM61" s="217" t="s">
        <v>349</v>
      </c>
      <c r="EN61" s="227">
        <v>0</v>
      </c>
      <c r="EO61" s="228">
        <v>0</v>
      </c>
      <c r="EP61" s="208">
        <v>0</v>
      </c>
      <c r="EQ61" s="208">
        <v>0</v>
      </c>
      <c r="ER61" s="208">
        <v>0</v>
      </c>
      <c r="ES61" s="208">
        <v>0</v>
      </c>
      <c r="ET61" s="208">
        <v>0</v>
      </c>
      <c r="EU61" s="208">
        <v>0</v>
      </c>
      <c r="EV61" s="208">
        <v>0</v>
      </c>
      <c r="EW61" s="208">
        <v>0</v>
      </c>
      <c r="EX61" s="208">
        <v>0</v>
      </c>
      <c r="EY61" s="208">
        <v>0</v>
      </c>
      <c r="EZ61" s="208">
        <v>0</v>
      </c>
      <c r="FA61" s="208">
        <v>0</v>
      </c>
      <c r="FB61" s="208">
        <v>0</v>
      </c>
      <c r="FC61" s="208">
        <v>0</v>
      </c>
      <c r="FD61" s="208">
        <v>0</v>
      </c>
      <c r="FE61" s="208">
        <v>0</v>
      </c>
      <c r="FF61" s="208">
        <v>0</v>
      </c>
      <c r="FG61" s="208">
        <v>0</v>
      </c>
      <c r="FH61" s="222">
        <v>0</v>
      </c>
    </row>
    <row r="62" spans="2:164" x14ac:dyDescent="0.2">
      <c r="B62" s="217" t="s">
        <v>337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0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0</v>
      </c>
      <c r="X62" s="208"/>
      <c r="Y62" s="217" t="s">
        <v>337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0</v>
      </c>
      <c r="AJ62" s="208">
        <v>0</v>
      </c>
      <c r="AK62" s="255">
        <v>0</v>
      </c>
      <c r="AL62" s="255">
        <v>0</v>
      </c>
      <c r="AM62" s="255">
        <v>0</v>
      </c>
      <c r="AN62" s="255">
        <v>0</v>
      </c>
      <c r="AO62" s="255">
        <v>0</v>
      </c>
      <c r="AP62" s="255">
        <v>0</v>
      </c>
      <c r="AQ62" s="208">
        <v>0</v>
      </c>
      <c r="AR62" s="208">
        <v>0</v>
      </c>
      <c r="AS62" s="208">
        <v>0</v>
      </c>
      <c r="AT62" s="222">
        <v>0</v>
      </c>
      <c r="AV62" s="217" t="s">
        <v>337</v>
      </c>
      <c r="AW62" s="227">
        <v>0</v>
      </c>
      <c r="AX62" s="228">
        <v>0</v>
      </c>
      <c r="AY62" s="208">
        <v>0</v>
      </c>
      <c r="AZ62" s="20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55">
        <v>0</v>
      </c>
      <c r="BI62" s="255">
        <v>0</v>
      </c>
      <c r="BJ62" s="255">
        <v>0</v>
      </c>
      <c r="BK62" s="255">
        <v>0</v>
      </c>
      <c r="BL62" s="255">
        <v>0</v>
      </c>
      <c r="BM62" s="255">
        <v>0</v>
      </c>
      <c r="BN62" s="208">
        <v>0</v>
      </c>
      <c r="BO62" s="208">
        <v>0</v>
      </c>
      <c r="BP62" s="208">
        <v>0</v>
      </c>
      <c r="BQ62" s="230">
        <f t="shared" si="22"/>
        <v>0</v>
      </c>
      <c r="BR62" s="214"/>
      <c r="BS62" s="227"/>
      <c r="BT62" s="217" t="s">
        <v>337</v>
      </c>
      <c r="BU62" s="227">
        <v>0</v>
      </c>
      <c r="BV62" s="228">
        <v>0</v>
      </c>
      <c r="BW62" s="208">
        <v>0</v>
      </c>
      <c r="BX62" s="208">
        <v>0</v>
      </c>
      <c r="BY62" s="208">
        <v>0</v>
      </c>
      <c r="BZ62" s="208">
        <v>0</v>
      </c>
      <c r="CA62" s="208">
        <v>0</v>
      </c>
      <c r="CB62" s="208">
        <v>0</v>
      </c>
      <c r="CC62" s="208">
        <v>0</v>
      </c>
      <c r="CD62" s="208">
        <v>0</v>
      </c>
      <c r="CE62" s="208">
        <v>0</v>
      </c>
      <c r="CF62" s="208">
        <v>0</v>
      </c>
      <c r="CG62" s="208">
        <v>0</v>
      </c>
      <c r="CH62" s="208">
        <v>0</v>
      </c>
      <c r="CI62" s="208">
        <v>0</v>
      </c>
      <c r="CJ62" s="208">
        <v>0</v>
      </c>
      <c r="CK62" s="208">
        <v>0</v>
      </c>
      <c r="CL62" s="208">
        <v>0</v>
      </c>
      <c r="CM62" s="208">
        <v>0</v>
      </c>
      <c r="CN62" s="208">
        <v>0</v>
      </c>
      <c r="CO62" s="222">
        <v>0</v>
      </c>
      <c r="CP62" s="227"/>
      <c r="CQ62" s="217" t="s">
        <v>337</v>
      </c>
      <c r="CR62" s="227">
        <v>0</v>
      </c>
      <c r="CS62" s="228">
        <v>0</v>
      </c>
      <c r="CT62" s="208">
        <v>0</v>
      </c>
      <c r="CU62" s="208">
        <v>0</v>
      </c>
      <c r="CV62" s="208">
        <v>0</v>
      </c>
      <c r="CW62" s="208">
        <v>0</v>
      </c>
      <c r="CX62" s="208">
        <v>0</v>
      </c>
      <c r="CY62" s="208">
        <v>0</v>
      </c>
      <c r="CZ62" s="208">
        <v>0</v>
      </c>
      <c r="DA62" s="208">
        <v>0</v>
      </c>
      <c r="DB62" s="208">
        <v>0</v>
      </c>
      <c r="DC62" s="208">
        <v>0</v>
      </c>
      <c r="DD62" s="208">
        <v>0</v>
      </c>
      <c r="DE62" s="208">
        <v>0</v>
      </c>
      <c r="DF62" s="208">
        <v>0</v>
      </c>
      <c r="DG62" s="208">
        <v>0</v>
      </c>
      <c r="DH62" s="208">
        <v>0</v>
      </c>
      <c r="DI62" s="208">
        <v>0</v>
      </c>
      <c r="DJ62" s="208">
        <v>0</v>
      </c>
      <c r="DK62" s="208">
        <v>0</v>
      </c>
      <c r="DL62" s="222">
        <v>0</v>
      </c>
      <c r="DM62" s="214"/>
      <c r="DN62" s="214"/>
      <c r="DO62" s="227"/>
      <c r="DP62" s="217" t="s">
        <v>337</v>
      </c>
      <c r="DQ62" s="227">
        <v>0</v>
      </c>
      <c r="DR62" s="228">
        <v>0</v>
      </c>
      <c r="DS62" s="208">
        <v>0</v>
      </c>
      <c r="DT62" s="208">
        <v>0</v>
      </c>
      <c r="DU62" s="208">
        <v>0</v>
      </c>
      <c r="DV62" s="208">
        <v>0</v>
      </c>
      <c r="DW62" s="208">
        <v>0</v>
      </c>
      <c r="DX62" s="208">
        <v>0</v>
      </c>
      <c r="DY62" s="208">
        <v>0</v>
      </c>
      <c r="DZ62" s="208">
        <v>0</v>
      </c>
      <c r="EA62" s="208">
        <v>0</v>
      </c>
      <c r="EB62" s="208">
        <v>0</v>
      </c>
      <c r="EC62" s="208">
        <v>0</v>
      </c>
      <c r="ED62" s="208">
        <v>0</v>
      </c>
      <c r="EE62" s="208">
        <v>0</v>
      </c>
      <c r="EF62" s="208">
        <v>0</v>
      </c>
      <c r="EG62" s="208">
        <v>0</v>
      </c>
      <c r="EH62" s="208">
        <v>0</v>
      </c>
      <c r="EI62" s="208">
        <v>0</v>
      </c>
      <c r="EJ62" s="208">
        <v>0</v>
      </c>
      <c r="EK62" s="222">
        <v>0</v>
      </c>
      <c r="EL62" s="228"/>
      <c r="EM62" s="217" t="s">
        <v>337</v>
      </c>
      <c r="EN62" s="227">
        <v>0</v>
      </c>
      <c r="EO62" s="228">
        <v>0</v>
      </c>
      <c r="EP62" s="208">
        <v>0</v>
      </c>
      <c r="EQ62" s="208">
        <v>0</v>
      </c>
      <c r="ER62" s="208">
        <v>0</v>
      </c>
      <c r="ES62" s="208">
        <v>0</v>
      </c>
      <c r="ET62" s="208">
        <v>0</v>
      </c>
      <c r="EU62" s="208">
        <v>0</v>
      </c>
      <c r="EV62" s="208">
        <v>0</v>
      </c>
      <c r="EW62" s="208">
        <v>0</v>
      </c>
      <c r="EX62" s="208">
        <v>0</v>
      </c>
      <c r="EY62" s="208">
        <v>0</v>
      </c>
      <c r="EZ62" s="208">
        <v>0</v>
      </c>
      <c r="FA62" s="208">
        <v>0</v>
      </c>
      <c r="FB62" s="208">
        <v>0</v>
      </c>
      <c r="FC62" s="208">
        <v>0</v>
      </c>
      <c r="FD62" s="208">
        <v>0</v>
      </c>
      <c r="FE62" s="208">
        <v>0</v>
      </c>
      <c r="FF62" s="208">
        <v>0</v>
      </c>
      <c r="FG62" s="208">
        <v>0</v>
      </c>
      <c r="FH62" s="222">
        <v>0</v>
      </c>
    </row>
    <row r="63" spans="2:164" x14ac:dyDescent="0.2">
      <c r="B63" s="217" t="s">
        <v>338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4</v>
      </c>
      <c r="M63" s="208">
        <v>0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4</v>
      </c>
      <c r="X63" s="208"/>
      <c r="Y63" s="217" t="s">
        <v>338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323.42378600433693</v>
      </c>
      <c r="AJ63" s="208">
        <v>0</v>
      </c>
      <c r="AK63" s="255">
        <v>0</v>
      </c>
      <c r="AL63" s="255">
        <v>0</v>
      </c>
      <c r="AM63" s="255">
        <v>0</v>
      </c>
      <c r="AN63" s="255">
        <v>0</v>
      </c>
      <c r="AO63" s="255">
        <v>0</v>
      </c>
      <c r="AP63" s="255">
        <v>0</v>
      </c>
      <c r="AQ63" s="208">
        <v>0</v>
      </c>
      <c r="AR63" s="208">
        <v>0</v>
      </c>
      <c r="AS63" s="208">
        <v>0</v>
      </c>
      <c r="AT63" s="222">
        <v>323.42378600433693</v>
      </c>
      <c r="AV63" s="217" t="s">
        <v>338</v>
      </c>
      <c r="AW63" s="227">
        <v>0</v>
      </c>
      <c r="AX63" s="228">
        <v>0</v>
      </c>
      <c r="AY63" s="208">
        <v>0</v>
      </c>
      <c r="AZ63" s="208">
        <v>0</v>
      </c>
      <c r="BA63" s="208">
        <v>0</v>
      </c>
      <c r="BB63" s="208">
        <v>0</v>
      </c>
      <c r="BC63" s="208">
        <v>0</v>
      </c>
      <c r="BD63" s="208">
        <v>0</v>
      </c>
      <c r="BE63" s="208">
        <v>0</v>
      </c>
      <c r="BF63" s="208">
        <v>323.42378600433693</v>
      </c>
      <c r="BG63" s="208">
        <v>0</v>
      </c>
      <c r="BH63" s="255">
        <v>0</v>
      </c>
      <c r="BI63" s="255">
        <v>0</v>
      </c>
      <c r="BJ63" s="255">
        <v>0</v>
      </c>
      <c r="BK63" s="255">
        <v>0</v>
      </c>
      <c r="BL63" s="255">
        <v>0</v>
      </c>
      <c r="BM63" s="255">
        <v>0</v>
      </c>
      <c r="BN63" s="208">
        <v>0</v>
      </c>
      <c r="BO63" s="208">
        <v>0</v>
      </c>
      <c r="BP63" s="208">
        <v>0</v>
      </c>
      <c r="BQ63" s="230">
        <f t="shared" si="22"/>
        <v>323.42378600433693</v>
      </c>
      <c r="BR63" s="214"/>
      <c r="BS63" s="227"/>
      <c r="BT63" s="217" t="s">
        <v>338</v>
      </c>
      <c r="BU63" s="227">
        <v>0</v>
      </c>
      <c r="BV63" s="228">
        <v>0</v>
      </c>
      <c r="BW63" s="208">
        <v>0</v>
      </c>
      <c r="BX63" s="208">
        <v>0</v>
      </c>
      <c r="BY63" s="208">
        <v>0</v>
      </c>
      <c r="BZ63" s="208">
        <v>0</v>
      </c>
      <c r="CA63" s="208">
        <v>0</v>
      </c>
      <c r="CB63" s="208">
        <v>0</v>
      </c>
      <c r="CC63" s="208">
        <v>0</v>
      </c>
      <c r="CD63" s="208">
        <v>0</v>
      </c>
      <c r="CE63" s="208">
        <v>0</v>
      </c>
      <c r="CF63" s="208">
        <v>0</v>
      </c>
      <c r="CG63" s="208">
        <v>0</v>
      </c>
      <c r="CH63" s="208">
        <v>0</v>
      </c>
      <c r="CI63" s="208">
        <v>0</v>
      </c>
      <c r="CJ63" s="208">
        <v>0</v>
      </c>
      <c r="CK63" s="208">
        <v>0</v>
      </c>
      <c r="CL63" s="208">
        <v>0</v>
      </c>
      <c r="CM63" s="208">
        <v>0</v>
      </c>
      <c r="CN63" s="208">
        <v>0</v>
      </c>
      <c r="CO63" s="222">
        <v>0</v>
      </c>
      <c r="CP63" s="227"/>
      <c r="CQ63" s="217" t="s">
        <v>338</v>
      </c>
      <c r="CR63" s="227">
        <v>0</v>
      </c>
      <c r="CS63" s="228">
        <v>0</v>
      </c>
      <c r="CT63" s="208">
        <v>0</v>
      </c>
      <c r="CU63" s="208">
        <v>0</v>
      </c>
      <c r="CV63" s="208">
        <v>0</v>
      </c>
      <c r="CW63" s="208">
        <v>0</v>
      </c>
      <c r="CX63" s="208">
        <v>0</v>
      </c>
      <c r="CY63" s="208">
        <v>0</v>
      </c>
      <c r="CZ63" s="208">
        <v>0</v>
      </c>
      <c r="DA63" s="208">
        <v>0</v>
      </c>
      <c r="DB63" s="208">
        <v>0</v>
      </c>
      <c r="DC63" s="208">
        <v>0</v>
      </c>
      <c r="DD63" s="208">
        <v>0</v>
      </c>
      <c r="DE63" s="208">
        <v>0</v>
      </c>
      <c r="DF63" s="208">
        <v>0</v>
      </c>
      <c r="DG63" s="208">
        <v>0</v>
      </c>
      <c r="DH63" s="208">
        <v>0</v>
      </c>
      <c r="DI63" s="208">
        <v>0</v>
      </c>
      <c r="DJ63" s="208">
        <v>0</v>
      </c>
      <c r="DK63" s="208">
        <v>0</v>
      </c>
      <c r="DL63" s="222">
        <v>0</v>
      </c>
      <c r="DM63" s="214"/>
      <c r="DN63" s="214"/>
      <c r="DO63" s="227"/>
      <c r="DP63" s="217" t="s">
        <v>338</v>
      </c>
      <c r="DQ63" s="227">
        <v>0</v>
      </c>
      <c r="DR63" s="228">
        <v>0</v>
      </c>
      <c r="DS63" s="208">
        <v>0</v>
      </c>
      <c r="DT63" s="208">
        <v>0</v>
      </c>
      <c r="DU63" s="208">
        <v>0</v>
      </c>
      <c r="DV63" s="208">
        <v>0</v>
      </c>
      <c r="DW63" s="208">
        <v>0</v>
      </c>
      <c r="DX63" s="208">
        <v>0</v>
      </c>
      <c r="DY63" s="208">
        <v>0</v>
      </c>
      <c r="DZ63" s="208">
        <v>0</v>
      </c>
      <c r="EA63" s="208">
        <v>0</v>
      </c>
      <c r="EB63" s="208">
        <v>0</v>
      </c>
      <c r="EC63" s="208">
        <v>0</v>
      </c>
      <c r="ED63" s="208">
        <v>0</v>
      </c>
      <c r="EE63" s="208">
        <v>0</v>
      </c>
      <c r="EF63" s="208">
        <v>0</v>
      </c>
      <c r="EG63" s="208">
        <v>0</v>
      </c>
      <c r="EH63" s="208">
        <v>0</v>
      </c>
      <c r="EI63" s="208">
        <v>0</v>
      </c>
      <c r="EJ63" s="208">
        <v>0</v>
      </c>
      <c r="EK63" s="222">
        <v>0</v>
      </c>
      <c r="EL63" s="228"/>
      <c r="EM63" s="217" t="s">
        <v>338</v>
      </c>
      <c r="EN63" s="227">
        <v>0</v>
      </c>
      <c r="EO63" s="228">
        <v>0</v>
      </c>
      <c r="EP63" s="208">
        <v>0</v>
      </c>
      <c r="EQ63" s="208">
        <v>0</v>
      </c>
      <c r="ER63" s="208">
        <v>0</v>
      </c>
      <c r="ES63" s="208">
        <v>0</v>
      </c>
      <c r="ET63" s="208">
        <v>0</v>
      </c>
      <c r="EU63" s="208">
        <v>0</v>
      </c>
      <c r="EV63" s="208">
        <v>0</v>
      </c>
      <c r="EW63" s="208">
        <v>0</v>
      </c>
      <c r="EX63" s="208">
        <v>0</v>
      </c>
      <c r="EY63" s="208">
        <v>0</v>
      </c>
      <c r="EZ63" s="208">
        <v>0</v>
      </c>
      <c r="FA63" s="208">
        <v>0</v>
      </c>
      <c r="FB63" s="208">
        <v>0</v>
      </c>
      <c r="FC63" s="208">
        <v>0</v>
      </c>
      <c r="FD63" s="208">
        <v>0</v>
      </c>
      <c r="FE63" s="208">
        <v>0</v>
      </c>
      <c r="FF63" s="208">
        <v>0</v>
      </c>
      <c r="FG63" s="208">
        <v>0</v>
      </c>
      <c r="FH63" s="222">
        <v>0</v>
      </c>
    </row>
    <row r="64" spans="2:164" x14ac:dyDescent="0.2">
      <c r="B64" s="217" t="s">
        <v>339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2</v>
      </c>
      <c r="N64" s="208">
        <v>0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339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314.97561364914765</v>
      </c>
      <c r="AK64" s="255">
        <v>0</v>
      </c>
      <c r="AL64" s="255">
        <v>0</v>
      </c>
      <c r="AM64" s="255">
        <v>0</v>
      </c>
      <c r="AN64" s="255">
        <v>0</v>
      </c>
      <c r="AO64" s="255">
        <v>0</v>
      </c>
      <c r="AP64" s="255">
        <v>0</v>
      </c>
      <c r="AQ64" s="208">
        <v>0</v>
      </c>
      <c r="AR64" s="208">
        <v>0</v>
      </c>
      <c r="AS64" s="208">
        <v>0</v>
      </c>
      <c r="AT64" s="222">
        <v>314.97561364914765</v>
      </c>
      <c r="AV64" s="217" t="s">
        <v>339</v>
      </c>
      <c r="AW64" s="227">
        <v>0</v>
      </c>
      <c r="AX64" s="228">
        <v>0</v>
      </c>
      <c r="AY64" s="208">
        <v>0</v>
      </c>
      <c r="AZ64" s="208">
        <v>0</v>
      </c>
      <c r="BA64" s="208">
        <v>0</v>
      </c>
      <c r="BB64" s="208">
        <v>0</v>
      </c>
      <c r="BC64" s="208">
        <v>0</v>
      </c>
      <c r="BD64" s="208">
        <v>0</v>
      </c>
      <c r="BE64" s="208">
        <v>0</v>
      </c>
      <c r="BF64" s="208">
        <v>0</v>
      </c>
      <c r="BG64" s="208">
        <v>314.97561364914765</v>
      </c>
      <c r="BH64" s="255">
        <v>0</v>
      </c>
      <c r="BI64" s="255">
        <v>0</v>
      </c>
      <c r="BJ64" s="255">
        <v>0</v>
      </c>
      <c r="BK64" s="255">
        <v>0</v>
      </c>
      <c r="BL64" s="255">
        <v>0</v>
      </c>
      <c r="BM64" s="255">
        <v>0</v>
      </c>
      <c r="BN64" s="208">
        <v>0</v>
      </c>
      <c r="BO64" s="208">
        <v>0</v>
      </c>
      <c r="BP64" s="208">
        <v>0</v>
      </c>
      <c r="BQ64" s="230">
        <f t="shared" si="22"/>
        <v>314.97561364914765</v>
      </c>
      <c r="BR64" s="214"/>
      <c r="BS64" s="227"/>
      <c r="BT64" s="217" t="s">
        <v>339</v>
      </c>
      <c r="BU64" s="227">
        <v>0</v>
      </c>
      <c r="BV64" s="228">
        <v>0</v>
      </c>
      <c r="BW64" s="208">
        <v>0</v>
      </c>
      <c r="BX64" s="208">
        <v>0</v>
      </c>
      <c r="BY64" s="208">
        <v>0</v>
      </c>
      <c r="BZ64" s="208">
        <v>0</v>
      </c>
      <c r="CA64" s="208">
        <v>0</v>
      </c>
      <c r="CB64" s="208">
        <v>0</v>
      </c>
      <c r="CC64" s="208">
        <v>0</v>
      </c>
      <c r="CD64" s="208">
        <v>0</v>
      </c>
      <c r="CE64" s="208">
        <v>0</v>
      </c>
      <c r="CF64" s="208">
        <v>0</v>
      </c>
      <c r="CG64" s="208">
        <v>0</v>
      </c>
      <c r="CH64" s="208">
        <v>0</v>
      </c>
      <c r="CI64" s="208">
        <v>0</v>
      </c>
      <c r="CJ64" s="208">
        <v>0</v>
      </c>
      <c r="CK64" s="208">
        <v>0</v>
      </c>
      <c r="CL64" s="208">
        <v>0</v>
      </c>
      <c r="CM64" s="208">
        <v>0</v>
      </c>
      <c r="CN64" s="208">
        <v>0</v>
      </c>
      <c r="CO64" s="222">
        <v>0</v>
      </c>
      <c r="CP64" s="227"/>
      <c r="CQ64" s="217" t="s">
        <v>339</v>
      </c>
      <c r="CR64" s="227">
        <v>0</v>
      </c>
      <c r="CS64" s="228">
        <v>0</v>
      </c>
      <c r="CT64" s="208">
        <v>0</v>
      </c>
      <c r="CU64" s="208">
        <v>0</v>
      </c>
      <c r="CV64" s="208">
        <v>0</v>
      </c>
      <c r="CW64" s="208">
        <v>0</v>
      </c>
      <c r="CX64" s="208">
        <v>0</v>
      </c>
      <c r="CY64" s="208">
        <v>0</v>
      </c>
      <c r="CZ64" s="208">
        <v>0</v>
      </c>
      <c r="DA64" s="208">
        <v>0</v>
      </c>
      <c r="DB64" s="208">
        <v>0</v>
      </c>
      <c r="DC64" s="208">
        <v>0</v>
      </c>
      <c r="DD64" s="208">
        <v>0</v>
      </c>
      <c r="DE64" s="208">
        <v>0</v>
      </c>
      <c r="DF64" s="208">
        <v>0</v>
      </c>
      <c r="DG64" s="208">
        <v>0</v>
      </c>
      <c r="DH64" s="208">
        <v>0</v>
      </c>
      <c r="DI64" s="208">
        <v>0</v>
      </c>
      <c r="DJ64" s="208">
        <v>0</v>
      </c>
      <c r="DK64" s="208">
        <v>0</v>
      </c>
      <c r="DL64" s="222">
        <v>0</v>
      </c>
      <c r="DM64" s="214"/>
      <c r="DN64" s="214"/>
      <c r="DO64" s="227"/>
      <c r="DP64" s="217" t="s">
        <v>339</v>
      </c>
      <c r="DQ64" s="227">
        <v>0</v>
      </c>
      <c r="DR64" s="228">
        <v>0</v>
      </c>
      <c r="DS64" s="208">
        <v>0</v>
      </c>
      <c r="DT64" s="208">
        <v>0</v>
      </c>
      <c r="DU64" s="208">
        <v>0</v>
      </c>
      <c r="DV64" s="208">
        <v>0</v>
      </c>
      <c r="DW64" s="208">
        <v>0</v>
      </c>
      <c r="DX64" s="208">
        <v>0</v>
      </c>
      <c r="DY64" s="208">
        <v>0</v>
      </c>
      <c r="DZ64" s="208">
        <v>0</v>
      </c>
      <c r="EA64" s="208">
        <v>0</v>
      </c>
      <c r="EB64" s="208">
        <v>0</v>
      </c>
      <c r="EC64" s="208">
        <v>0</v>
      </c>
      <c r="ED64" s="208">
        <v>0</v>
      </c>
      <c r="EE64" s="208">
        <v>0</v>
      </c>
      <c r="EF64" s="208">
        <v>0</v>
      </c>
      <c r="EG64" s="208">
        <v>0</v>
      </c>
      <c r="EH64" s="208">
        <v>0</v>
      </c>
      <c r="EI64" s="208">
        <v>0</v>
      </c>
      <c r="EJ64" s="208">
        <v>0</v>
      </c>
      <c r="EK64" s="222">
        <v>0</v>
      </c>
      <c r="EL64" s="228"/>
      <c r="EM64" s="217" t="s">
        <v>339</v>
      </c>
      <c r="EN64" s="227">
        <v>0</v>
      </c>
      <c r="EO64" s="228">
        <v>0</v>
      </c>
      <c r="EP64" s="208">
        <v>0</v>
      </c>
      <c r="EQ64" s="208">
        <v>0</v>
      </c>
      <c r="ER64" s="208">
        <v>0</v>
      </c>
      <c r="ES64" s="208">
        <v>0</v>
      </c>
      <c r="ET64" s="208">
        <v>0</v>
      </c>
      <c r="EU64" s="208">
        <v>0</v>
      </c>
      <c r="EV64" s="208">
        <v>0</v>
      </c>
      <c r="EW64" s="208">
        <v>0</v>
      </c>
      <c r="EX64" s="208">
        <v>0</v>
      </c>
      <c r="EY64" s="208">
        <v>0</v>
      </c>
      <c r="EZ64" s="208">
        <v>0</v>
      </c>
      <c r="FA64" s="208">
        <v>0</v>
      </c>
      <c r="FB64" s="208">
        <v>0</v>
      </c>
      <c r="FC64" s="208">
        <v>0</v>
      </c>
      <c r="FD64" s="208">
        <v>0</v>
      </c>
      <c r="FE64" s="208">
        <v>0</v>
      </c>
      <c r="FF64" s="208">
        <v>0</v>
      </c>
      <c r="FG64" s="208">
        <v>0</v>
      </c>
      <c r="FH64" s="222">
        <v>0</v>
      </c>
    </row>
    <row r="65" spans="2:164" x14ac:dyDescent="0.2">
      <c r="B65" s="217" t="s">
        <v>340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2</v>
      </c>
      <c r="O65" s="208">
        <v>0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2</v>
      </c>
      <c r="X65" s="208"/>
      <c r="Y65" s="217" t="s">
        <v>340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55">
        <v>0</v>
      </c>
      <c r="AF65" s="255">
        <v>0</v>
      </c>
      <c r="AG65" s="255">
        <v>0</v>
      </c>
      <c r="AH65" s="255">
        <v>0</v>
      </c>
      <c r="AI65" s="255">
        <v>0</v>
      </c>
      <c r="AJ65" s="255">
        <v>0</v>
      </c>
      <c r="AK65" s="208">
        <v>3754.9539956781186</v>
      </c>
      <c r="AL65" s="208">
        <v>0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3754.9539956781186</v>
      </c>
      <c r="AV65" s="217" t="s">
        <v>340</v>
      </c>
      <c r="AW65" s="227">
        <v>0</v>
      </c>
      <c r="AX65" s="228">
        <v>0</v>
      </c>
      <c r="AY65" s="208">
        <v>0</v>
      </c>
      <c r="AZ65" s="208">
        <v>0</v>
      </c>
      <c r="BA65" s="208">
        <v>0</v>
      </c>
      <c r="BB65" s="255">
        <v>0</v>
      </c>
      <c r="BC65" s="255">
        <v>0</v>
      </c>
      <c r="BD65" s="255">
        <v>0</v>
      </c>
      <c r="BE65" s="255">
        <v>0</v>
      </c>
      <c r="BF65" s="255">
        <v>0</v>
      </c>
      <c r="BG65" s="255">
        <v>0</v>
      </c>
      <c r="BH65" s="208">
        <v>3754.9539956781186</v>
      </c>
      <c r="BI65" s="208">
        <v>0</v>
      </c>
      <c r="BJ65" s="208">
        <v>0</v>
      </c>
      <c r="BK65" s="208">
        <v>0</v>
      </c>
      <c r="BL65" s="208">
        <v>0</v>
      </c>
      <c r="BM65" s="208">
        <v>0</v>
      </c>
      <c r="BN65" s="208">
        <v>0</v>
      </c>
      <c r="BO65" s="208">
        <v>0</v>
      </c>
      <c r="BP65" s="208">
        <v>0</v>
      </c>
      <c r="BQ65" s="230">
        <f t="shared" si="22"/>
        <v>3754.9539956781186</v>
      </c>
      <c r="BR65" s="214"/>
      <c r="BS65" s="227"/>
      <c r="BT65" s="217" t="s">
        <v>340</v>
      </c>
      <c r="BU65" s="227">
        <v>0</v>
      </c>
      <c r="BV65" s="228">
        <v>0</v>
      </c>
      <c r="BW65" s="208">
        <v>0</v>
      </c>
      <c r="BX65" s="208">
        <v>0</v>
      </c>
      <c r="BY65" s="208">
        <v>0</v>
      </c>
      <c r="BZ65" s="208">
        <v>0</v>
      </c>
      <c r="CA65" s="208">
        <v>0</v>
      </c>
      <c r="CB65" s="208">
        <v>0</v>
      </c>
      <c r="CC65" s="208">
        <v>0</v>
      </c>
      <c r="CD65" s="208">
        <v>0</v>
      </c>
      <c r="CE65" s="208">
        <v>0</v>
      </c>
      <c r="CF65" s="208">
        <v>0</v>
      </c>
      <c r="CG65" s="208">
        <v>0</v>
      </c>
      <c r="CH65" s="208">
        <v>0</v>
      </c>
      <c r="CI65" s="208">
        <v>0</v>
      </c>
      <c r="CJ65" s="208">
        <v>0</v>
      </c>
      <c r="CK65" s="208">
        <v>0</v>
      </c>
      <c r="CL65" s="208">
        <v>0</v>
      </c>
      <c r="CM65" s="208">
        <v>0</v>
      </c>
      <c r="CN65" s="208">
        <v>0</v>
      </c>
      <c r="CO65" s="222">
        <v>0</v>
      </c>
      <c r="CP65" s="227"/>
      <c r="CQ65" s="217" t="s">
        <v>340</v>
      </c>
      <c r="CR65" s="227">
        <v>0</v>
      </c>
      <c r="CS65" s="228">
        <v>0</v>
      </c>
      <c r="CT65" s="208">
        <v>0</v>
      </c>
      <c r="CU65" s="208">
        <v>0</v>
      </c>
      <c r="CV65" s="208">
        <v>0</v>
      </c>
      <c r="CW65" s="208">
        <v>0</v>
      </c>
      <c r="CX65" s="208">
        <v>0</v>
      </c>
      <c r="CY65" s="208">
        <v>0</v>
      </c>
      <c r="CZ65" s="208">
        <v>0</v>
      </c>
      <c r="DA65" s="208">
        <v>0</v>
      </c>
      <c r="DB65" s="208">
        <v>0</v>
      </c>
      <c r="DC65" s="208">
        <v>0</v>
      </c>
      <c r="DD65" s="208">
        <v>0</v>
      </c>
      <c r="DE65" s="208">
        <v>0</v>
      </c>
      <c r="DF65" s="208">
        <v>0</v>
      </c>
      <c r="DG65" s="208">
        <v>0</v>
      </c>
      <c r="DH65" s="208">
        <v>0</v>
      </c>
      <c r="DI65" s="208">
        <v>0</v>
      </c>
      <c r="DJ65" s="208">
        <v>0</v>
      </c>
      <c r="DK65" s="208">
        <v>0</v>
      </c>
      <c r="DL65" s="222">
        <v>0</v>
      </c>
      <c r="DM65" s="214"/>
      <c r="DN65" s="214"/>
      <c r="DO65" s="227"/>
      <c r="DP65" s="217" t="s">
        <v>340</v>
      </c>
      <c r="DQ65" s="227">
        <v>0</v>
      </c>
      <c r="DR65" s="228">
        <v>0</v>
      </c>
      <c r="DS65" s="208">
        <v>0</v>
      </c>
      <c r="DT65" s="208">
        <v>0</v>
      </c>
      <c r="DU65" s="208">
        <v>0</v>
      </c>
      <c r="DV65" s="208">
        <v>0</v>
      </c>
      <c r="DW65" s="208">
        <v>0</v>
      </c>
      <c r="DX65" s="208">
        <v>0</v>
      </c>
      <c r="DY65" s="208">
        <v>0</v>
      </c>
      <c r="DZ65" s="208">
        <v>0</v>
      </c>
      <c r="EA65" s="208">
        <v>0</v>
      </c>
      <c r="EB65" s="208">
        <v>0</v>
      </c>
      <c r="EC65" s="208">
        <v>0</v>
      </c>
      <c r="ED65" s="208">
        <v>0</v>
      </c>
      <c r="EE65" s="208">
        <v>0</v>
      </c>
      <c r="EF65" s="208">
        <v>0</v>
      </c>
      <c r="EG65" s="208">
        <v>0</v>
      </c>
      <c r="EH65" s="208">
        <v>0</v>
      </c>
      <c r="EI65" s="208">
        <v>0</v>
      </c>
      <c r="EJ65" s="208">
        <v>0</v>
      </c>
      <c r="EK65" s="222">
        <v>0</v>
      </c>
      <c r="EL65" s="228"/>
      <c r="EM65" s="217" t="s">
        <v>340</v>
      </c>
      <c r="EN65" s="227">
        <v>0</v>
      </c>
      <c r="EO65" s="228">
        <v>0</v>
      </c>
      <c r="EP65" s="208">
        <v>0</v>
      </c>
      <c r="EQ65" s="208">
        <v>0</v>
      </c>
      <c r="ER65" s="208">
        <v>0</v>
      </c>
      <c r="ES65" s="208">
        <v>0</v>
      </c>
      <c r="ET65" s="208">
        <v>0</v>
      </c>
      <c r="EU65" s="208">
        <v>0</v>
      </c>
      <c r="EV65" s="208">
        <v>0</v>
      </c>
      <c r="EW65" s="208">
        <v>0</v>
      </c>
      <c r="EX65" s="208">
        <v>0</v>
      </c>
      <c r="EY65" s="208">
        <v>0</v>
      </c>
      <c r="EZ65" s="208">
        <v>0</v>
      </c>
      <c r="FA65" s="208">
        <v>0</v>
      </c>
      <c r="FB65" s="208">
        <v>0</v>
      </c>
      <c r="FC65" s="208">
        <v>0</v>
      </c>
      <c r="FD65" s="208">
        <v>0</v>
      </c>
      <c r="FE65" s="208">
        <v>0</v>
      </c>
      <c r="FF65" s="208">
        <v>0</v>
      </c>
      <c r="FG65" s="208">
        <v>0</v>
      </c>
      <c r="FH65" s="222">
        <v>0</v>
      </c>
    </row>
    <row r="66" spans="2:164" x14ac:dyDescent="0.2">
      <c r="B66" s="217" t="s">
        <v>361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1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1</v>
      </c>
      <c r="X66" s="209"/>
      <c r="Y66" s="217" t="s">
        <v>361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55">
        <v>0</v>
      </c>
      <c r="AF66" s="255">
        <v>0</v>
      </c>
      <c r="AG66" s="255">
        <v>0</v>
      </c>
      <c r="AH66" s="255">
        <v>0</v>
      </c>
      <c r="AI66" s="255">
        <v>0</v>
      </c>
      <c r="AJ66" s="255">
        <v>0</v>
      </c>
      <c r="AK66" s="208">
        <v>0</v>
      </c>
      <c r="AL66" s="208">
        <v>134.1050040902484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134.1050040902484</v>
      </c>
      <c r="AV66" s="217" t="s">
        <v>361</v>
      </c>
      <c r="AW66" s="227">
        <v>0</v>
      </c>
      <c r="AX66" s="228">
        <v>0</v>
      </c>
      <c r="AY66" s="208">
        <v>0</v>
      </c>
      <c r="AZ66" s="208">
        <v>0</v>
      </c>
      <c r="BA66" s="208">
        <v>0</v>
      </c>
      <c r="BB66" s="255">
        <v>0</v>
      </c>
      <c r="BC66" s="255">
        <v>0</v>
      </c>
      <c r="BD66" s="255">
        <v>0</v>
      </c>
      <c r="BE66" s="255">
        <v>0</v>
      </c>
      <c r="BF66" s="255">
        <v>0</v>
      </c>
      <c r="BG66" s="255">
        <v>0</v>
      </c>
      <c r="BH66" s="208">
        <v>0</v>
      </c>
      <c r="BI66" s="208">
        <v>134.1050040902484</v>
      </c>
      <c r="BJ66" s="208">
        <v>0</v>
      </c>
      <c r="BK66" s="208">
        <v>0</v>
      </c>
      <c r="BL66" s="208">
        <v>0</v>
      </c>
      <c r="BM66" s="208">
        <v>0</v>
      </c>
      <c r="BN66" s="208">
        <v>0</v>
      </c>
      <c r="BO66" s="208">
        <v>0</v>
      </c>
      <c r="BP66" s="208">
        <v>0</v>
      </c>
      <c r="BQ66" s="230">
        <f t="shared" si="22"/>
        <v>134.1050040902484</v>
      </c>
      <c r="BR66" s="214"/>
      <c r="BS66" s="227"/>
      <c r="BT66" s="217" t="s">
        <v>361</v>
      </c>
      <c r="BU66" s="227">
        <v>0</v>
      </c>
      <c r="BV66" s="228">
        <v>0</v>
      </c>
      <c r="BW66" s="208">
        <v>0</v>
      </c>
      <c r="BX66" s="208">
        <v>0</v>
      </c>
      <c r="BY66" s="208">
        <v>0</v>
      </c>
      <c r="BZ66" s="208">
        <v>0</v>
      </c>
      <c r="CA66" s="208">
        <v>0</v>
      </c>
      <c r="CB66" s="208">
        <v>0</v>
      </c>
      <c r="CC66" s="208">
        <v>0</v>
      </c>
      <c r="CD66" s="208">
        <v>0</v>
      </c>
      <c r="CE66" s="208">
        <v>0</v>
      </c>
      <c r="CF66" s="208">
        <v>0</v>
      </c>
      <c r="CG66" s="208">
        <v>0</v>
      </c>
      <c r="CH66" s="208">
        <v>0</v>
      </c>
      <c r="CI66" s="208">
        <v>0</v>
      </c>
      <c r="CJ66" s="208">
        <v>0</v>
      </c>
      <c r="CK66" s="208">
        <v>0</v>
      </c>
      <c r="CL66" s="208">
        <v>0</v>
      </c>
      <c r="CM66" s="208">
        <v>0</v>
      </c>
      <c r="CN66" s="208">
        <v>0</v>
      </c>
      <c r="CO66" s="222">
        <v>0</v>
      </c>
      <c r="CP66" s="227"/>
      <c r="CQ66" s="217" t="s">
        <v>361</v>
      </c>
      <c r="CR66" s="227">
        <v>0</v>
      </c>
      <c r="CS66" s="228">
        <v>0</v>
      </c>
      <c r="CT66" s="208">
        <v>0</v>
      </c>
      <c r="CU66" s="208">
        <v>0</v>
      </c>
      <c r="CV66" s="208">
        <v>0</v>
      </c>
      <c r="CW66" s="208">
        <v>0</v>
      </c>
      <c r="CX66" s="208">
        <v>0</v>
      </c>
      <c r="CY66" s="208">
        <v>0</v>
      </c>
      <c r="CZ66" s="208">
        <v>0</v>
      </c>
      <c r="DA66" s="208">
        <v>0</v>
      </c>
      <c r="DB66" s="208">
        <v>0</v>
      </c>
      <c r="DC66" s="208">
        <v>0</v>
      </c>
      <c r="DD66" s="208">
        <v>0</v>
      </c>
      <c r="DE66" s="208">
        <v>0</v>
      </c>
      <c r="DF66" s="208">
        <v>0</v>
      </c>
      <c r="DG66" s="208">
        <v>0</v>
      </c>
      <c r="DH66" s="208">
        <v>0</v>
      </c>
      <c r="DI66" s="208">
        <v>0</v>
      </c>
      <c r="DJ66" s="208">
        <v>0</v>
      </c>
      <c r="DK66" s="208">
        <v>0</v>
      </c>
      <c r="DL66" s="222">
        <v>0</v>
      </c>
      <c r="DM66" s="214"/>
      <c r="DN66" s="214"/>
      <c r="DO66" s="227"/>
      <c r="DP66" s="217" t="s">
        <v>361</v>
      </c>
      <c r="DQ66" s="227">
        <v>0</v>
      </c>
      <c r="DR66" s="228">
        <v>0</v>
      </c>
      <c r="DS66" s="208">
        <v>0</v>
      </c>
      <c r="DT66" s="208">
        <v>0</v>
      </c>
      <c r="DU66" s="208">
        <v>0</v>
      </c>
      <c r="DV66" s="208">
        <v>0</v>
      </c>
      <c r="DW66" s="208">
        <v>0</v>
      </c>
      <c r="DX66" s="208">
        <v>0</v>
      </c>
      <c r="DY66" s="208">
        <v>0</v>
      </c>
      <c r="DZ66" s="208">
        <v>0</v>
      </c>
      <c r="EA66" s="208">
        <v>0</v>
      </c>
      <c r="EB66" s="208">
        <v>0</v>
      </c>
      <c r="EC66" s="208">
        <v>0</v>
      </c>
      <c r="ED66" s="208">
        <v>0</v>
      </c>
      <c r="EE66" s="208">
        <v>0</v>
      </c>
      <c r="EF66" s="208">
        <v>0</v>
      </c>
      <c r="EG66" s="208">
        <v>0</v>
      </c>
      <c r="EH66" s="208">
        <v>0</v>
      </c>
      <c r="EI66" s="208">
        <v>0</v>
      </c>
      <c r="EJ66" s="208">
        <v>0</v>
      </c>
      <c r="EK66" s="222">
        <v>0</v>
      </c>
      <c r="EL66" s="228"/>
      <c r="EM66" s="217" t="s">
        <v>361</v>
      </c>
      <c r="EN66" s="227">
        <v>0</v>
      </c>
      <c r="EO66" s="228">
        <v>0</v>
      </c>
      <c r="EP66" s="208">
        <v>0</v>
      </c>
      <c r="EQ66" s="208">
        <v>0</v>
      </c>
      <c r="ER66" s="208">
        <v>0</v>
      </c>
      <c r="ES66" s="208">
        <v>0</v>
      </c>
      <c r="ET66" s="208">
        <v>0</v>
      </c>
      <c r="EU66" s="208">
        <v>0</v>
      </c>
      <c r="EV66" s="208">
        <v>0</v>
      </c>
      <c r="EW66" s="208">
        <v>0</v>
      </c>
      <c r="EX66" s="208">
        <v>0</v>
      </c>
      <c r="EY66" s="208">
        <v>0</v>
      </c>
      <c r="EZ66" s="208">
        <v>0</v>
      </c>
      <c r="FA66" s="208">
        <v>0</v>
      </c>
      <c r="FB66" s="208">
        <v>0</v>
      </c>
      <c r="FC66" s="208">
        <v>0</v>
      </c>
      <c r="FD66" s="208">
        <v>0</v>
      </c>
      <c r="FE66" s="208">
        <v>0</v>
      </c>
      <c r="FF66" s="208">
        <v>0</v>
      </c>
      <c r="FG66" s="208">
        <v>0</v>
      </c>
      <c r="FH66" s="222">
        <v>0</v>
      </c>
    </row>
    <row r="67" spans="2:164" x14ac:dyDescent="0.2">
      <c r="B67" s="234" t="s">
        <v>350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0</v>
      </c>
      <c r="S67" s="208">
        <v>0</v>
      </c>
      <c r="T67" s="208">
        <v>0</v>
      </c>
      <c r="U67" s="208">
        <v>0</v>
      </c>
      <c r="V67" s="208">
        <v>0</v>
      </c>
      <c r="W67" s="222">
        <v>0</v>
      </c>
      <c r="Y67" s="217" t="s">
        <v>350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55">
        <v>0</v>
      </c>
      <c r="AF67" s="255">
        <v>0</v>
      </c>
      <c r="AG67" s="255">
        <v>0</v>
      </c>
      <c r="AH67" s="255">
        <v>0</v>
      </c>
      <c r="AI67" s="255">
        <v>0</v>
      </c>
      <c r="AJ67" s="255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0</v>
      </c>
      <c r="AP67" s="208">
        <v>0</v>
      </c>
      <c r="AQ67" s="208">
        <v>0</v>
      </c>
      <c r="AR67" s="208">
        <v>0</v>
      </c>
      <c r="AS67" s="208">
        <v>0</v>
      </c>
      <c r="AT67" s="222">
        <v>0</v>
      </c>
      <c r="AV67" s="217" t="s">
        <v>350</v>
      </c>
      <c r="AW67" s="227">
        <v>0</v>
      </c>
      <c r="AX67" s="228">
        <v>0</v>
      </c>
      <c r="AY67" s="208">
        <v>0</v>
      </c>
      <c r="AZ67" s="208">
        <v>0</v>
      </c>
      <c r="BA67" s="208">
        <v>0</v>
      </c>
      <c r="BB67" s="255">
        <v>0</v>
      </c>
      <c r="BC67" s="255">
        <v>0</v>
      </c>
      <c r="BD67" s="255">
        <v>0</v>
      </c>
      <c r="BE67" s="255">
        <v>0</v>
      </c>
      <c r="BF67" s="255">
        <v>0</v>
      </c>
      <c r="BG67" s="255">
        <v>0</v>
      </c>
      <c r="BH67" s="208">
        <v>0</v>
      </c>
      <c r="BI67" s="208">
        <v>0</v>
      </c>
      <c r="BJ67" s="208">
        <v>0</v>
      </c>
      <c r="BK67" s="208">
        <v>0</v>
      </c>
      <c r="BL67" s="208">
        <v>0</v>
      </c>
      <c r="BM67" s="208">
        <v>0</v>
      </c>
      <c r="BN67" s="208">
        <v>0</v>
      </c>
      <c r="BO67" s="208">
        <v>0</v>
      </c>
      <c r="BP67" s="208">
        <v>0</v>
      </c>
      <c r="BQ67" s="230">
        <f t="shared" si="22"/>
        <v>0</v>
      </c>
      <c r="BR67" s="214"/>
      <c r="BS67" s="227"/>
      <c r="BT67" s="234" t="s">
        <v>350</v>
      </c>
      <c r="BU67" s="227">
        <v>0</v>
      </c>
      <c r="BV67" s="228">
        <v>0</v>
      </c>
      <c r="BW67" s="208">
        <v>0</v>
      </c>
      <c r="BX67" s="208">
        <v>0</v>
      </c>
      <c r="BY67" s="208">
        <v>0</v>
      </c>
      <c r="BZ67" s="208">
        <v>0</v>
      </c>
      <c r="CA67" s="208">
        <v>0</v>
      </c>
      <c r="CB67" s="208">
        <v>0</v>
      </c>
      <c r="CC67" s="208">
        <v>0</v>
      </c>
      <c r="CD67" s="208">
        <v>0</v>
      </c>
      <c r="CE67" s="208">
        <v>0</v>
      </c>
      <c r="CF67" s="208">
        <v>0</v>
      </c>
      <c r="CG67" s="208">
        <v>0</v>
      </c>
      <c r="CH67" s="208">
        <v>0</v>
      </c>
      <c r="CI67" s="208">
        <v>0</v>
      </c>
      <c r="CJ67" s="208">
        <v>0</v>
      </c>
      <c r="CK67" s="208">
        <v>0</v>
      </c>
      <c r="CL67" s="208">
        <v>0</v>
      </c>
      <c r="CM67" s="208">
        <v>0</v>
      </c>
      <c r="CN67" s="208">
        <v>0</v>
      </c>
      <c r="CO67" s="222">
        <v>0</v>
      </c>
      <c r="CP67" s="227"/>
      <c r="CQ67" s="234" t="s">
        <v>350</v>
      </c>
      <c r="CR67" s="227">
        <v>0</v>
      </c>
      <c r="CS67" s="228">
        <v>0</v>
      </c>
      <c r="CT67" s="208">
        <v>0</v>
      </c>
      <c r="CU67" s="208">
        <v>0</v>
      </c>
      <c r="CV67" s="208">
        <v>0</v>
      </c>
      <c r="CW67" s="208">
        <v>0</v>
      </c>
      <c r="CX67" s="208">
        <v>0</v>
      </c>
      <c r="CY67" s="208">
        <v>0</v>
      </c>
      <c r="CZ67" s="208">
        <v>0</v>
      </c>
      <c r="DA67" s="208">
        <v>0</v>
      </c>
      <c r="DB67" s="208">
        <v>0</v>
      </c>
      <c r="DC67" s="208">
        <v>0</v>
      </c>
      <c r="DD67" s="208">
        <v>0</v>
      </c>
      <c r="DE67" s="208">
        <v>0</v>
      </c>
      <c r="DF67" s="208">
        <v>0</v>
      </c>
      <c r="DG67" s="208">
        <v>0</v>
      </c>
      <c r="DH67" s="208">
        <v>0</v>
      </c>
      <c r="DI67" s="208">
        <v>0</v>
      </c>
      <c r="DJ67" s="208">
        <v>0</v>
      </c>
      <c r="DK67" s="208">
        <v>0</v>
      </c>
      <c r="DL67" s="222">
        <v>0</v>
      </c>
      <c r="DM67" s="214"/>
      <c r="DN67" s="214"/>
      <c r="DO67" s="227"/>
      <c r="DP67" s="234" t="s">
        <v>350</v>
      </c>
      <c r="DQ67" s="227">
        <v>0</v>
      </c>
      <c r="DR67" s="228">
        <v>0</v>
      </c>
      <c r="DS67" s="208">
        <v>0</v>
      </c>
      <c r="DT67" s="208">
        <v>0</v>
      </c>
      <c r="DU67" s="208">
        <v>0</v>
      </c>
      <c r="DV67" s="208">
        <v>0</v>
      </c>
      <c r="DW67" s="208">
        <v>0</v>
      </c>
      <c r="DX67" s="208">
        <v>0</v>
      </c>
      <c r="DY67" s="208">
        <v>0</v>
      </c>
      <c r="DZ67" s="208">
        <v>0</v>
      </c>
      <c r="EA67" s="208">
        <v>0</v>
      </c>
      <c r="EB67" s="208">
        <v>0</v>
      </c>
      <c r="EC67" s="208">
        <v>0</v>
      </c>
      <c r="ED67" s="208">
        <v>0</v>
      </c>
      <c r="EE67" s="208">
        <v>0</v>
      </c>
      <c r="EF67" s="208">
        <v>0</v>
      </c>
      <c r="EG67" s="208">
        <v>0</v>
      </c>
      <c r="EH67" s="208">
        <v>0</v>
      </c>
      <c r="EI67" s="208">
        <v>0</v>
      </c>
      <c r="EJ67" s="208">
        <v>0</v>
      </c>
      <c r="EK67" s="222">
        <v>0</v>
      </c>
      <c r="EL67" s="228"/>
      <c r="EM67" s="234" t="s">
        <v>350</v>
      </c>
      <c r="EN67" s="227">
        <v>0</v>
      </c>
      <c r="EO67" s="228">
        <v>0</v>
      </c>
      <c r="EP67" s="208">
        <v>0</v>
      </c>
      <c r="EQ67" s="208">
        <v>0</v>
      </c>
      <c r="ER67" s="208">
        <v>0</v>
      </c>
      <c r="ES67" s="208">
        <v>0</v>
      </c>
      <c r="ET67" s="208">
        <v>0</v>
      </c>
      <c r="EU67" s="208">
        <v>0</v>
      </c>
      <c r="EV67" s="208">
        <v>0</v>
      </c>
      <c r="EW67" s="208">
        <v>0</v>
      </c>
      <c r="EX67" s="208">
        <v>0</v>
      </c>
      <c r="EY67" s="208">
        <v>0</v>
      </c>
      <c r="EZ67" s="208">
        <v>0</v>
      </c>
      <c r="FA67" s="208">
        <v>0</v>
      </c>
      <c r="FB67" s="208">
        <v>0</v>
      </c>
      <c r="FC67" s="208">
        <v>0</v>
      </c>
      <c r="FD67" s="208">
        <v>0</v>
      </c>
      <c r="FE67" s="208">
        <v>0</v>
      </c>
      <c r="FF67" s="208">
        <v>0</v>
      </c>
      <c r="FG67" s="208">
        <v>0</v>
      </c>
      <c r="FH67" s="222">
        <v>0</v>
      </c>
    </row>
    <row r="68" spans="2:164" x14ac:dyDescent="0.2">
      <c r="B68" s="217" t="s">
        <v>341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341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55">
        <v>0</v>
      </c>
      <c r="AF68" s="255">
        <v>0</v>
      </c>
      <c r="AG68" s="255">
        <v>0</v>
      </c>
      <c r="AH68" s="255">
        <v>0</v>
      </c>
      <c r="AI68" s="255">
        <v>0</v>
      </c>
      <c r="AJ68" s="255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341</v>
      </c>
      <c r="AW68" s="227">
        <v>0</v>
      </c>
      <c r="AX68" s="228">
        <v>0</v>
      </c>
      <c r="AY68" s="208">
        <v>0</v>
      </c>
      <c r="AZ68" s="208">
        <v>0</v>
      </c>
      <c r="BA68" s="208">
        <v>0</v>
      </c>
      <c r="BB68" s="255">
        <v>0</v>
      </c>
      <c r="BC68" s="255">
        <v>0</v>
      </c>
      <c r="BD68" s="255">
        <v>0</v>
      </c>
      <c r="BE68" s="255">
        <v>0</v>
      </c>
      <c r="BF68" s="255">
        <v>0</v>
      </c>
      <c r="BG68" s="255">
        <v>0</v>
      </c>
      <c r="BH68" s="208">
        <v>0</v>
      </c>
      <c r="BI68" s="208">
        <v>0</v>
      </c>
      <c r="BJ68" s="208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0</v>
      </c>
      <c r="BQ68" s="230">
        <f t="shared" si="22"/>
        <v>0</v>
      </c>
      <c r="BR68" s="214"/>
      <c r="BS68" s="227"/>
      <c r="BT68" s="217" t="s">
        <v>341</v>
      </c>
      <c r="BU68" s="227">
        <v>0</v>
      </c>
      <c r="BV68" s="228">
        <v>0</v>
      </c>
      <c r="BW68" s="208">
        <v>0</v>
      </c>
      <c r="BX68" s="208">
        <v>0</v>
      </c>
      <c r="BY68" s="208">
        <v>0</v>
      </c>
      <c r="BZ68" s="208">
        <v>0</v>
      </c>
      <c r="CA68" s="208">
        <v>0</v>
      </c>
      <c r="CB68" s="208">
        <v>0</v>
      </c>
      <c r="CC68" s="208">
        <v>0</v>
      </c>
      <c r="CD68" s="208">
        <v>0</v>
      </c>
      <c r="CE68" s="208">
        <v>0</v>
      </c>
      <c r="CF68" s="208">
        <v>0</v>
      </c>
      <c r="CG68" s="208">
        <v>0</v>
      </c>
      <c r="CH68" s="208">
        <v>0</v>
      </c>
      <c r="CI68" s="208">
        <v>0</v>
      </c>
      <c r="CJ68" s="208">
        <v>0</v>
      </c>
      <c r="CK68" s="208">
        <v>0</v>
      </c>
      <c r="CL68" s="208">
        <v>0</v>
      </c>
      <c r="CM68" s="208">
        <v>0</v>
      </c>
      <c r="CN68" s="208">
        <v>0</v>
      </c>
      <c r="CO68" s="222">
        <v>0</v>
      </c>
      <c r="CP68" s="227"/>
      <c r="CQ68" s="217" t="s">
        <v>341</v>
      </c>
      <c r="CR68" s="227">
        <v>0</v>
      </c>
      <c r="CS68" s="228">
        <v>0</v>
      </c>
      <c r="CT68" s="208">
        <v>0</v>
      </c>
      <c r="CU68" s="208">
        <v>0</v>
      </c>
      <c r="CV68" s="208">
        <v>0</v>
      </c>
      <c r="CW68" s="208">
        <v>0</v>
      </c>
      <c r="CX68" s="208">
        <v>0</v>
      </c>
      <c r="CY68" s="208">
        <v>0</v>
      </c>
      <c r="CZ68" s="208">
        <v>0</v>
      </c>
      <c r="DA68" s="208">
        <v>0</v>
      </c>
      <c r="DB68" s="208">
        <v>0</v>
      </c>
      <c r="DC68" s="208">
        <v>0</v>
      </c>
      <c r="DD68" s="208">
        <v>0</v>
      </c>
      <c r="DE68" s="208">
        <v>0</v>
      </c>
      <c r="DF68" s="208">
        <v>0</v>
      </c>
      <c r="DG68" s="208">
        <v>0</v>
      </c>
      <c r="DH68" s="208">
        <v>0</v>
      </c>
      <c r="DI68" s="208">
        <v>0</v>
      </c>
      <c r="DJ68" s="208">
        <v>0</v>
      </c>
      <c r="DK68" s="208">
        <v>0</v>
      </c>
      <c r="DL68" s="222">
        <v>0</v>
      </c>
      <c r="DM68" s="214"/>
      <c r="DN68" s="214"/>
      <c r="DO68" s="227"/>
      <c r="DP68" s="217" t="s">
        <v>341</v>
      </c>
      <c r="DQ68" s="227">
        <v>0</v>
      </c>
      <c r="DR68" s="228">
        <v>0</v>
      </c>
      <c r="DS68" s="208">
        <v>0</v>
      </c>
      <c r="DT68" s="208">
        <v>0</v>
      </c>
      <c r="DU68" s="208">
        <v>0</v>
      </c>
      <c r="DV68" s="208">
        <v>0</v>
      </c>
      <c r="DW68" s="208">
        <v>0</v>
      </c>
      <c r="DX68" s="208">
        <v>0</v>
      </c>
      <c r="DY68" s="208">
        <v>0</v>
      </c>
      <c r="DZ68" s="208">
        <v>0</v>
      </c>
      <c r="EA68" s="208">
        <v>0</v>
      </c>
      <c r="EB68" s="208">
        <v>0</v>
      </c>
      <c r="EC68" s="208">
        <v>0</v>
      </c>
      <c r="ED68" s="208">
        <v>0</v>
      </c>
      <c r="EE68" s="208">
        <v>0</v>
      </c>
      <c r="EF68" s="208">
        <v>0</v>
      </c>
      <c r="EG68" s="208">
        <v>0</v>
      </c>
      <c r="EH68" s="208">
        <v>0</v>
      </c>
      <c r="EI68" s="208">
        <v>0</v>
      </c>
      <c r="EJ68" s="208">
        <v>0</v>
      </c>
      <c r="EK68" s="222">
        <v>0</v>
      </c>
      <c r="EL68" s="228"/>
      <c r="EM68" s="217" t="s">
        <v>341</v>
      </c>
      <c r="EN68" s="227">
        <v>0</v>
      </c>
      <c r="EO68" s="228">
        <v>0</v>
      </c>
      <c r="EP68" s="208">
        <v>0</v>
      </c>
      <c r="EQ68" s="208">
        <v>0</v>
      </c>
      <c r="ER68" s="208">
        <v>0</v>
      </c>
      <c r="ES68" s="208">
        <v>0</v>
      </c>
      <c r="ET68" s="208">
        <v>0</v>
      </c>
      <c r="EU68" s="208">
        <v>0</v>
      </c>
      <c r="EV68" s="208">
        <v>0</v>
      </c>
      <c r="EW68" s="208">
        <v>0</v>
      </c>
      <c r="EX68" s="208">
        <v>0</v>
      </c>
      <c r="EY68" s="208">
        <v>0</v>
      </c>
      <c r="EZ68" s="208">
        <v>0</v>
      </c>
      <c r="FA68" s="208">
        <v>0</v>
      </c>
      <c r="FB68" s="208">
        <v>0</v>
      </c>
      <c r="FC68" s="208">
        <v>0</v>
      </c>
      <c r="FD68" s="208">
        <v>0</v>
      </c>
      <c r="FE68" s="208">
        <v>0</v>
      </c>
      <c r="FF68" s="208">
        <v>0</v>
      </c>
      <c r="FG68" s="208">
        <v>0</v>
      </c>
      <c r="FH68" s="222">
        <v>0</v>
      </c>
    </row>
    <row r="69" spans="2:164" x14ac:dyDescent="0.2">
      <c r="B69" s="217" t="s">
        <v>342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2</v>
      </c>
      <c r="S69" s="208">
        <v>0</v>
      </c>
      <c r="T69" s="208">
        <v>0</v>
      </c>
      <c r="U69" s="208">
        <v>0</v>
      </c>
      <c r="V69" s="208">
        <v>0</v>
      </c>
      <c r="W69" s="222">
        <v>2</v>
      </c>
      <c r="X69" s="209"/>
      <c r="Y69" s="217" t="s">
        <v>342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55">
        <v>0</v>
      </c>
      <c r="AF69" s="255">
        <v>0</v>
      </c>
      <c r="AG69" s="255">
        <v>0</v>
      </c>
      <c r="AH69" s="255">
        <v>0</v>
      </c>
      <c r="AI69" s="255">
        <v>0</v>
      </c>
      <c r="AJ69" s="255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1817.8137634176737</v>
      </c>
      <c r="AP69" s="208">
        <v>0</v>
      </c>
      <c r="AQ69" s="208">
        <v>0</v>
      </c>
      <c r="AR69" s="208">
        <v>0</v>
      </c>
      <c r="AS69" s="208">
        <v>0</v>
      </c>
      <c r="AT69" s="222">
        <v>1817.8137634176737</v>
      </c>
      <c r="AV69" s="217" t="s">
        <v>342</v>
      </c>
      <c r="AW69" s="227">
        <v>0</v>
      </c>
      <c r="AX69" s="228">
        <v>0</v>
      </c>
      <c r="AY69" s="208">
        <v>0</v>
      </c>
      <c r="AZ69" s="208">
        <v>0</v>
      </c>
      <c r="BA69" s="208">
        <v>0</v>
      </c>
      <c r="BB69" s="255">
        <v>0</v>
      </c>
      <c r="BC69" s="255">
        <v>0</v>
      </c>
      <c r="BD69" s="255">
        <v>0</v>
      </c>
      <c r="BE69" s="255">
        <v>0</v>
      </c>
      <c r="BF69" s="255">
        <v>0</v>
      </c>
      <c r="BG69" s="255">
        <v>0</v>
      </c>
      <c r="BH69" s="208">
        <v>0</v>
      </c>
      <c r="BI69" s="208">
        <v>0</v>
      </c>
      <c r="BJ69" s="208">
        <v>0</v>
      </c>
      <c r="BK69" s="208">
        <v>0</v>
      </c>
      <c r="BL69" s="208">
        <v>1817.8137634176737</v>
      </c>
      <c r="BM69" s="208">
        <v>0</v>
      </c>
      <c r="BN69" s="208">
        <v>0</v>
      </c>
      <c r="BO69" s="208">
        <v>0</v>
      </c>
      <c r="BP69" s="208">
        <v>0</v>
      </c>
      <c r="BQ69" s="230">
        <f t="shared" si="22"/>
        <v>1817.8137634176737</v>
      </c>
      <c r="BR69" s="214"/>
      <c r="BS69" s="227"/>
      <c r="BT69" s="217" t="s">
        <v>342</v>
      </c>
      <c r="BU69" s="227">
        <v>0</v>
      </c>
      <c r="BV69" s="228">
        <v>0</v>
      </c>
      <c r="BW69" s="208">
        <v>0</v>
      </c>
      <c r="BX69" s="208">
        <v>0</v>
      </c>
      <c r="BY69" s="208">
        <v>0</v>
      </c>
      <c r="BZ69" s="208">
        <v>0</v>
      </c>
      <c r="CA69" s="208">
        <v>0</v>
      </c>
      <c r="CB69" s="208">
        <v>0</v>
      </c>
      <c r="CC69" s="208">
        <v>0</v>
      </c>
      <c r="CD69" s="208">
        <v>0</v>
      </c>
      <c r="CE69" s="208">
        <v>0</v>
      </c>
      <c r="CF69" s="208">
        <v>0</v>
      </c>
      <c r="CG69" s="208">
        <v>0</v>
      </c>
      <c r="CH69" s="208">
        <v>0</v>
      </c>
      <c r="CI69" s="208">
        <v>0</v>
      </c>
      <c r="CJ69" s="208">
        <v>0</v>
      </c>
      <c r="CK69" s="208">
        <v>0</v>
      </c>
      <c r="CL69" s="208">
        <v>0</v>
      </c>
      <c r="CM69" s="208">
        <v>0</v>
      </c>
      <c r="CN69" s="208">
        <v>0</v>
      </c>
      <c r="CO69" s="222">
        <v>0</v>
      </c>
      <c r="CP69" s="227"/>
      <c r="CQ69" s="217" t="s">
        <v>342</v>
      </c>
      <c r="CR69" s="227">
        <v>0</v>
      </c>
      <c r="CS69" s="228">
        <v>0</v>
      </c>
      <c r="CT69" s="208">
        <v>0</v>
      </c>
      <c r="CU69" s="208">
        <v>0</v>
      </c>
      <c r="CV69" s="208">
        <v>0</v>
      </c>
      <c r="CW69" s="208">
        <v>0</v>
      </c>
      <c r="CX69" s="208">
        <v>0</v>
      </c>
      <c r="CY69" s="208">
        <v>0</v>
      </c>
      <c r="CZ69" s="208">
        <v>0</v>
      </c>
      <c r="DA69" s="208">
        <v>0</v>
      </c>
      <c r="DB69" s="208">
        <v>0</v>
      </c>
      <c r="DC69" s="208">
        <v>0</v>
      </c>
      <c r="DD69" s="208">
        <v>0</v>
      </c>
      <c r="DE69" s="208">
        <v>0</v>
      </c>
      <c r="DF69" s="208">
        <v>0</v>
      </c>
      <c r="DG69" s="208">
        <v>0</v>
      </c>
      <c r="DH69" s="208">
        <v>0</v>
      </c>
      <c r="DI69" s="208">
        <v>0</v>
      </c>
      <c r="DJ69" s="208">
        <v>0</v>
      </c>
      <c r="DK69" s="208">
        <v>0</v>
      </c>
      <c r="DL69" s="222">
        <v>0</v>
      </c>
      <c r="DM69" s="214"/>
      <c r="DN69" s="214"/>
      <c r="DO69" s="227"/>
      <c r="DP69" s="217" t="s">
        <v>342</v>
      </c>
      <c r="DQ69" s="227">
        <v>0</v>
      </c>
      <c r="DR69" s="228">
        <v>0</v>
      </c>
      <c r="DS69" s="208">
        <v>0</v>
      </c>
      <c r="DT69" s="208">
        <v>0</v>
      </c>
      <c r="DU69" s="208">
        <v>0</v>
      </c>
      <c r="DV69" s="208">
        <v>0</v>
      </c>
      <c r="DW69" s="208">
        <v>0</v>
      </c>
      <c r="DX69" s="208">
        <v>0</v>
      </c>
      <c r="DY69" s="208">
        <v>0</v>
      </c>
      <c r="DZ69" s="208">
        <v>0</v>
      </c>
      <c r="EA69" s="208">
        <v>0</v>
      </c>
      <c r="EB69" s="208">
        <v>0</v>
      </c>
      <c r="EC69" s="208">
        <v>0</v>
      </c>
      <c r="ED69" s="208">
        <v>0</v>
      </c>
      <c r="EE69" s="208">
        <v>0</v>
      </c>
      <c r="EF69" s="208">
        <v>0</v>
      </c>
      <c r="EG69" s="208">
        <v>0</v>
      </c>
      <c r="EH69" s="208">
        <v>0</v>
      </c>
      <c r="EI69" s="208">
        <v>0</v>
      </c>
      <c r="EJ69" s="208">
        <v>0</v>
      </c>
      <c r="EK69" s="222">
        <v>0</v>
      </c>
      <c r="EL69" s="228"/>
      <c r="EM69" s="217" t="s">
        <v>342</v>
      </c>
      <c r="EN69" s="227">
        <v>0</v>
      </c>
      <c r="EO69" s="228">
        <v>0</v>
      </c>
      <c r="EP69" s="208">
        <v>0</v>
      </c>
      <c r="EQ69" s="208">
        <v>0</v>
      </c>
      <c r="ER69" s="208">
        <v>0</v>
      </c>
      <c r="ES69" s="208">
        <v>0</v>
      </c>
      <c r="ET69" s="208">
        <v>0</v>
      </c>
      <c r="EU69" s="208">
        <v>0</v>
      </c>
      <c r="EV69" s="208">
        <v>0</v>
      </c>
      <c r="EW69" s="208">
        <v>0</v>
      </c>
      <c r="EX69" s="208">
        <v>0</v>
      </c>
      <c r="EY69" s="208">
        <v>0</v>
      </c>
      <c r="EZ69" s="208">
        <v>0</v>
      </c>
      <c r="FA69" s="208">
        <v>0</v>
      </c>
      <c r="FB69" s="208">
        <v>0</v>
      </c>
      <c r="FC69" s="208">
        <v>0</v>
      </c>
      <c r="FD69" s="208">
        <v>0</v>
      </c>
      <c r="FE69" s="208">
        <v>0</v>
      </c>
      <c r="FF69" s="208">
        <v>0</v>
      </c>
      <c r="FG69" s="208">
        <v>0</v>
      </c>
      <c r="FH69" s="222">
        <v>0</v>
      </c>
    </row>
    <row r="70" spans="2:164" x14ac:dyDescent="0.2">
      <c r="B70" s="217" t="s">
        <v>343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22">
        <v>0</v>
      </c>
      <c r="X70" s="209"/>
      <c r="Y70" s="217" t="s">
        <v>343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55">
        <v>0</v>
      </c>
      <c r="AF70" s="255">
        <v>0</v>
      </c>
      <c r="AG70" s="255">
        <v>0</v>
      </c>
      <c r="AH70" s="255">
        <v>0</v>
      </c>
      <c r="AI70" s="255">
        <v>0</v>
      </c>
      <c r="AJ70" s="255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0</v>
      </c>
      <c r="AS70" s="208">
        <v>0</v>
      </c>
      <c r="AT70" s="222">
        <v>0</v>
      </c>
      <c r="AV70" s="217" t="s">
        <v>343</v>
      </c>
      <c r="AW70" s="227">
        <v>0</v>
      </c>
      <c r="AX70" s="228">
        <v>0</v>
      </c>
      <c r="AY70" s="208">
        <v>0</v>
      </c>
      <c r="AZ70" s="208">
        <v>0</v>
      </c>
      <c r="BA70" s="208">
        <v>0</v>
      </c>
      <c r="BB70" s="255">
        <v>0</v>
      </c>
      <c r="BC70" s="255">
        <v>0</v>
      </c>
      <c r="BD70" s="255">
        <v>0</v>
      </c>
      <c r="BE70" s="255">
        <v>0</v>
      </c>
      <c r="BF70" s="255">
        <v>0</v>
      </c>
      <c r="BG70" s="255">
        <v>0</v>
      </c>
      <c r="BH70" s="208">
        <v>0</v>
      </c>
      <c r="BI70" s="208">
        <v>0</v>
      </c>
      <c r="BJ70" s="208">
        <v>0</v>
      </c>
      <c r="BK70" s="208">
        <v>0</v>
      </c>
      <c r="BL70" s="208">
        <v>0</v>
      </c>
      <c r="BM70" s="208">
        <v>0</v>
      </c>
      <c r="BN70" s="208">
        <v>0</v>
      </c>
      <c r="BO70" s="208">
        <v>0</v>
      </c>
      <c r="BP70" s="208">
        <v>0</v>
      </c>
      <c r="BQ70" s="230">
        <f t="shared" si="22"/>
        <v>0</v>
      </c>
      <c r="BR70" s="214"/>
      <c r="BS70" s="227"/>
      <c r="BT70" s="217" t="s">
        <v>343</v>
      </c>
      <c r="BU70" s="227">
        <v>0</v>
      </c>
      <c r="BV70" s="228">
        <v>0</v>
      </c>
      <c r="BW70" s="208">
        <v>0</v>
      </c>
      <c r="BX70" s="208">
        <v>0</v>
      </c>
      <c r="BY70" s="208">
        <v>0</v>
      </c>
      <c r="BZ70" s="208">
        <v>0</v>
      </c>
      <c r="CA70" s="208">
        <v>0</v>
      </c>
      <c r="CB70" s="208">
        <v>0</v>
      </c>
      <c r="CC70" s="208">
        <v>0</v>
      </c>
      <c r="CD70" s="208">
        <v>0</v>
      </c>
      <c r="CE70" s="208">
        <v>0</v>
      </c>
      <c r="CF70" s="208">
        <v>0</v>
      </c>
      <c r="CG70" s="208">
        <v>0</v>
      </c>
      <c r="CH70" s="208">
        <v>0</v>
      </c>
      <c r="CI70" s="208">
        <v>0</v>
      </c>
      <c r="CJ70" s="208">
        <v>0</v>
      </c>
      <c r="CK70" s="208">
        <v>0</v>
      </c>
      <c r="CL70" s="208">
        <v>0</v>
      </c>
      <c r="CM70" s="208">
        <v>0</v>
      </c>
      <c r="CN70" s="208">
        <v>0</v>
      </c>
      <c r="CO70" s="222">
        <v>0</v>
      </c>
      <c r="CP70" s="227"/>
      <c r="CQ70" s="217" t="s">
        <v>343</v>
      </c>
      <c r="CR70" s="227">
        <v>0</v>
      </c>
      <c r="CS70" s="228">
        <v>0</v>
      </c>
      <c r="CT70" s="208">
        <v>0</v>
      </c>
      <c r="CU70" s="208">
        <v>0</v>
      </c>
      <c r="CV70" s="208">
        <v>0</v>
      </c>
      <c r="CW70" s="208">
        <v>0</v>
      </c>
      <c r="CX70" s="208">
        <v>0</v>
      </c>
      <c r="CY70" s="208">
        <v>0</v>
      </c>
      <c r="CZ70" s="208">
        <v>0</v>
      </c>
      <c r="DA70" s="208">
        <v>0</v>
      </c>
      <c r="DB70" s="208">
        <v>0</v>
      </c>
      <c r="DC70" s="208">
        <v>0</v>
      </c>
      <c r="DD70" s="208">
        <v>0</v>
      </c>
      <c r="DE70" s="208">
        <v>0</v>
      </c>
      <c r="DF70" s="208">
        <v>0</v>
      </c>
      <c r="DG70" s="208">
        <v>0</v>
      </c>
      <c r="DH70" s="208">
        <v>0</v>
      </c>
      <c r="DI70" s="208">
        <v>0</v>
      </c>
      <c r="DJ70" s="208">
        <v>0</v>
      </c>
      <c r="DK70" s="208">
        <v>0</v>
      </c>
      <c r="DL70" s="222">
        <v>0</v>
      </c>
      <c r="DM70" s="214"/>
      <c r="DN70" s="214"/>
      <c r="DO70" s="227"/>
      <c r="DP70" s="217" t="s">
        <v>343</v>
      </c>
      <c r="DQ70" s="227">
        <v>0</v>
      </c>
      <c r="DR70" s="228">
        <v>0</v>
      </c>
      <c r="DS70" s="208">
        <v>0</v>
      </c>
      <c r="DT70" s="208">
        <v>0</v>
      </c>
      <c r="DU70" s="208">
        <v>0</v>
      </c>
      <c r="DV70" s="208">
        <v>0</v>
      </c>
      <c r="DW70" s="208">
        <v>0</v>
      </c>
      <c r="DX70" s="208">
        <v>0</v>
      </c>
      <c r="DY70" s="208">
        <v>0</v>
      </c>
      <c r="DZ70" s="208">
        <v>0</v>
      </c>
      <c r="EA70" s="208">
        <v>0</v>
      </c>
      <c r="EB70" s="208">
        <v>0</v>
      </c>
      <c r="EC70" s="208">
        <v>0</v>
      </c>
      <c r="ED70" s="208">
        <v>0</v>
      </c>
      <c r="EE70" s="208">
        <v>0</v>
      </c>
      <c r="EF70" s="208">
        <v>0</v>
      </c>
      <c r="EG70" s="208">
        <v>0</v>
      </c>
      <c r="EH70" s="208">
        <v>0</v>
      </c>
      <c r="EI70" s="208">
        <v>0</v>
      </c>
      <c r="EJ70" s="208">
        <v>0</v>
      </c>
      <c r="EK70" s="222">
        <v>0</v>
      </c>
      <c r="EL70" s="228"/>
      <c r="EM70" s="217" t="s">
        <v>343</v>
      </c>
      <c r="EN70" s="227">
        <v>0</v>
      </c>
      <c r="EO70" s="228">
        <v>0</v>
      </c>
      <c r="EP70" s="208">
        <v>0</v>
      </c>
      <c r="EQ70" s="208">
        <v>0</v>
      </c>
      <c r="ER70" s="208">
        <v>0</v>
      </c>
      <c r="ES70" s="208">
        <v>0</v>
      </c>
      <c r="ET70" s="208">
        <v>0</v>
      </c>
      <c r="EU70" s="208">
        <v>0</v>
      </c>
      <c r="EV70" s="208">
        <v>0</v>
      </c>
      <c r="EW70" s="208">
        <v>0</v>
      </c>
      <c r="EX70" s="208">
        <v>0</v>
      </c>
      <c r="EY70" s="208">
        <v>0</v>
      </c>
      <c r="EZ70" s="208">
        <v>0</v>
      </c>
      <c r="FA70" s="208">
        <v>0</v>
      </c>
      <c r="FB70" s="208">
        <v>0</v>
      </c>
      <c r="FC70" s="208">
        <v>0</v>
      </c>
      <c r="FD70" s="208">
        <v>0</v>
      </c>
      <c r="FE70" s="208">
        <v>0</v>
      </c>
      <c r="FF70" s="208">
        <v>0</v>
      </c>
      <c r="FG70" s="208">
        <v>0</v>
      </c>
      <c r="FH70" s="222">
        <v>0</v>
      </c>
    </row>
    <row r="71" spans="2:164" x14ac:dyDescent="0.2">
      <c r="B71" s="217" t="s">
        <v>6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6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v>0</v>
      </c>
      <c r="AX71" s="228">
        <v>0</v>
      </c>
      <c r="AY71" s="208">
        <v>0</v>
      </c>
      <c r="AZ71" s="208">
        <v>0</v>
      </c>
      <c r="BA71" s="208">
        <v>0</v>
      </c>
      <c r="BB71" s="208">
        <v>0</v>
      </c>
      <c r="BC71" s="208">
        <v>0</v>
      </c>
      <c r="BD71" s="208">
        <v>0</v>
      </c>
      <c r="BE71" s="208">
        <v>0</v>
      </c>
      <c r="BF71" s="208">
        <v>0</v>
      </c>
      <c r="BG71" s="208">
        <v>0</v>
      </c>
      <c r="BH71" s="208">
        <v>0</v>
      </c>
      <c r="BI71" s="208">
        <v>0</v>
      </c>
      <c r="BJ71" s="208">
        <v>0</v>
      </c>
      <c r="BK71" s="208">
        <v>0</v>
      </c>
      <c r="BL71" s="208">
        <v>0</v>
      </c>
      <c r="BM71" s="208">
        <v>0</v>
      </c>
      <c r="BN71" s="208">
        <v>0</v>
      </c>
      <c r="BO71" s="208">
        <v>0</v>
      </c>
      <c r="BP71" s="208">
        <v>0</v>
      </c>
      <c r="BQ71" s="230">
        <f t="shared" si="22"/>
        <v>0</v>
      </c>
      <c r="BR71" s="214"/>
      <c r="BS71" s="227"/>
      <c r="BT71" s="217" t="s">
        <v>6</v>
      </c>
      <c r="BU71" s="227">
        <v>0</v>
      </c>
      <c r="BV71" s="228">
        <v>0</v>
      </c>
      <c r="BW71" s="208">
        <v>0</v>
      </c>
      <c r="BX71" s="208">
        <v>0</v>
      </c>
      <c r="BY71" s="208">
        <v>0</v>
      </c>
      <c r="BZ71" s="208">
        <v>0</v>
      </c>
      <c r="CA71" s="208">
        <v>0</v>
      </c>
      <c r="CB71" s="208">
        <v>0</v>
      </c>
      <c r="CC71" s="208">
        <v>0</v>
      </c>
      <c r="CD71" s="208">
        <v>0</v>
      </c>
      <c r="CE71" s="208">
        <v>0</v>
      </c>
      <c r="CF71" s="208">
        <v>0</v>
      </c>
      <c r="CG71" s="208">
        <v>0</v>
      </c>
      <c r="CH71" s="208">
        <v>0</v>
      </c>
      <c r="CI71" s="208">
        <v>0</v>
      </c>
      <c r="CJ71" s="208">
        <v>0</v>
      </c>
      <c r="CK71" s="208">
        <v>0</v>
      </c>
      <c r="CL71" s="208">
        <v>0</v>
      </c>
      <c r="CM71" s="208">
        <v>0</v>
      </c>
      <c r="CN71" s="208">
        <v>0</v>
      </c>
      <c r="CO71" s="222">
        <v>0</v>
      </c>
      <c r="CP71" s="227"/>
      <c r="CQ71" s="217" t="s">
        <v>6</v>
      </c>
      <c r="CR71" s="227">
        <v>0</v>
      </c>
      <c r="CS71" s="228">
        <v>0</v>
      </c>
      <c r="CT71" s="208">
        <v>0</v>
      </c>
      <c r="CU71" s="208">
        <v>0</v>
      </c>
      <c r="CV71" s="208">
        <v>0</v>
      </c>
      <c r="CW71" s="208">
        <v>0</v>
      </c>
      <c r="CX71" s="208">
        <v>0</v>
      </c>
      <c r="CY71" s="208">
        <v>0</v>
      </c>
      <c r="CZ71" s="208">
        <v>0</v>
      </c>
      <c r="DA71" s="208">
        <v>0</v>
      </c>
      <c r="DB71" s="208">
        <v>0</v>
      </c>
      <c r="DC71" s="208">
        <v>0</v>
      </c>
      <c r="DD71" s="208">
        <v>0</v>
      </c>
      <c r="DE71" s="208">
        <v>0</v>
      </c>
      <c r="DF71" s="208">
        <v>0</v>
      </c>
      <c r="DG71" s="208">
        <v>0</v>
      </c>
      <c r="DH71" s="208">
        <v>0</v>
      </c>
      <c r="DI71" s="208">
        <v>0</v>
      </c>
      <c r="DJ71" s="208">
        <v>0</v>
      </c>
      <c r="DK71" s="208">
        <v>0</v>
      </c>
      <c r="DL71" s="222">
        <v>0</v>
      </c>
      <c r="DM71" s="214"/>
      <c r="DN71" s="214"/>
      <c r="DO71" s="227"/>
      <c r="DP71" s="217" t="s">
        <v>6</v>
      </c>
      <c r="DQ71" s="227">
        <v>0</v>
      </c>
      <c r="DR71" s="228">
        <v>0</v>
      </c>
      <c r="DS71" s="208">
        <v>0</v>
      </c>
      <c r="DT71" s="208">
        <v>0</v>
      </c>
      <c r="DU71" s="208">
        <v>0</v>
      </c>
      <c r="DV71" s="208">
        <v>0</v>
      </c>
      <c r="DW71" s="208">
        <v>0</v>
      </c>
      <c r="DX71" s="208">
        <v>0</v>
      </c>
      <c r="DY71" s="208">
        <v>0</v>
      </c>
      <c r="DZ71" s="208">
        <v>0</v>
      </c>
      <c r="EA71" s="208">
        <v>0</v>
      </c>
      <c r="EB71" s="208">
        <v>0</v>
      </c>
      <c r="EC71" s="208">
        <v>0</v>
      </c>
      <c r="ED71" s="208">
        <v>0</v>
      </c>
      <c r="EE71" s="208">
        <v>0</v>
      </c>
      <c r="EF71" s="208">
        <v>0</v>
      </c>
      <c r="EG71" s="208">
        <v>0</v>
      </c>
      <c r="EH71" s="208">
        <v>0</v>
      </c>
      <c r="EI71" s="208">
        <v>0</v>
      </c>
      <c r="EJ71" s="208">
        <v>0</v>
      </c>
      <c r="EK71" s="222">
        <v>0</v>
      </c>
      <c r="EL71" s="228"/>
      <c r="EM71" s="217" t="s">
        <v>6</v>
      </c>
      <c r="EN71" s="227">
        <v>0</v>
      </c>
      <c r="EO71" s="228">
        <v>0</v>
      </c>
      <c r="EP71" s="208">
        <v>0</v>
      </c>
      <c r="EQ71" s="208">
        <v>0</v>
      </c>
      <c r="ER71" s="208">
        <v>0</v>
      </c>
      <c r="ES71" s="208">
        <v>0</v>
      </c>
      <c r="ET71" s="208">
        <v>0</v>
      </c>
      <c r="EU71" s="208">
        <v>0</v>
      </c>
      <c r="EV71" s="208">
        <v>0</v>
      </c>
      <c r="EW71" s="208">
        <v>0</v>
      </c>
      <c r="EX71" s="208">
        <v>0</v>
      </c>
      <c r="EY71" s="208">
        <v>0</v>
      </c>
      <c r="EZ71" s="208">
        <v>0</v>
      </c>
      <c r="FA71" s="208">
        <v>0</v>
      </c>
      <c r="FB71" s="208">
        <v>0</v>
      </c>
      <c r="FC71" s="208">
        <v>0</v>
      </c>
      <c r="FD71" s="208">
        <v>0</v>
      </c>
      <c r="FE71" s="208">
        <v>0</v>
      </c>
      <c r="FF71" s="208">
        <v>0</v>
      </c>
      <c r="FG71" s="208">
        <v>0</v>
      </c>
      <c r="FH71" s="222">
        <v>0</v>
      </c>
    </row>
    <row r="72" spans="2:164" x14ac:dyDescent="0.2">
      <c r="B72" s="217" t="s">
        <v>344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344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344</v>
      </c>
      <c r="AW72" s="227">
        <v>0</v>
      </c>
      <c r="AX72" s="228">
        <v>0</v>
      </c>
      <c r="AY72" s="208">
        <v>0</v>
      </c>
      <c r="AZ72" s="208">
        <v>0</v>
      </c>
      <c r="BA72" s="208">
        <v>0</v>
      </c>
      <c r="BB72" s="208">
        <v>0</v>
      </c>
      <c r="BC72" s="208">
        <v>0</v>
      </c>
      <c r="BD72" s="208">
        <v>0</v>
      </c>
      <c r="BE72" s="208">
        <v>0</v>
      </c>
      <c r="BF72" s="208">
        <v>0</v>
      </c>
      <c r="BG72" s="208">
        <v>0</v>
      </c>
      <c r="BH72" s="208">
        <v>0</v>
      </c>
      <c r="BI72" s="208">
        <v>0</v>
      </c>
      <c r="BJ72" s="208">
        <v>0</v>
      </c>
      <c r="BK72" s="208">
        <v>0</v>
      </c>
      <c r="BL72" s="208">
        <v>0</v>
      </c>
      <c r="BM72" s="208">
        <v>0</v>
      </c>
      <c r="BN72" s="208">
        <v>0</v>
      </c>
      <c r="BO72" s="208">
        <v>0</v>
      </c>
      <c r="BP72" s="208">
        <v>0</v>
      </c>
      <c r="BQ72" s="230">
        <f t="shared" si="22"/>
        <v>0</v>
      </c>
      <c r="BR72" s="214"/>
      <c r="BS72" s="227"/>
      <c r="BT72" s="217" t="s">
        <v>344</v>
      </c>
      <c r="BU72" s="227">
        <v>0</v>
      </c>
      <c r="BV72" s="228">
        <v>0</v>
      </c>
      <c r="BW72" s="208">
        <v>0</v>
      </c>
      <c r="BX72" s="208">
        <v>0</v>
      </c>
      <c r="BY72" s="208">
        <v>0</v>
      </c>
      <c r="BZ72" s="208">
        <v>0</v>
      </c>
      <c r="CA72" s="208">
        <v>0</v>
      </c>
      <c r="CB72" s="208">
        <v>0</v>
      </c>
      <c r="CC72" s="208">
        <v>0</v>
      </c>
      <c r="CD72" s="208">
        <v>0</v>
      </c>
      <c r="CE72" s="208">
        <v>0</v>
      </c>
      <c r="CF72" s="208">
        <v>0</v>
      </c>
      <c r="CG72" s="208">
        <v>0</v>
      </c>
      <c r="CH72" s="208">
        <v>0</v>
      </c>
      <c r="CI72" s="208">
        <v>0</v>
      </c>
      <c r="CJ72" s="208">
        <v>0</v>
      </c>
      <c r="CK72" s="208">
        <v>0</v>
      </c>
      <c r="CL72" s="208">
        <v>0</v>
      </c>
      <c r="CM72" s="208">
        <v>0</v>
      </c>
      <c r="CN72" s="208">
        <v>0</v>
      </c>
      <c r="CO72" s="222">
        <v>0</v>
      </c>
      <c r="CP72" s="227"/>
      <c r="CQ72" s="217" t="s">
        <v>344</v>
      </c>
      <c r="CR72" s="227">
        <v>0</v>
      </c>
      <c r="CS72" s="228">
        <v>0</v>
      </c>
      <c r="CT72" s="208">
        <v>0</v>
      </c>
      <c r="CU72" s="208">
        <v>0</v>
      </c>
      <c r="CV72" s="208">
        <v>0</v>
      </c>
      <c r="CW72" s="208">
        <v>0</v>
      </c>
      <c r="CX72" s="208">
        <v>0</v>
      </c>
      <c r="CY72" s="208">
        <v>0</v>
      </c>
      <c r="CZ72" s="208">
        <v>0</v>
      </c>
      <c r="DA72" s="208">
        <v>0</v>
      </c>
      <c r="DB72" s="208">
        <v>0</v>
      </c>
      <c r="DC72" s="208">
        <v>0</v>
      </c>
      <c r="DD72" s="208">
        <v>0</v>
      </c>
      <c r="DE72" s="208">
        <v>0</v>
      </c>
      <c r="DF72" s="208">
        <v>0</v>
      </c>
      <c r="DG72" s="208">
        <v>0</v>
      </c>
      <c r="DH72" s="208">
        <v>0</v>
      </c>
      <c r="DI72" s="208">
        <v>0</v>
      </c>
      <c r="DJ72" s="208">
        <v>0</v>
      </c>
      <c r="DK72" s="208">
        <v>0</v>
      </c>
      <c r="DL72" s="222">
        <v>0</v>
      </c>
      <c r="DM72" s="214"/>
      <c r="DN72" s="214"/>
      <c r="DO72" s="227"/>
      <c r="DP72" s="217" t="s">
        <v>344</v>
      </c>
      <c r="DQ72" s="227">
        <v>0</v>
      </c>
      <c r="DR72" s="228">
        <v>0</v>
      </c>
      <c r="DS72" s="208">
        <v>0</v>
      </c>
      <c r="DT72" s="208">
        <v>0</v>
      </c>
      <c r="DU72" s="208">
        <v>0</v>
      </c>
      <c r="DV72" s="208">
        <v>0</v>
      </c>
      <c r="DW72" s="208">
        <v>0</v>
      </c>
      <c r="DX72" s="208">
        <v>0</v>
      </c>
      <c r="DY72" s="208">
        <v>0</v>
      </c>
      <c r="DZ72" s="208">
        <v>0</v>
      </c>
      <c r="EA72" s="208">
        <v>0</v>
      </c>
      <c r="EB72" s="208">
        <v>0</v>
      </c>
      <c r="EC72" s="208">
        <v>0</v>
      </c>
      <c r="ED72" s="208">
        <v>0</v>
      </c>
      <c r="EE72" s="208">
        <v>0</v>
      </c>
      <c r="EF72" s="208">
        <v>0</v>
      </c>
      <c r="EG72" s="208">
        <v>0</v>
      </c>
      <c r="EH72" s="208">
        <v>0</v>
      </c>
      <c r="EI72" s="208">
        <v>0</v>
      </c>
      <c r="EJ72" s="208">
        <v>0</v>
      </c>
      <c r="EK72" s="222">
        <v>0</v>
      </c>
      <c r="EL72" s="228"/>
      <c r="EM72" s="217" t="s">
        <v>344</v>
      </c>
      <c r="EN72" s="227">
        <v>0</v>
      </c>
      <c r="EO72" s="228">
        <v>0</v>
      </c>
      <c r="EP72" s="208">
        <v>0</v>
      </c>
      <c r="EQ72" s="208">
        <v>0</v>
      </c>
      <c r="ER72" s="208">
        <v>0</v>
      </c>
      <c r="ES72" s="208">
        <v>0</v>
      </c>
      <c r="ET72" s="208">
        <v>0</v>
      </c>
      <c r="EU72" s="208">
        <v>0</v>
      </c>
      <c r="EV72" s="208">
        <v>0</v>
      </c>
      <c r="EW72" s="208">
        <v>0</v>
      </c>
      <c r="EX72" s="208">
        <v>0</v>
      </c>
      <c r="EY72" s="208">
        <v>0</v>
      </c>
      <c r="EZ72" s="208">
        <v>0</v>
      </c>
      <c r="FA72" s="208">
        <v>0</v>
      </c>
      <c r="FB72" s="208">
        <v>0</v>
      </c>
      <c r="FC72" s="208">
        <v>0</v>
      </c>
      <c r="FD72" s="208">
        <v>0</v>
      </c>
      <c r="FE72" s="208">
        <v>0</v>
      </c>
      <c r="FF72" s="208">
        <v>0</v>
      </c>
      <c r="FG72" s="208">
        <v>0</v>
      </c>
      <c r="FH72" s="222">
        <v>0</v>
      </c>
    </row>
    <row r="73" spans="2:164" x14ac:dyDescent="0.2">
      <c r="B73" s="217" t="s">
        <v>345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345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345</v>
      </c>
      <c r="AW73" s="227">
        <v>0</v>
      </c>
      <c r="AX73" s="228">
        <v>0</v>
      </c>
      <c r="AY73" s="208">
        <v>0</v>
      </c>
      <c r="AZ73" s="208">
        <v>0</v>
      </c>
      <c r="BA73" s="208">
        <v>0</v>
      </c>
      <c r="BB73" s="208">
        <v>0</v>
      </c>
      <c r="BC73" s="208">
        <v>0</v>
      </c>
      <c r="BD73" s="208">
        <v>0</v>
      </c>
      <c r="BE73" s="208">
        <v>0</v>
      </c>
      <c r="BF73" s="208">
        <v>0</v>
      </c>
      <c r="BG73" s="208">
        <v>0</v>
      </c>
      <c r="BH73" s="208">
        <v>0</v>
      </c>
      <c r="BI73" s="208">
        <v>0</v>
      </c>
      <c r="BJ73" s="208">
        <v>0</v>
      </c>
      <c r="BK73" s="208">
        <v>0</v>
      </c>
      <c r="BL73" s="208">
        <v>0</v>
      </c>
      <c r="BM73" s="208">
        <v>0</v>
      </c>
      <c r="BN73" s="208">
        <v>0</v>
      </c>
      <c r="BO73" s="208">
        <v>0</v>
      </c>
      <c r="BP73" s="208">
        <v>0</v>
      </c>
      <c r="BQ73" s="222">
        <f t="shared" si="22"/>
        <v>0</v>
      </c>
      <c r="BR73" s="214"/>
      <c r="BS73" s="227"/>
      <c r="BT73" s="217" t="s">
        <v>345</v>
      </c>
      <c r="BU73" s="227">
        <v>0</v>
      </c>
      <c r="BV73" s="228">
        <v>0</v>
      </c>
      <c r="BW73" s="208">
        <v>0</v>
      </c>
      <c r="BX73" s="208">
        <v>0</v>
      </c>
      <c r="BY73" s="208">
        <v>0</v>
      </c>
      <c r="BZ73" s="208">
        <v>0</v>
      </c>
      <c r="CA73" s="208">
        <v>0</v>
      </c>
      <c r="CB73" s="208">
        <v>0</v>
      </c>
      <c r="CC73" s="208">
        <v>0</v>
      </c>
      <c r="CD73" s="208">
        <v>0</v>
      </c>
      <c r="CE73" s="208">
        <v>0</v>
      </c>
      <c r="CF73" s="208">
        <v>0</v>
      </c>
      <c r="CG73" s="208">
        <v>0</v>
      </c>
      <c r="CH73" s="208">
        <v>0</v>
      </c>
      <c r="CI73" s="208">
        <v>0</v>
      </c>
      <c r="CJ73" s="208">
        <v>0</v>
      </c>
      <c r="CK73" s="208">
        <v>0</v>
      </c>
      <c r="CL73" s="208">
        <v>0</v>
      </c>
      <c r="CM73" s="208">
        <v>0</v>
      </c>
      <c r="CN73" s="208">
        <v>0</v>
      </c>
      <c r="CO73" s="222">
        <v>0</v>
      </c>
      <c r="CP73" s="227"/>
      <c r="CQ73" s="217" t="s">
        <v>345</v>
      </c>
      <c r="CR73" s="227">
        <v>0</v>
      </c>
      <c r="CS73" s="228">
        <v>0</v>
      </c>
      <c r="CT73" s="208">
        <v>0</v>
      </c>
      <c r="CU73" s="208">
        <v>0</v>
      </c>
      <c r="CV73" s="208">
        <v>0</v>
      </c>
      <c r="CW73" s="208">
        <v>0</v>
      </c>
      <c r="CX73" s="208">
        <v>0</v>
      </c>
      <c r="CY73" s="208">
        <v>0</v>
      </c>
      <c r="CZ73" s="208">
        <v>0</v>
      </c>
      <c r="DA73" s="208">
        <v>0</v>
      </c>
      <c r="DB73" s="208">
        <v>0</v>
      </c>
      <c r="DC73" s="208">
        <v>0</v>
      </c>
      <c r="DD73" s="208">
        <v>0</v>
      </c>
      <c r="DE73" s="208">
        <v>0</v>
      </c>
      <c r="DF73" s="208">
        <v>0</v>
      </c>
      <c r="DG73" s="208">
        <v>0</v>
      </c>
      <c r="DH73" s="208">
        <v>0</v>
      </c>
      <c r="DI73" s="208">
        <v>0</v>
      </c>
      <c r="DJ73" s="208">
        <v>0</v>
      </c>
      <c r="DK73" s="208">
        <v>0</v>
      </c>
      <c r="DL73" s="222">
        <v>0</v>
      </c>
      <c r="DM73" s="214"/>
      <c r="DN73" s="214"/>
      <c r="DO73" s="227"/>
      <c r="DP73" s="217" t="s">
        <v>345</v>
      </c>
      <c r="DQ73" s="227">
        <v>0</v>
      </c>
      <c r="DR73" s="228">
        <v>0</v>
      </c>
      <c r="DS73" s="208">
        <v>0</v>
      </c>
      <c r="DT73" s="208">
        <v>0</v>
      </c>
      <c r="DU73" s="208">
        <v>0</v>
      </c>
      <c r="DV73" s="208">
        <v>0</v>
      </c>
      <c r="DW73" s="208">
        <v>0</v>
      </c>
      <c r="DX73" s="208">
        <v>0</v>
      </c>
      <c r="DY73" s="208">
        <v>0</v>
      </c>
      <c r="DZ73" s="208">
        <v>0</v>
      </c>
      <c r="EA73" s="208">
        <v>0</v>
      </c>
      <c r="EB73" s="208">
        <v>0</v>
      </c>
      <c r="EC73" s="208">
        <v>0</v>
      </c>
      <c r="ED73" s="208">
        <v>0</v>
      </c>
      <c r="EE73" s="208">
        <v>0</v>
      </c>
      <c r="EF73" s="208">
        <v>0</v>
      </c>
      <c r="EG73" s="208">
        <v>0</v>
      </c>
      <c r="EH73" s="208">
        <v>0</v>
      </c>
      <c r="EI73" s="208">
        <v>0</v>
      </c>
      <c r="EJ73" s="208">
        <v>0</v>
      </c>
      <c r="EK73" s="222">
        <v>0</v>
      </c>
      <c r="EL73" s="228"/>
      <c r="EM73" s="217" t="s">
        <v>345</v>
      </c>
      <c r="EN73" s="227">
        <v>0</v>
      </c>
      <c r="EO73" s="228">
        <v>0</v>
      </c>
      <c r="EP73" s="208">
        <v>0</v>
      </c>
      <c r="EQ73" s="208">
        <v>0</v>
      </c>
      <c r="ER73" s="208">
        <v>0</v>
      </c>
      <c r="ES73" s="208">
        <v>0</v>
      </c>
      <c r="ET73" s="208">
        <v>0</v>
      </c>
      <c r="EU73" s="208">
        <v>0</v>
      </c>
      <c r="EV73" s="208">
        <v>0</v>
      </c>
      <c r="EW73" s="208">
        <v>0</v>
      </c>
      <c r="EX73" s="208">
        <v>0</v>
      </c>
      <c r="EY73" s="208">
        <v>0</v>
      </c>
      <c r="EZ73" s="208">
        <v>0</v>
      </c>
      <c r="FA73" s="208">
        <v>0</v>
      </c>
      <c r="FB73" s="208">
        <v>0</v>
      </c>
      <c r="FC73" s="208">
        <v>0</v>
      </c>
      <c r="FD73" s="208">
        <v>0</v>
      </c>
      <c r="FE73" s="208">
        <v>0</v>
      </c>
      <c r="FF73" s="208">
        <v>0</v>
      </c>
      <c r="FG73" s="208">
        <v>0</v>
      </c>
      <c r="FH73" s="222">
        <v>0</v>
      </c>
    </row>
    <row r="74" spans="2:164" x14ac:dyDescent="0.2">
      <c r="B74" s="218" t="s">
        <v>7</v>
      </c>
      <c r="C74" s="219">
        <v>38</v>
      </c>
      <c r="D74" s="220">
        <v>182</v>
      </c>
      <c r="E74" s="221">
        <v>251</v>
      </c>
      <c r="F74" s="221">
        <v>95</v>
      </c>
      <c r="G74" s="221">
        <v>52</v>
      </c>
      <c r="H74" s="221">
        <v>48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0</v>
      </c>
      <c r="V74" s="221">
        <v>0</v>
      </c>
      <c r="W74" s="223">
        <v>695</v>
      </c>
      <c r="Y74" s="218" t="s">
        <v>7</v>
      </c>
      <c r="Z74" s="219">
        <v>57021.664153912301</v>
      </c>
      <c r="AA74" s="220">
        <v>103569.63730348028</v>
      </c>
      <c r="AB74" s="221">
        <v>195488.7295224214</v>
      </c>
      <c r="AC74" s="221">
        <v>62383.557876300314</v>
      </c>
      <c r="AD74" s="221">
        <v>15968.324180424745</v>
      </c>
      <c r="AE74" s="221">
        <v>31760.733615280838</v>
      </c>
      <c r="AF74" s="221">
        <v>980.78085588723206</v>
      </c>
      <c r="AG74" s="221">
        <v>0</v>
      </c>
      <c r="AH74" s="221">
        <v>0</v>
      </c>
      <c r="AI74" s="221">
        <v>544.60520897998617</v>
      </c>
      <c r="AJ74" s="221">
        <v>314.97561364914765</v>
      </c>
      <c r="AK74" s="221">
        <v>7509.9079913562373</v>
      </c>
      <c r="AL74" s="221">
        <v>268.2100081804968</v>
      </c>
      <c r="AM74" s="221">
        <v>0</v>
      </c>
      <c r="AN74" s="221">
        <v>0</v>
      </c>
      <c r="AO74" s="221">
        <v>5453.4412902530212</v>
      </c>
      <c r="AP74" s="221">
        <v>0</v>
      </c>
      <c r="AQ74" s="221">
        <v>0</v>
      </c>
      <c r="AR74" s="221">
        <v>0</v>
      </c>
      <c r="AS74" s="221">
        <v>0</v>
      </c>
      <c r="AT74" s="223">
        <v>481264.56762012601</v>
      </c>
      <c r="AV74" s="218" t="s">
        <v>7</v>
      </c>
      <c r="AW74" s="257">
        <f>SUM(AW54:AW73)</f>
        <v>57021.664153912301</v>
      </c>
      <c r="AX74" s="257">
        <f t="shared" ref="AX74" si="23">SUM(AX54:AX73)</f>
        <v>102825.43815160291</v>
      </c>
      <c r="AY74" s="257">
        <f t="shared" ref="AY74" si="24">SUM(AY54:AY73)</f>
        <v>195446.95711009332</v>
      </c>
      <c r="AZ74" s="257">
        <f t="shared" ref="AZ74" si="25">SUM(AZ54:AZ73)</f>
        <v>62383.557876300314</v>
      </c>
      <c r="BA74" s="257">
        <f t="shared" ref="BA74" si="26">SUM(BA54:BA73)</f>
        <v>14911.65539151484</v>
      </c>
      <c r="BB74" s="257">
        <f t="shared" ref="BB74" si="27">SUM(BB54:BB73)</f>
        <v>31760.733615280838</v>
      </c>
      <c r="BC74" s="257">
        <f t="shared" ref="BC74" si="28">SUM(BC54:BC73)</f>
        <v>980.78085588723206</v>
      </c>
      <c r="BD74" s="257">
        <f t="shared" ref="BD74" si="29">SUM(BD54:BD73)</f>
        <v>0</v>
      </c>
      <c r="BE74" s="257">
        <f t="shared" ref="BE74" si="30">SUM(BE54:BE73)</f>
        <v>0</v>
      </c>
      <c r="BF74" s="257">
        <f t="shared" ref="BF74" si="31">SUM(BF54:BF73)</f>
        <v>437.03443967767049</v>
      </c>
      <c r="BG74" s="257">
        <f t="shared" ref="BG74" si="32">SUM(BG54:BG73)</f>
        <v>314.97561364914765</v>
      </c>
      <c r="BH74" s="257">
        <f t="shared" ref="BH74" si="33">SUM(BH54:BH73)</f>
        <v>3754.9539956781186</v>
      </c>
      <c r="BI74" s="257">
        <f t="shared" ref="BI74" si="34">SUM(BI54:BI73)</f>
        <v>134.1050040902484</v>
      </c>
      <c r="BJ74" s="257">
        <f t="shared" ref="BJ74" si="35">SUM(BJ54:BJ73)</f>
        <v>0</v>
      </c>
      <c r="BK74" s="257">
        <f t="shared" ref="BK74" si="36">SUM(BK54:BK73)</f>
        <v>0</v>
      </c>
      <c r="BL74" s="257">
        <f t="shared" ref="BL74" si="37">SUM(BL54:BL73)</f>
        <v>1817.8137634176737</v>
      </c>
      <c r="BM74" s="257">
        <f t="shared" ref="BM74" si="38">SUM(BM54:BM73)</f>
        <v>0</v>
      </c>
      <c r="BN74" s="257">
        <f t="shared" ref="BN74" si="39">SUM(BN54:BN73)</f>
        <v>0</v>
      </c>
      <c r="BO74" s="257">
        <f t="shared" ref="BO74" si="40">SUM(BO54:BO73)</f>
        <v>0</v>
      </c>
      <c r="BP74" s="257">
        <f t="shared" ref="BP74" si="41">SUM(BP54:BP73)</f>
        <v>0</v>
      </c>
      <c r="BQ74" s="222">
        <f t="shared" si="22"/>
        <v>471789.66997110448</v>
      </c>
      <c r="BR74" s="214"/>
      <c r="BT74" s="218" t="s">
        <v>7</v>
      </c>
      <c r="BU74" s="219">
        <v>17</v>
      </c>
      <c r="BV74" s="220">
        <v>8</v>
      </c>
      <c r="BW74" s="221">
        <v>8</v>
      </c>
      <c r="BX74" s="221">
        <v>0</v>
      </c>
      <c r="BY74" s="221">
        <v>0</v>
      </c>
      <c r="BZ74" s="221">
        <v>0</v>
      </c>
      <c r="CA74" s="221">
        <v>0</v>
      </c>
      <c r="CB74" s="221">
        <v>0</v>
      </c>
      <c r="CC74" s="221">
        <v>0</v>
      </c>
      <c r="CD74" s="221">
        <v>0</v>
      </c>
      <c r="CE74" s="221">
        <v>0</v>
      </c>
      <c r="CF74" s="221">
        <v>0</v>
      </c>
      <c r="CG74" s="221">
        <v>0</v>
      </c>
      <c r="CH74" s="221">
        <v>0</v>
      </c>
      <c r="CI74" s="221">
        <v>0</v>
      </c>
      <c r="CJ74" s="221">
        <v>0</v>
      </c>
      <c r="CK74" s="221">
        <v>0</v>
      </c>
      <c r="CL74" s="221">
        <v>0</v>
      </c>
      <c r="CM74" s="221">
        <v>0</v>
      </c>
      <c r="CN74" s="221">
        <v>0</v>
      </c>
      <c r="CO74" s="223">
        <v>33</v>
      </c>
      <c r="CP74" s="227"/>
      <c r="CQ74" s="218" t="s">
        <v>7</v>
      </c>
      <c r="CR74" s="219">
        <v>31034.387224658443</v>
      </c>
      <c r="CS74" s="220">
        <v>8797.5201504556517</v>
      </c>
      <c r="CT74" s="221">
        <v>601.58038163269657</v>
      </c>
      <c r="CU74" s="221">
        <v>0</v>
      </c>
      <c r="CV74" s="221">
        <v>0</v>
      </c>
      <c r="CW74" s="221">
        <v>0</v>
      </c>
      <c r="CX74" s="221">
        <v>0</v>
      </c>
      <c r="CY74" s="221">
        <v>0</v>
      </c>
      <c r="CZ74" s="221">
        <v>0</v>
      </c>
      <c r="DA74" s="221">
        <v>0</v>
      </c>
      <c r="DB74" s="221">
        <v>0</v>
      </c>
      <c r="DC74" s="221">
        <v>0</v>
      </c>
      <c r="DD74" s="221">
        <v>0</v>
      </c>
      <c r="DE74" s="221">
        <v>0</v>
      </c>
      <c r="DF74" s="221">
        <v>0</v>
      </c>
      <c r="DG74" s="221">
        <v>0</v>
      </c>
      <c r="DH74" s="221">
        <v>0</v>
      </c>
      <c r="DI74" s="221">
        <v>0</v>
      </c>
      <c r="DJ74" s="221">
        <v>0</v>
      </c>
      <c r="DK74" s="221">
        <v>0</v>
      </c>
      <c r="DL74" s="223">
        <v>40433.487756746785</v>
      </c>
      <c r="DM74" s="214"/>
      <c r="DN74" s="214"/>
      <c r="DO74" s="227"/>
      <c r="DP74" s="218" t="s">
        <v>7</v>
      </c>
      <c r="DQ74" s="219">
        <v>17</v>
      </c>
      <c r="DR74" s="220">
        <v>15</v>
      </c>
      <c r="DS74" s="221">
        <v>19</v>
      </c>
      <c r="DT74" s="221">
        <v>2</v>
      </c>
      <c r="DU74" s="221">
        <v>0</v>
      </c>
      <c r="DV74" s="221">
        <v>0</v>
      </c>
      <c r="DW74" s="221">
        <v>0</v>
      </c>
      <c r="DX74" s="221">
        <v>0</v>
      </c>
      <c r="DY74" s="221">
        <v>0</v>
      </c>
      <c r="DZ74" s="221">
        <v>0</v>
      </c>
      <c r="EA74" s="221">
        <v>0</v>
      </c>
      <c r="EB74" s="221">
        <v>0</v>
      </c>
      <c r="EC74" s="221">
        <v>0</v>
      </c>
      <c r="ED74" s="221">
        <v>0</v>
      </c>
      <c r="EE74" s="221">
        <v>0</v>
      </c>
      <c r="EF74" s="221">
        <v>0</v>
      </c>
      <c r="EG74" s="221">
        <v>0</v>
      </c>
      <c r="EH74" s="221">
        <v>0</v>
      </c>
      <c r="EI74" s="221">
        <v>0</v>
      </c>
      <c r="EJ74" s="221">
        <v>0</v>
      </c>
      <c r="EK74" s="223">
        <v>53</v>
      </c>
      <c r="EL74" s="241"/>
      <c r="EM74" s="218" t="s">
        <v>7</v>
      </c>
      <c r="EN74" s="219">
        <v>31034.387224658443</v>
      </c>
      <c r="EO74" s="220">
        <v>16710.577559034646</v>
      </c>
      <c r="EP74" s="221">
        <v>47240.300556064802</v>
      </c>
      <c r="EQ74" s="221">
        <v>284.1760057537677</v>
      </c>
      <c r="ER74" s="221">
        <v>0</v>
      </c>
      <c r="ES74" s="221">
        <v>0</v>
      </c>
      <c r="ET74" s="221">
        <v>0</v>
      </c>
      <c r="EU74" s="221">
        <v>0</v>
      </c>
      <c r="EV74" s="221">
        <v>0</v>
      </c>
      <c r="EW74" s="221">
        <v>0</v>
      </c>
      <c r="EX74" s="221">
        <v>0</v>
      </c>
      <c r="EY74" s="221">
        <v>0</v>
      </c>
      <c r="EZ74" s="221">
        <v>0</v>
      </c>
      <c r="FA74" s="221">
        <v>0</v>
      </c>
      <c r="FB74" s="221">
        <v>0</v>
      </c>
      <c r="FC74" s="221">
        <v>0</v>
      </c>
      <c r="FD74" s="221">
        <v>0</v>
      </c>
      <c r="FE74" s="221">
        <v>0</v>
      </c>
      <c r="FF74" s="221">
        <v>0</v>
      </c>
      <c r="FG74" s="221">
        <v>0</v>
      </c>
      <c r="FH74" s="223">
        <v>95269.441345511659</v>
      </c>
    </row>
    <row r="75" spans="2:164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14"/>
      <c r="BV75" s="206"/>
      <c r="BW75" s="208"/>
      <c r="BX75" s="208"/>
      <c r="BY75" s="208"/>
      <c r="BZ75" s="208"/>
      <c r="CA75" s="208"/>
      <c r="CB75" s="208"/>
      <c r="CC75" s="208"/>
      <c r="CD75" s="208"/>
      <c r="CE75" s="208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Q75" s="214"/>
      <c r="CS75" s="206"/>
      <c r="CT75" s="208"/>
      <c r="CU75" s="208"/>
      <c r="CV75" s="208"/>
      <c r="CW75" s="208"/>
      <c r="CX75" s="208"/>
      <c r="CY75" s="208"/>
      <c r="CZ75" s="208"/>
      <c r="DA75" s="208"/>
      <c r="DB75" s="208"/>
      <c r="DC75" s="208"/>
      <c r="DD75" s="208"/>
      <c r="DE75" s="208"/>
      <c r="DF75" s="208"/>
      <c r="DG75" s="208"/>
      <c r="DH75" s="208"/>
      <c r="DI75" s="208"/>
      <c r="DJ75" s="208"/>
      <c r="DK75" s="208"/>
      <c r="DL75" s="208"/>
      <c r="DM75" s="214"/>
      <c r="DN75" s="214"/>
      <c r="DP75" s="214"/>
      <c r="DR75" s="206"/>
      <c r="DS75" s="208"/>
      <c r="DT75" s="208"/>
      <c r="DU75" s="208"/>
      <c r="DV75" s="208"/>
      <c r="DW75" s="208"/>
      <c r="DX75" s="208"/>
      <c r="DY75" s="208"/>
      <c r="DZ75" s="208"/>
      <c r="EA75" s="208"/>
      <c r="EB75" s="208"/>
      <c r="EC75" s="208"/>
      <c r="ED75" s="208"/>
      <c r="EE75" s="208"/>
      <c r="EF75" s="208"/>
      <c r="EG75" s="208"/>
      <c r="EH75" s="208"/>
      <c r="EI75" s="208"/>
      <c r="EJ75" s="208"/>
      <c r="EK75" s="208"/>
      <c r="EL75" s="206"/>
      <c r="EM75" s="214"/>
      <c r="EO75" s="206"/>
      <c r="EP75" s="208"/>
      <c r="EQ75" s="208"/>
      <c r="ER75" s="208"/>
      <c r="ES75" s="208"/>
      <c r="ET75" s="208"/>
      <c r="EU75" s="208"/>
      <c r="EV75" s="208"/>
      <c r="EW75" s="208"/>
      <c r="EX75" s="208"/>
      <c r="EY75" s="208"/>
      <c r="EZ75" s="208"/>
      <c r="FA75" s="208"/>
      <c r="FB75" s="208"/>
      <c r="FC75" s="208"/>
      <c r="FD75" s="208"/>
      <c r="FE75" s="208"/>
      <c r="FF75" s="208"/>
      <c r="FG75" s="208"/>
      <c r="FH75" s="208"/>
    </row>
    <row r="76" spans="2:164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14" t="s">
        <v>232</v>
      </c>
      <c r="BV76" s="206"/>
      <c r="BW76" s="208"/>
      <c r="BX76" s="208"/>
      <c r="BY76" s="208"/>
      <c r="BZ76" s="208"/>
      <c r="CA76" s="208"/>
      <c r="CB76" s="208"/>
      <c r="CC76" s="208"/>
      <c r="CD76" s="208"/>
      <c r="CE76" s="208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Q76" s="214" t="s">
        <v>232</v>
      </c>
      <c r="CS76" s="206"/>
      <c r="CT76" s="208"/>
      <c r="CU76" s="208"/>
      <c r="CV76" s="208"/>
      <c r="CW76" s="208"/>
      <c r="CX76" s="208"/>
      <c r="CY76" s="208"/>
      <c r="CZ76" s="208"/>
      <c r="DA76" s="208"/>
      <c r="DB76" s="208"/>
      <c r="DC76" s="208"/>
      <c r="DD76" s="208"/>
      <c r="DE76" s="208"/>
      <c r="DF76" s="208"/>
      <c r="DG76" s="208"/>
      <c r="DH76" s="208"/>
      <c r="DI76" s="208"/>
      <c r="DJ76" s="208"/>
      <c r="DK76" s="208"/>
      <c r="DL76" s="208"/>
      <c r="DM76" s="214"/>
      <c r="DN76" s="214"/>
      <c r="DP76" s="214" t="s">
        <v>232</v>
      </c>
      <c r="DR76" s="206"/>
      <c r="DS76" s="208"/>
      <c r="DT76" s="208"/>
      <c r="DU76" s="208"/>
      <c r="DV76" s="208"/>
      <c r="DW76" s="208"/>
      <c r="DX76" s="208"/>
      <c r="DY76" s="208"/>
      <c r="DZ76" s="208"/>
      <c r="EA76" s="208"/>
      <c r="EB76" s="208"/>
      <c r="EC76" s="208"/>
      <c r="ED76" s="208"/>
      <c r="EE76" s="208"/>
      <c r="EF76" s="208"/>
      <c r="EG76" s="208"/>
      <c r="EH76" s="208"/>
      <c r="EI76" s="208"/>
      <c r="EJ76" s="208"/>
      <c r="EK76" s="208"/>
      <c r="EL76" s="206"/>
      <c r="EM76" s="214" t="s">
        <v>232</v>
      </c>
      <c r="EO76" s="206"/>
      <c r="EP76" s="208"/>
      <c r="EQ76" s="208"/>
      <c r="ER76" s="208"/>
      <c r="ES76" s="208"/>
      <c r="ET76" s="208"/>
      <c r="EU76" s="208"/>
      <c r="EV76" s="208"/>
      <c r="EW76" s="208"/>
      <c r="EX76" s="208"/>
      <c r="EY76" s="208"/>
      <c r="EZ76" s="208"/>
      <c r="FA76" s="208"/>
      <c r="FB76" s="208"/>
      <c r="FC76" s="208"/>
      <c r="FD76" s="208"/>
      <c r="FE76" s="208"/>
      <c r="FF76" s="208"/>
      <c r="FG76" s="208"/>
      <c r="FH76" s="208"/>
    </row>
    <row r="77" spans="2:164" ht="36" x14ac:dyDescent="0.2">
      <c r="B77" s="224" t="s">
        <v>331</v>
      </c>
      <c r="C77" s="225" t="s">
        <v>332</v>
      </c>
      <c r="D77" s="225" t="s">
        <v>333</v>
      </c>
      <c r="E77" s="225" t="s">
        <v>334</v>
      </c>
      <c r="F77" s="225" t="s">
        <v>2</v>
      </c>
      <c r="G77" s="225" t="s">
        <v>3</v>
      </c>
      <c r="H77" s="225" t="s">
        <v>335</v>
      </c>
      <c r="I77" s="225" t="s">
        <v>362</v>
      </c>
      <c r="J77" s="225" t="s">
        <v>349</v>
      </c>
      <c r="K77" s="225" t="s">
        <v>337</v>
      </c>
      <c r="L77" s="225" t="s">
        <v>338</v>
      </c>
      <c r="M77" s="225" t="s">
        <v>339</v>
      </c>
      <c r="N77" s="225" t="s">
        <v>340</v>
      </c>
      <c r="O77" s="225" t="s">
        <v>361</v>
      </c>
      <c r="P77" s="225" t="s">
        <v>350</v>
      </c>
      <c r="Q77" s="225" t="s">
        <v>341</v>
      </c>
      <c r="R77" s="225" t="s">
        <v>342</v>
      </c>
      <c r="S77" s="225" t="s">
        <v>343</v>
      </c>
      <c r="T77" s="225" t="s">
        <v>6</v>
      </c>
      <c r="U77" s="225" t="s">
        <v>344</v>
      </c>
      <c r="V77" s="225" t="s">
        <v>345</v>
      </c>
      <c r="W77" s="226" t="s">
        <v>7</v>
      </c>
      <c r="X77" s="207"/>
      <c r="Y77" s="224" t="s">
        <v>331</v>
      </c>
      <c r="Z77" s="225" t="s">
        <v>332</v>
      </c>
      <c r="AA77" s="225" t="s">
        <v>333</v>
      </c>
      <c r="AB77" s="225" t="s">
        <v>334</v>
      </c>
      <c r="AC77" s="225" t="s">
        <v>2</v>
      </c>
      <c r="AD77" s="225" t="s">
        <v>3</v>
      </c>
      <c r="AE77" s="225" t="s">
        <v>335</v>
      </c>
      <c r="AF77" s="225" t="s">
        <v>362</v>
      </c>
      <c r="AG77" s="225" t="s">
        <v>349</v>
      </c>
      <c r="AH77" s="225" t="s">
        <v>337</v>
      </c>
      <c r="AI77" s="225" t="s">
        <v>338</v>
      </c>
      <c r="AJ77" s="225" t="s">
        <v>339</v>
      </c>
      <c r="AK77" s="225" t="s">
        <v>340</v>
      </c>
      <c r="AL77" s="225" t="s">
        <v>361</v>
      </c>
      <c r="AM77" s="225" t="s">
        <v>350</v>
      </c>
      <c r="AN77" s="225" t="s">
        <v>341</v>
      </c>
      <c r="AO77" s="225" t="s">
        <v>342</v>
      </c>
      <c r="AP77" s="225" t="s">
        <v>343</v>
      </c>
      <c r="AQ77" s="225" t="s">
        <v>6</v>
      </c>
      <c r="AR77" s="225" t="s">
        <v>344</v>
      </c>
      <c r="AS77" s="225" t="s">
        <v>345</v>
      </c>
      <c r="AT77" s="226" t="s">
        <v>7</v>
      </c>
      <c r="AV77" s="224" t="s">
        <v>331</v>
      </c>
      <c r="AW77" s="225" t="s">
        <v>332</v>
      </c>
      <c r="AX77" s="225" t="s">
        <v>333</v>
      </c>
      <c r="AY77" s="225" t="s">
        <v>334</v>
      </c>
      <c r="AZ77" s="225" t="s">
        <v>2</v>
      </c>
      <c r="BA77" s="225" t="s">
        <v>3</v>
      </c>
      <c r="BB77" s="225" t="s">
        <v>335</v>
      </c>
      <c r="BC77" s="225" t="s">
        <v>362</v>
      </c>
      <c r="BD77" s="225" t="s">
        <v>349</v>
      </c>
      <c r="BE77" s="225" t="s">
        <v>337</v>
      </c>
      <c r="BF77" s="225" t="s">
        <v>338</v>
      </c>
      <c r="BG77" s="225" t="s">
        <v>339</v>
      </c>
      <c r="BH77" s="225" t="s">
        <v>340</v>
      </c>
      <c r="BI77" s="225" t="s">
        <v>361</v>
      </c>
      <c r="BJ77" s="225" t="s">
        <v>350</v>
      </c>
      <c r="BK77" s="225" t="s">
        <v>341</v>
      </c>
      <c r="BL77" s="225" t="s">
        <v>342</v>
      </c>
      <c r="BM77" s="225" t="s">
        <v>343</v>
      </c>
      <c r="BN77" s="225" t="s">
        <v>6</v>
      </c>
      <c r="BO77" s="225" t="s">
        <v>344</v>
      </c>
      <c r="BP77" s="225" t="s">
        <v>345</v>
      </c>
      <c r="BQ77" s="226" t="s">
        <v>7</v>
      </c>
      <c r="BR77" s="235"/>
      <c r="BS77" s="236"/>
      <c r="BT77" s="224" t="s">
        <v>331</v>
      </c>
      <c r="BU77" s="225" t="s">
        <v>332</v>
      </c>
      <c r="BV77" s="225" t="s">
        <v>333</v>
      </c>
      <c r="BW77" s="225" t="s">
        <v>334</v>
      </c>
      <c r="BX77" s="225" t="s">
        <v>2</v>
      </c>
      <c r="BY77" s="225" t="s">
        <v>3</v>
      </c>
      <c r="BZ77" s="225" t="s">
        <v>335</v>
      </c>
      <c r="CA77" s="225" t="s">
        <v>362</v>
      </c>
      <c r="CB77" s="225" t="s">
        <v>349</v>
      </c>
      <c r="CC77" s="225" t="s">
        <v>337</v>
      </c>
      <c r="CD77" s="225" t="s">
        <v>338</v>
      </c>
      <c r="CE77" s="225" t="s">
        <v>339</v>
      </c>
      <c r="CF77" s="225" t="s">
        <v>340</v>
      </c>
      <c r="CG77" s="225" t="s">
        <v>361</v>
      </c>
      <c r="CH77" s="225" t="s">
        <v>350</v>
      </c>
      <c r="CI77" s="225" t="s">
        <v>341</v>
      </c>
      <c r="CJ77" s="225" t="s">
        <v>342</v>
      </c>
      <c r="CK77" s="225" t="s">
        <v>343</v>
      </c>
      <c r="CL77" s="225" t="s">
        <v>6</v>
      </c>
      <c r="CM77" s="225" t="s">
        <v>344</v>
      </c>
      <c r="CN77" s="225" t="s">
        <v>345</v>
      </c>
      <c r="CO77" s="226" t="s">
        <v>7</v>
      </c>
      <c r="CQ77" s="224" t="s">
        <v>331</v>
      </c>
      <c r="CR77" s="225" t="s">
        <v>332</v>
      </c>
      <c r="CS77" s="225" t="s">
        <v>333</v>
      </c>
      <c r="CT77" s="225" t="s">
        <v>334</v>
      </c>
      <c r="CU77" s="225" t="s">
        <v>2</v>
      </c>
      <c r="CV77" s="225" t="s">
        <v>3</v>
      </c>
      <c r="CW77" s="225" t="s">
        <v>335</v>
      </c>
      <c r="CX77" s="225" t="s">
        <v>362</v>
      </c>
      <c r="CY77" s="225" t="s">
        <v>349</v>
      </c>
      <c r="CZ77" s="225" t="s">
        <v>337</v>
      </c>
      <c r="DA77" s="225" t="s">
        <v>338</v>
      </c>
      <c r="DB77" s="225" t="s">
        <v>339</v>
      </c>
      <c r="DC77" s="225" t="s">
        <v>340</v>
      </c>
      <c r="DD77" s="225" t="s">
        <v>361</v>
      </c>
      <c r="DE77" s="225" t="s">
        <v>350</v>
      </c>
      <c r="DF77" s="225" t="s">
        <v>341</v>
      </c>
      <c r="DG77" s="225" t="s">
        <v>342</v>
      </c>
      <c r="DH77" s="225" t="s">
        <v>343</v>
      </c>
      <c r="DI77" s="225" t="s">
        <v>6</v>
      </c>
      <c r="DJ77" s="225" t="s">
        <v>344</v>
      </c>
      <c r="DK77" s="225" t="s">
        <v>345</v>
      </c>
      <c r="DL77" s="226" t="s">
        <v>7</v>
      </c>
      <c r="DM77" s="214"/>
      <c r="DN77" s="214"/>
      <c r="DP77" s="224" t="s">
        <v>331</v>
      </c>
      <c r="DQ77" s="225" t="s">
        <v>332</v>
      </c>
      <c r="DR77" s="225" t="s">
        <v>333</v>
      </c>
      <c r="DS77" s="225" t="s">
        <v>334</v>
      </c>
      <c r="DT77" s="225" t="s">
        <v>2</v>
      </c>
      <c r="DU77" s="225" t="s">
        <v>3</v>
      </c>
      <c r="DV77" s="225" t="s">
        <v>335</v>
      </c>
      <c r="DW77" s="225" t="s">
        <v>362</v>
      </c>
      <c r="DX77" s="225" t="s">
        <v>349</v>
      </c>
      <c r="DY77" s="225" t="s">
        <v>337</v>
      </c>
      <c r="DZ77" s="225" t="s">
        <v>338</v>
      </c>
      <c r="EA77" s="225" t="s">
        <v>339</v>
      </c>
      <c r="EB77" s="225" t="s">
        <v>340</v>
      </c>
      <c r="EC77" s="225" t="s">
        <v>361</v>
      </c>
      <c r="ED77" s="225" t="s">
        <v>350</v>
      </c>
      <c r="EE77" s="225" t="s">
        <v>341</v>
      </c>
      <c r="EF77" s="225" t="s">
        <v>342</v>
      </c>
      <c r="EG77" s="225" t="s">
        <v>343</v>
      </c>
      <c r="EH77" s="225" t="s">
        <v>6</v>
      </c>
      <c r="EI77" s="225" t="s">
        <v>344</v>
      </c>
      <c r="EJ77" s="225" t="s">
        <v>345</v>
      </c>
      <c r="EK77" s="226" t="s">
        <v>7</v>
      </c>
      <c r="EL77" s="240"/>
      <c r="EM77" s="224" t="s">
        <v>331</v>
      </c>
      <c r="EN77" s="225" t="s">
        <v>332</v>
      </c>
      <c r="EO77" s="225" t="s">
        <v>333</v>
      </c>
      <c r="EP77" s="225" t="s">
        <v>334</v>
      </c>
      <c r="EQ77" s="225" t="s">
        <v>2</v>
      </c>
      <c r="ER77" s="225" t="s">
        <v>3</v>
      </c>
      <c r="ES77" s="225" t="s">
        <v>335</v>
      </c>
      <c r="ET77" s="225" t="s">
        <v>362</v>
      </c>
      <c r="EU77" s="225" t="s">
        <v>349</v>
      </c>
      <c r="EV77" s="225" t="s">
        <v>337</v>
      </c>
      <c r="EW77" s="225" t="s">
        <v>338</v>
      </c>
      <c r="EX77" s="225" t="s">
        <v>339</v>
      </c>
      <c r="EY77" s="225" t="s">
        <v>340</v>
      </c>
      <c r="EZ77" s="225" t="s">
        <v>361</v>
      </c>
      <c r="FA77" s="225" t="s">
        <v>350</v>
      </c>
      <c r="FB77" s="225" t="s">
        <v>341</v>
      </c>
      <c r="FC77" s="225" t="s">
        <v>342</v>
      </c>
      <c r="FD77" s="225" t="s">
        <v>343</v>
      </c>
      <c r="FE77" s="225" t="s">
        <v>6</v>
      </c>
      <c r="FF77" s="225" t="s">
        <v>344</v>
      </c>
      <c r="FG77" s="225" t="s">
        <v>345</v>
      </c>
      <c r="FH77" s="226" t="s">
        <v>7</v>
      </c>
    </row>
    <row r="78" spans="2:164" x14ac:dyDescent="0.2">
      <c r="B78" s="233" t="s">
        <v>332</v>
      </c>
      <c r="C78" s="227">
        <v>8748</v>
      </c>
      <c r="D78" s="227">
        <v>1467</v>
      </c>
      <c r="E78" s="227">
        <v>379</v>
      </c>
      <c r="F78" s="227">
        <v>2</v>
      </c>
      <c r="G78" s="227">
        <v>1</v>
      </c>
      <c r="H78" s="227">
        <v>16</v>
      </c>
      <c r="I78" s="227">
        <v>1</v>
      </c>
      <c r="J78" s="227">
        <v>0</v>
      </c>
      <c r="K78" s="227">
        <v>1</v>
      </c>
      <c r="L78" s="227">
        <v>5</v>
      </c>
      <c r="M78" s="227">
        <v>2</v>
      </c>
      <c r="N78" s="227">
        <v>4</v>
      </c>
      <c r="O78" s="227">
        <v>4</v>
      </c>
      <c r="P78" s="227">
        <v>3</v>
      </c>
      <c r="Q78" s="227">
        <v>0</v>
      </c>
      <c r="R78" s="227">
        <v>2</v>
      </c>
      <c r="S78" s="227">
        <v>0</v>
      </c>
      <c r="T78" s="227">
        <v>1</v>
      </c>
      <c r="U78" s="227">
        <v>21</v>
      </c>
      <c r="V78" s="227">
        <v>0</v>
      </c>
      <c r="W78" s="230">
        <v>10657</v>
      </c>
      <c r="X78" s="208"/>
      <c r="Y78" s="233" t="s">
        <v>332</v>
      </c>
      <c r="Z78" s="227">
        <v>2505218.2593726893</v>
      </c>
      <c r="AA78" s="227">
        <v>697554.4557472138</v>
      </c>
      <c r="AB78" s="227">
        <v>261864.66136649912</v>
      </c>
      <c r="AC78" s="254">
        <v>145.69638952111802</v>
      </c>
      <c r="AD78" s="254">
        <v>83.80306366798979</v>
      </c>
      <c r="AE78" s="254">
        <v>34321.224974069708</v>
      </c>
      <c r="AF78" s="254">
        <v>121.79101772891512</v>
      </c>
      <c r="AG78" s="254">
        <v>0</v>
      </c>
      <c r="AH78" s="254">
        <v>40.062701728945441</v>
      </c>
      <c r="AI78" s="254">
        <v>934.00580513885291</v>
      </c>
      <c r="AJ78" s="254">
        <v>43.08669742756031</v>
      </c>
      <c r="AK78" s="254">
        <v>2711.6335787139628</v>
      </c>
      <c r="AL78" s="254">
        <v>287.31878307894141</v>
      </c>
      <c r="AM78" s="254">
        <v>90.075054937968446</v>
      </c>
      <c r="AN78" s="254">
        <v>0</v>
      </c>
      <c r="AO78" s="254">
        <v>123.31530270909015</v>
      </c>
      <c r="AP78" s="254">
        <v>0</v>
      </c>
      <c r="AQ78" s="254">
        <v>31.315502908949455</v>
      </c>
      <c r="AR78" s="254">
        <v>9967.095454885899</v>
      </c>
      <c r="AS78" s="254">
        <v>0</v>
      </c>
      <c r="AT78" s="230">
        <v>3513537.8008129206</v>
      </c>
      <c r="AV78" s="233" t="s">
        <v>332</v>
      </c>
      <c r="AW78" s="227">
        <v>2505218.2593726893</v>
      </c>
      <c r="AX78" s="227">
        <v>697554.4557472138</v>
      </c>
      <c r="AY78" s="227">
        <v>261864.66136649912</v>
      </c>
      <c r="AZ78" s="232">
        <v>0</v>
      </c>
      <c r="BA78" s="232">
        <v>0</v>
      </c>
      <c r="BB78" s="232">
        <v>0</v>
      </c>
      <c r="BC78" s="232">
        <v>0</v>
      </c>
      <c r="BD78" s="254">
        <v>0</v>
      </c>
      <c r="BE78" s="232">
        <v>0</v>
      </c>
      <c r="BF78" s="232">
        <v>0</v>
      </c>
      <c r="BG78" s="232">
        <v>0</v>
      </c>
      <c r="BH78" s="232">
        <v>0</v>
      </c>
      <c r="BI78" s="232">
        <v>0</v>
      </c>
      <c r="BJ78" s="232">
        <v>0</v>
      </c>
      <c r="BK78" s="254">
        <v>0</v>
      </c>
      <c r="BL78" s="232">
        <v>0</v>
      </c>
      <c r="BM78" s="254">
        <v>0</v>
      </c>
      <c r="BN78" s="232">
        <v>0</v>
      </c>
      <c r="BO78" s="232">
        <v>0</v>
      </c>
      <c r="BP78" s="254">
        <v>0</v>
      </c>
      <c r="BQ78" s="230">
        <f t="shared" ref="BQ78:BQ98" si="42">SUM(AW78:BP78)</f>
        <v>3464637.376486402</v>
      </c>
      <c r="BR78" s="237"/>
      <c r="BS78" s="227"/>
      <c r="BT78" s="233" t="s">
        <v>332</v>
      </c>
      <c r="BU78" s="227">
        <v>1188</v>
      </c>
      <c r="BV78" s="227">
        <v>145</v>
      </c>
      <c r="BW78" s="227">
        <v>33</v>
      </c>
      <c r="BX78" s="227">
        <v>0</v>
      </c>
      <c r="BY78" s="227">
        <v>0</v>
      </c>
      <c r="BZ78" s="227">
        <v>0</v>
      </c>
      <c r="CA78" s="227">
        <v>0</v>
      </c>
      <c r="CB78" s="227">
        <v>0</v>
      </c>
      <c r="CC78" s="227">
        <v>0</v>
      </c>
      <c r="CD78" s="227">
        <v>0</v>
      </c>
      <c r="CE78" s="227">
        <v>0</v>
      </c>
      <c r="CF78" s="227">
        <v>0</v>
      </c>
      <c r="CG78" s="227">
        <v>0</v>
      </c>
      <c r="CH78" s="227">
        <v>0</v>
      </c>
      <c r="CI78" s="227">
        <v>0</v>
      </c>
      <c r="CJ78" s="227">
        <v>0</v>
      </c>
      <c r="CK78" s="227">
        <v>0</v>
      </c>
      <c r="CL78" s="227">
        <v>0</v>
      </c>
      <c r="CM78" s="227">
        <v>6</v>
      </c>
      <c r="CN78" s="227">
        <v>0</v>
      </c>
      <c r="CO78" s="230">
        <v>1372</v>
      </c>
      <c r="CP78" s="236"/>
      <c r="CQ78" s="233" t="s">
        <v>332</v>
      </c>
      <c r="CR78" s="227">
        <v>256430.09144702481</v>
      </c>
      <c r="CS78" s="227">
        <v>56571.187351264925</v>
      </c>
      <c r="CT78" s="227">
        <v>24663.080285966924</v>
      </c>
      <c r="CU78" s="227">
        <v>0</v>
      </c>
      <c r="CV78" s="227">
        <v>0</v>
      </c>
      <c r="CW78" s="227">
        <v>0</v>
      </c>
      <c r="CX78" s="227">
        <v>0</v>
      </c>
      <c r="CY78" s="227">
        <v>0</v>
      </c>
      <c r="CZ78" s="227">
        <v>0</v>
      </c>
      <c r="DA78" s="227">
        <v>0</v>
      </c>
      <c r="DB78" s="227">
        <v>0</v>
      </c>
      <c r="DC78" s="227">
        <v>0</v>
      </c>
      <c r="DD78" s="227">
        <v>0</v>
      </c>
      <c r="DE78" s="227">
        <v>0</v>
      </c>
      <c r="DF78" s="227">
        <v>0</v>
      </c>
      <c r="DG78" s="227">
        <v>0</v>
      </c>
      <c r="DH78" s="227">
        <v>0</v>
      </c>
      <c r="DI78" s="227">
        <v>0</v>
      </c>
      <c r="DJ78" s="227">
        <v>220.35665534429</v>
      </c>
      <c r="DK78" s="227">
        <v>0</v>
      </c>
      <c r="DL78" s="230">
        <v>337884.71573960094</v>
      </c>
      <c r="DM78" s="235"/>
      <c r="DN78" s="235"/>
      <c r="DO78" s="236"/>
      <c r="DP78" s="233" t="s">
        <v>332</v>
      </c>
      <c r="DQ78" s="227">
        <v>2004</v>
      </c>
      <c r="DR78" s="227">
        <v>244</v>
      </c>
      <c r="DS78" s="227">
        <v>63</v>
      </c>
      <c r="DT78" s="227">
        <v>0</v>
      </c>
      <c r="DU78" s="227">
        <v>0</v>
      </c>
      <c r="DV78" s="227">
        <v>0</v>
      </c>
      <c r="DW78" s="227">
        <v>0</v>
      </c>
      <c r="DX78" s="227">
        <v>0</v>
      </c>
      <c r="DY78" s="227">
        <v>0</v>
      </c>
      <c r="DZ78" s="227">
        <v>0</v>
      </c>
      <c r="EA78" s="227">
        <v>0</v>
      </c>
      <c r="EB78" s="227">
        <v>1</v>
      </c>
      <c r="EC78" s="227">
        <v>0</v>
      </c>
      <c r="ED78" s="227">
        <v>3</v>
      </c>
      <c r="EE78" s="227">
        <v>0</v>
      </c>
      <c r="EF78" s="227">
        <v>0</v>
      </c>
      <c r="EG78" s="227">
        <v>0</v>
      </c>
      <c r="EH78" s="227">
        <v>0</v>
      </c>
      <c r="EI78" s="227">
        <v>6</v>
      </c>
      <c r="EJ78" s="227">
        <v>0</v>
      </c>
      <c r="EK78" s="230">
        <v>2321</v>
      </c>
      <c r="EL78" s="239"/>
      <c r="EM78" s="233" t="s">
        <v>332</v>
      </c>
      <c r="EN78" s="227">
        <v>569056.84709523979</v>
      </c>
      <c r="EO78" s="227">
        <v>131057.68963755625</v>
      </c>
      <c r="EP78" s="227">
        <v>76841.822856172061</v>
      </c>
      <c r="EQ78" s="227">
        <v>0</v>
      </c>
      <c r="ER78" s="227">
        <v>0</v>
      </c>
      <c r="ES78" s="227">
        <v>0</v>
      </c>
      <c r="ET78" s="227">
        <v>0</v>
      </c>
      <c r="EU78" s="227">
        <v>0</v>
      </c>
      <c r="EV78" s="227">
        <v>0</v>
      </c>
      <c r="EW78" s="227">
        <v>0</v>
      </c>
      <c r="EX78" s="227">
        <v>0</v>
      </c>
      <c r="EY78" s="227">
        <v>47.601017554812252</v>
      </c>
      <c r="EZ78" s="227">
        <v>0</v>
      </c>
      <c r="FA78" s="227">
        <v>90.075054937968446</v>
      </c>
      <c r="FB78" s="227">
        <v>0</v>
      </c>
      <c r="FC78" s="227">
        <v>0</v>
      </c>
      <c r="FD78" s="227">
        <v>0</v>
      </c>
      <c r="FE78" s="227">
        <v>0</v>
      </c>
      <c r="FF78" s="227">
        <v>220.35665534429</v>
      </c>
      <c r="FG78" s="227">
        <v>0</v>
      </c>
      <c r="FH78" s="230">
        <v>777314.39231680508</v>
      </c>
    </row>
    <row r="79" spans="2:164" x14ac:dyDescent="0.2">
      <c r="B79" s="215" t="s">
        <v>333</v>
      </c>
      <c r="C79" s="227">
        <v>0</v>
      </c>
      <c r="D79" s="227">
        <v>3879</v>
      </c>
      <c r="E79" s="227">
        <v>341</v>
      </c>
      <c r="F79" s="227">
        <v>0</v>
      </c>
      <c r="G79" s="227">
        <v>0</v>
      </c>
      <c r="H79" s="227">
        <v>11</v>
      </c>
      <c r="I79" s="227">
        <v>2</v>
      </c>
      <c r="J79" s="227">
        <v>0</v>
      </c>
      <c r="K79" s="227">
        <v>0</v>
      </c>
      <c r="L79" s="227">
        <v>11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7</v>
      </c>
      <c r="V79" s="227">
        <v>0</v>
      </c>
      <c r="W79" s="230">
        <v>4255</v>
      </c>
      <c r="X79" s="208"/>
      <c r="Y79" s="215" t="s">
        <v>333</v>
      </c>
      <c r="Z79" s="227">
        <v>0</v>
      </c>
      <c r="AA79" s="227">
        <v>1570410.9046762115</v>
      </c>
      <c r="AB79" s="227">
        <v>221519.96798517631</v>
      </c>
      <c r="AC79" s="227">
        <v>0</v>
      </c>
      <c r="AD79" s="227">
        <v>0</v>
      </c>
      <c r="AE79" s="227">
        <v>1981.0486091745167</v>
      </c>
      <c r="AF79" s="227">
        <v>95.483196664854546</v>
      </c>
      <c r="AG79" s="227">
        <v>0</v>
      </c>
      <c r="AH79" s="227">
        <v>0</v>
      </c>
      <c r="AI79" s="227">
        <v>6618.2047945289332</v>
      </c>
      <c r="AJ79" s="227">
        <v>1162.2641487420522</v>
      </c>
      <c r="AK79" s="254">
        <v>0</v>
      </c>
      <c r="AL79" s="254">
        <v>0</v>
      </c>
      <c r="AM79" s="254">
        <v>0</v>
      </c>
      <c r="AN79" s="254">
        <v>0</v>
      </c>
      <c r="AO79" s="254">
        <v>3869.331912126398</v>
      </c>
      <c r="AP79" s="254">
        <v>0</v>
      </c>
      <c r="AQ79" s="227">
        <v>97.728172937654222</v>
      </c>
      <c r="AR79" s="227">
        <v>4325.3009660091775</v>
      </c>
      <c r="AS79" s="227">
        <v>0</v>
      </c>
      <c r="AT79" s="230">
        <v>1810080.2344615716</v>
      </c>
      <c r="AV79" s="215" t="s">
        <v>333</v>
      </c>
      <c r="AW79" s="227">
        <v>0</v>
      </c>
      <c r="AX79" s="227">
        <v>1570410.9046762115</v>
      </c>
      <c r="AY79" s="227">
        <v>221519.96798517631</v>
      </c>
      <c r="AZ79" s="227">
        <v>0</v>
      </c>
      <c r="BA79" s="227">
        <v>0</v>
      </c>
      <c r="BB79" s="227">
        <v>1981.0486091745167</v>
      </c>
      <c r="BC79" s="227">
        <v>95.483196664854546</v>
      </c>
      <c r="BD79" s="227">
        <v>0</v>
      </c>
      <c r="BE79" s="227">
        <v>0</v>
      </c>
      <c r="BF79" s="227">
        <v>6618.2047945289332</v>
      </c>
      <c r="BG79" s="227">
        <v>1162.2641487420522</v>
      </c>
      <c r="BH79" s="254">
        <v>0</v>
      </c>
      <c r="BI79" s="254">
        <v>0</v>
      </c>
      <c r="BJ79" s="254">
        <v>0</v>
      </c>
      <c r="BK79" s="254">
        <v>0</v>
      </c>
      <c r="BL79" s="232">
        <v>0</v>
      </c>
      <c r="BM79" s="254">
        <v>0</v>
      </c>
      <c r="BN79" s="227">
        <v>97.728172937654222</v>
      </c>
      <c r="BO79" s="227">
        <v>4325.3009660091775</v>
      </c>
      <c r="BP79" s="227">
        <v>0</v>
      </c>
      <c r="BQ79" s="230">
        <f t="shared" si="42"/>
        <v>1806210.9025494449</v>
      </c>
      <c r="BR79" s="237"/>
      <c r="BS79" s="227"/>
      <c r="BT79" s="215" t="s">
        <v>333</v>
      </c>
      <c r="BU79" s="227">
        <v>0</v>
      </c>
      <c r="BV79" s="227">
        <v>396</v>
      </c>
      <c r="BW79" s="227">
        <v>33</v>
      </c>
      <c r="BX79" s="227">
        <v>0</v>
      </c>
      <c r="BY79" s="227">
        <v>0</v>
      </c>
      <c r="BZ79" s="227">
        <v>0</v>
      </c>
      <c r="CA79" s="227">
        <v>0</v>
      </c>
      <c r="CB79" s="227">
        <v>0</v>
      </c>
      <c r="CC79" s="227">
        <v>0</v>
      </c>
      <c r="CD79" s="227">
        <v>0</v>
      </c>
      <c r="CE79" s="227">
        <v>0</v>
      </c>
      <c r="CF79" s="227">
        <v>0</v>
      </c>
      <c r="CG79" s="227">
        <v>0</v>
      </c>
      <c r="CH79" s="227">
        <v>0</v>
      </c>
      <c r="CI79" s="227">
        <v>0</v>
      </c>
      <c r="CJ79" s="227">
        <v>1</v>
      </c>
      <c r="CK79" s="227">
        <v>0</v>
      </c>
      <c r="CL79" s="227">
        <v>0</v>
      </c>
      <c r="CM79" s="227">
        <v>2</v>
      </c>
      <c r="CN79" s="227">
        <v>0</v>
      </c>
      <c r="CO79" s="230">
        <v>432</v>
      </c>
      <c r="CP79" s="227"/>
      <c r="CQ79" s="215" t="s">
        <v>333</v>
      </c>
      <c r="CR79" s="227">
        <v>0</v>
      </c>
      <c r="CS79" s="227">
        <v>134605.5622246259</v>
      </c>
      <c r="CT79" s="227">
        <v>17671.421665060287</v>
      </c>
      <c r="CU79" s="227">
        <v>0</v>
      </c>
      <c r="CV79" s="227">
        <v>0</v>
      </c>
      <c r="CW79" s="227">
        <v>0</v>
      </c>
      <c r="CX79" s="227">
        <v>0</v>
      </c>
      <c r="CY79" s="227">
        <v>0</v>
      </c>
      <c r="CZ79" s="227">
        <v>0</v>
      </c>
      <c r="DA79" s="227">
        <v>0</v>
      </c>
      <c r="DB79" s="227">
        <v>0</v>
      </c>
      <c r="DC79" s="227">
        <v>0</v>
      </c>
      <c r="DD79" s="227">
        <v>0</v>
      </c>
      <c r="DE79" s="227">
        <v>0</v>
      </c>
      <c r="DF79" s="227">
        <v>0</v>
      </c>
      <c r="DG79" s="227">
        <v>3835.8490111745532</v>
      </c>
      <c r="DH79" s="227">
        <v>0</v>
      </c>
      <c r="DI79" s="227">
        <v>0</v>
      </c>
      <c r="DJ79" s="227">
        <v>82.319531263543269</v>
      </c>
      <c r="DK79" s="227">
        <v>0</v>
      </c>
      <c r="DL79" s="230">
        <v>156195.15243212428</v>
      </c>
      <c r="DM79" s="237"/>
      <c r="DN79" s="237"/>
      <c r="DO79" s="227"/>
      <c r="DP79" s="215" t="s">
        <v>333</v>
      </c>
      <c r="DQ79" s="227">
        <v>0</v>
      </c>
      <c r="DR79" s="227">
        <v>653</v>
      </c>
      <c r="DS79" s="227">
        <v>53</v>
      </c>
      <c r="DT79" s="227">
        <v>0</v>
      </c>
      <c r="DU79" s="227">
        <v>0</v>
      </c>
      <c r="DV79" s="227">
        <v>0</v>
      </c>
      <c r="DW79" s="227">
        <v>0</v>
      </c>
      <c r="DX79" s="227">
        <v>0</v>
      </c>
      <c r="DY79" s="227">
        <v>0</v>
      </c>
      <c r="DZ79" s="227">
        <v>0</v>
      </c>
      <c r="EA79" s="227">
        <v>1</v>
      </c>
      <c r="EB79" s="227">
        <v>0</v>
      </c>
      <c r="EC79" s="227">
        <v>0</v>
      </c>
      <c r="ED79" s="227">
        <v>0</v>
      </c>
      <c r="EE79" s="227">
        <v>0</v>
      </c>
      <c r="EF79" s="227">
        <v>1</v>
      </c>
      <c r="EG79" s="227">
        <v>0</v>
      </c>
      <c r="EH79" s="227">
        <v>0</v>
      </c>
      <c r="EI79" s="227">
        <v>2</v>
      </c>
      <c r="EJ79" s="227">
        <v>0</v>
      </c>
      <c r="EK79" s="230">
        <v>710</v>
      </c>
      <c r="EL79" s="227"/>
      <c r="EM79" s="215" t="s">
        <v>333</v>
      </c>
      <c r="EN79" s="227">
        <v>0</v>
      </c>
      <c r="EO79" s="227">
        <v>257878.91600947469</v>
      </c>
      <c r="EP79" s="227">
        <v>44961.065846211553</v>
      </c>
      <c r="EQ79" s="227">
        <v>0</v>
      </c>
      <c r="ER79" s="227">
        <v>0</v>
      </c>
      <c r="ES79" s="227">
        <v>0</v>
      </c>
      <c r="ET79" s="227">
        <v>0</v>
      </c>
      <c r="EU79" s="227">
        <v>0</v>
      </c>
      <c r="EV79" s="227">
        <v>0</v>
      </c>
      <c r="EW79" s="227">
        <v>0</v>
      </c>
      <c r="EX79" s="227">
        <v>1162.2641487420522</v>
      </c>
      <c r="EY79" s="227">
        <v>0</v>
      </c>
      <c r="EZ79" s="227">
        <v>0</v>
      </c>
      <c r="FA79" s="227">
        <v>0</v>
      </c>
      <c r="FB79" s="227">
        <v>0</v>
      </c>
      <c r="FC79" s="227">
        <v>3835.8490111745532</v>
      </c>
      <c r="FD79" s="227">
        <v>0</v>
      </c>
      <c r="FE79" s="227">
        <v>0</v>
      </c>
      <c r="FF79" s="227">
        <v>82.319531263543269</v>
      </c>
      <c r="FG79" s="227">
        <v>0</v>
      </c>
      <c r="FH79" s="230">
        <v>307920.41454686644</v>
      </c>
    </row>
    <row r="80" spans="2:164" ht="24" x14ac:dyDescent="0.2">
      <c r="B80" s="216" t="s">
        <v>334</v>
      </c>
      <c r="C80" s="227">
        <v>0</v>
      </c>
      <c r="D80" s="228">
        <v>0</v>
      </c>
      <c r="E80" s="229">
        <v>1018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5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0</v>
      </c>
      <c r="T80" s="229">
        <v>0</v>
      </c>
      <c r="U80" s="229">
        <v>1</v>
      </c>
      <c r="V80" s="229">
        <v>0</v>
      </c>
      <c r="W80" s="231">
        <v>1030</v>
      </c>
      <c r="X80" s="208"/>
      <c r="Y80" s="216" t="s">
        <v>334</v>
      </c>
      <c r="Z80" s="227">
        <v>0</v>
      </c>
      <c r="AA80" s="228">
        <v>0</v>
      </c>
      <c r="AB80" s="229">
        <v>732182.06651445385</v>
      </c>
      <c r="AC80" s="229">
        <v>0</v>
      </c>
      <c r="AD80" s="229">
        <v>0</v>
      </c>
      <c r="AE80" s="229">
        <v>336.03320107344962</v>
      </c>
      <c r="AF80" s="229">
        <v>0</v>
      </c>
      <c r="AG80" s="229">
        <v>0</v>
      </c>
      <c r="AH80" s="229">
        <v>0</v>
      </c>
      <c r="AI80" s="229">
        <v>235.39358934987865</v>
      </c>
      <c r="AJ80" s="229">
        <v>0</v>
      </c>
      <c r="AK80" s="256">
        <v>0</v>
      </c>
      <c r="AL80" s="256">
        <v>0</v>
      </c>
      <c r="AM80" s="256">
        <v>0</v>
      </c>
      <c r="AN80" s="256">
        <v>0</v>
      </c>
      <c r="AO80" s="256">
        <v>0</v>
      </c>
      <c r="AP80" s="256">
        <v>0</v>
      </c>
      <c r="AQ80" s="229">
        <v>0</v>
      </c>
      <c r="AR80" s="229">
        <v>6835.7102891047261</v>
      </c>
      <c r="AS80" s="229">
        <v>0</v>
      </c>
      <c r="AT80" s="231">
        <v>739589.20359398192</v>
      </c>
      <c r="AV80" s="216" t="s">
        <v>334</v>
      </c>
      <c r="AW80" s="227">
        <v>0</v>
      </c>
      <c r="AX80" s="228">
        <v>0</v>
      </c>
      <c r="AY80" s="229">
        <v>732182.06651445385</v>
      </c>
      <c r="AZ80" s="229">
        <v>0</v>
      </c>
      <c r="BA80" s="229">
        <v>0</v>
      </c>
      <c r="BB80" s="229">
        <v>336.03320107344962</v>
      </c>
      <c r="BC80" s="229">
        <v>0</v>
      </c>
      <c r="BD80" s="229">
        <v>0</v>
      </c>
      <c r="BE80" s="229">
        <v>0</v>
      </c>
      <c r="BF80" s="229">
        <v>235.39358934987865</v>
      </c>
      <c r="BG80" s="229">
        <v>0</v>
      </c>
      <c r="BH80" s="256">
        <v>0</v>
      </c>
      <c r="BI80" s="256">
        <v>0</v>
      </c>
      <c r="BJ80" s="256">
        <v>0</v>
      </c>
      <c r="BK80" s="256">
        <v>0</v>
      </c>
      <c r="BL80" s="256">
        <v>0</v>
      </c>
      <c r="BM80" s="256">
        <v>0</v>
      </c>
      <c r="BN80" s="229">
        <v>0</v>
      </c>
      <c r="BO80" s="229">
        <v>6835.7102891047261</v>
      </c>
      <c r="BP80" s="229">
        <v>0</v>
      </c>
      <c r="BQ80" s="230">
        <f t="shared" si="42"/>
        <v>739589.20359398192</v>
      </c>
      <c r="BR80" s="238"/>
      <c r="BS80" s="227"/>
      <c r="BT80" s="216" t="s">
        <v>334</v>
      </c>
      <c r="BU80" s="227">
        <v>0</v>
      </c>
      <c r="BV80" s="228">
        <v>0</v>
      </c>
      <c r="BW80" s="229">
        <v>94</v>
      </c>
      <c r="BX80" s="229">
        <v>0</v>
      </c>
      <c r="BY80" s="229">
        <v>0</v>
      </c>
      <c r="BZ80" s="229">
        <v>0</v>
      </c>
      <c r="CA80" s="229">
        <v>0</v>
      </c>
      <c r="CB80" s="229">
        <v>0</v>
      </c>
      <c r="CC80" s="229">
        <v>0</v>
      </c>
      <c r="CD80" s="229">
        <v>0</v>
      </c>
      <c r="CE80" s="229">
        <v>0</v>
      </c>
      <c r="CF80" s="229">
        <v>0</v>
      </c>
      <c r="CG80" s="229">
        <v>0</v>
      </c>
      <c r="CH80" s="229">
        <v>0</v>
      </c>
      <c r="CI80" s="229">
        <v>0</v>
      </c>
      <c r="CJ80" s="229">
        <v>0</v>
      </c>
      <c r="CK80" s="229">
        <v>0</v>
      </c>
      <c r="CL80" s="229">
        <v>0</v>
      </c>
      <c r="CM80" s="229">
        <v>0</v>
      </c>
      <c r="CN80" s="229">
        <v>0</v>
      </c>
      <c r="CO80" s="231">
        <v>94</v>
      </c>
      <c r="CP80" s="227"/>
      <c r="CQ80" s="216" t="s">
        <v>334</v>
      </c>
      <c r="CR80" s="227">
        <v>0</v>
      </c>
      <c r="CS80" s="228">
        <v>0</v>
      </c>
      <c r="CT80" s="229">
        <v>89520.047465777636</v>
      </c>
      <c r="CU80" s="229">
        <v>0</v>
      </c>
      <c r="CV80" s="229">
        <v>0</v>
      </c>
      <c r="CW80" s="229">
        <v>0</v>
      </c>
      <c r="CX80" s="229">
        <v>0</v>
      </c>
      <c r="CY80" s="229">
        <v>0</v>
      </c>
      <c r="CZ80" s="229">
        <v>0</v>
      </c>
      <c r="DA80" s="229">
        <v>0</v>
      </c>
      <c r="DB80" s="229">
        <v>0</v>
      </c>
      <c r="DC80" s="229">
        <v>0</v>
      </c>
      <c r="DD80" s="229">
        <v>0</v>
      </c>
      <c r="DE80" s="229">
        <v>0</v>
      </c>
      <c r="DF80" s="229">
        <v>0</v>
      </c>
      <c r="DG80" s="229">
        <v>0</v>
      </c>
      <c r="DH80" s="229">
        <v>0</v>
      </c>
      <c r="DI80" s="229">
        <v>0</v>
      </c>
      <c r="DJ80" s="229">
        <v>0</v>
      </c>
      <c r="DK80" s="229">
        <v>0</v>
      </c>
      <c r="DL80" s="231">
        <v>89520.047465777636</v>
      </c>
      <c r="DM80" s="237"/>
      <c r="DN80" s="237"/>
      <c r="DO80" s="227"/>
      <c r="DP80" s="216" t="s">
        <v>334</v>
      </c>
      <c r="DQ80" s="227">
        <v>0</v>
      </c>
      <c r="DR80" s="228">
        <v>0</v>
      </c>
      <c r="DS80" s="229">
        <v>151</v>
      </c>
      <c r="DT80" s="229">
        <v>0</v>
      </c>
      <c r="DU80" s="229">
        <v>0</v>
      </c>
      <c r="DV80" s="229">
        <v>0</v>
      </c>
      <c r="DW80" s="229">
        <v>0</v>
      </c>
      <c r="DX80" s="229">
        <v>0</v>
      </c>
      <c r="DY80" s="229">
        <v>0</v>
      </c>
      <c r="DZ80" s="229">
        <v>0</v>
      </c>
      <c r="EA80" s="229">
        <v>0</v>
      </c>
      <c r="EB80" s="229">
        <v>0</v>
      </c>
      <c r="EC80" s="229">
        <v>0</v>
      </c>
      <c r="ED80" s="229">
        <v>0</v>
      </c>
      <c r="EE80" s="229">
        <v>0</v>
      </c>
      <c r="EF80" s="229">
        <v>0</v>
      </c>
      <c r="EG80" s="229">
        <v>0</v>
      </c>
      <c r="EH80" s="229">
        <v>0</v>
      </c>
      <c r="EI80" s="229">
        <v>0</v>
      </c>
      <c r="EJ80" s="229">
        <v>0</v>
      </c>
      <c r="EK80" s="231">
        <v>151</v>
      </c>
      <c r="EL80" s="227"/>
      <c r="EM80" s="216" t="s">
        <v>334</v>
      </c>
      <c r="EN80" s="227">
        <v>0</v>
      </c>
      <c r="EO80" s="228">
        <v>0</v>
      </c>
      <c r="EP80" s="229">
        <v>168716.29852427993</v>
      </c>
      <c r="EQ80" s="229">
        <v>0</v>
      </c>
      <c r="ER80" s="229">
        <v>0</v>
      </c>
      <c r="ES80" s="229">
        <v>0</v>
      </c>
      <c r="ET80" s="229">
        <v>0</v>
      </c>
      <c r="EU80" s="229">
        <v>0</v>
      </c>
      <c r="EV80" s="229">
        <v>0</v>
      </c>
      <c r="EW80" s="229">
        <v>0</v>
      </c>
      <c r="EX80" s="229">
        <v>0</v>
      </c>
      <c r="EY80" s="229">
        <v>0</v>
      </c>
      <c r="EZ80" s="229">
        <v>0</v>
      </c>
      <c r="FA80" s="229">
        <v>0</v>
      </c>
      <c r="FB80" s="229">
        <v>0</v>
      </c>
      <c r="FC80" s="229">
        <v>0</v>
      </c>
      <c r="FD80" s="229">
        <v>0</v>
      </c>
      <c r="FE80" s="229">
        <v>0</v>
      </c>
      <c r="FF80" s="229">
        <v>0</v>
      </c>
      <c r="FG80" s="229">
        <v>0</v>
      </c>
      <c r="FH80" s="231">
        <v>168716.29852427993</v>
      </c>
    </row>
    <row r="81" spans="2:164" x14ac:dyDescent="0.2">
      <c r="B81" s="217" t="s">
        <v>2</v>
      </c>
      <c r="C81" s="227">
        <v>246</v>
      </c>
      <c r="D81" s="228">
        <v>164</v>
      </c>
      <c r="E81" s="208">
        <v>46</v>
      </c>
      <c r="F81" s="208">
        <v>2561</v>
      </c>
      <c r="G81" s="208">
        <v>47</v>
      </c>
      <c r="H81" s="208">
        <v>160</v>
      </c>
      <c r="I81" s="208">
        <v>58</v>
      </c>
      <c r="J81" s="208">
        <v>1</v>
      </c>
      <c r="K81" s="208">
        <v>14</v>
      </c>
      <c r="L81" s="208">
        <v>26</v>
      </c>
      <c r="M81" s="208">
        <v>5</v>
      </c>
      <c r="N81" s="208">
        <v>0</v>
      </c>
      <c r="O81" s="208">
        <v>9</v>
      </c>
      <c r="P81" s="208">
        <v>0</v>
      </c>
      <c r="Q81" s="208">
        <v>0</v>
      </c>
      <c r="R81" s="208">
        <v>3</v>
      </c>
      <c r="S81" s="208">
        <v>0</v>
      </c>
      <c r="T81" s="208">
        <v>2</v>
      </c>
      <c r="U81" s="208">
        <v>26</v>
      </c>
      <c r="V81" s="208">
        <v>1</v>
      </c>
      <c r="W81" s="222">
        <v>3369</v>
      </c>
      <c r="X81" s="208"/>
      <c r="Y81" s="217" t="s">
        <v>2</v>
      </c>
      <c r="Z81" s="227">
        <v>46475.450472859069</v>
      </c>
      <c r="AA81" s="228">
        <v>49075.986431325895</v>
      </c>
      <c r="AB81" s="208">
        <v>50693.55319457093</v>
      </c>
      <c r="AC81" s="208">
        <v>425070.63853340497</v>
      </c>
      <c r="AD81" s="255">
        <v>6517.5125134555492</v>
      </c>
      <c r="AE81" s="208">
        <v>38927.56142858669</v>
      </c>
      <c r="AF81" s="208">
        <v>5294.4017931935041</v>
      </c>
      <c r="AG81" s="208">
        <v>102.91349200709024</v>
      </c>
      <c r="AH81" s="208">
        <v>576.85840908645434</v>
      </c>
      <c r="AI81" s="208">
        <v>6537.092478227657</v>
      </c>
      <c r="AJ81" s="208">
        <v>388.54179176267496</v>
      </c>
      <c r="AK81" s="255">
        <v>0</v>
      </c>
      <c r="AL81" s="255">
        <v>581.8075358806434</v>
      </c>
      <c r="AM81" s="255">
        <v>0</v>
      </c>
      <c r="AN81" s="255">
        <v>0</v>
      </c>
      <c r="AO81" s="255">
        <v>188.11487302059717</v>
      </c>
      <c r="AP81" s="255">
        <v>0</v>
      </c>
      <c r="AQ81" s="208">
        <v>251.35087277419979</v>
      </c>
      <c r="AR81" s="208">
        <v>1930.2185785373708</v>
      </c>
      <c r="AS81" s="208">
        <v>158.58798642963697</v>
      </c>
      <c r="AT81" s="222">
        <v>632770.59038512292</v>
      </c>
      <c r="AV81" s="217" t="s">
        <v>2</v>
      </c>
      <c r="AW81" s="227">
        <v>46475.450472859069</v>
      </c>
      <c r="AX81" s="228">
        <v>49075.986431325895</v>
      </c>
      <c r="AY81" s="208">
        <v>50693.55319457093</v>
      </c>
      <c r="AZ81" s="208">
        <v>425070.63853340497</v>
      </c>
      <c r="BA81" s="258">
        <v>0</v>
      </c>
      <c r="BB81" s="208">
        <v>38927.56142858669</v>
      </c>
      <c r="BC81" s="208">
        <v>5294.4017931935041</v>
      </c>
      <c r="BD81" s="208">
        <v>102.91349200709024</v>
      </c>
      <c r="BE81" s="208">
        <v>576.85840908645434</v>
      </c>
      <c r="BF81" s="208">
        <v>6537.092478227657</v>
      </c>
      <c r="BG81" s="208">
        <v>388.54179176267496</v>
      </c>
      <c r="BH81" s="255">
        <v>0</v>
      </c>
      <c r="BI81" s="258">
        <v>0</v>
      </c>
      <c r="BJ81" s="255">
        <v>0</v>
      </c>
      <c r="BK81" s="255">
        <v>0</v>
      </c>
      <c r="BL81" s="258">
        <v>0</v>
      </c>
      <c r="BM81" s="255">
        <v>0</v>
      </c>
      <c r="BN81" s="208">
        <v>251.35087277419979</v>
      </c>
      <c r="BO81" s="208">
        <v>1930.2185785373708</v>
      </c>
      <c r="BP81" s="208">
        <v>158.58798642963697</v>
      </c>
      <c r="BQ81" s="230">
        <f t="shared" si="42"/>
        <v>625483.15546276618</v>
      </c>
      <c r="BR81" s="214"/>
      <c r="BS81" s="227"/>
      <c r="BT81" s="217" t="s">
        <v>2</v>
      </c>
      <c r="BU81" s="227">
        <v>21</v>
      </c>
      <c r="BV81" s="228">
        <v>16</v>
      </c>
      <c r="BW81" s="208">
        <v>2</v>
      </c>
      <c r="BX81" s="208">
        <v>63</v>
      </c>
      <c r="BY81" s="208">
        <v>0</v>
      </c>
      <c r="BZ81" s="208">
        <v>0</v>
      </c>
      <c r="CA81" s="208">
        <v>0</v>
      </c>
      <c r="CB81" s="208">
        <v>0</v>
      </c>
      <c r="CC81" s="208">
        <v>0</v>
      </c>
      <c r="CD81" s="208">
        <v>0</v>
      </c>
      <c r="CE81" s="208">
        <v>0</v>
      </c>
      <c r="CF81" s="208">
        <v>0</v>
      </c>
      <c r="CG81" s="208">
        <v>0</v>
      </c>
      <c r="CH81" s="208">
        <v>0</v>
      </c>
      <c r="CI81" s="208">
        <v>0</v>
      </c>
      <c r="CJ81" s="208">
        <v>0</v>
      </c>
      <c r="CK81" s="208">
        <v>0</v>
      </c>
      <c r="CL81" s="208">
        <v>0</v>
      </c>
      <c r="CM81" s="208">
        <v>1</v>
      </c>
      <c r="CN81" s="208">
        <v>0</v>
      </c>
      <c r="CO81" s="222">
        <v>103</v>
      </c>
      <c r="CP81" s="227"/>
      <c r="CQ81" s="217" t="s">
        <v>2</v>
      </c>
      <c r="CR81" s="227">
        <v>1043.7571845082909</v>
      </c>
      <c r="CS81" s="228">
        <v>7484.5207139825943</v>
      </c>
      <c r="CT81" s="208">
        <v>3512.9668768276629</v>
      </c>
      <c r="CU81" s="208">
        <v>16873.371514839513</v>
      </c>
      <c r="CV81" s="208">
        <v>0</v>
      </c>
      <c r="CW81" s="208">
        <v>0</v>
      </c>
      <c r="CX81" s="208">
        <v>0</v>
      </c>
      <c r="CY81" s="208">
        <v>0</v>
      </c>
      <c r="CZ81" s="208">
        <v>0</v>
      </c>
      <c r="DA81" s="208">
        <v>0</v>
      </c>
      <c r="DB81" s="208">
        <v>0</v>
      </c>
      <c r="DC81" s="208">
        <v>0</v>
      </c>
      <c r="DD81" s="208">
        <v>0</v>
      </c>
      <c r="DE81" s="208">
        <v>0</v>
      </c>
      <c r="DF81" s="208">
        <v>0</v>
      </c>
      <c r="DG81" s="208">
        <v>0</v>
      </c>
      <c r="DH81" s="208">
        <v>0</v>
      </c>
      <c r="DI81" s="208">
        <v>0</v>
      </c>
      <c r="DJ81" s="208">
        <v>41.159765631771634</v>
      </c>
      <c r="DK81" s="208">
        <v>0</v>
      </c>
      <c r="DL81" s="222">
        <v>28955.776055789833</v>
      </c>
      <c r="DM81" s="238"/>
      <c r="DN81" s="238"/>
      <c r="DO81" s="227"/>
      <c r="DP81" s="217" t="s">
        <v>2</v>
      </c>
      <c r="DQ81" s="227">
        <v>43</v>
      </c>
      <c r="DR81" s="228">
        <v>32</v>
      </c>
      <c r="DS81" s="208">
        <v>2</v>
      </c>
      <c r="DT81" s="208">
        <v>132</v>
      </c>
      <c r="DU81" s="208">
        <v>0</v>
      </c>
      <c r="DV81" s="208">
        <v>2</v>
      </c>
      <c r="DW81" s="208">
        <v>0</v>
      </c>
      <c r="DX81" s="208">
        <v>0</v>
      </c>
      <c r="DY81" s="208">
        <v>0</v>
      </c>
      <c r="DZ81" s="208">
        <v>0</v>
      </c>
      <c r="EA81" s="208">
        <v>0</v>
      </c>
      <c r="EB81" s="208">
        <v>0</v>
      </c>
      <c r="EC81" s="208">
        <v>0</v>
      </c>
      <c r="ED81" s="208">
        <v>0</v>
      </c>
      <c r="EE81" s="208">
        <v>0</v>
      </c>
      <c r="EF81" s="208">
        <v>0</v>
      </c>
      <c r="EG81" s="208">
        <v>0</v>
      </c>
      <c r="EH81" s="208">
        <v>0</v>
      </c>
      <c r="EI81" s="208">
        <v>1</v>
      </c>
      <c r="EJ81" s="208">
        <v>0</v>
      </c>
      <c r="EK81" s="222">
        <v>212</v>
      </c>
      <c r="EL81" s="228"/>
      <c r="EM81" s="217" t="s">
        <v>2</v>
      </c>
      <c r="EN81" s="227">
        <v>7469.0525806600053</v>
      </c>
      <c r="EO81" s="228">
        <v>11345.841172210357</v>
      </c>
      <c r="EP81" s="208">
        <v>3512.9668768276629</v>
      </c>
      <c r="EQ81" s="208">
        <v>59060.647893230343</v>
      </c>
      <c r="ER81" s="208">
        <v>0</v>
      </c>
      <c r="ES81" s="208">
        <v>135.41363778123196</v>
      </c>
      <c r="ET81" s="208">
        <v>0</v>
      </c>
      <c r="EU81" s="208">
        <v>0</v>
      </c>
      <c r="EV81" s="208">
        <v>0</v>
      </c>
      <c r="EW81" s="208">
        <v>0</v>
      </c>
      <c r="EX81" s="208">
        <v>0</v>
      </c>
      <c r="EY81" s="208">
        <v>0</v>
      </c>
      <c r="EZ81" s="208">
        <v>0</v>
      </c>
      <c r="FA81" s="208">
        <v>0</v>
      </c>
      <c r="FB81" s="208">
        <v>0</v>
      </c>
      <c r="FC81" s="208">
        <v>0</v>
      </c>
      <c r="FD81" s="208">
        <v>0</v>
      </c>
      <c r="FE81" s="208">
        <v>0</v>
      </c>
      <c r="FF81" s="208">
        <v>41.159765631771634</v>
      </c>
      <c r="FG81" s="208">
        <v>0</v>
      </c>
      <c r="FH81" s="222">
        <v>81565.081926341372</v>
      </c>
    </row>
    <row r="82" spans="2:164" x14ac:dyDescent="0.2">
      <c r="B82" s="217" t="s">
        <v>3</v>
      </c>
      <c r="C82" s="227">
        <v>10</v>
      </c>
      <c r="D82" s="228">
        <v>8</v>
      </c>
      <c r="E82" s="208">
        <v>0</v>
      </c>
      <c r="F82" s="208">
        <v>0</v>
      </c>
      <c r="G82" s="208">
        <v>505</v>
      </c>
      <c r="H82" s="208">
        <v>2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530</v>
      </c>
      <c r="X82" s="208"/>
      <c r="Y82" s="217" t="s">
        <v>3</v>
      </c>
      <c r="Z82" s="254">
        <v>983.19084639859102</v>
      </c>
      <c r="AA82" s="254">
        <v>10503.567262474375</v>
      </c>
      <c r="AB82" s="255">
        <v>0</v>
      </c>
      <c r="AC82" s="255">
        <v>0</v>
      </c>
      <c r="AD82" s="208">
        <v>179433.68565808388</v>
      </c>
      <c r="AE82" s="255">
        <v>583.50139024227246</v>
      </c>
      <c r="AF82" s="255">
        <v>588.99986838828363</v>
      </c>
      <c r="AG82" s="255">
        <v>0</v>
      </c>
      <c r="AH82" s="255">
        <v>119.63823799597826</v>
      </c>
      <c r="AI82" s="255">
        <v>0</v>
      </c>
      <c r="AJ82" s="255">
        <v>40.657720767193553</v>
      </c>
      <c r="AK82" s="255">
        <v>0</v>
      </c>
      <c r="AL82" s="255">
        <v>0</v>
      </c>
      <c r="AM82" s="255">
        <v>0</v>
      </c>
      <c r="AN82" s="255">
        <v>0</v>
      </c>
      <c r="AO82" s="255">
        <v>0</v>
      </c>
      <c r="AP82" s="255">
        <v>0</v>
      </c>
      <c r="AQ82" s="255">
        <v>0</v>
      </c>
      <c r="AR82" s="255">
        <v>25.264846630413917</v>
      </c>
      <c r="AS82" s="255">
        <v>0</v>
      </c>
      <c r="AT82" s="222">
        <v>192278.50583098101</v>
      </c>
      <c r="AV82" s="217" t="s">
        <v>3</v>
      </c>
      <c r="AW82" s="232">
        <v>0</v>
      </c>
      <c r="AX82" s="232">
        <v>0</v>
      </c>
      <c r="AY82" s="255">
        <v>0</v>
      </c>
      <c r="AZ82" s="255">
        <v>0</v>
      </c>
      <c r="BA82" s="208">
        <v>179433.68565808388</v>
      </c>
      <c r="BB82" s="258">
        <v>0</v>
      </c>
      <c r="BC82" s="258">
        <v>0</v>
      </c>
      <c r="BD82" s="255">
        <v>0</v>
      </c>
      <c r="BE82" s="258">
        <v>0</v>
      </c>
      <c r="BF82" s="255">
        <v>0</v>
      </c>
      <c r="BG82" s="258">
        <v>0</v>
      </c>
      <c r="BH82" s="255">
        <v>0</v>
      </c>
      <c r="BI82" s="255">
        <v>0</v>
      </c>
      <c r="BJ82" s="255">
        <v>0</v>
      </c>
      <c r="BK82" s="255">
        <v>0</v>
      </c>
      <c r="BL82" s="255">
        <v>0</v>
      </c>
      <c r="BM82" s="255">
        <v>0</v>
      </c>
      <c r="BN82" s="255">
        <v>0</v>
      </c>
      <c r="BO82" s="258">
        <v>0</v>
      </c>
      <c r="BP82" s="255">
        <v>0</v>
      </c>
      <c r="BQ82" s="230">
        <f t="shared" si="42"/>
        <v>179433.68565808388</v>
      </c>
      <c r="BR82" s="214"/>
      <c r="BS82" s="227"/>
      <c r="BT82" s="217" t="s">
        <v>3</v>
      </c>
      <c r="BU82" s="227">
        <v>0</v>
      </c>
      <c r="BV82" s="228">
        <v>0</v>
      </c>
      <c r="BW82" s="208">
        <v>0</v>
      </c>
      <c r="BX82" s="208">
        <v>0</v>
      </c>
      <c r="BY82" s="208">
        <v>4</v>
      </c>
      <c r="BZ82" s="208">
        <v>0</v>
      </c>
      <c r="CA82" s="208">
        <v>0</v>
      </c>
      <c r="CB82" s="208">
        <v>0</v>
      </c>
      <c r="CC82" s="208">
        <v>0</v>
      </c>
      <c r="CD82" s="208">
        <v>0</v>
      </c>
      <c r="CE82" s="208">
        <v>0</v>
      </c>
      <c r="CF82" s="208">
        <v>0</v>
      </c>
      <c r="CG82" s="208">
        <v>0</v>
      </c>
      <c r="CH82" s="208">
        <v>0</v>
      </c>
      <c r="CI82" s="208">
        <v>0</v>
      </c>
      <c r="CJ82" s="208">
        <v>0</v>
      </c>
      <c r="CK82" s="208">
        <v>0</v>
      </c>
      <c r="CL82" s="208">
        <v>0</v>
      </c>
      <c r="CM82" s="208">
        <v>0</v>
      </c>
      <c r="CN82" s="208">
        <v>0</v>
      </c>
      <c r="CO82" s="222">
        <v>4</v>
      </c>
      <c r="CP82" s="227"/>
      <c r="CQ82" s="217" t="s">
        <v>3</v>
      </c>
      <c r="CR82" s="227">
        <v>0</v>
      </c>
      <c r="CS82" s="228">
        <v>0</v>
      </c>
      <c r="CT82" s="208">
        <v>0</v>
      </c>
      <c r="CU82" s="208">
        <v>0</v>
      </c>
      <c r="CV82" s="208">
        <v>33845.901877481534</v>
      </c>
      <c r="CW82" s="208">
        <v>0</v>
      </c>
      <c r="CX82" s="208">
        <v>0</v>
      </c>
      <c r="CY82" s="208">
        <v>0</v>
      </c>
      <c r="CZ82" s="208">
        <v>0</v>
      </c>
      <c r="DA82" s="208">
        <v>0</v>
      </c>
      <c r="DB82" s="208">
        <v>0</v>
      </c>
      <c r="DC82" s="208">
        <v>0</v>
      </c>
      <c r="DD82" s="208">
        <v>0</v>
      </c>
      <c r="DE82" s="208">
        <v>0</v>
      </c>
      <c r="DF82" s="208">
        <v>0</v>
      </c>
      <c r="DG82" s="208">
        <v>0</v>
      </c>
      <c r="DH82" s="208">
        <v>0</v>
      </c>
      <c r="DI82" s="208">
        <v>0</v>
      </c>
      <c r="DJ82" s="208">
        <v>0</v>
      </c>
      <c r="DK82" s="208">
        <v>0</v>
      </c>
      <c r="DL82" s="222">
        <v>33845.901877481534</v>
      </c>
      <c r="DM82" s="214"/>
      <c r="DN82" s="214"/>
      <c r="DO82" s="227"/>
      <c r="DP82" s="217" t="s">
        <v>3</v>
      </c>
      <c r="DQ82" s="227">
        <v>0</v>
      </c>
      <c r="DR82" s="228">
        <v>0</v>
      </c>
      <c r="DS82" s="208">
        <v>0</v>
      </c>
      <c r="DT82" s="208">
        <v>0</v>
      </c>
      <c r="DU82" s="208">
        <v>16</v>
      </c>
      <c r="DV82" s="208">
        <v>0</v>
      </c>
      <c r="DW82" s="208">
        <v>0</v>
      </c>
      <c r="DX82" s="208">
        <v>0</v>
      </c>
      <c r="DY82" s="208">
        <v>0</v>
      </c>
      <c r="DZ82" s="208">
        <v>0</v>
      </c>
      <c r="EA82" s="208">
        <v>0</v>
      </c>
      <c r="EB82" s="208">
        <v>0</v>
      </c>
      <c r="EC82" s="208">
        <v>0</v>
      </c>
      <c r="ED82" s="208">
        <v>0</v>
      </c>
      <c r="EE82" s="208">
        <v>0</v>
      </c>
      <c r="EF82" s="208">
        <v>0</v>
      </c>
      <c r="EG82" s="208">
        <v>0</v>
      </c>
      <c r="EH82" s="208">
        <v>0</v>
      </c>
      <c r="EI82" s="208">
        <v>0</v>
      </c>
      <c r="EJ82" s="208">
        <v>0</v>
      </c>
      <c r="EK82" s="222">
        <v>16</v>
      </c>
      <c r="EL82" s="228"/>
      <c r="EM82" s="217" t="s">
        <v>3</v>
      </c>
      <c r="EN82" s="227">
        <v>0</v>
      </c>
      <c r="EO82" s="228">
        <v>0</v>
      </c>
      <c r="EP82" s="208">
        <v>0</v>
      </c>
      <c r="EQ82" s="208">
        <v>0</v>
      </c>
      <c r="ER82" s="208">
        <v>48172.6200489771</v>
      </c>
      <c r="ES82" s="208">
        <v>0</v>
      </c>
      <c r="ET82" s="208">
        <v>0</v>
      </c>
      <c r="EU82" s="208">
        <v>0</v>
      </c>
      <c r="EV82" s="208">
        <v>0</v>
      </c>
      <c r="EW82" s="208">
        <v>0</v>
      </c>
      <c r="EX82" s="208">
        <v>0</v>
      </c>
      <c r="EY82" s="208">
        <v>0</v>
      </c>
      <c r="EZ82" s="208">
        <v>0</v>
      </c>
      <c r="FA82" s="208">
        <v>0</v>
      </c>
      <c r="FB82" s="208">
        <v>0</v>
      </c>
      <c r="FC82" s="208">
        <v>0</v>
      </c>
      <c r="FD82" s="208">
        <v>0</v>
      </c>
      <c r="FE82" s="208">
        <v>0</v>
      </c>
      <c r="FF82" s="208">
        <v>0</v>
      </c>
      <c r="FG82" s="208">
        <v>0</v>
      </c>
      <c r="FH82" s="222">
        <v>48172.6200489771</v>
      </c>
    </row>
    <row r="83" spans="2:164" x14ac:dyDescent="0.2">
      <c r="B83" s="217" t="s">
        <v>335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346</v>
      </c>
      <c r="I83" s="208">
        <v>21</v>
      </c>
      <c r="J83" s="208">
        <v>0</v>
      </c>
      <c r="K83" s="208">
        <v>2</v>
      </c>
      <c r="L83" s="208">
        <v>3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373</v>
      </c>
      <c r="X83" s="208"/>
      <c r="Y83" s="217" t="s">
        <v>335</v>
      </c>
      <c r="Z83" s="227">
        <v>0</v>
      </c>
      <c r="AA83" s="228">
        <v>0</v>
      </c>
      <c r="AB83" s="255">
        <v>0</v>
      </c>
      <c r="AC83" s="208">
        <v>0</v>
      </c>
      <c r="AD83" s="208">
        <v>0</v>
      </c>
      <c r="AE83" s="208">
        <v>93306.405676584502</v>
      </c>
      <c r="AF83" s="208">
        <v>4554.3521645462306</v>
      </c>
      <c r="AG83" s="208">
        <v>0</v>
      </c>
      <c r="AH83" s="208">
        <v>267.48047485562381</v>
      </c>
      <c r="AI83" s="208">
        <v>160.67447137338866</v>
      </c>
      <c r="AJ83" s="208">
        <v>160.8682791614265</v>
      </c>
      <c r="AK83" s="255">
        <v>0</v>
      </c>
      <c r="AL83" s="255">
        <v>0</v>
      </c>
      <c r="AM83" s="255">
        <v>0</v>
      </c>
      <c r="AN83" s="255">
        <v>0</v>
      </c>
      <c r="AO83" s="255">
        <v>0</v>
      </c>
      <c r="AP83" s="255">
        <v>0</v>
      </c>
      <c r="AQ83" s="208">
        <v>0</v>
      </c>
      <c r="AR83" s="208">
        <v>0</v>
      </c>
      <c r="AS83" s="208">
        <v>0</v>
      </c>
      <c r="AT83" s="222">
        <v>98449.781066521173</v>
      </c>
      <c r="AV83" s="217" t="s">
        <v>335</v>
      </c>
      <c r="AW83" s="227">
        <v>0</v>
      </c>
      <c r="AX83" s="228">
        <v>0</v>
      </c>
      <c r="AY83" s="255">
        <v>0</v>
      </c>
      <c r="AZ83" s="208">
        <v>0</v>
      </c>
      <c r="BA83" s="208">
        <v>0</v>
      </c>
      <c r="BB83" s="208">
        <v>93306.405676584502</v>
      </c>
      <c r="BC83" s="208">
        <v>4554.3521645462306</v>
      </c>
      <c r="BD83" s="208">
        <v>0</v>
      </c>
      <c r="BE83" s="208">
        <v>267.48047485562381</v>
      </c>
      <c r="BF83" s="208">
        <v>160.67447137338866</v>
      </c>
      <c r="BG83" s="208">
        <v>160.8682791614265</v>
      </c>
      <c r="BH83" s="255">
        <v>0</v>
      </c>
      <c r="BI83" s="255">
        <v>0</v>
      </c>
      <c r="BJ83" s="255">
        <v>0</v>
      </c>
      <c r="BK83" s="255">
        <v>0</v>
      </c>
      <c r="BL83" s="255">
        <v>0</v>
      </c>
      <c r="BM83" s="255">
        <v>0</v>
      </c>
      <c r="BN83" s="208">
        <v>0</v>
      </c>
      <c r="BO83" s="208">
        <v>0</v>
      </c>
      <c r="BP83" s="208">
        <v>0</v>
      </c>
      <c r="BQ83" s="230">
        <f t="shared" si="42"/>
        <v>98449.781066521173</v>
      </c>
      <c r="BR83" s="214"/>
      <c r="BS83" s="227"/>
      <c r="BT83" s="217" t="s">
        <v>335</v>
      </c>
      <c r="BU83" s="227">
        <v>0</v>
      </c>
      <c r="BV83" s="228">
        <v>0</v>
      </c>
      <c r="BW83" s="208">
        <v>0</v>
      </c>
      <c r="BX83" s="208">
        <v>0</v>
      </c>
      <c r="BY83" s="208">
        <v>0</v>
      </c>
      <c r="BZ83" s="208">
        <v>1</v>
      </c>
      <c r="CA83" s="208">
        <v>0</v>
      </c>
      <c r="CB83" s="208">
        <v>0</v>
      </c>
      <c r="CC83" s="208">
        <v>0</v>
      </c>
      <c r="CD83" s="208">
        <v>0</v>
      </c>
      <c r="CE83" s="208">
        <v>0</v>
      </c>
      <c r="CF83" s="208">
        <v>0</v>
      </c>
      <c r="CG83" s="208">
        <v>0</v>
      </c>
      <c r="CH83" s="208">
        <v>0</v>
      </c>
      <c r="CI83" s="208">
        <v>0</v>
      </c>
      <c r="CJ83" s="208">
        <v>0</v>
      </c>
      <c r="CK83" s="208">
        <v>0</v>
      </c>
      <c r="CL83" s="208">
        <v>0</v>
      </c>
      <c r="CM83" s="208">
        <v>0</v>
      </c>
      <c r="CN83" s="208">
        <v>0</v>
      </c>
      <c r="CO83" s="222">
        <v>1</v>
      </c>
      <c r="CP83" s="227"/>
      <c r="CQ83" s="217" t="s">
        <v>335</v>
      </c>
      <c r="CR83" s="227">
        <v>0</v>
      </c>
      <c r="CS83" s="228">
        <v>0</v>
      </c>
      <c r="CT83" s="208">
        <v>0</v>
      </c>
      <c r="CU83" s="208">
        <v>0</v>
      </c>
      <c r="CV83" s="208">
        <v>0</v>
      </c>
      <c r="CW83" s="208">
        <v>40.105555552174231</v>
      </c>
      <c r="CX83" s="208">
        <v>0</v>
      </c>
      <c r="CY83" s="208">
        <v>0</v>
      </c>
      <c r="CZ83" s="208">
        <v>0</v>
      </c>
      <c r="DA83" s="208">
        <v>0</v>
      </c>
      <c r="DB83" s="208">
        <v>0</v>
      </c>
      <c r="DC83" s="208">
        <v>0</v>
      </c>
      <c r="DD83" s="208">
        <v>0</v>
      </c>
      <c r="DE83" s="208">
        <v>0</v>
      </c>
      <c r="DF83" s="208">
        <v>0</v>
      </c>
      <c r="DG83" s="208">
        <v>0</v>
      </c>
      <c r="DH83" s="208">
        <v>0</v>
      </c>
      <c r="DI83" s="208">
        <v>0</v>
      </c>
      <c r="DJ83" s="208">
        <v>0</v>
      </c>
      <c r="DK83" s="208">
        <v>0</v>
      </c>
      <c r="DL83" s="222">
        <v>40.105555552174231</v>
      </c>
      <c r="DM83" s="214"/>
      <c r="DN83" s="214"/>
      <c r="DO83" s="227"/>
      <c r="DP83" s="217" t="s">
        <v>335</v>
      </c>
      <c r="DQ83" s="227">
        <v>0</v>
      </c>
      <c r="DR83" s="228">
        <v>0</v>
      </c>
      <c r="DS83" s="208">
        <v>0</v>
      </c>
      <c r="DT83" s="208">
        <v>0</v>
      </c>
      <c r="DU83" s="208">
        <v>0</v>
      </c>
      <c r="DV83" s="208">
        <v>9</v>
      </c>
      <c r="DW83" s="208">
        <v>2</v>
      </c>
      <c r="DX83" s="208">
        <v>0</v>
      </c>
      <c r="DY83" s="208">
        <v>0</v>
      </c>
      <c r="DZ83" s="208">
        <v>0</v>
      </c>
      <c r="EA83" s="208">
        <v>0</v>
      </c>
      <c r="EB83" s="208">
        <v>0</v>
      </c>
      <c r="EC83" s="208">
        <v>0</v>
      </c>
      <c r="ED83" s="208">
        <v>0</v>
      </c>
      <c r="EE83" s="208">
        <v>0</v>
      </c>
      <c r="EF83" s="208">
        <v>0</v>
      </c>
      <c r="EG83" s="208">
        <v>0</v>
      </c>
      <c r="EH83" s="208">
        <v>0</v>
      </c>
      <c r="EI83" s="208">
        <v>0</v>
      </c>
      <c r="EJ83" s="208">
        <v>0</v>
      </c>
      <c r="EK83" s="222">
        <v>11</v>
      </c>
      <c r="EL83" s="228"/>
      <c r="EM83" s="217" t="s">
        <v>335</v>
      </c>
      <c r="EN83" s="227">
        <v>0</v>
      </c>
      <c r="EO83" s="228">
        <v>0</v>
      </c>
      <c r="EP83" s="208">
        <v>0</v>
      </c>
      <c r="EQ83" s="208">
        <v>0</v>
      </c>
      <c r="ER83" s="208">
        <v>0</v>
      </c>
      <c r="ES83" s="208">
        <v>3201.9957246413119</v>
      </c>
      <c r="ET83" s="208">
        <v>2103.355205438233</v>
      </c>
      <c r="EU83" s="208">
        <v>0</v>
      </c>
      <c r="EV83" s="208">
        <v>0</v>
      </c>
      <c r="EW83" s="208">
        <v>0</v>
      </c>
      <c r="EX83" s="208">
        <v>0</v>
      </c>
      <c r="EY83" s="208">
        <v>0</v>
      </c>
      <c r="EZ83" s="208">
        <v>0</v>
      </c>
      <c r="FA83" s="208">
        <v>0</v>
      </c>
      <c r="FB83" s="208">
        <v>0</v>
      </c>
      <c r="FC83" s="208">
        <v>0</v>
      </c>
      <c r="FD83" s="208">
        <v>0</v>
      </c>
      <c r="FE83" s="208">
        <v>0</v>
      </c>
      <c r="FF83" s="208">
        <v>0</v>
      </c>
      <c r="FG83" s="208">
        <v>0</v>
      </c>
      <c r="FH83" s="222">
        <v>5305.3509300795449</v>
      </c>
    </row>
    <row r="84" spans="2:164" x14ac:dyDescent="0.2">
      <c r="B84" s="217" t="s">
        <v>362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113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117</v>
      </c>
      <c r="X84" s="208"/>
      <c r="Y84" s="217" t="s">
        <v>362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20146.259676187496</v>
      </c>
      <c r="AG84" s="208">
        <v>0</v>
      </c>
      <c r="AH84" s="208">
        <v>40.062701728945441</v>
      </c>
      <c r="AI84" s="208">
        <v>58.731073236068923</v>
      </c>
      <c r="AJ84" s="208">
        <v>0</v>
      </c>
      <c r="AK84" s="255">
        <v>0</v>
      </c>
      <c r="AL84" s="255">
        <v>75.09714962493419</v>
      </c>
      <c r="AM84" s="255">
        <v>0</v>
      </c>
      <c r="AN84" s="255">
        <v>129.33276099947329</v>
      </c>
      <c r="AO84" s="255">
        <v>0</v>
      </c>
      <c r="AP84" s="255">
        <v>0</v>
      </c>
      <c r="AQ84" s="208">
        <v>0</v>
      </c>
      <c r="AR84" s="208">
        <v>0</v>
      </c>
      <c r="AS84" s="208">
        <v>0</v>
      </c>
      <c r="AT84" s="222">
        <v>20449.483361776918</v>
      </c>
      <c r="AV84" s="217" t="s">
        <v>362</v>
      </c>
      <c r="AW84" s="227">
        <v>0</v>
      </c>
      <c r="AX84" s="228">
        <v>0</v>
      </c>
      <c r="AY84" s="208">
        <v>0</v>
      </c>
      <c r="AZ84" s="208">
        <v>0</v>
      </c>
      <c r="BA84" s="208">
        <v>0</v>
      </c>
      <c r="BB84" s="208">
        <v>0</v>
      </c>
      <c r="BC84" s="208">
        <v>20146.259676187496</v>
      </c>
      <c r="BD84" s="208">
        <v>0</v>
      </c>
      <c r="BE84" s="208">
        <v>40.062701728945441</v>
      </c>
      <c r="BF84" s="208">
        <v>58.731073236068923</v>
      </c>
      <c r="BG84" s="208">
        <v>0</v>
      </c>
      <c r="BH84" s="255">
        <v>0</v>
      </c>
      <c r="BI84" s="258">
        <v>0</v>
      </c>
      <c r="BJ84" s="255">
        <v>0</v>
      </c>
      <c r="BK84" s="258">
        <v>0</v>
      </c>
      <c r="BL84" s="255">
        <v>0</v>
      </c>
      <c r="BM84" s="255">
        <v>0</v>
      </c>
      <c r="BN84" s="208">
        <v>0</v>
      </c>
      <c r="BO84" s="208">
        <v>0</v>
      </c>
      <c r="BP84" s="208">
        <v>0</v>
      </c>
      <c r="BQ84" s="230">
        <f t="shared" si="42"/>
        <v>20245.053451152507</v>
      </c>
      <c r="BR84" s="214"/>
      <c r="BS84" s="227"/>
      <c r="BT84" s="217" t="s">
        <v>362</v>
      </c>
      <c r="BU84" s="227">
        <v>0</v>
      </c>
      <c r="BV84" s="228">
        <v>0</v>
      </c>
      <c r="BW84" s="208">
        <v>0</v>
      </c>
      <c r="BX84" s="208">
        <v>0</v>
      </c>
      <c r="BY84" s="208">
        <v>0</v>
      </c>
      <c r="BZ84" s="208">
        <v>0</v>
      </c>
      <c r="CA84" s="208">
        <v>0</v>
      </c>
      <c r="CB84" s="208">
        <v>0</v>
      </c>
      <c r="CC84" s="208">
        <v>0</v>
      </c>
      <c r="CD84" s="208">
        <v>0</v>
      </c>
      <c r="CE84" s="208">
        <v>0</v>
      </c>
      <c r="CF84" s="208">
        <v>0</v>
      </c>
      <c r="CG84" s="208">
        <v>0</v>
      </c>
      <c r="CH84" s="208">
        <v>0</v>
      </c>
      <c r="CI84" s="208">
        <v>0</v>
      </c>
      <c r="CJ84" s="208">
        <v>0</v>
      </c>
      <c r="CK84" s="208">
        <v>0</v>
      </c>
      <c r="CL84" s="208">
        <v>0</v>
      </c>
      <c r="CM84" s="208">
        <v>0</v>
      </c>
      <c r="CN84" s="208">
        <v>0</v>
      </c>
      <c r="CO84" s="222">
        <v>0</v>
      </c>
      <c r="CP84" s="227"/>
      <c r="CQ84" s="217" t="s">
        <v>362</v>
      </c>
      <c r="CR84" s="227">
        <v>0</v>
      </c>
      <c r="CS84" s="228">
        <v>0</v>
      </c>
      <c r="CT84" s="208">
        <v>0</v>
      </c>
      <c r="CU84" s="208">
        <v>0</v>
      </c>
      <c r="CV84" s="208">
        <v>0</v>
      </c>
      <c r="CW84" s="208">
        <v>0</v>
      </c>
      <c r="CX84" s="208">
        <v>0</v>
      </c>
      <c r="CY84" s="208">
        <v>0</v>
      </c>
      <c r="CZ84" s="208">
        <v>0</v>
      </c>
      <c r="DA84" s="208">
        <v>0</v>
      </c>
      <c r="DB84" s="208">
        <v>0</v>
      </c>
      <c r="DC84" s="208">
        <v>0</v>
      </c>
      <c r="DD84" s="208">
        <v>0</v>
      </c>
      <c r="DE84" s="208">
        <v>0</v>
      </c>
      <c r="DF84" s="208">
        <v>0</v>
      </c>
      <c r="DG84" s="208">
        <v>0</v>
      </c>
      <c r="DH84" s="208">
        <v>0</v>
      </c>
      <c r="DI84" s="208">
        <v>0</v>
      </c>
      <c r="DJ84" s="208">
        <v>0</v>
      </c>
      <c r="DK84" s="208">
        <v>0</v>
      </c>
      <c r="DL84" s="222">
        <v>0</v>
      </c>
      <c r="DM84" s="214"/>
      <c r="DN84" s="214"/>
      <c r="DO84" s="227"/>
      <c r="DP84" s="217" t="s">
        <v>362</v>
      </c>
      <c r="DQ84" s="227">
        <v>0</v>
      </c>
      <c r="DR84" s="228">
        <v>0</v>
      </c>
      <c r="DS84" s="208">
        <v>0</v>
      </c>
      <c r="DT84" s="208">
        <v>0</v>
      </c>
      <c r="DU84" s="208">
        <v>0</v>
      </c>
      <c r="DV84" s="208">
        <v>0</v>
      </c>
      <c r="DW84" s="208">
        <v>2</v>
      </c>
      <c r="DX84" s="208">
        <v>0</v>
      </c>
      <c r="DY84" s="208">
        <v>0</v>
      </c>
      <c r="DZ84" s="208">
        <v>0</v>
      </c>
      <c r="EA84" s="208">
        <v>0</v>
      </c>
      <c r="EB84" s="208">
        <v>0</v>
      </c>
      <c r="EC84" s="208">
        <v>0</v>
      </c>
      <c r="ED84" s="208">
        <v>0</v>
      </c>
      <c r="EE84" s="208">
        <v>0</v>
      </c>
      <c r="EF84" s="208">
        <v>0</v>
      </c>
      <c r="EG84" s="208">
        <v>0</v>
      </c>
      <c r="EH84" s="208">
        <v>0</v>
      </c>
      <c r="EI84" s="208">
        <v>0</v>
      </c>
      <c r="EJ84" s="208">
        <v>0</v>
      </c>
      <c r="EK84" s="222">
        <v>2</v>
      </c>
      <c r="EL84" s="228"/>
      <c r="EM84" s="217" t="s">
        <v>362</v>
      </c>
      <c r="EN84" s="227">
        <v>0</v>
      </c>
      <c r="EO84" s="228">
        <v>0</v>
      </c>
      <c r="EP84" s="208">
        <v>0</v>
      </c>
      <c r="EQ84" s="208">
        <v>0</v>
      </c>
      <c r="ER84" s="208">
        <v>0</v>
      </c>
      <c r="ES84" s="208">
        <v>0</v>
      </c>
      <c r="ET84" s="208">
        <v>2103.355205438233</v>
      </c>
      <c r="EU84" s="208">
        <v>0</v>
      </c>
      <c r="EV84" s="208">
        <v>0</v>
      </c>
      <c r="EW84" s="208">
        <v>0</v>
      </c>
      <c r="EX84" s="208">
        <v>0</v>
      </c>
      <c r="EY84" s="208">
        <v>0</v>
      </c>
      <c r="EZ84" s="208">
        <v>0</v>
      </c>
      <c r="FA84" s="208">
        <v>0</v>
      </c>
      <c r="FB84" s="208">
        <v>0</v>
      </c>
      <c r="FC84" s="208">
        <v>0</v>
      </c>
      <c r="FD84" s="208">
        <v>0</v>
      </c>
      <c r="FE84" s="208">
        <v>0</v>
      </c>
      <c r="FF84" s="208">
        <v>0</v>
      </c>
      <c r="FG84" s="208">
        <v>0</v>
      </c>
      <c r="FH84" s="222">
        <v>2103.355205438233</v>
      </c>
    </row>
    <row r="85" spans="2:164" x14ac:dyDescent="0.2">
      <c r="B85" s="217" t="s">
        <v>349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1</v>
      </c>
      <c r="K85" s="208">
        <v>0</v>
      </c>
      <c r="L85" s="208">
        <v>0</v>
      </c>
      <c r="M85" s="208">
        <v>0</v>
      </c>
      <c r="N85" s="208">
        <v>0</v>
      </c>
      <c r="O85" s="208">
        <v>0</v>
      </c>
      <c r="P85" s="208">
        <v>0</v>
      </c>
      <c r="Q85" s="208">
        <v>0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</v>
      </c>
      <c r="X85" s="208"/>
      <c r="Y85" s="217" t="s">
        <v>349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102.91349200709024</v>
      </c>
      <c r="AH85" s="208">
        <v>0</v>
      </c>
      <c r="AI85" s="208">
        <v>0</v>
      </c>
      <c r="AJ85" s="208">
        <v>0</v>
      </c>
      <c r="AK85" s="255">
        <v>0</v>
      </c>
      <c r="AL85" s="255">
        <v>0</v>
      </c>
      <c r="AM85" s="255">
        <v>0</v>
      </c>
      <c r="AN85" s="255">
        <v>0</v>
      </c>
      <c r="AO85" s="255">
        <v>0</v>
      </c>
      <c r="AP85" s="255">
        <v>0</v>
      </c>
      <c r="AQ85" s="208">
        <v>0</v>
      </c>
      <c r="AR85" s="208">
        <v>0</v>
      </c>
      <c r="AS85" s="208">
        <v>0</v>
      </c>
      <c r="AT85" s="222">
        <v>102.91349200709024</v>
      </c>
      <c r="AV85" s="217" t="s">
        <v>349</v>
      </c>
      <c r="AW85" s="227">
        <v>0</v>
      </c>
      <c r="AX85" s="228">
        <v>0</v>
      </c>
      <c r="AY85" s="208">
        <v>0</v>
      </c>
      <c r="AZ85" s="208">
        <v>0</v>
      </c>
      <c r="BA85" s="208">
        <v>0</v>
      </c>
      <c r="BB85" s="208">
        <v>0</v>
      </c>
      <c r="BC85" s="208">
        <v>0</v>
      </c>
      <c r="BD85" s="208">
        <v>102.91349200709024</v>
      </c>
      <c r="BE85" s="208">
        <v>0</v>
      </c>
      <c r="BF85" s="208">
        <v>0</v>
      </c>
      <c r="BG85" s="208">
        <v>0</v>
      </c>
      <c r="BH85" s="255">
        <v>0</v>
      </c>
      <c r="BI85" s="255">
        <v>0</v>
      </c>
      <c r="BJ85" s="255">
        <v>0</v>
      </c>
      <c r="BK85" s="255">
        <v>0</v>
      </c>
      <c r="BL85" s="255">
        <v>0</v>
      </c>
      <c r="BM85" s="255">
        <v>0</v>
      </c>
      <c r="BN85" s="208">
        <v>0</v>
      </c>
      <c r="BO85" s="208">
        <v>0</v>
      </c>
      <c r="BP85" s="208">
        <v>0</v>
      </c>
      <c r="BQ85" s="230">
        <f t="shared" si="42"/>
        <v>102.91349200709024</v>
      </c>
      <c r="BR85" s="214"/>
      <c r="BS85" s="227"/>
      <c r="BT85" s="217" t="s">
        <v>349</v>
      </c>
      <c r="BU85" s="227">
        <v>0</v>
      </c>
      <c r="BV85" s="228">
        <v>0</v>
      </c>
      <c r="BW85" s="208">
        <v>0</v>
      </c>
      <c r="BX85" s="208">
        <v>0</v>
      </c>
      <c r="BY85" s="208">
        <v>0</v>
      </c>
      <c r="BZ85" s="208">
        <v>0</v>
      </c>
      <c r="CA85" s="208">
        <v>0</v>
      </c>
      <c r="CB85" s="208">
        <v>0</v>
      </c>
      <c r="CC85" s="208">
        <v>0</v>
      </c>
      <c r="CD85" s="208">
        <v>0</v>
      </c>
      <c r="CE85" s="208">
        <v>0</v>
      </c>
      <c r="CF85" s="208">
        <v>0</v>
      </c>
      <c r="CG85" s="208">
        <v>0</v>
      </c>
      <c r="CH85" s="208">
        <v>0</v>
      </c>
      <c r="CI85" s="208">
        <v>0</v>
      </c>
      <c r="CJ85" s="208">
        <v>0</v>
      </c>
      <c r="CK85" s="208">
        <v>0</v>
      </c>
      <c r="CL85" s="208">
        <v>0</v>
      </c>
      <c r="CM85" s="208">
        <v>0</v>
      </c>
      <c r="CN85" s="208">
        <v>0</v>
      </c>
      <c r="CO85" s="222">
        <v>0</v>
      </c>
      <c r="CP85" s="227"/>
      <c r="CQ85" s="217" t="s">
        <v>349</v>
      </c>
      <c r="CR85" s="227">
        <v>0</v>
      </c>
      <c r="CS85" s="228">
        <v>0</v>
      </c>
      <c r="CT85" s="208">
        <v>0</v>
      </c>
      <c r="CU85" s="208">
        <v>0</v>
      </c>
      <c r="CV85" s="208">
        <v>0</v>
      </c>
      <c r="CW85" s="208">
        <v>0</v>
      </c>
      <c r="CX85" s="208">
        <v>0</v>
      </c>
      <c r="CY85" s="208">
        <v>0</v>
      </c>
      <c r="CZ85" s="208">
        <v>0</v>
      </c>
      <c r="DA85" s="208">
        <v>0</v>
      </c>
      <c r="DB85" s="208">
        <v>0</v>
      </c>
      <c r="DC85" s="208">
        <v>0</v>
      </c>
      <c r="DD85" s="208">
        <v>0</v>
      </c>
      <c r="DE85" s="208">
        <v>0</v>
      </c>
      <c r="DF85" s="208">
        <v>0</v>
      </c>
      <c r="DG85" s="208">
        <v>0</v>
      </c>
      <c r="DH85" s="208">
        <v>0</v>
      </c>
      <c r="DI85" s="208">
        <v>0</v>
      </c>
      <c r="DJ85" s="208">
        <v>0</v>
      </c>
      <c r="DK85" s="208">
        <v>0</v>
      </c>
      <c r="DL85" s="222">
        <v>0</v>
      </c>
      <c r="DM85" s="214"/>
      <c r="DN85" s="214"/>
      <c r="DO85" s="227"/>
      <c r="DP85" s="217" t="s">
        <v>349</v>
      </c>
      <c r="DQ85" s="227">
        <v>0</v>
      </c>
      <c r="DR85" s="228">
        <v>0</v>
      </c>
      <c r="DS85" s="208">
        <v>0</v>
      </c>
      <c r="DT85" s="208">
        <v>0</v>
      </c>
      <c r="DU85" s="208">
        <v>0</v>
      </c>
      <c r="DV85" s="208">
        <v>0</v>
      </c>
      <c r="DW85" s="208">
        <v>0</v>
      </c>
      <c r="DX85" s="208">
        <v>0</v>
      </c>
      <c r="DY85" s="208">
        <v>0</v>
      </c>
      <c r="DZ85" s="208">
        <v>0</v>
      </c>
      <c r="EA85" s="208">
        <v>0</v>
      </c>
      <c r="EB85" s="208">
        <v>0</v>
      </c>
      <c r="EC85" s="208">
        <v>0</v>
      </c>
      <c r="ED85" s="208">
        <v>0</v>
      </c>
      <c r="EE85" s="208">
        <v>0</v>
      </c>
      <c r="EF85" s="208">
        <v>0</v>
      </c>
      <c r="EG85" s="208">
        <v>0</v>
      </c>
      <c r="EH85" s="208">
        <v>0</v>
      </c>
      <c r="EI85" s="208">
        <v>0</v>
      </c>
      <c r="EJ85" s="208">
        <v>0</v>
      </c>
      <c r="EK85" s="222">
        <v>0</v>
      </c>
      <c r="EL85" s="228"/>
      <c r="EM85" s="217" t="s">
        <v>349</v>
      </c>
      <c r="EN85" s="227">
        <v>0</v>
      </c>
      <c r="EO85" s="228">
        <v>0</v>
      </c>
      <c r="EP85" s="208">
        <v>0</v>
      </c>
      <c r="EQ85" s="208">
        <v>0</v>
      </c>
      <c r="ER85" s="208">
        <v>0</v>
      </c>
      <c r="ES85" s="208">
        <v>0</v>
      </c>
      <c r="ET85" s="208">
        <v>0</v>
      </c>
      <c r="EU85" s="208">
        <v>0</v>
      </c>
      <c r="EV85" s="208">
        <v>0</v>
      </c>
      <c r="EW85" s="208">
        <v>0</v>
      </c>
      <c r="EX85" s="208">
        <v>0</v>
      </c>
      <c r="EY85" s="208">
        <v>0</v>
      </c>
      <c r="EZ85" s="208">
        <v>0</v>
      </c>
      <c r="FA85" s="208">
        <v>0</v>
      </c>
      <c r="FB85" s="208">
        <v>0</v>
      </c>
      <c r="FC85" s="208">
        <v>0</v>
      </c>
      <c r="FD85" s="208">
        <v>0</v>
      </c>
      <c r="FE85" s="208">
        <v>0</v>
      </c>
      <c r="FF85" s="208">
        <v>0</v>
      </c>
      <c r="FG85" s="208">
        <v>0</v>
      </c>
      <c r="FH85" s="222">
        <v>0</v>
      </c>
    </row>
    <row r="86" spans="2:164" x14ac:dyDescent="0.2">
      <c r="B86" s="217" t="s">
        <v>337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16</v>
      </c>
      <c r="L86" s="208">
        <v>1</v>
      </c>
      <c r="M86" s="208">
        <v>0</v>
      </c>
      <c r="N86" s="208">
        <v>0</v>
      </c>
      <c r="O86" s="208">
        <v>0</v>
      </c>
      <c r="P86" s="208">
        <v>0</v>
      </c>
      <c r="Q86" s="208">
        <v>1</v>
      </c>
      <c r="R86" s="208">
        <v>0</v>
      </c>
      <c r="S86" s="208">
        <v>0</v>
      </c>
      <c r="T86" s="208">
        <v>0</v>
      </c>
      <c r="U86" s="208">
        <v>0</v>
      </c>
      <c r="V86" s="208">
        <v>0</v>
      </c>
      <c r="W86" s="222">
        <v>18</v>
      </c>
      <c r="X86" s="208"/>
      <c r="Y86" s="217" t="s">
        <v>337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1866.8302665433182</v>
      </c>
      <c r="AI86" s="208">
        <v>5606.8654867881942</v>
      </c>
      <c r="AJ86" s="208">
        <v>0</v>
      </c>
      <c r="AK86" s="255">
        <v>0</v>
      </c>
      <c r="AL86" s="255">
        <v>0</v>
      </c>
      <c r="AM86" s="255">
        <v>0</v>
      </c>
      <c r="AN86" s="255">
        <v>129.33276099947329</v>
      </c>
      <c r="AO86" s="255">
        <v>0</v>
      </c>
      <c r="AP86" s="255">
        <v>0</v>
      </c>
      <c r="AQ86" s="208">
        <v>0</v>
      </c>
      <c r="AR86" s="208">
        <v>0</v>
      </c>
      <c r="AS86" s="208">
        <v>0</v>
      </c>
      <c r="AT86" s="222">
        <v>7603.0285143309857</v>
      </c>
      <c r="AV86" s="217" t="s">
        <v>337</v>
      </c>
      <c r="AW86" s="227">
        <v>0</v>
      </c>
      <c r="AX86" s="228">
        <v>0</v>
      </c>
      <c r="AY86" s="208">
        <v>0</v>
      </c>
      <c r="AZ86" s="208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1866.8302665433182</v>
      </c>
      <c r="BF86" s="208">
        <v>5606.8654867881942</v>
      </c>
      <c r="BG86" s="208">
        <v>0</v>
      </c>
      <c r="BH86" s="255">
        <v>0</v>
      </c>
      <c r="BI86" s="255">
        <v>0</v>
      </c>
      <c r="BJ86" s="255">
        <v>0</v>
      </c>
      <c r="BK86" s="258">
        <v>0</v>
      </c>
      <c r="BL86" s="255">
        <v>0</v>
      </c>
      <c r="BM86" s="255">
        <v>0</v>
      </c>
      <c r="BN86" s="208">
        <v>0</v>
      </c>
      <c r="BO86" s="208">
        <v>0</v>
      </c>
      <c r="BP86" s="208">
        <v>0</v>
      </c>
      <c r="BQ86" s="230">
        <f t="shared" si="42"/>
        <v>7473.6957533315126</v>
      </c>
      <c r="BR86" s="214"/>
      <c r="BS86" s="227"/>
      <c r="BT86" s="217" t="s">
        <v>337</v>
      </c>
      <c r="BU86" s="227">
        <v>0</v>
      </c>
      <c r="BV86" s="228">
        <v>0</v>
      </c>
      <c r="BW86" s="208">
        <v>0</v>
      </c>
      <c r="BX86" s="208">
        <v>0</v>
      </c>
      <c r="BY86" s="208">
        <v>0</v>
      </c>
      <c r="BZ86" s="208">
        <v>0</v>
      </c>
      <c r="CA86" s="208">
        <v>0</v>
      </c>
      <c r="CB86" s="208">
        <v>0</v>
      </c>
      <c r="CC86" s="208">
        <v>0</v>
      </c>
      <c r="CD86" s="208">
        <v>0</v>
      </c>
      <c r="CE86" s="208">
        <v>0</v>
      </c>
      <c r="CF86" s="208">
        <v>0</v>
      </c>
      <c r="CG86" s="208">
        <v>0</v>
      </c>
      <c r="CH86" s="208">
        <v>0</v>
      </c>
      <c r="CI86" s="208">
        <v>0</v>
      </c>
      <c r="CJ86" s="208">
        <v>0</v>
      </c>
      <c r="CK86" s="208">
        <v>0</v>
      </c>
      <c r="CL86" s="208">
        <v>0</v>
      </c>
      <c r="CM86" s="208">
        <v>0</v>
      </c>
      <c r="CN86" s="208">
        <v>0</v>
      </c>
      <c r="CO86" s="222">
        <v>0</v>
      </c>
      <c r="CP86" s="227"/>
      <c r="CQ86" s="217" t="s">
        <v>337</v>
      </c>
      <c r="CR86" s="227">
        <v>0</v>
      </c>
      <c r="CS86" s="228">
        <v>0</v>
      </c>
      <c r="CT86" s="208">
        <v>0</v>
      </c>
      <c r="CU86" s="208">
        <v>0</v>
      </c>
      <c r="CV86" s="208">
        <v>0</v>
      </c>
      <c r="CW86" s="208">
        <v>0</v>
      </c>
      <c r="CX86" s="208">
        <v>0</v>
      </c>
      <c r="CY86" s="208">
        <v>0</v>
      </c>
      <c r="CZ86" s="208">
        <v>0</v>
      </c>
      <c r="DA86" s="208">
        <v>0</v>
      </c>
      <c r="DB86" s="208">
        <v>0</v>
      </c>
      <c r="DC86" s="208">
        <v>0</v>
      </c>
      <c r="DD86" s="208">
        <v>0</v>
      </c>
      <c r="DE86" s="208">
        <v>0</v>
      </c>
      <c r="DF86" s="208">
        <v>0</v>
      </c>
      <c r="DG86" s="208">
        <v>0</v>
      </c>
      <c r="DH86" s="208">
        <v>0</v>
      </c>
      <c r="DI86" s="208">
        <v>0</v>
      </c>
      <c r="DJ86" s="208">
        <v>0</v>
      </c>
      <c r="DK86" s="208">
        <v>0</v>
      </c>
      <c r="DL86" s="222">
        <v>0</v>
      </c>
      <c r="DM86" s="214"/>
      <c r="DN86" s="214"/>
      <c r="DO86" s="227"/>
      <c r="DP86" s="217" t="s">
        <v>337</v>
      </c>
      <c r="DQ86" s="227">
        <v>0</v>
      </c>
      <c r="DR86" s="228">
        <v>0</v>
      </c>
      <c r="DS86" s="208">
        <v>0</v>
      </c>
      <c r="DT86" s="208">
        <v>0</v>
      </c>
      <c r="DU86" s="208">
        <v>0</v>
      </c>
      <c r="DV86" s="208">
        <v>0</v>
      </c>
      <c r="DW86" s="208">
        <v>0</v>
      </c>
      <c r="DX86" s="208">
        <v>0</v>
      </c>
      <c r="DY86" s="208">
        <v>1</v>
      </c>
      <c r="DZ86" s="208">
        <v>0</v>
      </c>
      <c r="EA86" s="208">
        <v>0</v>
      </c>
      <c r="EB86" s="208">
        <v>0</v>
      </c>
      <c r="EC86" s="208">
        <v>0</v>
      </c>
      <c r="ED86" s="208">
        <v>0</v>
      </c>
      <c r="EE86" s="208">
        <v>0</v>
      </c>
      <c r="EF86" s="208">
        <v>0</v>
      </c>
      <c r="EG86" s="208">
        <v>0</v>
      </c>
      <c r="EH86" s="208">
        <v>0</v>
      </c>
      <c r="EI86" s="208">
        <v>0</v>
      </c>
      <c r="EJ86" s="208">
        <v>0</v>
      </c>
      <c r="EK86" s="222">
        <v>1</v>
      </c>
      <c r="EL86" s="228"/>
      <c r="EM86" s="217" t="s">
        <v>337</v>
      </c>
      <c r="EN86" s="227">
        <v>0</v>
      </c>
      <c r="EO86" s="228">
        <v>0</v>
      </c>
      <c r="EP86" s="208">
        <v>0</v>
      </c>
      <c r="EQ86" s="208">
        <v>0</v>
      </c>
      <c r="ER86" s="208">
        <v>0</v>
      </c>
      <c r="ES86" s="208">
        <v>0</v>
      </c>
      <c r="ET86" s="208">
        <v>0</v>
      </c>
      <c r="EU86" s="208">
        <v>0</v>
      </c>
      <c r="EV86" s="208">
        <v>86.414173705851653</v>
      </c>
      <c r="EW86" s="208">
        <v>0</v>
      </c>
      <c r="EX86" s="208">
        <v>0</v>
      </c>
      <c r="EY86" s="208">
        <v>0</v>
      </c>
      <c r="EZ86" s="208">
        <v>0</v>
      </c>
      <c r="FA86" s="208">
        <v>0</v>
      </c>
      <c r="FB86" s="208">
        <v>0</v>
      </c>
      <c r="FC86" s="208">
        <v>0</v>
      </c>
      <c r="FD86" s="208">
        <v>0</v>
      </c>
      <c r="FE86" s="208">
        <v>0</v>
      </c>
      <c r="FF86" s="208">
        <v>0</v>
      </c>
      <c r="FG86" s="208">
        <v>0</v>
      </c>
      <c r="FH86" s="222">
        <v>86.414173705851653</v>
      </c>
    </row>
    <row r="87" spans="2:164" x14ac:dyDescent="0.2">
      <c r="B87" s="217" t="s">
        <v>338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66</v>
      </c>
      <c r="M87" s="208">
        <v>0</v>
      </c>
      <c r="N87" s="208">
        <v>0</v>
      </c>
      <c r="O87" s="208">
        <v>0</v>
      </c>
      <c r="P87" s="208">
        <v>0</v>
      </c>
      <c r="Q87" s="208">
        <v>0</v>
      </c>
      <c r="R87" s="208">
        <v>1</v>
      </c>
      <c r="S87" s="208">
        <v>0</v>
      </c>
      <c r="T87" s="208">
        <v>0</v>
      </c>
      <c r="U87" s="208">
        <v>0</v>
      </c>
      <c r="V87" s="208">
        <v>0</v>
      </c>
      <c r="W87" s="222">
        <v>67</v>
      </c>
      <c r="X87" s="208"/>
      <c r="Y87" s="217" t="s">
        <v>338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21093.424651054578</v>
      </c>
      <c r="AJ87" s="208">
        <v>0</v>
      </c>
      <c r="AK87" s="255">
        <v>0</v>
      </c>
      <c r="AL87" s="255">
        <v>0</v>
      </c>
      <c r="AM87" s="255">
        <v>0</v>
      </c>
      <c r="AN87" s="255">
        <v>0</v>
      </c>
      <c r="AO87" s="255">
        <v>406.27992420916172</v>
      </c>
      <c r="AP87" s="255">
        <v>0</v>
      </c>
      <c r="AQ87" s="208">
        <v>0</v>
      </c>
      <c r="AR87" s="208">
        <v>0</v>
      </c>
      <c r="AS87" s="208">
        <v>0</v>
      </c>
      <c r="AT87" s="222">
        <v>21499.704575263739</v>
      </c>
      <c r="AV87" s="217" t="s">
        <v>338</v>
      </c>
      <c r="AW87" s="227">
        <v>0</v>
      </c>
      <c r="AX87" s="228">
        <v>0</v>
      </c>
      <c r="AY87" s="208">
        <v>0</v>
      </c>
      <c r="AZ87" s="208">
        <v>0</v>
      </c>
      <c r="BA87" s="208">
        <v>0</v>
      </c>
      <c r="BB87" s="208">
        <v>0</v>
      </c>
      <c r="BC87" s="208">
        <v>0</v>
      </c>
      <c r="BD87" s="208">
        <v>0</v>
      </c>
      <c r="BE87" s="208">
        <v>0</v>
      </c>
      <c r="BF87" s="208">
        <v>21093.424651054578</v>
      </c>
      <c r="BG87" s="208">
        <v>0</v>
      </c>
      <c r="BH87" s="255">
        <v>0</v>
      </c>
      <c r="BI87" s="255">
        <v>0</v>
      </c>
      <c r="BJ87" s="255">
        <v>0</v>
      </c>
      <c r="BK87" s="255">
        <v>0</v>
      </c>
      <c r="BL87" s="258">
        <v>0</v>
      </c>
      <c r="BM87" s="255">
        <v>0</v>
      </c>
      <c r="BN87" s="208">
        <v>0</v>
      </c>
      <c r="BO87" s="208">
        <v>0</v>
      </c>
      <c r="BP87" s="208">
        <v>0</v>
      </c>
      <c r="BQ87" s="230">
        <f t="shared" si="42"/>
        <v>21093.424651054578</v>
      </c>
      <c r="BR87" s="214"/>
      <c r="BS87" s="227"/>
      <c r="BT87" s="217" t="s">
        <v>338</v>
      </c>
      <c r="BU87" s="227">
        <v>0</v>
      </c>
      <c r="BV87" s="228">
        <v>0</v>
      </c>
      <c r="BW87" s="208">
        <v>0</v>
      </c>
      <c r="BX87" s="208">
        <v>0</v>
      </c>
      <c r="BY87" s="208">
        <v>0</v>
      </c>
      <c r="BZ87" s="208">
        <v>0</v>
      </c>
      <c r="CA87" s="208">
        <v>0</v>
      </c>
      <c r="CB87" s="208">
        <v>0</v>
      </c>
      <c r="CC87" s="208">
        <v>0</v>
      </c>
      <c r="CD87" s="208">
        <v>0</v>
      </c>
      <c r="CE87" s="208">
        <v>0</v>
      </c>
      <c r="CF87" s="208">
        <v>0</v>
      </c>
      <c r="CG87" s="208">
        <v>0</v>
      </c>
      <c r="CH87" s="208">
        <v>0</v>
      </c>
      <c r="CI87" s="208">
        <v>0</v>
      </c>
      <c r="CJ87" s="208">
        <v>0</v>
      </c>
      <c r="CK87" s="208">
        <v>0</v>
      </c>
      <c r="CL87" s="208">
        <v>0</v>
      </c>
      <c r="CM87" s="208">
        <v>0</v>
      </c>
      <c r="CN87" s="208">
        <v>0</v>
      </c>
      <c r="CO87" s="222">
        <v>0</v>
      </c>
      <c r="CP87" s="227"/>
      <c r="CQ87" s="217" t="s">
        <v>338</v>
      </c>
      <c r="CR87" s="227">
        <v>0</v>
      </c>
      <c r="CS87" s="228">
        <v>0</v>
      </c>
      <c r="CT87" s="208">
        <v>0</v>
      </c>
      <c r="CU87" s="208">
        <v>0</v>
      </c>
      <c r="CV87" s="208">
        <v>0</v>
      </c>
      <c r="CW87" s="208">
        <v>0</v>
      </c>
      <c r="CX87" s="208">
        <v>0</v>
      </c>
      <c r="CY87" s="208">
        <v>0</v>
      </c>
      <c r="CZ87" s="208">
        <v>0</v>
      </c>
      <c r="DA87" s="208">
        <v>0</v>
      </c>
      <c r="DB87" s="208">
        <v>0</v>
      </c>
      <c r="DC87" s="208">
        <v>0</v>
      </c>
      <c r="DD87" s="208">
        <v>0</v>
      </c>
      <c r="DE87" s="208">
        <v>0</v>
      </c>
      <c r="DF87" s="208">
        <v>0</v>
      </c>
      <c r="DG87" s="208">
        <v>0</v>
      </c>
      <c r="DH87" s="208">
        <v>0</v>
      </c>
      <c r="DI87" s="208">
        <v>0</v>
      </c>
      <c r="DJ87" s="208">
        <v>0</v>
      </c>
      <c r="DK87" s="208">
        <v>0</v>
      </c>
      <c r="DL87" s="222">
        <v>0</v>
      </c>
      <c r="DM87" s="214"/>
      <c r="DN87" s="214"/>
      <c r="DO87" s="227"/>
      <c r="DP87" s="217" t="s">
        <v>338</v>
      </c>
      <c r="DQ87" s="227">
        <v>0</v>
      </c>
      <c r="DR87" s="228">
        <v>0</v>
      </c>
      <c r="DS87" s="208">
        <v>0</v>
      </c>
      <c r="DT87" s="208">
        <v>0</v>
      </c>
      <c r="DU87" s="208">
        <v>0</v>
      </c>
      <c r="DV87" s="208">
        <v>0</v>
      </c>
      <c r="DW87" s="208">
        <v>0</v>
      </c>
      <c r="DX87" s="208">
        <v>0</v>
      </c>
      <c r="DY87" s="208">
        <v>0</v>
      </c>
      <c r="DZ87" s="208">
        <v>0</v>
      </c>
      <c r="EA87" s="208">
        <v>0</v>
      </c>
      <c r="EB87" s="208">
        <v>0</v>
      </c>
      <c r="EC87" s="208">
        <v>0</v>
      </c>
      <c r="ED87" s="208">
        <v>0</v>
      </c>
      <c r="EE87" s="208">
        <v>0</v>
      </c>
      <c r="EF87" s="208">
        <v>0</v>
      </c>
      <c r="EG87" s="208">
        <v>0</v>
      </c>
      <c r="EH87" s="208">
        <v>0</v>
      </c>
      <c r="EI87" s="208">
        <v>0</v>
      </c>
      <c r="EJ87" s="208">
        <v>0</v>
      </c>
      <c r="EK87" s="222">
        <v>0</v>
      </c>
      <c r="EL87" s="228"/>
      <c r="EM87" s="217" t="s">
        <v>338</v>
      </c>
      <c r="EN87" s="227">
        <v>0</v>
      </c>
      <c r="EO87" s="228">
        <v>0</v>
      </c>
      <c r="EP87" s="208">
        <v>0</v>
      </c>
      <c r="EQ87" s="208">
        <v>0</v>
      </c>
      <c r="ER87" s="208">
        <v>0</v>
      </c>
      <c r="ES87" s="208">
        <v>0</v>
      </c>
      <c r="ET87" s="208">
        <v>0</v>
      </c>
      <c r="EU87" s="208">
        <v>0</v>
      </c>
      <c r="EV87" s="208">
        <v>0</v>
      </c>
      <c r="EW87" s="208">
        <v>0</v>
      </c>
      <c r="EX87" s="208">
        <v>0</v>
      </c>
      <c r="EY87" s="208">
        <v>0</v>
      </c>
      <c r="EZ87" s="208">
        <v>0</v>
      </c>
      <c r="FA87" s="208">
        <v>0</v>
      </c>
      <c r="FB87" s="208">
        <v>0</v>
      </c>
      <c r="FC87" s="208">
        <v>0</v>
      </c>
      <c r="FD87" s="208">
        <v>0</v>
      </c>
      <c r="FE87" s="208">
        <v>0</v>
      </c>
      <c r="FF87" s="208">
        <v>0</v>
      </c>
      <c r="FG87" s="208">
        <v>0</v>
      </c>
      <c r="FH87" s="222">
        <v>0</v>
      </c>
    </row>
    <row r="88" spans="2:164" x14ac:dyDescent="0.2">
      <c r="B88" s="217" t="s">
        <v>339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11</v>
      </c>
      <c r="N88" s="208">
        <v>0</v>
      </c>
      <c r="O88" s="208">
        <v>0</v>
      </c>
      <c r="P88" s="208">
        <v>0</v>
      </c>
      <c r="Q88" s="208">
        <v>0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11</v>
      </c>
      <c r="X88" s="208"/>
      <c r="Y88" s="217" t="s">
        <v>339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1601.7669440944405</v>
      </c>
      <c r="AK88" s="255">
        <v>0</v>
      </c>
      <c r="AL88" s="255">
        <v>0</v>
      </c>
      <c r="AM88" s="255">
        <v>0</v>
      </c>
      <c r="AN88" s="255">
        <v>0</v>
      </c>
      <c r="AO88" s="255">
        <v>0</v>
      </c>
      <c r="AP88" s="255">
        <v>0</v>
      </c>
      <c r="AQ88" s="208">
        <v>0</v>
      </c>
      <c r="AR88" s="208">
        <v>0</v>
      </c>
      <c r="AS88" s="208">
        <v>0</v>
      </c>
      <c r="AT88" s="222">
        <v>1601.7669440944405</v>
      </c>
      <c r="AV88" s="217" t="s">
        <v>339</v>
      </c>
      <c r="AW88" s="227">
        <v>0</v>
      </c>
      <c r="AX88" s="228">
        <v>0</v>
      </c>
      <c r="AY88" s="208">
        <v>0</v>
      </c>
      <c r="AZ88" s="208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1601.7669440944405</v>
      </c>
      <c r="BH88" s="255">
        <v>0</v>
      </c>
      <c r="BI88" s="255">
        <v>0</v>
      </c>
      <c r="BJ88" s="255">
        <v>0</v>
      </c>
      <c r="BK88" s="255">
        <v>0</v>
      </c>
      <c r="BL88" s="255">
        <v>0</v>
      </c>
      <c r="BM88" s="255">
        <v>0</v>
      </c>
      <c r="BN88" s="208">
        <v>0</v>
      </c>
      <c r="BO88" s="208">
        <v>0</v>
      </c>
      <c r="BP88" s="208">
        <v>0</v>
      </c>
      <c r="BQ88" s="230">
        <f t="shared" si="42"/>
        <v>1601.7669440944405</v>
      </c>
      <c r="BR88" s="214"/>
      <c r="BS88" s="227"/>
      <c r="BT88" s="217" t="s">
        <v>339</v>
      </c>
      <c r="BU88" s="227">
        <v>0</v>
      </c>
      <c r="BV88" s="228">
        <v>0</v>
      </c>
      <c r="BW88" s="208">
        <v>0</v>
      </c>
      <c r="BX88" s="208">
        <v>0</v>
      </c>
      <c r="BY88" s="208">
        <v>0</v>
      </c>
      <c r="BZ88" s="208">
        <v>0</v>
      </c>
      <c r="CA88" s="208">
        <v>0</v>
      </c>
      <c r="CB88" s="208">
        <v>0</v>
      </c>
      <c r="CC88" s="208">
        <v>0</v>
      </c>
      <c r="CD88" s="208">
        <v>0</v>
      </c>
      <c r="CE88" s="208">
        <v>0</v>
      </c>
      <c r="CF88" s="208">
        <v>0</v>
      </c>
      <c r="CG88" s="208">
        <v>0</v>
      </c>
      <c r="CH88" s="208">
        <v>0</v>
      </c>
      <c r="CI88" s="208">
        <v>0</v>
      </c>
      <c r="CJ88" s="208">
        <v>0</v>
      </c>
      <c r="CK88" s="208">
        <v>0</v>
      </c>
      <c r="CL88" s="208">
        <v>0</v>
      </c>
      <c r="CM88" s="208">
        <v>0</v>
      </c>
      <c r="CN88" s="208">
        <v>0</v>
      </c>
      <c r="CO88" s="222">
        <v>0</v>
      </c>
      <c r="CP88" s="227"/>
      <c r="CQ88" s="217" t="s">
        <v>339</v>
      </c>
      <c r="CR88" s="227">
        <v>0</v>
      </c>
      <c r="CS88" s="228">
        <v>0</v>
      </c>
      <c r="CT88" s="208">
        <v>0</v>
      </c>
      <c r="CU88" s="208">
        <v>0</v>
      </c>
      <c r="CV88" s="208">
        <v>0</v>
      </c>
      <c r="CW88" s="208">
        <v>0</v>
      </c>
      <c r="CX88" s="208">
        <v>0</v>
      </c>
      <c r="CY88" s="208">
        <v>0</v>
      </c>
      <c r="CZ88" s="208">
        <v>0</v>
      </c>
      <c r="DA88" s="208">
        <v>0</v>
      </c>
      <c r="DB88" s="208">
        <v>0</v>
      </c>
      <c r="DC88" s="208">
        <v>0</v>
      </c>
      <c r="DD88" s="208">
        <v>0</v>
      </c>
      <c r="DE88" s="208">
        <v>0</v>
      </c>
      <c r="DF88" s="208">
        <v>0</v>
      </c>
      <c r="DG88" s="208">
        <v>0</v>
      </c>
      <c r="DH88" s="208">
        <v>0</v>
      </c>
      <c r="DI88" s="208">
        <v>0</v>
      </c>
      <c r="DJ88" s="208">
        <v>0</v>
      </c>
      <c r="DK88" s="208">
        <v>0</v>
      </c>
      <c r="DL88" s="222">
        <v>0</v>
      </c>
      <c r="DM88" s="214"/>
      <c r="DN88" s="214"/>
      <c r="DO88" s="227"/>
      <c r="DP88" s="217" t="s">
        <v>339</v>
      </c>
      <c r="DQ88" s="227">
        <v>0</v>
      </c>
      <c r="DR88" s="228">
        <v>0</v>
      </c>
      <c r="DS88" s="208">
        <v>0</v>
      </c>
      <c r="DT88" s="208">
        <v>0</v>
      </c>
      <c r="DU88" s="208">
        <v>0</v>
      </c>
      <c r="DV88" s="208">
        <v>0</v>
      </c>
      <c r="DW88" s="208">
        <v>0</v>
      </c>
      <c r="DX88" s="208">
        <v>0</v>
      </c>
      <c r="DY88" s="208">
        <v>0</v>
      </c>
      <c r="DZ88" s="208">
        <v>0</v>
      </c>
      <c r="EA88" s="208">
        <v>1</v>
      </c>
      <c r="EB88" s="208">
        <v>0</v>
      </c>
      <c r="EC88" s="208">
        <v>0</v>
      </c>
      <c r="ED88" s="208">
        <v>0</v>
      </c>
      <c r="EE88" s="208">
        <v>0</v>
      </c>
      <c r="EF88" s="208">
        <v>0</v>
      </c>
      <c r="EG88" s="208">
        <v>0</v>
      </c>
      <c r="EH88" s="208">
        <v>0</v>
      </c>
      <c r="EI88" s="208">
        <v>0</v>
      </c>
      <c r="EJ88" s="208">
        <v>0</v>
      </c>
      <c r="EK88" s="222">
        <v>1</v>
      </c>
      <c r="EL88" s="228"/>
      <c r="EM88" s="217" t="s">
        <v>339</v>
      </c>
      <c r="EN88" s="227">
        <v>0</v>
      </c>
      <c r="EO88" s="228">
        <v>0</v>
      </c>
      <c r="EP88" s="208">
        <v>0</v>
      </c>
      <c r="EQ88" s="208">
        <v>0</v>
      </c>
      <c r="ER88" s="208">
        <v>0</v>
      </c>
      <c r="ES88" s="208">
        <v>0</v>
      </c>
      <c r="ET88" s="208">
        <v>0</v>
      </c>
      <c r="EU88" s="208">
        <v>0</v>
      </c>
      <c r="EV88" s="208">
        <v>0</v>
      </c>
      <c r="EW88" s="208">
        <v>0</v>
      </c>
      <c r="EX88" s="208">
        <v>1162.2641487420522</v>
      </c>
      <c r="EY88" s="208">
        <v>0</v>
      </c>
      <c r="EZ88" s="208">
        <v>0</v>
      </c>
      <c r="FA88" s="208">
        <v>0</v>
      </c>
      <c r="FB88" s="208">
        <v>0</v>
      </c>
      <c r="FC88" s="208">
        <v>0</v>
      </c>
      <c r="FD88" s="208">
        <v>0</v>
      </c>
      <c r="FE88" s="208">
        <v>0</v>
      </c>
      <c r="FF88" s="208">
        <v>0</v>
      </c>
      <c r="FG88" s="208">
        <v>0</v>
      </c>
      <c r="FH88" s="222">
        <v>1162.2641487420522</v>
      </c>
    </row>
    <row r="89" spans="2:164" x14ac:dyDescent="0.2">
      <c r="B89" s="217" t="s">
        <v>340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0</v>
      </c>
      <c r="J89" s="208">
        <v>0</v>
      </c>
      <c r="K89" s="208">
        <v>0</v>
      </c>
      <c r="L89" s="208">
        <v>0</v>
      </c>
      <c r="M89" s="208">
        <v>0</v>
      </c>
      <c r="N89" s="208">
        <v>3</v>
      </c>
      <c r="O89" s="208">
        <v>0</v>
      </c>
      <c r="P89" s="208">
        <v>0</v>
      </c>
      <c r="Q89" s="208">
        <v>1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4</v>
      </c>
      <c r="X89" s="208"/>
      <c r="Y89" s="217" t="s">
        <v>340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55">
        <v>0</v>
      </c>
      <c r="AF89" s="255">
        <v>0</v>
      </c>
      <c r="AG89" s="255">
        <v>0</v>
      </c>
      <c r="AH89" s="255">
        <v>0</v>
      </c>
      <c r="AI89" s="255">
        <v>0</v>
      </c>
      <c r="AJ89" s="255">
        <v>0</v>
      </c>
      <c r="AK89" s="208">
        <v>983.2128888293413</v>
      </c>
      <c r="AL89" s="208">
        <v>0</v>
      </c>
      <c r="AM89" s="208">
        <v>0</v>
      </c>
      <c r="AN89" s="208">
        <v>129.33276099947329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1112.5456498288145</v>
      </c>
      <c r="AV89" s="217" t="s">
        <v>340</v>
      </c>
      <c r="AW89" s="227">
        <v>0</v>
      </c>
      <c r="AX89" s="228">
        <v>0</v>
      </c>
      <c r="AY89" s="208">
        <v>0</v>
      </c>
      <c r="AZ89" s="208">
        <v>0</v>
      </c>
      <c r="BA89" s="208">
        <v>0</v>
      </c>
      <c r="BB89" s="255">
        <v>0</v>
      </c>
      <c r="BC89" s="255">
        <v>0</v>
      </c>
      <c r="BD89" s="255">
        <v>0</v>
      </c>
      <c r="BE89" s="255">
        <v>0</v>
      </c>
      <c r="BF89" s="255">
        <v>0</v>
      </c>
      <c r="BG89" s="255">
        <v>0</v>
      </c>
      <c r="BH89" s="208">
        <v>983.2128888293413</v>
      </c>
      <c r="BI89" s="208">
        <v>0</v>
      </c>
      <c r="BJ89" s="208">
        <v>0</v>
      </c>
      <c r="BK89" s="208">
        <v>129.33276099947329</v>
      </c>
      <c r="BL89" s="208">
        <v>0</v>
      </c>
      <c r="BM89" s="208">
        <v>0</v>
      </c>
      <c r="BN89" s="208">
        <v>0</v>
      </c>
      <c r="BO89" s="208">
        <v>0</v>
      </c>
      <c r="BP89" s="208">
        <v>0</v>
      </c>
      <c r="BQ89" s="230">
        <f t="shared" si="42"/>
        <v>1112.5456498288145</v>
      </c>
      <c r="BR89" s="214"/>
      <c r="BS89" s="227"/>
      <c r="BT89" s="217" t="s">
        <v>340</v>
      </c>
      <c r="BU89" s="227">
        <v>0</v>
      </c>
      <c r="BV89" s="228">
        <v>0</v>
      </c>
      <c r="BW89" s="208">
        <v>0</v>
      </c>
      <c r="BX89" s="208">
        <v>0</v>
      </c>
      <c r="BY89" s="208">
        <v>0</v>
      </c>
      <c r="BZ89" s="208">
        <v>0</v>
      </c>
      <c r="CA89" s="208">
        <v>0</v>
      </c>
      <c r="CB89" s="208">
        <v>0</v>
      </c>
      <c r="CC89" s="208">
        <v>0</v>
      </c>
      <c r="CD89" s="208">
        <v>0</v>
      </c>
      <c r="CE89" s="208">
        <v>0</v>
      </c>
      <c r="CF89" s="208">
        <v>0</v>
      </c>
      <c r="CG89" s="208">
        <v>0</v>
      </c>
      <c r="CH89" s="208">
        <v>0</v>
      </c>
      <c r="CI89" s="208">
        <v>0</v>
      </c>
      <c r="CJ89" s="208">
        <v>0</v>
      </c>
      <c r="CK89" s="208">
        <v>0</v>
      </c>
      <c r="CL89" s="208">
        <v>0</v>
      </c>
      <c r="CM89" s="208">
        <v>0</v>
      </c>
      <c r="CN89" s="208">
        <v>0</v>
      </c>
      <c r="CO89" s="222">
        <v>0</v>
      </c>
      <c r="CP89" s="227"/>
      <c r="CQ89" s="217" t="s">
        <v>340</v>
      </c>
      <c r="CR89" s="227">
        <v>0</v>
      </c>
      <c r="CS89" s="228">
        <v>0</v>
      </c>
      <c r="CT89" s="208">
        <v>0</v>
      </c>
      <c r="CU89" s="208">
        <v>0</v>
      </c>
      <c r="CV89" s="208">
        <v>0</v>
      </c>
      <c r="CW89" s="208">
        <v>0</v>
      </c>
      <c r="CX89" s="208">
        <v>0</v>
      </c>
      <c r="CY89" s="208">
        <v>0</v>
      </c>
      <c r="CZ89" s="208">
        <v>0</v>
      </c>
      <c r="DA89" s="208">
        <v>0</v>
      </c>
      <c r="DB89" s="208">
        <v>0</v>
      </c>
      <c r="DC89" s="208">
        <v>0</v>
      </c>
      <c r="DD89" s="208">
        <v>0</v>
      </c>
      <c r="DE89" s="208">
        <v>0</v>
      </c>
      <c r="DF89" s="208">
        <v>0</v>
      </c>
      <c r="DG89" s="208">
        <v>0</v>
      </c>
      <c r="DH89" s="208">
        <v>0</v>
      </c>
      <c r="DI89" s="208">
        <v>0</v>
      </c>
      <c r="DJ89" s="208">
        <v>0</v>
      </c>
      <c r="DK89" s="208">
        <v>0</v>
      </c>
      <c r="DL89" s="222">
        <v>0</v>
      </c>
      <c r="DM89" s="214"/>
      <c r="DN89" s="214"/>
      <c r="DO89" s="227"/>
      <c r="DP89" s="217" t="s">
        <v>340</v>
      </c>
      <c r="DQ89" s="227">
        <v>0</v>
      </c>
      <c r="DR89" s="228">
        <v>0</v>
      </c>
      <c r="DS89" s="208">
        <v>0</v>
      </c>
      <c r="DT89" s="208">
        <v>0</v>
      </c>
      <c r="DU89" s="208">
        <v>0</v>
      </c>
      <c r="DV89" s="208">
        <v>0</v>
      </c>
      <c r="DW89" s="208">
        <v>0</v>
      </c>
      <c r="DX89" s="208">
        <v>0</v>
      </c>
      <c r="DY89" s="208">
        <v>0</v>
      </c>
      <c r="DZ89" s="208">
        <v>0</v>
      </c>
      <c r="EA89" s="208">
        <v>0</v>
      </c>
      <c r="EB89" s="208">
        <v>2</v>
      </c>
      <c r="EC89" s="208">
        <v>0</v>
      </c>
      <c r="ED89" s="208">
        <v>0</v>
      </c>
      <c r="EE89" s="208">
        <v>0</v>
      </c>
      <c r="EF89" s="208">
        <v>0</v>
      </c>
      <c r="EG89" s="208">
        <v>0</v>
      </c>
      <c r="EH89" s="208">
        <v>0</v>
      </c>
      <c r="EI89" s="208">
        <v>0</v>
      </c>
      <c r="EJ89" s="208">
        <v>0</v>
      </c>
      <c r="EK89" s="222">
        <v>2</v>
      </c>
      <c r="EL89" s="228"/>
      <c r="EM89" s="217" t="s">
        <v>340</v>
      </c>
      <c r="EN89" s="227">
        <v>0</v>
      </c>
      <c r="EO89" s="228">
        <v>0</v>
      </c>
      <c r="EP89" s="208">
        <v>0</v>
      </c>
      <c r="EQ89" s="208">
        <v>0</v>
      </c>
      <c r="ER89" s="208">
        <v>0</v>
      </c>
      <c r="ES89" s="208">
        <v>0</v>
      </c>
      <c r="ET89" s="208">
        <v>0</v>
      </c>
      <c r="EU89" s="208">
        <v>0</v>
      </c>
      <c r="EV89" s="208">
        <v>0</v>
      </c>
      <c r="EW89" s="208">
        <v>0</v>
      </c>
      <c r="EX89" s="208">
        <v>0</v>
      </c>
      <c r="EY89" s="208">
        <v>95.202035109624504</v>
      </c>
      <c r="EZ89" s="208">
        <v>0</v>
      </c>
      <c r="FA89" s="208">
        <v>0</v>
      </c>
      <c r="FB89" s="208">
        <v>0</v>
      </c>
      <c r="FC89" s="208">
        <v>0</v>
      </c>
      <c r="FD89" s="208">
        <v>0</v>
      </c>
      <c r="FE89" s="208">
        <v>0</v>
      </c>
      <c r="FF89" s="208">
        <v>0</v>
      </c>
      <c r="FG89" s="208">
        <v>0</v>
      </c>
      <c r="FH89" s="222">
        <v>95.202035109624504</v>
      </c>
    </row>
    <row r="90" spans="2:164" x14ac:dyDescent="0.2">
      <c r="B90" s="217" t="s">
        <v>361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1</v>
      </c>
      <c r="J90" s="208">
        <v>0</v>
      </c>
      <c r="K90" s="208">
        <v>1</v>
      </c>
      <c r="L90" s="208">
        <v>0</v>
      </c>
      <c r="M90" s="208">
        <v>0</v>
      </c>
      <c r="N90" s="208">
        <v>0</v>
      </c>
      <c r="O90" s="208">
        <v>7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9</v>
      </c>
      <c r="X90" s="208"/>
      <c r="Y90" s="217" t="s">
        <v>361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55">
        <v>0</v>
      </c>
      <c r="AF90" s="255">
        <v>862.07119877488469</v>
      </c>
      <c r="AG90" s="255">
        <v>0</v>
      </c>
      <c r="AH90" s="255">
        <v>86.414173705851653</v>
      </c>
      <c r="AI90" s="255">
        <v>0</v>
      </c>
      <c r="AJ90" s="255">
        <v>0</v>
      </c>
      <c r="AK90" s="208">
        <v>0</v>
      </c>
      <c r="AL90" s="208">
        <v>444.68305205157037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1393.1684245323067</v>
      </c>
      <c r="AV90" s="217" t="s">
        <v>361</v>
      </c>
      <c r="AW90" s="227">
        <v>0</v>
      </c>
      <c r="AX90" s="228">
        <v>0</v>
      </c>
      <c r="AY90" s="208">
        <v>0</v>
      </c>
      <c r="AZ90" s="208">
        <v>0</v>
      </c>
      <c r="BA90" s="208">
        <v>0</v>
      </c>
      <c r="BB90" s="255">
        <v>0</v>
      </c>
      <c r="BC90" s="258">
        <v>0</v>
      </c>
      <c r="BD90" s="255">
        <v>0</v>
      </c>
      <c r="BE90" s="258">
        <v>0</v>
      </c>
      <c r="BF90" s="255">
        <v>0</v>
      </c>
      <c r="BG90" s="255">
        <v>0</v>
      </c>
      <c r="BH90" s="208">
        <v>0</v>
      </c>
      <c r="BI90" s="208">
        <v>444.68305205157037</v>
      </c>
      <c r="BJ90" s="208">
        <v>0</v>
      </c>
      <c r="BK90" s="208">
        <v>0</v>
      </c>
      <c r="BL90" s="208">
        <v>0</v>
      </c>
      <c r="BM90" s="208">
        <v>0</v>
      </c>
      <c r="BN90" s="208">
        <v>0</v>
      </c>
      <c r="BO90" s="208">
        <v>0</v>
      </c>
      <c r="BP90" s="208">
        <v>0</v>
      </c>
      <c r="BQ90" s="230">
        <f t="shared" si="42"/>
        <v>444.68305205157037</v>
      </c>
      <c r="BR90" s="214"/>
      <c r="BS90" s="227"/>
      <c r="BT90" s="217" t="s">
        <v>361</v>
      </c>
      <c r="BU90" s="227">
        <v>0</v>
      </c>
      <c r="BV90" s="228">
        <v>0</v>
      </c>
      <c r="BW90" s="208">
        <v>0</v>
      </c>
      <c r="BX90" s="208">
        <v>0</v>
      </c>
      <c r="BY90" s="208">
        <v>0</v>
      </c>
      <c r="BZ90" s="208">
        <v>0</v>
      </c>
      <c r="CA90" s="208">
        <v>0</v>
      </c>
      <c r="CB90" s="208">
        <v>0</v>
      </c>
      <c r="CC90" s="208">
        <v>0</v>
      </c>
      <c r="CD90" s="208">
        <v>0</v>
      </c>
      <c r="CE90" s="208">
        <v>0</v>
      </c>
      <c r="CF90" s="208">
        <v>0</v>
      </c>
      <c r="CG90" s="208">
        <v>0</v>
      </c>
      <c r="CH90" s="208">
        <v>0</v>
      </c>
      <c r="CI90" s="208">
        <v>0</v>
      </c>
      <c r="CJ90" s="208">
        <v>0</v>
      </c>
      <c r="CK90" s="208">
        <v>0</v>
      </c>
      <c r="CL90" s="208">
        <v>0</v>
      </c>
      <c r="CM90" s="208">
        <v>0</v>
      </c>
      <c r="CN90" s="208">
        <v>0</v>
      </c>
      <c r="CO90" s="222">
        <v>0</v>
      </c>
      <c r="CP90" s="227"/>
      <c r="CQ90" s="217" t="s">
        <v>361</v>
      </c>
      <c r="CR90" s="227">
        <v>0</v>
      </c>
      <c r="CS90" s="228">
        <v>0</v>
      </c>
      <c r="CT90" s="208">
        <v>0</v>
      </c>
      <c r="CU90" s="208">
        <v>0</v>
      </c>
      <c r="CV90" s="208">
        <v>0</v>
      </c>
      <c r="CW90" s="208">
        <v>0</v>
      </c>
      <c r="CX90" s="208">
        <v>0</v>
      </c>
      <c r="CY90" s="208">
        <v>0</v>
      </c>
      <c r="CZ90" s="208">
        <v>0</v>
      </c>
      <c r="DA90" s="208">
        <v>0</v>
      </c>
      <c r="DB90" s="208">
        <v>0</v>
      </c>
      <c r="DC90" s="208">
        <v>0</v>
      </c>
      <c r="DD90" s="208">
        <v>0</v>
      </c>
      <c r="DE90" s="208">
        <v>0</v>
      </c>
      <c r="DF90" s="208">
        <v>0</v>
      </c>
      <c r="DG90" s="208">
        <v>0</v>
      </c>
      <c r="DH90" s="208">
        <v>0</v>
      </c>
      <c r="DI90" s="208">
        <v>0</v>
      </c>
      <c r="DJ90" s="208">
        <v>0</v>
      </c>
      <c r="DK90" s="208">
        <v>0</v>
      </c>
      <c r="DL90" s="222">
        <v>0</v>
      </c>
      <c r="DM90" s="214"/>
      <c r="DN90" s="214"/>
      <c r="DO90" s="227"/>
      <c r="DP90" s="217" t="s">
        <v>361</v>
      </c>
      <c r="DQ90" s="227">
        <v>0</v>
      </c>
      <c r="DR90" s="228">
        <v>0</v>
      </c>
      <c r="DS90" s="208">
        <v>0</v>
      </c>
      <c r="DT90" s="208">
        <v>0</v>
      </c>
      <c r="DU90" s="208">
        <v>0</v>
      </c>
      <c r="DV90" s="208">
        <v>0</v>
      </c>
      <c r="DW90" s="208">
        <v>0</v>
      </c>
      <c r="DX90" s="208">
        <v>0</v>
      </c>
      <c r="DY90" s="208">
        <v>1</v>
      </c>
      <c r="DZ90" s="208">
        <v>0</v>
      </c>
      <c r="EA90" s="208">
        <v>0</v>
      </c>
      <c r="EB90" s="208">
        <v>0</v>
      </c>
      <c r="EC90" s="208">
        <v>0</v>
      </c>
      <c r="ED90" s="208">
        <v>0</v>
      </c>
      <c r="EE90" s="208">
        <v>0</v>
      </c>
      <c r="EF90" s="208">
        <v>0</v>
      </c>
      <c r="EG90" s="208">
        <v>0</v>
      </c>
      <c r="EH90" s="208">
        <v>0</v>
      </c>
      <c r="EI90" s="208">
        <v>0</v>
      </c>
      <c r="EJ90" s="208">
        <v>0</v>
      </c>
      <c r="EK90" s="222">
        <v>1</v>
      </c>
      <c r="EL90" s="228"/>
      <c r="EM90" s="217" t="s">
        <v>361</v>
      </c>
      <c r="EN90" s="227">
        <v>0</v>
      </c>
      <c r="EO90" s="228">
        <v>0</v>
      </c>
      <c r="EP90" s="208">
        <v>0</v>
      </c>
      <c r="EQ90" s="208">
        <v>0</v>
      </c>
      <c r="ER90" s="208">
        <v>0</v>
      </c>
      <c r="ES90" s="208">
        <v>0</v>
      </c>
      <c r="ET90" s="208">
        <v>0</v>
      </c>
      <c r="EU90" s="208">
        <v>0</v>
      </c>
      <c r="EV90" s="208">
        <v>86.414173705851653</v>
      </c>
      <c r="EW90" s="208">
        <v>0</v>
      </c>
      <c r="EX90" s="208">
        <v>0</v>
      </c>
      <c r="EY90" s="208">
        <v>0</v>
      </c>
      <c r="EZ90" s="208">
        <v>0</v>
      </c>
      <c r="FA90" s="208">
        <v>0</v>
      </c>
      <c r="FB90" s="208">
        <v>0</v>
      </c>
      <c r="FC90" s="208">
        <v>0</v>
      </c>
      <c r="FD90" s="208">
        <v>0</v>
      </c>
      <c r="FE90" s="208">
        <v>0</v>
      </c>
      <c r="FF90" s="208">
        <v>0</v>
      </c>
      <c r="FG90" s="208">
        <v>0</v>
      </c>
      <c r="FH90" s="222">
        <v>86.414173705851653</v>
      </c>
    </row>
    <row r="91" spans="2:164" x14ac:dyDescent="0.2">
      <c r="B91" s="234" t="s">
        <v>350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0</v>
      </c>
      <c r="M91" s="208">
        <v>0</v>
      </c>
      <c r="N91" s="208">
        <v>0</v>
      </c>
      <c r="O91" s="208">
        <v>0</v>
      </c>
      <c r="P91" s="208">
        <v>2</v>
      </c>
      <c r="Q91" s="208">
        <v>0</v>
      </c>
      <c r="R91" s="208">
        <v>0</v>
      </c>
      <c r="S91" s="208">
        <v>0</v>
      </c>
      <c r="T91" s="208">
        <v>0</v>
      </c>
      <c r="U91" s="208">
        <v>0</v>
      </c>
      <c r="V91" s="208">
        <v>0</v>
      </c>
      <c r="W91" s="222">
        <v>2</v>
      </c>
      <c r="X91" s="208"/>
      <c r="Y91" s="217" t="s">
        <v>350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55">
        <v>0</v>
      </c>
      <c r="AF91" s="255">
        <v>0</v>
      </c>
      <c r="AG91" s="255">
        <v>0</v>
      </c>
      <c r="AH91" s="255">
        <v>0</v>
      </c>
      <c r="AI91" s="255">
        <v>0</v>
      </c>
      <c r="AJ91" s="255">
        <v>0</v>
      </c>
      <c r="AK91" s="208">
        <v>0</v>
      </c>
      <c r="AL91" s="208">
        <v>0</v>
      </c>
      <c r="AM91" s="208">
        <v>60.050036625312295</v>
      </c>
      <c r="AN91" s="208">
        <v>0</v>
      </c>
      <c r="AO91" s="208">
        <v>0</v>
      </c>
      <c r="AP91" s="208">
        <v>0</v>
      </c>
      <c r="AQ91" s="208">
        <v>0</v>
      </c>
      <c r="AR91" s="208">
        <v>0</v>
      </c>
      <c r="AS91" s="208">
        <v>0</v>
      </c>
      <c r="AT91" s="222">
        <v>60.050036625312295</v>
      </c>
      <c r="AV91" s="217" t="s">
        <v>350</v>
      </c>
      <c r="AW91" s="227">
        <v>0</v>
      </c>
      <c r="AX91" s="228">
        <v>0</v>
      </c>
      <c r="AY91" s="208">
        <v>0</v>
      </c>
      <c r="AZ91" s="208">
        <v>0</v>
      </c>
      <c r="BA91" s="208">
        <v>0</v>
      </c>
      <c r="BB91" s="255">
        <v>0</v>
      </c>
      <c r="BC91" s="255">
        <v>0</v>
      </c>
      <c r="BD91" s="255">
        <v>0</v>
      </c>
      <c r="BE91" s="255">
        <v>0</v>
      </c>
      <c r="BF91" s="255">
        <v>0</v>
      </c>
      <c r="BG91" s="255">
        <v>0</v>
      </c>
      <c r="BH91" s="208">
        <v>0</v>
      </c>
      <c r="BI91" s="208">
        <v>0</v>
      </c>
      <c r="BJ91" s="208">
        <v>60.050036625312295</v>
      </c>
      <c r="BK91" s="208">
        <v>0</v>
      </c>
      <c r="BL91" s="208">
        <v>0</v>
      </c>
      <c r="BM91" s="208">
        <v>0</v>
      </c>
      <c r="BN91" s="208">
        <v>0</v>
      </c>
      <c r="BO91" s="208">
        <v>0</v>
      </c>
      <c r="BP91" s="208">
        <v>0</v>
      </c>
      <c r="BQ91" s="230">
        <f t="shared" si="42"/>
        <v>60.050036625312295</v>
      </c>
      <c r="BR91" s="214"/>
      <c r="BS91" s="227"/>
      <c r="BT91" s="234" t="s">
        <v>350</v>
      </c>
      <c r="BU91" s="227">
        <v>0</v>
      </c>
      <c r="BV91" s="228">
        <v>0</v>
      </c>
      <c r="BW91" s="208">
        <v>0</v>
      </c>
      <c r="BX91" s="208">
        <v>0</v>
      </c>
      <c r="BY91" s="208">
        <v>0</v>
      </c>
      <c r="BZ91" s="208">
        <v>0</v>
      </c>
      <c r="CA91" s="208">
        <v>0</v>
      </c>
      <c r="CB91" s="208">
        <v>0</v>
      </c>
      <c r="CC91" s="208">
        <v>0</v>
      </c>
      <c r="CD91" s="208">
        <v>0</v>
      </c>
      <c r="CE91" s="208">
        <v>0</v>
      </c>
      <c r="CF91" s="208">
        <v>0</v>
      </c>
      <c r="CG91" s="208">
        <v>0</v>
      </c>
      <c r="CH91" s="208">
        <v>0</v>
      </c>
      <c r="CI91" s="208">
        <v>0</v>
      </c>
      <c r="CJ91" s="208">
        <v>0</v>
      </c>
      <c r="CK91" s="208">
        <v>0</v>
      </c>
      <c r="CL91" s="208">
        <v>0</v>
      </c>
      <c r="CM91" s="208">
        <v>0</v>
      </c>
      <c r="CN91" s="208">
        <v>0</v>
      </c>
      <c r="CO91" s="222">
        <v>0</v>
      </c>
      <c r="CP91" s="227"/>
      <c r="CQ91" s="234" t="s">
        <v>350</v>
      </c>
      <c r="CR91" s="227">
        <v>0</v>
      </c>
      <c r="CS91" s="228">
        <v>0</v>
      </c>
      <c r="CT91" s="208">
        <v>0</v>
      </c>
      <c r="CU91" s="208">
        <v>0</v>
      </c>
      <c r="CV91" s="208">
        <v>0</v>
      </c>
      <c r="CW91" s="208">
        <v>0</v>
      </c>
      <c r="CX91" s="208">
        <v>0</v>
      </c>
      <c r="CY91" s="208">
        <v>0</v>
      </c>
      <c r="CZ91" s="208">
        <v>0</v>
      </c>
      <c r="DA91" s="208">
        <v>0</v>
      </c>
      <c r="DB91" s="208">
        <v>0</v>
      </c>
      <c r="DC91" s="208">
        <v>0</v>
      </c>
      <c r="DD91" s="208">
        <v>0</v>
      </c>
      <c r="DE91" s="208">
        <v>0</v>
      </c>
      <c r="DF91" s="208">
        <v>0</v>
      </c>
      <c r="DG91" s="208">
        <v>0</v>
      </c>
      <c r="DH91" s="208">
        <v>0</v>
      </c>
      <c r="DI91" s="208">
        <v>0</v>
      </c>
      <c r="DJ91" s="208">
        <v>0</v>
      </c>
      <c r="DK91" s="208">
        <v>0</v>
      </c>
      <c r="DL91" s="222">
        <v>0</v>
      </c>
      <c r="DM91" s="214"/>
      <c r="DN91" s="214"/>
      <c r="DO91" s="227"/>
      <c r="DP91" s="234" t="s">
        <v>350</v>
      </c>
      <c r="DQ91" s="227">
        <v>0</v>
      </c>
      <c r="DR91" s="228">
        <v>0</v>
      </c>
      <c r="DS91" s="208">
        <v>0</v>
      </c>
      <c r="DT91" s="208">
        <v>0</v>
      </c>
      <c r="DU91" s="208">
        <v>0</v>
      </c>
      <c r="DV91" s="208">
        <v>0</v>
      </c>
      <c r="DW91" s="208">
        <v>0</v>
      </c>
      <c r="DX91" s="208">
        <v>0</v>
      </c>
      <c r="DY91" s="208">
        <v>0</v>
      </c>
      <c r="DZ91" s="208">
        <v>0</v>
      </c>
      <c r="EA91" s="208">
        <v>0</v>
      </c>
      <c r="EB91" s="208">
        <v>0</v>
      </c>
      <c r="EC91" s="208">
        <v>0</v>
      </c>
      <c r="ED91" s="208">
        <v>2</v>
      </c>
      <c r="EE91" s="208">
        <v>0</v>
      </c>
      <c r="EF91" s="208">
        <v>0</v>
      </c>
      <c r="EG91" s="208">
        <v>0</v>
      </c>
      <c r="EH91" s="208">
        <v>0</v>
      </c>
      <c r="EI91" s="208">
        <v>0</v>
      </c>
      <c r="EJ91" s="208">
        <v>0</v>
      </c>
      <c r="EK91" s="222">
        <v>2</v>
      </c>
      <c r="EL91" s="228"/>
      <c r="EM91" s="234" t="s">
        <v>350</v>
      </c>
      <c r="EN91" s="227">
        <v>0</v>
      </c>
      <c r="EO91" s="228">
        <v>0</v>
      </c>
      <c r="EP91" s="208">
        <v>0</v>
      </c>
      <c r="EQ91" s="208">
        <v>0</v>
      </c>
      <c r="ER91" s="208">
        <v>0</v>
      </c>
      <c r="ES91" s="208">
        <v>0</v>
      </c>
      <c r="ET91" s="208">
        <v>0</v>
      </c>
      <c r="EU91" s="208">
        <v>0</v>
      </c>
      <c r="EV91" s="208">
        <v>0</v>
      </c>
      <c r="EW91" s="208">
        <v>0</v>
      </c>
      <c r="EX91" s="208">
        <v>0</v>
      </c>
      <c r="EY91" s="208">
        <v>0</v>
      </c>
      <c r="EZ91" s="208">
        <v>0</v>
      </c>
      <c r="FA91" s="208">
        <v>60.050036625312295</v>
      </c>
      <c r="FB91" s="208">
        <v>0</v>
      </c>
      <c r="FC91" s="208">
        <v>0</v>
      </c>
      <c r="FD91" s="208">
        <v>0</v>
      </c>
      <c r="FE91" s="208">
        <v>0</v>
      </c>
      <c r="FF91" s="208">
        <v>0</v>
      </c>
      <c r="FG91" s="208">
        <v>0</v>
      </c>
      <c r="FH91" s="222">
        <v>60.050036625312295</v>
      </c>
    </row>
    <row r="92" spans="2:164" x14ac:dyDescent="0.2">
      <c r="B92" s="217" t="s">
        <v>341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0</v>
      </c>
      <c r="T92" s="208">
        <v>0</v>
      </c>
      <c r="U92" s="208">
        <v>0</v>
      </c>
      <c r="V92" s="208">
        <v>0</v>
      </c>
      <c r="W92" s="222">
        <v>0</v>
      </c>
      <c r="X92" s="208"/>
      <c r="Y92" s="217" t="s">
        <v>341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55">
        <v>0</v>
      </c>
      <c r="AF92" s="255">
        <v>0</v>
      </c>
      <c r="AG92" s="255">
        <v>0</v>
      </c>
      <c r="AH92" s="255">
        <v>0</v>
      </c>
      <c r="AI92" s="255">
        <v>0</v>
      </c>
      <c r="AJ92" s="255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0</v>
      </c>
      <c r="AQ92" s="208">
        <v>0</v>
      </c>
      <c r="AR92" s="208">
        <v>0</v>
      </c>
      <c r="AS92" s="208">
        <v>0</v>
      </c>
      <c r="AT92" s="222">
        <v>0</v>
      </c>
      <c r="AV92" s="217" t="s">
        <v>341</v>
      </c>
      <c r="AW92" s="227">
        <v>0</v>
      </c>
      <c r="AX92" s="228">
        <v>0</v>
      </c>
      <c r="AY92" s="208">
        <v>0</v>
      </c>
      <c r="AZ92" s="208">
        <v>0</v>
      </c>
      <c r="BA92" s="208">
        <v>0</v>
      </c>
      <c r="BB92" s="255">
        <v>0</v>
      </c>
      <c r="BC92" s="255">
        <v>0</v>
      </c>
      <c r="BD92" s="255">
        <v>0</v>
      </c>
      <c r="BE92" s="255">
        <v>0</v>
      </c>
      <c r="BF92" s="255">
        <v>0</v>
      </c>
      <c r="BG92" s="255">
        <v>0</v>
      </c>
      <c r="BH92" s="208">
        <v>0</v>
      </c>
      <c r="BI92" s="208">
        <v>0</v>
      </c>
      <c r="BJ92" s="208">
        <v>0</v>
      </c>
      <c r="BK92" s="208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30">
        <f t="shared" si="42"/>
        <v>0</v>
      </c>
      <c r="BR92" s="214"/>
      <c r="BS92" s="227"/>
      <c r="BT92" s="217" t="s">
        <v>341</v>
      </c>
      <c r="BU92" s="227">
        <v>0</v>
      </c>
      <c r="BV92" s="228">
        <v>0</v>
      </c>
      <c r="BW92" s="208">
        <v>0</v>
      </c>
      <c r="BX92" s="208">
        <v>0</v>
      </c>
      <c r="BY92" s="208">
        <v>0</v>
      </c>
      <c r="BZ92" s="208">
        <v>0</v>
      </c>
      <c r="CA92" s="208">
        <v>0</v>
      </c>
      <c r="CB92" s="208">
        <v>0</v>
      </c>
      <c r="CC92" s="208">
        <v>0</v>
      </c>
      <c r="CD92" s="208">
        <v>0</v>
      </c>
      <c r="CE92" s="208">
        <v>0</v>
      </c>
      <c r="CF92" s="208">
        <v>0</v>
      </c>
      <c r="CG92" s="208">
        <v>0</v>
      </c>
      <c r="CH92" s="208">
        <v>0</v>
      </c>
      <c r="CI92" s="208">
        <v>0</v>
      </c>
      <c r="CJ92" s="208">
        <v>0</v>
      </c>
      <c r="CK92" s="208">
        <v>0</v>
      </c>
      <c r="CL92" s="208">
        <v>0</v>
      </c>
      <c r="CM92" s="208">
        <v>0</v>
      </c>
      <c r="CN92" s="208">
        <v>0</v>
      </c>
      <c r="CO92" s="222">
        <v>0</v>
      </c>
      <c r="CP92" s="227"/>
      <c r="CQ92" s="217" t="s">
        <v>341</v>
      </c>
      <c r="CR92" s="227">
        <v>0</v>
      </c>
      <c r="CS92" s="228">
        <v>0</v>
      </c>
      <c r="CT92" s="208">
        <v>0</v>
      </c>
      <c r="CU92" s="208">
        <v>0</v>
      </c>
      <c r="CV92" s="208">
        <v>0</v>
      </c>
      <c r="CW92" s="208">
        <v>0</v>
      </c>
      <c r="CX92" s="208">
        <v>0</v>
      </c>
      <c r="CY92" s="208">
        <v>0</v>
      </c>
      <c r="CZ92" s="208">
        <v>0</v>
      </c>
      <c r="DA92" s="208">
        <v>0</v>
      </c>
      <c r="DB92" s="208">
        <v>0</v>
      </c>
      <c r="DC92" s="208">
        <v>0</v>
      </c>
      <c r="DD92" s="208">
        <v>0</v>
      </c>
      <c r="DE92" s="208">
        <v>0</v>
      </c>
      <c r="DF92" s="208">
        <v>0</v>
      </c>
      <c r="DG92" s="208">
        <v>0</v>
      </c>
      <c r="DH92" s="208">
        <v>0</v>
      </c>
      <c r="DI92" s="208">
        <v>0</v>
      </c>
      <c r="DJ92" s="208">
        <v>0</v>
      </c>
      <c r="DK92" s="208">
        <v>0</v>
      </c>
      <c r="DL92" s="222">
        <v>0</v>
      </c>
      <c r="DM92" s="214"/>
      <c r="DN92" s="214"/>
      <c r="DO92" s="227"/>
      <c r="DP92" s="217" t="s">
        <v>341</v>
      </c>
      <c r="DQ92" s="227">
        <v>0</v>
      </c>
      <c r="DR92" s="228">
        <v>0</v>
      </c>
      <c r="DS92" s="208">
        <v>0</v>
      </c>
      <c r="DT92" s="208">
        <v>0</v>
      </c>
      <c r="DU92" s="208">
        <v>0</v>
      </c>
      <c r="DV92" s="208">
        <v>0</v>
      </c>
      <c r="DW92" s="208">
        <v>0</v>
      </c>
      <c r="DX92" s="208">
        <v>0</v>
      </c>
      <c r="DY92" s="208">
        <v>0</v>
      </c>
      <c r="DZ92" s="208">
        <v>0</v>
      </c>
      <c r="EA92" s="208">
        <v>0</v>
      </c>
      <c r="EB92" s="208">
        <v>0</v>
      </c>
      <c r="EC92" s="208">
        <v>0</v>
      </c>
      <c r="ED92" s="208">
        <v>0</v>
      </c>
      <c r="EE92" s="208">
        <v>0</v>
      </c>
      <c r="EF92" s="208">
        <v>0</v>
      </c>
      <c r="EG92" s="208">
        <v>0</v>
      </c>
      <c r="EH92" s="208">
        <v>0</v>
      </c>
      <c r="EI92" s="208">
        <v>0</v>
      </c>
      <c r="EJ92" s="208">
        <v>0</v>
      </c>
      <c r="EK92" s="222">
        <v>0</v>
      </c>
      <c r="EL92" s="228"/>
      <c r="EM92" s="217" t="s">
        <v>341</v>
      </c>
      <c r="EN92" s="227">
        <v>0</v>
      </c>
      <c r="EO92" s="228">
        <v>0</v>
      </c>
      <c r="EP92" s="208">
        <v>0</v>
      </c>
      <c r="EQ92" s="208">
        <v>0</v>
      </c>
      <c r="ER92" s="208">
        <v>0</v>
      </c>
      <c r="ES92" s="208">
        <v>0</v>
      </c>
      <c r="ET92" s="208">
        <v>0</v>
      </c>
      <c r="EU92" s="208">
        <v>0</v>
      </c>
      <c r="EV92" s="208">
        <v>0</v>
      </c>
      <c r="EW92" s="208">
        <v>0</v>
      </c>
      <c r="EX92" s="208">
        <v>0</v>
      </c>
      <c r="EY92" s="208">
        <v>0</v>
      </c>
      <c r="EZ92" s="208">
        <v>0</v>
      </c>
      <c r="FA92" s="208">
        <v>0</v>
      </c>
      <c r="FB92" s="208">
        <v>0</v>
      </c>
      <c r="FC92" s="208">
        <v>0</v>
      </c>
      <c r="FD92" s="208">
        <v>0</v>
      </c>
      <c r="FE92" s="208">
        <v>0</v>
      </c>
      <c r="FF92" s="208">
        <v>0</v>
      </c>
      <c r="FG92" s="208">
        <v>0</v>
      </c>
      <c r="FH92" s="222">
        <v>0</v>
      </c>
    </row>
    <row r="93" spans="2:164" x14ac:dyDescent="0.2">
      <c r="B93" s="217" t="s">
        <v>342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0</v>
      </c>
      <c r="I93" s="208">
        <v>0</v>
      </c>
      <c r="J93" s="208">
        <v>0</v>
      </c>
      <c r="K93" s="208">
        <v>0</v>
      </c>
      <c r="L93" s="208">
        <v>2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17</v>
      </c>
      <c r="S93" s="208">
        <v>0</v>
      </c>
      <c r="T93" s="208">
        <v>0</v>
      </c>
      <c r="U93" s="208">
        <v>0</v>
      </c>
      <c r="V93" s="208">
        <v>0</v>
      </c>
      <c r="W93" s="222">
        <v>19</v>
      </c>
      <c r="X93" s="208"/>
      <c r="Y93" s="217" t="s">
        <v>342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55">
        <v>0</v>
      </c>
      <c r="AF93" s="255">
        <v>0</v>
      </c>
      <c r="AG93" s="255">
        <v>0</v>
      </c>
      <c r="AH93" s="255">
        <v>0</v>
      </c>
      <c r="AI93" s="255">
        <v>66.107205479344827</v>
      </c>
      <c r="AJ93" s="255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4918.5262736837058</v>
      </c>
      <c r="AP93" s="208">
        <v>0</v>
      </c>
      <c r="AQ93" s="208">
        <v>0</v>
      </c>
      <c r="AR93" s="208">
        <v>0</v>
      </c>
      <c r="AS93" s="208">
        <v>0</v>
      </c>
      <c r="AT93" s="222">
        <v>4984.6334791630507</v>
      </c>
      <c r="AV93" s="217" t="s">
        <v>342</v>
      </c>
      <c r="AW93" s="227">
        <v>0</v>
      </c>
      <c r="AX93" s="228">
        <v>0</v>
      </c>
      <c r="AY93" s="208">
        <v>0</v>
      </c>
      <c r="AZ93" s="208">
        <v>0</v>
      </c>
      <c r="BA93" s="208">
        <v>0</v>
      </c>
      <c r="BB93" s="255">
        <v>0</v>
      </c>
      <c r="BC93" s="255">
        <v>0</v>
      </c>
      <c r="BD93" s="255">
        <v>0</v>
      </c>
      <c r="BE93" s="255">
        <v>0</v>
      </c>
      <c r="BF93" s="258">
        <v>0</v>
      </c>
      <c r="BG93" s="255">
        <v>0</v>
      </c>
      <c r="BH93" s="208">
        <v>0</v>
      </c>
      <c r="BI93" s="208">
        <v>0</v>
      </c>
      <c r="BJ93" s="208">
        <v>0</v>
      </c>
      <c r="BK93" s="208">
        <v>0</v>
      </c>
      <c r="BL93" s="208">
        <v>4918.5262736837058</v>
      </c>
      <c r="BM93" s="208">
        <v>0</v>
      </c>
      <c r="BN93" s="208">
        <v>0</v>
      </c>
      <c r="BO93" s="208">
        <v>0</v>
      </c>
      <c r="BP93" s="208">
        <v>0</v>
      </c>
      <c r="BQ93" s="230">
        <f t="shared" si="42"/>
        <v>4918.5262736837058</v>
      </c>
      <c r="BR93" s="214"/>
      <c r="BS93" s="227"/>
      <c r="BT93" s="217" t="s">
        <v>342</v>
      </c>
      <c r="BU93" s="227">
        <v>0</v>
      </c>
      <c r="BV93" s="228">
        <v>0</v>
      </c>
      <c r="BW93" s="208">
        <v>0</v>
      </c>
      <c r="BX93" s="208">
        <v>0</v>
      </c>
      <c r="BY93" s="208">
        <v>0</v>
      </c>
      <c r="BZ93" s="208">
        <v>0</v>
      </c>
      <c r="CA93" s="208">
        <v>0</v>
      </c>
      <c r="CB93" s="208">
        <v>0</v>
      </c>
      <c r="CC93" s="208">
        <v>0</v>
      </c>
      <c r="CD93" s="208">
        <v>0</v>
      </c>
      <c r="CE93" s="208">
        <v>0</v>
      </c>
      <c r="CF93" s="208">
        <v>0</v>
      </c>
      <c r="CG93" s="208">
        <v>0</v>
      </c>
      <c r="CH93" s="208">
        <v>0</v>
      </c>
      <c r="CI93" s="208">
        <v>0</v>
      </c>
      <c r="CJ93" s="208">
        <v>1</v>
      </c>
      <c r="CK93" s="208">
        <v>0</v>
      </c>
      <c r="CL93" s="208">
        <v>0</v>
      </c>
      <c r="CM93" s="208">
        <v>0</v>
      </c>
      <c r="CN93" s="208">
        <v>0</v>
      </c>
      <c r="CO93" s="222">
        <v>1</v>
      </c>
      <c r="CP93" s="227"/>
      <c r="CQ93" s="217" t="s">
        <v>342</v>
      </c>
      <c r="CR93" s="227">
        <v>0</v>
      </c>
      <c r="CS93" s="228">
        <v>0</v>
      </c>
      <c r="CT93" s="208">
        <v>0</v>
      </c>
      <c r="CU93" s="208">
        <v>0</v>
      </c>
      <c r="CV93" s="208">
        <v>0</v>
      </c>
      <c r="CW93" s="208">
        <v>0</v>
      </c>
      <c r="CX93" s="208">
        <v>0</v>
      </c>
      <c r="CY93" s="208">
        <v>0</v>
      </c>
      <c r="CZ93" s="208">
        <v>0</v>
      </c>
      <c r="DA93" s="208">
        <v>0</v>
      </c>
      <c r="DB93" s="208">
        <v>0</v>
      </c>
      <c r="DC93" s="208">
        <v>0</v>
      </c>
      <c r="DD93" s="208">
        <v>0</v>
      </c>
      <c r="DE93" s="208">
        <v>0</v>
      </c>
      <c r="DF93" s="208">
        <v>0</v>
      </c>
      <c r="DG93" s="208">
        <v>3835.8490111745532</v>
      </c>
      <c r="DH93" s="208">
        <v>0</v>
      </c>
      <c r="DI93" s="208">
        <v>0</v>
      </c>
      <c r="DJ93" s="208">
        <v>0</v>
      </c>
      <c r="DK93" s="208">
        <v>0</v>
      </c>
      <c r="DL93" s="222">
        <v>3835.8490111745532</v>
      </c>
      <c r="DM93" s="214"/>
      <c r="DN93" s="214"/>
      <c r="DO93" s="227"/>
      <c r="DP93" s="217" t="s">
        <v>342</v>
      </c>
      <c r="DQ93" s="227">
        <v>0</v>
      </c>
      <c r="DR93" s="228">
        <v>0</v>
      </c>
      <c r="DS93" s="208">
        <v>0</v>
      </c>
      <c r="DT93" s="208">
        <v>0</v>
      </c>
      <c r="DU93" s="208">
        <v>0</v>
      </c>
      <c r="DV93" s="208">
        <v>0</v>
      </c>
      <c r="DW93" s="208">
        <v>0</v>
      </c>
      <c r="DX93" s="208">
        <v>0</v>
      </c>
      <c r="DY93" s="208">
        <v>0</v>
      </c>
      <c r="DZ93" s="208">
        <v>0</v>
      </c>
      <c r="EA93" s="208">
        <v>0</v>
      </c>
      <c r="EB93" s="208">
        <v>0</v>
      </c>
      <c r="EC93" s="208">
        <v>0</v>
      </c>
      <c r="ED93" s="208">
        <v>0</v>
      </c>
      <c r="EE93" s="208">
        <v>0</v>
      </c>
      <c r="EF93" s="208">
        <v>1</v>
      </c>
      <c r="EG93" s="208">
        <v>0</v>
      </c>
      <c r="EH93" s="208">
        <v>0</v>
      </c>
      <c r="EI93" s="208">
        <v>0</v>
      </c>
      <c r="EJ93" s="208">
        <v>0</v>
      </c>
      <c r="EK93" s="222">
        <v>1</v>
      </c>
      <c r="EL93" s="228"/>
      <c r="EM93" s="217" t="s">
        <v>342</v>
      </c>
      <c r="EN93" s="227">
        <v>0</v>
      </c>
      <c r="EO93" s="228">
        <v>0</v>
      </c>
      <c r="EP93" s="208">
        <v>0</v>
      </c>
      <c r="EQ93" s="208">
        <v>0</v>
      </c>
      <c r="ER93" s="208">
        <v>0</v>
      </c>
      <c r="ES93" s="208">
        <v>0</v>
      </c>
      <c r="ET93" s="208">
        <v>0</v>
      </c>
      <c r="EU93" s="208">
        <v>0</v>
      </c>
      <c r="EV93" s="208">
        <v>0</v>
      </c>
      <c r="EW93" s="208">
        <v>0</v>
      </c>
      <c r="EX93" s="208">
        <v>0</v>
      </c>
      <c r="EY93" s="208">
        <v>0</v>
      </c>
      <c r="EZ93" s="208">
        <v>0</v>
      </c>
      <c r="FA93" s="208">
        <v>0</v>
      </c>
      <c r="FB93" s="208">
        <v>0</v>
      </c>
      <c r="FC93" s="208">
        <v>3835.8490111745532</v>
      </c>
      <c r="FD93" s="208">
        <v>0</v>
      </c>
      <c r="FE93" s="208">
        <v>0</v>
      </c>
      <c r="FF93" s="208">
        <v>0</v>
      </c>
      <c r="FG93" s="208">
        <v>0</v>
      </c>
      <c r="FH93" s="222">
        <v>3835.8490111745532</v>
      </c>
    </row>
    <row r="94" spans="2:164" x14ac:dyDescent="0.2">
      <c r="B94" s="217" t="s">
        <v>343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0</v>
      </c>
      <c r="T94" s="208">
        <v>0</v>
      </c>
      <c r="U94" s="208">
        <v>0</v>
      </c>
      <c r="V94" s="208">
        <v>0</v>
      </c>
      <c r="W94" s="222">
        <v>0</v>
      </c>
      <c r="X94" s="208"/>
      <c r="Y94" s="217" t="s">
        <v>343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55">
        <v>0</v>
      </c>
      <c r="AF94" s="255">
        <v>0</v>
      </c>
      <c r="AG94" s="255">
        <v>0</v>
      </c>
      <c r="AH94" s="255">
        <v>0</v>
      </c>
      <c r="AI94" s="255">
        <v>0</v>
      </c>
      <c r="AJ94" s="255">
        <v>0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0</v>
      </c>
      <c r="AQ94" s="208">
        <v>0</v>
      </c>
      <c r="AR94" s="208">
        <v>0</v>
      </c>
      <c r="AS94" s="208">
        <v>0</v>
      </c>
      <c r="AT94" s="222">
        <v>0</v>
      </c>
      <c r="AV94" s="217" t="s">
        <v>343</v>
      </c>
      <c r="AW94" s="227">
        <v>0</v>
      </c>
      <c r="AX94" s="228">
        <v>0</v>
      </c>
      <c r="AY94" s="208">
        <v>0</v>
      </c>
      <c r="AZ94" s="208">
        <v>0</v>
      </c>
      <c r="BA94" s="208">
        <v>0</v>
      </c>
      <c r="BB94" s="255">
        <v>0</v>
      </c>
      <c r="BC94" s="255">
        <v>0</v>
      </c>
      <c r="BD94" s="255">
        <v>0</v>
      </c>
      <c r="BE94" s="255">
        <v>0</v>
      </c>
      <c r="BF94" s="255">
        <v>0</v>
      </c>
      <c r="BG94" s="255">
        <v>0</v>
      </c>
      <c r="BH94" s="208">
        <v>0</v>
      </c>
      <c r="BI94" s="208">
        <v>0</v>
      </c>
      <c r="BJ94" s="208">
        <v>0</v>
      </c>
      <c r="BK94" s="208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30">
        <f t="shared" si="42"/>
        <v>0</v>
      </c>
      <c r="BR94" s="214"/>
      <c r="BS94" s="227"/>
      <c r="BT94" s="217" t="s">
        <v>343</v>
      </c>
      <c r="BU94" s="227">
        <v>0</v>
      </c>
      <c r="BV94" s="228">
        <v>0</v>
      </c>
      <c r="BW94" s="208">
        <v>0</v>
      </c>
      <c r="BX94" s="208">
        <v>0</v>
      </c>
      <c r="BY94" s="208">
        <v>0</v>
      </c>
      <c r="BZ94" s="208">
        <v>0</v>
      </c>
      <c r="CA94" s="208">
        <v>0</v>
      </c>
      <c r="CB94" s="208">
        <v>0</v>
      </c>
      <c r="CC94" s="208">
        <v>0</v>
      </c>
      <c r="CD94" s="208">
        <v>0</v>
      </c>
      <c r="CE94" s="208">
        <v>0</v>
      </c>
      <c r="CF94" s="208">
        <v>0</v>
      </c>
      <c r="CG94" s="208">
        <v>0</v>
      </c>
      <c r="CH94" s="208">
        <v>0</v>
      </c>
      <c r="CI94" s="208">
        <v>0</v>
      </c>
      <c r="CJ94" s="208">
        <v>0</v>
      </c>
      <c r="CK94" s="208">
        <v>0</v>
      </c>
      <c r="CL94" s="208">
        <v>0</v>
      </c>
      <c r="CM94" s="208">
        <v>0</v>
      </c>
      <c r="CN94" s="208">
        <v>0</v>
      </c>
      <c r="CO94" s="222">
        <v>0</v>
      </c>
      <c r="CP94" s="227"/>
      <c r="CQ94" s="217" t="s">
        <v>343</v>
      </c>
      <c r="CR94" s="227">
        <v>0</v>
      </c>
      <c r="CS94" s="228">
        <v>0</v>
      </c>
      <c r="CT94" s="208">
        <v>0</v>
      </c>
      <c r="CU94" s="208">
        <v>0</v>
      </c>
      <c r="CV94" s="208">
        <v>0</v>
      </c>
      <c r="CW94" s="208">
        <v>0</v>
      </c>
      <c r="CX94" s="208">
        <v>0</v>
      </c>
      <c r="CY94" s="208">
        <v>0</v>
      </c>
      <c r="CZ94" s="208">
        <v>0</v>
      </c>
      <c r="DA94" s="208">
        <v>0</v>
      </c>
      <c r="DB94" s="208">
        <v>0</v>
      </c>
      <c r="DC94" s="208">
        <v>0</v>
      </c>
      <c r="DD94" s="208">
        <v>0</v>
      </c>
      <c r="DE94" s="208">
        <v>0</v>
      </c>
      <c r="DF94" s="208">
        <v>0</v>
      </c>
      <c r="DG94" s="208">
        <v>0</v>
      </c>
      <c r="DH94" s="208">
        <v>0</v>
      </c>
      <c r="DI94" s="208">
        <v>0</v>
      </c>
      <c r="DJ94" s="208">
        <v>0</v>
      </c>
      <c r="DK94" s="208">
        <v>0</v>
      </c>
      <c r="DL94" s="222">
        <v>0</v>
      </c>
      <c r="DM94" s="214"/>
      <c r="DN94" s="214"/>
      <c r="DO94" s="227"/>
      <c r="DP94" s="217" t="s">
        <v>343</v>
      </c>
      <c r="DQ94" s="227">
        <v>0</v>
      </c>
      <c r="DR94" s="228">
        <v>0</v>
      </c>
      <c r="DS94" s="208">
        <v>0</v>
      </c>
      <c r="DT94" s="208">
        <v>0</v>
      </c>
      <c r="DU94" s="208">
        <v>0</v>
      </c>
      <c r="DV94" s="208">
        <v>0</v>
      </c>
      <c r="DW94" s="208">
        <v>0</v>
      </c>
      <c r="DX94" s="208">
        <v>0</v>
      </c>
      <c r="DY94" s="208">
        <v>0</v>
      </c>
      <c r="DZ94" s="208">
        <v>0</v>
      </c>
      <c r="EA94" s="208">
        <v>0</v>
      </c>
      <c r="EB94" s="208">
        <v>0</v>
      </c>
      <c r="EC94" s="208">
        <v>0</v>
      </c>
      <c r="ED94" s="208">
        <v>0</v>
      </c>
      <c r="EE94" s="208">
        <v>0</v>
      </c>
      <c r="EF94" s="208">
        <v>0</v>
      </c>
      <c r="EG94" s="208">
        <v>0</v>
      </c>
      <c r="EH94" s="208">
        <v>0</v>
      </c>
      <c r="EI94" s="208">
        <v>0</v>
      </c>
      <c r="EJ94" s="208">
        <v>0</v>
      </c>
      <c r="EK94" s="222">
        <v>0</v>
      </c>
      <c r="EL94" s="228"/>
      <c r="EM94" s="217" t="s">
        <v>343</v>
      </c>
      <c r="EN94" s="227">
        <v>0</v>
      </c>
      <c r="EO94" s="228">
        <v>0</v>
      </c>
      <c r="EP94" s="208">
        <v>0</v>
      </c>
      <c r="EQ94" s="208">
        <v>0</v>
      </c>
      <c r="ER94" s="208">
        <v>0</v>
      </c>
      <c r="ES94" s="208">
        <v>0</v>
      </c>
      <c r="ET94" s="208">
        <v>0</v>
      </c>
      <c r="EU94" s="208">
        <v>0</v>
      </c>
      <c r="EV94" s="208">
        <v>0</v>
      </c>
      <c r="EW94" s="208">
        <v>0</v>
      </c>
      <c r="EX94" s="208">
        <v>0</v>
      </c>
      <c r="EY94" s="208">
        <v>0</v>
      </c>
      <c r="EZ94" s="208">
        <v>0</v>
      </c>
      <c r="FA94" s="208">
        <v>0</v>
      </c>
      <c r="FB94" s="208">
        <v>0</v>
      </c>
      <c r="FC94" s="208">
        <v>0</v>
      </c>
      <c r="FD94" s="208">
        <v>0</v>
      </c>
      <c r="FE94" s="208">
        <v>0</v>
      </c>
      <c r="FF94" s="208">
        <v>0</v>
      </c>
      <c r="FG94" s="208">
        <v>0</v>
      </c>
      <c r="FH94" s="222">
        <v>0</v>
      </c>
    </row>
    <row r="95" spans="2:164" x14ac:dyDescent="0.2">
      <c r="B95" s="217" t="s">
        <v>6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2</v>
      </c>
      <c r="I95" s="208">
        <v>1</v>
      </c>
      <c r="J95" s="208">
        <v>0</v>
      </c>
      <c r="K95" s="208">
        <v>0</v>
      </c>
      <c r="L95" s="208">
        <v>0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14</v>
      </c>
      <c r="U95" s="208">
        <v>4</v>
      </c>
      <c r="V95" s="208">
        <v>0</v>
      </c>
      <c r="W95" s="222">
        <v>21</v>
      </c>
      <c r="X95" s="208"/>
      <c r="Y95" s="217" t="s">
        <v>6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204.24479674789831</v>
      </c>
      <c r="AF95" s="208">
        <v>126.29849502312197</v>
      </c>
      <c r="AG95" s="208">
        <v>0</v>
      </c>
      <c r="AH95" s="208">
        <v>0</v>
      </c>
      <c r="AI95" s="208">
        <v>0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1360.949866591018</v>
      </c>
      <c r="AR95" s="208">
        <v>480.74622895656171</v>
      </c>
      <c r="AS95" s="208">
        <v>0</v>
      </c>
      <c r="AT95" s="222">
        <v>2172.2393873186002</v>
      </c>
      <c r="AV95" s="217" t="s">
        <v>6</v>
      </c>
      <c r="AW95" s="227">
        <v>0</v>
      </c>
      <c r="AX95" s="228">
        <v>0</v>
      </c>
      <c r="AY95" s="208">
        <v>0</v>
      </c>
      <c r="AZ95" s="208">
        <v>0</v>
      </c>
      <c r="BA95" s="208">
        <v>0</v>
      </c>
      <c r="BB95" s="208">
        <v>204.24479674789831</v>
      </c>
      <c r="BC95" s="208">
        <v>126.29849502312197</v>
      </c>
      <c r="BD95" s="208">
        <v>0</v>
      </c>
      <c r="BE95" s="208">
        <v>0</v>
      </c>
      <c r="BF95" s="208">
        <v>0</v>
      </c>
      <c r="BG95" s="208">
        <v>0</v>
      </c>
      <c r="BH95" s="208">
        <v>0</v>
      </c>
      <c r="BI95" s="208">
        <v>0</v>
      </c>
      <c r="BJ95" s="208">
        <v>0</v>
      </c>
      <c r="BK95" s="208">
        <v>0</v>
      </c>
      <c r="BL95" s="208">
        <v>0</v>
      </c>
      <c r="BM95" s="208">
        <v>0</v>
      </c>
      <c r="BN95" s="208">
        <v>1360.949866591018</v>
      </c>
      <c r="BO95" s="208">
        <v>480.74622895656171</v>
      </c>
      <c r="BP95" s="208">
        <v>0</v>
      </c>
      <c r="BQ95" s="230">
        <f t="shared" si="42"/>
        <v>2172.2393873186002</v>
      </c>
      <c r="BR95" s="214"/>
      <c r="BS95" s="227"/>
      <c r="BT95" s="217" t="s">
        <v>6</v>
      </c>
      <c r="BU95" s="227">
        <v>0</v>
      </c>
      <c r="BV95" s="228">
        <v>0</v>
      </c>
      <c r="BW95" s="208">
        <v>0</v>
      </c>
      <c r="BX95" s="208">
        <v>0</v>
      </c>
      <c r="BY95" s="208">
        <v>0</v>
      </c>
      <c r="BZ95" s="208">
        <v>1</v>
      </c>
      <c r="CA95" s="208">
        <v>0</v>
      </c>
      <c r="CB95" s="208">
        <v>0</v>
      </c>
      <c r="CC95" s="208">
        <v>0</v>
      </c>
      <c r="CD95" s="208">
        <v>0</v>
      </c>
      <c r="CE95" s="208">
        <v>0</v>
      </c>
      <c r="CF95" s="208">
        <v>0</v>
      </c>
      <c r="CG95" s="208">
        <v>0</v>
      </c>
      <c r="CH95" s="208">
        <v>0</v>
      </c>
      <c r="CI95" s="208">
        <v>0</v>
      </c>
      <c r="CJ95" s="208">
        <v>0</v>
      </c>
      <c r="CK95" s="208">
        <v>0</v>
      </c>
      <c r="CL95" s="208">
        <v>0</v>
      </c>
      <c r="CM95" s="208">
        <v>0</v>
      </c>
      <c r="CN95" s="208">
        <v>0</v>
      </c>
      <c r="CO95" s="222">
        <v>1</v>
      </c>
      <c r="CP95" s="227"/>
      <c r="CQ95" s="217" t="s">
        <v>6</v>
      </c>
      <c r="CR95" s="227">
        <v>0</v>
      </c>
      <c r="CS95" s="228">
        <v>0</v>
      </c>
      <c r="CT95" s="208">
        <v>0</v>
      </c>
      <c r="CU95" s="208">
        <v>0</v>
      </c>
      <c r="CV95" s="208">
        <v>0</v>
      </c>
      <c r="CW95" s="208">
        <v>40.105555552174231</v>
      </c>
      <c r="CX95" s="208">
        <v>0</v>
      </c>
      <c r="CY95" s="208">
        <v>0</v>
      </c>
      <c r="CZ95" s="208">
        <v>0</v>
      </c>
      <c r="DA95" s="208">
        <v>0</v>
      </c>
      <c r="DB95" s="208">
        <v>0</v>
      </c>
      <c r="DC95" s="208">
        <v>0</v>
      </c>
      <c r="DD95" s="208">
        <v>0</v>
      </c>
      <c r="DE95" s="208">
        <v>0</v>
      </c>
      <c r="DF95" s="208">
        <v>0</v>
      </c>
      <c r="DG95" s="208">
        <v>0</v>
      </c>
      <c r="DH95" s="208">
        <v>0</v>
      </c>
      <c r="DI95" s="208">
        <v>0</v>
      </c>
      <c r="DJ95" s="208">
        <v>0</v>
      </c>
      <c r="DK95" s="208">
        <v>0</v>
      </c>
      <c r="DL95" s="222">
        <v>40.105555552174231</v>
      </c>
      <c r="DM95" s="214"/>
      <c r="DN95" s="214"/>
      <c r="DO95" s="227"/>
      <c r="DP95" s="217" t="s">
        <v>6</v>
      </c>
      <c r="DQ95" s="227">
        <v>0</v>
      </c>
      <c r="DR95" s="228">
        <v>0</v>
      </c>
      <c r="DS95" s="208">
        <v>0</v>
      </c>
      <c r="DT95" s="208">
        <v>0</v>
      </c>
      <c r="DU95" s="208">
        <v>0</v>
      </c>
      <c r="DV95" s="208">
        <v>1</v>
      </c>
      <c r="DW95" s="208">
        <v>0</v>
      </c>
      <c r="DX95" s="208">
        <v>0</v>
      </c>
      <c r="DY95" s="208">
        <v>0</v>
      </c>
      <c r="DZ95" s="208">
        <v>0</v>
      </c>
      <c r="EA95" s="208">
        <v>0</v>
      </c>
      <c r="EB95" s="208">
        <v>0</v>
      </c>
      <c r="EC95" s="208">
        <v>0</v>
      </c>
      <c r="ED95" s="208">
        <v>0</v>
      </c>
      <c r="EE95" s="208">
        <v>0</v>
      </c>
      <c r="EF95" s="208">
        <v>0</v>
      </c>
      <c r="EG95" s="208">
        <v>0</v>
      </c>
      <c r="EH95" s="208">
        <v>0</v>
      </c>
      <c r="EI95" s="208">
        <v>0</v>
      </c>
      <c r="EJ95" s="208">
        <v>0</v>
      </c>
      <c r="EK95" s="222">
        <v>1</v>
      </c>
      <c r="EL95" s="228"/>
      <c r="EM95" s="217" t="s">
        <v>6</v>
      </c>
      <c r="EN95" s="227">
        <v>0</v>
      </c>
      <c r="EO95" s="228">
        <v>0</v>
      </c>
      <c r="EP95" s="208">
        <v>0</v>
      </c>
      <c r="EQ95" s="208">
        <v>0</v>
      </c>
      <c r="ER95" s="208">
        <v>0</v>
      </c>
      <c r="ES95" s="208">
        <v>40.105555552174231</v>
      </c>
      <c r="ET95" s="208">
        <v>0</v>
      </c>
      <c r="EU95" s="208">
        <v>0</v>
      </c>
      <c r="EV95" s="208">
        <v>0</v>
      </c>
      <c r="EW95" s="208">
        <v>0</v>
      </c>
      <c r="EX95" s="208">
        <v>0</v>
      </c>
      <c r="EY95" s="208">
        <v>0</v>
      </c>
      <c r="EZ95" s="208">
        <v>0</v>
      </c>
      <c r="FA95" s="208">
        <v>0</v>
      </c>
      <c r="FB95" s="208">
        <v>0</v>
      </c>
      <c r="FC95" s="208">
        <v>0</v>
      </c>
      <c r="FD95" s="208">
        <v>0</v>
      </c>
      <c r="FE95" s="208">
        <v>0</v>
      </c>
      <c r="FF95" s="208">
        <v>0</v>
      </c>
      <c r="FG95" s="208">
        <v>0</v>
      </c>
      <c r="FH95" s="222">
        <v>40.105555552174231</v>
      </c>
    </row>
    <row r="96" spans="2:164" x14ac:dyDescent="0.2">
      <c r="B96" s="217" t="s">
        <v>344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8</v>
      </c>
      <c r="I96" s="208">
        <v>4</v>
      </c>
      <c r="J96" s="208">
        <v>0</v>
      </c>
      <c r="K96" s="208">
        <v>1</v>
      </c>
      <c r="L96" s="208">
        <v>2</v>
      </c>
      <c r="M96" s="208">
        <v>1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82</v>
      </c>
      <c r="V96" s="208">
        <v>1</v>
      </c>
      <c r="W96" s="222">
        <v>99</v>
      </c>
      <c r="X96" s="208"/>
      <c r="Y96" s="217" t="s">
        <v>344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14605.159354412408</v>
      </c>
      <c r="AF96" s="208">
        <v>157.04157376319228</v>
      </c>
      <c r="AG96" s="208">
        <v>0</v>
      </c>
      <c r="AH96" s="208">
        <v>86.414173705851653</v>
      </c>
      <c r="AI96" s="208">
        <v>58.868724323523253</v>
      </c>
      <c r="AJ96" s="208">
        <v>23.718536012261676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31964.808544834395</v>
      </c>
      <c r="AS96" s="208">
        <v>19.460105202643724</v>
      </c>
      <c r="AT96" s="222">
        <v>46915.471012254275</v>
      </c>
      <c r="AV96" s="217" t="s">
        <v>344</v>
      </c>
      <c r="AW96" s="227">
        <v>0</v>
      </c>
      <c r="AX96" s="228">
        <v>0</v>
      </c>
      <c r="AY96" s="208">
        <v>0</v>
      </c>
      <c r="AZ96" s="208">
        <v>0</v>
      </c>
      <c r="BA96" s="208">
        <v>0</v>
      </c>
      <c r="BB96" s="208">
        <v>14605.159354412408</v>
      </c>
      <c r="BC96" s="208">
        <v>157.04157376319228</v>
      </c>
      <c r="BD96" s="208">
        <v>0</v>
      </c>
      <c r="BE96" s="208">
        <v>86.414173705851653</v>
      </c>
      <c r="BF96" s="208">
        <v>58.868724323523253</v>
      </c>
      <c r="BG96" s="208">
        <v>23.718536012261676</v>
      </c>
      <c r="BH96" s="208">
        <v>0</v>
      </c>
      <c r="BI96" s="208">
        <v>0</v>
      </c>
      <c r="BJ96" s="208">
        <v>0</v>
      </c>
      <c r="BK96" s="208">
        <v>0</v>
      </c>
      <c r="BL96" s="208">
        <v>0</v>
      </c>
      <c r="BM96" s="208">
        <v>0</v>
      </c>
      <c r="BN96" s="208">
        <v>0</v>
      </c>
      <c r="BO96" s="208">
        <v>31964.808544834395</v>
      </c>
      <c r="BP96" s="208">
        <v>19.460105202643724</v>
      </c>
      <c r="BQ96" s="230">
        <f t="shared" si="42"/>
        <v>46915.471012254275</v>
      </c>
      <c r="BR96" s="214"/>
      <c r="BS96" s="227"/>
      <c r="BT96" s="217" t="s">
        <v>344</v>
      </c>
      <c r="BU96" s="227">
        <v>0</v>
      </c>
      <c r="BV96" s="228">
        <v>0</v>
      </c>
      <c r="BW96" s="208">
        <v>0</v>
      </c>
      <c r="BX96" s="208">
        <v>0</v>
      </c>
      <c r="BY96" s="208">
        <v>0</v>
      </c>
      <c r="BZ96" s="208">
        <v>0</v>
      </c>
      <c r="CA96" s="208">
        <v>0</v>
      </c>
      <c r="CB96" s="208">
        <v>0</v>
      </c>
      <c r="CC96" s="208">
        <v>0</v>
      </c>
      <c r="CD96" s="208">
        <v>0</v>
      </c>
      <c r="CE96" s="208">
        <v>0</v>
      </c>
      <c r="CF96" s="208">
        <v>0</v>
      </c>
      <c r="CG96" s="208">
        <v>0</v>
      </c>
      <c r="CH96" s="208">
        <v>0</v>
      </c>
      <c r="CI96" s="208">
        <v>0</v>
      </c>
      <c r="CJ96" s="208">
        <v>0</v>
      </c>
      <c r="CK96" s="208">
        <v>0</v>
      </c>
      <c r="CL96" s="208">
        <v>0</v>
      </c>
      <c r="CM96" s="208">
        <v>7</v>
      </c>
      <c r="CN96" s="208">
        <v>0</v>
      </c>
      <c r="CO96" s="222">
        <v>7</v>
      </c>
      <c r="CP96" s="227"/>
      <c r="CQ96" s="217" t="s">
        <v>344</v>
      </c>
      <c r="CR96" s="227">
        <v>0</v>
      </c>
      <c r="CS96" s="228">
        <v>0</v>
      </c>
      <c r="CT96" s="208">
        <v>0</v>
      </c>
      <c r="CU96" s="208">
        <v>0</v>
      </c>
      <c r="CV96" s="208">
        <v>0</v>
      </c>
      <c r="CW96" s="208">
        <v>0</v>
      </c>
      <c r="CX96" s="208">
        <v>0</v>
      </c>
      <c r="CY96" s="208">
        <v>0</v>
      </c>
      <c r="CZ96" s="208">
        <v>0</v>
      </c>
      <c r="DA96" s="208">
        <v>0</v>
      </c>
      <c r="DB96" s="208">
        <v>0</v>
      </c>
      <c r="DC96" s="208">
        <v>0</v>
      </c>
      <c r="DD96" s="208">
        <v>0</v>
      </c>
      <c r="DE96" s="208">
        <v>0</v>
      </c>
      <c r="DF96" s="208">
        <v>0</v>
      </c>
      <c r="DG96" s="208">
        <v>0</v>
      </c>
      <c r="DH96" s="208">
        <v>0</v>
      </c>
      <c r="DI96" s="208">
        <v>0</v>
      </c>
      <c r="DJ96" s="208">
        <v>1959.3716469547821</v>
      </c>
      <c r="DK96" s="208">
        <v>0</v>
      </c>
      <c r="DL96" s="222">
        <v>1959.3716469547821</v>
      </c>
      <c r="DM96" s="214"/>
      <c r="DN96" s="214"/>
      <c r="DO96" s="227"/>
      <c r="DP96" s="217" t="s">
        <v>344</v>
      </c>
      <c r="DQ96" s="227">
        <v>0</v>
      </c>
      <c r="DR96" s="228">
        <v>0</v>
      </c>
      <c r="DS96" s="208">
        <v>0</v>
      </c>
      <c r="DT96" s="208">
        <v>0</v>
      </c>
      <c r="DU96" s="208">
        <v>0</v>
      </c>
      <c r="DV96" s="208">
        <v>0</v>
      </c>
      <c r="DW96" s="208">
        <v>0</v>
      </c>
      <c r="DX96" s="208">
        <v>0</v>
      </c>
      <c r="DY96" s="208">
        <v>1</v>
      </c>
      <c r="DZ96" s="208">
        <v>0</v>
      </c>
      <c r="EA96" s="208">
        <v>0</v>
      </c>
      <c r="EB96" s="208">
        <v>0</v>
      </c>
      <c r="EC96" s="208">
        <v>0</v>
      </c>
      <c r="ED96" s="208">
        <v>0</v>
      </c>
      <c r="EE96" s="208">
        <v>0</v>
      </c>
      <c r="EF96" s="208">
        <v>0</v>
      </c>
      <c r="EG96" s="208">
        <v>0</v>
      </c>
      <c r="EH96" s="208">
        <v>0</v>
      </c>
      <c r="EI96" s="208">
        <v>7</v>
      </c>
      <c r="EJ96" s="208">
        <v>0</v>
      </c>
      <c r="EK96" s="222">
        <v>8</v>
      </c>
      <c r="EL96" s="228"/>
      <c r="EM96" s="217" t="s">
        <v>344</v>
      </c>
      <c r="EN96" s="227">
        <v>0</v>
      </c>
      <c r="EO96" s="228">
        <v>0</v>
      </c>
      <c r="EP96" s="208">
        <v>0</v>
      </c>
      <c r="EQ96" s="208">
        <v>0</v>
      </c>
      <c r="ER96" s="208">
        <v>0</v>
      </c>
      <c r="ES96" s="208">
        <v>0</v>
      </c>
      <c r="ET96" s="208">
        <v>0</v>
      </c>
      <c r="EU96" s="208">
        <v>0</v>
      </c>
      <c r="EV96" s="208">
        <v>86.414173705851653</v>
      </c>
      <c r="EW96" s="208">
        <v>0</v>
      </c>
      <c r="EX96" s="208">
        <v>0</v>
      </c>
      <c r="EY96" s="208">
        <v>0</v>
      </c>
      <c r="EZ96" s="208">
        <v>0</v>
      </c>
      <c r="FA96" s="208">
        <v>0</v>
      </c>
      <c r="FB96" s="208">
        <v>0</v>
      </c>
      <c r="FC96" s="208">
        <v>0</v>
      </c>
      <c r="FD96" s="208">
        <v>0</v>
      </c>
      <c r="FE96" s="208">
        <v>0</v>
      </c>
      <c r="FF96" s="208">
        <v>1959.3716469547821</v>
      </c>
      <c r="FG96" s="208">
        <v>0</v>
      </c>
      <c r="FH96" s="222">
        <v>2045.7858206606338</v>
      </c>
    </row>
    <row r="97" spans="2:164" x14ac:dyDescent="0.2">
      <c r="B97" s="217" t="s">
        <v>345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3</v>
      </c>
      <c r="M97" s="208">
        <v>0</v>
      </c>
      <c r="N97" s="208">
        <v>0</v>
      </c>
      <c r="O97" s="208">
        <v>0</v>
      </c>
      <c r="P97" s="208">
        <v>0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2</v>
      </c>
      <c r="W97" s="222">
        <v>5</v>
      </c>
      <c r="X97" s="208"/>
      <c r="Y97" s="217" t="s">
        <v>345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266.6282424554629</v>
      </c>
      <c r="AJ97" s="208">
        <v>0</v>
      </c>
      <c r="AK97" s="208">
        <v>0</v>
      </c>
      <c r="AL97" s="208">
        <v>0</v>
      </c>
      <c r="AM97" s="208">
        <v>0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178.04809163228069</v>
      </c>
      <c r="AT97" s="222">
        <v>444.67633408774361</v>
      </c>
      <c r="AV97" s="217" t="s">
        <v>345</v>
      </c>
      <c r="AW97" s="227">
        <v>0</v>
      </c>
      <c r="AX97" s="228">
        <v>0</v>
      </c>
      <c r="AY97" s="208">
        <v>0</v>
      </c>
      <c r="AZ97" s="208">
        <v>0</v>
      </c>
      <c r="BA97" s="208">
        <v>0</v>
      </c>
      <c r="BB97" s="208">
        <v>0</v>
      </c>
      <c r="BC97" s="208">
        <v>0</v>
      </c>
      <c r="BD97" s="208">
        <v>0</v>
      </c>
      <c r="BE97" s="208">
        <v>0</v>
      </c>
      <c r="BF97" s="208">
        <v>266.6282424554629</v>
      </c>
      <c r="BG97" s="208">
        <v>0</v>
      </c>
      <c r="BH97" s="208">
        <v>0</v>
      </c>
      <c r="BI97" s="208">
        <v>0</v>
      </c>
      <c r="BJ97" s="208">
        <v>0</v>
      </c>
      <c r="BK97" s="208">
        <v>0</v>
      </c>
      <c r="BL97" s="208">
        <v>0</v>
      </c>
      <c r="BM97" s="208">
        <v>0</v>
      </c>
      <c r="BN97" s="208">
        <v>0</v>
      </c>
      <c r="BO97" s="208">
        <v>0</v>
      </c>
      <c r="BP97" s="208">
        <v>178.04809163228069</v>
      </c>
      <c r="BQ97" s="222">
        <f t="shared" si="42"/>
        <v>444.67633408774361</v>
      </c>
      <c r="BR97" s="214"/>
      <c r="BS97" s="227"/>
      <c r="BT97" s="217" t="s">
        <v>345</v>
      </c>
      <c r="BU97" s="227">
        <v>0</v>
      </c>
      <c r="BV97" s="228">
        <v>0</v>
      </c>
      <c r="BW97" s="208">
        <v>0</v>
      </c>
      <c r="BX97" s="208">
        <v>0</v>
      </c>
      <c r="BY97" s="208">
        <v>0</v>
      </c>
      <c r="BZ97" s="208">
        <v>0</v>
      </c>
      <c r="CA97" s="208">
        <v>0</v>
      </c>
      <c r="CB97" s="208">
        <v>0</v>
      </c>
      <c r="CC97" s="208">
        <v>0</v>
      </c>
      <c r="CD97" s="208">
        <v>0</v>
      </c>
      <c r="CE97" s="208">
        <v>0</v>
      </c>
      <c r="CF97" s="208">
        <v>0</v>
      </c>
      <c r="CG97" s="208">
        <v>0</v>
      </c>
      <c r="CH97" s="208">
        <v>0</v>
      </c>
      <c r="CI97" s="208">
        <v>0</v>
      </c>
      <c r="CJ97" s="208">
        <v>0</v>
      </c>
      <c r="CK97" s="208">
        <v>0</v>
      </c>
      <c r="CL97" s="208">
        <v>0</v>
      </c>
      <c r="CM97" s="208">
        <v>0</v>
      </c>
      <c r="CN97" s="208">
        <v>0</v>
      </c>
      <c r="CO97" s="222">
        <v>0</v>
      </c>
      <c r="CP97" s="227"/>
      <c r="CQ97" s="217" t="s">
        <v>345</v>
      </c>
      <c r="CR97" s="227">
        <v>0</v>
      </c>
      <c r="CS97" s="228">
        <v>0</v>
      </c>
      <c r="CT97" s="208">
        <v>0</v>
      </c>
      <c r="CU97" s="208">
        <v>0</v>
      </c>
      <c r="CV97" s="208">
        <v>0</v>
      </c>
      <c r="CW97" s="208">
        <v>0</v>
      </c>
      <c r="CX97" s="208">
        <v>0</v>
      </c>
      <c r="CY97" s="208">
        <v>0</v>
      </c>
      <c r="CZ97" s="208">
        <v>0</v>
      </c>
      <c r="DA97" s="208">
        <v>0</v>
      </c>
      <c r="DB97" s="208">
        <v>0</v>
      </c>
      <c r="DC97" s="208">
        <v>0</v>
      </c>
      <c r="DD97" s="208">
        <v>0</v>
      </c>
      <c r="DE97" s="208">
        <v>0</v>
      </c>
      <c r="DF97" s="208">
        <v>0</v>
      </c>
      <c r="DG97" s="208">
        <v>0</v>
      </c>
      <c r="DH97" s="208">
        <v>0</v>
      </c>
      <c r="DI97" s="208">
        <v>0</v>
      </c>
      <c r="DJ97" s="208">
        <v>0</v>
      </c>
      <c r="DK97" s="208">
        <v>0</v>
      </c>
      <c r="DL97" s="222">
        <v>0</v>
      </c>
      <c r="DM97" s="214"/>
      <c r="DN97" s="214"/>
      <c r="DO97" s="227"/>
      <c r="DP97" s="217" t="s">
        <v>345</v>
      </c>
      <c r="DQ97" s="227">
        <v>0</v>
      </c>
      <c r="DR97" s="228">
        <v>0</v>
      </c>
      <c r="DS97" s="208">
        <v>0</v>
      </c>
      <c r="DT97" s="208">
        <v>0</v>
      </c>
      <c r="DU97" s="208">
        <v>0</v>
      </c>
      <c r="DV97" s="208">
        <v>0</v>
      </c>
      <c r="DW97" s="208">
        <v>0</v>
      </c>
      <c r="DX97" s="208">
        <v>0</v>
      </c>
      <c r="DY97" s="208">
        <v>0</v>
      </c>
      <c r="DZ97" s="208">
        <v>0</v>
      </c>
      <c r="EA97" s="208">
        <v>0</v>
      </c>
      <c r="EB97" s="208">
        <v>0</v>
      </c>
      <c r="EC97" s="208">
        <v>0</v>
      </c>
      <c r="ED97" s="208">
        <v>0</v>
      </c>
      <c r="EE97" s="208">
        <v>0</v>
      </c>
      <c r="EF97" s="208">
        <v>0</v>
      </c>
      <c r="EG97" s="208">
        <v>0</v>
      </c>
      <c r="EH97" s="208">
        <v>0</v>
      </c>
      <c r="EI97" s="208">
        <v>0</v>
      </c>
      <c r="EJ97" s="208">
        <v>0</v>
      </c>
      <c r="EK97" s="222">
        <v>0</v>
      </c>
      <c r="EL97" s="228"/>
      <c r="EM97" s="217" t="s">
        <v>345</v>
      </c>
      <c r="EN97" s="227">
        <v>0</v>
      </c>
      <c r="EO97" s="228">
        <v>0</v>
      </c>
      <c r="EP97" s="208">
        <v>0</v>
      </c>
      <c r="EQ97" s="208">
        <v>0</v>
      </c>
      <c r="ER97" s="208">
        <v>0</v>
      </c>
      <c r="ES97" s="208">
        <v>0</v>
      </c>
      <c r="ET97" s="208">
        <v>0</v>
      </c>
      <c r="EU97" s="208">
        <v>0</v>
      </c>
      <c r="EV97" s="208">
        <v>0</v>
      </c>
      <c r="EW97" s="208">
        <v>0</v>
      </c>
      <c r="EX97" s="208">
        <v>0</v>
      </c>
      <c r="EY97" s="208">
        <v>0</v>
      </c>
      <c r="EZ97" s="208">
        <v>0</v>
      </c>
      <c r="FA97" s="208">
        <v>0</v>
      </c>
      <c r="FB97" s="208">
        <v>0</v>
      </c>
      <c r="FC97" s="208">
        <v>0</v>
      </c>
      <c r="FD97" s="208">
        <v>0</v>
      </c>
      <c r="FE97" s="208">
        <v>0</v>
      </c>
      <c r="FF97" s="208">
        <v>0</v>
      </c>
      <c r="FG97" s="208">
        <v>0</v>
      </c>
      <c r="FH97" s="222">
        <v>0</v>
      </c>
    </row>
    <row r="98" spans="2:164" x14ac:dyDescent="0.2">
      <c r="B98" s="218" t="s">
        <v>7</v>
      </c>
      <c r="C98" s="219">
        <v>9004</v>
      </c>
      <c r="D98" s="220">
        <v>5518</v>
      </c>
      <c r="E98" s="221">
        <v>1784</v>
      </c>
      <c r="F98" s="221">
        <v>2563</v>
      </c>
      <c r="G98" s="221">
        <v>553</v>
      </c>
      <c r="H98" s="221">
        <v>551</v>
      </c>
      <c r="I98" s="221">
        <v>203</v>
      </c>
      <c r="J98" s="221">
        <v>2</v>
      </c>
      <c r="K98" s="221">
        <v>37</v>
      </c>
      <c r="L98" s="221">
        <v>125</v>
      </c>
      <c r="M98" s="221">
        <v>22</v>
      </c>
      <c r="N98" s="221">
        <v>7</v>
      </c>
      <c r="O98" s="221">
        <v>21</v>
      </c>
      <c r="P98" s="221">
        <v>5</v>
      </c>
      <c r="Q98" s="221">
        <v>3</v>
      </c>
      <c r="R98" s="221">
        <v>25</v>
      </c>
      <c r="S98" s="221">
        <v>0</v>
      </c>
      <c r="T98" s="221">
        <v>18</v>
      </c>
      <c r="U98" s="221">
        <v>142</v>
      </c>
      <c r="V98" s="221">
        <v>4</v>
      </c>
      <c r="W98" s="223">
        <v>20587</v>
      </c>
      <c r="X98" s="208"/>
      <c r="Y98" s="218" t="s">
        <v>7</v>
      </c>
      <c r="Z98" s="219">
        <v>2552676.900691947</v>
      </c>
      <c r="AA98" s="220">
        <v>2327544.9141172254</v>
      </c>
      <c r="AB98" s="221">
        <v>1266260.2490607002</v>
      </c>
      <c r="AC98" s="221">
        <v>425216.33492292609</v>
      </c>
      <c r="AD98" s="221">
        <v>186035.00123520743</v>
      </c>
      <c r="AE98" s="221">
        <v>184265.17943089144</v>
      </c>
      <c r="AF98" s="221">
        <v>31946.698984270482</v>
      </c>
      <c r="AG98" s="221">
        <v>205.82698401418048</v>
      </c>
      <c r="AH98" s="221">
        <v>3083.7611393509687</v>
      </c>
      <c r="AI98" s="221">
        <v>41635.99652195588</v>
      </c>
      <c r="AJ98" s="221">
        <v>3420.9041179676096</v>
      </c>
      <c r="AK98" s="221">
        <v>3694.8464675433042</v>
      </c>
      <c r="AL98" s="221">
        <v>1388.9065206360892</v>
      </c>
      <c r="AM98" s="221">
        <v>150.12509156328073</v>
      </c>
      <c r="AN98" s="221">
        <v>387.99828299841988</v>
      </c>
      <c r="AO98" s="221">
        <v>9505.5682857489519</v>
      </c>
      <c r="AP98" s="221">
        <v>0</v>
      </c>
      <c r="AQ98" s="221">
        <v>1741.3444152118213</v>
      </c>
      <c r="AR98" s="221">
        <v>55529.144908958544</v>
      </c>
      <c r="AS98" s="221">
        <v>356.09618326456138</v>
      </c>
      <c r="AT98" s="223">
        <v>7095045.7973623816</v>
      </c>
      <c r="AU98" s="227"/>
      <c r="AV98" s="218" t="s">
        <v>7</v>
      </c>
      <c r="AW98" s="257">
        <f>SUM(AW78:AW97)</f>
        <v>2551693.7098455485</v>
      </c>
      <c r="AX98" s="257">
        <f t="shared" ref="AX98" si="43">SUM(AX78:AX97)</f>
        <v>2317041.346854751</v>
      </c>
      <c r="AY98" s="257">
        <f t="shared" ref="AY98" si="44">SUM(AY78:AY97)</f>
        <v>1266260.2490607002</v>
      </c>
      <c r="AZ98" s="257">
        <f t="shared" ref="AZ98" si="45">SUM(AZ78:AZ97)</f>
        <v>425070.63853340497</v>
      </c>
      <c r="BA98" s="257">
        <f t="shared" ref="BA98" si="46">SUM(BA78:BA97)</f>
        <v>179433.68565808388</v>
      </c>
      <c r="BB98" s="257">
        <f t="shared" ref="BB98" si="47">SUM(BB78:BB97)</f>
        <v>149360.45306657944</v>
      </c>
      <c r="BC98" s="257">
        <f t="shared" ref="BC98" si="48">SUM(BC78:BC97)</f>
        <v>30373.836899378399</v>
      </c>
      <c r="BD98" s="257">
        <f t="shared" ref="BD98" si="49">SUM(BD78:BD97)</f>
        <v>205.82698401418048</v>
      </c>
      <c r="BE98" s="257">
        <f t="shared" ref="BE98" si="50">SUM(BE78:BE97)</f>
        <v>2837.6460259201936</v>
      </c>
      <c r="BF98" s="257">
        <f t="shared" ref="BF98" si="51">SUM(BF78:BF97)</f>
        <v>40635.883511337684</v>
      </c>
      <c r="BG98" s="257">
        <f t="shared" ref="BG98" si="52">SUM(BG78:BG97)</f>
        <v>3337.1596997728557</v>
      </c>
      <c r="BH98" s="257">
        <f t="shared" ref="BH98" si="53">SUM(BH78:BH97)</f>
        <v>983.2128888293413</v>
      </c>
      <c r="BI98" s="257">
        <f t="shared" ref="BI98" si="54">SUM(BI78:BI97)</f>
        <v>444.68305205157037</v>
      </c>
      <c r="BJ98" s="257">
        <f t="shared" ref="BJ98" si="55">SUM(BJ78:BJ97)</f>
        <v>60.050036625312295</v>
      </c>
      <c r="BK98" s="257">
        <f t="shared" ref="BK98" si="56">SUM(BK78:BK97)</f>
        <v>129.33276099947329</v>
      </c>
      <c r="BL98" s="257">
        <f t="shared" ref="BL98" si="57">SUM(BL78:BL97)</f>
        <v>4918.5262736837058</v>
      </c>
      <c r="BM98" s="257">
        <f t="shared" ref="BM98" si="58">SUM(BM78:BM97)</f>
        <v>0</v>
      </c>
      <c r="BN98" s="257">
        <f t="shared" ref="BN98" si="59">SUM(BN78:BN97)</f>
        <v>1710.028912302872</v>
      </c>
      <c r="BO98" s="257">
        <f t="shared" ref="BO98" si="60">SUM(BO78:BO97)</f>
        <v>45536.784607442227</v>
      </c>
      <c r="BP98" s="257">
        <f t="shared" ref="BP98" si="61">SUM(BP78:BP97)</f>
        <v>356.09618326456138</v>
      </c>
      <c r="BQ98" s="222">
        <f t="shared" si="42"/>
        <v>7020389.1508546909</v>
      </c>
      <c r="BR98" s="214"/>
      <c r="BT98" s="218" t="s">
        <v>7</v>
      </c>
      <c r="BU98" s="219">
        <v>1209</v>
      </c>
      <c r="BV98" s="220">
        <v>557</v>
      </c>
      <c r="BW98" s="221">
        <v>162</v>
      </c>
      <c r="BX98" s="221">
        <v>63</v>
      </c>
      <c r="BY98" s="221">
        <v>4</v>
      </c>
      <c r="BZ98" s="221">
        <v>2</v>
      </c>
      <c r="CA98" s="221">
        <v>0</v>
      </c>
      <c r="CB98" s="221">
        <v>0</v>
      </c>
      <c r="CC98" s="221">
        <v>0</v>
      </c>
      <c r="CD98" s="221">
        <v>0</v>
      </c>
      <c r="CE98" s="221">
        <v>0</v>
      </c>
      <c r="CF98" s="221">
        <v>0</v>
      </c>
      <c r="CG98" s="221">
        <v>0</v>
      </c>
      <c r="CH98" s="221">
        <v>0</v>
      </c>
      <c r="CI98" s="221">
        <v>0</v>
      </c>
      <c r="CJ98" s="221">
        <v>2</v>
      </c>
      <c r="CK98" s="221">
        <v>0</v>
      </c>
      <c r="CL98" s="221">
        <v>0</v>
      </c>
      <c r="CM98" s="221">
        <v>16</v>
      </c>
      <c r="CN98" s="221">
        <v>0</v>
      </c>
      <c r="CO98" s="223">
        <v>2015</v>
      </c>
      <c r="CP98" s="227"/>
      <c r="CQ98" s="218" t="s">
        <v>7</v>
      </c>
      <c r="CR98" s="219">
        <v>257473.8486315331</v>
      </c>
      <c r="CS98" s="220">
        <v>198661.27028987341</v>
      </c>
      <c r="CT98" s="221">
        <v>135367.51629363251</v>
      </c>
      <c r="CU98" s="221">
        <v>16873.371514839513</v>
      </c>
      <c r="CV98" s="221">
        <v>33845.901877481534</v>
      </c>
      <c r="CW98" s="221">
        <v>80.211111104348461</v>
      </c>
      <c r="CX98" s="221">
        <v>0</v>
      </c>
      <c r="CY98" s="221">
        <v>0</v>
      </c>
      <c r="CZ98" s="221">
        <v>0</v>
      </c>
      <c r="DA98" s="221">
        <v>0</v>
      </c>
      <c r="DB98" s="221">
        <v>0</v>
      </c>
      <c r="DC98" s="221">
        <v>0</v>
      </c>
      <c r="DD98" s="221">
        <v>0</v>
      </c>
      <c r="DE98" s="221">
        <v>0</v>
      </c>
      <c r="DF98" s="221">
        <v>0</v>
      </c>
      <c r="DG98" s="221">
        <v>7671.6980223491064</v>
      </c>
      <c r="DH98" s="221">
        <v>0</v>
      </c>
      <c r="DI98" s="221">
        <v>0</v>
      </c>
      <c r="DJ98" s="221">
        <v>2303.2075991943871</v>
      </c>
      <c r="DK98" s="221">
        <v>0</v>
      </c>
      <c r="DL98" s="223">
        <v>652277.02534000797</v>
      </c>
      <c r="DM98" s="214"/>
      <c r="DN98" s="214"/>
      <c r="DO98" s="227"/>
      <c r="DP98" s="218" t="s">
        <v>7</v>
      </c>
      <c r="DQ98" s="219">
        <v>2047</v>
      </c>
      <c r="DR98" s="220">
        <v>929</v>
      </c>
      <c r="DS98" s="221">
        <v>269</v>
      </c>
      <c r="DT98" s="221">
        <v>132</v>
      </c>
      <c r="DU98" s="221">
        <v>16</v>
      </c>
      <c r="DV98" s="221">
        <v>12</v>
      </c>
      <c r="DW98" s="221">
        <v>4</v>
      </c>
      <c r="DX98" s="221">
        <v>0</v>
      </c>
      <c r="DY98" s="221">
        <v>3</v>
      </c>
      <c r="DZ98" s="221">
        <v>0</v>
      </c>
      <c r="EA98" s="221">
        <v>2</v>
      </c>
      <c r="EB98" s="221">
        <v>3</v>
      </c>
      <c r="EC98" s="221">
        <v>0</v>
      </c>
      <c r="ED98" s="221">
        <v>5</v>
      </c>
      <c r="EE98" s="221">
        <v>0</v>
      </c>
      <c r="EF98" s="221">
        <v>2</v>
      </c>
      <c r="EG98" s="221">
        <v>0</v>
      </c>
      <c r="EH98" s="221">
        <v>0</v>
      </c>
      <c r="EI98" s="221">
        <v>16</v>
      </c>
      <c r="EJ98" s="221">
        <v>0</v>
      </c>
      <c r="EK98" s="223">
        <v>3440</v>
      </c>
      <c r="EL98" s="241"/>
      <c r="EM98" s="218" t="s">
        <v>7</v>
      </c>
      <c r="EN98" s="219">
        <v>576525.89967589977</v>
      </c>
      <c r="EO98" s="220">
        <v>400282.44681924128</v>
      </c>
      <c r="EP98" s="221">
        <v>294032.15410349122</v>
      </c>
      <c r="EQ98" s="221">
        <v>59060.647893230343</v>
      </c>
      <c r="ER98" s="221">
        <v>48172.6200489771</v>
      </c>
      <c r="ES98" s="221">
        <v>3377.5149179747182</v>
      </c>
      <c r="ET98" s="221">
        <v>4206.7104108764661</v>
      </c>
      <c r="EU98" s="221">
        <v>0</v>
      </c>
      <c r="EV98" s="221">
        <v>259.24252111755493</v>
      </c>
      <c r="EW98" s="221">
        <v>0</v>
      </c>
      <c r="EX98" s="221">
        <v>2324.5282974841043</v>
      </c>
      <c r="EY98" s="221">
        <v>142.80305266443676</v>
      </c>
      <c r="EZ98" s="221">
        <v>0</v>
      </c>
      <c r="FA98" s="221">
        <v>150.12509156328073</v>
      </c>
      <c r="FB98" s="221">
        <v>0</v>
      </c>
      <c r="FC98" s="221">
        <v>7671.6980223491064</v>
      </c>
      <c r="FD98" s="221">
        <v>0</v>
      </c>
      <c r="FE98" s="221">
        <v>0</v>
      </c>
      <c r="FF98" s="221">
        <v>2303.2075991943871</v>
      </c>
      <c r="FG98" s="221">
        <v>0</v>
      </c>
      <c r="FH98" s="223">
        <v>1398509.5984540638</v>
      </c>
    </row>
    <row r="99" spans="2:164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14"/>
      <c r="BV99" s="206"/>
      <c r="BW99" s="208"/>
      <c r="BX99" s="208"/>
      <c r="BY99" s="208"/>
      <c r="BZ99" s="208"/>
      <c r="CA99" s="208"/>
      <c r="CB99" s="208"/>
      <c r="CC99" s="208"/>
      <c r="CD99" s="208"/>
      <c r="CE99" s="208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Q99" s="214"/>
      <c r="CS99" s="206"/>
      <c r="CT99" s="208"/>
      <c r="CU99" s="208"/>
      <c r="CV99" s="208"/>
      <c r="CW99" s="208"/>
      <c r="CX99" s="208"/>
      <c r="CY99" s="208"/>
      <c r="CZ99" s="208"/>
      <c r="DA99" s="208"/>
      <c r="DB99" s="208"/>
      <c r="DC99" s="208"/>
      <c r="DD99" s="208"/>
      <c r="DE99" s="208"/>
      <c r="DF99" s="208"/>
      <c r="DG99" s="208"/>
      <c r="DH99" s="208"/>
      <c r="DI99" s="208"/>
      <c r="DJ99" s="208"/>
      <c r="DK99" s="208"/>
      <c r="DL99" s="208"/>
      <c r="DM99" s="214"/>
      <c r="DN99" s="214"/>
      <c r="DP99" s="214"/>
      <c r="DR99" s="206"/>
      <c r="DS99" s="208"/>
      <c r="DT99" s="208"/>
      <c r="DU99" s="208"/>
      <c r="DV99" s="208"/>
      <c r="DW99" s="208"/>
      <c r="DX99" s="208"/>
      <c r="DY99" s="208"/>
      <c r="DZ99" s="208"/>
      <c r="EA99" s="208"/>
      <c r="EB99" s="208"/>
      <c r="EC99" s="208"/>
      <c r="ED99" s="208"/>
      <c r="EE99" s="208"/>
      <c r="EF99" s="208"/>
      <c r="EG99" s="208"/>
      <c r="EH99" s="208"/>
      <c r="EI99" s="208"/>
      <c r="EJ99" s="208"/>
      <c r="EK99" s="208"/>
      <c r="EL99" s="206"/>
      <c r="EM99" s="214"/>
      <c r="EO99" s="206"/>
      <c r="EP99" s="208"/>
      <c r="EQ99" s="208"/>
      <c r="ER99" s="208"/>
      <c r="ES99" s="208"/>
      <c r="ET99" s="208"/>
      <c r="EU99" s="208"/>
      <c r="EV99" s="208"/>
      <c r="EW99" s="208"/>
      <c r="EX99" s="208"/>
      <c r="EY99" s="208"/>
      <c r="EZ99" s="208"/>
      <c r="FA99" s="208"/>
      <c r="FB99" s="208"/>
      <c r="FC99" s="208"/>
      <c r="FD99" s="208"/>
      <c r="FE99" s="208"/>
      <c r="FF99" s="208"/>
      <c r="FG99" s="208"/>
      <c r="FH99" s="208"/>
    </row>
    <row r="100" spans="2:164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14" t="s">
        <v>231</v>
      </c>
      <c r="BV100" s="206"/>
      <c r="BW100" s="209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Q100" s="214" t="s">
        <v>231</v>
      </c>
      <c r="CS100" s="206"/>
      <c r="CT100" s="209"/>
      <c r="CU100" s="209"/>
      <c r="CV100" s="209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14"/>
      <c r="DN100" s="214"/>
      <c r="DP100" s="214" t="s">
        <v>231</v>
      </c>
      <c r="DR100" s="206"/>
      <c r="DS100" s="209"/>
      <c r="DT100" s="209"/>
      <c r="DU100" s="209"/>
      <c r="DV100" s="209"/>
      <c r="DW100" s="209"/>
      <c r="DX100" s="209"/>
      <c r="DY100" s="209"/>
      <c r="DZ100" s="209"/>
      <c r="EA100" s="209"/>
      <c r="EB100" s="209"/>
      <c r="EC100" s="209"/>
      <c r="ED100" s="209"/>
      <c r="EE100" s="209"/>
      <c r="EF100" s="209"/>
      <c r="EG100" s="209"/>
      <c r="EH100" s="209"/>
      <c r="EI100" s="209"/>
      <c r="EJ100" s="209"/>
      <c r="EK100" s="209"/>
      <c r="EL100" s="206"/>
      <c r="EM100" s="214" t="s">
        <v>231</v>
      </c>
      <c r="EO100" s="206"/>
      <c r="EP100" s="209"/>
      <c r="EQ100" s="209"/>
      <c r="ER100" s="209"/>
      <c r="ES100" s="209"/>
      <c r="ET100" s="209"/>
      <c r="EU100" s="209"/>
      <c r="EV100" s="209"/>
      <c r="EW100" s="209"/>
      <c r="EX100" s="209"/>
      <c r="EY100" s="209"/>
      <c r="EZ100" s="209"/>
      <c r="FA100" s="209"/>
      <c r="FB100" s="209"/>
      <c r="FC100" s="209"/>
      <c r="FD100" s="209"/>
      <c r="FE100" s="209"/>
      <c r="FF100" s="209"/>
      <c r="FG100" s="209"/>
      <c r="FH100" s="209"/>
    </row>
    <row r="101" spans="2:164" ht="36" x14ac:dyDescent="0.2">
      <c r="B101" s="224" t="s">
        <v>331</v>
      </c>
      <c r="C101" s="225" t="s">
        <v>332</v>
      </c>
      <c r="D101" s="225" t="s">
        <v>333</v>
      </c>
      <c r="E101" s="225" t="s">
        <v>334</v>
      </c>
      <c r="F101" s="225" t="s">
        <v>2</v>
      </c>
      <c r="G101" s="225" t="s">
        <v>3</v>
      </c>
      <c r="H101" s="225" t="s">
        <v>335</v>
      </c>
      <c r="I101" s="225" t="s">
        <v>362</v>
      </c>
      <c r="J101" s="225" t="s">
        <v>349</v>
      </c>
      <c r="K101" s="225" t="s">
        <v>337</v>
      </c>
      <c r="L101" s="225" t="s">
        <v>338</v>
      </c>
      <c r="M101" s="225" t="s">
        <v>339</v>
      </c>
      <c r="N101" s="225" t="s">
        <v>340</v>
      </c>
      <c r="O101" s="225" t="s">
        <v>361</v>
      </c>
      <c r="P101" s="225" t="s">
        <v>350</v>
      </c>
      <c r="Q101" s="225" t="s">
        <v>341</v>
      </c>
      <c r="R101" s="225" t="s">
        <v>342</v>
      </c>
      <c r="S101" s="225" t="s">
        <v>343</v>
      </c>
      <c r="T101" s="225" t="s">
        <v>6</v>
      </c>
      <c r="U101" s="225" t="s">
        <v>344</v>
      </c>
      <c r="V101" s="225" t="s">
        <v>345</v>
      </c>
      <c r="W101" s="226" t="s">
        <v>7</v>
      </c>
      <c r="X101" s="209"/>
      <c r="Y101" s="224" t="s">
        <v>331</v>
      </c>
      <c r="Z101" s="225" t="s">
        <v>332</v>
      </c>
      <c r="AA101" s="225" t="s">
        <v>333</v>
      </c>
      <c r="AB101" s="225" t="s">
        <v>334</v>
      </c>
      <c r="AC101" s="225" t="s">
        <v>2</v>
      </c>
      <c r="AD101" s="225" t="s">
        <v>3</v>
      </c>
      <c r="AE101" s="225" t="s">
        <v>335</v>
      </c>
      <c r="AF101" s="225" t="s">
        <v>362</v>
      </c>
      <c r="AG101" s="225" t="s">
        <v>349</v>
      </c>
      <c r="AH101" s="225" t="s">
        <v>337</v>
      </c>
      <c r="AI101" s="225" t="s">
        <v>338</v>
      </c>
      <c r="AJ101" s="225" t="s">
        <v>339</v>
      </c>
      <c r="AK101" s="225" t="s">
        <v>340</v>
      </c>
      <c r="AL101" s="225" t="s">
        <v>361</v>
      </c>
      <c r="AM101" s="225" t="s">
        <v>350</v>
      </c>
      <c r="AN101" s="225" t="s">
        <v>341</v>
      </c>
      <c r="AO101" s="225" t="s">
        <v>342</v>
      </c>
      <c r="AP101" s="225" t="s">
        <v>343</v>
      </c>
      <c r="AQ101" s="225" t="s">
        <v>6</v>
      </c>
      <c r="AR101" s="225" t="s">
        <v>344</v>
      </c>
      <c r="AS101" s="225" t="s">
        <v>345</v>
      </c>
      <c r="AT101" s="226" t="s">
        <v>7</v>
      </c>
      <c r="AV101" s="224" t="s">
        <v>331</v>
      </c>
      <c r="AW101" s="225" t="s">
        <v>332</v>
      </c>
      <c r="AX101" s="225" t="s">
        <v>333</v>
      </c>
      <c r="AY101" s="225" t="s">
        <v>334</v>
      </c>
      <c r="AZ101" s="225" t="s">
        <v>2</v>
      </c>
      <c r="BA101" s="225" t="s">
        <v>3</v>
      </c>
      <c r="BB101" s="225" t="s">
        <v>335</v>
      </c>
      <c r="BC101" s="225" t="s">
        <v>362</v>
      </c>
      <c r="BD101" s="225" t="s">
        <v>349</v>
      </c>
      <c r="BE101" s="225" t="s">
        <v>337</v>
      </c>
      <c r="BF101" s="225" t="s">
        <v>338</v>
      </c>
      <c r="BG101" s="225" t="s">
        <v>339</v>
      </c>
      <c r="BH101" s="225" t="s">
        <v>340</v>
      </c>
      <c r="BI101" s="225" t="s">
        <v>361</v>
      </c>
      <c r="BJ101" s="225" t="s">
        <v>350</v>
      </c>
      <c r="BK101" s="225" t="s">
        <v>341</v>
      </c>
      <c r="BL101" s="225" t="s">
        <v>342</v>
      </c>
      <c r="BM101" s="225" t="s">
        <v>343</v>
      </c>
      <c r="BN101" s="225" t="s">
        <v>6</v>
      </c>
      <c r="BO101" s="225" t="s">
        <v>344</v>
      </c>
      <c r="BP101" s="225" t="s">
        <v>345</v>
      </c>
      <c r="BQ101" s="226" t="s">
        <v>7</v>
      </c>
      <c r="BR101" s="235"/>
      <c r="BS101" s="236"/>
      <c r="BT101" s="224" t="s">
        <v>331</v>
      </c>
      <c r="BU101" s="225" t="s">
        <v>332</v>
      </c>
      <c r="BV101" s="225" t="s">
        <v>333</v>
      </c>
      <c r="BW101" s="225" t="s">
        <v>334</v>
      </c>
      <c r="BX101" s="225" t="s">
        <v>2</v>
      </c>
      <c r="BY101" s="225" t="s">
        <v>3</v>
      </c>
      <c r="BZ101" s="225" t="s">
        <v>335</v>
      </c>
      <c r="CA101" s="225" t="s">
        <v>362</v>
      </c>
      <c r="CB101" s="225" t="s">
        <v>349</v>
      </c>
      <c r="CC101" s="225" t="s">
        <v>337</v>
      </c>
      <c r="CD101" s="225" t="s">
        <v>338</v>
      </c>
      <c r="CE101" s="225" t="s">
        <v>339</v>
      </c>
      <c r="CF101" s="225" t="s">
        <v>340</v>
      </c>
      <c r="CG101" s="225" t="s">
        <v>361</v>
      </c>
      <c r="CH101" s="225" t="s">
        <v>350</v>
      </c>
      <c r="CI101" s="225" t="s">
        <v>341</v>
      </c>
      <c r="CJ101" s="225" t="s">
        <v>342</v>
      </c>
      <c r="CK101" s="225" t="s">
        <v>343</v>
      </c>
      <c r="CL101" s="225" t="s">
        <v>6</v>
      </c>
      <c r="CM101" s="225" t="s">
        <v>344</v>
      </c>
      <c r="CN101" s="225" t="s">
        <v>345</v>
      </c>
      <c r="CO101" s="226" t="s">
        <v>7</v>
      </c>
      <c r="CQ101" s="224" t="s">
        <v>331</v>
      </c>
      <c r="CR101" s="225" t="s">
        <v>332</v>
      </c>
      <c r="CS101" s="225" t="s">
        <v>333</v>
      </c>
      <c r="CT101" s="225" t="s">
        <v>334</v>
      </c>
      <c r="CU101" s="225" t="s">
        <v>2</v>
      </c>
      <c r="CV101" s="225" t="s">
        <v>3</v>
      </c>
      <c r="CW101" s="225" t="s">
        <v>335</v>
      </c>
      <c r="CX101" s="225" t="s">
        <v>362</v>
      </c>
      <c r="CY101" s="225" t="s">
        <v>349</v>
      </c>
      <c r="CZ101" s="225" t="s">
        <v>337</v>
      </c>
      <c r="DA101" s="225" t="s">
        <v>338</v>
      </c>
      <c r="DB101" s="225" t="s">
        <v>339</v>
      </c>
      <c r="DC101" s="225" t="s">
        <v>340</v>
      </c>
      <c r="DD101" s="225" t="s">
        <v>361</v>
      </c>
      <c r="DE101" s="225" t="s">
        <v>350</v>
      </c>
      <c r="DF101" s="225" t="s">
        <v>341</v>
      </c>
      <c r="DG101" s="225" t="s">
        <v>342</v>
      </c>
      <c r="DH101" s="225" t="s">
        <v>343</v>
      </c>
      <c r="DI101" s="225" t="s">
        <v>6</v>
      </c>
      <c r="DJ101" s="225" t="s">
        <v>344</v>
      </c>
      <c r="DK101" s="225" t="s">
        <v>345</v>
      </c>
      <c r="DL101" s="226" t="s">
        <v>7</v>
      </c>
      <c r="DM101" s="214"/>
      <c r="DN101" s="214"/>
      <c r="DP101" s="224" t="s">
        <v>331</v>
      </c>
      <c r="DQ101" s="225" t="s">
        <v>332</v>
      </c>
      <c r="DR101" s="225" t="s">
        <v>333</v>
      </c>
      <c r="DS101" s="225" t="s">
        <v>334</v>
      </c>
      <c r="DT101" s="225" t="s">
        <v>2</v>
      </c>
      <c r="DU101" s="225" t="s">
        <v>3</v>
      </c>
      <c r="DV101" s="225" t="s">
        <v>335</v>
      </c>
      <c r="DW101" s="225" t="s">
        <v>362</v>
      </c>
      <c r="DX101" s="225" t="s">
        <v>349</v>
      </c>
      <c r="DY101" s="225" t="s">
        <v>337</v>
      </c>
      <c r="DZ101" s="225" t="s">
        <v>338</v>
      </c>
      <c r="EA101" s="225" t="s">
        <v>339</v>
      </c>
      <c r="EB101" s="225" t="s">
        <v>340</v>
      </c>
      <c r="EC101" s="225" t="s">
        <v>361</v>
      </c>
      <c r="ED101" s="225" t="s">
        <v>350</v>
      </c>
      <c r="EE101" s="225" t="s">
        <v>341</v>
      </c>
      <c r="EF101" s="225" t="s">
        <v>342</v>
      </c>
      <c r="EG101" s="225" t="s">
        <v>343</v>
      </c>
      <c r="EH101" s="225" t="s">
        <v>6</v>
      </c>
      <c r="EI101" s="225" t="s">
        <v>344</v>
      </c>
      <c r="EJ101" s="225" t="s">
        <v>345</v>
      </c>
      <c r="EK101" s="226" t="s">
        <v>7</v>
      </c>
      <c r="EL101" s="240"/>
      <c r="EM101" s="224" t="s">
        <v>331</v>
      </c>
      <c r="EN101" s="225" t="s">
        <v>332</v>
      </c>
      <c r="EO101" s="225" t="s">
        <v>333</v>
      </c>
      <c r="EP101" s="225" t="s">
        <v>334</v>
      </c>
      <c r="EQ101" s="225" t="s">
        <v>2</v>
      </c>
      <c r="ER101" s="225" t="s">
        <v>3</v>
      </c>
      <c r="ES101" s="225" t="s">
        <v>335</v>
      </c>
      <c r="ET101" s="225" t="s">
        <v>362</v>
      </c>
      <c r="EU101" s="225" t="s">
        <v>349</v>
      </c>
      <c r="EV101" s="225" t="s">
        <v>337</v>
      </c>
      <c r="EW101" s="225" t="s">
        <v>338</v>
      </c>
      <c r="EX101" s="225" t="s">
        <v>339</v>
      </c>
      <c r="EY101" s="225" t="s">
        <v>340</v>
      </c>
      <c r="EZ101" s="225" t="s">
        <v>361</v>
      </c>
      <c r="FA101" s="225" t="s">
        <v>350</v>
      </c>
      <c r="FB101" s="225" t="s">
        <v>341</v>
      </c>
      <c r="FC101" s="225" t="s">
        <v>342</v>
      </c>
      <c r="FD101" s="225" t="s">
        <v>343</v>
      </c>
      <c r="FE101" s="225" t="s">
        <v>6</v>
      </c>
      <c r="FF101" s="225" t="s">
        <v>344</v>
      </c>
      <c r="FG101" s="225" t="s">
        <v>345</v>
      </c>
      <c r="FH101" s="226" t="s">
        <v>7</v>
      </c>
    </row>
    <row r="102" spans="2:164" x14ac:dyDescent="0.2">
      <c r="B102" s="233" t="s">
        <v>332</v>
      </c>
      <c r="C102" s="227">
        <v>6880</v>
      </c>
      <c r="D102" s="227">
        <v>937</v>
      </c>
      <c r="E102" s="227">
        <v>283</v>
      </c>
      <c r="F102" s="227">
        <v>24</v>
      </c>
      <c r="G102" s="227">
        <v>0</v>
      </c>
      <c r="H102" s="227">
        <v>8</v>
      </c>
      <c r="I102" s="227">
        <v>7</v>
      </c>
      <c r="J102" s="227">
        <v>0</v>
      </c>
      <c r="K102" s="227">
        <v>0</v>
      </c>
      <c r="L102" s="227">
        <v>10</v>
      </c>
      <c r="M102" s="227">
        <v>2</v>
      </c>
      <c r="N102" s="227">
        <v>0</v>
      </c>
      <c r="O102" s="227">
        <v>6</v>
      </c>
      <c r="P102" s="227">
        <v>3</v>
      </c>
      <c r="Q102" s="227">
        <v>0</v>
      </c>
      <c r="R102" s="227">
        <v>10</v>
      </c>
      <c r="S102" s="227">
        <v>1</v>
      </c>
      <c r="T102" s="227">
        <v>4</v>
      </c>
      <c r="U102" s="227">
        <v>2</v>
      </c>
      <c r="V102" s="227">
        <v>0</v>
      </c>
      <c r="W102" s="230">
        <v>8177</v>
      </c>
      <c r="X102" s="209"/>
      <c r="Y102" s="233" t="s">
        <v>332</v>
      </c>
      <c r="Z102" s="227">
        <v>1816598.7797230922</v>
      </c>
      <c r="AA102" s="227">
        <v>316471.57803529693</v>
      </c>
      <c r="AB102" s="227">
        <v>130959.25470638393</v>
      </c>
      <c r="AC102" s="254">
        <v>4257.6069397532056</v>
      </c>
      <c r="AD102" s="254">
        <v>0</v>
      </c>
      <c r="AE102" s="254">
        <v>2336.9030004253673</v>
      </c>
      <c r="AF102" s="254">
        <v>240.49231247908915</v>
      </c>
      <c r="AG102" s="254">
        <v>0</v>
      </c>
      <c r="AH102" s="254">
        <v>0</v>
      </c>
      <c r="AI102" s="254">
        <v>13313.308577361378</v>
      </c>
      <c r="AJ102" s="254">
        <v>40.108075757422775</v>
      </c>
      <c r="AK102" s="254">
        <v>0</v>
      </c>
      <c r="AL102" s="254">
        <v>386.90041304327235</v>
      </c>
      <c r="AM102" s="254">
        <v>94.79899947710723</v>
      </c>
      <c r="AN102" s="254">
        <v>0</v>
      </c>
      <c r="AO102" s="254">
        <v>587.10195533714057</v>
      </c>
      <c r="AP102" s="254">
        <v>104.91741902271828</v>
      </c>
      <c r="AQ102" s="254">
        <v>308.99554077149537</v>
      </c>
      <c r="AR102" s="254">
        <v>372.47995448251834</v>
      </c>
      <c r="AS102" s="254">
        <v>0</v>
      </c>
      <c r="AT102" s="230">
        <v>2286073.225652684</v>
      </c>
      <c r="AV102" s="233" t="s">
        <v>332</v>
      </c>
      <c r="AW102" s="227">
        <v>1816598.7797230922</v>
      </c>
      <c r="AX102" s="227">
        <v>316471.57803529693</v>
      </c>
      <c r="AY102" s="227">
        <v>130959.25470638393</v>
      </c>
      <c r="AZ102" s="232">
        <v>0</v>
      </c>
      <c r="BA102" s="254">
        <v>0</v>
      </c>
      <c r="BB102" s="232">
        <v>0</v>
      </c>
      <c r="BC102" s="232">
        <v>0</v>
      </c>
      <c r="BD102" s="254">
        <v>0</v>
      </c>
      <c r="BE102" s="254">
        <v>0</v>
      </c>
      <c r="BF102" s="232">
        <v>0</v>
      </c>
      <c r="BG102" s="232">
        <v>0</v>
      </c>
      <c r="BH102" s="254">
        <v>0</v>
      </c>
      <c r="BI102" s="232">
        <v>0</v>
      </c>
      <c r="BJ102" s="232">
        <v>0</v>
      </c>
      <c r="BK102" s="254">
        <v>0</v>
      </c>
      <c r="BL102" s="232">
        <v>0</v>
      </c>
      <c r="BM102" s="232">
        <v>0</v>
      </c>
      <c r="BN102" s="232">
        <v>0</v>
      </c>
      <c r="BO102" s="232">
        <v>0</v>
      </c>
      <c r="BP102" s="254">
        <v>0</v>
      </c>
      <c r="BQ102" s="230">
        <f t="shared" ref="BQ102:BQ122" si="62">SUM(AW102:BP102)</f>
        <v>2264029.6124647735</v>
      </c>
      <c r="BR102" s="237"/>
      <c r="BS102" s="227"/>
      <c r="BT102" s="233" t="s">
        <v>332</v>
      </c>
      <c r="BU102" s="227">
        <v>799</v>
      </c>
      <c r="BV102" s="227">
        <v>105</v>
      </c>
      <c r="BW102" s="227">
        <v>37</v>
      </c>
      <c r="BX102" s="227">
        <v>0</v>
      </c>
      <c r="BY102" s="227">
        <v>0</v>
      </c>
      <c r="BZ102" s="227">
        <v>0</v>
      </c>
      <c r="CA102" s="227">
        <v>0</v>
      </c>
      <c r="CB102" s="227">
        <v>0</v>
      </c>
      <c r="CC102" s="227">
        <v>0</v>
      </c>
      <c r="CD102" s="227">
        <v>0</v>
      </c>
      <c r="CE102" s="227">
        <v>0</v>
      </c>
      <c r="CF102" s="227">
        <v>0</v>
      </c>
      <c r="CG102" s="227">
        <v>0</v>
      </c>
      <c r="CH102" s="227">
        <v>3</v>
      </c>
      <c r="CI102" s="227">
        <v>0</v>
      </c>
      <c r="CJ102" s="227">
        <v>1</v>
      </c>
      <c r="CK102" s="227">
        <v>0</v>
      </c>
      <c r="CL102" s="227">
        <v>0</v>
      </c>
      <c r="CM102" s="227">
        <v>0</v>
      </c>
      <c r="CN102" s="227">
        <v>0</v>
      </c>
      <c r="CO102" s="230">
        <v>945</v>
      </c>
      <c r="CP102" s="236"/>
      <c r="CQ102" s="233" t="s">
        <v>332</v>
      </c>
      <c r="CR102" s="227">
        <v>220595.65955250143</v>
      </c>
      <c r="CS102" s="227">
        <v>47250.892506807475</v>
      </c>
      <c r="CT102" s="227">
        <v>28820.696248029781</v>
      </c>
      <c r="CU102" s="227">
        <v>0</v>
      </c>
      <c r="CV102" s="227">
        <v>0</v>
      </c>
      <c r="CW102" s="227">
        <v>0</v>
      </c>
      <c r="CX102" s="227">
        <v>0</v>
      </c>
      <c r="CY102" s="227">
        <v>0</v>
      </c>
      <c r="CZ102" s="227">
        <v>0</v>
      </c>
      <c r="DA102" s="227">
        <v>0</v>
      </c>
      <c r="DB102" s="227">
        <v>0</v>
      </c>
      <c r="DC102" s="227">
        <v>0</v>
      </c>
      <c r="DD102" s="227">
        <v>0</v>
      </c>
      <c r="DE102" s="227">
        <v>94.79899947710723</v>
      </c>
      <c r="DF102" s="227">
        <v>0</v>
      </c>
      <c r="DG102" s="227">
        <v>130.78781030513508</v>
      </c>
      <c r="DH102" s="227">
        <v>0</v>
      </c>
      <c r="DI102" s="227">
        <v>0</v>
      </c>
      <c r="DJ102" s="227">
        <v>0</v>
      </c>
      <c r="DK102" s="227">
        <v>0</v>
      </c>
      <c r="DL102" s="230">
        <v>296892.83511712094</v>
      </c>
      <c r="DM102" s="235"/>
      <c r="DN102" s="235"/>
      <c r="DO102" s="236"/>
      <c r="DP102" s="233" t="s">
        <v>332</v>
      </c>
      <c r="DQ102" s="227">
        <v>1437</v>
      </c>
      <c r="DR102" s="227">
        <v>189</v>
      </c>
      <c r="DS102" s="227">
        <v>56</v>
      </c>
      <c r="DT102" s="227">
        <v>0</v>
      </c>
      <c r="DU102" s="227">
        <v>0</v>
      </c>
      <c r="DV102" s="227">
        <v>0</v>
      </c>
      <c r="DW102" s="227">
        <v>0</v>
      </c>
      <c r="DX102" s="227">
        <v>0</v>
      </c>
      <c r="DY102" s="227">
        <v>0</v>
      </c>
      <c r="DZ102" s="227">
        <v>0</v>
      </c>
      <c r="EA102" s="227">
        <v>0</v>
      </c>
      <c r="EB102" s="227">
        <v>0</v>
      </c>
      <c r="EC102" s="227">
        <v>0</v>
      </c>
      <c r="ED102" s="227">
        <v>3</v>
      </c>
      <c r="EE102" s="227">
        <v>0</v>
      </c>
      <c r="EF102" s="227">
        <v>1</v>
      </c>
      <c r="EG102" s="227">
        <v>0</v>
      </c>
      <c r="EH102" s="227">
        <v>0</v>
      </c>
      <c r="EI102" s="227">
        <v>0</v>
      </c>
      <c r="EJ102" s="227">
        <v>0</v>
      </c>
      <c r="EK102" s="230">
        <v>1686</v>
      </c>
      <c r="EL102" s="239"/>
      <c r="EM102" s="233" t="s">
        <v>332</v>
      </c>
      <c r="EN102" s="227">
        <v>429121.5399265844</v>
      </c>
      <c r="EO102" s="227">
        <v>70358.382852787079</v>
      </c>
      <c r="EP102" s="227">
        <v>40911.115255960336</v>
      </c>
      <c r="EQ102" s="227">
        <v>0</v>
      </c>
      <c r="ER102" s="227">
        <v>0</v>
      </c>
      <c r="ES102" s="227">
        <v>0</v>
      </c>
      <c r="ET102" s="227">
        <v>0</v>
      </c>
      <c r="EU102" s="227">
        <v>0</v>
      </c>
      <c r="EV102" s="227">
        <v>0</v>
      </c>
      <c r="EW102" s="227">
        <v>0</v>
      </c>
      <c r="EX102" s="227">
        <v>0</v>
      </c>
      <c r="EY102" s="227">
        <v>0</v>
      </c>
      <c r="EZ102" s="227">
        <v>0</v>
      </c>
      <c r="FA102" s="227">
        <v>94.79899947710723</v>
      </c>
      <c r="FB102" s="227">
        <v>0</v>
      </c>
      <c r="FC102" s="227">
        <v>130.78781030513508</v>
      </c>
      <c r="FD102" s="227">
        <v>0</v>
      </c>
      <c r="FE102" s="227">
        <v>0</v>
      </c>
      <c r="FF102" s="227">
        <v>0</v>
      </c>
      <c r="FG102" s="227">
        <v>0</v>
      </c>
      <c r="FH102" s="230">
        <v>540616.62484511407</v>
      </c>
    </row>
    <row r="103" spans="2:164" x14ac:dyDescent="0.2">
      <c r="B103" s="215" t="s">
        <v>333</v>
      </c>
      <c r="C103" s="227">
        <v>0</v>
      </c>
      <c r="D103" s="227">
        <v>3007</v>
      </c>
      <c r="E103" s="227">
        <v>359</v>
      </c>
      <c r="F103" s="227">
        <v>0</v>
      </c>
      <c r="G103" s="227">
        <v>0</v>
      </c>
      <c r="H103" s="227">
        <v>32</v>
      </c>
      <c r="I103" s="227">
        <v>7</v>
      </c>
      <c r="J103" s="227">
        <v>1</v>
      </c>
      <c r="K103" s="227">
        <v>3</v>
      </c>
      <c r="L103" s="227">
        <v>12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22</v>
      </c>
      <c r="V103" s="227">
        <v>2</v>
      </c>
      <c r="W103" s="230">
        <v>3470</v>
      </c>
      <c r="X103" s="209"/>
      <c r="Y103" s="215" t="s">
        <v>333</v>
      </c>
      <c r="Z103" s="227">
        <v>0</v>
      </c>
      <c r="AA103" s="227">
        <v>1051430.0289935293</v>
      </c>
      <c r="AB103" s="227">
        <v>160457.65065177347</v>
      </c>
      <c r="AC103" s="227">
        <v>0</v>
      </c>
      <c r="AD103" s="227">
        <v>0</v>
      </c>
      <c r="AE103" s="227">
        <v>35046.06139353547</v>
      </c>
      <c r="AF103" s="227">
        <v>233.70069974136624</v>
      </c>
      <c r="AG103" s="227">
        <v>42.042793364129501</v>
      </c>
      <c r="AH103" s="227">
        <v>349.20608937468796</v>
      </c>
      <c r="AI103" s="227">
        <v>590.6827049791732</v>
      </c>
      <c r="AJ103" s="227">
        <v>13.163884568314911</v>
      </c>
      <c r="AK103" s="254">
        <v>108.26755933521881</v>
      </c>
      <c r="AL103" s="254">
        <v>117.37429107516306</v>
      </c>
      <c r="AM103" s="254">
        <v>31.599666492369074</v>
      </c>
      <c r="AN103" s="254">
        <v>0</v>
      </c>
      <c r="AO103" s="254">
        <v>10793.149709150313</v>
      </c>
      <c r="AP103" s="254">
        <v>79.690216155135388</v>
      </c>
      <c r="AQ103" s="227">
        <v>2471.5515688250866</v>
      </c>
      <c r="AR103" s="227">
        <v>3390.8961038281282</v>
      </c>
      <c r="AS103" s="227">
        <v>205.16013072997288</v>
      </c>
      <c r="AT103" s="230">
        <v>1265360.2264564571</v>
      </c>
      <c r="AV103" s="215" t="s">
        <v>333</v>
      </c>
      <c r="AW103" s="227">
        <v>0</v>
      </c>
      <c r="AX103" s="227">
        <v>1051430.0289935293</v>
      </c>
      <c r="AY103" s="227">
        <v>160457.65065177347</v>
      </c>
      <c r="AZ103" s="227">
        <v>0</v>
      </c>
      <c r="BA103" s="227">
        <v>0</v>
      </c>
      <c r="BB103" s="227">
        <v>35046.06139353547</v>
      </c>
      <c r="BC103" s="227">
        <v>233.70069974136624</v>
      </c>
      <c r="BD103" s="227">
        <v>42.042793364129501</v>
      </c>
      <c r="BE103" s="227">
        <v>349.20608937468796</v>
      </c>
      <c r="BF103" s="227">
        <v>590.6827049791732</v>
      </c>
      <c r="BG103" s="227">
        <v>13.163884568314911</v>
      </c>
      <c r="BH103" s="232">
        <v>0</v>
      </c>
      <c r="BI103" s="232">
        <v>0</v>
      </c>
      <c r="BJ103" s="232">
        <v>0</v>
      </c>
      <c r="BK103" s="254">
        <v>0</v>
      </c>
      <c r="BL103" s="232">
        <v>0</v>
      </c>
      <c r="BM103" s="232">
        <v>0</v>
      </c>
      <c r="BN103" s="227">
        <v>2471.5515688250866</v>
      </c>
      <c r="BO103" s="227">
        <v>3390.8961038281282</v>
      </c>
      <c r="BP103" s="227">
        <v>205.16013072997288</v>
      </c>
      <c r="BQ103" s="230">
        <f t="shared" si="62"/>
        <v>1254230.1450142486</v>
      </c>
      <c r="BR103" s="237"/>
      <c r="BS103" s="227"/>
      <c r="BT103" s="215" t="s">
        <v>333</v>
      </c>
      <c r="BU103" s="227">
        <v>0</v>
      </c>
      <c r="BV103" s="227">
        <v>364</v>
      </c>
      <c r="BW103" s="227">
        <v>45</v>
      </c>
      <c r="BX103" s="227">
        <v>0</v>
      </c>
      <c r="BY103" s="227">
        <v>0</v>
      </c>
      <c r="BZ103" s="227">
        <v>4</v>
      </c>
      <c r="CA103" s="227">
        <v>0</v>
      </c>
      <c r="CB103" s="227">
        <v>1</v>
      </c>
      <c r="CC103" s="227">
        <v>0</v>
      </c>
      <c r="CD103" s="227">
        <v>0</v>
      </c>
      <c r="CE103" s="227">
        <v>0</v>
      </c>
      <c r="CF103" s="227">
        <v>0</v>
      </c>
      <c r="CG103" s="227">
        <v>0</v>
      </c>
      <c r="CH103" s="227">
        <v>1</v>
      </c>
      <c r="CI103" s="227">
        <v>0</v>
      </c>
      <c r="CJ103" s="227">
        <v>1</v>
      </c>
      <c r="CK103" s="227">
        <v>0</v>
      </c>
      <c r="CL103" s="227">
        <v>0</v>
      </c>
      <c r="CM103" s="227">
        <v>0</v>
      </c>
      <c r="CN103" s="227">
        <v>0</v>
      </c>
      <c r="CO103" s="230">
        <v>416</v>
      </c>
      <c r="CP103" s="227"/>
      <c r="CQ103" s="215" t="s">
        <v>333</v>
      </c>
      <c r="CR103" s="227">
        <v>0</v>
      </c>
      <c r="CS103" s="227">
        <v>98020.744442752184</v>
      </c>
      <c r="CT103" s="227">
        <v>8959.5643549807664</v>
      </c>
      <c r="CU103" s="227">
        <v>0</v>
      </c>
      <c r="CV103" s="227">
        <v>0</v>
      </c>
      <c r="CW103" s="227">
        <v>15277.664875539052</v>
      </c>
      <c r="CX103" s="227">
        <v>0</v>
      </c>
      <c r="CY103" s="227">
        <v>42.042793364129501</v>
      </c>
      <c r="CZ103" s="227">
        <v>0</v>
      </c>
      <c r="DA103" s="227">
        <v>0</v>
      </c>
      <c r="DB103" s="227">
        <v>0</v>
      </c>
      <c r="DC103" s="227">
        <v>0</v>
      </c>
      <c r="DD103" s="227">
        <v>0</v>
      </c>
      <c r="DE103" s="227">
        <v>31.599666492369074</v>
      </c>
      <c r="DF103" s="227">
        <v>0</v>
      </c>
      <c r="DG103" s="227">
        <v>130.78781030513508</v>
      </c>
      <c r="DH103" s="227">
        <v>0</v>
      </c>
      <c r="DI103" s="227">
        <v>0</v>
      </c>
      <c r="DJ103" s="227">
        <v>0</v>
      </c>
      <c r="DK103" s="227">
        <v>0</v>
      </c>
      <c r="DL103" s="230">
        <v>122462.40394343364</v>
      </c>
      <c r="DM103" s="237"/>
      <c r="DN103" s="237"/>
      <c r="DO103" s="227"/>
      <c r="DP103" s="215" t="s">
        <v>333</v>
      </c>
      <c r="DQ103" s="227">
        <v>0</v>
      </c>
      <c r="DR103" s="227">
        <v>587</v>
      </c>
      <c r="DS103" s="227">
        <v>70</v>
      </c>
      <c r="DT103" s="227">
        <v>0</v>
      </c>
      <c r="DU103" s="227">
        <v>0</v>
      </c>
      <c r="DV103" s="227">
        <v>4</v>
      </c>
      <c r="DW103" s="227">
        <v>0</v>
      </c>
      <c r="DX103" s="227">
        <v>1</v>
      </c>
      <c r="DY103" s="227">
        <v>0</v>
      </c>
      <c r="DZ103" s="227">
        <v>0</v>
      </c>
      <c r="EA103" s="227">
        <v>0</v>
      </c>
      <c r="EB103" s="227">
        <v>0</v>
      </c>
      <c r="EC103" s="227">
        <v>0</v>
      </c>
      <c r="ED103" s="227">
        <v>1</v>
      </c>
      <c r="EE103" s="227">
        <v>0</v>
      </c>
      <c r="EF103" s="227">
        <v>1</v>
      </c>
      <c r="EG103" s="227">
        <v>0</v>
      </c>
      <c r="EH103" s="227">
        <v>0</v>
      </c>
      <c r="EI103" s="227">
        <v>0</v>
      </c>
      <c r="EJ103" s="227">
        <v>0</v>
      </c>
      <c r="EK103" s="230">
        <v>664</v>
      </c>
      <c r="EL103" s="227"/>
      <c r="EM103" s="215" t="s">
        <v>333</v>
      </c>
      <c r="EN103" s="227">
        <v>0</v>
      </c>
      <c r="EO103" s="227">
        <v>179832.56971324253</v>
      </c>
      <c r="EP103" s="227">
        <v>16626.345838753816</v>
      </c>
      <c r="EQ103" s="227">
        <v>0</v>
      </c>
      <c r="ER103" s="227">
        <v>0</v>
      </c>
      <c r="ES103" s="227">
        <v>15277.664875539052</v>
      </c>
      <c r="ET103" s="227">
        <v>0</v>
      </c>
      <c r="EU103" s="227">
        <v>42.042793364129501</v>
      </c>
      <c r="EV103" s="227">
        <v>0</v>
      </c>
      <c r="EW103" s="227">
        <v>0</v>
      </c>
      <c r="EX103" s="227">
        <v>0</v>
      </c>
      <c r="EY103" s="227">
        <v>0</v>
      </c>
      <c r="EZ103" s="227">
        <v>0</v>
      </c>
      <c r="FA103" s="227">
        <v>31.599666492369074</v>
      </c>
      <c r="FB103" s="227">
        <v>0</v>
      </c>
      <c r="FC103" s="227">
        <v>130.78781030513508</v>
      </c>
      <c r="FD103" s="227">
        <v>0</v>
      </c>
      <c r="FE103" s="227">
        <v>0</v>
      </c>
      <c r="FF103" s="227">
        <v>0</v>
      </c>
      <c r="FG103" s="227">
        <v>0</v>
      </c>
      <c r="FH103" s="230">
        <v>211941.01069769703</v>
      </c>
    </row>
    <row r="104" spans="2:164" ht="24" x14ac:dyDescent="0.2">
      <c r="B104" s="216" t="s">
        <v>334</v>
      </c>
      <c r="C104" s="227">
        <v>0</v>
      </c>
      <c r="D104" s="228">
        <v>0</v>
      </c>
      <c r="E104" s="229">
        <v>963</v>
      </c>
      <c r="F104" s="229">
        <v>0</v>
      </c>
      <c r="G104" s="229">
        <v>0</v>
      </c>
      <c r="H104" s="229">
        <v>20</v>
      </c>
      <c r="I104" s="229">
        <v>4</v>
      </c>
      <c r="J104" s="229">
        <v>0</v>
      </c>
      <c r="K104" s="229">
        <v>1</v>
      </c>
      <c r="L104" s="229">
        <v>2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2</v>
      </c>
      <c r="T104" s="229">
        <v>2</v>
      </c>
      <c r="U104" s="229">
        <v>12</v>
      </c>
      <c r="V104" s="229">
        <v>0</v>
      </c>
      <c r="W104" s="231">
        <v>1006</v>
      </c>
      <c r="X104" s="210"/>
      <c r="Y104" s="216" t="s">
        <v>334</v>
      </c>
      <c r="Z104" s="227">
        <v>0</v>
      </c>
      <c r="AA104" s="228">
        <v>0</v>
      </c>
      <c r="AB104" s="229">
        <v>510584.81320336752</v>
      </c>
      <c r="AC104" s="229">
        <v>0</v>
      </c>
      <c r="AD104" s="229">
        <v>0</v>
      </c>
      <c r="AE104" s="229">
        <v>4653.1155487148826</v>
      </c>
      <c r="AF104" s="229">
        <v>64.059253883941082</v>
      </c>
      <c r="AG104" s="229">
        <v>0</v>
      </c>
      <c r="AH104" s="229">
        <v>240.36451744804359</v>
      </c>
      <c r="AI104" s="229">
        <v>544.55762691931568</v>
      </c>
      <c r="AJ104" s="229">
        <v>0</v>
      </c>
      <c r="AK104" s="256">
        <v>0</v>
      </c>
      <c r="AL104" s="256">
        <v>0</v>
      </c>
      <c r="AM104" s="256">
        <v>0</v>
      </c>
      <c r="AN104" s="256">
        <v>0</v>
      </c>
      <c r="AO104" s="256">
        <v>0</v>
      </c>
      <c r="AP104" s="256">
        <v>556.53809621600226</v>
      </c>
      <c r="AQ104" s="229">
        <v>823.85052294169554</v>
      </c>
      <c r="AR104" s="229">
        <v>3405.5344535734271</v>
      </c>
      <c r="AS104" s="229">
        <v>0</v>
      </c>
      <c r="AT104" s="231">
        <v>520872.83322306478</v>
      </c>
      <c r="AV104" s="216" t="s">
        <v>334</v>
      </c>
      <c r="AW104" s="227">
        <v>0</v>
      </c>
      <c r="AX104" s="228">
        <v>0</v>
      </c>
      <c r="AY104" s="229">
        <v>510584.81320336752</v>
      </c>
      <c r="AZ104" s="229">
        <v>0</v>
      </c>
      <c r="BA104" s="229">
        <v>0</v>
      </c>
      <c r="BB104" s="229">
        <v>4653.1155487148826</v>
      </c>
      <c r="BC104" s="229">
        <v>64.059253883941082</v>
      </c>
      <c r="BD104" s="229">
        <v>0</v>
      </c>
      <c r="BE104" s="229">
        <v>240.36451744804359</v>
      </c>
      <c r="BF104" s="229">
        <v>544.55762691931568</v>
      </c>
      <c r="BG104" s="229">
        <v>0</v>
      </c>
      <c r="BH104" s="256">
        <v>0</v>
      </c>
      <c r="BI104" s="256">
        <v>0</v>
      </c>
      <c r="BJ104" s="256">
        <v>0</v>
      </c>
      <c r="BK104" s="256">
        <v>0</v>
      </c>
      <c r="BL104" s="256">
        <v>0</v>
      </c>
      <c r="BM104" s="260">
        <v>0</v>
      </c>
      <c r="BN104" s="229">
        <v>823.85052294169554</v>
      </c>
      <c r="BO104" s="229">
        <v>3405.5344535734271</v>
      </c>
      <c r="BP104" s="229">
        <v>0</v>
      </c>
      <c r="BQ104" s="230">
        <f t="shared" si="62"/>
        <v>520316.2951268488</v>
      </c>
      <c r="BR104" s="238"/>
      <c r="BS104" s="227"/>
      <c r="BT104" s="216" t="s">
        <v>334</v>
      </c>
      <c r="BU104" s="227">
        <v>0</v>
      </c>
      <c r="BV104" s="228">
        <v>0</v>
      </c>
      <c r="BW104" s="229">
        <v>94</v>
      </c>
      <c r="BX104" s="229">
        <v>0</v>
      </c>
      <c r="BY104" s="229">
        <v>0</v>
      </c>
      <c r="BZ104" s="229">
        <v>0</v>
      </c>
      <c r="CA104" s="229">
        <v>0</v>
      </c>
      <c r="CB104" s="229">
        <v>0</v>
      </c>
      <c r="CC104" s="229">
        <v>0</v>
      </c>
      <c r="CD104" s="229">
        <v>0</v>
      </c>
      <c r="CE104" s="229">
        <v>0</v>
      </c>
      <c r="CF104" s="229">
        <v>0</v>
      </c>
      <c r="CG104" s="229">
        <v>0</v>
      </c>
      <c r="CH104" s="229">
        <v>0</v>
      </c>
      <c r="CI104" s="229">
        <v>0</v>
      </c>
      <c r="CJ104" s="229">
        <v>0</v>
      </c>
      <c r="CK104" s="229">
        <v>0</v>
      </c>
      <c r="CL104" s="229">
        <v>0</v>
      </c>
      <c r="CM104" s="229">
        <v>0</v>
      </c>
      <c r="CN104" s="229">
        <v>0</v>
      </c>
      <c r="CO104" s="231">
        <v>94</v>
      </c>
      <c r="CP104" s="227"/>
      <c r="CQ104" s="216" t="s">
        <v>334</v>
      </c>
      <c r="CR104" s="227">
        <v>0</v>
      </c>
      <c r="CS104" s="228">
        <v>0</v>
      </c>
      <c r="CT104" s="229">
        <v>40098.419544557932</v>
      </c>
      <c r="CU104" s="229">
        <v>0</v>
      </c>
      <c r="CV104" s="229">
        <v>0</v>
      </c>
      <c r="CW104" s="229">
        <v>0</v>
      </c>
      <c r="CX104" s="229">
        <v>0</v>
      </c>
      <c r="CY104" s="229">
        <v>0</v>
      </c>
      <c r="CZ104" s="229">
        <v>0</v>
      </c>
      <c r="DA104" s="229">
        <v>0</v>
      </c>
      <c r="DB104" s="229">
        <v>0</v>
      </c>
      <c r="DC104" s="229">
        <v>0</v>
      </c>
      <c r="DD104" s="229">
        <v>0</v>
      </c>
      <c r="DE104" s="229">
        <v>0</v>
      </c>
      <c r="DF104" s="229">
        <v>0</v>
      </c>
      <c r="DG104" s="229">
        <v>0</v>
      </c>
      <c r="DH104" s="229">
        <v>0</v>
      </c>
      <c r="DI104" s="229">
        <v>0</v>
      </c>
      <c r="DJ104" s="229">
        <v>0</v>
      </c>
      <c r="DK104" s="229">
        <v>0</v>
      </c>
      <c r="DL104" s="231">
        <v>40098.419544557932</v>
      </c>
      <c r="DM104" s="237"/>
      <c r="DN104" s="237"/>
      <c r="DO104" s="227"/>
      <c r="DP104" s="216" t="s">
        <v>334</v>
      </c>
      <c r="DQ104" s="227">
        <v>0</v>
      </c>
      <c r="DR104" s="228">
        <v>0</v>
      </c>
      <c r="DS104" s="229">
        <v>181</v>
      </c>
      <c r="DT104" s="229">
        <v>0</v>
      </c>
      <c r="DU104" s="229">
        <v>0</v>
      </c>
      <c r="DV104" s="229">
        <v>1</v>
      </c>
      <c r="DW104" s="229">
        <v>0</v>
      </c>
      <c r="DX104" s="229">
        <v>0</v>
      </c>
      <c r="DY104" s="229">
        <v>0</v>
      </c>
      <c r="DZ104" s="229">
        <v>0</v>
      </c>
      <c r="EA104" s="229">
        <v>0</v>
      </c>
      <c r="EB104" s="229">
        <v>0</v>
      </c>
      <c r="EC104" s="229">
        <v>0</v>
      </c>
      <c r="ED104" s="229">
        <v>0</v>
      </c>
      <c r="EE104" s="229">
        <v>0</v>
      </c>
      <c r="EF104" s="229">
        <v>0</v>
      </c>
      <c r="EG104" s="229">
        <v>0</v>
      </c>
      <c r="EH104" s="229">
        <v>0</v>
      </c>
      <c r="EI104" s="229">
        <v>1</v>
      </c>
      <c r="EJ104" s="229">
        <v>0</v>
      </c>
      <c r="EK104" s="231">
        <v>183</v>
      </c>
      <c r="EL104" s="227"/>
      <c r="EM104" s="216" t="s">
        <v>334</v>
      </c>
      <c r="EN104" s="227">
        <v>0</v>
      </c>
      <c r="EO104" s="228">
        <v>0</v>
      </c>
      <c r="EP104" s="229">
        <v>123966.99677571958</v>
      </c>
      <c r="EQ104" s="229">
        <v>0</v>
      </c>
      <c r="ER104" s="229">
        <v>0</v>
      </c>
      <c r="ES104" s="229">
        <v>33.724264534973599</v>
      </c>
      <c r="ET104" s="229">
        <v>0</v>
      </c>
      <c r="EU104" s="229">
        <v>0</v>
      </c>
      <c r="EV104" s="229">
        <v>0</v>
      </c>
      <c r="EW104" s="229">
        <v>0</v>
      </c>
      <c r="EX104" s="229">
        <v>0</v>
      </c>
      <c r="EY104" s="229">
        <v>0</v>
      </c>
      <c r="EZ104" s="229">
        <v>0</v>
      </c>
      <c r="FA104" s="229">
        <v>0</v>
      </c>
      <c r="FB104" s="229">
        <v>0</v>
      </c>
      <c r="FC104" s="229">
        <v>0</v>
      </c>
      <c r="FD104" s="229">
        <v>0</v>
      </c>
      <c r="FE104" s="229">
        <v>0</v>
      </c>
      <c r="FF104" s="229">
        <v>1196.3197300599522</v>
      </c>
      <c r="FG104" s="229">
        <v>0</v>
      </c>
      <c r="FH104" s="231">
        <v>125197.04077031452</v>
      </c>
    </row>
    <row r="105" spans="2:164" x14ac:dyDescent="0.2">
      <c r="B105" s="217" t="s">
        <v>2</v>
      </c>
      <c r="C105" s="227">
        <v>327</v>
      </c>
      <c r="D105" s="228">
        <v>380</v>
      </c>
      <c r="E105" s="208">
        <v>225</v>
      </c>
      <c r="F105" s="208">
        <v>8531</v>
      </c>
      <c r="G105" s="208">
        <v>73</v>
      </c>
      <c r="H105" s="208">
        <v>298</v>
      </c>
      <c r="I105" s="208">
        <v>69</v>
      </c>
      <c r="J105" s="208">
        <v>4</v>
      </c>
      <c r="K105" s="208">
        <v>12</v>
      </c>
      <c r="L105" s="208">
        <v>64</v>
      </c>
      <c r="M105" s="208">
        <v>8</v>
      </c>
      <c r="N105" s="208">
        <v>13</v>
      </c>
      <c r="O105" s="208">
        <v>2</v>
      </c>
      <c r="P105" s="208">
        <v>9</v>
      </c>
      <c r="Q105" s="208">
        <v>0</v>
      </c>
      <c r="R105" s="208">
        <v>17</v>
      </c>
      <c r="S105" s="208">
        <v>0</v>
      </c>
      <c r="T105" s="208">
        <v>4</v>
      </c>
      <c r="U105" s="208">
        <v>43</v>
      </c>
      <c r="V105" s="208">
        <v>3</v>
      </c>
      <c r="W105" s="222">
        <v>10082</v>
      </c>
      <c r="X105" s="209"/>
      <c r="Y105" s="217" t="s">
        <v>2</v>
      </c>
      <c r="Z105" s="227">
        <v>84653.482185648129</v>
      </c>
      <c r="AA105" s="228">
        <v>84337.539051529398</v>
      </c>
      <c r="AB105" s="208">
        <v>63904.521117281438</v>
      </c>
      <c r="AC105" s="208">
        <v>1901262.3526099424</v>
      </c>
      <c r="AD105" s="255">
        <v>15361.316149767095</v>
      </c>
      <c r="AE105" s="208">
        <v>73433.658657615582</v>
      </c>
      <c r="AF105" s="208">
        <v>8311.0072497090259</v>
      </c>
      <c r="AG105" s="208">
        <v>111.50221629079809</v>
      </c>
      <c r="AH105" s="208">
        <v>799.55108085758275</v>
      </c>
      <c r="AI105" s="208">
        <v>6400.432307181788</v>
      </c>
      <c r="AJ105" s="208">
        <v>1101.3471046264058</v>
      </c>
      <c r="AK105" s="255">
        <v>24198.30889630202</v>
      </c>
      <c r="AL105" s="255">
        <v>131.38808030921246</v>
      </c>
      <c r="AM105" s="255">
        <v>269.50054875264345</v>
      </c>
      <c r="AN105" s="255">
        <v>0</v>
      </c>
      <c r="AO105" s="255">
        <v>1166.61740609558</v>
      </c>
      <c r="AP105" s="255">
        <v>0</v>
      </c>
      <c r="AQ105" s="208">
        <v>308.99554077149537</v>
      </c>
      <c r="AR105" s="208">
        <v>3476.3329860303234</v>
      </c>
      <c r="AS105" s="208">
        <v>568.72260740944307</v>
      </c>
      <c r="AT105" s="222">
        <v>2269796.5757961208</v>
      </c>
      <c r="AV105" s="217" t="s">
        <v>2</v>
      </c>
      <c r="AW105" s="227">
        <v>84653.482185648129</v>
      </c>
      <c r="AX105" s="228">
        <v>84337.539051529398</v>
      </c>
      <c r="AY105" s="208">
        <v>63904.521117281438</v>
      </c>
      <c r="AZ105" s="208">
        <v>1901262.3526099424</v>
      </c>
      <c r="BA105" s="258">
        <v>0</v>
      </c>
      <c r="BB105" s="208">
        <v>73433.658657615582</v>
      </c>
      <c r="BC105" s="208">
        <v>8311.0072497090259</v>
      </c>
      <c r="BD105" s="208">
        <v>111.50221629079809</v>
      </c>
      <c r="BE105" s="208">
        <v>799.55108085758275</v>
      </c>
      <c r="BF105" s="208">
        <v>6400.432307181788</v>
      </c>
      <c r="BG105" s="208">
        <v>1101.3471046264058</v>
      </c>
      <c r="BH105" s="258">
        <v>0</v>
      </c>
      <c r="BI105" s="258">
        <v>0</v>
      </c>
      <c r="BJ105" s="258">
        <v>0</v>
      </c>
      <c r="BK105" s="255">
        <v>0</v>
      </c>
      <c r="BL105" s="258">
        <v>0</v>
      </c>
      <c r="BM105" s="255">
        <v>0</v>
      </c>
      <c r="BN105" s="208">
        <v>308.99554077149537</v>
      </c>
      <c r="BO105" s="208">
        <v>3476.3329860303234</v>
      </c>
      <c r="BP105" s="208">
        <v>568.72260740944307</v>
      </c>
      <c r="BQ105" s="230">
        <f t="shared" si="62"/>
        <v>2228669.4447148941</v>
      </c>
      <c r="BR105" s="214"/>
      <c r="BS105" s="227"/>
      <c r="BT105" s="217" t="s">
        <v>2</v>
      </c>
      <c r="BU105" s="227">
        <v>24</v>
      </c>
      <c r="BV105" s="228">
        <v>20</v>
      </c>
      <c r="BW105" s="208">
        <v>7</v>
      </c>
      <c r="BX105" s="208">
        <v>440</v>
      </c>
      <c r="BY105" s="208">
        <v>1</v>
      </c>
      <c r="BZ105" s="208">
        <v>0</v>
      </c>
      <c r="CA105" s="208">
        <v>0</v>
      </c>
      <c r="CB105" s="208">
        <v>0</v>
      </c>
      <c r="CC105" s="208">
        <v>0</v>
      </c>
      <c r="CD105" s="208">
        <v>0</v>
      </c>
      <c r="CE105" s="208">
        <v>0</v>
      </c>
      <c r="CF105" s="208">
        <v>0</v>
      </c>
      <c r="CG105" s="208">
        <v>0</v>
      </c>
      <c r="CH105" s="208">
        <v>0</v>
      </c>
      <c r="CI105" s="208">
        <v>0</v>
      </c>
      <c r="CJ105" s="208">
        <v>0</v>
      </c>
      <c r="CK105" s="208">
        <v>0</v>
      </c>
      <c r="CL105" s="208">
        <v>0</v>
      </c>
      <c r="CM105" s="208">
        <v>0</v>
      </c>
      <c r="CN105" s="208">
        <v>0</v>
      </c>
      <c r="CO105" s="222">
        <v>492</v>
      </c>
      <c r="CP105" s="227"/>
      <c r="CQ105" s="217" t="s">
        <v>2</v>
      </c>
      <c r="CR105" s="227">
        <v>5901.0635274774113</v>
      </c>
      <c r="CS105" s="228">
        <v>10231.104070190819</v>
      </c>
      <c r="CT105" s="208">
        <v>653.96528956207908</v>
      </c>
      <c r="CU105" s="208">
        <v>113047.7716520909</v>
      </c>
      <c r="CV105" s="208">
        <v>36.220581010687305</v>
      </c>
      <c r="CW105" s="208">
        <v>0</v>
      </c>
      <c r="CX105" s="208">
        <v>0</v>
      </c>
      <c r="CY105" s="208">
        <v>0</v>
      </c>
      <c r="CZ105" s="208">
        <v>0</v>
      </c>
      <c r="DA105" s="208">
        <v>0</v>
      </c>
      <c r="DB105" s="208">
        <v>0</v>
      </c>
      <c r="DC105" s="208">
        <v>0</v>
      </c>
      <c r="DD105" s="208">
        <v>0</v>
      </c>
      <c r="DE105" s="208">
        <v>0</v>
      </c>
      <c r="DF105" s="208">
        <v>0</v>
      </c>
      <c r="DG105" s="208">
        <v>0</v>
      </c>
      <c r="DH105" s="208">
        <v>0</v>
      </c>
      <c r="DI105" s="208">
        <v>0</v>
      </c>
      <c r="DJ105" s="208">
        <v>0</v>
      </c>
      <c r="DK105" s="208">
        <v>0</v>
      </c>
      <c r="DL105" s="222">
        <v>129870.1251203319</v>
      </c>
      <c r="DM105" s="238"/>
      <c r="DN105" s="238"/>
      <c r="DO105" s="227"/>
      <c r="DP105" s="217" t="s">
        <v>2</v>
      </c>
      <c r="DQ105" s="227">
        <v>48</v>
      </c>
      <c r="DR105" s="228">
        <v>56</v>
      </c>
      <c r="DS105" s="208">
        <v>37</v>
      </c>
      <c r="DT105" s="208">
        <v>762</v>
      </c>
      <c r="DU105" s="208">
        <v>2</v>
      </c>
      <c r="DV105" s="208">
        <v>1</v>
      </c>
      <c r="DW105" s="208">
        <v>0</v>
      </c>
      <c r="DX105" s="208">
        <v>2</v>
      </c>
      <c r="DY105" s="208">
        <v>1</v>
      </c>
      <c r="DZ105" s="208">
        <v>0</v>
      </c>
      <c r="EA105" s="208">
        <v>0</v>
      </c>
      <c r="EB105" s="208">
        <v>0</v>
      </c>
      <c r="EC105" s="208">
        <v>0</v>
      </c>
      <c r="ED105" s="208">
        <v>0</v>
      </c>
      <c r="EE105" s="208">
        <v>0</v>
      </c>
      <c r="EF105" s="208">
        <v>0</v>
      </c>
      <c r="EG105" s="208">
        <v>0</v>
      </c>
      <c r="EH105" s="208">
        <v>0</v>
      </c>
      <c r="EI105" s="208">
        <v>1</v>
      </c>
      <c r="EJ105" s="208">
        <v>0</v>
      </c>
      <c r="EK105" s="222">
        <v>910</v>
      </c>
      <c r="EL105" s="228"/>
      <c r="EM105" s="217" t="s">
        <v>2</v>
      </c>
      <c r="EN105" s="227">
        <v>7384.581413843749</v>
      </c>
      <c r="EO105" s="228">
        <v>22523.601781985912</v>
      </c>
      <c r="EP105" s="208">
        <v>8906.1567497892938</v>
      </c>
      <c r="EQ105" s="208">
        <v>198996.13623864367</v>
      </c>
      <c r="ER105" s="208">
        <v>57.679558178622528</v>
      </c>
      <c r="ES105" s="208">
        <v>44.093404243253431</v>
      </c>
      <c r="ET105" s="208">
        <v>0</v>
      </c>
      <c r="EU105" s="208">
        <v>55.751108145399044</v>
      </c>
      <c r="EV105" s="208">
        <v>82.739543673339199</v>
      </c>
      <c r="EW105" s="208">
        <v>0</v>
      </c>
      <c r="EX105" s="208">
        <v>0</v>
      </c>
      <c r="EY105" s="208">
        <v>0</v>
      </c>
      <c r="EZ105" s="208">
        <v>0</v>
      </c>
      <c r="FA105" s="208">
        <v>0</v>
      </c>
      <c r="FB105" s="208">
        <v>0</v>
      </c>
      <c r="FC105" s="208">
        <v>0</v>
      </c>
      <c r="FD105" s="208">
        <v>0</v>
      </c>
      <c r="FE105" s="208">
        <v>0</v>
      </c>
      <c r="FF105" s="208">
        <v>1196.3197300599522</v>
      </c>
      <c r="FG105" s="208">
        <v>0</v>
      </c>
      <c r="FH105" s="222">
        <v>239247.05952856317</v>
      </c>
    </row>
    <row r="106" spans="2:164" x14ac:dyDescent="0.2">
      <c r="B106" s="217" t="s">
        <v>3</v>
      </c>
      <c r="C106" s="227">
        <v>13</v>
      </c>
      <c r="D106" s="228">
        <v>15</v>
      </c>
      <c r="E106" s="208">
        <v>2</v>
      </c>
      <c r="F106" s="208">
        <v>0</v>
      </c>
      <c r="G106" s="208">
        <v>719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0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3</v>
      </c>
      <c r="V106" s="208">
        <v>0</v>
      </c>
      <c r="W106" s="222">
        <v>780</v>
      </c>
      <c r="X106" s="209"/>
      <c r="Y106" s="217" t="s">
        <v>3</v>
      </c>
      <c r="Z106" s="254">
        <v>1388.7167816468709</v>
      </c>
      <c r="AA106" s="254">
        <v>1352.4507857022807</v>
      </c>
      <c r="AB106" s="255">
        <v>188.75818027647759</v>
      </c>
      <c r="AC106" s="255">
        <v>0</v>
      </c>
      <c r="AD106" s="208">
        <v>169315.07869984649</v>
      </c>
      <c r="AE106" s="255">
        <v>2896.0623878261881</v>
      </c>
      <c r="AF106" s="255">
        <v>414.01136190353827</v>
      </c>
      <c r="AG106" s="255">
        <v>107.14883191514272</v>
      </c>
      <c r="AH106" s="255">
        <v>0</v>
      </c>
      <c r="AI106" s="255">
        <v>202.59853262805979</v>
      </c>
      <c r="AJ106" s="255">
        <v>0</v>
      </c>
      <c r="AK106" s="255">
        <v>0</v>
      </c>
      <c r="AL106" s="255">
        <v>0</v>
      </c>
      <c r="AM106" s="255">
        <v>0</v>
      </c>
      <c r="AN106" s="255">
        <v>0</v>
      </c>
      <c r="AO106" s="255">
        <v>0</v>
      </c>
      <c r="AP106" s="255">
        <v>0</v>
      </c>
      <c r="AQ106" s="255">
        <v>0</v>
      </c>
      <c r="AR106" s="255">
        <v>116.81753121121886</v>
      </c>
      <c r="AS106" s="255">
        <v>0</v>
      </c>
      <c r="AT106" s="222">
        <v>175981.64309295625</v>
      </c>
      <c r="AV106" s="217" t="s">
        <v>3</v>
      </c>
      <c r="AW106" s="232">
        <v>0</v>
      </c>
      <c r="AX106" s="232">
        <v>0</v>
      </c>
      <c r="AY106" s="258">
        <v>0</v>
      </c>
      <c r="AZ106" s="255">
        <v>0</v>
      </c>
      <c r="BA106" s="208">
        <v>169315.07869984649</v>
      </c>
      <c r="BB106" s="258">
        <v>0</v>
      </c>
      <c r="BC106" s="258">
        <v>0</v>
      </c>
      <c r="BD106" s="258">
        <v>0</v>
      </c>
      <c r="BE106" s="255">
        <v>0</v>
      </c>
      <c r="BF106" s="258">
        <v>0</v>
      </c>
      <c r="BG106" s="255">
        <v>0</v>
      </c>
      <c r="BH106" s="255">
        <v>0</v>
      </c>
      <c r="BI106" s="255">
        <v>0</v>
      </c>
      <c r="BJ106" s="255">
        <v>0</v>
      </c>
      <c r="BK106" s="255">
        <v>0</v>
      </c>
      <c r="BL106" s="255">
        <v>0</v>
      </c>
      <c r="BM106" s="255">
        <v>0</v>
      </c>
      <c r="BN106" s="255">
        <v>0</v>
      </c>
      <c r="BO106" s="258">
        <v>0</v>
      </c>
      <c r="BP106" s="255">
        <v>0</v>
      </c>
      <c r="BQ106" s="230">
        <f t="shared" si="62"/>
        <v>169315.07869984649</v>
      </c>
      <c r="BR106" s="214"/>
      <c r="BS106" s="227"/>
      <c r="BT106" s="217" t="s">
        <v>3</v>
      </c>
      <c r="BU106" s="227">
        <v>0</v>
      </c>
      <c r="BV106" s="228">
        <v>0</v>
      </c>
      <c r="BW106" s="208">
        <v>0</v>
      </c>
      <c r="BX106" s="208">
        <v>0</v>
      </c>
      <c r="BY106" s="208">
        <v>28</v>
      </c>
      <c r="BZ106" s="208">
        <v>0</v>
      </c>
      <c r="CA106" s="208">
        <v>0</v>
      </c>
      <c r="CB106" s="208">
        <v>0</v>
      </c>
      <c r="CC106" s="208">
        <v>0</v>
      </c>
      <c r="CD106" s="208">
        <v>0</v>
      </c>
      <c r="CE106" s="208">
        <v>0</v>
      </c>
      <c r="CF106" s="208">
        <v>0</v>
      </c>
      <c r="CG106" s="208">
        <v>0</v>
      </c>
      <c r="CH106" s="208">
        <v>0</v>
      </c>
      <c r="CI106" s="208">
        <v>0</v>
      </c>
      <c r="CJ106" s="208">
        <v>0</v>
      </c>
      <c r="CK106" s="208">
        <v>0</v>
      </c>
      <c r="CL106" s="208">
        <v>0</v>
      </c>
      <c r="CM106" s="208">
        <v>0</v>
      </c>
      <c r="CN106" s="208">
        <v>0</v>
      </c>
      <c r="CO106" s="222">
        <v>28</v>
      </c>
      <c r="CP106" s="227"/>
      <c r="CQ106" s="217" t="s">
        <v>3</v>
      </c>
      <c r="CR106" s="227">
        <v>0</v>
      </c>
      <c r="CS106" s="228">
        <v>0</v>
      </c>
      <c r="CT106" s="208">
        <v>0</v>
      </c>
      <c r="CU106" s="208">
        <v>0</v>
      </c>
      <c r="CV106" s="208">
        <v>12756.914072560556</v>
      </c>
      <c r="CW106" s="208">
        <v>0</v>
      </c>
      <c r="CX106" s="208">
        <v>0</v>
      </c>
      <c r="CY106" s="208">
        <v>0</v>
      </c>
      <c r="CZ106" s="208">
        <v>0</v>
      </c>
      <c r="DA106" s="208">
        <v>0</v>
      </c>
      <c r="DB106" s="208">
        <v>0</v>
      </c>
      <c r="DC106" s="208">
        <v>0</v>
      </c>
      <c r="DD106" s="208">
        <v>0</v>
      </c>
      <c r="DE106" s="208">
        <v>0</v>
      </c>
      <c r="DF106" s="208">
        <v>0</v>
      </c>
      <c r="DG106" s="208">
        <v>0</v>
      </c>
      <c r="DH106" s="208">
        <v>0</v>
      </c>
      <c r="DI106" s="208">
        <v>0</v>
      </c>
      <c r="DJ106" s="208">
        <v>0</v>
      </c>
      <c r="DK106" s="208">
        <v>0</v>
      </c>
      <c r="DL106" s="222">
        <v>12756.914072560556</v>
      </c>
      <c r="DM106" s="214"/>
      <c r="DN106" s="214"/>
      <c r="DO106" s="227"/>
      <c r="DP106" s="217" t="s">
        <v>3</v>
      </c>
      <c r="DQ106" s="227">
        <v>2</v>
      </c>
      <c r="DR106" s="228">
        <v>6</v>
      </c>
      <c r="DS106" s="208">
        <v>0</v>
      </c>
      <c r="DT106" s="208">
        <v>0</v>
      </c>
      <c r="DU106" s="208">
        <v>66</v>
      </c>
      <c r="DV106" s="208">
        <v>0</v>
      </c>
      <c r="DW106" s="208">
        <v>0</v>
      </c>
      <c r="DX106" s="208">
        <v>0</v>
      </c>
      <c r="DY106" s="208">
        <v>0</v>
      </c>
      <c r="DZ106" s="208">
        <v>0</v>
      </c>
      <c r="EA106" s="208">
        <v>0</v>
      </c>
      <c r="EB106" s="208">
        <v>0</v>
      </c>
      <c r="EC106" s="208">
        <v>0</v>
      </c>
      <c r="ED106" s="208">
        <v>0</v>
      </c>
      <c r="EE106" s="208">
        <v>0</v>
      </c>
      <c r="EF106" s="208">
        <v>0</v>
      </c>
      <c r="EG106" s="208">
        <v>0</v>
      </c>
      <c r="EH106" s="208">
        <v>0</v>
      </c>
      <c r="EI106" s="208">
        <v>0</v>
      </c>
      <c r="EJ106" s="208">
        <v>0</v>
      </c>
      <c r="EK106" s="222">
        <v>74</v>
      </c>
      <c r="EL106" s="228"/>
      <c r="EM106" s="217" t="s">
        <v>3</v>
      </c>
      <c r="EN106" s="227">
        <v>660.87845583840897</v>
      </c>
      <c r="EO106" s="228">
        <v>855.43468842792549</v>
      </c>
      <c r="EP106" s="208">
        <v>0</v>
      </c>
      <c r="EQ106" s="208">
        <v>0</v>
      </c>
      <c r="ER106" s="208">
        <v>46573.080697182391</v>
      </c>
      <c r="ES106" s="208">
        <v>0</v>
      </c>
      <c r="ET106" s="208">
        <v>0</v>
      </c>
      <c r="EU106" s="208">
        <v>0</v>
      </c>
      <c r="EV106" s="208">
        <v>0</v>
      </c>
      <c r="EW106" s="208">
        <v>0</v>
      </c>
      <c r="EX106" s="208">
        <v>0</v>
      </c>
      <c r="EY106" s="208">
        <v>0</v>
      </c>
      <c r="EZ106" s="208">
        <v>0</v>
      </c>
      <c r="FA106" s="208">
        <v>0</v>
      </c>
      <c r="FB106" s="208">
        <v>0</v>
      </c>
      <c r="FC106" s="208">
        <v>0</v>
      </c>
      <c r="FD106" s="208">
        <v>0</v>
      </c>
      <c r="FE106" s="208">
        <v>0</v>
      </c>
      <c r="FF106" s="208">
        <v>0</v>
      </c>
      <c r="FG106" s="208">
        <v>0</v>
      </c>
      <c r="FH106" s="222">
        <v>48089.393841448727</v>
      </c>
    </row>
    <row r="107" spans="2:164" x14ac:dyDescent="0.2">
      <c r="B107" s="217" t="s">
        <v>335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520</v>
      </c>
      <c r="I107" s="208">
        <v>22</v>
      </c>
      <c r="J107" s="208">
        <v>0</v>
      </c>
      <c r="K107" s="208">
        <v>9</v>
      </c>
      <c r="L107" s="208">
        <v>19</v>
      </c>
      <c r="M107" s="208">
        <v>3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0</v>
      </c>
      <c r="T107" s="208">
        <v>0</v>
      </c>
      <c r="U107" s="208">
        <v>0</v>
      </c>
      <c r="V107" s="208">
        <v>0</v>
      </c>
      <c r="W107" s="222">
        <v>577</v>
      </c>
      <c r="Y107" s="217" t="s">
        <v>335</v>
      </c>
      <c r="Z107" s="227">
        <v>0</v>
      </c>
      <c r="AA107" s="228">
        <v>0</v>
      </c>
      <c r="AB107" s="255">
        <v>0</v>
      </c>
      <c r="AC107" s="208">
        <v>0</v>
      </c>
      <c r="AD107" s="208">
        <v>0</v>
      </c>
      <c r="AE107" s="208">
        <v>116118.19062104759</v>
      </c>
      <c r="AF107" s="208">
        <v>2145.6553468291245</v>
      </c>
      <c r="AG107" s="208">
        <v>0</v>
      </c>
      <c r="AH107" s="208">
        <v>506.27744417681288</v>
      </c>
      <c r="AI107" s="208">
        <v>1418.1312232934292</v>
      </c>
      <c r="AJ107" s="208">
        <v>3493.2652013611505</v>
      </c>
      <c r="AK107" s="255">
        <v>3928.8456613025878</v>
      </c>
      <c r="AL107" s="255">
        <v>0</v>
      </c>
      <c r="AM107" s="255">
        <v>0</v>
      </c>
      <c r="AN107" s="255">
        <v>0</v>
      </c>
      <c r="AO107" s="255">
        <v>0</v>
      </c>
      <c r="AP107" s="255">
        <v>0</v>
      </c>
      <c r="AQ107" s="208">
        <v>0</v>
      </c>
      <c r="AR107" s="208">
        <v>0</v>
      </c>
      <c r="AS107" s="208">
        <v>0</v>
      </c>
      <c r="AT107" s="222">
        <v>127610.36549801069</v>
      </c>
      <c r="AV107" s="217" t="s">
        <v>335</v>
      </c>
      <c r="AW107" s="227">
        <v>0</v>
      </c>
      <c r="AX107" s="228">
        <v>0</v>
      </c>
      <c r="AY107" s="255">
        <v>0</v>
      </c>
      <c r="AZ107" s="208">
        <v>0</v>
      </c>
      <c r="BA107" s="208">
        <v>0</v>
      </c>
      <c r="BB107" s="208">
        <v>116118.19062104759</v>
      </c>
      <c r="BC107" s="208">
        <v>2145.6553468291245</v>
      </c>
      <c r="BD107" s="208">
        <v>0</v>
      </c>
      <c r="BE107" s="208">
        <v>506.27744417681288</v>
      </c>
      <c r="BF107" s="208">
        <v>1418.1312232934292</v>
      </c>
      <c r="BG107" s="208">
        <v>3493.2652013611505</v>
      </c>
      <c r="BH107" s="258">
        <v>0</v>
      </c>
      <c r="BI107" s="255">
        <v>0</v>
      </c>
      <c r="BJ107" s="255">
        <v>0</v>
      </c>
      <c r="BK107" s="255">
        <v>0</v>
      </c>
      <c r="BL107" s="255">
        <v>0</v>
      </c>
      <c r="BM107" s="255">
        <v>0</v>
      </c>
      <c r="BN107" s="208">
        <v>0</v>
      </c>
      <c r="BO107" s="208">
        <v>0</v>
      </c>
      <c r="BP107" s="208">
        <v>0</v>
      </c>
      <c r="BQ107" s="230">
        <f t="shared" si="62"/>
        <v>123681.5198367081</v>
      </c>
      <c r="BR107" s="214"/>
      <c r="BS107" s="227"/>
      <c r="BT107" s="217" t="s">
        <v>335</v>
      </c>
      <c r="BU107" s="227">
        <v>0</v>
      </c>
      <c r="BV107" s="228">
        <v>0</v>
      </c>
      <c r="BW107" s="208">
        <v>0</v>
      </c>
      <c r="BX107" s="208">
        <v>0</v>
      </c>
      <c r="BY107" s="208">
        <v>0</v>
      </c>
      <c r="BZ107" s="208">
        <v>4</v>
      </c>
      <c r="CA107" s="208">
        <v>0</v>
      </c>
      <c r="CB107" s="208">
        <v>0</v>
      </c>
      <c r="CC107" s="208">
        <v>0</v>
      </c>
      <c r="CD107" s="208">
        <v>0</v>
      </c>
      <c r="CE107" s="208">
        <v>0</v>
      </c>
      <c r="CF107" s="208">
        <v>0</v>
      </c>
      <c r="CG107" s="208">
        <v>0</v>
      </c>
      <c r="CH107" s="208">
        <v>0</v>
      </c>
      <c r="CI107" s="208">
        <v>0</v>
      </c>
      <c r="CJ107" s="208">
        <v>0</v>
      </c>
      <c r="CK107" s="208">
        <v>0</v>
      </c>
      <c r="CL107" s="208">
        <v>0</v>
      </c>
      <c r="CM107" s="208">
        <v>0</v>
      </c>
      <c r="CN107" s="208">
        <v>0</v>
      </c>
      <c r="CO107" s="222">
        <v>4</v>
      </c>
      <c r="CP107" s="227"/>
      <c r="CQ107" s="217" t="s">
        <v>335</v>
      </c>
      <c r="CR107" s="227">
        <v>0</v>
      </c>
      <c r="CS107" s="228">
        <v>0</v>
      </c>
      <c r="CT107" s="208">
        <v>0</v>
      </c>
      <c r="CU107" s="208">
        <v>0</v>
      </c>
      <c r="CV107" s="208">
        <v>0</v>
      </c>
      <c r="CW107" s="208">
        <v>8992.370642088872</v>
      </c>
      <c r="CX107" s="208">
        <v>0</v>
      </c>
      <c r="CY107" s="208">
        <v>0</v>
      </c>
      <c r="CZ107" s="208">
        <v>0</v>
      </c>
      <c r="DA107" s="208">
        <v>0</v>
      </c>
      <c r="DB107" s="208">
        <v>0</v>
      </c>
      <c r="DC107" s="208">
        <v>0</v>
      </c>
      <c r="DD107" s="208">
        <v>0</v>
      </c>
      <c r="DE107" s="208">
        <v>0</v>
      </c>
      <c r="DF107" s="208">
        <v>0</v>
      </c>
      <c r="DG107" s="208">
        <v>0</v>
      </c>
      <c r="DH107" s="208">
        <v>0</v>
      </c>
      <c r="DI107" s="208">
        <v>0</v>
      </c>
      <c r="DJ107" s="208">
        <v>0</v>
      </c>
      <c r="DK107" s="208">
        <v>0</v>
      </c>
      <c r="DL107" s="222">
        <v>8992.370642088872</v>
      </c>
      <c r="DM107" s="214"/>
      <c r="DN107" s="214"/>
      <c r="DO107" s="227"/>
      <c r="DP107" s="217" t="s">
        <v>335</v>
      </c>
      <c r="DQ107" s="227">
        <v>0</v>
      </c>
      <c r="DR107" s="228">
        <v>0</v>
      </c>
      <c r="DS107" s="208">
        <v>0</v>
      </c>
      <c r="DT107" s="208">
        <v>0</v>
      </c>
      <c r="DU107" s="208">
        <v>0</v>
      </c>
      <c r="DV107" s="208">
        <v>10</v>
      </c>
      <c r="DW107" s="208">
        <v>0</v>
      </c>
      <c r="DX107" s="208">
        <v>0</v>
      </c>
      <c r="DY107" s="208">
        <v>1</v>
      </c>
      <c r="DZ107" s="208">
        <v>0</v>
      </c>
      <c r="EA107" s="208">
        <v>2</v>
      </c>
      <c r="EB107" s="208">
        <v>0</v>
      </c>
      <c r="EC107" s="208">
        <v>0</v>
      </c>
      <c r="ED107" s="208">
        <v>0</v>
      </c>
      <c r="EE107" s="208">
        <v>0</v>
      </c>
      <c r="EF107" s="208">
        <v>0</v>
      </c>
      <c r="EG107" s="208">
        <v>0</v>
      </c>
      <c r="EH107" s="208">
        <v>0</v>
      </c>
      <c r="EI107" s="208">
        <v>0</v>
      </c>
      <c r="EJ107" s="208">
        <v>0</v>
      </c>
      <c r="EK107" s="222">
        <v>13</v>
      </c>
      <c r="EL107" s="228"/>
      <c r="EM107" s="217" t="s">
        <v>335</v>
      </c>
      <c r="EN107" s="227">
        <v>0</v>
      </c>
      <c r="EO107" s="228">
        <v>0</v>
      </c>
      <c r="EP107" s="208">
        <v>0</v>
      </c>
      <c r="EQ107" s="208">
        <v>0</v>
      </c>
      <c r="ER107" s="208">
        <v>0</v>
      </c>
      <c r="ES107" s="208">
        <v>12480.715582973935</v>
      </c>
      <c r="ET107" s="208">
        <v>0</v>
      </c>
      <c r="EU107" s="208">
        <v>0</v>
      </c>
      <c r="EV107" s="208">
        <v>82.739543673339199</v>
      </c>
      <c r="EW107" s="208">
        <v>0</v>
      </c>
      <c r="EX107" s="208">
        <v>3343.0787430368887</v>
      </c>
      <c r="EY107" s="208">
        <v>0</v>
      </c>
      <c r="EZ107" s="208">
        <v>0</v>
      </c>
      <c r="FA107" s="208">
        <v>0</v>
      </c>
      <c r="FB107" s="208">
        <v>0</v>
      </c>
      <c r="FC107" s="208">
        <v>0</v>
      </c>
      <c r="FD107" s="208">
        <v>0</v>
      </c>
      <c r="FE107" s="208">
        <v>0</v>
      </c>
      <c r="FF107" s="208">
        <v>0</v>
      </c>
      <c r="FG107" s="208">
        <v>0</v>
      </c>
      <c r="FH107" s="222">
        <v>15906.533869684163</v>
      </c>
    </row>
    <row r="108" spans="2:164" x14ac:dyDescent="0.2">
      <c r="B108" s="217" t="s">
        <v>362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169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177</v>
      </c>
      <c r="Y108" s="217" t="s">
        <v>362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31901.155730541799</v>
      </c>
      <c r="AG108" s="208">
        <v>0</v>
      </c>
      <c r="AH108" s="208">
        <v>95.380317348260334</v>
      </c>
      <c r="AI108" s="208">
        <v>105.35483567156518</v>
      </c>
      <c r="AJ108" s="208">
        <v>148.17993058427029</v>
      </c>
      <c r="AK108" s="255">
        <v>0</v>
      </c>
      <c r="AL108" s="255">
        <v>138.36055128213962</v>
      </c>
      <c r="AM108" s="255">
        <v>0</v>
      </c>
      <c r="AN108" s="255">
        <v>0</v>
      </c>
      <c r="AO108" s="255">
        <v>0</v>
      </c>
      <c r="AP108" s="255">
        <v>0</v>
      </c>
      <c r="AQ108" s="208">
        <v>0</v>
      </c>
      <c r="AR108" s="208">
        <v>0</v>
      </c>
      <c r="AS108" s="208">
        <v>0</v>
      </c>
      <c r="AT108" s="222">
        <v>32388.431365428038</v>
      </c>
      <c r="AV108" s="217" t="s">
        <v>362</v>
      </c>
      <c r="AW108" s="227">
        <v>0</v>
      </c>
      <c r="AX108" s="228">
        <v>0</v>
      </c>
      <c r="AY108" s="208">
        <v>0</v>
      </c>
      <c r="AZ108" s="208">
        <v>0</v>
      </c>
      <c r="BA108" s="208">
        <v>0</v>
      </c>
      <c r="BB108" s="208">
        <v>0</v>
      </c>
      <c r="BC108" s="208">
        <v>31901.155730541799</v>
      </c>
      <c r="BD108" s="208">
        <v>0</v>
      </c>
      <c r="BE108" s="208">
        <v>95.380317348260334</v>
      </c>
      <c r="BF108" s="208">
        <v>105.35483567156518</v>
      </c>
      <c r="BG108" s="208">
        <v>148.17993058427029</v>
      </c>
      <c r="BH108" s="255">
        <v>0</v>
      </c>
      <c r="BI108" s="258">
        <v>0</v>
      </c>
      <c r="BJ108" s="255">
        <v>0</v>
      </c>
      <c r="BK108" s="255">
        <v>0</v>
      </c>
      <c r="BL108" s="255">
        <v>0</v>
      </c>
      <c r="BM108" s="255">
        <v>0</v>
      </c>
      <c r="BN108" s="208">
        <v>0</v>
      </c>
      <c r="BO108" s="208">
        <v>0</v>
      </c>
      <c r="BP108" s="208">
        <v>0</v>
      </c>
      <c r="BQ108" s="230">
        <f t="shared" si="62"/>
        <v>32250.070814145893</v>
      </c>
      <c r="BR108" s="214"/>
      <c r="BS108" s="227"/>
      <c r="BT108" s="217" t="s">
        <v>362</v>
      </c>
      <c r="BU108" s="227">
        <v>0</v>
      </c>
      <c r="BV108" s="228">
        <v>0</v>
      </c>
      <c r="BW108" s="208">
        <v>0</v>
      </c>
      <c r="BX108" s="208">
        <v>0</v>
      </c>
      <c r="BY108" s="208">
        <v>0</v>
      </c>
      <c r="BZ108" s="208">
        <v>0</v>
      </c>
      <c r="CA108" s="208">
        <v>0</v>
      </c>
      <c r="CB108" s="208">
        <v>0</v>
      </c>
      <c r="CC108" s="208">
        <v>0</v>
      </c>
      <c r="CD108" s="208">
        <v>0</v>
      </c>
      <c r="CE108" s="208">
        <v>0</v>
      </c>
      <c r="CF108" s="208">
        <v>0</v>
      </c>
      <c r="CG108" s="208">
        <v>0</v>
      </c>
      <c r="CH108" s="208">
        <v>0</v>
      </c>
      <c r="CI108" s="208">
        <v>0</v>
      </c>
      <c r="CJ108" s="208">
        <v>0</v>
      </c>
      <c r="CK108" s="208">
        <v>0</v>
      </c>
      <c r="CL108" s="208">
        <v>0</v>
      </c>
      <c r="CM108" s="208">
        <v>0</v>
      </c>
      <c r="CN108" s="208">
        <v>0</v>
      </c>
      <c r="CO108" s="222">
        <v>0</v>
      </c>
      <c r="CP108" s="227"/>
      <c r="CQ108" s="217" t="s">
        <v>362</v>
      </c>
      <c r="CR108" s="227">
        <v>0</v>
      </c>
      <c r="CS108" s="228">
        <v>0</v>
      </c>
      <c r="CT108" s="208">
        <v>0</v>
      </c>
      <c r="CU108" s="208">
        <v>0</v>
      </c>
      <c r="CV108" s="208">
        <v>0</v>
      </c>
      <c r="CW108" s="208">
        <v>0</v>
      </c>
      <c r="CX108" s="208">
        <v>0</v>
      </c>
      <c r="CY108" s="208">
        <v>0</v>
      </c>
      <c r="CZ108" s="208">
        <v>0</v>
      </c>
      <c r="DA108" s="208">
        <v>0</v>
      </c>
      <c r="DB108" s="208">
        <v>0</v>
      </c>
      <c r="DC108" s="208">
        <v>0</v>
      </c>
      <c r="DD108" s="208">
        <v>0</v>
      </c>
      <c r="DE108" s="208">
        <v>0</v>
      </c>
      <c r="DF108" s="208">
        <v>0</v>
      </c>
      <c r="DG108" s="208">
        <v>0</v>
      </c>
      <c r="DH108" s="208">
        <v>0</v>
      </c>
      <c r="DI108" s="208">
        <v>0</v>
      </c>
      <c r="DJ108" s="208">
        <v>0</v>
      </c>
      <c r="DK108" s="208">
        <v>0</v>
      </c>
      <c r="DL108" s="222">
        <v>0</v>
      </c>
      <c r="DM108" s="214"/>
      <c r="DN108" s="214"/>
      <c r="DO108" s="227"/>
      <c r="DP108" s="217" t="s">
        <v>362</v>
      </c>
      <c r="DQ108" s="227">
        <v>0</v>
      </c>
      <c r="DR108" s="228">
        <v>0</v>
      </c>
      <c r="DS108" s="208">
        <v>0</v>
      </c>
      <c r="DT108" s="208">
        <v>0</v>
      </c>
      <c r="DU108" s="208">
        <v>0</v>
      </c>
      <c r="DV108" s="208">
        <v>0</v>
      </c>
      <c r="DW108" s="208">
        <v>0</v>
      </c>
      <c r="DX108" s="208">
        <v>0</v>
      </c>
      <c r="DY108" s="208">
        <v>0</v>
      </c>
      <c r="DZ108" s="208">
        <v>0</v>
      </c>
      <c r="EA108" s="208">
        <v>0</v>
      </c>
      <c r="EB108" s="208">
        <v>0</v>
      </c>
      <c r="EC108" s="208">
        <v>0</v>
      </c>
      <c r="ED108" s="208">
        <v>0</v>
      </c>
      <c r="EE108" s="208">
        <v>0</v>
      </c>
      <c r="EF108" s="208">
        <v>0</v>
      </c>
      <c r="EG108" s="208">
        <v>0</v>
      </c>
      <c r="EH108" s="208">
        <v>0</v>
      </c>
      <c r="EI108" s="208">
        <v>0</v>
      </c>
      <c r="EJ108" s="208">
        <v>0</v>
      </c>
      <c r="EK108" s="222">
        <v>0</v>
      </c>
      <c r="EL108" s="228"/>
      <c r="EM108" s="217" t="s">
        <v>362</v>
      </c>
      <c r="EN108" s="227">
        <v>0</v>
      </c>
      <c r="EO108" s="228">
        <v>0</v>
      </c>
      <c r="EP108" s="208">
        <v>0</v>
      </c>
      <c r="EQ108" s="208">
        <v>0</v>
      </c>
      <c r="ER108" s="208">
        <v>0</v>
      </c>
      <c r="ES108" s="208">
        <v>0</v>
      </c>
      <c r="ET108" s="208">
        <v>0</v>
      </c>
      <c r="EU108" s="208">
        <v>0</v>
      </c>
      <c r="EV108" s="208">
        <v>0</v>
      </c>
      <c r="EW108" s="208">
        <v>0</v>
      </c>
      <c r="EX108" s="208">
        <v>0</v>
      </c>
      <c r="EY108" s="208">
        <v>0</v>
      </c>
      <c r="EZ108" s="208">
        <v>0</v>
      </c>
      <c r="FA108" s="208">
        <v>0</v>
      </c>
      <c r="FB108" s="208">
        <v>0</v>
      </c>
      <c r="FC108" s="208">
        <v>0</v>
      </c>
      <c r="FD108" s="208">
        <v>0</v>
      </c>
      <c r="FE108" s="208">
        <v>0</v>
      </c>
      <c r="FF108" s="208">
        <v>0</v>
      </c>
      <c r="FG108" s="208">
        <v>0</v>
      </c>
      <c r="FH108" s="222">
        <v>0</v>
      </c>
    </row>
    <row r="109" spans="2:164" x14ac:dyDescent="0.2">
      <c r="B109" s="217" t="s">
        <v>349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7</v>
      </c>
      <c r="K109" s="208">
        <v>0</v>
      </c>
      <c r="L109" s="208">
        <v>3</v>
      </c>
      <c r="M109" s="208">
        <v>0</v>
      </c>
      <c r="N109" s="208">
        <v>0</v>
      </c>
      <c r="O109" s="208">
        <v>0</v>
      </c>
      <c r="P109" s="208">
        <v>2</v>
      </c>
      <c r="Q109" s="208">
        <v>0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12</v>
      </c>
      <c r="X109" s="208"/>
      <c r="Y109" s="217" t="s">
        <v>349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231.30408032410466</v>
      </c>
      <c r="AH109" s="208">
        <v>0</v>
      </c>
      <c r="AI109" s="208">
        <v>133.26320903422589</v>
      </c>
      <c r="AJ109" s="208">
        <v>0</v>
      </c>
      <c r="AK109" s="255">
        <v>0</v>
      </c>
      <c r="AL109" s="255">
        <v>0</v>
      </c>
      <c r="AM109" s="255">
        <v>59.475220565068597</v>
      </c>
      <c r="AN109" s="255">
        <v>0</v>
      </c>
      <c r="AO109" s="255">
        <v>0</v>
      </c>
      <c r="AP109" s="255">
        <v>0</v>
      </c>
      <c r="AQ109" s="208">
        <v>0</v>
      </c>
      <c r="AR109" s="208">
        <v>0</v>
      </c>
      <c r="AS109" s="208">
        <v>0</v>
      </c>
      <c r="AT109" s="222">
        <v>424.04250992339917</v>
      </c>
      <c r="AV109" s="217" t="s">
        <v>349</v>
      </c>
      <c r="AW109" s="227">
        <v>0</v>
      </c>
      <c r="AX109" s="228">
        <v>0</v>
      </c>
      <c r="AY109" s="208">
        <v>0</v>
      </c>
      <c r="AZ109" s="208">
        <v>0</v>
      </c>
      <c r="BA109" s="208">
        <v>0</v>
      </c>
      <c r="BB109" s="208">
        <v>0</v>
      </c>
      <c r="BC109" s="208">
        <v>0</v>
      </c>
      <c r="BD109" s="208">
        <v>231.30408032410466</v>
      </c>
      <c r="BE109" s="208">
        <v>0</v>
      </c>
      <c r="BF109" s="208">
        <v>133.26320903422589</v>
      </c>
      <c r="BG109" s="208">
        <v>0</v>
      </c>
      <c r="BH109" s="255">
        <v>0</v>
      </c>
      <c r="BI109" s="255">
        <v>0</v>
      </c>
      <c r="BJ109" s="258">
        <v>0</v>
      </c>
      <c r="BK109" s="255">
        <v>0</v>
      </c>
      <c r="BL109" s="255">
        <v>0</v>
      </c>
      <c r="BM109" s="255">
        <v>0</v>
      </c>
      <c r="BN109" s="208">
        <v>0</v>
      </c>
      <c r="BO109" s="208">
        <v>0</v>
      </c>
      <c r="BP109" s="208">
        <v>0</v>
      </c>
      <c r="BQ109" s="230">
        <f t="shared" si="62"/>
        <v>364.56728935833053</v>
      </c>
      <c r="BR109" s="214"/>
      <c r="BS109" s="227"/>
      <c r="BT109" s="217" t="s">
        <v>349</v>
      </c>
      <c r="BU109" s="227">
        <v>0</v>
      </c>
      <c r="BV109" s="228">
        <v>0</v>
      </c>
      <c r="BW109" s="208">
        <v>0</v>
      </c>
      <c r="BX109" s="208">
        <v>0</v>
      </c>
      <c r="BY109" s="208">
        <v>0</v>
      </c>
      <c r="BZ109" s="208">
        <v>0</v>
      </c>
      <c r="CA109" s="208">
        <v>0</v>
      </c>
      <c r="CB109" s="208">
        <v>2</v>
      </c>
      <c r="CC109" s="208">
        <v>0</v>
      </c>
      <c r="CD109" s="208">
        <v>0</v>
      </c>
      <c r="CE109" s="208">
        <v>0</v>
      </c>
      <c r="CF109" s="208">
        <v>0</v>
      </c>
      <c r="CG109" s="208">
        <v>0</v>
      </c>
      <c r="CH109" s="208">
        <v>1</v>
      </c>
      <c r="CI109" s="208">
        <v>0</v>
      </c>
      <c r="CJ109" s="208">
        <v>0</v>
      </c>
      <c r="CK109" s="208">
        <v>0</v>
      </c>
      <c r="CL109" s="208">
        <v>0</v>
      </c>
      <c r="CM109" s="208">
        <v>0</v>
      </c>
      <c r="CN109" s="208">
        <v>0</v>
      </c>
      <c r="CO109" s="222">
        <v>3</v>
      </c>
      <c r="CP109" s="227"/>
      <c r="CQ109" s="217" t="s">
        <v>349</v>
      </c>
      <c r="CR109" s="227">
        <v>0</v>
      </c>
      <c r="CS109" s="228">
        <v>0</v>
      </c>
      <c r="CT109" s="208">
        <v>0</v>
      </c>
      <c r="CU109" s="208">
        <v>0</v>
      </c>
      <c r="CV109" s="208">
        <v>0</v>
      </c>
      <c r="CW109" s="208">
        <v>0</v>
      </c>
      <c r="CX109" s="208">
        <v>0</v>
      </c>
      <c r="CY109" s="208">
        <v>84.085586728259003</v>
      </c>
      <c r="CZ109" s="208">
        <v>0</v>
      </c>
      <c r="DA109" s="208">
        <v>0</v>
      </c>
      <c r="DB109" s="208">
        <v>0</v>
      </c>
      <c r="DC109" s="208">
        <v>0</v>
      </c>
      <c r="DD109" s="208">
        <v>0</v>
      </c>
      <c r="DE109" s="208">
        <v>31.599666492369074</v>
      </c>
      <c r="DF109" s="208">
        <v>0</v>
      </c>
      <c r="DG109" s="208">
        <v>0</v>
      </c>
      <c r="DH109" s="208">
        <v>0</v>
      </c>
      <c r="DI109" s="208">
        <v>0</v>
      </c>
      <c r="DJ109" s="208">
        <v>0</v>
      </c>
      <c r="DK109" s="208">
        <v>0</v>
      </c>
      <c r="DL109" s="222">
        <v>115.68525322062808</v>
      </c>
      <c r="DM109" s="214"/>
      <c r="DN109" s="214"/>
      <c r="DO109" s="227"/>
      <c r="DP109" s="217" t="s">
        <v>349</v>
      </c>
      <c r="DQ109" s="227">
        <v>0</v>
      </c>
      <c r="DR109" s="228">
        <v>0</v>
      </c>
      <c r="DS109" s="208">
        <v>0</v>
      </c>
      <c r="DT109" s="208">
        <v>0</v>
      </c>
      <c r="DU109" s="208">
        <v>0</v>
      </c>
      <c r="DV109" s="208">
        <v>0</v>
      </c>
      <c r="DW109" s="208">
        <v>0</v>
      </c>
      <c r="DX109" s="208">
        <v>5</v>
      </c>
      <c r="DY109" s="208">
        <v>0</v>
      </c>
      <c r="DZ109" s="208">
        <v>2</v>
      </c>
      <c r="EA109" s="208">
        <v>0</v>
      </c>
      <c r="EB109" s="208">
        <v>0</v>
      </c>
      <c r="EC109" s="208">
        <v>0</v>
      </c>
      <c r="ED109" s="208">
        <v>1</v>
      </c>
      <c r="EE109" s="208">
        <v>0</v>
      </c>
      <c r="EF109" s="208">
        <v>0</v>
      </c>
      <c r="EG109" s="208">
        <v>0</v>
      </c>
      <c r="EH109" s="208">
        <v>0</v>
      </c>
      <c r="EI109" s="208">
        <v>0</v>
      </c>
      <c r="EJ109" s="208">
        <v>0</v>
      </c>
      <c r="EK109" s="222">
        <v>8</v>
      </c>
      <c r="EL109" s="228"/>
      <c r="EM109" s="217" t="s">
        <v>349</v>
      </c>
      <c r="EN109" s="227">
        <v>0</v>
      </c>
      <c r="EO109" s="228">
        <v>0</v>
      </c>
      <c r="EP109" s="208">
        <v>0</v>
      </c>
      <c r="EQ109" s="208">
        <v>0</v>
      </c>
      <c r="ER109" s="208">
        <v>0</v>
      </c>
      <c r="ES109" s="208">
        <v>0</v>
      </c>
      <c r="ET109" s="208">
        <v>0</v>
      </c>
      <c r="EU109" s="208">
        <v>167.71224894635756</v>
      </c>
      <c r="EV109" s="208">
        <v>0</v>
      </c>
      <c r="EW109" s="208">
        <v>88.842139356150597</v>
      </c>
      <c r="EX109" s="208">
        <v>0</v>
      </c>
      <c r="EY109" s="208">
        <v>0</v>
      </c>
      <c r="EZ109" s="208">
        <v>0</v>
      </c>
      <c r="FA109" s="208">
        <v>31.599666492369074</v>
      </c>
      <c r="FB109" s="208">
        <v>0</v>
      </c>
      <c r="FC109" s="208">
        <v>0</v>
      </c>
      <c r="FD109" s="208">
        <v>0</v>
      </c>
      <c r="FE109" s="208">
        <v>0</v>
      </c>
      <c r="FF109" s="208">
        <v>0</v>
      </c>
      <c r="FG109" s="208">
        <v>0</v>
      </c>
      <c r="FH109" s="222">
        <v>288.15405479487725</v>
      </c>
    </row>
    <row r="110" spans="2:164" x14ac:dyDescent="0.2">
      <c r="B110" s="217" t="s">
        <v>337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22</v>
      </c>
      <c r="L110" s="208">
        <v>0</v>
      </c>
      <c r="M110" s="208">
        <v>0</v>
      </c>
      <c r="N110" s="208">
        <v>0</v>
      </c>
      <c r="O110" s="208">
        <v>0</v>
      </c>
      <c r="P110" s="208">
        <v>0</v>
      </c>
      <c r="Q110" s="208">
        <v>1</v>
      </c>
      <c r="R110" s="208">
        <v>0</v>
      </c>
      <c r="S110" s="208">
        <v>0</v>
      </c>
      <c r="T110" s="208">
        <v>0</v>
      </c>
      <c r="U110" s="208">
        <v>0</v>
      </c>
      <c r="V110" s="208">
        <v>0</v>
      </c>
      <c r="W110" s="222">
        <v>23</v>
      </c>
      <c r="Y110" s="217" t="s">
        <v>337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1547.9076994634036</v>
      </c>
      <c r="AI110" s="208">
        <v>0</v>
      </c>
      <c r="AJ110" s="208">
        <v>0</v>
      </c>
      <c r="AK110" s="255">
        <v>0</v>
      </c>
      <c r="AL110" s="255">
        <v>0</v>
      </c>
      <c r="AM110" s="255">
        <v>0</v>
      </c>
      <c r="AN110" s="255">
        <v>170.90862961194017</v>
      </c>
      <c r="AO110" s="255">
        <v>0</v>
      </c>
      <c r="AP110" s="255">
        <v>0</v>
      </c>
      <c r="AQ110" s="208">
        <v>0</v>
      </c>
      <c r="AR110" s="208">
        <v>0</v>
      </c>
      <c r="AS110" s="208">
        <v>0</v>
      </c>
      <c r="AT110" s="222">
        <v>1718.8163290753437</v>
      </c>
      <c r="AV110" s="217" t="s">
        <v>337</v>
      </c>
      <c r="AW110" s="227">
        <v>0</v>
      </c>
      <c r="AX110" s="228">
        <v>0</v>
      </c>
      <c r="AY110" s="208">
        <v>0</v>
      </c>
      <c r="AZ110" s="208">
        <v>0</v>
      </c>
      <c r="BA110" s="208">
        <v>0</v>
      </c>
      <c r="BB110" s="208">
        <v>0</v>
      </c>
      <c r="BC110" s="208">
        <v>0</v>
      </c>
      <c r="BD110" s="208">
        <v>0</v>
      </c>
      <c r="BE110" s="208">
        <v>1547.9076994634036</v>
      </c>
      <c r="BF110" s="208">
        <v>0</v>
      </c>
      <c r="BG110" s="208">
        <v>0</v>
      </c>
      <c r="BH110" s="255">
        <v>0</v>
      </c>
      <c r="BI110" s="255">
        <v>0</v>
      </c>
      <c r="BJ110" s="255">
        <v>0</v>
      </c>
      <c r="BK110" s="258">
        <v>0</v>
      </c>
      <c r="BL110" s="255">
        <v>0</v>
      </c>
      <c r="BM110" s="255">
        <v>0</v>
      </c>
      <c r="BN110" s="208">
        <v>0</v>
      </c>
      <c r="BO110" s="208">
        <v>0</v>
      </c>
      <c r="BP110" s="208">
        <v>0</v>
      </c>
      <c r="BQ110" s="230">
        <f t="shared" si="62"/>
        <v>1547.9076994634036</v>
      </c>
      <c r="BR110" s="214"/>
      <c r="BS110" s="227"/>
      <c r="BT110" s="217" t="s">
        <v>337</v>
      </c>
      <c r="BU110" s="227">
        <v>0</v>
      </c>
      <c r="BV110" s="228">
        <v>0</v>
      </c>
      <c r="BW110" s="208">
        <v>0</v>
      </c>
      <c r="BX110" s="208">
        <v>0</v>
      </c>
      <c r="BY110" s="208">
        <v>0</v>
      </c>
      <c r="BZ110" s="208">
        <v>0</v>
      </c>
      <c r="CA110" s="208">
        <v>0</v>
      </c>
      <c r="CB110" s="208">
        <v>0</v>
      </c>
      <c r="CC110" s="208">
        <v>0</v>
      </c>
      <c r="CD110" s="208">
        <v>0</v>
      </c>
      <c r="CE110" s="208">
        <v>0</v>
      </c>
      <c r="CF110" s="208">
        <v>0</v>
      </c>
      <c r="CG110" s="208">
        <v>0</v>
      </c>
      <c r="CH110" s="208">
        <v>0</v>
      </c>
      <c r="CI110" s="208">
        <v>0</v>
      </c>
      <c r="CJ110" s="208">
        <v>0</v>
      </c>
      <c r="CK110" s="208">
        <v>0</v>
      </c>
      <c r="CL110" s="208">
        <v>0</v>
      </c>
      <c r="CM110" s="208">
        <v>0</v>
      </c>
      <c r="CN110" s="208">
        <v>0</v>
      </c>
      <c r="CO110" s="222">
        <v>0</v>
      </c>
      <c r="CP110" s="227"/>
      <c r="CQ110" s="217" t="s">
        <v>337</v>
      </c>
      <c r="CR110" s="227">
        <v>0</v>
      </c>
      <c r="CS110" s="228">
        <v>0</v>
      </c>
      <c r="CT110" s="208">
        <v>0</v>
      </c>
      <c r="CU110" s="208">
        <v>0</v>
      </c>
      <c r="CV110" s="208">
        <v>0</v>
      </c>
      <c r="CW110" s="208">
        <v>0</v>
      </c>
      <c r="CX110" s="208">
        <v>0</v>
      </c>
      <c r="CY110" s="208">
        <v>0</v>
      </c>
      <c r="CZ110" s="208">
        <v>0</v>
      </c>
      <c r="DA110" s="208">
        <v>0</v>
      </c>
      <c r="DB110" s="208">
        <v>0</v>
      </c>
      <c r="DC110" s="208">
        <v>0</v>
      </c>
      <c r="DD110" s="208">
        <v>0</v>
      </c>
      <c r="DE110" s="208">
        <v>0</v>
      </c>
      <c r="DF110" s="208">
        <v>0</v>
      </c>
      <c r="DG110" s="208">
        <v>0</v>
      </c>
      <c r="DH110" s="208">
        <v>0</v>
      </c>
      <c r="DI110" s="208">
        <v>0</v>
      </c>
      <c r="DJ110" s="208">
        <v>0</v>
      </c>
      <c r="DK110" s="208">
        <v>0</v>
      </c>
      <c r="DL110" s="222">
        <v>0</v>
      </c>
      <c r="DM110" s="214"/>
      <c r="DN110" s="214"/>
      <c r="DO110" s="227"/>
      <c r="DP110" s="217" t="s">
        <v>337</v>
      </c>
      <c r="DQ110" s="227">
        <v>0</v>
      </c>
      <c r="DR110" s="228">
        <v>0</v>
      </c>
      <c r="DS110" s="208">
        <v>0</v>
      </c>
      <c r="DT110" s="208">
        <v>0</v>
      </c>
      <c r="DU110" s="208">
        <v>0</v>
      </c>
      <c r="DV110" s="208">
        <v>0</v>
      </c>
      <c r="DW110" s="208">
        <v>0</v>
      </c>
      <c r="DX110" s="208">
        <v>0</v>
      </c>
      <c r="DY110" s="208">
        <v>1</v>
      </c>
      <c r="DZ110" s="208">
        <v>0</v>
      </c>
      <c r="EA110" s="208">
        <v>0</v>
      </c>
      <c r="EB110" s="208">
        <v>0</v>
      </c>
      <c r="EC110" s="208">
        <v>0</v>
      </c>
      <c r="ED110" s="208">
        <v>0</v>
      </c>
      <c r="EE110" s="208">
        <v>0</v>
      </c>
      <c r="EF110" s="208">
        <v>0</v>
      </c>
      <c r="EG110" s="208">
        <v>0</v>
      </c>
      <c r="EH110" s="208">
        <v>0</v>
      </c>
      <c r="EI110" s="208">
        <v>0</v>
      </c>
      <c r="EJ110" s="208">
        <v>0</v>
      </c>
      <c r="EK110" s="222">
        <v>1</v>
      </c>
      <c r="EL110" s="228"/>
      <c r="EM110" s="217" t="s">
        <v>337</v>
      </c>
      <c r="EN110" s="227">
        <v>0</v>
      </c>
      <c r="EO110" s="228">
        <v>0</v>
      </c>
      <c r="EP110" s="208">
        <v>0</v>
      </c>
      <c r="EQ110" s="208">
        <v>0</v>
      </c>
      <c r="ER110" s="208">
        <v>0</v>
      </c>
      <c r="ES110" s="208">
        <v>0</v>
      </c>
      <c r="ET110" s="208">
        <v>0</v>
      </c>
      <c r="EU110" s="208">
        <v>0</v>
      </c>
      <c r="EV110" s="208">
        <v>82.739543673339199</v>
      </c>
      <c r="EW110" s="208">
        <v>0</v>
      </c>
      <c r="EX110" s="208">
        <v>0</v>
      </c>
      <c r="EY110" s="208">
        <v>0</v>
      </c>
      <c r="EZ110" s="208">
        <v>0</v>
      </c>
      <c r="FA110" s="208">
        <v>0</v>
      </c>
      <c r="FB110" s="208">
        <v>0</v>
      </c>
      <c r="FC110" s="208">
        <v>0</v>
      </c>
      <c r="FD110" s="208">
        <v>0</v>
      </c>
      <c r="FE110" s="208">
        <v>0</v>
      </c>
      <c r="FF110" s="208">
        <v>0</v>
      </c>
      <c r="FG110" s="208">
        <v>0</v>
      </c>
      <c r="FH110" s="222">
        <v>82.739543673339199</v>
      </c>
    </row>
    <row r="111" spans="2:164" s="212" customFormat="1" x14ac:dyDescent="0.2">
      <c r="B111" s="217" t="s">
        <v>338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149</v>
      </c>
      <c r="M111" s="208">
        <v>1</v>
      </c>
      <c r="N111" s="208">
        <v>0</v>
      </c>
      <c r="O111" s="208">
        <v>0</v>
      </c>
      <c r="P111" s="208">
        <v>0</v>
      </c>
      <c r="Q111" s="208">
        <v>0</v>
      </c>
      <c r="R111" s="208">
        <v>11</v>
      </c>
      <c r="S111" s="208">
        <v>0</v>
      </c>
      <c r="T111" s="208">
        <v>0</v>
      </c>
      <c r="U111" s="208">
        <v>0</v>
      </c>
      <c r="V111" s="208">
        <v>0</v>
      </c>
      <c r="W111" s="222">
        <v>161</v>
      </c>
      <c r="X111" s="213"/>
      <c r="Y111" s="217" t="s">
        <v>338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26273.785138966628</v>
      </c>
      <c r="AJ111" s="208">
        <v>233.33608090576692</v>
      </c>
      <c r="AK111" s="255">
        <v>0</v>
      </c>
      <c r="AL111" s="255">
        <v>0</v>
      </c>
      <c r="AM111" s="255">
        <v>0</v>
      </c>
      <c r="AN111" s="255">
        <v>0</v>
      </c>
      <c r="AO111" s="255">
        <v>1162.20901424672</v>
      </c>
      <c r="AP111" s="255">
        <v>0</v>
      </c>
      <c r="AQ111" s="208">
        <v>0</v>
      </c>
      <c r="AR111" s="208">
        <v>0</v>
      </c>
      <c r="AS111" s="208">
        <v>0</v>
      </c>
      <c r="AT111" s="222">
        <v>27669.330234119116</v>
      </c>
      <c r="AV111" s="217" t="s">
        <v>338</v>
      </c>
      <c r="AW111" s="227">
        <v>0</v>
      </c>
      <c r="AX111" s="228">
        <v>0</v>
      </c>
      <c r="AY111" s="208">
        <v>0</v>
      </c>
      <c r="AZ111" s="208">
        <v>0</v>
      </c>
      <c r="BA111" s="208">
        <v>0</v>
      </c>
      <c r="BB111" s="208">
        <v>0</v>
      </c>
      <c r="BC111" s="208">
        <v>0</v>
      </c>
      <c r="BD111" s="208">
        <v>0</v>
      </c>
      <c r="BE111" s="208">
        <v>0</v>
      </c>
      <c r="BF111" s="208">
        <v>26273.785138966628</v>
      </c>
      <c r="BG111" s="208">
        <v>233.33608090576692</v>
      </c>
      <c r="BH111" s="255">
        <v>0</v>
      </c>
      <c r="BI111" s="255">
        <v>0</v>
      </c>
      <c r="BJ111" s="255">
        <v>0</v>
      </c>
      <c r="BK111" s="255">
        <v>0</v>
      </c>
      <c r="BL111" s="258">
        <v>0</v>
      </c>
      <c r="BM111" s="255">
        <v>0</v>
      </c>
      <c r="BN111" s="208">
        <v>0</v>
      </c>
      <c r="BO111" s="208">
        <v>0</v>
      </c>
      <c r="BP111" s="208">
        <v>0</v>
      </c>
      <c r="BQ111" s="230">
        <f t="shared" si="62"/>
        <v>26507.121219872395</v>
      </c>
      <c r="BR111" s="214"/>
      <c r="BS111" s="227"/>
      <c r="BT111" s="217" t="s">
        <v>338</v>
      </c>
      <c r="BU111" s="227">
        <v>0</v>
      </c>
      <c r="BV111" s="228">
        <v>0</v>
      </c>
      <c r="BW111" s="208">
        <v>0</v>
      </c>
      <c r="BX111" s="208">
        <v>0</v>
      </c>
      <c r="BY111" s="208">
        <v>0</v>
      </c>
      <c r="BZ111" s="208">
        <v>0</v>
      </c>
      <c r="CA111" s="208">
        <v>0</v>
      </c>
      <c r="CB111" s="208">
        <v>0</v>
      </c>
      <c r="CC111" s="208">
        <v>0</v>
      </c>
      <c r="CD111" s="208">
        <v>0</v>
      </c>
      <c r="CE111" s="208">
        <v>0</v>
      </c>
      <c r="CF111" s="208">
        <v>0</v>
      </c>
      <c r="CG111" s="208">
        <v>0</v>
      </c>
      <c r="CH111" s="208">
        <v>0</v>
      </c>
      <c r="CI111" s="208">
        <v>0</v>
      </c>
      <c r="CJ111" s="208">
        <v>2</v>
      </c>
      <c r="CK111" s="208">
        <v>0</v>
      </c>
      <c r="CL111" s="208">
        <v>0</v>
      </c>
      <c r="CM111" s="208">
        <v>0</v>
      </c>
      <c r="CN111" s="208">
        <v>0</v>
      </c>
      <c r="CO111" s="222">
        <v>2</v>
      </c>
      <c r="CP111" s="227"/>
      <c r="CQ111" s="217" t="s">
        <v>338</v>
      </c>
      <c r="CR111" s="227">
        <v>0</v>
      </c>
      <c r="CS111" s="228">
        <v>0</v>
      </c>
      <c r="CT111" s="208">
        <v>0</v>
      </c>
      <c r="CU111" s="208">
        <v>0</v>
      </c>
      <c r="CV111" s="208">
        <v>0</v>
      </c>
      <c r="CW111" s="208">
        <v>0</v>
      </c>
      <c r="CX111" s="208">
        <v>0</v>
      </c>
      <c r="CY111" s="208">
        <v>0</v>
      </c>
      <c r="CZ111" s="208">
        <v>0</v>
      </c>
      <c r="DA111" s="208">
        <v>0</v>
      </c>
      <c r="DB111" s="208">
        <v>0</v>
      </c>
      <c r="DC111" s="208">
        <v>0</v>
      </c>
      <c r="DD111" s="208">
        <v>0</v>
      </c>
      <c r="DE111" s="208">
        <v>0</v>
      </c>
      <c r="DF111" s="208">
        <v>0</v>
      </c>
      <c r="DG111" s="208">
        <v>419.06142694389155</v>
      </c>
      <c r="DH111" s="208">
        <v>0</v>
      </c>
      <c r="DI111" s="208">
        <v>0</v>
      </c>
      <c r="DJ111" s="208">
        <v>0</v>
      </c>
      <c r="DK111" s="208">
        <v>0</v>
      </c>
      <c r="DL111" s="222">
        <v>419.06142694389155</v>
      </c>
      <c r="DM111" s="214"/>
      <c r="DN111" s="214"/>
      <c r="DO111" s="227"/>
      <c r="DP111" s="217" t="s">
        <v>338</v>
      </c>
      <c r="DQ111" s="227">
        <v>0</v>
      </c>
      <c r="DR111" s="228">
        <v>0</v>
      </c>
      <c r="DS111" s="208">
        <v>0</v>
      </c>
      <c r="DT111" s="208">
        <v>0</v>
      </c>
      <c r="DU111" s="208">
        <v>0</v>
      </c>
      <c r="DV111" s="208">
        <v>0</v>
      </c>
      <c r="DW111" s="208">
        <v>0</v>
      </c>
      <c r="DX111" s="208">
        <v>0</v>
      </c>
      <c r="DY111" s="208">
        <v>0</v>
      </c>
      <c r="DZ111" s="208">
        <v>0</v>
      </c>
      <c r="EA111" s="208">
        <v>0</v>
      </c>
      <c r="EB111" s="208">
        <v>0</v>
      </c>
      <c r="EC111" s="208">
        <v>0</v>
      </c>
      <c r="ED111" s="208">
        <v>0</v>
      </c>
      <c r="EE111" s="208">
        <v>0</v>
      </c>
      <c r="EF111" s="208">
        <v>2</v>
      </c>
      <c r="EG111" s="208">
        <v>0</v>
      </c>
      <c r="EH111" s="208">
        <v>0</v>
      </c>
      <c r="EI111" s="208">
        <v>0</v>
      </c>
      <c r="EJ111" s="208">
        <v>0</v>
      </c>
      <c r="EK111" s="222">
        <v>2</v>
      </c>
      <c r="EL111" s="228"/>
      <c r="EM111" s="217" t="s">
        <v>338</v>
      </c>
      <c r="EN111" s="227">
        <v>0</v>
      </c>
      <c r="EO111" s="228">
        <v>0</v>
      </c>
      <c r="EP111" s="208">
        <v>0</v>
      </c>
      <c r="EQ111" s="208">
        <v>0</v>
      </c>
      <c r="ER111" s="208">
        <v>0</v>
      </c>
      <c r="ES111" s="208">
        <v>0</v>
      </c>
      <c r="ET111" s="208">
        <v>0</v>
      </c>
      <c r="EU111" s="208">
        <v>0</v>
      </c>
      <c r="EV111" s="208">
        <v>0</v>
      </c>
      <c r="EW111" s="208">
        <v>0</v>
      </c>
      <c r="EX111" s="208">
        <v>0</v>
      </c>
      <c r="EY111" s="208">
        <v>0</v>
      </c>
      <c r="EZ111" s="208">
        <v>0</v>
      </c>
      <c r="FA111" s="208">
        <v>0</v>
      </c>
      <c r="FB111" s="208">
        <v>0</v>
      </c>
      <c r="FC111" s="208">
        <v>419.06142694389155</v>
      </c>
      <c r="FD111" s="208">
        <v>0</v>
      </c>
      <c r="FE111" s="208">
        <v>0</v>
      </c>
      <c r="FF111" s="208">
        <v>0</v>
      </c>
      <c r="FG111" s="208">
        <v>0</v>
      </c>
      <c r="FH111" s="222">
        <v>419.06142694389155</v>
      </c>
    </row>
    <row r="112" spans="2:164" x14ac:dyDescent="0.2">
      <c r="B112" s="217" t="s">
        <v>339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0</v>
      </c>
      <c r="M112" s="208">
        <v>23</v>
      </c>
      <c r="N112" s="208">
        <v>0</v>
      </c>
      <c r="O112" s="208">
        <v>0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23</v>
      </c>
      <c r="X112" s="208"/>
      <c r="Y112" s="217" t="s">
        <v>339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0</v>
      </c>
      <c r="AJ112" s="208">
        <v>4034.4842279883951</v>
      </c>
      <c r="AK112" s="255">
        <v>0</v>
      </c>
      <c r="AL112" s="255">
        <v>0</v>
      </c>
      <c r="AM112" s="255">
        <v>0</v>
      </c>
      <c r="AN112" s="255">
        <v>0</v>
      </c>
      <c r="AO112" s="255">
        <v>0</v>
      </c>
      <c r="AP112" s="255">
        <v>0</v>
      </c>
      <c r="AQ112" s="208">
        <v>0</v>
      </c>
      <c r="AR112" s="208">
        <v>0</v>
      </c>
      <c r="AS112" s="208">
        <v>0</v>
      </c>
      <c r="AT112" s="222">
        <v>4034.4842279883951</v>
      </c>
      <c r="AV112" s="217" t="s">
        <v>339</v>
      </c>
      <c r="AW112" s="227">
        <v>0</v>
      </c>
      <c r="AX112" s="228">
        <v>0</v>
      </c>
      <c r="AY112" s="208">
        <v>0</v>
      </c>
      <c r="AZ112" s="208">
        <v>0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4034.4842279883951</v>
      </c>
      <c r="BH112" s="255">
        <v>0</v>
      </c>
      <c r="BI112" s="255">
        <v>0</v>
      </c>
      <c r="BJ112" s="255">
        <v>0</v>
      </c>
      <c r="BK112" s="255">
        <v>0</v>
      </c>
      <c r="BL112" s="255">
        <v>0</v>
      </c>
      <c r="BM112" s="255">
        <v>0</v>
      </c>
      <c r="BN112" s="208">
        <v>0</v>
      </c>
      <c r="BO112" s="208">
        <v>0</v>
      </c>
      <c r="BP112" s="208">
        <v>0</v>
      </c>
      <c r="BQ112" s="230">
        <f t="shared" si="62"/>
        <v>4034.4842279883951</v>
      </c>
      <c r="BR112" s="214"/>
      <c r="BS112" s="227"/>
      <c r="BT112" s="217" t="s">
        <v>339</v>
      </c>
      <c r="BU112" s="227">
        <v>0</v>
      </c>
      <c r="BV112" s="228">
        <v>0</v>
      </c>
      <c r="BW112" s="208">
        <v>0</v>
      </c>
      <c r="BX112" s="208">
        <v>0</v>
      </c>
      <c r="BY112" s="208">
        <v>0</v>
      </c>
      <c r="BZ112" s="208">
        <v>0</v>
      </c>
      <c r="CA112" s="208">
        <v>0</v>
      </c>
      <c r="CB112" s="208">
        <v>0</v>
      </c>
      <c r="CC112" s="208">
        <v>0</v>
      </c>
      <c r="CD112" s="208">
        <v>0</v>
      </c>
      <c r="CE112" s="208">
        <v>0</v>
      </c>
      <c r="CF112" s="208">
        <v>0</v>
      </c>
      <c r="CG112" s="208">
        <v>0</v>
      </c>
      <c r="CH112" s="208">
        <v>0</v>
      </c>
      <c r="CI112" s="208">
        <v>0</v>
      </c>
      <c r="CJ112" s="208">
        <v>0</v>
      </c>
      <c r="CK112" s="208">
        <v>0</v>
      </c>
      <c r="CL112" s="208">
        <v>0</v>
      </c>
      <c r="CM112" s="208">
        <v>0</v>
      </c>
      <c r="CN112" s="208">
        <v>0</v>
      </c>
      <c r="CO112" s="222">
        <v>0</v>
      </c>
      <c r="CP112" s="227"/>
      <c r="CQ112" s="217" t="s">
        <v>339</v>
      </c>
      <c r="CR112" s="227">
        <v>0</v>
      </c>
      <c r="CS112" s="228">
        <v>0</v>
      </c>
      <c r="CT112" s="208">
        <v>0</v>
      </c>
      <c r="CU112" s="208">
        <v>0</v>
      </c>
      <c r="CV112" s="208">
        <v>0</v>
      </c>
      <c r="CW112" s="208">
        <v>0</v>
      </c>
      <c r="CX112" s="208">
        <v>0</v>
      </c>
      <c r="CY112" s="208">
        <v>0</v>
      </c>
      <c r="CZ112" s="208">
        <v>0</v>
      </c>
      <c r="DA112" s="208">
        <v>0</v>
      </c>
      <c r="DB112" s="208">
        <v>0</v>
      </c>
      <c r="DC112" s="208">
        <v>0</v>
      </c>
      <c r="DD112" s="208">
        <v>0</v>
      </c>
      <c r="DE112" s="208">
        <v>0</v>
      </c>
      <c r="DF112" s="208">
        <v>0</v>
      </c>
      <c r="DG112" s="208">
        <v>0</v>
      </c>
      <c r="DH112" s="208">
        <v>0</v>
      </c>
      <c r="DI112" s="208">
        <v>0</v>
      </c>
      <c r="DJ112" s="208">
        <v>0</v>
      </c>
      <c r="DK112" s="208">
        <v>0</v>
      </c>
      <c r="DL112" s="222">
        <v>0</v>
      </c>
      <c r="DM112" s="214"/>
      <c r="DN112" s="214"/>
      <c r="DO112" s="227"/>
      <c r="DP112" s="217" t="s">
        <v>339</v>
      </c>
      <c r="DQ112" s="227">
        <v>0</v>
      </c>
      <c r="DR112" s="228">
        <v>0</v>
      </c>
      <c r="DS112" s="208">
        <v>0</v>
      </c>
      <c r="DT112" s="208">
        <v>0</v>
      </c>
      <c r="DU112" s="208">
        <v>0</v>
      </c>
      <c r="DV112" s="208">
        <v>0</v>
      </c>
      <c r="DW112" s="208">
        <v>0</v>
      </c>
      <c r="DX112" s="208">
        <v>0</v>
      </c>
      <c r="DY112" s="208">
        <v>0</v>
      </c>
      <c r="DZ112" s="208">
        <v>0</v>
      </c>
      <c r="EA112" s="208">
        <v>1</v>
      </c>
      <c r="EB112" s="208">
        <v>0</v>
      </c>
      <c r="EC112" s="208">
        <v>0</v>
      </c>
      <c r="ED112" s="208">
        <v>0</v>
      </c>
      <c r="EE112" s="208">
        <v>0</v>
      </c>
      <c r="EF112" s="208">
        <v>0</v>
      </c>
      <c r="EG112" s="208">
        <v>0</v>
      </c>
      <c r="EH112" s="208">
        <v>0</v>
      </c>
      <c r="EI112" s="208">
        <v>0</v>
      </c>
      <c r="EJ112" s="208">
        <v>0</v>
      </c>
      <c r="EK112" s="222">
        <v>1</v>
      </c>
      <c r="EL112" s="228"/>
      <c r="EM112" s="217" t="s">
        <v>339</v>
      </c>
      <c r="EN112" s="227">
        <v>0</v>
      </c>
      <c r="EO112" s="228">
        <v>0</v>
      </c>
      <c r="EP112" s="208">
        <v>0</v>
      </c>
      <c r="EQ112" s="208">
        <v>0</v>
      </c>
      <c r="ER112" s="208">
        <v>0</v>
      </c>
      <c r="ES112" s="208">
        <v>0</v>
      </c>
      <c r="ET112" s="208">
        <v>0</v>
      </c>
      <c r="EU112" s="208">
        <v>0</v>
      </c>
      <c r="EV112" s="208">
        <v>0</v>
      </c>
      <c r="EW112" s="208">
        <v>0</v>
      </c>
      <c r="EX112" s="208">
        <v>1671.5393715184443</v>
      </c>
      <c r="EY112" s="208">
        <v>0</v>
      </c>
      <c r="EZ112" s="208">
        <v>0</v>
      </c>
      <c r="FA112" s="208">
        <v>0</v>
      </c>
      <c r="FB112" s="208">
        <v>0</v>
      </c>
      <c r="FC112" s="208">
        <v>0</v>
      </c>
      <c r="FD112" s="208">
        <v>0</v>
      </c>
      <c r="FE112" s="208">
        <v>0</v>
      </c>
      <c r="FF112" s="208">
        <v>0</v>
      </c>
      <c r="FG112" s="208">
        <v>0</v>
      </c>
      <c r="FH112" s="222">
        <v>1671.5393715184443</v>
      </c>
    </row>
    <row r="113" spans="2:164" x14ac:dyDescent="0.2">
      <c r="B113" s="217" t="s">
        <v>340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0</v>
      </c>
      <c r="J113" s="208">
        <v>0</v>
      </c>
      <c r="K113" s="208">
        <v>0</v>
      </c>
      <c r="L113" s="208">
        <v>1</v>
      </c>
      <c r="M113" s="208">
        <v>0</v>
      </c>
      <c r="N113" s="208">
        <v>7</v>
      </c>
      <c r="O113" s="208">
        <v>1</v>
      </c>
      <c r="P113" s="208">
        <v>0</v>
      </c>
      <c r="Q113" s="208">
        <v>0</v>
      </c>
      <c r="R113" s="208">
        <v>0</v>
      </c>
      <c r="S113" s="208">
        <v>0</v>
      </c>
      <c r="T113" s="208">
        <v>0</v>
      </c>
      <c r="U113" s="208">
        <v>0</v>
      </c>
      <c r="V113" s="208">
        <v>0</v>
      </c>
      <c r="W113" s="222">
        <v>9</v>
      </c>
      <c r="X113" s="208"/>
      <c r="Y113" s="217" t="s">
        <v>340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55">
        <v>0</v>
      </c>
      <c r="AF113" s="255">
        <v>0</v>
      </c>
      <c r="AG113" s="255">
        <v>0</v>
      </c>
      <c r="AH113" s="255">
        <v>0</v>
      </c>
      <c r="AI113" s="255">
        <v>19.481203794336313</v>
      </c>
      <c r="AJ113" s="255">
        <v>0</v>
      </c>
      <c r="AK113" s="208">
        <v>11772.494083927495</v>
      </c>
      <c r="AL113" s="208">
        <v>82.069620597861373</v>
      </c>
      <c r="AM113" s="208">
        <v>0</v>
      </c>
      <c r="AN113" s="208">
        <v>0</v>
      </c>
      <c r="AO113" s="208">
        <v>0</v>
      </c>
      <c r="AP113" s="208">
        <v>0</v>
      </c>
      <c r="AQ113" s="208">
        <v>0</v>
      </c>
      <c r="AR113" s="208">
        <v>0</v>
      </c>
      <c r="AS113" s="208">
        <v>0</v>
      </c>
      <c r="AT113" s="222">
        <v>11874.044908319693</v>
      </c>
      <c r="AV113" s="217" t="s">
        <v>340</v>
      </c>
      <c r="AW113" s="227">
        <v>0</v>
      </c>
      <c r="AX113" s="228">
        <v>0</v>
      </c>
      <c r="AY113" s="208">
        <v>0</v>
      </c>
      <c r="AZ113" s="208">
        <v>0</v>
      </c>
      <c r="BA113" s="208">
        <v>0</v>
      </c>
      <c r="BB113" s="255">
        <v>0</v>
      </c>
      <c r="BC113" s="255">
        <v>0</v>
      </c>
      <c r="BD113" s="255">
        <v>0</v>
      </c>
      <c r="BE113" s="255">
        <v>0</v>
      </c>
      <c r="BF113" s="258">
        <v>0</v>
      </c>
      <c r="BG113" s="255">
        <v>0</v>
      </c>
      <c r="BH113" s="208">
        <v>11772.494083927495</v>
      </c>
      <c r="BI113" s="208">
        <v>82.069620597861373</v>
      </c>
      <c r="BJ113" s="208">
        <v>0</v>
      </c>
      <c r="BK113" s="208">
        <v>0</v>
      </c>
      <c r="BL113" s="208">
        <v>0</v>
      </c>
      <c r="BM113" s="208">
        <v>0</v>
      </c>
      <c r="BN113" s="208">
        <v>0</v>
      </c>
      <c r="BO113" s="208">
        <v>0</v>
      </c>
      <c r="BP113" s="208">
        <v>0</v>
      </c>
      <c r="BQ113" s="230">
        <f t="shared" si="62"/>
        <v>11854.563704525357</v>
      </c>
      <c r="BR113" s="214"/>
      <c r="BS113" s="227"/>
      <c r="BT113" s="217" t="s">
        <v>340</v>
      </c>
      <c r="BU113" s="227">
        <v>0</v>
      </c>
      <c r="BV113" s="228">
        <v>0</v>
      </c>
      <c r="BW113" s="208">
        <v>0</v>
      </c>
      <c r="BX113" s="208">
        <v>0</v>
      </c>
      <c r="BY113" s="208">
        <v>0</v>
      </c>
      <c r="BZ113" s="208">
        <v>0</v>
      </c>
      <c r="CA113" s="208">
        <v>0</v>
      </c>
      <c r="CB113" s="208">
        <v>0</v>
      </c>
      <c r="CC113" s="208">
        <v>0</v>
      </c>
      <c r="CD113" s="208">
        <v>0</v>
      </c>
      <c r="CE113" s="208">
        <v>0</v>
      </c>
      <c r="CF113" s="208">
        <v>0</v>
      </c>
      <c r="CG113" s="208">
        <v>0</v>
      </c>
      <c r="CH113" s="208">
        <v>0</v>
      </c>
      <c r="CI113" s="208">
        <v>0</v>
      </c>
      <c r="CJ113" s="208">
        <v>0</v>
      </c>
      <c r="CK113" s="208">
        <v>0</v>
      </c>
      <c r="CL113" s="208">
        <v>0</v>
      </c>
      <c r="CM113" s="208">
        <v>0</v>
      </c>
      <c r="CN113" s="208">
        <v>0</v>
      </c>
      <c r="CO113" s="222">
        <v>0</v>
      </c>
      <c r="CP113" s="227"/>
      <c r="CQ113" s="217" t="s">
        <v>340</v>
      </c>
      <c r="CR113" s="227">
        <v>0</v>
      </c>
      <c r="CS113" s="228">
        <v>0</v>
      </c>
      <c r="CT113" s="208">
        <v>0</v>
      </c>
      <c r="CU113" s="208">
        <v>0</v>
      </c>
      <c r="CV113" s="208">
        <v>0</v>
      </c>
      <c r="CW113" s="208">
        <v>0</v>
      </c>
      <c r="CX113" s="208">
        <v>0</v>
      </c>
      <c r="CY113" s="208">
        <v>0</v>
      </c>
      <c r="CZ113" s="208">
        <v>0</v>
      </c>
      <c r="DA113" s="208">
        <v>0</v>
      </c>
      <c r="DB113" s="208">
        <v>0</v>
      </c>
      <c r="DC113" s="208">
        <v>0</v>
      </c>
      <c r="DD113" s="208">
        <v>0</v>
      </c>
      <c r="DE113" s="208">
        <v>0</v>
      </c>
      <c r="DF113" s="208">
        <v>0</v>
      </c>
      <c r="DG113" s="208">
        <v>0</v>
      </c>
      <c r="DH113" s="208">
        <v>0</v>
      </c>
      <c r="DI113" s="208">
        <v>0</v>
      </c>
      <c r="DJ113" s="208">
        <v>0</v>
      </c>
      <c r="DK113" s="208">
        <v>0</v>
      </c>
      <c r="DL113" s="222">
        <v>0</v>
      </c>
      <c r="DM113" s="214"/>
      <c r="DN113" s="214"/>
      <c r="DO113" s="227"/>
      <c r="DP113" s="217" t="s">
        <v>340</v>
      </c>
      <c r="DQ113" s="227">
        <v>0</v>
      </c>
      <c r="DR113" s="228">
        <v>0</v>
      </c>
      <c r="DS113" s="208">
        <v>0</v>
      </c>
      <c r="DT113" s="208">
        <v>0</v>
      </c>
      <c r="DU113" s="208">
        <v>0</v>
      </c>
      <c r="DV113" s="208">
        <v>0</v>
      </c>
      <c r="DW113" s="208">
        <v>0</v>
      </c>
      <c r="DX113" s="208">
        <v>0</v>
      </c>
      <c r="DY113" s="208">
        <v>0</v>
      </c>
      <c r="DZ113" s="208">
        <v>0</v>
      </c>
      <c r="EA113" s="208">
        <v>0</v>
      </c>
      <c r="EB113" s="208">
        <v>0</v>
      </c>
      <c r="EC113" s="208">
        <v>0</v>
      </c>
      <c r="ED113" s="208">
        <v>0</v>
      </c>
      <c r="EE113" s="208">
        <v>0</v>
      </c>
      <c r="EF113" s="208">
        <v>0</v>
      </c>
      <c r="EG113" s="208">
        <v>0</v>
      </c>
      <c r="EH113" s="208">
        <v>0</v>
      </c>
      <c r="EI113" s="208">
        <v>0</v>
      </c>
      <c r="EJ113" s="208">
        <v>0</v>
      </c>
      <c r="EK113" s="222">
        <v>0</v>
      </c>
      <c r="EL113" s="228"/>
      <c r="EM113" s="217" t="s">
        <v>340</v>
      </c>
      <c r="EN113" s="227">
        <v>0</v>
      </c>
      <c r="EO113" s="228">
        <v>0</v>
      </c>
      <c r="EP113" s="208">
        <v>0</v>
      </c>
      <c r="EQ113" s="208">
        <v>0</v>
      </c>
      <c r="ER113" s="208">
        <v>0</v>
      </c>
      <c r="ES113" s="208">
        <v>0</v>
      </c>
      <c r="ET113" s="208">
        <v>0</v>
      </c>
      <c r="EU113" s="208">
        <v>0</v>
      </c>
      <c r="EV113" s="208">
        <v>0</v>
      </c>
      <c r="EW113" s="208">
        <v>0</v>
      </c>
      <c r="EX113" s="208">
        <v>0</v>
      </c>
      <c r="EY113" s="208">
        <v>0</v>
      </c>
      <c r="EZ113" s="208">
        <v>0</v>
      </c>
      <c r="FA113" s="208">
        <v>0</v>
      </c>
      <c r="FB113" s="208">
        <v>0</v>
      </c>
      <c r="FC113" s="208">
        <v>0</v>
      </c>
      <c r="FD113" s="208">
        <v>0</v>
      </c>
      <c r="FE113" s="208">
        <v>0</v>
      </c>
      <c r="FF113" s="208">
        <v>0</v>
      </c>
      <c r="FG113" s="208">
        <v>0</v>
      </c>
      <c r="FH113" s="222">
        <v>0</v>
      </c>
    </row>
    <row r="114" spans="2:164" x14ac:dyDescent="0.2">
      <c r="B114" s="217" t="s">
        <v>361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0</v>
      </c>
      <c r="L114" s="208">
        <v>0</v>
      </c>
      <c r="M114" s="208">
        <v>0</v>
      </c>
      <c r="N114" s="208">
        <v>0</v>
      </c>
      <c r="O114" s="208">
        <v>5</v>
      </c>
      <c r="P114" s="208">
        <v>0</v>
      </c>
      <c r="Q114" s="208">
        <v>0</v>
      </c>
      <c r="R114" s="208">
        <v>1</v>
      </c>
      <c r="S114" s="208">
        <v>0</v>
      </c>
      <c r="T114" s="208">
        <v>0</v>
      </c>
      <c r="U114" s="208">
        <v>0</v>
      </c>
      <c r="V114" s="208">
        <v>0</v>
      </c>
      <c r="W114" s="222">
        <v>6</v>
      </c>
      <c r="X114" s="208"/>
      <c r="Y114" s="217" t="s">
        <v>361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55">
        <v>0</v>
      </c>
      <c r="AF114" s="255">
        <v>0</v>
      </c>
      <c r="AG114" s="255">
        <v>0</v>
      </c>
      <c r="AH114" s="255">
        <v>0</v>
      </c>
      <c r="AI114" s="255">
        <v>0</v>
      </c>
      <c r="AJ114" s="255">
        <v>0</v>
      </c>
      <c r="AK114" s="208">
        <v>0</v>
      </c>
      <c r="AL114" s="208">
        <v>323.85952100930967</v>
      </c>
      <c r="AM114" s="208">
        <v>0</v>
      </c>
      <c r="AN114" s="208">
        <v>0</v>
      </c>
      <c r="AO114" s="208">
        <v>92.674745901306594</v>
      </c>
      <c r="AP114" s="208">
        <v>0</v>
      </c>
      <c r="AQ114" s="208">
        <v>0</v>
      </c>
      <c r="AR114" s="208">
        <v>0</v>
      </c>
      <c r="AS114" s="208">
        <v>0</v>
      </c>
      <c r="AT114" s="222">
        <v>416.53426691061628</v>
      </c>
      <c r="AV114" s="217" t="s">
        <v>361</v>
      </c>
      <c r="AW114" s="227">
        <v>0</v>
      </c>
      <c r="AX114" s="228">
        <v>0</v>
      </c>
      <c r="AY114" s="208">
        <v>0</v>
      </c>
      <c r="AZ114" s="208">
        <v>0</v>
      </c>
      <c r="BA114" s="208">
        <v>0</v>
      </c>
      <c r="BB114" s="255">
        <v>0</v>
      </c>
      <c r="BC114" s="255">
        <v>0</v>
      </c>
      <c r="BD114" s="255">
        <v>0</v>
      </c>
      <c r="BE114" s="255">
        <v>0</v>
      </c>
      <c r="BF114" s="255">
        <v>0</v>
      </c>
      <c r="BG114" s="255">
        <v>0</v>
      </c>
      <c r="BH114" s="208">
        <v>0</v>
      </c>
      <c r="BI114" s="208">
        <v>323.85952100930967</v>
      </c>
      <c r="BJ114" s="208">
        <v>0</v>
      </c>
      <c r="BK114" s="208">
        <v>0</v>
      </c>
      <c r="BL114" s="208">
        <v>92.674745901306594</v>
      </c>
      <c r="BM114" s="208">
        <v>0</v>
      </c>
      <c r="BN114" s="208">
        <v>0</v>
      </c>
      <c r="BO114" s="208">
        <v>0</v>
      </c>
      <c r="BP114" s="208">
        <v>0</v>
      </c>
      <c r="BQ114" s="230">
        <f t="shared" si="62"/>
        <v>416.53426691061628</v>
      </c>
      <c r="BR114" s="214"/>
      <c r="BS114" s="227"/>
      <c r="BT114" s="217" t="s">
        <v>361</v>
      </c>
      <c r="BU114" s="227">
        <v>0</v>
      </c>
      <c r="BV114" s="228">
        <v>0</v>
      </c>
      <c r="BW114" s="208">
        <v>0</v>
      </c>
      <c r="BX114" s="208">
        <v>0</v>
      </c>
      <c r="BY114" s="208">
        <v>0</v>
      </c>
      <c r="BZ114" s="208">
        <v>0</v>
      </c>
      <c r="CA114" s="208">
        <v>0</v>
      </c>
      <c r="CB114" s="208">
        <v>0</v>
      </c>
      <c r="CC114" s="208">
        <v>0</v>
      </c>
      <c r="CD114" s="208">
        <v>0</v>
      </c>
      <c r="CE114" s="208">
        <v>0</v>
      </c>
      <c r="CF114" s="208">
        <v>0</v>
      </c>
      <c r="CG114" s="208">
        <v>0</v>
      </c>
      <c r="CH114" s="208">
        <v>0</v>
      </c>
      <c r="CI114" s="208">
        <v>0</v>
      </c>
      <c r="CJ114" s="208">
        <v>0</v>
      </c>
      <c r="CK114" s="208">
        <v>0</v>
      </c>
      <c r="CL114" s="208">
        <v>0</v>
      </c>
      <c r="CM114" s="208">
        <v>0</v>
      </c>
      <c r="CN114" s="208">
        <v>0</v>
      </c>
      <c r="CO114" s="222">
        <v>0</v>
      </c>
      <c r="CP114" s="227"/>
      <c r="CQ114" s="217" t="s">
        <v>361</v>
      </c>
      <c r="CR114" s="227">
        <v>0</v>
      </c>
      <c r="CS114" s="228">
        <v>0</v>
      </c>
      <c r="CT114" s="208">
        <v>0</v>
      </c>
      <c r="CU114" s="208">
        <v>0</v>
      </c>
      <c r="CV114" s="208">
        <v>0</v>
      </c>
      <c r="CW114" s="208">
        <v>0</v>
      </c>
      <c r="CX114" s="208">
        <v>0</v>
      </c>
      <c r="CY114" s="208">
        <v>0</v>
      </c>
      <c r="CZ114" s="208">
        <v>0</v>
      </c>
      <c r="DA114" s="208">
        <v>0</v>
      </c>
      <c r="DB114" s="208">
        <v>0</v>
      </c>
      <c r="DC114" s="208">
        <v>0</v>
      </c>
      <c r="DD114" s="208">
        <v>0</v>
      </c>
      <c r="DE114" s="208">
        <v>0</v>
      </c>
      <c r="DF114" s="208">
        <v>0</v>
      </c>
      <c r="DG114" s="208">
        <v>0</v>
      </c>
      <c r="DH114" s="208">
        <v>0</v>
      </c>
      <c r="DI114" s="208">
        <v>0</v>
      </c>
      <c r="DJ114" s="208">
        <v>0</v>
      </c>
      <c r="DK114" s="208">
        <v>0</v>
      </c>
      <c r="DL114" s="222">
        <v>0</v>
      </c>
      <c r="DM114" s="214"/>
      <c r="DN114" s="214"/>
      <c r="DO114" s="227"/>
      <c r="DP114" s="217" t="s">
        <v>361</v>
      </c>
      <c r="DQ114" s="227">
        <v>0</v>
      </c>
      <c r="DR114" s="228">
        <v>0</v>
      </c>
      <c r="DS114" s="208">
        <v>0</v>
      </c>
      <c r="DT114" s="208">
        <v>0</v>
      </c>
      <c r="DU114" s="208">
        <v>0</v>
      </c>
      <c r="DV114" s="208">
        <v>0</v>
      </c>
      <c r="DW114" s="208">
        <v>0</v>
      </c>
      <c r="DX114" s="208">
        <v>0</v>
      </c>
      <c r="DY114" s="208">
        <v>0</v>
      </c>
      <c r="DZ114" s="208">
        <v>0</v>
      </c>
      <c r="EA114" s="208">
        <v>0</v>
      </c>
      <c r="EB114" s="208">
        <v>0</v>
      </c>
      <c r="EC114" s="208">
        <v>0</v>
      </c>
      <c r="ED114" s="208">
        <v>0</v>
      </c>
      <c r="EE114" s="208">
        <v>0</v>
      </c>
      <c r="EF114" s="208">
        <v>0</v>
      </c>
      <c r="EG114" s="208">
        <v>0</v>
      </c>
      <c r="EH114" s="208">
        <v>0</v>
      </c>
      <c r="EI114" s="208">
        <v>0</v>
      </c>
      <c r="EJ114" s="208">
        <v>0</v>
      </c>
      <c r="EK114" s="222">
        <v>0</v>
      </c>
      <c r="EL114" s="228"/>
      <c r="EM114" s="217" t="s">
        <v>361</v>
      </c>
      <c r="EN114" s="227">
        <v>0</v>
      </c>
      <c r="EO114" s="228">
        <v>0</v>
      </c>
      <c r="EP114" s="208">
        <v>0</v>
      </c>
      <c r="EQ114" s="208">
        <v>0</v>
      </c>
      <c r="ER114" s="208">
        <v>0</v>
      </c>
      <c r="ES114" s="208">
        <v>0</v>
      </c>
      <c r="ET114" s="208">
        <v>0</v>
      </c>
      <c r="EU114" s="208">
        <v>0</v>
      </c>
      <c r="EV114" s="208">
        <v>0</v>
      </c>
      <c r="EW114" s="208">
        <v>0</v>
      </c>
      <c r="EX114" s="208">
        <v>0</v>
      </c>
      <c r="EY114" s="208">
        <v>0</v>
      </c>
      <c r="EZ114" s="208">
        <v>0</v>
      </c>
      <c r="FA114" s="208">
        <v>0</v>
      </c>
      <c r="FB114" s="208">
        <v>0</v>
      </c>
      <c r="FC114" s="208">
        <v>0</v>
      </c>
      <c r="FD114" s="208">
        <v>0</v>
      </c>
      <c r="FE114" s="208">
        <v>0</v>
      </c>
      <c r="FF114" s="208">
        <v>0</v>
      </c>
      <c r="FG114" s="208">
        <v>0</v>
      </c>
      <c r="FH114" s="222">
        <v>0</v>
      </c>
    </row>
    <row r="115" spans="2:164" x14ac:dyDescent="0.2">
      <c r="B115" s="234" t="s">
        <v>350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0</v>
      </c>
      <c r="M115" s="208">
        <v>0</v>
      </c>
      <c r="N115" s="208">
        <v>0</v>
      </c>
      <c r="O115" s="208">
        <v>0</v>
      </c>
      <c r="P115" s="208">
        <v>4</v>
      </c>
      <c r="Q115" s="208">
        <v>0</v>
      </c>
      <c r="R115" s="208">
        <v>0</v>
      </c>
      <c r="S115" s="208">
        <v>0</v>
      </c>
      <c r="T115" s="208">
        <v>0</v>
      </c>
      <c r="U115" s="208">
        <v>0</v>
      </c>
      <c r="V115" s="208">
        <v>0</v>
      </c>
      <c r="W115" s="222">
        <v>4</v>
      </c>
      <c r="X115" s="208"/>
      <c r="Y115" s="217" t="s">
        <v>350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55">
        <v>0</v>
      </c>
      <c r="AF115" s="255">
        <v>0</v>
      </c>
      <c r="AG115" s="255">
        <v>0</v>
      </c>
      <c r="AH115" s="255">
        <v>0</v>
      </c>
      <c r="AI115" s="255">
        <v>0</v>
      </c>
      <c r="AJ115" s="255">
        <v>0</v>
      </c>
      <c r="AK115" s="208">
        <v>0</v>
      </c>
      <c r="AL115" s="208">
        <v>0</v>
      </c>
      <c r="AM115" s="208">
        <v>123.60712852596197</v>
      </c>
      <c r="AN115" s="208">
        <v>0</v>
      </c>
      <c r="AO115" s="208">
        <v>0</v>
      </c>
      <c r="AP115" s="208">
        <v>0</v>
      </c>
      <c r="AQ115" s="208">
        <v>0</v>
      </c>
      <c r="AR115" s="208">
        <v>0</v>
      </c>
      <c r="AS115" s="208">
        <v>0</v>
      </c>
      <c r="AT115" s="222">
        <v>123.60712852596197</v>
      </c>
      <c r="AV115" s="217" t="s">
        <v>350</v>
      </c>
      <c r="AW115" s="227">
        <v>0</v>
      </c>
      <c r="AX115" s="228">
        <v>0</v>
      </c>
      <c r="AY115" s="208">
        <v>0</v>
      </c>
      <c r="AZ115" s="208">
        <v>0</v>
      </c>
      <c r="BA115" s="208">
        <v>0</v>
      </c>
      <c r="BB115" s="255">
        <v>0</v>
      </c>
      <c r="BC115" s="255">
        <v>0</v>
      </c>
      <c r="BD115" s="255">
        <v>0</v>
      </c>
      <c r="BE115" s="255">
        <v>0</v>
      </c>
      <c r="BF115" s="255">
        <v>0</v>
      </c>
      <c r="BG115" s="255">
        <v>0</v>
      </c>
      <c r="BH115" s="208">
        <v>0</v>
      </c>
      <c r="BI115" s="208">
        <v>0</v>
      </c>
      <c r="BJ115" s="208">
        <v>123.60712852596197</v>
      </c>
      <c r="BK115" s="208">
        <v>0</v>
      </c>
      <c r="BL115" s="208">
        <v>0</v>
      </c>
      <c r="BM115" s="208">
        <v>0</v>
      </c>
      <c r="BN115" s="208">
        <v>0</v>
      </c>
      <c r="BO115" s="208">
        <v>0</v>
      </c>
      <c r="BP115" s="208">
        <v>0</v>
      </c>
      <c r="BQ115" s="230">
        <f t="shared" si="62"/>
        <v>123.60712852596197</v>
      </c>
      <c r="BR115" s="214"/>
      <c r="BS115" s="227"/>
      <c r="BT115" s="234" t="s">
        <v>350</v>
      </c>
      <c r="BU115" s="227">
        <v>0</v>
      </c>
      <c r="BV115" s="228">
        <v>0</v>
      </c>
      <c r="BW115" s="208">
        <v>0</v>
      </c>
      <c r="BX115" s="208">
        <v>0</v>
      </c>
      <c r="BY115" s="208">
        <v>0</v>
      </c>
      <c r="BZ115" s="208">
        <v>0</v>
      </c>
      <c r="CA115" s="208">
        <v>0</v>
      </c>
      <c r="CB115" s="208">
        <v>0</v>
      </c>
      <c r="CC115" s="208">
        <v>0</v>
      </c>
      <c r="CD115" s="208">
        <v>0</v>
      </c>
      <c r="CE115" s="208">
        <v>0</v>
      </c>
      <c r="CF115" s="208">
        <v>0</v>
      </c>
      <c r="CG115" s="208">
        <v>0</v>
      </c>
      <c r="CH115" s="208">
        <v>3</v>
      </c>
      <c r="CI115" s="208">
        <v>0</v>
      </c>
      <c r="CJ115" s="208">
        <v>0</v>
      </c>
      <c r="CK115" s="208">
        <v>0</v>
      </c>
      <c r="CL115" s="208">
        <v>0</v>
      </c>
      <c r="CM115" s="208">
        <v>0</v>
      </c>
      <c r="CN115" s="208">
        <v>0</v>
      </c>
      <c r="CO115" s="222">
        <v>3</v>
      </c>
      <c r="CP115" s="227"/>
      <c r="CQ115" s="234" t="s">
        <v>350</v>
      </c>
      <c r="CR115" s="227">
        <v>0</v>
      </c>
      <c r="CS115" s="228">
        <v>0</v>
      </c>
      <c r="CT115" s="208">
        <v>0</v>
      </c>
      <c r="CU115" s="208">
        <v>0</v>
      </c>
      <c r="CV115" s="208">
        <v>0</v>
      </c>
      <c r="CW115" s="208">
        <v>0</v>
      </c>
      <c r="CX115" s="208">
        <v>0</v>
      </c>
      <c r="CY115" s="208">
        <v>0</v>
      </c>
      <c r="CZ115" s="208">
        <v>0</v>
      </c>
      <c r="DA115" s="208">
        <v>0</v>
      </c>
      <c r="DB115" s="208">
        <v>0</v>
      </c>
      <c r="DC115" s="208">
        <v>0</v>
      </c>
      <c r="DD115" s="208">
        <v>0</v>
      </c>
      <c r="DE115" s="208">
        <v>95.731574453262454</v>
      </c>
      <c r="DF115" s="208">
        <v>0</v>
      </c>
      <c r="DG115" s="208">
        <v>0</v>
      </c>
      <c r="DH115" s="208">
        <v>0</v>
      </c>
      <c r="DI115" s="208">
        <v>0</v>
      </c>
      <c r="DJ115" s="208">
        <v>0</v>
      </c>
      <c r="DK115" s="208">
        <v>0</v>
      </c>
      <c r="DL115" s="222">
        <v>95.731574453262454</v>
      </c>
      <c r="DM115" s="214"/>
      <c r="DN115" s="214"/>
      <c r="DO115" s="227"/>
      <c r="DP115" s="234" t="s">
        <v>350</v>
      </c>
      <c r="DQ115" s="227">
        <v>0</v>
      </c>
      <c r="DR115" s="228">
        <v>0</v>
      </c>
      <c r="DS115" s="208">
        <v>0</v>
      </c>
      <c r="DT115" s="208">
        <v>0</v>
      </c>
      <c r="DU115" s="208">
        <v>0</v>
      </c>
      <c r="DV115" s="208">
        <v>0</v>
      </c>
      <c r="DW115" s="208">
        <v>0</v>
      </c>
      <c r="DX115" s="208">
        <v>0</v>
      </c>
      <c r="DY115" s="208">
        <v>0</v>
      </c>
      <c r="DZ115" s="208">
        <v>0</v>
      </c>
      <c r="EA115" s="208">
        <v>0</v>
      </c>
      <c r="EB115" s="208">
        <v>0</v>
      </c>
      <c r="EC115" s="208">
        <v>0</v>
      </c>
      <c r="ED115" s="208">
        <v>3</v>
      </c>
      <c r="EE115" s="208">
        <v>0</v>
      </c>
      <c r="EF115" s="208">
        <v>0</v>
      </c>
      <c r="EG115" s="208">
        <v>0</v>
      </c>
      <c r="EH115" s="208">
        <v>0</v>
      </c>
      <c r="EI115" s="208">
        <v>0</v>
      </c>
      <c r="EJ115" s="208">
        <v>0</v>
      </c>
      <c r="EK115" s="222">
        <v>3</v>
      </c>
      <c r="EL115" s="228"/>
      <c r="EM115" s="234" t="s">
        <v>350</v>
      </c>
      <c r="EN115" s="227">
        <v>0</v>
      </c>
      <c r="EO115" s="228">
        <v>0</v>
      </c>
      <c r="EP115" s="208">
        <v>0</v>
      </c>
      <c r="EQ115" s="208">
        <v>0</v>
      </c>
      <c r="ER115" s="208">
        <v>0</v>
      </c>
      <c r="ES115" s="208">
        <v>0</v>
      </c>
      <c r="ET115" s="208">
        <v>0</v>
      </c>
      <c r="EU115" s="208">
        <v>0</v>
      </c>
      <c r="EV115" s="208">
        <v>0</v>
      </c>
      <c r="EW115" s="208">
        <v>0</v>
      </c>
      <c r="EX115" s="208">
        <v>0</v>
      </c>
      <c r="EY115" s="208">
        <v>0</v>
      </c>
      <c r="EZ115" s="208">
        <v>0</v>
      </c>
      <c r="FA115" s="208">
        <v>95.731574453262454</v>
      </c>
      <c r="FB115" s="208">
        <v>0</v>
      </c>
      <c r="FC115" s="208">
        <v>0</v>
      </c>
      <c r="FD115" s="208">
        <v>0</v>
      </c>
      <c r="FE115" s="208">
        <v>0</v>
      </c>
      <c r="FF115" s="208">
        <v>0</v>
      </c>
      <c r="FG115" s="208">
        <v>0</v>
      </c>
      <c r="FH115" s="222">
        <v>95.731574453262454</v>
      </c>
    </row>
    <row r="116" spans="2:164" x14ac:dyDescent="0.2">
      <c r="B116" s="217" t="s">
        <v>341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1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1</v>
      </c>
      <c r="R116" s="208">
        <v>0</v>
      </c>
      <c r="S116" s="208">
        <v>0</v>
      </c>
      <c r="T116" s="208">
        <v>0</v>
      </c>
      <c r="U116" s="208">
        <v>0</v>
      </c>
      <c r="V116" s="208">
        <v>0</v>
      </c>
      <c r="W116" s="222">
        <v>2</v>
      </c>
      <c r="X116" s="208"/>
      <c r="Y116" s="217" t="s">
        <v>341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55">
        <v>0</v>
      </c>
      <c r="AF116" s="255">
        <v>0</v>
      </c>
      <c r="AG116" s="255">
        <v>0</v>
      </c>
      <c r="AH116" s="255">
        <v>169.14174742689715</v>
      </c>
      <c r="AI116" s="255">
        <v>0</v>
      </c>
      <c r="AJ116" s="255">
        <v>0</v>
      </c>
      <c r="AK116" s="208">
        <v>0</v>
      </c>
      <c r="AL116" s="208">
        <v>0</v>
      </c>
      <c r="AM116" s="208">
        <v>0</v>
      </c>
      <c r="AN116" s="208">
        <v>170.90862961194017</v>
      </c>
      <c r="AO116" s="208">
        <v>0</v>
      </c>
      <c r="AP116" s="208">
        <v>0</v>
      </c>
      <c r="AQ116" s="208">
        <v>0</v>
      </c>
      <c r="AR116" s="208">
        <v>0</v>
      </c>
      <c r="AS116" s="208">
        <v>0</v>
      </c>
      <c r="AT116" s="222">
        <v>340.05037703883733</v>
      </c>
      <c r="AV116" s="217" t="s">
        <v>341</v>
      </c>
      <c r="AW116" s="227">
        <v>0</v>
      </c>
      <c r="AX116" s="228">
        <v>0</v>
      </c>
      <c r="AY116" s="208">
        <v>0</v>
      </c>
      <c r="AZ116" s="208">
        <v>0</v>
      </c>
      <c r="BA116" s="208">
        <v>0</v>
      </c>
      <c r="BB116" s="255">
        <v>0</v>
      </c>
      <c r="BC116" s="255">
        <v>0</v>
      </c>
      <c r="BD116" s="255">
        <v>0</v>
      </c>
      <c r="BE116" s="258">
        <v>0</v>
      </c>
      <c r="BF116" s="255">
        <v>0</v>
      </c>
      <c r="BG116" s="255">
        <v>0</v>
      </c>
      <c r="BH116" s="208">
        <v>0</v>
      </c>
      <c r="BI116" s="208">
        <v>0</v>
      </c>
      <c r="BJ116" s="208">
        <v>0</v>
      </c>
      <c r="BK116" s="208">
        <v>170.90862961194017</v>
      </c>
      <c r="BL116" s="208">
        <v>0</v>
      </c>
      <c r="BM116" s="208">
        <v>0</v>
      </c>
      <c r="BN116" s="208">
        <v>0</v>
      </c>
      <c r="BO116" s="208">
        <v>0</v>
      </c>
      <c r="BP116" s="208">
        <v>0</v>
      </c>
      <c r="BQ116" s="230">
        <f t="shared" si="62"/>
        <v>170.90862961194017</v>
      </c>
      <c r="BR116" s="214"/>
      <c r="BS116" s="227"/>
      <c r="BT116" s="217" t="s">
        <v>341</v>
      </c>
      <c r="BU116" s="227">
        <v>0</v>
      </c>
      <c r="BV116" s="228">
        <v>0</v>
      </c>
      <c r="BW116" s="208">
        <v>0</v>
      </c>
      <c r="BX116" s="208">
        <v>0</v>
      </c>
      <c r="BY116" s="208">
        <v>0</v>
      </c>
      <c r="BZ116" s="208">
        <v>0</v>
      </c>
      <c r="CA116" s="208">
        <v>0</v>
      </c>
      <c r="CB116" s="208">
        <v>0</v>
      </c>
      <c r="CC116" s="208">
        <v>0</v>
      </c>
      <c r="CD116" s="208">
        <v>0</v>
      </c>
      <c r="CE116" s="208">
        <v>0</v>
      </c>
      <c r="CF116" s="208">
        <v>0</v>
      </c>
      <c r="CG116" s="208">
        <v>0</v>
      </c>
      <c r="CH116" s="208">
        <v>0</v>
      </c>
      <c r="CI116" s="208">
        <v>0</v>
      </c>
      <c r="CJ116" s="208">
        <v>0</v>
      </c>
      <c r="CK116" s="208">
        <v>0</v>
      </c>
      <c r="CL116" s="208">
        <v>0</v>
      </c>
      <c r="CM116" s="208">
        <v>0</v>
      </c>
      <c r="CN116" s="208">
        <v>0</v>
      </c>
      <c r="CO116" s="222">
        <v>0</v>
      </c>
      <c r="CP116" s="227"/>
      <c r="CQ116" s="217" t="s">
        <v>341</v>
      </c>
      <c r="CR116" s="227">
        <v>0</v>
      </c>
      <c r="CS116" s="228">
        <v>0</v>
      </c>
      <c r="CT116" s="208">
        <v>0</v>
      </c>
      <c r="CU116" s="208">
        <v>0</v>
      </c>
      <c r="CV116" s="208">
        <v>0</v>
      </c>
      <c r="CW116" s="208">
        <v>0</v>
      </c>
      <c r="CX116" s="208">
        <v>0</v>
      </c>
      <c r="CY116" s="208">
        <v>0</v>
      </c>
      <c r="CZ116" s="208">
        <v>0</v>
      </c>
      <c r="DA116" s="208">
        <v>0</v>
      </c>
      <c r="DB116" s="208">
        <v>0</v>
      </c>
      <c r="DC116" s="208">
        <v>0</v>
      </c>
      <c r="DD116" s="208">
        <v>0</v>
      </c>
      <c r="DE116" s="208">
        <v>0</v>
      </c>
      <c r="DF116" s="208">
        <v>0</v>
      </c>
      <c r="DG116" s="208">
        <v>0</v>
      </c>
      <c r="DH116" s="208">
        <v>0</v>
      </c>
      <c r="DI116" s="208">
        <v>0</v>
      </c>
      <c r="DJ116" s="208">
        <v>0</v>
      </c>
      <c r="DK116" s="208">
        <v>0</v>
      </c>
      <c r="DL116" s="222">
        <v>0</v>
      </c>
      <c r="DM116" s="214"/>
      <c r="DN116" s="214"/>
      <c r="DO116" s="227"/>
      <c r="DP116" s="217" t="s">
        <v>341</v>
      </c>
      <c r="DQ116" s="227">
        <v>0</v>
      </c>
      <c r="DR116" s="228">
        <v>0</v>
      </c>
      <c r="DS116" s="208">
        <v>0</v>
      </c>
      <c r="DT116" s="208">
        <v>0</v>
      </c>
      <c r="DU116" s="208">
        <v>0</v>
      </c>
      <c r="DV116" s="208">
        <v>0</v>
      </c>
      <c r="DW116" s="208">
        <v>0</v>
      </c>
      <c r="DX116" s="208">
        <v>0</v>
      </c>
      <c r="DY116" s="208">
        <v>0</v>
      </c>
      <c r="DZ116" s="208">
        <v>0</v>
      </c>
      <c r="EA116" s="208">
        <v>0</v>
      </c>
      <c r="EB116" s="208">
        <v>0</v>
      </c>
      <c r="EC116" s="208">
        <v>0</v>
      </c>
      <c r="ED116" s="208">
        <v>0</v>
      </c>
      <c r="EE116" s="208">
        <v>0</v>
      </c>
      <c r="EF116" s="208">
        <v>0</v>
      </c>
      <c r="EG116" s="208">
        <v>0</v>
      </c>
      <c r="EH116" s="208">
        <v>0</v>
      </c>
      <c r="EI116" s="208">
        <v>0</v>
      </c>
      <c r="EJ116" s="208">
        <v>0</v>
      </c>
      <c r="EK116" s="222">
        <v>0</v>
      </c>
      <c r="EL116" s="228"/>
      <c r="EM116" s="217" t="s">
        <v>341</v>
      </c>
      <c r="EN116" s="227">
        <v>0</v>
      </c>
      <c r="EO116" s="228">
        <v>0</v>
      </c>
      <c r="EP116" s="208">
        <v>0</v>
      </c>
      <c r="EQ116" s="208">
        <v>0</v>
      </c>
      <c r="ER116" s="208">
        <v>0</v>
      </c>
      <c r="ES116" s="208">
        <v>0</v>
      </c>
      <c r="ET116" s="208">
        <v>0</v>
      </c>
      <c r="EU116" s="208">
        <v>0</v>
      </c>
      <c r="EV116" s="208">
        <v>0</v>
      </c>
      <c r="EW116" s="208">
        <v>0</v>
      </c>
      <c r="EX116" s="208">
        <v>0</v>
      </c>
      <c r="EY116" s="208">
        <v>0</v>
      </c>
      <c r="EZ116" s="208">
        <v>0</v>
      </c>
      <c r="FA116" s="208">
        <v>0</v>
      </c>
      <c r="FB116" s="208">
        <v>0</v>
      </c>
      <c r="FC116" s="208">
        <v>0</v>
      </c>
      <c r="FD116" s="208">
        <v>0</v>
      </c>
      <c r="FE116" s="208">
        <v>0</v>
      </c>
      <c r="FF116" s="208">
        <v>0</v>
      </c>
      <c r="FG116" s="208">
        <v>0</v>
      </c>
      <c r="FH116" s="222">
        <v>0</v>
      </c>
    </row>
    <row r="117" spans="2:164" x14ac:dyDescent="0.2">
      <c r="B117" s="217" t="s">
        <v>342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9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49</v>
      </c>
      <c r="S117" s="208">
        <v>1</v>
      </c>
      <c r="T117" s="208">
        <v>0</v>
      </c>
      <c r="U117" s="208">
        <v>0</v>
      </c>
      <c r="V117" s="208">
        <v>0</v>
      </c>
      <c r="W117" s="222">
        <v>59</v>
      </c>
      <c r="X117" s="208"/>
      <c r="Y117" s="217" t="s">
        <v>342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55">
        <v>0</v>
      </c>
      <c r="AF117" s="255">
        <v>0</v>
      </c>
      <c r="AG117" s="255">
        <v>0</v>
      </c>
      <c r="AH117" s="255">
        <v>0</v>
      </c>
      <c r="AI117" s="255">
        <v>519.99855703009939</v>
      </c>
      <c r="AJ117" s="255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9909.4397835395466</v>
      </c>
      <c r="AP117" s="208">
        <v>203.6757543818606</v>
      </c>
      <c r="AQ117" s="208">
        <v>0</v>
      </c>
      <c r="AR117" s="208">
        <v>0</v>
      </c>
      <c r="AS117" s="208">
        <v>0</v>
      </c>
      <c r="AT117" s="222">
        <v>10633.114094951507</v>
      </c>
      <c r="AV117" s="217" t="s">
        <v>342</v>
      </c>
      <c r="AW117" s="227">
        <v>0</v>
      </c>
      <c r="AX117" s="228">
        <v>0</v>
      </c>
      <c r="AY117" s="208">
        <v>0</v>
      </c>
      <c r="AZ117" s="208">
        <v>0</v>
      </c>
      <c r="BA117" s="208">
        <v>0</v>
      </c>
      <c r="BB117" s="255">
        <v>0</v>
      </c>
      <c r="BC117" s="255">
        <v>0</v>
      </c>
      <c r="BD117" s="255">
        <v>0</v>
      </c>
      <c r="BE117" s="255">
        <v>0</v>
      </c>
      <c r="BF117" s="258">
        <v>0</v>
      </c>
      <c r="BG117" s="255">
        <v>0</v>
      </c>
      <c r="BH117" s="208">
        <v>0</v>
      </c>
      <c r="BI117" s="208">
        <v>0</v>
      </c>
      <c r="BJ117" s="208">
        <v>0</v>
      </c>
      <c r="BK117" s="208">
        <v>0</v>
      </c>
      <c r="BL117" s="208">
        <v>9909.4397835395466</v>
      </c>
      <c r="BM117" s="208">
        <v>203.6757543818606</v>
      </c>
      <c r="BN117" s="208">
        <v>0</v>
      </c>
      <c r="BO117" s="208">
        <v>0</v>
      </c>
      <c r="BP117" s="208">
        <v>0</v>
      </c>
      <c r="BQ117" s="230">
        <f t="shared" si="62"/>
        <v>10113.115537921407</v>
      </c>
      <c r="BR117" s="214"/>
      <c r="BS117" s="227"/>
      <c r="BT117" s="217" t="s">
        <v>342</v>
      </c>
      <c r="BU117" s="227">
        <v>0</v>
      </c>
      <c r="BV117" s="228">
        <v>0</v>
      </c>
      <c r="BW117" s="208">
        <v>0</v>
      </c>
      <c r="BX117" s="208">
        <v>0</v>
      </c>
      <c r="BY117" s="208">
        <v>0</v>
      </c>
      <c r="BZ117" s="208">
        <v>0</v>
      </c>
      <c r="CA117" s="208">
        <v>0</v>
      </c>
      <c r="CB117" s="208">
        <v>0</v>
      </c>
      <c r="CC117" s="208">
        <v>0</v>
      </c>
      <c r="CD117" s="208">
        <v>0</v>
      </c>
      <c r="CE117" s="208">
        <v>0</v>
      </c>
      <c r="CF117" s="208">
        <v>0</v>
      </c>
      <c r="CG117" s="208">
        <v>0</v>
      </c>
      <c r="CH117" s="208">
        <v>0</v>
      </c>
      <c r="CI117" s="208">
        <v>0</v>
      </c>
      <c r="CJ117" s="208">
        <v>5</v>
      </c>
      <c r="CK117" s="208">
        <v>0</v>
      </c>
      <c r="CL117" s="208">
        <v>0</v>
      </c>
      <c r="CM117" s="208">
        <v>0</v>
      </c>
      <c r="CN117" s="208">
        <v>0</v>
      </c>
      <c r="CO117" s="222">
        <v>5</v>
      </c>
      <c r="CP117" s="227"/>
      <c r="CQ117" s="217" t="s">
        <v>342</v>
      </c>
      <c r="CR117" s="227">
        <v>0</v>
      </c>
      <c r="CS117" s="228">
        <v>0</v>
      </c>
      <c r="CT117" s="208">
        <v>0</v>
      </c>
      <c r="CU117" s="208">
        <v>0</v>
      </c>
      <c r="CV117" s="208">
        <v>0</v>
      </c>
      <c r="CW117" s="208">
        <v>0</v>
      </c>
      <c r="CX117" s="208">
        <v>0</v>
      </c>
      <c r="CY117" s="208">
        <v>0</v>
      </c>
      <c r="CZ117" s="208">
        <v>0</v>
      </c>
      <c r="DA117" s="208">
        <v>0</v>
      </c>
      <c r="DB117" s="208">
        <v>0</v>
      </c>
      <c r="DC117" s="208">
        <v>0</v>
      </c>
      <c r="DD117" s="208">
        <v>0</v>
      </c>
      <c r="DE117" s="208">
        <v>0</v>
      </c>
      <c r="DF117" s="208">
        <v>0</v>
      </c>
      <c r="DG117" s="208">
        <v>553.69503084457176</v>
      </c>
      <c r="DH117" s="208">
        <v>0</v>
      </c>
      <c r="DI117" s="208">
        <v>0</v>
      </c>
      <c r="DJ117" s="208">
        <v>0</v>
      </c>
      <c r="DK117" s="208">
        <v>0</v>
      </c>
      <c r="DL117" s="222">
        <v>553.69503084457176</v>
      </c>
      <c r="DM117" s="214"/>
      <c r="DN117" s="214"/>
      <c r="DO117" s="227"/>
      <c r="DP117" s="217" t="s">
        <v>342</v>
      </c>
      <c r="DQ117" s="227">
        <v>0</v>
      </c>
      <c r="DR117" s="228">
        <v>0</v>
      </c>
      <c r="DS117" s="208">
        <v>0</v>
      </c>
      <c r="DT117" s="208">
        <v>0</v>
      </c>
      <c r="DU117" s="208">
        <v>0</v>
      </c>
      <c r="DV117" s="208">
        <v>0</v>
      </c>
      <c r="DW117" s="208">
        <v>0</v>
      </c>
      <c r="DX117" s="208">
        <v>0</v>
      </c>
      <c r="DY117" s="208">
        <v>0</v>
      </c>
      <c r="DZ117" s="208">
        <v>0</v>
      </c>
      <c r="EA117" s="208">
        <v>0</v>
      </c>
      <c r="EB117" s="208">
        <v>0</v>
      </c>
      <c r="EC117" s="208">
        <v>0</v>
      </c>
      <c r="ED117" s="208">
        <v>0</v>
      </c>
      <c r="EE117" s="208">
        <v>0</v>
      </c>
      <c r="EF117" s="208">
        <v>5</v>
      </c>
      <c r="EG117" s="208">
        <v>0</v>
      </c>
      <c r="EH117" s="208">
        <v>0</v>
      </c>
      <c r="EI117" s="208">
        <v>0</v>
      </c>
      <c r="EJ117" s="208">
        <v>0</v>
      </c>
      <c r="EK117" s="222">
        <v>5</v>
      </c>
      <c r="EL117" s="228"/>
      <c r="EM117" s="217" t="s">
        <v>342</v>
      </c>
      <c r="EN117" s="227">
        <v>0</v>
      </c>
      <c r="EO117" s="228">
        <v>0</v>
      </c>
      <c r="EP117" s="208">
        <v>0</v>
      </c>
      <c r="EQ117" s="208">
        <v>0</v>
      </c>
      <c r="ER117" s="208">
        <v>0</v>
      </c>
      <c r="ES117" s="208">
        <v>0</v>
      </c>
      <c r="ET117" s="208">
        <v>0</v>
      </c>
      <c r="EU117" s="208">
        <v>0</v>
      </c>
      <c r="EV117" s="208">
        <v>0</v>
      </c>
      <c r="EW117" s="208">
        <v>0</v>
      </c>
      <c r="EX117" s="208">
        <v>0</v>
      </c>
      <c r="EY117" s="208">
        <v>0</v>
      </c>
      <c r="EZ117" s="208">
        <v>0</v>
      </c>
      <c r="FA117" s="208">
        <v>0</v>
      </c>
      <c r="FB117" s="208">
        <v>0</v>
      </c>
      <c r="FC117" s="208">
        <v>553.69503084457176</v>
      </c>
      <c r="FD117" s="208">
        <v>0</v>
      </c>
      <c r="FE117" s="208">
        <v>0</v>
      </c>
      <c r="FF117" s="208">
        <v>0</v>
      </c>
      <c r="FG117" s="208">
        <v>0</v>
      </c>
      <c r="FH117" s="222">
        <v>553.69503084457176</v>
      </c>
    </row>
    <row r="118" spans="2:164" x14ac:dyDescent="0.2">
      <c r="B118" s="217" t="s">
        <v>343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0</v>
      </c>
      <c r="I118" s="208">
        <v>0</v>
      </c>
      <c r="J118" s="208">
        <v>0</v>
      </c>
      <c r="K118" s="208">
        <v>0</v>
      </c>
      <c r="L118" s="208">
        <v>0</v>
      </c>
      <c r="M118" s="208">
        <v>0</v>
      </c>
      <c r="N118" s="208">
        <v>0</v>
      </c>
      <c r="O118" s="208">
        <v>0</v>
      </c>
      <c r="P118" s="208">
        <v>0</v>
      </c>
      <c r="Q118" s="208">
        <v>0</v>
      </c>
      <c r="R118" s="208">
        <v>0</v>
      </c>
      <c r="S118" s="208">
        <v>5</v>
      </c>
      <c r="T118" s="208">
        <v>0</v>
      </c>
      <c r="U118" s="208">
        <v>0</v>
      </c>
      <c r="V118" s="208">
        <v>0</v>
      </c>
      <c r="W118" s="222">
        <v>5</v>
      </c>
      <c r="X118" s="208"/>
      <c r="Y118" s="217" t="s">
        <v>343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55">
        <v>0</v>
      </c>
      <c r="AF118" s="255">
        <v>0</v>
      </c>
      <c r="AG118" s="255">
        <v>0</v>
      </c>
      <c r="AH118" s="255">
        <v>0</v>
      </c>
      <c r="AI118" s="255">
        <v>0</v>
      </c>
      <c r="AJ118" s="255">
        <v>0</v>
      </c>
      <c r="AK118" s="208">
        <v>0</v>
      </c>
      <c r="AL118" s="208">
        <v>0</v>
      </c>
      <c r="AM118" s="208">
        <v>0</v>
      </c>
      <c r="AN118" s="208">
        <v>0</v>
      </c>
      <c r="AO118" s="208">
        <v>0</v>
      </c>
      <c r="AP118" s="208">
        <v>1094.0080732279978</v>
      </c>
      <c r="AQ118" s="208">
        <v>0</v>
      </c>
      <c r="AR118" s="208">
        <v>0</v>
      </c>
      <c r="AS118" s="208">
        <v>0</v>
      </c>
      <c r="AT118" s="222">
        <v>1094.0080732279978</v>
      </c>
      <c r="AV118" s="217" t="s">
        <v>343</v>
      </c>
      <c r="AW118" s="227">
        <v>0</v>
      </c>
      <c r="AX118" s="228">
        <v>0</v>
      </c>
      <c r="AY118" s="208">
        <v>0</v>
      </c>
      <c r="AZ118" s="208">
        <v>0</v>
      </c>
      <c r="BA118" s="208">
        <v>0</v>
      </c>
      <c r="BB118" s="255">
        <v>0</v>
      </c>
      <c r="BC118" s="255">
        <v>0</v>
      </c>
      <c r="BD118" s="255">
        <v>0</v>
      </c>
      <c r="BE118" s="255">
        <v>0</v>
      </c>
      <c r="BF118" s="255">
        <v>0</v>
      </c>
      <c r="BG118" s="255">
        <v>0</v>
      </c>
      <c r="BH118" s="208">
        <v>0</v>
      </c>
      <c r="BI118" s="208">
        <v>0</v>
      </c>
      <c r="BJ118" s="208">
        <v>0</v>
      </c>
      <c r="BK118" s="208">
        <v>0</v>
      </c>
      <c r="BL118" s="208">
        <v>0</v>
      </c>
      <c r="BM118" s="208">
        <v>1094.0080732279978</v>
      </c>
      <c r="BN118" s="208">
        <v>0</v>
      </c>
      <c r="BO118" s="208">
        <v>0</v>
      </c>
      <c r="BP118" s="208">
        <v>0</v>
      </c>
      <c r="BQ118" s="230">
        <f t="shared" si="62"/>
        <v>1094.0080732279978</v>
      </c>
      <c r="BR118" s="214"/>
      <c r="BS118" s="227"/>
      <c r="BT118" s="217" t="s">
        <v>343</v>
      </c>
      <c r="BU118" s="227">
        <v>0</v>
      </c>
      <c r="BV118" s="228">
        <v>0</v>
      </c>
      <c r="BW118" s="208">
        <v>0</v>
      </c>
      <c r="BX118" s="208">
        <v>0</v>
      </c>
      <c r="BY118" s="208">
        <v>0</v>
      </c>
      <c r="BZ118" s="208">
        <v>0</v>
      </c>
      <c r="CA118" s="208">
        <v>0</v>
      </c>
      <c r="CB118" s="208">
        <v>0</v>
      </c>
      <c r="CC118" s="208">
        <v>0</v>
      </c>
      <c r="CD118" s="208">
        <v>0</v>
      </c>
      <c r="CE118" s="208">
        <v>0</v>
      </c>
      <c r="CF118" s="208">
        <v>0</v>
      </c>
      <c r="CG118" s="208">
        <v>0</v>
      </c>
      <c r="CH118" s="208">
        <v>0</v>
      </c>
      <c r="CI118" s="208">
        <v>0</v>
      </c>
      <c r="CJ118" s="208">
        <v>0</v>
      </c>
      <c r="CK118" s="208">
        <v>0</v>
      </c>
      <c r="CL118" s="208">
        <v>0</v>
      </c>
      <c r="CM118" s="208">
        <v>0</v>
      </c>
      <c r="CN118" s="208">
        <v>0</v>
      </c>
      <c r="CO118" s="222">
        <v>0</v>
      </c>
      <c r="CP118" s="227"/>
      <c r="CQ118" s="217" t="s">
        <v>343</v>
      </c>
      <c r="CR118" s="227">
        <v>0</v>
      </c>
      <c r="CS118" s="228">
        <v>0</v>
      </c>
      <c r="CT118" s="208">
        <v>0</v>
      </c>
      <c r="CU118" s="208">
        <v>0</v>
      </c>
      <c r="CV118" s="208">
        <v>0</v>
      </c>
      <c r="CW118" s="208">
        <v>0</v>
      </c>
      <c r="CX118" s="208">
        <v>0</v>
      </c>
      <c r="CY118" s="208">
        <v>0</v>
      </c>
      <c r="CZ118" s="208">
        <v>0</v>
      </c>
      <c r="DA118" s="208">
        <v>0</v>
      </c>
      <c r="DB118" s="208">
        <v>0</v>
      </c>
      <c r="DC118" s="208">
        <v>0</v>
      </c>
      <c r="DD118" s="208">
        <v>0</v>
      </c>
      <c r="DE118" s="208">
        <v>0</v>
      </c>
      <c r="DF118" s="208">
        <v>0</v>
      </c>
      <c r="DG118" s="208">
        <v>0</v>
      </c>
      <c r="DH118" s="208">
        <v>0</v>
      </c>
      <c r="DI118" s="208">
        <v>0</v>
      </c>
      <c r="DJ118" s="208">
        <v>0</v>
      </c>
      <c r="DK118" s="208">
        <v>0</v>
      </c>
      <c r="DL118" s="222">
        <v>0</v>
      </c>
      <c r="DM118" s="214"/>
      <c r="DN118" s="214"/>
      <c r="DO118" s="227"/>
      <c r="DP118" s="217" t="s">
        <v>343</v>
      </c>
      <c r="DQ118" s="227">
        <v>0</v>
      </c>
      <c r="DR118" s="228">
        <v>0</v>
      </c>
      <c r="DS118" s="208">
        <v>0</v>
      </c>
      <c r="DT118" s="208">
        <v>0</v>
      </c>
      <c r="DU118" s="208">
        <v>0</v>
      </c>
      <c r="DV118" s="208">
        <v>0</v>
      </c>
      <c r="DW118" s="208">
        <v>0</v>
      </c>
      <c r="DX118" s="208">
        <v>0</v>
      </c>
      <c r="DY118" s="208">
        <v>0</v>
      </c>
      <c r="DZ118" s="208">
        <v>0</v>
      </c>
      <c r="EA118" s="208">
        <v>0</v>
      </c>
      <c r="EB118" s="208">
        <v>0</v>
      </c>
      <c r="EC118" s="208">
        <v>0</v>
      </c>
      <c r="ED118" s="208">
        <v>0</v>
      </c>
      <c r="EE118" s="208">
        <v>0</v>
      </c>
      <c r="EF118" s="208">
        <v>0</v>
      </c>
      <c r="EG118" s="208">
        <v>0</v>
      </c>
      <c r="EH118" s="208">
        <v>0</v>
      </c>
      <c r="EI118" s="208">
        <v>0</v>
      </c>
      <c r="EJ118" s="208">
        <v>0</v>
      </c>
      <c r="EK118" s="222">
        <v>0</v>
      </c>
      <c r="EL118" s="228"/>
      <c r="EM118" s="217" t="s">
        <v>343</v>
      </c>
      <c r="EN118" s="227">
        <v>0</v>
      </c>
      <c r="EO118" s="228">
        <v>0</v>
      </c>
      <c r="EP118" s="208">
        <v>0</v>
      </c>
      <c r="EQ118" s="208">
        <v>0</v>
      </c>
      <c r="ER118" s="208">
        <v>0</v>
      </c>
      <c r="ES118" s="208">
        <v>0</v>
      </c>
      <c r="ET118" s="208">
        <v>0</v>
      </c>
      <c r="EU118" s="208">
        <v>0</v>
      </c>
      <c r="EV118" s="208">
        <v>0</v>
      </c>
      <c r="EW118" s="208">
        <v>0</v>
      </c>
      <c r="EX118" s="208">
        <v>0</v>
      </c>
      <c r="EY118" s="208">
        <v>0</v>
      </c>
      <c r="EZ118" s="208">
        <v>0</v>
      </c>
      <c r="FA118" s="208">
        <v>0</v>
      </c>
      <c r="FB118" s="208">
        <v>0</v>
      </c>
      <c r="FC118" s="208">
        <v>0</v>
      </c>
      <c r="FD118" s="208">
        <v>0</v>
      </c>
      <c r="FE118" s="208">
        <v>0</v>
      </c>
      <c r="FF118" s="208">
        <v>0</v>
      </c>
      <c r="FG118" s="208">
        <v>0</v>
      </c>
      <c r="FH118" s="222">
        <v>0</v>
      </c>
    </row>
    <row r="119" spans="2:164" x14ac:dyDescent="0.2">
      <c r="B119" s="217" t="s">
        <v>6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0</v>
      </c>
      <c r="I119" s="208">
        <v>0</v>
      </c>
      <c r="J119" s="208">
        <v>0</v>
      </c>
      <c r="K119" s="208">
        <v>0</v>
      </c>
      <c r="L119" s="208">
        <v>0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9</v>
      </c>
      <c r="U119" s="208">
        <v>1</v>
      </c>
      <c r="V119" s="208">
        <v>0</v>
      </c>
      <c r="W119" s="222">
        <v>10</v>
      </c>
      <c r="X119" s="208"/>
      <c r="Y119" s="217" t="s">
        <v>6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0</v>
      </c>
      <c r="AF119" s="208">
        <v>0</v>
      </c>
      <c r="AG119" s="208">
        <v>0</v>
      </c>
      <c r="AH119" s="208">
        <v>0</v>
      </c>
      <c r="AI119" s="208">
        <v>0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1767.4362168377761</v>
      </c>
      <c r="AR119" s="208">
        <v>58.420585930136404</v>
      </c>
      <c r="AS119" s="208">
        <v>0</v>
      </c>
      <c r="AT119" s="222">
        <v>1825.8568027679125</v>
      </c>
      <c r="AV119" s="217" t="s">
        <v>6</v>
      </c>
      <c r="AW119" s="227">
        <v>0</v>
      </c>
      <c r="AX119" s="228">
        <v>0</v>
      </c>
      <c r="AY119" s="208">
        <v>0</v>
      </c>
      <c r="AZ119" s="208">
        <v>0</v>
      </c>
      <c r="BA119" s="208">
        <v>0</v>
      </c>
      <c r="BB119" s="208">
        <v>0</v>
      </c>
      <c r="BC119" s="208">
        <v>0</v>
      </c>
      <c r="BD119" s="208">
        <v>0</v>
      </c>
      <c r="BE119" s="208">
        <v>0</v>
      </c>
      <c r="BF119" s="208">
        <v>0</v>
      </c>
      <c r="BG119" s="208">
        <v>0</v>
      </c>
      <c r="BH119" s="208">
        <v>0</v>
      </c>
      <c r="BI119" s="208">
        <v>0</v>
      </c>
      <c r="BJ119" s="208">
        <v>0</v>
      </c>
      <c r="BK119" s="208">
        <v>0</v>
      </c>
      <c r="BL119" s="208">
        <v>0</v>
      </c>
      <c r="BM119" s="208">
        <v>0</v>
      </c>
      <c r="BN119" s="208">
        <v>1767.4362168377761</v>
      </c>
      <c r="BO119" s="208">
        <v>58.420585930136404</v>
      </c>
      <c r="BP119" s="208">
        <v>0</v>
      </c>
      <c r="BQ119" s="230">
        <f t="shared" si="62"/>
        <v>1825.8568027679125</v>
      </c>
      <c r="BR119" s="214"/>
      <c r="BS119" s="227"/>
      <c r="BT119" s="217" t="s">
        <v>6</v>
      </c>
      <c r="BU119" s="227">
        <v>0</v>
      </c>
      <c r="BV119" s="228">
        <v>0</v>
      </c>
      <c r="BW119" s="208">
        <v>0</v>
      </c>
      <c r="BX119" s="208">
        <v>0</v>
      </c>
      <c r="BY119" s="208">
        <v>0</v>
      </c>
      <c r="BZ119" s="208">
        <v>0</v>
      </c>
      <c r="CA119" s="208">
        <v>0</v>
      </c>
      <c r="CB119" s="208">
        <v>0</v>
      </c>
      <c r="CC119" s="208">
        <v>0</v>
      </c>
      <c r="CD119" s="208">
        <v>0</v>
      </c>
      <c r="CE119" s="208">
        <v>0</v>
      </c>
      <c r="CF119" s="208">
        <v>0</v>
      </c>
      <c r="CG119" s="208">
        <v>0</v>
      </c>
      <c r="CH119" s="208">
        <v>0</v>
      </c>
      <c r="CI119" s="208">
        <v>0</v>
      </c>
      <c r="CJ119" s="208">
        <v>0</v>
      </c>
      <c r="CK119" s="208">
        <v>0</v>
      </c>
      <c r="CL119" s="208">
        <v>0</v>
      </c>
      <c r="CM119" s="208">
        <v>0</v>
      </c>
      <c r="CN119" s="208">
        <v>0</v>
      </c>
      <c r="CO119" s="222">
        <v>0</v>
      </c>
      <c r="CP119" s="227"/>
      <c r="CQ119" s="217" t="s">
        <v>6</v>
      </c>
      <c r="CR119" s="227">
        <v>0</v>
      </c>
      <c r="CS119" s="228">
        <v>0</v>
      </c>
      <c r="CT119" s="208">
        <v>0</v>
      </c>
      <c r="CU119" s="208">
        <v>0</v>
      </c>
      <c r="CV119" s="208">
        <v>0</v>
      </c>
      <c r="CW119" s="208">
        <v>0</v>
      </c>
      <c r="CX119" s="208">
        <v>0</v>
      </c>
      <c r="CY119" s="208">
        <v>0</v>
      </c>
      <c r="CZ119" s="208">
        <v>0</v>
      </c>
      <c r="DA119" s="208">
        <v>0</v>
      </c>
      <c r="DB119" s="208">
        <v>0</v>
      </c>
      <c r="DC119" s="208">
        <v>0</v>
      </c>
      <c r="DD119" s="208">
        <v>0</v>
      </c>
      <c r="DE119" s="208">
        <v>0</v>
      </c>
      <c r="DF119" s="208">
        <v>0</v>
      </c>
      <c r="DG119" s="208">
        <v>0</v>
      </c>
      <c r="DH119" s="208">
        <v>0</v>
      </c>
      <c r="DI119" s="208">
        <v>0</v>
      </c>
      <c r="DJ119" s="208">
        <v>0</v>
      </c>
      <c r="DK119" s="208">
        <v>0</v>
      </c>
      <c r="DL119" s="222">
        <v>0</v>
      </c>
      <c r="DM119" s="214"/>
      <c r="DN119" s="214"/>
      <c r="DO119" s="227"/>
      <c r="DP119" s="217" t="s">
        <v>6</v>
      </c>
      <c r="DQ119" s="227">
        <v>0</v>
      </c>
      <c r="DR119" s="228">
        <v>0</v>
      </c>
      <c r="DS119" s="208">
        <v>0</v>
      </c>
      <c r="DT119" s="208">
        <v>0</v>
      </c>
      <c r="DU119" s="208">
        <v>0</v>
      </c>
      <c r="DV119" s="208">
        <v>0</v>
      </c>
      <c r="DW119" s="208">
        <v>0</v>
      </c>
      <c r="DX119" s="208">
        <v>0</v>
      </c>
      <c r="DY119" s="208">
        <v>0</v>
      </c>
      <c r="DZ119" s="208">
        <v>0</v>
      </c>
      <c r="EA119" s="208">
        <v>0</v>
      </c>
      <c r="EB119" s="208">
        <v>0</v>
      </c>
      <c r="EC119" s="208">
        <v>0</v>
      </c>
      <c r="ED119" s="208">
        <v>0</v>
      </c>
      <c r="EE119" s="208">
        <v>0</v>
      </c>
      <c r="EF119" s="208">
        <v>0</v>
      </c>
      <c r="EG119" s="208">
        <v>0</v>
      </c>
      <c r="EH119" s="208">
        <v>0</v>
      </c>
      <c r="EI119" s="208">
        <v>0</v>
      </c>
      <c r="EJ119" s="208">
        <v>0</v>
      </c>
      <c r="EK119" s="222">
        <v>0</v>
      </c>
      <c r="EL119" s="228"/>
      <c r="EM119" s="217" t="s">
        <v>6</v>
      </c>
      <c r="EN119" s="227">
        <v>0</v>
      </c>
      <c r="EO119" s="228">
        <v>0</v>
      </c>
      <c r="EP119" s="208">
        <v>0</v>
      </c>
      <c r="EQ119" s="208">
        <v>0</v>
      </c>
      <c r="ER119" s="208">
        <v>0</v>
      </c>
      <c r="ES119" s="208">
        <v>0</v>
      </c>
      <c r="ET119" s="208">
        <v>0</v>
      </c>
      <c r="EU119" s="208">
        <v>0</v>
      </c>
      <c r="EV119" s="208">
        <v>0</v>
      </c>
      <c r="EW119" s="208">
        <v>0</v>
      </c>
      <c r="EX119" s="208">
        <v>0</v>
      </c>
      <c r="EY119" s="208">
        <v>0</v>
      </c>
      <c r="EZ119" s="208">
        <v>0</v>
      </c>
      <c r="FA119" s="208">
        <v>0</v>
      </c>
      <c r="FB119" s="208">
        <v>0</v>
      </c>
      <c r="FC119" s="208">
        <v>0</v>
      </c>
      <c r="FD119" s="208">
        <v>0</v>
      </c>
      <c r="FE119" s="208">
        <v>0</v>
      </c>
      <c r="FF119" s="208">
        <v>0</v>
      </c>
      <c r="FG119" s="208">
        <v>0</v>
      </c>
      <c r="FH119" s="222">
        <v>0</v>
      </c>
    </row>
    <row r="120" spans="2:164" x14ac:dyDescent="0.2">
      <c r="B120" s="217" t="s">
        <v>344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33</v>
      </c>
      <c r="I120" s="208">
        <v>9</v>
      </c>
      <c r="J120" s="208">
        <v>0</v>
      </c>
      <c r="K120" s="208">
        <v>2</v>
      </c>
      <c r="L120" s="208">
        <v>12</v>
      </c>
      <c r="M120" s="208">
        <v>3</v>
      </c>
      <c r="N120" s="208">
        <v>1</v>
      </c>
      <c r="O120" s="208">
        <v>0</v>
      </c>
      <c r="P120" s="208">
        <v>0</v>
      </c>
      <c r="Q120" s="208">
        <v>0</v>
      </c>
      <c r="R120" s="208">
        <v>1</v>
      </c>
      <c r="S120" s="208">
        <v>0</v>
      </c>
      <c r="T120" s="208">
        <v>0</v>
      </c>
      <c r="U120" s="208">
        <v>121</v>
      </c>
      <c r="V120" s="208">
        <v>4</v>
      </c>
      <c r="W120" s="222">
        <v>186</v>
      </c>
      <c r="X120" s="208"/>
      <c r="Y120" s="217" t="s">
        <v>344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4213.3985374709255</v>
      </c>
      <c r="AF120" s="208">
        <v>4176.5201173309179</v>
      </c>
      <c r="AG120" s="208">
        <v>0</v>
      </c>
      <c r="AH120" s="208">
        <v>338.88233316771965</v>
      </c>
      <c r="AI120" s="208">
        <v>351.67657127074517</v>
      </c>
      <c r="AJ120" s="208">
        <v>238.83098913178475</v>
      </c>
      <c r="AK120" s="208">
        <v>7941.7395576495364</v>
      </c>
      <c r="AL120" s="208">
        <v>0</v>
      </c>
      <c r="AM120" s="208">
        <v>0</v>
      </c>
      <c r="AN120" s="208">
        <v>0</v>
      </c>
      <c r="AO120" s="208">
        <v>86.01937169109641</v>
      </c>
      <c r="AP120" s="208">
        <v>0</v>
      </c>
      <c r="AQ120" s="208">
        <v>0</v>
      </c>
      <c r="AR120" s="208">
        <v>15686.423820899228</v>
      </c>
      <c r="AS120" s="208">
        <v>483.11116321005204</v>
      </c>
      <c r="AT120" s="222">
        <v>33516.602461822004</v>
      </c>
      <c r="AV120" s="217" t="s">
        <v>344</v>
      </c>
      <c r="AW120" s="227">
        <v>0</v>
      </c>
      <c r="AX120" s="228">
        <v>0</v>
      </c>
      <c r="AY120" s="208">
        <v>0</v>
      </c>
      <c r="AZ120" s="208">
        <v>0</v>
      </c>
      <c r="BA120" s="208">
        <v>0</v>
      </c>
      <c r="BB120" s="208">
        <v>4213.3985374709255</v>
      </c>
      <c r="BC120" s="208">
        <v>4176.5201173309179</v>
      </c>
      <c r="BD120" s="208">
        <v>0</v>
      </c>
      <c r="BE120" s="208">
        <v>338.88233316771965</v>
      </c>
      <c r="BF120" s="208">
        <v>351.67657127074517</v>
      </c>
      <c r="BG120" s="208">
        <v>238.83098913178475</v>
      </c>
      <c r="BH120" s="208">
        <v>7941.7395576495364</v>
      </c>
      <c r="BI120" s="208">
        <v>0</v>
      </c>
      <c r="BJ120" s="208">
        <v>0</v>
      </c>
      <c r="BK120" s="208">
        <v>0</v>
      </c>
      <c r="BL120" s="208">
        <v>86.01937169109641</v>
      </c>
      <c r="BM120" s="208">
        <v>0</v>
      </c>
      <c r="BN120" s="208">
        <v>0</v>
      </c>
      <c r="BO120" s="208">
        <v>15686.423820899228</v>
      </c>
      <c r="BP120" s="208">
        <v>483.11116321005204</v>
      </c>
      <c r="BQ120" s="230">
        <f t="shared" si="62"/>
        <v>33516.602461822011</v>
      </c>
      <c r="BR120" s="214"/>
      <c r="BS120" s="227"/>
      <c r="BT120" s="217" t="s">
        <v>344</v>
      </c>
      <c r="BU120" s="227">
        <v>0</v>
      </c>
      <c r="BV120" s="228">
        <v>0</v>
      </c>
      <c r="BW120" s="208">
        <v>0</v>
      </c>
      <c r="BX120" s="208">
        <v>0</v>
      </c>
      <c r="BY120" s="208">
        <v>0</v>
      </c>
      <c r="BZ120" s="208">
        <v>1</v>
      </c>
      <c r="CA120" s="208">
        <v>0</v>
      </c>
      <c r="CB120" s="208">
        <v>0</v>
      </c>
      <c r="CC120" s="208">
        <v>0</v>
      </c>
      <c r="CD120" s="208">
        <v>0</v>
      </c>
      <c r="CE120" s="208">
        <v>0</v>
      </c>
      <c r="CF120" s="208">
        <v>0</v>
      </c>
      <c r="CG120" s="208">
        <v>0</v>
      </c>
      <c r="CH120" s="208">
        <v>0</v>
      </c>
      <c r="CI120" s="208">
        <v>0</v>
      </c>
      <c r="CJ120" s="208">
        <v>0</v>
      </c>
      <c r="CK120" s="208">
        <v>0</v>
      </c>
      <c r="CL120" s="208">
        <v>0</v>
      </c>
      <c r="CM120" s="208">
        <v>0</v>
      </c>
      <c r="CN120" s="208">
        <v>0</v>
      </c>
      <c r="CO120" s="222">
        <v>1</v>
      </c>
      <c r="CP120" s="227"/>
      <c r="CQ120" s="217" t="s">
        <v>344</v>
      </c>
      <c r="CR120" s="227">
        <v>0</v>
      </c>
      <c r="CS120" s="228">
        <v>0</v>
      </c>
      <c r="CT120" s="208">
        <v>0</v>
      </c>
      <c r="CU120" s="208">
        <v>0</v>
      </c>
      <c r="CV120" s="208">
        <v>0</v>
      </c>
      <c r="CW120" s="208">
        <v>1945.2393452089234</v>
      </c>
      <c r="CX120" s="208">
        <v>0</v>
      </c>
      <c r="CY120" s="208">
        <v>0</v>
      </c>
      <c r="CZ120" s="208">
        <v>0</v>
      </c>
      <c r="DA120" s="208">
        <v>0</v>
      </c>
      <c r="DB120" s="208">
        <v>0</v>
      </c>
      <c r="DC120" s="208">
        <v>0</v>
      </c>
      <c r="DD120" s="208">
        <v>0</v>
      </c>
      <c r="DE120" s="208">
        <v>0</v>
      </c>
      <c r="DF120" s="208">
        <v>0</v>
      </c>
      <c r="DG120" s="208">
        <v>0</v>
      </c>
      <c r="DH120" s="208">
        <v>0</v>
      </c>
      <c r="DI120" s="208">
        <v>0</v>
      </c>
      <c r="DJ120" s="208">
        <v>0</v>
      </c>
      <c r="DK120" s="208">
        <v>0</v>
      </c>
      <c r="DL120" s="222">
        <v>1945.2393452089234</v>
      </c>
      <c r="DM120" s="214"/>
      <c r="DN120" s="214"/>
      <c r="DO120" s="227"/>
      <c r="DP120" s="217" t="s">
        <v>344</v>
      </c>
      <c r="DQ120" s="227">
        <v>0</v>
      </c>
      <c r="DR120" s="228">
        <v>0</v>
      </c>
      <c r="DS120" s="208">
        <v>0</v>
      </c>
      <c r="DT120" s="208">
        <v>0</v>
      </c>
      <c r="DU120" s="208">
        <v>0</v>
      </c>
      <c r="DV120" s="208">
        <v>1</v>
      </c>
      <c r="DW120" s="208">
        <v>0</v>
      </c>
      <c r="DX120" s="208">
        <v>0</v>
      </c>
      <c r="DY120" s="208">
        <v>0</v>
      </c>
      <c r="DZ120" s="208">
        <v>0</v>
      </c>
      <c r="EA120" s="208">
        <v>0</v>
      </c>
      <c r="EB120" s="208">
        <v>0</v>
      </c>
      <c r="EC120" s="208">
        <v>0</v>
      </c>
      <c r="ED120" s="208">
        <v>0</v>
      </c>
      <c r="EE120" s="208">
        <v>0</v>
      </c>
      <c r="EF120" s="208">
        <v>0</v>
      </c>
      <c r="EG120" s="208">
        <v>0</v>
      </c>
      <c r="EH120" s="208">
        <v>0</v>
      </c>
      <c r="EI120" s="208">
        <v>3</v>
      </c>
      <c r="EJ120" s="208">
        <v>0</v>
      </c>
      <c r="EK120" s="222">
        <v>4</v>
      </c>
      <c r="EL120" s="228"/>
      <c r="EM120" s="217" t="s">
        <v>344</v>
      </c>
      <c r="EN120" s="227">
        <v>0</v>
      </c>
      <c r="EO120" s="228">
        <v>0</v>
      </c>
      <c r="EP120" s="208">
        <v>0</v>
      </c>
      <c r="EQ120" s="208">
        <v>0</v>
      </c>
      <c r="ER120" s="208">
        <v>0</v>
      </c>
      <c r="ES120" s="208">
        <v>1945.2393452089234</v>
      </c>
      <c r="ET120" s="208">
        <v>0</v>
      </c>
      <c r="EU120" s="208">
        <v>0</v>
      </c>
      <c r="EV120" s="208">
        <v>0</v>
      </c>
      <c r="EW120" s="208">
        <v>0</v>
      </c>
      <c r="EX120" s="208">
        <v>0</v>
      </c>
      <c r="EY120" s="208">
        <v>0</v>
      </c>
      <c r="EZ120" s="208">
        <v>0</v>
      </c>
      <c r="FA120" s="208">
        <v>0</v>
      </c>
      <c r="FB120" s="208">
        <v>0</v>
      </c>
      <c r="FC120" s="208">
        <v>0</v>
      </c>
      <c r="FD120" s="208">
        <v>0</v>
      </c>
      <c r="FE120" s="208">
        <v>0</v>
      </c>
      <c r="FF120" s="208">
        <v>5184.7385998157679</v>
      </c>
      <c r="FG120" s="208">
        <v>0</v>
      </c>
      <c r="FH120" s="222">
        <v>7129.9779450246915</v>
      </c>
    </row>
    <row r="121" spans="2:164" x14ac:dyDescent="0.2">
      <c r="B121" s="217" t="s">
        <v>345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1</v>
      </c>
      <c r="I121" s="208">
        <v>0</v>
      </c>
      <c r="J121" s="208">
        <v>0</v>
      </c>
      <c r="K121" s="208">
        <v>0</v>
      </c>
      <c r="L121" s="208">
        <v>1</v>
      </c>
      <c r="M121" s="208">
        <v>0</v>
      </c>
      <c r="N121" s="208">
        <v>0</v>
      </c>
      <c r="O121" s="208">
        <v>0</v>
      </c>
      <c r="P121" s="208">
        <v>0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7</v>
      </c>
      <c r="W121" s="222">
        <v>9</v>
      </c>
      <c r="X121" s="208"/>
      <c r="Y121" s="217" t="s">
        <v>345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49.874234938466856</v>
      </c>
      <c r="AF121" s="208">
        <v>0</v>
      </c>
      <c r="AG121" s="208">
        <v>0</v>
      </c>
      <c r="AH121" s="208">
        <v>0</v>
      </c>
      <c r="AI121" s="208">
        <v>27.748686949101142</v>
      </c>
      <c r="AJ121" s="208">
        <v>0</v>
      </c>
      <c r="AK121" s="208">
        <v>0</v>
      </c>
      <c r="AL121" s="208">
        <v>0</v>
      </c>
      <c r="AM121" s="208">
        <v>0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1128.9429237148406</v>
      </c>
      <c r="AT121" s="222">
        <v>1206.5658456024087</v>
      </c>
      <c r="AV121" s="217" t="s">
        <v>345</v>
      </c>
      <c r="AW121" s="227">
        <v>0</v>
      </c>
      <c r="AX121" s="228">
        <v>0</v>
      </c>
      <c r="AY121" s="208">
        <v>0</v>
      </c>
      <c r="AZ121" s="208">
        <v>0</v>
      </c>
      <c r="BA121" s="208">
        <v>0</v>
      </c>
      <c r="BB121" s="208">
        <v>49.874234938466856</v>
      </c>
      <c r="BC121" s="208">
        <v>0</v>
      </c>
      <c r="BD121" s="208">
        <v>0</v>
      </c>
      <c r="BE121" s="208">
        <v>0</v>
      </c>
      <c r="BF121" s="208">
        <v>27.748686949101142</v>
      </c>
      <c r="BG121" s="208">
        <v>0</v>
      </c>
      <c r="BH121" s="208">
        <v>0</v>
      </c>
      <c r="BI121" s="208">
        <v>0</v>
      </c>
      <c r="BJ121" s="208">
        <v>0</v>
      </c>
      <c r="BK121" s="208">
        <v>0</v>
      </c>
      <c r="BL121" s="208">
        <v>0</v>
      </c>
      <c r="BM121" s="208">
        <v>0</v>
      </c>
      <c r="BN121" s="208">
        <v>0</v>
      </c>
      <c r="BO121" s="208">
        <v>0</v>
      </c>
      <c r="BP121" s="208">
        <v>1128.9429237148406</v>
      </c>
      <c r="BQ121" s="222">
        <f t="shared" si="62"/>
        <v>1206.5658456024087</v>
      </c>
      <c r="BR121" s="214"/>
      <c r="BS121" s="227"/>
      <c r="BT121" s="217" t="s">
        <v>345</v>
      </c>
      <c r="BU121" s="227">
        <v>0</v>
      </c>
      <c r="BV121" s="228">
        <v>0</v>
      </c>
      <c r="BW121" s="208">
        <v>0</v>
      </c>
      <c r="BX121" s="208">
        <v>0</v>
      </c>
      <c r="BY121" s="208">
        <v>0</v>
      </c>
      <c r="BZ121" s="208">
        <v>0</v>
      </c>
      <c r="CA121" s="208">
        <v>0</v>
      </c>
      <c r="CB121" s="208">
        <v>0</v>
      </c>
      <c r="CC121" s="208">
        <v>0</v>
      </c>
      <c r="CD121" s="208">
        <v>0</v>
      </c>
      <c r="CE121" s="208">
        <v>0</v>
      </c>
      <c r="CF121" s="208">
        <v>0</v>
      </c>
      <c r="CG121" s="208">
        <v>0</v>
      </c>
      <c r="CH121" s="208">
        <v>0</v>
      </c>
      <c r="CI121" s="208">
        <v>0</v>
      </c>
      <c r="CJ121" s="208">
        <v>0</v>
      </c>
      <c r="CK121" s="208">
        <v>0</v>
      </c>
      <c r="CL121" s="208">
        <v>0</v>
      </c>
      <c r="CM121" s="208">
        <v>0</v>
      </c>
      <c r="CN121" s="208">
        <v>0</v>
      </c>
      <c r="CO121" s="222">
        <v>0</v>
      </c>
      <c r="CP121" s="227"/>
      <c r="CQ121" s="217" t="s">
        <v>345</v>
      </c>
      <c r="CR121" s="227">
        <v>0</v>
      </c>
      <c r="CS121" s="228">
        <v>0</v>
      </c>
      <c r="CT121" s="208">
        <v>0</v>
      </c>
      <c r="CU121" s="208">
        <v>0</v>
      </c>
      <c r="CV121" s="208">
        <v>0</v>
      </c>
      <c r="CW121" s="208">
        <v>0</v>
      </c>
      <c r="CX121" s="208">
        <v>0</v>
      </c>
      <c r="CY121" s="208">
        <v>0</v>
      </c>
      <c r="CZ121" s="208">
        <v>0</v>
      </c>
      <c r="DA121" s="208">
        <v>0</v>
      </c>
      <c r="DB121" s="208">
        <v>0</v>
      </c>
      <c r="DC121" s="208">
        <v>0</v>
      </c>
      <c r="DD121" s="208">
        <v>0</v>
      </c>
      <c r="DE121" s="208">
        <v>0</v>
      </c>
      <c r="DF121" s="208">
        <v>0</v>
      </c>
      <c r="DG121" s="208">
        <v>0</v>
      </c>
      <c r="DH121" s="208">
        <v>0</v>
      </c>
      <c r="DI121" s="208">
        <v>0</v>
      </c>
      <c r="DJ121" s="208">
        <v>0</v>
      </c>
      <c r="DK121" s="208">
        <v>0</v>
      </c>
      <c r="DL121" s="222">
        <v>0</v>
      </c>
      <c r="DM121" s="214"/>
      <c r="DN121" s="214"/>
      <c r="DO121" s="227"/>
      <c r="DP121" s="217" t="s">
        <v>345</v>
      </c>
      <c r="DQ121" s="227">
        <v>0</v>
      </c>
      <c r="DR121" s="228">
        <v>0</v>
      </c>
      <c r="DS121" s="208">
        <v>0</v>
      </c>
      <c r="DT121" s="208">
        <v>0</v>
      </c>
      <c r="DU121" s="208">
        <v>0</v>
      </c>
      <c r="DV121" s="208">
        <v>0</v>
      </c>
      <c r="DW121" s="208">
        <v>0</v>
      </c>
      <c r="DX121" s="208">
        <v>0</v>
      </c>
      <c r="DY121" s="208">
        <v>0</v>
      </c>
      <c r="DZ121" s="208">
        <v>0</v>
      </c>
      <c r="EA121" s="208">
        <v>0</v>
      </c>
      <c r="EB121" s="208">
        <v>0</v>
      </c>
      <c r="EC121" s="208">
        <v>0</v>
      </c>
      <c r="ED121" s="208">
        <v>0</v>
      </c>
      <c r="EE121" s="208">
        <v>0</v>
      </c>
      <c r="EF121" s="208">
        <v>0</v>
      </c>
      <c r="EG121" s="208">
        <v>0</v>
      </c>
      <c r="EH121" s="208">
        <v>0</v>
      </c>
      <c r="EI121" s="208">
        <v>0</v>
      </c>
      <c r="EJ121" s="208">
        <v>0</v>
      </c>
      <c r="EK121" s="222">
        <v>0</v>
      </c>
      <c r="EL121" s="228"/>
      <c r="EM121" s="217" t="s">
        <v>345</v>
      </c>
      <c r="EN121" s="227">
        <v>0</v>
      </c>
      <c r="EO121" s="228">
        <v>0</v>
      </c>
      <c r="EP121" s="208">
        <v>0</v>
      </c>
      <c r="EQ121" s="208">
        <v>0</v>
      </c>
      <c r="ER121" s="208">
        <v>0</v>
      </c>
      <c r="ES121" s="208">
        <v>0</v>
      </c>
      <c r="ET121" s="208">
        <v>0</v>
      </c>
      <c r="EU121" s="208">
        <v>0</v>
      </c>
      <c r="EV121" s="208">
        <v>0</v>
      </c>
      <c r="EW121" s="208">
        <v>0</v>
      </c>
      <c r="EX121" s="208">
        <v>0</v>
      </c>
      <c r="EY121" s="208">
        <v>0</v>
      </c>
      <c r="EZ121" s="208">
        <v>0</v>
      </c>
      <c r="FA121" s="208">
        <v>0</v>
      </c>
      <c r="FB121" s="208">
        <v>0</v>
      </c>
      <c r="FC121" s="208">
        <v>0</v>
      </c>
      <c r="FD121" s="208">
        <v>0</v>
      </c>
      <c r="FE121" s="208">
        <v>0</v>
      </c>
      <c r="FF121" s="208">
        <v>0</v>
      </c>
      <c r="FG121" s="208">
        <v>0</v>
      </c>
      <c r="FH121" s="222">
        <v>0</v>
      </c>
    </row>
    <row r="122" spans="2:164" x14ac:dyDescent="0.2">
      <c r="B122" s="218" t="s">
        <v>7</v>
      </c>
      <c r="C122" s="219">
        <v>7220</v>
      </c>
      <c r="D122" s="220">
        <v>4339</v>
      </c>
      <c r="E122" s="221">
        <v>1832</v>
      </c>
      <c r="F122" s="221">
        <v>8555</v>
      </c>
      <c r="G122" s="221">
        <v>792</v>
      </c>
      <c r="H122" s="221">
        <v>928</v>
      </c>
      <c r="I122" s="221">
        <v>291</v>
      </c>
      <c r="J122" s="221">
        <v>15</v>
      </c>
      <c r="K122" s="221">
        <v>52</v>
      </c>
      <c r="L122" s="221">
        <v>290</v>
      </c>
      <c r="M122" s="221">
        <v>42</v>
      </c>
      <c r="N122" s="221">
        <v>28</v>
      </c>
      <c r="O122" s="221">
        <v>18</v>
      </c>
      <c r="P122" s="221">
        <v>19</v>
      </c>
      <c r="Q122" s="221">
        <v>2</v>
      </c>
      <c r="R122" s="221">
        <v>100</v>
      </c>
      <c r="S122" s="221">
        <v>10</v>
      </c>
      <c r="T122" s="221">
        <v>25</v>
      </c>
      <c r="U122" s="221">
        <v>204</v>
      </c>
      <c r="V122" s="221">
        <v>16</v>
      </c>
      <c r="W122" s="223">
        <v>24778</v>
      </c>
      <c r="X122" s="208"/>
      <c r="Y122" s="218" t="s">
        <v>7</v>
      </c>
      <c r="Z122" s="219">
        <v>1902640.9786903872</v>
      </c>
      <c r="AA122" s="220">
        <v>1453591.596866058</v>
      </c>
      <c r="AB122" s="221">
        <v>866094.99785908288</v>
      </c>
      <c r="AC122" s="221">
        <v>1905519.9595496957</v>
      </c>
      <c r="AD122" s="221">
        <v>184676.3948496136</v>
      </c>
      <c r="AE122" s="221">
        <v>238747.26438157447</v>
      </c>
      <c r="AF122" s="221">
        <v>47486.602072418798</v>
      </c>
      <c r="AG122" s="221">
        <v>491.99792189417497</v>
      </c>
      <c r="AH122" s="221">
        <v>4046.7112292634083</v>
      </c>
      <c r="AI122" s="221">
        <v>49901.01917507984</v>
      </c>
      <c r="AJ122" s="221">
        <v>9302.7154949235101</v>
      </c>
      <c r="AK122" s="221">
        <v>47949.655758516848</v>
      </c>
      <c r="AL122" s="221">
        <v>1179.9524773169585</v>
      </c>
      <c r="AM122" s="221">
        <v>578.98156381315027</v>
      </c>
      <c r="AN122" s="221">
        <v>341.81725922388034</v>
      </c>
      <c r="AO122" s="221">
        <v>23797.211985961705</v>
      </c>
      <c r="AP122" s="221">
        <v>2038.8295590037142</v>
      </c>
      <c r="AQ122" s="221">
        <v>5680.8293901475499</v>
      </c>
      <c r="AR122" s="221">
        <v>26506.905435954977</v>
      </c>
      <c r="AS122" s="221">
        <v>2385.9368250643088</v>
      </c>
      <c r="AT122" s="223">
        <v>6772960.3583449963</v>
      </c>
      <c r="AV122" s="218" t="s">
        <v>7</v>
      </c>
      <c r="AW122" s="257">
        <f>SUM(AW102:AW121)</f>
        <v>1901252.2619087403</v>
      </c>
      <c r="AX122" s="257">
        <f t="shared" ref="AX122" si="63">SUM(AX102:AX121)</f>
        <v>1452239.1460803556</v>
      </c>
      <c r="AY122" s="257">
        <f t="shared" ref="AY122" si="64">SUM(AY102:AY121)</f>
        <v>865906.23967880639</v>
      </c>
      <c r="AZ122" s="257">
        <f t="shared" ref="AZ122" si="65">SUM(AZ102:AZ121)</f>
        <v>1901262.3526099424</v>
      </c>
      <c r="BA122" s="257">
        <f t="shared" ref="BA122" si="66">SUM(BA102:BA121)</f>
        <v>169315.07869984649</v>
      </c>
      <c r="BB122" s="257">
        <f t="shared" ref="BB122" si="67">SUM(BB102:BB121)</f>
        <v>233514.29899332291</v>
      </c>
      <c r="BC122" s="257">
        <f t="shared" ref="BC122" si="68">SUM(BC102:BC121)</f>
        <v>46832.098398036178</v>
      </c>
      <c r="BD122" s="257">
        <f t="shared" ref="BD122" si="69">SUM(BD102:BD121)</f>
        <v>384.84908997903221</v>
      </c>
      <c r="BE122" s="257">
        <f t="shared" ref="BE122" si="70">SUM(BE102:BE121)</f>
        <v>3877.5694818365105</v>
      </c>
      <c r="BF122" s="257">
        <f t="shared" ref="BF122" si="71">SUM(BF102:BF121)</f>
        <v>35845.632304265971</v>
      </c>
      <c r="BG122" s="257">
        <f t="shared" ref="BG122" si="72">SUM(BG102:BG121)</f>
        <v>9262.6074191660882</v>
      </c>
      <c r="BH122" s="257">
        <f t="shared" ref="BH122" si="73">SUM(BH102:BH121)</f>
        <v>19714.233641577033</v>
      </c>
      <c r="BI122" s="257">
        <f t="shared" ref="BI122" si="74">SUM(BI102:BI121)</f>
        <v>405.92914160717106</v>
      </c>
      <c r="BJ122" s="257">
        <f t="shared" ref="BJ122" si="75">SUM(BJ102:BJ121)</f>
        <v>123.60712852596197</v>
      </c>
      <c r="BK122" s="257">
        <f t="shared" ref="BK122" si="76">SUM(BK102:BK121)</f>
        <v>170.90862961194017</v>
      </c>
      <c r="BL122" s="257">
        <f t="shared" ref="BL122" si="77">SUM(BL102:BL121)</f>
        <v>10088.133901131949</v>
      </c>
      <c r="BM122" s="257">
        <f t="shared" ref="BM122" si="78">SUM(BM102:BM121)</f>
        <v>1297.6838276098583</v>
      </c>
      <c r="BN122" s="257">
        <f t="shared" ref="BN122" si="79">SUM(BN102:BN121)</f>
        <v>5371.833849376053</v>
      </c>
      <c r="BO122" s="257">
        <f t="shared" ref="BO122" si="80">SUM(BO102:BO121)</f>
        <v>26017.607950261241</v>
      </c>
      <c r="BP122" s="257">
        <f t="shared" ref="BP122" si="81">SUM(BP102:BP121)</f>
        <v>2385.9368250643088</v>
      </c>
      <c r="BQ122" s="222">
        <f t="shared" si="62"/>
        <v>6685268.0095590642</v>
      </c>
      <c r="BR122" s="214"/>
      <c r="BT122" s="218" t="s">
        <v>7</v>
      </c>
      <c r="BU122" s="219">
        <v>823</v>
      </c>
      <c r="BV122" s="220">
        <v>489</v>
      </c>
      <c r="BW122" s="221">
        <v>183</v>
      </c>
      <c r="BX122" s="221">
        <v>440</v>
      </c>
      <c r="BY122" s="221">
        <v>29</v>
      </c>
      <c r="BZ122" s="221">
        <v>9</v>
      </c>
      <c r="CA122" s="221">
        <v>0</v>
      </c>
      <c r="CB122" s="221">
        <v>3</v>
      </c>
      <c r="CC122" s="221">
        <v>0</v>
      </c>
      <c r="CD122" s="221">
        <v>0</v>
      </c>
      <c r="CE122" s="221">
        <v>0</v>
      </c>
      <c r="CF122" s="221">
        <v>0</v>
      </c>
      <c r="CG122" s="221">
        <v>0</v>
      </c>
      <c r="CH122" s="221">
        <v>8</v>
      </c>
      <c r="CI122" s="221">
        <v>0</v>
      </c>
      <c r="CJ122" s="221">
        <v>9</v>
      </c>
      <c r="CK122" s="221">
        <v>0</v>
      </c>
      <c r="CL122" s="221">
        <v>0</v>
      </c>
      <c r="CM122" s="221">
        <v>0</v>
      </c>
      <c r="CN122" s="221">
        <v>0</v>
      </c>
      <c r="CO122" s="223">
        <v>1993</v>
      </c>
      <c r="CP122" s="227"/>
      <c r="CQ122" s="218" t="s">
        <v>7</v>
      </c>
      <c r="CR122" s="219">
        <v>226496.72307997884</v>
      </c>
      <c r="CS122" s="220">
        <v>155502.74101975048</v>
      </c>
      <c r="CT122" s="221">
        <v>78532.645437130559</v>
      </c>
      <c r="CU122" s="221">
        <v>113047.7716520909</v>
      </c>
      <c r="CV122" s="221">
        <v>12793.134653571244</v>
      </c>
      <c r="CW122" s="221">
        <v>26215.27486283685</v>
      </c>
      <c r="CX122" s="221">
        <v>0</v>
      </c>
      <c r="CY122" s="221">
        <v>126.12838009238851</v>
      </c>
      <c r="CZ122" s="221">
        <v>0</v>
      </c>
      <c r="DA122" s="221">
        <v>0</v>
      </c>
      <c r="DB122" s="221">
        <v>0</v>
      </c>
      <c r="DC122" s="221">
        <v>0</v>
      </c>
      <c r="DD122" s="221">
        <v>0</v>
      </c>
      <c r="DE122" s="221">
        <v>253.72990691510782</v>
      </c>
      <c r="DF122" s="221">
        <v>0</v>
      </c>
      <c r="DG122" s="221">
        <v>1234.3320783987333</v>
      </c>
      <c r="DH122" s="221">
        <v>0</v>
      </c>
      <c r="DI122" s="221">
        <v>0</v>
      </c>
      <c r="DJ122" s="221">
        <v>0</v>
      </c>
      <c r="DK122" s="221">
        <v>0</v>
      </c>
      <c r="DL122" s="223">
        <v>614202.48107076518</v>
      </c>
      <c r="DM122" s="214"/>
      <c r="DN122" s="214"/>
      <c r="DO122" s="227"/>
      <c r="DP122" s="218" t="s">
        <v>7</v>
      </c>
      <c r="DQ122" s="219">
        <v>1487</v>
      </c>
      <c r="DR122" s="220">
        <v>838</v>
      </c>
      <c r="DS122" s="221">
        <v>344</v>
      </c>
      <c r="DT122" s="221">
        <v>762</v>
      </c>
      <c r="DU122" s="221">
        <v>68</v>
      </c>
      <c r="DV122" s="221">
        <v>17</v>
      </c>
      <c r="DW122" s="221">
        <v>0</v>
      </c>
      <c r="DX122" s="221">
        <v>8</v>
      </c>
      <c r="DY122" s="221">
        <v>3</v>
      </c>
      <c r="DZ122" s="221">
        <v>2</v>
      </c>
      <c r="EA122" s="221">
        <v>3</v>
      </c>
      <c r="EB122" s="221">
        <v>0</v>
      </c>
      <c r="EC122" s="221">
        <v>0</v>
      </c>
      <c r="ED122" s="221">
        <v>8</v>
      </c>
      <c r="EE122" s="221">
        <v>0</v>
      </c>
      <c r="EF122" s="221">
        <v>9</v>
      </c>
      <c r="EG122" s="221">
        <v>0</v>
      </c>
      <c r="EH122" s="221">
        <v>0</v>
      </c>
      <c r="EI122" s="221">
        <v>5</v>
      </c>
      <c r="EJ122" s="221">
        <v>0</v>
      </c>
      <c r="EK122" s="223">
        <v>3554</v>
      </c>
      <c r="EL122" s="241"/>
      <c r="EM122" s="218" t="s">
        <v>7</v>
      </c>
      <c r="EN122" s="219">
        <v>437166.99979626655</v>
      </c>
      <c r="EO122" s="220">
        <v>273569.98903644347</v>
      </c>
      <c r="EP122" s="221">
        <v>190410.61462022303</v>
      </c>
      <c r="EQ122" s="221">
        <v>198996.13623864367</v>
      </c>
      <c r="ER122" s="221">
        <v>46630.760255361012</v>
      </c>
      <c r="ES122" s="221">
        <v>29781.43747250014</v>
      </c>
      <c r="ET122" s="221">
        <v>0</v>
      </c>
      <c r="EU122" s="221">
        <v>265.50615045588609</v>
      </c>
      <c r="EV122" s="221">
        <v>248.2186310200176</v>
      </c>
      <c r="EW122" s="221">
        <v>88.842139356150597</v>
      </c>
      <c r="EX122" s="221">
        <v>5014.6181145553328</v>
      </c>
      <c r="EY122" s="221">
        <v>0</v>
      </c>
      <c r="EZ122" s="221">
        <v>0</v>
      </c>
      <c r="FA122" s="221">
        <v>253.72990691510782</v>
      </c>
      <c r="FB122" s="221">
        <v>0</v>
      </c>
      <c r="FC122" s="221">
        <v>1234.3320783987333</v>
      </c>
      <c r="FD122" s="221">
        <v>0</v>
      </c>
      <c r="FE122" s="221">
        <v>0</v>
      </c>
      <c r="FF122" s="221">
        <v>7577.3780599356724</v>
      </c>
      <c r="FG122" s="221">
        <v>0</v>
      </c>
      <c r="FH122" s="223">
        <v>1191238.5625000747</v>
      </c>
    </row>
    <row r="123" spans="2:164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14" t="s">
        <v>7</v>
      </c>
      <c r="BV123" s="206"/>
      <c r="BW123" s="208"/>
      <c r="BX123" s="208"/>
      <c r="BY123" s="208"/>
      <c r="BZ123" s="208"/>
      <c r="CA123" s="208"/>
      <c r="CB123" s="208"/>
      <c r="CC123" s="208"/>
      <c r="CD123" s="208"/>
      <c r="CE123" s="208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Q123" s="214"/>
      <c r="CS123" s="206"/>
      <c r="CT123" s="208"/>
      <c r="CU123" s="208"/>
      <c r="CV123" s="208"/>
      <c r="CW123" s="208"/>
      <c r="CX123" s="208"/>
      <c r="CY123" s="208"/>
      <c r="CZ123" s="208"/>
      <c r="DA123" s="208"/>
      <c r="DB123" s="208"/>
      <c r="DC123" s="208"/>
      <c r="DD123" s="208"/>
      <c r="DE123" s="208"/>
      <c r="DF123" s="208"/>
      <c r="DG123" s="208"/>
      <c r="DH123" s="208"/>
      <c r="DI123" s="208"/>
      <c r="DJ123" s="208"/>
      <c r="DK123" s="208"/>
      <c r="DL123" s="208"/>
      <c r="DM123" s="214"/>
      <c r="DN123" s="214"/>
      <c r="DP123" s="214" t="s">
        <v>7</v>
      </c>
      <c r="DR123" s="206"/>
      <c r="DS123" s="208"/>
      <c r="DT123" s="208"/>
      <c r="DU123" s="208"/>
      <c r="DV123" s="208"/>
      <c r="DW123" s="208"/>
      <c r="DX123" s="208"/>
      <c r="DY123" s="208"/>
      <c r="DZ123" s="208"/>
      <c r="EA123" s="208"/>
      <c r="EB123" s="208"/>
      <c r="EC123" s="208"/>
      <c r="ED123" s="208"/>
      <c r="EE123" s="208"/>
      <c r="EF123" s="208"/>
      <c r="EG123" s="208"/>
      <c r="EH123" s="208"/>
      <c r="EI123" s="208"/>
      <c r="EJ123" s="208"/>
      <c r="EK123" s="208"/>
      <c r="EL123" s="206"/>
      <c r="EM123" s="214" t="s">
        <v>7</v>
      </c>
      <c r="EO123" s="206"/>
      <c r="EP123" s="208"/>
      <c r="EQ123" s="208"/>
      <c r="ER123" s="208"/>
      <c r="ES123" s="208"/>
      <c r="ET123" s="208"/>
      <c r="EU123" s="208"/>
      <c r="EV123" s="208"/>
      <c r="EW123" s="208"/>
      <c r="EX123" s="208"/>
      <c r="EY123" s="208"/>
      <c r="EZ123" s="208"/>
      <c r="FA123" s="208"/>
      <c r="FB123" s="208"/>
      <c r="FC123" s="208"/>
      <c r="FD123" s="208"/>
      <c r="FE123" s="208"/>
      <c r="FF123" s="208"/>
      <c r="FG123" s="208"/>
      <c r="FH123" s="208"/>
    </row>
    <row r="124" spans="2:164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14" t="s">
        <v>230</v>
      </c>
      <c r="BV124" s="206"/>
      <c r="BW124" s="208"/>
      <c r="BX124" s="208"/>
      <c r="BY124" s="208"/>
      <c r="BZ124" s="208"/>
      <c r="CA124" s="208"/>
      <c r="CB124" s="208"/>
      <c r="CC124" s="208"/>
      <c r="CD124" s="208"/>
      <c r="CE124" s="208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Q124" s="214" t="s">
        <v>230</v>
      </c>
      <c r="CS124" s="206"/>
      <c r="CT124" s="208"/>
      <c r="CU124" s="208"/>
      <c r="CV124" s="208"/>
      <c r="CW124" s="208"/>
      <c r="CX124" s="208"/>
      <c r="CY124" s="208"/>
      <c r="CZ124" s="208"/>
      <c r="DA124" s="208"/>
      <c r="DB124" s="208"/>
      <c r="DC124" s="208"/>
      <c r="DD124" s="208"/>
      <c r="DE124" s="208"/>
      <c r="DF124" s="208"/>
      <c r="DG124" s="208"/>
      <c r="DH124" s="208"/>
      <c r="DI124" s="208"/>
      <c r="DJ124" s="208"/>
      <c r="DK124" s="208"/>
      <c r="DL124" s="208"/>
      <c r="DM124" s="214"/>
      <c r="DN124" s="214"/>
      <c r="DP124" s="214" t="s">
        <v>230</v>
      </c>
      <c r="DR124" s="206"/>
      <c r="DS124" s="208"/>
      <c r="DT124" s="208"/>
      <c r="DU124" s="208"/>
      <c r="DV124" s="208"/>
      <c r="DW124" s="208"/>
      <c r="DX124" s="208"/>
      <c r="DY124" s="208"/>
      <c r="DZ124" s="208"/>
      <c r="EA124" s="208"/>
      <c r="EB124" s="208"/>
      <c r="EC124" s="208"/>
      <c r="ED124" s="208"/>
      <c r="EE124" s="208"/>
      <c r="EF124" s="208"/>
      <c r="EG124" s="208"/>
      <c r="EH124" s="208"/>
      <c r="EI124" s="208"/>
      <c r="EJ124" s="208"/>
      <c r="EK124" s="208"/>
      <c r="EL124" s="206"/>
      <c r="EM124" s="214" t="s">
        <v>230</v>
      </c>
      <c r="EO124" s="206"/>
      <c r="EP124" s="208"/>
      <c r="EQ124" s="208"/>
      <c r="ER124" s="208"/>
      <c r="ES124" s="208"/>
      <c r="ET124" s="208"/>
      <c r="EU124" s="208"/>
      <c r="EV124" s="208"/>
      <c r="EW124" s="208"/>
      <c r="EX124" s="208"/>
      <c r="EY124" s="208"/>
      <c r="EZ124" s="208"/>
      <c r="FA124" s="208"/>
      <c r="FB124" s="208"/>
      <c r="FC124" s="208"/>
      <c r="FD124" s="208"/>
      <c r="FE124" s="208"/>
      <c r="FF124" s="208"/>
      <c r="FG124" s="208"/>
      <c r="FH124" s="208"/>
    </row>
    <row r="125" spans="2:164" ht="36" x14ac:dyDescent="0.2">
      <c r="B125" s="224" t="s">
        <v>331</v>
      </c>
      <c r="C125" s="225" t="s">
        <v>332</v>
      </c>
      <c r="D125" s="225" t="s">
        <v>333</v>
      </c>
      <c r="E125" s="225" t="s">
        <v>334</v>
      </c>
      <c r="F125" s="225" t="s">
        <v>2</v>
      </c>
      <c r="G125" s="225" t="s">
        <v>3</v>
      </c>
      <c r="H125" s="225" t="s">
        <v>335</v>
      </c>
      <c r="I125" s="225" t="s">
        <v>362</v>
      </c>
      <c r="J125" s="225" t="s">
        <v>349</v>
      </c>
      <c r="K125" s="225" t="s">
        <v>337</v>
      </c>
      <c r="L125" s="225" t="s">
        <v>338</v>
      </c>
      <c r="M125" s="225" t="s">
        <v>339</v>
      </c>
      <c r="N125" s="225" t="s">
        <v>340</v>
      </c>
      <c r="O125" s="225" t="s">
        <v>361</v>
      </c>
      <c r="P125" s="225" t="s">
        <v>350</v>
      </c>
      <c r="Q125" s="225" t="s">
        <v>341</v>
      </c>
      <c r="R125" s="225" t="s">
        <v>342</v>
      </c>
      <c r="S125" s="225" t="s">
        <v>343</v>
      </c>
      <c r="T125" s="225" t="s">
        <v>6</v>
      </c>
      <c r="U125" s="225" t="s">
        <v>344</v>
      </c>
      <c r="V125" s="225" t="s">
        <v>345</v>
      </c>
      <c r="W125" s="226" t="s">
        <v>7</v>
      </c>
      <c r="X125" s="208"/>
      <c r="Y125" s="224" t="s">
        <v>331</v>
      </c>
      <c r="Z125" s="225" t="s">
        <v>332</v>
      </c>
      <c r="AA125" s="225" t="s">
        <v>333</v>
      </c>
      <c r="AB125" s="225" t="s">
        <v>334</v>
      </c>
      <c r="AC125" s="225" t="s">
        <v>2</v>
      </c>
      <c r="AD125" s="225" t="s">
        <v>3</v>
      </c>
      <c r="AE125" s="225" t="s">
        <v>335</v>
      </c>
      <c r="AF125" s="225" t="s">
        <v>362</v>
      </c>
      <c r="AG125" s="225" t="s">
        <v>349</v>
      </c>
      <c r="AH125" s="225" t="s">
        <v>337</v>
      </c>
      <c r="AI125" s="225" t="s">
        <v>338</v>
      </c>
      <c r="AJ125" s="225" t="s">
        <v>339</v>
      </c>
      <c r="AK125" s="225" t="s">
        <v>340</v>
      </c>
      <c r="AL125" s="225" t="s">
        <v>361</v>
      </c>
      <c r="AM125" s="225" t="s">
        <v>350</v>
      </c>
      <c r="AN125" s="225" t="s">
        <v>341</v>
      </c>
      <c r="AO125" s="225" t="s">
        <v>342</v>
      </c>
      <c r="AP125" s="225" t="s">
        <v>343</v>
      </c>
      <c r="AQ125" s="225" t="s">
        <v>6</v>
      </c>
      <c r="AR125" s="225" t="s">
        <v>344</v>
      </c>
      <c r="AS125" s="225" t="s">
        <v>345</v>
      </c>
      <c r="AT125" s="226" t="s">
        <v>7</v>
      </c>
      <c r="AV125" s="224" t="s">
        <v>331</v>
      </c>
      <c r="AW125" s="225" t="s">
        <v>332</v>
      </c>
      <c r="AX125" s="225" t="s">
        <v>333</v>
      </c>
      <c r="AY125" s="225" t="s">
        <v>334</v>
      </c>
      <c r="AZ125" s="225" t="s">
        <v>2</v>
      </c>
      <c r="BA125" s="225" t="s">
        <v>3</v>
      </c>
      <c r="BB125" s="225" t="s">
        <v>335</v>
      </c>
      <c r="BC125" s="225" t="s">
        <v>362</v>
      </c>
      <c r="BD125" s="225" t="s">
        <v>349</v>
      </c>
      <c r="BE125" s="225" t="s">
        <v>337</v>
      </c>
      <c r="BF125" s="225" t="s">
        <v>338</v>
      </c>
      <c r="BG125" s="225" t="s">
        <v>339</v>
      </c>
      <c r="BH125" s="225" t="s">
        <v>340</v>
      </c>
      <c r="BI125" s="225" t="s">
        <v>361</v>
      </c>
      <c r="BJ125" s="225" t="s">
        <v>350</v>
      </c>
      <c r="BK125" s="225" t="s">
        <v>341</v>
      </c>
      <c r="BL125" s="225" t="s">
        <v>342</v>
      </c>
      <c r="BM125" s="225" t="s">
        <v>343</v>
      </c>
      <c r="BN125" s="225" t="s">
        <v>6</v>
      </c>
      <c r="BO125" s="225" t="s">
        <v>344</v>
      </c>
      <c r="BP125" s="225" t="s">
        <v>345</v>
      </c>
      <c r="BQ125" s="226" t="s">
        <v>7</v>
      </c>
      <c r="BR125" s="235"/>
      <c r="BS125" s="236"/>
      <c r="BT125" s="224" t="s">
        <v>331</v>
      </c>
      <c r="BU125" s="225" t="s">
        <v>332</v>
      </c>
      <c r="BV125" s="225" t="s">
        <v>333</v>
      </c>
      <c r="BW125" s="225" t="s">
        <v>334</v>
      </c>
      <c r="BX125" s="225" t="s">
        <v>2</v>
      </c>
      <c r="BY125" s="225" t="s">
        <v>3</v>
      </c>
      <c r="BZ125" s="225" t="s">
        <v>335</v>
      </c>
      <c r="CA125" s="225" t="s">
        <v>362</v>
      </c>
      <c r="CB125" s="225" t="s">
        <v>349</v>
      </c>
      <c r="CC125" s="225" t="s">
        <v>337</v>
      </c>
      <c r="CD125" s="225" t="s">
        <v>338</v>
      </c>
      <c r="CE125" s="225" t="s">
        <v>339</v>
      </c>
      <c r="CF125" s="225" t="s">
        <v>340</v>
      </c>
      <c r="CG125" s="225" t="s">
        <v>361</v>
      </c>
      <c r="CH125" s="225" t="s">
        <v>350</v>
      </c>
      <c r="CI125" s="225" t="s">
        <v>341</v>
      </c>
      <c r="CJ125" s="225" t="s">
        <v>342</v>
      </c>
      <c r="CK125" s="225" t="s">
        <v>343</v>
      </c>
      <c r="CL125" s="225" t="s">
        <v>6</v>
      </c>
      <c r="CM125" s="225" t="s">
        <v>344</v>
      </c>
      <c r="CN125" s="225" t="s">
        <v>345</v>
      </c>
      <c r="CO125" s="226" t="s">
        <v>7</v>
      </c>
      <c r="CQ125" s="224" t="s">
        <v>331</v>
      </c>
      <c r="CR125" s="225" t="s">
        <v>332</v>
      </c>
      <c r="CS125" s="225" t="s">
        <v>333</v>
      </c>
      <c r="CT125" s="225" t="s">
        <v>334</v>
      </c>
      <c r="CU125" s="225" t="s">
        <v>2</v>
      </c>
      <c r="CV125" s="225" t="s">
        <v>3</v>
      </c>
      <c r="CW125" s="225" t="s">
        <v>335</v>
      </c>
      <c r="CX125" s="225" t="s">
        <v>362</v>
      </c>
      <c r="CY125" s="225" t="s">
        <v>349</v>
      </c>
      <c r="CZ125" s="225" t="s">
        <v>337</v>
      </c>
      <c r="DA125" s="225" t="s">
        <v>338</v>
      </c>
      <c r="DB125" s="225" t="s">
        <v>339</v>
      </c>
      <c r="DC125" s="225" t="s">
        <v>340</v>
      </c>
      <c r="DD125" s="225" t="s">
        <v>361</v>
      </c>
      <c r="DE125" s="225" t="s">
        <v>350</v>
      </c>
      <c r="DF125" s="225" t="s">
        <v>341</v>
      </c>
      <c r="DG125" s="225" t="s">
        <v>342</v>
      </c>
      <c r="DH125" s="225" t="s">
        <v>343</v>
      </c>
      <c r="DI125" s="225" t="s">
        <v>6</v>
      </c>
      <c r="DJ125" s="225" t="s">
        <v>344</v>
      </c>
      <c r="DK125" s="225" t="s">
        <v>345</v>
      </c>
      <c r="DL125" s="226" t="s">
        <v>7</v>
      </c>
      <c r="DM125" s="214"/>
      <c r="DN125" s="214"/>
      <c r="DP125" s="224" t="s">
        <v>331</v>
      </c>
      <c r="DQ125" s="225" t="s">
        <v>332</v>
      </c>
      <c r="DR125" s="225" t="s">
        <v>333</v>
      </c>
      <c r="DS125" s="225" t="s">
        <v>334</v>
      </c>
      <c r="DT125" s="225" t="s">
        <v>2</v>
      </c>
      <c r="DU125" s="225" t="s">
        <v>3</v>
      </c>
      <c r="DV125" s="225" t="s">
        <v>335</v>
      </c>
      <c r="DW125" s="225" t="s">
        <v>362</v>
      </c>
      <c r="DX125" s="225" t="s">
        <v>349</v>
      </c>
      <c r="DY125" s="225" t="s">
        <v>337</v>
      </c>
      <c r="DZ125" s="225" t="s">
        <v>338</v>
      </c>
      <c r="EA125" s="225" t="s">
        <v>339</v>
      </c>
      <c r="EB125" s="225" t="s">
        <v>340</v>
      </c>
      <c r="EC125" s="225" t="s">
        <v>361</v>
      </c>
      <c r="ED125" s="225" t="s">
        <v>350</v>
      </c>
      <c r="EE125" s="225" t="s">
        <v>341</v>
      </c>
      <c r="EF125" s="225" t="s">
        <v>342</v>
      </c>
      <c r="EG125" s="225" t="s">
        <v>343</v>
      </c>
      <c r="EH125" s="225" t="s">
        <v>6</v>
      </c>
      <c r="EI125" s="225" t="s">
        <v>344</v>
      </c>
      <c r="EJ125" s="225" t="s">
        <v>345</v>
      </c>
      <c r="EK125" s="226" t="s">
        <v>7</v>
      </c>
      <c r="EL125" s="240"/>
      <c r="EM125" s="224" t="s">
        <v>331</v>
      </c>
      <c r="EN125" s="225" t="s">
        <v>332</v>
      </c>
      <c r="EO125" s="225" t="s">
        <v>333</v>
      </c>
      <c r="EP125" s="225" t="s">
        <v>334</v>
      </c>
      <c r="EQ125" s="225" t="s">
        <v>2</v>
      </c>
      <c r="ER125" s="225" t="s">
        <v>3</v>
      </c>
      <c r="ES125" s="225" t="s">
        <v>335</v>
      </c>
      <c r="ET125" s="225" t="s">
        <v>362</v>
      </c>
      <c r="EU125" s="225" t="s">
        <v>349</v>
      </c>
      <c r="EV125" s="225" t="s">
        <v>337</v>
      </c>
      <c r="EW125" s="225" t="s">
        <v>338</v>
      </c>
      <c r="EX125" s="225" t="s">
        <v>339</v>
      </c>
      <c r="EY125" s="225" t="s">
        <v>340</v>
      </c>
      <c r="EZ125" s="225" t="s">
        <v>361</v>
      </c>
      <c r="FA125" s="225" t="s">
        <v>350</v>
      </c>
      <c r="FB125" s="225" t="s">
        <v>341</v>
      </c>
      <c r="FC125" s="225" t="s">
        <v>342</v>
      </c>
      <c r="FD125" s="225" t="s">
        <v>343</v>
      </c>
      <c r="FE125" s="225" t="s">
        <v>6</v>
      </c>
      <c r="FF125" s="225" t="s">
        <v>344</v>
      </c>
      <c r="FG125" s="225" t="s">
        <v>345</v>
      </c>
      <c r="FH125" s="226" t="s">
        <v>7</v>
      </c>
    </row>
    <row r="126" spans="2:164" x14ac:dyDescent="0.2">
      <c r="B126" s="233" t="s">
        <v>332</v>
      </c>
      <c r="C126" s="227">
        <v>919</v>
      </c>
      <c r="D126" s="227">
        <v>40</v>
      </c>
      <c r="E126" s="227">
        <v>5</v>
      </c>
      <c r="F126" s="227">
        <v>3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971</v>
      </c>
      <c r="X126" s="208"/>
      <c r="Y126" s="233" t="s">
        <v>332</v>
      </c>
      <c r="Z126" s="227">
        <v>354706.19822595961</v>
      </c>
      <c r="AA126" s="227">
        <v>13225.386567762547</v>
      </c>
      <c r="AB126" s="227">
        <v>2658.587833613205</v>
      </c>
      <c r="AC126" s="254">
        <v>195.05167058080787</v>
      </c>
      <c r="AD126" s="254">
        <v>0</v>
      </c>
      <c r="AE126" s="254">
        <v>28.56325621016887</v>
      </c>
      <c r="AF126" s="254">
        <v>0</v>
      </c>
      <c r="AG126" s="254">
        <v>0</v>
      </c>
      <c r="AH126" s="254">
        <v>0</v>
      </c>
      <c r="AI126" s="254">
        <v>0</v>
      </c>
      <c r="AJ126" s="254">
        <v>0</v>
      </c>
      <c r="AK126" s="254">
        <v>0</v>
      </c>
      <c r="AL126" s="254">
        <v>0</v>
      </c>
      <c r="AM126" s="254">
        <v>0</v>
      </c>
      <c r="AN126" s="254">
        <v>0</v>
      </c>
      <c r="AO126" s="254">
        <v>764.50454201533864</v>
      </c>
      <c r="AP126" s="254">
        <v>0</v>
      </c>
      <c r="AQ126" s="254">
        <v>0</v>
      </c>
      <c r="AR126" s="254">
        <v>2838.6785866919931</v>
      </c>
      <c r="AS126" s="254">
        <v>0</v>
      </c>
      <c r="AT126" s="230">
        <v>374416.97068283363</v>
      </c>
      <c r="AV126" s="233" t="s">
        <v>332</v>
      </c>
      <c r="AW126" s="227">
        <v>354706.19822595961</v>
      </c>
      <c r="AX126" s="227">
        <v>13225.386567762547</v>
      </c>
      <c r="AY126" s="227">
        <v>2658.587833613205</v>
      </c>
      <c r="AZ126" s="232">
        <v>0</v>
      </c>
      <c r="BA126" s="254">
        <v>0</v>
      </c>
      <c r="BB126" s="232">
        <v>0</v>
      </c>
      <c r="BC126" s="254">
        <v>0</v>
      </c>
      <c r="BD126" s="254">
        <v>0</v>
      </c>
      <c r="BE126" s="254">
        <v>0</v>
      </c>
      <c r="BF126" s="254">
        <v>0</v>
      </c>
      <c r="BG126" s="254">
        <v>0</v>
      </c>
      <c r="BH126" s="254">
        <v>0</v>
      </c>
      <c r="BI126" s="254">
        <v>0</v>
      </c>
      <c r="BJ126" s="254">
        <v>0</v>
      </c>
      <c r="BK126" s="254">
        <v>0</v>
      </c>
      <c r="BL126" s="232">
        <v>0</v>
      </c>
      <c r="BM126" s="254">
        <v>0</v>
      </c>
      <c r="BN126" s="254">
        <v>0</v>
      </c>
      <c r="BO126" s="232">
        <v>0</v>
      </c>
      <c r="BP126" s="254">
        <v>0</v>
      </c>
      <c r="BQ126" s="230">
        <f t="shared" ref="BQ126:BQ146" si="82">SUM(AW126:BP126)</f>
        <v>370590.17262733536</v>
      </c>
      <c r="BR126" s="237"/>
      <c r="BS126" s="227"/>
      <c r="BT126" s="233" t="s">
        <v>332</v>
      </c>
      <c r="BU126" s="227">
        <v>99</v>
      </c>
      <c r="BV126" s="227">
        <v>3</v>
      </c>
      <c r="BW126" s="227">
        <v>0</v>
      </c>
      <c r="BX126" s="227">
        <v>1</v>
      </c>
      <c r="BY126" s="227">
        <v>0</v>
      </c>
      <c r="BZ126" s="227">
        <v>0</v>
      </c>
      <c r="CA126" s="227">
        <v>0</v>
      </c>
      <c r="CB126" s="227">
        <v>0</v>
      </c>
      <c r="CC126" s="227">
        <v>0</v>
      </c>
      <c r="CD126" s="227">
        <v>0</v>
      </c>
      <c r="CE126" s="227">
        <v>0</v>
      </c>
      <c r="CF126" s="227">
        <v>0</v>
      </c>
      <c r="CG126" s="227">
        <v>0</v>
      </c>
      <c r="CH126" s="227">
        <v>0</v>
      </c>
      <c r="CI126" s="227">
        <v>0</v>
      </c>
      <c r="CJ126" s="227">
        <v>0</v>
      </c>
      <c r="CK126" s="227">
        <v>0</v>
      </c>
      <c r="CL126" s="227">
        <v>0</v>
      </c>
      <c r="CM126" s="227">
        <v>0</v>
      </c>
      <c r="CN126" s="227">
        <v>0</v>
      </c>
      <c r="CO126" s="230">
        <v>103</v>
      </c>
      <c r="CP126" s="236"/>
      <c r="CQ126" s="233" t="s">
        <v>332</v>
      </c>
      <c r="CR126" s="227">
        <v>36056.71148098111</v>
      </c>
      <c r="CS126" s="227">
        <v>219.97350055180533</v>
      </c>
      <c r="CT126" s="227">
        <v>0</v>
      </c>
      <c r="CU126" s="227">
        <v>41.476313400522066</v>
      </c>
      <c r="CV126" s="227">
        <v>0</v>
      </c>
      <c r="CW126" s="227">
        <v>0</v>
      </c>
      <c r="CX126" s="227">
        <v>0</v>
      </c>
      <c r="CY126" s="227">
        <v>0</v>
      </c>
      <c r="CZ126" s="227">
        <v>0</v>
      </c>
      <c r="DA126" s="227">
        <v>0</v>
      </c>
      <c r="DB126" s="227">
        <v>0</v>
      </c>
      <c r="DC126" s="227">
        <v>0</v>
      </c>
      <c r="DD126" s="227">
        <v>0</v>
      </c>
      <c r="DE126" s="227">
        <v>0</v>
      </c>
      <c r="DF126" s="227">
        <v>0</v>
      </c>
      <c r="DG126" s="227">
        <v>0</v>
      </c>
      <c r="DH126" s="227">
        <v>0</v>
      </c>
      <c r="DI126" s="227">
        <v>0</v>
      </c>
      <c r="DJ126" s="227">
        <v>0</v>
      </c>
      <c r="DK126" s="227">
        <v>0</v>
      </c>
      <c r="DL126" s="230">
        <v>36318.161294933438</v>
      </c>
      <c r="DM126" s="235"/>
      <c r="DN126" s="235"/>
      <c r="DO126" s="236"/>
      <c r="DP126" s="233" t="s">
        <v>332</v>
      </c>
      <c r="DQ126" s="227">
        <v>191</v>
      </c>
      <c r="DR126" s="227">
        <v>13</v>
      </c>
      <c r="DS126" s="227">
        <v>2</v>
      </c>
      <c r="DT126" s="227">
        <v>1</v>
      </c>
      <c r="DU126" s="227">
        <v>0</v>
      </c>
      <c r="DV126" s="227">
        <v>0</v>
      </c>
      <c r="DW126" s="227">
        <v>0</v>
      </c>
      <c r="DX126" s="227">
        <v>0</v>
      </c>
      <c r="DY126" s="227">
        <v>0</v>
      </c>
      <c r="DZ126" s="227">
        <v>0</v>
      </c>
      <c r="EA126" s="227">
        <v>0</v>
      </c>
      <c r="EB126" s="227">
        <v>0</v>
      </c>
      <c r="EC126" s="227">
        <v>0</v>
      </c>
      <c r="ED126" s="227">
        <v>0</v>
      </c>
      <c r="EE126" s="227">
        <v>0</v>
      </c>
      <c r="EF126" s="227">
        <v>0</v>
      </c>
      <c r="EG126" s="227">
        <v>0</v>
      </c>
      <c r="EH126" s="227">
        <v>0</v>
      </c>
      <c r="EI126" s="227">
        <v>0</v>
      </c>
      <c r="EJ126" s="227">
        <v>0</v>
      </c>
      <c r="EK126" s="230">
        <v>207</v>
      </c>
      <c r="EL126" s="239"/>
      <c r="EM126" s="233" t="s">
        <v>332</v>
      </c>
      <c r="EN126" s="227">
        <v>115035.90051468794</v>
      </c>
      <c r="EO126" s="227">
        <v>4606.2646598757519</v>
      </c>
      <c r="EP126" s="227">
        <v>1433.2243032351212</v>
      </c>
      <c r="EQ126" s="227">
        <v>41.476313400522066</v>
      </c>
      <c r="ER126" s="227">
        <v>0</v>
      </c>
      <c r="ES126" s="227">
        <v>0</v>
      </c>
      <c r="ET126" s="227">
        <v>0</v>
      </c>
      <c r="EU126" s="227">
        <v>0</v>
      </c>
      <c r="EV126" s="227">
        <v>0</v>
      </c>
      <c r="EW126" s="227">
        <v>0</v>
      </c>
      <c r="EX126" s="227">
        <v>0</v>
      </c>
      <c r="EY126" s="227">
        <v>0</v>
      </c>
      <c r="EZ126" s="227">
        <v>0</v>
      </c>
      <c r="FA126" s="227">
        <v>0</v>
      </c>
      <c r="FB126" s="227">
        <v>0</v>
      </c>
      <c r="FC126" s="227">
        <v>0</v>
      </c>
      <c r="FD126" s="227">
        <v>0</v>
      </c>
      <c r="FE126" s="227">
        <v>0</v>
      </c>
      <c r="FF126" s="227">
        <v>0</v>
      </c>
      <c r="FG126" s="227">
        <v>0</v>
      </c>
      <c r="FH126" s="230">
        <v>121116.86579119934</v>
      </c>
    </row>
    <row r="127" spans="2:164" x14ac:dyDescent="0.2">
      <c r="B127" s="215" t="s">
        <v>333</v>
      </c>
      <c r="C127" s="227">
        <v>0</v>
      </c>
      <c r="D127" s="227">
        <v>273</v>
      </c>
      <c r="E127" s="227">
        <v>14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0</v>
      </c>
      <c r="V127" s="227">
        <v>0</v>
      </c>
      <c r="W127" s="230">
        <v>288</v>
      </c>
      <c r="X127" s="208"/>
      <c r="Y127" s="215" t="s">
        <v>333</v>
      </c>
      <c r="Z127" s="227">
        <v>0</v>
      </c>
      <c r="AA127" s="227">
        <v>147405.45292903139</v>
      </c>
      <c r="AB127" s="227">
        <v>7595.3087842023224</v>
      </c>
      <c r="AC127" s="227">
        <v>0</v>
      </c>
      <c r="AD127" s="227">
        <v>0</v>
      </c>
      <c r="AE127" s="227">
        <v>13.906316022051454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54">
        <v>0</v>
      </c>
      <c r="AL127" s="254">
        <v>0</v>
      </c>
      <c r="AM127" s="254">
        <v>0</v>
      </c>
      <c r="AN127" s="254">
        <v>0</v>
      </c>
      <c r="AO127" s="254">
        <v>0</v>
      </c>
      <c r="AP127" s="254">
        <v>0</v>
      </c>
      <c r="AQ127" s="227">
        <v>0</v>
      </c>
      <c r="AR127" s="227">
        <v>0</v>
      </c>
      <c r="AS127" s="227">
        <v>0</v>
      </c>
      <c r="AT127" s="230">
        <v>155014.66802925576</v>
      </c>
      <c r="AV127" s="215" t="s">
        <v>333</v>
      </c>
      <c r="AW127" s="227">
        <v>0</v>
      </c>
      <c r="AX127" s="227">
        <v>147405.45292903139</v>
      </c>
      <c r="AY127" s="227">
        <v>7595.3087842023224</v>
      </c>
      <c r="AZ127" s="227">
        <v>0</v>
      </c>
      <c r="BA127" s="227">
        <v>0</v>
      </c>
      <c r="BB127" s="227">
        <v>13.906316022051454</v>
      </c>
      <c r="BC127" s="227">
        <v>0</v>
      </c>
      <c r="BD127" s="227">
        <v>0</v>
      </c>
      <c r="BE127" s="227">
        <v>0</v>
      </c>
      <c r="BF127" s="227">
        <v>0</v>
      </c>
      <c r="BG127" s="227">
        <v>0</v>
      </c>
      <c r="BH127" s="254">
        <v>0</v>
      </c>
      <c r="BI127" s="254">
        <v>0</v>
      </c>
      <c r="BJ127" s="254">
        <v>0</v>
      </c>
      <c r="BK127" s="254">
        <v>0</v>
      </c>
      <c r="BL127" s="254">
        <v>0</v>
      </c>
      <c r="BM127" s="254">
        <v>0</v>
      </c>
      <c r="BN127" s="227">
        <v>0</v>
      </c>
      <c r="BO127" s="227">
        <v>0</v>
      </c>
      <c r="BP127" s="227">
        <v>0</v>
      </c>
      <c r="BQ127" s="230">
        <f t="shared" si="82"/>
        <v>155014.66802925576</v>
      </c>
      <c r="BR127" s="237"/>
      <c r="BS127" s="227"/>
      <c r="BT127" s="215" t="s">
        <v>333</v>
      </c>
      <c r="BU127" s="227">
        <v>0</v>
      </c>
      <c r="BV127" s="227">
        <v>39</v>
      </c>
      <c r="BW127" s="227">
        <v>2</v>
      </c>
      <c r="BX127" s="227">
        <v>0</v>
      </c>
      <c r="BY127" s="227">
        <v>0</v>
      </c>
      <c r="BZ127" s="227">
        <v>0</v>
      </c>
      <c r="CA127" s="227">
        <v>0</v>
      </c>
      <c r="CB127" s="227">
        <v>0</v>
      </c>
      <c r="CC127" s="227">
        <v>0</v>
      </c>
      <c r="CD127" s="227">
        <v>0</v>
      </c>
      <c r="CE127" s="227">
        <v>0</v>
      </c>
      <c r="CF127" s="227">
        <v>0</v>
      </c>
      <c r="CG127" s="227">
        <v>0</v>
      </c>
      <c r="CH127" s="227">
        <v>0</v>
      </c>
      <c r="CI127" s="227">
        <v>0</v>
      </c>
      <c r="CJ127" s="227">
        <v>0</v>
      </c>
      <c r="CK127" s="227">
        <v>0</v>
      </c>
      <c r="CL127" s="227">
        <v>0</v>
      </c>
      <c r="CM127" s="227">
        <v>0</v>
      </c>
      <c r="CN127" s="227">
        <v>0</v>
      </c>
      <c r="CO127" s="230">
        <v>41</v>
      </c>
      <c r="CP127" s="227"/>
      <c r="CQ127" s="215" t="s">
        <v>333</v>
      </c>
      <c r="CR127" s="227">
        <v>0</v>
      </c>
      <c r="CS127" s="227">
        <v>15330.477968498597</v>
      </c>
      <c r="CT127" s="227">
        <v>82.303746072289385</v>
      </c>
      <c r="CU127" s="227">
        <v>0</v>
      </c>
      <c r="CV127" s="227">
        <v>0</v>
      </c>
      <c r="CW127" s="227">
        <v>0</v>
      </c>
      <c r="CX127" s="227">
        <v>0</v>
      </c>
      <c r="CY127" s="227">
        <v>0</v>
      </c>
      <c r="CZ127" s="227">
        <v>0</v>
      </c>
      <c r="DA127" s="227">
        <v>0</v>
      </c>
      <c r="DB127" s="227">
        <v>0</v>
      </c>
      <c r="DC127" s="227">
        <v>0</v>
      </c>
      <c r="DD127" s="227">
        <v>0</v>
      </c>
      <c r="DE127" s="227">
        <v>0</v>
      </c>
      <c r="DF127" s="227">
        <v>0</v>
      </c>
      <c r="DG127" s="227">
        <v>0</v>
      </c>
      <c r="DH127" s="227">
        <v>0</v>
      </c>
      <c r="DI127" s="227">
        <v>0</v>
      </c>
      <c r="DJ127" s="227">
        <v>0</v>
      </c>
      <c r="DK127" s="227">
        <v>0</v>
      </c>
      <c r="DL127" s="230">
        <v>15412.781714570887</v>
      </c>
      <c r="DM127" s="237"/>
      <c r="DN127" s="237"/>
      <c r="DO127" s="227"/>
      <c r="DP127" s="215" t="s">
        <v>333</v>
      </c>
      <c r="DQ127" s="227">
        <v>0</v>
      </c>
      <c r="DR127" s="227">
        <v>75</v>
      </c>
      <c r="DS127" s="227">
        <v>7</v>
      </c>
      <c r="DT127" s="227">
        <v>0</v>
      </c>
      <c r="DU127" s="227">
        <v>0</v>
      </c>
      <c r="DV127" s="227">
        <v>0</v>
      </c>
      <c r="DW127" s="227">
        <v>0</v>
      </c>
      <c r="DX127" s="227">
        <v>0</v>
      </c>
      <c r="DY127" s="227">
        <v>0</v>
      </c>
      <c r="DZ127" s="227">
        <v>0</v>
      </c>
      <c r="EA127" s="227">
        <v>0</v>
      </c>
      <c r="EB127" s="227">
        <v>0</v>
      </c>
      <c r="EC127" s="227">
        <v>0</v>
      </c>
      <c r="ED127" s="227">
        <v>0</v>
      </c>
      <c r="EE127" s="227">
        <v>0</v>
      </c>
      <c r="EF127" s="227">
        <v>0</v>
      </c>
      <c r="EG127" s="227">
        <v>0</v>
      </c>
      <c r="EH127" s="227">
        <v>0</v>
      </c>
      <c r="EI127" s="227">
        <v>0</v>
      </c>
      <c r="EJ127" s="227">
        <v>0</v>
      </c>
      <c r="EK127" s="230">
        <v>82</v>
      </c>
      <c r="EL127" s="227"/>
      <c r="EM127" s="215" t="s">
        <v>333</v>
      </c>
      <c r="EN127" s="227">
        <v>0</v>
      </c>
      <c r="EO127" s="227">
        <v>37439.068425947095</v>
      </c>
      <c r="EP127" s="227">
        <v>5759.3040906007918</v>
      </c>
      <c r="EQ127" s="227">
        <v>0</v>
      </c>
      <c r="ER127" s="227">
        <v>0</v>
      </c>
      <c r="ES127" s="227">
        <v>0</v>
      </c>
      <c r="ET127" s="227">
        <v>0</v>
      </c>
      <c r="EU127" s="227">
        <v>0</v>
      </c>
      <c r="EV127" s="227">
        <v>0</v>
      </c>
      <c r="EW127" s="227">
        <v>0</v>
      </c>
      <c r="EX127" s="227">
        <v>0</v>
      </c>
      <c r="EY127" s="227">
        <v>0</v>
      </c>
      <c r="EZ127" s="227">
        <v>0</v>
      </c>
      <c r="FA127" s="227">
        <v>0</v>
      </c>
      <c r="FB127" s="227">
        <v>0</v>
      </c>
      <c r="FC127" s="227">
        <v>0</v>
      </c>
      <c r="FD127" s="227">
        <v>0</v>
      </c>
      <c r="FE127" s="227">
        <v>0</v>
      </c>
      <c r="FF127" s="227">
        <v>0</v>
      </c>
      <c r="FG127" s="227">
        <v>0</v>
      </c>
      <c r="FH127" s="230">
        <v>43198.372516547883</v>
      </c>
    </row>
    <row r="128" spans="2:164" ht="24" x14ac:dyDescent="0.2">
      <c r="B128" s="216" t="s">
        <v>334</v>
      </c>
      <c r="C128" s="227">
        <v>0</v>
      </c>
      <c r="D128" s="228">
        <v>0</v>
      </c>
      <c r="E128" s="229">
        <v>140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141</v>
      </c>
      <c r="X128" s="208"/>
      <c r="Y128" s="216" t="s">
        <v>334</v>
      </c>
      <c r="Z128" s="227">
        <v>0</v>
      </c>
      <c r="AA128" s="228">
        <v>0</v>
      </c>
      <c r="AB128" s="229">
        <v>52813.871744991389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56">
        <v>0</v>
      </c>
      <c r="AL128" s="256">
        <v>0</v>
      </c>
      <c r="AM128" s="256">
        <v>0</v>
      </c>
      <c r="AN128" s="256">
        <v>0</v>
      </c>
      <c r="AO128" s="256">
        <v>0</v>
      </c>
      <c r="AP128" s="256">
        <v>0</v>
      </c>
      <c r="AQ128" s="229">
        <v>0</v>
      </c>
      <c r="AR128" s="229">
        <v>1419.3392933459966</v>
      </c>
      <c r="AS128" s="229">
        <v>0</v>
      </c>
      <c r="AT128" s="231">
        <v>54233.211038337387</v>
      </c>
      <c r="AV128" s="216" t="s">
        <v>334</v>
      </c>
      <c r="AW128" s="227">
        <v>0</v>
      </c>
      <c r="AX128" s="228">
        <v>0</v>
      </c>
      <c r="AY128" s="229">
        <v>52813.871744991389</v>
      </c>
      <c r="AZ128" s="229">
        <v>0</v>
      </c>
      <c r="BA128" s="229">
        <v>0</v>
      </c>
      <c r="BB128" s="229">
        <v>0</v>
      </c>
      <c r="BC128" s="229">
        <v>0</v>
      </c>
      <c r="BD128" s="229">
        <v>0</v>
      </c>
      <c r="BE128" s="229">
        <v>0</v>
      </c>
      <c r="BF128" s="229">
        <v>0</v>
      </c>
      <c r="BG128" s="229">
        <v>0</v>
      </c>
      <c r="BH128" s="256">
        <v>0</v>
      </c>
      <c r="BI128" s="256">
        <v>0</v>
      </c>
      <c r="BJ128" s="256">
        <v>0</v>
      </c>
      <c r="BK128" s="256">
        <v>0</v>
      </c>
      <c r="BL128" s="256">
        <v>0</v>
      </c>
      <c r="BM128" s="256">
        <v>0</v>
      </c>
      <c r="BN128" s="229">
        <v>0</v>
      </c>
      <c r="BO128" s="229">
        <v>1419.3392933459966</v>
      </c>
      <c r="BP128" s="229">
        <v>0</v>
      </c>
      <c r="BQ128" s="230">
        <f t="shared" si="82"/>
        <v>54233.211038337387</v>
      </c>
      <c r="BR128" s="238"/>
      <c r="BS128" s="227"/>
      <c r="BT128" s="216" t="s">
        <v>334</v>
      </c>
      <c r="BU128" s="227">
        <v>0</v>
      </c>
      <c r="BV128" s="228">
        <v>0</v>
      </c>
      <c r="BW128" s="229">
        <v>6</v>
      </c>
      <c r="BX128" s="229">
        <v>0</v>
      </c>
      <c r="BY128" s="229">
        <v>0</v>
      </c>
      <c r="BZ128" s="229">
        <v>0</v>
      </c>
      <c r="CA128" s="229">
        <v>0</v>
      </c>
      <c r="CB128" s="229">
        <v>0</v>
      </c>
      <c r="CC128" s="229">
        <v>0</v>
      </c>
      <c r="CD128" s="229">
        <v>0</v>
      </c>
      <c r="CE128" s="229">
        <v>0</v>
      </c>
      <c r="CF128" s="229">
        <v>0</v>
      </c>
      <c r="CG128" s="229">
        <v>0</v>
      </c>
      <c r="CH128" s="229">
        <v>0</v>
      </c>
      <c r="CI128" s="229">
        <v>0</v>
      </c>
      <c r="CJ128" s="229">
        <v>0</v>
      </c>
      <c r="CK128" s="229">
        <v>0</v>
      </c>
      <c r="CL128" s="229">
        <v>0</v>
      </c>
      <c r="CM128" s="229">
        <v>0</v>
      </c>
      <c r="CN128" s="229">
        <v>0</v>
      </c>
      <c r="CO128" s="231">
        <v>6</v>
      </c>
      <c r="CP128" s="227"/>
      <c r="CQ128" s="216" t="s">
        <v>334</v>
      </c>
      <c r="CR128" s="227">
        <v>0</v>
      </c>
      <c r="CS128" s="228">
        <v>0</v>
      </c>
      <c r="CT128" s="229">
        <v>421.42902737043312</v>
      </c>
      <c r="CU128" s="229">
        <v>0</v>
      </c>
      <c r="CV128" s="229">
        <v>0</v>
      </c>
      <c r="CW128" s="229">
        <v>0</v>
      </c>
      <c r="CX128" s="229">
        <v>0</v>
      </c>
      <c r="CY128" s="229">
        <v>0</v>
      </c>
      <c r="CZ128" s="229">
        <v>0</v>
      </c>
      <c r="DA128" s="229">
        <v>0</v>
      </c>
      <c r="DB128" s="229">
        <v>0</v>
      </c>
      <c r="DC128" s="229">
        <v>0</v>
      </c>
      <c r="DD128" s="229">
        <v>0</v>
      </c>
      <c r="DE128" s="229">
        <v>0</v>
      </c>
      <c r="DF128" s="229">
        <v>0</v>
      </c>
      <c r="DG128" s="229">
        <v>0</v>
      </c>
      <c r="DH128" s="229">
        <v>0</v>
      </c>
      <c r="DI128" s="229">
        <v>0</v>
      </c>
      <c r="DJ128" s="229">
        <v>0</v>
      </c>
      <c r="DK128" s="229">
        <v>0</v>
      </c>
      <c r="DL128" s="231">
        <v>421.42902737043312</v>
      </c>
      <c r="DM128" s="237"/>
      <c r="DN128" s="237"/>
      <c r="DO128" s="227"/>
      <c r="DP128" s="216" t="s">
        <v>334</v>
      </c>
      <c r="DQ128" s="227">
        <v>0</v>
      </c>
      <c r="DR128" s="228">
        <v>0</v>
      </c>
      <c r="DS128" s="229">
        <v>14</v>
      </c>
      <c r="DT128" s="229">
        <v>0</v>
      </c>
      <c r="DU128" s="229">
        <v>0</v>
      </c>
      <c r="DV128" s="229">
        <v>0</v>
      </c>
      <c r="DW128" s="229">
        <v>0</v>
      </c>
      <c r="DX128" s="229">
        <v>0</v>
      </c>
      <c r="DY128" s="229">
        <v>0</v>
      </c>
      <c r="DZ128" s="229">
        <v>0</v>
      </c>
      <c r="EA128" s="229">
        <v>0</v>
      </c>
      <c r="EB128" s="229">
        <v>0</v>
      </c>
      <c r="EC128" s="229">
        <v>0</v>
      </c>
      <c r="ED128" s="229">
        <v>0</v>
      </c>
      <c r="EE128" s="229">
        <v>0</v>
      </c>
      <c r="EF128" s="229">
        <v>0</v>
      </c>
      <c r="EG128" s="229">
        <v>0</v>
      </c>
      <c r="EH128" s="229">
        <v>0</v>
      </c>
      <c r="EI128" s="229">
        <v>0</v>
      </c>
      <c r="EJ128" s="229">
        <v>0</v>
      </c>
      <c r="EK128" s="231">
        <v>14</v>
      </c>
      <c r="EL128" s="227"/>
      <c r="EM128" s="216" t="s">
        <v>334</v>
      </c>
      <c r="EN128" s="227">
        <v>0</v>
      </c>
      <c r="EO128" s="228">
        <v>0</v>
      </c>
      <c r="EP128" s="229">
        <v>4845.4949726413042</v>
      </c>
      <c r="EQ128" s="229">
        <v>0</v>
      </c>
      <c r="ER128" s="229">
        <v>0</v>
      </c>
      <c r="ES128" s="229">
        <v>0</v>
      </c>
      <c r="ET128" s="229">
        <v>0</v>
      </c>
      <c r="EU128" s="229">
        <v>0</v>
      </c>
      <c r="EV128" s="229">
        <v>0</v>
      </c>
      <c r="EW128" s="229">
        <v>0</v>
      </c>
      <c r="EX128" s="229">
        <v>0</v>
      </c>
      <c r="EY128" s="229">
        <v>0</v>
      </c>
      <c r="EZ128" s="229">
        <v>0</v>
      </c>
      <c r="FA128" s="229">
        <v>0</v>
      </c>
      <c r="FB128" s="229">
        <v>0</v>
      </c>
      <c r="FC128" s="229">
        <v>0</v>
      </c>
      <c r="FD128" s="229">
        <v>0</v>
      </c>
      <c r="FE128" s="229">
        <v>0</v>
      </c>
      <c r="FF128" s="229">
        <v>0</v>
      </c>
      <c r="FG128" s="229">
        <v>0</v>
      </c>
      <c r="FH128" s="231">
        <v>4845.4949726413042</v>
      </c>
    </row>
    <row r="129" spans="2:164" x14ac:dyDescent="0.2">
      <c r="B129" s="217" t="s">
        <v>2</v>
      </c>
      <c r="C129" s="227">
        <v>32</v>
      </c>
      <c r="D129" s="228">
        <v>11</v>
      </c>
      <c r="E129" s="208">
        <v>7</v>
      </c>
      <c r="F129" s="208">
        <v>1311</v>
      </c>
      <c r="G129" s="208">
        <v>10</v>
      </c>
      <c r="H129" s="208">
        <v>7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7</v>
      </c>
      <c r="V129" s="208">
        <v>0</v>
      </c>
      <c r="W129" s="222">
        <v>1388</v>
      </c>
      <c r="X129" s="208"/>
      <c r="Y129" s="217" t="s">
        <v>2</v>
      </c>
      <c r="Z129" s="227">
        <v>9708.4982451715878</v>
      </c>
      <c r="AA129" s="228">
        <v>795.38326532373208</v>
      </c>
      <c r="AB129" s="208">
        <v>7034.9492516395894</v>
      </c>
      <c r="AC129" s="208">
        <v>243641.28919814352</v>
      </c>
      <c r="AD129" s="255">
        <v>1026.872369962977</v>
      </c>
      <c r="AE129" s="208">
        <v>2781.794306772184</v>
      </c>
      <c r="AF129" s="208">
        <v>11.571085140993672</v>
      </c>
      <c r="AG129" s="208">
        <v>0</v>
      </c>
      <c r="AH129" s="208">
        <v>488.51655953653841</v>
      </c>
      <c r="AI129" s="208">
        <v>0</v>
      </c>
      <c r="AJ129" s="208">
        <v>101.24064925930634</v>
      </c>
      <c r="AK129" s="255">
        <v>0</v>
      </c>
      <c r="AL129" s="255">
        <v>0</v>
      </c>
      <c r="AM129" s="255">
        <v>0</v>
      </c>
      <c r="AN129" s="255">
        <v>0</v>
      </c>
      <c r="AO129" s="255">
        <v>0</v>
      </c>
      <c r="AP129" s="255">
        <v>0</v>
      </c>
      <c r="AQ129" s="208">
        <v>0</v>
      </c>
      <c r="AR129" s="208">
        <v>574.81712330643222</v>
      </c>
      <c r="AS129" s="208">
        <v>0</v>
      </c>
      <c r="AT129" s="222">
        <v>266164.9320542569</v>
      </c>
      <c r="AV129" s="217" t="s">
        <v>2</v>
      </c>
      <c r="AW129" s="227">
        <v>9708.4982451715878</v>
      </c>
      <c r="AX129" s="228">
        <v>795.38326532373208</v>
      </c>
      <c r="AY129" s="208">
        <v>7034.9492516395894</v>
      </c>
      <c r="AZ129" s="208">
        <v>243641.28919814352</v>
      </c>
      <c r="BA129" s="258">
        <v>0</v>
      </c>
      <c r="BB129" s="208">
        <v>2781.794306772184</v>
      </c>
      <c r="BC129" s="208">
        <v>11.571085140993672</v>
      </c>
      <c r="BD129" s="208">
        <v>0</v>
      </c>
      <c r="BE129" s="208">
        <v>488.51655953653841</v>
      </c>
      <c r="BF129" s="208">
        <v>0</v>
      </c>
      <c r="BG129" s="208">
        <v>101.24064925930634</v>
      </c>
      <c r="BH129" s="255">
        <v>0</v>
      </c>
      <c r="BI129" s="255">
        <v>0</v>
      </c>
      <c r="BJ129" s="255">
        <v>0</v>
      </c>
      <c r="BK129" s="255">
        <v>0</v>
      </c>
      <c r="BL129" s="255">
        <v>0</v>
      </c>
      <c r="BM129" s="255">
        <v>0</v>
      </c>
      <c r="BN129" s="208">
        <v>0</v>
      </c>
      <c r="BO129" s="208">
        <v>574.81712330643222</v>
      </c>
      <c r="BP129" s="208">
        <v>0</v>
      </c>
      <c r="BQ129" s="230">
        <f t="shared" si="82"/>
        <v>265138.05968429387</v>
      </c>
      <c r="BR129" s="214"/>
      <c r="BS129" s="227"/>
      <c r="BT129" s="217" t="s">
        <v>2</v>
      </c>
      <c r="BU129" s="227">
        <v>0</v>
      </c>
      <c r="BV129" s="228">
        <v>2</v>
      </c>
      <c r="BW129" s="208">
        <v>0</v>
      </c>
      <c r="BX129" s="208">
        <v>22</v>
      </c>
      <c r="BY129" s="208">
        <v>0</v>
      </c>
      <c r="BZ129" s="208">
        <v>0</v>
      </c>
      <c r="CA129" s="208">
        <v>0</v>
      </c>
      <c r="CB129" s="208">
        <v>0</v>
      </c>
      <c r="CC129" s="208">
        <v>0</v>
      </c>
      <c r="CD129" s="208">
        <v>0</v>
      </c>
      <c r="CE129" s="208">
        <v>0</v>
      </c>
      <c r="CF129" s="208">
        <v>0</v>
      </c>
      <c r="CG129" s="208">
        <v>0</v>
      </c>
      <c r="CH129" s="208">
        <v>0</v>
      </c>
      <c r="CI129" s="208">
        <v>0</v>
      </c>
      <c r="CJ129" s="208">
        <v>0</v>
      </c>
      <c r="CK129" s="208">
        <v>0</v>
      </c>
      <c r="CL129" s="208">
        <v>0</v>
      </c>
      <c r="CM129" s="208">
        <v>0</v>
      </c>
      <c r="CN129" s="208">
        <v>0</v>
      </c>
      <c r="CO129" s="222">
        <v>24</v>
      </c>
      <c r="CP129" s="227"/>
      <c r="CQ129" s="217" t="s">
        <v>2</v>
      </c>
      <c r="CR129" s="227">
        <v>0</v>
      </c>
      <c r="CS129" s="228">
        <v>84.085586728259003</v>
      </c>
      <c r="CT129" s="208">
        <v>0</v>
      </c>
      <c r="CU129" s="208">
        <v>7368.4964648748455</v>
      </c>
      <c r="CV129" s="208">
        <v>0</v>
      </c>
      <c r="CW129" s="208">
        <v>0</v>
      </c>
      <c r="CX129" s="208">
        <v>0</v>
      </c>
      <c r="CY129" s="208">
        <v>0</v>
      </c>
      <c r="CZ129" s="208">
        <v>0</v>
      </c>
      <c r="DA129" s="208">
        <v>0</v>
      </c>
      <c r="DB129" s="208">
        <v>0</v>
      </c>
      <c r="DC129" s="208">
        <v>0</v>
      </c>
      <c r="DD129" s="208">
        <v>0</v>
      </c>
      <c r="DE129" s="208">
        <v>0</v>
      </c>
      <c r="DF129" s="208">
        <v>0</v>
      </c>
      <c r="DG129" s="208">
        <v>0</v>
      </c>
      <c r="DH129" s="208">
        <v>0</v>
      </c>
      <c r="DI129" s="208">
        <v>0</v>
      </c>
      <c r="DJ129" s="208">
        <v>0</v>
      </c>
      <c r="DK129" s="208">
        <v>0</v>
      </c>
      <c r="DL129" s="222">
        <v>7452.5820516031044</v>
      </c>
      <c r="DM129" s="238"/>
      <c r="DN129" s="238"/>
      <c r="DO129" s="227"/>
      <c r="DP129" s="217" t="s">
        <v>2</v>
      </c>
      <c r="DQ129" s="227">
        <v>4</v>
      </c>
      <c r="DR129" s="228">
        <v>3</v>
      </c>
      <c r="DS129" s="208">
        <v>1</v>
      </c>
      <c r="DT129" s="208">
        <v>40</v>
      </c>
      <c r="DU129" s="208">
        <v>0</v>
      </c>
      <c r="DV129" s="208">
        <v>0</v>
      </c>
      <c r="DW129" s="208">
        <v>0</v>
      </c>
      <c r="DX129" s="208">
        <v>0</v>
      </c>
      <c r="DY129" s="208">
        <v>0</v>
      </c>
      <c r="DZ129" s="208">
        <v>0</v>
      </c>
      <c r="EA129" s="208">
        <v>0</v>
      </c>
      <c r="EB129" s="208">
        <v>0</v>
      </c>
      <c r="EC129" s="208">
        <v>0</v>
      </c>
      <c r="ED129" s="208">
        <v>0</v>
      </c>
      <c r="EE129" s="208">
        <v>0</v>
      </c>
      <c r="EF129" s="208">
        <v>0</v>
      </c>
      <c r="EG129" s="208">
        <v>0</v>
      </c>
      <c r="EH129" s="208">
        <v>0</v>
      </c>
      <c r="EI129" s="208">
        <v>0</v>
      </c>
      <c r="EJ129" s="208">
        <v>0</v>
      </c>
      <c r="EK129" s="222">
        <v>48</v>
      </c>
      <c r="EL129" s="228"/>
      <c r="EM129" s="217" t="s">
        <v>2</v>
      </c>
      <c r="EN129" s="227">
        <v>171.70122361329953</v>
      </c>
      <c r="EO129" s="228">
        <v>140.09671564001241</v>
      </c>
      <c r="EP129" s="208">
        <v>21.81571215627454</v>
      </c>
      <c r="EQ129" s="208">
        <v>19464.092948427566</v>
      </c>
      <c r="ER129" s="208">
        <v>0</v>
      </c>
      <c r="ES129" s="208">
        <v>0</v>
      </c>
      <c r="ET129" s="208">
        <v>0</v>
      </c>
      <c r="EU129" s="208">
        <v>0</v>
      </c>
      <c r="EV129" s="208">
        <v>0</v>
      </c>
      <c r="EW129" s="208">
        <v>0</v>
      </c>
      <c r="EX129" s="208">
        <v>0</v>
      </c>
      <c r="EY129" s="208">
        <v>0</v>
      </c>
      <c r="EZ129" s="208">
        <v>0</v>
      </c>
      <c r="FA129" s="208">
        <v>0</v>
      </c>
      <c r="FB129" s="208">
        <v>0</v>
      </c>
      <c r="FC129" s="208">
        <v>0</v>
      </c>
      <c r="FD129" s="208">
        <v>0</v>
      </c>
      <c r="FE129" s="208">
        <v>0</v>
      </c>
      <c r="FF129" s="208">
        <v>0</v>
      </c>
      <c r="FG129" s="208">
        <v>0</v>
      </c>
      <c r="FH129" s="222">
        <v>19797.706599837151</v>
      </c>
    </row>
    <row r="130" spans="2:164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34</v>
      </c>
      <c r="H130" s="208">
        <v>1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36</v>
      </c>
      <c r="X130" s="208"/>
      <c r="Y130" s="217" t="s">
        <v>3</v>
      </c>
      <c r="Z130" s="254">
        <v>156.92934432580992</v>
      </c>
      <c r="AA130" s="254">
        <v>0</v>
      </c>
      <c r="AB130" s="255">
        <v>0</v>
      </c>
      <c r="AC130" s="255">
        <v>0</v>
      </c>
      <c r="AD130" s="208">
        <v>22231.995850296847</v>
      </c>
      <c r="AE130" s="255">
        <v>102.09613256491745</v>
      </c>
      <c r="AF130" s="255">
        <v>0</v>
      </c>
      <c r="AG130" s="255">
        <v>0</v>
      </c>
      <c r="AH130" s="255">
        <v>0</v>
      </c>
      <c r="AI130" s="255">
        <v>0</v>
      </c>
      <c r="AJ130" s="255">
        <v>0</v>
      </c>
      <c r="AK130" s="255">
        <v>0</v>
      </c>
      <c r="AL130" s="255">
        <v>0</v>
      </c>
      <c r="AM130" s="255">
        <v>0</v>
      </c>
      <c r="AN130" s="255">
        <v>0</v>
      </c>
      <c r="AO130" s="255">
        <v>0</v>
      </c>
      <c r="AP130" s="255">
        <v>0</v>
      </c>
      <c r="AQ130" s="255">
        <v>0</v>
      </c>
      <c r="AR130" s="255">
        <v>0</v>
      </c>
      <c r="AS130" s="255">
        <v>0</v>
      </c>
      <c r="AT130" s="222">
        <v>22491.021327187576</v>
      </c>
      <c r="AV130" s="217" t="s">
        <v>3</v>
      </c>
      <c r="AW130" s="232">
        <v>0</v>
      </c>
      <c r="AX130" s="254">
        <v>0</v>
      </c>
      <c r="AY130" s="255">
        <v>0</v>
      </c>
      <c r="AZ130" s="255">
        <v>0</v>
      </c>
      <c r="BA130" s="208">
        <v>22231.995850296847</v>
      </c>
      <c r="BB130" s="258">
        <v>0</v>
      </c>
      <c r="BC130" s="255">
        <v>0</v>
      </c>
      <c r="BD130" s="255">
        <v>0</v>
      </c>
      <c r="BE130" s="255">
        <v>0</v>
      </c>
      <c r="BF130" s="255">
        <v>0</v>
      </c>
      <c r="BG130" s="255">
        <v>0</v>
      </c>
      <c r="BH130" s="255">
        <v>0</v>
      </c>
      <c r="BI130" s="255">
        <v>0</v>
      </c>
      <c r="BJ130" s="255">
        <v>0</v>
      </c>
      <c r="BK130" s="255">
        <v>0</v>
      </c>
      <c r="BL130" s="255">
        <v>0</v>
      </c>
      <c r="BM130" s="255">
        <v>0</v>
      </c>
      <c r="BN130" s="255">
        <v>0</v>
      </c>
      <c r="BO130" s="255">
        <v>0</v>
      </c>
      <c r="BP130" s="255">
        <v>0</v>
      </c>
      <c r="BQ130" s="230">
        <f t="shared" si="82"/>
        <v>22231.995850296847</v>
      </c>
      <c r="BR130" s="214"/>
      <c r="BS130" s="227"/>
      <c r="BT130" s="217" t="s">
        <v>3</v>
      </c>
      <c r="BU130" s="227">
        <v>0</v>
      </c>
      <c r="BV130" s="228">
        <v>0</v>
      </c>
      <c r="BW130" s="208">
        <v>0</v>
      </c>
      <c r="BX130" s="208">
        <v>0</v>
      </c>
      <c r="BY130" s="208">
        <v>0</v>
      </c>
      <c r="BZ130" s="208">
        <v>0</v>
      </c>
      <c r="CA130" s="208">
        <v>0</v>
      </c>
      <c r="CB130" s="208">
        <v>0</v>
      </c>
      <c r="CC130" s="208">
        <v>0</v>
      </c>
      <c r="CD130" s="208">
        <v>0</v>
      </c>
      <c r="CE130" s="208">
        <v>0</v>
      </c>
      <c r="CF130" s="208">
        <v>0</v>
      </c>
      <c r="CG130" s="208">
        <v>0</v>
      </c>
      <c r="CH130" s="208">
        <v>0</v>
      </c>
      <c r="CI130" s="208">
        <v>0</v>
      </c>
      <c r="CJ130" s="208">
        <v>0</v>
      </c>
      <c r="CK130" s="208">
        <v>0</v>
      </c>
      <c r="CL130" s="208">
        <v>0</v>
      </c>
      <c r="CM130" s="208">
        <v>0</v>
      </c>
      <c r="CN130" s="208">
        <v>0</v>
      </c>
      <c r="CO130" s="222">
        <v>0</v>
      </c>
      <c r="CP130" s="227"/>
      <c r="CQ130" s="217" t="s">
        <v>3</v>
      </c>
      <c r="CR130" s="227">
        <v>0</v>
      </c>
      <c r="CS130" s="228">
        <v>0</v>
      </c>
      <c r="CT130" s="208">
        <v>0</v>
      </c>
      <c r="CU130" s="208">
        <v>0</v>
      </c>
      <c r="CV130" s="208">
        <v>0</v>
      </c>
      <c r="CW130" s="208">
        <v>0</v>
      </c>
      <c r="CX130" s="208">
        <v>0</v>
      </c>
      <c r="CY130" s="208">
        <v>0</v>
      </c>
      <c r="CZ130" s="208">
        <v>0</v>
      </c>
      <c r="DA130" s="208">
        <v>0</v>
      </c>
      <c r="DB130" s="208">
        <v>0</v>
      </c>
      <c r="DC130" s="208">
        <v>0</v>
      </c>
      <c r="DD130" s="208">
        <v>0</v>
      </c>
      <c r="DE130" s="208">
        <v>0</v>
      </c>
      <c r="DF130" s="208">
        <v>0</v>
      </c>
      <c r="DG130" s="208">
        <v>0</v>
      </c>
      <c r="DH130" s="208">
        <v>0</v>
      </c>
      <c r="DI130" s="208">
        <v>0</v>
      </c>
      <c r="DJ130" s="208">
        <v>0</v>
      </c>
      <c r="DK130" s="208">
        <v>0</v>
      </c>
      <c r="DL130" s="222">
        <v>0</v>
      </c>
      <c r="DM130" s="214"/>
      <c r="DN130" s="214"/>
      <c r="DO130" s="227"/>
      <c r="DP130" s="217" t="s">
        <v>3</v>
      </c>
      <c r="DQ130" s="227">
        <v>0</v>
      </c>
      <c r="DR130" s="228">
        <v>0</v>
      </c>
      <c r="DS130" s="208">
        <v>0</v>
      </c>
      <c r="DT130" s="208">
        <v>0</v>
      </c>
      <c r="DU130" s="208">
        <v>2</v>
      </c>
      <c r="DV130" s="208">
        <v>0</v>
      </c>
      <c r="DW130" s="208">
        <v>0</v>
      </c>
      <c r="DX130" s="208">
        <v>0</v>
      </c>
      <c r="DY130" s="208">
        <v>0</v>
      </c>
      <c r="DZ130" s="208">
        <v>0</v>
      </c>
      <c r="EA130" s="208">
        <v>0</v>
      </c>
      <c r="EB130" s="208">
        <v>0</v>
      </c>
      <c r="EC130" s="208">
        <v>0</v>
      </c>
      <c r="ED130" s="208">
        <v>0</v>
      </c>
      <c r="EE130" s="208">
        <v>0</v>
      </c>
      <c r="EF130" s="208">
        <v>0</v>
      </c>
      <c r="EG130" s="208">
        <v>0</v>
      </c>
      <c r="EH130" s="208">
        <v>0</v>
      </c>
      <c r="EI130" s="208">
        <v>0</v>
      </c>
      <c r="EJ130" s="208">
        <v>0</v>
      </c>
      <c r="EK130" s="222">
        <v>2</v>
      </c>
      <c r="EL130" s="228"/>
      <c r="EM130" s="217" t="s">
        <v>3</v>
      </c>
      <c r="EN130" s="227">
        <v>0</v>
      </c>
      <c r="EO130" s="228">
        <v>0</v>
      </c>
      <c r="EP130" s="208">
        <v>0</v>
      </c>
      <c r="EQ130" s="208">
        <v>0</v>
      </c>
      <c r="ER130" s="208">
        <v>82.917887323946985</v>
      </c>
      <c r="ES130" s="208">
        <v>0</v>
      </c>
      <c r="ET130" s="208">
        <v>0</v>
      </c>
      <c r="EU130" s="208">
        <v>0</v>
      </c>
      <c r="EV130" s="208">
        <v>0</v>
      </c>
      <c r="EW130" s="208">
        <v>0</v>
      </c>
      <c r="EX130" s="208">
        <v>0</v>
      </c>
      <c r="EY130" s="208">
        <v>0</v>
      </c>
      <c r="EZ130" s="208">
        <v>0</v>
      </c>
      <c r="FA130" s="208">
        <v>0</v>
      </c>
      <c r="FB130" s="208">
        <v>0</v>
      </c>
      <c r="FC130" s="208">
        <v>0</v>
      </c>
      <c r="FD130" s="208">
        <v>0</v>
      </c>
      <c r="FE130" s="208">
        <v>0</v>
      </c>
      <c r="FF130" s="208">
        <v>0</v>
      </c>
      <c r="FG130" s="208">
        <v>0</v>
      </c>
      <c r="FH130" s="222">
        <v>82.917887323946985</v>
      </c>
    </row>
    <row r="131" spans="2:164" x14ac:dyDescent="0.2">
      <c r="B131" s="217" t="s">
        <v>335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33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36</v>
      </c>
      <c r="X131" s="208"/>
      <c r="Y131" s="217" t="s">
        <v>335</v>
      </c>
      <c r="Z131" s="227">
        <v>0</v>
      </c>
      <c r="AA131" s="228">
        <v>0</v>
      </c>
      <c r="AB131" s="255">
        <v>0</v>
      </c>
      <c r="AC131" s="208">
        <v>0</v>
      </c>
      <c r="AD131" s="208">
        <v>0</v>
      </c>
      <c r="AE131" s="208">
        <v>8897.3367348285155</v>
      </c>
      <c r="AF131" s="208">
        <v>390.22241041796116</v>
      </c>
      <c r="AG131" s="208">
        <v>0</v>
      </c>
      <c r="AH131" s="208">
        <v>0</v>
      </c>
      <c r="AI131" s="208">
        <v>0</v>
      </c>
      <c r="AJ131" s="208">
        <v>0</v>
      </c>
      <c r="AK131" s="255">
        <v>0</v>
      </c>
      <c r="AL131" s="255">
        <v>0</v>
      </c>
      <c r="AM131" s="255">
        <v>0</v>
      </c>
      <c r="AN131" s="255">
        <v>0</v>
      </c>
      <c r="AO131" s="255">
        <v>0</v>
      </c>
      <c r="AP131" s="255">
        <v>0</v>
      </c>
      <c r="AQ131" s="208">
        <v>0</v>
      </c>
      <c r="AR131" s="208">
        <v>0</v>
      </c>
      <c r="AS131" s="208">
        <v>0</v>
      </c>
      <c r="AT131" s="222">
        <v>9287.559145246476</v>
      </c>
      <c r="AV131" s="217" t="s">
        <v>335</v>
      </c>
      <c r="AW131" s="227">
        <v>0</v>
      </c>
      <c r="AX131" s="228">
        <v>0</v>
      </c>
      <c r="AY131" s="255">
        <v>0</v>
      </c>
      <c r="AZ131" s="208">
        <v>0</v>
      </c>
      <c r="BA131" s="208">
        <v>0</v>
      </c>
      <c r="BB131" s="208">
        <v>8897.3367348285155</v>
      </c>
      <c r="BC131" s="208">
        <v>390.22241041796116</v>
      </c>
      <c r="BD131" s="208">
        <v>0</v>
      </c>
      <c r="BE131" s="208">
        <v>0</v>
      </c>
      <c r="BF131" s="208">
        <v>0</v>
      </c>
      <c r="BG131" s="208">
        <v>0</v>
      </c>
      <c r="BH131" s="255">
        <v>0</v>
      </c>
      <c r="BI131" s="255">
        <v>0</v>
      </c>
      <c r="BJ131" s="255">
        <v>0</v>
      </c>
      <c r="BK131" s="255">
        <v>0</v>
      </c>
      <c r="BL131" s="255">
        <v>0</v>
      </c>
      <c r="BM131" s="255">
        <v>0</v>
      </c>
      <c r="BN131" s="208">
        <v>0</v>
      </c>
      <c r="BO131" s="208">
        <v>0</v>
      </c>
      <c r="BP131" s="208">
        <v>0</v>
      </c>
      <c r="BQ131" s="230">
        <f t="shared" si="82"/>
        <v>9287.559145246476</v>
      </c>
      <c r="BR131" s="214"/>
      <c r="BS131" s="227"/>
      <c r="BT131" s="217" t="s">
        <v>335</v>
      </c>
      <c r="BU131" s="227">
        <v>0</v>
      </c>
      <c r="BV131" s="228">
        <v>0</v>
      </c>
      <c r="BW131" s="208">
        <v>0</v>
      </c>
      <c r="BX131" s="208">
        <v>0</v>
      </c>
      <c r="BY131" s="208">
        <v>0</v>
      </c>
      <c r="BZ131" s="208">
        <v>0</v>
      </c>
      <c r="CA131" s="208">
        <v>0</v>
      </c>
      <c r="CB131" s="208">
        <v>0</v>
      </c>
      <c r="CC131" s="208">
        <v>0</v>
      </c>
      <c r="CD131" s="208">
        <v>0</v>
      </c>
      <c r="CE131" s="208">
        <v>0</v>
      </c>
      <c r="CF131" s="208">
        <v>0</v>
      </c>
      <c r="CG131" s="208">
        <v>0</v>
      </c>
      <c r="CH131" s="208">
        <v>0</v>
      </c>
      <c r="CI131" s="208">
        <v>0</v>
      </c>
      <c r="CJ131" s="208">
        <v>0</v>
      </c>
      <c r="CK131" s="208">
        <v>0</v>
      </c>
      <c r="CL131" s="208">
        <v>0</v>
      </c>
      <c r="CM131" s="208">
        <v>0</v>
      </c>
      <c r="CN131" s="208">
        <v>0</v>
      </c>
      <c r="CO131" s="222">
        <v>0</v>
      </c>
      <c r="CP131" s="227"/>
      <c r="CQ131" s="217" t="s">
        <v>335</v>
      </c>
      <c r="CR131" s="227">
        <v>0</v>
      </c>
      <c r="CS131" s="228">
        <v>0</v>
      </c>
      <c r="CT131" s="208">
        <v>0</v>
      </c>
      <c r="CU131" s="208">
        <v>0</v>
      </c>
      <c r="CV131" s="208">
        <v>0</v>
      </c>
      <c r="CW131" s="208">
        <v>0</v>
      </c>
      <c r="CX131" s="208">
        <v>0</v>
      </c>
      <c r="CY131" s="208">
        <v>0</v>
      </c>
      <c r="CZ131" s="208">
        <v>0</v>
      </c>
      <c r="DA131" s="208">
        <v>0</v>
      </c>
      <c r="DB131" s="208">
        <v>0</v>
      </c>
      <c r="DC131" s="208">
        <v>0</v>
      </c>
      <c r="DD131" s="208">
        <v>0</v>
      </c>
      <c r="DE131" s="208">
        <v>0</v>
      </c>
      <c r="DF131" s="208">
        <v>0</v>
      </c>
      <c r="DG131" s="208">
        <v>0</v>
      </c>
      <c r="DH131" s="208">
        <v>0</v>
      </c>
      <c r="DI131" s="208">
        <v>0</v>
      </c>
      <c r="DJ131" s="208">
        <v>0</v>
      </c>
      <c r="DK131" s="208">
        <v>0</v>
      </c>
      <c r="DL131" s="222">
        <v>0</v>
      </c>
      <c r="DM131" s="214"/>
      <c r="DN131" s="214"/>
      <c r="DO131" s="227"/>
      <c r="DP131" s="217" t="s">
        <v>335</v>
      </c>
      <c r="DQ131" s="227">
        <v>0</v>
      </c>
      <c r="DR131" s="228">
        <v>0</v>
      </c>
      <c r="DS131" s="208">
        <v>0</v>
      </c>
      <c r="DT131" s="208">
        <v>0</v>
      </c>
      <c r="DU131" s="208">
        <v>0</v>
      </c>
      <c r="DV131" s="208">
        <v>2</v>
      </c>
      <c r="DW131" s="208">
        <v>0</v>
      </c>
      <c r="DX131" s="208">
        <v>0</v>
      </c>
      <c r="DY131" s="208">
        <v>0</v>
      </c>
      <c r="DZ131" s="208">
        <v>0</v>
      </c>
      <c r="EA131" s="208">
        <v>0</v>
      </c>
      <c r="EB131" s="208">
        <v>0</v>
      </c>
      <c r="EC131" s="208">
        <v>0</v>
      </c>
      <c r="ED131" s="208">
        <v>0</v>
      </c>
      <c r="EE131" s="208">
        <v>0</v>
      </c>
      <c r="EF131" s="208">
        <v>0</v>
      </c>
      <c r="EG131" s="208">
        <v>0</v>
      </c>
      <c r="EH131" s="208">
        <v>0</v>
      </c>
      <c r="EI131" s="208">
        <v>0</v>
      </c>
      <c r="EJ131" s="208">
        <v>0</v>
      </c>
      <c r="EK131" s="222">
        <v>2</v>
      </c>
      <c r="EL131" s="228"/>
      <c r="EM131" s="217" t="s">
        <v>335</v>
      </c>
      <c r="EN131" s="227">
        <v>0</v>
      </c>
      <c r="EO131" s="228">
        <v>0</v>
      </c>
      <c r="EP131" s="208">
        <v>0</v>
      </c>
      <c r="EQ131" s="208">
        <v>0</v>
      </c>
      <c r="ER131" s="208">
        <v>0</v>
      </c>
      <c r="ES131" s="208">
        <v>18.207098594532606</v>
      </c>
      <c r="ET131" s="208">
        <v>0</v>
      </c>
      <c r="EU131" s="208">
        <v>0</v>
      </c>
      <c r="EV131" s="208">
        <v>0</v>
      </c>
      <c r="EW131" s="208">
        <v>0</v>
      </c>
      <c r="EX131" s="208">
        <v>0</v>
      </c>
      <c r="EY131" s="208">
        <v>0</v>
      </c>
      <c r="EZ131" s="208">
        <v>0</v>
      </c>
      <c r="FA131" s="208">
        <v>0</v>
      </c>
      <c r="FB131" s="208">
        <v>0</v>
      </c>
      <c r="FC131" s="208">
        <v>0</v>
      </c>
      <c r="FD131" s="208">
        <v>0</v>
      </c>
      <c r="FE131" s="208">
        <v>0</v>
      </c>
      <c r="FF131" s="208">
        <v>0</v>
      </c>
      <c r="FG131" s="208">
        <v>0</v>
      </c>
      <c r="FH131" s="222">
        <v>18.207098594532606</v>
      </c>
    </row>
    <row r="132" spans="2:164" x14ac:dyDescent="0.2">
      <c r="B132" s="217" t="s">
        <v>362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15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15</v>
      </c>
      <c r="X132" s="208"/>
      <c r="Y132" s="217" t="s">
        <v>362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572.78072818953422</v>
      </c>
      <c r="AG132" s="208">
        <v>0</v>
      </c>
      <c r="AH132" s="208">
        <v>0</v>
      </c>
      <c r="AI132" s="208">
        <v>0</v>
      </c>
      <c r="AJ132" s="208">
        <v>0</v>
      </c>
      <c r="AK132" s="255">
        <v>0</v>
      </c>
      <c r="AL132" s="255">
        <v>0</v>
      </c>
      <c r="AM132" s="255">
        <v>0</v>
      </c>
      <c r="AN132" s="255">
        <v>0</v>
      </c>
      <c r="AO132" s="255">
        <v>0</v>
      </c>
      <c r="AP132" s="255">
        <v>0</v>
      </c>
      <c r="AQ132" s="208">
        <v>0</v>
      </c>
      <c r="AR132" s="208">
        <v>0</v>
      </c>
      <c r="AS132" s="208">
        <v>0</v>
      </c>
      <c r="AT132" s="222">
        <v>572.78072818953422</v>
      </c>
      <c r="AV132" s="217" t="s">
        <v>362</v>
      </c>
      <c r="AW132" s="227">
        <v>0</v>
      </c>
      <c r="AX132" s="228">
        <v>0</v>
      </c>
      <c r="AY132" s="208">
        <v>0</v>
      </c>
      <c r="AZ132" s="208">
        <v>0</v>
      </c>
      <c r="BA132" s="208">
        <v>0</v>
      </c>
      <c r="BB132" s="208">
        <v>0</v>
      </c>
      <c r="BC132" s="208">
        <v>572.78072818953422</v>
      </c>
      <c r="BD132" s="208">
        <v>0</v>
      </c>
      <c r="BE132" s="208">
        <v>0</v>
      </c>
      <c r="BF132" s="208">
        <v>0</v>
      </c>
      <c r="BG132" s="208">
        <v>0</v>
      </c>
      <c r="BH132" s="255">
        <v>0</v>
      </c>
      <c r="BI132" s="255">
        <v>0</v>
      </c>
      <c r="BJ132" s="255">
        <v>0</v>
      </c>
      <c r="BK132" s="255">
        <v>0</v>
      </c>
      <c r="BL132" s="255">
        <v>0</v>
      </c>
      <c r="BM132" s="255">
        <v>0</v>
      </c>
      <c r="BN132" s="208">
        <v>0</v>
      </c>
      <c r="BO132" s="208">
        <v>0</v>
      </c>
      <c r="BP132" s="208">
        <v>0</v>
      </c>
      <c r="BQ132" s="230">
        <f t="shared" si="82"/>
        <v>572.78072818953422</v>
      </c>
      <c r="BR132" s="214"/>
      <c r="BS132" s="227"/>
      <c r="BT132" s="217" t="s">
        <v>362</v>
      </c>
      <c r="BU132" s="227">
        <v>0</v>
      </c>
      <c r="BV132" s="228">
        <v>0</v>
      </c>
      <c r="BW132" s="208">
        <v>0</v>
      </c>
      <c r="BX132" s="208">
        <v>0</v>
      </c>
      <c r="BY132" s="208">
        <v>0</v>
      </c>
      <c r="BZ132" s="208">
        <v>0</v>
      </c>
      <c r="CA132" s="208">
        <v>0</v>
      </c>
      <c r="CB132" s="208">
        <v>0</v>
      </c>
      <c r="CC132" s="208">
        <v>0</v>
      </c>
      <c r="CD132" s="208">
        <v>0</v>
      </c>
      <c r="CE132" s="208">
        <v>0</v>
      </c>
      <c r="CF132" s="208">
        <v>0</v>
      </c>
      <c r="CG132" s="208">
        <v>0</v>
      </c>
      <c r="CH132" s="208">
        <v>0</v>
      </c>
      <c r="CI132" s="208">
        <v>0</v>
      </c>
      <c r="CJ132" s="208">
        <v>0</v>
      </c>
      <c r="CK132" s="208">
        <v>0</v>
      </c>
      <c r="CL132" s="208">
        <v>0</v>
      </c>
      <c r="CM132" s="208">
        <v>0</v>
      </c>
      <c r="CN132" s="208">
        <v>0</v>
      </c>
      <c r="CO132" s="222">
        <v>0</v>
      </c>
      <c r="CP132" s="227"/>
      <c r="CQ132" s="217" t="s">
        <v>362</v>
      </c>
      <c r="CR132" s="227">
        <v>0</v>
      </c>
      <c r="CS132" s="228">
        <v>0</v>
      </c>
      <c r="CT132" s="208">
        <v>0</v>
      </c>
      <c r="CU132" s="208">
        <v>0</v>
      </c>
      <c r="CV132" s="208">
        <v>0</v>
      </c>
      <c r="CW132" s="208">
        <v>0</v>
      </c>
      <c r="CX132" s="208">
        <v>0</v>
      </c>
      <c r="CY132" s="208">
        <v>0</v>
      </c>
      <c r="CZ132" s="208">
        <v>0</v>
      </c>
      <c r="DA132" s="208">
        <v>0</v>
      </c>
      <c r="DB132" s="208">
        <v>0</v>
      </c>
      <c r="DC132" s="208">
        <v>0</v>
      </c>
      <c r="DD132" s="208">
        <v>0</v>
      </c>
      <c r="DE132" s="208">
        <v>0</v>
      </c>
      <c r="DF132" s="208">
        <v>0</v>
      </c>
      <c r="DG132" s="208">
        <v>0</v>
      </c>
      <c r="DH132" s="208">
        <v>0</v>
      </c>
      <c r="DI132" s="208">
        <v>0</v>
      </c>
      <c r="DJ132" s="208">
        <v>0</v>
      </c>
      <c r="DK132" s="208">
        <v>0</v>
      </c>
      <c r="DL132" s="222">
        <v>0</v>
      </c>
      <c r="DM132" s="214"/>
      <c r="DN132" s="214"/>
      <c r="DO132" s="227"/>
      <c r="DP132" s="217" t="s">
        <v>362</v>
      </c>
      <c r="DQ132" s="227">
        <v>0</v>
      </c>
      <c r="DR132" s="228">
        <v>0</v>
      </c>
      <c r="DS132" s="208">
        <v>0</v>
      </c>
      <c r="DT132" s="208">
        <v>0</v>
      </c>
      <c r="DU132" s="208">
        <v>0</v>
      </c>
      <c r="DV132" s="208">
        <v>0</v>
      </c>
      <c r="DW132" s="208">
        <v>0</v>
      </c>
      <c r="DX132" s="208">
        <v>0</v>
      </c>
      <c r="DY132" s="208">
        <v>0</v>
      </c>
      <c r="DZ132" s="208">
        <v>0</v>
      </c>
      <c r="EA132" s="208">
        <v>0</v>
      </c>
      <c r="EB132" s="208">
        <v>0</v>
      </c>
      <c r="EC132" s="208">
        <v>0</v>
      </c>
      <c r="ED132" s="208">
        <v>0</v>
      </c>
      <c r="EE132" s="208">
        <v>0</v>
      </c>
      <c r="EF132" s="208">
        <v>0</v>
      </c>
      <c r="EG132" s="208">
        <v>0</v>
      </c>
      <c r="EH132" s="208">
        <v>0</v>
      </c>
      <c r="EI132" s="208">
        <v>0</v>
      </c>
      <c r="EJ132" s="208">
        <v>0</v>
      </c>
      <c r="EK132" s="222">
        <v>0</v>
      </c>
      <c r="EL132" s="228"/>
      <c r="EM132" s="217" t="s">
        <v>362</v>
      </c>
      <c r="EN132" s="227">
        <v>0</v>
      </c>
      <c r="EO132" s="228">
        <v>0</v>
      </c>
      <c r="EP132" s="208">
        <v>0</v>
      </c>
      <c r="EQ132" s="208">
        <v>0</v>
      </c>
      <c r="ER132" s="208">
        <v>0</v>
      </c>
      <c r="ES132" s="208">
        <v>0</v>
      </c>
      <c r="ET132" s="208">
        <v>0</v>
      </c>
      <c r="EU132" s="208">
        <v>0</v>
      </c>
      <c r="EV132" s="208">
        <v>0</v>
      </c>
      <c r="EW132" s="208">
        <v>0</v>
      </c>
      <c r="EX132" s="208">
        <v>0</v>
      </c>
      <c r="EY132" s="208">
        <v>0</v>
      </c>
      <c r="EZ132" s="208">
        <v>0</v>
      </c>
      <c r="FA132" s="208">
        <v>0</v>
      </c>
      <c r="FB132" s="208">
        <v>0</v>
      </c>
      <c r="FC132" s="208">
        <v>0</v>
      </c>
      <c r="FD132" s="208">
        <v>0</v>
      </c>
      <c r="FE132" s="208">
        <v>0</v>
      </c>
      <c r="FF132" s="208">
        <v>0</v>
      </c>
      <c r="FG132" s="208">
        <v>0</v>
      </c>
      <c r="FH132" s="222">
        <v>0</v>
      </c>
    </row>
    <row r="133" spans="2:164" x14ac:dyDescent="0.2">
      <c r="B133" s="217" t="s">
        <v>349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0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0</v>
      </c>
      <c r="X133" s="208"/>
      <c r="Y133" s="217" t="s">
        <v>349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0</v>
      </c>
      <c r="AI133" s="208">
        <v>0</v>
      </c>
      <c r="AJ133" s="208">
        <v>0</v>
      </c>
      <c r="AK133" s="255">
        <v>0</v>
      </c>
      <c r="AL133" s="255">
        <v>0</v>
      </c>
      <c r="AM133" s="255">
        <v>0</v>
      </c>
      <c r="AN133" s="255">
        <v>0</v>
      </c>
      <c r="AO133" s="255">
        <v>0</v>
      </c>
      <c r="AP133" s="255">
        <v>0</v>
      </c>
      <c r="AQ133" s="208">
        <v>0</v>
      </c>
      <c r="AR133" s="208">
        <v>0</v>
      </c>
      <c r="AS133" s="208">
        <v>0</v>
      </c>
      <c r="AT133" s="222">
        <v>0</v>
      </c>
      <c r="AV133" s="217" t="s">
        <v>349</v>
      </c>
      <c r="AW133" s="227">
        <v>0</v>
      </c>
      <c r="AX133" s="228">
        <v>0</v>
      </c>
      <c r="AY133" s="208">
        <v>0</v>
      </c>
      <c r="AZ133" s="208">
        <v>0</v>
      </c>
      <c r="BA133" s="208">
        <v>0</v>
      </c>
      <c r="BB133" s="208">
        <v>0</v>
      </c>
      <c r="BC133" s="208">
        <v>0</v>
      </c>
      <c r="BD133" s="208">
        <v>0</v>
      </c>
      <c r="BE133" s="208">
        <v>0</v>
      </c>
      <c r="BF133" s="208">
        <v>0</v>
      </c>
      <c r="BG133" s="208">
        <v>0</v>
      </c>
      <c r="BH133" s="255">
        <v>0</v>
      </c>
      <c r="BI133" s="255">
        <v>0</v>
      </c>
      <c r="BJ133" s="255">
        <v>0</v>
      </c>
      <c r="BK133" s="255">
        <v>0</v>
      </c>
      <c r="BL133" s="255">
        <v>0</v>
      </c>
      <c r="BM133" s="255">
        <v>0</v>
      </c>
      <c r="BN133" s="208">
        <v>0</v>
      </c>
      <c r="BO133" s="208">
        <v>0</v>
      </c>
      <c r="BP133" s="208">
        <v>0</v>
      </c>
      <c r="BQ133" s="230">
        <f t="shared" si="82"/>
        <v>0</v>
      </c>
      <c r="BR133" s="214"/>
      <c r="BS133" s="227"/>
      <c r="BT133" s="217" t="s">
        <v>349</v>
      </c>
      <c r="BU133" s="227">
        <v>0</v>
      </c>
      <c r="BV133" s="228">
        <v>0</v>
      </c>
      <c r="BW133" s="208">
        <v>0</v>
      </c>
      <c r="BX133" s="208">
        <v>0</v>
      </c>
      <c r="BY133" s="208">
        <v>0</v>
      </c>
      <c r="BZ133" s="208">
        <v>0</v>
      </c>
      <c r="CA133" s="208">
        <v>0</v>
      </c>
      <c r="CB133" s="208">
        <v>0</v>
      </c>
      <c r="CC133" s="208">
        <v>0</v>
      </c>
      <c r="CD133" s="208">
        <v>0</v>
      </c>
      <c r="CE133" s="208">
        <v>0</v>
      </c>
      <c r="CF133" s="208">
        <v>0</v>
      </c>
      <c r="CG133" s="208">
        <v>0</v>
      </c>
      <c r="CH133" s="208">
        <v>0</v>
      </c>
      <c r="CI133" s="208">
        <v>0</v>
      </c>
      <c r="CJ133" s="208">
        <v>0</v>
      </c>
      <c r="CK133" s="208">
        <v>0</v>
      </c>
      <c r="CL133" s="208">
        <v>0</v>
      </c>
      <c r="CM133" s="208">
        <v>0</v>
      </c>
      <c r="CN133" s="208">
        <v>0</v>
      </c>
      <c r="CO133" s="222">
        <v>0</v>
      </c>
      <c r="CP133" s="227"/>
      <c r="CQ133" s="217" t="s">
        <v>349</v>
      </c>
      <c r="CR133" s="227">
        <v>0</v>
      </c>
      <c r="CS133" s="228">
        <v>0</v>
      </c>
      <c r="CT133" s="208">
        <v>0</v>
      </c>
      <c r="CU133" s="208">
        <v>0</v>
      </c>
      <c r="CV133" s="208">
        <v>0</v>
      </c>
      <c r="CW133" s="208">
        <v>0</v>
      </c>
      <c r="CX133" s="208">
        <v>0</v>
      </c>
      <c r="CY133" s="208">
        <v>0</v>
      </c>
      <c r="CZ133" s="208">
        <v>0</v>
      </c>
      <c r="DA133" s="208">
        <v>0</v>
      </c>
      <c r="DB133" s="208">
        <v>0</v>
      </c>
      <c r="DC133" s="208">
        <v>0</v>
      </c>
      <c r="DD133" s="208">
        <v>0</v>
      </c>
      <c r="DE133" s="208">
        <v>0</v>
      </c>
      <c r="DF133" s="208">
        <v>0</v>
      </c>
      <c r="DG133" s="208">
        <v>0</v>
      </c>
      <c r="DH133" s="208">
        <v>0</v>
      </c>
      <c r="DI133" s="208">
        <v>0</v>
      </c>
      <c r="DJ133" s="208">
        <v>0</v>
      </c>
      <c r="DK133" s="208">
        <v>0</v>
      </c>
      <c r="DL133" s="222">
        <v>0</v>
      </c>
      <c r="DM133" s="214"/>
      <c r="DN133" s="214"/>
      <c r="DO133" s="227"/>
      <c r="DP133" s="217" t="s">
        <v>349</v>
      </c>
      <c r="DQ133" s="227">
        <v>0</v>
      </c>
      <c r="DR133" s="228">
        <v>0</v>
      </c>
      <c r="DS133" s="208">
        <v>0</v>
      </c>
      <c r="DT133" s="208">
        <v>0</v>
      </c>
      <c r="DU133" s="208">
        <v>0</v>
      </c>
      <c r="DV133" s="208">
        <v>0</v>
      </c>
      <c r="DW133" s="208">
        <v>0</v>
      </c>
      <c r="DX133" s="208">
        <v>0</v>
      </c>
      <c r="DY133" s="208">
        <v>0</v>
      </c>
      <c r="DZ133" s="208">
        <v>0</v>
      </c>
      <c r="EA133" s="208">
        <v>0</v>
      </c>
      <c r="EB133" s="208">
        <v>0</v>
      </c>
      <c r="EC133" s="208">
        <v>0</v>
      </c>
      <c r="ED133" s="208">
        <v>0</v>
      </c>
      <c r="EE133" s="208">
        <v>0</v>
      </c>
      <c r="EF133" s="208">
        <v>0</v>
      </c>
      <c r="EG133" s="208">
        <v>0</v>
      </c>
      <c r="EH133" s="208">
        <v>0</v>
      </c>
      <c r="EI133" s="208">
        <v>0</v>
      </c>
      <c r="EJ133" s="208">
        <v>0</v>
      </c>
      <c r="EK133" s="222">
        <v>0</v>
      </c>
      <c r="EL133" s="228"/>
      <c r="EM133" s="217" t="s">
        <v>349</v>
      </c>
      <c r="EN133" s="227">
        <v>0</v>
      </c>
      <c r="EO133" s="228">
        <v>0</v>
      </c>
      <c r="EP133" s="208">
        <v>0</v>
      </c>
      <c r="EQ133" s="208">
        <v>0</v>
      </c>
      <c r="ER133" s="208">
        <v>0</v>
      </c>
      <c r="ES133" s="208">
        <v>0</v>
      </c>
      <c r="ET133" s="208">
        <v>0</v>
      </c>
      <c r="EU133" s="208">
        <v>0</v>
      </c>
      <c r="EV133" s="208">
        <v>0</v>
      </c>
      <c r="EW133" s="208">
        <v>0</v>
      </c>
      <c r="EX133" s="208">
        <v>0</v>
      </c>
      <c r="EY133" s="208">
        <v>0</v>
      </c>
      <c r="EZ133" s="208">
        <v>0</v>
      </c>
      <c r="FA133" s="208">
        <v>0</v>
      </c>
      <c r="FB133" s="208">
        <v>0</v>
      </c>
      <c r="FC133" s="208">
        <v>0</v>
      </c>
      <c r="FD133" s="208">
        <v>0</v>
      </c>
      <c r="FE133" s="208">
        <v>0</v>
      </c>
      <c r="FF133" s="208">
        <v>0</v>
      </c>
      <c r="FG133" s="208">
        <v>0</v>
      </c>
      <c r="FH133" s="222">
        <v>0</v>
      </c>
    </row>
    <row r="134" spans="2:164" x14ac:dyDescent="0.2">
      <c r="B134" s="217" t="s">
        <v>337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4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0</v>
      </c>
      <c r="S134" s="208">
        <v>0</v>
      </c>
      <c r="T134" s="208">
        <v>0</v>
      </c>
      <c r="U134" s="208">
        <v>0</v>
      </c>
      <c r="V134" s="208">
        <v>0</v>
      </c>
      <c r="W134" s="222">
        <v>4</v>
      </c>
      <c r="X134" s="209"/>
      <c r="Y134" s="217" t="s">
        <v>337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587.36247773329535</v>
      </c>
      <c r="AI134" s="208">
        <v>0</v>
      </c>
      <c r="AJ134" s="208">
        <v>0</v>
      </c>
      <c r="AK134" s="255">
        <v>0</v>
      </c>
      <c r="AL134" s="255">
        <v>0</v>
      </c>
      <c r="AM134" s="255">
        <v>0</v>
      </c>
      <c r="AN134" s="255">
        <v>0</v>
      </c>
      <c r="AO134" s="255">
        <v>0</v>
      </c>
      <c r="AP134" s="255">
        <v>0</v>
      </c>
      <c r="AQ134" s="208">
        <v>0</v>
      </c>
      <c r="AR134" s="208">
        <v>0</v>
      </c>
      <c r="AS134" s="208">
        <v>0</v>
      </c>
      <c r="AT134" s="222">
        <v>587.36247773329535</v>
      </c>
      <c r="AV134" s="217" t="s">
        <v>337</v>
      </c>
      <c r="AW134" s="227">
        <v>0</v>
      </c>
      <c r="AX134" s="228">
        <v>0</v>
      </c>
      <c r="AY134" s="208">
        <v>0</v>
      </c>
      <c r="AZ134" s="208">
        <v>0</v>
      </c>
      <c r="BA134" s="208">
        <v>0</v>
      </c>
      <c r="BB134" s="208">
        <v>0</v>
      </c>
      <c r="BC134" s="208">
        <v>0</v>
      </c>
      <c r="BD134" s="208">
        <v>0</v>
      </c>
      <c r="BE134" s="208">
        <v>587.36247773329535</v>
      </c>
      <c r="BF134" s="208">
        <v>0</v>
      </c>
      <c r="BG134" s="208">
        <v>0</v>
      </c>
      <c r="BH134" s="255">
        <v>0</v>
      </c>
      <c r="BI134" s="255">
        <v>0</v>
      </c>
      <c r="BJ134" s="255">
        <v>0</v>
      </c>
      <c r="BK134" s="255">
        <v>0</v>
      </c>
      <c r="BL134" s="255">
        <v>0</v>
      </c>
      <c r="BM134" s="255">
        <v>0</v>
      </c>
      <c r="BN134" s="208">
        <v>0</v>
      </c>
      <c r="BO134" s="208">
        <v>0</v>
      </c>
      <c r="BP134" s="208">
        <v>0</v>
      </c>
      <c r="BQ134" s="230">
        <f t="shared" si="82"/>
        <v>587.36247773329535</v>
      </c>
      <c r="BR134" s="214"/>
      <c r="BS134" s="227"/>
      <c r="BT134" s="217" t="s">
        <v>337</v>
      </c>
      <c r="BU134" s="227">
        <v>0</v>
      </c>
      <c r="BV134" s="228">
        <v>0</v>
      </c>
      <c r="BW134" s="208">
        <v>0</v>
      </c>
      <c r="BX134" s="208">
        <v>0</v>
      </c>
      <c r="BY134" s="208">
        <v>0</v>
      </c>
      <c r="BZ134" s="208">
        <v>0</v>
      </c>
      <c r="CA134" s="208">
        <v>0</v>
      </c>
      <c r="CB134" s="208">
        <v>0</v>
      </c>
      <c r="CC134" s="208">
        <v>0</v>
      </c>
      <c r="CD134" s="208">
        <v>0</v>
      </c>
      <c r="CE134" s="208">
        <v>0</v>
      </c>
      <c r="CF134" s="208">
        <v>0</v>
      </c>
      <c r="CG134" s="208">
        <v>0</v>
      </c>
      <c r="CH134" s="208">
        <v>0</v>
      </c>
      <c r="CI134" s="208">
        <v>0</v>
      </c>
      <c r="CJ134" s="208">
        <v>0</v>
      </c>
      <c r="CK134" s="208">
        <v>0</v>
      </c>
      <c r="CL134" s="208">
        <v>0</v>
      </c>
      <c r="CM134" s="208">
        <v>0</v>
      </c>
      <c r="CN134" s="208">
        <v>0</v>
      </c>
      <c r="CO134" s="222">
        <v>0</v>
      </c>
      <c r="CP134" s="227"/>
      <c r="CQ134" s="217" t="s">
        <v>337</v>
      </c>
      <c r="CR134" s="227">
        <v>0</v>
      </c>
      <c r="CS134" s="228">
        <v>0</v>
      </c>
      <c r="CT134" s="208">
        <v>0</v>
      </c>
      <c r="CU134" s="208">
        <v>0</v>
      </c>
      <c r="CV134" s="208">
        <v>0</v>
      </c>
      <c r="CW134" s="208">
        <v>0</v>
      </c>
      <c r="CX134" s="208">
        <v>0</v>
      </c>
      <c r="CY134" s="208">
        <v>0</v>
      </c>
      <c r="CZ134" s="208">
        <v>0</v>
      </c>
      <c r="DA134" s="208">
        <v>0</v>
      </c>
      <c r="DB134" s="208">
        <v>0</v>
      </c>
      <c r="DC134" s="208">
        <v>0</v>
      </c>
      <c r="DD134" s="208">
        <v>0</v>
      </c>
      <c r="DE134" s="208">
        <v>0</v>
      </c>
      <c r="DF134" s="208">
        <v>0</v>
      </c>
      <c r="DG134" s="208">
        <v>0</v>
      </c>
      <c r="DH134" s="208">
        <v>0</v>
      </c>
      <c r="DI134" s="208">
        <v>0</v>
      </c>
      <c r="DJ134" s="208">
        <v>0</v>
      </c>
      <c r="DK134" s="208">
        <v>0</v>
      </c>
      <c r="DL134" s="222">
        <v>0</v>
      </c>
      <c r="DM134" s="214"/>
      <c r="DN134" s="214"/>
      <c r="DO134" s="227"/>
      <c r="DP134" s="217" t="s">
        <v>337</v>
      </c>
      <c r="DQ134" s="227">
        <v>0</v>
      </c>
      <c r="DR134" s="228">
        <v>0</v>
      </c>
      <c r="DS134" s="208">
        <v>0</v>
      </c>
      <c r="DT134" s="208">
        <v>0</v>
      </c>
      <c r="DU134" s="208">
        <v>0</v>
      </c>
      <c r="DV134" s="208">
        <v>0</v>
      </c>
      <c r="DW134" s="208">
        <v>0</v>
      </c>
      <c r="DX134" s="208">
        <v>0</v>
      </c>
      <c r="DY134" s="208">
        <v>0</v>
      </c>
      <c r="DZ134" s="208">
        <v>0</v>
      </c>
      <c r="EA134" s="208">
        <v>0</v>
      </c>
      <c r="EB134" s="208">
        <v>0</v>
      </c>
      <c r="EC134" s="208">
        <v>0</v>
      </c>
      <c r="ED134" s="208">
        <v>0</v>
      </c>
      <c r="EE134" s="208">
        <v>0</v>
      </c>
      <c r="EF134" s="208">
        <v>0</v>
      </c>
      <c r="EG134" s="208">
        <v>0</v>
      </c>
      <c r="EH134" s="208">
        <v>0</v>
      </c>
      <c r="EI134" s="208">
        <v>0</v>
      </c>
      <c r="EJ134" s="208">
        <v>0</v>
      </c>
      <c r="EK134" s="222">
        <v>0</v>
      </c>
      <c r="EL134" s="228"/>
      <c r="EM134" s="217" t="s">
        <v>337</v>
      </c>
      <c r="EN134" s="227">
        <v>0</v>
      </c>
      <c r="EO134" s="228">
        <v>0</v>
      </c>
      <c r="EP134" s="208">
        <v>0</v>
      </c>
      <c r="EQ134" s="208">
        <v>0</v>
      </c>
      <c r="ER134" s="208">
        <v>0</v>
      </c>
      <c r="ES134" s="208">
        <v>0</v>
      </c>
      <c r="ET134" s="208">
        <v>0</v>
      </c>
      <c r="EU134" s="208">
        <v>0</v>
      </c>
      <c r="EV134" s="208">
        <v>0</v>
      </c>
      <c r="EW134" s="208">
        <v>0</v>
      </c>
      <c r="EX134" s="208">
        <v>0</v>
      </c>
      <c r="EY134" s="208">
        <v>0</v>
      </c>
      <c r="EZ134" s="208">
        <v>0</v>
      </c>
      <c r="FA134" s="208">
        <v>0</v>
      </c>
      <c r="FB134" s="208">
        <v>0</v>
      </c>
      <c r="FC134" s="208">
        <v>0</v>
      </c>
      <c r="FD134" s="208">
        <v>0</v>
      </c>
      <c r="FE134" s="208">
        <v>0</v>
      </c>
      <c r="FF134" s="208">
        <v>0</v>
      </c>
      <c r="FG134" s="208">
        <v>0</v>
      </c>
      <c r="FH134" s="222">
        <v>0</v>
      </c>
    </row>
    <row r="135" spans="2:164" x14ac:dyDescent="0.2">
      <c r="B135" s="217" t="s">
        <v>338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0</v>
      </c>
      <c r="N135" s="208">
        <v>0</v>
      </c>
      <c r="O135" s="208">
        <v>0</v>
      </c>
      <c r="P135" s="208">
        <v>0</v>
      </c>
      <c r="Q135" s="208">
        <v>0</v>
      </c>
      <c r="R135" s="208">
        <v>1</v>
      </c>
      <c r="S135" s="208">
        <v>0</v>
      </c>
      <c r="T135" s="208">
        <v>0</v>
      </c>
      <c r="U135" s="208">
        <v>0</v>
      </c>
      <c r="V135" s="208">
        <v>0</v>
      </c>
      <c r="W135" s="222">
        <v>1</v>
      </c>
      <c r="X135" s="209"/>
      <c r="Y135" s="217" t="s">
        <v>338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0</v>
      </c>
      <c r="AK135" s="255">
        <v>0</v>
      </c>
      <c r="AL135" s="255">
        <v>0</v>
      </c>
      <c r="AM135" s="255">
        <v>0</v>
      </c>
      <c r="AN135" s="255">
        <v>0</v>
      </c>
      <c r="AO135" s="255">
        <v>764.50454201533864</v>
      </c>
      <c r="AP135" s="255">
        <v>0</v>
      </c>
      <c r="AQ135" s="208">
        <v>0</v>
      </c>
      <c r="AR135" s="208">
        <v>0</v>
      </c>
      <c r="AS135" s="208">
        <v>0</v>
      </c>
      <c r="AT135" s="222">
        <v>764.50454201533864</v>
      </c>
      <c r="AV135" s="217" t="s">
        <v>338</v>
      </c>
      <c r="AW135" s="227">
        <v>0</v>
      </c>
      <c r="AX135" s="228">
        <v>0</v>
      </c>
      <c r="AY135" s="208">
        <v>0</v>
      </c>
      <c r="AZ135" s="208">
        <v>0</v>
      </c>
      <c r="BA135" s="208">
        <v>0</v>
      </c>
      <c r="BB135" s="208">
        <v>0</v>
      </c>
      <c r="BC135" s="208">
        <v>0</v>
      </c>
      <c r="BD135" s="208">
        <v>0</v>
      </c>
      <c r="BE135" s="208">
        <v>0</v>
      </c>
      <c r="BF135" s="208">
        <v>0</v>
      </c>
      <c r="BG135" s="208">
        <v>0</v>
      </c>
      <c r="BH135" s="255">
        <v>0</v>
      </c>
      <c r="BI135" s="255">
        <v>0</v>
      </c>
      <c r="BJ135" s="255">
        <v>0</v>
      </c>
      <c r="BK135" s="255">
        <v>0</v>
      </c>
      <c r="BL135" s="258">
        <v>0</v>
      </c>
      <c r="BM135" s="255">
        <v>0</v>
      </c>
      <c r="BN135" s="208">
        <v>0</v>
      </c>
      <c r="BO135" s="208">
        <v>0</v>
      </c>
      <c r="BP135" s="208">
        <v>0</v>
      </c>
      <c r="BQ135" s="230">
        <f t="shared" si="82"/>
        <v>0</v>
      </c>
      <c r="BR135" s="214"/>
      <c r="BS135" s="227"/>
      <c r="BT135" s="217" t="s">
        <v>338</v>
      </c>
      <c r="BU135" s="227">
        <v>0</v>
      </c>
      <c r="BV135" s="228">
        <v>0</v>
      </c>
      <c r="BW135" s="208">
        <v>0</v>
      </c>
      <c r="BX135" s="208">
        <v>0</v>
      </c>
      <c r="BY135" s="208">
        <v>0</v>
      </c>
      <c r="BZ135" s="208">
        <v>0</v>
      </c>
      <c r="CA135" s="208">
        <v>0</v>
      </c>
      <c r="CB135" s="208">
        <v>0</v>
      </c>
      <c r="CC135" s="208">
        <v>0</v>
      </c>
      <c r="CD135" s="208">
        <v>0</v>
      </c>
      <c r="CE135" s="208">
        <v>0</v>
      </c>
      <c r="CF135" s="208">
        <v>0</v>
      </c>
      <c r="CG135" s="208">
        <v>0</v>
      </c>
      <c r="CH135" s="208">
        <v>0</v>
      </c>
      <c r="CI135" s="208">
        <v>0</v>
      </c>
      <c r="CJ135" s="208">
        <v>0</v>
      </c>
      <c r="CK135" s="208">
        <v>0</v>
      </c>
      <c r="CL135" s="208">
        <v>0</v>
      </c>
      <c r="CM135" s="208">
        <v>0</v>
      </c>
      <c r="CN135" s="208">
        <v>0</v>
      </c>
      <c r="CO135" s="222">
        <v>0</v>
      </c>
      <c r="CP135" s="227"/>
      <c r="CQ135" s="217" t="s">
        <v>338</v>
      </c>
      <c r="CR135" s="227">
        <v>0</v>
      </c>
      <c r="CS135" s="228">
        <v>0</v>
      </c>
      <c r="CT135" s="208">
        <v>0</v>
      </c>
      <c r="CU135" s="208">
        <v>0</v>
      </c>
      <c r="CV135" s="208">
        <v>0</v>
      </c>
      <c r="CW135" s="208">
        <v>0</v>
      </c>
      <c r="CX135" s="208">
        <v>0</v>
      </c>
      <c r="CY135" s="208">
        <v>0</v>
      </c>
      <c r="CZ135" s="208">
        <v>0</v>
      </c>
      <c r="DA135" s="208">
        <v>0</v>
      </c>
      <c r="DB135" s="208">
        <v>0</v>
      </c>
      <c r="DC135" s="208">
        <v>0</v>
      </c>
      <c r="DD135" s="208">
        <v>0</v>
      </c>
      <c r="DE135" s="208">
        <v>0</v>
      </c>
      <c r="DF135" s="208">
        <v>0</v>
      </c>
      <c r="DG135" s="208">
        <v>0</v>
      </c>
      <c r="DH135" s="208">
        <v>0</v>
      </c>
      <c r="DI135" s="208">
        <v>0</v>
      </c>
      <c r="DJ135" s="208">
        <v>0</v>
      </c>
      <c r="DK135" s="208">
        <v>0</v>
      </c>
      <c r="DL135" s="222">
        <v>0</v>
      </c>
      <c r="DM135" s="214"/>
      <c r="DN135" s="214"/>
      <c r="DO135" s="227"/>
      <c r="DP135" s="217" t="s">
        <v>338</v>
      </c>
      <c r="DQ135" s="227">
        <v>0</v>
      </c>
      <c r="DR135" s="228">
        <v>0</v>
      </c>
      <c r="DS135" s="208">
        <v>0</v>
      </c>
      <c r="DT135" s="208">
        <v>0</v>
      </c>
      <c r="DU135" s="208">
        <v>0</v>
      </c>
      <c r="DV135" s="208">
        <v>0</v>
      </c>
      <c r="DW135" s="208">
        <v>0</v>
      </c>
      <c r="DX135" s="208">
        <v>0</v>
      </c>
      <c r="DY135" s="208">
        <v>0</v>
      </c>
      <c r="DZ135" s="208">
        <v>0</v>
      </c>
      <c r="EA135" s="208">
        <v>0</v>
      </c>
      <c r="EB135" s="208">
        <v>0</v>
      </c>
      <c r="EC135" s="208">
        <v>0</v>
      </c>
      <c r="ED135" s="208">
        <v>0</v>
      </c>
      <c r="EE135" s="208">
        <v>0</v>
      </c>
      <c r="EF135" s="208">
        <v>0</v>
      </c>
      <c r="EG135" s="208">
        <v>0</v>
      </c>
      <c r="EH135" s="208">
        <v>0</v>
      </c>
      <c r="EI135" s="208">
        <v>0</v>
      </c>
      <c r="EJ135" s="208">
        <v>0</v>
      </c>
      <c r="EK135" s="222">
        <v>0</v>
      </c>
      <c r="EL135" s="228"/>
      <c r="EM135" s="217" t="s">
        <v>338</v>
      </c>
      <c r="EN135" s="227">
        <v>0</v>
      </c>
      <c r="EO135" s="228">
        <v>0</v>
      </c>
      <c r="EP135" s="208">
        <v>0</v>
      </c>
      <c r="EQ135" s="208">
        <v>0</v>
      </c>
      <c r="ER135" s="208">
        <v>0</v>
      </c>
      <c r="ES135" s="208">
        <v>0</v>
      </c>
      <c r="ET135" s="208">
        <v>0</v>
      </c>
      <c r="EU135" s="208">
        <v>0</v>
      </c>
      <c r="EV135" s="208">
        <v>0</v>
      </c>
      <c r="EW135" s="208">
        <v>0</v>
      </c>
      <c r="EX135" s="208">
        <v>0</v>
      </c>
      <c r="EY135" s="208">
        <v>0</v>
      </c>
      <c r="EZ135" s="208">
        <v>0</v>
      </c>
      <c r="FA135" s="208">
        <v>0</v>
      </c>
      <c r="FB135" s="208">
        <v>0</v>
      </c>
      <c r="FC135" s="208">
        <v>0</v>
      </c>
      <c r="FD135" s="208">
        <v>0</v>
      </c>
      <c r="FE135" s="208">
        <v>0</v>
      </c>
      <c r="FF135" s="208">
        <v>0</v>
      </c>
      <c r="FG135" s="208">
        <v>0</v>
      </c>
      <c r="FH135" s="222">
        <v>0</v>
      </c>
    </row>
    <row r="136" spans="2:164" x14ac:dyDescent="0.2">
      <c r="B136" s="217" t="s">
        <v>339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2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2</v>
      </c>
      <c r="X136" s="209"/>
      <c r="Y136" s="217" t="s">
        <v>339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202.48129851861268</v>
      </c>
      <c r="AK136" s="255">
        <v>0</v>
      </c>
      <c r="AL136" s="255">
        <v>0</v>
      </c>
      <c r="AM136" s="255">
        <v>0</v>
      </c>
      <c r="AN136" s="255">
        <v>0</v>
      </c>
      <c r="AO136" s="255">
        <v>0</v>
      </c>
      <c r="AP136" s="255">
        <v>0</v>
      </c>
      <c r="AQ136" s="208">
        <v>0</v>
      </c>
      <c r="AR136" s="208">
        <v>0</v>
      </c>
      <c r="AS136" s="208">
        <v>0</v>
      </c>
      <c r="AT136" s="222">
        <v>202.48129851861268</v>
      </c>
      <c r="AV136" s="217" t="s">
        <v>339</v>
      </c>
      <c r="AW136" s="227">
        <v>0</v>
      </c>
      <c r="AX136" s="228">
        <v>0</v>
      </c>
      <c r="AY136" s="208">
        <v>0</v>
      </c>
      <c r="AZ136" s="208">
        <v>0</v>
      </c>
      <c r="BA136" s="208">
        <v>0</v>
      </c>
      <c r="BB136" s="208">
        <v>0</v>
      </c>
      <c r="BC136" s="208">
        <v>0</v>
      </c>
      <c r="BD136" s="208">
        <v>0</v>
      </c>
      <c r="BE136" s="208">
        <v>0</v>
      </c>
      <c r="BF136" s="208">
        <v>0</v>
      </c>
      <c r="BG136" s="208">
        <v>202.48129851861268</v>
      </c>
      <c r="BH136" s="255">
        <v>0</v>
      </c>
      <c r="BI136" s="255">
        <v>0</v>
      </c>
      <c r="BJ136" s="255">
        <v>0</v>
      </c>
      <c r="BK136" s="255">
        <v>0</v>
      </c>
      <c r="BL136" s="255">
        <v>0</v>
      </c>
      <c r="BM136" s="255">
        <v>0</v>
      </c>
      <c r="BN136" s="208">
        <v>0</v>
      </c>
      <c r="BO136" s="208">
        <v>0</v>
      </c>
      <c r="BP136" s="208">
        <v>0</v>
      </c>
      <c r="BQ136" s="230">
        <f t="shared" si="82"/>
        <v>202.48129851861268</v>
      </c>
      <c r="BR136" s="214"/>
      <c r="BS136" s="227"/>
      <c r="BT136" s="217" t="s">
        <v>339</v>
      </c>
      <c r="BU136" s="227">
        <v>0</v>
      </c>
      <c r="BV136" s="228">
        <v>0</v>
      </c>
      <c r="BW136" s="208">
        <v>0</v>
      </c>
      <c r="BX136" s="208">
        <v>0</v>
      </c>
      <c r="BY136" s="208">
        <v>0</v>
      </c>
      <c r="BZ136" s="208">
        <v>0</v>
      </c>
      <c r="CA136" s="208">
        <v>0</v>
      </c>
      <c r="CB136" s="208">
        <v>0</v>
      </c>
      <c r="CC136" s="208">
        <v>0</v>
      </c>
      <c r="CD136" s="208">
        <v>0</v>
      </c>
      <c r="CE136" s="208">
        <v>0</v>
      </c>
      <c r="CF136" s="208">
        <v>0</v>
      </c>
      <c r="CG136" s="208">
        <v>0</v>
      </c>
      <c r="CH136" s="208">
        <v>0</v>
      </c>
      <c r="CI136" s="208">
        <v>0</v>
      </c>
      <c r="CJ136" s="208">
        <v>0</v>
      </c>
      <c r="CK136" s="208">
        <v>0</v>
      </c>
      <c r="CL136" s="208">
        <v>0</v>
      </c>
      <c r="CM136" s="208">
        <v>0</v>
      </c>
      <c r="CN136" s="208">
        <v>0</v>
      </c>
      <c r="CO136" s="222">
        <v>0</v>
      </c>
      <c r="CP136" s="227"/>
      <c r="CQ136" s="217" t="s">
        <v>339</v>
      </c>
      <c r="CR136" s="227">
        <v>0</v>
      </c>
      <c r="CS136" s="228">
        <v>0</v>
      </c>
      <c r="CT136" s="208">
        <v>0</v>
      </c>
      <c r="CU136" s="208">
        <v>0</v>
      </c>
      <c r="CV136" s="208">
        <v>0</v>
      </c>
      <c r="CW136" s="208">
        <v>0</v>
      </c>
      <c r="CX136" s="208">
        <v>0</v>
      </c>
      <c r="CY136" s="208">
        <v>0</v>
      </c>
      <c r="CZ136" s="208">
        <v>0</v>
      </c>
      <c r="DA136" s="208">
        <v>0</v>
      </c>
      <c r="DB136" s="208">
        <v>0</v>
      </c>
      <c r="DC136" s="208">
        <v>0</v>
      </c>
      <c r="DD136" s="208">
        <v>0</v>
      </c>
      <c r="DE136" s="208">
        <v>0</v>
      </c>
      <c r="DF136" s="208">
        <v>0</v>
      </c>
      <c r="DG136" s="208">
        <v>0</v>
      </c>
      <c r="DH136" s="208">
        <v>0</v>
      </c>
      <c r="DI136" s="208">
        <v>0</v>
      </c>
      <c r="DJ136" s="208">
        <v>0</v>
      </c>
      <c r="DK136" s="208">
        <v>0</v>
      </c>
      <c r="DL136" s="222">
        <v>0</v>
      </c>
      <c r="DM136" s="214"/>
      <c r="DN136" s="214"/>
      <c r="DO136" s="227"/>
      <c r="DP136" s="217" t="s">
        <v>339</v>
      </c>
      <c r="DQ136" s="227">
        <v>0</v>
      </c>
      <c r="DR136" s="228">
        <v>0</v>
      </c>
      <c r="DS136" s="208">
        <v>0</v>
      </c>
      <c r="DT136" s="208">
        <v>0</v>
      </c>
      <c r="DU136" s="208">
        <v>0</v>
      </c>
      <c r="DV136" s="208">
        <v>0</v>
      </c>
      <c r="DW136" s="208">
        <v>0</v>
      </c>
      <c r="DX136" s="208">
        <v>0</v>
      </c>
      <c r="DY136" s="208">
        <v>0</v>
      </c>
      <c r="DZ136" s="208">
        <v>0</v>
      </c>
      <c r="EA136" s="208">
        <v>0</v>
      </c>
      <c r="EB136" s="208">
        <v>0</v>
      </c>
      <c r="EC136" s="208">
        <v>0</v>
      </c>
      <c r="ED136" s="208">
        <v>0</v>
      </c>
      <c r="EE136" s="208">
        <v>0</v>
      </c>
      <c r="EF136" s="208">
        <v>0</v>
      </c>
      <c r="EG136" s="208">
        <v>0</v>
      </c>
      <c r="EH136" s="208">
        <v>0</v>
      </c>
      <c r="EI136" s="208">
        <v>0</v>
      </c>
      <c r="EJ136" s="208">
        <v>0</v>
      </c>
      <c r="EK136" s="222">
        <v>0</v>
      </c>
      <c r="EL136" s="228"/>
      <c r="EM136" s="217" t="s">
        <v>339</v>
      </c>
      <c r="EN136" s="227">
        <v>0</v>
      </c>
      <c r="EO136" s="228">
        <v>0</v>
      </c>
      <c r="EP136" s="208">
        <v>0</v>
      </c>
      <c r="EQ136" s="208">
        <v>0</v>
      </c>
      <c r="ER136" s="208">
        <v>0</v>
      </c>
      <c r="ES136" s="208">
        <v>0</v>
      </c>
      <c r="ET136" s="208">
        <v>0</v>
      </c>
      <c r="EU136" s="208">
        <v>0</v>
      </c>
      <c r="EV136" s="208">
        <v>0</v>
      </c>
      <c r="EW136" s="208">
        <v>0</v>
      </c>
      <c r="EX136" s="208">
        <v>0</v>
      </c>
      <c r="EY136" s="208">
        <v>0</v>
      </c>
      <c r="EZ136" s="208">
        <v>0</v>
      </c>
      <c r="FA136" s="208">
        <v>0</v>
      </c>
      <c r="FB136" s="208">
        <v>0</v>
      </c>
      <c r="FC136" s="208">
        <v>0</v>
      </c>
      <c r="FD136" s="208">
        <v>0</v>
      </c>
      <c r="FE136" s="208">
        <v>0</v>
      </c>
      <c r="FF136" s="208">
        <v>0</v>
      </c>
      <c r="FG136" s="208">
        <v>0</v>
      </c>
      <c r="FH136" s="222">
        <v>0</v>
      </c>
    </row>
    <row r="137" spans="2:164" x14ac:dyDescent="0.2">
      <c r="B137" s="217" t="s">
        <v>340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340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55">
        <v>0</v>
      </c>
      <c r="AF137" s="255">
        <v>0</v>
      </c>
      <c r="AG137" s="255">
        <v>0</v>
      </c>
      <c r="AH137" s="255">
        <v>0</v>
      </c>
      <c r="AI137" s="255">
        <v>0</v>
      </c>
      <c r="AJ137" s="255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340</v>
      </c>
      <c r="AW137" s="227">
        <v>0</v>
      </c>
      <c r="AX137" s="228">
        <v>0</v>
      </c>
      <c r="AY137" s="208">
        <v>0</v>
      </c>
      <c r="AZ137" s="208">
        <v>0</v>
      </c>
      <c r="BA137" s="208">
        <v>0</v>
      </c>
      <c r="BB137" s="255">
        <v>0</v>
      </c>
      <c r="BC137" s="255">
        <v>0</v>
      </c>
      <c r="BD137" s="255">
        <v>0</v>
      </c>
      <c r="BE137" s="255">
        <v>0</v>
      </c>
      <c r="BF137" s="255">
        <v>0</v>
      </c>
      <c r="BG137" s="255">
        <v>0</v>
      </c>
      <c r="BH137" s="208">
        <v>0</v>
      </c>
      <c r="BI137" s="208">
        <v>0</v>
      </c>
      <c r="BJ137" s="208">
        <v>0</v>
      </c>
      <c r="BK137" s="208">
        <v>0</v>
      </c>
      <c r="BL137" s="208">
        <v>0</v>
      </c>
      <c r="BM137" s="208">
        <v>0</v>
      </c>
      <c r="BN137" s="208">
        <v>0</v>
      </c>
      <c r="BO137" s="208">
        <v>0</v>
      </c>
      <c r="BP137" s="208">
        <v>0</v>
      </c>
      <c r="BQ137" s="230">
        <f t="shared" si="82"/>
        <v>0</v>
      </c>
      <c r="BR137" s="214"/>
      <c r="BS137" s="227"/>
      <c r="BT137" s="217" t="s">
        <v>340</v>
      </c>
      <c r="BU137" s="227">
        <v>0</v>
      </c>
      <c r="BV137" s="228">
        <v>0</v>
      </c>
      <c r="BW137" s="208">
        <v>0</v>
      </c>
      <c r="BX137" s="208">
        <v>0</v>
      </c>
      <c r="BY137" s="208">
        <v>0</v>
      </c>
      <c r="BZ137" s="208">
        <v>0</v>
      </c>
      <c r="CA137" s="208">
        <v>0</v>
      </c>
      <c r="CB137" s="208">
        <v>0</v>
      </c>
      <c r="CC137" s="208">
        <v>0</v>
      </c>
      <c r="CD137" s="208">
        <v>0</v>
      </c>
      <c r="CE137" s="208">
        <v>0</v>
      </c>
      <c r="CF137" s="208">
        <v>0</v>
      </c>
      <c r="CG137" s="208">
        <v>0</v>
      </c>
      <c r="CH137" s="208">
        <v>0</v>
      </c>
      <c r="CI137" s="208">
        <v>0</v>
      </c>
      <c r="CJ137" s="208">
        <v>0</v>
      </c>
      <c r="CK137" s="208">
        <v>0</v>
      </c>
      <c r="CL137" s="208">
        <v>0</v>
      </c>
      <c r="CM137" s="208">
        <v>0</v>
      </c>
      <c r="CN137" s="208">
        <v>0</v>
      </c>
      <c r="CO137" s="222">
        <v>0</v>
      </c>
      <c r="CP137" s="227"/>
      <c r="CQ137" s="217" t="s">
        <v>340</v>
      </c>
      <c r="CR137" s="227">
        <v>0</v>
      </c>
      <c r="CS137" s="228">
        <v>0</v>
      </c>
      <c r="CT137" s="208">
        <v>0</v>
      </c>
      <c r="CU137" s="208">
        <v>0</v>
      </c>
      <c r="CV137" s="208">
        <v>0</v>
      </c>
      <c r="CW137" s="208">
        <v>0</v>
      </c>
      <c r="CX137" s="208">
        <v>0</v>
      </c>
      <c r="CY137" s="208">
        <v>0</v>
      </c>
      <c r="CZ137" s="208">
        <v>0</v>
      </c>
      <c r="DA137" s="208">
        <v>0</v>
      </c>
      <c r="DB137" s="208">
        <v>0</v>
      </c>
      <c r="DC137" s="208">
        <v>0</v>
      </c>
      <c r="DD137" s="208">
        <v>0</v>
      </c>
      <c r="DE137" s="208">
        <v>0</v>
      </c>
      <c r="DF137" s="208">
        <v>0</v>
      </c>
      <c r="DG137" s="208">
        <v>0</v>
      </c>
      <c r="DH137" s="208">
        <v>0</v>
      </c>
      <c r="DI137" s="208">
        <v>0</v>
      </c>
      <c r="DJ137" s="208">
        <v>0</v>
      </c>
      <c r="DK137" s="208">
        <v>0</v>
      </c>
      <c r="DL137" s="222">
        <v>0</v>
      </c>
      <c r="DM137" s="214"/>
      <c r="DN137" s="214"/>
      <c r="DO137" s="227"/>
      <c r="DP137" s="217" t="s">
        <v>340</v>
      </c>
      <c r="DQ137" s="227">
        <v>0</v>
      </c>
      <c r="DR137" s="228">
        <v>0</v>
      </c>
      <c r="DS137" s="208">
        <v>0</v>
      </c>
      <c r="DT137" s="208">
        <v>0</v>
      </c>
      <c r="DU137" s="208">
        <v>0</v>
      </c>
      <c r="DV137" s="208">
        <v>0</v>
      </c>
      <c r="DW137" s="208">
        <v>0</v>
      </c>
      <c r="DX137" s="208">
        <v>0</v>
      </c>
      <c r="DY137" s="208">
        <v>0</v>
      </c>
      <c r="DZ137" s="208">
        <v>0</v>
      </c>
      <c r="EA137" s="208">
        <v>0</v>
      </c>
      <c r="EB137" s="208">
        <v>0</v>
      </c>
      <c r="EC137" s="208">
        <v>0</v>
      </c>
      <c r="ED137" s="208">
        <v>0</v>
      </c>
      <c r="EE137" s="208">
        <v>0</v>
      </c>
      <c r="EF137" s="208">
        <v>0</v>
      </c>
      <c r="EG137" s="208">
        <v>0</v>
      </c>
      <c r="EH137" s="208">
        <v>0</v>
      </c>
      <c r="EI137" s="208">
        <v>0</v>
      </c>
      <c r="EJ137" s="208">
        <v>0</v>
      </c>
      <c r="EK137" s="222">
        <v>0</v>
      </c>
      <c r="EL137" s="228"/>
      <c r="EM137" s="217" t="s">
        <v>340</v>
      </c>
      <c r="EN137" s="227">
        <v>0</v>
      </c>
      <c r="EO137" s="228">
        <v>0</v>
      </c>
      <c r="EP137" s="208">
        <v>0</v>
      </c>
      <c r="EQ137" s="208">
        <v>0</v>
      </c>
      <c r="ER137" s="208">
        <v>0</v>
      </c>
      <c r="ES137" s="208">
        <v>0</v>
      </c>
      <c r="ET137" s="208">
        <v>0</v>
      </c>
      <c r="EU137" s="208">
        <v>0</v>
      </c>
      <c r="EV137" s="208">
        <v>0</v>
      </c>
      <c r="EW137" s="208">
        <v>0</v>
      </c>
      <c r="EX137" s="208">
        <v>0</v>
      </c>
      <c r="EY137" s="208">
        <v>0</v>
      </c>
      <c r="EZ137" s="208">
        <v>0</v>
      </c>
      <c r="FA137" s="208">
        <v>0</v>
      </c>
      <c r="FB137" s="208">
        <v>0</v>
      </c>
      <c r="FC137" s="208">
        <v>0</v>
      </c>
      <c r="FD137" s="208">
        <v>0</v>
      </c>
      <c r="FE137" s="208">
        <v>0</v>
      </c>
      <c r="FF137" s="208">
        <v>0</v>
      </c>
      <c r="FG137" s="208">
        <v>0</v>
      </c>
      <c r="FH137" s="222">
        <v>0</v>
      </c>
    </row>
    <row r="138" spans="2:164" x14ac:dyDescent="0.2">
      <c r="B138" s="217" t="s">
        <v>361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361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55">
        <v>0</v>
      </c>
      <c r="AF138" s="255">
        <v>0</v>
      </c>
      <c r="AG138" s="255">
        <v>0</v>
      </c>
      <c r="AH138" s="255">
        <v>0</v>
      </c>
      <c r="AI138" s="255">
        <v>0</v>
      </c>
      <c r="AJ138" s="255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361</v>
      </c>
      <c r="AW138" s="227">
        <v>0</v>
      </c>
      <c r="AX138" s="228">
        <v>0</v>
      </c>
      <c r="AY138" s="208">
        <v>0</v>
      </c>
      <c r="AZ138" s="208">
        <v>0</v>
      </c>
      <c r="BA138" s="208">
        <v>0</v>
      </c>
      <c r="BB138" s="255">
        <v>0</v>
      </c>
      <c r="BC138" s="255">
        <v>0</v>
      </c>
      <c r="BD138" s="255">
        <v>0</v>
      </c>
      <c r="BE138" s="255">
        <v>0</v>
      </c>
      <c r="BF138" s="255">
        <v>0</v>
      </c>
      <c r="BG138" s="255">
        <v>0</v>
      </c>
      <c r="BH138" s="208">
        <v>0</v>
      </c>
      <c r="BI138" s="208">
        <v>0</v>
      </c>
      <c r="BJ138" s="208">
        <v>0</v>
      </c>
      <c r="BK138" s="208">
        <v>0</v>
      </c>
      <c r="BL138" s="208">
        <v>0</v>
      </c>
      <c r="BM138" s="208">
        <v>0</v>
      </c>
      <c r="BN138" s="208">
        <v>0</v>
      </c>
      <c r="BO138" s="208">
        <v>0</v>
      </c>
      <c r="BP138" s="208">
        <v>0</v>
      </c>
      <c r="BQ138" s="230">
        <f t="shared" si="82"/>
        <v>0</v>
      </c>
      <c r="BR138" s="214"/>
      <c r="BS138" s="227"/>
      <c r="BT138" s="217" t="s">
        <v>361</v>
      </c>
      <c r="BU138" s="227">
        <v>0</v>
      </c>
      <c r="BV138" s="228">
        <v>0</v>
      </c>
      <c r="BW138" s="208">
        <v>0</v>
      </c>
      <c r="BX138" s="208">
        <v>0</v>
      </c>
      <c r="BY138" s="208">
        <v>0</v>
      </c>
      <c r="BZ138" s="208">
        <v>0</v>
      </c>
      <c r="CA138" s="208">
        <v>0</v>
      </c>
      <c r="CB138" s="208">
        <v>0</v>
      </c>
      <c r="CC138" s="208">
        <v>0</v>
      </c>
      <c r="CD138" s="208">
        <v>0</v>
      </c>
      <c r="CE138" s="208">
        <v>0</v>
      </c>
      <c r="CF138" s="208">
        <v>0</v>
      </c>
      <c r="CG138" s="208">
        <v>0</v>
      </c>
      <c r="CH138" s="208">
        <v>0</v>
      </c>
      <c r="CI138" s="208">
        <v>0</v>
      </c>
      <c r="CJ138" s="208">
        <v>0</v>
      </c>
      <c r="CK138" s="208">
        <v>0</v>
      </c>
      <c r="CL138" s="208">
        <v>0</v>
      </c>
      <c r="CM138" s="208">
        <v>0</v>
      </c>
      <c r="CN138" s="208">
        <v>0</v>
      </c>
      <c r="CO138" s="222">
        <v>0</v>
      </c>
      <c r="CP138" s="227"/>
      <c r="CQ138" s="217" t="s">
        <v>361</v>
      </c>
      <c r="CR138" s="227">
        <v>0</v>
      </c>
      <c r="CS138" s="228">
        <v>0</v>
      </c>
      <c r="CT138" s="208">
        <v>0</v>
      </c>
      <c r="CU138" s="208">
        <v>0</v>
      </c>
      <c r="CV138" s="208">
        <v>0</v>
      </c>
      <c r="CW138" s="208">
        <v>0</v>
      </c>
      <c r="CX138" s="208">
        <v>0</v>
      </c>
      <c r="CY138" s="208">
        <v>0</v>
      </c>
      <c r="CZ138" s="208">
        <v>0</v>
      </c>
      <c r="DA138" s="208">
        <v>0</v>
      </c>
      <c r="DB138" s="208">
        <v>0</v>
      </c>
      <c r="DC138" s="208">
        <v>0</v>
      </c>
      <c r="DD138" s="208">
        <v>0</v>
      </c>
      <c r="DE138" s="208">
        <v>0</v>
      </c>
      <c r="DF138" s="208">
        <v>0</v>
      </c>
      <c r="DG138" s="208">
        <v>0</v>
      </c>
      <c r="DH138" s="208">
        <v>0</v>
      </c>
      <c r="DI138" s="208">
        <v>0</v>
      </c>
      <c r="DJ138" s="208">
        <v>0</v>
      </c>
      <c r="DK138" s="208">
        <v>0</v>
      </c>
      <c r="DL138" s="222">
        <v>0</v>
      </c>
      <c r="DM138" s="214"/>
      <c r="DN138" s="214"/>
      <c r="DO138" s="227"/>
      <c r="DP138" s="217" t="s">
        <v>361</v>
      </c>
      <c r="DQ138" s="227">
        <v>0</v>
      </c>
      <c r="DR138" s="228">
        <v>0</v>
      </c>
      <c r="DS138" s="208">
        <v>0</v>
      </c>
      <c r="DT138" s="208">
        <v>0</v>
      </c>
      <c r="DU138" s="208">
        <v>0</v>
      </c>
      <c r="DV138" s="208">
        <v>0</v>
      </c>
      <c r="DW138" s="208">
        <v>0</v>
      </c>
      <c r="DX138" s="208">
        <v>0</v>
      </c>
      <c r="DY138" s="208">
        <v>0</v>
      </c>
      <c r="DZ138" s="208">
        <v>0</v>
      </c>
      <c r="EA138" s="208">
        <v>0</v>
      </c>
      <c r="EB138" s="208">
        <v>0</v>
      </c>
      <c r="EC138" s="208">
        <v>0</v>
      </c>
      <c r="ED138" s="208">
        <v>0</v>
      </c>
      <c r="EE138" s="208">
        <v>0</v>
      </c>
      <c r="EF138" s="208">
        <v>0</v>
      </c>
      <c r="EG138" s="208">
        <v>0</v>
      </c>
      <c r="EH138" s="208">
        <v>0</v>
      </c>
      <c r="EI138" s="208">
        <v>0</v>
      </c>
      <c r="EJ138" s="208">
        <v>0</v>
      </c>
      <c r="EK138" s="222">
        <v>0</v>
      </c>
      <c r="EL138" s="228"/>
      <c r="EM138" s="217" t="s">
        <v>361</v>
      </c>
      <c r="EN138" s="227">
        <v>0</v>
      </c>
      <c r="EO138" s="228">
        <v>0</v>
      </c>
      <c r="EP138" s="208">
        <v>0</v>
      </c>
      <c r="EQ138" s="208">
        <v>0</v>
      </c>
      <c r="ER138" s="208">
        <v>0</v>
      </c>
      <c r="ES138" s="208">
        <v>0</v>
      </c>
      <c r="ET138" s="208">
        <v>0</v>
      </c>
      <c r="EU138" s="208">
        <v>0</v>
      </c>
      <c r="EV138" s="208">
        <v>0</v>
      </c>
      <c r="EW138" s="208">
        <v>0</v>
      </c>
      <c r="EX138" s="208">
        <v>0</v>
      </c>
      <c r="EY138" s="208">
        <v>0</v>
      </c>
      <c r="EZ138" s="208">
        <v>0</v>
      </c>
      <c r="FA138" s="208">
        <v>0</v>
      </c>
      <c r="FB138" s="208">
        <v>0</v>
      </c>
      <c r="FC138" s="208">
        <v>0</v>
      </c>
      <c r="FD138" s="208">
        <v>0</v>
      </c>
      <c r="FE138" s="208">
        <v>0</v>
      </c>
      <c r="FF138" s="208">
        <v>0</v>
      </c>
      <c r="FG138" s="208">
        <v>0</v>
      </c>
      <c r="FH138" s="222">
        <v>0</v>
      </c>
    </row>
    <row r="139" spans="2:164" x14ac:dyDescent="0.2">
      <c r="B139" s="234" t="s">
        <v>350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0</v>
      </c>
      <c r="S139" s="208">
        <v>0</v>
      </c>
      <c r="T139" s="208">
        <v>0</v>
      </c>
      <c r="U139" s="208">
        <v>0</v>
      </c>
      <c r="V139" s="208">
        <v>0</v>
      </c>
      <c r="W139" s="222">
        <v>0</v>
      </c>
      <c r="X139" s="208"/>
      <c r="Y139" s="217" t="s">
        <v>350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55">
        <v>0</v>
      </c>
      <c r="AF139" s="255">
        <v>0</v>
      </c>
      <c r="AG139" s="255">
        <v>0</v>
      </c>
      <c r="AH139" s="255">
        <v>0</v>
      </c>
      <c r="AI139" s="255">
        <v>0</v>
      </c>
      <c r="AJ139" s="255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0</v>
      </c>
      <c r="AP139" s="208">
        <v>0</v>
      </c>
      <c r="AQ139" s="208">
        <v>0</v>
      </c>
      <c r="AR139" s="208">
        <v>0</v>
      </c>
      <c r="AS139" s="208">
        <v>0</v>
      </c>
      <c r="AT139" s="222">
        <v>0</v>
      </c>
      <c r="AV139" s="217" t="s">
        <v>350</v>
      </c>
      <c r="AW139" s="227">
        <v>0</v>
      </c>
      <c r="AX139" s="228">
        <v>0</v>
      </c>
      <c r="AY139" s="208">
        <v>0</v>
      </c>
      <c r="AZ139" s="208">
        <v>0</v>
      </c>
      <c r="BA139" s="208">
        <v>0</v>
      </c>
      <c r="BB139" s="255">
        <v>0</v>
      </c>
      <c r="BC139" s="255">
        <v>0</v>
      </c>
      <c r="BD139" s="255">
        <v>0</v>
      </c>
      <c r="BE139" s="255">
        <v>0</v>
      </c>
      <c r="BF139" s="255">
        <v>0</v>
      </c>
      <c r="BG139" s="255">
        <v>0</v>
      </c>
      <c r="BH139" s="208">
        <v>0</v>
      </c>
      <c r="BI139" s="208">
        <v>0</v>
      </c>
      <c r="BJ139" s="208">
        <v>0</v>
      </c>
      <c r="BK139" s="208">
        <v>0</v>
      </c>
      <c r="BL139" s="208">
        <v>0</v>
      </c>
      <c r="BM139" s="208">
        <v>0</v>
      </c>
      <c r="BN139" s="208">
        <v>0</v>
      </c>
      <c r="BO139" s="208">
        <v>0</v>
      </c>
      <c r="BP139" s="208">
        <v>0</v>
      </c>
      <c r="BQ139" s="230">
        <f t="shared" si="82"/>
        <v>0</v>
      </c>
      <c r="BR139" s="214"/>
      <c r="BS139" s="227"/>
      <c r="BT139" s="234" t="s">
        <v>350</v>
      </c>
      <c r="BU139" s="227">
        <v>0</v>
      </c>
      <c r="BV139" s="228">
        <v>0</v>
      </c>
      <c r="BW139" s="208">
        <v>0</v>
      </c>
      <c r="BX139" s="208">
        <v>0</v>
      </c>
      <c r="BY139" s="208">
        <v>0</v>
      </c>
      <c r="BZ139" s="208">
        <v>0</v>
      </c>
      <c r="CA139" s="208">
        <v>0</v>
      </c>
      <c r="CB139" s="208">
        <v>0</v>
      </c>
      <c r="CC139" s="208">
        <v>0</v>
      </c>
      <c r="CD139" s="208">
        <v>0</v>
      </c>
      <c r="CE139" s="208">
        <v>0</v>
      </c>
      <c r="CF139" s="208">
        <v>0</v>
      </c>
      <c r="CG139" s="208">
        <v>0</v>
      </c>
      <c r="CH139" s="208">
        <v>0</v>
      </c>
      <c r="CI139" s="208">
        <v>0</v>
      </c>
      <c r="CJ139" s="208">
        <v>0</v>
      </c>
      <c r="CK139" s="208">
        <v>0</v>
      </c>
      <c r="CL139" s="208">
        <v>0</v>
      </c>
      <c r="CM139" s="208">
        <v>0</v>
      </c>
      <c r="CN139" s="208">
        <v>0</v>
      </c>
      <c r="CO139" s="222">
        <v>0</v>
      </c>
      <c r="CP139" s="227"/>
      <c r="CQ139" s="234" t="s">
        <v>350</v>
      </c>
      <c r="CR139" s="227">
        <v>0</v>
      </c>
      <c r="CS139" s="228">
        <v>0</v>
      </c>
      <c r="CT139" s="208">
        <v>0</v>
      </c>
      <c r="CU139" s="208">
        <v>0</v>
      </c>
      <c r="CV139" s="208">
        <v>0</v>
      </c>
      <c r="CW139" s="208">
        <v>0</v>
      </c>
      <c r="CX139" s="208">
        <v>0</v>
      </c>
      <c r="CY139" s="208">
        <v>0</v>
      </c>
      <c r="CZ139" s="208">
        <v>0</v>
      </c>
      <c r="DA139" s="208">
        <v>0</v>
      </c>
      <c r="DB139" s="208">
        <v>0</v>
      </c>
      <c r="DC139" s="208">
        <v>0</v>
      </c>
      <c r="DD139" s="208">
        <v>0</v>
      </c>
      <c r="DE139" s="208">
        <v>0</v>
      </c>
      <c r="DF139" s="208">
        <v>0</v>
      </c>
      <c r="DG139" s="208">
        <v>0</v>
      </c>
      <c r="DH139" s="208">
        <v>0</v>
      </c>
      <c r="DI139" s="208">
        <v>0</v>
      </c>
      <c r="DJ139" s="208">
        <v>0</v>
      </c>
      <c r="DK139" s="208">
        <v>0</v>
      </c>
      <c r="DL139" s="222">
        <v>0</v>
      </c>
      <c r="DM139" s="214"/>
      <c r="DN139" s="214"/>
      <c r="DO139" s="227"/>
      <c r="DP139" s="234" t="s">
        <v>350</v>
      </c>
      <c r="DQ139" s="227">
        <v>0</v>
      </c>
      <c r="DR139" s="228">
        <v>0</v>
      </c>
      <c r="DS139" s="208">
        <v>0</v>
      </c>
      <c r="DT139" s="208">
        <v>0</v>
      </c>
      <c r="DU139" s="208">
        <v>0</v>
      </c>
      <c r="DV139" s="208">
        <v>0</v>
      </c>
      <c r="DW139" s="208">
        <v>0</v>
      </c>
      <c r="DX139" s="208">
        <v>0</v>
      </c>
      <c r="DY139" s="208">
        <v>0</v>
      </c>
      <c r="DZ139" s="208">
        <v>0</v>
      </c>
      <c r="EA139" s="208">
        <v>0</v>
      </c>
      <c r="EB139" s="208">
        <v>0</v>
      </c>
      <c r="EC139" s="208">
        <v>0</v>
      </c>
      <c r="ED139" s="208">
        <v>0</v>
      </c>
      <c r="EE139" s="208">
        <v>0</v>
      </c>
      <c r="EF139" s="208">
        <v>0</v>
      </c>
      <c r="EG139" s="208">
        <v>0</v>
      </c>
      <c r="EH139" s="208">
        <v>0</v>
      </c>
      <c r="EI139" s="208">
        <v>0</v>
      </c>
      <c r="EJ139" s="208">
        <v>0</v>
      </c>
      <c r="EK139" s="222">
        <v>0</v>
      </c>
      <c r="EL139" s="228"/>
      <c r="EM139" s="234" t="s">
        <v>350</v>
      </c>
      <c r="EN139" s="227">
        <v>0</v>
      </c>
      <c r="EO139" s="228">
        <v>0</v>
      </c>
      <c r="EP139" s="208">
        <v>0</v>
      </c>
      <c r="EQ139" s="208">
        <v>0</v>
      </c>
      <c r="ER139" s="208">
        <v>0</v>
      </c>
      <c r="ES139" s="208">
        <v>0</v>
      </c>
      <c r="ET139" s="208">
        <v>0</v>
      </c>
      <c r="EU139" s="208">
        <v>0</v>
      </c>
      <c r="EV139" s="208">
        <v>0</v>
      </c>
      <c r="EW139" s="208">
        <v>0</v>
      </c>
      <c r="EX139" s="208">
        <v>0</v>
      </c>
      <c r="EY139" s="208">
        <v>0</v>
      </c>
      <c r="EZ139" s="208">
        <v>0</v>
      </c>
      <c r="FA139" s="208">
        <v>0</v>
      </c>
      <c r="FB139" s="208">
        <v>0</v>
      </c>
      <c r="FC139" s="208">
        <v>0</v>
      </c>
      <c r="FD139" s="208">
        <v>0</v>
      </c>
      <c r="FE139" s="208">
        <v>0</v>
      </c>
      <c r="FF139" s="208">
        <v>0</v>
      </c>
      <c r="FG139" s="208">
        <v>0</v>
      </c>
      <c r="FH139" s="222">
        <v>0</v>
      </c>
    </row>
    <row r="140" spans="2:164" x14ac:dyDescent="0.2">
      <c r="B140" s="217" t="s">
        <v>341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341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55">
        <v>0</v>
      </c>
      <c r="AF140" s="255">
        <v>0</v>
      </c>
      <c r="AG140" s="255">
        <v>0</v>
      </c>
      <c r="AH140" s="255">
        <v>0</v>
      </c>
      <c r="AI140" s="255">
        <v>0</v>
      </c>
      <c r="AJ140" s="255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341</v>
      </c>
      <c r="AW140" s="227">
        <v>0</v>
      </c>
      <c r="AX140" s="228">
        <v>0</v>
      </c>
      <c r="AY140" s="208">
        <v>0</v>
      </c>
      <c r="AZ140" s="208">
        <v>0</v>
      </c>
      <c r="BA140" s="208">
        <v>0</v>
      </c>
      <c r="BB140" s="255">
        <v>0</v>
      </c>
      <c r="BC140" s="255">
        <v>0</v>
      </c>
      <c r="BD140" s="255">
        <v>0</v>
      </c>
      <c r="BE140" s="255">
        <v>0</v>
      </c>
      <c r="BF140" s="255">
        <v>0</v>
      </c>
      <c r="BG140" s="255">
        <v>0</v>
      </c>
      <c r="BH140" s="208">
        <v>0</v>
      </c>
      <c r="BI140" s="208">
        <v>0</v>
      </c>
      <c r="BJ140" s="208">
        <v>0</v>
      </c>
      <c r="BK140" s="208">
        <v>0</v>
      </c>
      <c r="BL140" s="208">
        <v>0</v>
      </c>
      <c r="BM140" s="208">
        <v>0</v>
      </c>
      <c r="BN140" s="208">
        <v>0</v>
      </c>
      <c r="BO140" s="208">
        <v>0</v>
      </c>
      <c r="BP140" s="208">
        <v>0</v>
      </c>
      <c r="BQ140" s="230">
        <f t="shared" si="82"/>
        <v>0</v>
      </c>
      <c r="BR140" s="214"/>
      <c r="BS140" s="227"/>
      <c r="BT140" s="217" t="s">
        <v>341</v>
      </c>
      <c r="BU140" s="227">
        <v>0</v>
      </c>
      <c r="BV140" s="228">
        <v>0</v>
      </c>
      <c r="BW140" s="208">
        <v>0</v>
      </c>
      <c r="BX140" s="208">
        <v>0</v>
      </c>
      <c r="BY140" s="208">
        <v>0</v>
      </c>
      <c r="BZ140" s="208">
        <v>0</v>
      </c>
      <c r="CA140" s="208">
        <v>0</v>
      </c>
      <c r="CB140" s="208">
        <v>0</v>
      </c>
      <c r="CC140" s="208">
        <v>0</v>
      </c>
      <c r="CD140" s="208">
        <v>0</v>
      </c>
      <c r="CE140" s="208">
        <v>0</v>
      </c>
      <c r="CF140" s="208">
        <v>0</v>
      </c>
      <c r="CG140" s="208">
        <v>0</v>
      </c>
      <c r="CH140" s="208">
        <v>0</v>
      </c>
      <c r="CI140" s="208">
        <v>0</v>
      </c>
      <c r="CJ140" s="208">
        <v>0</v>
      </c>
      <c r="CK140" s="208">
        <v>0</v>
      </c>
      <c r="CL140" s="208">
        <v>0</v>
      </c>
      <c r="CM140" s="208">
        <v>0</v>
      </c>
      <c r="CN140" s="208">
        <v>0</v>
      </c>
      <c r="CO140" s="222">
        <v>0</v>
      </c>
      <c r="CP140" s="227"/>
      <c r="CQ140" s="217" t="s">
        <v>341</v>
      </c>
      <c r="CR140" s="227">
        <v>0</v>
      </c>
      <c r="CS140" s="228">
        <v>0</v>
      </c>
      <c r="CT140" s="208">
        <v>0</v>
      </c>
      <c r="CU140" s="208">
        <v>0</v>
      </c>
      <c r="CV140" s="208">
        <v>0</v>
      </c>
      <c r="CW140" s="208">
        <v>0</v>
      </c>
      <c r="CX140" s="208">
        <v>0</v>
      </c>
      <c r="CY140" s="208">
        <v>0</v>
      </c>
      <c r="CZ140" s="208">
        <v>0</v>
      </c>
      <c r="DA140" s="208">
        <v>0</v>
      </c>
      <c r="DB140" s="208">
        <v>0</v>
      </c>
      <c r="DC140" s="208">
        <v>0</v>
      </c>
      <c r="DD140" s="208">
        <v>0</v>
      </c>
      <c r="DE140" s="208">
        <v>0</v>
      </c>
      <c r="DF140" s="208">
        <v>0</v>
      </c>
      <c r="DG140" s="208">
        <v>0</v>
      </c>
      <c r="DH140" s="208">
        <v>0</v>
      </c>
      <c r="DI140" s="208">
        <v>0</v>
      </c>
      <c r="DJ140" s="208">
        <v>0</v>
      </c>
      <c r="DK140" s="208">
        <v>0</v>
      </c>
      <c r="DL140" s="222">
        <v>0</v>
      </c>
      <c r="DM140" s="214"/>
      <c r="DN140" s="214"/>
      <c r="DO140" s="227"/>
      <c r="DP140" s="217" t="s">
        <v>341</v>
      </c>
      <c r="DQ140" s="227">
        <v>0</v>
      </c>
      <c r="DR140" s="228">
        <v>0</v>
      </c>
      <c r="DS140" s="208">
        <v>0</v>
      </c>
      <c r="DT140" s="208">
        <v>0</v>
      </c>
      <c r="DU140" s="208">
        <v>0</v>
      </c>
      <c r="DV140" s="208">
        <v>0</v>
      </c>
      <c r="DW140" s="208">
        <v>0</v>
      </c>
      <c r="DX140" s="208">
        <v>0</v>
      </c>
      <c r="DY140" s="208">
        <v>0</v>
      </c>
      <c r="DZ140" s="208">
        <v>0</v>
      </c>
      <c r="EA140" s="208">
        <v>0</v>
      </c>
      <c r="EB140" s="208">
        <v>0</v>
      </c>
      <c r="EC140" s="208">
        <v>0</v>
      </c>
      <c r="ED140" s="208">
        <v>0</v>
      </c>
      <c r="EE140" s="208">
        <v>0</v>
      </c>
      <c r="EF140" s="208">
        <v>0</v>
      </c>
      <c r="EG140" s="208">
        <v>0</v>
      </c>
      <c r="EH140" s="208">
        <v>0</v>
      </c>
      <c r="EI140" s="208">
        <v>0</v>
      </c>
      <c r="EJ140" s="208">
        <v>0</v>
      </c>
      <c r="EK140" s="222">
        <v>0</v>
      </c>
      <c r="EL140" s="228"/>
      <c r="EM140" s="217" t="s">
        <v>341</v>
      </c>
      <c r="EN140" s="227">
        <v>0</v>
      </c>
      <c r="EO140" s="228">
        <v>0</v>
      </c>
      <c r="EP140" s="208">
        <v>0</v>
      </c>
      <c r="EQ140" s="208">
        <v>0</v>
      </c>
      <c r="ER140" s="208">
        <v>0</v>
      </c>
      <c r="ES140" s="208">
        <v>0</v>
      </c>
      <c r="ET140" s="208">
        <v>0</v>
      </c>
      <c r="EU140" s="208">
        <v>0</v>
      </c>
      <c r="EV140" s="208">
        <v>0</v>
      </c>
      <c r="EW140" s="208">
        <v>0</v>
      </c>
      <c r="EX140" s="208">
        <v>0</v>
      </c>
      <c r="EY140" s="208">
        <v>0</v>
      </c>
      <c r="EZ140" s="208">
        <v>0</v>
      </c>
      <c r="FA140" s="208">
        <v>0</v>
      </c>
      <c r="FB140" s="208">
        <v>0</v>
      </c>
      <c r="FC140" s="208">
        <v>0</v>
      </c>
      <c r="FD140" s="208">
        <v>0</v>
      </c>
      <c r="FE140" s="208">
        <v>0</v>
      </c>
      <c r="FF140" s="208">
        <v>0</v>
      </c>
      <c r="FG140" s="208">
        <v>0</v>
      </c>
      <c r="FH140" s="222">
        <v>0</v>
      </c>
    </row>
    <row r="141" spans="2:164" x14ac:dyDescent="0.2">
      <c r="B141" s="217" t="s">
        <v>342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3</v>
      </c>
      <c r="S141" s="208">
        <v>0</v>
      </c>
      <c r="T141" s="208">
        <v>0</v>
      </c>
      <c r="U141" s="208">
        <v>0</v>
      </c>
      <c r="V141" s="208">
        <v>0</v>
      </c>
      <c r="W141" s="222">
        <v>3</v>
      </c>
      <c r="X141" s="209"/>
      <c r="Y141" s="217" t="s">
        <v>342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55">
        <v>0</v>
      </c>
      <c r="AF141" s="255">
        <v>0</v>
      </c>
      <c r="AG141" s="255">
        <v>0</v>
      </c>
      <c r="AH141" s="255">
        <v>0</v>
      </c>
      <c r="AI141" s="255">
        <v>0</v>
      </c>
      <c r="AJ141" s="255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2803.1833207230638</v>
      </c>
      <c r="AP141" s="208">
        <v>0</v>
      </c>
      <c r="AQ141" s="208">
        <v>0</v>
      </c>
      <c r="AR141" s="208">
        <v>0</v>
      </c>
      <c r="AS141" s="208">
        <v>0</v>
      </c>
      <c r="AT141" s="222">
        <v>2803.1833207230638</v>
      </c>
      <c r="AV141" s="217" t="s">
        <v>342</v>
      </c>
      <c r="AW141" s="227">
        <v>0</v>
      </c>
      <c r="AX141" s="228">
        <v>0</v>
      </c>
      <c r="AY141" s="208">
        <v>0</v>
      </c>
      <c r="AZ141" s="208">
        <v>0</v>
      </c>
      <c r="BA141" s="208">
        <v>0</v>
      </c>
      <c r="BB141" s="255">
        <v>0</v>
      </c>
      <c r="BC141" s="255">
        <v>0</v>
      </c>
      <c r="BD141" s="255">
        <v>0</v>
      </c>
      <c r="BE141" s="255">
        <v>0</v>
      </c>
      <c r="BF141" s="255">
        <v>0</v>
      </c>
      <c r="BG141" s="255">
        <v>0</v>
      </c>
      <c r="BH141" s="208">
        <v>0</v>
      </c>
      <c r="BI141" s="208">
        <v>0</v>
      </c>
      <c r="BJ141" s="208">
        <v>0</v>
      </c>
      <c r="BK141" s="208">
        <v>0</v>
      </c>
      <c r="BL141" s="208">
        <v>2803.1833207230638</v>
      </c>
      <c r="BM141" s="208">
        <v>0</v>
      </c>
      <c r="BN141" s="208">
        <v>0</v>
      </c>
      <c r="BO141" s="208">
        <v>0</v>
      </c>
      <c r="BP141" s="208">
        <v>0</v>
      </c>
      <c r="BQ141" s="230">
        <f t="shared" si="82"/>
        <v>2803.1833207230638</v>
      </c>
      <c r="BR141" s="214"/>
      <c r="BS141" s="227"/>
      <c r="BT141" s="217" t="s">
        <v>342</v>
      </c>
      <c r="BU141" s="227">
        <v>0</v>
      </c>
      <c r="BV141" s="228">
        <v>0</v>
      </c>
      <c r="BW141" s="208">
        <v>0</v>
      </c>
      <c r="BX141" s="208">
        <v>0</v>
      </c>
      <c r="BY141" s="208">
        <v>0</v>
      </c>
      <c r="BZ141" s="208">
        <v>0</v>
      </c>
      <c r="CA141" s="208">
        <v>0</v>
      </c>
      <c r="CB141" s="208">
        <v>0</v>
      </c>
      <c r="CC141" s="208">
        <v>0</v>
      </c>
      <c r="CD141" s="208">
        <v>0</v>
      </c>
      <c r="CE141" s="208">
        <v>0</v>
      </c>
      <c r="CF141" s="208">
        <v>0</v>
      </c>
      <c r="CG141" s="208">
        <v>0</v>
      </c>
      <c r="CH141" s="208">
        <v>0</v>
      </c>
      <c r="CI141" s="208">
        <v>0</v>
      </c>
      <c r="CJ141" s="208">
        <v>0</v>
      </c>
      <c r="CK141" s="208">
        <v>0</v>
      </c>
      <c r="CL141" s="208">
        <v>0</v>
      </c>
      <c r="CM141" s="208">
        <v>0</v>
      </c>
      <c r="CN141" s="208">
        <v>0</v>
      </c>
      <c r="CO141" s="222">
        <v>0</v>
      </c>
      <c r="CP141" s="227"/>
      <c r="CQ141" s="217" t="s">
        <v>342</v>
      </c>
      <c r="CR141" s="227">
        <v>0</v>
      </c>
      <c r="CS141" s="228">
        <v>0</v>
      </c>
      <c r="CT141" s="208">
        <v>0</v>
      </c>
      <c r="CU141" s="208">
        <v>0</v>
      </c>
      <c r="CV141" s="208">
        <v>0</v>
      </c>
      <c r="CW141" s="208">
        <v>0</v>
      </c>
      <c r="CX141" s="208">
        <v>0</v>
      </c>
      <c r="CY141" s="208">
        <v>0</v>
      </c>
      <c r="CZ141" s="208">
        <v>0</v>
      </c>
      <c r="DA141" s="208">
        <v>0</v>
      </c>
      <c r="DB141" s="208">
        <v>0</v>
      </c>
      <c r="DC141" s="208">
        <v>0</v>
      </c>
      <c r="DD141" s="208">
        <v>0</v>
      </c>
      <c r="DE141" s="208">
        <v>0</v>
      </c>
      <c r="DF141" s="208">
        <v>0</v>
      </c>
      <c r="DG141" s="208">
        <v>0</v>
      </c>
      <c r="DH141" s="208">
        <v>0</v>
      </c>
      <c r="DI141" s="208">
        <v>0</v>
      </c>
      <c r="DJ141" s="208">
        <v>0</v>
      </c>
      <c r="DK141" s="208">
        <v>0</v>
      </c>
      <c r="DL141" s="222">
        <v>0</v>
      </c>
      <c r="DM141" s="214"/>
      <c r="DN141" s="214"/>
      <c r="DO141" s="227"/>
      <c r="DP141" s="217" t="s">
        <v>342</v>
      </c>
      <c r="DQ141" s="227">
        <v>0</v>
      </c>
      <c r="DR141" s="228">
        <v>0</v>
      </c>
      <c r="DS141" s="208">
        <v>0</v>
      </c>
      <c r="DT141" s="208">
        <v>0</v>
      </c>
      <c r="DU141" s="208">
        <v>0</v>
      </c>
      <c r="DV141" s="208">
        <v>0</v>
      </c>
      <c r="DW141" s="208">
        <v>0</v>
      </c>
      <c r="DX141" s="208">
        <v>0</v>
      </c>
      <c r="DY141" s="208">
        <v>0</v>
      </c>
      <c r="DZ141" s="208">
        <v>0</v>
      </c>
      <c r="EA141" s="208">
        <v>0</v>
      </c>
      <c r="EB141" s="208">
        <v>0</v>
      </c>
      <c r="EC141" s="208">
        <v>0</v>
      </c>
      <c r="ED141" s="208">
        <v>0</v>
      </c>
      <c r="EE141" s="208">
        <v>0</v>
      </c>
      <c r="EF141" s="208">
        <v>0</v>
      </c>
      <c r="EG141" s="208">
        <v>0</v>
      </c>
      <c r="EH141" s="208">
        <v>0</v>
      </c>
      <c r="EI141" s="208">
        <v>0</v>
      </c>
      <c r="EJ141" s="208">
        <v>0</v>
      </c>
      <c r="EK141" s="222">
        <v>0</v>
      </c>
      <c r="EL141" s="228"/>
      <c r="EM141" s="217" t="s">
        <v>342</v>
      </c>
      <c r="EN141" s="227">
        <v>0</v>
      </c>
      <c r="EO141" s="228">
        <v>0</v>
      </c>
      <c r="EP141" s="208">
        <v>0</v>
      </c>
      <c r="EQ141" s="208">
        <v>0</v>
      </c>
      <c r="ER141" s="208">
        <v>0</v>
      </c>
      <c r="ES141" s="208">
        <v>0</v>
      </c>
      <c r="ET141" s="208">
        <v>0</v>
      </c>
      <c r="EU141" s="208">
        <v>0</v>
      </c>
      <c r="EV141" s="208">
        <v>0</v>
      </c>
      <c r="EW141" s="208">
        <v>0</v>
      </c>
      <c r="EX141" s="208">
        <v>0</v>
      </c>
      <c r="EY141" s="208">
        <v>0</v>
      </c>
      <c r="EZ141" s="208">
        <v>0</v>
      </c>
      <c r="FA141" s="208">
        <v>0</v>
      </c>
      <c r="FB141" s="208">
        <v>0</v>
      </c>
      <c r="FC141" s="208">
        <v>0</v>
      </c>
      <c r="FD141" s="208">
        <v>0</v>
      </c>
      <c r="FE141" s="208">
        <v>0</v>
      </c>
      <c r="FF141" s="208">
        <v>0</v>
      </c>
      <c r="FG141" s="208">
        <v>0</v>
      </c>
      <c r="FH141" s="222">
        <v>0</v>
      </c>
    </row>
    <row r="142" spans="2:164" x14ac:dyDescent="0.2">
      <c r="B142" s="217" t="s">
        <v>343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0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0</v>
      </c>
      <c r="V142" s="208">
        <v>0</v>
      </c>
      <c r="W142" s="222">
        <v>0</v>
      </c>
      <c r="Y142" s="217" t="s">
        <v>343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55">
        <v>0</v>
      </c>
      <c r="AF142" s="255">
        <v>0</v>
      </c>
      <c r="AG142" s="255">
        <v>0</v>
      </c>
      <c r="AH142" s="255">
        <v>0</v>
      </c>
      <c r="AI142" s="255">
        <v>0</v>
      </c>
      <c r="AJ142" s="255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0</v>
      </c>
      <c r="AS142" s="208">
        <v>0</v>
      </c>
      <c r="AT142" s="222">
        <v>0</v>
      </c>
      <c r="AV142" s="217" t="s">
        <v>343</v>
      </c>
      <c r="AW142" s="227">
        <v>0</v>
      </c>
      <c r="AX142" s="228">
        <v>0</v>
      </c>
      <c r="AY142" s="208">
        <v>0</v>
      </c>
      <c r="AZ142" s="208">
        <v>0</v>
      </c>
      <c r="BA142" s="208">
        <v>0</v>
      </c>
      <c r="BB142" s="255">
        <v>0</v>
      </c>
      <c r="BC142" s="255">
        <v>0</v>
      </c>
      <c r="BD142" s="255">
        <v>0</v>
      </c>
      <c r="BE142" s="255">
        <v>0</v>
      </c>
      <c r="BF142" s="255">
        <v>0</v>
      </c>
      <c r="BG142" s="255">
        <v>0</v>
      </c>
      <c r="BH142" s="208">
        <v>0</v>
      </c>
      <c r="BI142" s="208">
        <v>0</v>
      </c>
      <c r="BJ142" s="208">
        <v>0</v>
      </c>
      <c r="BK142" s="208">
        <v>0</v>
      </c>
      <c r="BL142" s="208">
        <v>0</v>
      </c>
      <c r="BM142" s="208">
        <v>0</v>
      </c>
      <c r="BN142" s="208">
        <v>0</v>
      </c>
      <c r="BO142" s="208">
        <v>0</v>
      </c>
      <c r="BP142" s="208">
        <v>0</v>
      </c>
      <c r="BQ142" s="230">
        <f t="shared" si="82"/>
        <v>0</v>
      </c>
      <c r="BR142" s="214"/>
      <c r="BS142" s="227"/>
      <c r="BT142" s="217" t="s">
        <v>343</v>
      </c>
      <c r="BU142" s="227">
        <v>0</v>
      </c>
      <c r="BV142" s="228">
        <v>0</v>
      </c>
      <c r="BW142" s="208">
        <v>0</v>
      </c>
      <c r="BX142" s="208">
        <v>0</v>
      </c>
      <c r="BY142" s="208">
        <v>0</v>
      </c>
      <c r="BZ142" s="208">
        <v>0</v>
      </c>
      <c r="CA142" s="208">
        <v>0</v>
      </c>
      <c r="CB142" s="208">
        <v>0</v>
      </c>
      <c r="CC142" s="208">
        <v>0</v>
      </c>
      <c r="CD142" s="208">
        <v>0</v>
      </c>
      <c r="CE142" s="208">
        <v>0</v>
      </c>
      <c r="CF142" s="208">
        <v>0</v>
      </c>
      <c r="CG142" s="208">
        <v>0</v>
      </c>
      <c r="CH142" s="208">
        <v>0</v>
      </c>
      <c r="CI142" s="208">
        <v>0</v>
      </c>
      <c r="CJ142" s="208">
        <v>0</v>
      </c>
      <c r="CK142" s="208">
        <v>0</v>
      </c>
      <c r="CL142" s="208">
        <v>0</v>
      </c>
      <c r="CM142" s="208">
        <v>0</v>
      </c>
      <c r="CN142" s="208">
        <v>0</v>
      </c>
      <c r="CO142" s="222">
        <v>0</v>
      </c>
      <c r="CP142" s="227"/>
      <c r="CQ142" s="217" t="s">
        <v>343</v>
      </c>
      <c r="CR142" s="227">
        <v>0</v>
      </c>
      <c r="CS142" s="228">
        <v>0</v>
      </c>
      <c r="CT142" s="208">
        <v>0</v>
      </c>
      <c r="CU142" s="208">
        <v>0</v>
      </c>
      <c r="CV142" s="208">
        <v>0</v>
      </c>
      <c r="CW142" s="208">
        <v>0</v>
      </c>
      <c r="CX142" s="208">
        <v>0</v>
      </c>
      <c r="CY142" s="208">
        <v>0</v>
      </c>
      <c r="CZ142" s="208">
        <v>0</v>
      </c>
      <c r="DA142" s="208">
        <v>0</v>
      </c>
      <c r="DB142" s="208">
        <v>0</v>
      </c>
      <c r="DC142" s="208">
        <v>0</v>
      </c>
      <c r="DD142" s="208">
        <v>0</v>
      </c>
      <c r="DE142" s="208">
        <v>0</v>
      </c>
      <c r="DF142" s="208">
        <v>0</v>
      </c>
      <c r="DG142" s="208">
        <v>0</v>
      </c>
      <c r="DH142" s="208">
        <v>0</v>
      </c>
      <c r="DI142" s="208">
        <v>0</v>
      </c>
      <c r="DJ142" s="208">
        <v>0</v>
      </c>
      <c r="DK142" s="208">
        <v>0</v>
      </c>
      <c r="DL142" s="222">
        <v>0</v>
      </c>
      <c r="DM142" s="214"/>
      <c r="DN142" s="214"/>
      <c r="DO142" s="227"/>
      <c r="DP142" s="217" t="s">
        <v>343</v>
      </c>
      <c r="DQ142" s="227">
        <v>0</v>
      </c>
      <c r="DR142" s="228">
        <v>0</v>
      </c>
      <c r="DS142" s="208">
        <v>0</v>
      </c>
      <c r="DT142" s="208">
        <v>0</v>
      </c>
      <c r="DU142" s="208">
        <v>0</v>
      </c>
      <c r="DV142" s="208">
        <v>0</v>
      </c>
      <c r="DW142" s="208">
        <v>0</v>
      </c>
      <c r="DX142" s="208">
        <v>0</v>
      </c>
      <c r="DY142" s="208">
        <v>0</v>
      </c>
      <c r="DZ142" s="208">
        <v>0</v>
      </c>
      <c r="EA142" s="208">
        <v>0</v>
      </c>
      <c r="EB142" s="208">
        <v>0</v>
      </c>
      <c r="EC142" s="208">
        <v>0</v>
      </c>
      <c r="ED142" s="208">
        <v>0</v>
      </c>
      <c r="EE142" s="208">
        <v>0</v>
      </c>
      <c r="EF142" s="208">
        <v>0</v>
      </c>
      <c r="EG142" s="208">
        <v>0</v>
      </c>
      <c r="EH142" s="208">
        <v>0</v>
      </c>
      <c r="EI142" s="208">
        <v>0</v>
      </c>
      <c r="EJ142" s="208">
        <v>0</v>
      </c>
      <c r="EK142" s="222">
        <v>0</v>
      </c>
      <c r="EL142" s="228"/>
      <c r="EM142" s="217" t="s">
        <v>343</v>
      </c>
      <c r="EN142" s="227">
        <v>0</v>
      </c>
      <c r="EO142" s="228">
        <v>0</v>
      </c>
      <c r="EP142" s="208">
        <v>0</v>
      </c>
      <c r="EQ142" s="208">
        <v>0</v>
      </c>
      <c r="ER142" s="208">
        <v>0</v>
      </c>
      <c r="ES142" s="208">
        <v>0</v>
      </c>
      <c r="ET142" s="208">
        <v>0</v>
      </c>
      <c r="EU142" s="208">
        <v>0</v>
      </c>
      <c r="EV142" s="208">
        <v>0</v>
      </c>
      <c r="EW142" s="208">
        <v>0</v>
      </c>
      <c r="EX142" s="208">
        <v>0</v>
      </c>
      <c r="EY142" s="208">
        <v>0</v>
      </c>
      <c r="EZ142" s="208">
        <v>0</v>
      </c>
      <c r="FA142" s="208">
        <v>0</v>
      </c>
      <c r="FB142" s="208">
        <v>0</v>
      </c>
      <c r="FC142" s="208">
        <v>0</v>
      </c>
      <c r="FD142" s="208">
        <v>0</v>
      </c>
      <c r="FE142" s="208">
        <v>0</v>
      </c>
      <c r="FF142" s="208">
        <v>0</v>
      </c>
      <c r="FG142" s="208">
        <v>0</v>
      </c>
      <c r="FH142" s="222">
        <v>0</v>
      </c>
    </row>
    <row r="143" spans="2:164" x14ac:dyDescent="0.2">
      <c r="B143" s="217" t="s">
        <v>6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2</v>
      </c>
      <c r="U143" s="208">
        <v>0</v>
      </c>
      <c r="V143" s="208">
        <v>0</v>
      </c>
      <c r="W143" s="222">
        <v>2</v>
      </c>
      <c r="Y143" s="217" t="s">
        <v>6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164.5121910976535</v>
      </c>
      <c r="AR143" s="208">
        <v>0</v>
      </c>
      <c r="AS143" s="208">
        <v>0</v>
      </c>
      <c r="AT143" s="222">
        <v>164.5121910976535</v>
      </c>
      <c r="AV143" s="217" t="s">
        <v>6</v>
      </c>
      <c r="AW143" s="227">
        <v>0</v>
      </c>
      <c r="AX143" s="228">
        <v>0</v>
      </c>
      <c r="AY143" s="208">
        <v>0</v>
      </c>
      <c r="AZ143" s="208">
        <v>0</v>
      </c>
      <c r="BA143" s="208">
        <v>0</v>
      </c>
      <c r="BB143" s="208">
        <v>0</v>
      </c>
      <c r="BC143" s="208">
        <v>0</v>
      </c>
      <c r="BD143" s="208">
        <v>0</v>
      </c>
      <c r="BE143" s="208">
        <v>0</v>
      </c>
      <c r="BF143" s="208">
        <v>0</v>
      </c>
      <c r="BG143" s="208">
        <v>0</v>
      </c>
      <c r="BH143" s="208">
        <v>0</v>
      </c>
      <c r="BI143" s="208">
        <v>0</v>
      </c>
      <c r="BJ143" s="208">
        <v>0</v>
      </c>
      <c r="BK143" s="208">
        <v>0</v>
      </c>
      <c r="BL143" s="208">
        <v>0</v>
      </c>
      <c r="BM143" s="208">
        <v>0</v>
      </c>
      <c r="BN143" s="208">
        <v>164.5121910976535</v>
      </c>
      <c r="BO143" s="208">
        <v>0</v>
      </c>
      <c r="BP143" s="208">
        <v>0</v>
      </c>
      <c r="BQ143" s="230">
        <f t="shared" si="82"/>
        <v>164.5121910976535</v>
      </c>
      <c r="BR143" s="214"/>
      <c r="BS143" s="227"/>
      <c r="BT143" s="217" t="s">
        <v>6</v>
      </c>
      <c r="BU143" s="227">
        <v>0</v>
      </c>
      <c r="BV143" s="228">
        <v>0</v>
      </c>
      <c r="BW143" s="208">
        <v>0</v>
      </c>
      <c r="BX143" s="208">
        <v>0</v>
      </c>
      <c r="BY143" s="208">
        <v>0</v>
      </c>
      <c r="BZ143" s="208">
        <v>0</v>
      </c>
      <c r="CA143" s="208">
        <v>0</v>
      </c>
      <c r="CB143" s="208">
        <v>0</v>
      </c>
      <c r="CC143" s="208">
        <v>0</v>
      </c>
      <c r="CD143" s="208">
        <v>0</v>
      </c>
      <c r="CE143" s="208">
        <v>0</v>
      </c>
      <c r="CF143" s="208">
        <v>0</v>
      </c>
      <c r="CG143" s="208">
        <v>0</v>
      </c>
      <c r="CH143" s="208">
        <v>0</v>
      </c>
      <c r="CI143" s="208">
        <v>0</v>
      </c>
      <c r="CJ143" s="208">
        <v>0</v>
      </c>
      <c r="CK143" s="208">
        <v>0</v>
      </c>
      <c r="CL143" s="208">
        <v>2</v>
      </c>
      <c r="CM143" s="208">
        <v>0</v>
      </c>
      <c r="CN143" s="208">
        <v>0</v>
      </c>
      <c r="CO143" s="222">
        <v>2</v>
      </c>
      <c r="CP143" s="227"/>
      <c r="CQ143" s="217" t="s">
        <v>6</v>
      </c>
      <c r="CR143" s="227">
        <v>0</v>
      </c>
      <c r="CS143" s="228">
        <v>0</v>
      </c>
      <c r="CT143" s="208">
        <v>0</v>
      </c>
      <c r="CU143" s="208">
        <v>0</v>
      </c>
      <c r="CV143" s="208">
        <v>0</v>
      </c>
      <c r="CW143" s="208">
        <v>0</v>
      </c>
      <c r="CX143" s="208">
        <v>0</v>
      </c>
      <c r="CY143" s="208">
        <v>0</v>
      </c>
      <c r="CZ143" s="208">
        <v>0</v>
      </c>
      <c r="DA143" s="208">
        <v>0</v>
      </c>
      <c r="DB143" s="208">
        <v>0</v>
      </c>
      <c r="DC143" s="208">
        <v>0</v>
      </c>
      <c r="DD143" s="208">
        <v>0</v>
      </c>
      <c r="DE143" s="208">
        <v>0</v>
      </c>
      <c r="DF143" s="208">
        <v>0</v>
      </c>
      <c r="DG143" s="208">
        <v>0</v>
      </c>
      <c r="DH143" s="208">
        <v>0</v>
      </c>
      <c r="DI143" s="208">
        <v>164.5121910976535</v>
      </c>
      <c r="DJ143" s="208">
        <v>0</v>
      </c>
      <c r="DK143" s="208">
        <v>0</v>
      </c>
      <c r="DL143" s="222">
        <v>164.5121910976535</v>
      </c>
      <c r="DM143" s="214"/>
      <c r="DN143" s="214"/>
      <c r="DO143" s="227"/>
      <c r="DP143" s="217" t="s">
        <v>6</v>
      </c>
      <c r="DQ143" s="227">
        <v>0</v>
      </c>
      <c r="DR143" s="228">
        <v>0</v>
      </c>
      <c r="DS143" s="208">
        <v>0</v>
      </c>
      <c r="DT143" s="208">
        <v>0</v>
      </c>
      <c r="DU143" s="208">
        <v>0</v>
      </c>
      <c r="DV143" s="208">
        <v>0</v>
      </c>
      <c r="DW143" s="208">
        <v>0</v>
      </c>
      <c r="DX143" s="208">
        <v>0</v>
      </c>
      <c r="DY143" s="208">
        <v>0</v>
      </c>
      <c r="DZ143" s="208">
        <v>0</v>
      </c>
      <c r="EA143" s="208">
        <v>0</v>
      </c>
      <c r="EB143" s="208">
        <v>0</v>
      </c>
      <c r="EC143" s="208">
        <v>0</v>
      </c>
      <c r="ED143" s="208">
        <v>0</v>
      </c>
      <c r="EE143" s="208">
        <v>0</v>
      </c>
      <c r="EF143" s="208">
        <v>0</v>
      </c>
      <c r="EG143" s="208">
        <v>0</v>
      </c>
      <c r="EH143" s="208">
        <v>2</v>
      </c>
      <c r="EI143" s="208">
        <v>0</v>
      </c>
      <c r="EJ143" s="208">
        <v>0</v>
      </c>
      <c r="EK143" s="222">
        <v>2</v>
      </c>
      <c r="EL143" s="228"/>
      <c r="EM143" s="217" t="s">
        <v>6</v>
      </c>
      <c r="EN143" s="227">
        <v>0</v>
      </c>
      <c r="EO143" s="228">
        <v>0</v>
      </c>
      <c r="EP143" s="208">
        <v>0</v>
      </c>
      <c r="EQ143" s="208">
        <v>0</v>
      </c>
      <c r="ER143" s="208">
        <v>0</v>
      </c>
      <c r="ES143" s="208">
        <v>0</v>
      </c>
      <c r="ET143" s="208">
        <v>0</v>
      </c>
      <c r="EU143" s="208">
        <v>0</v>
      </c>
      <c r="EV143" s="208">
        <v>0</v>
      </c>
      <c r="EW143" s="208">
        <v>0</v>
      </c>
      <c r="EX143" s="208">
        <v>0</v>
      </c>
      <c r="EY143" s="208">
        <v>0</v>
      </c>
      <c r="EZ143" s="208">
        <v>0</v>
      </c>
      <c r="FA143" s="208">
        <v>0</v>
      </c>
      <c r="FB143" s="208">
        <v>0</v>
      </c>
      <c r="FC143" s="208">
        <v>0</v>
      </c>
      <c r="FD143" s="208">
        <v>0</v>
      </c>
      <c r="FE143" s="208">
        <v>164.5121910976535</v>
      </c>
      <c r="FF143" s="208">
        <v>0</v>
      </c>
      <c r="FG143" s="208">
        <v>0</v>
      </c>
      <c r="FH143" s="222">
        <v>164.5121910976535</v>
      </c>
    </row>
    <row r="144" spans="2:164" x14ac:dyDescent="0.2">
      <c r="B144" s="217" t="s">
        <v>344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1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12</v>
      </c>
      <c r="V144" s="208">
        <v>1</v>
      </c>
      <c r="W144" s="222">
        <v>14</v>
      </c>
      <c r="Y144" s="217" t="s">
        <v>344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11.571085140993672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2551.2775052309808</v>
      </c>
      <c r="AS144" s="208">
        <v>134.60894610574448</v>
      </c>
      <c r="AT144" s="222">
        <v>2697.4575364777188</v>
      </c>
      <c r="AV144" s="217" t="s">
        <v>344</v>
      </c>
      <c r="AW144" s="227">
        <v>0</v>
      </c>
      <c r="AX144" s="228">
        <v>0</v>
      </c>
      <c r="AY144" s="208">
        <v>0</v>
      </c>
      <c r="AZ144" s="208">
        <v>0</v>
      </c>
      <c r="BA144" s="208">
        <v>0</v>
      </c>
      <c r="BB144" s="208">
        <v>0</v>
      </c>
      <c r="BC144" s="208">
        <v>11.571085140993672</v>
      </c>
      <c r="BD144" s="208">
        <v>0</v>
      </c>
      <c r="BE144" s="208">
        <v>0</v>
      </c>
      <c r="BF144" s="208">
        <v>0</v>
      </c>
      <c r="BG144" s="208">
        <v>0</v>
      </c>
      <c r="BH144" s="208">
        <v>0</v>
      </c>
      <c r="BI144" s="208">
        <v>0</v>
      </c>
      <c r="BJ144" s="208">
        <v>0</v>
      </c>
      <c r="BK144" s="208">
        <v>0</v>
      </c>
      <c r="BL144" s="208">
        <v>0</v>
      </c>
      <c r="BM144" s="208">
        <v>0</v>
      </c>
      <c r="BN144" s="208">
        <v>0</v>
      </c>
      <c r="BO144" s="208">
        <v>2551.2775052309808</v>
      </c>
      <c r="BP144" s="208">
        <v>134.60894610574448</v>
      </c>
      <c r="BQ144" s="230">
        <f t="shared" si="82"/>
        <v>2697.4575364777188</v>
      </c>
      <c r="BR144" s="214"/>
      <c r="BS144" s="227"/>
      <c r="BT144" s="217" t="s">
        <v>344</v>
      </c>
      <c r="BU144" s="227">
        <v>0</v>
      </c>
      <c r="BV144" s="228">
        <v>0</v>
      </c>
      <c r="BW144" s="208">
        <v>0</v>
      </c>
      <c r="BX144" s="208">
        <v>0</v>
      </c>
      <c r="BY144" s="208">
        <v>0</v>
      </c>
      <c r="BZ144" s="208">
        <v>0</v>
      </c>
      <c r="CA144" s="208">
        <v>0</v>
      </c>
      <c r="CB144" s="208">
        <v>0</v>
      </c>
      <c r="CC144" s="208">
        <v>0</v>
      </c>
      <c r="CD144" s="208">
        <v>0</v>
      </c>
      <c r="CE144" s="208">
        <v>0</v>
      </c>
      <c r="CF144" s="208">
        <v>0</v>
      </c>
      <c r="CG144" s="208">
        <v>0</v>
      </c>
      <c r="CH144" s="208">
        <v>0</v>
      </c>
      <c r="CI144" s="208">
        <v>0</v>
      </c>
      <c r="CJ144" s="208">
        <v>0</v>
      </c>
      <c r="CK144" s="208">
        <v>0</v>
      </c>
      <c r="CL144" s="208">
        <v>0</v>
      </c>
      <c r="CM144" s="208">
        <v>0</v>
      </c>
      <c r="CN144" s="208">
        <v>0</v>
      </c>
      <c r="CO144" s="222">
        <v>0</v>
      </c>
      <c r="CP144" s="227"/>
      <c r="CQ144" s="217" t="s">
        <v>344</v>
      </c>
      <c r="CR144" s="227">
        <v>0</v>
      </c>
      <c r="CS144" s="228">
        <v>0</v>
      </c>
      <c r="CT144" s="208">
        <v>0</v>
      </c>
      <c r="CU144" s="208">
        <v>0</v>
      </c>
      <c r="CV144" s="208">
        <v>0</v>
      </c>
      <c r="CW144" s="208">
        <v>0</v>
      </c>
      <c r="CX144" s="208">
        <v>0</v>
      </c>
      <c r="CY144" s="208">
        <v>0</v>
      </c>
      <c r="CZ144" s="208">
        <v>0</v>
      </c>
      <c r="DA144" s="208">
        <v>0</v>
      </c>
      <c r="DB144" s="208">
        <v>0</v>
      </c>
      <c r="DC144" s="208">
        <v>0</v>
      </c>
      <c r="DD144" s="208">
        <v>0</v>
      </c>
      <c r="DE144" s="208">
        <v>0</v>
      </c>
      <c r="DF144" s="208">
        <v>0</v>
      </c>
      <c r="DG144" s="208">
        <v>0</v>
      </c>
      <c r="DH144" s="208">
        <v>0</v>
      </c>
      <c r="DI144" s="208">
        <v>0</v>
      </c>
      <c r="DJ144" s="208">
        <v>0</v>
      </c>
      <c r="DK144" s="208">
        <v>0</v>
      </c>
      <c r="DL144" s="222">
        <v>0</v>
      </c>
      <c r="DM144" s="214"/>
      <c r="DN144" s="214"/>
      <c r="DO144" s="227"/>
      <c r="DP144" s="217" t="s">
        <v>344</v>
      </c>
      <c r="DQ144" s="227">
        <v>0</v>
      </c>
      <c r="DR144" s="228">
        <v>0</v>
      </c>
      <c r="DS144" s="208">
        <v>0</v>
      </c>
      <c r="DT144" s="208">
        <v>0</v>
      </c>
      <c r="DU144" s="208">
        <v>0</v>
      </c>
      <c r="DV144" s="208">
        <v>0</v>
      </c>
      <c r="DW144" s="208">
        <v>0</v>
      </c>
      <c r="DX144" s="208">
        <v>0</v>
      </c>
      <c r="DY144" s="208">
        <v>0</v>
      </c>
      <c r="DZ144" s="208">
        <v>0</v>
      </c>
      <c r="EA144" s="208">
        <v>0</v>
      </c>
      <c r="EB144" s="208">
        <v>0</v>
      </c>
      <c r="EC144" s="208">
        <v>0</v>
      </c>
      <c r="ED144" s="208">
        <v>0</v>
      </c>
      <c r="EE144" s="208">
        <v>0</v>
      </c>
      <c r="EF144" s="208">
        <v>0</v>
      </c>
      <c r="EG144" s="208">
        <v>0</v>
      </c>
      <c r="EH144" s="208">
        <v>0</v>
      </c>
      <c r="EI144" s="208">
        <v>0</v>
      </c>
      <c r="EJ144" s="208">
        <v>0</v>
      </c>
      <c r="EK144" s="222">
        <v>0</v>
      </c>
      <c r="EL144" s="228"/>
      <c r="EM144" s="217" t="s">
        <v>344</v>
      </c>
      <c r="EN144" s="227">
        <v>0</v>
      </c>
      <c r="EO144" s="228">
        <v>0</v>
      </c>
      <c r="EP144" s="208">
        <v>0</v>
      </c>
      <c r="EQ144" s="208">
        <v>0</v>
      </c>
      <c r="ER144" s="208">
        <v>0</v>
      </c>
      <c r="ES144" s="208">
        <v>0</v>
      </c>
      <c r="ET144" s="208">
        <v>0</v>
      </c>
      <c r="EU144" s="208">
        <v>0</v>
      </c>
      <c r="EV144" s="208">
        <v>0</v>
      </c>
      <c r="EW144" s="208">
        <v>0</v>
      </c>
      <c r="EX144" s="208">
        <v>0</v>
      </c>
      <c r="EY144" s="208">
        <v>0</v>
      </c>
      <c r="EZ144" s="208">
        <v>0</v>
      </c>
      <c r="FA144" s="208">
        <v>0</v>
      </c>
      <c r="FB144" s="208">
        <v>0</v>
      </c>
      <c r="FC144" s="208">
        <v>0</v>
      </c>
      <c r="FD144" s="208">
        <v>0</v>
      </c>
      <c r="FE144" s="208">
        <v>0</v>
      </c>
      <c r="FF144" s="208">
        <v>0</v>
      </c>
      <c r="FG144" s="208">
        <v>0</v>
      </c>
      <c r="FH144" s="222">
        <v>0</v>
      </c>
    </row>
    <row r="145" spans="2:164" x14ac:dyDescent="0.2">
      <c r="B145" s="217" t="s">
        <v>345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1</v>
      </c>
      <c r="W145" s="222">
        <v>1</v>
      </c>
      <c r="X145" s="207"/>
      <c r="Y145" s="217" t="s">
        <v>345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134.60894610574448</v>
      </c>
      <c r="AT145" s="222">
        <v>134.60894610574448</v>
      </c>
      <c r="AV145" s="217" t="s">
        <v>345</v>
      </c>
      <c r="AW145" s="227">
        <v>0</v>
      </c>
      <c r="AX145" s="228">
        <v>0</v>
      </c>
      <c r="AY145" s="208">
        <v>0</v>
      </c>
      <c r="AZ145" s="208">
        <v>0</v>
      </c>
      <c r="BA145" s="208">
        <v>0</v>
      </c>
      <c r="BB145" s="208">
        <v>0</v>
      </c>
      <c r="BC145" s="208">
        <v>0</v>
      </c>
      <c r="BD145" s="208">
        <v>0</v>
      </c>
      <c r="BE145" s="208">
        <v>0</v>
      </c>
      <c r="BF145" s="208">
        <v>0</v>
      </c>
      <c r="BG145" s="208">
        <v>0</v>
      </c>
      <c r="BH145" s="208">
        <v>0</v>
      </c>
      <c r="BI145" s="208">
        <v>0</v>
      </c>
      <c r="BJ145" s="208">
        <v>0</v>
      </c>
      <c r="BK145" s="208">
        <v>0</v>
      </c>
      <c r="BL145" s="208">
        <v>0</v>
      </c>
      <c r="BM145" s="208">
        <v>0</v>
      </c>
      <c r="BN145" s="208">
        <v>0</v>
      </c>
      <c r="BO145" s="208">
        <v>0</v>
      </c>
      <c r="BP145" s="208">
        <v>134.60894610574448</v>
      </c>
      <c r="BQ145" s="222">
        <f t="shared" si="82"/>
        <v>134.60894610574448</v>
      </c>
      <c r="BR145" s="214"/>
      <c r="BS145" s="227"/>
      <c r="BT145" s="217" t="s">
        <v>345</v>
      </c>
      <c r="BU145" s="227">
        <v>0</v>
      </c>
      <c r="BV145" s="228">
        <v>0</v>
      </c>
      <c r="BW145" s="208">
        <v>0</v>
      </c>
      <c r="BX145" s="208">
        <v>0</v>
      </c>
      <c r="BY145" s="208">
        <v>0</v>
      </c>
      <c r="BZ145" s="208">
        <v>0</v>
      </c>
      <c r="CA145" s="208">
        <v>0</v>
      </c>
      <c r="CB145" s="208">
        <v>0</v>
      </c>
      <c r="CC145" s="208">
        <v>0</v>
      </c>
      <c r="CD145" s="208">
        <v>0</v>
      </c>
      <c r="CE145" s="208">
        <v>0</v>
      </c>
      <c r="CF145" s="208">
        <v>0</v>
      </c>
      <c r="CG145" s="208">
        <v>0</v>
      </c>
      <c r="CH145" s="208">
        <v>0</v>
      </c>
      <c r="CI145" s="208">
        <v>0</v>
      </c>
      <c r="CJ145" s="208">
        <v>0</v>
      </c>
      <c r="CK145" s="208">
        <v>0</v>
      </c>
      <c r="CL145" s="208">
        <v>0</v>
      </c>
      <c r="CM145" s="208">
        <v>0</v>
      </c>
      <c r="CN145" s="208">
        <v>0</v>
      </c>
      <c r="CO145" s="222">
        <v>0</v>
      </c>
      <c r="CP145" s="227"/>
      <c r="CQ145" s="217" t="s">
        <v>345</v>
      </c>
      <c r="CR145" s="227">
        <v>0</v>
      </c>
      <c r="CS145" s="228">
        <v>0</v>
      </c>
      <c r="CT145" s="208">
        <v>0</v>
      </c>
      <c r="CU145" s="208">
        <v>0</v>
      </c>
      <c r="CV145" s="208">
        <v>0</v>
      </c>
      <c r="CW145" s="208">
        <v>0</v>
      </c>
      <c r="CX145" s="208">
        <v>0</v>
      </c>
      <c r="CY145" s="208">
        <v>0</v>
      </c>
      <c r="CZ145" s="208">
        <v>0</v>
      </c>
      <c r="DA145" s="208">
        <v>0</v>
      </c>
      <c r="DB145" s="208">
        <v>0</v>
      </c>
      <c r="DC145" s="208">
        <v>0</v>
      </c>
      <c r="DD145" s="208">
        <v>0</v>
      </c>
      <c r="DE145" s="208">
        <v>0</v>
      </c>
      <c r="DF145" s="208">
        <v>0</v>
      </c>
      <c r="DG145" s="208">
        <v>0</v>
      </c>
      <c r="DH145" s="208">
        <v>0</v>
      </c>
      <c r="DI145" s="208">
        <v>0</v>
      </c>
      <c r="DJ145" s="208">
        <v>0</v>
      </c>
      <c r="DK145" s="208">
        <v>0</v>
      </c>
      <c r="DL145" s="222">
        <v>0</v>
      </c>
      <c r="DM145" s="214"/>
      <c r="DN145" s="214"/>
      <c r="DO145" s="227"/>
      <c r="DP145" s="217" t="s">
        <v>345</v>
      </c>
      <c r="DQ145" s="227">
        <v>0</v>
      </c>
      <c r="DR145" s="228">
        <v>0</v>
      </c>
      <c r="DS145" s="208">
        <v>0</v>
      </c>
      <c r="DT145" s="208">
        <v>0</v>
      </c>
      <c r="DU145" s="208">
        <v>0</v>
      </c>
      <c r="DV145" s="208">
        <v>0</v>
      </c>
      <c r="DW145" s="208">
        <v>0</v>
      </c>
      <c r="DX145" s="208">
        <v>0</v>
      </c>
      <c r="DY145" s="208">
        <v>0</v>
      </c>
      <c r="DZ145" s="208">
        <v>0</v>
      </c>
      <c r="EA145" s="208">
        <v>0</v>
      </c>
      <c r="EB145" s="208">
        <v>0</v>
      </c>
      <c r="EC145" s="208">
        <v>0</v>
      </c>
      <c r="ED145" s="208">
        <v>0</v>
      </c>
      <c r="EE145" s="208">
        <v>0</v>
      </c>
      <c r="EF145" s="208">
        <v>0</v>
      </c>
      <c r="EG145" s="208">
        <v>0</v>
      </c>
      <c r="EH145" s="208">
        <v>0</v>
      </c>
      <c r="EI145" s="208">
        <v>0</v>
      </c>
      <c r="EJ145" s="208">
        <v>0</v>
      </c>
      <c r="EK145" s="222">
        <v>0</v>
      </c>
      <c r="EL145" s="228"/>
      <c r="EM145" s="217" t="s">
        <v>345</v>
      </c>
      <c r="EN145" s="227">
        <v>0</v>
      </c>
      <c r="EO145" s="228">
        <v>0</v>
      </c>
      <c r="EP145" s="208">
        <v>0</v>
      </c>
      <c r="EQ145" s="208">
        <v>0</v>
      </c>
      <c r="ER145" s="208">
        <v>0</v>
      </c>
      <c r="ES145" s="208">
        <v>0</v>
      </c>
      <c r="ET145" s="208">
        <v>0</v>
      </c>
      <c r="EU145" s="208">
        <v>0</v>
      </c>
      <c r="EV145" s="208">
        <v>0</v>
      </c>
      <c r="EW145" s="208">
        <v>0</v>
      </c>
      <c r="EX145" s="208">
        <v>0</v>
      </c>
      <c r="EY145" s="208">
        <v>0</v>
      </c>
      <c r="EZ145" s="208">
        <v>0</v>
      </c>
      <c r="FA145" s="208">
        <v>0</v>
      </c>
      <c r="FB145" s="208">
        <v>0</v>
      </c>
      <c r="FC145" s="208">
        <v>0</v>
      </c>
      <c r="FD145" s="208">
        <v>0</v>
      </c>
      <c r="FE145" s="208">
        <v>0</v>
      </c>
      <c r="FF145" s="208">
        <v>0</v>
      </c>
      <c r="FG145" s="208">
        <v>0</v>
      </c>
      <c r="FH145" s="222">
        <v>0</v>
      </c>
    </row>
    <row r="146" spans="2:164" x14ac:dyDescent="0.2">
      <c r="B146" s="218" t="s">
        <v>7</v>
      </c>
      <c r="C146" s="219">
        <v>952</v>
      </c>
      <c r="D146" s="220">
        <v>324</v>
      </c>
      <c r="E146" s="221">
        <v>166</v>
      </c>
      <c r="F146" s="221">
        <v>1314</v>
      </c>
      <c r="G146" s="221">
        <v>44</v>
      </c>
      <c r="H146" s="221">
        <v>43</v>
      </c>
      <c r="I146" s="221">
        <v>20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22</v>
      </c>
      <c r="V146" s="221">
        <v>2</v>
      </c>
      <c r="W146" s="223">
        <v>2902</v>
      </c>
      <c r="X146" s="208"/>
      <c r="Y146" s="218" t="s">
        <v>7</v>
      </c>
      <c r="Z146" s="219">
        <v>364571.62581545697</v>
      </c>
      <c r="AA146" s="220">
        <v>161426.22276211769</v>
      </c>
      <c r="AB146" s="221">
        <v>70102.717614446505</v>
      </c>
      <c r="AC146" s="221">
        <v>243836.34086872434</v>
      </c>
      <c r="AD146" s="221">
        <v>23258.868220259825</v>
      </c>
      <c r="AE146" s="221">
        <v>11823.696746397836</v>
      </c>
      <c r="AF146" s="221">
        <v>986.14530888948275</v>
      </c>
      <c r="AG146" s="221">
        <v>0</v>
      </c>
      <c r="AH146" s="221">
        <v>1075.8790372698338</v>
      </c>
      <c r="AI146" s="221">
        <v>0</v>
      </c>
      <c r="AJ146" s="221">
        <v>303.72194777791901</v>
      </c>
      <c r="AK146" s="221">
        <v>0</v>
      </c>
      <c r="AL146" s="221">
        <v>0</v>
      </c>
      <c r="AM146" s="221">
        <v>0</v>
      </c>
      <c r="AN146" s="221">
        <v>0</v>
      </c>
      <c r="AO146" s="221">
        <v>4332.1924047537414</v>
      </c>
      <c r="AP146" s="221">
        <v>0</v>
      </c>
      <c r="AQ146" s="221">
        <v>164.5121910976535</v>
      </c>
      <c r="AR146" s="221">
        <v>7384.1125085754029</v>
      </c>
      <c r="AS146" s="221">
        <v>269.21789221148896</v>
      </c>
      <c r="AT146" s="223">
        <v>889535.2533179787</v>
      </c>
      <c r="AV146" s="218" t="s">
        <v>7</v>
      </c>
      <c r="AW146" s="257">
        <f>SUM(AW126:AW145)</f>
        <v>364414.69647113117</v>
      </c>
      <c r="AX146" s="257">
        <f t="shared" ref="AX146" si="83">SUM(AX126:AX145)</f>
        <v>161426.22276211769</v>
      </c>
      <c r="AY146" s="257">
        <f t="shared" ref="AY146" si="84">SUM(AY126:AY145)</f>
        <v>70102.717614446505</v>
      </c>
      <c r="AZ146" s="257">
        <f t="shared" ref="AZ146" si="85">SUM(AZ126:AZ145)</f>
        <v>243641.28919814352</v>
      </c>
      <c r="BA146" s="257">
        <f t="shared" ref="BA146" si="86">SUM(BA126:BA145)</f>
        <v>22231.995850296847</v>
      </c>
      <c r="BB146" s="257">
        <f t="shared" ref="BB146" si="87">SUM(BB126:BB145)</f>
        <v>11693.03735762275</v>
      </c>
      <c r="BC146" s="257">
        <f t="shared" ref="BC146" si="88">SUM(BC126:BC145)</f>
        <v>986.14530888948264</v>
      </c>
      <c r="BD146" s="257">
        <f t="shared" ref="BD146" si="89">SUM(BD126:BD145)</f>
        <v>0</v>
      </c>
      <c r="BE146" s="257">
        <f t="shared" ref="BE146" si="90">SUM(BE126:BE145)</f>
        <v>1075.8790372698338</v>
      </c>
      <c r="BF146" s="257">
        <f t="shared" ref="BF146" si="91">SUM(BF126:BF145)</f>
        <v>0</v>
      </c>
      <c r="BG146" s="257">
        <f t="shared" ref="BG146" si="92">SUM(BG126:BG145)</f>
        <v>303.72194777791901</v>
      </c>
      <c r="BH146" s="257">
        <f t="shared" ref="BH146" si="93">SUM(BH126:BH145)</f>
        <v>0</v>
      </c>
      <c r="BI146" s="257">
        <f t="shared" ref="BI146" si="94">SUM(BI126:BI145)</f>
        <v>0</v>
      </c>
      <c r="BJ146" s="257">
        <f t="shared" ref="BJ146" si="95">SUM(BJ126:BJ145)</f>
        <v>0</v>
      </c>
      <c r="BK146" s="257">
        <f t="shared" ref="BK146" si="96">SUM(BK126:BK145)</f>
        <v>0</v>
      </c>
      <c r="BL146" s="257">
        <f t="shared" ref="BL146" si="97">SUM(BL126:BL145)</f>
        <v>2803.1833207230638</v>
      </c>
      <c r="BM146" s="257">
        <f t="shared" ref="BM146" si="98">SUM(BM126:BM145)</f>
        <v>0</v>
      </c>
      <c r="BN146" s="257">
        <f t="shared" ref="BN146" si="99">SUM(BN126:BN145)</f>
        <v>164.5121910976535</v>
      </c>
      <c r="BO146" s="257">
        <f t="shared" ref="BO146" si="100">SUM(BO126:BO145)</f>
        <v>4545.4339218834093</v>
      </c>
      <c r="BP146" s="257">
        <f t="shared" ref="BP146" si="101">SUM(BP126:BP145)</f>
        <v>269.21789221148896</v>
      </c>
      <c r="BQ146" s="222">
        <f t="shared" si="82"/>
        <v>883658.05287361122</v>
      </c>
      <c r="BR146" s="214"/>
      <c r="BT146" s="218" t="s">
        <v>7</v>
      </c>
      <c r="BU146" s="219">
        <v>99</v>
      </c>
      <c r="BV146" s="220">
        <v>44</v>
      </c>
      <c r="BW146" s="221">
        <v>8</v>
      </c>
      <c r="BX146" s="221">
        <v>23</v>
      </c>
      <c r="BY146" s="221">
        <v>0</v>
      </c>
      <c r="BZ146" s="221">
        <v>0</v>
      </c>
      <c r="CA146" s="221">
        <v>0</v>
      </c>
      <c r="CB146" s="221">
        <v>0</v>
      </c>
      <c r="CC146" s="221">
        <v>0</v>
      </c>
      <c r="CD146" s="221">
        <v>0</v>
      </c>
      <c r="CE146" s="221">
        <v>0</v>
      </c>
      <c r="CF146" s="221">
        <v>0</v>
      </c>
      <c r="CG146" s="221">
        <v>0</v>
      </c>
      <c r="CH146" s="221">
        <v>0</v>
      </c>
      <c r="CI146" s="221">
        <v>0</v>
      </c>
      <c r="CJ146" s="221">
        <v>0</v>
      </c>
      <c r="CK146" s="221">
        <v>0</v>
      </c>
      <c r="CL146" s="221">
        <v>2</v>
      </c>
      <c r="CM146" s="221">
        <v>0</v>
      </c>
      <c r="CN146" s="221">
        <v>0</v>
      </c>
      <c r="CO146" s="223">
        <v>176</v>
      </c>
      <c r="CP146" s="227"/>
      <c r="CQ146" s="218" t="s">
        <v>7</v>
      </c>
      <c r="CR146" s="219">
        <v>36056.71148098111</v>
      </c>
      <c r="CS146" s="220">
        <v>15634.537055778661</v>
      </c>
      <c r="CT146" s="221">
        <v>503.73277344272253</v>
      </c>
      <c r="CU146" s="221">
        <v>7409.972778275368</v>
      </c>
      <c r="CV146" s="221">
        <v>0</v>
      </c>
      <c r="CW146" s="221">
        <v>0</v>
      </c>
      <c r="CX146" s="221">
        <v>0</v>
      </c>
      <c r="CY146" s="221">
        <v>0</v>
      </c>
      <c r="CZ146" s="221">
        <v>0</v>
      </c>
      <c r="DA146" s="221">
        <v>0</v>
      </c>
      <c r="DB146" s="221">
        <v>0</v>
      </c>
      <c r="DC146" s="221">
        <v>0</v>
      </c>
      <c r="DD146" s="221">
        <v>0</v>
      </c>
      <c r="DE146" s="221">
        <v>0</v>
      </c>
      <c r="DF146" s="221">
        <v>0</v>
      </c>
      <c r="DG146" s="221">
        <v>0</v>
      </c>
      <c r="DH146" s="221">
        <v>0</v>
      </c>
      <c r="DI146" s="221">
        <v>164.5121910976535</v>
      </c>
      <c r="DJ146" s="221">
        <v>0</v>
      </c>
      <c r="DK146" s="221">
        <v>0</v>
      </c>
      <c r="DL146" s="223">
        <v>59769.466279575507</v>
      </c>
      <c r="DM146" s="214"/>
      <c r="DN146" s="214"/>
      <c r="DO146" s="227"/>
      <c r="DP146" s="218" t="s">
        <v>7</v>
      </c>
      <c r="DQ146" s="219">
        <v>195</v>
      </c>
      <c r="DR146" s="220">
        <v>91</v>
      </c>
      <c r="DS146" s="221">
        <v>24</v>
      </c>
      <c r="DT146" s="221">
        <v>41</v>
      </c>
      <c r="DU146" s="221">
        <v>2</v>
      </c>
      <c r="DV146" s="221">
        <v>2</v>
      </c>
      <c r="DW146" s="221">
        <v>0</v>
      </c>
      <c r="DX146" s="221">
        <v>0</v>
      </c>
      <c r="DY146" s="221">
        <v>0</v>
      </c>
      <c r="DZ146" s="221">
        <v>0</v>
      </c>
      <c r="EA146" s="221">
        <v>0</v>
      </c>
      <c r="EB146" s="221">
        <v>0</v>
      </c>
      <c r="EC146" s="221">
        <v>0</v>
      </c>
      <c r="ED146" s="221">
        <v>0</v>
      </c>
      <c r="EE146" s="221">
        <v>0</v>
      </c>
      <c r="EF146" s="221">
        <v>0</v>
      </c>
      <c r="EG146" s="221">
        <v>0</v>
      </c>
      <c r="EH146" s="221">
        <v>2</v>
      </c>
      <c r="EI146" s="221">
        <v>0</v>
      </c>
      <c r="EJ146" s="221">
        <v>0</v>
      </c>
      <c r="EK146" s="223">
        <v>357</v>
      </c>
      <c r="EL146" s="241"/>
      <c r="EM146" s="218" t="s">
        <v>7</v>
      </c>
      <c r="EN146" s="219">
        <v>115207.60173830124</v>
      </c>
      <c r="EO146" s="220">
        <v>42185.429801462858</v>
      </c>
      <c r="EP146" s="221">
        <v>12059.839078633493</v>
      </c>
      <c r="EQ146" s="221">
        <v>19505.569261828088</v>
      </c>
      <c r="ER146" s="221">
        <v>82.917887323946985</v>
      </c>
      <c r="ES146" s="221">
        <v>18.207098594532606</v>
      </c>
      <c r="ET146" s="221">
        <v>0</v>
      </c>
      <c r="EU146" s="221">
        <v>0</v>
      </c>
      <c r="EV146" s="221">
        <v>0</v>
      </c>
      <c r="EW146" s="221">
        <v>0</v>
      </c>
      <c r="EX146" s="221">
        <v>0</v>
      </c>
      <c r="EY146" s="221">
        <v>0</v>
      </c>
      <c r="EZ146" s="221">
        <v>0</v>
      </c>
      <c r="FA146" s="221">
        <v>0</v>
      </c>
      <c r="FB146" s="221">
        <v>0</v>
      </c>
      <c r="FC146" s="221">
        <v>0</v>
      </c>
      <c r="FD146" s="221">
        <v>0</v>
      </c>
      <c r="FE146" s="221">
        <v>164.5121910976535</v>
      </c>
      <c r="FF146" s="221">
        <v>0</v>
      </c>
      <c r="FG146" s="221">
        <v>0</v>
      </c>
      <c r="FH146" s="223">
        <v>189224.07705724181</v>
      </c>
    </row>
    <row r="147" spans="2:164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14"/>
      <c r="BV147" s="206"/>
      <c r="BW147" s="208"/>
      <c r="BX147" s="208"/>
      <c r="BY147" s="208"/>
      <c r="BZ147" s="208"/>
      <c r="CA147" s="208"/>
      <c r="CB147" s="208"/>
      <c r="CC147" s="208"/>
      <c r="CD147" s="208"/>
      <c r="CE147" s="208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Q147" s="214"/>
      <c r="CS147" s="206"/>
      <c r="CT147" s="208"/>
      <c r="CU147" s="208"/>
      <c r="CV147" s="208"/>
      <c r="CW147" s="208"/>
      <c r="CX147" s="208"/>
      <c r="CY147" s="208"/>
      <c r="CZ147" s="208"/>
      <c r="DA147" s="208"/>
      <c r="DB147" s="208"/>
      <c r="DC147" s="208"/>
      <c r="DD147" s="208"/>
      <c r="DE147" s="208"/>
      <c r="DF147" s="208"/>
      <c r="DG147" s="208"/>
      <c r="DH147" s="208"/>
      <c r="DI147" s="208"/>
      <c r="DJ147" s="208"/>
      <c r="DK147" s="208"/>
      <c r="DL147" s="208"/>
      <c r="DM147" s="214"/>
      <c r="DN147" s="214"/>
      <c r="DP147" s="214"/>
      <c r="DR147" s="206"/>
      <c r="DS147" s="208"/>
      <c r="DT147" s="208"/>
      <c r="DU147" s="208"/>
      <c r="DV147" s="208"/>
      <c r="DW147" s="208"/>
      <c r="DX147" s="208"/>
      <c r="DY147" s="208"/>
      <c r="DZ147" s="208"/>
      <c r="EA147" s="208"/>
      <c r="EB147" s="208"/>
      <c r="EC147" s="208"/>
      <c r="ED147" s="208"/>
      <c r="EE147" s="208"/>
      <c r="EF147" s="208"/>
      <c r="EG147" s="208"/>
      <c r="EH147" s="208"/>
      <c r="EI147" s="208"/>
      <c r="EJ147" s="208"/>
      <c r="EK147" s="208"/>
      <c r="EL147" s="206"/>
      <c r="EM147" s="214"/>
      <c r="EO147" s="206"/>
      <c r="EP147" s="208"/>
      <c r="EQ147" s="208"/>
      <c r="ER147" s="208"/>
      <c r="ES147" s="208"/>
      <c r="ET147" s="208"/>
      <c r="EU147" s="208"/>
      <c r="EV147" s="208"/>
      <c r="EW147" s="208"/>
      <c r="EX147" s="208"/>
      <c r="EY147" s="208"/>
      <c r="EZ147" s="208"/>
      <c r="FA147" s="208"/>
      <c r="FB147" s="208"/>
      <c r="FC147" s="208"/>
      <c r="FD147" s="208"/>
      <c r="FE147" s="208"/>
      <c r="FF147" s="208"/>
      <c r="FG147" s="208"/>
      <c r="FH147" s="208"/>
    </row>
    <row r="148" spans="2:164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14" t="s">
        <v>98</v>
      </c>
      <c r="BV148" s="206"/>
      <c r="BW148" s="208"/>
      <c r="BX148" s="208"/>
      <c r="BY148" s="208"/>
      <c r="BZ148" s="208"/>
      <c r="CA148" s="208"/>
      <c r="CB148" s="208"/>
      <c r="CC148" s="208"/>
      <c r="CD148" s="208"/>
      <c r="CE148" s="208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Q148" s="214" t="s">
        <v>98</v>
      </c>
      <c r="CS148" s="206"/>
      <c r="CT148" s="208"/>
      <c r="CU148" s="208"/>
      <c r="CV148" s="208"/>
      <c r="CW148" s="208"/>
      <c r="CX148" s="208"/>
      <c r="CY148" s="208"/>
      <c r="CZ148" s="208"/>
      <c r="DA148" s="208"/>
      <c r="DB148" s="208"/>
      <c r="DC148" s="208"/>
      <c r="DD148" s="208"/>
      <c r="DE148" s="208"/>
      <c r="DF148" s="208"/>
      <c r="DG148" s="208"/>
      <c r="DH148" s="208"/>
      <c r="DI148" s="208"/>
      <c r="DJ148" s="208"/>
      <c r="DK148" s="208"/>
      <c r="DL148" s="208"/>
      <c r="DM148" s="214"/>
      <c r="DN148" s="214"/>
      <c r="DP148" s="214" t="s">
        <v>98</v>
      </c>
      <c r="DR148" s="206"/>
      <c r="DS148" s="208"/>
      <c r="DT148" s="208"/>
      <c r="DU148" s="208"/>
      <c r="DV148" s="208"/>
      <c r="DW148" s="208"/>
      <c r="DX148" s="208"/>
      <c r="DY148" s="208"/>
      <c r="DZ148" s="208"/>
      <c r="EA148" s="208"/>
      <c r="EB148" s="208"/>
      <c r="EC148" s="208"/>
      <c r="ED148" s="208"/>
      <c r="EE148" s="208"/>
      <c r="EF148" s="208"/>
      <c r="EG148" s="208"/>
      <c r="EH148" s="208"/>
      <c r="EI148" s="208"/>
      <c r="EJ148" s="208"/>
      <c r="EK148" s="208"/>
      <c r="EL148" s="206"/>
      <c r="EM148" s="214" t="s">
        <v>98</v>
      </c>
      <c r="EO148" s="206"/>
      <c r="EP148" s="208"/>
      <c r="EQ148" s="208"/>
      <c r="ER148" s="208"/>
      <c r="ES148" s="208"/>
      <c r="ET148" s="208"/>
      <c r="EU148" s="208"/>
      <c r="EV148" s="208"/>
      <c r="EW148" s="208"/>
      <c r="EX148" s="208"/>
      <c r="EY148" s="208"/>
      <c r="EZ148" s="208"/>
      <c r="FA148" s="208"/>
      <c r="FB148" s="208"/>
      <c r="FC148" s="208"/>
      <c r="FD148" s="208"/>
      <c r="FE148" s="208"/>
      <c r="FF148" s="208"/>
      <c r="FG148" s="208"/>
      <c r="FH148" s="208"/>
    </row>
    <row r="149" spans="2:164" ht="36" x14ac:dyDescent="0.2">
      <c r="B149" s="224" t="s">
        <v>331</v>
      </c>
      <c r="C149" s="225" t="s">
        <v>332</v>
      </c>
      <c r="D149" s="225" t="s">
        <v>333</v>
      </c>
      <c r="E149" s="225" t="s">
        <v>334</v>
      </c>
      <c r="F149" s="225" t="s">
        <v>2</v>
      </c>
      <c r="G149" s="225" t="s">
        <v>3</v>
      </c>
      <c r="H149" s="225" t="s">
        <v>335</v>
      </c>
      <c r="I149" s="225" t="s">
        <v>362</v>
      </c>
      <c r="J149" s="225" t="s">
        <v>349</v>
      </c>
      <c r="K149" s="225" t="s">
        <v>337</v>
      </c>
      <c r="L149" s="225" t="s">
        <v>338</v>
      </c>
      <c r="M149" s="225" t="s">
        <v>339</v>
      </c>
      <c r="N149" s="225" t="s">
        <v>340</v>
      </c>
      <c r="O149" s="225" t="s">
        <v>361</v>
      </c>
      <c r="P149" s="225" t="s">
        <v>350</v>
      </c>
      <c r="Q149" s="225" t="s">
        <v>341</v>
      </c>
      <c r="R149" s="225" t="s">
        <v>342</v>
      </c>
      <c r="S149" s="225" t="s">
        <v>343</v>
      </c>
      <c r="T149" s="225" t="s">
        <v>6</v>
      </c>
      <c r="U149" s="225" t="s">
        <v>344</v>
      </c>
      <c r="V149" s="225" t="s">
        <v>345</v>
      </c>
      <c r="W149" s="226" t="s">
        <v>7</v>
      </c>
      <c r="X149" s="208"/>
      <c r="Y149" s="224" t="s">
        <v>331</v>
      </c>
      <c r="Z149" s="225" t="s">
        <v>332</v>
      </c>
      <c r="AA149" s="225" t="s">
        <v>333</v>
      </c>
      <c r="AB149" s="225" t="s">
        <v>334</v>
      </c>
      <c r="AC149" s="225" t="s">
        <v>2</v>
      </c>
      <c r="AD149" s="225" t="s">
        <v>3</v>
      </c>
      <c r="AE149" s="225" t="s">
        <v>335</v>
      </c>
      <c r="AF149" s="225" t="s">
        <v>362</v>
      </c>
      <c r="AG149" s="225" t="s">
        <v>349</v>
      </c>
      <c r="AH149" s="225" t="s">
        <v>337</v>
      </c>
      <c r="AI149" s="225" t="s">
        <v>338</v>
      </c>
      <c r="AJ149" s="225" t="s">
        <v>339</v>
      </c>
      <c r="AK149" s="225" t="s">
        <v>340</v>
      </c>
      <c r="AL149" s="225" t="s">
        <v>361</v>
      </c>
      <c r="AM149" s="225" t="s">
        <v>350</v>
      </c>
      <c r="AN149" s="225" t="s">
        <v>341</v>
      </c>
      <c r="AO149" s="225" t="s">
        <v>342</v>
      </c>
      <c r="AP149" s="225" t="s">
        <v>343</v>
      </c>
      <c r="AQ149" s="225" t="s">
        <v>6</v>
      </c>
      <c r="AR149" s="225" t="s">
        <v>344</v>
      </c>
      <c r="AS149" s="225" t="s">
        <v>345</v>
      </c>
      <c r="AT149" s="226" t="s">
        <v>7</v>
      </c>
      <c r="AV149" s="224" t="s">
        <v>331</v>
      </c>
      <c r="AW149" s="225" t="s">
        <v>332</v>
      </c>
      <c r="AX149" s="225" t="s">
        <v>333</v>
      </c>
      <c r="AY149" s="225" t="s">
        <v>334</v>
      </c>
      <c r="AZ149" s="225" t="s">
        <v>2</v>
      </c>
      <c r="BA149" s="225" t="s">
        <v>3</v>
      </c>
      <c r="BB149" s="225" t="s">
        <v>335</v>
      </c>
      <c r="BC149" s="225" t="s">
        <v>362</v>
      </c>
      <c r="BD149" s="225" t="s">
        <v>349</v>
      </c>
      <c r="BE149" s="225" t="s">
        <v>337</v>
      </c>
      <c r="BF149" s="225" t="s">
        <v>338</v>
      </c>
      <c r="BG149" s="225" t="s">
        <v>339</v>
      </c>
      <c r="BH149" s="225" t="s">
        <v>340</v>
      </c>
      <c r="BI149" s="225" t="s">
        <v>361</v>
      </c>
      <c r="BJ149" s="225" t="s">
        <v>350</v>
      </c>
      <c r="BK149" s="225" t="s">
        <v>341</v>
      </c>
      <c r="BL149" s="225" t="s">
        <v>342</v>
      </c>
      <c r="BM149" s="225" t="s">
        <v>343</v>
      </c>
      <c r="BN149" s="225" t="s">
        <v>6</v>
      </c>
      <c r="BO149" s="225" t="s">
        <v>344</v>
      </c>
      <c r="BP149" s="225" t="s">
        <v>345</v>
      </c>
      <c r="BQ149" s="226" t="s">
        <v>7</v>
      </c>
      <c r="BR149" s="235"/>
      <c r="BS149" s="236"/>
      <c r="BT149" s="224" t="s">
        <v>331</v>
      </c>
      <c r="BU149" s="225" t="s">
        <v>332</v>
      </c>
      <c r="BV149" s="225" t="s">
        <v>333</v>
      </c>
      <c r="BW149" s="225" t="s">
        <v>334</v>
      </c>
      <c r="BX149" s="225" t="s">
        <v>2</v>
      </c>
      <c r="BY149" s="225" t="s">
        <v>3</v>
      </c>
      <c r="BZ149" s="225" t="s">
        <v>335</v>
      </c>
      <c r="CA149" s="225" t="s">
        <v>362</v>
      </c>
      <c r="CB149" s="225" t="s">
        <v>349</v>
      </c>
      <c r="CC149" s="225" t="s">
        <v>337</v>
      </c>
      <c r="CD149" s="225" t="s">
        <v>338</v>
      </c>
      <c r="CE149" s="225" t="s">
        <v>339</v>
      </c>
      <c r="CF149" s="225" t="s">
        <v>340</v>
      </c>
      <c r="CG149" s="225" t="s">
        <v>361</v>
      </c>
      <c r="CH149" s="225" t="s">
        <v>350</v>
      </c>
      <c r="CI149" s="225" t="s">
        <v>341</v>
      </c>
      <c r="CJ149" s="225" t="s">
        <v>342</v>
      </c>
      <c r="CK149" s="225" t="s">
        <v>343</v>
      </c>
      <c r="CL149" s="225" t="s">
        <v>6</v>
      </c>
      <c r="CM149" s="225" t="s">
        <v>344</v>
      </c>
      <c r="CN149" s="225" t="s">
        <v>345</v>
      </c>
      <c r="CO149" s="226" t="s">
        <v>7</v>
      </c>
      <c r="CQ149" s="224" t="s">
        <v>331</v>
      </c>
      <c r="CR149" s="225" t="s">
        <v>332</v>
      </c>
      <c r="CS149" s="225" t="s">
        <v>333</v>
      </c>
      <c r="CT149" s="225" t="s">
        <v>334</v>
      </c>
      <c r="CU149" s="225" t="s">
        <v>2</v>
      </c>
      <c r="CV149" s="225" t="s">
        <v>3</v>
      </c>
      <c r="CW149" s="225" t="s">
        <v>335</v>
      </c>
      <c r="CX149" s="225" t="s">
        <v>362</v>
      </c>
      <c r="CY149" s="225" t="s">
        <v>349</v>
      </c>
      <c r="CZ149" s="225" t="s">
        <v>337</v>
      </c>
      <c r="DA149" s="225" t="s">
        <v>338</v>
      </c>
      <c r="DB149" s="225" t="s">
        <v>339</v>
      </c>
      <c r="DC149" s="225" t="s">
        <v>340</v>
      </c>
      <c r="DD149" s="225" t="s">
        <v>361</v>
      </c>
      <c r="DE149" s="225" t="s">
        <v>350</v>
      </c>
      <c r="DF149" s="225" t="s">
        <v>341</v>
      </c>
      <c r="DG149" s="225" t="s">
        <v>342</v>
      </c>
      <c r="DH149" s="225" t="s">
        <v>343</v>
      </c>
      <c r="DI149" s="225" t="s">
        <v>6</v>
      </c>
      <c r="DJ149" s="225" t="s">
        <v>344</v>
      </c>
      <c r="DK149" s="225" t="s">
        <v>345</v>
      </c>
      <c r="DL149" s="226" t="s">
        <v>7</v>
      </c>
      <c r="DM149" s="214"/>
      <c r="DN149" s="214"/>
      <c r="DP149" s="224" t="s">
        <v>331</v>
      </c>
      <c r="DQ149" s="225" t="s">
        <v>332</v>
      </c>
      <c r="DR149" s="225" t="s">
        <v>333</v>
      </c>
      <c r="DS149" s="225" t="s">
        <v>334</v>
      </c>
      <c r="DT149" s="225" t="s">
        <v>2</v>
      </c>
      <c r="DU149" s="225" t="s">
        <v>3</v>
      </c>
      <c r="DV149" s="225" t="s">
        <v>335</v>
      </c>
      <c r="DW149" s="225" t="s">
        <v>362</v>
      </c>
      <c r="DX149" s="225" t="s">
        <v>349</v>
      </c>
      <c r="DY149" s="225" t="s">
        <v>337</v>
      </c>
      <c r="DZ149" s="225" t="s">
        <v>338</v>
      </c>
      <c r="EA149" s="225" t="s">
        <v>339</v>
      </c>
      <c r="EB149" s="225" t="s">
        <v>340</v>
      </c>
      <c r="EC149" s="225" t="s">
        <v>361</v>
      </c>
      <c r="ED149" s="225" t="s">
        <v>350</v>
      </c>
      <c r="EE149" s="225" t="s">
        <v>341</v>
      </c>
      <c r="EF149" s="225" t="s">
        <v>342</v>
      </c>
      <c r="EG149" s="225" t="s">
        <v>343</v>
      </c>
      <c r="EH149" s="225" t="s">
        <v>6</v>
      </c>
      <c r="EI149" s="225" t="s">
        <v>344</v>
      </c>
      <c r="EJ149" s="225" t="s">
        <v>345</v>
      </c>
      <c r="EK149" s="226" t="s">
        <v>7</v>
      </c>
      <c r="EL149" s="240"/>
      <c r="EM149" s="224" t="s">
        <v>331</v>
      </c>
      <c r="EN149" s="225" t="s">
        <v>332</v>
      </c>
      <c r="EO149" s="225" t="s">
        <v>333</v>
      </c>
      <c r="EP149" s="225" t="s">
        <v>334</v>
      </c>
      <c r="EQ149" s="225" t="s">
        <v>2</v>
      </c>
      <c r="ER149" s="225" t="s">
        <v>3</v>
      </c>
      <c r="ES149" s="225" t="s">
        <v>335</v>
      </c>
      <c r="ET149" s="225" t="s">
        <v>362</v>
      </c>
      <c r="EU149" s="225" t="s">
        <v>349</v>
      </c>
      <c r="EV149" s="225" t="s">
        <v>337</v>
      </c>
      <c r="EW149" s="225" t="s">
        <v>338</v>
      </c>
      <c r="EX149" s="225" t="s">
        <v>339</v>
      </c>
      <c r="EY149" s="225" t="s">
        <v>340</v>
      </c>
      <c r="EZ149" s="225" t="s">
        <v>361</v>
      </c>
      <c r="FA149" s="225" t="s">
        <v>350</v>
      </c>
      <c r="FB149" s="225" t="s">
        <v>341</v>
      </c>
      <c r="FC149" s="225" t="s">
        <v>342</v>
      </c>
      <c r="FD149" s="225" t="s">
        <v>343</v>
      </c>
      <c r="FE149" s="225" t="s">
        <v>6</v>
      </c>
      <c r="FF149" s="225" t="s">
        <v>344</v>
      </c>
      <c r="FG149" s="225" t="s">
        <v>345</v>
      </c>
      <c r="FH149" s="226" t="s">
        <v>7</v>
      </c>
    </row>
    <row r="150" spans="2:164" x14ac:dyDescent="0.2">
      <c r="B150" s="233" t="s">
        <v>332</v>
      </c>
      <c r="C150" s="227">
        <v>66</v>
      </c>
      <c r="D150" s="227">
        <v>40</v>
      </c>
      <c r="E150" s="227">
        <v>6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114</v>
      </c>
      <c r="X150" s="208"/>
      <c r="Y150" s="233" t="s">
        <v>332</v>
      </c>
      <c r="Z150" s="227">
        <v>26253.423592902622</v>
      </c>
      <c r="AA150" s="227">
        <v>9708.8054998008938</v>
      </c>
      <c r="AB150" s="227">
        <v>2487.5080505031169</v>
      </c>
      <c r="AC150" s="254">
        <v>25.089530681536534</v>
      </c>
      <c r="AD150" s="254">
        <v>0</v>
      </c>
      <c r="AE150" s="254">
        <v>0</v>
      </c>
      <c r="AF150" s="254">
        <v>0</v>
      </c>
      <c r="AG150" s="254">
        <v>0</v>
      </c>
      <c r="AH150" s="254">
        <v>0</v>
      </c>
      <c r="AI150" s="254">
        <v>0</v>
      </c>
      <c r="AJ150" s="254">
        <v>0</v>
      </c>
      <c r="AK150" s="254">
        <v>0</v>
      </c>
      <c r="AL150" s="254">
        <v>0</v>
      </c>
      <c r="AM150" s="254">
        <v>0</v>
      </c>
      <c r="AN150" s="254">
        <v>0</v>
      </c>
      <c r="AO150" s="254">
        <v>0</v>
      </c>
      <c r="AP150" s="254">
        <v>0</v>
      </c>
      <c r="AQ150" s="254">
        <v>0</v>
      </c>
      <c r="AR150" s="254">
        <v>0</v>
      </c>
      <c r="AS150" s="254">
        <v>0</v>
      </c>
      <c r="AT150" s="230">
        <v>38474.826673888165</v>
      </c>
      <c r="AV150" s="233" t="s">
        <v>332</v>
      </c>
      <c r="AW150" s="227">
        <v>26253.423592902622</v>
      </c>
      <c r="AX150" s="227">
        <v>9708.8054998008938</v>
      </c>
      <c r="AY150" s="227">
        <v>2487.5080505031169</v>
      </c>
      <c r="AZ150" s="232">
        <v>0</v>
      </c>
      <c r="BA150" s="254">
        <v>0</v>
      </c>
      <c r="BB150" s="254">
        <v>0</v>
      </c>
      <c r="BC150" s="254">
        <v>0</v>
      </c>
      <c r="BD150" s="254">
        <v>0</v>
      </c>
      <c r="BE150" s="254">
        <v>0</v>
      </c>
      <c r="BF150" s="254">
        <v>0</v>
      </c>
      <c r="BG150" s="254">
        <v>0</v>
      </c>
      <c r="BH150" s="254">
        <v>0</v>
      </c>
      <c r="BI150" s="254">
        <v>0</v>
      </c>
      <c r="BJ150" s="254">
        <v>0</v>
      </c>
      <c r="BK150" s="254">
        <v>0</v>
      </c>
      <c r="BL150" s="254">
        <v>0</v>
      </c>
      <c r="BM150" s="254">
        <v>0</v>
      </c>
      <c r="BN150" s="254">
        <v>0</v>
      </c>
      <c r="BO150" s="254">
        <v>0</v>
      </c>
      <c r="BP150" s="254">
        <v>0</v>
      </c>
      <c r="BQ150" s="230">
        <f t="shared" ref="BQ150:BQ170" si="102">SUM(AW150:BP150)</f>
        <v>38449.737143206628</v>
      </c>
      <c r="BR150" s="237"/>
      <c r="BS150" s="227"/>
      <c r="BT150" s="233" t="s">
        <v>332</v>
      </c>
      <c r="BU150" s="227">
        <v>4</v>
      </c>
      <c r="BV150" s="227">
        <v>9</v>
      </c>
      <c r="BW150" s="227">
        <v>1</v>
      </c>
      <c r="BX150" s="227">
        <v>0</v>
      </c>
      <c r="BY150" s="227">
        <v>0</v>
      </c>
      <c r="BZ150" s="227">
        <v>0</v>
      </c>
      <c r="CA150" s="227">
        <v>0</v>
      </c>
      <c r="CB150" s="227">
        <v>0</v>
      </c>
      <c r="CC150" s="227">
        <v>0</v>
      </c>
      <c r="CD150" s="227">
        <v>0</v>
      </c>
      <c r="CE150" s="227">
        <v>0</v>
      </c>
      <c r="CF150" s="227">
        <v>0</v>
      </c>
      <c r="CG150" s="227">
        <v>0</v>
      </c>
      <c r="CH150" s="227">
        <v>0</v>
      </c>
      <c r="CI150" s="227">
        <v>0</v>
      </c>
      <c r="CJ150" s="227">
        <v>0</v>
      </c>
      <c r="CK150" s="227">
        <v>0</v>
      </c>
      <c r="CL150" s="227">
        <v>0</v>
      </c>
      <c r="CM150" s="227">
        <v>0</v>
      </c>
      <c r="CN150" s="227">
        <v>0</v>
      </c>
      <c r="CO150" s="230">
        <v>14</v>
      </c>
      <c r="CP150" s="236"/>
      <c r="CQ150" s="233" t="s">
        <v>332</v>
      </c>
      <c r="CR150" s="227">
        <v>4808.7851798764759</v>
      </c>
      <c r="CS150" s="227">
        <v>658.33573537848144</v>
      </c>
      <c r="CT150" s="227">
        <v>42.20913638336841</v>
      </c>
      <c r="CU150" s="227">
        <v>0</v>
      </c>
      <c r="CV150" s="227">
        <v>0</v>
      </c>
      <c r="CW150" s="227">
        <v>0</v>
      </c>
      <c r="CX150" s="227">
        <v>0</v>
      </c>
      <c r="CY150" s="227">
        <v>0</v>
      </c>
      <c r="CZ150" s="227">
        <v>0</v>
      </c>
      <c r="DA150" s="227">
        <v>0</v>
      </c>
      <c r="DB150" s="227">
        <v>0</v>
      </c>
      <c r="DC150" s="227">
        <v>0</v>
      </c>
      <c r="DD150" s="227">
        <v>0</v>
      </c>
      <c r="DE150" s="227">
        <v>0</v>
      </c>
      <c r="DF150" s="227">
        <v>0</v>
      </c>
      <c r="DG150" s="227">
        <v>0</v>
      </c>
      <c r="DH150" s="227">
        <v>0</v>
      </c>
      <c r="DI150" s="227">
        <v>0</v>
      </c>
      <c r="DJ150" s="227">
        <v>0</v>
      </c>
      <c r="DK150" s="227">
        <v>0</v>
      </c>
      <c r="DL150" s="230">
        <v>5509.330051638326</v>
      </c>
      <c r="DM150" s="235"/>
      <c r="DN150" s="235"/>
      <c r="DO150" s="236"/>
      <c r="DP150" s="233" t="s">
        <v>332</v>
      </c>
      <c r="DQ150" s="227">
        <v>10</v>
      </c>
      <c r="DR150" s="227">
        <v>17</v>
      </c>
      <c r="DS150" s="227">
        <v>1</v>
      </c>
      <c r="DT150" s="227">
        <v>0</v>
      </c>
      <c r="DU150" s="227">
        <v>0</v>
      </c>
      <c r="DV150" s="227">
        <v>0</v>
      </c>
      <c r="DW150" s="227">
        <v>0</v>
      </c>
      <c r="DX150" s="227">
        <v>0</v>
      </c>
      <c r="DY150" s="227">
        <v>0</v>
      </c>
      <c r="DZ150" s="227">
        <v>0</v>
      </c>
      <c r="EA150" s="227">
        <v>0</v>
      </c>
      <c r="EB150" s="227">
        <v>0</v>
      </c>
      <c r="EC150" s="227">
        <v>0</v>
      </c>
      <c r="ED150" s="227">
        <v>0</v>
      </c>
      <c r="EE150" s="227">
        <v>0</v>
      </c>
      <c r="EF150" s="227">
        <v>0</v>
      </c>
      <c r="EG150" s="227">
        <v>0</v>
      </c>
      <c r="EH150" s="227">
        <v>0</v>
      </c>
      <c r="EI150" s="227">
        <v>0</v>
      </c>
      <c r="EJ150" s="227">
        <v>0</v>
      </c>
      <c r="EK150" s="230">
        <v>28</v>
      </c>
      <c r="EL150" s="239"/>
      <c r="EM150" s="233" t="s">
        <v>332</v>
      </c>
      <c r="EN150" s="227">
        <v>5074.9292329041009</v>
      </c>
      <c r="EO150" s="227">
        <v>5691.2598946083071</v>
      </c>
      <c r="EP150" s="227">
        <v>42.20913638336841</v>
      </c>
      <c r="EQ150" s="227">
        <v>0</v>
      </c>
      <c r="ER150" s="227">
        <v>0</v>
      </c>
      <c r="ES150" s="227">
        <v>0</v>
      </c>
      <c r="ET150" s="227">
        <v>0</v>
      </c>
      <c r="EU150" s="227">
        <v>0</v>
      </c>
      <c r="EV150" s="227">
        <v>0</v>
      </c>
      <c r="EW150" s="227">
        <v>0</v>
      </c>
      <c r="EX150" s="227">
        <v>0</v>
      </c>
      <c r="EY150" s="227">
        <v>0</v>
      </c>
      <c r="EZ150" s="227">
        <v>0</v>
      </c>
      <c r="FA150" s="227">
        <v>0</v>
      </c>
      <c r="FB150" s="227">
        <v>0</v>
      </c>
      <c r="FC150" s="227">
        <v>0</v>
      </c>
      <c r="FD150" s="227">
        <v>0</v>
      </c>
      <c r="FE150" s="227">
        <v>0</v>
      </c>
      <c r="FF150" s="227">
        <v>0</v>
      </c>
      <c r="FG150" s="227">
        <v>0</v>
      </c>
      <c r="FH150" s="230">
        <v>10808.398263895775</v>
      </c>
    </row>
    <row r="151" spans="2:164" x14ac:dyDescent="0.2">
      <c r="B151" s="215" t="s">
        <v>333</v>
      </c>
      <c r="C151" s="227">
        <v>0</v>
      </c>
      <c r="D151" s="227">
        <v>3094</v>
      </c>
      <c r="E151" s="227">
        <v>264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5</v>
      </c>
      <c r="V151" s="227">
        <v>0</v>
      </c>
      <c r="W151" s="230">
        <v>3365</v>
      </c>
      <c r="X151" s="208"/>
      <c r="Y151" s="215" t="s">
        <v>333</v>
      </c>
      <c r="Z151" s="227">
        <v>0</v>
      </c>
      <c r="AA151" s="227">
        <v>1166099.7380103397</v>
      </c>
      <c r="AB151" s="227">
        <v>199360.89954495963</v>
      </c>
      <c r="AC151" s="227">
        <v>0</v>
      </c>
      <c r="AD151" s="227">
        <v>0</v>
      </c>
      <c r="AE151" s="227">
        <v>0</v>
      </c>
      <c r="AF151" s="227">
        <v>95.159789700886989</v>
      </c>
      <c r="AG151" s="227">
        <v>0</v>
      </c>
      <c r="AH151" s="227">
        <v>0</v>
      </c>
      <c r="AI151" s="227">
        <v>0</v>
      </c>
      <c r="AJ151" s="227">
        <v>0</v>
      </c>
      <c r="AK151" s="254">
        <v>0</v>
      </c>
      <c r="AL151" s="254">
        <v>0</v>
      </c>
      <c r="AM151" s="254">
        <v>0</v>
      </c>
      <c r="AN151" s="254">
        <v>0</v>
      </c>
      <c r="AO151" s="254">
        <v>0</v>
      </c>
      <c r="AP151" s="254">
        <v>0</v>
      </c>
      <c r="AQ151" s="227">
        <v>0</v>
      </c>
      <c r="AR151" s="227">
        <v>1655.2608058442615</v>
      </c>
      <c r="AS151" s="227">
        <v>0</v>
      </c>
      <c r="AT151" s="230">
        <v>1367211.0581508446</v>
      </c>
      <c r="AV151" s="215" t="s">
        <v>333</v>
      </c>
      <c r="AW151" s="227">
        <v>0</v>
      </c>
      <c r="AX151" s="227">
        <v>1166099.7380103397</v>
      </c>
      <c r="AY151" s="227">
        <v>199360.89954495963</v>
      </c>
      <c r="AZ151" s="227">
        <v>0</v>
      </c>
      <c r="BA151" s="227">
        <v>0</v>
      </c>
      <c r="BB151" s="227">
        <v>0</v>
      </c>
      <c r="BC151" s="227">
        <v>95.159789700886989</v>
      </c>
      <c r="BD151" s="227">
        <v>0</v>
      </c>
      <c r="BE151" s="227">
        <v>0</v>
      </c>
      <c r="BF151" s="227">
        <v>0</v>
      </c>
      <c r="BG151" s="227">
        <v>0</v>
      </c>
      <c r="BH151" s="254">
        <v>0</v>
      </c>
      <c r="BI151" s="254">
        <v>0</v>
      </c>
      <c r="BJ151" s="254">
        <v>0</v>
      </c>
      <c r="BK151" s="254">
        <v>0</v>
      </c>
      <c r="BL151" s="254">
        <v>0</v>
      </c>
      <c r="BM151" s="254">
        <v>0</v>
      </c>
      <c r="BN151" s="227">
        <v>0</v>
      </c>
      <c r="BO151" s="227">
        <v>1655.2608058442615</v>
      </c>
      <c r="BP151" s="227">
        <v>0</v>
      </c>
      <c r="BQ151" s="230">
        <f t="shared" si="102"/>
        <v>1367211.0581508446</v>
      </c>
      <c r="BR151" s="237"/>
      <c r="BS151" s="227"/>
      <c r="BT151" s="215" t="s">
        <v>333</v>
      </c>
      <c r="BU151" s="227">
        <v>0</v>
      </c>
      <c r="BV151" s="227">
        <v>325</v>
      </c>
      <c r="BW151" s="227">
        <v>31</v>
      </c>
      <c r="BX151" s="227">
        <v>0</v>
      </c>
      <c r="BY151" s="227">
        <v>0</v>
      </c>
      <c r="BZ151" s="227">
        <v>0</v>
      </c>
      <c r="CA151" s="227">
        <v>0</v>
      </c>
      <c r="CB151" s="227">
        <v>0</v>
      </c>
      <c r="CC151" s="227">
        <v>0</v>
      </c>
      <c r="CD151" s="227">
        <v>0</v>
      </c>
      <c r="CE151" s="227">
        <v>0</v>
      </c>
      <c r="CF151" s="227">
        <v>0</v>
      </c>
      <c r="CG151" s="227">
        <v>0</v>
      </c>
      <c r="CH151" s="227">
        <v>0</v>
      </c>
      <c r="CI151" s="227">
        <v>0</v>
      </c>
      <c r="CJ151" s="227">
        <v>0</v>
      </c>
      <c r="CK151" s="227">
        <v>0</v>
      </c>
      <c r="CL151" s="227">
        <v>0</v>
      </c>
      <c r="CM151" s="227">
        <v>0</v>
      </c>
      <c r="CN151" s="227">
        <v>0</v>
      </c>
      <c r="CO151" s="230">
        <v>356</v>
      </c>
      <c r="CP151" s="227"/>
      <c r="CQ151" s="215" t="s">
        <v>333</v>
      </c>
      <c r="CR151" s="227">
        <v>0</v>
      </c>
      <c r="CS151" s="227">
        <v>96961.45028894188</v>
      </c>
      <c r="CT151" s="227">
        <v>15855.272517578569</v>
      </c>
      <c r="CU151" s="227">
        <v>0</v>
      </c>
      <c r="CV151" s="227">
        <v>0</v>
      </c>
      <c r="CW151" s="227">
        <v>0</v>
      </c>
      <c r="CX151" s="227">
        <v>0</v>
      </c>
      <c r="CY151" s="227">
        <v>0</v>
      </c>
      <c r="CZ151" s="227">
        <v>0</v>
      </c>
      <c r="DA151" s="227">
        <v>0</v>
      </c>
      <c r="DB151" s="227">
        <v>0</v>
      </c>
      <c r="DC151" s="227">
        <v>0</v>
      </c>
      <c r="DD151" s="227">
        <v>0</v>
      </c>
      <c r="DE151" s="227">
        <v>0</v>
      </c>
      <c r="DF151" s="227">
        <v>0</v>
      </c>
      <c r="DG151" s="227">
        <v>0</v>
      </c>
      <c r="DH151" s="227">
        <v>0</v>
      </c>
      <c r="DI151" s="227">
        <v>0</v>
      </c>
      <c r="DJ151" s="227">
        <v>0</v>
      </c>
      <c r="DK151" s="227">
        <v>0</v>
      </c>
      <c r="DL151" s="230">
        <v>112816.72280652045</v>
      </c>
      <c r="DM151" s="237"/>
      <c r="DN151" s="237"/>
      <c r="DO151" s="227"/>
      <c r="DP151" s="215" t="s">
        <v>333</v>
      </c>
      <c r="DQ151" s="227">
        <v>0</v>
      </c>
      <c r="DR151" s="227">
        <v>554</v>
      </c>
      <c r="DS151" s="227">
        <v>45</v>
      </c>
      <c r="DT151" s="227">
        <v>0</v>
      </c>
      <c r="DU151" s="227">
        <v>0</v>
      </c>
      <c r="DV151" s="227">
        <v>0</v>
      </c>
      <c r="DW151" s="227">
        <v>0</v>
      </c>
      <c r="DX151" s="227">
        <v>0</v>
      </c>
      <c r="DY151" s="227">
        <v>0</v>
      </c>
      <c r="DZ151" s="227">
        <v>0</v>
      </c>
      <c r="EA151" s="227">
        <v>0</v>
      </c>
      <c r="EB151" s="227">
        <v>0</v>
      </c>
      <c r="EC151" s="227">
        <v>0</v>
      </c>
      <c r="ED151" s="227">
        <v>0</v>
      </c>
      <c r="EE151" s="227">
        <v>0</v>
      </c>
      <c r="EF151" s="227">
        <v>0</v>
      </c>
      <c r="EG151" s="227">
        <v>0</v>
      </c>
      <c r="EH151" s="227">
        <v>0</v>
      </c>
      <c r="EI151" s="227">
        <v>0</v>
      </c>
      <c r="EJ151" s="227">
        <v>0</v>
      </c>
      <c r="EK151" s="230">
        <v>599</v>
      </c>
      <c r="EL151" s="227"/>
      <c r="EM151" s="215" t="s">
        <v>333</v>
      </c>
      <c r="EN151" s="227">
        <v>0</v>
      </c>
      <c r="EO151" s="227">
        <v>206395.20345797038</v>
      </c>
      <c r="EP151" s="227">
        <v>43203.71834328484</v>
      </c>
      <c r="EQ151" s="227">
        <v>0</v>
      </c>
      <c r="ER151" s="227">
        <v>0</v>
      </c>
      <c r="ES151" s="227">
        <v>0</v>
      </c>
      <c r="ET151" s="227">
        <v>0</v>
      </c>
      <c r="EU151" s="227">
        <v>0</v>
      </c>
      <c r="EV151" s="227">
        <v>0</v>
      </c>
      <c r="EW151" s="227">
        <v>0</v>
      </c>
      <c r="EX151" s="227">
        <v>0</v>
      </c>
      <c r="EY151" s="227">
        <v>0</v>
      </c>
      <c r="EZ151" s="227">
        <v>0</v>
      </c>
      <c r="FA151" s="227">
        <v>0</v>
      </c>
      <c r="FB151" s="227">
        <v>0</v>
      </c>
      <c r="FC151" s="227">
        <v>0</v>
      </c>
      <c r="FD151" s="227">
        <v>0</v>
      </c>
      <c r="FE151" s="227">
        <v>0</v>
      </c>
      <c r="FF151" s="227">
        <v>0</v>
      </c>
      <c r="FG151" s="227">
        <v>0</v>
      </c>
      <c r="FH151" s="230">
        <v>249598.9218012552</v>
      </c>
    </row>
    <row r="152" spans="2:164" ht="24" x14ac:dyDescent="0.2">
      <c r="B152" s="216" t="s">
        <v>334</v>
      </c>
      <c r="C152" s="227">
        <v>0</v>
      </c>
      <c r="D152" s="228">
        <v>0</v>
      </c>
      <c r="E152" s="229">
        <v>1661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2</v>
      </c>
      <c r="T152" s="229">
        <v>0</v>
      </c>
      <c r="U152" s="229">
        <v>4</v>
      </c>
      <c r="V152" s="229">
        <v>0</v>
      </c>
      <c r="W152" s="231">
        <v>1669</v>
      </c>
      <c r="X152" s="208"/>
      <c r="Y152" s="216" t="s">
        <v>334</v>
      </c>
      <c r="Z152" s="227">
        <v>0</v>
      </c>
      <c r="AA152" s="228">
        <v>0</v>
      </c>
      <c r="AB152" s="229">
        <v>2085171.8352775446</v>
      </c>
      <c r="AC152" s="229">
        <v>0</v>
      </c>
      <c r="AD152" s="229">
        <v>0</v>
      </c>
      <c r="AE152" s="229">
        <v>0</v>
      </c>
      <c r="AF152" s="229">
        <v>95.159789700886989</v>
      </c>
      <c r="AG152" s="229">
        <v>0</v>
      </c>
      <c r="AH152" s="229">
        <v>0</v>
      </c>
      <c r="AI152" s="229">
        <v>0</v>
      </c>
      <c r="AJ152" s="229">
        <v>0</v>
      </c>
      <c r="AK152" s="256">
        <v>0</v>
      </c>
      <c r="AL152" s="256">
        <v>0</v>
      </c>
      <c r="AM152" s="256">
        <v>0</v>
      </c>
      <c r="AN152" s="256">
        <v>0</v>
      </c>
      <c r="AO152" s="256">
        <v>0</v>
      </c>
      <c r="AP152" s="256">
        <v>425.77933737987439</v>
      </c>
      <c r="AQ152" s="229">
        <v>0</v>
      </c>
      <c r="AR152" s="229">
        <v>3210.1266133605163</v>
      </c>
      <c r="AS152" s="229">
        <v>0</v>
      </c>
      <c r="AT152" s="231">
        <v>2088902.901017986</v>
      </c>
      <c r="AV152" s="216" t="s">
        <v>334</v>
      </c>
      <c r="AW152" s="227">
        <v>0</v>
      </c>
      <c r="AX152" s="228">
        <v>0</v>
      </c>
      <c r="AY152" s="229">
        <v>2085171.8352775446</v>
      </c>
      <c r="AZ152" s="229">
        <v>0</v>
      </c>
      <c r="BA152" s="229">
        <v>0</v>
      </c>
      <c r="BB152" s="229">
        <v>0</v>
      </c>
      <c r="BC152" s="229">
        <v>95.159789700886989</v>
      </c>
      <c r="BD152" s="229">
        <v>0</v>
      </c>
      <c r="BE152" s="229">
        <v>0</v>
      </c>
      <c r="BF152" s="229">
        <v>0</v>
      </c>
      <c r="BG152" s="229">
        <v>0</v>
      </c>
      <c r="BH152" s="256">
        <v>0</v>
      </c>
      <c r="BI152" s="256">
        <v>0</v>
      </c>
      <c r="BJ152" s="256">
        <v>0</v>
      </c>
      <c r="BK152" s="256">
        <v>0</v>
      </c>
      <c r="BL152" s="256">
        <v>0</v>
      </c>
      <c r="BM152" s="260">
        <v>0</v>
      </c>
      <c r="BN152" s="229">
        <v>0</v>
      </c>
      <c r="BO152" s="229">
        <v>3210.1266133605163</v>
      </c>
      <c r="BP152" s="229">
        <v>0</v>
      </c>
      <c r="BQ152" s="230">
        <f t="shared" si="102"/>
        <v>2088477.1216806062</v>
      </c>
      <c r="BR152" s="238"/>
      <c r="BS152" s="227"/>
      <c r="BT152" s="216" t="s">
        <v>334</v>
      </c>
      <c r="BU152" s="227">
        <v>0</v>
      </c>
      <c r="BV152" s="228">
        <v>0</v>
      </c>
      <c r="BW152" s="229">
        <v>219</v>
      </c>
      <c r="BX152" s="229">
        <v>0</v>
      </c>
      <c r="BY152" s="229">
        <v>0</v>
      </c>
      <c r="BZ152" s="229">
        <v>0</v>
      </c>
      <c r="CA152" s="229">
        <v>0</v>
      </c>
      <c r="CB152" s="229">
        <v>0</v>
      </c>
      <c r="CC152" s="229">
        <v>0</v>
      </c>
      <c r="CD152" s="229">
        <v>0</v>
      </c>
      <c r="CE152" s="229">
        <v>0</v>
      </c>
      <c r="CF152" s="229">
        <v>0</v>
      </c>
      <c r="CG152" s="229">
        <v>0</v>
      </c>
      <c r="CH152" s="229">
        <v>0</v>
      </c>
      <c r="CI152" s="229">
        <v>0</v>
      </c>
      <c r="CJ152" s="229">
        <v>0</v>
      </c>
      <c r="CK152" s="229">
        <v>0</v>
      </c>
      <c r="CL152" s="229">
        <v>0</v>
      </c>
      <c r="CM152" s="229">
        <v>0</v>
      </c>
      <c r="CN152" s="229">
        <v>0</v>
      </c>
      <c r="CO152" s="231">
        <v>219</v>
      </c>
      <c r="CP152" s="227"/>
      <c r="CQ152" s="216" t="s">
        <v>334</v>
      </c>
      <c r="CR152" s="227">
        <v>0</v>
      </c>
      <c r="CS152" s="228">
        <v>0</v>
      </c>
      <c r="CT152" s="229">
        <v>347805.6768166754</v>
      </c>
      <c r="CU152" s="229">
        <v>0</v>
      </c>
      <c r="CV152" s="229">
        <v>0</v>
      </c>
      <c r="CW152" s="229">
        <v>0</v>
      </c>
      <c r="CX152" s="229">
        <v>0</v>
      </c>
      <c r="CY152" s="229">
        <v>0</v>
      </c>
      <c r="CZ152" s="229">
        <v>0</v>
      </c>
      <c r="DA152" s="229">
        <v>0</v>
      </c>
      <c r="DB152" s="229">
        <v>0</v>
      </c>
      <c r="DC152" s="229">
        <v>0</v>
      </c>
      <c r="DD152" s="229">
        <v>0</v>
      </c>
      <c r="DE152" s="229">
        <v>0</v>
      </c>
      <c r="DF152" s="229">
        <v>0</v>
      </c>
      <c r="DG152" s="229">
        <v>0</v>
      </c>
      <c r="DH152" s="229">
        <v>0</v>
      </c>
      <c r="DI152" s="229">
        <v>0</v>
      </c>
      <c r="DJ152" s="229">
        <v>0</v>
      </c>
      <c r="DK152" s="229">
        <v>0</v>
      </c>
      <c r="DL152" s="231">
        <v>347805.6768166754</v>
      </c>
      <c r="DM152" s="237"/>
      <c r="DN152" s="237"/>
      <c r="DO152" s="227"/>
      <c r="DP152" s="216" t="s">
        <v>334</v>
      </c>
      <c r="DQ152" s="227">
        <v>0</v>
      </c>
      <c r="DR152" s="228">
        <v>0</v>
      </c>
      <c r="DS152" s="229">
        <v>338</v>
      </c>
      <c r="DT152" s="229">
        <v>0</v>
      </c>
      <c r="DU152" s="229">
        <v>0</v>
      </c>
      <c r="DV152" s="229">
        <v>0</v>
      </c>
      <c r="DW152" s="229">
        <v>0</v>
      </c>
      <c r="DX152" s="229">
        <v>0</v>
      </c>
      <c r="DY152" s="229">
        <v>0</v>
      </c>
      <c r="DZ152" s="229">
        <v>0</v>
      </c>
      <c r="EA152" s="229">
        <v>0</v>
      </c>
      <c r="EB152" s="229">
        <v>0</v>
      </c>
      <c r="EC152" s="229">
        <v>0</v>
      </c>
      <c r="ED152" s="229">
        <v>0</v>
      </c>
      <c r="EE152" s="229">
        <v>0</v>
      </c>
      <c r="EF152" s="229">
        <v>0</v>
      </c>
      <c r="EG152" s="229">
        <v>0</v>
      </c>
      <c r="EH152" s="229">
        <v>0</v>
      </c>
      <c r="EI152" s="229">
        <v>0</v>
      </c>
      <c r="EJ152" s="229">
        <v>0</v>
      </c>
      <c r="EK152" s="231">
        <v>338</v>
      </c>
      <c r="EL152" s="227"/>
      <c r="EM152" s="216" t="s">
        <v>334</v>
      </c>
      <c r="EN152" s="227">
        <v>0</v>
      </c>
      <c r="EO152" s="228">
        <v>0</v>
      </c>
      <c r="EP152" s="229">
        <v>492313.46325985907</v>
      </c>
      <c r="EQ152" s="229">
        <v>0</v>
      </c>
      <c r="ER152" s="229">
        <v>0</v>
      </c>
      <c r="ES152" s="229">
        <v>0</v>
      </c>
      <c r="ET152" s="229">
        <v>0</v>
      </c>
      <c r="EU152" s="229">
        <v>0</v>
      </c>
      <c r="EV152" s="229">
        <v>0</v>
      </c>
      <c r="EW152" s="229">
        <v>0</v>
      </c>
      <c r="EX152" s="229">
        <v>0</v>
      </c>
      <c r="EY152" s="229">
        <v>0</v>
      </c>
      <c r="EZ152" s="229">
        <v>0</v>
      </c>
      <c r="FA152" s="229">
        <v>0</v>
      </c>
      <c r="FB152" s="229">
        <v>0</v>
      </c>
      <c r="FC152" s="229">
        <v>0</v>
      </c>
      <c r="FD152" s="229">
        <v>0</v>
      </c>
      <c r="FE152" s="229">
        <v>0</v>
      </c>
      <c r="FF152" s="229">
        <v>0</v>
      </c>
      <c r="FG152" s="229">
        <v>0</v>
      </c>
      <c r="FH152" s="231">
        <v>492313.46325985907</v>
      </c>
    </row>
    <row r="153" spans="2:164" x14ac:dyDescent="0.2">
      <c r="B153" s="217" t="s">
        <v>2</v>
      </c>
      <c r="C153" s="227">
        <v>0</v>
      </c>
      <c r="D153" s="228">
        <v>19</v>
      </c>
      <c r="E153" s="208">
        <v>54</v>
      </c>
      <c r="F153" s="208">
        <v>1415</v>
      </c>
      <c r="G153" s="208">
        <v>0</v>
      </c>
      <c r="H153" s="208">
        <v>20</v>
      </c>
      <c r="I153" s="208">
        <v>2</v>
      </c>
      <c r="J153" s="208">
        <v>0</v>
      </c>
      <c r="K153" s="208">
        <v>0</v>
      </c>
      <c r="L153" s="208">
        <v>8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1520</v>
      </c>
      <c r="X153" s="208"/>
      <c r="Y153" s="217" t="s">
        <v>2</v>
      </c>
      <c r="Z153" s="227">
        <v>0</v>
      </c>
      <c r="AA153" s="228">
        <v>2377.6674801895201</v>
      </c>
      <c r="AB153" s="208">
        <v>17874.014187302408</v>
      </c>
      <c r="AC153" s="208">
        <v>479892.43465832109</v>
      </c>
      <c r="AD153" s="255">
        <v>0</v>
      </c>
      <c r="AE153" s="208">
        <v>1749.1219113471502</v>
      </c>
      <c r="AF153" s="208">
        <v>148.72163046722673</v>
      </c>
      <c r="AG153" s="208">
        <v>0</v>
      </c>
      <c r="AH153" s="208">
        <v>0</v>
      </c>
      <c r="AI153" s="208">
        <v>392.05420306621681</v>
      </c>
      <c r="AJ153" s="208">
        <v>0</v>
      </c>
      <c r="AK153" s="255">
        <v>0</v>
      </c>
      <c r="AL153" s="255">
        <v>0</v>
      </c>
      <c r="AM153" s="255">
        <v>0</v>
      </c>
      <c r="AN153" s="255">
        <v>0</v>
      </c>
      <c r="AO153" s="255">
        <v>0</v>
      </c>
      <c r="AP153" s="255">
        <v>0</v>
      </c>
      <c r="AQ153" s="208">
        <v>0</v>
      </c>
      <c r="AR153" s="208">
        <v>179.88976760723335</v>
      </c>
      <c r="AS153" s="208">
        <v>0</v>
      </c>
      <c r="AT153" s="222">
        <v>502613.90383830079</v>
      </c>
      <c r="AV153" s="217" t="s">
        <v>2</v>
      </c>
      <c r="AW153" s="227">
        <v>0</v>
      </c>
      <c r="AX153" s="228">
        <v>2377.6674801895201</v>
      </c>
      <c r="AY153" s="208">
        <v>17874.014187302408</v>
      </c>
      <c r="AZ153" s="208">
        <v>479892.43465832109</v>
      </c>
      <c r="BA153" s="255">
        <v>0</v>
      </c>
      <c r="BB153" s="208">
        <v>1749.1219113471502</v>
      </c>
      <c r="BC153" s="208">
        <v>148.72163046722673</v>
      </c>
      <c r="BD153" s="208">
        <v>0</v>
      </c>
      <c r="BE153" s="208">
        <v>0</v>
      </c>
      <c r="BF153" s="208">
        <v>392.05420306621681</v>
      </c>
      <c r="BG153" s="208">
        <v>0</v>
      </c>
      <c r="BH153" s="255">
        <v>0</v>
      </c>
      <c r="BI153" s="255">
        <v>0</v>
      </c>
      <c r="BJ153" s="255">
        <v>0</v>
      </c>
      <c r="BK153" s="255">
        <v>0</v>
      </c>
      <c r="BL153" s="255">
        <v>0</v>
      </c>
      <c r="BM153" s="255">
        <v>0</v>
      </c>
      <c r="BN153" s="208">
        <v>0</v>
      </c>
      <c r="BO153" s="208">
        <v>179.88976760723335</v>
      </c>
      <c r="BP153" s="208">
        <v>0</v>
      </c>
      <c r="BQ153" s="230">
        <f t="shared" si="102"/>
        <v>502613.90383830079</v>
      </c>
      <c r="BR153" s="214"/>
      <c r="BS153" s="227"/>
      <c r="BT153" s="217" t="s">
        <v>2</v>
      </c>
      <c r="BU153" s="227">
        <v>0</v>
      </c>
      <c r="BV153" s="228">
        <v>0</v>
      </c>
      <c r="BW153" s="208">
        <v>2</v>
      </c>
      <c r="BX153" s="208">
        <v>74</v>
      </c>
      <c r="BY153" s="208">
        <v>0</v>
      </c>
      <c r="BZ153" s="208">
        <v>0</v>
      </c>
      <c r="CA153" s="208">
        <v>0</v>
      </c>
      <c r="CB153" s="208">
        <v>0</v>
      </c>
      <c r="CC153" s="208">
        <v>0</v>
      </c>
      <c r="CD153" s="208">
        <v>0</v>
      </c>
      <c r="CE153" s="208">
        <v>0</v>
      </c>
      <c r="CF153" s="208">
        <v>0</v>
      </c>
      <c r="CG153" s="208">
        <v>0</v>
      </c>
      <c r="CH153" s="208">
        <v>0</v>
      </c>
      <c r="CI153" s="208">
        <v>0</v>
      </c>
      <c r="CJ153" s="208">
        <v>0</v>
      </c>
      <c r="CK153" s="208">
        <v>0</v>
      </c>
      <c r="CL153" s="208">
        <v>0</v>
      </c>
      <c r="CM153" s="208">
        <v>0</v>
      </c>
      <c r="CN153" s="208">
        <v>0</v>
      </c>
      <c r="CO153" s="222">
        <v>76</v>
      </c>
      <c r="CP153" s="227"/>
      <c r="CQ153" s="217" t="s">
        <v>2</v>
      </c>
      <c r="CR153" s="227">
        <v>0</v>
      </c>
      <c r="CS153" s="228">
        <v>0</v>
      </c>
      <c r="CT153" s="208">
        <v>194.8289426517297</v>
      </c>
      <c r="CU153" s="208">
        <v>7369.1914602349671</v>
      </c>
      <c r="CV153" s="208">
        <v>0</v>
      </c>
      <c r="CW153" s="208">
        <v>0</v>
      </c>
      <c r="CX153" s="208">
        <v>0</v>
      </c>
      <c r="CY153" s="208">
        <v>0</v>
      </c>
      <c r="CZ153" s="208">
        <v>0</v>
      </c>
      <c r="DA153" s="208">
        <v>0</v>
      </c>
      <c r="DB153" s="208">
        <v>0</v>
      </c>
      <c r="DC153" s="208">
        <v>0</v>
      </c>
      <c r="DD153" s="208">
        <v>0</v>
      </c>
      <c r="DE153" s="208">
        <v>0</v>
      </c>
      <c r="DF153" s="208">
        <v>0</v>
      </c>
      <c r="DG153" s="208">
        <v>0</v>
      </c>
      <c r="DH153" s="208">
        <v>0</v>
      </c>
      <c r="DI153" s="208">
        <v>0</v>
      </c>
      <c r="DJ153" s="208">
        <v>0</v>
      </c>
      <c r="DK153" s="208">
        <v>0</v>
      </c>
      <c r="DL153" s="222">
        <v>7564.0204028866965</v>
      </c>
      <c r="DM153" s="238"/>
      <c r="DN153" s="238"/>
      <c r="DO153" s="227"/>
      <c r="DP153" s="217" t="s">
        <v>2</v>
      </c>
      <c r="DQ153" s="227">
        <v>0</v>
      </c>
      <c r="DR153" s="228">
        <v>8</v>
      </c>
      <c r="DS153" s="208">
        <v>2</v>
      </c>
      <c r="DT153" s="208">
        <v>156</v>
      </c>
      <c r="DU153" s="208">
        <v>0</v>
      </c>
      <c r="DV153" s="208">
        <v>0</v>
      </c>
      <c r="DW153" s="208">
        <v>0</v>
      </c>
      <c r="DX153" s="208">
        <v>0</v>
      </c>
      <c r="DY153" s="208">
        <v>0</v>
      </c>
      <c r="DZ153" s="208">
        <v>0</v>
      </c>
      <c r="EA153" s="208">
        <v>0</v>
      </c>
      <c r="EB153" s="208">
        <v>0</v>
      </c>
      <c r="EC153" s="208">
        <v>0</v>
      </c>
      <c r="ED153" s="208">
        <v>0</v>
      </c>
      <c r="EE153" s="208">
        <v>0</v>
      </c>
      <c r="EF153" s="208">
        <v>0</v>
      </c>
      <c r="EG153" s="208">
        <v>0</v>
      </c>
      <c r="EH153" s="208">
        <v>0</v>
      </c>
      <c r="EI153" s="208">
        <v>0</v>
      </c>
      <c r="EJ153" s="208">
        <v>0</v>
      </c>
      <c r="EK153" s="222">
        <v>166</v>
      </c>
      <c r="EL153" s="228"/>
      <c r="EM153" s="217" t="s">
        <v>2</v>
      </c>
      <c r="EN153" s="227">
        <v>0</v>
      </c>
      <c r="EO153" s="228">
        <v>563.94182972303895</v>
      </c>
      <c r="EP153" s="208">
        <v>194.8289426517297</v>
      </c>
      <c r="EQ153" s="208">
        <v>36945.550166499641</v>
      </c>
      <c r="ER153" s="208">
        <v>0</v>
      </c>
      <c r="ES153" s="208">
        <v>0</v>
      </c>
      <c r="ET153" s="208">
        <v>0</v>
      </c>
      <c r="EU153" s="208">
        <v>0</v>
      </c>
      <c r="EV153" s="208">
        <v>0</v>
      </c>
      <c r="EW153" s="208">
        <v>0</v>
      </c>
      <c r="EX153" s="208">
        <v>0</v>
      </c>
      <c r="EY153" s="208">
        <v>0</v>
      </c>
      <c r="EZ153" s="208">
        <v>0</v>
      </c>
      <c r="FA153" s="208">
        <v>0</v>
      </c>
      <c r="FB153" s="208">
        <v>0</v>
      </c>
      <c r="FC153" s="208">
        <v>0</v>
      </c>
      <c r="FD153" s="208">
        <v>0</v>
      </c>
      <c r="FE153" s="208">
        <v>0</v>
      </c>
      <c r="FF153" s="208">
        <v>0</v>
      </c>
      <c r="FG153" s="208">
        <v>0</v>
      </c>
      <c r="FH153" s="222">
        <v>37704.320938874407</v>
      </c>
    </row>
    <row r="154" spans="2:164" x14ac:dyDescent="0.2">
      <c r="B154" s="217" t="s">
        <v>3</v>
      </c>
      <c r="C154" s="227">
        <v>0</v>
      </c>
      <c r="D154" s="228">
        <v>1</v>
      </c>
      <c r="E154" s="208">
        <v>2</v>
      </c>
      <c r="F154" s="208">
        <v>0</v>
      </c>
      <c r="G154" s="208">
        <v>68</v>
      </c>
      <c r="H154" s="208">
        <v>2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73</v>
      </c>
      <c r="X154" s="208"/>
      <c r="Y154" s="217" t="s">
        <v>3</v>
      </c>
      <c r="Z154" s="254">
        <v>0</v>
      </c>
      <c r="AA154" s="254">
        <v>35.478885424158996</v>
      </c>
      <c r="AB154" s="255">
        <v>588.31958089873228</v>
      </c>
      <c r="AC154" s="255">
        <v>0</v>
      </c>
      <c r="AD154" s="208">
        <v>38984.272006716543</v>
      </c>
      <c r="AE154" s="255">
        <v>120.32829628638095</v>
      </c>
      <c r="AF154" s="255">
        <v>0</v>
      </c>
      <c r="AG154" s="255">
        <v>0</v>
      </c>
      <c r="AH154" s="255">
        <v>0</v>
      </c>
      <c r="AI154" s="255">
        <v>0</v>
      </c>
      <c r="AJ154" s="255">
        <v>0</v>
      </c>
      <c r="AK154" s="255">
        <v>0</v>
      </c>
      <c r="AL154" s="255">
        <v>0</v>
      </c>
      <c r="AM154" s="255">
        <v>0</v>
      </c>
      <c r="AN154" s="255">
        <v>0</v>
      </c>
      <c r="AO154" s="255">
        <v>0</v>
      </c>
      <c r="AP154" s="255">
        <v>0</v>
      </c>
      <c r="AQ154" s="255">
        <v>0</v>
      </c>
      <c r="AR154" s="255">
        <v>0</v>
      </c>
      <c r="AS154" s="255">
        <v>0</v>
      </c>
      <c r="AT154" s="222">
        <v>39728.398769325817</v>
      </c>
      <c r="AV154" s="217" t="s">
        <v>3</v>
      </c>
      <c r="AW154" s="254">
        <v>0</v>
      </c>
      <c r="AX154" s="232">
        <v>0</v>
      </c>
      <c r="AY154" s="258">
        <v>0</v>
      </c>
      <c r="AZ154" s="255">
        <v>0</v>
      </c>
      <c r="BA154" s="208">
        <v>38984.272006716543</v>
      </c>
      <c r="BB154" s="258">
        <v>0</v>
      </c>
      <c r="BC154" s="255">
        <v>0</v>
      </c>
      <c r="BD154" s="255">
        <v>0</v>
      </c>
      <c r="BE154" s="255">
        <v>0</v>
      </c>
      <c r="BF154" s="255">
        <v>0</v>
      </c>
      <c r="BG154" s="255">
        <v>0</v>
      </c>
      <c r="BH154" s="255">
        <v>0</v>
      </c>
      <c r="BI154" s="255">
        <v>0</v>
      </c>
      <c r="BJ154" s="255">
        <v>0</v>
      </c>
      <c r="BK154" s="255">
        <v>0</v>
      </c>
      <c r="BL154" s="255">
        <v>0</v>
      </c>
      <c r="BM154" s="255">
        <v>0</v>
      </c>
      <c r="BN154" s="255">
        <v>0</v>
      </c>
      <c r="BO154" s="255">
        <v>0</v>
      </c>
      <c r="BP154" s="255">
        <v>0</v>
      </c>
      <c r="BQ154" s="230">
        <f t="shared" si="102"/>
        <v>38984.272006716543</v>
      </c>
      <c r="BR154" s="214"/>
      <c r="BS154" s="227"/>
      <c r="BT154" s="217" t="s">
        <v>3</v>
      </c>
      <c r="BU154" s="227">
        <v>0</v>
      </c>
      <c r="BV154" s="228">
        <v>0</v>
      </c>
      <c r="BW154" s="208">
        <v>0</v>
      </c>
      <c r="BX154" s="208">
        <v>0</v>
      </c>
      <c r="BY154" s="208">
        <v>0</v>
      </c>
      <c r="BZ154" s="208">
        <v>0</v>
      </c>
      <c r="CA154" s="208">
        <v>0</v>
      </c>
      <c r="CB154" s="208">
        <v>0</v>
      </c>
      <c r="CC154" s="208">
        <v>0</v>
      </c>
      <c r="CD154" s="208">
        <v>0</v>
      </c>
      <c r="CE154" s="208">
        <v>0</v>
      </c>
      <c r="CF154" s="208">
        <v>0</v>
      </c>
      <c r="CG154" s="208">
        <v>0</v>
      </c>
      <c r="CH154" s="208">
        <v>0</v>
      </c>
      <c r="CI154" s="208">
        <v>0</v>
      </c>
      <c r="CJ154" s="208">
        <v>0</v>
      </c>
      <c r="CK154" s="208">
        <v>0</v>
      </c>
      <c r="CL154" s="208">
        <v>0</v>
      </c>
      <c r="CM154" s="208">
        <v>0</v>
      </c>
      <c r="CN154" s="208">
        <v>0</v>
      </c>
      <c r="CO154" s="222">
        <v>0</v>
      </c>
      <c r="CP154" s="227"/>
      <c r="CQ154" s="217" t="s">
        <v>3</v>
      </c>
      <c r="CR154" s="227">
        <v>0</v>
      </c>
      <c r="CS154" s="228">
        <v>0</v>
      </c>
      <c r="CT154" s="208">
        <v>0</v>
      </c>
      <c r="CU154" s="208">
        <v>0</v>
      </c>
      <c r="CV154" s="208">
        <v>0</v>
      </c>
      <c r="CW154" s="208">
        <v>0</v>
      </c>
      <c r="CX154" s="208">
        <v>0</v>
      </c>
      <c r="CY154" s="208">
        <v>0</v>
      </c>
      <c r="CZ154" s="208">
        <v>0</v>
      </c>
      <c r="DA154" s="208">
        <v>0</v>
      </c>
      <c r="DB154" s="208">
        <v>0</v>
      </c>
      <c r="DC154" s="208">
        <v>0</v>
      </c>
      <c r="DD154" s="208">
        <v>0</v>
      </c>
      <c r="DE154" s="208">
        <v>0</v>
      </c>
      <c r="DF154" s="208">
        <v>0</v>
      </c>
      <c r="DG154" s="208">
        <v>0</v>
      </c>
      <c r="DH154" s="208">
        <v>0</v>
      </c>
      <c r="DI154" s="208">
        <v>0</v>
      </c>
      <c r="DJ154" s="208">
        <v>0</v>
      </c>
      <c r="DK154" s="208">
        <v>0</v>
      </c>
      <c r="DL154" s="222">
        <v>0</v>
      </c>
      <c r="DM154" s="214"/>
      <c r="DN154" s="214"/>
      <c r="DO154" s="227"/>
      <c r="DP154" s="217" t="s">
        <v>3</v>
      </c>
      <c r="DQ154" s="227">
        <v>0</v>
      </c>
      <c r="DR154" s="228">
        <v>0</v>
      </c>
      <c r="DS154" s="208">
        <v>0</v>
      </c>
      <c r="DT154" s="208">
        <v>0</v>
      </c>
      <c r="DU154" s="208">
        <v>4</v>
      </c>
      <c r="DV154" s="208">
        <v>0</v>
      </c>
      <c r="DW154" s="208">
        <v>0</v>
      </c>
      <c r="DX154" s="208">
        <v>0</v>
      </c>
      <c r="DY154" s="208">
        <v>0</v>
      </c>
      <c r="DZ154" s="208">
        <v>0</v>
      </c>
      <c r="EA154" s="208">
        <v>0</v>
      </c>
      <c r="EB154" s="208">
        <v>0</v>
      </c>
      <c r="EC154" s="208">
        <v>0</v>
      </c>
      <c r="ED154" s="208">
        <v>0</v>
      </c>
      <c r="EE154" s="208">
        <v>0</v>
      </c>
      <c r="EF154" s="208">
        <v>0</v>
      </c>
      <c r="EG154" s="208">
        <v>0</v>
      </c>
      <c r="EH154" s="208">
        <v>0</v>
      </c>
      <c r="EI154" s="208">
        <v>0</v>
      </c>
      <c r="EJ154" s="208">
        <v>0</v>
      </c>
      <c r="EK154" s="222">
        <v>4</v>
      </c>
      <c r="EL154" s="228"/>
      <c r="EM154" s="217" t="s">
        <v>3</v>
      </c>
      <c r="EN154" s="227">
        <v>0</v>
      </c>
      <c r="EO154" s="228">
        <v>0</v>
      </c>
      <c r="EP154" s="208">
        <v>0</v>
      </c>
      <c r="EQ154" s="208">
        <v>0</v>
      </c>
      <c r="ER154" s="208">
        <v>324.13942741362519</v>
      </c>
      <c r="ES154" s="208">
        <v>0</v>
      </c>
      <c r="ET154" s="208">
        <v>0</v>
      </c>
      <c r="EU154" s="208">
        <v>0</v>
      </c>
      <c r="EV154" s="208">
        <v>0</v>
      </c>
      <c r="EW154" s="208">
        <v>0</v>
      </c>
      <c r="EX154" s="208">
        <v>0</v>
      </c>
      <c r="EY154" s="208">
        <v>0</v>
      </c>
      <c r="EZ154" s="208">
        <v>0</v>
      </c>
      <c r="FA154" s="208">
        <v>0</v>
      </c>
      <c r="FB154" s="208">
        <v>0</v>
      </c>
      <c r="FC154" s="208">
        <v>0</v>
      </c>
      <c r="FD154" s="208">
        <v>0</v>
      </c>
      <c r="FE154" s="208">
        <v>0</v>
      </c>
      <c r="FF154" s="208">
        <v>0</v>
      </c>
      <c r="FG154" s="208">
        <v>0</v>
      </c>
      <c r="FH154" s="222">
        <v>324.13942741362519</v>
      </c>
    </row>
    <row r="155" spans="2:164" x14ac:dyDescent="0.2">
      <c r="B155" s="217" t="s">
        <v>335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44</v>
      </c>
      <c r="I155" s="208">
        <v>2</v>
      </c>
      <c r="J155" s="208">
        <v>0</v>
      </c>
      <c r="K155" s="208">
        <v>2</v>
      </c>
      <c r="L155" s="208">
        <v>2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54</v>
      </c>
      <c r="X155" s="208"/>
      <c r="Y155" s="217" t="s">
        <v>335</v>
      </c>
      <c r="Z155" s="227">
        <v>0</v>
      </c>
      <c r="AA155" s="228">
        <v>0</v>
      </c>
      <c r="AB155" s="255">
        <v>0</v>
      </c>
      <c r="AC155" s="208">
        <v>0</v>
      </c>
      <c r="AD155" s="208">
        <v>0</v>
      </c>
      <c r="AE155" s="208">
        <v>15409.772051901826</v>
      </c>
      <c r="AF155" s="208">
        <v>148.72163046722673</v>
      </c>
      <c r="AG155" s="208">
        <v>0</v>
      </c>
      <c r="AH155" s="208">
        <v>74.657418374461116</v>
      </c>
      <c r="AI155" s="208">
        <v>88.842139356150597</v>
      </c>
      <c r="AJ155" s="208">
        <v>891.7855424777365</v>
      </c>
      <c r="AK155" s="255">
        <v>0</v>
      </c>
      <c r="AL155" s="255">
        <v>0</v>
      </c>
      <c r="AM155" s="255">
        <v>0</v>
      </c>
      <c r="AN155" s="255">
        <v>0</v>
      </c>
      <c r="AO155" s="255">
        <v>0</v>
      </c>
      <c r="AP155" s="255">
        <v>0</v>
      </c>
      <c r="AQ155" s="208">
        <v>0</v>
      </c>
      <c r="AR155" s="208">
        <v>0</v>
      </c>
      <c r="AS155" s="208">
        <v>0</v>
      </c>
      <c r="AT155" s="222">
        <v>16613.778782577403</v>
      </c>
      <c r="AV155" s="217" t="s">
        <v>335</v>
      </c>
      <c r="AW155" s="227">
        <v>0</v>
      </c>
      <c r="AX155" s="228">
        <v>0</v>
      </c>
      <c r="AY155" s="255">
        <v>0</v>
      </c>
      <c r="AZ155" s="208">
        <v>0</v>
      </c>
      <c r="BA155" s="208">
        <v>0</v>
      </c>
      <c r="BB155" s="208">
        <v>15409.772051901826</v>
      </c>
      <c r="BC155" s="208">
        <v>148.72163046722673</v>
      </c>
      <c r="BD155" s="208">
        <v>0</v>
      </c>
      <c r="BE155" s="208">
        <v>74.657418374461116</v>
      </c>
      <c r="BF155" s="208">
        <v>88.842139356150597</v>
      </c>
      <c r="BG155" s="208">
        <v>891.7855424777365</v>
      </c>
      <c r="BH155" s="255">
        <v>0</v>
      </c>
      <c r="BI155" s="255">
        <v>0</v>
      </c>
      <c r="BJ155" s="255">
        <v>0</v>
      </c>
      <c r="BK155" s="255">
        <v>0</v>
      </c>
      <c r="BL155" s="255">
        <v>0</v>
      </c>
      <c r="BM155" s="255">
        <v>0</v>
      </c>
      <c r="BN155" s="208">
        <v>0</v>
      </c>
      <c r="BO155" s="208">
        <v>0</v>
      </c>
      <c r="BP155" s="208">
        <v>0</v>
      </c>
      <c r="BQ155" s="230">
        <f t="shared" si="102"/>
        <v>16613.778782577403</v>
      </c>
      <c r="BR155" s="214"/>
      <c r="BS155" s="227"/>
      <c r="BT155" s="217" t="s">
        <v>335</v>
      </c>
      <c r="BU155" s="227">
        <v>0</v>
      </c>
      <c r="BV155" s="228">
        <v>0</v>
      </c>
      <c r="BW155" s="208">
        <v>0</v>
      </c>
      <c r="BX155" s="208">
        <v>0</v>
      </c>
      <c r="BY155" s="208">
        <v>0</v>
      </c>
      <c r="BZ155" s="208">
        <v>0</v>
      </c>
      <c r="CA155" s="208">
        <v>0</v>
      </c>
      <c r="CB155" s="208">
        <v>0</v>
      </c>
      <c r="CC155" s="208">
        <v>0</v>
      </c>
      <c r="CD155" s="208">
        <v>0</v>
      </c>
      <c r="CE155" s="208">
        <v>0</v>
      </c>
      <c r="CF155" s="208">
        <v>0</v>
      </c>
      <c r="CG155" s="208">
        <v>0</v>
      </c>
      <c r="CH155" s="208">
        <v>0</v>
      </c>
      <c r="CI155" s="208">
        <v>0</v>
      </c>
      <c r="CJ155" s="208">
        <v>0</v>
      </c>
      <c r="CK155" s="208">
        <v>0</v>
      </c>
      <c r="CL155" s="208">
        <v>0</v>
      </c>
      <c r="CM155" s="208">
        <v>0</v>
      </c>
      <c r="CN155" s="208">
        <v>0</v>
      </c>
      <c r="CO155" s="222">
        <v>0</v>
      </c>
      <c r="CP155" s="227"/>
      <c r="CQ155" s="217" t="s">
        <v>335</v>
      </c>
      <c r="CR155" s="227">
        <v>0</v>
      </c>
      <c r="CS155" s="228">
        <v>0</v>
      </c>
      <c r="CT155" s="208">
        <v>0</v>
      </c>
      <c r="CU155" s="208">
        <v>0</v>
      </c>
      <c r="CV155" s="208">
        <v>0</v>
      </c>
      <c r="CW155" s="208">
        <v>0</v>
      </c>
      <c r="CX155" s="208">
        <v>0</v>
      </c>
      <c r="CY155" s="208">
        <v>0</v>
      </c>
      <c r="CZ155" s="208">
        <v>0</v>
      </c>
      <c r="DA155" s="208">
        <v>0</v>
      </c>
      <c r="DB155" s="208">
        <v>0</v>
      </c>
      <c r="DC155" s="208">
        <v>0</v>
      </c>
      <c r="DD155" s="208">
        <v>0</v>
      </c>
      <c r="DE155" s="208">
        <v>0</v>
      </c>
      <c r="DF155" s="208">
        <v>0</v>
      </c>
      <c r="DG155" s="208">
        <v>0</v>
      </c>
      <c r="DH155" s="208">
        <v>0</v>
      </c>
      <c r="DI155" s="208">
        <v>0</v>
      </c>
      <c r="DJ155" s="208">
        <v>0</v>
      </c>
      <c r="DK155" s="208">
        <v>0</v>
      </c>
      <c r="DL155" s="222">
        <v>0</v>
      </c>
      <c r="DM155" s="214"/>
      <c r="DN155" s="214"/>
      <c r="DO155" s="227"/>
      <c r="DP155" s="217" t="s">
        <v>335</v>
      </c>
      <c r="DQ155" s="227">
        <v>0</v>
      </c>
      <c r="DR155" s="228">
        <v>0</v>
      </c>
      <c r="DS155" s="208">
        <v>0</v>
      </c>
      <c r="DT155" s="208">
        <v>0</v>
      </c>
      <c r="DU155" s="208">
        <v>0</v>
      </c>
      <c r="DV155" s="208">
        <v>0</v>
      </c>
      <c r="DW155" s="208">
        <v>0</v>
      </c>
      <c r="DX155" s="208">
        <v>0</v>
      </c>
      <c r="DY155" s="208">
        <v>0</v>
      </c>
      <c r="DZ155" s="208">
        <v>0</v>
      </c>
      <c r="EA155" s="208">
        <v>0</v>
      </c>
      <c r="EB155" s="208">
        <v>0</v>
      </c>
      <c r="EC155" s="208">
        <v>0</v>
      </c>
      <c r="ED155" s="208">
        <v>0</v>
      </c>
      <c r="EE155" s="208">
        <v>0</v>
      </c>
      <c r="EF155" s="208">
        <v>0</v>
      </c>
      <c r="EG155" s="208">
        <v>0</v>
      </c>
      <c r="EH155" s="208">
        <v>0</v>
      </c>
      <c r="EI155" s="208">
        <v>0</v>
      </c>
      <c r="EJ155" s="208">
        <v>0</v>
      </c>
      <c r="EK155" s="222">
        <v>0</v>
      </c>
      <c r="EL155" s="228"/>
      <c r="EM155" s="217" t="s">
        <v>335</v>
      </c>
      <c r="EN155" s="227">
        <v>0</v>
      </c>
      <c r="EO155" s="228">
        <v>0</v>
      </c>
      <c r="EP155" s="208">
        <v>0</v>
      </c>
      <c r="EQ155" s="208">
        <v>0</v>
      </c>
      <c r="ER155" s="208">
        <v>0</v>
      </c>
      <c r="ES155" s="208">
        <v>0</v>
      </c>
      <c r="ET155" s="208">
        <v>0</v>
      </c>
      <c r="EU155" s="208">
        <v>0</v>
      </c>
      <c r="EV155" s="208">
        <v>0</v>
      </c>
      <c r="EW155" s="208">
        <v>0</v>
      </c>
      <c r="EX155" s="208">
        <v>0</v>
      </c>
      <c r="EY155" s="208">
        <v>0</v>
      </c>
      <c r="EZ155" s="208">
        <v>0</v>
      </c>
      <c r="FA155" s="208">
        <v>0</v>
      </c>
      <c r="FB155" s="208">
        <v>0</v>
      </c>
      <c r="FC155" s="208">
        <v>0</v>
      </c>
      <c r="FD155" s="208">
        <v>0</v>
      </c>
      <c r="FE155" s="208">
        <v>0</v>
      </c>
      <c r="FF155" s="208">
        <v>0</v>
      </c>
      <c r="FG155" s="208">
        <v>0</v>
      </c>
      <c r="FH155" s="222">
        <v>0</v>
      </c>
    </row>
    <row r="156" spans="2:164" x14ac:dyDescent="0.2">
      <c r="B156" s="217" t="s">
        <v>362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362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449.97388474747856</v>
      </c>
      <c r="AG156" s="208">
        <v>0</v>
      </c>
      <c r="AH156" s="208">
        <v>0</v>
      </c>
      <c r="AI156" s="208">
        <v>0</v>
      </c>
      <c r="AJ156" s="208">
        <v>0</v>
      </c>
      <c r="AK156" s="255">
        <v>0</v>
      </c>
      <c r="AL156" s="255">
        <v>0</v>
      </c>
      <c r="AM156" s="255">
        <v>0</v>
      </c>
      <c r="AN156" s="255">
        <v>0</v>
      </c>
      <c r="AO156" s="255">
        <v>0</v>
      </c>
      <c r="AP156" s="255">
        <v>0</v>
      </c>
      <c r="AQ156" s="208">
        <v>0</v>
      </c>
      <c r="AR156" s="208">
        <v>0</v>
      </c>
      <c r="AS156" s="208">
        <v>0</v>
      </c>
      <c r="AT156" s="222">
        <v>449.97388474747856</v>
      </c>
      <c r="AV156" s="217" t="s">
        <v>362</v>
      </c>
      <c r="AW156" s="227">
        <v>0</v>
      </c>
      <c r="AX156" s="228">
        <v>0</v>
      </c>
      <c r="AY156" s="208">
        <v>0</v>
      </c>
      <c r="AZ156" s="208">
        <v>0</v>
      </c>
      <c r="BA156" s="208">
        <v>0</v>
      </c>
      <c r="BB156" s="208">
        <v>0</v>
      </c>
      <c r="BC156" s="208">
        <v>449.97388474747856</v>
      </c>
      <c r="BD156" s="208">
        <v>0</v>
      </c>
      <c r="BE156" s="208">
        <v>0</v>
      </c>
      <c r="BF156" s="208">
        <v>0</v>
      </c>
      <c r="BG156" s="208">
        <v>0</v>
      </c>
      <c r="BH156" s="255">
        <v>0</v>
      </c>
      <c r="BI156" s="255">
        <v>0</v>
      </c>
      <c r="BJ156" s="255">
        <v>0</v>
      </c>
      <c r="BK156" s="255">
        <v>0</v>
      </c>
      <c r="BL156" s="255">
        <v>0</v>
      </c>
      <c r="BM156" s="255">
        <v>0</v>
      </c>
      <c r="BN156" s="208">
        <v>0</v>
      </c>
      <c r="BO156" s="208">
        <v>0</v>
      </c>
      <c r="BP156" s="208">
        <v>0</v>
      </c>
      <c r="BQ156" s="230">
        <f t="shared" si="102"/>
        <v>449.97388474747856</v>
      </c>
      <c r="BR156" s="214"/>
      <c r="BS156" s="227"/>
      <c r="BT156" s="217" t="s">
        <v>362</v>
      </c>
      <c r="BU156" s="227">
        <v>0</v>
      </c>
      <c r="BV156" s="228">
        <v>0</v>
      </c>
      <c r="BW156" s="208">
        <v>0</v>
      </c>
      <c r="BX156" s="208">
        <v>0</v>
      </c>
      <c r="BY156" s="208">
        <v>0</v>
      </c>
      <c r="BZ156" s="208">
        <v>0</v>
      </c>
      <c r="CA156" s="208">
        <v>0</v>
      </c>
      <c r="CB156" s="208">
        <v>0</v>
      </c>
      <c r="CC156" s="208">
        <v>0</v>
      </c>
      <c r="CD156" s="208">
        <v>0</v>
      </c>
      <c r="CE156" s="208">
        <v>0</v>
      </c>
      <c r="CF156" s="208">
        <v>0</v>
      </c>
      <c r="CG156" s="208">
        <v>0</v>
      </c>
      <c r="CH156" s="208">
        <v>0</v>
      </c>
      <c r="CI156" s="208">
        <v>0</v>
      </c>
      <c r="CJ156" s="208">
        <v>0</v>
      </c>
      <c r="CK156" s="208">
        <v>0</v>
      </c>
      <c r="CL156" s="208">
        <v>0</v>
      </c>
      <c r="CM156" s="208">
        <v>0</v>
      </c>
      <c r="CN156" s="208">
        <v>0</v>
      </c>
      <c r="CO156" s="222">
        <v>0</v>
      </c>
      <c r="CP156" s="227"/>
      <c r="CQ156" s="217" t="s">
        <v>362</v>
      </c>
      <c r="CR156" s="227">
        <v>0</v>
      </c>
      <c r="CS156" s="228">
        <v>0</v>
      </c>
      <c r="CT156" s="208">
        <v>0</v>
      </c>
      <c r="CU156" s="208">
        <v>0</v>
      </c>
      <c r="CV156" s="208">
        <v>0</v>
      </c>
      <c r="CW156" s="208">
        <v>0</v>
      </c>
      <c r="CX156" s="208">
        <v>0</v>
      </c>
      <c r="CY156" s="208">
        <v>0</v>
      </c>
      <c r="CZ156" s="208">
        <v>0</v>
      </c>
      <c r="DA156" s="208">
        <v>0</v>
      </c>
      <c r="DB156" s="208">
        <v>0</v>
      </c>
      <c r="DC156" s="208">
        <v>0</v>
      </c>
      <c r="DD156" s="208">
        <v>0</v>
      </c>
      <c r="DE156" s="208">
        <v>0</v>
      </c>
      <c r="DF156" s="208">
        <v>0</v>
      </c>
      <c r="DG156" s="208">
        <v>0</v>
      </c>
      <c r="DH156" s="208">
        <v>0</v>
      </c>
      <c r="DI156" s="208">
        <v>0</v>
      </c>
      <c r="DJ156" s="208">
        <v>0</v>
      </c>
      <c r="DK156" s="208">
        <v>0</v>
      </c>
      <c r="DL156" s="222">
        <v>0</v>
      </c>
      <c r="DM156" s="214"/>
      <c r="DN156" s="214"/>
      <c r="DO156" s="227"/>
      <c r="DP156" s="217" t="s">
        <v>362</v>
      </c>
      <c r="DQ156" s="227">
        <v>0</v>
      </c>
      <c r="DR156" s="228">
        <v>0</v>
      </c>
      <c r="DS156" s="208">
        <v>0</v>
      </c>
      <c r="DT156" s="208">
        <v>0</v>
      </c>
      <c r="DU156" s="208">
        <v>0</v>
      </c>
      <c r="DV156" s="208">
        <v>0</v>
      </c>
      <c r="DW156" s="208">
        <v>0</v>
      </c>
      <c r="DX156" s="208">
        <v>0</v>
      </c>
      <c r="DY156" s="208">
        <v>0</v>
      </c>
      <c r="DZ156" s="208">
        <v>0</v>
      </c>
      <c r="EA156" s="208">
        <v>0</v>
      </c>
      <c r="EB156" s="208">
        <v>0</v>
      </c>
      <c r="EC156" s="208">
        <v>0</v>
      </c>
      <c r="ED156" s="208">
        <v>0</v>
      </c>
      <c r="EE156" s="208">
        <v>0</v>
      </c>
      <c r="EF156" s="208">
        <v>0</v>
      </c>
      <c r="EG156" s="208">
        <v>0</v>
      </c>
      <c r="EH156" s="208">
        <v>0</v>
      </c>
      <c r="EI156" s="208">
        <v>0</v>
      </c>
      <c r="EJ156" s="208">
        <v>0</v>
      </c>
      <c r="EK156" s="222">
        <v>0</v>
      </c>
      <c r="EL156" s="228"/>
      <c r="EM156" s="217" t="s">
        <v>362</v>
      </c>
      <c r="EN156" s="227">
        <v>0</v>
      </c>
      <c r="EO156" s="228">
        <v>0</v>
      </c>
      <c r="EP156" s="208">
        <v>0</v>
      </c>
      <c r="EQ156" s="208">
        <v>0</v>
      </c>
      <c r="ER156" s="208">
        <v>0</v>
      </c>
      <c r="ES156" s="208">
        <v>0</v>
      </c>
      <c r="ET156" s="208">
        <v>0</v>
      </c>
      <c r="EU156" s="208">
        <v>0</v>
      </c>
      <c r="EV156" s="208">
        <v>0</v>
      </c>
      <c r="EW156" s="208">
        <v>0</v>
      </c>
      <c r="EX156" s="208">
        <v>0</v>
      </c>
      <c r="EY156" s="208">
        <v>0</v>
      </c>
      <c r="EZ156" s="208">
        <v>0</v>
      </c>
      <c r="FA156" s="208">
        <v>0</v>
      </c>
      <c r="FB156" s="208">
        <v>0</v>
      </c>
      <c r="FC156" s="208">
        <v>0</v>
      </c>
      <c r="FD156" s="208">
        <v>0</v>
      </c>
      <c r="FE156" s="208">
        <v>0</v>
      </c>
      <c r="FF156" s="208">
        <v>0</v>
      </c>
      <c r="FG156" s="208">
        <v>0</v>
      </c>
      <c r="FH156" s="222">
        <v>0</v>
      </c>
    </row>
    <row r="157" spans="2:164" x14ac:dyDescent="0.2">
      <c r="B157" s="217" t="s">
        <v>349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0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0</v>
      </c>
      <c r="X157" s="209"/>
      <c r="Y157" s="217" t="s">
        <v>349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0</v>
      </c>
      <c r="AI157" s="208">
        <v>0</v>
      </c>
      <c r="AJ157" s="208">
        <v>0</v>
      </c>
      <c r="AK157" s="255">
        <v>0</v>
      </c>
      <c r="AL157" s="255">
        <v>0</v>
      </c>
      <c r="AM157" s="255">
        <v>0</v>
      </c>
      <c r="AN157" s="255">
        <v>0</v>
      </c>
      <c r="AO157" s="255">
        <v>0</v>
      </c>
      <c r="AP157" s="255">
        <v>0</v>
      </c>
      <c r="AQ157" s="208">
        <v>0</v>
      </c>
      <c r="AR157" s="208">
        <v>0</v>
      </c>
      <c r="AS157" s="208">
        <v>0</v>
      </c>
      <c r="AT157" s="222">
        <v>0</v>
      </c>
      <c r="AV157" s="217" t="s">
        <v>349</v>
      </c>
      <c r="AW157" s="227">
        <v>0</v>
      </c>
      <c r="AX157" s="228">
        <v>0</v>
      </c>
      <c r="AY157" s="208">
        <v>0</v>
      </c>
      <c r="AZ157" s="208">
        <v>0</v>
      </c>
      <c r="BA157" s="208">
        <v>0</v>
      </c>
      <c r="BB157" s="208">
        <v>0</v>
      </c>
      <c r="BC157" s="208">
        <v>0</v>
      </c>
      <c r="BD157" s="208">
        <v>0</v>
      </c>
      <c r="BE157" s="208">
        <v>0</v>
      </c>
      <c r="BF157" s="208">
        <v>0</v>
      </c>
      <c r="BG157" s="208">
        <v>0</v>
      </c>
      <c r="BH157" s="255">
        <v>0</v>
      </c>
      <c r="BI157" s="255">
        <v>0</v>
      </c>
      <c r="BJ157" s="255">
        <v>0</v>
      </c>
      <c r="BK157" s="255">
        <v>0</v>
      </c>
      <c r="BL157" s="255">
        <v>0</v>
      </c>
      <c r="BM157" s="255">
        <v>0</v>
      </c>
      <c r="BN157" s="208">
        <v>0</v>
      </c>
      <c r="BO157" s="208">
        <v>0</v>
      </c>
      <c r="BP157" s="208">
        <v>0</v>
      </c>
      <c r="BQ157" s="230">
        <f t="shared" si="102"/>
        <v>0</v>
      </c>
      <c r="BR157" s="214"/>
      <c r="BS157" s="227"/>
      <c r="BT157" s="217" t="s">
        <v>349</v>
      </c>
      <c r="BU157" s="227">
        <v>0</v>
      </c>
      <c r="BV157" s="228">
        <v>0</v>
      </c>
      <c r="BW157" s="208">
        <v>0</v>
      </c>
      <c r="BX157" s="208">
        <v>0</v>
      </c>
      <c r="BY157" s="208">
        <v>0</v>
      </c>
      <c r="BZ157" s="208">
        <v>0</v>
      </c>
      <c r="CA157" s="208">
        <v>0</v>
      </c>
      <c r="CB157" s="208">
        <v>0</v>
      </c>
      <c r="CC157" s="208">
        <v>0</v>
      </c>
      <c r="CD157" s="208">
        <v>0</v>
      </c>
      <c r="CE157" s="208">
        <v>0</v>
      </c>
      <c r="CF157" s="208">
        <v>0</v>
      </c>
      <c r="CG157" s="208">
        <v>0</v>
      </c>
      <c r="CH157" s="208">
        <v>0</v>
      </c>
      <c r="CI157" s="208">
        <v>0</v>
      </c>
      <c r="CJ157" s="208">
        <v>0</v>
      </c>
      <c r="CK157" s="208">
        <v>0</v>
      </c>
      <c r="CL157" s="208">
        <v>0</v>
      </c>
      <c r="CM157" s="208">
        <v>0</v>
      </c>
      <c r="CN157" s="208">
        <v>0</v>
      </c>
      <c r="CO157" s="222">
        <v>0</v>
      </c>
      <c r="CP157" s="227"/>
      <c r="CQ157" s="217" t="s">
        <v>349</v>
      </c>
      <c r="CR157" s="227">
        <v>0</v>
      </c>
      <c r="CS157" s="228">
        <v>0</v>
      </c>
      <c r="CT157" s="208">
        <v>0</v>
      </c>
      <c r="CU157" s="208">
        <v>0</v>
      </c>
      <c r="CV157" s="208">
        <v>0</v>
      </c>
      <c r="CW157" s="208">
        <v>0</v>
      </c>
      <c r="CX157" s="208">
        <v>0</v>
      </c>
      <c r="CY157" s="208">
        <v>0</v>
      </c>
      <c r="CZ157" s="208">
        <v>0</v>
      </c>
      <c r="DA157" s="208">
        <v>0</v>
      </c>
      <c r="DB157" s="208">
        <v>0</v>
      </c>
      <c r="DC157" s="208">
        <v>0</v>
      </c>
      <c r="DD157" s="208">
        <v>0</v>
      </c>
      <c r="DE157" s="208">
        <v>0</v>
      </c>
      <c r="DF157" s="208">
        <v>0</v>
      </c>
      <c r="DG157" s="208">
        <v>0</v>
      </c>
      <c r="DH157" s="208">
        <v>0</v>
      </c>
      <c r="DI157" s="208">
        <v>0</v>
      </c>
      <c r="DJ157" s="208">
        <v>0</v>
      </c>
      <c r="DK157" s="208">
        <v>0</v>
      </c>
      <c r="DL157" s="222">
        <v>0</v>
      </c>
      <c r="DM157" s="214"/>
      <c r="DN157" s="214"/>
      <c r="DO157" s="227"/>
      <c r="DP157" s="217" t="s">
        <v>349</v>
      </c>
      <c r="DQ157" s="227">
        <v>0</v>
      </c>
      <c r="DR157" s="228">
        <v>0</v>
      </c>
      <c r="DS157" s="208">
        <v>0</v>
      </c>
      <c r="DT157" s="208">
        <v>0</v>
      </c>
      <c r="DU157" s="208">
        <v>0</v>
      </c>
      <c r="DV157" s="208">
        <v>0</v>
      </c>
      <c r="DW157" s="208">
        <v>0</v>
      </c>
      <c r="DX157" s="208">
        <v>0</v>
      </c>
      <c r="DY157" s="208">
        <v>0</v>
      </c>
      <c r="DZ157" s="208">
        <v>0</v>
      </c>
      <c r="EA157" s="208">
        <v>0</v>
      </c>
      <c r="EB157" s="208">
        <v>0</v>
      </c>
      <c r="EC157" s="208">
        <v>0</v>
      </c>
      <c r="ED157" s="208">
        <v>0</v>
      </c>
      <c r="EE157" s="208">
        <v>0</v>
      </c>
      <c r="EF157" s="208">
        <v>0</v>
      </c>
      <c r="EG157" s="208">
        <v>0</v>
      </c>
      <c r="EH157" s="208">
        <v>0</v>
      </c>
      <c r="EI157" s="208">
        <v>0</v>
      </c>
      <c r="EJ157" s="208">
        <v>0</v>
      </c>
      <c r="EK157" s="222">
        <v>0</v>
      </c>
      <c r="EL157" s="228"/>
      <c r="EM157" s="217" t="s">
        <v>349</v>
      </c>
      <c r="EN157" s="227">
        <v>0</v>
      </c>
      <c r="EO157" s="228">
        <v>0</v>
      </c>
      <c r="EP157" s="208">
        <v>0</v>
      </c>
      <c r="EQ157" s="208">
        <v>0</v>
      </c>
      <c r="ER157" s="208">
        <v>0</v>
      </c>
      <c r="ES157" s="208">
        <v>0</v>
      </c>
      <c r="ET157" s="208">
        <v>0</v>
      </c>
      <c r="EU157" s="208">
        <v>0</v>
      </c>
      <c r="EV157" s="208">
        <v>0</v>
      </c>
      <c r="EW157" s="208">
        <v>0</v>
      </c>
      <c r="EX157" s="208">
        <v>0</v>
      </c>
      <c r="EY157" s="208">
        <v>0</v>
      </c>
      <c r="EZ157" s="208">
        <v>0</v>
      </c>
      <c r="FA157" s="208">
        <v>0</v>
      </c>
      <c r="FB157" s="208">
        <v>0</v>
      </c>
      <c r="FC157" s="208">
        <v>0</v>
      </c>
      <c r="FD157" s="208">
        <v>0</v>
      </c>
      <c r="FE157" s="208">
        <v>0</v>
      </c>
      <c r="FF157" s="208">
        <v>0</v>
      </c>
      <c r="FG157" s="208">
        <v>0</v>
      </c>
      <c r="FH157" s="222">
        <v>0</v>
      </c>
    </row>
    <row r="158" spans="2:164" x14ac:dyDescent="0.2">
      <c r="B158" s="217" t="s">
        <v>337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2</v>
      </c>
      <c r="L158" s="208">
        <v>0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</v>
      </c>
      <c r="X158" s="208"/>
      <c r="Y158" s="217" t="s">
        <v>337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74.657418374461116</v>
      </c>
      <c r="AI158" s="208">
        <v>0</v>
      </c>
      <c r="AJ158" s="208">
        <v>0</v>
      </c>
      <c r="AK158" s="255">
        <v>0</v>
      </c>
      <c r="AL158" s="255">
        <v>0</v>
      </c>
      <c r="AM158" s="255">
        <v>0</v>
      </c>
      <c r="AN158" s="255">
        <v>0</v>
      </c>
      <c r="AO158" s="255">
        <v>0</v>
      </c>
      <c r="AP158" s="255">
        <v>0</v>
      </c>
      <c r="AQ158" s="208">
        <v>0</v>
      </c>
      <c r="AR158" s="208">
        <v>0</v>
      </c>
      <c r="AS158" s="208">
        <v>0</v>
      </c>
      <c r="AT158" s="222">
        <v>74.657418374461116</v>
      </c>
      <c r="AV158" s="217" t="s">
        <v>337</v>
      </c>
      <c r="AW158" s="227">
        <v>0</v>
      </c>
      <c r="AX158" s="228">
        <v>0</v>
      </c>
      <c r="AY158" s="208">
        <v>0</v>
      </c>
      <c r="AZ158" s="208">
        <v>0</v>
      </c>
      <c r="BA158" s="208">
        <v>0</v>
      </c>
      <c r="BB158" s="208">
        <v>0</v>
      </c>
      <c r="BC158" s="208">
        <v>0</v>
      </c>
      <c r="BD158" s="208">
        <v>0</v>
      </c>
      <c r="BE158" s="208">
        <v>74.657418374461116</v>
      </c>
      <c r="BF158" s="208">
        <v>0</v>
      </c>
      <c r="BG158" s="208">
        <v>0</v>
      </c>
      <c r="BH158" s="255">
        <v>0</v>
      </c>
      <c r="BI158" s="255">
        <v>0</v>
      </c>
      <c r="BJ158" s="255">
        <v>0</v>
      </c>
      <c r="BK158" s="255">
        <v>0</v>
      </c>
      <c r="BL158" s="255">
        <v>0</v>
      </c>
      <c r="BM158" s="255">
        <v>0</v>
      </c>
      <c r="BN158" s="208">
        <v>0</v>
      </c>
      <c r="BO158" s="208">
        <v>0</v>
      </c>
      <c r="BP158" s="208">
        <v>0</v>
      </c>
      <c r="BQ158" s="230">
        <f t="shared" si="102"/>
        <v>74.657418374461116</v>
      </c>
      <c r="BR158" s="214"/>
      <c r="BS158" s="227"/>
      <c r="BT158" s="217" t="s">
        <v>337</v>
      </c>
      <c r="BU158" s="227">
        <v>0</v>
      </c>
      <c r="BV158" s="228">
        <v>0</v>
      </c>
      <c r="BW158" s="208">
        <v>0</v>
      </c>
      <c r="BX158" s="208">
        <v>0</v>
      </c>
      <c r="BY158" s="208">
        <v>0</v>
      </c>
      <c r="BZ158" s="208">
        <v>0</v>
      </c>
      <c r="CA158" s="208">
        <v>0</v>
      </c>
      <c r="CB158" s="208">
        <v>0</v>
      </c>
      <c r="CC158" s="208">
        <v>0</v>
      </c>
      <c r="CD158" s="208">
        <v>0</v>
      </c>
      <c r="CE158" s="208">
        <v>0</v>
      </c>
      <c r="CF158" s="208">
        <v>0</v>
      </c>
      <c r="CG158" s="208">
        <v>0</v>
      </c>
      <c r="CH158" s="208">
        <v>0</v>
      </c>
      <c r="CI158" s="208">
        <v>0</v>
      </c>
      <c r="CJ158" s="208">
        <v>0</v>
      </c>
      <c r="CK158" s="208">
        <v>0</v>
      </c>
      <c r="CL158" s="208">
        <v>0</v>
      </c>
      <c r="CM158" s="208">
        <v>0</v>
      </c>
      <c r="CN158" s="208">
        <v>0</v>
      </c>
      <c r="CO158" s="222">
        <v>0</v>
      </c>
      <c r="CP158" s="227"/>
      <c r="CQ158" s="217" t="s">
        <v>337</v>
      </c>
      <c r="CR158" s="227">
        <v>0</v>
      </c>
      <c r="CS158" s="228">
        <v>0</v>
      </c>
      <c r="CT158" s="208">
        <v>0</v>
      </c>
      <c r="CU158" s="208">
        <v>0</v>
      </c>
      <c r="CV158" s="208">
        <v>0</v>
      </c>
      <c r="CW158" s="208">
        <v>0</v>
      </c>
      <c r="CX158" s="208">
        <v>0</v>
      </c>
      <c r="CY158" s="208">
        <v>0</v>
      </c>
      <c r="CZ158" s="208">
        <v>0</v>
      </c>
      <c r="DA158" s="208">
        <v>0</v>
      </c>
      <c r="DB158" s="208">
        <v>0</v>
      </c>
      <c r="DC158" s="208">
        <v>0</v>
      </c>
      <c r="DD158" s="208">
        <v>0</v>
      </c>
      <c r="DE158" s="208">
        <v>0</v>
      </c>
      <c r="DF158" s="208">
        <v>0</v>
      </c>
      <c r="DG158" s="208">
        <v>0</v>
      </c>
      <c r="DH158" s="208">
        <v>0</v>
      </c>
      <c r="DI158" s="208">
        <v>0</v>
      </c>
      <c r="DJ158" s="208">
        <v>0</v>
      </c>
      <c r="DK158" s="208">
        <v>0</v>
      </c>
      <c r="DL158" s="222">
        <v>0</v>
      </c>
      <c r="DM158" s="214"/>
      <c r="DN158" s="214"/>
      <c r="DO158" s="227"/>
      <c r="DP158" s="217" t="s">
        <v>337</v>
      </c>
      <c r="DQ158" s="227">
        <v>0</v>
      </c>
      <c r="DR158" s="228">
        <v>0</v>
      </c>
      <c r="DS158" s="208">
        <v>0</v>
      </c>
      <c r="DT158" s="208">
        <v>0</v>
      </c>
      <c r="DU158" s="208">
        <v>0</v>
      </c>
      <c r="DV158" s="208">
        <v>0</v>
      </c>
      <c r="DW158" s="208">
        <v>0</v>
      </c>
      <c r="DX158" s="208">
        <v>0</v>
      </c>
      <c r="DY158" s="208">
        <v>0</v>
      </c>
      <c r="DZ158" s="208">
        <v>0</v>
      </c>
      <c r="EA158" s="208">
        <v>0</v>
      </c>
      <c r="EB158" s="208">
        <v>0</v>
      </c>
      <c r="EC158" s="208">
        <v>0</v>
      </c>
      <c r="ED158" s="208">
        <v>0</v>
      </c>
      <c r="EE158" s="208">
        <v>0</v>
      </c>
      <c r="EF158" s="208">
        <v>0</v>
      </c>
      <c r="EG158" s="208">
        <v>0</v>
      </c>
      <c r="EH158" s="208">
        <v>0</v>
      </c>
      <c r="EI158" s="208">
        <v>0</v>
      </c>
      <c r="EJ158" s="208">
        <v>0</v>
      </c>
      <c r="EK158" s="222">
        <v>0</v>
      </c>
      <c r="EL158" s="228"/>
      <c r="EM158" s="217" t="s">
        <v>337</v>
      </c>
      <c r="EN158" s="227">
        <v>0</v>
      </c>
      <c r="EO158" s="228">
        <v>0</v>
      </c>
      <c r="EP158" s="208">
        <v>0</v>
      </c>
      <c r="EQ158" s="208">
        <v>0</v>
      </c>
      <c r="ER158" s="208">
        <v>0</v>
      </c>
      <c r="ES158" s="208">
        <v>0</v>
      </c>
      <c r="ET158" s="208">
        <v>0</v>
      </c>
      <c r="EU158" s="208">
        <v>0</v>
      </c>
      <c r="EV158" s="208">
        <v>0</v>
      </c>
      <c r="EW158" s="208">
        <v>0</v>
      </c>
      <c r="EX158" s="208">
        <v>0</v>
      </c>
      <c r="EY158" s="208">
        <v>0</v>
      </c>
      <c r="EZ158" s="208">
        <v>0</v>
      </c>
      <c r="FA158" s="208">
        <v>0</v>
      </c>
      <c r="FB158" s="208">
        <v>0</v>
      </c>
      <c r="FC158" s="208">
        <v>0</v>
      </c>
      <c r="FD158" s="208">
        <v>0</v>
      </c>
      <c r="FE158" s="208">
        <v>0</v>
      </c>
      <c r="FF158" s="208">
        <v>0</v>
      </c>
      <c r="FG158" s="208">
        <v>0</v>
      </c>
      <c r="FH158" s="222">
        <v>0</v>
      </c>
    </row>
    <row r="159" spans="2:164" x14ac:dyDescent="0.2">
      <c r="B159" s="217" t="s">
        <v>338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20</v>
      </c>
      <c r="M159" s="208">
        <v>0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20</v>
      </c>
      <c r="X159" s="208"/>
      <c r="Y159" s="217" t="s">
        <v>338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1068.0732700980448</v>
      </c>
      <c r="AJ159" s="208">
        <v>0</v>
      </c>
      <c r="AK159" s="255">
        <v>0</v>
      </c>
      <c r="AL159" s="255">
        <v>0</v>
      </c>
      <c r="AM159" s="255">
        <v>0</v>
      </c>
      <c r="AN159" s="255">
        <v>0</v>
      </c>
      <c r="AO159" s="255">
        <v>0</v>
      </c>
      <c r="AP159" s="255">
        <v>0</v>
      </c>
      <c r="AQ159" s="208">
        <v>0</v>
      </c>
      <c r="AR159" s="208">
        <v>0</v>
      </c>
      <c r="AS159" s="208">
        <v>0</v>
      </c>
      <c r="AT159" s="222">
        <v>1068.0732700980448</v>
      </c>
      <c r="AV159" s="217" t="s">
        <v>338</v>
      </c>
      <c r="AW159" s="227">
        <v>0</v>
      </c>
      <c r="AX159" s="228">
        <v>0</v>
      </c>
      <c r="AY159" s="208">
        <v>0</v>
      </c>
      <c r="AZ159" s="208">
        <v>0</v>
      </c>
      <c r="BA159" s="208">
        <v>0</v>
      </c>
      <c r="BB159" s="208">
        <v>0</v>
      </c>
      <c r="BC159" s="208">
        <v>0</v>
      </c>
      <c r="BD159" s="208">
        <v>0</v>
      </c>
      <c r="BE159" s="208">
        <v>0</v>
      </c>
      <c r="BF159" s="208">
        <v>1068.0732700980448</v>
      </c>
      <c r="BG159" s="208">
        <v>0</v>
      </c>
      <c r="BH159" s="255">
        <v>0</v>
      </c>
      <c r="BI159" s="255">
        <v>0</v>
      </c>
      <c r="BJ159" s="255">
        <v>0</v>
      </c>
      <c r="BK159" s="255">
        <v>0</v>
      </c>
      <c r="BL159" s="255">
        <v>0</v>
      </c>
      <c r="BM159" s="255">
        <v>0</v>
      </c>
      <c r="BN159" s="208">
        <v>0</v>
      </c>
      <c r="BO159" s="208">
        <v>0</v>
      </c>
      <c r="BP159" s="208">
        <v>0</v>
      </c>
      <c r="BQ159" s="230">
        <f t="shared" si="102"/>
        <v>1068.0732700980448</v>
      </c>
      <c r="BR159" s="214"/>
      <c r="BS159" s="227"/>
      <c r="BT159" s="217" t="s">
        <v>338</v>
      </c>
      <c r="BU159" s="227">
        <v>0</v>
      </c>
      <c r="BV159" s="228">
        <v>0</v>
      </c>
      <c r="BW159" s="208">
        <v>0</v>
      </c>
      <c r="BX159" s="208">
        <v>0</v>
      </c>
      <c r="BY159" s="208">
        <v>0</v>
      </c>
      <c r="BZ159" s="208">
        <v>0</v>
      </c>
      <c r="CA159" s="208">
        <v>0</v>
      </c>
      <c r="CB159" s="208">
        <v>0</v>
      </c>
      <c r="CC159" s="208">
        <v>0</v>
      </c>
      <c r="CD159" s="208">
        <v>0</v>
      </c>
      <c r="CE159" s="208">
        <v>0</v>
      </c>
      <c r="CF159" s="208">
        <v>0</v>
      </c>
      <c r="CG159" s="208">
        <v>0</v>
      </c>
      <c r="CH159" s="208">
        <v>0</v>
      </c>
      <c r="CI159" s="208">
        <v>0</v>
      </c>
      <c r="CJ159" s="208">
        <v>0</v>
      </c>
      <c r="CK159" s="208">
        <v>0</v>
      </c>
      <c r="CL159" s="208">
        <v>0</v>
      </c>
      <c r="CM159" s="208">
        <v>0</v>
      </c>
      <c r="CN159" s="208">
        <v>0</v>
      </c>
      <c r="CO159" s="222">
        <v>0</v>
      </c>
      <c r="CP159" s="227"/>
      <c r="CQ159" s="217" t="s">
        <v>338</v>
      </c>
      <c r="CR159" s="227">
        <v>0</v>
      </c>
      <c r="CS159" s="228">
        <v>0</v>
      </c>
      <c r="CT159" s="208">
        <v>0</v>
      </c>
      <c r="CU159" s="208">
        <v>0</v>
      </c>
      <c r="CV159" s="208">
        <v>0</v>
      </c>
      <c r="CW159" s="208">
        <v>0</v>
      </c>
      <c r="CX159" s="208">
        <v>0</v>
      </c>
      <c r="CY159" s="208">
        <v>0</v>
      </c>
      <c r="CZ159" s="208">
        <v>0</v>
      </c>
      <c r="DA159" s="208">
        <v>0</v>
      </c>
      <c r="DB159" s="208">
        <v>0</v>
      </c>
      <c r="DC159" s="208">
        <v>0</v>
      </c>
      <c r="DD159" s="208">
        <v>0</v>
      </c>
      <c r="DE159" s="208">
        <v>0</v>
      </c>
      <c r="DF159" s="208">
        <v>0</v>
      </c>
      <c r="DG159" s="208">
        <v>0</v>
      </c>
      <c r="DH159" s="208">
        <v>0</v>
      </c>
      <c r="DI159" s="208">
        <v>0</v>
      </c>
      <c r="DJ159" s="208">
        <v>0</v>
      </c>
      <c r="DK159" s="208">
        <v>0</v>
      </c>
      <c r="DL159" s="222">
        <v>0</v>
      </c>
      <c r="DM159" s="214"/>
      <c r="DN159" s="214"/>
      <c r="DO159" s="227"/>
      <c r="DP159" s="217" t="s">
        <v>338</v>
      </c>
      <c r="DQ159" s="227">
        <v>0</v>
      </c>
      <c r="DR159" s="228">
        <v>0</v>
      </c>
      <c r="DS159" s="208">
        <v>0</v>
      </c>
      <c r="DT159" s="208">
        <v>0</v>
      </c>
      <c r="DU159" s="208">
        <v>0</v>
      </c>
      <c r="DV159" s="208">
        <v>0</v>
      </c>
      <c r="DW159" s="208">
        <v>0</v>
      </c>
      <c r="DX159" s="208">
        <v>0</v>
      </c>
      <c r="DY159" s="208">
        <v>0</v>
      </c>
      <c r="DZ159" s="208">
        <v>0</v>
      </c>
      <c r="EA159" s="208">
        <v>0</v>
      </c>
      <c r="EB159" s="208">
        <v>0</v>
      </c>
      <c r="EC159" s="208">
        <v>0</v>
      </c>
      <c r="ED159" s="208">
        <v>0</v>
      </c>
      <c r="EE159" s="208">
        <v>0</v>
      </c>
      <c r="EF159" s="208">
        <v>0</v>
      </c>
      <c r="EG159" s="208">
        <v>0</v>
      </c>
      <c r="EH159" s="208">
        <v>0</v>
      </c>
      <c r="EI159" s="208">
        <v>0</v>
      </c>
      <c r="EJ159" s="208">
        <v>0</v>
      </c>
      <c r="EK159" s="222">
        <v>0</v>
      </c>
      <c r="EL159" s="228"/>
      <c r="EM159" s="217" t="s">
        <v>338</v>
      </c>
      <c r="EN159" s="227">
        <v>0</v>
      </c>
      <c r="EO159" s="228">
        <v>0</v>
      </c>
      <c r="EP159" s="208">
        <v>0</v>
      </c>
      <c r="EQ159" s="208">
        <v>0</v>
      </c>
      <c r="ER159" s="208">
        <v>0</v>
      </c>
      <c r="ES159" s="208">
        <v>0</v>
      </c>
      <c r="ET159" s="208">
        <v>0</v>
      </c>
      <c r="EU159" s="208">
        <v>0</v>
      </c>
      <c r="EV159" s="208">
        <v>0</v>
      </c>
      <c r="EW159" s="208">
        <v>0</v>
      </c>
      <c r="EX159" s="208">
        <v>0</v>
      </c>
      <c r="EY159" s="208">
        <v>0</v>
      </c>
      <c r="EZ159" s="208">
        <v>0</v>
      </c>
      <c r="FA159" s="208">
        <v>0</v>
      </c>
      <c r="FB159" s="208">
        <v>0</v>
      </c>
      <c r="FC159" s="208">
        <v>0</v>
      </c>
      <c r="FD159" s="208">
        <v>0</v>
      </c>
      <c r="FE159" s="208">
        <v>0</v>
      </c>
      <c r="FF159" s="208">
        <v>0</v>
      </c>
      <c r="FG159" s="208">
        <v>0</v>
      </c>
      <c r="FH159" s="222">
        <v>0</v>
      </c>
    </row>
    <row r="160" spans="2:164" x14ac:dyDescent="0.2">
      <c r="B160" s="217" t="s">
        <v>339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2</v>
      </c>
      <c r="N160" s="208">
        <v>0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2</v>
      </c>
      <c r="X160" s="208"/>
      <c r="Y160" s="217" t="s">
        <v>339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445.89277123886825</v>
      </c>
      <c r="AK160" s="255">
        <v>0</v>
      </c>
      <c r="AL160" s="255">
        <v>0</v>
      </c>
      <c r="AM160" s="255">
        <v>0</v>
      </c>
      <c r="AN160" s="255">
        <v>0</v>
      </c>
      <c r="AO160" s="255">
        <v>0</v>
      </c>
      <c r="AP160" s="255">
        <v>0</v>
      </c>
      <c r="AQ160" s="208">
        <v>0</v>
      </c>
      <c r="AR160" s="208">
        <v>0</v>
      </c>
      <c r="AS160" s="208">
        <v>0</v>
      </c>
      <c r="AT160" s="222">
        <v>445.89277123886825</v>
      </c>
      <c r="AV160" s="217" t="s">
        <v>339</v>
      </c>
      <c r="AW160" s="227">
        <v>0</v>
      </c>
      <c r="AX160" s="228">
        <v>0</v>
      </c>
      <c r="AY160" s="208">
        <v>0</v>
      </c>
      <c r="AZ160" s="208">
        <v>0</v>
      </c>
      <c r="BA160" s="208">
        <v>0</v>
      </c>
      <c r="BB160" s="208">
        <v>0</v>
      </c>
      <c r="BC160" s="208">
        <v>0</v>
      </c>
      <c r="BD160" s="208">
        <v>0</v>
      </c>
      <c r="BE160" s="208">
        <v>0</v>
      </c>
      <c r="BF160" s="208">
        <v>0</v>
      </c>
      <c r="BG160" s="208">
        <v>445.89277123886825</v>
      </c>
      <c r="BH160" s="255">
        <v>0</v>
      </c>
      <c r="BI160" s="255">
        <v>0</v>
      </c>
      <c r="BJ160" s="255">
        <v>0</v>
      </c>
      <c r="BK160" s="255">
        <v>0</v>
      </c>
      <c r="BL160" s="255">
        <v>0</v>
      </c>
      <c r="BM160" s="255">
        <v>0</v>
      </c>
      <c r="BN160" s="208">
        <v>0</v>
      </c>
      <c r="BO160" s="208">
        <v>0</v>
      </c>
      <c r="BP160" s="208">
        <v>0</v>
      </c>
      <c r="BQ160" s="230">
        <f t="shared" si="102"/>
        <v>445.89277123886825</v>
      </c>
      <c r="BR160" s="214"/>
      <c r="BS160" s="227"/>
      <c r="BT160" s="217" t="s">
        <v>339</v>
      </c>
      <c r="BU160" s="227">
        <v>0</v>
      </c>
      <c r="BV160" s="228">
        <v>0</v>
      </c>
      <c r="BW160" s="208">
        <v>0</v>
      </c>
      <c r="BX160" s="208">
        <v>0</v>
      </c>
      <c r="BY160" s="208">
        <v>0</v>
      </c>
      <c r="BZ160" s="208">
        <v>0</v>
      </c>
      <c r="CA160" s="208">
        <v>0</v>
      </c>
      <c r="CB160" s="208">
        <v>0</v>
      </c>
      <c r="CC160" s="208">
        <v>0</v>
      </c>
      <c r="CD160" s="208">
        <v>0</v>
      </c>
      <c r="CE160" s="208">
        <v>0</v>
      </c>
      <c r="CF160" s="208">
        <v>0</v>
      </c>
      <c r="CG160" s="208">
        <v>0</v>
      </c>
      <c r="CH160" s="208">
        <v>0</v>
      </c>
      <c r="CI160" s="208">
        <v>0</v>
      </c>
      <c r="CJ160" s="208">
        <v>0</v>
      </c>
      <c r="CK160" s="208">
        <v>0</v>
      </c>
      <c r="CL160" s="208">
        <v>0</v>
      </c>
      <c r="CM160" s="208">
        <v>0</v>
      </c>
      <c r="CN160" s="208">
        <v>0</v>
      </c>
      <c r="CO160" s="222">
        <v>0</v>
      </c>
      <c r="CP160" s="227"/>
      <c r="CQ160" s="217" t="s">
        <v>339</v>
      </c>
      <c r="CR160" s="227">
        <v>0</v>
      </c>
      <c r="CS160" s="228">
        <v>0</v>
      </c>
      <c r="CT160" s="208">
        <v>0</v>
      </c>
      <c r="CU160" s="208">
        <v>0</v>
      </c>
      <c r="CV160" s="208">
        <v>0</v>
      </c>
      <c r="CW160" s="208">
        <v>0</v>
      </c>
      <c r="CX160" s="208">
        <v>0</v>
      </c>
      <c r="CY160" s="208">
        <v>0</v>
      </c>
      <c r="CZ160" s="208">
        <v>0</v>
      </c>
      <c r="DA160" s="208">
        <v>0</v>
      </c>
      <c r="DB160" s="208">
        <v>0</v>
      </c>
      <c r="DC160" s="208">
        <v>0</v>
      </c>
      <c r="DD160" s="208">
        <v>0</v>
      </c>
      <c r="DE160" s="208">
        <v>0</v>
      </c>
      <c r="DF160" s="208">
        <v>0</v>
      </c>
      <c r="DG160" s="208">
        <v>0</v>
      </c>
      <c r="DH160" s="208">
        <v>0</v>
      </c>
      <c r="DI160" s="208">
        <v>0</v>
      </c>
      <c r="DJ160" s="208">
        <v>0</v>
      </c>
      <c r="DK160" s="208">
        <v>0</v>
      </c>
      <c r="DL160" s="222">
        <v>0</v>
      </c>
      <c r="DM160" s="214"/>
      <c r="DN160" s="214"/>
      <c r="DO160" s="227"/>
      <c r="DP160" s="217" t="s">
        <v>339</v>
      </c>
      <c r="DQ160" s="227">
        <v>0</v>
      </c>
      <c r="DR160" s="228">
        <v>0</v>
      </c>
      <c r="DS160" s="208">
        <v>0</v>
      </c>
      <c r="DT160" s="208">
        <v>0</v>
      </c>
      <c r="DU160" s="208">
        <v>0</v>
      </c>
      <c r="DV160" s="208">
        <v>0</v>
      </c>
      <c r="DW160" s="208">
        <v>0</v>
      </c>
      <c r="DX160" s="208">
        <v>0</v>
      </c>
      <c r="DY160" s="208">
        <v>0</v>
      </c>
      <c r="DZ160" s="208">
        <v>0</v>
      </c>
      <c r="EA160" s="208">
        <v>0</v>
      </c>
      <c r="EB160" s="208">
        <v>0</v>
      </c>
      <c r="EC160" s="208">
        <v>0</v>
      </c>
      <c r="ED160" s="208">
        <v>0</v>
      </c>
      <c r="EE160" s="208">
        <v>0</v>
      </c>
      <c r="EF160" s="208">
        <v>0</v>
      </c>
      <c r="EG160" s="208">
        <v>0</v>
      </c>
      <c r="EH160" s="208">
        <v>0</v>
      </c>
      <c r="EI160" s="208">
        <v>0</v>
      </c>
      <c r="EJ160" s="208">
        <v>0</v>
      </c>
      <c r="EK160" s="222">
        <v>0</v>
      </c>
      <c r="EL160" s="228"/>
      <c r="EM160" s="217" t="s">
        <v>339</v>
      </c>
      <c r="EN160" s="227">
        <v>0</v>
      </c>
      <c r="EO160" s="228">
        <v>0</v>
      </c>
      <c r="EP160" s="208">
        <v>0</v>
      </c>
      <c r="EQ160" s="208">
        <v>0</v>
      </c>
      <c r="ER160" s="208">
        <v>0</v>
      </c>
      <c r="ES160" s="208">
        <v>0</v>
      </c>
      <c r="ET160" s="208">
        <v>0</v>
      </c>
      <c r="EU160" s="208">
        <v>0</v>
      </c>
      <c r="EV160" s="208">
        <v>0</v>
      </c>
      <c r="EW160" s="208">
        <v>0</v>
      </c>
      <c r="EX160" s="208">
        <v>0</v>
      </c>
      <c r="EY160" s="208">
        <v>0</v>
      </c>
      <c r="EZ160" s="208">
        <v>0</v>
      </c>
      <c r="FA160" s="208">
        <v>0</v>
      </c>
      <c r="FB160" s="208">
        <v>0</v>
      </c>
      <c r="FC160" s="208">
        <v>0</v>
      </c>
      <c r="FD160" s="208">
        <v>0</v>
      </c>
      <c r="FE160" s="208">
        <v>0</v>
      </c>
      <c r="FF160" s="208">
        <v>0</v>
      </c>
      <c r="FG160" s="208">
        <v>0</v>
      </c>
      <c r="FH160" s="222">
        <v>0</v>
      </c>
    </row>
    <row r="161" spans="2:164" x14ac:dyDescent="0.2">
      <c r="B161" s="217" t="s">
        <v>340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4</v>
      </c>
      <c r="O161" s="208">
        <v>0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340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55">
        <v>0</v>
      </c>
      <c r="AF161" s="255">
        <v>0</v>
      </c>
      <c r="AG161" s="255">
        <v>0</v>
      </c>
      <c r="AH161" s="255">
        <v>0</v>
      </c>
      <c r="AI161" s="255">
        <v>0</v>
      </c>
      <c r="AJ161" s="255">
        <v>0</v>
      </c>
      <c r="AK161" s="208">
        <v>682.48940745406003</v>
      </c>
      <c r="AL161" s="208">
        <v>0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682.48940745406003</v>
      </c>
      <c r="AV161" s="217" t="s">
        <v>340</v>
      </c>
      <c r="AW161" s="227">
        <v>0</v>
      </c>
      <c r="AX161" s="228">
        <v>0</v>
      </c>
      <c r="AY161" s="208">
        <v>0</v>
      </c>
      <c r="AZ161" s="208">
        <v>0</v>
      </c>
      <c r="BA161" s="208">
        <v>0</v>
      </c>
      <c r="BB161" s="255">
        <v>0</v>
      </c>
      <c r="BC161" s="255">
        <v>0</v>
      </c>
      <c r="BD161" s="255">
        <v>0</v>
      </c>
      <c r="BE161" s="255">
        <v>0</v>
      </c>
      <c r="BF161" s="255">
        <v>0</v>
      </c>
      <c r="BG161" s="255">
        <v>0</v>
      </c>
      <c r="BH161" s="208">
        <v>682.48940745406003</v>
      </c>
      <c r="BI161" s="208">
        <v>0</v>
      </c>
      <c r="BJ161" s="208">
        <v>0</v>
      </c>
      <c r="BK161" s="208">
        <v>0</v>
      </c>
      <c r="BL161" s="208">
        <v>0</v>
      </c>
      <c r="BM161" s="208">
        <v>0</v>
      </c>
      <c r="BN161" s="208">
        <v>0</v>
      </c>
      <c r="BO161" s="208">
        <v>0</v>
      </c>
      <c r="BP161" s="208">
        <v>0</v>
      </c>
      <c r="BQ161" s="230">
        <f t="shared" si="102"/>
        <v>682.48940745406003</v>
      </c>
      <c r="BR161" s="214"/>
      <c r="BS161" s="227"/>
      <c r="BT161" s="217" t="s">
        <v>340</v>
      </c>
      <c r="BU161" s="227">
        <v>0</v>
      </c>
      <c r="BV161" s="228">
        <v>0</v>
      </c>
      <c r="BW161" s="208">
        <v>0</v>
      </c>
      <c r="BX161" s="208">
        <v>0</v>
      </c>
      <c r="BY161" s="208">
        <v>0</v>
      </c>
      <c r="BZ161" s="208">
        <v>0</v>
      </c>
      <c r="CA161" s="208">
        <v>0</v>
      </c>
      <c r="CB161" s="208">
        <v>0</v>
      </c>
      <c r="CC161" s="208">
        <v>0</v>
      </c>
      <c r="CD161" s="208">
        <v>0</v>
      </c>
      <c r="CE161" s="208">
        <v>0</v>
      </c>
      <c r="CF161" s="208">
        <v>0</v>
      </c>
      <c r="CG161" s="208">
        <v>0</v>
      </c>
      <c r="CH161" s="208">
        <v>0</v>
      </c>
      <c r="CI161" s="208">
        <v>0</v>
      </c>
      <c r="CJ161" s="208">
        <v>0</v>
      </c>
      <c r="CK161" s="208">
        <v>0</v>
      </c>
      <c r="CL161" s="208">
        <v>0</v>
      </c>
      <c r="CM161" s="208">
        <v>0</v>
      </c>
      <c r="CN161" s="208">
        <v>0</v>
      </c>
      <c r="CO161" s="222">
        <v>0</v>
      </c>
      <c r="CP161" s="227"/>
      <c r="CQ161" s="217" t="s">
        <v>340</v>
      </c>
      <c r="CR161" s="227">
        <v>0</v>
      </c>
      <c r="CS161" s="228">
        <v>0</v>
      </c>
      <c r="CT161" s="208">
        <v>0</v>
      </c>
      <c r="CU161" s="208">
        <v>0</v>
      </c>
      <c r="CV161" s="208">
        <v>0</v>
      </c>
      <c r="CW161" s="208">
        <v>0</v>
      </c>
      <c r="CX161" s="208">
        <v>0</v>
      </c>
      <c r="CY161" s="208">
        <v>0</v>
      </c>
      <c r="CZ161" s="208">
        <v>0</v>
      </c>
      <c r="DA161" s="208">
        <v>0</v>
      </c>
      <c r="DB161" s="208">
        <v>0</v>
      </c>
      <c r="DC161" s="208">
        <v>0</v>
      </c>
      <c r="DD161" s="208">
        <v>0</v>
      </c>
      <c r="DE161" s="208">
        <v>0</v>
      </c>
      <c r="DF161" s="208">
        <v>0</v>
      </c>
      <c r="DG161" s="208">
        <v>0</v>
      </c>
      <c r="DH161" s="208">
        <v>0</v>
      </c>
      <c r="DI161" s="208">
        <v>0</v>
      </c>
      <c r="DJ161" s="208">
        <v>0</v>
      </c>
      <c r="DK161" s="208">
        <v>0</v>
      </c>
      <c r="DL161" s="222">
        <v>0</v>
      </c>
      <c r="DM161" s="214"/>
      <c r="DN161" s="214"/>
      <c r="DO161" s="227"/>
      <c r="DP161" s="217" t="s">
        <v>340</v>
      </c>
      <c r="DQ161" s="227">
        <v>0</v>
      </c>
      <c r="DR161" s="228">
        <v>0</v>
      </c>
      <c r="DS161" s="208">
        <v>0</v>
      </c>
      <c r="DT161" s="208">
        <v>0</v>
      </c>
      <c r="DU161" s="208">
        <v>0</v>
      </c>
      <c r="DV161" s="208">
        <v>0</v>
      </c>
      <c r="DW161" s="208">
        <v>0</v>
      </c>
      <c r="DX161" s="208">
        <v>0</v>
      </c>
      <c r="DY161" s="208">
        <v>0</v>
      </c>
      <c r="DZ161" s="208">
        <v>0</v>
      </c>
      <c r="EA161" s="208">
        <v>0</v>
      </c>
      <c r="EB161" s="208">
        <v>0</v>
      </c>
      <c r="EC161" s="208">
        <v>0</v>
      </c>
      <c r="ED161" s="208">
        <v>0</v>
      </c>
      <c r="EE161" s="208">
        <v>0</v>
      </c>
      <c r="EF161" s="208">
        <v>0</v>
      </c>
      <c r="EG161" s="208">
        <v>0</v>
      </c>
      <c r="EH161" s="208">
        <v>0</v>
      </c>
      <c r="EI161" s="208">
        <v>0</v>
      </c>
      <c r="EJ161" s="208">
        <v>0</v>
      </c>
      <c r="EK161" s="222">
        <v>0</v>
      </c>
      <c r="EL161" s="228"/>
      <c r="EM161" s="217" t="s">
        <v>340</v>
      </c>
      <c r="EN161" s="227">
        <v>0</v>
      </c>
      <c r="EO161" s="228">
        <v>0</v>
      </c>
      <c r="EP161" s="208">
        <v>0</v>
      </c>
      <c r="EQ161" s="208">
        <v>0</v>
      </c>
      <c r="ER161" s="208">
        <v>0</v>
      </c>
      <c r="ES161" s="208">
        <v>0</v>
      </c>
      <c r="ET161" s="208">
        <v>0</v>
      </c>
      <c r="EU161" s="208">
        <v>0</v>
      </c>
      <c r="EV161" s="208">
        <v>0</v>
      </c>
      <c r="EW161" s="208">
        <v>0</v>
      </c>
      <c r="EX161" s="208">
        <v>0</v>
      </c>
      <c r="EY161" s="208">
        <v>0</v>
      </c>
      <c r="EZ161" s="208">
        <v>0</v>
      </c>
      <c r="FA161" s="208">
        <v>0</v>
      </c>
      <c r="FB161" s="208">
        <v>0</v>
      </c>
      <c r="FC161" s="208">
        <v>0</v>
      </c>
      <c r="FD161" s="208">
        <v>0</v>
      </c>
      <c r="FE161" s="208">
        <v>0</v>
      </c>
      <c r="FF161" s="208">
        <v>0</v>
      </c>
      <c r="FG161" s="208">
        <v>0</v>
      </c>
      <c r="FH161" s="222">
        <v>0</v>
      </c>
    </row>
    <row r="162" spans="2:164" ht="12.75" customHeight="1" x14ac:dyDescent="0.2">
      <c r="B162" s="217" t="s">
        <v>361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4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4</v>
      </c>
      <c r="X162" s="208"/>
      <c r="Y162" s="217" t="s">
        <v>361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55">
        <v>0</v>
      </c>
      <c r="AF162" s="255">
        <v>0</v>
      </c>
      <c r="AG162" s="255">
        <v>0</v>
      </c>
      <c r="AH162" s="255">
        <v>0</v>
      </c>
      <c r="AI162" s="255">
        <v>0</v>
      </c>
      <c r="AJ162" s="255">
        <v>0</v>
      </c>
      <c r="AK162" s="208">
        <v>0</v>
      </c>
      <c r="AL162" s="208">
        <v>134.60086835921021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134.60086835921021</v>
      </c>
      <c r="AV162" s="217" t="s">
        <v>361</v>
      </c>
      <c r="AW162" s="227">
        <v>0</v>
      </c>
      <c r="AX162" s="228">
        <v>0</v>
      </c>
      <c r="AY162" s="208">
        <v>0</v>
      </c>
      <c r="AZ162" s="208">
        <v>0</v>
      </c>
      <c r="BA162" s="208">
        <v>0</v>
      </c>
      <c r="BB162" s="255">
        <v>0</v>
      </c>
      <c r="BC162" s="255">
        <v>0</v>
      </c>
      <c r="BD162" s="255">
        <v>0</v>
      </c>
      <c r="BE162" s="255">
        <v>0</v>
      </c>
      <c r="BF162" s="255">
        <v>0</v>
      </c>
      <c r="BG162" s="255">
        <v>0</v>
      </c>
      <c r="BH162" s="208">
        <v>0</v>
      </c>
      <c r="BI162" s="208">
        <v>134.60086835921021</v>
      </c>
      <c r="BJ162" s="208">
        <v>0</v>
      </c>
      <c r="BK162" s="208">
        <v>0</v>
      </c>
      <c r="BL162" s="208">
        <v>0</v>
      </c>
      <c r="BM162" s="208">
        <v>0</v>
      </c>
      <c r="BN162" s="208">
        <v>0</v>
      </c>
      <c r="BO162" s="208">
        <v>0</v>
      </c>
      <c r="BP162" s="208">
        <v>0</v>
      </c>
      <c r="BQ162" s="230">
        <f t="shared" si="102"/>
        <v>134.60086835921021</v>
      </c>
      <c r="BR162" s="214"/>
      <c r="BS162" s="227"/>
      <c r="BT162" s="217" t="s">
        <v>361</v>
      </c>
      <c r="BU162" s="227">
        <v>0</v>
      </c>
      <c r="BV162" s="228">
        <v>0</v>
      </c>
      <c r="BW162" s="208">
        <v>0</v>
      </c>
      <c r="BX162" s="208">
        <v>0</v>
      </c>
      <c r="BY162" s="208">
        <v>0</v>
      </c>
      <c r="BZ162" s="208">
        <v>0</v>
      </c>
      <c r="CA162" s="208">
        <v>0</v>
      </c>
      <c r="CB162" s="208">
        <v>0</v>
      </c>
      <c r="CC162" s="208">
        <v>0</v>
      </c>
      <c r="CD162" s="208">
        <v>0</v>
      </c>
      <c r="CE162" s="208">
        <v>0</v>
      </c>
      <c r="CF162" s="208">
        <v>0</v>
      </c>
      <c r="CG162" s="208">
        <v>0</v>
      </c>
      <c r="CH162" s="208">
        <v>0</v>
      </c>
      <c r="CI162" s="208">
        <v>0</v>
      </c>
      <c r="CJ162" s="208">
        <v>0</v>
      </c>
      <c r="CK162" s="208">
        <v>0</v>
      </c>
      <c r="CL162" s="208">
        <v>0</v>
      </c>
      <c r="CM162" s="208">
        <v>0</v>
      </c>
      <c r="CN162" s="208">
        <v>0</v>
      </c>
      <c r="CO162" s="222">
        <v>0</v>
      </c>
      <c r="CP162" s="227"/>
      <c r="CQ162" s="217" t="s">
        <v>361</v>
      </c>
      <c r="CR162" s="227">
        <v>0</v>
      </c>
      <c r="CS162" s="228">
        <v>0</v>
      </c>
      <c r="CT162" s="208">
        <v>0</v>
      </c>
      <c r="CU162" s="208">
        <v>0</v>
      </c>
      <c r="CV162" s="208">
        <v>0</v>
      </c>
      <c r="CW162" s="208">
        <v>0</v>
      </c>
      <c r="CX162" s="208">
        <v>0</v>
      </c>
      <c r="CY162" s="208">
        <v>0</v>
      </c>
      <c r="CZ162" s="208">
        <v>0</v>
      </c>
      <c r="DA162" s="208">
        <v>0</v>
      </c>
      <c r="DB162" s="208">
        <v>0</v>
      </c>
      <c r="DC162" s="208">
        <v>0</v>
      </c>
      <c r="DD162" s="208">
        <v>0</v>
      </c>
      <c r="DE162" s="208">
        <v>0</v>
      </c>
      <c r="DF162" s="208">
        <v>0</v>
      </c>
      <c r="DG162" s="208">
        <v>0</v>
      </c>
      <c r="DH162" s="208">
        <v>0</v>
      </c>
      <c r="DI162" s="208">
        <v>0</v>
      </c>
      <c r="DJ162" s="208">
        <v>0</v>
      </c>
      <c r="DK162" s="208">
        <v>0</v>
      </c>
      <c r="DL162" s="222">
        <v>0</v>
      </c>
      <c r="DM162" s="214"/>
      <c r="DN162" s="214"/>
      <c r="DO162" s="227"/>
      <c r="DP162" s="217" t="s">
        <v>361</v>
      </c>
      <c r="DQ162" s="227">
        <v>0</v>
      </c>
      <c r="DR162" s="228">
        <v>0</v>
      </c>
      <c r="DS162" s="208">
        <v>0</v>
      </c>
      <c r="DT162" s="208">
        <v>0</v>
      </c>
      <c r="DU162" s="208">
        <v>0</v>
      </c>
      <c r="DV162" s="208">
        <v>0</v>
      </c>
      <c r="DW162" s="208">
        <v>0</v>
      </c>
      <c r="DX162" s="208">
        <v>0</v>
      </c>
      <c r="DY162" s="208">
        <v>0</v>
      </c>
      <c r="DZ162" s="208">
        <v>0</v>
      </c>
      <c r="EA162" s="208">
        <v>0</v>
      </c>
      <c r="EB162" s="208">
        <v>0</v>
      </c>
      <c r="EC162" s="208">
        <v>0</v>
      </c>
      <c r="ED162" s="208">
        <v>0</v>
      </c>
      <c r="EE162" s="208">
        <v>0</v>
      </c>
      <c r="EF162" s="208">
        <v>0</v>
      </c>
      <c r="EG162" s="208">
        <v>0</v>
      </c>
      <c r="EH162" s="208">
        <v>0</v>
      </c>
      <c r="EI162" s="208">
        <v>0</v>
      </c>
      <c r="EJ162" s="208">
        <v>0</v>
      </c>
      <c r="EK162" s="222">
        <v>0</v>
      </c>
      <c r="EL162" s="228"/>
      <c r="EM162" s="217" t="s">
        <v>361</v>
      </c>
      <c r="EN162" s="227">
        <v>0</v>
      </c>
      <c r="EO162" s="228">
        <v>0</v>
      </c>
      <c r="EP162" s="208">
        <v>0</v>
      </c>
      <c r="EQ162" s="208">
        <v>0</v>
      </c>
      <c r="ER162" s="208">
        <v>0</v>
      </c>
      <c r="ES162" s="208">
        <v>0</v>
      </c>
      <c r="ET162" s="208">
        <v>0</v>
      </c>
      <c r="EU162" s="208">
        <v>0</v>
      </c>
      <c r="EV162" s="208">
        <v>0</v>
      </c>
      <c r="EW162" s="208">
        <v>0</v>
      </c>
      <c r="EX162" s="208">
        <v>0</v>
      </c>
      <c r="EY162" s="208">
        <v>0</v>
      </c>
      <c r="EZ162" s="208">
        <v>0</v>
      </c>
      <c r="FA162" s="208">
        <v>0</v>
      </c>
      <c r="FB162" s="208">
        <v>0</v>
      </c>
      <c r="FC162" s="208">
        <v>0</v>
      </c>
      <c r="FD162" s="208">
        <v>0</v>
      </c>
      <c r="FE162" s="208">
        <v>0</v>
      </c>
      <c r="FF162" s="208">
        <v>0</v>
      </c>
      <c r="FG162" s="208">
        <v>0</v>
      </c>
      <c r="FH162" s="222">
        <v>0</v>
      </c>
    </row>
    <row r="163" spans="2:164" x14ac:dyDescent="0.2">
      <c r="B163" s="234" t="s">
        <v>350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0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0</v>
      </c>
      <c r="S163" s="208">
        <v>0</v>
      </c>
      <c r="T163" s="208">
        <v>0</v>
      </c>
      <c r="U163" s="208">
        <v>0</v>
      </c>
      <c r="V163" s="208">
        <v>0</v>
      </c>
      <c r="W163" s="222">
        <v>0</v>
      </c>
      <c r="X163" s="209"/>
      <c r="Y163" s="217" t="s">
        <v>350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55">
        <v>0</v>
      </c>
      <c r="AF163" s="255">
        <v>0</v>
      </c>
      <c r="AG163" s="255">
        <v>0</v>
      </c>
      <c r="AH163" s="255">
        <v>0</v>
      </c>
      <c r="AI163" s="255">
        <v>0</v>
      </c>
      <c r="AJ163" s="255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0</v>
      </c>
      <c r="AP163" s="208">
        <v>0</v>
      </c>
      <c r="AQ163" s="208">
        <v>0</v>
      </c>
      <c r="AR163" s="208">
        <v>0</v>
      </c>
      <c r="AS163" s="208">
        <v>0</v>
      </c>
      <c r="AT163" s="222">
        <v>0</v>
      </c>
      <c r="AV163" s="217" t="s">
        <v>350</v>
      </c>
      <c r="AW163" s="227">
        <v>0</v>
      </c>
      <c r="AX163" s="228">
        <v>0</v>
      </c>
      <c r="AY163" s="208">
        <v>0</v>
      </c>
      <c r="AZ163" s="208">
        <v>0</v>
      </c>
      <c r="BA163" s="208">
        <v>0</v>
      </c>
      <c r="BB163" s="255">
        <v>0</v>
      </c>
      <c r="BC163" s="255">
        <v>0</v>
      </c>
      <c r="BD163" s="255">
        <v>0</v>
      </c>
      <c r="BE163" s="255">
        <v>0</v>
      </c>
      <c r="BF163" s="255">
        <v>0</v>
      </c>
      <c r="BG163" s="255">
        <v>0</v>
      </c>
      <c r="BH163" s="208">
        <v>0</v>
      </c>
      <c r="BI163" s="208">
        <v>0</v>
      </c>
      <c r="BJ163" s="208">
        <v>0</v>
      </c>
      <c r="BK163" s="208">
        <v>0</v>
      </c>
      <c r="BL163" s="208">
        <v>0</v>
      </c>
      <c r="BM163" s="208">
        <v>0</v>
      </c>
      <c r="BN163" s="208">
        <v>0</v>
      </c>
      <c r="BO163" s="208">
        <v>0</v>
      </c>
      <c r="BP163" s="208">
        <v>0</v>
      </c>
      <c r="BQ163" s="230">
        <f t="shared" si="102"/>
        <v>0</v>
      </c>
      <c r="BR163" s="214"/>
      <c r="BS163" s="227"/>
      <c r="BT163" s="234" t="s">
        <v>350</v>
      </c>
      <c r="BU163" s="227">
        <v>0</v>
      </c>
      <c r="BV163" s="228">
        <v>0</v>
      </c>
      <c r="BW163" s="208">
        <v>0</v>
      </c>
      <c r="BX163" s="208">
        <v>0</v>
      </c>
      <c r="BY163" s="208">
        <v>0</v>
      </c>
      <c r="BZ163" s="208">
        <v>0</v>
      </c>
      <c r="CA163" s="208">
        <v>0</v>
      </c>
      <c r="CB163" s="208">
        <v>0</v>
      </c>
      <c r="CC163" s="208">
        <v>0</v>
      </c>
      <c r="CD163" s="208">
        <v>0</v>
      </c>
      <c r="CE163" s="208">
        <v>0</v>
      </c>
      <c r="CF163" s="208">
        <v>0</v>
      </c>
      <c r="CG163" s="208">
        <v>0</v>
      </c>
      <c r="CH163" s="208">
        <v>0</v>
      </c>
      <c r="CI163" s="208">
        <v>0</v>
      </c>
      <c r="CJ163" s="208">
        <v>0</v>
      </c>
      <c r="CK163" s="208">
        <v>0</v>
      </c>
      <c r="CL163" s="208">
        <v>0</v>
      </c>
      <c r="CM163" s="208">
        <v>0</v>
      </c>
      <c r="CN163" s="208">
        <v>0</v>
      </c>
      <c r="CO163" s="222">
        <v>0</v>
      </c>
      <c r="CP163" s="227"/>
      <c r="CQ163" s="234" t="s">
        <v>350</v>
      </c>
      <c r="CR163" s="227">
        <v>0</v>
      </c>
      <c r="CS163" s="228">
        <v>0</v>
      </c>
      <c r="CT163" s="208">
        <v>0</v>
      </c>
      <c r="CU163" s="208">
        <v>0</v>
      </c>
      <c r="CV163" s="208">
        <v>0</v>
      </c>
      <c r="CW163" s="208">
        <v>0</v>
      </c>
      <c r="CX163" s="208">
        <v>0</v>
      </c>
      <c r="CY163" s="208">
        <v>0</v>
      </c>
      <c r="CZ163" s="208">
        <v>0</v>
      </c>
      <c r="DA163" s="208">
        <v>0</v>
      </c>
      <c r="DB163" s="208">
        <v>0</v>
      </c>
      <c r="DC163" s="208">
        <v>0</v>
      </c>
      <c r="DD163" s="208">
        <v>0</v>
      </c>
      <c r="DE163" s="208">
        <v>0</v>
      </c>
      <c r="DF163" s="208">
        <v>0</v>
      </c>
      <c r="DG163" s="208">
        <v>0</v>
      </c>
      <c r="DH163" s="208">
        <v>0</v>
      </c>
      <c r="DI163" s="208">
        <v>0</v>
      </c>
      <c r="DJ163" s="208">
        <v>0</v>
      </c>
      <c r="DK163" s="208">
        <v>0</v>
      </c>
      <c r="DL163" s="222">
        <v>0</v>
      </c>
      <c r="DM163" s="214"/>
      <c r="DN163" s="214"/>
      <c r="DO163" s="227"/>
      <c r="DP163" s="234" t="s">
        <v>350</v>
      </c>
      <c r="DQ163" s="227">
        <v>0</v>
      </c>
      <c r="DR163" s="228">
        <v>0</v>
      </c>
      <c r="DS163" s="208">
        <v>0</v>
      </c>
      <c r="DT163" s="208">
        <v>0</v>
      </c>
      <c r="DU163" s="208">
        <v>0</v>
      </c>
      <c r="DV163" s="208">
        <v>0</v>
      </c>
      <c r="DW163" s="208">
        <v>0</v>
      </c>
      <c r="DX163" s="208">
        <v>0</v>
      </c>
      <c r="DY163" s="208">
        <v>0</v>
      </c>
      <c r="DZ163" s="208">
        <v>0</v>
      </c>
      <c r="EA163" s="208">
        <v>0</v>
      </c>
      <c r="EB163" s="208">
        <v>0</v>
      </c>
      <c r="EC163" s="208">
        <v>0</v>
      </c>
      <c r="ED163" s="208">
        <v>0</v>
      </c>
      <c r="EE163" s="208">
        <v>0</v>
      </c>
      <c r="EF163" s="208">
        <v>0</v>
      </c>
      <c r="EG163" s="208">
        <v>0</v>
      </c>
      <c r="EH163" s="208">
        <v>0</v>
      </c>
      <c r="EI163" s="208">
        <v>0</v>
      </c>
      <c r="EJ163" s="208">
        <v>0</v>
      </c>
      <c r="EK163" s="222">
        <v>0</v>
      </c>
      <c r="EL163" s="228"/>
      <c r="EM163" s="234" t="s">
        <v>350</v>
      </c>
      <c r="EN163" s="227">
        <v>0</v>
      </c>
      <c r="EO163" s="228">
        <v>0</v>
      </c>
      <c r="EP163" s="208">
        <v>0</v>
      </c>
      <c r="EQ163" s="208">
        <v>0</v>
      </c>
      <c r="ER163" s="208">
        <v>0</v>
      </c>
      <c r="ES163" s="208">
        <v>0</v>
      </c>
      <c r="ET163" s="208">
        <v>0</v>
      </c>
      <c r="EU163" s="208">
        <v>0</v>
      </c>
      <c r="EV163" s="208">
        <v>0</v>
      </c>
      <c r="EW163" s="208">
        <v>0</v>
      </c>
      <c r="EX163" s="208">
        <v>0</v>
      </c>
      <c r="EY163" s="208">
        <v>0</v>
      </c>
      <c r="EZ163" s="208">
        <v>0</v>
      </c>
      <c r="FA163" s="208">
        <v>0</v>
      </c>
      <c r="FB163" s="208">
        <v>0</v>
      </c>
      <c r="FC163" s="208">
        <v>0</v>
      </c>
      <c r="FD163" s="208">
        <v>0</v>
      </c>
      <c r="FE163" s="208">
        <v>0</v>
      </c>
      <c r="FF163" s="208">
        <v>0</v>
      </c>
      <c r="FG163" s="208">
        <v>0</v>
      </c>
      <c r="FH163" s="222">
        <v>0</v>
      </c>
    </row>
    <row r="164" spans="2:164" x14ac:dyDescent="0.2">
      <c r="B164" s="217" t="s">
        <v>341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341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55">
        <v>0</v>
      </c>
      <c r="AF164" s="255">
        <v>0</v>
      </c>
      <c r="AG164" s="255">
        <v>0</v>
      </c>
      <c r="AH164" s="255">
        <v>0</v>
      </c>
      <c r="AI164" s="255">
        <v>0</v>
      </c>
      <c r="AJ164" s="255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341</v>
      </c>
      <c r="AW164" s="227">
        <v>0</v>
      </c>
      <c r="AX164" s="228">
        <v>0</v>
      </c>
      <c r="AY164" s="208">
        <v>0</v>
      </c>
      <c r="AZ164" s="208">
        <v>0</v>
      </c>
      <c r="BA164" s="208">
        <v>0</v>
      </c>
      <c r="BB164" s="255">
        <v>0</v>
      </c>
      <c r="BC164" s="255">
        <v>0</v>
      </c>
      <c r="BD164" s="255">
        <v>0</v>
      </c>
      <c r="BE164" s="255">
        <v>0</v>
      </c>
      <c r="BF164" s="255">
        <v>0</v>
      </c>
      <c r="BG164" s="255">
        <v>0</v>
      </c>
      <c r="BH164" s="208">
        <v>0</v>
      </c>
      <c r="BI164" s="208">
        <v>0</v>
      </c>
      <c r="BJ164" s="208">
        <v>0</v>
      </c>
      <c r="BK164" s="208">
        <v>0</v>
      </c>
      <c r="BL164" s="208">
        <v>0</v>
      </c>
      <c r="BM164" s="208">
        <v>0</v>
      </c>
      <c r="BN164" s="208">
        <v>0</v>
      </c>
      <c r="BO164" s="208">
        <v>0</v>
      </c>
      <c r="BP164" s="208">
        <v>0</v>
      </c>
      <c r="BQ164" s="230">
        <f t="shared" si="102"/>
        <v>0</v>
      </c>
      <c r="BR164" s="214"/>
      <c r="BS164" s="227"/>
      <c r="BT164" s="217" t="s">
        <v>341</v>
      </c>
      <c r="BU164" s="227">
        <v>0</v>
      </c>
      <c r="BV164" s="228">
        <v>0</v>
      </c>
      <c r="BW164" s="208">
        <v>0</v>
      </c>
      <c r="BX164" s="208">
        <v>0</v>
      </c>
      <c r="BY164" s="208">
        <v>0</v>
      </c>
      <c r="BZ164" s="208">
        <v>0</v>
      </c>
      <c r="CA164" s="208">
        <v>0</v>
      </c>
      <c r="CB164" s="208">
        <v>0</v>
      </c>
      <c r="CC164" s="208">
        <v>0</v>
      </c>
      <c r="CD164" s="208">
        <v>0</v>
      </c>
      <c r="CE164" s="208">
        <v>0</v>
      </c>
      <c r="CF164" s="208">
        <v>0</v>
      </c>
      <c r="CG164" s="208">
        <v>0</v>
      </c>
      <c r="CH164" s="208">
        <v>0</v>
      </c>
      <c r="CI164" s="208">
        <v>0</v>
      </c>
      <c r="CJ164" s="208">
        <v>0</v>
      </c>
      <c r="CK164" s="208">
        <v>0</v>
      </c>
      <c r="CL164" s="208">
        <v>0</v>
      </c>
      <c r="CM164" s="208">
        <v>0</v>
      </c>
      <c r="CN164" s="208">
        <v>0</v>
      </c>
      <c r="CO164" s="222">
        <v>0</v>
      </c>
      <c r="CP164" s="227"/>
      <c r="CQ164" s="217" t="s">
        <v>341</v>
      </c>
      <c r="CR164" s="227">
        <v>0</v>
      </c>
      <c r="CS164" s="228">
        <v>0</v>
      </c>
      <c r="CT164" s="208">
        <v>0</v>
      </c>
      <c r="CU164" s="208">
        <v>0</v>
      </c>
      <c r="CV164" s="208">
        <v>0</v>
      </c>
      <c r="CW164" s="208">
        <v>0</v>
      </c>
      <c r="CX164" s="208">
        <v>0</v>
      </c>
      <c r="CY164" s="208">
        <v>0</v>
      </c>
      <c r="CZ164" s="208">
        <v>0</v>
      </c>
      <c r="DA164" s="208">
        <v>0</v>
      </c>
      <c r="DB164" s="208">
        <v>0</v>
      </c>
      <c r="DC164" s="208">
        <v>0</v>
      </c>
      <c r="DD164" s="208">
        <v>0</v>
      </c>
      <c r="DE164" s="208">
        <v>0</v>
      </c>
      <c r="DF164" s="208">
        <v>0</v>
      </c>
      <c r="DG164" s="208">
        <v>0</v>
      </c>
      <c r="DH164" s="208">
        <v>0</v>
      </c>
      <c r="DI164" s="208">
        <v>0</v>
      </c>
      <c r="DJ164" s="208">
        <v>0</v>
      </c>
      <c r="DK164" s="208">
        <v>0</v>
      </c>
      <c r="DL164" s="222">
        <v>0</v>
      </c>
      <c r="DM164" s="214"/>
      <c r="DN164" s="214"/>
      <c r="DO164" s="227"/>
      <c r="DP164" s="217" t="s">
        <v>341</v>
      </c>
      <c r="DQ164" s="227">
        <v>0</v>
      </c>
      <c r="DR164" s="228">
        <v>0</v>
      </c>
      <c r="DS164" s="208">
        <v>0</v>
      </c>
      <c r="DT164" s="208">
        <v>0</v>
      </c>
      <c r="DU164" s="208">
        <v>0</v>
      </c>
      <c r="DV164" s="208">
        <v>0</v>
      </c>
      <c r="DW164" s="208">
        <v>0</v>
      </c>
      <c r="DX164" s="208">
        <v>0</v>
      </c>
      <c r="DY164" s="208">
        <v>0</v>
      </c>
      <c r="DZ164" s="208">
        <v>0</v>
      </c>
      <c r="EA164" s="208">
        <v>0</v>
      </c>
      <c r="EB164" s="208">
        <v>0</v>
      </c>
      <c r="EC164" s="208">
        <v>0</v>
      </c>
      <c r="ED164" s="208">
        <v>0</v>
      </c>
      <c r="EE164" s="208">
        <v>0</v>
      </c>
      <c r="EF164" s="208">
        <v>0</v>
      </c>
      <c r="EG164" s="208">
        <v>0</v>
      </c>
      <c r="EH164" s="208">
        <v>0</v>
      </c>
      <c r="EI164" s="208">
        <v>0</v>
      </c>
      <c r="EJ164" s="208">
        <v>0</v>
      </c>
      <c r="EK164" s="222">
        <v>0</v>
      </c>
      <c r="EL164" s="228"/>
      <c r="EM164" s="217" t="s">
        <v>341</v>
      </c>
      <c r="EN164" s="227">
        <v>0</v>
      </c>
      <c r="EO164" s="228">
        <v>0</v>
      </c>
      <c r="EP164" s="208">
        <v>0</v>
      </c>
      <c r="EQ164" s="208">
        <v>0</v>
      </c>
      <c r="ER164" s="208">
        <v>0</v>
      </c>
      <c r="ES164" s="208">
        <v>0</v>
      </c>
      <c r="ET164" s="208">
        <v>0</v>
      </c>
      <c r="EU164" s="208">
        <v>0</v>
      </c>
      <c r="EV164" s="208">
        <v>0</v>
      </c>
      <c r="EW164" s="208">
        <v>0</v>
      </c>
      <c r="EX164" s="208">
        <v>0</v>
      </c>
      <c r="EY164" s="208">
        <v>0</v>
      </c>
      <c r="EZ164" s="208">
        <v>0</v>
      </c>
      <c r="FA164" s="208">
        <v>0</v>
      </c>
      <c r="FB164" s="208">
        <v>0</v>
      </c>
      <c r="FC164" s="208">
        <v>0</v>
      </c>
      <c r="FD164" s="208">
        <v>0</v>
      </c>
      <c r="FE164" s="208">
        <v>0</v>
      </c>
      <c r="FF164" s="208">
        <v>0</v>
      </c>
      <c r="FG164" s="208">
        <v>0</v>
      </c>
      <c r="FH164" s="222">
        <v>0</v>
      </c>
    </row>
    <row r="165" spans="2:164" x14ac:dyDescent="0.2">
      <c r="B165" s="217" t="s">
        <v>342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2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4</v>
      </c>
      <c r="S165" s="208">
        <v>0</v>
      </c>
      <c r="T165" s="208">
        <v>0</v>
      </c>
      <c r="U165" s="208">
        <v>0</v>
      </c>
      <c r="V165" s="208">
        <v>0</v>
      </c>
      <c r="W165" s="222">
        <v>6</v>
      </c>
      <c r="X165" s="208"/>
      <c r="Y165" s="217" t="s">
        <v>342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55">
        <v>0</v>
      </c>
      <c r="AF165" s="255">
        <v>0</v>
      </c>
      <c r="AG165" s="255">
        <v>0</v>
      </c>
      <c r="AH165" s="255">
        <v>0</v>
      </c>
      <c r="AI165" s="255">
        <v>52.982940190977089</v>
      </c>
      <c r="AJ165" s="255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2592.1287113747899</v>
      </c>
      <c r="AP165" s="208">
        <v>0</v>
      </c>
      <c r="AQ165" s="208">
        <v>0</v>
      </c>
      <c r="AR165" s="208">
        <v>0</v>
      </c>
      <c r="AS165" s="208">
        <v>0</v>
      </c>
      <c r="AT165" s="222">
        <v>2645.1116515657668</v>
      </c>
      <c r="AV165" s="217" t="s">
        <v>342</v>
      </c>
      <c r="AW165" s="227">
        <v>0</v>
      </c>
      <c r="AX165" s="228">
        <v>0</v>
      </c>
      <c r="AY165" s="208">
        <v>0</v>
      </c>
      <c r="AZ165" s="208">
        <v>0</v>
      </c>
      <c r="BA165" s="208">
        <v>0</v>
      </c>
      <c r="BB165" s="255">
        <v>0</v>
      </c>
      <c r="BC165" s="255">
        <v>0</v>
      </c>
      <c r="BD165" s="255">
        <v>0</v>
      </c>
      <c r="BE165" s="255">
        <v>0</v>
      </c>
      <c r="BF165" s="258">
        <v>0</v>
      </c>
      <c r="BG165" s="255">
        <v>0</v>
      </c>
      <c r="BH165" s="208">
        <v>0</v>
      </c>
      <c r="BI165" s="208">
        <v>0</v>
      </c>
      <c r="BJ165" s="208">
        <v>0</v>
      </c>
      <c r="BK165" s="208">
        <v>0</v>
      </c>
      <c r="BL165" s="208">
        <v>2592.1287113747899</v>
      </c>
      <c r="BM165" s="208">
        <v>0</v>
      </c>
      <c r="BN165" s="208">
        <v>0</v>
      </c>
      <c r="BO165" s="208">
        <v>0</v>
      </c>
      <c r="BP165" s="208">
        <v>0</v>
      </c>
      <c r="BQ165" s="230">
        <f t="shared" si="102"/>
        <v>2592.1287113747899</v>
      </c>
      <c r="BR165" s="214"/>
      <c r="BS165" s="227"/>
      <c r="BT165" s="217" t="s">
        <v>342</v>
      </c>
      <c r="BU165" s="227">
        <v>0</v>
      </c>
      <c r="BV165" s="228">
        <v>0</v>
      </c>
      <c r="BW165" s="208">
        <v>0</v>
      </c>
      <c r="BX165" s="208">
        <v>0</v>
      </c>
      <c r="BY165" s="208">
        <v>0</v>
      </c>
      <c r="BZ165" s="208">
        <v>0</v>
      </c>
      <c r="CA165" s="208">
        <v>0</v>
      </c>
      <c r="CB165" s="208">
        <v>0</v>
      </c>
      <c r="CC165" s="208">
        <v>0</v>
      </c>
      <c r="CD165" s="208">
        <v>0</v>
      </c>
      <c r="CE165" s="208">
        <v>0</v>
      </c>
      <c r="CF165" s="208">
        <v>0</v>
      </c>
      <c r="CG165" s="208">
        <v>0</v>
      </c>
      <c r="CH165" s="208">
        <v>0</v>
      </c>
      <c r="CI165" s="208">
        <v>0</v>
      </c>
      <c r="CJ165" s="208">
        <v>0</v>
      </c>
      <c r="CK165" s="208">
        <v>0</v>
      </c>
      <c r="CL165" s="208">
        <v>0</v>
      </c>
      <c r="CM165" s="208">
        <v>0</v>
      </c>
      <c r="CN165" s="208">
        <v>0</v>
      </c>
      <c r="CO165" s="222">
        <v>0</v>
      </c>
      <c r="CP165" s="227"/>
      <c r="CQ165" s="217" t="s">
        <v>342</v>
      </c>
      <c r="CR165" s="227">
        <v>0</v>
      </c>
      <c r="CS165" s="228">
        <v>0</v>
      </c>
      <c r="CT165" s="208">
        <v>0</v>
      </c>
      <c r="CU165" s="208">
        <v>0</v>
      </c>
      <c r="CV165" s="208">
        <v>0</v>
      </c>
      <c r="CW165" s="208">
        <v>0</v>
      </c>
      <c r="CX165" s="208">
        <v>0</v>
      </c>
      <c r="CY165" s="208">
        <v>0</v>
      </c>
      <c r="CZ165" s="208">
        <v>0</v>
      </c>
      <c r="DA165" s="208">
        <v>0</v>
      </c>
      <c r="DB165" s="208">
        <v>0</v>
      </c>
      <c r="DC165" s="208">
        <v>0</v>
      </c>
      <c r="DD165" s="208">
        <v>0</v>
      </c>
      <c r="DE165" s="208">
        <v>0</v>
      </c>
      <c r="DF165" s="208">
        <v>0</v>
      </c>
      <c r="DG165" s="208">
        <v>0</v>
      </c>
      <c r="DH165" s="208">
        <v>0</v>
      </c>
      <c r="DI165" s="208">
        <v>0</v>
      </c>
      <c r="DJ165" s="208">
        <v>0</v>
      </c>
      <c r="DK165" s="208">
        <v>0</v>
      </c>
      <c r="DL165" s="222">
        <v>0</v>
      </c>
      <c r="DM165" s="214"/>
      <c r="DN165" s="214"/>
      <c r="DO165" s="227"/>
      <c r="DP165" s="217" t="s">
        <v>342</v>
      </c>
      <c r="DQ165" s="227">
        <v>0</v>
      </c>
      <c r="DR165" s="228">
        <v>0</v>
      </c>
      <c r="DS165" s="208">
        <v>0</v>
      </c>
      <c r="DT165" s="208">
        <v>0</v>
      </c>
      <c r="DU165" s="208">
        <v>0</v>
      </c>
      <c r="DV165" s="208">
        <v>0</v>
      </c>
      <c r="DW165" s="208">
        <v>0</v>
      </c>
      <c r="DX165" s="208">
        <v>0</v>
      </c>
      <c r="DY165" s="208">
        <v>0</v>
      </c>
      <c r="DZ165" s="208">
        <v>0</v>
      </c>
      <c r="EA165" s="208">
        <v>0</v>
      </c>
      <c r="EB165" s="208">
        <v>0</v>
      </c>
      <c r="EC165" s="208">
        <v>0</v>
      </c>
      <c r="ED165" s="208">
        <v>0</v>
      </c>
      <c r="EE165" s="208">
        <v>0</v>
      </c>
      <c r="EF165" s="208">
        <v>0</v>
      </c>
      <c r="EG165" s="208">
        <v>0</v>
      </c>
      <c r="EH165" s="208">
        <v>0</v>
      </c>
      <c r="EI165" s="208">
        <v>0</v>
      </c>
      <c r="EJ165" s="208">
        <v>0</v>
      </c>
      <c r="EK165" s="222">
        <v>0</v>
      </c>
      <c r="EL165" s="228"/>
      <c r="EM165" s="217" t="s">
        <v>342</v>
      </c>
      <c r="EN165" s="227">
        <v>0</v>
      </c>
      <c r="EO165" s="228">
        <v>0</v>
      </c>
      <c r="EP165" s="208">
        <v>0</v>
      </c>
      <c r="EQ165" s="208">
        <v>0</v>
      </c>
      <c r="ER165" s="208">
        <v>0</v>
      </c>
      <c r="ES165" s="208">
        <v>0</v>
      </c>
      <c r="ET165" s="208">
        <v>0</v>
      </c>
      <c r="EU165" s="208">
        <v>0</v>
      </c>
      <c r="EV165" s="208">
        <v>0</v>
      </c>
      <c r="EW165" s="208">
        <v>0</v>
      </c>
      <c r="EX165" s="208">
        <v>0</v>
      </c>
      <c r="EY165" s="208">
        <v>0</v>
      </c>
      <c r="EZ165" s="208">
        <v>0</v>
      </c>
      <c r="FA165" s="208">
        <v>0</v>
      </c>
      <c r="FB165" s="208">
        <v>0</v>
      </c>
      <c r="FC165" s="208">
        <v>0</v>
      </c>
      <c r="FD165" s="208">
        <v>0</v>
      </c>
      <c r="FE165" s="208">
        <v>0</v>
      </c>
      <c r="FF165" s="208">
        <v>0</v>
      </c>
      <c r="FG165" s="208">
        <v>0</v>
      </c>
      <c r="FH165" s="222">
        <v>0</v>
      </c>
    </row>
    <row r="166" spans="2:164" x14ac:dyDescent="0.2">
      <c r="B166" s="217" t="s">
        <v>343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0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2</v>
      </c>
      <c r="T166" s="208">
        <v>0</v>
      </c>
      <c r="U166" s="208">
        <v>0</v>
      </c>
      <c r="V166" s="208">
        <v>0</v>
      </c>
      <c r="W166" s="222">
        <v>2</v>
      </c>
      <c r="X166" s="208"/>
      <c r="Y166" s="217" t="s">
        <v>343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55">
        <v>0</v>
      </c>
      <c r="AF166" s="255">
        <v>0</v>
      </c>
      <c r="AG166" s="255">
        <v>0</v>
      </c>
      <c r="AH166" s="255">
        <v>0</v>
      </c>
      <c r="AI166" s="255">
        <v>0</v>
      </c>
      <c r="AJ166" s="255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425.77933737987439</v>
      </c>
      <c r="AQ166" s="208">
        <v>0</v>
      </c>
      <c r="AR166" s="208">
        <v>0</v>
      </c>
      <c r="AS166" s="208">
        <v>0</v>
      </c>
      <c r="AT166" s="222">
        <v>425.77933737987439</v>
      </c>
      <c r="AV166" s="217" t="s">
        <v>343</v>
      </c>
      <c r="AW166" s="227">
        <v>0</v>
      </c>
      <c r="AX166" s="228">
        <v>0</v>
      </c>
      <c r="AY166" s="208">
        <v>0</v>
      </c>
      <c r="AZ166" s="208">
        <v>0</v>
      </c>
      <c r="BA166" s="208">
        <v>0</v>
      </c>
      <c r="BB166" s="255">
        <v>0</v>
      </c>
      <c r="BC166" s="255">
        <v>0</v>
      </c>
      <c r="BD166" s="255">
        <v>0</v>
      </c>
      <c r="BE166" s="255">
        <v>0</v>
      </c>
      <c r="BF166" s="255">
        <v>0</v>
      </c>
      <c r="BG166" s="255">
        <v>0</v>
      </c>
      <c r="BH166" s="208">
        <v>0</v>
      </c>
      <c r="BI166" s="208">
        <v>0</v>
      </c>
      <c r="BJ166" s="208">
        <v>0</v>
      </c>
      <c r="BK166" s="208">
        <v>0</v>
      </c>
      <c r="BL166" s="208">
        <v>0</v>
      </c>
      <c r="BM166" s="208">
        <v>425.77933737987439</v>
      </c>
      <c r="BN166" s="208">
        <v>0</v>
      </c>
      <c r="BO166" s="208">
        <v>0</v>
      </c>
      <c r="BP166" s="208">
        <v>0</v>
      </c>
      <c r="BQ166" s="230">
        <f t="shared" si="102"/>
        <v>425.77933737987439</v>
      </c>
      <c r="BR166" s="214"/>
      <c r="BS166" s="227"/>
      <c r="BT166" s="217" t="s">
        <v>343</v>
      </c>
      <c r="BU166" s="227">
        <v>0</v>
      </c>
      <c r="BV166" s="228">
        <v>0</v>
      </c>
      <c r="BW166" s="208">
        <v>0</v>
      </c>
      <c r="BX166" s="208">
        <v>0</v>
      </c>
      <c r="BY166" s="208">
        <v>0</v>
      </c>
      <c r="BZ166" s="208">
        <v>0</v>
      </c>
      <c r="CA166" s="208">
        <v>0</v>
      </c>
      <c r="CB166" s="208">
        <v>0</v>
      </c>
      <c r="CC166" s="208">
        <v>0</v>
      </c>
      <c r="CD166" s="208">
        <v>0</v>
      </c>
      <c r="CE166" s="208">
        <v>0</v>
      </c>
      <c r="CF166" s="208">
        <v>0</v>
      </c>
      <c r="CG166" s="208">
        <v>0</v>
      </c>
      <c r="CH166" s="208">
        <v>0</v>
      </c>
      <c r="CI166" s="208">
        <v>0</v>
      </c>
      <c r="CJ166" s="208">
        <v>0</v>
      </c>
      <c r="CK166" s="208">
        <v>0</v>
      </c>
      <c r="CL166" s="208">
        <v>0</v>
      </c>
      <c r="CM166" s="208">
        <v>0</v>
      </c>
      <c r="CN166" s="208">
        <v>0</v>
      </c>
      <c r="CO166" s="222">
        <v>0</v>
      </c>
      <c r="CP166" s="227"/>
      <c r="CQ166" s="217" t="s">
        <v>343</v>
      </c>
      <c r="CR166" s="227">
        <v>0</v>
      </c>
      <c r="CS166" s="228">
        <v>0</v>
      </c>
      <c r="CT166" s="208">
        <v>0</v>
      </c>
      <c r="CU166" s="208">
        <v>0</v>
      </c>
      <c r="CV166" s="208">
        <v>0</v>
      </c>
      <c r="CW166" s="208">
        <v>0</v>
      </c>
      <c r="CX166" s="208">
        <v>0</v>
      </c>
      <c r="CY166" s="208">
        <v>0</v>
      </c>
      <c r="CZ166" s="208">
        <v>0</v>
      </c>
      <c r="DA166" s="208">
        <v>0</v>
      </c>
      <c r="DB166" s="208">
        <v>0</v>
      </c>
      <c r="DC166" s="208">
        <v>0</v>
      </c>
      <c r="DD166" s="208">
        <v>0</v>
      </c>
      <c r="DE166" s="208">
        <v>0</v>
      </c>
      <c r="DF166" s="208">
        <v>0</v>
      </c>
      <c r="DG166" s="208">
        <v>0</v>
      </c>
      <c r="DH166" s="208">
        <v>0</v>
      </c>
      <c r="DI166" s="208">
        <v>0</v>
      </c>
      <c r="DJ166" s="208">
        <v>0</v>
      </c>
      <c r="DK166" s="208">
        <v>0</v>
      </c>
      <c r="DL166" s="222">
        <v>0</v>
      </c>
      <c r="DM166" s="214"/>
      <c r="DN166" s="214"/>
      <c r="DO166" s="227"/>
      <c r="DP166" s="217" t="s">
        <v>343</v>
      </c>
      <c r="DQ166" s="227">
        <v>0</v>
      </c>
      <c r="DR166" s="228">
        <v>0</v>
      </c>
      <c r="DS166" s="208">
        <v>0</v>
      </c>
      <c r="DT166" s="208">
        <v>0</v>
      </c>
      <c r="DU166" s="208">
        <v>0</v>
      </c>
      <c r="DV166" s="208">
        <v>0</v>
      </c>
      <c r="DW166" s="208">
        <v>0</v>
      </c>
      <c r="DX166" s="208">
        <v>0</v>
      </c>
      <c r="DY166" s="208">
        <v>0</v>
      </c>
      <c r="DZ166" s="208">
        <v>0</v>
      </c>
      <c r="EA166" s="208">
        <v>0</v>
      </c>
      <c r="EB166" s="208">
        <v>0</v>
      </c>
      <c r="EC166" s="208">
        <v>0</v>
      </c>
      <c r="ED166" s="208">
        <v>0</v>
      </c>
      <c r="EE166" s="208">
        <v>0</v>
      </c>
      <c r="EF166" s="208">
        <v>0</v>
      </c>
      <c r="EG166" s="208">
        <v>0</v>
      </c>
      <c r="EH166" s="208">
        <v>0</v>
      </c>
      <c r="EI166" s="208">
        <v>0</v>
      </c>
      <c r="EJ166" s="208">
        <v>0</v>
      </c>
      <c r="EK166" s="222">
        <v>0</v>
      </c>
      <c r="EL166" s="228"/>
      <c r="EM166" s="217" t="s">
        <v>343</v>
      </c>
      <c r="EN166" s="227">
        <v>0</v>
      </c>
      <c r="EO166" s="228">
        <v>0</v>
      </c>
      <c r="EP166" s="208">
        <v>0</v>
      </c>
      <c r="EQ166" s="208">
        <v>0</v>
      </c>
      <c r="ER166" s="208">
        <v>0</v>
      </c>
      <c r="ES166" s="208">
        <v>0</v>
      </c>
      <c r="ET166" s="208">
        <v>0</v>
      </c>
      <c r="EU166" s="208">
        <v>0</v>
      </c>
      <c r="EV166" s="208">
        <v>0</v>
      </c>
      <c r="EW166" s="208">
        <v>0</v>
      </c>
      <c r="EX166" s="208">
        <v>0</v>
      </c>
      <c r="EY166" s="208">
        <v>0</v>
      </c>
      <c r="EZ166" s="208">
        <v>0</v>
      </c>
      <c r="FA166" s="208">
        <v>0</v>
      </c>
      <c r="FB166" s="208">
        <v>0</v>
      </c>
      <c r="FC166" s="208">
        <v>0</v>
      </c>
      <c r="FD166" s="208">
        <v>0</v>
      </c>
      <c r="FE166" s="208">
        <v>0</v>
      </c>
      <c r="FF166" s="208">
        <v>0</v>
      </c>
      <c r="FG166" s="208">
        <v>0</v>
      </c>
      <c r="FH166" s="222">
        <v>0</v>
      </c>
    </row>
    <row r="167" spans="2:164" x14ac:dyDescent="0.2">
      <c r="B167" s="217" t="s">
        <v>6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4</v>
      </c>
      <c r="U167" s="208">
        <v>4</v>
      </c>
      <c r="V167" s="208">
        <v>0</v>
      </c>
      <c r="W167" s="222">
        <v>8</v>
      </c>
      <c r="X167" s="208"/>
      <c r="Y167" s="217" t="s">
        <v>6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1278.5385564536098</v>
      </c>
      <c r="AR167" s="208">
        <v>3210.1266133605163</v>
      </c>
      <c r="AS167" s="208">
        <v>0</v>
      </c>
      <c r="AT167" s="222">
        <v>4488.6651698141259</v>
      </c>
      <c r="AV167" s="217" t="s">
        <v>6</v>
      </c>
      <c r="AW167" s="227">
        <v>0</v>
      </c>
      <c r="AX167" s="228">
        <v>0</v>
      </c>
      <c r="AY167" s="208">
        <v>0</v>
      </c>
      <c r="AZ167" s="208">
        <v>0</v>
      </c>
      <c r="BA167" s="208">
        <v>0</v>
      </c>
      <c r="BB167" s="208">
        <v>0</v>
      </c>
      <c r="BC167" s="208">
        <v>0</v>
      </c>
      <c r="BD167" s="208">
        <v>0</v>
      </c>
      <c r="BE167" s="208">
        <v>0</v>
      </c>
      <c r="BF167" s="208">
        <v>0</v>
      </c>
      <c r="BG167" s="208">
        <v>0</v>
      </c>
      <c r="BH167" s="208">
        <v>0</v>
      </c>
      <c r="BI167" s="208">
        <v>0</v>
      </c>
      <c r="BJ167" s="208">
        <v>0</v>
      </c>
      <c r="BK167" s="208">
        <v>0</v>
      </c>
      <c r="BL167" s="208">
        <v>0</v>
      </c>
      <c r="BM167" s="208">
        <v>0</v>
      </c>
      <c r="BN167" s="208">
        <v>1278.5385564536098</v>
      </c>
      <c r="BO167" s="208">
        <v>3210.1266133605163</v>
      </c>
      <c r="BP167" s="208">
        <v>0</v>
      </c>
      <c r="BQ167" s="230">
        <f t="shared" si="102"/>
        <v>4488.6651698141259</v>
      </c>
      <c r="BR167" s="214"/>
      <c r="BS167" s="227"/>
      <c r="BT167" s="217" t="s">
        <v>6</v>
      </c>
      <c r="BU167" s="227">
        <v>0</v>
      </c>
      <c r="BV167" s="228">
        <v>0</v>
      </c>
      <c r="BW167" s="208">
        <v>0</v>
      </c>
      <c r="BX167" s="208">
        <v>0</v>
      </c>
      <c r="BY167" s="208">
        <v>0</v>
      </c>
      <c r="BZ167" s="208">
        <v>0</v>
      </c>
      <c r="CA167" s="208">
        <v>0</v>
      </c>
      <c r="CB167" s="208">
        <v>0</v>
      </c>
      <c r="CC167" s="208">
        <v>0</v>
      </c>
      <c r="CD167" s="208">
        <v>0</v>
      </c>
      <c r="CE167" s="208">
        <v>0</v>
      </c>
      <c r="CF167" s="208">
        <v>0</v>
      </c>
      <c r="CG167" s="208">
        <v>0</v>
      </c>
      <c r="CH167" s="208">
        <v>0</v>
      </c>
      <c r="CI167" s="208">
        <v>0</v>
      </c>
      <c r="CJ167" s="208">
        <v>0</v>
      </c>
      <c r="CK167" s="208">
        <v>0</v>
      </c>
      <c r="CL167" s="208">
        <v>0</v>
      </c>
      <c r="CM167" s="208">
        <v>0</v>
      </c>
      <c r="CN167" s="208">
        <v>0</v>
      </c>
      <c r="CO167" s="222">
        <v>0</v>
      </c>
      <c r="CP167" s="227"/>
      <c r="CQ167" s="217" t="s">
        <v>6</v>
      </c>
      <c r="CR167" s="227">
        <v>0</v>
      </c>
      <c r="CS167" s="228">
        <v>0</v>
      </c>
      <c r="CT167" s="208">
        <v>0</v>
      </c>
      <c r="CU167" s="208">
        <v>0</v>
      </c>
      <c r="CV167" s="208">
        <v>0</v>
      </c>
      <c r="CW167" s="208">
        <v>0</v>
      </c>
      <c r="CX167" s="208">
        <v>0</v>
      </c>
      <c r="CY167" s="208">
        <v>0</v>
      </c>
      <c r="CZ167" s="208">
        <v>0</v>
      </c>
      <c r="DA167" s="208">
        <v>0</v>
      </c>
      <c r="DB167" s="208">
        <v>0</v>
      </c>
      <c r="DC167" s="208">
        <v>0</v>
      </c>
      <c r="DD167" s="208">
        <v>0</v>
      </c>
      <c r="DE167" s="208">
        <v>0</v>
      </c>
      <c r="DF167" s="208">
        <v>0</v>
      </c>
      <c r="DG167" s="208">
        <v>0</v>
      </c>
      <c r="DH167" s="208">
        <v>0</v>
      </c>
      <c r="DI167" s="208">
        <v>0</v>
      </c>
      <c r="DJ167" s="208">
        <v>0</v>
      </c>
      <c r="DK167" s="208">
        <v>0</v>
      </c>
      <c r="DL167" s="222">
        <v>0</v>
      </c>
      <c r="DM167" s="214"/>
      <c r="DN167" s="214"/>
      <c r="DO167" s="227"/>
      <c r="DP167" s="217" t="s">
        <v>6</v>
      </c>
      <c r="DQ167" s="227">
        <v>0</v>
      </c>
      <c r="DR167" s="228">
        <v>0</v>
      </c>
      <c r="DS167" s="208">
        <v>0</v>
      </c>
      <c r="DT167" s="208">
        <v>0</v>
      </c>
      <c r="DU167" s="208">
        <v>0</v>
      </c>
      <c r="DV167" s="208">
        <v>0</v>
      </c>
      <c r="DW167" s="208">
        <v>0</v>
      </c>
      <c r="DX167" s="208">
        <v>0</v>
      </c>
      <c r="DY167" s="208">
        <v>0</v>
      </c>
      <c r="DZ167" s="208">
        <v>0</v>
      </c>
      <c r="EA167" s="208">
        <v>0</v>
      </c>
      <c r="EB167" s="208">
        <v>0</v>
      </c>
      <c r="EC167" s="208">
        <v>0</v>
      </c>
      <c r="ED167" s="208">
        <v>0</v>
      </c>
      <c r="EE167" s="208">
        <v>0</v>
      </c>
      <c r="EF167" s="208">
        <v>0</v>
      </c>
      <c r="EG167" s="208">
        <v>0</v>
      </c>
      <c r="EH167" s="208">
        <v>0</v>
      </c>
      <c r="EI167" s="208">
        <v>0</v>
      </c>
      <c r="EJ167" s="208">
        <v>0</v>
      </c>
      <c r="EK167" s="222">
        <v>0</v>
      </c>
      <c r="EL167" s="228"/>
      <c r="EM167" s="217" t="s">
        <v>6</v>
      </c>
      <c r="EN167" s="227">
        <v>0</v>
      </c>
      <c r="EO167" s="228">
        <v>0</v>
      </c>
      <c r="EP167" s="208">
        <v>0</v>
      </c>
      <c r="EQ167" s="208">
        <v>0</v>
      </c>
      <c r="ER167" s="208">
        <v>0</v>
      </c>
      <c r="ES167" s="208">
        <v>0</v>
      </c>
      <c r="ET167" s="208">
        <v>0</v>
      </c>
      <c r="EU167" s="208">
        <v>0</v>
      </c>
      <c r="EV167" s="208">
        <v>0</v>
      </c>
      <c r="EW167" s="208">
        <v>0</v>
      </c>
      <c r="EX167" s="208">
        <v>0</v>
      </c>
      <c r="EY167" s="208">
        <v>0</v>
      </c>
      <c r="EZ167" s="208">
        <v>0</v>
      </c>
      <c r="FA167" s="208">
        <v>0</v>
      </c>
      <c r="FB167" s="208">
        <v>0</v>
      </c>
      <c r="FC167" s="208">
        <v>0</v>
      </c>
      <c r="FD167" s="208">
        <v>0</v>
      </c>
      <c r="FE167" s="208">
        <v>0</v>
      </c>
      <c r="FF167" s="208">
        <v>0</v>
      </c>
      <c r="FG167" s="208">
        <v>0</v>
      </c>
      <c r="FH167" s="222">
        <v>0</v>
      </c>
    </row>
    <row r="168" spans="2:164" x14ac:dyDescent="0.2">
      <c r="B168" s="217" t="s">
        <v>344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11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35</v>
      </c>
      <c r="V168" s="208">
        <v>0</v>
      </c>
      <c r="W168" s="222">
        <v>46</v>
      </c>
      <c r="X168" s="209"/>
      <c r="Y168" s="217" t="s">
        <v>344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11051.847815125664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14186.273486323416</v>
      </c>
      <c r="AS168" s="208">
        <v>0</v>
      </c>
      <c r="AT168" s="222">
        <v>25238.121301449079</v>
      </c>
      <c r="AV168" s="217" t="s">
        <v>344</v>
      </c>
      <c r="AW168" s="227">
        <v>0</v>
      </c>
      <c r="AX168" s="228">
        <v>0</v>
      </c>
      <c r="AY168" s="208">
        <v>0</v>
      </c>
      <c r="AZ168" s="208">
        <v>0</v>
      </c>
      <c r="BA168" s="208">
        <v>0</v>
      </c>
      <c r="BB168" s="208">
        <v>11051.847815125664</v>
      </c>
      <c r="BC168" s="208">
        <v>0</v>
      </c>
      <c r="BD168" s="208">
        <v>0</v>
      </c>
      <c r="BE168" s="208">
        <v>0</v>
      </c>
      <c r="BF168" s="208">
        <v>0</v>
      </c>
      <c r="BG168" s="208">
        <v>0</v>
      </c>
      <c r="BH168" s="208">
        <v>0</v>
      </c>
      <c r="BI168" s="208">
        <v>0</v>
      </c>
      <c r="BJ168" s="208">
        <v>0</v>
      </c>
      <c r="BK168" s="208">
        <v>0</v>
      </c>
      <c r="BL168" s="208">
        <v>0</v>
      </c>
      <c r="BM168" s="208">
        <v>0</v>
      </c>
      <c r="BN168" s="208">
        <v>0</v>
      </c>
      <c r="BO168" s="208">
        <v>14186.273486323416</v>
      </c>
      <c r="BP168" s="208">
        <v>0</v>
      </c>
      <c r="BQ168" s="230">
        <f t="shared" si="102"/>
        <v>25238.121301449079</v>
      </c>
      <c r="BR168" s="214"/>
      <c r="BS168" s="227"/>
      <c r="BT168" s="217" t="s">
        <v>344</v>
      </c>
      <c r="BU168" s="227">
        <v>0</v>
      </c>
      <c r="BV168" s="228">
        <v>0</v>
      </c>
      <c r="BW168" s="208">
        <v>0</v>
      </c>
      <c r="BX168" s="208">
        <v>0</v>
      </c>
      <c r="BY168" s="208">
        <v>0</v>
      </c>
      <c r="BZ168" s="208">
        <v>0</v>
      </c>
      <c r="CA168" s="208">
        <v>0</v>
      </c>
      <c r="CB168" s="208">
        <v>0</v>
      </c>
      <c r="CC168" s="208">
        <v>0</v>
      </c>
      <c r="CD168" s="208">
        <v>0</v>
      </c>
      <c r="CE168" s="208">
        <v>0</v>
      </c>
      <c r="CF168" s="208">
        <v>0</v>
      </c>
      <c r="CG168" s="208">
        <v>0</v>
      </c>
      <c r="CH168" s="208">
        <v>0</v>
      </c>
      <c r="CI168" s="208">
        <v>0</v>
      </c>
      <c r="CJ168" s="208">
        <v>0</v>
      </c>
      <c r="CK168" s="208">
        <v>0</v>
      </c>
      <c r="CL168" s="208">
        <v>0</v>
      </c>
      <c r="CM168" s="208">
        <v>0</v>
      </c>
      <c r="CN168" s="208">
        <v>0</v>
      </c>
      <c r="CO168" s="222">
        <v>0</v>
      </c>
      <c r="CP168" s="227"/>
      <c r="CQ168" s="217" t="s">
        <v>344</v>
      </c>
      <c r="CR168" s="227">
        <v>0</v>
      </c>
      <c r="CS168" s="228">
        <v>0</v>
      </c>
      <c r="CT168" s="208">
        <v>0</v>
      </c>
      <c r="CU168" s="208">
        <v>0</v>
      </c>
      <c r="CV168" s="208">
        <v>0</v>
      </c>
      <c r="CW168" s="208">
        <v>0</v>
      </c>
      <c r="CX168" s="208">
        <v>0</v>
      </c>
      <c r="CY168" s="208">
        <v>0</v>
      </c>
      <c r="CZ168" s="208">
        <v>0</v>
      </c>
      <c r="DA168" s="208">
        <v>0</v>
      </c>
      <c r="DB168" s="208">
        <v>0</v>
      </c>
      <c r="DC168" s="208">
        <v>0</v>
      </c>
      <c r="DD168" s="208">
        <v>0</v>
      </c>
      <c r="DE168" s="208">
        <v>0</v>
      </c>
      <c r="DF168" s="208">
        <v>0</v>
      </c>
      <c r="DG168" s="208">
        <v>0</v>
      </c>
      <c r="DH168" s="208">
        <v>0</v>
      </c>
      <c r="DI168" s="208">
        <v>0</v>
      </c>
      <c r="DJ168" s="208">
        <v>0</v>
      </c>
      <c r="DK168" s="208">
        <v>0</v>
      </c>
      <c r="DL168" s="222">
        <v>0</v>
      </c>
      <c r="DM168" s="214"/>
      <c r="DN168" s="214"/>
      <c r="DO168" s="227"/>
      <c r="DP168" s="217" t="s">
        <v>344</v>
      </c>
      <c r="DQ168" s="227">
        <v>0</v>
      </c>
      <c r="DR168" s="228">
        <v>0</v>
      </c>
      <c r="DS168" s="208">
        <v>0</v>
      </c>
      <c r="DT168" s="208">
        <v>0</v>
      </c>
      <c r="DU168" s="208">
        <v>0</v>
      </c>
      <c r="DV168" s="208">
        <v>0</v>
      </c>
      <c r="DW168" s="208">
        <v>0</v>
      </c>
      <c r="DX168" s="208">
        <v>0</v>
      </c>
      <c r="DY168" s="208">
        <v>0</v>
      </c>
      <c r="DZ168" s="208">
        <v>0</v>
      </c>
      <c r="EA168" s="208">
        <v>0</v>
      </c>
      <c r="EB168" s="208">
        <v>0</v>
      </c>
      <c r="EC168" s="208">
        <v>0</v>
      </c>
      <c r="ED168" s="208">
        <v>0</v>
      </c>
      <c r="EE168" s="208">
        <v>0</v>
      </c>
      <c r="EF168" s="208">
        <v>0</v>
      </c>
      <c r="EG168" s="208">
        <v>0</v>
      </c>
      <c r="EH168" s="208">
        <v>0</v>
      </c>
      <c r="EI168" s="208">
        <v>4</v>
      </c>
      <c r="EJ168" s="208">
        <v>0</v>
      </c>
      <c r="EK168" s="222">
        <v>4</v>
      </c>
      <c r="EL168" s="228"/>
      <c r="EM168" s="217" t="s">
        <v>344</v>
      </c>
      <c r="EN168" s="227">
        <v>0</v>
      </c>
      <c r="EO168" s="228">
        <v>0</v>
      </c>
      <c r="EP168" s="208">
        <v>0</v>
      </c>
      <c r="EQ168" s="208">
        <v>0</v>
      </c>
      <c r="ER168" s="208">
        <v>0</v>
      </c>
      <c r="ES168" s="208">
        <v>0</v>
      </c>
      <c r="ET168" s="208">
        <v>0</v>
      </c>
      <c r="EU168" s="208">
        <v>0</v>
      </c>
      <c r="EV168" s="208">
        <v>0</v>
      </c>
      <c r="EW168" s="208">
        <v>0</v>
      </c>
      <c r="EX168" s="208">
        <v>0</v>
      </c>
      <c r="EY168" s="208">
        <v>0</v>
      </c>
      <c r="EZ168" s="208">
        <v>0</v>
      </c>
      <c r="FA168" s="208">
        <v>0</v>
      </c>
      <c r="FB168" s="208">
        <v>0</v>
      </c>
      <c r="FC168" s="208">
        <v>0</v>
      </c>
      <c r="FD168" s="208">
        <v>0</v>
      </c>
      <c r="FE168" s="208">
        <v>0</v>
      </c>
      <c r="FF168" s="208">
        <v>227.71241539024453</v>
      </c>
      <c r="FG168" s="208">
        <v>0</v>
      </c>
      <c r="FH168" s="222">
        <v>227.71241539024453</v>
      </c>
    </row>
    <row r="169" spans="2:164" x14ac:dyDescent="0.2">
      <c r="B169" s="217" t="s">
        <v>345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1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1</v>
      </c>
      <c r="X169" s="209"/>
      <c r="Y169" s="217" t="s">
        <v>345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58.526998184380659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58.526998184380659</v>
      </c>
      <c r="AV169" s="217" t="s">
        <v>345</v>
      </c>
      <c r="AW169" s="227">
        <v>0</v>
      </c>
      <c r="AX169" s="228">
        <v>0</v>
      </c>
      <c r="AY169" s="208">
        <v>0</v>
      </c>
      <c r="AZ169" s="208">
        <v>0</v>
      </c>
      <c r="BA169" s="208">
        <v>0</v>
      </c>
      <c r="BB169" s="208">
        <v>58.526998184380659</v>
      </c>
      <c r="BC169" s="208">
        <v>0</v>
      </c>
      <c r="BD169" s="208">
        <v>0</v>
      </c>
      <c r="BE169" s="208">
        <v>0</v>
      </c>
      <c r="BF169" s="208">
        <v>0</v>
      </c>
      <c r="BG169" s="208">
        <v>0</v>
      </c>
      <c r="BH169" s="208">
        <v>0</v>
      </c>
      <c r="BI169" s="208">
        <v>0</v>
      </c>
      <c r="BJ169" s="208">
        <v>0</v>
      </c>
      <c r="BK169" s="208">
        <v>0</v>
      </c>
      <c r="BL169" s="208">
        <v>0</v>
      </c>
      <c r="BM169" s="208">
        <v>0</v>
      </c>
      <c r="BN169" s="208">
        <v>0</v>
      </c>
      <c r="BO169" s="208">
        <v>0</v>
      </c>
      <c r="BP169" s="208">
        <v>0</v>
      </c>
      <c r="BQ169" s="222">
        <f t="shared" si="102"/>
        <v>58.526998184380659</v>
      </c>
      <c r="BR169" s="214"/>
      <c r="BS169" s="227"/>
      <c r="BT169" s="217" t="s">
        <v>345</v>
      </c>
      <c r="BU169" s="227">
        <v>0</v>
      </c>
      <c r="BV169" s="228">
        <v>0</v>
      </c>
      <c r="BW169" s="208">
        <v>0</v>
      </c>
      <c r="BX169" s="208">
        <v>0</v>
      </c>
      <c r="BY169" s="208">
        <v>0</v>
      </c>
      <c r="BZ169" s="208">
        <v>0</v>
      </c>
      <c r="CA169" s="208">
        <v>0</v>
      </c>
      <c r="CB169" s="208">
        <v>0</v>
      </c>
      <c r="CC169" s="208">
        <v>0</v>
      </c>
      <c r="CD169" s="208">
        <v>0</v>
      </c>
      <c r="CE169" s="208">
        <v>0</v>
      </c>
      <c r="CF169" s="208">
        <v>0</v>
      </c>
      <c r="CG169" s="208">
        <v>0</v>
      </c>
      <c r="CH169" s="208">
        <v>0</v>
      </c>
      <c r="CI169" s="208">
        <v>0</v>
      </c>
      <c r="CJ169" s="208">
        <v>0</v>
      </c>
      <c r="CK169" s="208">
        <v>0</v>
      </c>
      <c r="CL169" s="208">
        <v>0</v>
      </c>
      <c r="CM169" s="208">
        <v>0</v>
      </c>
      <c r="CN169" s="208">
        <v>0</v>
      </c>
      <c r="CO169" s="222">
        <v>0</v>
      </c>
      <c r="CP169" s="227"/>
      <c r="CQ169" s="217" t="s">
        <v>345</v>
      </c>
      <c r="CR169" s="227">
        <v>0</v>
      </c>
      <c r="CS169" s="228">
        <v>0</v>
      </c>
      <c r="CT169" s="208">
        <v>0</v>
      </c>
      <c r="CU169" s="208">
        <v>0</v>
      </c>
      <c r="CV169" s="208">
        <v>0</v>
      </c>
      <c r="CW169" s="208">
        <v>0</v>
      </c>
      <c r="CX169" s="208">
        <v>0</v>
      </c>
      <c r="CY169" s="208">
        <v>0</v>
      </c>
      <c r="CZ169" s="208">
        <v>0</v>
      </c>
      <c r="DA169" s="208">
        <v>0</v>
      </c>
      <c r="DB169" s="208">
        <v>0</v>
      </c>
      <c r="DC169" s="208">
        <v>0</v>
      </c>
      <c r="DD169" s="208">
        <v>0</v>
      </c>
      <c r="DE169" s="208">
        <v>0</v>
      </c>
      <c r="DF169" s="208">
        <v>0</v>
      </c>
      <c r="DG169" s="208">
        <v>0</v>
      </c>
      <c r="DH169" s="208">
        <v>0</v>
      </c>
      <c r="DI169" s="208">
        <v>0</v>
      </c>
      <c r="DJ169" s="208">
        <v>0</v>
      </c>
      <c r="DK169" s="208">
        <v>0</v>
      </c>
      <c r="DL169" s="222">
        <v>0</v>
      </c>
      <c r="DM169" s="214"/>
      <c r="DN169" s="214"/>
      <c r="DO169" s="227"/>
      <c r="DP169" s="217" t="s">
        <v>345</v>
      </c>
      <c r="DQ169" s="227">
        <v>0</v>
      </c>
      <c r="DR169" s="228">
        <v>0</v>
      </c>
      <c r="DS169" s="208">
        <v>0</v>
      </c>
      <c r="DT169" s="208">
        <v>0</v>
      </c>
      <c r="DU169" s="208">
        <v>0</v>
      </c>
      <c r="DV169" s="208">
        <v>0</v>
      </c>
      <c r="DW169" s="208">
        <v>0</v>
      </c>
      <c r="DX169" s="208">
        <v>0</v>
      </c>
      <c r="DY169" s="208">
        <v>0</v>
      </c>
      <c r="DZ169" s="208">
        <v>0</v>
      </c>
      <c r="EA169" s="208">
        <v>0</v>
      </c>
      <c r="EB169" s="208">
        <v>0</v>
      </c>
      <c r="EC169" s="208">
        <v>0</v>
      </c>
      <c r="ED169" s="208">
        <v>0</v>
      </c>
      <c r="EE169" s="208">
        <v>0</v>
      </c>
      <c r="EF169" s="208">
        <v>0</v>
      </c>
      <c r="EG169" s="208">
        <v>0</v>
      </c>
      <c r="EH169" s="208">
        <v>0</v>
      </c>
      <c r="EI169" s="208">
        <v>0</v>
      </c>
      <c r="EJ169" s="208">
        <v>0</v>
      </c>
      <c r="EK169" s="222">
        <v>0</v>
      </c>
      <c r="EL169" s="228"/>
      <c r="EM169" s="217" t="s">
        <v>345</v>
      </c>
      <c r="EN169" s="227">
        <v>0</v>
      </c>
      <c r="EO169" s="228">
        <v>0</v>
      </c>
      <c r="EP169" s="208">
        <v>0</v>
      </c>
      <c r="EQ169" s="208">
        <v>0</v>
      </c>
      <c r="ER169" s="208">
        <v>0</v>
      </c>
      <c r="ES169" s="208">
        <v>0</v>
      </c>
      <c r="ET169" s="208">
        <v>0</v>
      </c>
      <c r="EU169" s="208">
        <v>0</v>
      </c>
      <c r="EV169" s="208">
        <v>0</v>
      </c>
      <c r="EW169" s="208">
        <v>0</v>
      </c>
      <c r="EX169" s="208">
        <v>0</v>
      </c>
      <c r="EY169" s="208">
        <v>0</v>
      </c>
      <c r="EZ169" s="208">
        <v>0</v>
      </c>
      <c r="FA169" s="208">
        <v>0</v>
      </c>
      <c r="FB169" s="208">
        <v>0</v>
      </c>
      <c r="FC169" s="208">
        <v>0</v>
      </c>
      <c r="FD169" s="208">
        <v>0</v>
      </c>
      <c r="FE169" s="208">
        <v>0</v>
      </c>
      <c r="FF169" s="208">
        <v>0</v>
      </c>
      <c r="FG169" s="208">
        <v>0</v>
      </c>
      <c r="FH169" s="222">
        <v>0</v>
      </c>
    </row>
    <row r="170" spans="2:164" x14ac:dyDescent="0.2">
      <c r="B170" s="218" t="s">
        <v>7</v>
      </c>
      <c r="C170" s="219">
        <v>66</v>
      </c>
      <c r="D170" s="220">
        <v>3154</v>
      </c>
      <c r="E170" s="221">
        <v>1987</v>
      </c>
      <c r="F170" s="221">
        <v>1417</v>
      </c>
      <c r="G170" s="221">
        <v>68</v>
      </c>
      <c r="H170" s="221">
        <v>78</v>
      </c>
      <c r="I170" s="221">
        <v>18</v>
      </c>
      <c r="J170" s="221">
        <v>0</v>
      </c>
      <c r="K170" s="221">
        <v>4</v>
      </c>
      <c r="L170" s="221">
        <v>32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4</v>
      </c>
      <c r="T170" s="221">
        <v>4</v>
      </c>
      <c r="U170" s="221">
        <v>50</v>
      </c>
      <c r="V170" s="221">
        <v>0</v>
      </c>
      <c r="W170" s="223">
        <v>6900</v>
      </c>
      <c r="X170" s="210"/>
      <c r="Y170" s="218" t="s">
        <v>7</v>
      </c>
      <c r="Z170" s="219">
        <v>26253.423592902622</v>
      </c>
      <c r="AA170" s="220">
        <v>1178221.6898757543</v>
      </c>
      <c r="AB170" s="221">
        <v>2305482.576641208</v>
      </c>
      <c r="AC170" s="221">
        <v>479917.52418900264</v>
      </c>
      <c r="AD170" s="221">
        <v>38984.272006716543</v>
      </c>
      <c r="AE170" s="221">
        <v>28389.597072845401</v>
      </c>
      <c r="AF170" s="221">
        <v>937.73672508370601</v>
      </c>
      <c r="AG170" s="221">
        <v>0</v>
      </c>
      <c r="AH170" s="221">
        <v>149.31483674892223</v>
      </c>
      <c r="AI170" s="221">
        <v>1601.9525527113892</v>
      </c>
      <c r="AJ170" s="221">
        <v>1337.6783137166049</v>
      </c>
      <c r="AK170" s="221">
        <v>682.48940745406003</v>
      </c>
      <c r="AL170" s="221">
        <v>134.60086835921021</v>
      </c>
      <c r="AM170" s="221">
        <v>0</v>
      </c>
      <c r="AN170" s="221">
        <v>0</v>
      </c>
      <c r="AO170" s="221">
        <v>2592.1287113747899</v>
      </c>
      <c r="AP170" s="221">
        <v>851.55867475974878</v>
      </c>
      <c r="AQ170" s="221">
        <v>1278.5385564536098</v>
      </c>
      <c r="AR170" s="221">
        <v>22441.677286495942</v>
      </c>
      <c r="AS170" s="221">
        <v>0</v>
      </c>
      <c r="AT170" s="223">
        <v>4089256.759311588</v>
      </c>
      <c r="AV170" s="218" t="s">
        <v>7</v>
      </c>
      <c r="AW170" s="257">
        <f>SUM(AW150:AW169)</f>
        <v>26253.423592902622</v>
      </c>
      <c r="AX170" s="257">
        <f t="shared" ref="AX170" si="103">SUM(AX150:AX169)</f>
        <v>1178186.2109903302</v>
      </c>
      <c r="AY170" s="257">
        <f t="shared" ref="AY170" si="104">SUM(AY150:AY169)</f>
        <v>2304894.2570603099</v>
      </c>
      <c r="AZ170" s="257">
        <f t="shared" ref="AZ170" si="105">SUM(AZ150:AZ169)</f>
        <v>479892.43465832109</v>
      </c>
      <c r="BA170" s="257">
        <f t="shared" ref="BA170" si="106">SUM(BA150:BA169)</f>
        <v>38984.272006716543</v>
      </c>
      <c r="BB170" s="257">
        <f t="shared" ref="BB170" si="107">SUM(BB150:BB169)</f>
        <v>28269.26877655902</v>
      </c>
      <c r="BC170" s="257">
        <f t="shared" ref="BC170" si="108">SUM(BC150:BC169)</f>
        <v>937.73672508370601</v>
      </c>
      <c r="BD170" s="257">
        <f t="shared" ref="BD170" si="109">SUM(BD150:BD169)</f>
        <v>0</v>
      </c>
      <c r="BE170" s="257">
        <f t="shared" ref="BE170" si="110">SUM(BE150:BE169)</f>
        <v>149.31483674892223</v>
      </c>
      <c r="BF170" s="257">
        <f t="shared" ref="BF170" si="111">SUM(BF150:BF169)</f>
        <v>1548.9696125204123</v>
      </c>
      <c r="BG170" s="257">
        <f t="shared" ref="BG170" si="112">SUM(BG150:BG169)</f>
        <v>1337.6783137166049</v>
      </c>
      <c r="BH170" s="257">
        <f t="shared" ref="BH170" si="113">SUM(BH150:BH169)</f>
        <v>682.48940745406003</v>
      </c>
      <c r="BI170" s="257">
        <f t="shared" ref="BI170" si="114">SUM(BI150:BI169)</f>
        <v>134.60086835921021</v>
      </c>
      <c r="BJ170" s="257">
        <f t="shared" ref="BJ170" si="115">SUM(BJ150:BJ169)</f>
        <v>0</v>
      </c>
      <c r="BK170" s="257">
        <f t="shared" ref="BK170" si="116">SUM(BK150:BK169)</f>
        <v>0</v>
      </c>
      <c r="BL170" s="257">
        <f t="shared" ref="BL170" si="117">SUM(BL150:BL169)</f>
        <v>2592.1287113747899</v>
      </c>
      <c r="BM170" s="257">
        <f t="shared" ref="BM170" si="118">SUM(BM150:BM169)</f>
        <v>425.77933737987439</v>
      </c>
      <c r="BN170" s="257">
        <f t="shared" ref="BN170" si="119">SUM(BN150:BN169)</f>
        <v>1278.5385564536098</v>
      </c>
      <c r="BO170" s="257">
        <f t="shared" ref="BO170" si="120">SUM(BO150:BO169)</f>
        <v>22441.677286495942</v>
      </c>
      <c r="BP170" s="257">
        <f t="shared" ref="BP170" si="121">SUM(BP150:BP169)</f>
        <v>0</v>
      </c>
      <c r="BQ170" s="222">
        <f t="shared" si="102"/>
        <v>4088008.7807407267</v>
      </c>
      <c r="BR170" s="214"/>
      <c r="BT170" s="218" t="s">
        <v>7</v>
      </c>
      <c r="BU170" s="219">
        <v>4</v>
      </c>
      <c r="BV170" s="220">
        <v>334</v>
      </c>
      <c r="BW170" s="221">
        <v>253</v>
      </c>
      <c r="BX170" s="221">
        <v>74</v>
      </c>
      <c r="BY170" s="221">
        <v>0</v>
      </c>
      <c r="BZ170" s="221">
        <v>0</v>
      </c>
      <c r="CA170" s="221">
        <v>0</v>
      </c>
      <c r="CB170" s="221">
        <v>0</v>
      </c>
      <c r="CC170" s="221">
        <v>0</v>
      </c>
      <c r="CD170" s="221">
        <v>0</v>
      </c>
      <c r="CE170" s="221">
        <v>0</v>
      </c>
      <c r="CF170" s="221">
        <v>0</v>
      </c>
      <c r="CG170" s="221">
        <v>0</v>
      </c>
      <c r="CH170" s="221">
        <v>0</v>
      </c>
      <c r="CI170" s="221">
        <v>0</v>
      </c>
      <c r="CJ170" s="221">
        <v>0</v>
      </c>
      <c r="CK170" s="221">
        <v>0</v>
      </c>
      <c r="CL170" s="221">
        <v>0</v>
      </c>
      <c r="CM170" s="221">
        <v>0</v>
      </c>
      <c r="CN170" s="221">
        <v>0</v>
      </c>
      <c r="CO170" s="223">
        <v>665</v>
      </c>
      <c r="CP170" s="227"/>
      <c r="CQ170" s="218" t="s">
        <v>7</v>
      </c>
      <c r="CR170" s="219">
        <v>4808.7851798764759</v>
      </c>
      <c r="CS170" s="220">
        <v>97619.786024320361</v>
      </c>
      <c r="CT170" s="221">
        <v>363897.98741328908</v>
      </c>
      <c r="CU170" s="221">
        <v>7369.1914602349671</v>
      </c>
      <c r="CV170" s="221">
        <v>0</v>
      </c>
      <c r="CW170" s="221">
        <v>0</v>
      </c>
      <c r="CX170" s="221">
        <v>0</v>
      </c>
      <c r="CY170" s="221">
        <v>0</v>
      </c>
      <c r="CZ170" s="221">
        <v>0</v>
      </c>
      <c r="DA170" s="221">
        <v>0</v>
      </c>
      <c r="DB170" s="221">
        <v>0</v>
      </c>
      <c r="DC170" s="221">
        <v>0</v>
      </c>
      <c r="DD170" s="221">
        <v>0</v>
      </c>
      <c r="DE170" s="221">
        <v>0</v>
      </c>
      <c r="DF170" s="221">
        <v>0</v>
      </c>
      <c r="DG170" s="221">
        <v>0</v>
      </c>
      <c r="DH170" s="221">
        <v>0</v>
      </c>
      <c r="DI170" s="221">
        <v>0</v>
      </c>
      <c r="DJ170" s="221">
        <v>0</v>
      </c>
      <c r="DK170" s="221">
        <v>0</v>
      </c>
      <c r="DL170" s="223">
        <v>473695.75007772085</v>
      </c>
      <c r="DM170" s="214"/>
      <c r="DN170" s="214"/>
      <c r="DO170" s="227"/>
      <c r="DP170" s="218" t="s">
        <v>7</v>
      </c>
      <c r="DQ170" s="219">
        <v>10</v>
      </c>
      <c r="DR170" s="220">
        <v>579</v>
      </c>
      <c r="DS170" s="221">
        <v>386</v>
      </c>
      <c r="DT170" s="221">
        <v>156</v>
      </c>
      <c r="DU170" s="221">
        <v>4</v>
      </c>
      <c r="DV170" s="221">
        <v>0</v>
      </c>
      <c r="DW170" s="221">
        <v>0</v>
      </c>
      <c r="DX170" s="221">
        <v>0</v>
      </c>
      <c r="DY170" s="221">
        <v>0</v>
      </c>
      <c r="DZ170" s="221">
        <v>0</v>
      </c>
      <c r="EA170" s="221">
        <v>0</v>
      </c>
      <c r="EB170" s="221">
        <v>0</v>
      </c>
      <c r="EC170" s="221">
        <v>0</v>
      </c>
      <c r="ED170" s="221">
        <v>0</v>
      </c>
      <c r="EE170" s="221">
        <v>0</v>
      </c>
      <c r="EF170" s="221">
        <v>0</v>
      </c>
      <c r="EG170" s="221">
        <v>0</v>
      </c>
      <c r="EH170" s="221">
        <v>0</v>
      </c>
      <c r="EI170" s="221">
        <v>4</v>
      </c>
      <c r="EJ170" s="221">
        <v>0</v>
      </c>
      <c r="EK170" s="223">
        <v>1139</v>
      </c>
      <c r="EL170" s="228"/>
      <c r="EM170" s="218" t="s">
        <v>7</v>
      </c>
      <c r="EN170" s="219">
        <v>5074.9292329041009</v>
      </c>
      <c r="EO170" s="220">
        <v>212650.40518230174</v>
      </c>
      <c r="EP170" s="221">
        <v>535754.21968217904</v>
      </c>
      <c r="EQ170" s="221">
        <v>36945.550166499641</v>
      </c>
      <c r="ER170" s="221">
        <v>324.13942741362519</v>
      </c>
      <c r="ES170" s="221">
        <v>0</v>
      </c>
      <c r="ET170" s="221">
        <v>0</v>
      </c>
      <c r="EU170" s="221">
        <v>0</v>
      </c>
      <c r="EV170" s="221">
        <v>0</v>
      </c>
      <c r="EW170" s="221">
        <v>0</v>
      </c>
      <c r="EX170" s="221">
        <v>0</v>
      </c>
      <c r="EY170" s="221">
        <v>0</v>
      </c>
      <c r="EZ170" s="221">
        <v>0</v>
      </c>
      <c r="FA170" s="221">
        <v>0</v>
      </c>
      <c r="FB170" s="221">
        <v>0</v>
      </c>
      <c r="FC170" s="221">
        <v>0</v>
      </c>
      <c r="FD170" s="221">
        <v>0</v>
      </c>
      <c r="FE170" s="221">
        <v>0</v>
      </c>
      <c r="FF170" s="221">
        <v>227.71241539024453</v>
      </c>
      <c r="FG170" s="221">
        <v>0</v>
      </c>
      <c r="FH170" s="223">
        <v>790976.95610668836</v>
      </c>
    </row>
    <row r="171" spans="2:164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64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64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2026-09-25T23:08:35Z</dcterms:modified>
</cp:coreProperties>
</file>