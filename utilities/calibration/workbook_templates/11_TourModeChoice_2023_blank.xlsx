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78573F8C-329D-41DA-9094-8B56CEF849F9}" xr6:coauthVersionLast="47" xr6:coauthVersionMax="47" xr10:uidLastSave="{00000000-0000-0000-0000-000000000000}"/>
  <bookViews>
    <workbookView xWindow="-28920" yWindow="-120" windowWidth="29040" windowHeight="15720" tabRatio="810" firstSheet="1" activeTab="5" xr2:uid="{00000000-000D-0000-FFFF-FFFF00000000}"/>
  </bookViews>
  <sheets>
    <sheet name="DistrictTransitTourFlows" sheetId="10" r:id="rId1"/>
    <sheet name="CBD_SF" sheetId="11" r:id="rId2"/>
    <sheet name="calibration_simplemodes" sheetId="4" r:id="rId3"/>
    <sheet name="calibration_trnsubmodes" sheetId="8" r:id="rId4"/>
    <sheet name="constants" sheetId="6" r:id="rId5"/>
    <sheet name="OBS_District_Flows" sheetId="9" r:id="rId6"/>
    <sheet name="targets" sheetId="7" r:id="rId7"/>
    <sheet name="OBS_Adjustments" sheetId="12" r:id="rId8"/>
    <sheet name="modeldata" sheetId="3" r:id="rId9"/>
    <sheet name="model_lookup" sheetId="5" r:id="rId10"/>
  </sheets>
  <externalReferences>
    <externalReference r:id="rId11"/>
    <externalReference r:id="rId12"/>
  </externalReferences>
  <definedNames>
    <definedName name="_xlnm._FilterDatabase" localSheetId="5" hidden="1">OBS_District_Flows!$A$1:$K$1844</definedName>
    <definedName name="atwork_damp">calibration_simplemodes!$AW$78</definedName>
    <definedName name="atwork_new">calibration_simplemodes!$BC$79</definedName>
    <definedName name="eatout_c_ivt">constants!$Y$1</definedName>
    <definedName name="escort_c_ivt">constants!$Q$1</definedName>
    <definedName name="indivdisc_damp">calibration_simplemodes!$AW$63</definedName>
    <definedName name="indivdisc_new">calibration_simplemodes!$BC$64</definedName>
    <definedName name="indivmaint_damp">calibration_simplemodes!$AW$48</definedName>
    <definedName name="indivmaint_new">calibration_simplemodes!$BC$49</definedName>
    <definedName name="joint_damp">calibration_simplemodes!$AW$93</definedName>
    <definedName name="joint_existing">constants!$C$30</definedName>
    <definedName name="joint_new">calibration_simplemodes!$BC$94</definedName>
    <definedName name="model_trn_tours">modeldata!$S:$Y</definedName>
    <definedName name="othdisc_existing">constants!$AI$3</definedName>
    <definedName name="othdiscr_c_ivt">constants!$AK$1</definedName>
    <definedName name="othmaint_c_ivt">constants!$AC$1</definedName>
    <definedName name="school_c_ivt">constants!$M$1</definedName>
    <definedName name="school_damp">calibration_simplemodes!$AW$33</definedName>
    <definedName name="school_existing">constants!$K$3</definedName>
    <definedName name="school_new">calibration_simplemodes!$BC$34</definedName>
    <definedName name="shopping_c_ivt">constants!$U$1</definedName>
    <definedName name="shopping_existing">constants!$S$3</definedName>
    <definedName name="simple_purposes">model_lookup!$A$23:$B$30</definedName>
    <definedName name="social_c_ivt">constants!$AG$1</definedName>
    <definedName name="sub_atwork_damp">calibration_trnsubmodes!$AK$68</definedName>
    <definedName name="sub_indivdisc_damp">calibration_trnsubmodes!$AK$55</definedName>
    <definedName name="sub_indivmaint_damp">calibration_trnsubmodes!$AK$42</definedName>
    <definedName name="sub_school_damp">calibration_trnsubmodes!$AK$29</definedName>
    <definedName name="sub_university_damp">calibration_trnsubmodes!$AK$16</definedName>
    <definedName name="sub_work_damp">calibration_trnsubmodes!$AK$3</definedName>
    <definedName name="taxi_scale">calibration_simplemodes!$F$122</definedName>
    <definedName name="taxi_share">calibration_simplemodes!$D$122</definedName>
    <definedName name="taxi_trips_per_tour">targets!#REF!</definedName>
    <definedName name="tnc_shared_share">calibration_simplemodes!$D$124</definedName>
    <definedName name="tnc_single_share">calibration_simplemodes!$D$123</definedName>
    <definedName name="tour_modes">model_lookup!$D$1:$F$22</definedName>
    <definedName name="tour_purposes">model_lookup!$A$1:$B$18</definedName>
    <definedName name="trn_modes">model_lookup!$A$33:$B$40</definedName>
    <definedName name="university_c_ivt">constants!$I$1</definedName>
    <definedName name="university_damp">calibration_simplemodes!$AW$18</definedName>
    <definedName name="university_existing">constants!$G$3</definedName>
    <definedName name="university_new">calibration_simplemodes!$BC$19</definedName>
    <definedName name="work_c_ivt">constants!$E$1</definedName>
    <definedName name="work_damp">calibration_simplemodes!$AW$3</definedName>
    <definedName name="work_existing">constants!$C$3</definedName>
    <definedName name="work_new">calibration_simplemodes!$BC$4</definedName>
    <definedName name="workbased_c_ivt">constants!$AO$1</definedName>
    <definedName name="workbased_existing">constants!$AM$3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99" i="12" l="1"/>
  <c r="V58" i="11"/>
  <c r="V56" i="11"/>
  <c r="V54" i="11"/>
  <c r="V52" i="11"/>
  <c r="V41" i="11"/>
  <c r="V39" i="11"/>
  <c r="V37" i="11"/>
  <c r="V35" i="11"/>
  <c r="V33" i="11"/>
  <c r="V31" i="11"/>
  <c r="V29" i="11"/>
  <c r="V27" i="11"/>
  <c r="V17" i="11"/>
  <c r="V15" i="11"/>
  <c r="V13" i="11"/>
  <c r="V11" i="11"/>
  <c r="V9" i="11"/>
  <c r="V7" i="11"/>
  <c r="V5" i="11"/>
  <c r="V3" i="11"/>
  <c r="N60" i="11"/>
  <c r="N53" i="11"/>
  <c r="N54" i="11"/>
  <c r="N55" i="11"/>
  <c r="N56" i="11"/>
  <c r="N57" i="11"/>
  <c r="N58" i="11"/>
  <c r="N59" i="11"/>
  <c r="N52" i="11"/>
  <c r="N36" i="11"/>
  <c r="N37" i="11"/>
  <c r="N38" i="11"/>
  <c r="N39" i="11"/>
  <c r="N40" i="11"/>
  <c r="N41" i="11"/>
  <c r="N42" i="11"/>
  <c r="N35" i="11"/>
  <c r="N29" i="11"/>
  <c r="N31" i="11"/>
  <c r="N33" i="11"/>
  <c r="N27" i="11"/>
  <c r="N21" i="11"/>
  <c r="N23" i="11"/>
  <c r="N25" i="11"/>
  <c r="N19" i="11"/>
  <c r="N4" i="11"/>
  <c r="N5" i="11"/>
  <c r="N6" i="11"/>
  <c r="N7" i="11"/>
  <c r="N8" i="11"/>
  <c r="N9" i="11"/>
  <c r="N10" i="11"/>
  <c r="N3" i="11"/>
  <c r="AB198" i="12"/>
  <c r="AB197" i="12"/>
  <c r="AB196" i="12"/>
  <c r="AB195" i="12"/>
  <c r="AB194" i="12"/>
  <c r="AB193" i="12"/>
  <c r="AB199" i="12"/>
  <c r="AA199" i="12"/>
  <c r="Z199" i="12"/>
  <c r="Z194" i="12"/>
  <c r="AA194" i="12"/>
  <c r="Z195" i="12"/>
  <c r="AA195" i="12"/>
  <c r="Z196" i="12"/>
  <c r="AA196" i="12"/>
  <c r="Z197" i="12"/>
  <c r="AA197" i="12"/>
  <c r="Z198" i="12"/>
  <c r="AA198" i="12"/>
  <c r="AA193" i="12"/>
  <c r="Z193" i="12"/>
  <c r="AB120" i="12" l="1"/>
  <c r="AB119" i="12"/>
  <c r="AB118" i="12"/>
  <c r="AB117" i="12"/>
  <c r="AB116" i="12"/>
  <c r="AB115" i="12"/>
  <c r="AA121" i="12"/>
  <c r="Z121" i="12"/>
  <c r="AB121" i="12" s="1"/>
  <c r="AC66" i="12"/>
  <c r="AD66" i="12" s="1"/>
  <c r="AC65" i="12"/>
  <c r="AC64" i="12"/>
  <c r="AD64" i="12" s="1"/>
  <c r="AC63" i="12"/>
  <c r="AD63" i="12" s="1"/>
  <c r="AC62" i="12"/>
  <c r="AD62" i="12" s="1"/>
  <c r="AC61" i="12"/>
  <c r="AC67" i="12" s="1"/>
  <c r="AC39" i="12"/>
  <c r="AD39" i="12" s="1"/>
  <c r="AC38" i="12"/>
  <c r="AD38" i="12" s="1"/>
  <c r="AC37" i="12"/>
  <c r="AD37" i="12" s="1"/>
  <c r="AC36" i="12"/>
  <c r="AD36" i="12" s="1"/>
  <c r="AC35" i="12"/>
  <c r="AD35" i="12" s="1"/>
  <c r="AC34" i="12"/>
  <c r="AA94" i="12"/>
  <c r="Z94" i="12"/>
  <c r="AB94" i="12" s="1"/>
  <c r="AB93" i="12"/>
  <c r="AB92" i="12"/>
  <c r="AB91" i="12"/>
  <c r="AB90" i="12"/>
  <c r="AB89" i="12"/>
  <c r="AB88" i="12"/>
  <c r="AA67" i="12"/>
  <c r="Z67" i="12"/>
  <c r="AB67" i="12"/>
  <c r="AB66" i="12"/>
  <c r="AD65" i="12"/>
  <c r="AB65" i="12"/>
  <c r="AB64" i="12"/>
  <c r="AB63" i="12"/>
  <c r="AB62" i="12"/>
  <c r="AB61" i="12"/>
  <c r="AA40" i="12"/>
  <c r="Z40" i="12"/>
  <c r="AB39" i="12"/>
  <c r="AB38" i="12"/>
  <c r="AB37" i="12"/>
  <c r="AB36" i="12"/>
  <c r="AB35" i="12"/>
  <c r="AB34" i="12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337" i="9"/>
  <c r="G2338" i="9"/>
  <c r="G2339" i="9"/>
  <c r="G2340" i="9"/>
  <c r="G2341" i="9"/>
  <c r="G2342" i="9"/>
  <c r="G2343" i="9"/>
  <c r="G2344" i="9"/>
  <c r="G2345" i="9"/>
  <c r="G2346" i="9"/>
  <c r="G2347" i="9"/>
  <c r="G2348" i="9"/>
  <c r="G2349" i="9"/>
  <c r="G2350" i="9"/>
  <c r="G2351" i="9"/>
  <c r="G2352" i="9"/>
  <c r="G2353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570" i="9"/>
  <c r="G2571" i="9"/>
  <c r="G2572" i="9"/>
  <c r="G2573" i="9"/>
  <c r="G2574" i="9"/>
  <c r="G2575" i="9"/>
  <c r="G2576" i="9"/>
  <c r="G2577" i="9"/>
  <c r="G2578" i="9"/>
  <c r="G2579" i="9"/>
  <c r="G2580" i="9"/>
  <c r="G2581" i="9"/>
  <c r="G2582" i="9"/>
  <c r="G2583" i="9"/>
  <c r="G2584" i="9"/>
  <c r="G2585" i="9"/>
  <c r="G2586" i="9"/>
  <c r="G2587" i="9"/>
  <c r="G2588" i="9"/>
  <c r="G2589" i="9"/>
  <c r="G2590" i="9"/>
  <c r="G2591" i="9"/>
  <c r="G2592" i="9"/>
  <c r="G2593" i="9"/>
  <c r="G2594" i="9"/>
  <c r="G2595" i="9"/>
  <c r="G2596" i="9"/>
  <c r="G2597" i="9"/>
  <c r="G2598" i="9"/>
  <c r="G2599" i="9"/>
  <c r="G2600" i="9"/>
  <c r="G2601" i="9"/>
  <c r="G2602" i="9"/>
  <c r="G2603" i="9"/>
  <c r="G2604" i="9"/>
  <c r="G2605" i="9"/>
  <c r="G2606" i="9"/>
  <c r="G2607" i="9"/>
  <c r="G2608" i="9"/>
  <c r="G2609" i="9"/>
  <c r="G2610" i="9"/>
  <c r="G2611" i="9"/>
  <c r="G2612" i="9"/>
  <c r="G2613" i="9"/>
  <c r="G2614" i="9"/>
  <c r="G2615" i="9"/>
  <c r="G2616" i="9"/>
  <c r="G2617" i="9"/>
  <c r="G2618" i="9"/>
  <c r="G2619" i="9"/>
  <c r="G2620" i="9"/>
  <c r="G2621" i="9"/>
  <c r="G2622" i="9"/>
  <c r="G2623" i="9"/>
  <c r="G2624" i="9"/>
  <c r="G2625" i="9"/>
  <c r="G2626" i="9"/>
  <c r="G2627" i="9"/>
  <c r="G2628" i="9"/>
  <c r="G2629" i="9"/>
  <c r="G2630" i="9"/>
  <c r="G2631" i="9"/>
  <c r="G2632" i="9"/>
  <c r="G2633" i="9"/>
  <c r="G2634" i="9"/>
  <c r="G2635" i="9"/>
  <c r="G2636" i="9"/>
  <c r="G2637" i="9"/>
  <c r="G2638" i="9"/>
  <c r="G2639" i="9"/>
  <c r="G2640" i="9"/>
  <c r="G2641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" i="9"/>
  <c r="E2723" i="9"/>
  <c r="E2722" i="9"/>
  <c r="E2721" i="9"/>
  <c r="E2720" i="9"/>
  <c r="E2719" i="9"/>
  <c r="E2718" i="9"/>
  <c r="E2717" i="9"/>
  <c r="E2716" i="9"/>
  <c r="E2715" i="9"/>
  <c r="E2714" i="9"/>
  <c r="E2713" i="9"/>
  <c r="E2712" i="9"/>
  <c r="E2711" i="9"/>
  <c r="E2710" i="9"/>
  <c r="E2709" i="9"/>
  <c r="E2708" i="9"/>
  <c r="E2707" i="9"/>
  <c r="E2706" i="9"/>
  <c r="E2705" i="9"/>
  <c r="E2704" i="9"/>
  <c r="E2703" i="9"/>
  <c r="E2702" i="9"/>
  <c r="E2701" i="9"/>
  <c r="E2700" i="9"/>
  <c r="E2699" i="9"/>
  <c r="E2698" i="9"/>
  <c r="E2697" i="9"/>
  <c r="E2696" i="9"/>
  <c r="E2695" i="9"/>
  <c r="E2694" i="9"/>
  <c r="E2693" i="9"/>
  <c r="E2692" i="9"/>
  <c r="E2691" i="9"/>
  <c r="E2690" i="9"/>
  <c r="E2689" i="9"/>
  <c r="E2688" i="9"/>
  <c r="E2687" i="9"/>
  <c r="E2686" i="9"/>
  <c r="E2685" i="9"/>
  <c r="E2684" i="9"/>
  <c r="E2683" i="9"/>
  <c r="E2682" i="9"/>
  <c r="E2681" i="9"/>
  <c r="E2680" i="9"/>
  <c r="E2679" i="9"/>
  <c r="E2678" i="9"/>
  <c r="E2677" i="9"/>
  <c r="E2676" i="9"/>
  <c r="E2675" i="9"/>
  <c r="E2674" i="9"/>
  <c r="E2673" i="9"/>
  <c r="E2672" i="9"/>
  <c r="E2671" i="9"/>
  <c r="E2670" i="9"/>
  <c r="E2669" i="9"/>
  <c r="E2668" i="9"/>
  <c r="E2667" i="9"/>
  <c r="E2666" i="9"/>
  <c r="E2665" i="9"/>
  <c r="E2664" i="9"/>
  <c r="E2663" i="9"/>
  <c r="E2662" i="9"/>
  <c r="E2661" i="9"/>
  <c r="E2660" i="9"/>
  <c r="E2659" i="9"/>
  <c r="E2658" i="9"/>
  <c r="E2657" i="9"/>
  <c r="E2656" i="9"/>
  <c r="E2655" i="9"/>
  <c r="E2654" i="9"/>
  <c r="E2653" i="9"/>
  <c r="E2652" i="9"/>
  <c r="E2651" i="9"/>
  <c r="E2650" i="9"/>
  <c r="E2649" i="9"/>
  <c r="E2648" i="9"/>
  <c r="E2647" i="9"/>
  <c r="E2646" i="9"/>
  <c r="E2645" i="9"/>
  <c r="E2644" i="9"/>
  <c r="E2643" i="9"/>
  <c r="E2642" i="9"/>
  <c r="E2641" i="9"/>
  <c r="E2640" i="9"/>
  <c r="E2639" i="9"/>
  <c r="E2638" i="9"/>
  <c r="E2637" i="9"/>
  <c r="E2636" i="9"/>
  <c r="E2635" i="9"/>
  <c r="E2634" i="9"/>
  <c r="E2633" i="9"/>
  <c r="E2632" i="9"/>
  <c r="E2631" i="9"/>
  <c r="E2630" i="9"/>
  <c r="E2629" i="9"/>
  <c r="E2628" i="9"/>
  <c r="E2627" i="9"/>
  <c r="E2626" i="9"/>
  <c r="E2625" i="9"/>
  <c r="E2624" i="9"/>
  <c r="E2623" i="9"/>
  <c r="E2622" i="9"/>
  <c r="E2621" i="9"/>
  <c r="E2620" i="9"/>
  <c r="E2619" i="9"/>
  <c r="E2618" i="9"/>
  <c r="E2617" i="9"/>
  <c r="E2616" i="9"/>
  <c r="E2615" i="9"/>
  <c r="E2614" i="9"/>
  <c r="E2613" i="9"/>
  <c r="E2612" i="9"/>
  <c r="E2611" i="9"/>
  <c r="E2610" i="9"/>
  <c r="E2609" i="9"/>
  <c r="E2608" i="9"/>
  <c r="E2607" i="9"/>
  <c r="E2606" i="9"/>
  <c r="E2605" i="9"/>
  <c r="E2604" i="9"/>
  <c r="E2603" i="9"/>
  <c r="E2602" i="9"/>
  <c r="E2601" i="9"/>
  <c r="E2600" i="9"/>
  <c r="E2599" i="9"/>
  <c r="E2598" i="9"/>
  <c r="E2597" i="9"/>
  <c r="E2596" i="9"/>
  <c r="E2595" i="9"/>
  <c r="E2594" i="9"/>
  <c r="E2593" i="9"/>
  <c r="E2592" i="9"/>
  <c r="E2591" i="9"/>
  <c r="E2590" i="9"/>
  <c r="E2589" i="9"/>
  <c r="E2588" i="9"/>
  <c r="E2587" i="9"/>
  <c r="E2586" i="9"/>
  <c r="E2585" i="9"/>
  <c r="E2584" i="9"/>
  <c r="E2583" i="9"/>
  <c r="E2582" i="9"/>
  <c r="E2581" i="9"/>
  <c r="E2580" i="9"/>
  <c r="E2579" i="9"/>
  <c r="E2578" i="9"/>
  <c r="E2577" i="9"/>
  <c r="E2576" i="9"/>
  <c r="E2575" i="9"/>
  <c r="E2574" i="9"/>
  <c r="E2573" i="9"/>
  <c r="E2572" i="9"/>
  <c r="E2571" i="9"/>
  <c r="E2570" i="9"/>
  <c r="E2569" i="9"/>
  <c r="E2568" i="9"/>
  <c r="E2567" i="9"/>
  <c r="E2566" i="9"/>
  <c r="E2565" i="9"/>
  <c r="E2564" i="9"/>
  <c r="E2563" i="9"/>
  <c r="E2562" i="9"/>
  <c r="E2561" i="9"/>
  <c r="E2560" i="9"/>
  <c r="E2559" i="9"/>
  <c r="E2558" i="9"/>
  <c r="E2557" i="9"/>
  <c r="E2556" i="9"/>
  <c r="E2555" i="9"/>
  <c r="E2554" i="9"/>
  <c r="E2553" i="9"/>
  <c r="E2552" i="9"/>
  <c r="E2551" i="9"/>
  <c r="E2550" i="9"/>
  <c r="E2549" i="9"/>
  <c r="E2548" i="9"/>
  <c r="E2547" i="9"/>
  <c r="E2546" i="9"/>
  <c r="E2545" i="9"/>
  <c r="E2544" i="9"/>
  <c r="E2543" i="9"/>
  <c r="E2542" i="9"/>
  <c r="E2541" i="9"/>
  <c r="E2540" i="9"/>
  <c r="E2539" i="9"/>
  <c r="E2538" i="9"/>
  <c r="E2537" i="9"/>
  <c r="E2536" i="9"/>
  <c r="E2535" i="9"/>
  <c r="E2534" i="9"/>
  <c r="E2533" i="9"/>
  <c r="E2532" i="9"/>
  <c r="E2531" i="9"/>
  <c r="E2530" i="9"/>
  <c r="E2529" i="9"/>
  <c r="E2528" i="9"/>
  <c r="E2527" i="9"/>
  <c r="E2526" i="9"/>
  <c r="E2525" i="9"/>
  <c r="E2524" i="9"/>
  <c r="E2523" i="9"/>
  <c r="E2522" i="9"/>
  <c r="E2521" i="9"/>
  <c r="E2520" i="9"/>
  <c r="E2519" i="9"/>
  <c r="E2518" i="9"/>
  <c r="E2517" i="9"/>
  <c r="E2516" i="9"/>
  <c r="E2515" i="9"/>
  <c r="E2514" i="9"/>
  <c r="E2513" i="9"/>
  <c r="E2512" i="9"/>
  <c r="E2511" i="9"/>
  <c r="E2510" i="9"/>
  <c r="E2509" i="9"/>
  <c r="E2508" i="9"/>
  <c r="E2507" i="9"/>
  <c r="E2506" i="9"/>
  <c r="E2505" i="9"/>
  <c r="E2504" i="9"/>
  <c r="E2503" i="9"/>
  <c r="E2502" i="9"/>
  <c r="E2501" i="9"/>
  <c r="E2500" i="9"/>
  <c r="E2499" i="9"/>
  <c r="E2498" i="9"/>
  <c r="E2497" i="9"/>
  <c r="E2496" i="9"/>
  <c r="E2495" i="9"/>
  <c r="E2494" i="9"/>
  <c r="E2493" i="9"/>
  <c r="E2492" i="9"/>
  <c r="E2491" i="9"/>
  <c r="E2490" i="9"/>
  <c r="E2489" i="9"/>
  <c r="E2488" i="9"/>
  <c r="E2487" i="9"/>
  <c r="E2486" i="9"/>
  <c r="E2485" i="9"/>
  <c r="E2484" i="9"/>
  <c r="E2483" i="9"/>
  <c r="E2482" i="9"/>
  <c r="E2481" i="9"/>
  <c r="E2480" i="9"/>
  <c r="E2479" i="9"/>
  <c r="E2478" i="9"/>
  <c r="E2477" i="9"/>
  <c r="E2476" i="9"/>
  <c r="E2475" i="9"/>
  <c r="E2474" i="9"/>
  <c r="E2473" i="9"/>
  <c r="E2472" i="9"/>
  <c r="E2471" i="9"/>
  <c r="E2470" i="9"/>
  <c r="E2469" i="9"/>
  <c r="E2468" i="9"/>
  <c r="E2467" i="9"/>
  <c r="E2466" i="9"/>
  <c r="E2465" i="9"/>
  <c r="E2464" i="9"/>
  <c r="E2463" i="9"/>
  <c r="E2462" i="9"/>
  <c r="E2461" i="9"/>
  <c r="E2460" i="9"/>
  <c r="E2459" i="9"/>
  <c r="E2458" i="9"/>
  <c r="E2457" i="9"/>
  <c r="E2456" i="9"/>
  <c r="E2455" i="9"/>
  <c r="E2454" i="9"/>
  <c r="E2453" i="9"/>
  <c r="E2452" i="9"/>
  <c r="E2451" i="9"/>
  <c r="E2450" i="9"/>
  <c r="E2449" i="9"/>
  <c r="E2448" i="9"/>
  <c r="E2447" i="9"/>
  <c r="E2446" i="9"/>
  <c r="E2445" i="9"/>
  <c r="E2444" i="9"/>
  <c r="E2443" i="9"/>
  <c r="E2442" i="9"/>
  <c r="E2441" i="9"/>
  <c r="E2440" i="9"/>
  <c r="E2439" i="9"/>
  <c r="E2438" i="9"/>
  <c r="E2437" i="9"/>
  <c r="E2436" i="9"/>
  <c r="E2435" i="9"/>
  <c r="E2434" i="9"/>
  <c r="E2433" i="9"/>
  <c r="E2432" i="9"/>
  <c r="E2431" i="9"/>
  <c r="E2430" i="9"/>
  <c r="E2429" i="9"/>
  <c r="E2428" i="9"/>
  <c r="E2427" i="9"/>
  <c r="E2426" i="9"/>
  <c r="E2425" i="9"/>
  <c r="E2424" i="9"/>
  <c r="E2423" i="9"/>
  <c r="E2422" i="9"/>
  <c r="E2421" i="9"/>
  <c r="E2420" i="9"/>
  <c r="E2419" i="9"/>
  <c r="E2418" i="9"/>
  <c r="E2417" i="9"/>
  <c r="E2416" i="9"/>
  <c r="E2415" i="9"/>
  <c r="E2414" i="9"/>
  <c r="E2413" i="9"/>
  <c r="E2412" i="9"/>
  <c r="E2411" i="9"/>
  <c r="E2410" i="9"/>
  <c r="E2409" i="9"/>
  <c r="E2408" i="9"/>
  <c r="E2407" i="9"/>
  <c r="E2406" i="9"/>
  <c r="E2405" i="9"/>
  <c r="E2404" i="9"/>
  <c r="E2403" i="9"/>
  <c r="E2402" i="9"/>
  <c r="E2401" i="9"/>
  <c r="E2400" i="9"/>
  <c r="E2399" i="9"/>
  <c r="E2398" i="9"/>
  <c r="E2397" i="9"/>
  <c r="E2396" i="9"/>
  <c r="E2395" i="9"/>
  <c r="E2394" i="9"/>
  <c r="E2393" i="9"/>
  <c r="E2392" i="9"/>
  <c r="E2391" i="9"/>
  <c r="E2390" i="9"/>
  <c r="E2389" i="9"/>
  <c r="E2388" i="9"/>
  <c r="E2387" i="9"/>
  <c r="E2386" i="9"/>
  <c r="E2385" i="9"/>
  <c r="E2384" i="9"/>
  <c r="E2383" i="9"/>
  <c r="E2382" i="9"/>
  <c r="E2381" i="9"/>
  <c r="E2380" i="9"/>
  <c r="E2379" i="9"/>
  <c r="E2378" i="9"/>
  <c r="E2377" i="9"/>
  <c r="E2376" i="9"/>
  <c r="E2375" i="9"/>
  <c r="E2374" i="9"/>
  <c r="E2373" i="9"/>
  <c r="E2372" i="9"/>
  <c r="E2371" i="9"/>
  <c r="E2370" i="9"/>
  <c r="E2369" i="9"/>
  <c r="E2368" i="9"/>
  <c r="E2367" i="9"/>
  <c r="E2366" i="9"/>
  <c r="E2365" i="9"/>
  <c r="E2364" i="9"/>
  <c r="E2363" i="9"/>
  <c r="E2362" i="9"/>
  <c r="E2361" i="9"/>
  <c r="E2360" i="9"/>
  <c r="E2359" i="9"/>
  <c r="E2358" i="9"/>
  <c r="E2357" i="9"/>
  <c r="E2356" i="9"/>
  <c r="E2355" i="9"/>
  <c r="E2354" i="9"/>
  <c r="E2353" i="9"/>
  <c r="E2352" i="9"/>
  <c r="E2351" i="9"/>
  <c r="E2350" i="9"/>
  <c r="E2349" i="9"/>
  <c r="E2348" i="9"/>
  <c r="E2347" i="9"/>
  <c r="E2346" i="9"/>
  <c r="E2345" i="9"/>
  <c r="E2344" i="9"/>
  <c r="E2343" i="9"/>
  <c r="E2342" i="9"/>
  <c r="E2341" i="9"/>
  <c r="E2340" i="9"/>
  <c r="E2339" i="9"/>
  <c r="E2338" i="9"/>
  <c r="E2337" i="9"/>
  <c r="E2336" i="9"/>
  <c r="E2335" i="9"/>
  <c r="E2334" i="9"/>
  <c r="E2333" i="9"/>
  <c r="E2332" i="9"/>
  <c r="E2331" i="9"/>
  <c r="E2330" i="9"/>
  <c r="E2329" i="9"/>
  <c r="E2328" i="9"/>
  <c r="E2327" i="9"/>
  <c r="E2326" i="9"/>
  <c r="E2325" i="9"/>
  <c r="E2324" i="9"/>
  <c r="E2323" i="9"/>
  <c r="E2322" i="9"/>
  <c r="E2321" i="9"/>
  <c r="E2320" i="9"/>
  <c r="E2319" i="9"/>
  <c r="E2318" i="9"/>
  <c r="E2317" i="9"/>
  <c r="E2316" i="9"/>
  <c r="E2315" i="9"/>
  <c r="E2314" i="9"/>
  <c r="E2313" i="9"/>
  <c r="E2312" i="9"/>
  <c r="E2311" i="9"/>
  <c r="E2310" i="9"/>
  <c r="E2309" i="9"/>
  <c r="E2308" i="9"/>
  <c r="E2307" i="9"/>
  <c r="E2306" i="9"/>
  <c r="E2305" i="9"/>
  <c r="E2304" i="9"/>
  <c r="E2303" i="9"/>
  <c r="E2302" i="9"/>
  <c r="E2301" i="9"/>
  <c r="E2300" i="9"/>
  <c r="E2299" i="9"/>
  <c r="E2298" i="9"/>
  <c r="E2297" i="9"/>
  <c r="E2296" i="9"/>
  <c r="E2295" i="9"/>
  <c r="E2294" i="9"/>
  <c r="E2293" i="9"/>
  <c r="E2292" i="9"/>
  <c r="E2291" i="9"/>
  <c r="E2290" i="9"/>
  <c r="E2289" i="9"/>
  <c r="E2288" i="9"/>
  <c r="E2287" i="9"/>
  <c r="E2286" i="9"/>
  <c r="E2285" i="9"/>
  <c r="E2284" i="9"/>
  <c r="E2283" i="9"/>
  <c r="E2282" i="9"/>
  <c r="E2281" i="9"/>
  <c r="E2280" i="9"/>
  <c r="E2279" i="9"/>
  <c r="E2278" i="9"/>
  <c r="E2277" i="9"/>
  <c r="E2276" i="9"/>
  <c r="E2275" i="9"/>
  <c r="E2274" i="9"/>
  <c r="E2273" i="9"/>
  <c r="E2272" i="9"/>
  <c r="E2271" i="9"/>
  <c r="E2270" i="9"/>
  <c r="E2269" i="9"/>
  <c r="E2268" i="9"/>
  <c r="E2267" i="9"/>
  <c r="E2266" i="9"/>
  <c r="E2265" i="9"/>
  <c r="E2264" i="9"/>
  <c r="E2263" i="9"/>
  <c r="E2262" i="9"/>
  <c r="E2261" i="9"/>
  <c r="E2260" i="9"/>
  <c r="E2259" i="9"/>
  <c r="E2258" i="9"/>
  <c r="E2257" i="9"/>
  <c r="E2256" i="9"/>
  <c r="E2255" i="9"/>
  <c r="E2254" i="9"/>
  <c r="E2253" i="9"/>
  <c r="E2252" i="9"/>
  <c r="E2251" i="9"/>
  <c r="E2250" i="9"/>
  <c r="E2249" i="9"/>
  <c r="E2248" i="9"/>
  <c r="E2247" i="9"/>
  <c r="E2246" i="9"/>
  <c r="E2245" i="9"/>
  <c r="E2244" i="9"/>
  <c r="E2243" i="9"/>
  <c r="E2242" i="9"/>
  <c r="E2241" i="9"/>
  <c r="E2240" i="9"/>
  <c r="E2239" i="9"/>
  <c r="E2238" i="9"/>
  <c r="E2237" i="9"/>
  <c r="E2236" i="9"/>
  <c r="E2235" i="9"/>
  <c r="E2234" i="9"/>
  <c r="E2233" i="9"/>
  <c r="E2232" i="9"/>
  <c r="E2231" i="9"/>
  <c r="E2230" i="9"/>
  <c r="E2229" i="9"/>
  <c r="E2228" i="9"/>
  <c r="E2227" i="9"/>
  <c r="E2226" i="9"/>
  <c r="E2225" i="9"/>
  <c r="E2224" i="9"/>
  <c r="E2223" i="9"/>
  <c r="E2222" i="9"/>
  <c r="E2221" i="9"/>
  <c r="E2220" i="9"/>
  <c r="E2219" i="9"/>
  <c r="E2218" i="9"/>
  <c r="E2217" i="9"/>
  <c r="E2216" i="9"/>
  <c r="E2215" i="9"/>
  <c r="E2214" i="9"/>
  <c r="E2213" i="9"/>
  <c r="E2212" i="9"/>
  <c r="E2211" i="9"/>
  <c r="E2210" i="9"/>
  <c r="E2209" i="9"/>
  <c r="E2208" i="9"/>
  <c r="E2207" i="9"/>
  <c r="E2206" i="9"/>
  <c r="E2205" i="9"/>
  <c r="E2204" i="9"/>
  <c r="E2203" i="9"/>
  <c r="E2202" i="9"/>
  <c r="E2201" i="9"/>
  <c r="E2200" i="9"/>
  <c r="E2199" i="9"/>
  <c r="E2198" i="9"/>
  <c r="E2197" i="9"/>
  <c r="E2196" i="9"/>
  <c r="E2195" i="9"/>
  <c r="E2194" i="9"/>
  <c r="E2193" i="9"/>
  <c r="E2192" i="9"/>
  <c r="E2191" i="9"/>
  <c r="E2190" i="9"/>
  <c r="E2189" i="9"/>
  <c r="E2188" i="9"/>
  <c r="E2187" i="9"/>
  <c r="E2186" i="9"/>
  <c r="E2185" i="9"/>
  <c r="E2184" i="9"/>
  <c r="E2183" i="9"/>
  <c r="E2182" i="9"/>
  <c r="E2181" i="9"/>
  <c r="E2180" i="9"/>
  <c r="E2179" i="9"/>
  <c r="E2178" i="9"/>
  <c r="E2177" i="9"/>
  <c r="E2176" i="9"/>
  <c r="E2175" i="9"/>
  <c r="E2174" i="9"/>
  <c r="E2173" i="9"/>
  <c r="E2172" i="9"/>
  <c r="E2171" i="9"/>
  <c r="E2170" i="9"/>
  <c r="E2169" i="9"/>
  <c r="E2168" i="9"/>
  <c r="E2167" i="9"/>
  <c r="E2166" i="9"/>
  <c r="E2165" i="9"/>
  <c r="E2164" i="9"/>
  <c r="E2163" i="9"/>
  <c r="E2162" i="9"/>
  <c r="E2161" i="9"/>
  <c r="E2160" i="9"/>
  <c r="E2159" i="9"/>
  <c r="E2158" i="9"/>
  <c r="E2157" i="9"/>
  <c r="E2156" i="9"/>
  <c r="E2155" i="9"/>
  <c r="E2154" i="9"/>
  <c r="E2153" i="9"/>
  <c r="E2152" i="9"/>
  <c r="E2151" i="9"/>
  <c r="E2150" i="9"/>
  <c r="E2149" i="9"/>
  <c r="E2148" i="9"/>
  <c r="E2147" i="9"/>
  <c r="E2146" i="9"/>
  <c r="E2145" i="9"/>
  <c r="E2144" i="9"/>
  <c r="E2143" i="9"/>
  <c r="E2142" i="9"/>
  <c r="E2141" i="9"/>
  <c r="E2140" i="9"/>
  <c r="E2139" i="9"/>
  <c r="E2138" i="9"/>
  <c r="E2137" i="9"/>
  <c r="E2136" i="9"/>
  <c r="E2135" i="9"/>
  <c r="E2134" i="9"/>
  <c r="E2133" i="9"/>
  <c r="E2132" i="9"/>
  <c r="E2131" i="9"/>
  <c r="E2130" i="9"/>
  <c r="E2129" i="9"/>
  <c r="E2128" i="9"/>
  <c r="E2127" i="9"/>
  <c r="E2126" i="9"/>
  <c r="E2125" i="9"/>
  <c r="E2124" i="9"/>
  <c r="E2123" i="9"/>
  <c r="E2122" i="9"/>
  <c r="E2121" i="9"/>
  <c r="E2120" i="9"/>
  <c r="E2119" i="9"/>
  <c r="E2118" i="9"/>
  <c r="E2117" i="9"/>
  <c r="E2116" i="9"/>
  <c r="E2115" i="9"/>
  <c r="E2114" i="9"/>
  <c r="E2113" i="9"/>
  <c r="E2112" i="9"/>
  <c r="E2111" i="9"/>
  <c r="E2110" i="9"/>
  <c r="E2109" i="9"/>
  <c r="E2108" i="9"/>
  <c r="E2107" i="9"/>
  <c r="E2106" i="9"/>
  <c r="E2105" i="9"/>
  <c r="E2104" i="9"/>
  <c r="E2103" i="9"/>
  <c r="E2102" i="9"/>
  <c r="E2101" i="9"/>
  <c r="E2100" i="9"/>
  <c r="E2099" i="9"/>
  <c r="E2098" i="9"/>
  <c r="E2097" i="9"/>
  <c r="E2096" i="9"/>
  <c r="E2095" i="9"/>
  <c r="E2094" i="9"/>
  <c r="E2093" i="9"/>
  <c r="E2092" i="9"/>
  <c r="E2091" i="9"/>
  <c r="E2090" i="9"/>
  <c r="E2089" i="9"/>
  <c r="E2088" i="9"/>
  <c r="E2087" i="9"/>
  <c r="E2086" i="9"/>
  <c r="E2085" i="9"/>
  <c r="E2084" i="9"/>
  <c r="E2083" i="9"/>
  <c r="E2082" i="9"/>
  <c r="E2081" i="9"/>
  <c r="E2080" i="9"/>
  <c r="E2079" i="9"/>
  <c r="E2078" i="9"/>
  <c r="E2077" i="9"/>
  <c r="E2076" i="9"/>
  <c r="E2075" i="9"/>
  <c r="E2074" i="9"/>
  <c r="E2073" i="9"/>
  <c r="E2072" i="9"/>
  <c r="E2071" i="9"/>
  <c r="E2070" i="9"/>
  <c r="E2069" i="9"/>
  <c r="E2068" i="9"/>
  <c r="E2067" i="9"/>
  <c r="E2066" i="9"/>
  <c r="E2065" i="9"/>
  <c r="E2064" i="9"/>
  <c r="E2063" i="9"/>
  <c r="E2062" i="9"/>
  <c r="E2061" i="9"/>
  <c r="E2060" i="9"/>
  <c r="E2059" i="9"/>
  <c r="E2058" i="9"/>
  <c r="E2057" i="9"/>
  <c r="E2056" i="9"/>
  <c r="E2055" i="9"/>
  <c r="E2054" i="9"/>
  <c r="E2053" i="9"/>
  <c r="E2052" i="9"/>
  <c r="E2051" i="9"/>
  <c r="E2050" i="9"/>
  <c r="E2049" i="9"/>
  <c r="E2048" i="9"/>
  <c r="E2047" i="9"/>
  <c r="E2046" i="9"/>
  <c r="E2045" i="9"/>
  <c r="E2044" i="9"/>
  <c r="E2043" i="9"/>
  <c r="E2042" i="9"/>
  <c r="E2041" i="9"/>
  <c r="E2040" i="9"/>
  <c r="E2039" i="9"/>
  <c r="E2038" i="9"/>
  <c r="E2037" i="9"/>
  <c r="E2036" i="9"/>
  <c r="E2035" i="9"/>
  <c r="E2034" i="9"/>
  <c r="E2033" i="9"/>
  <c r="E2032" i="9"/>
  <c r="E2031" i="9"/>
  <c r="E2030" i="9"/>
  <c r="E2029" i="9"/>
  <c r="E2028" i="9"/>
  <c r="E2027" i="9"/>
  <c r="E2026" i="9"/>
  <c r="E2025" i="9"/>
  <c r="E2024" i="9"/>
  <c r="E2023" i="9"/>
  <c r="E2022" i="9"/>
  <c r="E2021" i="9"/>
  <c r="E2020" i="9"/>
  <c r="E2019" i="9"/>
  <c r="E2018" i="9"/>
  <c r="E2017" i="9"/>
  <c r="E2016" i="9"/>
  <c r="E2015" i="9"/>
  <c r="E2014" i="9"/>
  <c r="E2013" i="9"/>
  <c r="E2012" i="9"/>
  <c r="E2011" i="9"/>
  <c r="E2010" i="9"/>
  <c r="E2009" i="9"/>
  <c r="E2008" i="9"/>
  <c r="E2007" i="9"/>
  <c r="E2006" i="9"/>
  <c r="E2005" i="9"/>
  <c r="E2004" i="9"/>
  <c r="E2003" i="9"/>
  <c r="E2002" i="9"/>
  <c r="E2001" i="9"/>
  <c r="E2000" i="9"/>
  <c r="E1999" i="9"/>
  <c r="E1998" i="9"/>
  <c r="E1997" i="9"/>
  <c r="E1996" i="9"/>
  <c r="E1995" i="9"/>
  <c r="E1994" i="9"/>
  <c r="E1993" i="9"/>
  <c r="E1992" i="9"/>
  <c r="E1991" i="9"/>
  <c r="E1990" i="9"/>
  <c r="E1989" i="9"/>
  <c r="E1988" i="9"/>
  <c r="E1987" i="9"/>
  <c r="E1986" i="9"/>
  <c r="E1985" i="9"/>
  <c r="E1984" i="9"/>
  <c r="E1983" i="9"/>
  <c r="E1982" i="9"/>
  <c r="E1981" i="9"/>
  <c r="E1980" i="9"/>
  <c r="E1979" i="9"/>
  <c r="E1978" i="9"/>
  <c r="E1977" i="9"/>
  <c r="E1976" i="9"/>
  <c r="E1975" i="9"/>
  <c r="E1974" i="9"/>
  <c r="E1973" i="9"/>
  <c r="E1972" i="9"/>
  <c r="E1971" i="9"/>
  <c r="E1970" i="9"/>
  <c r="E1969" i="9"/>
  <c r="E1968" i="9"/>
  <c r="E1967" i="9"/>
  <c r="E1966" i="9"/>
  <c r="E1965" i="9"/>
  <c r="E1964" i="9"/>
  <c r="E1963" i="9"/>
  <c r="E1962" i="9"/>
  <c r="E1961" i="9"/>
  <c r="E1960" i="9"/>
  <c r="E1959" i="9"/>
  <c r="E1958" i="9"/>
  <c r="E1957" i="9"/>
  <c r="E1956" i="9"/>
  <c r="E1955" i="9"/>
  <c r="E1954" i="9"/>
  <c r="E1953" i="9"/>
  <c r="E1952" i="9"/>
  <c r="E1951" i="9"/>
  <c r="E1950" i="9"/>
  <c r="E1949" i="9"/>
  <c r="E1948" i="9"/>
  <c r="E1947" i="9"/>
  <c r="E1946" i="9"/>
  <c r="E1945" i="9"/>
  <c r="E1944" i="9"/>
  <c r="E1943" i="9"/>
  <c r="E1942" i="9"/>
  <c r="E1941" i="9"/>
  <c r="E1940" i="9"/>
  <c r="E1939" i="9"/>
  <c r="E1938" i="9"/>
  <c r="E1937" i="9"/>
  <c r="E1936" i="9"/>
  <c r="E1935" i="9"/>
  <c r="E1934" i="9"/>
  <c r="E1933" i="9"/>
  <c r="E1932" i="9"/>
  <c r="E1931" i="9"/>
  <c r="E1930" i="9"/>
  <c r="E1929" i="9"/>
  <c r="E1928" i="9"/>
  <c r="E1927" i="9"/>
  <c r="E1926" i="9"/>
  <c r="E1925" i="9"/>
  <c r="E1924" i="9"/>
  <c r="E1923" i="9"/>
  <c r="E1922" i="9"/>
  <c r="E1921" i="9"/>
  <c r="E1920" i="9"/>
  <c r="E1919" i="9"/>
  <c r="E1918" i="9"/>
  <c r="E1917" i="9"/>
  <c r="E1916" i="9"/>
  <c r="E1915" i="9"/>
  <c r="E1914" i="9"/>
  <c r="E1913" i="9"/>
  <c r="E1912" i="9"/>
  <c r="E1911" i="9"/>
  <c r="E1910" i="9"/>
  <c r="E1909" i="9"/>
  <c r="E1908" i="9"/>
  <c r="E1907" i="9"/>
  <c r="E1906" i="9"/>
  <c r="E1905" i="9"/>
  <c r="E1904" i="9"/>
  <c r="E1903" i="9"/>
  <c r="E1902" i="9"/>
  <c r="E1901" i="9"/>
  <c r="E1900" i="9"/>
  <c r="E1899" i="9"/>
  <c r="E1898" i="9"/>
  <c r="E1897" i="9"/>
  <c r="E1896" i="9"/>
  <c r="E1895" i="9"/>
  <c r="E1894" i="9"/>
  <c r="E1893" i="9"/>
  <c r="E1892" i="9"/>
  <c r="E1891" i="9"/>
  <c r="E1890" i="9"/>
  <c r="E1889" i="9"/>
  <c r="E1888" i="9"/>
  <c r="E1887" i="9"/>
  <c r="E1886" i="9"/>
  <c r="E1885" i="9"/>
  <c r="E1884" i="9"/>
  <c r="E1883" i="9"/>
  <c r="E1882" i="9"/>
  <c r="E1881" i="9"/>
  <c r="E1880" i="9"/>
  <c r="E1879" i="9"/>
  <c r="E1878" i="9"/>
  <c r="E1877" i="9"/>
  <c r="E1876" i="9"/>
  <c r="E1875" i="9"/>
  <c r="E1874" i="9"/>
  <c r="E1873" i="9"/>
  <c r="E1872" i="9"/>
  <c r="E1871" i="9"/>
  <c r="E1870" i="9"/>
  <c r="E1869" i="9"/>
  <c r="E1868" i="9"/>
  <c r="E1867" i="9"/>
  <c r="E1866" i="9"/>
  <c r="E1865" i="9"/>
  <c r="E1864" i="9"/>
  <c r="E1863" i="9"/>
  <c r="E1862" i="9"/>
  <c r="E1861" i="9"/>
  <c r="E1860" i="9"/>
  <c r="E1859" i="9"/>
  <c r="E1858" i="9"/>
  <c r="E1857" i="9"/>
  <c r="E1856" i="9"/>
  <c r="E1855" i="9"/>
  <c r="E1854" i="9"/>
  <c r="E1853" i="9"/>
  <c r="E1852" i="9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3" i="9"/>
  <c r="C4" i="9"/>
  <c r="A4" i="9" s="1"/>
  <c r="C5" i="9"/>
  <c r="A5" i="9" s="1"/>
  <c r="C6" i="9"/>
  <c r="C7" i="9"/>
  <c r="A7" i="9" s="1"/>
  <c r="C8" i="9"/>
  <c r="A8" i="9" s="1"/>
  <c r="C9" i="9"/>
  <c r="C10" i="9"/>
  <c r="C11" i="9"/>
  <c r="A11" i="9" s="1"/>
  <c r="C12" i="9"/>
  <c r="A12" i="9" s="1"/>
  <c r="C13" i="9"/>
  <c r="C14" i="9"/>
  <c r="A14" i="9" s="1"/>
  <c r="C15" i="9"/>
  <c r="A15" i="9" s="1"/>
  <c r="C16" i="9"/>
  <c r="A16" i="9" s="1"/>
  <c r="C17" i="9"/>
  <c r="A17" i="9" s="1"/>
  <c r="C18" i="9"/>
  <c r="A18" i="9" s="1"/>
  <c r="C19" i="9"/>
  <c r="C20" i="9"/>
  <c r="C21" i="9"/>
  <c r="A21" i="9" s="1"/>
  <c r="C22" i="9"/>
  <c r="A22" i="9" s="1"/>
  <c r="C23" i="9"/>
  <c r="C24" i="9"/>
  <c r="A24" i="9" s="1"/>
  <c r="C25" i="9"/>
  <c r="A25" i="9" s="1"/>
  <c r="C26" i="9"/>
  <c r="A26" i="9" s="1"/>
  <c r="C27" i="9"/>
  <c r="A27" i="9" s="1"/>
  <c r="C28" i="9"/>
  <c r="A28" i="9" s="1"/>
  <c r="C29" i="9"/>
  <c r="C30" i="9"/>
  <c r="C31" i="9"/>
  <c r="A31" i="9" s="1"/>
  <c r="C32" i="9"/>
  <c r="A32" i="9" s="1"/>
  <c r="C33" i="9"/>
  <c r="C34" i="9"/>
  <c r="A34" i="9" s="1"/>
  <c r="C35" i="9"/>
  <c r="A35" i="9" s="1"/>
  <c r="C36" i="9"/>
  <c r="A36" i="9" s="1"/>
  <c r="C37" i="9"/>
  <c r="A37" i="9" s="1"/>
  <c r="C38" i="9"/>
  <c r="A38" i="9" s="1"/>
  <c r="C39" i="9"/>
  <c r="C40" i="9"/>
  <c r="C41" i="9"/>
  <c r="A41" i="9" s="1"/>
  <c r="C42" i="9"/>
  <c r="A42" i="9" s="1"/>
  <c r="C43" i="9"/>
  <c r="C44" i="9"/>
  <c r="A44" i="9" s="1"/>
  <c r="C45" i="9"/>
  <c r="A45" i="9" s="1"/>
  <c r="C46" i="9"/>
  <c r="A46" i="9" s="1"/>
  <c r="C47" i="9"/>
  <c r="A47" i="9" s="1"/>
  <c r="C48" i="9"/>
  <c r="A48" i="9" s="1"/>
  <c r="C49" i="9"/>
  <c r="C50" i="9"/>
  <c r="C51" i="9"/>
  <c r="A51" i="9" s="1"/>
  <c r="C52" i="9"/>
  <c r="A52" i="9" s="1"/>
  <c r="C53" i="9"/>
  <c r="C54" i="9"/>
  <c r="A54" i="9" s="1"/>
  <c r="C55" i="9"/>
  <c r="A55" i="9" s="1"/>
  <c r="C56" i="9"/>
  <c r="A56" i="9" s="1"/>
  <c r="C57" i="9"/>
  <c r="A57" i="9" s="1"/>
  <c r="C58" i="9"/>
  <c r="A58" i="9" s="1"/>
  <c r="C59" i="9"/>
  <c r="C60" i="9"/>
  <c r="C61" i="9"/>
  <c r="A61" i="9" s="1"/>
  <c r="C62" i="9"/>
  <c r="A62" i="9" s="1"/>
  <c r="C63" i="9"/>
  <c r="C64" i="9"/>
  <c r="A64" i="9" s="1"/>
  <c r="C65" i="9"/>
  <c r="A65" i="9" s="1"/>
  <c r="C66" i="9"/>
  <c r="A66" i="9" s="1"/>
  <c r="C67" i="9"/>
  <c r="A67" i="9" s="1"/>
  <c r="C68" i="9"/>
  <c r="A68" i="9" s="1"/>
  <c r="C69" i="9"/>
  <c r="C70" i="9"/>
  <c r="C71" i="9"/>
  <c r="A71" i="9" s="1"/>
  <c r="C72" i="9"/>
  <c r="A72" i="9" s="1"/>
  <c r="C73" i="9"/>
  <c r="C74" i="9"/>
  <c r="A74" i="9" s="1"/>
  <c r="C75" i="9"/>
  <c r="A75" i="9" s="1"/>
  <c r="C76" i="9"/>
  <c r="A76" i="9" s="1"/>
  <c r="C77" i="9"/>
  <c r="A77" i="9" s="1"/>
  <c r="C78" i="9"/>
  <c r="A78" i="9" s="1"/>
  <c r="C79" i="9"/>
  <c r="C80" i="9"/>
  <c r="C81" i="9"/>
  <c r="A81" i="9" s="1"/>
  <c r="C82" i="9"/>
  <c r="A82" i="9" s="1"/>
  <c r="C83" i="9"/>
  <c r="C84" i="9"/>
  <c r="A84" i="9" s="1"/>
  <c r="C85" i="9"/>
  <c r="A85" i="9" s="1"/>
  <c r="C86" i="9"/>
  <c r="A86" i="9" s="1"/>
  <c r="C87" i="9"/>
  <c r="A87" i="9" s="1"/>
  <c r="C88" i="9"/>
  <c r="A88" i="9" s="1"/>
  <c r="C89" i="9"/>
  <c r="C90" i="9"/>
  <c r="C91" i="9"/>
  <c r="A91" i="9" s="1"/>
  <c r="C92" i="9"/>
  <c r="A92" i="9" s="1"/>
  <c r="C93" i="9"/>
  <c r="C94" i="9"/>
  <c r="A94" i="9" s="1"/>
  <c r="C95" i="9"/>
  <c r="A95" i="9" s="1"/>
  <c r="C96" i="9"/>
  <c r="A96" i="9" s="1"/>
  <c r="C97" i="9"/>
  <c r="A97" i="9" s="1"/>
  <c r="C98" i="9"/>
  <c r="A98" i="9" s="1"/>
  <c r="C99" i="9"/>
  <c r="C100" i="9"/>
  <c r="C101" i="9"/>
  <c r="A101" i="9" s="1"/>
  <c r="C102" i="9"/>
  <c r="A102" i="9" s="1"/>
  <c r="C103" i="9"/>
  <c r="C104" i="9"/>
  <c r="A104" i="9" s="1"/>
  <c r="C105" i="9"/>
  <c r="A105" i="9" s="1"/>
  <c r="C106" i="9"/>
  <c r="A106" i="9" s="1"/>
  <c r="C107" i="9"/>
  <c r="A107" i="9" s="1"/>
  <c r="C108" i="9"/>
  <c r="A108" i="9" s="1"/>
  <c r="C109" i="9"/>
  <c r="C110" i="9"/>
  <c r="C111" i="9"/>
  <c r="A111" i="9" s="1"/>
  <c r="C112" i="9"/>
  <c r="A112" i="9" s="1"/>
  <c r="C113" i="9"/>
  <c r="C114" i="9"/>
  <c r="A114" i="9" s="1"/>
  <c r="C115" i="9"/>
  <c r="A115" i="9" s="1"/>
  <c r="C116" i="9"/>
  <c r="A116" i="9" s="1"/>
  <c r="C117" i="9"/>
  <c r="A117" i="9" s="1"/>
  <c r="C118" i="9"/>
  <c r="A118" i="9" s="1"/>
  <c r="C119" i="9"/>
  <c r="C120" i="9"/>
  <c r="C121" i="9"/>
  <c r="A121" i="9" s="1"/>
  <c r="C122" i="9"/>
  <c r="A122" i="9" s="1"/>
  <c r="C123" i="9"/>
  <c r="C124" i="9"/>
  <c r="A124" i="9" s="1"/>
  <c r="C125" i="9"/>
  <c r="A125" i="9" s="1"/>
  <c r="C126" i="9"/>
  <c r="A126" i="9" s="1"/>
  <c r="C127" i="9"/>
  <c r="A127" i="9" s="1"/>
  <c r="C128" i="9"/>
  <c r="A128" i="9" s="1"/>
  <c r="C129" i="9"/>
  <c r="C130" i="9"/>
  <c r="C131" i="9"/>
  <c r="A131" i="9" s="1"/>
  <c r="C132" i="9"/>
  <c r="A132" i="9" s="1"/>
  <c r="C133" i="9"/>
  <c r="C134" i="9"/>
  <c r="A134" i="9" s="1"/>
  <c r="C135" i="9"/>
  <c r="A135" i="9" s="1"/>
  <c r="C136" i="9"/>
  <c r="A136" i="9" s="1"/>
  <c r="C137" i="9"/>
  <c r="A137" i="9" s="1"/>
  <c r="C138" i="9"/>
  <c r="A138" i="9" s="1"/>
  <c r="C139" i="9"/>
  <c r="C140" i="9"/>
  <c r="C141" i="9"/>
  <c r="A141" i="9" s="1"/>
  <c r="C142" i="9"/>
  <c r="A142" i="9" s="1"/>
  <c r="C143" i="9"/>
  <c r="C144" i="9"/>
  <c r="A144" i="9" s="1"/>
  <c r="C145" i="9"/>
  <c r="A145" i="9" s="1"/>
  <c r="C146" i="9"/>
  <c r="A146" i="9" s="1"/>
  <c r="C147" i="9"/>
  <c r="A147" i="9" s="1"/>
  <c r="C148" i="9"/>
  <c r="A148" i="9" s="1"/>
  <c r="C149" i="9"/>
  <c r="C150" i="9"/>
  <c r="C151" i="9"/>
  <c r="A151" i="9" s="1"/>
  <c r="C152" i="9"/>
  <c r="A152" i="9" s="1"/>
  <c r="C153" i="9"/>
  <c r="C154" i="9"/>
  <c r="A154" i="9" s="1"/>
  <c r="C155" i="9"/>
  <c r="A155" i="9" s="1"/>
  <c r="C156" i="9"/>
  <c r="A156" i="9" s="1"/>
  <c r="C157" i="9"/>
  <c r="A157" i="9" s="1"/>
  <c r="C158" i="9"/>
  <c r="A158" i="9" s="1"/>
  <c r="C159" i="9"/>
  <c r="C160" i="9"/>
  <c r="C161" i="9"/>
  <c r="A161" i="9" s="1"/>
  <c r="C162" i="9"/>
  <c r="A162" i="9" s="1"/>
  <c r="C163" i="9"/>
  <c r="C164" i="9"/>
  <c r="A164" i="9" s="1"/>
  <c r="C165" i="9"/>
  <c r="A165" i="9" s="1"/>
  <c r="C166" i="9"/>
  <c r="A166" i="9" s="1"/>
  <c r="C167" i="9"/>
  <c r="A167" i="9" s="1"/>
  <c r="C168" i="9"/>
  <c r="A168" i="9" s="1"/>
  <c r="C169" i="9"/>
  <c r="C170" i="9"/>
  <c r="C171" i="9"/>
  <c r="A171" i="9" s="1"/>
  <c r="C172" i="9"/>
  <c r="A172" i="9" s="1"/>
  <c r="C173" i="9"/>
  <c r="A173" i="9" s="1"/>
  <c r="C174" i="9"/>
  <c r="A174" i="9" s="1"/>
  <c r="C175" i="9"/>
  <c r="A175" i="9" s="1"/>
  <c r="C176" i="9"/>
  <c r="A176" i="9" s="1"/>
  <c r="C177" i="9"/>
  <c r="A177" i="9" s="1"/>
  <c r="C178" i="9"/>
  <c r="A178" i="9" s="1"/>
  <c r="C179" i="9"/>
  <c r="C180" i="9"/>
  <c r="C181" i="9"/>
  <c r="A181" i="9" s="1"/>
  <c r="C182" i="9"/>
  <c r="A182" i="9" s="1"/>
  <c r="C183" i="9"/>
  <c r="A183" i="9" s="1"/>
  <c r="C184" i="9"/>
  <c r="A184" i="9" s="1"/>
  <c r="C185" i="9"/>
  <c r="A185" i="9" s="1"/>
  <c r="C186" i="9"/>
  <c r="A186" i="9" s="1"/>
  <c r="C187" i="9"/>
  <c r="A187" i="9" s="1"/>
  <c r="C188" i="9"/>
  <c r="A188" i="9" s="1"/>
  <c r="C189" i="9"/>
  <c r="C190" i="9"/>
  <c r="C191" i="9"/>
  <c r="A191" i="9" s="1"/>
  <c r="C192" i="9"/>
  <c r="A192" i="9" s="1"/>
  <c r="C193" i="9"/>
  <c r="A193" i="9" s="1"/>
  <c r="C194" i="9"/>
  <c r="A194" i="9" s="1"/>
  <c r="C195" i="9"/>
  <c r="A195" i="9" s="1"/>
  <c r="C196" i="9"/>
  <c r="A196" i="9" s="1"/>
  <c r="C197" i="9"/>
  <c r="A197" i="9" s="1"/>
  <c r="C198" i="9"/>
  <c r="A198" i="9" s="1"/>
  <c r="C199" i="9"/>
  <c r="C200" i="9"/>
  <c r="C201" i="9"/>
  <c r="A201" i="9" s="1"/>
  <c r="C202" i="9"/>
  <c r="A202" i="9" s="1"/>
  <c r="C203" i="9"/>
  <c r="A203" i="9" s="1"/>
  <c r="C204" i="9"/>
  <c r="A204" i="9" s="1"/>
  <c r="C205" i="9"/>
  <c r="A205" i="9" s="1"/>
  <c r="C206" i="9"/>
  <c r="A206" i="9" s="1"/>
  <c r="C207" i="9"/>
  <c r="A207" i="9" s="1"/>
  <c r="C208" i="9"/>
  <c r="A208" i="9" s="1"/>
  <c r="C209" i="9"/>
  <c r="C210" i="9"/>
  <c r="C211" i="9"/>
  <c r="A211" i="9" s="1"/>
  <c r="C212" i="9"/>
  <c r="A212" i="9" s="1"/>
  <c r="C213" i="9"/>
  <c r="A213" i="9" s="1"/>
  <c r="C214" i="9"/>
  <c r="A214" i="9" s="1"/>
  <c r="C215" i="9"/>
  <c r="A215" i="9" s="1"/>
  <c r="C216" i="9"/>
  <c r="A216" i="9" s="1"/>
  <c r="C217" i="9"/>
  <c r="A217" i="9" s="1"/>
  <c r="C218" i="9"/>
  <c r="A218" i="9" s="1"/>
  <c r="C219" i="9"/>
  <c r="C220" i="9"/>
  <c r="C221" i="9"/>
  <c r="A221" i="9" s="1"/>
  <c r="C222" i="9"/>
  <c r="A222" i="9" s="1"/>
  <c r="C223" i="9"/>
  <c r="A223" i="9" s="1"/>
  <c r="C224" i="9"/>
  <c r="A224" i="9" s="1"/>
  <c r="C225" i="9"/>
  <c r="A225" i="9" s="1"/>
  <c r="C226" i="9"/>
  <c r="A226" i="9" s="1"/>
  <c r="C227" i="9"/>
  <c r="A227" i="9" s="1"/>
  <c r="C228" i="9"/>
  <c r="A228" i="9" s="1"/>
  <c r="C229" i="9"/>
  <c r="C230" i="9"/>
  <c r="C231" i="9"/>
  <c r="A231" i="9" s="1"/>
  <c r="C232" i="9"/>
  <c r="A232" i="9" s="1"/>
  <c r="C233" i="9"/>
  <c r="A233" i="9" s="1"/>
  <c r="C234" i="9"/>
  <c r="A234" i="9" s="1"/>
  <c r="C235" i="9"/>
  <c r="A235" i="9" s="1"/>
  <c r="C236" i="9"/>
  <c r="A236" i="9" s="1"/>
  <c r="C237" i="9"/>
  <c r="A237" i="9" s="1"/>
  <c r="C238" i="9"/>
  <c r="A238" i="9" s="1"/>
  <c r="C239" i="9"/>
  <c r="C240" i="9"/>
  <c r="C241" i="9"/>
  <c r="A241" i="9" s="1"/>
  <c r="C242" i="9"/>
  <c r="A242" i="9" s="1"/>
  <c r="C243" i="9"/>
  <c r="A243" i="9" s="1"/>
  <c r="C244" i="9"/>
  <c r="A244" i="9" s="1"/>
  <c r="C245" i="9"/>
  <c r="A245" i="9" s="1"/>
  <c r="C246" i="9"/>
  <c r="A246" i="9" s="1"/>
  <c r="C247" i="9"/>
  <c r="A247" i="9" s="1"/>
  <c r="C248" i="9"/>
  <c r="A248" i="9" s="1"/>
  <c r="C249" i="9"/>
  <c r="C250" i="9"/>
  <c r="C251" i="9"/>
  <c r="A251" i="9" s="1"/>
  <c r="C252" i="9"/>
  <c r="A252" i="9" s="1"/>
  <c r="C253" i="9"/>
  <c r="A253" i="9" s="1"/>
  <c r="C254" i="9"/>
  <c r="A254" i="9" s="1"/>
  <c r="C255" i="9"/>
  <c r="A255" i="9" s="1"/>
  <c r="C256" i="9"/>
  <c r="A256" i="9" s="1"/>
  <c r="C257" i="9"/>
  <c r="A257" i="9" s="1"/>
  <c r="C258" i="9"/>
  <c r="A258" i="9" s="1"/>
  <c r="C259" i="9"/>
  <c r="C260" i="9"/>
  <c r="C261" i="9"/>
  <c r="A261" i="9" s="1"/>
  <c r="C262" i="9"/>
  <c r="A262" i="9" s="1"/>
  <c r="C263" i="9"/>
  <c r="A263" i="9" s="1"/>
  <c r="C264" i="9"/>
  <c r="A264" i="9" s="1"/>
  <c r="C265" i="9"/>
  <c r="A265" i="9" s="1"/>
  <c r="C266" i="9"/>
  <c r="A266" i="9" s="1"/>
  <c r="C267" i="9"/>
  <c r="A267" i="9" s="1"/>
  <c r="C268" i="9"/>
  <c r="A268" i="9" s="1"/>
  <c r="C269" i="9"/>
  <c r="C270" i="9"/>
  <c r="C271" i="9"/>
  <c r="A271" i="9" s="1"/>
  <c r="C272" i="9"/>
  <c r="A272" i="9" s="1"/>
  <c r="C273" i="9"/>
  <c r="A273" i="9" s="1"/>
  <c r="C274" i="9"/>
  <c r="A274" i="9" s="1"/>
  <c r="C275" i="9"/>
  <c r="A275" i="9" s="1"/>
  <c r="C276" i="9"/>
  <c r="A276" i="9" s="1"/>
  <c r="C277" i="9"/>
  <c r="A277" i="9" s="1"/>
  <c r="C278" i="9"/>
  <c r="A278" i="9" s="1"/>
  <c r="C279" i="9"/>
  <c r="C280" i="9"/>
  <c r="C281" i="9"/>
  <c r="A281" i="9" s="1"/>
  <c r="C282" i="9"/>
  <c r="A282" i="9" s="1"/>
  <c r="C283" i="9"/>
  <c r="A283" i="9" s="1"/>
  <c r="C284" i="9"/>
  <c r="A284" i="9" s="1"/>
  <c r="C285" i="9"/>
  <c r="A285" i="9" s="1"/>
  <c r="C286" i="9"/>
  <c r="A286" i="9" s="1"/>
  <c r="C287" i="9"/>
  <c r="A287" i="9" s="1"/>
  <c r="C288" i="9"/>
  <c r="A288" i="9" s="1"/>
  <c r="C289" i="9"/>
  <c r="C290" i="9"/>
  <c r="C291" i="9"/>
  <c r="A291" i="9" s="1"/>
  <c r="C292" i="9"/>
  <c r="A292" i="9" s="1"/>
  <c r="C293" i="9"/>
  <c r="A293" i="9" s="1"/>
  <c r="C294" i="9"/>
  <c r="A294" i="9" s="1"/>
  <c r="C295" i="9"/>
  <c r="A295" i="9" s="1"/>
  <c r="C296" i="9"/>
  <c r="A296" i="9" s="1"/>
  <c r="C297" i="9"/>
  <c r="A297" i="9" s="1"/>
  <c r="C298" i="9"/>
  <c r="A298" i="9" s="1"/>
  <c r="C299" i="9"/>
  <c r="C300" i="9"/>
  <c r="C301" i="9"/>
  <c r="A301" i="9" s="1"/>
  <c r="C302" i="9"/>
  <c r="A302" i="9" s="1"/>
  <c r="C303" i="9"/>
  <c r="A303" i="9" s="1"/>
  <c r="C304" i="9"/>
  <c r="A304" i="9" s="1"/>
  <c r="C305" i="9"/>
  <c r="A305" i="9" s="1"/>
  <c r="C306" i="9"/>
  <c r="A306" i="9" s="1"/>
  <c r="C307" i="9"/>
  <c r="A307" i="9" s="1"/>
  <c r="C308" i="9"/>
  <c r="A308" i="9" s="1"/>
  <c r="C309" i="9"/>
  <c r="C310" i="9"/>
  <c r="C311" i="9"/>
  <c r="A311" i="9" s="1"/>
  <c r="C312" i="9"/>
  <c r="A312" i="9" s="1"/>
  <c r="C313" i="9"/>
  <c r="A313" i="9" s="1"/>
  <c r="C314" i="9"/>
  <c r="A314" i="9" s="1"/>
  <c r="C315" i="9"/>
  <c r="A315" i="9" s="1"/>
  <c r="C316" i="9"/>
  <c r="A316" i="9" s="1"/>
  <c r="C317" i="9"/>
  <c r="A317" i="9" s="1"/>
  <c r="C318" i="9"/>
  <c r="A318" i="9" s="1"/>
  <c r="C319" i="9"/>
  <c r="C320" i="9"/>
  <c r="C321" i="9"/>
  <c r="A321" i="9" s="1"/>
  <c r="C322" i="9"/>
  <c r="A322" i="9" s="1"/>
  <c r="C323" i="9"/>
  <c r="A323" i="9" s="1"/>
  <c r="C324" i="9"/>
  <c r="A324" i="9" s="1"/>
  <c r="C325" i="9"/>
  <c r="A325" i="9" s="1"/>
  <c r="C326" i="9"/>
  <c r="A326" i="9" s="1"/>
  <c r="C327" i="9"/>
  <c r="A327" i="9" s="1"/>
  <c r="C328" i="9"/>
  <c r="A328" i="9" s="1"/>
  <c r="C329" i="9"/>
  <c r="C330" i="9"/>
  <c r="C331" i="9"/>
  <c r="A331" i="9" s="1"/>
  <c r="C332" i="9"/>
  <c r="A332" i="9" s="1"/>
  <c r="C333" i="9"/>
  <c r="A333" i="9" s="1"/>
  <c r="C334" i="9"/>
  <c r="A334" i="9" s="1"/>
  <c r="C335" i="9"/>
  <c r="A335" i="9" s="1"/>
  <c r="C336" i="9"/>
  <c r="A336" i="9" s="1"/>
  <c r="C337" i="9"/>
  <c r="A337" i="9" s="1"/>
  <c r="C338" i="9"/>
  <c r="A338" i="9" s="1"/>
  <c r="C339" i="9"/>
  <c r="C340" i="9"/>
  <c r="C341" i="9"/>
  <c r="A341" i="9" s="1"/>
  <c r="C342" i="9"/>
  <c r="A342" i="9" s="1"/>
  <c r="C343" i="9"/>
  <c r="A343" i="9" s="1"/>
  <c r="C344" i="9"/>
  <c r="A344" i="9" s="1"/>
  <c r="C345" i="9"/>
  <c r="A345" i="9" s="1"/>
  <c r="C346" i="9"/>
  <c r="A346" i="9" s="1"/>
  <c r="C347" i="9"/>
  <c r="A347" i="9" s="1"/>
  <c r="C348" i="9"/>
  <c r="A348" i="9" s="1"/>
  <c r="C349" i="9"/>
  <c r="C350" i="9"/>
  <c r="A350" i="9" s="1"/>
  <c r="C351" i="9"/>
  <c r="A351" i="9" s="1"/>
  <c r="C352" i="9"/>
  <c r="A352" i="9" s="1"/>
  <c r="C353" i="9"/>
  <c r="A353" i="9" s="1"/>
  <c r="C354" i="9"/>
  <c r="A354" i="9" s="1"/>
  <c r="C355" i="9"/>
  <c r="A355" i="9" s="1"/>
  <c r="C356" i="9"/>
  <c r="A356" i="9" s="1"/>
  <c r="C357" i="9"/>
  <c r="A357" i="9" s="1"/>
  <c r="C358" i="9"/>
  <c r="A358" i="9" s="1"/>
  <c r="C359" i="9"/>
  <c r="A359" i="9" s="1"/>
  <c r="C360" i="9"/>
  <c r="A360" i="9" s="1"/>
  <c r="C361" i="9"/>
  <c r="A361" i="9" s="1"/>
  <c r="C362" i="9"/>
  <c r="A362" i="9" s="1"/>
  <c r="C363" i="9"/>
  <c r="A363" i="9" s="1"/>
  <c r="C364" i="9"/>
  <c r="A364" i="9" s="1"/>
  <c r="C365" i="9"/>
  <c r="A365" i="9" s="1"/>
  <c r="C366" i="9"/>
  <c r="A366" i="9" s="1"/>
  <c r="C367" i="9"/>
  <c r="A367" i="9" s="1"/>
  <c r="C368" i="9"/>
  <c r="A368" i="9" s="1"/>
  <c r="C369" i="9"/>
  <c r="A369" i="9" s="1"/>
  <c r="C370" i="9"/>
  <c r="A370" i="9" s="1"/>
  <c r="C371" i="9"/>
  <c r="A371" i="9" s="1"/>
  <c r="C372" i="9"/>
  <c r="A372" i="9" s="1"/>
  <c r="C373" i="9"/>
  <c r="A373" i="9" s="1"/>
  <c r="C374" i="9"/>
  <c r="A374" i="9" s="1"/>
  <c r="C375" i="9"/>
  <c r="A375" i="9" s="1"/>
  <c r="C376" i="9"/>
  <c r="A376" i="9" s="1"/>
  <c r="C377" i="9"/>
  <c r="A377" i="9" s="1"/>
  <c r="C378" i="9"/>
  <c r="A378" i="9" s="1"/>
  <c r="C379" i="9"/>
  <c r="A379" i="9" s="1"/>
  <c r="C380" i="9"/>
  <c r="A380" i="9" s="1"/>
  <c r="C381" i="9"/>
  <c r="A381" i="9" s="1"/>
  <c r="C382" i="9"/>
  <c r="A382" i="9" s="1"/>
  <c r="C383" i="9"/>
  <c r="A383" i="9" s="1"/>
  <c r="C384" i="9"/>
  <c r="A384" i="9" s="1"/>
  <c r="C385" i="9"/>
  <c r="A385" i="9" s="1"/>
  <c r="C386" i="9"/>
  <c r="A386" i="9" s="1"/>
  <c r="C387" i="9"/>
  <c r="A387" i="9" s="1"/>
  <c r="C388" i="9"/>
  <c r="A388" i="9" s="1"/>
  <c r="C389" i="9"/>
  <c r="A389" i="9" s="1"/>
  <c r="C390" i="9"/>
  <c r="A390" i="9" s="1"/>
  <c r="C391" i="9"/>
  <c r="A391" i="9" s="1"/>
  <c r="C392" i="9"/>
  <c r="A392" i="9" s="1"/>
  <c r="C393" i="9"/>
  <c r="A393" i="9" s="1"/>
  <c r="C394" i="9"/>
  <c r="A394" i="9" s="1"/>
  <c r="C395" i="9"/>
  <c r="A395" i="9" s="1"/>
  <c r="C396" i="9"/>
  <c r="A396" i="9" s="1"/>
  <c r="C397" i="9"/>
  <c r="A397" i="9" s="1"/>
  <c r="C398" i="9"/>
  <c r="A398" i="9" s="1"/>
  <c r="C399" i="9"/>
  <c r="A399" i="9" s="1"/>
  <c r="C400" i="9"/>
  <c r="A400" i="9" s="1"/>
  <c r="C401" i="9"/>
  <c r="A401" i="9" s="1"/>
  <c r="C402" i="9"/>
  <c r="A402" i="9" s="1"/>
  <c r="C403" i="9"/>
  <c r="A403" i="9" s="1"/>
  <c r="C404" i="9"/>
  <c r="A404" i="9" s="1"/>
  <c r="C405" i="9"/>
  <c r="A405" i="9" s="1"/>
  <c r="C406" i="9"/>
  <c r="A406" i="9" s="1"/>
  <c r="C407" i="9"/>
  <c r="A407" i="9" s="1"/>
  <c r="C408" i="9"/>
  <c r="A408" i="9" s="1"/>
  <c r="C409" i="9"/>
  <c r="A409" i="9" s="1"/>
  <c r="C410" i="9"/>
  <c r="A410" i="9" s="1"/>
  <c r="C411" i="9"/>
  <c r="A411" i="9" s="1"/>
  <c r="C412" i="9"/>
  <c r="A412" i="9" s="1"/>
  <c r="C413" i="9"/>
  <c r="A413" i="9" s="1"/>
  <c r="C414" i="9"/>
  <c r="A414" i="9" s="1"/>
  <c r="C415" i="9"/>
  <c r="A415" i="9" s="1"/>
  <c r="C416" i="9"/>
  <c r="A416" i="9" s="1"/>
  <c r="C417" i="9"/>
  <c r="A417" i="9" s="1"/>
  <c r="C418" i="9"/>
  <c r="A418" i="9" s="1"/>
  <c r="C419" i="9"/>
  <c r="A419" i="9" s="1"/>
  <c r="C420" i="9"/>
  <c r="A420" i="9" s="1"/>
  <c r="C421" i="9"/>
  <c r="A421" i="9" s="1"/>
  <c r="C422" i="9"/>
  <c r="A422" i="9" s="1"/>
  <c r="C423" i="9"/>
  <c r="A423" i="9" s="1"/>
  <c r="C424" i="9"/>
  <c r="A424" i="9" s="1"/>
  <c r="C425" i="9"/>
  <c r="A425" i="9" s="1"/>
  <c r="C426" i="9"/>
  <c r="A426" i="9" s="1"/>
  <c r="C427" i="9"/>
  <c r="A427" i="9" s="1"/>
  <c r="C428" i="9"/>
  <c r="A428" i="9" s="1"/>
  <c r="C429" i="9"/>
  <c r="A429" i="9" s="1"/>
  <c r="C430" i="9"/>
  <c r="A430" i="9" s="1"/>
  <c r="C431" i="9"/>
  <c r="A431" i="9" s="1"/>
  <c r="C432" i="9"/>
  <c r="A432" i="9" s="1"/>
  <c r="C433" i="9"/>
  <c r="A433" i="9" s="1"/>
  <c r="C434" i="9"/>
  <c r="A434" i="9" s="1"/>
  <c r="C435" i="9"/>
  <c r="A435" i="9" s="1"/>
  <c r="C436" i="9"/>
  <c r="A436" i="9" s="1"/>
  <c r="C437" i="9"/>
  <c r="A437" i="9" s="1"/>
  <c r="C438" i="9"/>
  <c r="A438" i="9" s="1"/>
  <c r="C439" i="9"/>
  <c r="A439" i="9" s="1"/>
  <c r="C440" i="9"/>
  <c r="A440" i="9" s="1"/>
  <c r="C441" i="9"/>
  <c r="A441" i="9" s="1"/>
  <c r="C442" i="9"/>
  <c r="A442" i="9" s="1"/>
  <c r="C443" i="9"/>
  <c r="A443" i="9" s="1"/>
  <c r="C444" i="9"/>
  <c r="A444" i="9" s="1"/>
  <c r="C445" i="9"/>
  <c r="A445" i="9" s="1"/>
  <c r="C446" i="9"/>
  <c r="A446" i="9" s="1"/>
  <c r="C447" i="9"/>
  <c r="A447" i="9" s="1"/>
  <c r="C448" i="9"/>
  <c r="A448" i="9" s="1"/>
  <c r="C449" i="9"/>
  <c r="A449" i="9" s="1"/>
  <c r="C450" i="9"/>
  <c r="A450" i="9" s="1"/>
  <c r="C451" i="9"/>
  <c r="A451" i="9" s="1"/>
  <c r="C452" i="9"/>
  <c r="A452" i="9" s="1"/>
  <c r="C453" i="9"/>
  <c r="A453" i="9" s="1"/>
  <c r="C454" i="9"/>
  <c r="A454" i="9" s="1"/>
  <c r="C455" i="9"/>
  <c r="A455" i="9" s="1"/>
  <c r="C456" i="9"/>
  <c r="A456" i="9" s="1"/>
  <c r="C457" i="9"/>
  <c r="A457" i="9" s="1"/>
  <c r="C458" i="9"/>
  <c r="A458" i="9" s="1"/>
  <c r="C459" i="9"/>
  <c r="A459" i="9" s="1"/>
  <c r="C460" i="9"/>
  <c r="A460" i="9" s="1"/>
  <c r="C461" i="9"/>
  <c r="A461" i="9" s="1"/>
  <c r="C462" i="9"/>
  <c r="A462" i="9" s="1"/>
  <c r="C463" i="9"/>
  <c r="A463" i="9" s="1"/>
  <c r="C464" i="9"/>
  <c r="A464" i="9" s="1"/>
  <c r="C465" i="9"/>
  <c r="A465" i="9" s="1"/>
  <c r="C466" i="9"/>
  <c r="A466" i="9" s="1"/>
  <c r="C467" i="9"/>
  <c r="A467" i="9" s="1"/>
  <c r="C468" i="9"/>
  <c r="A468" i="9" s="1"/>
  <c r="C469" i="9"/>
  <c r="A469" i="9" s="1"/>
  <c r="C470" i="9"/>
  <c r="A470" i="9" s="1"/>
  <c r="C471" i="9"/>
  <c r="A471" i="9" s="1"/>
  <c r="C472" i="9"/>
  <c r="A472" i="9" s="1"/>
  <c r="C473" i="9"/>
  <c r="A473" i="9" s="1"/>
  <c r="C474" i="9"/>
  <c r="A474" i="9" s="1"/>
  <c r="C475" i="9"/>
  <c r="A475" i="9" s="1"/>
  <c r="C476" i="9"/>
  <c r="A476" i="9" s="1"/>
  <c r="C477" i="9"/>
  <c r="A477" i="9" s="1"/>
  <c r="C478" i="9"/>
  <c r="A478" i="9" s="1"/>
  <c r="C479" i="9"/>
  <c r="A479" i="9" s="1"/>
  <c r="C480" i="9"/>
  <c r="A480" i="9" s="1"/>
  <c r="C481" i="9"/>
  <c r="A481" i="9" s="1"/>
  <c r="C482" i="9"/>
  <c r="A482" i="9" s="1"/>
  <c r="C483" i="9"/>
  <c r="A483" i="9" s="1"/>
  <c r="C484" i="9"/>
  <c r="A484" i="9" s="1"/>
  <c r="C485" i="9"/>
  <c r="A485" i="9" s="1"/>
  <c r="C486" i="9"/>
  <c r="A486" i="9" s="1"/>
  <c r="C487" i="9"/>
  <c r="A487" i="9" s="1"/>
  <c r="C488" i="9"/>
  <c r="A488" i="9" s="1"/>
  <c r="C489" i="9"/>
  <c r="A489" i="9" s="1"/>
  <c r="C490" i="9"/>
  <c r="A490" i="9" s="1"/>
  <c r="C491" i="9"/>
  <c r="A491" i="9" s="1"/>
  <c r="C492" i="9"/>
  <c r="A492" i="9" s="1"/>
  <c r="C493" i="9"/>
  <c r="A493" i="9" s="1"/>
  <c r="C494" i="9"/>
  <c r="A494" i="9" s="1"/>
  <c r="C495" i="9"/>
  <c r="A495" i="9" s="1"/>
  <c r="C496" i="9"/>
  <c r="A496" i="9" s="1"/>
  <c r="C497" i="9"/>
  <c r="A497" i="9" s="1"/>
  <c r="C498" i="9"/>
  <c r="A498" i="9" s="1"/>
  <c r="C499" i="9"/>
  <c r="A499" i="9" s="1"/>
  <c r="C500" i="9"/>
  <c r="A500" i="9" s="1"/>
  <c r="C501" i="9"/>
  <c r="A501" i="9" s="1"/>
  <c r="C502" i="9"/>
  <c r="A502" i="9" s="1"/>
  <c r="C503" i="9"/>
  <c r="A503" i="9" s="1"/>
  <c r="C504" i="9"/>
  <c r="A504" i="9" s="1"/>
  <c r="C505" i="9"/>
  <c r="A505" i="9" s="1"/>
  <c r="C506" i="9"/>
  <c r="A506" i="9" s="1"/>
  <c r="C507" i="9"/>
  <c r="A507" i="9" s="1"/>
  <c r="C508" i="9"/>
  <c r="A508" i="9" s="1"/>
  <c r="C509" i="9"/>
  <c r="A509" i="9" s="1"/>
  <c r="C510" i="9"/>
  <c r="A510" i="9" s="1"/>
  <c r="C511" i="9"/>
  <c r="A511" i="9" s="1"/>
  <c r="C512" i="9"/>
  <c r="A512" i="9" s="1"/>
  <c r="C513" i="9"/>
  <c r="A513" i="9" s="1"/>
  <c r="C514" i="9"/>
  <c r="A514" i="9" s="1"/>
  <c r="C515" i="9"/>
  <c r="A515" i="9" s="1"/>
  <c r="C516" i="9"/>
  <c r="A516" i="9" s="1"/>
  <c r="C517" i="9"/>
  <c r="A517" i="9" s="1"/>
  <c r="C518" i="9"/>
  <c r="A518" i="9" s="1"/>
  <c r="C519" i="9"/>
  <c r="A519" i="9" s="1"/>
  <c r="C520" i="9"/>
  <c r="A520" i="9" s="1"/>
  <c r="C521" i="9"/>
  <c r="A521" i="9" s="1"/>
  <c r="C522" i="9"/>
  <c r="A522" i="9" s="1"/>
  <c r="C523" i="9"/>
  <c r="A523" i="9" s="1"/>
  <c r="C524" i="9"/>
  <c r="A524" i="9" s="1"/>
  <c r="C525" i="9"/>
  <c r="A525" i="9" s="1"/>
  <c r="C526" i="9"/>
  <c r="A526" i="9" s="1"/>
  <c r="C527" i="9"/>
  <c r="A527" i="9" s="1"/>
  <c r="C528" i="9"/>
  <c r="A528" i="9" s="1"/>
  <c r="C529" i="9"/>
  <c r="A529" i="9" s="1"/>
  <c r="C530" i="9"/>
  <c r="A530" i="9" s="1"/>
  <c r="C531" i="9"/>
  <c r="A531" i="9" s="1"/>
  <c r="C532" i="9"/>
  <c r="A532" i="9" s="1"/>
  <c r="C533" i="9"/>
  <c r="A533" i="9" s="1"/>
  <c r="C534" i="9"/>
  <c r="A534" i="9" s="1"/>
  <c r="C535" i="9"/>
  <c r="A535" i="9" s="1"/>
  <c r="C536" i="9"/>
  <c r="A536" i="9" s="1"/>
  <c r="C537" i="9"/>
  <c r="A537" i="9" s="1"/>
  <c r="C538" i="9"/>
  <c r="A538" i="9" s="1"/>
  <c r="C539" i="9"/>
  <c r="A539" i="9" s="1"/>
  <c r="C540" i="9"/>
  <c r="A540" i="9" s="1"/>
  <c r="C541" i="9"/>
  <c r="A541" i="9" s="1"/>
  <c r="C542" i="9"/>
  <c r="A542" i="9" s="1"/>
  <c r="C543" i="9"/>
  <c r="A543" i="9" s="1"/>
  <c r="C544" i="9"/>
  <c r="A544" i="9" s="1"/>
  <c r="C545" i="9"/>
  <c r="A545" i="9" s="1"/>
  <c r="C546" i="9"/>
  <c r="A546" i="9" s="1"/>
  <c r="C547" i="9"/>
  <c r="A547" i="9" s="1"/>
  <c r="C548" i="9"/>
  <c r="A548" i="9" s="1"/>
  <c r="C549" i="9"/>
  <c r="A549" i="9" s="1"/>
  <c r="C550" i="9"/>
  <c r="A550" i="9" s="1"/>
  <c r="C551" i="9"/>
  <c r="A551" i="9" s="1"/>
  <c r="C552" i="9"/>
  <c r="A552" i="9" s="1"/>
  <c r="C553" i="9"/>
  <c r="A553" i="9" s="1"/>
  <c r="C554" i="9"/>
  <c r="A554" i="9" s="1"/>
  <c r="C555" i="9"/>
  <c r="A555" i="9" s="1"/>
  <c r="C556" i="9"/>
  <c r="A556" i="9" s="1"/>
  <c r="C557" i="9"/>
  <c r="A557" i="9" s="1"/>
  <c r="C558" i="9"/>
  <c r="A558" i="9" s="1"/>
  <c r="C559" i="9"/>
  <c r="A559" i="9" s="1"/>
  <c r="C560" i="9"/>
  <c r="A560" i="9" s="1"/>
  <c r="C561" i="9"/>
  <c r="A561" i="9" s="1"/>
  <c r="C562" i="9"/>
  <c r="A562" i="9" s="1"/>
  <c r="C563" i="9"/>
  <c r="A563" i="9" s="1"/>
  <c r="C564" i="9"/>
  <c r="A564" i="9" s="1"/>
  <c r="C565" i="9"/>
  <c r="A565" i="9" s="1"/>
  <c r="C566" i="9"/>
  <c r="A566" i="9" s="1"/>
  <c r="C567" i="9"/>
  <c r="A567" i="9" s="1"/>
  <c r="C568" i="9"/>
  <c r="A568" i="9" s="1"/>
  <c r="C569" i="9"/>
  <c r="A569" i="9" s="1"/>
  <c r="C570" i="9"/>
  <c r="A570" i="9" s="1"/>
  <c r="C571" i="9"/>
  <c r="A571" i="9" s="1"/>
  <c r="C572" i="9"/>
  <c r="A572" i="9" s="1"/>
  <c r="C573" i="9"/>
  <c r="A573" i="9" s="1"/>
  <c r="C574" i="9"/>
  <c r="A574" i="9" s="1"/>
  <c r="C575" i="9"/>
  <c r="A575" i="9" s="1"/>
  <c r="C576" i="9"/>
  <c r="A576" i="9" s="1"/>
  <c r="C577" i="9"/>
  <c r="A577" i="9" s="1"/>
  <c r="C578" i="9"/>
  <c r="A578" i="9" s="1"/>
  <c r="C579" i="9"/>
  <c r="A579" i="9" s="1"/>
  <c r="C580" i="9"/>
  <c r="A580" i="9" s="1"/>
  <c r="C581" i="9"/>
  <c r="A581" i="9" s="1"/>
  <c r="C582" i="9"/>
  <c r="A582" i="9" s="1"/>
  <c r="C583" i="9"/>
  <c r="A583" i="9" s="1"/>
  <c r="C584" i="9"/>
  <c r="A584" i="9" s="1"/>
  <c r="C585" i="9"/>
  <c r="A585" i="9" s="1"/>
  <c r="C586" i="9"/>
  <c r="A586" i="9" s="1"/>
  <c r="C587" i="9"/>
  <c r="A587" i="9" s="1"/>
  <c r="C588" i="9"/>
  <c r="A588" i="9" s="1"/>
  <c r="C589" i="9"/>
  <c r="A589" i="9" s="1"/>
  <c r="C590" i="9"/>
  <c r="A590" i="9" s="1"/>
  <c r="C591" i="9"/>
  <c r="A591" i="9" s="1"/>
  <c r="C592" i="9"/>
  <c r="A592" i="9" s="1"/>
  <c r="C593" i="9"/>
  <c r="A593" i="9" s="1"/>
  <c r="C594" i="9"/>
  <c r="A594" i="9" s="1"/>
  <c r="C595" i="9"/>
  <c r="A595" i="9" s="1"/>
  <c r="C596" i="9"/>
  <c r="A596" i="9" s="1"/>
  <c r="C597" i="9"/>
  <c r="A597" i="9" s="1"/>
  <c r="C598" i="9"/>
  <c r="A598" i="9" s="1"/>
  <c r="C599" i="9"/>
  <c r="A599" i="9" s="1"/>
  <c r="C600" i="9"/>
  <c r="A600" i="9" s="1"/>
  <c r="C601" i="9"/>
  <c r="A601" i="9" s="1"/>
  <c r="C602" i="9"/>
  <c r="A602" i="9" s="1"/>
  <c r="C603" i="9"/>
  <c r="A603" i="9" s="1"/>
  <c r="C604" i="9"/>
  <c r="A604" i="9" s="1"/>
  <c r="C605" i="9"/>
  <c r="A605" i="9" s="1"/>
  <c r="C606" i="9"/>
  <c r="A606" i="9" s="1"/>
  <c r="C607" i="9"/>
  <c r="A607" i="9" s="1"/>
  <c r="C608" i="9"/>
  <c r="A608" i="9" s="1"/>
  <c r="C609" i="9"/>
  <c r="A609" i="9" s="1"/>
  <c r="C610" i="9"/>
  <c r="A610" i="9" s="1"/>
  <c r="C611" i="9"/>
  <c r="A611" i="9" s="1"/>
  <c r="C612" i="9"/>
  <c r="A612" i="9" s="1"/>
  <c r="C613" i="9"/>
  <c r="A613" i="9" s="1"/>
  <c r="C614" i="9"/>
  <c r="A614" i="9" s="1"/>
  <c r="C615" i="9"/>
  <c r="A615" i="9" s="1"/>
  <c r="C616" i="9"/>
  <c r="A616" i="9" s="1"/>
  <c r="C617" i="9"/>
  <c r="A617" i="9" s="1"/>
  <c r="C618" i="9"/>
  <c r="A618" i="9" s="1"/>
  <c r="C619" i="9"/>
  <c r="A619" i="9" s="1"/>
  <c r="C620" i="9"/>
  <c r="A620" i="9" s="1"/>
  <c r="C621" i="9"/>
  <c r="A621" i="9" s="1"/>
  <c r="C622" i="9"/>
  <c r="A622" i="9" s="1"/>
  <c r="C623" i="9"/>
  <c r="A623" i="9" s="1"/>
  <c r="C624" i="9"/>
  <c r="A624" i="9" s="1"/>
  <c r="C625" i="9"/>
  <c r="A625" i="9" s="1"/>
  <c r="C626" i="9"/>
  <c r="A626" i="9" s="1"/>
  <c r="C627" i="9"/>
  <c r="A627" i="9" s="1"/>
  <c r="C628" i="9"/>
  <c r="A628" i="9" s="1"/>
  <c r="C629" i="9"/>
  <c r="A629" i="9" s="1"/>
  <c r="C630" i="9"/>
  <c r="A630" i="9" s="1"/>
  <c r="C631" i="9"/>
  <c r="A631" i="9" s="1"/>
  <c r="C632" i="9"/>
  <c r="A632" i="9" s="1"/>
  <c r="C633" i="9"/>
  <c r="A633" i="9" s="1"/>
  <c r="C634" i="9"/>
  <c r="A634" i="9" s="1"/>
  <c r="C635" i="9"/>
  <c r="A635" i="9" s="1"/>
  <c r="C636" i="9"/>
  <c r="A636" i="9" s="1"/>
  <c r="C637" i="9"/>
  <c r="A637" i="9" s="1"/>
  <c r="C638" i="9"/>
  <c r="A638" i="9" s="1"/>
  <c r="C639" i="9"/>
  <c r="A639" i="9" s="1"/>
  <c r="C640" i="9"/>
  <c r="A640" i="9" s="1"/>
  <c r="C641" i="9"/>
  <c r="A641" i="9" s="1"/>
  <c r="C642" i="9"/>
  <c r="A642" i="9" s="1"/>
  <c r="C643" i="9"/>
  <c r="A643" i="9" s="1"/>
  <c r="C644" i="9"/>
  <c r="A644" i="9" s="1"/>
  <c r="C645" i="9"/>
  <c r="A645" i="9" s="1"/>
  <c r="C646" i="9"/>
  <c r="A646" i="9" s="1"/>
  <c r="C647" i="9"/>
  <c r="A647" i="9" s="1"/>
  <c r="C648" i="9"/>
  <c r="A648" i="9" s="1"/>
  <c r="C649" i="9"/>
  <c r="A649" i="9" s="1"/>
  <c r="C650" i="9"/>
  <c r="A650" i="9" s="1"/>
  <c r="C651" i="9"/>
  <c r="A651" i="9" s="1"/>
  <c r="C652" i="9"/>
  <c r="A652" i="9" s="1"/>
  <c r="C653" i="9"/>
  <c r="A653" i="9" s="1"/>
  <c r="C654" i="9"/>
  <c r="A654" i="9" s="1"/>
  <c r="C655" i="9"/>
  <c r="A655" i="9" s="1"/>
  <c r="C656" i="9"/>
  <c r="A656" i="9" s="1"/>
  <c r="C657" i="9"/>
  <c r="A657" i="9" s="1"/>
  <c r="C658" i="9"/>
  <c r="A658" i="9" s="1"/>
  <c r="C659" i="9"/>
  <c r="A659" i="9" s="1"/>
  <c r="C660" i="9"/>
  <c r="A660" i="9" s="1"/>
  <c r="C661" i="9"/>
  <c r="A661" i="9" s="1"/>
  <c r="C662" i="9"/>
  <c r="A662" i="9" s="1"/>
  <c r="C663" i="9"/>
  <c r="A663" i="9" s="1"/>
  <c r="C664" i="9"/>
  <c r="A664" i="9" s="1"/>
  <c r="C665" i="9"/>
  <c r="A665" i="9" s="1"/>
  <c r="C666" i="9"/>
  <c r="A666" i="9" s="1"/>
  <c r="C667" i="9"/>
  <c r="A667" i="9" s="1"/>
  <c r="C668" i="9"/>
  <c r="A668" i="9" s="1"/>
  <c r="C669" i="9"/>
  <c r="A669" i="9" s="1"/>
  <c r="C670" i="9"/>
  <c r="A670" i="9" s="1"/>
  <c r="C671" i="9"/>
  <c r="A671" i="9" s="1"/>
  <c r="C672" i="9"/>
  <c r="A672" i="9" s="1"/>
  <c r="C673" i="9"/>
  <c r="A673" i="9" s="1"/>
  <c r="C674" i="9"/>
  <c r="A674" i="9" s="1"/>
  <c r="C675" i="9"/>
  <c r="A675" i="9" s="1"/>
  <c r="C676" i="9"/>
  <c r="A676" i="9" s="1"/>
  <c r="C677" i="9"/>
  <c r="A677" i="9" s="1"/>
  <c r="C678" i="9"/>
  <c r="A678" i="9" s="1"/>
  <c r="C679" i="9"/>
  <c r="A679" i="9" s="1"/>
  <c r="C680" i="9"/>
  <c r="A680" i="9" s="1"/>
  <c r="C681" i="9"/>
  <c r="A681" i="9" s="1"/>
  <c r="C682" i="9"/>
  <c r="A682" i="9" s="1"/>
  <c r="C683" i="9"/>
  <c r="A683" i="9" s="1"/>
  <c r="C684" i="9"/>
  <c r="A684" i="9" s="1"/>
  <c r="C685" i="9"/>
  <c r="A685" i="9" s="1"/>
  <c r="C686" i="9"/>
  <c r="A686" i="9" s="1"/>
  <c r="C687" i="9"/>
  <c r="A687" i="9" s="1"/>
  <c r="C688" i="9"/>
  <c r="A688" i="9" s="1"/>
  <c r="C689" i="9"/>
  <c r="A689" i="9" s="1"/>
  <c r="C690" i="9"/>
  <c r="A690" i="9" s="1"/>
  <c r="C691" i="9"/>
  <c r="A691" i="9" s="1"/>
  <c r="C692" i="9"/>
  <c r="A692" i="9" s="1"/>
  <c r="C693" i="9"/>
  <c r="A693" i="9" s="1"/>
  <c r="C694" i="9"/>
  <c r="A694" i="9" s="1"/>
  <c r="C695" i="9"/>
  <c r="A695" i="9" s="1"/>
  <c r="C696" i="9"/>
  <c r="A696" i="9" s="1"/>
  <c r="C697" i="9"/>
  <c r="A697" i="9" s="1"/>
  <c r="C698" i="9"/>
  <c r="A698" i="9" s="1"/>
  <c r="C699" i="9"/>
  <c r="A699" i="9" s="1"/>
  <c r="C700" i="9"/>
  <c r="A700" i="9" s="1"/>
  <c r="C701" i="9"/>
  <c r="A701" i="9" s="1"/>
  <c r="C702" i="9"/>
  <c r="A702" i="9" s="1"/>
  <c r="C703" i="9"/>
  <c r="A703" i="9" s="1"/>
  <c r="C704" i="9"/>
  <c r="A704" i="9" s="1"/>
  <c r="C705" i="9"/>
  <c r="A705" i="9" s="1"/>
  <c r="C706" i="9"/>
  <c r="A706" i="9" s="1"/>
  <c r="C707" i="9"/>
  <c r="A707" i="9" s="1"/>
  <c r="C708" i="9"/>
  <c r="A708" i="9" s="1"/>
  <c r="C709" i="9"/>
  <c r="A709" i="9" s="1"/>
  <c r="C710" i="9"/>
  <c r="A710" i="9" s="1"/>
  <c r="C711" i="9"/>
  <c r="A711" i="9" s="1"/>
  <c r="C712" i="9"/>
  <c r="A712" i="9" s="1"/>
  <c r="C713" i="9"/>
  <c r="A713" i="9" s="1"/>
  <c r="C714" i="9"/>
  <c r="A714" i="9" s="1"/>
  <c r="C715" i="9"/>
  <c r="A715" i="9" s="1"/>
  <c r="C716" i="9"/>
  <c r="A716" i="9" s="1"/>
  <c r="C717" i="9"/>
  <c r="A717" i="9" s="1"/>
  <c r="C718" i="9"/>
  <c r="A718" i="9" s="1"/>
  <c r="C719" i="9"/>
  <c r="A719" i="9" s="1"/>
  <c r="C720" i="9"/>
  <c r="A720" i="9" s="1"/>
  <c r="C721" i="9"/>
  <c r="A721" i="9" s="1"/>
  <c r="C722" i="9"/>
  <c r="A722" i="9" s="1"/>
  <c r="C723" i="9"/>
  <c r="A723" i="9" s="1"/>
  <c r="C724" i="9"/>
  <c r="A724" i="9" s="1"/>
  <c r="C725" i="9"/>
  <c r="A725" i="9" s="1"/>
  <c r="C726" i="9"/>
  <c r="A726" i="9" s="1"/>
  <c r="C727" i="9"/>
  <c r="A727" i="9" s="1"/>
  <c r="C728" i="9"/>
  <c r="A728" i="9" s="1"/>
  <c r="C729" i="9"/>
  <c r="A729" i="9" s="1"/>
  <c r="C730" i="9"/>
  <c r="A730" i="9" s="1"/>
  <c r="C731" i="9"/>
  <c r="A731" i="9" s="1"/>
  <c r="C732" i="9"/>
  <c r="A732" i="9" s="1"/>
  <c r="C733" i="9"/>
  <c r="A733" i="9" s="1"/>
  <c r="C734" i="9"/>
  <c r="A734" i="9" s="1"/>
  <c r="C735" i="9"/>
  <c r="A735" i="9" s="1"/>
  <c r="C736" i="9"/>
  <c r="A736" i="9" s="1"/>
  <c r="C737" i="9"/>
  <c r="A737" i="9" s="1"/>
  <c r="C738" i="9"/>
  <c r="A738" i="9" s="1"/>
  <c r="C739" i="9"/>
  <c r="A739" i="9" s="1"/>
  <c r="C740" i="9"/>
  <c r="A740" i="9" s="1"/>
  <c r="C741" i="9"/>
  <c r="A741" i="9" s="1"/>
  <c r="C742" i="9"/>
  <c r="A742" i="9" s="1"/>
  <c r="C743" i="9"/>
  <c r="A743" i="9" s="1"/>
  <c r="C744" i="9"/>
  <c r="A744" i="9" s="1"/>
  <c r="C745" i="9"/>
  <c r="A745" i="9" s="1"/>
  <c r="C746" i="9"/>
  <c r="A746" i="9" s="1"/>
  <c r="C747" i="9"/>
  <c r="A747" i="9" s="1"/>
  <c r="C748" i="9"/>
  <c r="A748" i="9" s="1"/>
  <c r="C749" i="9"/>
  <c r="A749" i="9" s="1"/>
  <c r="C750" i="9"/>
  <c r="A750" i="9" s="1"/>
  <c r="C751" i="9"/>
  <c r="A751" i="9" s="1"/>
  <c r="C752" i="9"/>
  <c r="A752" i="9" s="1"/>
  <c r="C753" i="9"/>
  <c r="A753" i="9" s="1"/>
  <c r="C754" i="9"/>
  <c r="A754" i="9" s="1"/>
  <c r="C755" i="9"/>
  <c r="A755" i="9" s="1"/>
  <c r="C756" i="9"/>
  <c r="A756" i="9" s="1"/>
  <c r="C757" i="9"/>
  <c r="A757" i="9" s="1"/>
  <c r="C758" i="9"/>
  <c r="A758" i="9" s="1"/>
  <c r="C759" i="9"/>
  <c r="A759" i="9" s="1"/>
  <c r="C760" i="9"/>
  <c r="A760" i="9" s="1"/>
  <c r="C761" i="9"/>
  <c r="A761" i="9" s="1"/>
  <c r="C762" i="9"/>
  <c r="A762" i="9" s="1"/>
  <c r="C763" i="9"/>
  <c r="A763" i="9" s="1"/>
  <c r="C764" i="9"/>
  <c r="A764" i="9" s="1"/>
  <c r="C765" i="9"/>
  <c r="A765" i="9" s="1"/>
  <c r="C766" i="9"/>
  <c r="A766" i="9" s="1"/>
  <c r="C767" i="9"/>
  <c r="A767" i="9" s="1"/>
  <c r="C768" i="9"/>
  <c r="A768" i="9" s="1"/>
  <c r="C769" i="9"/>
  <c r="A769" i="9" s="1"/>
  <c r="C770" i="9"/>
  <c r="A770" i="9" s="1"/>
  <c r="C771" i="9"/>
  <c r="A771" i="9" s="1"/>
  <c r="C772" i="9"/>
  <c r="A772" i="9" s="1"/>
  <c r="C773" i="9"/>
  <c r="A773" i="9" s="1"/>
  <c r="C774" i="9"/>
  <c r="A774" i="9" s="1"/>
  <c r="C775" i="9"/>
  <c r="A775" i="9" s="1"/>
  <c r="C776" i="9"/>
  <c r="A776" i="9" s="1"/>
  <c r="C777" i="9"/>
  <c r="A777" i="9" s="1"/>
  <c r="C778" i="9"/>
  <c r="A778" i="9" s="1"/>
  <c r="C779" i="9"/>
  <c r="A779" i="9" s="1"/>
  <c r="C780" i="9"/>
  <c r="A780" i="9" s="1"/>
  <c r="C781" i="9"/>
  <c r="A781" i="9" s="1"/>
  <c r="C782" i="9"/>
  <c r="A782" i="9" s="1"/>
  <c r="C783" i="9"/>
  <c r="A783" i="9" s="1"/>
  <c r="C784" i="9"/>
  <c r="A784" i="9" s="1"/>
  <c r="C785" i="9"/>
  <c r="A785" i="9" s="1"/>
  <c r="C786" i="9"/>
  <c r="A786" i="9" s="1"/>
  <c r="C787" i="9"/>
  <c r="A787" i="9" s="1"/>
  <c r="C788" i="9"/>
  <c r="A788" i="9" s="1"/>
  <c r="C789" i="9"/>
  <c r="A789" i="9" s="1"/>
  <c r="C790" i="9"/>
  <c r="A790" i="9" s="1"/>
  <c r="C791" i="9"/>
  <c r="A791" i="9" s="1"/>
  <c r="C792" i="9"/>
  <c r="A792" i="9" s="1"/>
  <c r="C793" i="9"/>
  <c r="A793" i="9" s="1"/>
  <c r="C794" i="9"/>
  <c r="A794" i="9" s="1"/>
  <c r="C795" i="9"/>
  <c r="A795" i="9" s="1"/>
  <c r="C796" i="9"/>
  <c r="A796" i="9" s="1"/>
  <c r="C797" i="9"/>
  <c r="A797" i="9" s="1"/>
  <c r="C798" i="9"/>
  <c r="A798" i="9" s="1"/>
  <c r="C799" i="9"/>
  <c r="A799" i="9" s="1"/>
  <c r="C800" i="9"/>
  <c r="A800" i="9" s="1"/>
  <c r="C801" i="9"/>
  <c r="A801" i="9" s="1"/>
  <c r="C802" i="9"/>
  <c r="A802" i="9" s="1"/>
  <c r="C803" i="9"/>
  <c r="A803" i="9" s="1"/>
  <c r="C804" i="9"/>
  <c r="A804" i="9" s="1"/>
  <c r="C805" i="9"/>
  <c r="A805" i="9" s="1"/>
  <c r="C806" i="9"/>
  <c r="A806" i="9" s="1"/>
  <c r="C807" i="9"/>
  <c r="A807" i="9" s="1"/>
  <c r="C808" i="9"/>
  <c r="A808" i="9" s="1"/>
  <c r="C809" i="9"/>
  <c r="A809" i="9" s="1"/>
  <c r="C810" i="9"/>
  <c r="A810" i="9" s="1"/>
  <c r="C811" i="9"/>
  <c r="A811" i="9" s="1"/>
  <c r="C812" i="9"/>
  <c r="A812" i="9" s="1"/>
  <c r="C813" i="9"/>
  <c r="A813" i="9" s="1"/>
  <c r="C814" i="9"/>
  <c r="A814" i="9" s="1"/>
  <c r="C815" i="9"/>
  <c r="A815" i="9" s="1"/>
  <c r="C816" i="9"/>
  <c r="A816" i="9" s="1"/>
  <c r="C817" i="9"/>
  <c r="A817" i="9" s="1"/>
  <c r="C818" i="9"/>
  <c r="A818" i="9" s="1"/>
  <c r="C819" i="9"/>
  <c r="A819" i="9" s="1"/>
  <c r="C820" i="9"/>
  <c r="A820" i="9" s="1"/>
  <c r="C821" i="9"/>
  <c r="A821" i="9" s="1"/>
  <c r="C822" i="9"/>
  <c r="A822" i="9" s="1"/>
  <c r="C823" i="9"/>
  <c r="A823" i="9" s="1"/>
  <c r="C824" i="9"/>
  <c r="A824" i="9" s="1"/>
  <c r="C825" i="9"/>
  <c r="A825" i="9" s="1"/>
  <c r="C826" i="9"/>
  <c r="A826" i="9" s="1"/>
  <c r="C827" i="9"/>
  <c r="A827" i="9" s="1"/>
  <c r="C828" i="9"/>
  <c r="A828" i="9" s="1"/>
  <c r="C829" i="9"/>
  <c r="A829" i="9" s="1"/>
  <c r="C830" i="9"/>
  <c r="A830" i="9" s="1"/>
  <c r="C831" i="9"/>
  <c r="A831" i="9" s="1"/>
  <c r="C832" i="9"/>
  <c r="A832" i="9" s="1"/>
  <c r="C833" i="9"/>
  <c r="A833" i="9" s="1"/>
  <c r="C834" i="9"/>
  <c r="A834" i="9" s="1"/>
  <c r="C835" i="9"/>
  <c r="A835" i="9" s="1"/>
  <c r="C836" i="9"/>
  <c r="A836" i="9" s="1"/>
  <c r="C837" i="9"/>
  <c r="A837" i="9" s="1"/>
  <c r="C838" i="9"/>
  <c r="A838" i="9" s="1"/>
  <c r="C839" i="9"/>
  <c r="A839" i="9" s="1"/>
  <c r="C840" i="9"/>
  <c r="A840" i="9" s="1"/>
  <c r="C841" i="9"/>
  <c r="A841" i="9" s="1"/>
  <c r="C842" i="9"/>
  <c r="A842" i="9" s="1"/>
  <c r="C843" i="9"/>
  <c r="A843" i="9" s="1"/>
  <c r="C844" i="9"/>
  <c r="A844" i="9" s="1"/>
  <c r="C845" i="9"/>
  <c r="A845" i="9" s="1"/>
  <c r="C846" i="9"/>
  <c r="A846" i="9" s="1"/>
  <c r="C847" i="9"/>
  <c r="A847" i="9" s="1"/>
  <c r="C848" i="9"/>
  <c r="A848" i="9" s="1"/>
  <c r="C849" i="9"/>
  <c r="A849" i="9" s="1"/>
  <c r="C850" i="9"/>
  <c r="A850" i="9" s="1"/>
  <c r="C851" i="9"/>
  <c r="A851" i="9" s="1"/>
  <c r="C852" i="9"/>
  <c r="A852" i="9" s="1"/>
  <c r="C853" i="9"/>
  <c r="A853" i="9" s="1"/>
  <c r="C854" i="9"/>
  <c r="A854" i="9" s="1"/>
  <c r="C855" i="9"/>
  <c r="A855" i="9" s="1"/>
  <c r="C856" i="9"/>
  <c r="A856" i="9" s="1"/>
  <c r="C857" i="9"/>
  <c r="A857" i="9" s="1"/>
  <c r="C858" i="9"/>
  <c r="A858" i="9" s="1"/>
  <c r="C859" i="9"/>
  <c r="A859" i="9" s="1"/>
  <c r="C860" i="9"/>
  <c r="A860" i="9" s="1"/>
  <c r="C861" i="9"/>
  <c r="A861" i="9" s="1"/>
  <c r="C862" i="9"/>
  <c r="A862" i="9" s="1"/>
  <c r="C863" i="9"/>
  <c r="A863" i="9" s="1"/>
  <c r="C864" i="9"/>
  <c r="A864" i="9" s="1"/>
  <c r="C865" i="9"/>
  <c r="A865" i="9" s="1"/>
  <c r="C866" i="9"/>
  <c r="A866" i="9" s="1"/>
  <c r="C867" i="9"/>
  <c r="A867" i="9" s="1"/>
  <c r="C868" i="9"/>
  <c r="A868" i="9" s="1"/>
  <c r="C869" i="9"/>
  <c r="A869" i="9" s="1"/>
  <c r="C870" i="9"/>
  <c r="A870" i="9" s="1"/>
  <c r="C871" i="9"/>
  <c r="A871" i="9" s="1"/>
  <c r="C872" i="9"/>
  <c r="A872" i="9" s="1"/>
  <c r="C873" i="9"/>
  <c r="A873" i="9" s="1"/>
  <c r="C874" i="9"/>
  <c r="A874" i="9" s="1"/>
  <c r="C875" i="9"/>
  <c r="A875" i="9" s="1"/>
  <c r="C876" i="9"/>
  <c r="A876" i="9" s="1"/>
  <c r="C877" i="9"/>
  <c r="A877" i="9" s="1"/>
  <c r="C878" i="9"/>
  <c r="A878" i="9" s="1"/>
  <c r="C879" i="9"/>
  <c r="A879" i="9" s="1"/>
  <c r="C880" i="9"/>
  <c r="A880" i="9" s="1"/>
  <c r="C881" i="9"/>
  <c r="A881" i="9" s="1"/>
  <c r="C882" i="9"/>
  <c r="A882" i="9" s="1"/>
  <c r="C883" i="9"/>
  <c r="A883" i="9" s="1"/>
  <c r="C884" i="9"/>
  <c r="A884" i="9" s="1"/>
  <c r="C885" i="9"/>
  <c r="A885" i="9" s="1"/>
  <c r="C886" i="9"/>
  <c r="A886" i="9" s="1"/>
  <c r="C887" i="9"/>
  <c r="A887" i="9" s="1"/>
  <c r="C888" i="9"/>
  <c r="A888" i="9" s="1"/>
  <c r="C889" i="9"/>
  <c r="A889" i="9" s="1"/>
  <c r="C890" i="9"/>
  <c r="A890" i="9" s="1"/>
  <c r="C891" i="9"/>
  <c r="A891" i="9" s="1"/>
  <c r="C892" i="9"/>
  <c r="A892" i="9" s="1"/>
  <c r="C893" i="9"/>
  <c r="A893" i="9" s="1"/>
  <c r="C894" i="9"/>
  <c r="A894" i="9" s="1"/>
  <c r="C895" i="9"/>
  <c r="A895" i="9" s="1"/>
  <c r="C896" i="9"/>
  <c r="A896" i="9" s="1"/>
  <c r="C897" i="9"/>
  <c r="A897" i="9" s="1"/>
  <c r="C898" i="9"/>
  <c r="A898" i="9" s="1"/>
  <c r="C899" i="9"/>
  <c r="A899" i="9" s="1"/>
  <c r="C900" i="9"/>
  <c r="A900" i="9" s="1"/>
  <c r="C901" i="9"/>
  <c r="A901" i="9" s="1"/>
  <c r="C902" i="9"/>
  <c r="A902" i="9" s="1"/>
  <c r="C903" i="9"/>
  <c r="A903" i="9" s="1"/>
  <c r="C904" i="9"/>
  <c r="A904" i="9" s="1"/>
  <c r="C905" i="9"/>
  <c r="A905" i="9" s="1"/>
  <c r="C906" i="9"/>
  <c r="A906" i="9" s="1"/>
  <c r="C907" i="9"/>
  <c r="A907" i="9" s="1"/>
  <c r="C908" i="9"/>
  <c r="A908" i="9" s="1"/>
  <c r="C909" i="9"/>
  <c r="A909" i="9" s="1"/>
  <c r="C910" i="9"/>
  <c r="A910" i="9" s="1"/>
  <c r="C911" i="9"/>
  <c r="A911" i="9" s="1"/>
  <c r="C912" i="9"/>
  <c r="A912" i="9" s="1"/>
  <c r="C913" i="9"/>
  <c r="A913" i="9" s="1"/>
  <c r="C914" i="9"/>
  <c r="A914" i="9" s="1"/>
  <c r="C915" i="9"/>
  <c r="A915" i="9" s="1"/>
  <c r="C916" i="9"/>
  <c r="A916" i="9" s="1"/>
  <c r="C917" i="9"/>
  <c r="A917" i="9" s="1"/>
  <c r="C918" i="9"/>
  <c r="A918" i="9" s="1"/>
  <c r="C919" i="9"/>
  <c r="A919" i="9" s="1"/>
  <c r="C920" i="9"/>
  <c r="A920" i="9" s="1"/>
  <c r="C921" i="9"/>
  <c r="A921" i="9" s="1"/>
  <c r="C922" i="9"/>
  <c r="A922" i="9" s="1"/>
  <c r="C923" i="9"/>
  <c r="A923" i="9" s="1"/>
  <c r="C924" i="9"/>
  <c r="A924" i="9" s="1"/>
  <c r="C925" i="9"/>
  <c r="A925" i="9" s="1"/>
  <c r="C926" i="9"/>
  <c r="A926" i="9" s="1"/>
  <c r="C927" i="9"/>
  <c r="A927" i="9" s="1"/>
  <c r="C928" i="9"/>
  <c r="A928" i="9" s="1"/>
  <c r="C929" i="9"/>
  <c r="A929" i="9" s="1"/>
  <c r="C930" i="9"/>
  <c r="A930" i="9" s="1"/>
  <c r="C931" i="9"/>
  <c r="A931" i="9" s="1"/>
  <c r="C932" i="9"/>
  <c r="A932" i="9" s="1"/>
  <c r="C933" i="9"/>
  <c r="A933" i="9" s="1"/>
  <c r="C934" i="9"/>
  <c r="A934" i="9" s="1"/>
  <c r="C935" i="9"/>
  <c r="A935" i="9" s="1"/>
  <c r="C936" i="9"/>
  <c r="A936" i="9" s="1"/>
  <c r="C937" i="9"/>
  <c r="A937" i="9" s="1"/>
  <c r="C938" i="9"/>
  <c r="A938" i="9" s="1"/>
  <c r="C939" i="9"/>
  <c r="A939" i="9" s="1"/>
  <c r="C940" i="9"/>
  <c r="A940" i="9" s="1"/>
  <c r="C941" i="9"/>
  <c r="A941" i="9" s="1"/>
  <c r="C942" i="9"/>
  <c r="A942" i="9" s="1"/>
  <c r="C943" i="9"/>
  <c r="A943" i="9" s="1"/>
  <c r="C944" i="9"/>
  <c r="A944" i="9" s="1"/>
  <c r="C945" i="9"/>
  <c r="A945" i="9" s="1"/>
  <c r="C946" i="9"/>
  <c r="A946" i="9" s="1"/>
  <c r="C947" i="9"/>
  <c r="A947" i="9" s="1"/>
  <c r="C948" i="9"/>
  <c r="A948" i="9" s="1"/>
  <c r="C949" i="9"/>
  <c r="A949" i="9" s="1"/>
  <c r="C950" i="9"/>
  <c r="A950" i="9" s="1"/>
  <c r="C951" i="9"/>
  <c r="A951" i="9" s="1"/>
  <c r="C952" i="9"/>
  <c r="A952" i="9" s="1"/>
  <c r="C953" i="9"/>
  <c r="A953" i="9" s="1"/>
  <c r="C954" i="9"/>
  <c r="A954" i="9" s="1"/>
  <c r="C955" i="9"/>
  <c r="A955" i="9" s="1"/>
  <c r="C956" i="9"/>
  <c r="A956" i="9" s="1"/>
  <c r="C957" i="9"/>
  <c r="A957" i="9" s="1"/>
  <c r="C958" i="9"/>
  <c r="A958" i="9" s="1"/>
  <c r="C959" i="9"/>
  <c r="A959" i="9" s="1"/>
  <c r="C960" i="9"/>
  <c r="A960" i="9" s="1"/>
  <c r="C961" i="9"/>
  <c r="A961" i="9" s="1"/>
  <c r="C962" i="9"/>
  <c r="A962" i="9" s="1"/>
  <c r="C963" i="9"/>
  <c r="A963" i="9" s="1"/>
  <c r="C964" i="9"/>
  <c r="A964" i="9" s="1"/>
  <c r="C965" i="9"/>
  <c r="A965" i="9" s="1"/>
  <c r="C966" i="9"/>
  <c r="A966" i="9" s="1"/>
  <c r="C967" i="9"/>
  <c r="A967" i="9" s="1"/>
  <c r="C968" i="9"/>
  <c r="A968" i="9" s="1"/>
  <c r="C969" i="9"/>
  <c r="A969" i="9" s="1"/>
  <c r="C970" i="9"/>
  <c r="A970" i="9" s="1"/>
  <c r="C971" i="9"/>
  <c r="A971" i="9" s="1"/>
  <c r="C972" i="9"/>
  <c r="A972" i="9" s="1"/>
  <c r="C973" i="9"/>
  <c r="A973" i="9" s="1"/>
  <c r="C974" i="9"/>
  <c r="A974" i="9" s="1"/>
  <c r="C975" i="9"/>
  <c r="A975" i="9" s="1"/>
  <c r="C976" i="9"/>
  <c r="A976" i="9" s="1"/>
  <c r="C977" i="9"/>
  <c r="A977" i="9" s="1"/>
  <c r="C978" i="9"/>
  <c r="A978" i="9" s="1"/>
  <c r="C979" i="9"/>
  <c r="A979" i="9" s="1"/>
  <c r="C980" i="9"/>
  <c r="A980" i="9" s="1"/>
  <c r="C981" i="9"/>
  <c r="A981" i="9" s="1"/>
  <c r="C982" i="9"/>
  <c r="A982" i="9" s="1"/>
  <c r="C983" i="9"/>
  <c r="A983" i="9" s="1"/>
  <c r="C984" i="9"/>
  <c r="A984" i="9" s="1"/>
  <c r="C985" i="9"/>
  <c r="A985" i="9" s="1"/>
  <c r="C986" i="9"/>
  <c r="A986" i="9" s="1"/>
  <c r="C987" i="9"/>
  <c r="A987" i="9" s="1"/>
  <c r="C988" i="9"/>
  <c r="A988" i="9" s="1"/>
  <c r="C989" i="9"/>
  <c r="A989" i="9" s="1"/>
  <c r="C990" i="9"/>
  <c r="A990" i="9" s="1"/>
  <c r="C991" i="9"/>
  <c r="A991" i="9" s="1"/>
  <c r="C992" i="9"/>
  <c r="A992" i="9" s="1"/>
  <c r="C993" i="9"/>
  <c r="A993" i="9" s="1"/>
  <c r="C994" i="9"/>
  <c r="A994" i="9" s="1"/>
  <c r="C995" i="9"/>
  <c r="A995" i="9" s="1"/>
  <c r="C996" i="9"/>
  <c r="A996" i="9" s="1"/>
  <c r="C997" i="9"/>
  <c r="A997" i="9" s="1"/>
  <c r="C998" i="9"/>
  <c r="A998" i="9" s="1"/>
  <c r="C999" i="9"/>
  <c r="A999" i="9" s="1"/>
  <c r="C1000" i="9"/>
  <c r="A1000" i="9" s="1"/>
  <c r="C1001" i="9"/>
  <c r="A1001" i="9" s="1"/>
  <c r="C1002" i="9"/>
  <c r="A1002" i="9" s="1"/>
  <c r="C1003" i="9"/>
  <c r="A1003" i="9" s="1"/>
  <c r="C1004" i="9"/>
  <c r="A1004" i="9" s="1"/>
  <c r="C1005" i="9"/>
  <c r="A1005" i="9" s="1"/>
  <c r="C1006" i="9"/>
  <c r="A1006" i="9" s="1"/>
  <c r="C1007" i="9"/>
  <c r="A1007" i="9" s="1"/>
  <c r="C1008" i="9"/>
  <c r="A1008" i="9" s="1"/>
  <c r="C1009" i="9"/>
  <c r="A1009" i="9" s="1"/>
  <c r="C1010" i="9"/>
  <c r="A1010" i="9" s="1"/>
  <c r="C1011" i="9"/>
  <c r="A1011" i="9" s="1"/>
  <c r="C1012" i="9"/>
  <c r="A1012" i="9" s="1"/>
  <c r="C1013" i="9"/>
  <c r="A1013" i="9" s="1"/>
  <c r="C1014" i="9"/>
  <c r="A1014" i="9" s="1"/>
  <c r="C1015" i="9"/>
  <c r="A1015" i="9" s="1"/>
  <c r="C1016" i="9"/>
  <c r="A1016" i="9" s="1"/>
  <c r="C1017" i="9"/>
  <c r="A1017" i="9" s="1"/>
  <c r="C1018" i="9"/>
  <c r="A1018" i="9" s="1"/>
  <c r="C1019" i="9"/>
  <c r="A1019" i="9" s="1"/>
  <c r="C1020" i="9"/>
  <c r="A1020" i="9" s="1"/>
  <c r="C1021" i="9"/>
  <c r="A1021" i="9" s="1"/>
  <c r="C1022" i="9"/>
  <c r="A1022" i="9" s="1"/>
  <c r="C1023" i="9"/>
  <c r="A1023" i="9" s="1"/>
  <c r="C1024" i="9"/>
  <c r="A1024" i="9" s="1"/>
  <c r="C1025" i="9"/>
  <c r="A1025" i="9" s="1"/>
  <c r="C1026" i="9"/>
  <c r="A1026" i="9" s="1"/>
  <c r="C1027" i="9"/>
  <c r="A1027" i="9" s="1"/>
  <c r="C1028" i="9"/>
  <c r="A1028" i="9" s="1"/>
  <c r="C1029" i="9"/>
  <c r="A1029" i="9" s="1"/>
  <c r="C1030" i="9"/>
  <c r="A1030" i="9" s="1"/>
  <c r="C1031" i="9"/>
  <c r="A1031" i="9" s="1"/>
  <c r="C1032" i="9"/>
  <c r="A1032" i="9" s="1"/>
  <c r="C1033" i="9"/>
  <c r="A1033" i="9" s="1"/>
  <c r="C1034" i="9"/>
  <c r="A1034" i="9" s="1"/>
  <c r="C1035" i="9"/>
  <c r="A1035" i="9" s="1"/>
  <c r="C1036" i="9"/>
  <c r="A1036" i="9" s="1"/>
  <c r="C1037" i="9"/>
  <c r="A1037" i="9" s="1"/>
  <c r="C1038" i="9"/>
  <c r="A1038" i="9" s="1"/>
  <c r="C1039" i="9"/>
  <c r="A1039" i="9" s="1"/>
  <c r="C1040" i="9"/>
  <c r="A1040" i="9" s="1"/>
  <c r="C1041" i="9"/>
  <c r="A1041" i="9" s="1"/>
  <c r="C1042" i="9"/>
  <c r="A1042" i="9" s="1"/>
  <c r="C1043" i="9"/>
  <c r="A1043" i="9" s="1"/>
  <c r="C1044" i="9"/>
  <c r="A1044" i="9" s="1"/>
  <c r="C1045" i="9"/>
  <c r="A1045" i="9" s="1"/>
  <c r="C1046" i="9"/>
  <c r="A1046" i="9" s="1"/>
  <c r="C1047" i="9"/>
  <c r="A1047" i="9" s="1"/>
  <c r="C1048" i="9"/>
  <c r="A1048" i="9" s="1"/>
  <c r="C1049" i="9"/>
  <c r="A1049" i="9" s="1"/>
  <c r="C1050" i="9"/>
  <c r="A1050" i="9" s="1"/>
  <c r="C1051" i="9"/>
  <c r="A1051" i="9" s="1"/>
  <c r="C1052" i="9"/>
  <c r="A1052" i="9" s="1"/>
  <c r="C1053" i="9"/>
  <c r="A1053" i="9" s="1"/>
  <c r="C1054" i="9"/>
  <c r="A1054" i="9" s="1"/>
  <c r="C1055" i="9"/>
  <c r="A1055" i="9" s="1"/>
  <c r="C1056" i="9"/>
  <c r="A1056" i="9" s="1"/>
  <c r="C1057" i="9"/>
  <c r="A1057" i="9" s="1"/>
  <c r="C1058" i="9"/>
  <c r="A1058" i="9" s="1"/>
  <c r="C1059" i="9"/>
  <c r="A1059" i="9" s="1"/>
  <c r="C1060" i="9"/>
  <c r="A1060" i="9" s="1"/>
  <c r="C1061" i="9"/>
  <c r="A1061" i="9" s="1"/>
  <c r="C1062" i="9"/>
  <c r="A1062" i="9" s="1"/>
  <c r="C1063" i="9"/>
  <c r="A1063" i="9" s="1"/>
  <c r="C1064" i="9"/>
  <c r="A1064" i="9" s="1"/>
  <c r="C1065" i="9"/>
  <c r="A1065" i="9" s="1"/>
  <c r="C1066" i="9"/>
  <c r="A1066" i="9" s="1"/>
  <c r="C1067" i="9"/>
  <c r="A1067" i="9" s="1"/>
  <c r="C1068" i="9"/>
  <c r="A1068" i="9" s="1"/>
  <c r="C1069" i="9"/>
  <c r="A1069" i="9" s="1"/>
  <c r="C1070" i="9"/>
  <c r="A1070" i="9" s="1"/>
  <c r="C1071" i="9"/>
  <c r="A1071" i="9" s="1"/>
  <c r="C1072" i="9"/>
  <c r="A1072" i="9" s="1"/>
  <c r="C1073" i="9"/>
  <c r="A1073" i="9" s="1"/>
  <c r="C1074" i="9"/>
  <c r="A1074" i="9" s="1"/>
  <c r="C1075" i="9"/>
  <c r="A1075" i="9" s="1"/>
  <c r="C1076" i="9"/>
  <c r="A1076" i="9" s="1"/>
  <c r="C1077" i="9"/>
  <c r="A1077" i="9" s="1"/>
  <c r="C1078" i="9"/>
  <c r="A1078" i="9" s="1"/>
  <c r="C1079" i="9"/>
  <c r="A1079" i="9" s="1"/>
  <c r="C1080" i="9"/>
  <c r="A1080" i="9" s="1"/>
  <c r="C1081" i="9"/>
  <c r="A1081" i="9" s="1"/>
  <c r="C1082" i="9"/>
  <c r="A1082" i="9" s="1"/>
  <c r="C1083" i="9"/>
  <c r="A1083" i="9" s="1"/>
  <c r="C1084" i="9"/>
  <c r="A1084" i="9" s="1"/>
  <c r="C1085" i="9"/>
  <c r="A1085" i="9" s="1"/>
  <c r="C1086" i="9"/>
  <c r="A1086" i="9" s="1"/>
  <c r="C1087" i="9"/>
  <c r="A1087" i="9" s="1"/>
  <c r="C1088" i="9"/>
  <c r="A1088" i="9" s="1"/>
  <c r="C1089" i="9"/>
  <c r="A1089" i="9" s="1"/>
  <c r="C1090" i="9"/>
  <c r="A1090" i="9" s="1"/>
  <c r="C1091" i="9"/>
  <c r="A1091" i="9" s="1"/>
  <c r="C1092" i="9"/>
  <c r="A1092" i="9" s="1"/>
  <c r="C1093" i="9"/>
  <c r="A1093" i="9" s="1"/>
  <c r="C1094" i="9"/>
  <c r="A1094" i="9" s="1"/>
  <c r="C1095" i="9"/>
  <c r="A1095" i="9" s="1"/>
  <c r="C1096" i="9"/>
  <c r="A1096" i="9" s="1"/>
  <c r="C1097" i="9"/>
  <c r="A1097" i="9" s="1"/>
  <c r="C1098" i="9"/>
  <c r="A1098" i="9" s="1"/>
  <c r="C1099" i="9"/>
  <c r="A1099" i="9" s="1"/>
  <c r="C1100" i="9"/>
  <c r="A1100" i="9" s="1"/>
  <c r="C1101" i="9"/>
  <c r="A1101" i="9" s="1"/>
  <c r="C1102" i="9"/>
  <c r="A1102" i="9" s="1"/>
  <c r="C1103" i="9"/>
  <c r="A1103" i="9" s="1"/>
  <c r="C1104" i="9"/>
  <c r="A1104" i="9" s="1"/>
  <c r="C1105" i="9"/>
  <c r="A1105" i="9" s="1"/>
  <c r="C1106" i="9"/>
  <c r="A1106" i="9" s="1"/>
  <c r="C1107" i="9"/>
  <c r="A1107" i="9" s="1"/>
  <c r="C1108" i="9"/>
  <c r="A1108" i="9" s="1"/>
  <c r="C1109" i="9"/>
  <c r="A1109" i="9" s="1"/>
  <c r="C1110" i="9"/>
  <c r="A1110" i="9" s="1"/>
  <c r="C1111" i="9"/>
  <c r="A1111" i="9" s="1"/>
  <c r="C1112" i="9"/>
  <c r="A1112" i="9" s="1"/>
  <c r="C1113" i="9"/>
  <c r="A1113" i="9" s="1"/>
  <c r="C1114" i="9"/>
  <c r="A1114" i="9" s="1"/>
  <c r="C1115" i="9"/>
  <c r="A1115" i="9" s="1"/>
  <c r="C1116" i="9"/>
  <c r="A1116" i="9" s="1"/>
  <c r="C1117" i="9"/>
  <c r="A1117" i="9" s="1"/>
  <c r="C1118" i="9"/>
  <c r="A1118" i="9" s="1"/>
  <c r="C1119" i="9"/>
  <c r="A1119" i="9" s="1"/>
  <c r="C1120" i="9"/>
  <c r="A1120" i="9" s="1"/>
  <c r="C1121" i="9"/>
  <c r="A1121" i="9" s="1"/>
  <c r="C1122" i="9"/>
  <c r="A1122" i="9" s="1"/>
  <c r="C1123" i="9"/>
  <c r="A1123" i="9" s="1"/>
  <c r="C1124" i="9"/>
  <c r="A1124" i="9" s="1"/>
  <c r="C1125" i="9"/>
  <c r="A1125" i="9" s="1"/>
  <c r="C1126" i="9"/>
  <c r="A1126" i="9" s="1"/>
  <c r="C1127" i="9"/>
  <c r="A1127" i="9" s="1"/>
  <c r="C1128" i="9"/>
  <c r="A1128" i="9" s="1"/>
  <c r="C1129" i="9"/>
  <c r="A1129" i="9" s="1"/>
  <c r="C1130" i="9"/>
  <c r="A1130" i="9" s="1"/>
  <c r="C1131" i="9"/>
  <c r="A1131" i="9" s="1"/>
  <c r="C1132" i="9"/>
  <c r="A1132" i="9" s="1"/>
  <c r="C1133" i="9"/>
  <c r="A1133" i="9" s="1"/>
  <c r="C1134" i="9"/>
  <c r="A1134" i="9" s="1"/>
  <c r="C1135" i="9"/>
  <c r="A1135" i="9" s="1"/>
  <c r="C1136" i="9"/>
  <c r="A1136" i="9" s="1"/>
  <c r="C1137" i="9"/>
  <c r="A1137" i="9" s="1"/>
  <c r="C1138" i="9"/>
  <c r="A1138" i="9" s="1"/>
  <c r="C1139" i="9"/>
  <c r="A1139" i="9" s="1"/>
  <c r="C1140" i="9"/>
  <c r="A1140" i="9" s="1"/>
  <c r="C1141" i="9"/>
  <c r="A1141" i="9" s="1"/>
  <c r="C1142" i="9"/>
  <c r="A1142" i="9" s="1"/>
  <c r="C1143" i="9"/>
  <c r="A1143" i="9" s="1"/>
  <c r="C1144" i="9"/>
  <c r="A1144" i="9" s="1"/>
  <c r="C1145" i="9"/>
  <c r="A1145" i="9" s="1"/>
  <c r="C1146" i="9"/>
  <c r="A1146" i="9" s="1"/>
  <c r="C1147" i="9"/>
  <c r="A1147" i="9" s="1"/>
  <c r="C1148" i="9"/>
  <c r="A1148" i="9" s="1"/>
  <c r="C1149" i="9"/>
  <c r="A1149" i="9" s="1"/>
  <c r="C1150" i="9"/>
  <c r="A1150" i="9" s="1"/>
  <c r="C1151" i="9"/>
  <c r="A1151" i="9" s="1"/>
  <c r="C1152" i="9"/>
  <c r="A1152" i="9" s="1"/>
  <c r="C1153" i="9"/>
  <c r="A1153" i="9" s="1"/>
  <c r="C1154" i="9"/>
  <c r="A1154" i="9" s="1"/>
  <c r="C1155" i="9"/>
  <c r="A1155" i="9" s="1"/>
  <c r="C1156" i="9"/>
  <c r="A1156" i="9" s="1"/>
  <c r="C1157" i="9"/>
  <c r="A1157" i="9" s="1"/>
  <c r="C1158" i="9"/>
  <c r="A1158" i="9" s="1"/>
  <c r="C1159" i="9"/>
  <c r="A1159" i="9" s="1"/>
  <c r="C1160" i="9"/>
  <c r="A1160" i="9" s="1"/>
  <c r="C1161" i="9"/>
  <c r="A1161" i="9" s="1"/>
  <c r="C1162" i="9"/>
  <c r="A1162" i="9" s="1"/>
  <c r="C1163" i="9"/>
  <c r="A1163" i="9" s="1"/>
  <c r="C1164" i="9"/>
  <c r="A1164" i="9" s="1"/>
  <c r="C1165" i="9"/>
  <c r="A1165" i="9" s="1"/>
  <c r="C1166" i="9"/>
  <c r="A1166" i="9" s="1"/>
  <c r="C1167" i="9"/>
  <c r="A1167" i="9" s="1"/>
  <c r="C1168" i="9"/>
  <c r="A1168" i="9" s="1"/>
  <c r="C1169" i="9"/>
  <c r="A1169" i="9" s="1"/>
  <c r="C1170" i="9"/>
  <c r="A1170" i="9" s="1"/>
  <c r="C1171" i="9"/>
  <c r="A1171" i="9" s="1"/>
  <c r="C1172" i="9"/>
  <c r="A1172" i="9" s="1"/>
  <c r="C1173" i="9"/>
  <c r="A1173" i="9" s="1"/>
  <c r="C1174" i="9"/>
  <c r="A1174" i="9" s="1"/>
  <c r="C1175" i="9"/>
  <c r="A1175" i="9" s="1"/>
  <c r="C1176" i="9"/>
  <c r="A1176" i="9" s="1"/>
  <c r="C1177" i="9"/>
  <c r="A1177" i="9" s="1"/>
  <c r="C1178" i="9"/>
  <c r="A1178" i="9" s="1"/>
  <c r="C1179" i="9"/>
  <c r="A1179" i="9" s="1"/>
  <c r="C1180" i="9"/>
  <c r="A1180" i="9" s="1"/>
  <c r="C1181" i="9"/>
  <c r="A1181" i="9" s="1"/>
  <c r="C1182" i="9"/>
  <c r="A1182" i="9" s="1"/>
  <c r="C1183" i="9"/>
  <c r="A1183" i="9" s="1"/>
  <c r="C1184" i="9"/>
  <c r="A1184" i="9" s="1"/>
  <c r="C1185" i="9"/>
  <c r="A1185" i="9" s="1"/>
  <c r="C1186" i="9"/>
  <c r="A1186" i="9" s="1"/>
  <c r="C1187" i="9"/>
  <c r="A1187" i="9" s="1"/>
  <c r="C1188" i="9"/>
  <c r="A1188" i="9" s="1"/>
  <c r="C1189" i="9"/>
  <c r="A1189" i="9" s="1"/>
  <c r="C1190" i="9"/>
  <c r="A1190" i="9" s="1"/>
  <c r="C1191" i="9"/>
  <c r="A1191" i="9" s="1"/>
  <c r="C1192" i="9"/>
  <c r="A1192" i="9" s="1"/>
  <c r="C1193" i="9"/>
  <c r="A1193" i="9" s="1"/>
  <c r="C1194" i="9"/>
  <c r="A1194" i="9" s="1"/>
  <c r="C1195" i="9"/>
  <c r="A1195" i="9" s="1"/>
  <c r="C1196" i="9"/>
  <c r="A1196" i="9" s="1"/>
  <c r="C1197" i="9"/>
  <c r="A1197" i="9" s="1"/>
  <c r="C1198" i="9"/>
  <c r="A1198" i="9" s="1"/>
  <c r="C1199" i="9"/>
  <c r="A1199" i="9" s="1"/>
  <c r="C1200" i="9"/>
  <c r="A1200" i="9" s="1"/>
  <c r="C1201" i="9"/>
  <c r="A1201" i="9" s="1"/>
  <c r="C1202" i="9"/>
  <c r="A1202" i="9" s="1"/>
  <c r="C1203" i="9"/>
  <c r="A1203" i="9" s="1"/>
  <c r="C1204" i="9"/>
  <c r="A1204" i="9" s="1"/>
  <c r="C1205" i="9"/>
  <c r="A1205" i="9" s="1"/>
  <c r="C1206" i="9"/>
  <c r="A1206" i="9" s="1"/>
  <c r="C1207" i="9"/>
  <c r="A1207" i="9" s="1"/>
  <c r="C1208" i="9"/>
  <c r="A1208" i="9" s="1"/>
  <c r="C1209" i="9"/>
  <c r="A1209" i="9" s="1"/>
  <c r="C1210" i="9"/>
  <c r="A1210" i="9" s="1"/>
  <c r="C1211" i="9"/>
  <c r="A1211" i="9" s="1"/>
  <c r="C1212" i="9"/>
  <c r="A1212" i="9" s="1"/>
  <c r="C1213" i="9"/>
  <c r="A1213" i="9" s="1"/>
  <c r="C1214" i="9"/>
  <c r="A1214" i="9" s="1"/>
  <c r="C1215" i="9"/>
  <c r="A1215" i="9" s="1"/>
  <c r="C1216" i="9"/>
  <c r="A1216" i="9" s="1"/>
  <c r="C1217" i="9"/>
  <c r="A1217" i="9" s="1"/>
  <c r="C1218" i="9"/>
  <c r="A1218" i="9" s="1"/>
  <c r="C1219" i="9"/>
  <c r="A1219" i="9" s="1"/>
  <c r="C1220" i="9"/>
  <c r="A1220" i="9" s="1"/>
  <c r="C1221" i="9"/>
  <c r="A1221" i="9" s="1"/>
  <c r="C1222" i="9"/>
  <c r="A1222" i="9" s="1"/>
  <c r="C1223" i="9"/>
  <c r="A1223" i="9" s="1"/>
  <c r="C1224" i="9"/>
  <c r="A1224" i="9" s="1"/>
  <c r="C1225" i="9"/>
  <c r="A1225" i="9" s="1"/>
  <c r="C1226" i="9"/>
  <c r="A1226" i="9" s="1"/>
  <c r="C1227" i="9"/>
  <c r="A1227" i="9" s="1"/>
  <c r="C1228" i="9"/>
  <c r="A1228" i="9" s="1"/>
  <c r="C1229" i="9"/>
  <c r="A1229" i="9" s="1"/>
  <c r="C1230" i="9"/>
  <c r="A1230" i="9" s="1"/>
  <c r="C1231" i="9"/>
  <c r="A1231" i="9" s="1"/>
  <c r="C1232" i="9"/>
  <c r="A1232" i="9" s="1"/>
  <c r="C1233" i="9"/>
  <c r="A1233" i="9" s="1"/>
  <c r="C1234" i="9"/>
  <c r="A1234" i="9" s="1"/>
  <c r="C1235" i="9"/>
  <c r="A1235" i="9" s="1"/>
  <c r="C1236" i="9"/>
  <c r="A1236" i="9" s="1"/>
  <c r="C1237" i="9"/>
  <c r="A1237" i="9" s="1"/>
  <c r="C1238" i="9"/>
  <c r="A1238" i="9" s="1"/>
  <c r="C1239" i="9"/>
  <c r="A1239" i="9" s="1"/>
  <c r="C1240" i="9"/>
  <c r="A1240" i="9" s="1"/>
  <c r="C1241" i="9"/>
  <c r="A1241" i="9" s="1"/>
  <c r="C1242" i="9"/>
  <c r="A1242" i="9" s="1"/>
  <c r="C1243" i="9"/>
  <c r="A1243" i="9" s="1"/>
  <c r="C1244" i="9"/>
  <c r="A1244" i="9" s="1"/>
  <c r="C1245" i="9"/>
  <c r="A1245" i="9" s="1"/>
  <c r="C1246" i="9"/>
  <c r="A1246" i="9" s="1"/>
  <c r="C1247" i="9"/>
  <c r="A1247" i="9" s="1"/>
  <c r="C1248" i="9"/>
  <c r="A1248" i="9" s="1"/>
  <c r="C1249" i="9"/>
  <c r="A1249" i="9" s="1"/>
  <c r="C1250" i="9"/>
  <c r="A1250" i="9" s="1"/>
  <c r="C1251" i="9"/>
  <c r="A1251" i="9" s="1"/>
  <c r="C1252" i="9"/>
  <c r="A1252" i="9" s="1"/>
  <c r="C1253" i="9"/>
  <c r="A1253" i="9" s="1"/>
  <c r="C1254" i="9"/>
  <c r="A1254" i="9" s="1"/>
  <c r="C1255" i="9"/>
  <c r="A1255" i="9" s="1"/>
  <c r="C1256" i="9"/>
  <c r="A1256" i="9" s="1"/>
  <c r="C1257" i="9"/>
  <c r="A1257" i="9" s="1"/>
  <c r="C1258" i="9"/>
  <c r="A1258" i="9" s="1"/>
  <c r="C1259" i="9"/>
  <c r="A1259" i="9" s="1"/>
  <c r="C1260" i="9"/>
  <c r="A1260" i="9" s="1"/>
  <c r="C1261" i="9"/>
  <c r="A1261" i="9" s="1"/>
  <c r="C1262" i="9"/>
  <c r="A1262" i="9" s="1"/>
  <c r="C1263" i="9"/>
  <c r="A1263" i="9" s="1"/>
  <c r="C1264" i="9"/>
  <c r="A1264" i="9" s="1"/>
  <c r="C1265" i="9"/>
  <c r="A1265" i="9" s="1"/>
  <c r="C1266" i="9"/>
  <c r="A1266" i="9" s="1"/>
  <c r="C1267" i="9"/>
  <c r="A1267" i="9" s="1"/>
  <c r="C1268" i="9"/>
  <c r="A1268" i="9" s="1"/>
  <c r="C1269" i="9"/>
  <c r="A1269" i="9" s="1"/>
  <c r="C1270" i="9"/>
  <c r="A1270" i="9" s="1"/>
  <c r="C1271" i="9"/>
  <c r="A1271" i="9" s="1"/>
  <c r="C1272" i="9"/>
  <c r="A1272" i="9" s="1"/>
  <c r="C1273" i="9"/>
  <c r="A1273" i="9" s="1"/>
  <c r="C1274" i="9"/>
  <c r="A1274" i="9" s="1"/>
  <c r="C1275" i="9"/>
  <c r="A1275" i="9" s="1"/>
  <c r="C1276" i="9"/>
  <c r="A1276" i="9" s="1"/>
  <c r="C1277" i="9"/>
  <c r="A1277" i="9" s="1"/>
  <c r="C1278" i="9"/>
  <c r="A1278" i="9" s="1"/>
  <c r="C1279" i="9"/>
  <c r="A1279" i="9" s="1"/>
  <c r="C1280" i="9"/>
  <c r="A1280" i="9" s="1"/>
  <c r="C1281" i="9"/>
  <c r="A1281" i="9" s="1"/>
  <c r="C1282" i="9"/>
  <c r="A1282" i="9" s="1"/>
  <c r="C1283" i="9"/>
  <c r="A1283" i="9" s="1"/>
  <c r="C1284" i="9"/>
  <c r="A1284" i="9" s="1"/>
  <c r="C1285" i="9"/>
  <c r="A1285" i="9" s="1"/>
  <c r="C1286" i="9"/>
  <c r="A1286" i="9" s="1"/>
  <c r="C1287" i="9"/>
  <c r="A1287" i="9" s="1"/>
  <c r="C1288" i="9"/>
  <c r="A1288" i="9" s="1"/>
  <c r="C1289" i="9"/>
  <c r="A1289" i="9" s="1"/>
  <c r="C1290" i="9"/>
  <c r="A1290" i="9" s="1"/>
  <c r="C1291" i="9"/>
  <c r="A1291" i="9" s="1"/>
  <c r="C1292" i="9"/>
  <c r="A1292" i="9" s="1"/>
  <c r="C1293" i="9"/>
  <c r="A1293" i="9" s="1"/>
  <c r="C1294" i="9"/>
  <c r="A1294" i="9" s="1"/>
  <c r="C1295" i="9"/>
  <c r="A1295" i="9" s="1"/>
  <c r="C1296" i="9"/>
  <c r="A1296" i="9" s="1"/>
  <c r="C1297" i="9"/>
  <c r="A1297" i="9" s="1"/>
  <c r="C1298" i="9"/>
  <c r="A1298" i="9" s="1"/>
  <c r="C1299" i="9"/>
  <c r="A1299" i="9" s="1"/>
  <c r="C1300" i="9"/>
  <c r="A1300" i="9" s="1"/>
  <c r="C1301" i="9"/>
  <c r="A1301" i="9" s="1"/>
  <c r="C1302" i="9"/>
  <c r="A1302" i="9" s="1"/>
  <c r="C1303" i="9"/>
  <c r="A1303" i="9" s="1"/>
  <c r="C1304" i="9"/>
  <c r="A1304" i="9" s="1"/>
  <c r="C1305" i="9"/>
  <c r="A1305" i="9" s="1"/>
  <c r="C1306" i="9"/>
  <c r="A1306" i="9" s="1"/>
  <c r="C1307" i="9"/>
  <c r="A1307" i="9" s="1"/>
  <c r="C1308" i="9"/>
  <c r="A1308" i="9" s="1"/>
  <c r="C1309" i="9"/>
  <c r="A1309" i="9" s="1"/>
  <c r="C1310" i="9"/>
  <c r="A1310" i="9" s="1"/>
  <c r="C1311" i="9"/>
  <c r="A1311" i="9" s="1"/>
  <c r="C1312" i="9"/>
  <c r="A1312" i="9" s="1"/>
  <c r="C1313" i="9"/>
  <c r="A1313" i="9" s="1"/>
  <c r="C1314" i="9"/>
  <c r="A1314" i="9" s="1"/>
  <c r="C1315" i="9"/>
  <c r="A1315" i="9" s="1"/>
  <c r="C1316" i="9"/>
  <c r="A1316" i="9" s="1"/>
  <c r="C1317" i="9"/>
  <c r="A1317" i="9" s="1"/>
  <c r="C1318" i="9"/>
  <c r="A1318" i="9" s="1"/>
  <c r="C1319" i="9"/>
  <c r="A1319" i="9" s="1"/>
  <c r="C1320" i="9"/>
  <c r="A1320" i="9" s="1"/>
  <c r="C1321" i="9"/>
  <c r="A1321" i="9" s="1"/>
  <c r="C1322" i="9"/>
  <c r="A1322" i="9" s="1"/>
  <c r="C1323" i="9"/>
  <c r="A1323" i="9" s="1"/>
  <c r="C1324" i="9"/>
  <c r="A1324" i="9" s="1"/>
  <c r="C1325" i="9"/>
  <c r="A1325" i="9" s="1"/>
  <c r="C1326" i="9"/>
  <c r="A1326" i="9" s="1"/>
  <c r="C1327" i="9"/>
  <c r="A1327" i="9" s="1"/>
  <c r="C1328" i="9"/>
  <c r="A1328" i="9" s="1"/>
  <c r="C1329" i="9"/>
  <c r="A1329" i="9" s="1"/>
  <c r="C1330" i="9"/>
  <c r="A1330" i="9" s="1"/>
  <c r="C1331" i="9"/>
  <c r="A1331" i="9" s="1"/>
  <c r="C1332" i="9"/>
  <c r="A1332" i="9" s="1"/>
  <c r="C1333" i="9"/>
  <c r="A1333" i="9" s="1"/>
  <c r="C1334" i="9"/>
  <c r="A1334" i="9" s="1"/>
  <c r="C1335" i="9"/>
  <c r="A1335" i="9" s="1"/>
  <c r="C1336" i="9"/>
  <c r="A1336" i="9" s="1"/>
  <c r="C1337" i="9"/>
  <c r="A1337" i="9" s="1"/>
  <c r="C1338" i="9"/>
  <c r="A1338" i="9" s="1"/>
  <c r="C1339" i="9"/>
  <c r="A1339" i="9" s="1"/>
  <c r="C1340" i="9"/>
  <c r="A1340" i="9" s="1"/>
  <c r="C1341" i="9"/>
  <c r="A1341" i="9" s="1"/>
  <c r="C1342" i="9"/>
  <c r="A1342" i="9" s="1"/>
  <c r="C1343" i="9"/>
  <c r="A1343" i="9" s="1"/>
  <c r="C1344" i="9"/>
  <c r="A1344" i="9" s="1"/>
  <c r="C1345" i="9"/>
  <c r="A1345" i="9" s="1"/>
  <c r="C1346" i="9"/>
  <c r="A1346" i="9" s="1"/>
  <c r="C1347" i="9"/>
  <c r="A1347" i="9" s="1"/>
  <c r="C1348" i="9"/>
  <c r="A1348" i="9" s="1"/>
  <c r="C1349" i="9"/>
  <c r="A1349" i="9" s="1"/>
  <c r="C1350" i="9"/>
  <c r="A1350" i="9" s="1"/>
  <c r="C1351" i="9"/>
  <c r="A1351" i="9" s="1"/>
  <c r="C1352" i="9"/>
  <c r="A1352" i="9" s="1"/>
  <c r="C1353" i="9"/>
  <c r="A1353" i="9" s="1"/>
  <c r="C1354" i="9"/>
  <c r="A1354" i="9" s="1"/>
  <c r="C1355" i="9"/>
  <c r="A1355" i="9" s="1"/>
  <c r="C1356" i="9"/>
  <c r="A1356" i="9" s="1"/>
  <c r="C1357" i="9"/>
  <c r="A1357" i="9" s="1"/>
  <c r="C1358" i="9"/>
  <c r="A1358" i="9" s="1"/>
  <c r="C1359" i="9"/>
  <c r="A1359" i="9" s="1"/>
  <c r="C1360" i="9"/>
  <c r="A1360" i="9" s="1"/>
  <c r="C1361" i="9"/>
  <c r="A1361" i="9" s="1"/>
  <c r="C1362" i="9"/>
  <c r="A1362" i="9" s="1"/>
  <c r="C1363" i="9"/>
  <c r="A1363" i="9" s="1"/>
  <c r="C1364" i="9"/>
  <c r="A1364" i="9" s="1"/>
  <c r="C1365" i="9"/>
  <c r="A1365" i="9" s="1"/>
  <c r="C1366" i="9"/>
  <c r="A1366" i="9" s="1"/>
  <c r="C1367" i="9"/>
  <c r="A1367" i="9" s="1"/>
  <c r="C1368" i="9"/>
  <c r="A1368" i="9" s="1"/>
  <c r="C1369" i="9"/>
  <c r="A1369" i="9" s="1"/>
  <c r="C1370" i="9"/>
  <c r="A1370" i="9" s="1"/>
  <c r="C1371" i="9"/>
  <c r="A1371" i="9" s="1"/>
  <c r="C1372" i="9"/>
  <c r="A1372" i="9" s="1"/>
  <c r="C1373" i="9"/>
  <c r="A1373" i="9" s="1"/>
  <c r="C1374" i="9"/>
  <c r="A1374" i="9" s="1"/>
  <c r="C1375" i="9"/>
  <c r="A1375" i="9" s="1"/>
  <c r="C1376" i="9"/>
  <c r="A1376" i="9" s="1"/>
  <c r="C1377" i="9"/>
  <c r="A1377" i="9" s="1"/>
  <c r="C1378" i="9"/>
  <c r="A1378" i="9" s="1"/>
  <c r="C1379" i="9"/>
  <c r="A1379" i="9" s="1"/>
  <c r="C1380" i="9"/>
  <c r="A1380" i="9" s="1"/>
  <c r="C1381" i="9"/>
  <c r="A1381" i="9" s="1"/>
  <c r="C1382" i="9"/>
  <c r="A1382" i="9" s="1"/>
  <c r="C1383" i="9"/>
  <c r="A1383" i="9" s="1"/>
  <c r="C1384" i="9"/>
  <c r="A1384" i="9" s="1"/>
  <c r="C1385" i="9"/>
  <c r="A1385" i="9" s="1"/>
  <c r="C1386" i="9"/>
  <c r="A1386" i="9" s="1"/>
  <c r="C1387" i="9"/>
  <c r="A1387" i="9" s="1"/>
  <c r="C1388" i="9"/>
  <c r="A1388" i="9" s="1"/>
  <c r="C1389" i="9"/>
  <c r="A1389" i="9" s="1"/>
  <c r="C1390" i="9"/>
  <c r="A1390" i="9" s="1"/>
  <c r="C1391" i="9"/>
  <c r="A1391" i="9" s="1"/>
  <c r="C1392" i="9"/>
  <c r="A1392" i="9" s="1"/>
  <c r="C1393" i="9"/>
  <c r="A1393" i="9" s="1"/>
  <c r="C1394" i="9"/>
  <c r="A1394" i="9" s="1"/>
  <c r="C1395" i="9"/>
  <c r="A1395" i="9" s="1"/>
  <c r="C1396" i="9"/>
  <c r="A1396" i="9" s="1"/>
  <c r="C1397" i="9"/>
  <c r="A1397" i="9" s="1"/>
  <c r="C1398" i="9"/>
  <c r="A1398" i="9" s="1"/>
  <c r="C1399" i="9"/>
  <c r="A1399" i="9" s="1"/>
  <c r="C1400" i="9"/>
  <c r="A1400" i="9" s="1"/>
  <c r="C1401" i="9"/>
  <c r="A1401" i="9" s="1"/>
  <c r="C1402" i="9"/>
  <c r="A1402" i="9" s="1"/>
  <c r="C1403" i="9"/>
  <c r="A1403" i="9" s="1"/>
  <c r="C1404" i="9"/>
  <c r="A1404" i="9" s="1"/>
  <c r="C1405" i="9"/>
  <c r="A1405" i="9" s="1"/>
  <c r="C1406" i="9"/>
  <c r="A1406" i="9" s="1"/>
  <c r="C1407" i="9"/>
  <c r="A1407" i="9" s="1"/>
  <c r="C1408" i="9"/>
  <c r="A1408" i="9" s="1"/>
  <c r="C1409" i="9"/>
  <c r="A1409" i="9" s="1"/>
  <c r="C1410" i="9"/>
  <c r="A1410" i="9" s="1"/>
  <c r="C1411" i="9"/>
  <c r="A1411" i="9" s="1"/>
  <c r="C1412" i="9"/>
  <c r="A1412" i="9" s="1"/>
  <c r="C1413" i="9"/>
  <c r="A1413" i="9" s="1"/>
  <c r="C1414" i="9"/>
  <c r="A1414" i="9" s="1"/>
  <c r="C1415" i="9"/>
  <c r="A1415" i="9" s="1"/>
  <c r="C1416" i="9"/>
  <c r="A1416" i="9" s="1"/>
  <c r="C1417" i="9"/>
  <c r="A1417" i="9" s="1"/>
  <c r="C1418" i="9"/>
  <c r="A1418" i="9" s="1"/>
  <c r="C1419" i="9"/>
  <c r="A1419" i="9" s="1"/>
  <c r="C1420" i="9"/>
  <c r="A1420" i="9" s="1"/>
  <c r="C1421" i="9"/>
  <c r="A1421" i="9" s="1"/>
  <c r="C1422" i="9"/>
  <c r="A1422" i="9" s="1"/>
  <c r="C1423" i="9"/>
  <c r="A1423" i="9" s="1"/>
  <c r="C1424" i="9"/>
  <c r="A1424" i="9" s="1"/>
  <c r="C1425" i="9"/>
  <c r="A1425" i="9" s="1"/>
  <c r="C1426" i="9"/>
  <c r="A1426" i="9" s="1"/>
  <c r="C1427" i="9"/>
  <c r="A1427" i="9" s="1"/>
  <c r="C1428" i="9"/>
  <c r="A1428" i="9" s="1"/>
  <c r="C1429" i="9"/>
  <c r="A1429" i="9" s="1"/>
  <c r="C1430" i="9"/>
  <c r="A1430" i="9" s="1"/>
  <c r="C1431" i="9"/>
  <c r="A1431" i="9" s="1"/>
  <c r="C1432" i="9"/>
  <c r="A1432" i="9" s="1"/>
  <c r="C1433" i="9"/>
  <c r="A1433" i="9" s="1"/>
  <c r="C1434" i="9"/>
  <c r="A1434" i="9" s="1"/>
  <c r="C1435" i="9"/>
  <c r="A1435" i="9" s="1"/>
  <c r="C1436" i="9"/>
  <c r="A1436" i="9" s="1"/>
  <c r="C1437" i="9"/>
  <c r="A1437" i="9" s="1"/>
  <c r="C1438" i="9"/>
  <c r="A1438" i="9" s="1"/>
  <c r="C1439" i="9"/>
  <c r="A1439" i="9" s="1"/>
  <c r="C1440" i="9"/>
  <c r="A1440" i="9" s="1"/>
  <c r="C1441" i="9"/>
  <c r="A1441" i="9" s="1"/>
  <c r="C1442" i="9"/>
  <c r="A1442" i="9" s="1"/>
  <c r="C1443" i="9"/>
  <c r="A1443" i="9" s="1"/>
  <c r="C1444" i="9"/>
  <c r="A1444" i="9" s="1"/>
  <c r="C1445" i="9"/>
  <c r="A1445" i="9" s="1"/>
  <c r="C1446" i="9"/>
  <c r="A1446" i="9" s="1"/>
  <c r="C1447" i="9"/>
  <c r="A1447" i="9" s="1"/>
  <c r="C1448" i="9"/>
  <c r="A1448" i="9" s="1"/>
  <c r="C1449" i="9"/>
  <c r="A1449" i="9" s="1"/>
  <c r="C1450" i="9"/>
  <c r="A1450" i="9" s="1"/>
  <c r="C1451" i="9"/>
  <c r="A1451" i="9" s="1"/>
  <c r="C1452" i="9"/>
  <c r="A1452" i="9" s="1"/>
  <c r="C1453" i="9"/>
  <c r="A1453" i="9" s="1"/>
  <c r="C1454" i="9"/>
  <c r="A1454" i="9" s="1"/>
  <c r="C1455" i="9"/>
  <c r="A1455" i="9" s="1"/>
  <c r="C1456" i="9"/>
  <c r="A1456" i="9" s="1"/>
  <c r="C1457" i="9"/>
  <c r="A1457" i="9" s="1"/>
  <c r="C1458" i="9"/>
  <c r="A1458" i="9" s="1"/>
  <c r="C1459" i="9"/>
  <c r="A1459" i="9" s="1"/>
  <c r="C1460" i="9"/>
  <c r="A1460" i="9" s="1"/>
  <c r="C1461" i="9"/>
  <c r="A1461" i="9" s="1"/>
  <c r="C1462" i="9"/>
  <c r="A1462" i="9" s="1"/>
  <c r="C1463" i="9"/>
  <c r="A1463" i="9" s="1"/>
  <c r="C1464" i="9"/>
  <c r="A1464" i="9" s="1"/>
  <c r="C1465" i="9"/>
  <c r="A1465" i="9" s="1"/>
  <c r="C1466" i="9"/>
  <c r="A1466" i="9" s="1"/>
  <c r="C1467" i="9"/>
  <c r="A1467" i="9" s="1"/>
  <c r="C1468" i="9"/>
  <c r="A1468" i="9" s="1"/>
  <c r="C1469" i="9"/>
  <c r="A1469" i="9" s="1"/>
  <c r="C1470" i="9"/>
  <c r="A1470" i="9" s="1"/>
  <c r="C1471" i="9"/>
  <c r="A1471" i="9" s="1"/>
  <c r="C1472" i="9"/>
  <c r="A1472" i="9" s="1"/>
  <c r="C1473" i="9"/>
  <c r="A1473" i="9" s="1"/>
  <c r="C1474" i="9"/>
  <c r="A1474" i="9" s="1"/>
  <c r="C1475" i="9"/>
  <c r="A1475" i="9" s="1"/>
  <c r="C1476" i="9"/>
  <c r="A1476" i="9" s="1"/>
  <c r="C1477" i="9"/>
  <c r="A1477" i="9" s="1"/>
  <c r="C1478" i="9"/>
  <c r="A1478" i="9" s="1"/>
  <c r="C1479" i="9"/>
  <c r="A1479" i="9" s="1"/>
  <c r="C1480" i="9"/>
  <c r="A1480" i="9" s="1"/>
  <c r="C1481" i="9"/>
  <c r="A1481" i="9" s="1"/>
  <c r="C1482" i="9"/>
  <c r="A1482" i="9" s="1"/>
  <c r="C1483" i="9"/>
  <c r="A1483" i="9" s="1"/>
  <c r="C1484" i="9"/>
  <c r="A1484" i="9" s="1"/>
  <c r="C1485" i="9"/>
  <c r="A1485" i="9" s="1"/>
  <c r="C1486" i="9"/>
  <c r="A1486" i="9" s="1"/>
  <c r="C1487" i="9"/>
  <c r="A1487" i="9" s="1"/>
  <c r="C1488" i="9"/>
  <c r="A1488" i="9" s="1"/>
  <c r="C1489" i="9"/>
  <c r="A1489" i="9" s="1"/>
  <c r="C1490" i="9"/>
  <c r="A1490" i="9" s="1"/>
  <c r="C1491" i="9"/>
  <c r="A1491" i="9" s="1"/>
  <c r="C1492" i="9"/>
  <c r="A1492" i="9" s="1"/>
  <c r="C1493" i="9"/>
  <c r="A1493" i="9" s="1"/>
  <c r="C1494" i="9"/>
  <c r="A1494" i="9" s="1"/>
  <c r="C1495" i="9"/>
  <c r="A1495" i="9" s="1"/>
  <c r="C1496" i="9"/>
  <c r="A1496" i="9" s="1"/>
  <c r="C1497" i="9"/>
  <c r="A1497" i="9" s="1"/>
  <c r="C1498" i="9"/>
  <c r="A1498" i="9" s="1"/>
  <c r="C1499" i="9"/>
  <c r="A1499" i="9" s="1"/>
  <c r="C1500" i="9"/>
  <c r="A1500" i="9" s="1"/>
  <c r="C1501" i="9"/>
  <c r="A1501" i="9" s="1"/>
  <c r="C1502" i="9"/>
  <c r="A1502" i="9" s="1"/>
  <c r="C1503" i="9"/>
  <c r="A1503" i="9" s="1"/>
  <c r="C1504" i="9"/>
  <c r="A1504" i="9" s="1"/>
  <c r="C1505" i="9"/>
  <c r="A1505" i="9" s="1"/>
  <c r="C1506" i="9"/>
  <c r="A1506" i="9" s="1"/>
  <c r="C1507" i="9"/>
  <c r="A1507" i="9" s="1"/>
  <c r="C1508" i="9"/>
  <c r="A1508" i="9" s="1"/>
  <c r="C1509" i="9"/>
  <c r="A1509" i="9" s="1"/>
  <c r="C1510" i="9"/>
  <c r="A1510" i="9" s="1"/>
  <c r="C1511" i="9"/>
  <c r="A1511" i="9" s="1"/>
  <c r="C1512" i="9"/>
  <c r="A1512" i="9" s="1"/>
  <c r="C1513" i="9"/>
  <c r="A1513" i="9" s="1"/>
  <c r="C1514" i="9"/>
  <c r="A1514" i="9" s="1"/>
  <c r="C1515" i="9"/>
  <c r="A1515" i="9" s="1"/>
  <c r="C1516" i="9"/>
  <c r="A1516" i="9" s="1"/>
  <c r="C1517" i="9"/>
  <c r="A1517" i="9" s="1"/>
  <c r="C1518" i="9"/>
  <c r="A1518" i="9" s="1"/>
  <c r="C1519" i="9"/>
  <c r="A1519" i="9" s="1"/>
  <c r="C1520" i="9"/>
  <c r="A1520" i="9" s="1"/>
  <c r="C1521" i="9"/>
  <c r="A1521" i="9" s="1"/>
  <c r="C1522" i="9"/>
  <c r="A1522" i="9" s="1"/>
  <c r="C1523" i="9"/>
  <c r="A1523" i="9" s="1"/>
  <c r="C1524" i="9"/>
  <c r="A1524" i="9" s="1"/>
  <c r="C1525" i="9"/>
  <c r="A1525" i="9" s="1"/>
  <c r="C1526" i="9"/>
  <c r="A1526" i="9" s="1"/>
  <c r="C1527" i="9"/>
  <c r="A1527" i="9" s="1"/>
  <c r="C1528" i="9"/>
  <c r="A1528" i="9" s="1"/>
  <c r="C1529" i="9"/>
  <c r="A1529" i="9" s="1"/>
  <c r="C1530" i="9"/>
  <c r="A1530" i="9" s="1"/>
  <c r="C1531" i="9"/>
  <c r="A1531" i="9" s="1"/>
  <c r="C1532" i="9"/>
  <c r="A1532" i="9" s="1"/>
  <c r="C1533" i="9"/>
  <c r="A1533" i="9" s="1"/>
  <c r="C1534" i="9"/>
  <c r="A1534" i="9" s="1"/>
  <c r="C1535" i="9"/>
  <c r="A1535" i="9" s="1"/>
  <c r="C1536" i="9"/>
  <c r="A1536" i="9" s="1"/>
  <c r="C1537" i="9"/>
  <c r="A1537" i="9" s="1"/>
  <c r="C1538" i="9"/>
  <c r="A1538" i="9" s="1"/>
  <c r="C1539" i="9"/>
  <c r="A1539" i="9" s="1"/>
  <c r="C1540" i="9"/>
  <c r="A1540" i="9" s="1"/>
  <c r="C1541" i="9"/>
  <c r="A1541" i="9" s="1"/>
  <c r="C1542" i="9"/>
  <c r="A1542" i="9" s="1"/>
  <c r="C1543" i="9"/>
  <c r="A1543" i="9" s="1"/>
  <c r="C1544" i="9"/>
  <c r="A1544" i="9" s="1"/>
  <c r="C1545" i="9"/>
  <c r="A1545" i="9" s="1"/>
  <c r="C1546" i="9"/>
  <c r="A1546" i="9" s="1"/>
  <c r="C1547" i="9"/>
  <c r="A1547" i="9" s="1"/>
  <c r="C1548" i="9"/>
  <c r="A1548" i="9" s="1"/>
  <c r="C1549" i="9"/>
  <c r="A1549" i="9" s="1"/>
  <c r="C1550" i="9"/>
  <c r="A1550" i="9" s="1"/>
  <c r="C1551" i="9"/>
  <c r="A1551" i="9" s="1"/>
  <c r="C1552" i="9"/>
  <c r="A1552" i="9" s="1"/>
  <c r="C1553" i="9"/>
  <c r="A1553" i="9" s="1"/>
  <c r="C1554" i="9"/>
  <c r="A1554" i="9" s="1"/>
  <c r="C1555" i="9"/>
  <c r="A1555" i="9" s="1"/>
  <c r="C1556" i="9"/>
  <c r="A1556" i="9" s="1"/>
  <c r="C1557" i="9"/>
  <c r="A1557" i="9" s="1"/>
  <c r="C1558" i="9"/>
  <c r="A1558" i="9" s="1"/>
  <c r="C1559" i="9"/>
  <c r="A1559" i="9" s="1"/>
  <c r="C1560" i="9"/>
  <c r="A1560" i="9" s="1"/>
  <c r="C1561" i="9"/>
  <c r="A1561" i="9" s="1"/>
  <c r="C1562" i="9"/>
  <c r="A1562" i="9" s="1"/>
  <c r="C1563" i="9"/>
  <c r="A1563" i="9" s="1"/>
  <c r="C1564" i="9"/>
  <c r="A1564" i="9" s="1"/>
  <c r="C1565" i="9"/>
  <c r="A1565" i="9" s="1"/>
  <c r="C1566" i="9"/>
  <c r="A1566" i="9" s="1"/>
  <c r="C1567" i="9"/>
  <c r="A1567" i="9" s="1"/>
  <c r="C1568" i="9"/>
  <c r="A1568" i="9" s="1"/>
  <c r="C1569" i="9"/>
  <c r="A1569" i="9" s="1"/>
  <c r="C1570" i="9"/>
  <c r="A1570" i="9" s="1"/>
  <c r="C1571" i="9"/>
  <c r="A1571" i="9" s="1"/>
  <c r="C1572" i="9"/>
  <c r="A1572" i="9" s="1"/>
  <c r="C1573" i="9"/>
  <c r="A1573" i="9" s="1"/>
  <c r="C1574" i="9"/>
  <c r="A1574" i="9" s="1"/>
  <c r="C1575" i="9"/>
  <c r="A1575" i="9" s="1"/>
  <c r="C1576" i="9"/>
  <c r="A1576" i="9" s="1"/>
  <c r="C1577" i="9"/>
  <c r="A1577" i="9" s="1"/>
  <c r="C1578" i="9"/>
  <c r="A1578" i="9" s="1"/>
  <c r="C1579" i="9"/>
  <c r="A1579" i="9" s="1"/>
  <c r="C1580" i="9"/>
  <c r="A1580" i="9" s="1"/>
  <c r="C1581" i="9"/>
  <c r="A1581" i="9" s="1"/>
  <c r="C1582" i="9"/>
  <c r="A1582" i="9" s="1"/>
  <c r="C1583" i="9"/>
  <c r="A1583" i="9" s="1"/>
  <c r="C1584" i="9"/>
  <c r="A1584" i="9" s="1"/>
  <c r="C1585" i="9"/>
  <c r="A1585" i="9" s="1"/>
  <c r="C1586" i="9"/>
  <c r="A1586" i="9" s="1"/>
  <c r="C1587" i="9"/>
  <c r="A1587" i="9" s="1"/>
  <c r="C1588" i="9"/>
  <c r="A1588" i="9" s="1"/>
  <c r="C1589" i="9"/>
  <c r="A1589" i="9" s="1"/>
  <c r="C1590" i="9"/>
  <c r="A1590" i="9" s="1"/>
  <c r="C1591" i="9"/>
  <c r="A1591" i="9" s="1"/>
  <c r="C1592" i="9"/>
  <c r="A1592" i="9" s="1"/>
  <c r="C1593" i="9"/>
  <c r="A1593" i="9" s="1"/>
  <c r="C1594" i="9"/>
  <c r="A1594" i="9" s="1"/>
  <c r="C1595" i="9"/>
  <c r="A1595" i="9" s="1"/>
  <c r="C1596" i="9"/>
  <c r="A1596" i="9" s="1"/>
  <c r="C1597" i="9"/>
  <c r="A1597" i="9" s="1"/>
  <c r="C1598" i="9"/>
  <c r="A1598" i="9" s="1"/>
  <c r="C1599" i="9"/>
  <c r="A1599" i="9" s="1"/>
  <c r="C1600" i="9"/>
  <c r="A1600" i="9" s="1"/>
  <c r="C1601" i="9"/>
  <c r="A1601" i="9" s="1"/>
  <c r="C1602" i="9"/>
  <c r="A1602" i="9" s="1"/>
  <c r="C1603" i="9"/>
  <c r="A1603" i="9" s="1"/>
  <c r="C1604" i="9"/>
  <c r="A1604" i="9" s="1"/>
  <c r="C1605" i="9"/>
  <c r="A1605" i="9" s="1"/>
  <c r="C1606" i="9"/>
  <c r="A1606" i="9" s="1"/>
  <c r="C1607" i="9"/>
  <c r="A1607" i="9" s="1"/>
  <c r="C1608" i="9"/>
  <c r="A1608" i="9" s="1"/>
  <c r="C1609" i="9"/>
  <c r="A1609" i="9" s="1"/>
  <c r="C1610" i="9"/>
  <c r="A1610" i="9" s="1"/>
  <c r="C1611" i="9"/>
  <c r="A1611" i="9" s="1"/>
  <c r="C1612" i="9"/>
  <c r="A1612" i="9" s="1"/>
  <c r="C1613" i="9"/>
  <c r="A1613" i="9" s="1"/>
  <c r="C1614" i="9"/>
  <c r="A1614" i="9" s="1"/>
  <c r="C1615" i="9"/>
  <c r="A1615" i="9" s="1"/>
  <c r="C1616" i="9"/>
  <c r="A1616" i="9" s="1"/>
  <c r="C1617" i="9"/>
  <c r="A1617" i="9" s="1"/>
  <c r="C1618" i="9"/>
  <c r="A1618" i="9" s="1"/>
  <c r="C1619" i="9"/>
  <c r="A1619" i="9" s="1"/>
  <c r="C1620" i="9"/>
  <c r="A1620" i="9" s="1"/>
  <c r="C1621" i="9"/>
  <c r="A1621" i="9" s="1"/>
  <c r="C1622" i="9"/>
  <c r="A1622" i="9" s="1"/>
  <c r="C1623" i="9"/>
  <c r="A1623" i="9" s="1"/>
  <c r="C1624" i="9"/>
  <c r="A1624" i="9" s="1"/>
  <c r="C1625" i="9"/>
  <c r="A1625" i="9" s="1"/>
  <c r="C1626" i="9"/>
  <c r="A1626" i="9" s="1"/>
  <c r="C1627" i="9"/>
  <c r="A1627" i="9" s="1"/>
  <c r="C1628" i="9"/>
  <c r="A1628" i="9" s="1"/>
  <c r="C1629" i="9"/>
  <c r="A1629" i="9" s="1"/>
  <c r="C1630" i="9"/>
  <c r="A1630" i="9" s="1"/>
  <c r="C1631" i="9"/>
  <c r="A1631" i="9" s="1"/>
  <c r="C1632" i="9"/>
  <c r="A1632" i="9" s="1"/>
  <c r="C1633" i="9"/>
  <c r="A1633" i="9" s="1"/>
  <c r="C1634" i="9"/>
  <c r="A1634" i="9" s="1"/>
  <c r="C1635" i="9"/>
  <c r="A1635" i="9" s="1"/>
  <c r="C1636" i="9"/>
  <c r="A1636" i="9" s="1"/>
  <c r="C1637" i="9"/>
  <c r="A1637" i="9" s="1"/>
  <c r="C1638" i="9"/>
  <c r="A1638" i="9" s="1"/>
  <c r="C1639" i="9"/>
  <c r="A1639" i="9" s="1"/>
  <c r="C1640" i="9"/>
  <c r="A1640" i="9" s="1"/>
  <c r="C1641" i="9"/>
  <c r="A1641" i="9" s="1"/>
  <c r="C1642" i="9"/>
  <c r="A1642" i="9" s="1"/>
  <c r="C1643" i="9"/>
  <c r="A1643" i="9" s="1"/>
  <c r="C1644" i="9"/>
  <c r="A1644" i="9" s="1"/>
  <c r="C1645" i="9"/>
  <c r="A1645" i="9" s="1"/>
  <c r="C1646" i="9"/>
  <c r="A1646" i="9" s="1"/>
  <c r="C1647" i="9"/>
  <c r="A1647" i="9" s="1"/>
  <c r="C1648" i="9"/>
  <c r="A1648" i="9" s="1"/>
  <c r="C1649" i="9"/>
  <c r="A1649" i="9" s="1"/>
  <c r="C1650" i="9"/>
  <c r="A1650" i="9" s="1"/>
  <c r="C1651" i="9"/>
  <c r="A1651" i="9" s="1"/>
  <c r="C1652" i="9"/>
  <c r="A1652" i="9" s="1"/>
  <c r="C1653" i="9"/>
  <c r="A1653" i="9" s="1"/>
  <c r="C1654" i="9"/>
  <c r="A1654" i="9" s="1"/>
  <c r="C1655" i="9"/>
  <c r="A1655" i="9" s="1"/>
  <c r="C1656" i="9"/>
  <c r="A1656" i="9" s="1"/>
  <c r="C1657" i="9"/>
  <c r="A1657" i="9" s="1"/>
  <c r="C1658" i="9"/>
  <c r="A1658" i="9" s="1"/>
  <c r="C1659" i="9"/>
  <c r="A1659" i="9" s="1"/>
  <c r="C1660" i="9"/>
  <c r="A1660" i="9" s="1"/>
  <c r="C1661" i="9"/>
  <c r="A1661" i="9" s="1"/>
  <c r="C1662" i="9"/>
  <c r="A1662" i="9" s="1"/>
  <c r="C1663" i="9"/>
  <c r="A1663" i="9" s="1"/>
  <c r="C1664" i="9"/>
  <c r="A1664" i="9" s="1"/>
  <c r="C1665" i="9"/>
  <c r="A1665" i="9" s="1"/>
  <c r="C1666" i="9"/>
  <c r="A1666" i="9" s="1"/>
  <c r="C1667" i="9"/>
  <c r="A1667" i="9" s="1"/>
  <c r="C1668" i="9"/>
  <c r="A1668" i="9" s="1"/>
  <c r="C1669" i="9"/>
  <c r="A1669" i="9" s="1"/>
  <c r="C1670" i="9"/>
  <c r="A1670" i="9" s="1"/>
  <c r="C1671" i="9"/>
  <c r="A1671" i="9" s="1"/>
  <c r="C1672" i="9"/>
  <c r="A1672" i="9" s="1"/>
  <c r="C1673" i="9"/>
  <c r="A1673" i="9" s="1"/>
  <c r="C1674" i="9"/>
  <c r="A1674" i="9" s="1"/>
  <c r="C1675" i="9"/>
  <c r="A1675" i="9" s="1"/>
  <c r="C1676" i="9"/>
  <c r="A1676" i="9" s="1"/>
  <c r="C1677" i="9"/>
  <c r="A1677" i="9" s="1"/>
  <c r="C1678" i="9"/>
  <c r="A1678" i="9" s="1"/>
  <c r="C1679" i="9"/>
  <c r="A1679" i="9" s="1"/>
  <c r="C1680" i="9"/>
  <c r="A1680" i="9" s="1"/>
  <c r="C1681" i="9"/>
  <c r="A1681" i="9" s="1"/>
  <c r="C1682" i="9"/>
  <c r="A1682" i="9" s="1"/>
  <c r="C1683" i="9"/>
  <c r="A1683" i="9" s="1"/>
  <c r="C1684" i="9"/>
  <c r="A1684" i="9" s="1"/>
  <c r="C1685" i="9"/>
  <c r="A1685" i="9" s="1"/>
  <c r="C1686" i="9"/>
  <c r="A1686" i="9" s="1"/>
  <c r="C1687" i="9"/>
  <c r="A1687" i="9" s="1"/>
  <c r="C1688" i="9"/>
  <c r="A1688" i="9" s="1"/>
  <c r="C1689" i="9"/>
  <c r="A1689" i="9" s="1"/>
  <c r="C1690" i="9"/>
  <c r="A1690" i="9" s="1"/>
  <c r="C1691" i="9"/>
  <c r="A1691" i="9" s="1"/>
  <c r="C1692" i="9"/>
  <c r="A1692" i="9" s="1"/>
  <c r="C1693" i="9"/>
  <c r="A1693" i="9" s="1"/>
  <c r="C1694" i="9"/>
  <c r="A1694" i="9" s="1"/>
  <c r="C1695" i="9"/>
  <c r="A1695" i="9" s="1"/>
  <c r="C1696" i="9"/>
  <c r="A1696" i="9" s="1"/>
  <c r="C1697" i="9"/>
  <c r="A1697" i="9" s="1"/>
  <c r="C1698" i="9"/>
  <c r="A1698" i="9" s="1"/>
  <c r="C1699" i="9"/>
  <c r="A1699" i="9" s="1"/>
  <c r="C1700" i="9"/>
  <c r="A1700" i="9" s="1"/>
  <c r="C1701" i="9"/>
  <c r="A1701" i="9" s="1"/>
  <c r="C1702" i="9"/>
  <c r="A1702" i="9" s="1"/>
  <c r="C1703" i="9"/>
  <c r="A1703" i="9" s="1"/>
  <c r="C1704" i="9"/>
  <c r="A1704" i="9" s="1"/>
  <c r="C1705" i="9"/>
  <c r="A1705" i="9" s="1"/>
  <c r="C1706" i="9"/>
  <c r="A1706" i="9" s="1"/>
  <c r="C1707" i="9"/>
  <c r="A1707" i="9" s="1"/>
  <c r="C1708" i="9"/>
  <c r="A1708" i="9" s="1"/>
  <c r="C1709" i="9"/>
  <c r="A1709" i="9" s="1"/>
  <c r="C1710" i="9"/>
  <c r="A1710" i="9" s="1"/>
  <c r="C1711" i="9"/>
  <c r="A1711" i="9" s="1"/>
  <c r="C1712" i="9"/>
  <c r="A1712" i="9" s="1"/>
  <c r="C1713" i="9"/>
  <c r="A1713" i="9" s="1"/>
  <c r="C1714" i="9"/>
  <c r="A1714" i="9" s="1"/>
  <c r="C1715" i="9"/>
  <c r="A1715" i="9" s="1"/>
  <c r="C1716" i="9"/>
  <c r="A1716" i="9" s="1"/>
  <c r="C1717" i="9"/>
  <c r="A1717" i="9" s="1"/>
  <c r="C1718" i="9"/>
  <c r="A1718" i="9" s="1"/>
  <c r="C1719" i="9"/>
  <c r="A1719" i="9" s="1"/>
  <c r="C1720" i="9"/>
  <c r="A1720" i="9" s="1"/>
  <c r="C1721" i="9"/>
  <c r="A1721" i="9" s="1"/>
  <c r="C1722" i="9"/>
  <c r="A1722" i="9" s="1"/>
  <c r="C1723" i="9"/>
  <c r="A1723" i="9" s="1"/>
  <c r="C1724" i="9"/>
  <c r="A1724" i="9" s="1"/>
  <c r="C1725" i="9"/>
  <c r="A1725" i="9" s="1"/>
  <c r="C1726" i="9"/>
  <c r="A1726" i="9" s="1"/>
  <c r="C1727" i="9"/>
  <c r="A1727" i="9" s="1"/>
  <c r="C1728" i="9"/>
  <c r="A1728" i="9" s="1"/>
  <c r="C1729" i="9"/>
  <c r="A1729" i="9" s="1"/>
  <c r="C1730" i="9"/>
  <c r="A1730" i="9" s="1"/>
  <c r="C1731" i="9"/>
  <c r="A1731" i="9" s="1"/>
  <c r="C1732" i="9"/>
  <c r="A1732" i="9" s="1"/>
  <c r="C1733" i="9"/>
  <c r="A1733" i="9" s="1"/>
  <c r="C1734" i="9"/>
  <c r="A1734" i="9" s="1"/>
  <c r="C1735" i="9"/>
  <c r="A1735" i="9" s="1"/>
  <c r="C1736" i="9"/>
  <c r="A1736" i="9" s="1"/>
  <c r="C1737" i="9"/>
  <c r="A1737" i="9" s="1"/>
  <c r="C1738" i="9"/>
  <c r="A1738" i="9" s="1"/>
  <c r="C1739" i="9"/>
  <c r="A1739" i="9" s="1"/>
  <c r="C1740" i="9"/>
  <c r="A1740" i="9" s="1"/>
  <c r="C1741" i="9"/>
  <c r="A1741" i="9" s="1"/>
  <c r="C1742" i="9"/>
  <c r="A1742" i="9" s="1"/>
  <c r="C1743" i="9"/>
  <c r="A1743" i="9" s="1"/>
  <c r="C1744" i="9"/>
  <c r="A1744" i="9" s="1"/>
  <c r="C1745" i="9"/>
  <c r="A1745" i="9" s="1"/>
  <c r="C1746" i="9"/>
  <c r="A1746" i="9" s="1"/>
  <c r="C1747" i="9"/>
  <c r="A1747" i="9" s="1"/>
  <c r="C1748" i="9"/>
  <c r="A1748" i="9" s="1"/>
  <c r="C1749" i="9"/>
  <c r="A1749" i="9" s="1"/>
  <c r="C1750" i="9"/>
  <c r="A1750" i="9" s="1"/>
  <c r="C1751" i="9"/>
  <c r="A1751" i="9" s="1"/>
  <c r="C1752" i="9"/>
  <c r="A1752" i="9" s="1"/>
  <c r="C1753" i="9"/>
  <c r="A1753" i="9" s="1"/>
  <c r="C1754" i="9"/>
  <c r="A1754" i="9" s="1"/>
  <c r="C1755" i="9"/>
  <c r="A1755" i="9" s="1"/>
  <c r="C1756" i="9"/>
  <c r="A1756" i="9" s="1"/>
  <c r="C1757" i="9"/>
  <c r="A1757" i="9" s="1"/>
  <c r="C1758" i="9"/>
  <c r="A1758" i="9" s="1"/>
  <c r="C1759" i="9"/>
  <c r="A1759" i="9" s="1"/>
  <c r="C1760" i="9"/>
  <c r="A1760" i="9" s="1"/>
  <c r="C1761" i="9"/>
  <c r="A1761" i="9" s="1"/>
  <c r="C1762" i="9"/>
  <c r="A1762" i="9" s="1"/>
  <c r="C1763" i="9"/>
  <c r="A1763" i="9" s="1"/>
  <c r="C1764" i="9"/>
  <c r="A1764" i="9" s="1"/>
  <c r="C1765" i="9"/>
  <c r="A1765" i="9" s="1"/>
  <c r="C1766" i="9"/>
  <c r="A1766" i="9" s="1"/>
  <c r="C1767" i="9"/>
  <c r="A1767" i="9" s="1"/>
  <c r="C1768" i="9"/>
  <c r="A1768" i="9" s="1"/>
  <c r="C1769" i="9"/>
  <c r="A1769" i="9" s="1"/>
  <c r="C1770" i="9"/>
  <c r="A1770" i="9" s="1"/>
  <c r="C1771" i="9"/>
  <c r="A1771" i="9" s="1"/>
  <c r="C1772" i="9"/>
  <c r="A1772" i="9" s="1"/>
  <c r="C1773" i="9"/>
  <c r="A1773" i="9" s="1"/>
  <c r="C1774" i="9"/>
  <c r="A1774" i="9" s="1"/>
  <c r="C1775" i="9"/>
  <c r="A1775" i="9" s="1"/>
  <c r="C1776" i="9"/>
  <c r="A1776" i="9" s="1"/>
  <c r="C1777" i="9"/>
  <c r="A1777" i="9" s="1"/>
  <c r="C1778" i="9"/>
  <c r="A1778" i="9" s="1"/>
  <c r="C1779" i="9"/>
  <c r="A1779" i="9" s="1"/>
  <c r="C1780" i="9"/>
  <c r="A1780" i="9" s="1"/>
  <c r="C1781" i="9"/>
  <c r="A1781" i="9" s="1"/>
  <c r="C1782" i="9"/>
  <c r="A1782" i="9" s="1"/>
  <c r="C1783" i="9"/>
  <c r="A1783" i="9" s="1"/>
  <c r="C1784" i="9"/>
  <c r="A1784" i="9" s="1"/>
  <c r="C1785" i="9"/>
  <c r="A1785" i="9" s="1"/>
  <c r="C1786" i="9"/>
  <c r="A1786" i="9" s="1"/>
  <c r="C1787" i="9"/>
  <c r="A1787" i="9" s="1"/>
  <c r="C1788" i="9"/>
  <c r="A1788" i="9" s="1"/>
  <c r="C1789" i="9"/>
  <c r="A1789" i="9" s="1"/>
  <c r="C1790" i="9"/>
  <c r="A1790" i="9" s="1"/>
  <c r="C1791" i="9"/>
  <c r="A1791" i="9" s="1"/>
  <c r="C1792" i="9"/>
  <c r="A1792" i="9" s="1"/>
  <c r="C1793" i="9"/>
  <c r="A1793" i="9" s="1"/>
  <c r="C1794" i="9"/>
  <c r="A1794" i="9" s="1"/>
  <c r="C1795" i="9"/>
  <c r="A1795" i="9" s="1"/>
  <c r="C1796" i="9"/>
  <c r="A1796" i="9" s="1"/>
  <c r="C1797" i="9"/>
  <c r="A1797" i="9" s="1"/>
  <c r="C1798" i="9"/>
  <c r="A1798" i="9" s="1"/>
  <c r="C1799" i="9"/>
  <c r="A1799" i="9" s="1"/>
  <c r="C1800" i="9"/>
  <c r="A1800" i="9" s="1"/>
  <c r="C1801" i="9"/>
  <c r="A1801" i="9" s="1"/>
  <c r="C1802" i="9"/>
  <c r="A1802" i="9" s="1"/>
  <c r="C1803" i="9"/>
  <c r="A1803" i="9" s="1"/>
  <c r="C1804" i="9"/>
  <c r="A1804" i="9" s="1"/>
  <c r="C1805" i="9"/>
  <c r="A1805" i="9" s="1"/>
  <c r="C1806" i="9"/>
  <c r="A1806" i="9" s="1"/>
  <c r="C1807" i="9"/>
  <c r="A1807" i="9" s="1"/>
  <c r="C1808" i="9"/>
  <c r="A1808" i="9" s="1"/>
  <c r="C1809" i="9"/>
  <c r="A1809" i="9" s="1"/>
  <c r="C1810" i="9"/>
  <c r="A1810" i="9" s="1"/>
  <c r="C1811" i="9"/>
  <c r="A1811" i="9" s="1"/>
  <c r="C1812" i="9"/>
  <c r="A1812" i="9" s="1"/>
  <c r="C1813" i="9"/>
  <c r="A1813" i="9" s="1"/>
  <c r="C1814" i="9"/>
  <c r="A1814" i="9" s="1"/>
  <c r="C1815" i="9"/>
  <c r="A1815" i="9" s="1"/>
  <c r="C1816" i="9"/>
  <c r="A1816" i="9" s="1"/>
  <c r="C1817" i="9"/>
  <c r="A1817" i="9" s="1"/>
  <c r="C1818" i="9"/>
  <c r="A1818" i="9" s="1"/>
  <c r="C1819" i="9"/>
  <c r="A1819" i="9" s="1"/>
  <c r="C1820" i="9"/>
  <c r="A1820" i="9" s="1"/>
  <c r="C1821" i="9"/>
  <c r="A1821" i="9" s="1"/>
  <c r="C1822" i="9"/>
  <c r="A1822" i="9" s="1"/>
  <c r="C1823" i="9"/>
  <c r="A1823" i="9" s="1"/>
  <c r="C1824" i="9"/>
  <c r="A1824" i="9" s="1"/>
  <c r="C1825" i="9"/>
  <c r="A1825" i="9" s="1"/>
  <c r="C1826" i="9"/>
  <c r="A1826" i="9" s="1"/>
  <c r="C1827" i="9"/>
  <c r="A1827" i="9" s="1"/>
  <c r="C1828" i="9"/>
  <c r="A1828" i="9" s="1"/>
  <c r="C1829" i="9"/>
  <c r="A1829" i="9" s="1"/>
  <c r="C1830" i="9"/>
  <c r="A1830" i="9" s="1"/>
  <c r="C1831" i="9"/>
  <c r="A1831" i="9" s="1"/>
  <c r="C1832" i="9"/>
  <c r="A1832" i="9" s="1"/>
  <c r="C1833" i="9"/>
  <c r="A1833" i="9" s="1"/>
  <c r="C1834" i="9"/>
  <c r="A1834" i="9" s="1"/>
  <c r="C1835" i="9"/>
  <c r="A1835" i="9" s="1"/>
  <c r="C1836" i="9"/>
  <c r="A1836" i="9" s="1"/>
  <c r="C1837" i="9"/>
  <c r="A1837" i="9" s="1"/>
  <c r="C1838" i="9"/>
  <c r="A1838" i="9" s="1"/>
  <c r="C1839" i="9"/>
  <c r="A1839" i="9" s="1"/>
  <c r="C1840" i="9"/>
  <c r="A1840" i="9" s="1"/>
  <c r="C1841" i="9"/>
  <c r="A1841" i="9" s="1"/>
  <c r="C1842" i="9"/>
  <c r="A1842" i="9" s="1"/>
  <c r="C1843" i="9"/>
  <c r="A1843" i="9" s="1"/>
  <c r="C1844" i="9"/>
  <c r="A1844" i="9" s="1"/>
  <c r="C1845" i="9"/>
  <c r="A1845" i="9" s="1"/>
  <c r="C1846" i="9"/>
  <c r="A1846" i="9" s="1"/>
  <c r="C1847" i="9"/>
  <c r="A1847" i="9" s="1"/>
  <c r="C1848" i="9"/>
  <c r="A1848" i="9" s="1"/>
  <c r="C1849" i="9"/>
  <c r="A1849" i="9" s="1"/>
  <c r="C1850" i="9"/>
  <c r="A1850" i="9" s="1"/>
  <c r="C1851" i="9"/>
  <c r="A1851" i="9" s="1"/>
  <c r="C1852" i="9"/>
  <c r="A1852" i="9" s="1"/>
  <c r="C1853" i="9"/>
  <c r="A1853" i="9" s="1"/>
  <c r="C1854" i="9"/>
  <c r="A1854" i="9" s="1"/>
  <c r="C1855" i="9"/>
  <c r="A1855" i="9" s="1"/>
  <c r="C1856" i="9"/>
  <c r="A1856" i="9" s="1"/>
  <c r="C1857" i="9"/>
  <c r="A1857" i="9" s="1"/>
  <c r="C1858" i="9"/>
  <c r="A1858" i="9" s="1"/>
  <c r="C1859" i="9"/>
  <c r="A1859" i="9" s="1"/>
  <c r="C1860" i="9"/>
  <c r="A1860" i="9" s="1"/>
  <c r="C1861" i="9"/>
  <c r="A1861" i="9" s="1"/>
  <c r="C1862" i="9"/>
  <c r="A1862" i="9" s="1"/>
  <c r="C1863" i="9"/>
  <c r="A1863" i="9" s="1"/>
  <c r="C1864" i="9"/>
  <c r="A1864" i="9" s="1"/>
  <c r="C1865" i="9"/>
  <c r="A1865" i="9" s="1"/>
  <c r="C1866" i="9"/>
  <c r="A1866" i="9" s="1"/>
  <c r="C1867" i="9"/>
  <c r="A1867" i="9" s="1"/>
  <c r="C1868" i="9"/>
  <c r="A1868" i="9" s="1"/>
  <c r="C1869" i="9"/>
  <c r="A1869" i="9" s="1"/>
  <c r="C1870" i="9"/>
  <c r="A1870" i="9" s="1"/>
  <c r="C1871" i="9"/>
  <c r="A1871" i="9" s="1"/>
  <c r="C1872" i="9"/>
  <c r="A1872" i="9" s="1"/>
  <c r="C1873" i="9"/>
  <c r="A1873" i="9" s="1"/>
  <c r="C1874" i="9"/>
  <c r="A1874" i="9" s="1"/>
  <c r="C1875" i="9"/>
  <c r="A1875" i="9" s="1"/>
  <c r="C1876" i="9"/>
  <c r="A1876" i="9" s="1"/>
  <c r="C1877" i="9"/>
  <c r="A1877" i="9" s="1"/>
  <c r="C1878" i="9"/>
  <c r="A1878" i="9" s="1"/>
  <c r="C1879" i="9"/>
  <c r="A1879" i="9" s="1"/>
  <c r="C1880" i="9"/>
  <c r="A1880" i="9" s="1"/>
  <c r="C1881" i="9"/>
  <c r="A1881" i="9" s="1"/>
  <c r="C1882" i="9"/>
  <c r="A1882" i="9" s="1"/>
  <c r="C1883" i="9"/>
  <c r="A1883" i="9" s="1"/>
  <c r="C1884" i="9"/>
  <c r="A1884" i="9" s="1"/>
  <c r="C1885" i="9"/>
  <c r="A1885" i="9" s="1"/>
  <c r="C1886" i="9"/>
  <c r="A1886" i="9" s="1"/>
  <c r="C1887" i="9"/>
  <c r="A1887" i="9" s="1"/>
  <c r="C1888" i="9"/>
  <c r="A1888" i="9" s="1"/>
  <c r="C1889" i="9"/>
  <c r="A1889" i="9" s="1"/>
  <c r="C1890" i="9"/>
  <c r="A1890" i="9" s="1"/>
  <c r="C1891" i="9"/>
  <c r="A1891" i="9" s="1"/>
  <c r="C1892" i="9"/>
  <c r="A1892" i="9" s="1"/>
  <c r="C1893" i="9"/>
  <c r="A1893" i="9" s="1"/>
  <c r="C1894" i="9"/>
  <c r="A1894" i="9" s="1"/>
  <c r="C1895" i="9"/>
  <c r="A1895" i="9" s="1"/>
  <c r="C1896" i="9"/>
  <c r="A1896" i="9" s="1"/>
  <c r="C1897" i="9"/>
  <c r="A1897" i="9" s="1"/>
  <c r="C1898" i="9"/>
  <c r="A1898" i="9" s="1"/>
  <c r="C1899" i="9"/>
  <c r="A1899" i="9" s="1"/>
  <c r="C1900" i="9"/>
  <c r="A1900" i="9" s="1"/>
  <c r="C1901" i="9"/>
  <c r="A1901" i="9" s="1"/>
  <c r="C1902" i="9"/>
  <c r="A1902" i="9" s="1"/>
  <c r="C1903" i="9"/>
  <c r="A1903" i="9" s="1"/>
  <c r="C1904" i="9"/>
  <c r="A1904" i="9" s="1"/>
  <c r="C1905" i="9"/>
  <c r="A1905" i="9" s="1"/>
  <c r="C1906" i="9"/>
  <c r="A1906" i="9" s="1"/>
  <c r="C1907" i="9"/>
  <c r="A1907" i="9" s="1"/>
  <c r="C1908" i="9"/>
  <c r="A1908" i="9" s="1"/>
  <c r="C1909" i="9"/>
  <c r="A1909" i="9" s="1"/>
  <c r="C1910" i="9"/>
  <c r="A1910" i="9" s="1"/>
  <c r="C1911" i="9"/>
  <c r="A1911" i="9" s="1"/>
  <c r="C1912" i="9"/>
  <c r="A1912" i="9" s="1"/>
  <c r="C1913" i="9"/>
  <c r="A1913" i="9" s="1"/>
  <c r="C1914" i="9"/>
  <c r="A1914" i="9" s="1"/>
  <c r="C1915" i="9"/>
  <c r="A1915" i="9" s="1"/>
  <c r="C1916" i="9"/>
  <c r="A1916" i="9" s="1"/>
  <c r="C1917" i="9"/>
  <c r="A1917" i="9" s="1"/>
  <c r="C1918" i="9"/>
  <c r="A1918" i="9" s="1"/>
  <c r="C1919" i="9"/>
  <c r="A1919" i="9" s="1"/>
  <c r="C1920" i="9"/>
  <c r="A1920" i="9" s="1"/>
  <c r="C1921" i="9"/>
  <c r="A1921" i="9" s="1"/>
  <c r="C1922" i="9"/>
  <c r="A1922" i="9" s="1"/>
  <c r="C1923" i="9"/>
  <c r="A1923" i="9" s="1"/>
  <c r="C1924" i="9"/>
  <c r="A1924" i="9" s="1"/>
  <c r="C1925" i="9"/>
  <c r="A1925" i="9" s="1"/>
  <c r="C1926" i="9"/>
  <c r="A1926" i="9" s="1"/>
  <c r="C1927" i="9"/>
  <c r="A1927" i="9" s="1"/>
  <c r="C1928" i="9"/>
  <c r="A1928" i="9" s="1"/>
  <c r="C1929" i="9"/>
  <c r="A1929" i="9" s="1"/>
  <c r="C1930" i="9"/>
  <c r="A1930" i="9" s="1"/>
  <c r="C1931" i="9"/>
  <c r="A1931" i="9" s="1"/>
  <c r="C1932" i="9"/>
  <c r="A1932" i="9" s="1"/>
  <c r="C1933" i="9"/>
  <c r="A1933" i="9" s="1"/>
  <c r="C1934" i="9"/>
  <c r="A1934" i="9" s="1"/>
  <c r="C1935" i="9"/>
  <c r="A1935" i="9" s="1"/>
  <c r="C1936" i="9"/>
  <c r="A1936" i="9" s="1"/>
  <c r="C1937" i="9"/>
  <c r="A1937" i="9" s="1"/>
  <c r="C1938" i="9"/>
  <c r="A1938" i="9" s="1"/>
  <c r="C1939" i="9"/>
  <c r="A1939" i="9" s="1"/>
  <c r="C1940" i="9"/>
  <c r="A1940" i="9" s="1"/>
  <c r="C1941" i="9"/>
  <c r="A1941" i="9" s="1"/>
  <c r="C1942" i="9"/>
  <c r="A1942" i="9" s="1"/>
  <c r="C1943" i="9"/>
  <c r="A1943" i="9" s="1"/>
  <c r="C1944" i="9"/>
  <c r="A1944" i="9" s="1"/>
  <c r="C1945" i="9"/>
  <c r="A1945" i="9" s="1"/>
  <c r="C1946" i="9"/>
  <c r="A1946" i="9" s="1"/>
  <c r="C1947" i="9"/>
  <c r="A1947" i="9" s="1"/>
  <c r="C1948" i="9"/>
  <c r="A1948" i="9" s="1"/>
  <c r="C1949" i="9"/>
  <c r="A1949" i="9" s="1"/>
  <c r="C1950" i="9"/>
  <c r="A1950" i="9" s="1"/>
  <c r="C1951" i="9"/>
  <c r="A1951" i="9" s="1"/>
  <c r="C1952" i="9"/>
  <c r="A1952" i="9" s="1"/>
  <c r="C1953" i="9"/>
  <c r="A1953" i="9" s="1"/>
  <c r="C1954" i="9"/>
  <c r="A1954" i="9" s="1"/>
  <c r="C1955" i="9"/>
  <c r="A1955" i="9" s="1"/>
  <c r="C1956" i="9"/>
  <c r="A1956" i="9" s="1"/>
  <c r="C1957" i="9"/>
  <c r="A1957" i="9" s="1"/>
  <c r="C1958" i="9"/>
  <c r="A1958" i="9" s="1"/>
  <c r="C1959" i="9"/>
  <c r="A1959" i="9" s="1"/>
  <c r="C1960" i="9"/>
  <c r="A1960" i="9" s="1"/>
  <c r="C1961" i="9"/>
  <c r="A1961" i="9" s="1"/>
  <c r="C1962" i="9"/>
  <c r="A1962" i="9" s="1"/>
  <c r="C1963" i="9"/>
  <c r="A1963" i="9" s="1"/>
  <c r="C1964" i="9"/>
  <c r="A1964" i="9" s="1"/>
  <c r="C1965" i="9"/>
  <c r="A1965" i="9" s="1"/>
  <c r="C1966" i="9"/>
  <c r="A1966" i="9" s="1"/>
  <c r="C1967" i="9"/>
  <c r="A1967" i="9" s="1"/>
  <c r="C1968" i="9"/>
  <c r="A1968" i="9" s="1"/>
  <c r="C1969" i="9"/>
  <c r="A1969" i="9" s="1"/>
  <c r="C1970" i="9"/>
  <c r="A1970" i="9" s="1"/>
  <c r="C1971" i="9"/>
  <c r="A1971" i="9" s="1"/>
  <c r="C1972" i="9"/>
  <c r="A1972" i="9" s="1"/>
  <c r="C1973" i="9"/>
  <c r="A1973" i="9" s="1"/>
  <c r="C1974" i="9"/>
  <c r="A1974" i="9" s="1"/>
  <c r="C1975" i="9"/>
  <c r="A1975" i="9" s="1"/>
  <c r="C1976" i="9"/>
  <c r="A1976" i="9" s="1"/>
  <c r="C1977" i="9"/>
  <c r="A1977" i="9" s="1"/>
  <c r="C1978" i="9"/>
  <c r="A1978" i="9" s="1"/>
  <c r="C1979" i="9"/>
  <c r="A1979" i="9" s="1"/>
  <c r="C1980" i="9"/>
  <c r="A1980" i="9" s="1"/>
  <c r="C1981" i="9"/>
  <c r="A1981" i="9" s="1"/>
  <c r="C1982" i="9"/>
  <c r="A1982" i="9" s="1"/>
  <c r="C1983" i="9"/>
  <c r="A1983" i="9" s="1"/>
  <c r="C1984" i="9"/>
  <c r="A1984" i="9" s="1"/>
  <c r="C1985" i="9"/>
  <c r="A1985" i="9" s="1"/>
  <c r="C1986" i="9"/>
  <c r="A1986" i="9" s="1"/>
  <c r="C1987" i="9"/>
  <c r="A1987" i="9" s="1"/>
  <c r="C1988" i="9"/>
  <c r="A1988" i="9" s="1"/>
  <c r="C1989" i="9"/>
  <c r="A1989" i="9" s="1"/>
  <c r="C1990" i="9"/>
  <c r="A1990" i="9" s="1"/>
  <c r="C1991" i="9"/>
  <c r="A1991" i="9" s="1"/>
  <c r="C1992" i="9"/>
  <c r="A1992" i="9" s="1"/>
  <c r="C1993" i="9"/>
  <c r="A1993" i="9" s="1"/>
  <c r="C1994" i="9"/>
  <c r="A1994" i="9" s="1"/>
  <c r="C1995" i="9"/>
  <c r="A1995" i="9" s="1"/>
  <c r="C1996" i="9"/>
  <c r="A1996" i="9" s="1"/>
  <c r="C1997" i="9"/>
  <c r="A1997" i="9" s="1"/>
  <c r="C1998" i="9"/>
  <c r="A1998" i="9" s="1"/>
  <c r="C1999" i="9"/>
  <c r="A1999" i="9" s="1"/>
  <c r="C2000" i="9"/>
  <c r="A2000" i="9" s="1"/>
  <c r="C2001" i="9"/>
  <c r="A2001" i="9" s="1"/>
  <c r="C2002" i="9"/>
  <c r="A2002" i="9" s="1"/>
  <c r="C2003" i="9"/>
  <c r="A2003" i="9" s="1"/>
  <c r="C2004" i="9"/>
  <c r="A2004" i="9" s="1"/>
  <c r="C2005" i="9"/>
  <c r="A2005" i="9" s="1"/>
  <c r="C2006" i="9"/>
  <c r="A2006" i="9" s="1"/>
  <c r="C2007" i="9"/>
  <c r="A2007" i="9" s="1"/>
  <c r="C2008" i="9"/>
  <c r="A2008" i="9" s="1"/>
  <c r="C2009" i="9"/>
  <c r="A2009" i="9" s="1"/>
  <c r="C2010" i="9"/>
  <c r="A2010" i="9" s="1"/>
  <c r="C2011" i="9"/>
  <c r="A2011" i="9" s="1"/>
  <c r="C2012" i="9"/>
  <c r="A2012" i="9" s="1"/>
  <c r="C2013" i="9"/>
  <c r="A2013" i="9" s="1"/>
  <c r="C2014" i="9"/>
  <c r="A2014" i="9" s="1"/>
  <c r="C2015" i="9"/>
  <c r="A2015" i="9" s="1"/>
  <c r="C2016" i="9"/>
  <c r="A2016" i="9" s="1"/>
  <c r="C2017" i="9"/>
  <c r="A2017" i="9" s="1"/>
  <c r="C2018" i="9"/>
  <c r="A2018" i="9" s="1"/>
  <c r="C2019" i="9"/>
  <c r="A2019" i="9" s="1"/>
  <c r="C2020" i="9"/>
  <c r="A2020" i="9" s="1"/>
  <c r="C2021" i="9"/>
  <c r="A2021" i="9" s="1"/>
  <c r="C2022" i="9"/>
  <c r="A2022" i="9" s="1"/>
  <c r="C2023" i="9"/>
  <c r="A2023" i="9" s="1"/>
  <c r="C2024" i="9"/>
  <c r="A2024" i="9" s="1"/>
  <c r="C2025" i="9"/>
  <c r="A2025" i="9" s="1"/>
  <c r="C2026" i="9"/>
  <c r="A2026" i="9" s="1"/>
  <c r="C2027" i="9"/>
  <c r="A2027" i="9" s="1"/>
  <c r="C2028" i="9"/>
  <c r="A2028" i="9" s="1"/>
  <c r="C2029" i="9"/>
  <c r="A2029" i="9" s="1"/>
  <c r="C2030" i="9"/>
  <c r="A2030" i="9" s="1"/>
  <c r="C2031" i="9"/>
  <c r="A2031" i="9" s="1"/>
  <c r="C2032" i="9"/>
  <c r="A2032" i="9" s="1"/>
  <c r="C2033" i="9"/>
  <c r="A2033" i="9" s="1"/>
  <c r="C2034" i="9"/>
  <c r="A2034" i="9" s="1"/>
  <c r="C2035" i="9"/>
  <c r="A2035" i="9" s="1"/>
  <c r="C2036" i="9"/>
  <c r="A2036" i="9" s="1"/>
  <c r="C2037" i="9"/>
  <c r="A2037" i="9" s="1"/>
  <c r="C2038" i="9"/>
  <c r="A2038" i="9" s="1"/>
  <c r="C2039" i="9"/>
  <c r="A2039" i="9" s="1"/>
  <c r="C2040" i="9"/>
  <c r="A2040" i="9" s="1"/>
  <c r="C2041" i="9"/>
  <c r="A2041" i="9" s="1"/>
  <c r="C2042" i="9"/>
  <c r="A2042" i="9" s="1"/>
  <c r="C2043" i="9"/>
  <c r="A2043" i="9" s="1"/>
  <c r="C2044" i="9"/>
  <c r="A2044" i="9" s="1"/>
  <c r="C2045" i="9"/>
  <c r="A2045" i="9" s="1"/>
  <c r="C2046" i="9"/>
  <c r="A2046" i="9" s="1"/>
  <c r="C2047" i="9"/>
  <c r="A2047" i="9" s="1"/>
  <c r="C2048" i="9"/>
  <c r="A2048" i="9" s="1"/>
  <c r="C2049" i="9"/>
  <c r="A2049" i="9" s="1"/>
  <c r="C2050" i="9"/>
  <c r="A2050" i="9" s="1"/>
  <c r="C2051" i="9"/>
  <c r="A2051" i="9" s="1"/>
  <c r="C2052" i="9"/>
  <c r="A2052" i="9" s="1"/>
  <c r="C2053" i="9"/>
  <c r="A2053" i="9" s="1"/>
  <c r="C2054" i="9"/>
  <c r="A2054" i="9" s="1"/>
  <c r="C2055" i="9"/>
  <c r="A2055" i="9" s="1"/>
  <c r="C2056" i="9"/>
  <c r="A2056" i="9" s="1"/>
  <c r="C2057" i="9"/>
  <c r="A2057" i="9" s="1"/>
  <c r="C2058" i="9"/>
  <c r="A2058" i="9" s="1"/>
  <c r="C2059" i="9"/>
  <c r="A2059" i="9" s="1"/>
  <c r="C2060" i="9"/>
  <c r="A2060" i="9" s="1"/>
  <c r="C2061" i="9"/>
  <c r="A2061" i="9" s="1"/>
  <c r="C2062" i="9"/>
  <c r="A2062" i="9" s="1"/>
  <c r="C2063" i="9"/>
  <c r="A2063" i="9" s="1"/>
  <c r="C2064" i="9"/>
  <c r="A2064" i="9" s="1"/>
  <c r="C2065" i="9"/>
  <c r="A2065" i="9" s="1"/>
  <c r="C2066" i="9"/>
  <c r="A2066" i="9" s="1"/>
  <c r="C2067" i="9"/>
  <c r="A2067" i="9" s="1"/>
  <c r="C2068" i="9"/>
  <c r="A2068" i="9" s="1"/>
  <c r="C2069" i="9"/>
  <c r="A2069" i="9" s="1"/>
  <c r="C2070" i="9"/>
  <c r="A2070" i="9" s="1"/>
  <c r="C2071" i="9"/>
  <c r="A2071" i="9" s="1"/>
  <c r="C2072" i="9"/>
  <c r="A2072" i="9" s="1"/>
  <c r="C2073" i="9"/>
  <c r="A2073" i="9" s="1"/>
  <c r="C2074" i="9"/>
  <c r="A2074" i="9" s="1"/>
  <c r="C2075" i="9"/>
  <c r="A2075" i="9" s="1"/>
  <c r="C2076" i="9"/>
  <c r="A2076" i="9" s="1"/>
  <c r="C2077" i="9"/>
  <c r="A2077" i="9" s="1"/>
  <c r="C2078" i="9"/>
  <c r="A2078" i="9" s="1"/>
  <c r="C2079" i="9"/>
  <c r="A2079" i="9" s="1"/>
  <c r="C2080" i="9"/>
  <c r="A2080" i="9" s="1"/>
  <c r="C2081" i="9"/>
  <c r="A2081" i="9" s="1"/>
  <c r="C2082" i="9"/>
  <c r="A2082" i="9" s="1"/>
  <c r="C2083" i="9"/>
  <c r="A2083" i="9" s="1"/>
  <c r="C2084" i="9"/>
  <c r="A2084" i="9" s="1"/>
  <c r="C2085" i="9"/>
  <c r="A2085" i="9" s="1"/>
  <c r="C2086" i="9"/>
  <c r="A2086" i="9" s="1"/>
  <c r="C2087" i="9"/>
  <c r="A2087" i="9" s="1"/>
  <c r="C2088" i="9"/>
  <c r="A2088" i="9" s="1"/>
  <c r="C2089" i="9"/>
  <c r="A2089" i="9" s="1"/>
  <c r="C2090" i="9"/>
  <c r="A2090" i="9" s="1"/>
  <c r="C2091" i="9"/>
  <c r="A2091" i="9" s="1"/>
  <c r="C2092" i="9"/>
  <c r="A2092" i="9" s="1"/>
  <c r="C2093" i="9"/>
  <c r="A2093" i="9" s="1"/>
  <c r="C2094" i="9"/>
  <c r="A2094" i="9" s="1"/>
  <c r="C2095" i="9"/>
  <c r="A2095" i="9" s="1"/>
  <c r="C2096" i="9"/>
  <c r="A2096" i="9" s="1"/>
  <c r="C2097" i="9"/>
  <c r="A2097" i="9" s="1"/>
  <c r="C2098" i="9"/>
  <c r="A2098" i="9" s="1"/>
  <c r="C2099" i="9"/>
  <c r="A2099" i="9" s="1"/>
  <c r="C2100" i="9"/>
  <c r="A2100" i="9" s="1"/>
  <c r="C2101" i="9"/>
  <c r="A2101" i="9" s="1"/>
  <c r="C2102" i="9"/>
  <c r="A2102" i="9" s="1"/>
  <c r="C2103" i="9"/>
  <c r="A2103" i="9" s="1"/>
  <c r="C2104" i="9"/>
  <c r="A2104" i="9" s="1"/>
  <c r="C2105" i="9"/>
  <c r="A2105" i="9" s="1"/>
  <c r="C2106" i="9"/>
  <c r="A2106" i="9" s="1"/>
  <c r="C2107" i="9"/>
  <c r="A2107" i="9" s="1"/>
  <c r="C2108" i="9"/>
  <c r="A2108" i="9" s="1"/>
  <c r="C2109" i="9"/>
  <c r="A2109" i="9" s="1"/>
  <c r="C2110" i="9"/>
  <c r="A2110" i="9" s="1"/>
  <c r="C2111" i="9"/>
  <c r="A2111" i="9" s="1"/>
  <c r="C2112" i="9"/>
  <c r="A2112" i="9" s="1"/>
  <c r="C2113" i="9"/>
  <c r="A2113" i="9" s="1"/>
  <c r="C2114" i="9"/>
  <c r="A2114" i="9" s="1"/>
  <c r="C2115" i="9"/>
  <c r="A2115" i="9" s="1"/>
  <c r="C2116" i="9"/>
  <c r="A2116" i="9" s="1"/>
  <c r="C2117" i="9"/>
  <c r="A2117" i="9" s="1"/>
  <c r="C2118" i="9"/>
  <c r="A2118" i="9" s="1"/>
  <c r="C2119" i="9"/>
  <c r="A2119" i="9" s="1"/>
  <c r="C2120" i="9"/>
  <c r="A2120" i="9" s="1"/>
  <c r="C2121" i="9"/>
  <c r="A2121" i="9" s="1"/>
  <c r="C2122" i="9"/>
  <c r="A2122" i="9" s="1"/>
  <c r="C2123" i="9"/>
  <c r="A2123" i="9" s="1"/>
  <c r="C2124" i="9"/>
  <c r="A2124" i="9" s="1"/>
  <c r="C2125" i="9"/>
  <c r="A2125" i="9" s="1"/>
  <c r="C2126" i="9"/>
  <c r="A2126" i="9" s="1"/>
  <c r="C2127" i="9"/>
  <c r="A2127" i="9" s="1"/>
  <c r="C2128" i="9"/>
  <c r="A2128" i="9" s="1"/>
  <c r="C2129" i="9"/>
  <c r="A2129" i="9" s="1"/>
  <c r="C2130" i="9"/>
  <c r="A2130" i="9" s="1"/>
  <c r="C2131" i="9"/>
  <c r="A2131" i="9" s="1"/>
  <c r="C2132" i="9"/>
  <c r="A2132" i="9" s="1"/>
  <c r="C2133" i="9"/>
  <c r="A2133" i="9" s="1"/>
  <c r="C2134" i="9"/>
  <c r="A2134" i="9" s="1"/>
  <c r="C2135" i="9"/>
  <c r="A2135" i="9" s="1"/>
  <c r="C2136" i="9"/>
  <c r="A2136" i="9" s="1"/>
  <c r="C2137" i="9"/>
  <c r="A2137" i="9" s="1"/>
  <c r="C2138" i="9"/>
  <c r="A2138" i="9" s="1"/>
  <c r="C2139" i="9"/>
  <c r="A2139" i="9" s="1"/>
  <c r="C2140" i="9"/>
  <c r="A2140" i="9" s="1"/>
  <c r="C2141" i="9"/>
  <c r="A2141" i="9" s="1"/>
  <c r="C2142" i="9"/>
  <c r="A2142" i="9" s="1"/>
  <c r="C2143" i="9"/>
  <c r="A2143" i="9" s="1"/>
  <c r="C2144" i="9"/>
  <c r="A2144" i="9" s="1"/>
  <c r="C2145" i="9"/>
  <c r="A2145" i="9" s="1"/>
  <c r="C2146" i="9"/>
  <c r="A2146" i="9" s="1"/>
  <c r="C2147" i="9"/>
  <c r="A2147" i="9" s="1"/>
  <c r="C2148" i="9"/>
  <c r="A2148" i="9" s="1"/>
  <c r="C2149" i="9"/>
  <c r="A2149" i="9" s="1"/>
  <c r="C2150" i="9"/>
  <c r="A2150" i="9" s="1"/>
  <c r="C2151" i="9"/>
  <c r="A2151" i="9" s="1"/>
  <c r="C2152" i="9"/>
  <c r="A2152" i="9" s="1"/>
  <c r="C2153" i="9"/>
  <c r="A2153" i="9" s="1"/>
  <c r="C2154" i="9"/>
  <c r="A2154" i="9" s="1"/>
  <c r="C2155" i="9"/>
  <c r="A2155" i="9" s="1"/>
  <c r="C2156" i="9"/>
  <c r="A2156" i="9" s="1"/>
  <c r="C2157" i="9"/>
  <c r="A2157" i="9" s="1"/>
  <c r="C2158" i="9"/>
  <c r="A2158" i="9" s="1"/>
  <c r="C2159" i="9"/>
  <c r="A2159" i="9" s="1"/>
  <c r="C2160" i="9"/>
  <c r="A2160" i="9" s="1"/>
  <c r="C2161" i="9"/>
  <c r="A2161" i="9" s="1"/>
  <c r="C2162" i="9"/>
  <c r="A2162" i="9" s="1"/>
  <c r="C2163" i="9"/>
  <c r="A2163" i="9" s="1"/>
  <c r="C2164" i="9"/>
  <c r="A2164" i="9" s="1"/>
  <c r="C2165" i="9"/>
  <c r="A2165" i="9" s="1"/>
  <c r="C2166" i="9"/>
  <c r="A2166" i="9" s="1"/>
  <c r="C2167" i="9"/>
  <c r="A2167" i="9" s="1"/>
  <c r="C2168" i="9"/>
  <c r="A2168" i="9" s="1"/>
  <c r="C2169" i="9"/>
  <c r="A2169" i="9" s="1"/>
  <c r="C2170" i="9"/>
  <c r="A2170" i="9" s="1"/>
  <c r="C2171" i="9"/>
  <c r="A2171" i="9" s="1"/>
  <c r="C2172" i="9"/>
  <c r="A2172" i="9" s="1"/>
  <c r="C2173" i="9"/>
  <c r="A2173" i="9" s="1"/>
  <c r="C2174" i="9"/>
  <c r="A2174" i="9" s="1"/>
  <c r="C2175" i="9"/>
  <c r="A2175" i="9" s="1"/>
  <c r="C2176" i="9"/>
  <c r="A2176" i="9" s="1"/>
  <c r="C2177" i="9"/>
  <c r="A2177" i="9" s="1"/>
  <c r="C2178" i="9"/>
  <c r="A2178" i="9" s="1"/>
  <c r="C2179" i="9"/>
  <c r="A2179" i="9" s="1"/>
  <c r="C2180" i="9"/>
  <c r="A2180" i="9" s="1"/>
  <c r="C2181" i="9"/>
  <c r="A2181" i="9" s="1"/>
  <c r="C2182" i="9"/>
  <c r="A2182" i="9" s="1"/>
  <c r="C2183" i="9"/>
  <c r="A2183" i="9" s="1"/>
  <c r="C2184" i="9"/>
  <c r="A2184" i="9" s="1"/>
  <c r="C2185" i="9"/>
  <c r="A2185" i="9" s="1"/>
  <c r="C2186" i="9"/>
  <c r="A2186" i="9" s="1"/>
  <c r="C2187" i="9"/>
  <c r="A2187" i="9" s="1"/>
  <c r="C2188" i="9"/>
  <c r="A2188" i="9" s="1"/>
  <c r="C2189" i="9"/>
  <c r="A2189" i="9" s="1"/>
  <c r="C2190" i="9"/>
  <c r="A2190" i="9" s="1"/>
  <c r="C2191" i="9"/>
  <c r="A2191" i="9" s="1"/>
  <c r="C2192" i="9"/>
  <c r="A2192" i="9" s="1"/>
  <c r="C2193" i="9"/>
  <c r="A2193" i="9" s="1"/>
  <c r="C2194" i="9"/>
  <c r="A2194" i="9" s="1"/>
  <c r="C2195" i="9"/>
  <c r="A2195" i="9" s="1"/>
  <c r="C2196" i="9"/>
  <c r="A2196" i="9" s="1"/>
  <c r="C2197" i="9"/>
  <c r="A2197" i="9" s="1"/>
  <c r="C2198" i="9"/>
  <c r="A2198" i="9" s="1"/>
  <c r="C2199" i="9"/>
  <c r="A2199" i="9" s="1"/>
  <c r="C2200" i="9"/>
  <c r="A2200" i="9" s="1"/>
  <c r="C2201" i="9"/>
  <c r="A2201" i="9" s="1"/>
  <c r="C2202" i="9"/>
  <c r="A2202" i="9" s="1"/>
  <c r="C2203" i="9"/>
  <c r="A2203" i="9" s="1"/>
  <c r="C2204" i="9"/>
  <c r="A2204" i="9" s="1"/>
  <c r="C2205" i="9"/>
  <c r="A2205" i="9" s="1"/>
  <c r="C2206" i="9"/>
  <c r="A2206" i="9" s="1"/>
  <c r="C2207" i="9"/>
  <c r="A2207" i="9" s="1"/>
  <c r="C2208" i="9"/>
  <c r="A2208" i="9" s="1"/>
  <c r="C2209" i="9"/>
  <c r="A2209" i="9" s="1"/>
  <c r="C2210" i="9"/>
  <c r="A2210" i="9" s="1"/>
  <c r="C2211" i="9"/>
  <c r="A2211" i="9" s="1"/>
  <c r="C2212" i="9"/>
  <c r="A2212" i="9" s="1"/>
  <c r="C2213" i="9"/>
  <c r="A2213" i="9" s="1"/>
  <c r="C2214" i="9"/>
  <c r="A2214" i="9" s="1"/>
  <c r="C2215" i="9"/>
  <c r="A2215" i="9" s="1"/>
  <c r="C2216" i="9"/>
  <c r="A2216" i="9" s="1"/>
  <c r="C2217" i="9"/>
  <c r="A2217" i="9" s="1"/>
  <c r="C2218" i="9"/>
  <c r="A2218" i="9" s="1"/>
  <c r="C2219" i="9"/>
  <c r="A2219" i="9" s="1"/>
  <c r="C2220" i="9"/>
  <c r="A2220" i="9" s="1"/>
  <c r="C2221" i="9"/>
  <c r="A2221" i="9" s="1"/>
  <c r="C2222" i="9"/>
  <c r="A2222" i="9" s="1"/>
  <c r="C2223" i="9"/>
  <c r="A2223" i="9" s="1"/>
  <c r="C2224" i="9"/>
  <c r="A2224" i="9" s="1"/>
  <c r="C2225" i="9"/>
  <c r="A2225" i="9" s="1"/>
  <c r="C2226" i="9"/>
  <c r="A2226" i="9" s="1"/>
  <c r="C2227" i="9"/>
  <c r="A2227" i="9" s="1"/>
  <c r="C2228" i="9"/>
  <c r="A2228" i="9" s="1"/>
  <c r="C2229" i="9"/>
  <c r="A2229" i="9" s="1"/>
  <c r="C2230" i="9"/>
  <c r="A2230" i="9" s="1"/>
  <c r="C2231" i="9"/>
  <c r="A2231" i="9" s="1"/>
  <c r="C2232" i="9"/>
  <c r="A2232" i="9" s="1"/>
  <c r="C2233" i="9"/>
  <c r="A2233" i="9" s="1"/>
  <c r="C2234" i="9"/>
  <c r="A2234" i="9" s="1"/>
  <c r="C2235" i="9"/>
  <c r="A2235" i="9" s="1"/>
  <c r="C2236" i="9"/>
  <c r="A2236" i="9" s="1"/>
  <c r="C2237" i="9"/>
  <c r="A2237" i="9" s="1"/>
  <c r="C2238" i="9"/>
  <c r="A2238" i="9" s="1"/>
  <c r="C2239" i="9"/>
  <c r="A2239" i="9" s="1"/>
  <c r="C2240" i="9"/>
  <c r="A2240" i="9" s="1"/>
  <c r="C2241" i="9"/>
  <c r="A2241" i="9" s="1"/>
  <c r="C2242" i="9"/>
  <c r="A2242" i="9" s="1"/>
  <c r="C2243" i="9"/>
  <c r="A2243" i="9" s="1"/>
  <c r="C2244" i="9"/>
  <c r="A2244" i="9" s="1"/>
  <c r="C2245" i="9"/>
  <c r="A2245" i="9" s="1"/>
  <c r="C2246" i="9"/>
  <c r="A2246" i="9" s="1"/>
  <c r="C2247" i="9"/>
  <c r="A2247" i="9" s="1"/>
  <c r="C2248" i="9"/>
  <c r="A2248" i="9" s="1"/>
  <c r="C2249" i="9"/>
  <c r="A2249" i="9" s="1"/>
  <c r="C2250" i="9"/>
  <c r="A2250" i="9" s="1"/>
  <c r="C2251" i="9"/>
  <c r="A2251" i="9" s="1"/>
  <c r="C2252" i="9"/>
  <c r="A2252" i="9" s="1"/>
  <c r="C2253" i="9"/>
  <c r="A2253" i="9" s="1"/>
  <c r="C2254" i="9"/>
  <c r="A2254" i="9" s="1"/>
  <c r="C2255" i="9"/>
  <c r="A2255" i="9" s="1"/>
  <c r="C2256" i="9"/>
  <c r="A2256" i="9" s="1"/>
  <c r="C2257" i="9"/>
  <c r="A2257" i="9" s="1"/>
  <c r="C2258" i="9"/>
  <c r="A2258" i="9" s="1"/>
  <c r="C2259" i="9"/>
  <c r="A2259" i="9" s="1"/>
  <c r="C2260" i="9"/>
  <c r="A2260" i="9" s="1"/>
  <c r="C2261" i="9"/>
  <c r="A2261" i="9" s="1"/>
  <c r="C2262" i="9"/>
  <c r="A2262" i="9" s="1"/>
  <c r="C2263" i="9"/>
  <c r="A2263" i="9" s="1"/>
  <c r="C2264" i="9"/>
  <c r="A2264" i="9" s="1"/>
  <c r="C2265" i="9"/>
  <c r="A2265" i="9" s="1"/>
  <c r="C2266" i="9"/>
  <c r="A2266" i="9" s="1"/>
  <c r="C2267" i="9"/>
  <c r="A2267" i="9" s="1"/>
  <c r="C2268" i="9"/>
  <c r="A2268" i="9" s="1"/>
  <c r="C2269" i="9"/>
  <c r="A2269" i="9" s="1"/>
  <c r="C2270" i="9"/>
  <c r="A2270" i="9" s="1"/>
  <c r="C2271" i="9"/>
  <c r="A2271" i="9" s="1"/>
  <c r="C2272" i="9"/>
  <c r="A2272" i="9" s="1"/>
  <c r="C2273" i="9"/>
  <c r="A2273" i="9" s="1"/>
  <c r="C2274" i="9"/>
  <c r="A2274" i="9" s="1"/>
  <c r="C2275" i="9"/>
  <c r="A2275" i="9" s="1"/>
  <c r="C2276" i="9"/>
  <c r="A2276" i="9" s="1"/>
  <c r="C2277" i="9"/>
  <c r="A2277" i="9" s="1"/>
  <c r="C2278" i="9"/>
  <c r="A2278" i="9" s="1"/>
  <c r="C2279" i="9"/>
  <c r="A2279" i="9" s="1"/>
  <c r="C2280" i="9"/>
  <c r="A2280" i="9" s="1"/>
  <c r="C2281" i="9"/>
  <c r="A2281" i="9" s="1"/>
  <c r="C2282" i="9"/>
  <c r="A2282" i="9" s="1"/>
  <c r="C2283" i="9"/>
  <c r="A2283" i="9" s="1"/>
  <c r="C2284" i="9"/>
  <c r="A2284" i="9" s="1"/>
  <c r="C2285" i="9"/>
  <c r="A2285" i="9" s="1"/>
  <c r="C2286" i="9"/>
  <c r="A2286" i="9" s="1"/>
  <c r="C2287" i="9"/>
  <c r="A2287" i="9" s="1"/>
  <c r="C2288" i="9"/>
  <c r="A2288" i="9" s="1"/>
  <c r="C2289" i="9"/>
  <c r="A2289" i="9" s="1"/>
  <c r="C2290" i="9"/>
  <c r="A2290" i="9" s="1"/>
  <c r="C2291" i="9"/>
  <c r="A2291" i="9" s="1"/>
  <c r="C2292" i="9"/>
  <c r="A2292" i="9" s="1"/>
  <c r="C2293" i="9"/>
  <c r="A2293" i="9" s="1"/>
  <c r="C2294" i="9"/>
  <c r="A2294" i="9" s="1"/>
  <c r="C2295" i="9"/>
  <c r="A2295" i="9" s="1"/>
  <c r="C2296" i="9"/>
  <c r="A2296" i="9" s="1"/>
  <c r="C2297" i="9"/>
  <c r="A2297" i="9" s="1"/>
  <c r="C2298" i="9"/>
  <c r="A2298" i="9" s="1"/>
  <c r="C2299" i="9"/>
  <c r="A2299" i="9" s="1"/>
  <c r="C2300" i="9"/>
  <c r="A2300" i="9" s="1"/>
  <c r="C2301" i="9"/>
  <c r="A2301" i="9" s="1"/>
  <c r="C2302" i="9"/>
  <c r="A2302" i="9" s="1"/>
  <c r="C2303" i="9"/>
  <c r="A2303" i="9" s="1"/>
  <c r="C2304" i="9"/>
  <c r="A2304" i="9" s="1"/>
  <c r="C2305" i="9"/>
  <c r="A2305" i="9" s="1"/>
  <c r="C2306" i="9"/>
  <c r="A2306" i="9" s="1"/>
  <c r="C2307" i="9"/>
  <c r="A2307" i="9" s="1"/>
  <c r="C2308" i="9"/>
  <c r="A2308" i="9" s="1"/>
  <c r="C2309" i="9"/>
  <c r="A2309" i="9" s="1"/>
  <c r="C2310" i="9"/>
  <c r="A2310" i="9" s="1"/>
  <c r="C2311" i="9"/>
  <c r="A2311" i="9" s="1"/>
  <c r="C2312" i="9"/>
  <c r="A2312" i="9" s="1"/>
  <c r="C2313" i="9"/>
  <c r="A2313" i="9" s="1"/>
  <c r="C2314" i="9"/>
  <c r="A2314" i="9" s="1"/>
  <c r="C2315" i="9"/>
  <c r="A2315" i="9" s="1"/>
  <c r="C2316" i="9"/>
  <c r="A2316" i="9" s="1"/>
  <c r="C2317" i="9"/>
  <c r="A2317" i="9" s="1"/>
  <c r="C2318" i="9"/>
  <c r="A2318" i="9" s="1"/>
  <c r="C2319" i="9"/>
  <c r="A2319" i="9" s="1"/>
  <c r="C2320" i="9"/>
  <c r="A2320" i="9" s="1"/>
  <c r="C2321" i="9"/>
  <c r="A2321" i="9" s="1"/>
  <c r="C2322" i="9"/>
  <c r="A2322" i="9" s="1"/>
  <c r="C2323" i="9"/>
  <c r="A2323" i="9" s="1"/>
  <c r="C2324" i="9"/>
  <c r="A2324" i="9" s="1"/>
  <c r="C2325" i="9"/>
  <c r="A2325" i="9" s="1"/>
  <c r="C2326" i="9"/>
  <c r="A2326" i="9" s="1"/>
  <c r="C2327" i="9"/>
  <c r="A2327" i="9" s="1"/>
  <c r="C2328" i="9"/>
  <c r="A2328" i="9" s="1"/>
  <c r="C2329" i="9"/>
  <c r="A2329" i="9" s="1"/>
  <c r="C2330" i="9"/>
  <c r="A2330" i="9" s="1"/>
  <c r="C2331" i="9"/>
  <c r="A2331" i="9" s="1"/>
  <c r="C2332" i="9"/>
  <c r="A2332" i="9" s="1"/>
  <c r="C2333" i="9"/>
  <c r="A2333" i="9" s="1"/>
  <c r="C2334" i="9"/>
  <c r="A2334" i="9" s="1"/>
  <c r="C2335" i="9"/>
  <c r="A2335" i="9" s="1"/>
  <c r="C2336" i="9"/>
  <c r="A2336" i="9" s="1"/>
  <c r="C2337" i="9"/>
  <c r="A2337" i="9" s="1"/>
  <c r="C2338" i="9"/>
  <c r="A2338" i="9" s="1"/>
  <c r="C2339" i="9"/>
  <c r="A2339" i="9" s="1"/>
  <c r="C2340" i="9"/>
  <c r="A2340" i="9" s="1"/>
  <c r="C2341" i="9"/>
  <c r="A2341" i="9" s="1"/>
  <c r="C2342" i="9"/>
  <c r="A2342" i="9" s="1"/>
  <c r="C2343" i="9"/>
  <c r="A2343" i="9" s="1"/>
  <c r="C2344" i="9"/>
  <c r="A2344" i="9" s="1"/>
  <c r="C2345" i="9"/>
  <c r="A2345" i="9" s="1"/>
  <c r="C2346" i="9"/>
  <c r="A2346" i="9" s="1"/>
  <c r="C2347" i="9"/>
  <c r="A2347" i="9" s="1"/>
  <c r="C2348" i="9"/>
  <c r="A2348" i="9" s="1"/>
  <c r="C2349" i="9"/>
  <c r="A2349" i="9" s="1"/>
  <c r="C2350" i="9"/>
  <c r="A2350" i="9" s="1"/>
  <c r="C2351" i="9"/>
  <c r="A2351" i="9" s="1"/>
  <c r="C2352" i="9"/>
  <c r="A2352" i="9" s="1"/>
  <c r="C2353" i="9"/>
  <c r="A2353" i="9" s="1"/>
  <c r="C2354" i="9"/>
  <c r="A2354" i="9" s="1"/>
  <c r="C2355" i="9"/>
  <c r="A2355" i="9" s="1"/>
  <c r="C2356" i="9"/>
  <c r="A2356" i="9" s="1"/>
  <c r="C2357" i="9"/>
  <c r="A2357" i="9" s="1"/>
  <c r="C2358" i="9"/>
  <c r="A2358" i="9" s="1"/>
  <c r="C2359" i="9"/>
  <c r="A2359" i="9" s="1"/>
  <c r="C2360" i="9"/>
  <c r="A2360" i="9" s="1"/>
  <c r="C2361" i="9"/>
  <c r="A2361" i="9" s="1"/>
  <c r="C2362" i="9"/>
  <c r="A2362" i="9" s="1"/>
  <c r="C2363" i="9"/>
  <c r="A2363" i="9" s="1"/>
  <c r="C2364" i="9"/>
  <c r="A2364" i="9" s="1"/>
  <c r="C2365" i="9"/>
  <c r="A2365" i="9" s="1"/>
  <c r="C2366" i="9"/>
  <c r="A2366" i="9" s="1"/>
  <c r="C2367" i="9"/>
  <c r="A2367" i="9" s="1"/>
  <c r="C2368" i="9"/>
  <c r="A2368" i="9" s="1"/>
  <c r="C2369" i="9"/>
  <c r="A2369" i="9" s="1"/>
  <c r="C2370" i="9"/>
  <c r="A2370" i="9" s="1"/>
  <c r="C2371" i="9"/>
  <c r="A2371" i="9" s="1"/>
  <c r="C2372" i="9"/>
  <c r="A2372" i="9" s="1"/>
  <c r="C2373" i="9"/>
  <c r="A2373" i="9" s="1"/>
  <c r="C2374" i="9"/>
  <c r="A2374" i="9" s="1"/>
  <c r="C2375" i="9"/>
  <c r="A2375" i="9" s="1"/>
  <c r="C2376" i="9"/>
  <c r="A2376" i="9" s="1"/>
  <c r="C2377" i="9"/>
  <c r="A2377" i="9" s="1"/>
  <c r="C2378" i="9"/>
  <c r="A2378" i="9" s="1"/>
  <c r="C2379" i="9"/>
  <c r="A2379" i="9" s="1"/>
  <c r="C2380" i="9"/>
  <c r="A2380" i="9" s="1"/>
  <c r="C2381" i="9"/>
  <c r="A2381" i="9" s="1"/>
  <c r="C2382" i="9"/>
  <c r="A2382" i="9" s="1"/>
  <c r="C2383" i="9"/>
  <c r="A2383" i="9" s="1"/>
  <c r="C2384" i="9"/>
  <c r="A2384" i="9" s="1"/>
  <c r="C2385" i="9"/>
  <c r="A2385" i="9" s="1"/>
  <c r="C2386" i="9"/>
  <c r="A2386" i="9" s="1"/>
  <c r="C2387" i="9"/>
  <c r="A2387" i="9" s="1"/>
  <c r="C2388" i="9"/>
  <c r="A2388" i="9" s="1"/>
  <c r="C2389" i="9"/>
  <c r="A2389" i="9" s="1"/>
  <c r="C2390" i="9"/>
  <c r="A2390" i="9" s="1"/>
  <c r="C2391" i="9"/>
  <c r="A2391" i="9" s="1"/>
  <c r="C2392" i="9"/>
  <c r="A2392" i="9" s="1"/>
  <c r="C2393" i="9"/>
  <c r="A2393" i="9" s="1"/>
  <c r="C2394" i="9"/>
  <c r="A2394" i="9" s="1"/>
  <c r="C2395" i="9"/>
  <c r="A2395" i="9" s="1"/>
  <c r="C2396" i="9"/>
  <c r="A2396" i="9" s="1"/>
  <c r="C2397" i="9"/>
  <c r="A2397" i="9" s="1"/>
  <c r="C2398" i="9"/>
  <c r="A2398" i="9" s="1"/>
  <c r="C2399" i="9"/>
  <c r="A2399" i="9" s="1"/>
  <c r="C2400" i="9"/>
  <c r="A2400" i="9" s="1"/>
  <c r="C2401" i="9"/>
  <c r="A2401" i="9" s="1"/>
  <c r="C2402" i="9"/>
  <c r="A2402" i="9" s="1"/>
  <c r="C2403" i="9"/>
  <c r="A2403" i="9" s="1"/>
  <c r="C2404" i="9"/>
  <c r="A2404" i="9" s="1"/>
  <c r="C2405" i="9"/>
  <c r="A2405" i="9" s="1"/>
  <c r="C2406" i="9"/>
  <c r="A2406" i="9" s="1"/>
  <c r="C2407" i="9"/>
  <c r="A2407" i="9" s="1"/>
  <c r="C2408" i="9"/>
  <c r="A2408" i="9" s="1"/>
  <c r="C2409" i="9"/>
  <c r="A2409" i="9" s="1"/>
  <c r="C2410" i="9"/>
  <c r="A2410" i="9" s="1"/>
  <c r="C2411" i="9"/>
  <c r="A2411" i="9" s="1"/>
  <c r="C2412" i="9"/>
  <c r="A2412" i="9" s="1"/>
  <c r="C2413" i="9"/>
  <c r="A2413" i="9" s="1"/>
  <c r="C2414" i="9"/>
  <c r="A2414" i="9" s="1"/>
  <c r="C2415" i="9"/>
  <c r="A2415" i="9" s="1"/>
  <c r="C2416" i="9"/>
  <c r="A2416" i="9" s="1"/>
  <c r="C2417" i="9"/>
  <c r="A2417" i="9" s="1"/>
  <c r="C2418" i="9"/>
  <c r="A2418" i="9" s="1"/>
  <c r="C2419" i="9"/>
  <c r="A2419" i="9" s="1"/>
  <c r="C2420" i="9"/>
  <c r="A2420" i="9" s="1"/>
  <c r="C2421" i="9"/>
  <c r="A2421" i="9" s="1"/>
  <c r="C2422" i="9"/>
  <c r="A2422" i="9" s="1"/>
  <c r="C2423" i="9"/>
  <c r="A2423" i="9" s="1"/>
  <c r="C2424" i="9"/>
  <c r="A2424" i="9" s="1"/>
  <c r="C2425" i="9"/>
  <c r="A2425" i="9" s="1"/>
  <c r="C2426" i="9"/>
  <c r="A2426" i="9" s="1"/>
  <c r="C2427" i="9"/>
  <c r="A2427" i="9" s="1"/>
  <c r="C2428" i="9"/>
  <c r="A2428" i="9" s="1"/>
  <c r="C2429" i="9"/>
  <c r="A2429" i="9" s="1"/>
  <c r="C2430" i="9"/>
  <c r="A2430" i="9" s="1"/>
  <c r="C2431" i="9"/>
  <c r="A2431" i="9" s="1"/>
  <c r="C2432" i="9"/>
  <c r="A2432" i="9" s="1"/>
  <c r="C2433" i="9"/>
  <c r="A2433" i="9" s="1"/>
  <c r="C2434" i="9"/>
  <c r="A2434" i="9" s="1"/>
  <c r="C2435" i="9"/>
  <c r="A2435" i="9" s="1"/>
  <c r="C2436" i="9"/>
  <c r="A2436" i="9" s="1"/>
  <c r="C2437" i="9"/>
  <c r="A2437" i="9" s="1"/>
  <c r="C2438" i="9"/>
  <c r="A2438" i="9" s="1"/>
  <c r="C2439" i="9"/>
  <c r="A2439" i="9" s="1"/>
  <c r="C2440" i="9"/>
  <c r="A2440" i="9" s="1"/>
  <c r="C2441" i="9"/>
  <c r="A2441" i="9" s="1"/>
  <c r="C2442" i="9"/>
  <c r="A2442" i="9" s="1"/>
  <c r="C2443" i="9"/>
  <c r="A2443" i="9" s="1"/>
  <c r="C2444" i="9"/>
  <c r="A2444" i="9" s="1"/>
  <c r="C2445" i="9"/>
  <c r="A2445" i="9" s="1"/>
  <c r="C2446" i="9"/>
  <c r="A2446" i="9" s="1"/>
  <c r="C2447" i="9"/>
  <c r="A2447" i="9" s="1"/>
  <c r="C2448" i="9"/>
  <c r="A2448" i="9" s="1"/>
  <c r="C2449" i="9"/>
  <c r="A2449" i="9" s="1"/>
  <c r="C2450" i="9"/>
  <c r="A2450" i="9" s="1"/>
  <c r="C2451" i="9"/>
  <c r="A2451" i="9" s="1"/>
  <c r="C2452" i="9"/>
  <c r="A2452" i="9" s="1"/>
  <c r="C2453" i="9"/>
  <c r="A2453" i="9" s="1"/>
  <c r="C2454" i="9"/>
  <c r="A2454" i="9" s="1"/>
  <c r="C2455" i="9"/>
  <c r="A2455" i="9" s="1"/>
  <c r="C2456" i="9"/>
  <c r="A2456" i="9" s="1"/>
  <c r="C2457" i="9"/>
  <c r="A2457" i="9" s="1"/>
  <c r="C2458" i="9"/>
  <c r="A2458" i="9" s="1"/>
  <c r="C2459" i="9"/>
  <c r="A2459" i="9" s="1"/>
  <c r="C2460" i="9"/>
  <c r="A2460" i="9" s="1"/>
  <c r="C2461" i="9"/>
  <c r="A2461" i="9" s="1"/>
  <c r="C2462" i="9"/>
  <c r="A2462" i="9" s="1"/>
  <c r="C2463" i="9"/>
  <c r="A2463" i="9" s="1"/>
  <c r="C2464" i="9"/>
  <c r="A2464" i="9" s="1"/>
  <c r="C2465" i="9"/>
  <c r="A2465" i="9" s="1"/>
  <c r="C2466" i="9"/>
  <c r="A2466" i="9" s="1"/>
  <c r="C2467" i="9"/>
  <c r="A2467" i="9" s="1"/>
  <c r="C2468" i="9"/>
  <c r="A2468" i="9" s="1"/>
  <c r="C2469" i="9"/>
  <c r="A2469" i="9" s="1"/>
  <c r="C2470" i="9"/>
  <c r="A2470" i="9" s="1"/>
  <c r="C2471" i="9"/>
  <c r="A2471" i="9" s="1"/>
  <c r="C2472" i="9"/>
  <c r="A2472" i="9" s="1"/>
  <c r="C2473" i="9"/>
  <c r="A2473" i="9" s="1"/>
  <c r="C2474" i="9"/>
  <c r="A2474" i="9" s="1"/>
  <c r="C2475" i="9"/>
  <c r="A2475" i="9" s="1"/>
  <c r="C2476" i="9"/>
  <c r="A2476" i="9" s="1"/>
  <c r="C2477" i="9"/>
  <c r="A2477" i="9" s="1"/>
  <c r="C2478" i="9"/>
  <c r="A2478" i="9" s="1"/>
  <c r="C2479" i="9"/>
  <c r="A2479" i="9" s="1"/>
  <c r="C2480" i="9"/>
  <c r="A2480" i="9" s="1"/>
  <c r="C2481" i="9"/>
  <c r="A2481" i="9" s="1"/>
  <c r="C2482" i="9"/>
  <c r="A2482" i="9" s="1"/>
  <c r="C2483" i="9"/>
  <c r="A2483" i="9" s="1"/>
  <c r="C2484" i="9"/>
  <c r="A2484" i="9" s="1"/>
  <c r="C2485" i="9"/>
  <c r="A2485" i="9" s="1"/>
  <c r="C2486" i="9"/>
  <c r="A2486" i="9" s="1"/>
  <c r="C2487" i="9"/>
  <c r="A2487" i="9" s="1"/>
  <c r="C2488" i="9"/>
  <c r="A2488" i="9" s="1"/>
  <c r="C2489" i="9"/>
  <c r="A2489" i="9" s="1"/>
  <c r="C2490" i="9"/>
  <c r="A2490" i="9" s="1"/>
  <c r="C2491" i="9"/>
  <c r="A2491" i="9" s="1"/>
  <c r="C2492" i="9"/>
  <c r="A2492" i="9" s="1"/>
  <c r="C2493" i="9"/>
  <c r="A2493" i="9" s="1"/>
  <c r="C2494" i="9"/>
  <c r="A2494" i="9" s="1"/>
  <c r="C2495" i="9"/>
  <c r="A2495" i="9" s="1"/>
  <c r="C2496" i="9"/>
  <c r="A2496" i="9" s="1"/>
  <c r="C2497" i="9"/>
  <c r="A2497" i="9" s="1"/>
  <c r="C2498" i="9"/>
  <c r="A2498" i="9" s="1"/>
  <c r="C2499" i="9"/>
  <c r="A2499" i="9" s="1"/>
  <c r="C2500" i="9"/>
  <c r="A2500" i="9" s="1"/>
  <c r="C2501" i="9"/>
  <c r="A2501" i="9" s="1"/>
  <c r="C2502" i="9"/>
  <c r="A2502" i="9" s="1"/>
  <c r="C2503" i="9"/>
  <c r="A2503" i="9" s="1"/>
  <c r="C2504" i="9"/>
  <c r="A2504" i="9" s="1"/>
  <c r="C2505" i="9"/>
  <c r="A2505" i="9" s="1"/>
  <c r="C2506" i="9"/>
  <c r="A2506" i="9" s="1"/>
  <c r="C2507" i="9"/>
  <c r="A2507" i="9" s="1"/>
  <c r="C2508" i="9"/>
  <c r="A2508" i="9" s="1"/>
  <c r="C2509" i="9"/>
  <c r="A2509" i="9" s="1"/>
  <c r="C2510" i="9"/>
  <c r="A2510" i="9" s="1"/>
  <c r="C2511" i="9"/>
  <c r="A2511" i="9" s="1"/>
  <c r="C2512" i="9"/>
  <c r="A2512" i="9" s="1"/>
  <c r="C2513" i="9"/>
  <c r="A2513" i="9" s="1"/>
  <c r="C2514" i="9"/>
  <c r="A2514" i="9" s="1"/>
  <c r="C2515" i="9"/>
  <c r="A2515" i="9" s="1"/>
  <c r="C2516" i="9"/>
  <c r="A2516" i="9" s="1"/>
  <c r="C2517" i="9"/>
  <c r="A2517" i="9" s="1"/>
  <c r="C2518" i="9"/>
  <c r="A2518" i="9" s="1"/>
  <c r="C2519" i="9"/>
  <c r="A2519" i="9" s="1"/>
  <c r="C2520" i="9"/>
  <c r="A2520" i="9" s="1"/>
  <c r="C2521" i="9"/>
  <c r="A2521" i="9" s="1"/>
  <c r="C2522" i="9"/>
  <c r="A2522" i="9" s="1"/>
  <c r="C2523" i="9"/>
  <c r="A2523" i="9" s="1"/>
  <c r="C2524" i="9"/>
  <c r="A2524" i="9" s="1"/>
  <c r="C2525" i="9"/>
  <c r="A2525" i="9" s="1"/>
  <c r="C2526" i="9"/>
  <c r="A2526" i="9" s="1"/>
  <c r="C2527" i="9"/>
  <c r="A2527" i="9" s="1"/>
  <c r="C2528" i="9"/>
  <c r="A2528" i="9" s="1"/>
  <c r="C2529" i="9"/>
  <c r="A2529" i="9" s="1"/>
  <c r="C2530" i="9"/>
  <c r="A2530" i="9" s="1"/>
  <c r="C2531" i="9"/>
  <c r="A2531" i="9" s="1"/>
  <c r="C2532" i="9"/>
  <c r="A2532" i="9" s="1"/>
  <c r="C2533" i="9"/>
  <c r="A2533" i="9" s="1"/>
  <c r="C2534" i="9"/>
  <c r="A2534" i="9" s="1"/>
  <c r="C2535" i="9"/>
  <c r="A2535" i="9" s="1"/>
  <c r="C2536" i="9"/>
  <c r="A2536" i="9" s="1"/>
  <c r="C2537" i="9"/>
  <c r="A2537" i="9" s="1"/>
  <c r="C2538" i="9"/>
  <c r="A2538" i="9" s="1"/>
  <c r="C2539" i="9"/>
  <c r="A2539" i="9" s="1"/>
  <c r="C2540" i="9"/>
  <c r="A2540" i="9" s="1"/>
  <c r="C2541" i="9"/>
  <c r="A2541" i="9" s="1"/>
  <c r="C2542" i="9"/>
  <c r="A2542" i="9" s="1"/>
  <c r="C2543" i="9"/>
  <c r="A2543" i="9" s="1"/>
  <c r="C2544" i="9"/>
  <c r="A2544" i="9" s="1"/>
  <c r="C2545" i="9"/>
  <c r="A2545" i="9" s="1"/>
  <c r="C2546" i="9"/>
  <c r="A2546" i="9" s="1"/>
  <c r="C2547" i="9"/>
  <c r="A2547" i="9" s="1"/>
  <c r="C2548" i="9"/>
  <c r="A2548" i="9" s="1"/>
  <c r="C2549" i="9"/>
  <c r="A2549" i="9" s="1"/>
  <c r="C2550" i="9"/>
  <c r="A2550" i="9" s="1"/>
  <c r="C2551" i="9"/>
  <c r="A2551" i="9" s="1"/>
  <c r="C2552" i="9"/>
  <c r="A2552" i="9" s="1"/>
  <c r="C2553" i="9"/>
  <c r="A2553" i="9" s="1"/>
  <c r="C2554" i="9"/>
  <c r="A2554" i="9" s="1"/>
  <c r="C2555" i="9"/>
  <c r="A2555" i="9" s="1"/>
  <c r="C2556" i="9"/>
  <c r="A2556" i="9" s="1"/>
  <c r="C2557" i="9"/>
  <c r="A2557" i="9" s="1"/>
  <c r="C2558" i="9"/>
  <c r="A2558" i="9" s="1"/>
  <c r="C2559" i="9"/>
  <c r="A2559" i="9" s="1"/>
  <c r="C2560" i="9"/>
  <c r="A2560" i="9" s="1"/>
  <c r="C2561" i="9"/>
  <c r="A2561" i="9" s="1"/>
  <c r="C2562" i="9"/>
  <c r="A2562" i="9" s="1"/>
  <c r="C2563" i="9"/>
  <c r="A2563" i="9" s="1"/>
  <c r="C2564" i="9"/>
  <c r="A2564" i="9" s="1"/>
  <c r="C2565" i="9"/>
  <c r="A2565" i="9" s="1"/>
  <c r="C2566" i="9"/>
  <c r="A2566" i="9" s="1"/>
  <c r="C2567" i="9"/>
  <c r="A2567" i="9" s="1"/>
  <c r="C2568" i="9"/>
  <c r="A2568" i="9" s="1"/>
  <c r="C2569" i="9"/>
  <c r="A2569" i="9" s="1"/>
  <c r="C2570" i="9"/>
  <c r="A2570" i="9" s="1"/>
  <c r="C2571" i="9"/>
  <c r="A2571" i="9" s="1"/>
  <c r="C2572" i="9"/>
  <c r="A2572" i="9" s="1"/>
  <c r="C2573" i="9"/>
  <c r="A2573" i="9" s="1"/>
  <c r="C2574" i="9"/>
  <c r="A2574" i="9" s="1"/>
  <c r="C2575" i="9"/>
  <c r="A2575" i="9" s="1"/>
  <c r="C2576" i="9"/>
  <c r="A2576" i="9" s="1"/>
  <c r="C2577" i="9"/>
  <c r="A2577" i="9" s="1"/>
  <c r="C2578" i="9"/>
  <c r="A2578" i="9" s="1"/>
  <c r="C2579" i="9"/>
  <c r="A2579" i="9" s="1"/>
  <c r="C2580" i="9"/>
  <c r="A2580" i="9" s="1"/>
  <c r="C2581" i="9"/>
  <c r="A2581" i="9" s="1"/>
  <c r="C2582" i="9"/>
  <c r="A2582" i="9" s="1"/>
  <c r="C2583" i="9"/>
  <c r="A2583" i="9" s="1"/>
  <c r="C2584" i="9"/>
  <c r="A2584" i="9" s="1"/>
  <c r="C2585" i="9"/>
  <c r="A2585" i="9" s="1"/>
  <c r="C2586" i="9"/>
  <c r="A2586" i="9" s="1"/>
  <c r="C2587" i="9"/>
  <c r="A2587" i="9" s="1"/>
  <c r="C2588" i="9"/>
  <c r="A2588" i="9" s="1"/>
  <c r="C2589" i="9"/>
  <c r="A2589" i="9" s="1"/>
  <c r="C2590" i="9"/>
  <c r="A2590" i="9" s="1"/>
  <c r="C2591" i="9"/>
  <c r="A2591" i="9" s="1"/>
  <c r="C2592" i="9"/>
  <c r="A2592" i="9" s="1"/>
  <c r="C2593" i="9"/>
  <c r="A2593" i="9" s="1"/>
  <c r="C2594" i="9"/>
  <c r="A2594" i="9" s="1"/>
  <c r="C2595" i="9"/>
  <c r="A2595" i="9" s="1"/>
  <c r="C2596" i="9"/>
  <c r="A2596" i="9" s="1"/>
  <c r="C2597" i="9"/>
  <c r="A2597" i="9" s="1"/>
  <c r="C2598" i="9"/>
  <c r="A2598" i="9" s="1"/>
  <c r="C2599" i="9"/>
  <c r="A2599" i="9" s="1"/>
  <c r="C2600" i="9"/>
  <c r="A2600" i="9" s="1"/>
  <c r="C2601" i="9"/>
  <c r="A2601" i="9" s="1"/>
  <c r="C2602" i="9"/>
  <c r="A2602" i="9" s="1"/>
  <c r="C2603" i="9"/>
  <c r="A2603" i="9" s="1"/>
  <c r="C2604" i="9"/>
  <c r="A2604" i="9" s="1"/>
  <c r="C2605" i="9"/>
  <c r="A2605" i="9" s="1"/>
  <c r="C2606" i="9"/>
  <c r="A2606" i="9" s="1"/>
  <c r="C2607" i="9"/>
  <c r="A2607" i="9" s="1"/>
  <c r="C2608" i="9"/>
  <c r="A2608" i="9" s="1"/>
  <c r="C2609" i="9"/>
  <c r="A2609" i="9" s="1"/>
  <c r="C2610" i="9"/>
  <c r="A2610" i="9" s="1"/>
  <c r="C2611" i="9"/>
  <c r="A2611" i="9" s="1"/>
  <c r="C2612" i="9"/>
  <c r="A2612" i="9" s="1"/>
  <c r="C2613" i="9"/>
  <c r="A2613" i="9" s="1"/>
  <c r="C2614" i="9"/>
  <c r="A2614" i="9" s="1"/>
  <c r="C2615" i="9"/>
  <c r="A2615" i="9" s="1"/>
  <c r="C2616" i="9"/>
  <c r="A2616" i="9" s="1"/>
  <c r="C2617" i="9"/>
  <c r="A2617" i="9" s="1"/>
  <c r="C2618" i="9"/>
  <c r="A2618" i="9" s="1"/>
  <c r="C2619" i="9"/>
  <c r="A2619" i="9" s="1"/>
  <c r="C2620" i="9"/>
  <c r="A2620" i="9" s="1"/>
  <c r="C2621" i="9"/>
  <c r="A2621" i="9" s="1"/>
  <c r="C2622" i="9"/>
  <c r="A2622" i="9" s="1"/>
  <c r="C2623" i="9"/>
  <c r="A2623" i="9" s="1"/>
  <c r="C2624" i="9"/>
  <c r="A2624" i="9" s="1"/>
  <c r="C2625" i="9"/>
  <c r="A2625" i="9" s="1"/>
  <c r="C2626" i="9"/>
  <c r="A2626" i="9" s="1"/>
  <c r="C2627" i="9"/>
  <c r="A2627" i="9" s="1"/>
  <c r="C2628" i="9"/>
  <c r="A2628" i="9" s="1"/>
  <c r="C2629" i="9"/>
  <c r="A2629" i="9" s="1"/>
  <c r="C2630" i="9"/>
  <c r="A2630" i="9" s="1"/>
  <c r="C2631" i="9"/>
  <c r="A2631" i="9" s="1"/>
  <c r="C2632" i="9"/>
  <c r="A2632" i="9" s="1"/>
  <c r="C2633" i="9"/>
  <c r="A2633" i="9" s="1"/>
  <c r="C2634" i="9"/>
  <c r="A2634" i="9" s="1"/>
  <c r="C2635" i="9"/>
  <c r="A2635" i="9" s="1"/>
  <c r="C2636" i="9"/>
  <c r="A2636" i="9" s="1"/>
  <c r="C2637" i="9"/>
  <c r="A2637" i="9" s="1"/>
  <c r="C2638" i="9"/>
  <c r="A2638" i="9" s="1"/>
  <c r="C2639" i="9"/>
  <c r="A2639" i="9" s="1"/>
  <c r="C2640" i="9"/>
  <c r="A2640" i="9" s="1"/>
  <c r="C2641" i="9"/>
  <c r="A2641" i="9" s="1"/>
  <c r="C2642" i="9"/>
  <c r="A2642" i="9" s="1"/>
  <c r="C2643" i="9"/>
  <c r="A2643" i="9" s="1"/>
  <c r="C2644" i="9"/>
  <c r="A2644" i="9" s="1"/>
  <c r="C2645" i="9"/>
  <c r="A2645" i="9" s="1"/>
  <c r="C2646" i="9"/>
  <c r="A2646" i="9" s="1"/>
  <c r="C2647" i="9"/>
  <c r="A2647" i="9" s="1"/>
  <c r="C2648" i="9"/>
  <c r="A2648" i="9" s="1"/>
  <c r="C2649" i="9"/>
  <c r="A2649" i="9" s="1"/>
  <c r="C2650" i="9"/>
  <c r="A2650" i="9" s="1"/>
  <c r="C2651" i="9"/>
  <c r="A2651" i="9" s="1"/>
  <c r="C2652" i="9"/>
  <c r="A2652" i="9" s="1"/>
  <c r="C2653" i="9"/>
  <c r="A2653" i="9" s="1"/>
  <c r="C2654" i="9"/>
  <c r="A2654" i="9" s="1"/>
  <c r="C2655" i="9"/>
  <c r="A2655" i="9" s="1"/>
  <c r="C2656" i="9"/>
  <c r="A2656" i="9" s="1"/>
  <c r="C2657" i="9"/>
  <c r="A2657" i="9" s="1"/>
  <c r="C2658" i="9"/>
  <c r="A2658" i="9" s="1"/>
  <c r="C2659" i="9"/>
  <c r="A2659" i="9" s="1"/>
  <c r="C2660" i="9"/>
  <c r="A2660" i="9" s="1"/>
  <c r="C2661" i="9"/>
  <c r="A2661" i="9" s="1"/>
  <c r="C2662" i="9"/>
  <c r="A2662" i="9" s="1"/>
  <c r="C2663" i="9"/>
  <c r="A2663" i="9" s="1"/>
  <c r="C2664" i="9"/>
  <c r="A2664" i="9" s="1"/>
  <c r="C2665" i="9"/>
  <c r="A2665" i="9" s="1"/>
  <c r="C2666" i="9"/>
  <c r="A2666" i="9" s="1"/>
  <c r="C2667" i="9"/>
  <c r="A2667" i="9" s="1"/>
  <c r="C2668" i="9"/>
  <c r="A2668" i="9" s="1"/>
  <c r="C2669" i="9"/>
  <c r="A2669" i="9" s="1"/>
  <c r="C2670" i="9"/>
  <c r="A2670" i="9" s="1"/>
  <c r="C2671" i="9"/>
  <c r="A2671" i="9" s="1"/>
  <c r="C2672" i="9"/>
  <c r="A2672" i="9" s="1"/>
  <c r="C2673" i="9"/>
  <c r="A2673" i="9" s="1"/>
  <c r="C2674" i="9"/>
  <c r="A2674" i="9" s="1"/>
  <c r="C2675" i="9"/>
  <c r="A2675" i="9" s="1"/>
  <c r="C2676" i="9"/>
  <c r="A2676" i="9" s="1"/>
  <c r="C2677" i="9"/>
  <c r="A2677" i="9" s="1"/>
  <c r="C2678" i="9"/>
  <c r="A2678" i="9" s="1"/>
  <c r="C2679" i="9"/>
  <c r="A2679" i="9" s="1"/>
  <c r="C2680" i="9"/>
  <c r="A2680" i="9" s="1"/>
  <c r="C2681" i="9"/>
  <c r="A2681" i="9" s="1"/>
  <c r="C2682" i="9"/>
  <c r="A2682" i="9" s="1"/>
  <c r="C2683" i="9"/>
  <c r="A2683" i="9" s="1"/>
  <c r="C2684" i="9"/>
  <c r="A2684" i="9" s="1"/>
  <c r="C2685" i="9"/>
  <c r="A2685" i="9" s="1"/>
  <c r="C2686" i="9"/>
  <c r="A2686" i="9" s="1"/>
  <c r="C2687" i="9"/>
  <c r="A2687" i="9" s="1"/>
  <c r="C2688" i="9"/>
  <c r="A2688" i="9" s="1"/>
  <c r="C2689" i="9"/>
  <c r="A2689" i="9" s="1"/>
  <c r="C2690" i="9"/>
  <c r="A2690" i="9" s="1"/>
  <c r="C2691" i="9"/>
  <c r="A2691" i="9" s="1"/>
  <c r="C2692" i="9"/>
  <c r="A2692" i="9" s="1"/>
  <c r="C2693" i="9"/>
  <c r="A2693" i="9" s="1"/>
  <c r="C2694" i="9"/>
  <c r="A2694" i="9" s="1"/>
  <c r="C2695" i="9"/>
  <c r="A2695" i="9" s="1"/>
  <c r="C2696" i="9"/>
  <c r="A2696" i="9" s="1"/>
  <c r="C2697" i="9"/>
  <c r="A2697" i="9" s="1"/>
  <c r="C2698" i="9"/>
  <c r="A2698" i="9" s="1"/>
  <c r="C2699" i="9"/>
  <c r="A2699" i="9" s="1"/>
  <c r="C2700" i="9"/>
  <c r="A2700" i="9" s="1"/>
  <c r="C2701" i="9"/>
  <c r="A2701" i="9" s="1"/>
  <c r="C2702" i="9"/>
  <c r="A2702" i="9" s="1"/>
  <c r="C2703" i="9"/>
  <c r="A2703" i="9" s="1"/>
  <c r="C2704" i="9"/>
  <c r="A2704" i="9" s="1"/>
  <c r="C2705" i="9"/>
  <c r="A2705" i="9" s="1"/>
  <c r="C2706" i="9"/>
  <c r="A2706" i="9" s="1"/>
  <c r="C2707" i="9"/>
  <c r="A2707" i="9" s="1"/>
  <c r="C2708" i="9"/>
  <c r="A2708" i="9" s="1"/>
  <c r="C2709" i="9"/>
  <c r="A2709" i="9" s="1"/>
  <c r="C2710" i="9"/>
  <c r="A2710" i="9" s="1"/>
  <c r="C2711" i="9"/>
  <c r="A2711" i="9" s="1"/>
  <c r="C2712" i="9"/>
  <c r="A2712" i="9" s="1"/>
  <c r="C2713" i="9"/>
  <c r="A2713" i="9" s="1"/>
  <c r="C2714" i="9"/>
  <c r="A2714" i="9" s="1"/>
  <c r="C2715" i="9"/>
  <c r="A2715" i="9" s="1"/>
  <c r="C2716" i="9"/>
  <c r="A2716" i="9" s="1"/>
  <c r="C2717" i="9"/>
  <c r="A2717" i="9" s="1"/>
  <c r="C2718" i="9"/>
  <c r="A2718" i="9" s="1"/>
  <c r="C2719" i="9"/>
  <c r="A2719" i="9" s="1"/>
  <c r="C2720" i="9"/>
  <c r="A2720" i="9" s="1"/>
  <c r="C2721" i="9"/>
  <c r="A2721" i="9" s="1"/>
  <c r="C2722" i="9"/>
  <c r="A2722" i="9" s="1"/>
  <c r="C2723" i="9"/>
  <c r="A2723" i="9" s="1"/>
  <c r="C2" i="9"/>
  <c r="A2" i="9" s="1"/>
  <c r="Z174" i="12"/>
  <c r="Z173" i="12"/>
  <c r="Z171" i="12"/>
  <c r="Z170" i="12"/>
  <c r="Z169" i="12"/>
  <c r="AA146" i="12"/>
  <c r="AA120" i="12"/>
  <c r="Z120" i="12"/>
  <c r="Z119" i="12"/>
  <c r="Z118" i="12"/>
  <c r="AA117" i="12"/>
  <c r="Z117" i="12"/>
  <c r="Z116" i="12"/>
  <c r="AA115" i="12"/>
  <c r="Z115" i="12"/>
  <c r="Z93" i="12"/>
  <c r="Z91" i="12"/>
  <c r="AA90" i="12"/>
  <c r="Z90" i="12"/>
  <c r="AA89" i="12"/>
  <c r="Z88" i="12"/>
  <c r="AA63" i="12"/>
  <c r="Z9" i="12"/>
  <c r="AA8" i="12"/>
  <c r="B192" i="12"/>
  <c r="B191" i="12" a="1"/>
  <c r="B191" i="12" s="1"/>
  <c r="B164" i="12" a="1"/>
  <c r="B164" i="12" s="1"/>
  <c r="B137" i="12" a="1"/>
  <c r="B137" i="12" s="1"/>
  <c r="B110" i="12" a="1"/>
  <c r="B110" i="12" s="1"/>
  <c r="B83" i="12" a="1"/>
  <c r="B83" i="12" s="1"/>
  <c r="B56" i="12" a="1"/>
  <c r="B56" i="12" s="1"/>
  <c r="B28" i="12" a="1"/>
  <c r="B28" i="12" s="1"/>
  <c r="U189" i="12"/>
  <c r="T189" i="12"/>
  <c r="T192" i="12" s="1"/>
  <c r="S189" i="12"/>
  <c r="R189" i="12"/>
  <c r="R192" i="12" s="1"/>
  <c r="Q189" i="12"/>
  <c r="Q192" i="12" s="1"/>
  <c r="P189" i="12"/>
  <c r="O189" i="12"/>
  <c r="O192" i="12" s="1"/>
  <c r="N189" i="12"/>
  <c r="M189" i="12"/>
  <c r="L189" i="12"/>
  <c r="L192" i="12" s="1"/>
  <c r="K189" i="12"/>
  <c r="K192" i="12" s="1"/>
  <c r="J189" i="12"/>
  <c r="J192" i="12" s="1"/>
  <c r="I189" i="12"/>
  <c r="AA171" i="12" s="1"/>
  <c r="H189" i="12"/>
  <c r="H192" i="12" s="1"/>
  <c r="G189" i="12"/>
  <c r="G192" i="12" s="1"/>
  <c r="F189" i="12"/>
  <c r="E189" i="12"/>
  <c r="E192" i="12" s="1"/>
  <c r="D189" i="12"/>
  <c r="C189" i="12"/>
  <c r="B189" i="12"/>
  <c r="V188" i="12"/>
  <c r="V187" i="12"/>
  <c r="V186" i="12"/>
  <c r="V185" i="12"/>
  <c r="V184" i="12"/>
  <c r="V183" i="12"/>
  <c r="V182" i="12"/>
  <c r="V181" i="12"/>
  <c r="V180" i="12"/>
  <c r="V179" i="12"/>
  <c r="V178" i="12"/>
  <c r="V177" i="12"/>
  <c r="V176" i="12"/>
  <c r="V175" i="12"/>
  <c r="V174" i="12"/>
  <c r="V173" i="12"/>
  <c r="V172" i="12"/>
  <c r="V171" i="12"/>
  <c r="V170" i="12"/>
  <c r="V169" i="12"/>
  <c r="U162" i="12"/>
  <c r="T162" i="12"/>
  <c r="T165" i="12" s="1"/>
  <c r="S162" i="12"/>
  <c r="R162" i="12"/>
  <c r="Q162" i="12"/>
  <c r="P162" i="12"/>
  <c r="O162" i="12"/>
  <c r="N162" i="12"/>
  <c r="AA143" i="12" s="1"/>
  <c r="M162" i="12"/>
  <c r="L162" i="12"/>
  <c r="L165" i="12" s="1"/>
  <c r="K162" i="12"/>
  <c r="K165" i="12" s="1"/>
  <c r="J162" i="12"/>
  <c r="J165" i="12" s="1"/>
  <c r="I162" i="12"/>
  <c r="AA144" i="12" s="1"/>
  <c r="H162" i="12"/>
  <c r="G162" i="12"/>
  <c r="AA142" i="12" s="1"/>
  <c r="F162" i="12"/>
  <c r="E162" i="12"/>
  <c r="D162" i="12"/>
  <c r="C162" i="12"/>
  <c r="B162" i="12"/>
  <c r="V161" i="12"/>
  <c r="V160" i="12"/>
  <c r="V159" i="12"/>
  <c r="V158" i="12"/>
  <c r="V157" i="12"/>
  <c r="V156" i="12"/>
  <c r="V155" i="12"/>
  <c r="V154" i="12"/>
  <c r="V153" i="12"/>
  <c r="V152" i="12"/>
  <c r="V151" i="12"/>
  <c r="V150" i="12"/>
  <c r="V149" i="12"/>
  <c r="V148" i="12"/>
  <c r="V147" i="12"/>
  <c r="V146" i="12"/>
  <c r="V145" i="12"/>
  <c r="V144" i="12"/>
  <c r="V143" i="12"/>
  <c r="V142" i="12"/>
  <c r="U135" i="12"/>
  <c r="T135" i="12"/>
  <c r="S135" i="12"/>
  <c r="R135" i="12"/>
  <c r="Q135" i="12"/>
  <c r="P135" i="12"/>
  <c r="O135" i="12"/>
  <c r="N135" i="12"/>
  <c r="AA116" i="12" s="1"/>
  <c r="M135" i="12"/>
  <c r="L135" i="12"/>
  <c r="K135" i="12"/>
  <c r="AA119" i="12" s="1"/>
  <c r="J135" i="12"/>
  <c r="AA118" i="12" s="1"/>
  <c r="I135" i="12"/>
  <c r="H135" i="12"/>
  <c r="G135" i="12"/>
  <c r="F135" i="12"/>
  <c r="E135" i="12"/>
  <c r="D135" i="12"/>
  <c r="C135" i="12"/>
  <c r="B135" i="12"/>
  <c r="V134" i="12"/>
  <c r="V133" i="12"/>
  <c r="V132" i="12"/>
  <c r="V131" i="12"/>
  <c r="V130" i="12"/>
  <c r="V129" i="12"/>
  <c r="V128" i="12"/>
  <c r="V127" i="12"/>
  <c r="V126" i="12"/>
  <c r="V125" i="12"/>
  <c r="V124" i="12"/>
  <c r="V123" i="12"/>
  <c r="V122" i="12"/>
  <c r="V121" i="12"/>
  <c r="V120" i="12"/>
  <c r="V119" i="12"/>
  <c r="V118" i="12"/>
  <c r="V117" i="12"/>
  <c r="V116" i="12"/>
  <c r="V115" i="12"/>
  <c r="U108" i="12"/>
  <c r="T108" i="12"/>
  <c r="S108" i="12"/>
  <c r="R108" i="12"/>
  <c r="Q108" i="12"/>
  <c r="P108" i="12"/>
  <c r="O108" i="12"/>
  <c r="N108" i="12"/>
  <c r="M108" i="12"/>
  <c r="L108" i="12"/>
  <c r="AA93" i="12" s="1"/>
  <c r="K108" i="12"/>
  <c r="AA92" i="12" s="1"/>
  <c r="J108" i="12"/>
  <c r="AA91" i="12" s="1"/>
  <c r="I108" i="12"/>
  <c r="H108" i="12"/>
  <c r="G108" i="12"/>
  <c r="AA88" i="12" s="1"/>
  <c r="F108" i="12"/>
  <c r="E108" i="12"/>
  <c r="D108" i="12"/>
  <c r="C108" i="12"/>
  <c r="B108" i="12"/>
  <c r="V107" i="12"/>
  <c r="V106" i="12"/>
  <c r="V105" i="12"/>
  <c r="V104" i="12"/>
  <c r="V103" i="12"/>
  <c r="V102" i="12"/>
  <c r="V101" i="12"/>
  <c r="V100" i="12"/>
  <c r="V99" i="12"/>
  <c r="V98" i="12"/>
  <c r="V97" i="12"/>
  <c r="V96" i="12"/>
  <c r="V95" i="12"/>
  <c r="V94" i="12"/>
  <c r="V93" i="12"/>
  <c r="V92" i="12"/>
  <c r="V91" i="12"/>
  <c r="V90" i="12"/>
  <c r="V89" i="12"/>
  <c r="V88" i="12"/>
  <c r="U81" i="12"/>
  <c r="T81" i="12"/>
  <c r="S81" i="12"/>
  <c r="R81" i="12"/>
  <c r="Q81" i="12"/>
  <c r="P81" i="12"/>
  <c r="O81" i="12"/>
  <c r="N81" i="12"/>
  <c r="M81" i="12"/>
  <c r="M84" i="12" s="1"/>
  <c r="L81" i="12"/>
  <c r="AA66" i="12" s="1"/>
  <c r="K81" i="12"/>
  <c r="AA65" i="12" s="1"/>
  <c r="J81" i="12"/>
  <c r="AA64" i="12" s="1"/>
  <c r="I81" i="12"/>
  <c r="H81" i="12"/>
  <c r="AA62" i="12" s="1"/>
  <c r="G81" i="12"/>
  <c r="AA61" i="12" s="1"/>
  <c r="F81" i="12"/>
  <c r="E81" i="12"/>
  <c r="D81" i="12"/>
  <c r="D84" i="12" s="1"/>
  <c r="C81" i="12"/>
  <c r="C84" i="12" s="1"/>
  <c r="B81" i="12"/>
  <c r="V80" i="12"/>
  <c r="V79" i="12"/>
  <c r="V78" i="12"/>
  <c r="V77" i="12"/>
  <c r="V76" i="12"/>
  <c r="V75" i="12"/>
  <c r="V74" i="12"/>
  <c r="V73" i="12"/>
  <c r="V72" i="12"/>
  <c r="V71" i="12"/>
  <c r="V70" i="12"/>
  <c r="V69" i="12"/>
  <c r="V68" i="12"/>
  <c r="V67" i="12"/>
  <c r="V66" i="12"/>
  <c r="V65" i="12"/>
  <c r="V64" i="12"/>
  <c r="V63" i="12"/>
  <c r="V62" i="12"/>
  <c r="V61" i="12"/>
  <c r="U54" i="12"/>
  <c r="T54" i="12"/>
  <c r="S54" i="12"/>
  <c r="R54" i="12"/>
  <c r="Q54" i="12"/>
  <c r="P54" i="12"/>
  <c r="O54" i="12"/>
  <c r="N54" i="12"/>
  <c r="M54" i="12"/>
  <c r="L54" i="12"/>
  <c r="AA39" i="12" s="1"/>
  <c r="K54" i="12"/>
  <c r="AA38" i="12" s="1"/>
  <c r="J54" i="12"/>
  <c r="AA37" i="12" s="1"/>
  <c r="I54" i="12"/>
  <c r="AA36" i="12" s="1"/>
  <c r="H54" i="12"/>
  <c r="AA35" i="12" s="1"/>
  <c r="G54" i="12"/>
  <c r="AA34" i="12" s="1"/>
  <c r="F54" i="12"/>
  <c r="E54" i="12"/>
  <c r="D54" i="12"/>
  <c r="C54" i="12"/>
  <c r="B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U26" i="12"/>
  <c r="T26" i="12"/>
  <c r="S26" i="12"/>
  <c r="R26" i="12"/>
  <c r="Q26" i="12"/>
  <c r="P26" i="12"/>
  <c r="O26" i="12"/>
  <c r="N26" i="12"/>
  <c r="AA7" i="12" s="1"/>
  <c r="M26" i="12"/>
  <c r="L26" i="12"/>
  <c r="AA11" i="12" s="1"/>
  <c r="K26" i="12"/>
  <c r="AA10" i="12" s="1"/>
  <c r="J26" i="12"/>
  <c r="AA9" i="12" s="1"/>
  <c r="I26" i="12"/>
  <c r="H26" i="12"/>
  <c r="G26" i="12"/>
  <c r="AA6" i="12" s="1"/>
  <c r="AA12" i="12" s="1"/>
  <c r="F26" i="12"/>
  <c r="E26" i="12"/>
  <c r="D26" i="12"/>
  <c r="C26" i="12"/>
  <c r="B26" i="12"/>
  <c r="V25" i="12"/>
  <c r="V24" i="12"/>
  <c r="V23" i="12"/>
  <c r="V22" i="12"/>
  <c r="V21" i="12"/>
  <c r="V20" i="12"/>
  <c r="V19" i="12"/>
  <c r="V18" i="12"/>
  <c r="V17" i="12"/>
  <c r="V16" i="12"/>
  <c r="V15" i="12"/>
  <c r="V14" i="12"/>
  <c r="V13" i="12"/>
  <c r="V12" i="12"/>
  <c r="V11" i="12"/>
  <c r="V10" i="12"/>
  <c r="V9" i="12"/>
  <c r="V8" i="12"/>
  <c r="V7" i="12"/>
  <c r="V6" i="12"/>
  <c r="A163" i="9" l="1"/>
  <c r="A153" i="9"/>
  <c r="A143" i="9"/>
  <c r="A133" i="9"/>
  <c r="A123" i="9"/>
  <c r="A113" i="9"/>
  <c r="A103" i="9"/>
  <c r="A93" i="9"/>
  <c r="A83" i="9"/>
  <c r="A73" i="9"/>
  <c r="A63" i="9"/>
  <c r="A53" i="9"/>
  <c r="A43" i="9"/>
  <c r="A33" i="9"/>
  <c r="A23" i="9"/>
  <c r="A13" i="9"/>
  <c r="A3" i="9"/>
  <c r="A340" i="9"/>
  <c r="A330" i="9"/>
  <c r="A320" i="9"/>
  <c r="A310" i="9"/>
  <c r="A300" i="9"/>
  <c r="A290" i="9"/>
  <c r="A280" i="9"/>
  <c r="A270" i="9"/>
  <c r="A260" i="9"/>
  <c r="A250" i="9"/>
  <c r="A240" i="9"/>
  <c r="A230" i="9"/>
  <c r="A220" i="9"/>
  <c r="A210" i="9"/>
  <c r="A200" i="9"/>
  <c r="A190" i="9"/>
  <c r="A180" i="9"/>
  <c r="A170" i="9"/>
  <c r="A160" i="9"/>
  <c r="A150" i="9"/>
  <c r="A140" i="9"/>
  <c r="A130" i="9"/>
  <c r="A120" i="9"/>
  <c r="A110" i="9"/>
  <c r="A100" i="9"/>
  <c r="A90" i="9"/>
  <c r="A80" i="9"/>
  <c r="A70" i="9"/>
  <c r="A60" i="9"/>
  <c r="A50" i="9"/>
  <c r="A40" i="9"/>
  <c r="A30" i="9"/>
  <c r="A20" i="9"/>
  <c r="A10" i="9"/>
  <c r="A349" i="9"/>
  <c r="A339" i="9"/>
  <c r="A329" i="9"/>
  <c r="A319" i="9"/>
  <c r="A309" i="9"/>
  <c r="A299" i="9"/>
  <c r="A289" i="9"/>
  <c r="A279" i="9"/>
  <c r="A269" i="9"/>
  <c r="A259" i="9"/>
  <c r="A249" i="9"/>
  <c r="A239" i="9"/>
  <c r="A229" i="9"/>
  <c r="A219" i="9"/>
  <c r="A209" i="9"/>
  <c r="A199" i="9"/>
  <c r="A189" i="9"/>
  <c r="A179" i="9"/>
  <c r="A169" i="9"/>
  <c r="A159" i="9"/>
  <c r="A149" i="9"/>
  <c r="A139" i="9"/>
  <c r="A129" i="9"/>
  <c r="A119" i="9"/>
  <c r="A109" i="9"/>
  <c r="A99" i="9"/>
  <c r="A89" i="9"/>
  <c r="A79" i="9"/>
  <c r="A69" i="9"/>
  <c r="A59" i="9"/>
  <c r="A49" i="9"/>
  <c r="A39" i="9"/>
  <c r="A29" i="9"/>
  <c r="A19" i="9"/>
  <c r="A9" i="9"/>
  <c r="A6" i="9"/>
  <c r="AC9" i="12"/>
  <c r="AD9" i="12" s="1"/>
  <c r="AC91" i="12"/>
  <c r="AD91" i="12" s="1"/>
  <c r="AC93" i="12"/>
  <c r="AD93" i="12" s="1"/>
  <c r="AC10" i="12"/>
  <c r="AD10" i="12" s="1"/>
  <c r="AC115" i="12"/>
  <c r="AC116" i="12"/>
  <c r="AC117" i="12"/>
  <c r="AC11" i="12"/>
  <c r="AD11" i="12" s="1"/>
  <c r="AC118" i="12"/>
  <c r="AC88" i="12"/>
  <c r="AD88" i="12" s="1"/>
  <c r="AC119" i="12"/>
  <c r="AC89" i="12"/>
  <c r="AD89" i="12" s="1"/>
  <c r="AC120" i="12"/>
  <c r="AC90" i="12"/>
  <c r="AD90" i="12" s="1"/>
  <c r="AC6" i="12"/>
  <c r="AD6" i="12" s="1"/>
  <c r="AC92" i="12"/>
  <c r="AD92" i="12" s="1"/>
  <c r="AC7" i="12"/>
  <c r="AD7" i="12" s="1"/>
  <c r="AC8" i="12"/>
  <c r="AD8" i="12" s="1"/>
  <c r="AD67" i="12"/>
  <c r="AC40" i="12"/>
  <c r="AD61" i="12"/>
  <c r="AB40" i="12"/>
  <c r="AD34" i="12"/>
  <c r="AB9" i="12"/>
  <c r="Z36" i="12"/>
  <c r="Z145" i="12"/>
  <c r="Z7" i="12"/>
  <c r="AB7" i="12" s="1"/>
  <c r="AA145" i="12"/>
  <c r="AA172" i="12"/>
  <c r="B165" i="12"/>
  <c r="Z6" i="12"/>
  <c r="Z62" i="12"/>
  <c r="S165" i="12"/>
  <c r="I192" i="12"/>
  <c r="Z8" i="12"/>
  <c r="AB8" i="12" s="1"/>
  <c r="Z37" i="12"/>
  <c r="Z63" i="12"/>
  <c r="Z89" i="12"/>
  <c r="Z146" i="12"/>
  <c r="Z172" i="12"/>
  <c r="Z10" i="12"/>
  <c r="AB10" i="12" s="1"/>
  <c r="Z38" i="12"/>
  <c r="Z64" i="12"/>
  <c r="Z142" i="12"/>
  <c r="Z147" i="12"/>
  <c r="Z11" i="12"/>
  <c r="AB11" i="12" s="1"/>
  <c r="AA147" i="12"/>
  <c r="AA173" i="12"/>
  <c r="Z34" i="12"/>
  <c r="Z39" i="12"/>
  <c r="Z65" i="12"/>
  <c r="Z143" i="12"/>
  <c r="AA169" i="12"/>
  <c r="AA174" i="12"/>
  <c r="N84" i="12"/>
  <c r="E165" i="12"/>
  <c r="O165" i="12"/>
  <c r="Z35" i="12"/>
  <c r="Z61" i="12"/>
  <c r="Z66" i="12"/>
  <c r="Z92" i="12"/>
  <c r="Z144" i="12"/>
  <c r="F192" i="12"/>
  <c r="P192" i="12"/>
  <c r="B138" i="12"/>
  <c r="AA170" i="12"/>
  <c r="M3" i="11" a="1"/>
  <c r="M3" i="11" s="1"/>
  <c r="F165" i="12"/>
  <c r="P165" i="12"/>
  <c r="I165" i="12"/>
  <c r="G165" i="12"/>
  <c r="R165" i="12"/>
  <c r="U192" i="12"/>
  <c r="H165" i="12"/>
  <c r="Q165" i="12"/>
  <c r="U165" i="12"/>
  <c r="S192" i="12"/>
  <c r="J138" i="12"/>
  <c r="T138" i="12"/>
  <c r="L138" i="12"/>
  <c r="C111" i="12"/>
  <c r="M111" i="12"/>
  <c r="C138" i="12"/>
  <c r="M138" i="12"/>
  <c r="C165" i="12"/>
  <c r="M165" i="12"/>
  <c r="C192" i="12"/>
  <c r="M192" i="12"/>
  <c r="D111" i="12"/>
  <c r="N111" i="12"/>
  <c r="D138" i="12"/>
  <c r="N138" i="12"/>
  <c r="D165" i="12"/>
  <c r="N165" i="12"/>
  <c r="D192" i="12"/>
  <c r="N192" i="12"/>
  <c r="O111" i="12"/>
  <c r="P138" i="12"/>
  <c r="G138" i="12"/>
  <c r="E111" i="12"/>
  <c r="O138" i="12"/>
  <c r="F138" i="12"/>
  <c r="S111" i="12"/>
  <c r="S138" i="12"/>
  <c r="J111" i="12"/>
  <c r="T111" i="12"/>
  <c r="K111" i="12"/>
  <c r="U111" i="12"/>
  <c r="K138" i="12"/>
  <c r="U138" i="12"/>
  <c r="E138" i="12"/>
  <c r="I111" i="12"/>
  <c r="I138" i="12"/>
  <c r="B57" i="12"/>
  <c r="L57" i="12"/>
  <c r="B84" i="12"/>
  <c r="L84" i="12"/>
  <c r="B111" i="12"/>
  <c r="L111" i="12"/>
  <c r="R138" i="12"/>
  <c r="H138" i="12"/>
  <c r="Q138" i="12"/>
  <c r="F111" i="12"/>
  <c r="P111" i="12"/>
  <c r="G111" i="12"/>
  <c r="L29" i="12"/>
  <c r="B29" i="12"/>
  <c r="Q111" i="12"/>
  <c r="H111" i="12"/>
  <c r="R111" i="12"/>
  <c r="M57" i="12"/>
  <c r="F57" i="12"/>
  <c r="O57" i="12"/>
  <c r="O84" i="12"/>
  <c r="P84" i="12"/>
  <c r="Q57" i="12"/>
  <c r="C29" i="12"/>
  <c r="O29" i="12"/>
  <c r="E57" i="12"/>
  <c r="P57" i="12"/>
  <c r="G84" i="12"/>
  <c r="H57" i="12"/>
  <c r="H84" i="12"/>
  <c r="F84" i="12"/>
  <c r="S57" i="12"/>
  <c r="I84" i="12"/>
  <c r="S84" i="12"/>
  <c r="M29" i="12"/>
  <c r="Q84" i="12"/>
  <c r="J57" i="12"/>
  <c r="T84" i="12"/>
  <c r="C57" i="12"/>
  <c r="E29" i="12"/>
  <c r="E84" i="12"/>
  <c r="G57" i="12"/>
  <c r="R57" i="12"/>
  <c r="R84" i="12"/>
  <c r="I57" i="12"/>
  <c r="T57" i="12"/>
  <c r="J84" i="12"/>
  <c r="K29" i="12"/>
  <c r="U29" i="12"/>
  <c r="K57" i="12"/>
  <c r="U57" i="12"/>
  <c r="K84" i="12"/>
  <c r="U84" i="12"/>
  <c r="D29" i="12"/>
  <c r="N29" i="12"/>
  <c r="P29" i="12"/>
  <c r="Q29" i="12"/>
  <c r="N57" i="12"/>
  <c r="D57" i="12"/>
  <c r="F29" i="12"/>
  <c r="G29" i="12"/>
  <c r="I29" i="12"/>
  <c r="S29" i="12"/>
  <c r="J29" i="12"/>
  <c r="T29" i="12"/>
  <c r="R29" i="12"/>
  <c r="H29" i="12"/>
  <c r="V26" i="12"/>
  <c r="V54" i="12"/>
  <c r="V135" i="12"/>
  <c r="V189" i="12"/>
  <c r="V81" i="12"/>
  <c r="V162" i="12"/>
  <c r="V108" i="12"/>
  <c r="AD120" i="12" l="1"/>
  <c r="AD198" i="12" s="1"/>
  <c r="AC198" i="12"/>
  <c r="AE198" i="12" s="1"/>
  <c r="AD119" i="12"/>
  <c r="AD197" i="12" s="1"/>
  <c r="AC197" i="12"/>
  <c r="AE197" i="12" s="1"/>
  <c r="AD118" i="12"/>
  <c r="AC196" i="12"/>
  <c r="AE196" i="12" s="1"/>
  <c r="AD117" i="12"/>
  <c r="AC195" i="12"/>
  <c r="AE195" i="12" s="1"/>
  <c r="AD116" i="12"/>
  <c r="AD194" i="12" s="1"/>
  <c r="AC194" i="12"/>
  <c r="AE194" i="12" s="1"/>
  <c r="AD115" i="12"/>
  <c r="AD193" i="12" s="1"/>
  <c r="AC193" i="12"/>
  <c r="AC121" i="12"/>
  <c r="AD121" i="12" s="1"/>
  <c r="AC94" i="12"/>
  <c r="AD94" i="12" s="1"/>
  <c r="AC12" i="12"/>
  <c r="AD12" i="12" s="1"/>
  <c r="AD40" i="12"/>
  <c r="Z12" i="12"/>
  <c r="AB12" i="12" s="1"/>
  <c r="AB6" i="12"/>
  <c r="AC199" i="12" l="1"/>
  <c r="AD199" i="12" s="1"/>
  <c r="AE193" i="12"/>
  <c r="D6" i="8"/>
  <c r="C6" i="8"/>
  <c r="B6" i="8"/>
  <c r="D4" i="8"/>
  <c r="C4" i="8"/>
  <c r="B4" i="8"/>
  <c r="C12" i="8"/>
  <c r="D76" i="8"/>
  <c r="D75" i="8"/>
  <c r="D74" i="8"/>
  <c r="D73" i="8"/>
  <c r="D72" i="8"/>
  <c r="D71" i="8"/>
  <c r="D70" i="8"/>
  <c r="D69" i="8"/>
  <c r="D63" i="8"/>
  <c r="D62" i="8"/>
  <c r="D61" i="8"/>
  <c r="D60" i="8"/>
  <c r="D59" i="8"/>
  <c r="D58" i="8"/>
  <c r="D57" i="8"/>
  <c r="D56" i="8"/>
  <c r="D50" i="8"/>
  <c r="D49" i="8"/>
  <c r="D48" i="8"/>
  <c r="D47" i="8"/>
  <c r="D46" i="8"/>
  <c r="D45" i="8"/>
  <c r="D44" i="8"/>
  <c r="D43" i="8"/>
  <c r="D37" i="8"/>
  <c r="D36" i="8"/>
  <c r="D35" i="8"/>
  <c r="D34" i="8"/>
  <c r="D33" i="8"/>
  <c r="D32" i="8"/>
  <c r="D31" i="8"/>
  <c r="D30" i="8"/>
  <c r="D24" i="8"/>
  <c r="D23" i="8"/>
  <c r="D22" i="8"/>
  <c r="D21" i="8"/>
  <c r="D20" i="8"/>
  <c r="D19" i="8"/>
  <c r="D18" i="8"/>
  <c r="D17" i="8"/>
  <c r="D11" i="8"/>
  <c r="D10" i="8"/>
  <c r="D9" i="8"/>
  <c r="D8" i="8"/>
  <c r="D7" i="8"/>
  <c r="D5" i="8"/>
  <c r="C76" i="8"/>
  <c r="C75" i="8"/>
  <c r="C74" i="8"/>
  <c r="C73" i="8"/>
  <c r="C72" i="8"/>
  <c r="C71" i="8"/>
  <c r="C70" i="8"/>
  <c r="C69" i="8"/>
  <c r="C63" i="8"/>
  <c r="C62" i="8"/>
  <c r="C61" i="8"/>
  <c r="C60" i="8"/>
  <c r="C59" i="8"/>
  <c r="C58" i="8"/>
  <c r="C57" i="8"/>
  <c r="C56" i="8"/>
  <c r="C50" i="8"/>
  <c r="C49" i="8"/>
  <c r="C48" i="8"/>
  <c r="C47" i="8"/>
  <c r="C46" i="8"/>
  <c r="C45" i="8"/>
  <c r="C44" i="8"/>
  <c r="C43" i="8"/>
  <c r="C37" i="8"/>
  <c r="C36" i="8"/>
  <c r="C35" i="8"/>
  <c r="C34" i="8"/>
  <c r="C33" i="8"/>
  <c r="C32" i="8"/>
  <c r="C31" i="8"/>
  <c r="C30" i="8"/>
  <c r="C24" i="8"/>
  <c r="C23" i="8"/>
  <c r="C22" i="8"/>
  <c r="C21" i="8"/>
  <c r="C20" i="8"/>
  <c r="C19" i="8"/>
  <c r="C18" i="8"/>
  <c r="C17" i="8"/>
  <c r="C11" i="8"/>
  <c r="C10" i="8"/>
  <c r="C9" i="8"/>
  <c r="C8" i="8"/>
  <c r="C7" i="8"/>
  <c r="C5" i="8"/>
  <c r="B76" i="8"/>
  <c r="B75" i="8"/>
  <c r="B74" i="8"/>
  <c r="B73" i="8"/>
  <c r="B72" i="8"/>
  <c r="B71" i="8"/>
  <c r="B70" i="8"/>
  <c r="B69" i="8"/>
  <c r="B63" i="8"/>
  <c r="B62" i="8"/>
  <c r="B61" i="8"/>
  <c r="B60" i="8"/>
  <c r="B59" i="8"/>
  <c r="B58" i="8"/>
  <c r="B57" i="8"/>
  <c r="B56" i="8"/>
  <c r="B50" i="8"/>
  <c r="B49" i="8"/>
  <c r="B48" i="8"/>
  <c r="B47" i="8"/>
  <c r="B46" i="8"/>
  <c r="B45" i="8"/>
  <c r="B44" i="8"/>
  <c r="B43" i="8"/>
  <c r="B37" i="8"/>
  <c r="B36" i="8"/>
  <c r="B35" i="8"/>
  <c r="B34" i="8"/>
  <c r="B33" i="8"/>
  <c r="B32" i="8"/>
  <c r="B31" i="8"/>
  <c r="B30" i="8"/>
  <c r="B24" i="8"/>
  <c r="B23" i="8"/>
  <c r="B22" i="8"/>
  <c r="B21" i="8"/>
  <c r="B20" i="8"/>
  <c r="B19" i="8"/>
  <c r="B18" i="8"/>
  <c r="B17" i="8"/>
  <c r="B11" i="8"/>
  <c r="B10" i="8"/>
  <c r="B9" i="8"/>
  <c r="B8" i="8"/>
  <c r="B7" i="8"/>
  <c r="B5" i="8"/>
  <c r="Q122" i="7"/>
  <c r="R102" i="7"/>
  <c r="R19" i="7"/>
  <c r="R13" i="7"/>
  <c r="R25" i="7"/>
  <c r="R24" i="7"/>
  <c r="R23" i="7"/>
  <c r="R22" i="7"/>
  <c r="R21" i="7"/>
  <c r="R20" i="7"/>
  <c r="R18" i="7"/>
  <c r="R17" i="7"/>
  <c r="R16" i="7"/>
  <c r="R15" i="7"/>
  <c r="R14" i="7"/>
  <c r="R12" i="7"/>
  <c r="R11" i="7"/>
  <c r="R10" i="7"/>
  <c r="R9" i="7"/>
  <c r="R8" i="7"/>
  <c r="R7" i="7"/>
  <c r="R6" i="7"/>
  <c r="R43" i="7"/>
  <c r="R37" i="7"/>
  <c r="R49" i="7"/>
  <c r="R48" i="7"/>
  <c r="R47" i="7"/>
  <c r="R46" i="7"/>
  <c r="R45" i="7"/>
  <c r="R44" i="7"/>
  <c r="R42" i="7"/>
  <c r="R41" i="7"/>
  <c r="R40" i="7"/>
  <c r="R39" i="7"/>
  <c r="R38" i="7"/>
  <c r="R36" i="7"/>
  <c r="R35" i="7"/>
  <c r="R34" i="7"/>
  <c r="R33" i="7"/>
  <c r="R32" i="7"/>
  <c r="R31" i="7"/>
  <c r="R30" i="7"/>
  <c r="R67" i="7"/>
  <c r="R61" i="7"/>
  <c r="R73" i="7"/>
  <c r="R72" i="7"/>
  <c r="R71" i="7"/>
  <c r="R70" i="7"/>
  <c r="R69" i="7"/>
  <c r="R68" i="7"/>
  <c r="R66" i="7"/>
  <c r="R65" i="7"/>
  <c r="R64" i="7"/>
  <c r="R63" i="7"/>
  <c r="R62" i="7"/>
  <c r="R60" i="7"/>
  <c r="R59" i="7"/>
  <c r="R58" i="7"/>
  <c r="R57" i="7"/>
  <c r="R56" i="7"/>
  <c r="R55" i="7"/>
  <c r="R54" i="7"/>
  <c r="R91" i="7"/>
  <c r="R85" i="7"/>
  <c r="R97" i="7"/>
  <c r="R96" i="7"/>
  <c r="R95" i="7"/>
  <c r="R94" i="7"/>
  <c r="R93" i="7"/>
  <c r="R92" i="7"/>
  <c r="R90" i="7"/>
  <c r="R89" i="7"/>
  <c r="R88" i="7"/>
  <c r="R87" i="7"/>
  <c r="R86" i="7"/>
  <c r="R84" i="7"/>
  <c r="R83" i="7"/>
  <c r="R82" i="7"/>
  <c r="R81" i="7"/>
  <c r="R80" i="7"/>
  <c r="R79" i="7"/>
  <c r="R78" i="7"/>
  <c r="R115" i="7"/>
  <c r="R109" i="7"/>
  <c r="R121" i="7"/>
  <c r="R120" i="7"/>
  <c r="R119" i="7"/>
  <c r="R118" i="7"/>
  <c r="R117" i="7"/>
  <c r="R116" i="7"/>
  <c r="R114" i="7"/>
  <c r="R113" i="7"/>
  <c r="R112" i="7"/>
  <c r="R111" i="7"/>
  <c r="R110" i="7"/>
  <c r="R108" i="7"/>
  <c r="R107" i="7"/>
  <c r="R106" i="7"/>
  <c r="R105" i="7"/>
  <c r="R104" i="7"/>
  <c r="R103" i="7"/>
  <c r="R139" i="7"/>
  <c r="R133" i="7"/>
  <c r="R145" i="7"/>
  <c r="R144" i="7"/>
  <c r="R143" i="7"/>
  <c r="R142" i="7"/>
  <c r="R141" i="7"/>
  <c r="R140" i="7"/>
  <c r="R138" i="7"/>
  <c r="R137" i="7"/>
  <c r="R136" i="7"/>
  <c r="R135" i="7"/>
  <c r="R134" i="7"/>
  <c r="R132" i="7"/>
  <c r="R131" i="7"/>
  <c r="R130" i="7"/>
  <c r="R129" i="7"/>
  <c r="R128" i="7"/>
  <c r="R127" i="7"/>
  <c r="R126" i="7"/>
  <c r="R151" i="7"/>
  <c r="R152" i="7"/>
  <c r="R153" i="7"/>
  <c r="R154" i="7"/>
  <c r="R155" i="7"/>
  <c r="R156" i="7"/>
  <c r="R158" i="7"/>
  <c r="R159" i="7"/>
  <c r="R160" i="7"/>
  <c r="R161" i="7"/>
  <c r="R162" i="7"/>
  <c r="R164" i="7"/>
  <c r="R165" i="7"/>
  <c r="R166" i="7"/>
  <c r="R167" i="7"/>
  <c r="R168" i="7"/>
  <c r="R169" i="7"/>
  <c r="R157" i="7"/>
  <c r="R163" i="7"/>
  <c r="R150" i="7"/>
  <c r="P170" i="7"/>
  <c r="Q170" i="7"/>
  <c r="C99" i="4"/>
  <c r="D99" i="4"/>
  <c r="C100" i="4"/>
  <c r="D100" i="4"/>
  <c r="B100" i="4"/>
  <c r="B99" i="4"/>
  <c r="O170" i="7"/>
  <c r="P146" i="7"/>
  <c r="Q146" i="7"/>
  <c r="O146" i="7"/>
  <c r="C84" i="4"/>
  <c r="D84" i="4"/>
  <c r="C85" i="4"/>
  <c r="D85" i="4"/>
  <c r="B85" i="4"/>
  <c r="B84" i="4"/>
  <c r="C69" i="4"/>
  <c r="D69" i="4"/>
  <c r="C70" i="4"/>
  <c r="D70" i="4"/>
  <c r="B70" i="4"/>
  <c r="B69" i="4"/>
  <c r="C54" i="4"/>
  <c r="D54" i="4"/>
  <c r="C55" i="4"/>
  <c r="D55" i="4"/>
  <c r="B55" i="4"/>
  <c r="B54" i="4"/>
  <c r="C39" i="4"/>
  <c r="D39" i="4"/>
  <c r="C40" i="4"/>
  <c r="D40" i="4"/>
  <c r="B40" i="4"/>
  <c r="B39" i="4"/>
  <c r="C9" i="4"/>
  <c r="D9" i="4"/>
  <c r="C10" i="4"/>
  <c r="D10" i="4"/>
  <c r="C24" i="4"/>
  <c r="D24" i="4"/>
  <c r="C25" i="4"/>
  <c r="D25" i="4"/>
  <c r="B24" i="4"/>
  <c r="B25" i="4"/>
  <c r="B10" i="4"/>
  <c r="B9" i="4"/>
  <c r="Q50" i="7"/>
  <c r="P50" i="7"/>
  <c r="O50" i="7"/>
  <c r="P98" i="7"/>
  <c r="Q98" i="7"/>
  <c r="O98" i="7"/>
  <c r="P122" i="7"/>
  <c r="O122" i="7"/>
  <c r="P26" i="7"/>
  <c r="Q26" i="7"/>
  <c r="O26" i="7"/>
  <c r="R146" i="7" l="1"/>
  <c r="R122" i="7"/>
  <c r="R98" i="7"/>
  <c r="R74" i="7"/>
  <c r="R50" i="7"/>
  <c r="R26" i="7"/>
  <c r="U41" i="11" l="1"/>
  <c r="U39" i="11"/>
  <c r="U37" i="11"/>
  <c r="U35" i="11"/>
  <c r="U33" i="11"/>
  <c r="U31" i="11"/>
  <c r="U29" i="11"/>
  <c r="U27" i="11"/>
  <c r="U17" i="11"/>
  <c r="U15" i="11"/>
  <c r="U13" i="11"/>
  <c r="U11" i="11"/>
  <c r="U9" i="11"/>
  <c r="U7" i="11"/>
  <c r="U5" i="11"/>
  <c r="U3" i="11"/>
  <c r="M59" i="11" l="1"/>
  <c r="M57" i="11"/>
  <c r="M55" i="11"/>
  <c r="M53" i="11"/>
  <c r="M49" i="11" a="1"/>
  <c r="M49" i="11" s="1"/>
  <c r="M47" i="11" a="1"/>
  <c r="M47" i="11" s="1"/>
  <c r="M45" i="11" a="1"/>
  <c r="M45" i="11" s="1"/>
  <c r="M43" i="11" a="1"/>
  <c r="M43" i="11" s="1"/>
  <c r="M41" i="11" a="1"/>
  <c r="M41" i="11" s="1"/>
  <c r="M39" i="11" a="1"/>
  <c r="M39" i="11" s="1"/>
  <c r="M37" i="11" a="1"/>
  <c r="M37" i="11" s="1"/>
  <c r="M35" i="11" a="1"/>
  <c r="M35" i="11" s="1"/>
  <c r="M33" i="11" a="1"/>
  <c r="M33" i="11" s="1"/>
  <c r="M31" i="11" a="1"/>
  <c r="M31" i="11" s="1"/>
  <c r="M29" i="11" a="1"/>
  <c r="M29" i="11" s="1"/>
  <c r="M27" i="11" a="1"/>
  <c r="M27" i="11" s="1"/>
  <c r="M25" i="11" a="1"/>
  <c r="M25" i="11" s="1"/>
  <c r="M23" i="11" a="1"/>
  <c r="M23" i="11" s="1"/>
  <c r="M21" i="11" a="1"/>
  <c r="M21" i="11" s="1"/>
  <c r="M19" i="11" a="1"/>
  <c r="M19" i="11" s="1"/>
  <c r="M17" i="11" a="1"/>
  <c r="M17" i="11" s="1"/>
  <c r="M15" i="11" a="1"/>
  <c r="M15" i="11" s="1"/>
  <c r="M13" i="11" a="1"/>
  <c r="M13" i="11" s="1"/>
  <c r="M11" i="11" a="1"/>
  <c r="M11" i="11" s="1"/>
  <c r="M9" i="11" a="1"/>
  <c r="M9" i="11" s="1"/>
  <c r="M7" i="11" a="1"/>
  <c r="M7" i="11" s="1"/>
  <c r="M5" i="11" a="1"/>
  <c r="M5" i="11" s="1"/>
  <c r="M54" i="11" l="1"/>
  <c r="M56" i="11"/>
  <c r="M58" i="11"/>
  <c r="M52" i="11"/>
  <c r="M60" i="11" l="1"/>
  <c r="E43" i="8" l="1"/>
  <c r="E44" i="8"/>
  <c r="E45" i="8"/>
  <c r="E46" i="8"/>
  <c r="E47" i="8"/>
  <c r="E48" i="8"/>
  <c r="E49" i="8"/>
  <c r="E50" i="8"/>
  <c r="H46" i="8" a="1"/>
  <c r="H46" i="8" s="1"/>
  <c r="I46" i="8" a="1"/>
  <c r="I46" i="8" s="1"/>
  <c r="J46" i="8" a="1"/>
  <c r="J46" i="8" s="1"/>
  <c r="H47" i="8" a="1"/>
  <c r="H47" i="8" s="1"/>
  <c r="I47" i="8" a="1"/>
  <c r="I47" i="8" s="1"/>
  <c r="AA47" i="8" s="1"/>
  <c r="J47" i="8" a="1"/>
  <c r="J47" i="8" s="1"/>
  <c r="H59" i="8" a="1"/>
  <c r="H59" i="8" s="1"/>
  <c r="I59" i="8" a="1"/>
  <c r="I59" i="8" s="1"/>
  <c r="J59" i="8" a="1"/>
  <c r="J59" i="8" s="1"/>
  <c r="H60" i="8" a="1"/>
  <c r="H60" i="8" s="1"/>
  <c r="I60" i="8" a="1"/>
  <c r="I60" i="8" s="1"/>
  <c r="J60" i="8" a="1"/>
  <c r="J60" i="8" s="1"/>
  <c r="H72" i="8" a="1"/>
  <c r="H72" i="8" s="1"/>
  <c r="I72" i="8" a="1"/>
  <c r="I72" i="8" s="1"/>
  <c r="J72" i="8" a="1"/>
  <c r="J72" i="8" s="1"/>
  <c r="H73" i="8" a="1"/>
  <c r="H73" i="8" s="1"/>
  <c r="I73" i="8" a="1"/>
  <c r="I73" i="8" s="1"/>
  <c r="J73" i="8" a="1"/>
  <c r="J73" i="8" s="1"/>
  <c r="H34" i="8" a="1"/>
  <c r="H34" i="8" s="1"/>
  <c r="H33" i="8" a="1"/>
  <c r="H33" i="8" s="1"/>
  <c r="I32" i="8" a="1"/>
  <c r="I32" i="8" s="1"/>
  <c r="I34" i="8" a="1"/>
  <c r="I34" i="8" s="1"/>
  <c r="I33" i="8" a="1"/>
  <c r="I33" i="8" s="1"/>
  <c r="J34" i="8" a="1"/>
  <c r="J34" i="8" s="1"/>
  <c r="J33" i="8" a="1"/>
  <c r="J33" i="8" s="1"/>
  <c r="AB33" i="8" s="1"/>
  <c r="AL73" i="8"/>
  <c r="AL72" i="8"/>
  <c r="AL60" i="8"/>
  <c r="AL59" i="8"/>
  <c r="AL47" i="8"/>
  <c r="AL46" i="8"/>
  <c r="J21" i="8" a="1"/>
  <c r="J21" i="8" s="1"/>
  <c r="AB21" i="8" s="1"/>
  <c r="I21" i="8" a="1"/>
  <c r="I21" i="8" s="1"/>
  <c r="J20" i="8" a="1"/>
  <c r="J20" i="8" s="1"/>
  <c r="I20" i="8" a="1"/>
  <c r="I20" i="8" s="1"/>
  <c r="AA20" i="8" s="1"/>
  <c r="H21" i="8" a="1"/>
  <c r="H21" i="8" s="1"/>
  <c r="K21" i="8" s="1"/>
  <c r="H20" i="8" a="1"/>
  <c r="H20" i="8" s="1"/>
  <c r="K20" i="8" s="1"/>
  <c r="AB20" i="8"/>
  <c r="E20" i="8"/>
  <c r="J8" i="8" a="1"/>
  <c r="J8" i="8" s="1"/>
  <c r="J7" i="8" a="1"/>
  <c r="J7" i="8" s="1"/>
  <c r="I8" i="8" a="1"/>
  <c r="I8" i="8" s="1"/>
  <c r="I7" i="8" a="1"/>
  <c r="I7" i="8" s="1"/>
  <c r="H8" i="8" a="1"/>
  <c r="H8" i="8" s="1"/>
  <c r="H7" i="8" a="1"/>
  <c r="H7" i="8" s="1"/>
  <c r="H6" i="8" a="1"/>
  <c r="H6" i="8" s="1"/>
  <c r="Z21" i="8" l="1"/>
  <c r="B85" i="8"/>
  <c r="Z34" i="8"/>
  <c r="C85" i="8"/>
  <c r="B86" i="8"/>
  <c r="D86" i="8"/>
  <c r="C86" i="8"/>
  <c r="D85" i="8"/>
  <c r="E34" i="8"/>
  <c r="AC20" i="8"/>
  <c r="E33" i="8"/>
  <c r="AB7" i="8"/>
  <c r="AB46" i="8"/>
  <c r="AA7" i="8"/>
  <c r="AA21" i="8"/>
  <c r="E21" i="8"/>
  <c r="Z20" i="8"/>
  <c r="AB60" i="8"/>
  <c r="AA60" i="8"/>
  <c r="AB59" i="8"/>
  <c r="AA59" i="8"/>
  <c r="AA46" i="8"/>
  <c r="AB47" i="8"/>
  <c r="AA34" i="8"/>
  <c r="K47" i="8"/>
  <c r="AC47" i="8" s="1"/>
  <c r="Z47" i="8"/>
  <c r="Z46" i="8"/>
  <c r="K46" i="8"/>
  <c r="AC46" i="8" s="1"/>
  <c r="K60" i="8"/>
  <c r="AC60" i="8" s="1"/>
  <c r="Z60" i="8"/>
  <c r="Z59" i="8"/>
  <c r="K59" i="8"/>
  <c r="AC59" i="8" s="1"/>
  <c r="I86" i="8"/>
  <c r="AA73" i="8"/>
  <c r="K73" i="8"/>
  <c r="H86" i="8"/>
  <c r="Z73" i="8"/>
  <c r="J85" i="8"/>
  <c r="AB72" i="8"/>
  <c r="AB73" i="8"/>
  <c r="J86" i="8"/>
  <c r="AB86" i="8" s="1"/>
  <c r="AA72" i="8"/>
  <c r="I85" i="8"/>
  <c r="Z72" i="8"/>
  <c r="H85" i="8"/>
  <c r="Z85" i="8" s="1"/>
  <c r="K72" i="8"/>
  <c r="Z33" i="8"/>
  <c r="AA33" i="8"/>
  <c r="K33" i="8"/>
  <c r="K34" i="8"/>
  <c r="AB34" i="8"/>
  <c r="K7" i="8"/>
  <c r="E7" i="8"/>
  <c r="AC7" i="8" s="1"/>
  <c r="K8" i="8"/>
  <c r="AB8" i="8"/>
  <c r="E8" i="8"/>
  <c r="Z7" i="8"/>
  <c r="AA8" i="8"/>
  <c r="Z8" i="8"/>
  <c r="Z86" i="8" l="1"/>
  <c r="AB85" i="8"/>
  <c r="AA85" i="8"/>
  <c r="AA86" i="8"/>
  <c r="AC33" i="8"/>
  <c r="E86" i="8"/>
  <c r="AC21" i="8"/>
  <c r="E85" i="8"/>
  <c r="K85" i="8"/>
  <c r="AC72" i="8"/>
  <c r="K86" i="8"/>
  <c r="AC73" i="8"/>
  <c r="AC34" i="8"/>
  <c r="AC8" i="8"/>
  <c r="AC85" i="8" l="1"/>
  <c r="AC86" i="8"/>
  <c r="D103" i="4"/>
  <c r="D102" i="4"/>
  <c r="D101" i="4"/>
  <c r="D98" i="4"/>
  <c r="D97" i="4"/>
  <c r="D96" i="4"/>
  <c r="D95" i="4"/>
  <c r="D94" i="4"/>
  <c r="D104" i="4" s="1"/>
  <c r="D88" i="4"/>
  <c r="D87" i="4"/>
  <c r="D86" i="4"/>
  <c r="D83" i="4"/>
  <c r="D82" i="4"/>
  <c r="D81" i="4"/>
  <c r="D80" i="4"/>
  <c r="D79" i="4"/>
  <c r="D73" i="4"/>
  <c r="D72" i="4"/>
  <c r="D71" i="4"/>
  <c r="D68" i="4"/>
  <c r="D67" i="4"/>
  <c r="D66" i="4"/>
  <c r="D65" i="4"/>
  <c r="D64" i="4"/>
  <c r="D58" i="4"/>
  <c r="D57" i="4"/>
  <c r="D56" i="4"/>
  <c r="D53" i="4"/>
  <c r="D52" i="4"/>
  <c r="D51" i="4"/>
  <c r="D50" i="4"/>
  <c r="D49" i="4"/>
  <c r="D43" i="4"/>
  <c r="D42" i="4"/>
  <c r="D41" i="4"/>
  <c r="D38" i="4"/>
  <c r="D37" i="4"/>
  <c r="D36" i="4"/>
  <c r="D35" i="4"/>
  <c r="D34" i="4"/>
  <c r="D28" i="4"/>
  <c r="D27" i="4"/>
  <c r="D26" i="4"/>
  <c r="D23" i="4"/>
  <c r="D22" i="4"/>
  <c r="D21" i="4"/>
  <c r="D20" i="4"/>
  <c r="D19" i="4"/>
  <c r="D13" i="4"/>
  <c r="D12" i="4"/>
  <c r="D11" i="4"/>
  <c r="D8" i="4"/>
  <c r="D7" i="4"/>
  <c r="D6" i="4"/>
  <c r="D5" i="4"/>
  <c r="D4" i="4"/>
  <c r="C103" i="4"/>
  <c r="C102" i="4"/>
  <c r="C101" i="4"/>
  <c r="C98" i="4"/>
  <c r="C97" i="4"/>
  <c r="C96" i="4"/>
  <c r="C95" i="4"/>
  <c r="C94" i="4"/>
  <c r="C88" i="4"/>
  <c r="C87" i="4"/>
  <c r="C86" i="4"/>
  <c r="C83" i="4"/>
  <c r="C82" i="4"/>
  <c r="C81" i="4"/>
  <c r="C80" i="4"/>
  <c r="C79" i="4"/>
  <c r="C73" i="4"/>
  <c r="C72" i="4"/>
  <c r="C71" i="4"/>
  <c r="C68" i="4"/>
  <c r="C67" i="4"/>
  <c r="C66" i="4"/>
  <c r="C65" i="4"/>
  <c r="C64" i="4"/>
  <c r="C58" i="4"/>
  <c r="C57" i="4"/>
  <c r="C56" i="4"/>
  <c r="C53" i="4"/>
  <c r="C52" i="4"/>
  <c r="C51" i="4"/>
  <c r="C50" i="4"/>
  <c r="C49" i="4"/>
  <c r="C43" i="4"/>
  <c r="C42" i="4"/>
  <c r="C41" i="4"/>
  <c r="C38" i="4"/>
  <c r="C37" i="4"/>
  <c r="C36" i="4"/>
  <c r="C35" i="4"/>
  <c r="C34" i="4"/>
  <c r="C28" i="4"/>
  <c r="C27" i="4"/>
  <c r="C26" i="4"/>
  <c r="C23" i="4"/>
  <c r="C22" i="4"/>
  <c r="C21" i="4"/>
  <c r="C20" i="4"/>
  <c r="C19" i="4"/>
  <c r="C13" i="4"/>
  <c r="C12" i="4"/>
  <c r="C11" i="4"/>
  <c r="C8" i="4"/>
  <c r="C7" i="4"/>
  <c r="C6" i="4"/>
  <c r="C5" i="4"/>
  <c r="C4" i="4"/>
  <c r="B103" i="4"/>
  <c r="B102" i="4"/>
  <c r="B101" i="4"/>
  <c r="B98" i="4"/>
  <c r="B97" i="4"/>
  <c r="B96" i="4"/>
  <c r="B95" i="4"/>
  <c r="B94" i="4"/>
  <c r="B88" i="4"/>
  <c r="B87" i="4"/>
  <c r="B86" i="4"/>
  <c r="B83" i="4"/>
  <c r="B82" i="4"/>
  <c r="B81" i="4"/>
  <c r="B80" i="4"/>
  <c r="B79" i="4"/>
  <c r="B73" i="4"/>
  <c r="B72" i="4"/>
  <c r="B71" i="4"/>
  <c r="B68" i="4"/>
  <c r="B67" i="4"/>
  <c r="B66" i="4"/>
  <c r="B65" i="4"/>
  <c r="B64" i="4"/>
  <c r="B58" i="4"/>
  <c r="B57" i="4"/>
  <c r="B56" i="4"/>
  <c r="B53" i="4"/>
  <c r="B52" i="4"/>
  <c r="B51" i="4"/>
  <c r="B50" i="4"/>
  <c r="B49" i="4"/>
  <c r="B43" i="4"/>
  <c r="B42" i="4"/>
  <c r="B41" i="4"/>
  <c r="B38" i="4"/>
  <c r="B37" i="4"/>
  <c r="B36" i="4"/>
  <c r="B35" i="4"/>
  <c r="B34" i="4"/>
  <c r="B28" i="4"/>
  <c r="B27" i="4"/>
  <c r="B26" i="4"/>
  <c r="B23" i="4"/>
  <c r="B22" i="4"/>
  <c r="B21" i="4"/>
  <c r="B20" i="4"/>
  <c r="B13" i="4"/>
  <c r="B12" i="4"/>
  <c r="B11" i="4"/>
  <c r="B8" i="4"/>
  <c r="B7" i="4"/>
  <c r="B6" i="4"/>
  <c r="B5" i="4"/>
  <c r="B4" i="4"/>
  <c r="B19" i="4"/>
  <c r="E32" i="8" l="1"/>
  <c r="E31" i="8"/>
  <c r="C87" i="8" l="1"/>
  <c r="B88" i="8"/>
  <c r="B87" i="8"/>
  <c r="H4" i="8" a="1"/>
  <c r="H4" i="8" s="1"/>
  <c r="O50" i="11" l="1" a="1"/>
  <c r="O50" i="11" s="1"/>
  <c r="P50" i="11" s="1"/>
  <c r="Q50" i="11" s="1"/>
  <c r="O49" i="11" a="1"/>
  <c r="O49" i="11" s="1"/>
  <c r="P49" i="11" s="1"/>
  <c r="Q49" i="11" s="1"/>
  <c r="O42" i="11" a="1"/>
  <c r="O42" i="11" s="1"/>
  <c r="P42" i="11" s="1"/>
  <c r="Q42" i="11" s="1"/>
  <c r="O41" i="11" a="1"/>
  <c r="O41" i="11" s="1"/>
  <c r="O34" i="11" a="1"/>
  <c r="O34" i="11" s="1"/>
  <c r="P34" i="11" s="1"/>
  <c r="Q34" i="11" s="1"/>
  <c r="O33" i="11" a="1"/>
  <c r="O33" i="11" s="1"/>
  <c r="O26" i="11" a="1"/>
  <c r="O26" i="11" s="1"/>
  <c r="P26" i="11" s="1"/>
  <c r="Q26" i="11" s="1"/>
  <c r="O25" i="11" a="1"/>
  <c r="O25" i="11" s="1"/>
  <c r="P25" i="11" s="1"/>
  <c r="Q25" i="11" s="1"/>
  <c r="O18" i="11" a="1"/>
  <c r="O18" i="11" s="1"/>
  <c r="P18" i="11" s="1"/>
  <c r="Q18" i="11" s="1"/>
  <c r="O17" i="11" a="1"/>
  <c r="O17" i="11" s="1"/>
  <c r="O10" i="11" a="1"/>
  <c r="O10" i="11" s="1"/>
  <c r="O9" i="11" a="1"/>
  <c r="O9" i="11" s="1"/>
  <c r="L59" i="11"/>
  <c r="L58" i="11"/>
  <c r="U58" i="11" s="1"/>
  <c r="O58" i="11" l="1"/>
  <c r="W9" i="11"/>
  <c r="X9" i="11" s="1"/>
  <c r="Y9" i="11" s="1"/>
  <c r="P9" i="11"/>
  <c r="Q9" i="11" s="1"/>
  <c r="W17" i="11"/>
  <c r="X17" i="11" s="1"/>
  <c r="Y17" i="11" s="1"/>
  <c r="P17" i="11"/>
  <c r="Q17" i="11" s="1"/>
  <c r="O59" i="11"/>
  <c r="P59" i="11" s="1"/>
  <c r="Q59" i="11" s="1"/>
  <c r="P10" i="11"/>
  <c r="Q10" i="11" s="1"/>
  <c r="W33" i="11"/>
  <c r="X33" i="11" s="1"/>
  <c r="Y33" i="11" s="1"/>
  <c r="P33" i="11"/>
  <c r="Q33" i="11" s="1"/>
  <c r="W41" i="11"/>
  <c r="X41" i="11" s="1"/>
  <c r="Y41" i="11" s="1"/>
  <c r="P41" i="11"/>
  <c r="Q41" i="11" s="1"/>
  <c r="BO119" i="4"/>
  <c r="BM119" i="4"/>
  <c r="BK119" i="4"/>
  <c r="BI119" i="4"/>
  <c r="BO104" i="4"/>
  <c r="BM104" i="4"/>
  <c r="BK104" i="4"/>
  <c r="BI104" i="4"/>
  <c r="BO89" i="4"/>
  <c r="BM89" i="4"/>
  <c r="BK89" i="4"/>
  <c r="BI89" i="4"/>
  <c r="BO74" i="4"/>
  <c r="BM74" i="4"/>
  <c r="BK74" i="4"/>
  <c r="BI74" i="4"/>
  <c r="BO59" i="4"/>
  <c r="BM59" i="4"/>
  <c r="BK59" i="4"/>
  <c r="BI59" i="4"/>
  <c r="BO44" i="4"/>
  <c r="BM44" i="4"/>
  <c r="BK44" i="4"/>
  <c r="BI44" i="4"/>
  <c r="BO29" i="4"/>
  <c r="BM29" i="4"/>
  <c r="BK29" i="4"/>
  <c r="BI29" i="4"/>
  <c r="BI14" i="4"/>
  <c r="BK14" i="4"/>
  <c r="BM14" i="4"/>
  <c r="BO14" i="4"/>
  <c r="W58" i="11" l="1"/>
  <c r="X58" i="11" s="1"/>
  <c r="Y58" i="11" s="1"/>
  <c r="P58" i="11"/>
  <c r="Q58" i="11" s="1"/>
  <c r="AM64" i="6"/>
  <c r="AM63" i="6"/>
  <c r="AM62" i="6"/>
  <c r="AM61" i="6"/>
  <c r="AM60" i="6"/>
  <c r="AM59" i="6"/>
  <c r="AM58" i="6"/>
  <c r="AM57" i="6"/>
  <c r="AM56" i="6"/>
  <c r="AM55" i="6"/>
  <c r="AM54" i="6"/>
  <c r="AM53" i="6"/>
  <c r="AM52" i="6"/>
  <c r="AM51" i="6"/>
  <c r="AM50" i="6"/>
  <c r="AM49" i="6"/>
  <c r="AM48" i="6"/>
  <c r="AM47" i="6"/>
  <c r="AM46" i="6"/>
  <c r="AM45" i="6"/>
  <c r="AM44" i="6"/>
  <c r="AM43" i="6"/>
  <c r="AM42" i="6"/>
  <c r="AM41" i="6"/>
  <c r="AM40" i="6"/>
  <c r="AM39" i="6"/>
  <c r="AM38" i="6"/>
  <c r="AM37" i="6"/>
  <c r="AM36" i="6"/>
  <c r="AM35" i="6"/>
  <c r="AM34" i="6"/>
  <c r="AM33" i="6"/>
  <c r="AM32" i="6"/>
  <c r="AM31" i="6"/>
  <c r="AM30" i="6"/>
  <c r="AM29" i="6"/>
  <c r="AM28" i="6"/>
  <c r="AM27" i="6"/>
  <c r="AM26" i="6"/>
  <c r="AM25" i="6"/>
  <c r="AM24" i="6"/>
  <c r="AM23" i="6"/>
  <c r="AM22" i="6"/>
  <c r="AM21" i="6"/>
  <c r="AM20" i="6"/>
  <c r="AM19" i="6"/>
  <c r="AM18" i="6"/>
  <c r="AM17" i="6"/>
  <c r="AM16" i="6"/>
  <c r="AM15" i="6"/>
  <c r="AM14" i="6"/>
  <c r="AM13" i="6"/>
  <c r="AM12" i="6"/>
  <c r="AM11" i="6"/>
  <c r="AM10" i="6"/>
  <c r="AM9" i="6"/>
  <c r="AM8" i="6"/>
  <c r="AM7" i="6"/>
  <c r="AM6" i="6"/>
  <c r="AM5" i="6"/>
  <c r="AM4" i="6"/>
  <c r="AM3" i="6"/>
  <c r="AI64" i="6"/>
  <c r="AI63" i="6"/>
  <c r="AI62" i="6"/>
  <c r="AI61" i="6"/>
  <c r="AI60" i="6"/>
  <c r="AI59" i="6"/>
  <c r="AI58" i="6"/>
  <c r="AI57" i="6"/>
  <c r="AI56" i="6"/>
  <c r="AI55" i="6"/>
  <c r="AI54" i="6"/>
  <c r="AI53" i="6"/>
  <c r="AI52" i="6"/>
  <c r="AI51" i="6"/>
  <c r="AI50" i="6"/>
  <c r="AI49" i="6"/>
  <c r="AI48" i="6"/>
  <c r="AI47" i="6"/>
  <c r="AI46" i="6"/>
  <c r="AI45" i="6"/>
  <c r="AI44" i="6"/>
  <c r="AI43" i="6"/>
  <c r="AI42" i="6"/>
  <c r="AI41" i="6"/>
  <c r="AI40" i="6"/>
  <c r="AI39" i="6"/>
  <c r="AI38" i="6"/>
  <c r="AI37" i="6"/>
  <c r="AI36" i="6"/>
  <c r="AI35" i="6"/>
  <c r="AI34" i="6"/>
  <c r="AI33" i="6"/>
  <c r="AI32" i="6"/>
  <c r="AI31" i="6"/>
  <c r="AI30" i="6"/>
  <c r="AI29" i="6"/>
  <c r="AI28" i="6"/>
  <c r="AI27" i="6"/>
  <c r="AI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I3" i="6"/>
  <c r="AE64" i="6"/>
  <c r="AE63" i="6"/>
  <c r="AE62" i="6"/>
  <c r="AE61" i="6"/>
  <c r="AE60" i="6"/>
  <c r="AE59" i="6"/>
  <c r="AE58" i="6"/>
  <c r="AE57" i="6"/>
  <c r="AE56" i="6"/>
  <c r="AE55" i="6"/>
  <c r="AE54" i="6"/>
  <c r="AE53" i="6"/>
  <c r="AE52" i="6"/>
  <c r="AE51" i="6"/>
  <c r="AE50" i="6"/>
  <c r="AE49" i="6"/>
  <c r="AE48" i="6"/>
  <c r="AE47" i="6"/>
  <c r="AE46" i="6"/>
  <c r="AE45" i="6"/>
  <c r="AE44" i="6"/>
  <c r="AE43" i="6"/>
  <c r="AE42" i="6"/>
  <c r="AE41" i="6"/>
  <c r="AE40" i="6"/>
  <c r="AE39" i="6"/>
  <c r="AE38" i="6"/>
  <c r="AE37" i="6"/>
  <c r="AE36" i="6"/>
  <c r="AE35" i="6"/>
  <c r="AE34" i="6"/>
  <c r="AE33" i="6"/>
  <c r="AE32" i="6"/>
  <c r="AE31" i="6"/>
  <c r="AE30" i="6"/>
  <c r="AE29" i="6"/>
  <c r="AE28" i="6"/>
  <c r="AE27" i="6"/>
  <c r="AE26" i="6"/>
  <c r="AE25" i="6"/>
  <c r="AE24" i="6"/>
  <c r="AE23" i="6"/>
  <c r="AE22" i="6"/>
  <c r="AE21" i="6"/>
  <c r="AE20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E7" i="6"/>
  <c r="AE6" i="6"/>
  <c r="AE5" i="6"/>
  <c r="AE4" i="6"/>
  <c r="AE3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G64" i="6"/>
  <c r="G63" i="6"/>
  <c r="G62" i="6"/>
  <c r="G61" i="6"/>
  <c r="AL21" i="8" s="1"/>
  <c r="G60" i="6"/>
  <c r="AL20" i="8" s="1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C64" i="6"/>
  <c r="C63" i="6"/>
  <c r="C62" i="6"/>
  <c r="C61" i="6"/>
  <c r="AL8" i="8" s="1"/>
  <c r="C60" i="6"/>
  <c r="AL7" i="8" s="1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AO1" i="6" l="1"/>
  <c r="AK1" i="6"/>
  <c r="AG1" i="6"/>
  <c r="AC1" i="6"/>
  <c r="Y1" i="6"/>
  <c r="U1" i="6"/>
  <c r="Q1" i="6"/>
  <c r="M1" i="6"/>
  <c r="H21" i="11" s="1"/>
  <c r="I1" i="6"/>
  <c r="E1" i="6"/>
  <c r="F48" i="11" l="1"/>
  <c r="F47" i="11"/>
  <c r="H25" i="11"/>
  <c r="J25" i="11" s="1"/>
  <c r="I25" i="11" s="1"/>
  <c r="H26" i="11"/>
  <c r="J26" i="11" s="1"/>
  <c r="I26" i="11" s="1"/>
  <c r="H34" i="11"/>
  <c r="J34" i="11" s="1"/>
  <c r="I34" i="11" s="1"/>
  <c r="H33" i="11"/>
  <c r="J33" i="11" s="1"/>
  <c r="I33" i="11" s="1"/>
  <c r="H41" i="11"/>
  <c r="J41" i="11" s="1"/>
  <c r="I41" i="11" s="1"/>
  <c r="H42" i="11"/>
  <c r="J42" i="11" s="1"/>
  <c r="I42" i="11" s="1"/>
  <c r="H18" i="11"/>
  <c r="J18" i="11" s="1"/>
  <c r="I18" i="11" s="1"/>
  <c r="H17" i="11"/>
  <c r="J17" i="11" s="1"/>
  <c r="I17" i="11" s="1"/>
  <c r="H49" i="11"/>
  <c r="J49" i="11" s="1"/>
  <c r="I49" i="11" s="1"/>
  <c r="H50" i="11"/>
  <c r="J50" i="11" s="1"/>
  <c r="I50" i="11" s="1"/>
  <c r="F42" i="11"/>
  <c r="F41" i="11"/>
  <c r="F18" i="11"/>
  <c r="F17" i="11"/>
  <c r="F25" i="11"/>
  <c r="F26" i="11"/>
  <c r="H9" i="11"/>
  <c r="J9" i="11" s="1"/>
  <c r="I9" i="11" s="1"/>
  <c r="H10" i="11"/>
  <c r="J10" i="11" s="1"/>
  <c r="I10" i="11" s="1"/>
  <c r="F10" i="11"/>
  <c r="F9" i="11"/>
  <c r="F33" i="11"/>
  <c r="F34" i="11"/>
  <c r="E103" i="4" l="1"/>
  <c r="E102" i="4"/>
  <c r="F40" i="11" l="1"/>
  <c r="F39" i="11"/>
  <c r="H38" i="11"/>
  <c r="J38" i="11" s="1"/>
  <c r="I38" i="11" s="1"/>
  <c r="H28" i="11"/>
  <c r="J28" i="11" s="1"/>
  <c r="I28" i="11" s="1"/>
  <c r="H22" i="11"/>
  <c r="J22" i="11" s="1"/>
  <c r="I22" i="11" s="1"/>
  <c r="F16" i="11"/>
  <c r="H8" i="11"/>
  <c r="J8" i="11" s="1"/>
  <c r="I8" i="11" s="1"/>
  <c r="H40" i="11" l="1"/>
  <c r="J40" i="11" s="1"/>
  <c r="I40" i="11" s="1"/>
  <c r="H39" i="11"/>
  <c r="J39" i="11" s="1"/>
  <c r="I39" i="11" s="1"/>
  <c r="H20" i="11"/>
  <c r="J20" i="11" s="1"/>
  <c r="I20" i="11" s="1"/>
  <c r="H15" i="11"/>
  <c r="J15" i="11" s="1"/>
  <c r="I15" i="11" s="1"/>
  <c r="H14" i="11"/>
  <c r="J14" i="11" s="1"/>
  <c r="I14" i="11" s="1"/>
  <c r="H16" i="11"/>
  <c r="J16" i="11" s="1"/>
  <c r="I16" i="11" s="1"/>
  <c r="F31" i="11"/>
  <c r="H13" i="11"/>
  <c r="J13" i="11" s="1"/>
  <c r="I13" i="11" s="1"/>
  <c r="F32" i="11"/>
  <c r="H37" i="11"/>
  <c r="J37" i="11" s="1"/>
  <c r="I37" i="11" s="1"/>
  <c r="F7" i="11"/>
  <c r="H12" i="11"/>
  <c r="J12" i="11" s="1"/>
  <c r="I12" i="11" s="1"/>
  <c r="H36" i="11"/>
  <c r="J36" i="11" s="1"/>
  <c r="I36" i="11" s="1"/>
  <c r="H32" i="11"/>
  <c r="J32" i="11" s="1"/>
  <c r="I32" i="11" s="1"/>
  <c r="H31" i="11"/>
  <c r="J31" i="11" s="1"/>
  <c r="I31" i="11" s="1"/>
  <c r="H30" i="11"/>
  <c r="J30" i="11" s="1"/>
  <c r="I30" i="11" s="1"/>
  <c r="H29" i="11"/>
  <c r="J29" i="11" s="1"/>
  <c r="I29" i="11" s="1"/>
  <c r="F23" i="11"/>
  <c r="H23" i="11"/>
  <c r="J23" i="11" s="1"/>
  <c r="I23" i="11" s="1"/>
  <c r="H24" i="11"/>
  <c r="J24" i="11" s="1"/>
  <c r="I24" i="11" s="1"/>
  <c r="J21" i="11"/>
  <c r="I21" i="11" s="1"/>
  <c r="F24" i="11"/>
  <c r="H7" i="11"/>
  <c r="J7" i="11" s="1"/>
  <c r="I7" i="11" s="1"/>
  <c r="F15" i="11"/>
  <c r="F8" i="11"/>
  <c r="O48" i="11" a="1"/>
  <c r="O48" i="11" s="1"/>
  <c r="P48" i="11" s="1"/>
  <c r="Q48" i="11" s="1"/>
  <c r="O47" i="11" a="1"/>
  <c r="O47" i="11" s="1"/>
  <c r="P47" i="11" s="1"/>
  <c r="Q47" i="11" s="1"/>
  <c r="O40" i="11" a="1"/>
  <c r="O40" i="11" s="1"/>
  <c r="P40" i="11" s="1"/>
  <c r="Q40" i="11" s="1"/>
  <c r="O39" i="11" a="1"/>
  <c r="O39" i="11" s="1"/>
  <c r="O32" i="11" a="1"/>
  <c r="O32" i="11" s="1"/>
  <c r="P32" i="11" s="1"/>
  <c r="Q32" i="11" s="1"/>
  <c r="O31" i="11" a="1"/>
  <c r="O31" i="11" s="1"/>
  <c r="O24" i="11" a="1"/>
  <c r="O24" i="11" s="1"/>
  <c r="P24" i="11" s="1"/>
  <c r="Q24" i="11" s="1"/>
  <c r="O23" i="11" a="1"/>
  <c r="O23" i="11" s="1"/>
  <c r="P23" i="11" s="1"/>
  <c r="Q23" i="11" s="1"/>
  <c r="O16" i="11" a="1"/>
  <c r="O16" i="11" s="1"/>
  <c r="P16" i="11" s="1"/>
  <c r="Q16" i="11" s="1"/>
  <c r="O15" i="11" a="1"/>
  <c r="O15" i="11" s="1"/>
  <c r="O8" i="11" a="1"/>
  <c r="O8" i="11" s="1"/>
  <c r="P8" i="11" s="1"/>
  <c r="Q8" i="11" s="1"/>
  <c r="O7" i="11" a="1"/>
  <c r="O7" i="11" s="1"/>
  <c r="W39" i="11" l="1"/>
  <c r="X39" i="11" s="1"/>
  <c r="Y39" i="11" s="1"/>
  <c r="P39" i="11"/>
  <c r="Q39" i="11" s="1"/>
  <c r="W15" i="11"/>
  <c r="X15" i="11" s="1"/>
  <c r="Y15" i="11" s="1"/>
  <c r="P15" i="11"/>
  <c r="Q15" i="11" s="1"/>
  <c r="W7" i="11"/>
  <c r="X7" i="11" s="1"/>
  <c r="Y7" i="11" s="1"/>
  <c r="P7" i="11"/>
  <c r="Q7" i="11" s="1"/>
  <c r="W31" i="11"/>
  <c r="X31" i="11" s="1"/>
  <c r="Y31" i="11" s="1"/>
  <c r="P31" i="11"/>
  <c r="Q31" i="11" s="1"/>
  <c r="L56" i="11"/>
  <c r="O56" i="11"/>
  <c r="L57" i="11"/>
  <c r="O57" i="11"/>
  <c r="P57" i="11" s="1"/>
  <c r="Q57" i="11" s="1"/>
  <c r="W56" i="11" l="1"/>
  <c r="X56" i="11" s="1"/>
  <c r="Y56" i="11" s="1"/>
  <c r="P56" i="11"/>
  <c r="Q56" i="11" s="1"/>
  <c r="U56" i="11"/>
  <c r="H44" i="11"/>
  <c r="J44" i="11" s="1"/>
  <c r="I44" i="11" s="1"/>
  <c r="H47" i="11"/>
  <c r="J47" i="11" s="1"/>
  <c r="I47" i="11" s="1"/>
  <c r="H45" i="11"/>
  <c r="J45" i="11" s="1"/>
  <c r="I45" i="11" s="1"/>
  <c r="H46" i="11"/>
  <c r="J46" i="11" s="1"/>
  <c r="I46" i="11" s="1"/>
  <c r="H48" i="11"/>
  <c r="J48" i="11" s="1"/>
  <c r="I48" i="11" s="1"/>
  <c r="O46" i="11" a="1"/>
  <c r="O46" i="11" s="1"/>
  <c r="P46" i="11" s="1"/>
  <c r="Q46" i="11" s="1"/>
  <c r="O45" i="11" a="1"/>
  <c r="O45" i="11" s="1"/>
  <c r="P45" i="11" s="1"/>
  <c r="Q45" i="11" s="1"/>
  <c r="O44" i="11" a="1"/>
  <c r="O44" i="11" s="1"/>
  <c r="P44" i="11" s="1"/>
  <c r="Q44" i="11" s="1"/>
  <c r="O43" i="11" a="1"/>
  <c r="O43" i="11" s="1"/>
  <c r="P43" i="11" s="1"/>
  <c r="Q43" i="11" s="1"/>
  <c r="O38" i="11" a="1"/>
  <c r="O38" i="11" s="1"/>
  <c r="P38" i="11" s="1"/>
  <c r="Q38" i="11" s="1"/>
  <c r="O37" i="11" a="1"/>
  <c r="O37" i="11" s="1"/>
  <c r="O36" i="11" a="1"/>
  <c r="O36" i="11" s="1"/>
  <c r="P36" i="11" s="1"/>
  <c r="Q36" i="11" s="1"/>
  <c r="O35" i="11" a="1"/>
  <c r="O35" i="11" s="1"/>
  <c r="O30" i="11" a="1"/>
  <c r="O30" i="11" s="1"/>
  <c r="P30" i="11" s="1"/>
  <c r="Q30" i="11" s="1"/>
  <c r="O29" i="11" a="1"/>
  <c r="O29" i="11" s="1"/>
  <c r="O28" i="11" a="1"/>
  <c r="O28" i="11" s="1"/>
  <c r="P28" i="11" s="1"/>
  <c r="Q28" i="11" s="1"/>
  <c r="O27" i="11" a="1"/>
  <c r="O27" i="11" s="1"/>
  <c r="O22" i="11" a="1"/>
  <c r="O22" i="11" s="1"/>
  <c r="P22" i="11" s="1"/>
  <c r="Q22" i="11" s="1"/>
  <c r="O21" i="11" a="1"/>
  <c r="O21" i="11" s="1"/>
  <c r="P21" i="11" s="1"/>
  <c r="Q21" i="11" s="1"/>
  <c r="O20" i="11" a="1"/>
  <c r="O20" i="11" s="1"/>
  <c r="P20" i="11" s="1"/>
  <c r="Q20" i="11" s="1"/>
  <c r="O19" i="11" a="1"/>
  <c r="O19" i="11" s="1"/>
  <c r="P19" i="11" s="1"/>
  <c r="Q19" i="11" s="1"/>
  <c r="O14" i="11" a="1"/>
  <c r="O14" i="11" s="1"/>
  <c r="P14" i="11" s="1"/>
  <c r="Q14" i="11" s="1"/>
  <c r="O13" i="11" a="1"/>
  <c r="O13" i="11" s="1"/>
  <c r="O12" i="11" a="1"/>
  <c r="O12" i="11" s="1"/>
  <c r="P12" i="11" s="1"/>
  <c r="Q12" i="11" s="1"/>
  <c r="O11" i="11" a="1"/>
  <c r="O11" i="11" s="1"/>
  <c r="O6" i="11" a="1"/>
  <c r="O6" i="11" s="1"/>
  <c r="O5" i="11" a="1"/>
  <c r="O5" i="11" s="1"/>
  <c r="O4" i="11" a="1"/>
  <c r="O4" i="11" s="1"/>
  <c r="P4" i="11" s="1"/>
  <c r="Q4" i="11" s="1"/>
  <c r="O3" i="11" a="1"/>
  <c r="O3" i="11" s="1"/>
  <c r="O54" i="11" l="1"/>
  <c r="W5" i="11"/>
  <c r="X5" i="11" s="1"/>
  <c r="Y5" i="11" s="1"/>
  <c r="P5" i="11"/>
  <c r="Q5" i="11" s="1"/>
  <c r="W27" i="11"/>
  <c r="X27" i="11" s="1"/>
  <c r="Y27" i="11" s="1"/>
  <c r="P27" i="11"/>
  <c r="Q27" i="11" s="1"/>
  <c r="W11" i="11"/>
  <c r="X11" i="11" s="1"/>
  <c r="Y11" i="11" s="1"/>
  <c r="P11" i="11"/>
  <c r="Q11" i="11" s="1"/>
  <c r="W29" i="11"/>
  <c r="X29" i="11" s="1"/>
  <c r="Y29" i="11" s="1"/>
  <c r="P29" i="11"/>
  <c r="Q29" i="11" s="1"/>
  <c r="O55" i="11"/>
  <c r="P55" i="11" s="1"/>
  <c r="Q55" i="11" s="1"/>
  <c r="P6" i="11"/>
  <c r="Q6" i="11" s="1"/>
  <c r="W13" i="11"/>
  <c r="X13" i="11" s="1"/>
  <c r="Y13" i="11" s="1"/>
  <c r="P13" i="11"/>
  <c r="Q13" i="11" s="1"/>
  <c r="W35" i="11"/>
  <c r="X35" i="11" s="1"/>
  <c r="Y35" i="11" s="1"/>
  <c r="P35" i="11"/>
  <c r="Q35" i="11" s="1"/>
  <c r="W37" i="11"/>
  <c r="X37" i="11" s="1"/>
  <c r="Y37" i="11" s="1"/>
  <c r="P37" i="11"/>
  <c r="Q37" i="11" s="1"/>
  <c r="W3" i="11"/>
  <c r="X3" i="11" s="1"/>
  <c r="Y3" i="11" s="1"/>
  <c r="P3" i="11"/>
  <c r="Q3" i="11" s="1"/>
  <c r="O52" i="11"/>
  <c r="L52" i="11"/>
  <c r="L53" i="11"/>
  <c r="O53" i="11"/>
  <c r="P53" i="11" s="1"/>
  <c r="Q53" i="11" s="1"/>
  <c r="L55" i="11"/>
  <c r="L54" i="11"/>
  <c r="U54" i="11" s="1"/>
  <c r="A51" i="10"/>
  <c r="L60" i="11" l="1"/>
  <c r="U52" i="11"/>
  <c r="W52" i="11"/>
  <c r="X52" i="11" s="1"/>
  <c r="Y52" i="11" s="1"/>
  <c r="P52" i="11"/>
  <c r="Q52" i="11" s="1"/>
  <c r="W54" i="11"/>
  <c r="X54" i="11" s="1"/>
  <c r="Y54" i="11" s="1"/>
  <c r="P54" i="11"/>
  <c r="Q54" i="11" s="1"/>
  <c r="A48" i="10"/>
  <c r="A9" i="10" l="1"/>
  <c r="S37" i="10" l="1"/>
  <c r="AG36" i="10"/>
  <c r="M36" i="10"/>
  <c r="AA35" i="10"/>
  <c r="G35" i="10"/>
  <c r="U34" i="10"/>
  <c r="AI33" i="10"/>
  <c r="O33" i="10"/>
  <c r="AC32" i="10"/>
  <c r="I32" i="10"/>
  <c r="W31" i="10"/>
  <c r="AK30" i="10"/>
  <c r="Q30" i="10"/>
  <c r="AE29" i="10"/>
  <c r="K29" i="10"/>
  <c r="Y28" i="10"/>
  <c r="E28" i="10"/>
  <c r="S27" i="10"/>
  <c r="AG26" i="10"/>
  <c r="M26" i="10"/>
  <c r="AA25" i="10"/>
  <c r="G25" i="10"/>
  <c r="U24" i="10"/>
  <c r="AI23" i="10"/>
  <c r="O23" i="10"/>
  <c r="AC22" i="10"/>
  <c r="I22" i="10"/>
  <c r="W21" i="10"/>
  <c r="AK20" i="10"/>
  <c r="Q20" i="10"/>
  <c r="AE19" i="10"/>
  <c r="K19" i="10"/>
  <c r="Y18" i="10"/>
  <c r="E18" i="10"/>
  <c r="S17" i="10"/>
  <c r="AG16" i="10"/>
  <c r="M16" i="10"/>
  <c r="AA15" i="10"/>
  <c r="G15" i="10"/>
  <c r="U14" i="10"/>
  <c r="AI13" i="10"/>
  <c r="O13" i="10"/>
  <c r="AC12" i="10"/>
  <c r="I12" i="10"/>
  <c r="W11" i="10"/>
  <c r="AK10" i="10"/>
  <c r="Q10" i="10"/>
  <c r="AE9" i="10"/>
  <c r="K9" i="10"/>
  <c r="Y8" i="10"/>
  <c r="E8" i="10"/>
  <c r="S7" i="10"/>
  <c r="AG6" i="10"/>
  <c r="M6" i="10"/>
  <c r="AA5" i="10"/>
  <c r="G5" i="10"/>
  <c r="U4" i="10"/>
  <c r="AL37" i="10"/>
  <c r="R37" i="10"/>
  <c r="AF36" i="10"/>
  <c r="L36" i="10"/>
  <c r="Z35" i="10"/>
  <c r="F35" i="10"/>
  <c r="T34" i="10"/>
  <c r="AH33" i="10"/>
  <c r="N33" i="10"/>
  <c r="AB32" i="10"/>
  <c r="H32" i="10"/>
  <c r="V31" i="10"/>
  <c r="AJ30" i="10"/>
  <c r="P30" i="10"/>
  <c r="AD29" i="10"/>
  <c r="J29" i="10"/>
  <c r="X28" i="10"/>
  <c r="AL27" i="10"/>
  <c r="R27" i="10"/>
  <c r="AF26" i="10"/>
  <c r="L26" i="10"/>
  <c r="Z25" i="10"/>
  <c r="F25" i="10"/>
  <c r="T24" i="10"/>
  <c r="AH23" i="10"/>
  <c r="N23" i="10"/>
  <c r="AB22" i="10"/>
  <c r="H22" i="10"/>
  <c r="V21" i="10"/>
  <c r="AJ20" i="10"/>
  <c r="P20" i="10"/>
  <c r="AD19" i="10"/>
  <c r="J19" i="10"/>
  <c r="X18" i="10"/>
  <c r="AL17" i="10"/>
  <c r="R17" i="10"/>
  <c r="AF16" i="10"/>
  <c r="L16" i="10"/>
  <c r="Z15" i="10"/>
  <c r="F15" i="10"/>
  <c r="T14" i="10"/>
  <c r="AH13" i="10"/>
  <c r="N13" i="10"/>
  <c r="AB12" i="10"/>
  <c r="H12" i="10"/>
  <c r="V11" i="10"/>
  <c r="AJ10" i="10"/>
  <c r="P10" i="10"/>
  <c r="AD9" i="10"/>
  <c r="J9" i="10"/>
  <c r="X8" i="10"/>
  <c r="AL7" i="10"/>
  <c r="R7" i="10"/>
  <c r="AF6" i="10"/>
  <c r="L6" i="10"/>
  <c r="Z5" i="10"/>
  <c r="F5" i="10"/>
  <c r="T4" i="10"/>
  <c r="AK37" i="10"/>
  <c r="Q37" i="10"/>
  <c r="AE36" i="10"/>
  <c r="K36" i="10"/>
  <c r="Y35" i="10"/>
  <c r="E35" i="10"/>
  <c r="S34" i="10"/>
  <c r="AG33" i="10"/>
  <c r="M33" i="10"/>
  <c r="AA32" i="10"/>
  <c r="G32" i="10"/>
  <c r="U31" i="10"/>
  <c r="AI30" i="10"/>
  <c r="O30" i="10"/>
  <c r="AC29" i="10"/>
  <c r="I29" i="10"/>
  <c r="W28" i="10"/>
  <c r="AK27" i="10"/>
  <c r="Q27" i="10"/>
  <c r="AE26" i="10"/>
  <c r="K26" i="10"/>
  <c r="Y25" i="10"/>
  <c r="E25" i="10"/>
  <c r="S24" i="10"/>
  <c r="AG23" i="10"/>
  <c r="M23" i="10"/>
  <c r="AA22" i="10"/>
  <c r="G22" i="10"/>
  <c r="U21" i="10"/>
  <c r="AI20" i="10"/>
  <c r="O20" i="10"/>
  <c r="AC19" i="10"/>
  <c r="I19" i="10"/>
  <c r="W18" i="10"/>
  <c r="AK17" i="10"/>
  <c r="Q17" i="10"/>
  <c r="AE16" i="10"/>
  <c r="K16" i="10"/>
  <c r="Y15" i="10"/>
  <c r="E15" i="10"/>
  <c r="S14" i="10"/>
  <c r="AG13" i="10"/>
  <c r="M13" i="10"/>
  <c r="AA12" i="10"/>
  <c r="G12" i="10"/>
  <c r="U11" i="10"/>
  <c r="AI10" i="10"/>
  <c r="O10" i="10"/>
  <c r="AC9" i="10"/>
  <c r="I9" i="10"/>
  <c r="W8" i="10"/>
  <c r="AK7" i="10"/>
  <c r="Q7" i="10"/>
  <c r="AE6" i="10"/>
  <c r="K6" i="10"/>
  <c r="Y5" i="10"/>
  <c r="E5" i="10"/>
  <c r="S4" i="10"/>
  <c r="AJ37" i="10"/>
  <c r="P37" i="10"/>
  <c r="AD36" i="10"/>
  <c r="J36" i="10"/>
  <c r="X35" i="10"/>
  <c r="AL34" i="10"/>
  <c r="R34" i="10"/>
  <c r="AF33" i="10"/>
  <c r="L33" i="10"/>
  <c r="Z32" i="10"/>
  <c r="F32" i="10"/>
  <c r="T31" i="10"/>
  <c r="AH30" i="10"/>
  <c r="N30" i="10"/>
  <c r="AB29" i="10"/>
  <c r="H29" i="10"/>
  <c r="V28" i="10"/>
  <c r="AJ27" i="10"/>
  <c r="P27" i="10"/>
  <c r="AD26" i="10"/>
  <c r="J26" i="10"/>
  <c r="X25" i="10"/>
  <c r="AL24" i="10"/>
  <c r="R24" i="10"/>
  <c r="AF23" i="10"/>
  <c r="L23" i="10"/>
  <c r="Z22" i="10"/>
  <c r="F22" i="10"/>
  <c r="T21" i="10"/>
  <c r="AH20" i="10"/>
  <c r="N20" i="10"/>
  <c r="AB19" i="10"/>
  <c r="H19" i="10"/>
  <c r="V18" i="10"/>
  <c r="AJ17" i="10"/>
  <c r="P17" i="10"/>
  <c r="AD16" i="10"/>
  <c r="J16" i="10"/>
  <c r="X15" i="10"/>
  <c r="AL14" i="10"/>
  <c r="R14" i="10"/>
  <c r="AF13" i="10"/>
  <c r="L13" i="10"/>
  <c r="Z12" i="10"/>
  <c r="F12" i="10"/>
  <c r="T11" i="10"/>
  <c r="AH10" i="10"/>
  <c r="N10" i="10"/>
  <c r="AB9" i="10"/>
  <c r="H9" i="10"/>
  <c r="V8" i="10"/>
  <c r="AJ7" i="10"/>
  <c r="P7" i="10"/>
  <c r="AD6" i="10"/>
  <c r="J6" i="10"/>
  <c r="X5" i="10"/>
  <c r="AL4" i="10"/>
  <c r="R4" i="10"/>
  <c r="AI37" i="10"/>
  <c r="O37" i="10"/>
  <c r="AC36" i="10"/>
  <c r="I36" i="10"/>
  <c r="W35" i="10"/>
  <c r="AK34" i="10"/>
  <c r="Q34" i="10"/>
  <c r="AE33" i="10"/>
  <c r="K33" i="10"/>
  <c r="Y32" i="10"/>
  <c r="E32" i="10"/>
  <c r="S31" i="10"/>
  <c r="AG30" i="10"/>
  <c r="M30" i="10"/>
  <c r="AA29" i="10"/>
  <c r="G29" i="10"/>
  <c r="U28" i="10"/>
  <c r="AI27" i="10"/>
  <c r="O27" i="10"/>
  <c r="AC26" i="10"/>
  <c r="I26" i="10"/>
  <c r="W25" i="10"/>
  <c r="AK24" i="10"/>
  <c r="Q24" i="10"/>
  <c r="AE23" i="10"/>
  <c r="K23" i="10"/>
  <c r="Y22" i="10"/>
  <c r="E22" i="10"/>
  <c r="S21" i="10"/>
  <c r="AG20" i="10"/>
  <c r="M20" i="10"/>
  <c r="AA19" i="10"/>
  <c r="G19" i="10"/>
  <c r="U18" i="10"/>
  <c r="AI17" i="10"/>
  <c r="O17" i="10"/>
  <c r="AC16" i="10"/>
  <c r="I16" i="10"/>
  <c r="W15" i="10"/>
  <c r="AK14" i="10"/>
  <c r="Q14" i="10"/>
  <c r="AE13" i="10"/>
  <c r="K13" i="10"/>
  <c r="Y12" i="10"/>
  <c r="E12" i="10"/>
  <c r="S11" i="10"/>
  <c r="AG10" i="10"/>
  <c r="M10" i="10"/>
  <c r="AA9" i="10"/>
  <c r="G9" i="10"/>
  <c r="U8" i="10"/>
  <c r="AI7" i="10"/>
  <c r="O7" i="10"/>
  <c r="AC6" i="10"/>
  <c r="I6" i="10"/>
  <c r="W5" i="10"/>
  <c r="AK4" i="10"/>
  <c r="Q4" i="10"/>
  <c r="AH37" i="10"/>
  <c r="N37" i="10"/>
  <c r="AB36" i="10"/>
  <c r="H36" i="10"/>
  <c r="V35" i="10"/>
  <c r="AJ34" i="10"/>
  <c r="P34" i="10"/>
  <c r="AD33" i="10"/>
  <c r="J33" i="10"/>
  <c r="X32" i="10"/>
  <c r="AL31" i="10"/>
  <c r="R31" i="10"/>
  <c r="AF30" i="10"/>
  <c r="L30" i="10"/>
  <c r="Z29" i="10"/>
  <c r="F29" i="10"/>
  <c r="T28" i="10"/>
  <c r="AH27" i="10"/>
  <c r="N27" i="10"/>
  <c r="AB26" i="10"/>
  <c r="H26" i="10"/>
  <c r="V25" i="10"/>
  <c r="AJ24" i="10"/>
  <c r="P24" i="10"/>
  <c r="AD23" i="10"/>
  <c r="J23" i="10"/>
  <c r="X22" i="10"/>
  <c r="AL21" i="10"/>
  <c r="R21" i="10"/>
  <c r="AF20" i="10"/>
  <c r="L20" i="10"/>
  <c r="Z19" i="10"/>
  <c r="F19" i="10"/>
  <c r="T18" i="10"/>
  <c r="AH17" i="10"/>
  <c r="N17" i="10"/>
  <c r="AB16" i="10"/>
  <c r="H16" i="10"/>
  <c r="V15" i="10"/>
  <c r="AJ14" i="10"/>
  <c r="P14" i="10"/>
  <c r="AD13" i="10"/>
  <c r="J13" i="10"/>
  <c r="X12" i="10"/>
  <c r="AL11" i="10"/>
  <c r="R11" i="10"/>
  <c r="AF10" i="10"/>
  <c r="L10" i="10"/>
  <c r="Z9" i="10"/>
  <c r="F9" i="10"/>
  <c r="T8" i="10"/>
  <c r="AH7" i="10"/>
  <c r="N7" i="10"/>
  <c r="AB6" i="10"/>
  <c r="H6" i="10"/>
  <c r="V5" i="10"/>
  <c r="AJ4" i="10"/>
  <c r="P4" i="10"/>
  <c r="AG37" i="10"/>
  <c r="M37" i="10"/>
  <c r="AA36" i="10"/>
  <c r="G36" i="10"/>
  <c r="U35" i="10"/>
  <c r="AI34" i="10"/>
  <c r="O34" i="10"/>
  <c r="AC33" i="10"/>
  <c r="I33" i="10"/>
  <c r="W32" i="10"/>
  <c r="AK31" i="10"/>
  <c r="Q31" i="10"/>
  <c r="AE30" i="10"/>
  <c r="K30" i="10"/>
  <c r="Y29" i="10"/>
  <c r="E29" i="10"/>
  <c r="S28" i="10"/>
  <c r="AG27" i="10"/>
  <c r="M27" i="10"/>
  <c r="AA26" i="10"/>
  <c r="G26" i="10"/>
  <c r="U25" i="10"/>
  <c r="AI24" i="10"/>
  <c r="O24" i="10"/>
  <c r="AC23" i="10"/>
  <c r="I23" i="10"/>
  <c r="W22" i="10"/>
  <c r="AK21" i="10"/>
  <c r="Q21" i="10"/>
  <c r="AE20" i="10"/>
  <c r="K20" i="10"/>
  <c r="Y19" i="10"/>
  <c r="E19" i="10"/>
  <c r="S18" i="10"/>
  <c r="AG17" i="10"/>
  <c r="M17" i="10"/>
  <c r="AA16" i="10"/>
  <c r="G16" i="10"/>
  <c r="U15" i="10"/>
  <c r="AI14" i="10"/>
  <c r="O14" i="10"/>
  <c r="AC13" i="10"/>
  <c r="I13" i="10"/>
  <c r="W12" i="10"/>
  <c r="AK11" i="10"/>
  <c r="Q11" i="10"/>
  <c r="AE10" i="10"/>
  <c r="K10" i="10"/>
  <c r="Y9" i="10"/>
  <c r="E9" i="10"/>
  <c r="S8" i="10"/>
  <c r="AG7" i="10"/>
  <c r="M7" i="10"/>
  <c r="AA6" i="10"/>
  <c r="G6" i="10"/>
  <c r="U5" i="10"/>
  <c r="AI4" i="10"/>
  <c r="O4" i="10"/>
  <c r="AF37" i="10"/>
  <c r="L37" i="10"/>
  <c r="Z36" i="10"/>
  <c r="F36" i="10"/>
  <c r="T35" i="10"/>
  <c r="AH34" i="10"/>
  <c r="N34" i="10"/>
  <c r="AB33" i="10"/>
  <c r="H33" i="10"/>
  <c r="V32" i="10"/>
  <c r="AJ31" i="10"/>
  <c r="P31" i="10"/>
  <c r="AD30" i="10"/>
  <c r="J30" i="10"/>
  <c r="X29" i="10"/>
  <c r="AL28" i="10"/>
  <c r="R28" i="10"/>
  <c r="AF27" i="10"/>
  <c r="L27" i="10"/>
  <c r="Z26" i="10"/>
  <c r="F26" i="10"/>
  <c r="T25" i="10"/>
  <c r="AH24" i="10"/>
  <c r="N24" i="10"/>
  <c r="AB23" i="10"/>
  <c r="H23" i="10"/>
  <c r="V22" i="10"/>
  <c r="AJ21" i="10"/>
  <c r="P21" i="10"/>
  <c r="AD20" i="10"/>
  <c r="J20" i="10"/>
  <c r="X19" i="10"/>
  <c r="AL18" i="10"/>
  <c r="R18" i="10"/>
  <c r="AF17" i="10"/>
  <c r="L17" i="10"/>
  <c r="Z16" i="10"/>
  <c r="F16" i="10"/>
  <c r="T15" i="10"/>
  <c r="AH14" i="10"/>
  <c r="N14" i="10"/>
  <c r="AB13" i="10"/>
  <c r="H13" i="10"/>
  <c r="V12" i="10"/>
  <c r="AJ11" i="10"/>
  <c r="P11" i="10"/>
  <c r="AD10" i="10"/>
  <c r="J10" i="10"/>
  <c r="X9" i="10"/>
  <c r="AL8" i="10"/>
  <c r="R8" i="10"/>
  <c r="AF7" i="10"/>
  <c r="L7" i="10"/>
  <c r="Z6" i="10"/>
  <c r="F6" i="10"/>
  <c r="T5" i="10"/>
  <c r="AH4" i="10"/>
  <c r="N4" i="10"/>
  <c r="AE37" i="10"/>
  <c r="K37" i="10"/>
  <c r="Y36" i="10"/>
  <c r="E36" i="10"/>
  <c r="S35" i="10"/>
  <c r="AG34" i="10"/>
  <c r="M34" i="10"/>
  <c r="AA33" i="10"/>
  <c r="G33" i="10"/>
  <c r="U32" i="10"/>
  <c r="AI31" i="10"/>
  <c r="O31" i="10"/>
  <c r="AC30" i="10"/>
  <c r="I30" i="10"/>
  <c r="W29" i="10"/>
  <c r="AK28" i="10"/>
  <c r="Q28" i="10"/>
  <c r="AE27" i="10"/>
  <c r="K27" i="10"/>
  <c r="Y26" i="10"/>
  <c r="E26" i="10"/>
  <c r="S25" i="10"/>
  <c r="AG24" i="10"/>
  <c r="M24" i="10"/>
  <c r="AA23" i="10"/>
  <c r="G23" i="10"/>
  <c r="U22" i="10"/>
  <c r="AI21" i="10"/>
  <c r="O21" i="10"/>
  <c r="AC20" i="10"/>
  <c r="I20" i="10"/>
  <c r="W19" i="10"/>
  <c r="AK18" i="10"/>
  <c r="Q18" i="10"/>
  <c r="AE17" i="10"/>
  <c r="K17" i="10"/>
  <c r="Y16" i="10"/>
  <c r="E16" i="10"/>
  <c r="S15" i="10"/>
  <c r="AG14" i="10"/>
  <c r="M14" i="10"/>
  <c r="AA13" i="10"/>
  <c r="G13" i="10"/>
  <c r="U12" i="10"/>
  <c r="AI11" i="10"/>
  <c r="O11" i="10"/>
  <c r="AC10" i="10"/>
  <c r="I10" i="10"/>
  <c r="W9" i="10"/>
  <c r="AK8" i="10"/>
  <c r="Q8" i="10"/>
  <c r="AE7" i="10"/>
  <c r="K7" i="10"/>
  <c r="Y6" i="10"/>
  <c r="E6" i="10"/>
  <c r="S5" i="10"/>
  <c r="AG4" i="10"/>
  <c r="M4" i="10"/>
  <c r="AD37" i="10"/>
  <c r="J37" i="10"/>
  <c r="X36" i="10"/>
  <c r="AL35" i="10"/>
  <c r="R35" i="10"/>
  <c r="AF34" i="10"/>
  <c r="L34" i="10"/>
  <c r="Z33" i="10"/>
  <c r="F33" i="10"/>
  <c r="T32" i="10"/>
  <c r="AH31" i="10"/>
  <c r="N31" i="10"/>
  <c r="AB30" i="10"/>
  <c r="H30" i="10"/>
  <c r="V29" i="10"/>
  <c r="AJ28" i="10"/>
  <c r="P28" i="10"/>
  <c r="AD27" i="10"/>
  <c r="J27" i="10"/>
  <c r="X26" i="10"/>
  <c r="AL25" i="10"/>
  <c r="R25" i="10"/>
  <c r="AF24" i="10"/>
  <c r="L24" i="10"/>
  <c r="Z23" i="10"/>
  <c r="F23" i="10"/>
  <c r="T22" i="10"/>
  <c r="AH21" i="10"/>
  <c r="N21" i="10"/>
  <c r="AB20" i="10"/>
  <c r="H20" i="10"/>
  <c r="V19" i="10"/>
  <c r="AJ18" i="10"/>
  <c r="P18" i="10"/>
  <c r="AD17" i="10"/>
  <c r="J17" i="10"/>
  <c r="X16" i="10"/>
  <c r="AL15" i="10"/>
  <c r="R15" i="10"/>
  <c r="AF14" i="10"/>
  <c r="L14" i="10"/>
  <c r="Z13" i="10"/>
  <c r="F13" i="10"/>
  <c r="T12" i="10"/>
  <c r="AH11" i="10"/>
  <c r="N11" i="10"/>
  <c r="AB10" i="10"/>
  <c r="H10" i="10"/>
  <c r="V9" i="10"/>
  <c r="AJ8" i="10"/>
  <c r="P8" i="10"/>
  <c r="AD7" i="10"/>
  <c r="J7" i="10"/>
  <c r="X6" i="10"/>
  <c r="AL5" i="10"/>
  <c r="R5" i="10"/>
  <c r="AF4" i="10"/>
  <c r="L4" i="10"/>
  <c r="AC37" i="10"/>
  <c r="I37" i="10"/>
  <c r="W36" i="10"/>
  <c r="AK35" i="10"/>
  <c r="Q35" i="10"/>
  <c r="AE34" i="10"/>
  <c r="K34" i="10"/>
  <c r="Y33" i="10"/>
  <c r="E33" i="10"/>
  <c r="S32" i="10"/>
  <c r="AG31" i="10"/>
  <c r="M31" i="10"/>
  <c r="AA30" i="10"/>
  <c r="G30" i="10"/>
  <c r="U29" i="10"/>
  <c r="AI28" i="10"/>
  <c r="O28" i="10"/>
  <c r="AC27" i="10"/>
  <c r="I27" i="10"/>
  <c r="W26" i="10"/>
  <c r="AK25" i="10"/>
  <c r="Q25" i="10"/>
  <c r="AE24" i="10"/>
  <c r="K24" i="10"/>
  <c r="Y23" i="10"/>
  <c r="E23" i="10"/>
  <c r="S22" i="10"/>
  <c r="AG21" i="10"/>
  <c r="M21" i="10"/>
  <c r="AA20" i="10"/>
  <c r="G20" i="10"/>
  <c r="U19" i="10"/>
  <c r="AI18" i="10"/>
  <c r="O18" i="10"/>
  <c r="AC17" i="10"/>
  <c r="I17" i="10"/>
  <c r="W16" i="10"/>
  <c r="AK15" i="10"/>
  <c r="Q15" i="10"/>
  <c r="AE14" i="10"/>
  <c r="K14" i="10"/>
  <c r="Y13" i="10"/>
  <c r="E13" i="10"/>
  <c r="S12" i="10"/>
  <c r="AG11" i="10"/>
  <c r="M11" i="10"/>
  <c r="AA10" i="10"/>
  <c r="G10" i="10"/>
  <c r="U9" i="10"/>
  <c r="AI8" i="10"/>
  <c r="O8" i="10"/>
  <c r="AC7" i="10"/>
  <c r="I7" i="10"/>
  <c r="W6" i="10"/>
  <c r="AK5" i="10"/>
  <c r="Q5" i="10"/>
  <c r="AE4" i="10"/>
  <c r="K4" i="10"/>
  <c r="AB37" i="10"/>
  <c r="H37" i="10"/>
  <c r="V36" i="10"/>
  <c r="AJ35" i="10"/>
  <c r="P35" i="10"/>
  <c r="AD34" i="10"/>
  <c r="J34" i="10"/>
  <c r="X33" i="10"/>
  <c r="AL32" i="10"/>
  <c r="R32" i="10"/>
  <c r="AF31" i="10"/>
  <c r="L31" i="10"/>
  <c r="Z30" i="10"/>
  <c r="F30" i="10"/>
  <c r="T29" i="10"/>
  <c r="AH28" i="10"/>
  <c r="N28" i="10"/>
  <c r="AB27" i="10"/>
  <c r="H27" i="10"/>
  <c r="V26" i="10"/>
  <c r="AJ25" i="10"/>
  <c r="P25" i="10"/>
  <c r="AD24" i="10"/>
  <c r="J24" i="10"/>
  <c r="X23" i="10"/>
  <c r="AL22" i="10"/>
  <c r="R22" i="10"/>
  <c r="AF21" i="10"/>
  <c r="L21" i="10"/>
  <c r="Z20" i="10"/>
  <c r="F20" i="10"/>
  <c r="T19" i="10"/>
  <c r="AH18" i="10"/>
  <c r="N18" i="10"/>
  <c r="AB17" i="10"/>
  <c r="H17" i="10"/>
  <c r="V16" i="10"/>
  <c r="AJ15" i="10"/>
  <c r="P15" i="10"/>
  <c r="AD14" i="10"/>
  <c r="J14" i="10"/>
  <c r="X13" i="10"/>
  <c r="AL12" i="10"/>
  <c r="R12" i="10"/>
  <c r="AF11" i="10"/>
  <c r="L11" i="10"/>
  <c r="Z10" i="10"/>
  <c r="F10" i="10"/>
  <c r="T9" i="10"/>
  <c r="AH8" i="10"/>
  <c r="N8" i="10"/>
  <c r="AB7" i="10"/>
  <c r="H7" i="10"/>
  <c r="V6" i="10"/>
  <c r="AJ5" i="10"/>
  <c r="P5" i="10"/>
  <c r="AD4" i="10"/>
  <c r="J4" i="10"/>
  <c r="AA37" i="10"/>
  <c r="G37" i="10"/>
  <c r="U36" i="10"/>
  <c r="AI35" i="10"/>
  <c r="O35" i="10"/>
  <c r="AC34" i="10"/>
  <c r="I34" i="10"/>
  <c r="W33" i="10"/>
  <c r="AK32" i="10"/>
  <c r="Q32" i="10"/>
  <c r="AE31" i="10"/>
  <c r="K31" i="10"/>
  <c r="Y30" i="10"/>
  <c r="E30" i="10"/>
  <c r="S29" i="10"/>
  <c r="AG28" i="10"/>
  <c r="M28" i="10"/>
  <c r="AA27" i="10"/>
  <c r="G27" i="10"/>
  <c r="U26" i="10"/>
  <c r="AI25" i="10"/>
  <c r="O25" i="10"/>
  <c r="AC24" i="10"/>
  <c r="I24" i="10"/>
  <c r="W23" i="10"/>
  <c r="AK22" i="10"/>
  <c r="Q22" i="10"/>
  <c r="AE21" i="10"/>
  <c r="K21" i="10"/>
  <c r="Y20" i="10"/>
  <c r="E20" i="10"/>
  <c r="S19" i="10"/>
  <c r="AG18" i="10"/>
  <c r="M18" i="10"/>
  <c r="AA17" i="10"/>
  <c r="G17" i="10"/>
  <c r="U16" i="10"/>
  <c r="AI15" i="10"/>
  <c r="O15" i="10"/>
  <c r="AC14" i="10"/>
  <c r="I14" i="10"/>
  <c r="W13" i="10"/>
  <c r="AK12" i="10"/>
  <c r="Q12" i="10"/>
  <c r="AE11" i="10"/>
  <c r="K11" i="10"/>
  <c r="Y10" i="10"/>
  <c r="E10" i="10"/>
  <c r="S9" i="10"/>
  <c r="AG8" i="10"/>
  <c r="M8" i="10"/>
  <c r="AA7" i="10"/>
  <c r="G7" i="10"/>
  <c r="U6" i="10"/>
  <c r="AI5" i="10"/>
  <c r="O5" i="10"/>
  <c r="AC4" i="10"/>
  <c r="I4" i="10"/>
  <c r="Z37" i="10"/>
  <c r="F37" i="10"/>
  <c r="T36" i="10"/>
  <c r="AH35" i="10"/>
  <c r="N35" i="10"/>
  <c r="AB34" i="10"/>
  <c r="H34" i="10"/>
  <c r="V33" i="10"/>
  <c r="AJ32" i="10"/>
  <c r="P32" i="10"/>
  <c r="AD31" i="10"/>
  <c r="J31" i="10"/>
  <c r="X30" i="10"/>
  <c r="AL29" i="10"/>
  <c r="R29" i="10"/>
  <c r="AF28" i="10"/>
  <c r="L28" i="10"/>
  <c r="Z27" i="10"/>
  <c r="F27" i="10"/>
  <c r="T26" i="10"/>
  <c r="AH25" i="10"/>
  <c r="N25" i="10"/>
  <c r="AB24" i="10"/>
  <c r="H24" i="10"/>
  <c r="V23" i="10"/>
  <c r="AJ22" i="10"/>
  <c r="P22" i="10"/>
  <c r="AD21" i="10"/>
  <c r="J21" i="10"/>
  <c r="X20" i="10"/>
  <c r="AL19" i="10"/>
  <c r="R19" i="10"/>
  <c r="AF18" i="10"/>
  <c r="L18" i="10"/>
  <c r="Z17" i="10"/>
  <c r="F17" i="10"/>
  <c r="T16" i="10"/>
  <c r="AH15" i="10"/>
  <c r="N15" i="10"/>
  <c r="AB14" i="10"/>
  <c r="H14" i="10"/>
  <c r="V13" i="10"/>
  <c r="AJ12" i="10"/>
  <c r="P12" i="10"/>
  <c r="AD11" i="10"/>
  <c r="J11" i="10"/>
  <c r="X10" i="10"/>
  <c r="AL9" i="10"/>
  <c r="R9" i="10"/>
  <c r="AF8" i="10"/>
  <c r="L8" i="10"/>
  <c r="Z7" i="10"/>
  <c r="F7" i="10"/>
  <c r="T6" i="10"/>
  <c r="AH5" i="10"/>
  <c r="N5" i="10"/>
  <c r="AB4" i="10"/>
  <c r="H4" i="10"/>
  <c r="Y37" i="10"/>
  <c r="E37" i="10"/>
  <c r="S36" i="10"/>
  <c r="AG35" i="10"/>
  <c r="M35" i="10"/>
  <c r="AA34" i="10"/>
  <c r="G34" i="10"/>
  <c r="U33" i="10"/>
  <c r="AI32" i="10"/>
  <c r="O32" i="10"/>
  <c r="AC31" i="10"/>
  <c r="I31" i="10"/>
  <c r="W30" i="10"/>
  <c r="AK29" i="10"/>
  <c r="Q29" i="10"/>
  <c r="AE28" i="10"/>
  <c r="K28" i="10"/>
  <c r="Y27" i="10"/>
  <c r="E27" i="10"/>
  <c r="S26" i="10"/>
  <c r="AG25" i="10"/>
  <c r="M25" i="10"/>
  <c r="AA24" i="10"/>
  <c r="G24" i="10"/>
  <c r="U23" i="10"/>
  <c r="AI22" i="10"/>
  <c r="O22" i="10"/>
  <c r="AC21" i="10"/>
  <c r="I21" i="10"/>
  <c r="W20" i="10"/>
  <c r="AK19" i="10"/>
  <c r="Q19" i="10"/>
  <c r="AE18" i="10"/>
  <c r="K18" i="10"/>
  <c r="Y17" i="10"/>
  <c r="E17" i="10"/>
  <c r="S16" i="10"/>
  <c r="AG15" i="10"/>
  <c r="M15" i="10"/>
  <c r="AA14" i="10"/>
  <c r="G14" i="10"/>
  <c r="U13" i="10"/>
  <c r="AI12" i="10"/>
  <c r="O12" i="10"/>
  <c r="AC11" i="10"/>
  <c r="I11" i="10"/>
  <c r="W10" i="10"/>
  <c r="AK9" i="10"/>
  <c r="Q9" i="10"/>
  <c r="AE8" i="10"/>
  <c r="K8" i="10"/>
  <c r="Y7" i="10"/>
  <c r="E7" i="10"/>
  <c r="S6" i="10"/>
  <c r="AG5" i="10"/>
  <c r="M5" i="10"/>
  <c r="AA4" i="10"/>
  <c r="G4" i="10"/>
  <c r="X37" i="10"/>
  <c r="AL36" i="10"/>
  <c r="R36" i="10"/>
  <c r="AF35" i="10"/>
  <c r="L35" i="10"/>
  <c r="Z34" i="10"/>
  <c r="F34" i="10"/>
  <c r="T33" i="10"/>
  <c r="AH32" i="10"/>
  <c r="N32" i="10"/>
  <c r="AB31" i="10"/>
  <c r="H31" i="10"/>
  <c r="V30" i="10"/>
  <c r="AJ29" i="10"/>
  <c r="P29" i="10"/>
  <c r="AD28" i="10"/>
  <c r="J28" i="10"/>
  <c r="X27" i="10"/>
  <c r="AL26" i="10"/>
  <c r="R26" i="10"/>
  <c r="AF25" i="10"/>
  <c r="L25" i="10"/>
  <c r="Z24" i="10"/>
  <c r="F24" i="10"/>
  <c r="T23" i="10"/>
  <c r="AH22" i="10"/>
  <c r="N22" i="10"/>
  <c r="AB21" i="10"/>
  <c r="H21" i="10"/>
  <c r="V20" i="10"/>
  <c r="AJ19" i="10"/>
  <c r="P19" i="10"/>
  <c r="AD18" i="10"/>
  <c r="J18" i="10"/>
  <c r="X17" i="10"/>
  <c r="AL16" i="10"/>
  <c r="R16" i="10"/>
  <c r="AF15" i="10"/>
  <c r="L15" i="10"/>
  <c r="Z14" i="10"/>
  <c r="F14" i="10"/>
  <c r="T13" i="10"/>
  <c r="AH12" i="10"/>
  <c r="N12" i="10"/>
  <c r="AB11" i="10"/>
  <c r="H11" i="10"/>
  <c r="V10" i="10"/>
  <c r="AJ9" i="10"/>
  <c r="P9" i="10"/>
  <c r="AD8" i="10"/>
  <c r="J8" i="10"/>
  <c r="X7" i="10"/>
  <c r="AL6" i="10"/>
  <c r="R6" i="10"/>
  <c r="AF5" i="10"/>
  <c r="L5" i="10"/>
  <c r="Z4" i="10"/>
  <c r="F4" i="10"/>
  <c r="W37" i="10"/>
  <c r="AK36" i="10"/>
  <c r="Q36" i="10"/>
  <c r="AE35" i="10"/>
  <c r="K35" i="10"/>
  <c r="Y34" i="10"/>
  <c r="E34" i="10"/>
  <c r="S33" i="10"/>
  <c r="AG32" i="10"/>
  <c r="M32" i="10"/>
  <c r="AA31" i="10"/>
  <c r="G31" i="10"/>
  <c r="U30" i="10"/>
  <c r="AI29" i="10"/>
  <c r="O29" i="10"/>
  <c r="AC28" i="10"/>
  <c r="I28" i="10"/>
  <c r="W27" i="10"/>
  <c r="AK26" i="10"/>
  <c r="Q26" i="10"/>
  <c r="AE25" i="10"/>
  <c r="K25" i="10"/>
  <c r="Y24" i="10"/>
  <c r="E24" i="10"/>
  <c r="S23" i="10"/>
  <c r="AG22" i="10"/>
  <c r="M22" i="10"/>
  <c r="AA21" i="10"/>
  <c r="G21" i="10"/>
  <c r="U20" i="10"/>
  <c r="AI19" i="10"/>
  <c r="O19" i="10"/>
  <c r="AC18" i="10"/>
  <c r="I18" i="10"/>
  <c r="W17" i="10"/>
  <c r="AK16" i="10"/>
  <c r="Q16" i="10"/>
  <c r="AE15" i="10"/>
  <c r="K15" i="10"/>
  <c r="Y14" i="10"/>
  <c r="E14" i="10"/>
  <c r="S13" i="10"/>
  <c r="AG12" i="10"/>
  <c r="M12" i="10"/>
  <c r="AA11" i="10"/>
  <c r="G11" i="10"/>
  <c r="U10" i="10"/>
  <c r="AI9" i="10"/>
  <c r="O9" i="10"/>
  <c r="AC8" i="10"/>
  <c r="I8" i="10"/>
  <c r="W7" i="10"/>
  <c r="AK6" i="10"/>
  <c r="Q6" i="10"/>
  <c r="AE5" i="10"/>
  <c r="K5" i="10"/>
  <c r="Y4" i="10"/>
  <c r="E4" i="10"/>
  <c r="V37" i="10"/>
  <c r="AJ36" i="10"/>
  <c r="P36" i="10"/>
  <c r="AD35" i="10"/>
  <c r="J35" i="10"/>
  <c r="X34" i="10"/>
  <c r="AL33" i="10"/>
  <c r="R33" i="10"/>
  <c r="AF32" i="10"/>
  <c r="L32" i="10"/>
  <c r="Z31" i="10"/>
  <c r="F31" i="10"/>
  <c r="T30" i="10"/>
  <c r="AH29" i="10"/>
  <c r="N29" i="10"/>
  <c r="AB28" i="10"/>
  <c r="H28" i="10"/>
  <c r="V27" i="10"/>
  <c r="AJ26" i="10"/>
  <c r="P26" i="10"/>
  <c r="AD25" i="10"/>
  <c r="J25" i="10"/>
  <c r="X24" i="10"/>
  <c r="AL23" i="10"/>
  <c r="R23" i="10"/>
  <c r="AF22" i="10"/>
  <c r="L22" i="10"/>
  <c r="Z21" i="10"/>
  <c r="F21" i="10"/>
  <c r="T20" i="10"/>
  <c r="AH19" i="10"/>
  <c r="N19" i="10"/>
  <c r="AB18" i="10"/>
  <c r="H18" i="10"/>
  <c r="V17" i="10"/>
  <c r="AJ16" i="10"/>
  <c r="P16" i="10"/>
  <c r="AD15" i="10"/>
  <c r="J15" i="10"/>
  <c r="X14" i="10"/>
  <c r="AL13" i="10"/>
  <c r="R13" i="10"/>
  <c r="AF12" i="10"/>
  <c r="L12" i="10"/>
  <c r="Z11" i="10"/>
  <c r="F11" i="10"/>
  <c r="T10" i="10"/>
  <c r="AH9" i="10"/>
  <c r="N9" i="10"/>
  <c r="AB8" i="10"/>
  <c r="H8" i="10"/>
  <c r="V7" i="10"/>
  <c r="AJ6" i="10"/>
  <c r="P6" i="10"/>
  <c r="AD5" i="10"/>
  <c r="J5" i="10"/>
  <c r="X4" i="10"/>
  <c r="U37" i="10"/>
  <c r="AI36" i="10"/>
  <c r="O36" i="10"/>
  <c r="AC35" i="10"/>
  <c r="I35" i="10"/>
  <c r="W34" i="10"/>
  <c r="AK33" i="10"/>
  <c r="Q33" i="10"/>
  <c r="AE32" i="10"/>
  <c r="K32" i="10"/>
  <c r="Y31" i="10"/>
  <c r="E31" i="10"/>
  <c r="S30" i="10"/>
  <c r="AG29" i="10"/>
  <c r="M29" i="10"/>
  <c r="AA28" i="10"/>
  <c r="G28" i="10"/>
  <c r="U27" i="10"/>
  <c r="AI26" i="10"/>
  <c r="O26" i="10"/>
  <c r="AC25" i="10"/>
  <c r="I25" i="10"/>
  <c r="W24" i="10"/>
  <c r="AK23" i="10"/>
  <c r="Q23" i="10"/>
  <c r="AE22" i="10"/>
  <c r="K22" i="10"/>
  <c r="Y21" i="10"/>
  <c r="E21" i="10"/>
  <c r="S20" i="10"/>
  <c r="AG19" i="10"/>
  <c r="M19" i="10"/>
  <c r="AA18" i="10"/>
  <c r="G18" i="10"/>
  <c r="U17" i="10"/>
  <c r="AI16" i="10"/>
  <c r="O16" i="10"/>
  <c r="AC15" i="10"/>
  <c r="I15" i="10"/>
  <c r="W14" i="10"/>
  <c r="AK13" i="10"/>
  <c r="Q13" i="10"/>
  <c r="AE12" i="10"/>
  <c r="K12" i="10"/>
  <c r="Y11" i="10"/>
  <c r="E11" i="10"/>
  <c r="S10" i="10"/>
  <c r="AG9" i="10"/>
  <c r="M9" i="10"/>
  <c r="AA8" i="10"/>
  <c r="G8" i="10"/>
  <c r="U7" i="10"/>
  <c r="AI6" i="10"/>
  <c r="O6" i="10"/>
  <c r="AC5" i="10"/>
  <c r="I5" i="10"/>
  <c r="W4" i="10"/>
  <c r="T37" i="10"/>
  <c r="AH36" i="10"/>
  <c r="N36" i="10"/>
  <c r="AB35" i="10"/>
  <c r="H35" i="10"/>
  <c r="V34" i="10"/>
  <c r="AJ33" i="10"/>
  <c r="P33" i="10"/>
  <c r="AD32" i="10"/>
  <c r="J32" i="10"/>
  <c r="X31" i="10"/>
  <c r="AL30" i="10"/>
  <c r="R30" i="10"/>
  <c r="AF29" i="10"/>
  <c r="L29" i="10"/>
  <c r="Z28" i="10"/>
  <c r="F28" i="10"/>
  <c r="T27" i="10"/>
  <c r="AH26" i="10"/>
  <c r="N26" i="10"/>
  <c r="AB25" i="10"/>
  <c r="H25" i="10"/>
  <c r="V24" i="10"/>
  <c r="AJ23" i="10"/>
  <c r="P23" i="10"/>
  <c r="AD22" i="10"/>
  <c r="J22" i="10"/>
  <c r="X21" i="10"/>
  <c r="AL20" i="10"/>
  <c r="R20" i="10"/>
  <c r="AF19" i="10"/>
  <c r="L19" i="10"/>
  <c r="Z18" i="10"/>
  <c r="F18" i="10"/>
  <c r="T17" i="10"/>
  <c r="AH16" i="10"/>
  <c r="N16" i="10"/>
  <c r="AB15" i="10"/>
  <c r="H15" i="10"/>
  <c r="V14" i="10"/>
  <c r="AJ13" i="10"/>
  <c r="P13" i="10"/>
  <c r="AD12" i="10"/>
  <c r="J12" i="10"/>
  <c r="X11" i="10"/>
  <c r="AL10" i="10"/>
  <c r="R10" i="10"/>
  <c r="AF9" i="10"/>
  <c r="L9" i="10"/>
  <c r="Z8" i="10"/>
  <c r="F8" i="10"/>
  <c r="T7" i="10"/>
  <c r="AH6" i="10"/>
  <c r="N6" i="10"/>
  <c r="AB5" i="10"/>
  <c r="H5" i="10"/>
  <c r="V4" i="10"/>
  <c r="A45" i="10"/>
  <c r="AL77" i="10" l="1"/>
  <c r="R77" i="10"/>
  <c r="AF76" i="10"/>
  <c r="L76" i="10"/>
  <c r="Z75" i="10"/>
  <c r="F75" i="10"/>
  <c r="T74" i="10"/>
  <c r="AH73" i="10"/>
  <c r="N73" i="10"/>
  <c r="AB72" i="10"/>
  <c r="H72" i="10"/>
  <c r="V71" i="10"/>
  <c r="AJ70" i="10"/>
  <c r="P70" i="10"/>
  <c r="AD69" i="10"/>
  <c r="J69" i="10"/>
  <c r="X68" i="10"/>
  <c r="AL67" i="10"/>
  <c r="R67" i="10"/>
  <c r="AF66" i="10"/>
  <c r="L66" i="10"/>
  <c r="Z65" i="10"/>
  <c r="F65" i="10"/>
  <c r="T64" i="10"/>
  <c r="AH63" i="10"/>
  <c r="N63" i="10"/>
  <c r="AB62" i="10"/>
  <c r="H62" i="10"/>
  <c r="V61" i="10"/>
  <c r="AJ60" i="10"/>
  <c r="P60" i="10"/>
  <c r="AD59" i="10"/>
  <c r="J59" i="10"/>
  <c r="X58" i="10"/>
  <c r="AL57" i="10"/>
  <c r="R57" i="10"/>
  <c r="AF56" i="10"/>
  <c r="L56" i="10"/>
  <c r="Z55" i="10"/>
  <c r="F55" i="10"/>
  <c r="T54" i="10"/>
  <c r="AH53" i="10"/>
  <c r="N53" i="10"/>
  <c r="AB52" i="10"/>
  <c r="H52" i="10"/>
  <c r="V51" i="10"/>
  <c r="AJ50" i="10"/>
  <c r="P50" i="10"/>
  <c r="AD49" i="10"/>
  <c r="J49" i="10"/>
  <c r="X48" i="10"/>
  <c r="AL47" i="10"/>
  <c r="R47" i="10"/>
  <c r="AF46" i="10"/>
  <c r="L46" i="10"/>
  <c r="Z45" i="10"/>
  <c r="F45" i="10"/>
  <c r="T44" i="10"/>
  <c r="AK54" i="10"/>
  <c r="AG50" i="10"/>
  <c r="AK77" i="10"/>
  <c r="Q77" i="10"/>
  <c r="AE76" i="10"/>
  <c r="K76" i="10"/>
  <c r="Y75" i="10"/>
  <c r="E75" i="10"/>
  <c r="S74" i="10"/>
  <c r="AG73" i="10"/>
  <c r="M73" i="10"/>
  <c r="AA72" i="10"/>
  <c r="G72" i="10"/>
  <c r="U71" i="10"/>
  <c r="AI70" i="10"/>
  <c r="O70" i="10"/>
  <c r="AC69" i="10"/>
  <c r="I69" i="10"/>
  <c r="W68" i="10"/>
  <c r="AK67" i="10"/>
  <c r="Q67" i="10"/>
  <c r="AE66" i="10"/>
  <c r="K66" i="10"/>
  <c r="Y65" i="10"/>
  <c r="E65" i="10"/>
  <c r="S64" i="10"/>
  <c r="AG63" i="10"/>
  <c r="M63" i="10"/>
  <c r="AA62" i="10"/>
  <c r="G62" i="10"/>
  <c r="U61" i="10"/>
  <c r="AI60" i="10"/>
  <c r="O60" i="10"/>
  <c r="AC59" i="10"/>
  <c r="I59" i="10"/>
  <c r="W58" i="10"/>
  <c r="AK57" i="10"/>
  <c r="Q57" i="10"/>
  <c r="AE56" i="10"/>
  <c r="K56" i="10"/>
  <c r="Y55" i="10"/>
  <c r="E55" i="10"/>
  <c r="S54" i="10"/>
  <c r="AG53" i="10"/>
  <c r="M53" i="10"/>
  <c r="AA52" i="10"/>
  <c r="G52" i="10"/>
  <c r="U51" i="10"/>
  <c r="AI50" i="10"/>
  <c r="O50" i="10"/>
  <c r="AC49" i="10"/>
  <c r="I49" i="10"/>
  <c r="W48" i="10"/>
  <c r="AK47" i="10"/>
  <c r="Q47" i="10"/>
  <c r="AE46" i="10"/>
  <c r="K46" i="10"/>
  <c r="Y45" i="10"/>
  <c r="E45" i="10"/>
  <c r="S44" i="10"/>
  <c r="G59" i="10"/>
  <c r="Y52" i="10"/>
  <c r="AA49" i="10"/>
  <c r="G49" i="10"/>
  <c r="AJ77" i="10"/>
  <c r="P77" i="10"/>
  <c r="AD76" i="10"/>
  <c r="J76" i="10"/>
  <c r="X75" i="10"/>
  <c r="AL74" i="10"/>
  <c r="R74" i="10"/>
  <c r="AF73" i="10"/>
  <c r="L73" i="10"/>
  <c r="Z72" i="10"/>
  <c r="F72" i="10"/>
  <c r="T71" i="10"/>
  <c r="AH70" i="10"/>
  <c r="N70" i="10"/>
  <c r="AB69" i="10"/>
  <c r="H69" i="10"/>
  <c r="V68" i="10"/>
  <c r="AJ67" i="10"/>
  <c r="P67" i="10"/>
  <c r="AD66" i="10"/>
  <c r="J66" i="10"/>
  <c r="X65" i="10"/>
  <c r="AL64" i="10"/>
  <c r="R64" i="10"/>
  <c r="AF63" i="10"/>
  <c r="L63" i="10"/>
  <c r="Z62" i="10"/>
  <c r="F62" i="10"/>
  <c r="T61" i="10"/>
  <c r="AH60" i="10"/>
  <c r="N60" i="10"/>
  <c r="AB59" i="10"/>
  <c r="H59" i="10"/>
  <c r="V58" i="10"/>
  <c r="AJ57" i="10"/>
  <c r="P57" i="10"/>
  <c r="AD56" i="10"/>
  <c r="J56" i="10"/>
  <c r="X55" i="10"/>
  <c r="AL54" i="10"/>
  <c r="R54" i="10"/>
  <c r="AF53" i="10"/>
  <c r="L53" i="10"/>
  <c r="Z52" i="10"/>
  <c r="F52" i="10"/>
  <c r="T51" i="10"/>
  <c r="AH50" i="10"/>
  <c r="N50" i="10"/>
  <c r="AB49" i="10"/>
  <c r="H49" i="10"/>
  <c r="V48" i="10"/>
  <c r="AJ47" i="10"/>
  <c r="P47" i="10"/>
  <c r="AD46" i="10"/>
  <c r="J46" i="10"/>
  <c r="X45" i="10"/>
  <c r="AL44" i="10"/>
  <c r="R44" i="10"/>
  <c r="AI57" i="10"/>
  <c r="S51" i="10"/>
  <c r="AI77" i="10"/>
  <c r="O77" i="10"/>
  <c r="AC76" i="10"/>
  <c r="I76" i="10"/>
  <c r="W75" i="10"/>
  <c r="AK74" i="10"/>
  <c r="Q74" i="10"/>
  <c r="AE73" i="10"/>
  <c r="K73" i="10"/>
  <c r="Y72" i="10"/>
  <c r="E72" i="10"/>
  <c r="S71" i="10"/>
  <c r="AG70" i="10"/>
  <c r="M70" i="10"/>
  <c r="AA69" i="10"/>
  <c r="G69" i="10"/>
  <c r="U68" i="10"/>
  <c r="AI67" i="10"/>
  <c r="O67" i="10"/>
  <c r="AC66" i="10"/>
  <c r="I66" i="10"/>
  <c r="W65" i="10"/>
  <c r="AK64" i="10"/>
  <c r="Q64" i="10"/>
  <c r="AE63" i="10"/>
  <c r="K63" i="10"/>
  <c r="Y62" i="10"/>
  <c r="E62" i="10"/>
  <c r="S61" i="10"/>
  <c r="AG60" i="10"/>
  <c r="M60" i="10"/>
  <c r="AA59" i="10"/>
  <c r="U58" i="10"/>
  <c r="O57" i="10"/>
  <c r="AC56" i="10"/>
  <c r="I56" i="10"/>
  <c r="W55" i="10"/>
  <c r="Q54" i="10"/>
  <c r="AE53" i="10"/>
  <c r="K53" i="10"/>
  <c r="E52" i="10"/>
  <c r="M50" i="10"/>
  <c r="AH77" i="10"/>
  <c r="N77" i="10"/>
  <c r="AB76" i="10"/>
  <c r="H76" i="10"/>
  <c r="V75" i="10"/>
  <c r="AJ74" i="10"/>
  <c r="P74" i="10"/>
  <c r="AD73" i="10"/>
  <c r="J73" i="10"/>
  <c r="X72" i="10"/>
  <c r="AL71" i="10"/>
  <c r="R71" i="10"/>
  <c r="AF70" i="10"/>
  <c r="L70" i="10"/>
  <c r="Z69" i="10"/>
  <c r="F69" i="10"/>
  <c r="T68" i="10"/>
  <c r="AH67" i="10"/>
  <c r="N67" i="10"/>
  <c r="AB66" i="10"/>
  <c r="H66" i="10"/>
  <c r="V65" i="10"/>
  <c r="AJ64" i="10"/>
  <c r="P64" i="10"/>
  <c r="AD63" i="10"/>
  <c r="J63" i="10"/>
  <c r="X62" i="10"/>
  <c r="AL61" i="10"/>
  <c r="R61" i="10"/>
  <c r="AF60" i="10"/>
  <c r="L60" i="10"/>
  <c r="Z59" i="10"/>
  <c r="F59" i="10"/>
  <c r="T58" i="10"/>
  <c r="AH57" i="10"/>
  <c r="N57" i="10"/>
  <c r="AB56" i="10"/>
  <c r="H56" i="10"/>
  <c r="V55" i="10"/>
  <c r="AJ54" i="10"/>
  <c r="P54" i="10"/>
  <c r="AD53" i="10"/>
  <c r="J53" i="10"/>
  <c r="X52" i="10"/>
  <c r="AL51" i="10"/>
  <c r="R51" i="10"/>
  <c r="AF50" i="10"/>
  <c r="L50" i="10"/>
  <c r="Z49" i="10"/>
  <c r="F49" i="10"/>
  <c r="T48" i="10"/>
  <c r="AH47" i="10"/>
  <c r="N47" i="10"/>
  <c r="AB46" i="10"/>
  <c r="H46" i="10"/>
  <c r="V45" i="10"/>
  <c r="AJ44" i="10"/>
  <c r="P44" i="10"/>
  <c r="E59" i="10"/>
  <c r="AK51" i="10"/>
  <c r="AG77" i="10"/>
  <c r="M77" i="10"/>
  <c r="AA76" i="10"/>
  <c r="G76" i="10"/>
  <c r="U75" i="10"/>
  <c r="AI74" i="10"/>
  <c r="O74" i="10"/>
  <c r="AC73" i="10"/>
  <c r="I73" i="10"/>
  <c r="W72" i="10"/>
  <c r="AK71" i="10"/>
  <c r="Q71" i="10"/>
  <c r="AE70" i="10"/>
  <c r="K70" i="10"/>
  <c r="Y69" i="10"/>
  <c r="E69" i="10"/>
  <c r="S68" i="10"/>
  <c r="AG67" i="10"/>
  <c r="M67" i="10"/>
  <c r="AA66" i="10"/>
  <c r="G66" i="10"/>
  <c r="U65" i="10"/>
  <c r="AI64" i="10"/>
  <c r="O64" i="10"/>
  <c r="AC63" i="10"/>
  <c r="I63" i="10"/>
  <c r="W62" i="10"/>
  <c r="AK61" i="10"/>
  <c r="Q61" i="10"/>
  <c r="AE60" i="10"/>
  <c r="K60" i="10"/>
  <c r="Y59" i="10"/>
  <c r="S58" i="10"/>
  <c r="AG57" i="10"/>
  <c r="M57" i="10"/>
  <c r="AA56" i="10"/>
  <c r="G56" i="10"/>
  <c r="U55" i="10"/>
  <c r="AI54" i="10"/>
  <c r="O54" i="10"/>
  <c r="AC53" i="10"/>
  <c r="I53" i="10"/>
  <c r="W52" i="10"/>
  <c r="Q51" i="10"/>
  <c r="AE50" i="10"/>
  <c r="AF77" i="10"/>
  <c r="L77" i="10"/>
  <c r="Z76" i="10"/>
  <c r="F76" i="10"/>
  <c r="T75" i="10"/>
  <c r="AH74" i="10"/>
  <c r="N74" i="10"/>
  <c r="AB73" i="10"/>
  <c r="H73" i="10"/>
  <c r="V72" i="10"/>
  <c r="AJ71" i="10"/>
  <c r="P71" i="10"/>
  <c r="AD70" i="10"/>
  <c r="J70" i="10"/>
  <c r="X69" i="10"/>
  <c r="AL68" i="10"/>
  <c r="R68" i="10"/>
  <c r="AF67" i="10"/>
  <c r="L67" i="10"/>
  <c r="Z66" i="10"/>
  <c r="F66" i="10"/>
  <c r="T65" i="10"/>
  <c r="AH64" i="10"/>
  <c r="N64" i="10"/>
  <c r="AB63" i="10"/>
  <c r="H63" i="10"/>
  <c r="V62" i="10"/>
  <c r="AJ61" i="10"/>
  <c r="P61" i="10"/>
  <c r="AD60" i="10"/>
  <c r="J60" i="10"/>
  <c r="X59" i="10"/>
  <c r="AL58" i="10"/>
  <c r="R58" i="10"/>
  <c r="AF57" i="10"/>
  <c r="L57" i="10"/>
  <c r="Z56" i="10"/>
  <c r="F56" i="10"/>
  <c r="T55" i="10"/>
  <c r="AH54" i="10"/>
  <c r="N54" i="10"/>
  <c r="AB53" i="10"/>
  <c r="H53" i="10"/>
  <c r="V52" i="10"/>
  <c r="AJ51" i="10"/>
  <c r="P51" i="10"/>
  <c r="AE77" i="10"/>
  <c r="K77" i="10"/>
  <c r="Y76" i="10"/>
  <c r="E76" i="10"/>
  <c r="S75" i="10"/>
  <c r="AG74" i="10"/>
  <c r="M74" i="10"/>
  <c r="AA73" i="10"/>
  <c r="G73" i="10"/>
  <c r="U72" i="10"/>
  <c r="AI71" i="10"/>
  <c r="O71" i="10"/>
  <c r="AC70" i="10"/>
  <c r="I70" i="10"/>
  <c r="W69" i="10"/>
  <c r="AK68" i="10"/>
  <c r="Q68" i="10"/>
  <c r="AE67" i="10"/>
  <c r="K67" i="10"/>
  <c r="Y66" i="10"/>
  <c r="E66" i="10"/>
  <c r="S65" i="10"/>
  <c r="AG64" i="10"/>
  <c r="M64" i="10"/>
  <c r="AA63" i="10"/>
  <c r="G63" i="10"/>
  <c r="U62" i="10"/>
  <c r="AI61" i="10"/>
  <c r="O61" i="10"/>
  <c r="AC60" i="10"/>
  <c r="I60" i="10"/>
  <c r="W59" i="10"/>
  <c r="AK58" i="10"/>
  <c r="Q58" i="10"/>
  <c r="AE57" i="10"/>
  <c r="K57" i="10"/>
  <c r="Y56" i="10"/>
  <c r="E56" i="10"/>
  <c r="S55" i="10"/>
  <c r="AG54" i="10"/>
  <c r="M54" i="10"/>
  <c r="AA53" i="10"/>
  <c r="G53" i="10"/>
  <c r="U52" i="10"/>
  <c r="AI51" i="10"/>
  <c r="O51" i="10"/>
  <c r="AC50" i="10"/>
  <c r="AD77" i="10"/>
  <c r="J77" i="10"/>
  <c r="X76" i="10"/>
  <c r="AL75" i="10"/>
  <c r="R75" i="10"/>
  <c r="AF74" i="10"/>
  <c r="L74" i="10"/>
  <c r="Z73" i="10"/>
  <c r="F73" i="10"/>
  <c r="T72" i="10"/>
  <c r="AH71" i="10"/>
  <c r="N71" i="10"/>
  <c r="AB70" i="10"/>
  <c r="H70" i="10"/>
  <c r="V69" i="10"/>
  <c r="AJ68" i="10"/>
  <c r="P68" i="10"/>
  <c r="AD67" i="10"/>
  <c r="J67" i="10"/>
  <c r="X66" i="10"/>
  <c r="AL65" i="10"/>
  <c r="R65" i="10"/>
  <c r="AF64" i="10"/>
  <c r="L64" i="10"/>
  <c r="Z63" i="10"/>
  <c r="F63" i="10"/>
  <c r="T62" i="10"/>
  <c r="AH61" i="10"/>
  <c r="N61" i="10"/>
  <c r="AB60" i="10"/>
  <c r="H60" i="10"/>
  <c r="V59" i="10"/>
  <c r="AJ58" i="10"/>
  <c r="P58" i="10"/>
  <c r="AD57" i="10"/>
  <c r="J57" i="10"/>
  <c r="X56" i="10"/>
  <c r="AL55" i="10"/>
  <c r="R55" i="10"/>
  <c r="AF54" i="10"/>
  <c r="L54" i="10"/>
  <c r="Z53" i="10"/>
  <c r="F53" i="10"/>
  <c r="T52" i="10"/>
  <c r="AH51" i="10"/>
  <c r="N51" i="10"/>
  <c r="AB50" i="10"/>
  <c r="H50" i="10"/>
  <c r="V49" i="10"/>
  <c r="AJ48" i="10"/>
  <c r="P48" i="10"/>
  <c r="AD47" i="10"/>
  <c r="J47" i="10"/>
  <c r="X46" i="10"/>
  <c r="AL45" i="10"/>
  <c r="R45" i="10"/>
  <c r="AF44" i="10"/>
  <c r="L44" i="10"/>
  <c r="I51" i="10"/>
  <c r="AC77" i="10"/>
  <c r="I77" i="10"/>
  <c r="W76" i="10"/>
  <c r="AK75" i="10"/>
  <c r="Q75" i="10"/>
  <c r="AE74" i="10"/>
  <c r="K74" i="10"/>
  <c r="Y73" i="10"/>
  <c r="E73" i="10"/>
  <c r="S72" i="10"/>
  <c r="AG71" i="10"/>
  <c r="M71" i="10"/>
  <c r="AA70" i="10"/>
  <c r="G70" i="10"/>
  <c r="U69" i="10"/>
  <c r="AI68" i="10"/>
  <c r="O68" i="10"/>
  <c r="AC67" i="10"/>
  <c r="I67" i="10"/>
  <c r="W66" i="10"/>
  <c r="AK65" i="10"/>
  <c r="Q65" i="10"/>
  <c r="AE64" i="10"/>
  <c r="K64" i="10"/>
  <c r="Y63" i="10"/>
  <c r="E63" i="10"/>
  <c r="S62" i="10"/>
  <c r="AG61" i="10"/>
  <c r="M61" i="10"/>
  <c r="AA60" i="10"/>
  <c r="G60" i="10"/>
  <c r="U59" i="10"/>
  <c r="AI58" i="10"/>
  <c r="O58" i="10"/>
  <c r="AC57" i="10"/>
  <c r="I57" i="10"/>
  <c r="W56" i="10"/>
  <c r="AK55" i="10"/>
  <c r="Q55" i="10"/>
  <c r="AE54" i="10"/>
  <c r="K54" i="10"/>
  <c r="Y53" i="10"/>
  <c r="E53" i="10"/>
  <c r="S52" i="10"/>
  <c r="AG51" i="10"/>
  <c r="M51" i="10"/>
  <c r="AA50" i="10"/>
  <c r="G50" i="10"/>
  <c r="U49" i="10"/>
  <c r="AI48" i="10"/>
  <c r="O48" i="10"/>
  <c r="AC47" i="10"/>
  <c r="I47" i="10"/>
  <c r="W46" i="10"/>
  <c r="AK45" i="10"/>
  <c r="Q45" i="10"/>
  <c r="AE44" i="10"/>
  <c r="K44" i="10"/>
  <c r="AB47" i="10"/>
  <c r="P45" i="10"/>
  <c r="G54" i="10"/>
  <c r="AB77" i="10"/>
  <c r="H77" i="10"/>
  <c r="V76" i="10"/>
  <c r="AJ75" i="10"/>
  <c r="P75" i="10"/>
  <c r="AD74" i="10"/>
  <c r="J74" i="10"/>
  <c r="X73" i="10"/>
  <c r="AL72" i="10"/>
  <c r="R72" i="10"/>
  <c r="AF71" i="10"/>
  <c r="L71" i="10"/>
  <c r="Z70" i="10"/>
  <c r="F70" i="10"/>
  <c r="T69" i="10"/>
  <c r="AH68" i="10"/>
  <c r="N68" i="10"/>
  <c r="AB67" i="10"/>
  <c r="H67" i="10"/>
  <c r="V66" i="10"/>
  <c r="AJ65" i="10"/>
  <c r="P65" i="10"/>
  <c r="AD64" i="10"/>
  <c r="J64" i="10"/>
  <c r="X63" i="10"/>
  <c r="AL62" i="10"/>
  <c r="R62" i="10"/>
  <c r="AF61" i="10"/>
  <c r="L61" i="10"/>
  <c r="Z60" i="10"/>
  <c r="F60" i="10"/>
  <c r="T59" i="10"/>
  <c r="AH58" i="10"/>
  <c r="N58" i="10"/>
  <c r="AB57" i="10"/>
  <c r="H57" i="10"/>
  <c r="V56" i="10"/>
  <c r="AJ55" i="10"/>
  <c r="P55" i="10"/>
  <c r="AD54" i="10"/>
  <c r="J54" i="10"/>
  <c r="X53" i="10"/>
  <c r="AL52" i="10"/>
  <c r="R52" i="10"/>
  <c r="AF51" i="10"/>
  <c r="L51" i="10"/>
  <c r="Z50" i="10"/>
  <c r="F50" i="10"/>
  <c r="T49" i="10"/>
  <c r="AH48" i="10"/>
  <c r="N48" i="10"/>
  <c r="H47" i="10"/>
  <c r="V46" i="10"/>
  <c r="AJ45" i="10"/>
  <c r="AD44" i="10"/>
  <c r="J44" i="10"/>
  <c r="AA54" i="10"/>
  <c r="Q49" i="10"/>
  <c r="AA77" i="10"/>
  <c r="G77" i="10"/>
  <c r="U76" i="10"/>
  <c r="AI75" i="10"/>
  <c r="O75" i="10"/>
  <c r="AC74" i="10"/>
  <c r="I74" i="10"/>
  <c r="W73" i="10"/>
  <c r="AK72" i="10"/>
  <c r="Q72" i="10"/>
  <c r="AE71" i="10"/>
  <c r="K71" i="10"/>
  <c r="Y70" i="10"/>
  <c r="E70" i="10"/>
  <c r="S69" i="10"/>
  <c r="AG68" i="10"/>
  <c r="M68" i="10"/>
  <c r="AA67" i="10"/>
  <c r="G67" i="10"/>
  <c r="U66" i="10"/>
  <c r="AI65" i="10"/>
  <c r="O65" i="10"/>
  <c r="AC64" i="10"/>
  <c r="I64" i="10"/>
  <c r="W63" i="10"/>
  <c r="AK62" i="10"/>
  <c r="Q62" i="10"/>
  <c r="AE61" i="10"/>
  <c r="K61" i="10"/>
  <c r="Y60" i="10"/>
  <c r="E60" i="10"/>
  <c r="S59" i="10"/>
  <c r="AG58" i="10"/>
  <c r="M58" i="10"/>
  <c r="AA57" i="10"/>
  <c r="G57" i="10"/>
  <c r="U56" i="10"/>
  <c r="AI55" i="10"/>
  <c r="O55" i="10"/>
  <c r="AC54" i="10"/>
  <c r="I54" i="10"/>
  <c r="W53" i="10"/>
  <c r="AK52" i="10"/>
  <c r="Q52" i="10"/>
  <c r="AE51" i="10"/>
  <c r="K51" i="10"/>
  <c r="Y50" i="10"/>
  <c r="E50" i="10"/>
  <c r="S49" i="10"/>
  <c r="AG48" i="10"/>
  <c r="M48" i="10"/>
  <c r="AA47" i="10"/>
  <c r="G47" i="10"/>
  <c r="U46" i="10"/>
  <c r="AI45" i="10"/>
  <c r="O45" i="10"/>
  <c r="AC44" i="10"/>
  <c r="I44" i="10"/>
  <c r="H44" i="10"/>
  <c r="Y57" i="10"/>
  <c r="O52" i="10"/>
  <c r="AE48" i="10"/>
  <c r="Z77" i="10"/>
  <c r="F77" i="10"/>
  <c r="T76" i="10"/>
  <c r="AH75" i="10"/>
  <c r="N75" i="10"/>
  <c r="AB74" i="10"/>
  <c r="H74" i="10"/>
  <c r="V73" i="10"/>
  <c r="AJ72" i="10"/>
  <c r="P72" i="10"/>
  <c r="AD71" i="10"/>
  <c r="J71" i="10"/>
  <c r="X70" i="10"/>
  <c r="AL69" i="10"/>
  <c r="R69" i="10"/>
  <c r="AF68" i="10"/>
  <c r="L68" i="10"/>
  <c r="Z67" i="10"/>
  <c r="F67" i="10"/>
  <c r="T66" i="10"/>
  <c r="AH65" i="10"/>
  <c r="N65" i="10"/>
  <c r="AB64" i="10"/>
  <c r="H64" i="10"/>
  <c r="V63" i="10"/>
  <c r="AJ62" i="10"/>
  <c r="P62" i="10"/>
  <c r="AD61" i="10"/>
  <c r="J61" i="10"/>
  <c r="X60" i="10"/>
  <c r="AL59" i="10"/>
  <c r="R59" i="10"/>
  <c r="AF58" i="10"/>
  <c r="L58" i="10"/>
  <c r="Z57" i="10"/>
  <c r="F57" i="10"/>
  <c r="T56" i="10"/>
  <c r="AH55" i="10"/>
  <c r="N55" i="10"/>
  <c r="AB54" i="10"/>
  <c r="H54" i="10"/>
  <c r="V53" i="10"/>
  <c r="AJ52" i="10"/>
  <c r="P52" i="10"/>
  <c r="AD51" i="10"/>
  <c r="J51" i="10"/>
  <c r="X50" i="10"/>
  <c r="AL49" i="10"/>
  <c r="R49" i="10"/>
  <c r="AF48" i="10"/>
  <c r="L48" i="10"/>
  <c r="Z47" i="10"/>
  <c r="F47" i="10"/>
  <c r="T46" i="10"/>
  <c r="AH45" i="10"/>
  <c r="N45" i="10"/>
  <c r="AB44" i="10"/>
  <c r="K58" i="10"/>
  <c r="Y77" i="10"/>
  <c r="E77" i="10"/>
  <c r="S76" i="10"/>
  <c r="AG75" i="10"/>
  <c r="M75" i="10"/>
  <c r="AA74" i="10"/>
  <c r="G74" i="10"/>
  <c r="U73" i="10"/>
  <c r="AI72" i="10"/>
  <c r="O72" i="10"/>
  <c r="AC71" i="10"/>
  <c r="I71" i="10"/>
  <c r="W70" i="10"/>
  <c r="AK69" i="10"/>
  <c r="Q69" i="10"/>
  <c r="AE68" i="10"/>
  <c r="K68" i="10"/>
  <c r="Y67" i="10"/>
  <c r="E67" i="10"/>
  <c r="S66" i="10"/>
  <c r="AG65" i="10"/>
  <c r="M65" i="10"/>
  <c r="AA64" i="10"/>
  <c r="G64" i="10"/>
  <c r="U63" i="10"/>
  <c r="AI62" i="10"/>
  <c r="O62" i="10"/>
  <c r="AC61" i="10"/>
  <c r="I61" i="10"/>
  <c r="W60" i="10"/>
  <c r="AK59" i="10"/>
  <c r="Q59" i="10"/>
  <c r="AE58" i="10"/>
  <c r="E57" i="10"/>
  <c r="S56" i="10"/>
  <c r="AG55" i="10"/>
  <c r="M55" i="10"/>
  <c r="U53" i="10"/>
  <c r="AI52" i="10"/>
  <c r="AC51" i="10"/>
  <c r="W50" i="10"/>
  <c r="K48" i="10"/>
  <c r="X77" i="10"/>
  <c r="AL76" i="10"/>
  <c r="R76" i="10"/>
  <c r="AF75" i="10"/>
  <c r="L75" i="10"/>
  <c r="Z74" i="10"/>
  <c r="F74" i="10"/>
  <c r="T73" i="10"/>
  <c r="AH72" i="10"/>
  <c r="N72" i="10"/>
  <c r="AB71" i="10"/>
  <c r="H71" i="10"/>
  <c r="V70" i="10"/>
  <c r="AJ69" i="10"/>
  <c r="P69" i="10"/>
  <c r="AD68" i="10"/>
  <c r="J68" i="10"/>
  <c r="X67" i="10"/>
  <c r="AL66" i="10"/>
  <c r="R66" i="10"/>
  <c r="AF65" i="10"/>
  <c r="L65" i="10"/>
  <c r="Z64" i="10"/>
  <c r="F64" i="10"/>
  <c r="T63" i="10"/>
  <c r="AH62" i="10"/>
  <c r="N62" i="10"/>
  <c r="AB61" i="10"/>
  <c r="H61" i="10"/>
  <c r="V60" i="10"/>
  <c r="AJ59" i="10"/>
  <c r="P59" i="10"/>
  <c r="AD58" i="10"/>
  <c r="J58" i="10"/>
  <c r="X57" i="10"/>
  <c r="AL56" i="10"/>
  <c r="R56" i="10"/>
  <c r="AF55" i="10"/>
  <c r="L55" i="10"/>
  <c r="Z54" i="10"/>
  <c r="F54" i="10"/>
  <c r="T53" i="10"/>
  <c r="AH52" i="10"/>
  <c r="N52" i="10"/>
  <c r="AB51" i="10"/>
  <c r="H51" i="10"/>
  <c r="V50" i="10"/>
  <c r="W77" i="10"/>
  <c r="AK76" i="10"/>
  <c r="Q76" i="10"/>
  <c r="AE75" i="10"/>
  <c r="K75" i="10"/>
  <c r="Y74" i="10"/>
  <c r="E74" i="10"/>
  <c r="S73" i="10"/>
  <c r="AG72" i="10"/>
  <c r="M72" i="10"/>
  <c r="AA71" i="10"/>
  <c r="G71" i="10"/>
  <c r="U70" i="10"/>
  <c r="AI69" i="10"/>
  <c r="O69" i="10"/>
  <c r="AC68" i="10"/>
  <c r="I68" i="10"/>
  <c r="W67" i="10"/>
  <c r="AK66" i="10"/>
  <c r="Q66" i="10"/>
  <c r="AE65" i="10"/>
  <c r="K65" i="10"/>
  <c r="Y64" i="10"/>
  <c r="E64" i="10"/>
  <c r="S63" i="10"/>
  <c r="AG62" i="10"/>
  <c r="M62" i="10"/>
  <c r="AA61" i="10"/>
  <c r="G61" i="10"/>
  <c r="U60" i="10"/>
  <c r="AI59" i="10"/>
  <c r="O59" i="10"/>
  <c r="AC58" i="10"/>
  <c r="I58" i="10"/>
  <c r="W57" i="10"/>
  <c r="AK56" i="10"/>
  <c r="Q56" i="10"/>
  <c r="AE55" i="10"/>
  <c r="K55" i="10"/>
  <c r="Y54" i="10"/>
  <c r="E54" i="10"/>
  <c r="S53" i="10"/>
  <c r="AG52" i="10"/>
  <c r="M52" i="10"/>
  <c r="AA51" i="10"/>
  <c r="G51" i="10"/>
  <c r="U50" i="10"/>
  <c r="AI49" i="10"/>
  <c r="O49" i="10"/>
  <c r="AC48" i="10"/>
  <c r="I48" i="10"/>
  <c r="W47" i="10"/>
  <c r="V77" i="10"/>
  <c r="AJ76" i="10"/>
  <c r="P76" i="10"/>
  <c r="AD75" i="10"/>
  <c r="J75" i="10"/>
  <c r="X74" i="10"/>
  <c r="AL73" i="10"/>
  <c r="R73" i="10"/>
  <c r="AF72" i="10"/>
  <c r="L72" i="10"/>
  <c r="Z71" i="10"/>
  <c r="F71" i="10"/>
  <c r="T70" i="10"/>
  <c r="AH69" i="10"/>
  <c r="N69" i="10"/>
  <c r="AB68" i="10"/>
  <c r="H68" i="10"/>
  <c r="V67" i="10"/>
  <c r="AJ66" i="10"/>
  <c r="P66" i="10"/>
  <c r="AD65" i="10"/>
  <c r="J65" i="10"/>
  <c r="X64" i="10"/>
  <c r="AL63" i="10"/>
  <c r="R63" i="10"/>
  <c r="AF62" i="10"/>
  <c r="L62" i="10"/>
  <c r="Z61" i="10"/>
  <c r="F61" i="10"/>
  <c r="T60" i="10"/>
  <c r="AH59" i="10"/>
  <c r="N59" i="10"/>
  <c r="AB58" i="10"/>
  <c r="H58" i="10"/>
  <c r="V57" i="10"/>
  <c r="AJ56" i="10"/>
  <c r="P56" i="10"/>
  <c r="AD55" i="10"/>
  <c r="J55" i="10"/>
  <c r="X54" i="10"/>
  <c r="AL53" i="10"/>
  <c r="R53" i="10"/>
  <c r="AF52" i="10"/>
  <c r="L52" i="10"/>
  <c r="Z51" i="10"/>
  <c r="F51" i="10"/>
  <c r="U77" i="10"/>
  <c r="AI76" i="10"/>
  <c r="O76" i="10"/>
  <c r="AC75" i="10"/>
  <c r="I75" i="10"/>
  <c r="W74" i="10"/>
  <c r="AK73" i="10"/>
  <c r="Q73" i="10"/>
  <c r="AE72" i="10"/>
  <c r="K72" i="10"/>
  <c r="Y71" i="10"/>
  <c r="E71" i="10"/>
  <c r="S70" i="10"/>
  <c r="AG69" i="10"/>
  <c r="M69" i="10"/>
  <c r="AA68" i="10"/>
  <c r="G68" i="10"/>
  <c r="U67" i="10"/>
  <c r="AI66" i="10"/>
  <c r="O66" i="10"/>
  <c r="AC65" i="10"/>
  <c r="I65" i="10"/>
  <c r="W64" i="10"/>
  <c r="AK63" i="10"/>
  <c r="Q63" i="10"/>
  <c r="AE62" i="10"/>
  <c r="K62" i="10"/>
  <c r="Y61" i="10"/>
  <c r="E61" i="10"/>
  <c r="S60" i="10"/>
  <c r="AG59" i="10"/>
  <c r="M59" i="10"/>
  <c r="AA58" i="10"/>
  <c r="G58" i="10"/>
  <c r="U57" i="10"/>
  <c r="AI56" i="10"/>
  <c r="O56" i="10"/>
  <c r="AC55" i="10"/>
  <c r="I55" i="10"/>
  <c r="W54" i="10"/>
  <c r="AK53" i="10"/>
  <c r="Q53" i="10"/>
  <c r="AE52" i="10"/>
  <c r="K52" i="10"/>
  <c r="Y51" i="10"/>
  <c r="E51" i="10"/>
  <c r="S50" i="10"/>
  <c r="AG49" i="10"/>
  <c r="M49" i="10"/>
  <c r="AA48" i="10"/>
  <c r="G48" i="10"/>
  <c r="U47" i="10"/>
  <c r="AI46" i="10"/>
  <c r="O46" i="10"/>
  <c r="AC45" i="10"/>
  <c r="I45" i="10"/>
  <c r="W44" i="10"/>
  <c r="AG76" i="10"/>
  <c r="M76" i="10"/>
  <c r="G75" i="10"/>
  <c r="AI73" i="10"/>
  <c r="AC72" i="10"/>
  <c r="W71" i="10"/>
  <c r="Q70" i="10"/>
  <c r="K69" i="10"/>
  <c r="E68" i="10"/>
  <c r="AG66" i="10"/>
  <c r="AA65" i="10"/>
  <c r="U64" i="10"/>
  <c r="O63" i="10"/>
  <c r="I62" i="10"/>
  <c r="AK60" i="10"/>
  <c r="AE59" i="10"/>
  <c r="Y58" i="10"/>
  <c r="S57" i="10"/>
  <c r="M56" i="10"/>
  <c r="G55" i="10"/>
  <c r="AI53" i="10"/>
  <c r="AC52" i="10"/>
  <c r="W51" i="10"/>
  <c r="Q50" i="10"/>
  <c r="K49" i="10"/>
  <c r="E48" i="10"/>
  <c r="AG46" i="10"/>
  <c r="AA45" i="10"/>
  <c r="T77" i="10"/>
  <c r="AH76" i="10"/>
  <c r="N76" i="10"/>
  <c r="AB75" i="10"/>
  <c r="H75" i="10"/>
  <c r="V74" i="10"/>
  <c r="AJ73" i="10"/>
  <c r="P73" i="10"/>
  <c r="AD72" i="10"/>
  <c r="J72" i="10"/>
  <c r="X71" i="10"/>
  <c r="AL70" i="10"/>
  <c r="R70" i="10"/>
  <c r="AF69" i="10"/>
  <c r="L69" i="10"/>
  <c r="Z68" i="10"/>
  <c r="F68" i="10"/>
  <c r="T67" i="10"/>
  <c r="AH66" i="10"/>
  <c r="N66" i="10"/>
  <c r="AB65" i="10"/>
  <c r="H65" i="10"/>
  <c r="V64" i="10"/>
  <c r="AJ63" i="10"/>
  <c r="P63" i="10"/>
  <c r="AD62" i="10"/>
  <c r="J62" i="10"/>
  <c r="X61" i="10"/>
  <c r="AL60" i="10"/>
  <c r="R60" i="10"/>
  <c r="AF59" i="10"/>
  <c r="L59" i="10"/>
  <c r="Z58" i="10"/>
  <c r="F58" i="10"/>
  <c r="T57" i="10"/>
  <c r="AH56" i="10"/>
  <c r="N56" i="10"/>
  <c r="AB55" i="10"/>
  <c r="H55" i="10"/>
  <c r="V54" i="10"/>
  <c r="AJ53" i="10"/>
  <c r="P53" i="10"/>
  <c r="AD52" i="10"/>
  <c r="J52" i="10"/>
  <c r="X51" i="10"/>
  <c r="AL50" i="10"/>
  <c r="R50" i="10"/>
  <c r="AF49" i="10"/>
  <c r="L49" i="10"/>
  <c r="Z48" i="10"/>
  <c r="F48" i="10"/>
  <c r="T47" i="10"/>
  <c r="AH46" i="10"/>
  <c r="N46" i="10"/>
  <c r="AB45" i="10"/>
  <c r="H45" i="10"/>
  <c r="V44" i="10"/>
  <c r="S77" i="10"/>
  <c r="AA75" i="10"/>
  <c r="U74" i="10"/>
  <c r="O73" i="10"/>
  <c r="I72" i="10"/>
  <c r="AK70" i="10"/>
  <c r="AE69" i="10"/>
  <c r="Y68" i="10"/>
  <c r="S67" i="10"/>
  <c r="M66" i="10"/>
  <c r="G65" i="10"/>
  <c r="AI63" i="10"/>
  <c r="AC62" i="10"/>
  <c r="W61" i="10"/>
  <c r="Q60" i="10"/>
  <c r="K59" i="10"/>
  <c r="E58" i="10"/>
  <c r="AG56" i="10"/>
  <c r="AA55" i="10"/>
  <c r="U54" i="10"/>
  <c r="O53" i="10"/>
  <c r="I52" i="10"/>
  <c r="AK50" i="10"/>
  <c r="AE49" i="10"/>
  <c r="Y48" i="10"/>
  <c r="S47" i="10"/>
  <c r="M46" i="10"/>
  <c r="G45" i="10"/>
  <c r="AD50" i="10"/>
  <c r="R48" i="10"/>
  <c r="AA46" i="10"/>
  <c r="L45" i="10"/>
  <c r="J48" i="10"/>
  <c r="Y46" i="10"/>
  <c r="AI44" i="10"/>
  <c r="Q46" i="10"/>
  <c r="AJ49" i="10"/>
  <c r="P46" i="10"/>
  <c r="I46" i="10"/>
  <c r="X47" i="10"/>
  <c r="T50" i="10"/>
  <c r="Q48" i="10"/>
  <c r="Z46" i="10"/>
  <c r="K45" i="10"/>
  <c r="K50" i="10"/>
  <c r="J45" i="10"/>
  <c r="AG47" i="10"/>
  <c r="AF47" i="10"/>
  <c r="AG44" i="10"/>
  <c r="AA44" i="10"/>
  <c r="X49" i="10"/>
  <c r="S45" i="10"/>
  <c r="J50" i="10"/>
  <c r="H48" i="10"/>
  <c r="S46" i="10"/>
  <c r="AK44" i="10"/>
  <c r="I50" i="10"/>
  <c r="AI47" i="10"/>
  <c r="R46" i="10"/>
  <c r="AK49" i="10"/>
  <c r="AH44" i="10"/>
  <c r="AH49" i="10"/>
  <c r="AE47" i="10"/>
  <c r="F46" i="10"/>
  <c r="U45" i="10"/>
  <c r="Y49" i="10"/>
  <c r="Y47" i="10"/>
  <c r="G46" i="10"/>
  <c r="Z44" i="10"/>
  <c r="Y44" i="10"/>
  <c r="AJ46" i="10"/>
  <c r="W49" i="10"/>
  <c r="V47" i="10"/>
  <c r="E46" i="10"/>
  <c r="X44" i="10"/>
  <c r="O47" i="10"/>
  <c r="AG45" i="10"/>
  <c r="U44" i="10"/>
  <c r="L47" i="10"/>
  <c r="AE45" i="10"/>
  <c r="P49" i="10"/>
  <c r="AC46" i="10"/>
  <c r="N49" i="10"/>
  <c r="M47" i="10"/>
  <c r="AF45" i="10"/>
  <c r="Q44" i="10"/>
  <c r="E49" i="10"/>
  <c r="O44" i="10"/>
  <c r="M45" i="10"/>
  <c r="AL48" i="10"/>
  <c r="K47" i="10"/>
  <c r="AD45" i="10"/>
  <c r="N44" i="10"/>
  <c r="M44" i="10"/>
  <c r="AD48" i="10"/>
  <c r="G44" i="10"/>
  <c r="S48" i="10"/>
  <c r="AK48" i="10"/>
  <c r="E47" i="10"/>
  <c r="W45" i="10"/>
  <c r="AL46" i="10"/>
  <c r="AB48" i="10"/>
  <c r="AK46" i="10"/>
  <c r="T45" i="10"/>
  <c r="F44" i="10"/>
  <c r="U48" i="10"/>
  <c r="E44" i="10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3" i="3"/>
  <c r="G4" i="3"/>
  <c r="I4" i="3"/>
  <c r="G5" i="3"/>
  <c r="I5" i="3"/>
  <c r="G6" i="3"/>
  <c r="I6" i="3"/>
  <c r="G7" i="3"/>
  <c r="I7" i="3"/>
  <c r="G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I13" i="3"/>
  <c r="G14" i="3"/>
  <c r="I14" i="3"/>
  <c r="G15" i="3"/>
  <c r="I15" i="3"/>
  <c r="G16" i="3"/>
  <c r="I16" i="3"/>
  <c r="G17" i="3"/>
  <c r="I17" i="3"/>
  <c r="G18" i="3"/>
  <c r="I18" i="3"/>
  <c r="G19" i="3"/>
  <c r="I19" i="3"/>
  <c r="G20" i="3"/>
  <c r="I20" i="3"/>
  <c r="G21" i="3"/>
  <c r="H21" i="3"/>
  <c r="I21" i="3"/>
  <c r="G22" i="3"/>
  <c r="H22" i="3"/>
  <c r="I22" i="3"/>
  <c r="G23" i="3"/>
  <c r="H23" i="3"/>
  <c r="I23" i="3"/>
  <c r="G24" i="3"/>
  <c r="H24" i="3"/>
  <c r="I24" i="3"/>
  <c r="G25" i="3"/>
  <c r="H25" i="3"/>
  <c r="I25" i="3"/>
  <c r="G26" i="3"/>
  <c r="I26" i="3"/>
  <c r="G27" i="3"/>
  <c r="I27" i="3"/>
  <c r="G28" i="3"/>
  <c r="I28" i="3"/>
  <c r="G29" i="3"/>
  <c r="I29" i="3"/>
  <c r="G30" i="3"/>
  <c r="I30" i="3"/>
  <c r="G31" i="3"/>
  <c r="I31" i="3"/>
  <c r="G32" i="3"/>
  <c r="I32" i="3"/>
  <c r="G33" i="3"/>
  <c r="I33" i="3"/>
  <c r="G34" i="3"/>
  <c r="H34" i="3"/>
  <c r="I34" i="3"/>
  <c r="G35" i="3"/>
  <c r="H35" i="3"/>
  <c r="I35" i="3"/>
  <c r="G36" i="3"/>
  <c r="H36" i="3"/>
  <c r="I36" i="3"/>
  <c r="G37" i="3"/>
  <c r="H37" i="3"/>
  <c r="I37" i="3"/>
  <c r="G38" i="3"/>
  <c r="I38" i="3"/>
  <c r="G39" i="3"/>
  <c r="I39" i="3"/>
  <c r="G40" i="3"/>
  <c r="I40" i="3"/>
  <c r="G41" i="3"/>
  <c r="I41" i="3"/>
  <c r="G42" i="3"/>
  <c r="I42" i="3"/>
  <c r="G43" i="3"/>
  <c r="I43" i="3"/>
  <c r="G44" i="3"/>
  <c r="I44" i="3"/>
  <c r="G45" i="3"/>
  <c r="I45" i="3"/>
  <c r="G46" i="3"/>
  <c r="H46" i="3"/>
  <c r="I46" i="3"/>
  <c r="G47" i="3"/>
  <c r="H47" i="3"/>
  <c r="I47" i="3"/>
  <c r="G48" i="3"/>
  <c r="H48" i="3"/>
  <c r="I48" i="3"/>
  <c r="G49" i="3"/>
  <c r="H49" i="3"/>
  <c r="I49" i="3"/>
  <c r="G50" i="3"/>
  <c r="H50" i="3"/>
  <c r="I50" i="3"/>
  <c r="G51" i="3"/>
  <c r="H51" i="3"/>
  <c r="I51" i="3"/>
  <c r="G52" i="3"/>
  <c r="H52" i="3"/>
  <c r="I52" i="3"/>
  <c r="G53" i="3"/>
  <c r="H53" i="3"/>
  <c r="I53" i="3"/>
  <c r="G54" i="3"/>
  <c r="H54" i="3"/>
  <c r="I54" i="3"/>
  <c r="G55" i="3"/>
  <c r="H55" i="3"/>
  <c r="I55" i="3"/>
  <c r="G56" i="3"/>
  <c r="I56" i="3"/>
  <c r="G57" i="3"/>
  <c r="I57" i="3"/>
  <c r="G58" i="3"/>
  <c r="I58" i="3"/>
  <c r="G59" i="3"/>
  <c r="I59" i="3"/>
  <c r="G60" i="3"/>
  <c r="I60" i="3"/>
  <c r="G61" i="3"/>
  <c r="I61" i="3"/>
  <c r="G62" i="3"/>
  <c r="H62" i="3"/>
  <c r="I62" i="3"/>
  <c r="G63" i="3"/>
  <c r="H63" i="3"/>
  <c r="I63" i="3"/>
  <c r="G64" i="3"/>
  <c r="H64" i="3"/>
  <c r="I64" i="3"/>
  <c r="G65" i="3"/>
  <c r="H65" i="3"/>
  <c r="I65" i="3"/>
  <c r="G66" i="3"/>
  <c r="H66" i="3"/>
  <c r="I66" i="3"/>
  <c r="G67" i="3"/>
  <c r="H67" i="3"/>
  <c r="I67" i="3"/>
  <c r="G68" i="3"/>
  <c r="H68" i="3"/>
  <c r="I68" i="3"/>
  <c r="G69" i="3"/>
  <c r="H69" i="3"/>
  <c r="I69" i="3"/>
  <c r="G70" i="3"/>
  <c r="H70" i="3"/>
  <c r="I70" i="3"/>
  <c r="G71" i="3"/>
  <c r="I71" i="3"/>
  <c r="G72" i="3"/>
  <c r="I72" i="3"/>
  <c r="G73" i="3"/>
  <c r="I73" i="3"/>
  <c r="G74" i="3"/>
  <c r="I74" i="3"/>
  <c r="G75" i="3"/>
  <c r="I75" i="3"/>
  <c r="G76" i="3"/>
  <c r="H76" i="3"/>
  <c r="I76" i="3"/>
  <c r="G77" i="3"/>
  <c r="H77" i="3"/>
  <c r="I77" i="3"/>
  <c r="G78" i="3"/>
  <c r="H78" i="3"/>
  <c r="I78" i="3"/>
  <c r="G79" i="3"/>
  <c r="H79" i="3"/>
  <c r="I79" i="3"/>
  <c r="G80" i="3"/>
  <c r="H80" i="3"/>
  <c r="I80" i="3"/>
  <c r="G81" i="3"/>
  <c r="H81" i="3"/>
  <c r="I81" i="3"/>
  <c r="G82" i="3"/>
  <c r="H82" i="3"/>
  <c r="I82" i="3"/>
  <c r="G83" i="3"/>
  <c r="H83" i="3"/>
  <c r="I83" i="3"/>
  <c r="G84" i="3"/>
  <c r="H84" i="3"/>
  <c r="I84" i="3"/>
  <c r="G85" i="3"/>
  <c r="H85" i="3"/>
  <c r="I85" i="3"/>
  <c r="G86" i="3"/>
  <c r="I86" i="3"/>
  <c r="G87" i="3"/>
  <c r="I87" i="3"/>
  <c r="G88" i="3"/>
  <c r="I88" i="3"/>
  <c r="G89" i="3"/>
  <c r="I89" i="3"/>
  <c r="G90" i="3"/>
  <c r="I90" i="3"/>
  <c r="G91" i="3"/>
  <c r="I91" i="3"/>
  <c r="G92" i="3"/>
  <c r="I92" i="3"/>
  <c r="G93" i="3"/>
  <c r="H93" i="3"/>
  <c r="I93" i="3"/>
  <c r="G94" i="3"/>
  <c r="H94" i="3"/>
  <c r="I94" i="3"/>
  <c r="G95" i="3"/>
  <c r="H95" i="3"/>
  <c r="I95" i="3"/>
  <c r="G96" i="3"/>
  <c r="H96" i="3"/>
  <c r="I96" i="3"/>
  <c r="G97" i="3"/>
  <c r="H97" i="3"/>
  <c r="I97" i="3"/>
  <c r="G98" i="3"/>
  <c r="H98" i="3"/>
  <c r="I98" i="3"/>
  <c r="G99" i="3"/>
  <c r="H99" i="3"/>
  <c r="I99" i="3"/>
  <c r="G100" i="3"/>
  <c r="H100" i="3"/>
  <c r="I100" i="3"/>
  <c r="G101" i="3"/>
  <c r="H101" i="3"/>
  <c r="I101" i="3"/>
  <c r="G102" i="3"/>
  <c r="H102" i="3"/>
  <c r="I102" i="3"/>
  <c r="G103" i="3"/>
  <c r="I103" i="3"/>
  <c r="G104" i="3"/>
  <c r="I104" i="3"/>
  <c r="G105" i="3"/>
  <c r="I105" i="3"/>
  <c r="G106" i="3"/>
  <c r="I106" i="3"/>
  <c r="G107" i="3"/>
  <c r="I107" i="3"/>
  <c r="G108" i="3"/>
  <c r="I108" i="3"/>
  <c r="G109" i="3"/>
  <c r="I109" i="3"/>
  <c r="G110" i="3"/>
  <c r="H110" i="3"/>
  <c r="I110" i="3"/>
  <c r="G111" i="3"/>
  <c r="H111" i="3"/>
  <c r="I111" i="3"/>
  <c r="G112" i="3"/>
  <c r="H112" i="3"/>
  <c r="I112" i="3"/>
  <c r="G113" i="3"/>
  <c r="H113" i="3"/>
  <c r="I113" i="3"/>
  <c r="G114" i="3"/>
  <c r="H114" i="3"/>
  <c r="I114" i="3"/>
  <c r="G115" i="3"/>
  <c r="H115" i="3"/>
  <c r="I115" i="3"/>
  <c r="G116" i="3"/>
  <c r="H116" i="3"/>
  <c r="I116" i="3"/>
  <c r="G117" i="3"/>
  <c r="H117" i="3"/>
  <c r="I117" i="3"/>
  <c r="G118" i="3"/>
  <c r="H118" i="3"/>
  <c r="I118" i="3"/>
  <c r="G119" i="3"/>
  <c r="H119" i="3"/>
  <c r="I119" i="3"/>
  <c r="G120" i="3"/>
  <c r="I120" i="3"/>
  <c r="G121" i="3"/>
  <c r="I121" i="3"/>
  <c r="G122" i="3"/>
  <c r="I122" i="3"/>
  <c r="G123" i="3"/>
  <c r="I123" i="3"/>
  <c r="G124" i="3"/>
  <c r="I124" i="3"/>
  <c r="G125" i="3"/>
  <c r="H125" i="3"/>
  <c r="I125" i="3"/>
  <c r="G126" i="3"/>
  <c r="H126" i="3"/>
  <c r="I126" i="3"/>
  <c r="G127" i="3"/>
  <c r="H127" i="3"/>
  <c r="I127" i="3"/>
  <c r="G128" i="3"/>
  <c r="H128" i="3"/>
  <c r="I128" i="3"/>
  <c r="G129" i="3"/>
  <c r="H129" i="3"/>
  <c r="I129" i="3"/>
  <c r="G130" i="3"/>
  <c r="I130" i="3"/>
  <c r="G131" i="3"/>
  <c r="I131" i="3"/>
  <c r="G132" i="3"/>
  <c r="I132" i="3"/>
  <c r="G133" i="3"/>
  <c r="I133" i="3"/>
  <c r="G134" i="3"/>
  <c r="I134" i="3"/>
  <c r="G135" i="3"/>
  <c r="I135" i="3"/>
  <c r="G136" i="3"/>
  <c r="I136" i="3"/>
  <c r="G137" i="3"/>
  <c r="I137" i="3"/>
  <c r="G138" i="3"/>
  <c r="H138" i="3"/>
  <c r="I138" i="3"/>
  <c r="G139" i="3"/>
  <c r="H139" i="3"/>
  <c r="I139" i="3"/>
  <c r="G140" i="3"/>
  <c r="H140" i="3"/>
  <c r="I140" i="3"/>
  <c r="G141" i="3"/>
  <c r="H141" i="3"/>
  <c r="I141" i="3"/>
  <c r="G142" i="3"/>
  <c r="H142" i="3"/>
  <c r="I142" i="3"/>
  <c r="G143" i="3"/>
  <c r="H143" i="3"/>
  <c r="I143" i="3"/>
  <c r="G144" i="3"/>
  <c r="H144" i="3"/>
  <c r="I144" i="3"/>
  <c r="G145" i="3"/>
  <c r="H145" i="3"/>
  <c r="I145" i="3"/>
  <c r="G146" i="3"/>
  <c r="H146" i="3"/>
  <c r="I146" i="3"/>
  <c r="G147" i="3"/>
  <c r="H147" i="3"/>
  <c r="I147" i="3"/>
  <c r="G148" i="3"/>
  <c r="I148" i="3"/>
  <c r="G149" i="3"/>
  <c r="I149" i="3"/>
  <c r="G150" i="3"/>
  <c r="I150" i="3"/>
  <c r="G151" i="3"/>
  <c r="I151" i="3"/>
  <c r="G152" i="3"/>
  <c r="I152" i="3"/>
  <c r="G153" i="3"/>
  <c r="I153" i="3"/>
  <c r="G154" i="3"/>
  <c r="I154" i="3"/>
  <c r="G155" i="3"/>
  <c r="H155" i="3"/>
  <c r="I155" i="3"/>
  <c r="G156" i="3"/>
  <c r="H156" i="3"/>
  <c r="I156" i="3"/>
  <c r="G157" i="3"/>
  <c r="H157" i="3"/>
  <c r="I157" i="3"/>
  <c r="G158" i="3"/>
  <c r="H158" i="3"/>
  <c r="I158" i="3"/>
  <c r="G159" i="3"/>
  <c r="H159" i="3"/>
  <c r="I159" i="3"/>
  <c r="G160" i="3"/>
  <c r="H160" i="3"/>
  <c r="I160" i="3"/>
  <c r="G161" i="3"/>
  <c r="H161" i="3"/>
  <c r="I161" i="3"/>
  <c r="G162" i="3"/>
  <c r="H162" i="3"/>
  <c r="I162" i="3"/>
  <c r="G163" i="3"/>
  <c r="H163" i="3"/>
  <c r="I163" i="3"/>
  <c r="G164" i="3"/>
  <c r="H164" i="3"/>
  <c r="I164" i="3"/>
  <c r="G165" i="3"/>
  <c r="I165" i="3"/>
  <c r="G166" i="3"/>
  <c r="I166" i="3"/>
  <c r="G167" i="3"/>
  <c r="I167" i="3"/>
  <c r="G168" i="3"/>
  <c r="I168" i="3"/>
  <c r="G169" i="3"/>
  <c r="I169" i="3"/>
  <c r="G170" i="3"/>
  <c r="I170" i="3"/>
  <c r="G171" i="3"/>
  <c r="I171" i="3"/>
  <c r="G172" i="3"/>
  <c r="H172" i="3"/>
  <c r="I172" i="3"/>
  <c r="G173" i="3"/>
  <c r="H173" i="3"/>
  <c r="I173" i="3"/>
  <c r="G174" i="3"/>
  <c r="H174" i="3"/>
  <c r="I174" i="3"/>
  <c r="G175" i="3"/>
  <c r="H175" i="3"/>
  <c r="I175" i="3"/>
  <c r="G176" i="3"/>
  <c r="H176" i="3"/>
  <c r="I176" i="3"/>
  <c r="G177" i="3"/>
  <c r="H177" i="3"/>
  <c r="I177" i="3"/>
  <c r="G178" i="3"/>
  <c r="H178" i="3"/>
  <c r="I178" i="3"/>
  <c r="G179" i="3"/>
  <c r="H179" i="3"/>
  <c r="I179" i="3"/>
  <c r="G180" i="3"/>
  <c r="H180" i="3"/>
  <c r="I180" i="3"/>
  <c r="G181" i="3"/>
  <c r="H181" i="3"/>
  <c r="I181" i="3"/>
  <c r="G182" i="3"/>
  <c r="I182" i="3"/>
  <c r="G183" i="3"/>
  <c r="I183" i="3"/>
  <c r="G184" i="3"/>
  <c r="I184" i="3"/>
  <c r="G185" i="3"/>
  <c r="I185" i="3"/>
  <c r="G186" i="3"/>
  <c r="I186" i="3"/>
  <c r="G187" i="3"/>
  <c r="I187" i="3"/>
  <c r="G188" i="3"/>
  <c r="I188" i="3"/>
  <c r="G189" i="3"/>
  <c r="H189" i="3"/>
  <c r="I189" i="3"/>
  <c r="G190" i="3"/>
  <c r="H190" i="3"/>
  <c r="I190" i="3"/>
  <c r="G191" i="3"/>
  <c r="H191" i="3"/>
  <c r="I191" i="3"/>
  <c r="G192" i="3"/>
  <c r="H192" i="3"/>
  <c r="I192" i="3"/>
  <c r="G193" i="3"/>
  <c r="H193" i="3"/>
  <c r="I193" i="3"/>
  <c r="G194" i="3"/>
  <c r="H194" i="3"/>
  <c r="I194" i="3"/>
  <c r="G195" i="3"/>
  <c r="H195" i="3"/>
  <c r="I195" i="3"/>
  <c r="G196" i="3"/>
  <c r="H196" i="3"/>
  <c r="I196" i="3"/>
  <c r="G197" i="3"/>
  <c r="H197" i="3"/>
  <c r="I197" i="3"/>
  <c r="G198" i="3"/>
  <c r="H198" i="3"/>
  <c r="I198" i="3"/>
  <c r="G199" i="3"/>
  <c r="I199" i="3"/>
  <c r="G200" i="3"/>
  <c r="I200" i="3"/>
  <c r="G201" i="3"/>
  <c r="I201" i="3"/>
  <c r="G202" i="3"/>
  <c r="I202" i="3"/>
  <c r="G203" i="3"/>
  <c r="I203" i="3"/>
  <c r="G204" i="3"/>
  <c r="I204" i="3"/>
  <c r="G205" i="3"/>
  <c r="I205" i="3"/>
  <c r="G206" i="3"/>
  <c r="I206" i="3"/>
  <c r="G207" i="3"/>
  <c r="I207" i="3"/>
  <c r="G208" i="3"/>
  <c r="H208" i="3"/>
  <c r="I208" i="3"/>
  <c r="G209" i="3"/>
  <c r="H209" i="3"/>
  <c r="I209" i="3"/>
  <c r="G210" i="3"/>
  <c r="H210" i="3"/>
  <c r="I210" i="3"/>
  <c r="G211" i="3"/>
  <c r="H211" i="3"/>
  <c r="I211" i="3"/>
  <c r="G212" i="3"/>
  <c r="H212" i="3"/>
  <c r="I212" i="3"/>
  <c r="G213" i="3"/>
  <c r="H213" i="3"/>
  <c r="I213" i="3"/>
  <c r="G214" i="3"/>
  <c r="H214" i="3"/>
  <c r="I214" i="3"/>
  <c r="G215" i="3"/>
  <c r="H215" i="3"/>
  <c r="I215" i="3"/>
  <c r="G216" i="3"/>
  <c r="H216" i="3"/>
  <c r="I216" i="3"/>
  <c r="G217" i="3"/>
  <c r="H217" i="3"/>
  <c r="I217" i="3"/>
  <c r="G218" i="3"/>
  <c r="I218" i="3"/>
  <c r="G219" i="3"/>
  <c r="I219" i="3"/>
  <c r="G220" i="3"/>
  <c r="I220" i="3"/>
  <c r="G221" i="3"/>
  <c r="I221" i="3"/>
  <c r="G222" i="3"/>
  <c r="I222" i="3"/>
  <c r="G223" i="3"/>
  <c r="I223" i="3"/>
  <c r="G224" i="3"/>
  <c r="I224" i="3"/>
  <c r="G225" i="3"/>
  <c r="I225" i="3"/>
  <c r="G226" i="3"/>
  <c r="H226" i="3"/>
  <c r="I226" i="3"/>
  <c r="G227" i="3"/>
  <c r="H227" i="3"/>
  <c r="I227" i="3"/>
  <c r="G228" i="3"/>
  <c r="H228" i="3"/>
  <c r="I228" i="3"/>
  <c r="G229" i="3"/>
  <c r="H229" i="3"/>
  <c r="I229" i="3"/>
  <c r="G230" i="3"/>
  <c r="H230" i="3"/>
  <c r="I230" i="3"/>
  <c r="G231" i="3"/>
  <c r="H231" i="3"/>
  <c r="I231" i="3"/>
  <c r="G232" i="3"/>
  <c r="H232" i="3"/>
  <c r="I232" i="3"/>
  <c r="G233" i="3"/>
  <c r="H233" i="3"/>
  <c r="I233" i="3"/>
  <c r="G234" i="3"/>
  <c r="H234" i="3"/>
  <c r="I234" i="3"/>
  <c r="G235" i="3"/>
  <c r="H235" i="3"/>
  <c r="I235" i="3"/>
  <c r="G236" i="3"/>
  <c r="I236" i="3"/>
  <c r="G237" i="3"/>
  <c r="I237" i="3"/>
  <c r="G238" i="3"/>
  <c r="I238" i="3"/>
  <c r="G239" i="3"/>
  <c r="I239" i="3"/>
  <c r="G240" i="3"/>
  <c r="I240" i="3"/>
  <c r="G241" i="3"/>
  <c r="I241" i="3"/>
  <c r="G242" i="3"/>
  <c r="I242" i="3"/>
  <c r="G243" i="3"/>
  <c r="H243" i="3"/>
  <c r="I243" i="3"/>
  <c r="G244" i="3"/>
  <c r="H244" i="3"/>
  <c r="I244" i="3"/>
  <c r="G245" i="3"/>
  <c r="H245" i="3"/>
  <c r="I245" i="3"/>
  <c r="G246" i="3"/>
  <c r="H246" i="3"/>
  <c r="I246" i="3"/>
  <c r="G247" i="3"/>
  <c r="H247" i="3"/>
  <c r="I247" i="3"/>
  <c r="G248" i="3"/>
  <c r="H248" i="3"/>
  <c r="I248" i="3"/>
  <c r="G249" i="3"/>
  <c r="H249" i="3"/>
  <c r="I249" i="3"/>
  <c r="G250" i="3"/>
  <c r="H250" i="3"/>
  <c r="I250" i="3"/>
  <c r="G251" i="3"/>
  <c r="H251" i="3"/>
  <c r="I251" i="3"/>
  <c r="G252" i="3"/>
  <c r="H252" i="3"/>
  <c r="I252" i="3"/>
  <c r="G253" i="3"/>
  <c r="I253" i="3"/>
  <c r="G254" i="3"/>
  <c r="I254" i="3"/>
  <c r="G255" i="3"/>
  <c r="I255" i="3"/>
  <c r="G256" i="3"/>
  <c r="I256" i="3"/>
  <c r="G257" i="3"/>
  <c r="I257" i="3"/>
  <c r="G258" i="3"/>
  <c r="I258" i="3"/>
  <c r="G259" i="3"/>
  <c r="I259" i="3"/>
  <c r="G260" i="3"/>
  <c r="I260" i="3"/>
  <c r="G261" i="3"/>
  <c r="H261" i="3"/>
  <c r="I261" i="3"/>
  <c r="G262" i="3"/>
  <c r="H262" i="3"/>
  <c r="I262" i="3"/>
  <c r="G263" i="3"/>
  <c r="H263" i="3"/>
  <c r="I263" i="3"/>
  <c r="G264" i="3"/>
  <c r="H264" i="3"/>
  <c r="I264" i="3"/>
  <c r="G265" i="3"/>
  <c r="H265" i="3"/>
  <c r="I265" i="3"/>
  <c r="G266" i="3"/>
  <c r="H266" i="3"/>
  <c r="I266" i="3"/>
  <c r="G267" i="3"/>
  <c r="H267" i="3"/>
  <c r="I267" i="3"/>
  <c r="G268" i="3"/>
  <c r="H268" i="3"/>
  <c r="I268" i="3"/>
  <c r="G269" i="3"/>
  <c r="H269" i="3"/>
  <c r="I269" i="3"/>
  <c r="G270" i="3"/>
  <c r="H270" i="3"/>
  <c r="I270" i="3"/>
  <c r="G271" i="3"/>
  <c r="I271" i="3"/>
  <c r="G272" i="3"/>
  <c r="I272" i="3"/>
  <c r="G273" i="3"/>
  <c r="I273" i="3"/>
  <c r="G274" i="3"/>
  <c r="I274" i="3"/>
  <c r="G275" i="3"/>
  <c r="I275" i="3"/>
  <c r="G276" i="3"/>
  <c r="I276" i="3"/>
  <c r="G277" i="3"/>
  <c r="H277" i="3"/>
  <c r="I277" i="3"/>
  <c r="G278" i="3"/>
  <c r="H278" i="3"/>
  <c r="I278" i="3"/>
  <c r="G279" i="3"/>
  <c r="H279" i="3"/>
  <c r="I279" i="3"/>
  <c r="G280" i="3"/>
  <c r="H280" i="3"/>
  <c r="I280" i="3"/>
  <c r="G281" i="3"/>
  <c r="H281" i="3"/>
  <c r="I281" i="3"/>
  <c r="G282" i="3"/>
  <c r="I282" i="3"/>
  <c r="G283" i="3"/>
  <c r="I283" i="3"/>
  <c r="G284" i="3"/>
  <c r="I284" i="3"/>
  <c r="G285" i="3"/>
  <c r="I285" i="3"/>
  <c r="G286" i="3"/>
  <c r="I286" i="3"/>
  <c r="G287" i="3"/>
  <c r="I287" i="3"/>
  <c r="G288" i="3"/>
  <c r="I288" i="3"/>
  <c r="G289" i="3"/>
  <c r="H289" i="3"/>
  <c r="I289" i="3"/>
  <c r="G290" i="3"/>
  <c r="H290" i="3"/>
  <c r="I290" i="3"/>
  <c r="G291" i="3"/>
  <c r="H291" i="3"/>
  <c r="I291" i="3"/>
  <c r="G292" i="3"/>
  <c r="H292" i="3"/>
  <c r="I292" i="3"/>
  <c r="G293" i="3"/>
  <c r="H293" i="3"/>
  <c r="I293" i="3"/>
  <c r="G294" i="3"/>
  <c r="I294" i="3"/>
  <c r="G295" i="3"/>
  <c r="I295" i="3"/>
  <c r="G296" i="3"/>
  <c r="I296" i="3"/>
  <c r="G297" i="3"/>
  <c r="I297" i="3"/>
  <c r="G298" i="3"/>
  <c r="I298" i="3"/>
  <c r="G299" i="3"/>
  <c r="I299" i="3"/>
  <c r="G300" i="3"/>
  <c r="I300" i="3"/>
  <c r="G301" i="3"/>
  <c r="H301" i="3"/>
  <c r="I301" i="3"/>
  <c r="G302" i="3"/>
  <c r="H302" i="3"/>
  <c r="I302" i="3"/>
  <c r="G303" i="3"/>
  <c r="H303" i="3"/>
  <c r="I303" i="3"/>
  <c r="G304" i="3"/>
  <c r="H304" i="3"/>
  <c r="I304" i="3"/>
  <c r="G305" i="3"/>
  <c r="H305" i="3"/>
  <c r="I305" i="3"/>
  <c r="G306" i="3"/>
  <c r="I306" i="3"/>
  <c r="G307" i="3"/>
  <c r="I307" i="3"/>
  <c r="G308" i="3"/>
  <c r="I308" i="3"/>
  <c r="G309" i="3"/>
  <c r="I309" i="3"/>
  <c r="G310" i="3"/>
  <c r="I310" i="3"/>
  <c r="G311" i="3"/>
  <c r="I311" i="3"/>
  <c r="G312" i="3"/>
  <c r="I312" i="3"/>
  <c r="G313" i="3"/>
  <c r="H313" i="3"/>
  <c r="I313" i="3"/>
  <c r="G314" i="3"/>
  <c r="H314" i="3"/>
  <c r="I314" i="3"/>
  <c r="G315" i="3"/>
  <c r="H315" i="3"/>
  <c r="I315" i="3"/>
  <c r="G316" i="3"/>
  <c r="H316" i="3"/>
  <c r="I316" i="3"/>
  <c r="G317" i="3"/>
  <c r="H317" i="3"/>
  <c r="I317" i="3"/>
  <c r="G318" i="3"/>
  <c r="I318" i="3"/>
  <c r="G319" i="3"/>
  <c r="I319" i="3"/>
  <c r="G320" i="3"/>
  <c r="I320" i="3"/>
  <c r="G321" i="3"/>
  <c r="I321" i="3"/>
  <c r="G322" i="3"/>
  <c r="I322" i="3"/>
  <c r="G323" i="3"/>
  <c r="I323" i="3"/>
  <c r="G324" i="3"/>
  <c r="I324" i="3"/>
  <c r="G325" i="3"/>
  <c r="H325" i="3"/>
  <c r="I325" i="3"/>
  <c r="G326" i="3"/>
  <c r="H326" i="3"/>
  <c r="I326" i="3"/>
  <c r="G327" i="3"/>
  <c r="H327" i="3"/>
  <c r="I327" i="3"/>
  <c r="G328" i="3"/>
  <c r="I328" i="3"/>
  <c r="G329" i="3"/>
  <c r="H329" i="3"/>
  <c r="I329" i="3"/>
  <c r="G330" i="3"/>
  <c r="H330" i="3"/>
  <c r="I330" i="3"/>
  <c r="G331" i="3"/>
  <c r="H331" i="3"/>
  <c r="I331" i="3"/>
  <c r="G332" i="3"/>
  <c r="H332" i="3"/>
  <c r="I332" i="3"/>
  <c r="G333" i="3"/>
  <c r="H333" i="3"/>
  <c r="I333" i="3"/>
  <c r="G334" i="3"/>
  <c r="H334" i="3"/>
  <c r="I334" i="3"/>
  <c r="G335" i="3"/>
  <c r="H335" i="3"/>
  <c r="I335" i="3"/>
  <c r="G336" i="3"/>
  <c r="H336" i="3"/>
  <c r="I336" i="3"/>
  <c r="G337" i="3"/>
  <c r="H337" i="3"/>
  <c r="I337" i="3"/>
  <c r="G338" i="3"/>
  <c r="H338" i="3"/>
  <c r="I338" i="3"/>
  <c r="G339" i="3"/>
  <c r="H339" i="3"/>
  <c r="I339" i="3"/>
  <c r="G340" i="3"/>
  <c r="H340" i="3"/>
  <c r="I340" i="3"/>
  <c r="G341" i="3"/>
  <c r="H341" i="3"/>
  <c r="I341" i="3"/>
  <c r="G342" i="3"/>
  <c r="H342" i="3"/>
  <c r="I342" i="3"/>
  <c r="G343" i="3"/>
  <c r="H343" i="3"/>
  <c r="I343" i="3"/>
  <c r="G344" i="3"/>
  <c r="H344" i="3"/>
  <c r="I344" i="3"/>
  <c r="G345" i="3"/>
  <c r="H345" i="3"/>
  <c r="I345" i="3"/>
  <c r="G346" i="3"/>
  <c r="H346" i="3"/>
  <c r="I346" i="3"/>
  <c r="G347" i="3"/>
  <c r="H347" i="3"/>
  <c r="I347" i="3"/>
  <c r="G348" i="3"/>
  <c r="H348" i="3"/>
  <c r="I348" i="3"/>
  <c r="G349" i="3"/>
  <c r="H349" i="3"/>
  <c r="I349" i="3"/>
  <c r="G350" i="3"/>
  <c r="H350" i="3"/>
  <c r="I350" i="3"/>
  <c r="G351" i="3"/>
  <c r="H351" i="3"/>
  <c r="I351" i="3"/>
  <c r="G352" i="3"/>
  <c r="H352" i="3"/>
  <c r="I352" i="3"/>
  <c r="G353" i="3"/>
  <c r="H353" i="3"/>
  <c r="I353" i="3"/>
  <c r="G354" i="3"/>
  <c r="H354" i="3"/>
  <c r="I354" i="3"/>
  <c r="G355" i="3"/>
  <c r="H355" i="3"/>
  <c r="I355" i="3"/>
  <c r="G356" i="3"/>
  <c r="H356" i="3"/>
  <c r="I356" i="3"/>
  <c r="G357" i="3"/>
  <c r="H357" i="3"/>
  <c r="I357" i="3"/>
  <c r="G358" i="3"/>
  <c r="H358" i="3"/>
  <c r="I358" i="3"/>
  <c r="G359" i="3"/>
  <c r="H359" i="3"/>
  <c r="I359" i="3"/>
  <c r="G360" i="3"/>
  <c r="H360" i="3"/>
  <c r="I360" i="3"/>
  <c r="G361" i="3"/>
  <c r="H361" i="3"/>
  <c r="I361" i="3"/>
  <c r="G362" i="3"/>
  <c r="H362" i="3"/>
  <c r="I362" i="3"/>
  <c r="G363" i="3"/>
  <c r="H363" i="3"/>
  <c r="I363" i="3"/>
  <c r="G364" i="3"/>
  <c r="H364" i="3"/>
  <c r="I364" i="3"/>
  <c r="G365" i="3"/>
  <c r="H365" i="3"/>
  <c r="I365" i="3"/>
  <c r="G366" i="3"/>
  <c r="H366" i="3"/>
  <c r="I366" i="3"/>
  <c r="G367" i="3"/>
  <c r="H367" i="3"/>
  <c r="I367" i="3"/>
  <c r="G368" i="3"/>
  <c r="H368" i="3"/>
  <c r="I368" i="3"/>
  <c r="G369" i="3"/>
  <c r="H369" i="3"/>
  <c r="I369" i="3"/>
  <c r="G370" i="3"/>
  <c r="H370" i="3"/>
  <c r="I370" i="3"/>
  <c r="G371" i="3"/>
  <c r="H371" i="3"/>
  <c r="I371" i="3"/>
  <c r="G372" i="3"/>
  <c r="H372" i="3"/>
  <c r="I372" i="3"/>
  <c r="G373" i="3"/>
  <c r="H373" i="3"/>
  <c r="I373" i="3"/>
  <c r="G374" i="3"/>
  <c r="H374" i="3"/>
  <c r="I374" i="3"/>
  <c r="G375" i="3"/>
  <c r="H375" i="3"/>
  <c r="I375" i="3"/>
  <c r="G376" i="3"/>
  <c r="H376" i="3"/>
  <c r="I376" i="3"/>
  <c r="G377" i="3"/>
  <c r="H377" i="3"/>
  <c r="I377" i="3"/>
  <c r="G378" i="3"/>
  <c r="H378" i="3"/>
  <c r="I378" i="3"/>
  <c r="G379" i="3"/>
  <c r="H379" i="3"/>
  <c r="I379" i="3"/>
  <c r="G380" i="3"/>
  <c r="H380" i="3"/>
  <c r="I380" i="3"/>
  <c r="G381" i="3"/>
  <c r="H381" i="3"/>
  <c r="I381" i="3"/>
  <c r="G382" i="3"/>
  <c r="H382" i="3"/>
  <c r="I382" i="3"/>
  <c r="G383" i="3"/>
  <c r="H383" i="3"/>
  <c r="I383" i="3"/>
  <c r="G384" i="3"/>
  <c r="H384" i="3"/>
  <c r="I384" i="3"/>
  <c r="G385" i="3"/>
  <c r="H385" i="3"/>
  <c r="I385" i="3"/>
  <c r="G386" i="3"/>
  <c r="H386" i="3"/>
  <c r="I386" i="3"/>
  <c r="G387" i="3"/>
  <c r="H387" i="3"/>
  <c r="I387" i="3"/>
  <c r="G388" i="3"/>
  <c r="H388" i="3"/>
  <c r="I388" i="3"/>
  <c r="G389" i="3"/>
  <c r="H389" i="3"/>
  <c r="I389" i="3"/>
  <c r="G390" i="3"/>
  <c r="H390" i="3"/>
  <c r="I390" i="3"/>
  <c r="G391" i="3"/>
  <c r="H391" i="3"/>
  <c r="I391" i="3"/>
  <c r="G392" i="3"/>
  <c r="H392" i="3"/>
  <c r="I392" i="3"/>
  <c r="G393" i="3"/>
  <c r="H393" i="3"/>
  <c r="I393" i="3"/>
  <c r="G394" i="3"/>
  <c r="H394" i="3"/>
  <c r="I394" i="3"/>
  <c r="G395" i="3"/>
  <c r="H395" i="3"/>
  <c r="I395" i="3"/>
  <c r="G396" i="3"/>
  <c r="H396" i="3"/>
  <c r="I396" i="3"/>
  <c r="G397" i="3"/>
  <c r="H397" i="3"/>
  <c r="I397" i="3"/>
  <c r="G398" i="3"/>
  <c r="H398" i="3"/>
  <c r="I398" i="3"/>
  <c r="G399" i="3"/>
  <c r="H399" i="3"/>
  <c r="I399" i="3"/>
  <c r="G400" i="3"/>
  <c r="H400" i="3"/>
  <c r="I400" i="3"/>
  <c r="G401" i="3"/>
  <c r="H401" i="3"/>
  <c r="I401" i="3"/>
  <c r="G402" i="3"/>
  <c r="H402" i="3"/>
  <c r="I402" i="3"/>
  <c r="G403" i="3"/>
  <c r="H403" i="3"/>
  <c r="I403" i="3"/>
  <c r="G404" i="3"/>
  <c r="H404" i="3"/>
  <c r="I404" i="3"/>
  <c r="G405" i="3"/>
  <c r="H405" i="3"/>
  <c r="I405" i="3"/>
  <c r="G406" i="3"/>
  <c r="H406" i="3"/>
  <c r="I406" i="3"/>
  <c r="G407" i="3"/>
  <c r="H407" i="3"/>
  <c r="I407" i="3"/>
  <c r="G408" i="3"/>
  <c r="H408" i="3"/>
  <c r="I408" i="3"/>
  <c r="G409" i="3"/>
  <c r="H409" i="3"/>
  <c r="I409" i="3"/>
  <c r="G410" i="3"/>
  <c r="H410" i="3"/>
  <c r="I410" i="3"/>
  <c r="G411" i="3"/>
  <c r="H411" i="3"/>
  <c r="I411" i="3"/>
  <c r="G412" i="3"/>
  <c r="H412" i="3"/>
  <c r="I412" i="3"/>
  <c r="G413" i="3"/>
  <c r="H413" i="3"/>
  <c r="I413" i="3"/>
  <c r="G414" i="3"/>
  <c r="H414" i="3"/>
  <c r="I414" i="3"/>
  <c r="G415" i="3"/>
  <c r="H415" i="3"/>
  <c r="I415" i="3"/>
  <c r="G416" i="3"/>
  <c r="H416" i="3"/>
  <c r="I416" i="3"/>
  <c r="G417" i="3"/>
  <c r="H417" i="3"/>
  <c r="I417" i="3"/>
  <c r="G418" i="3"/>
  <c r="H418" i="3"/>
  <c r="I418" i="3"/>
  <c r="G419" i="3"/>
  <c r="H419" i="3"/>
  <c r="I419" i="3"/>
  <c r="G420" i="3"/>
  <c r="H420" i="3"/>
  <c r="I420" i="3"/>
  <c r="G421" i="3"/>
  <c r="H421" i="3"/>
  <c r="I421" i="3"/>
  <c r="G422" i="3"/>
  <c r="H422" i="3"/>
  <c r="I422" i="3"/>
  <c r="G423" i="3"/>
  <c r="H423" i="3"/>
  <c r="I423" i="3"/>
  <c r="G424" i="3"/>
  <c r="H424" i="3"/>
  <c r="I424" i="3"/>
  <c r="G425" i="3"/>
  <c r="H425" i="3"/>
  <c r="I425" i="3"/>
  <c r="G426" i="3"/>
  <c r="H426" i="3"/>
  <c r="I426" i="3"/>
  <c r="G427" i="3"/>
  <c r="H427" i="3"/>
  <c r="I427" i="3"/>
  <c r="G428" i="3"/>
  <c r="H428" i="3"/>
  <c r="I428" i="3"/>
  <c r="G429" i="3"/>
  <c r="H429" i="3"/>
  <c r="I429" i="3"/>
  <c r="G430" i="3"/>
  <c r="H430" i="3"/>
  <c r="I430" i="3"/>
  <c r="G431" i="3"/>
  <c r="H431" i="3"/>
  <c r="I431" i="3"/>
  <c r="G432" i="3"/>
  <c r="H432" i="3"/>
  <c r="I432" i="3"/>
  <c r="G433" i="3"/>
  <c r="H433" i="3"/>
  <c r="I433" i="3"/>
  <c r="G434" i="3"/>
  <c r="H434" i="3"/>
  <c r="I434" i="3"/>
  <c r="G435" i="3"/>
  <c r="H435" i="3"/>
  <c r="I435" i="3"/>
  <c r="G436" i="3"/>
  <c r="H436" i="3"/>
  <c r="I436" i="3"/>
  <c r="G437" i="3"/>
  <c r="H437" i="3"/>
  <c r="I437" i="3"/>
  <c r="G438" i="3"/>
  <c r="H438" i="3"/>
  <c r="I438" i="3"/>
  <c r="G439" i="3"/>
  <c r="H439" i="3"/>
  <c r="I439" i="3"/>
  <c r="G440" i="3"/>
  <c r="H440" i="3"/>
  <c r="I440" i="3"/>
  <c r="G441" i="3"/>
  <c r="H441" i="3"/>
  <c r="I441" i="3"/>
  <c r="G442" i="3"/>
  <c r="H442" i="3"/>
  <c r="I442" i="3"/>
  <c r="G443" i="3"/>
  <c r="H443" i="3"/>
  <c r="I443" i="3"/>
  <c r="G444" i="3"/>
  <c r="H444" i="3"/>
  <c r="I444" i="3"/>
  <c r="G445" i="3"/>
  <c r="H445" i="3"/>
  <c r="I445" i="3"/>
  <c r="G446" i="3"/>
  <c r="H446" i="3"/>
  <c r="I446" i="3"/>
  <c r="G447" i="3"/>
  <c r="H447" i="3"/>
  <c r="I447" i="3"/>
  <c r="G448" i="3"/>
  <c r="H448" i="3"/>
  <c r="I448" i="3"/>
  <c r="G449" i="3"/>
  <c r="H449" i="3"/>
  <c r="I449" i="3"/>
  <c r="G450" i="3"/>
  <c r="H450" i="3"/>
  <c r="I450" i="3"/>
  <c r="G451" i="3"/>
  <c r="H451" i="3"/>
  <c r="I451" i="3"/>
  <c r="G452" i="3"/>
  <c r="H452" i="3"/>
  <c r="I452" i="3"/>
  <c r="G453" i="3"/>
  <c r="H453" i="3"/>
  <c r="I453" i="3"/>
  <c r="G454" i="3"/>
  <c r="H454" i="3"/>
  <c r="I454" i="3"/>
  <c r="G455" i="3"/>
  <c r="H455" i="3"/>
  <c r="I455" i="3"/>
  <c r="G456" i="3"/>
  <c r="H456" i="3"/>
  <c r="I456" i="3"/>
  <c r="G457" i="3"/>
  <c r="H457" i="3"/>
  <c r="I457" i="3"/>
  <c r="G458" i="3"/>
  <c r="H458" i="3"/>
  <c r="I458" i="3"/>
  <c r="G459" i="3"/>
  <c r="H459" i="3"/>
  <c r="I459" i="3"/>
  <c r="G460" i="3"/>
  <c r="H460" i="3"/>
  <c r="I460" i="3"/>
  <c r="G461" i="3"/>
  <c r="H461" i="3"/>
  <c r="I461" i="3"/>
  <c r="G462" i="3"/>
  <c r="H462" i="3"/>
  <c r="I462" i="3"/>
  <c r="G463" i="3"/>
  <c r="H463" i="3"/>
  <c r="I463" i="3"/>
  <c r="G464" i="3"/>
  <c r="H464" i="3"/>
  <c r="I464" i="3"/>
  <c r="G465" i="3"/>
  <c r="H465" i="3"/>
  <c r="I465" i="3"/>
  <c r="G466" i="3"/>
  <c r="H466" i="3"/>
  <c r="I466" i="3"/>
  <c r="G467" i="3"/>
  <c r="H467" i="3"/>
  <c r="I467" i="3"/>
  <c r="G468" i="3"/>
  <c r="H468" i="3"/>
  <c r="I468" i="3"/>
  <c r="G469" i="3"/>
  <c r="H469" i="3"/>
  <c r="I469" i="3"/>
  <c r="G470" i="3"/>
  <c r="H470" i="3"/>
  <c r="I470" i="3"/>
  <c r="G471" i="3"/>
  <c r="H471" i="3"/>
  <c r="I471" i="3"/>
  <c r="G472" i="3"/>
  <c r="H472" i="3"/>
  <c r="I472" i="3"/>
  <c r="G473" i="3"/>
  <c r="H473" i="3"/>
  <c r="I473" i="3"/>
  <c r="G474" i="3"/>
  <c r="H474" i="3"/>
  <c r="I474" i="3"/>
  <c r="G475" i="3"/>
  <c r="H475" i="3"/>
  <c r="I475" i="3"/>
  <c r="G476" i="3"/>
  <c r="H476" i="3"/>
  <c r="I476" i="3"/>
  <c r="G477" i="3"/>
  <c r="H477" i="3"/>
  <c r="I477" i="3"/>
  <c r="G478" i="3"/>
  <c r="H478" i="3"/>
  <c r="I478" i="3"/>
  <c r="G479" i="3"/>
  <c r="H479" i="3"/>
  <c r="I479" i="3"/>
  <c r="G480" i="3"/>
  <c r="H480" i="3"/>
  <c r="I480" i="3"/>
  <c r="G481" i="3"/>
  <c r="H481" i="3"/>
  <c r="I481" i="3"/>
  <c r="G482" i="3"/>
  <c r="H482" i="3"/>
  <c r="I482" i="3"/>
  <c r="G483" i="3"/>
  <c r="H483" i="3"/>
  <c r="I483" i="3"/>
  <c r="G484" i="3"/>
  <c r="H484" i="3"/>
  <c r="I484" i="3"/>
  <c r="G485" i="3"/>
  <c r="H485" i="3"/>
  <c r="I485" i="3"/>
  <c r="G486" i="3"/>
  <c r="H486" i="3"/>
  <c r="I486" i="3"/>
  <c r="G487" i="3"/>
  <c r="H487" i="3"/>
  <c r="I487" i="3"/>
  <c r="G488" i="3"/>
  <c r="H488" i="3"/>
  <c r="I488" i="3"/>
  <c r="G489" i="3"/>
  <c r="H489" i="3"/>
  <c r="I489" i="3"/>
  <c r="G490" i="3"/>
  <c r="H490" i="3"/>
  <c r="I490" i="3"/>
  <c r="G491" i="3"/>
  <c r="H491" i="3"/>
  <c r="I491" i="3"/>
  <c r="G492" i="3"/>
  <c r="H492" i="3"/>
  <c r="I492" i="3"/>
  <c r="G493" i="3"/>
  <c r="H493" i="3"/>
  <c r="I493" i="3"/>
  <c r="G494" i="3"/>
  <c r="H494" i="3"/>
  <c r="I494" i="3"/>
  <c r="G495" i="3"/>
  <c r="H495" i="3"/>
  <c r="I495" i="3"/>
  <c r="G496" i="3"/>
  <c r="H496" i="3"/>
  <c r="I496" i="3"/>
  <c r="G497" i="3"/>
  <c r="H497" i="3"/>
  <c r="I497" i="3"/>
  <c r="G498" i="3"/>
  <c r="H498" i="3"/>
  <c r="I498" i="3"/>
  <c r="G499" i="3"/>
  <c r="H499" i="3"/>
  <c r="I499" i="3"/>
  <c r="G500" i="3"/>
  <c r="H500" i="3"/>
  <c r="I500" i="3"/>
  <c r="G501" i="3"/>
  <c r="H501" i="3"/>
  <c r="I501" i="3"/>
  <c r="G502" i="3"/>
  <c r="H502" i="3"/>
  <c r="I502" i="3"/>
  <c r="G503" i="3"/>
  <c r="H503" i="3"/>
  <c r="I503" i="3"/>
  <c r="G504" i="3"/>
  <c r="H504" i="3"/>
  <c r="I504" i="3"/>
  <c r="G505" i="3"/>
  <c r="H505" i="3"/>
  <c r="I505" i="3"/>
  <c r="G506" i="3"/>
  <c r="H506" i="3"/>
  <c r="I506" i="3"/>
  <c r="G507" i="3"/>
  <c r="H507" i="3"/>
  <c r="I507" i="3"/>
  <c r="G508" i="3"/>
  <c r="H508" i="3"/>
  <c r="I508" i="3"/>
  <c r="G509" i="3"/>
  <c r="H509" i="3"/>
  <c r="I509" i="3"/>
  <c r="G510" i="3"/>
  <c r="H510" i="3"/>
  <c r="I510" i="3"/>
  <c r="G511" i="3"/>
  <c r="H511" i="3"/>
  <c r="I511" i="3"/>
  <c r="G512" i="3"/>
  <c r="H512" i="3"/>
  <c r="I512" i="3"/>
  <c r="G513" i="3"/>
  <c r="H513" i="3"/>
  <c r="I513" i="3"/>
  <c r="G514" i="3"/>
  <c r="H514" i="3"/>
  <c r="I514" i="3"/>
  <c r="G515" i="3"/>
  <c r="H515" i="3"/>
  <c r="I515" i="3"/>
  <c r="G516" i="3"/>
  <c r="H516" i="3"/>
  <c r="I516" i="3"/>
  <c r="G517" i="3"/>
  <c r="H517" i="3"/>
  <c r="I517" i="3"/>
  <c r="G518" i="3"/>
  <c r="H518" i="3"/>
  <c r="I518" i="3"/>
  <c r="G519" i="3"/>
  <c r="H519" i="3"/>
  <c r="I519" i="3"/>
  <c r="G520" i="3"/>
  <c r="H520" i="3"/>
  <c r="I520" i="3"/>
  <c r="G521" i="3"/>
  <c r="H521" i="3"/>
  <c r="I521" i="3"/>
  <c r="G522" i="3"/>
  <c r="H522" i="3"/>
  <c r="I522" i="3"/>
  <c r="G523" i="3"/>
  <c r="H523" i="3"/>
  <c r="I523" i="3"/>
  <c r="G524" i="3"/>
  <c r="H524" i="3"/>
  <c r="I524" i="3"/>
  <c r="G525" i="3"/>
  <c r="H525" i="3"/>
  <c r="I525" i="3"/>
  <c r="G526" i="3"/>
  <c r="H526" i="3"/>
  <c r="I526" i="3"/>
  <c r="G527" i="3"/>
  <c r="H527" i="3"/>
  <c r="I527" i="3"/>
  <c r="G528" i="3"/>
  <c r="H528" i="3"/>
  <c r="I528" i="3"/>
  <c r="G529" i="3"/>
  <c r="H529" i="3"/>
  <c r="I529" i="3"/>
  <c r="G530" i="3"/>
  <c r="H530" i="3"/>
  <c r="I530" i="3"/>
  <c r="G531" i="3"/>
  <c r="H531" i="3"/>
  <c r="I531" i="3"/>
  <c r="G532" i="3"/>
  <c r="H532" i="3"/>
  <c r="I532" i="3"/>
  <c r="G533" i="3"/>
  <c r="H533" i="3"/>
  <c r="I533" i="3"/>
  <c r="G534" i="3"/>
  <c r="H534" i="3"/>
  <c r="I534" i="3"/>
  <c r="G535" i="3"/>
  <c r="H535" i="3"/>
  <c r="I535" i="3"/>
  <c r="G536" i="3"/>
  <c r="H536" i="3"/>
  <c r="I536" i="3"/>
  <c r="G537" i="3"/>
  <c r="H537" i="3"/>
  <c r="I537" i="3"/>
  <c r="G538" i="3"/>
  <c r="H538" i="3"/>
  <c r="I538" i="3"/>
  <c r="G539" i="3"/>
  <c r="H539" i="3"/>
  <c r="I539" i="3"/>
  <c r="G540" i="3"/>
  <c r="H540" i="3"/>
  <c r="I540" i="3"/>
  <c r="G541" i="3"/>
  <c r="H541" i="3"/>
  <c r="I541" i="3"/>
  <c r="G542" i="3"/>
  <c r="H542" i="3"/>
  <c r="I542" i="3"/>
  <c r="G543" i="3"/>
  <c r="H543" i="3"/>
  <c r="I543" i="3"/>
  <c r="G544" i="3"/>
  <c r="H544" i="3"/>
  <c r="I544" i="3"/>
  <c r="G545" i="3"/>
  <c r="H545" i="3"/>
  <c r="I545" i="3"/>
  <c r="G546" i="3"/>
  <c r="H546" i="3"/>
  <c r="I546" i="3"/>
  <c r="G547" i="3"/>
  <c r="H547" i="3"/>
  <c r="I547" i="3"/>
  <c r="G548" i="3"/>
  <c r="H548" i="3"/>
  <c r="I548" i="3"/>
  <c r="G549" i="3"/>
  <c r="H549" i="3"/>
  <c r="I549" i="3"/>
  <c r="G550" i="3"/>
  <c r="H550" i="3"/>
  <c r="I550" i="3"/>
  <c r="G551" i="3"/>
  <c r="H551" i="3"/>
  <c r="I551" i="3"/>
  <c r="G552" i="3"/>
  <c r="H552" i="3"/>
  <c r="I552" i="3"/>
  <c r="G553" i="3"/>
  <c r="H553" i="3"/>
  <c r="I553" i="3"/>
  <c r="G554" i="3"/>
  <c r="H554" i="3"/>
  <c r="I554" i="3"/>
  <c r="G555" i="3"/>
  <c r="H555" i="3"/>
  <c r="I555" i="3"/>
  <c r="G556" i="3"/>
  <c r="H556" i="3"/>
  <c r="I556" i="3"/>
  <c r="G557" i="3"/>
  <c r="H557" i="3"/>
  <c r="I557" i="3"/>
  <c r="G558" i="3"/>
  <c r="H558" i="3"/>
  <c r="I558" i="3"/>
  <c r="G559" i="3"/>
  <c r="H559" i="3"/>
  <c r="I559" i="3"/>
  <c r="G560" i="3"/>
  <c r="H560" i="3"/>
  <c r="I560" i="3"/>
  <c r="G561" i="3"/>
  <c r="H561" i="3"/>
  <c r="I561" i="3"/>
  <c r="G562" i="3"/>
  <c r="H562" i="3"/>
  <c r="I562" i="3"/>
  <c r="G563" i="3"/>
  <c r="H563" i="3"/>
  <c r="I563" i="3"/>
  <c r="G564" i="3"/>
  <c r="H564" i="3"/>
  <c r="I564" i="3"/>
  <c r="G565" i="3"/>
  <c r="H565" i="3"/>
  <c r="I565" i="3"/>
  <c r="G566" i="3"/>
  <c r="H566" i="3"/>
  <c r="I566" i="3"/>
  <c r="G567" i="3"/>
  <c r="H567" i="3"/>
  <c r="I567" i="3"/>
  <c r="G568" i="3"/>
  <c r="H568" i="3"/>
  <c r="I568" i="3"/>
  <c r="G569" i="3"/>
  <c r="H569" i="3"/>
  <c r="I569" i="3"/>
  <c r="G570" i="3"/>
  <c r="H570" i="3"/>
  <c r="I570" i="3"/>
  <c r="G571" i="3"/>
  <c r="H571" i="3"/>
  <c r="I571" i="3"/>
  <c r="G572" i="3"/>
  <c r="H572" i="3"/>
  <c r="I572" i="3"/>
  <c r="G573" i="3"/>
  <c r="H573" i="3"/>
  <c r="I573" i="3"/>
  <c r="G574" i="3"/>
  <c r="H574" i="3"/>
  <c r="I574" i="3"/>
  <c r="G575" i="3"/>
  <c r="H575" i="3"/>
  <c r="I575" i="3"/>
  <c r="G576" i="3"/>
  <c r="H576" i="3"/>
  <c r="I576" i="3"/>
  <c r="G577" i="3"/>
  <c r="H577" i="3"/>
  <c r="I577" i="3"/>
  <c r="G578" i="3"/>
  <c r="H578" i="3"/>
  <c r="I578" i="3"/>
  <c r="G579" i="3"/>
  <c r="H579" i="3"/>
  <c r="I579" i="3"/>
  <c r="G580" i="3"/>
  <c r="H580" i="3"/>
  <c r="I580" i="3"/>
  <c r="G581" i="3"/>
  <c r="H581" i="3"/>
  <c r="I581" i="3"/>
  <c r="G582" i="3"/>
  <c r="H582" i="3"/>
  <c r="I582" i="3"/>
  <c r="G583" i="3"/>
  <c r="H583" i="3"/>
  <c r="I583" i="3"/>
  <c r="G584" i="3"/>
  <c r="H584" i="3"/>
  <c r="I584" i="3"/>
  <c r="G585" i="3"/>
  <c r="H585" i="3"/>
  <c r="I585" i="3"/>
  <c r="G586" i="3"/>
  <c r="H586" i="3"/>
  <c r="I586" i="3"/>
  <c r="G587" i="3"/>
  <c r="H587" i="3"/>
  <c r="I587" i="3"/>
  <c r="G588" i="3"/>
  <c r="H588" i="3"/>
  <c r="I588" i="3"/>
  <c r="G589" i="3"/>
  <c r="H589" i="3"/>
  <c r="I589" i="3"/>
  <c r="G590" i="3"/>
  <c r="H590" i="3"/>
  <c r="I590" i="3"/>
  <c r="G591" i="3"/>
  <c r="H591" i="3"/>
  <c r="I591" i="3"/>
  <c r="G592" i="3"/>
  <c r="H592" i="3"/>
  <c r="I592" i="3"/>
  <c r="G593" i="3"/>
  <c r="H593" i="3"/>
  <c r="I593" i="3"/>
  <c r="G594" i="3"/>
  <c r="H594" i="3"/>
  <c r="I594" i="3"/>
  <c r="G595" i="3"/>
  <c r="H595" i="3"/>
  <c r="I595" i="3"/>
  <c r="G596" i="3"/>
  <c r="H596" i="3"/>
  <c r="I596" i="3"/>
  <c r="G597" i="3"/>
  <c r="H597" i="3"/>
  <c r="I597" i="3"/>
  <c r="G598" i="3"/>
  <c r="H598" i="3"/>
  <c r="I598" i="3"/>
  <c r="G599" i="3"/>
  <c r="H599" i="3"/>
  <c r="I599" i="3"/>
  <c r="G600" i="3"/>
  <c r="H600" i="3"/>
  <c r="I600" i="3"/>
  <c r="G601" i="3"/>
  <c r="H601" i="3"/>
  <c r="I601" i="3"/>
  <c r="G602" i="3"/>
  <c r="H602" i="3"/>
  <c r="I602" i="3"/>
  <c r="G603" i="3"/>
  <c r="H603" i="3"/>
  <c r="I603" i="3"/>
  <c r="G604" i="3"/>
  <c r="H604" i="3"/>
  <c r="I604" i="3"/>
  <c r="G605" i="3"/>
  <c r="H605" i="3"/>
  <c r="I605" i="3"/>
  <c r="G606" i="3"/>
  <c r="H606" i="3"/>
  <c r="I606" i="3"/>
  <c r="G607" i="3"/>
  <c r="H607" i="3"/>
  <c r="I607" i="3"/>
  <c r="G608" i="3"/>
  <c r="H608" i="3"/>
  <c r="I608" i="3"/>
  <c r="G609" i="3"/>
  <c r="H609" i="3"/>
  <c r="I609" i="3"/>
  <c r="G610" i="3"/>
  <c r="H610" i="3"/>
  <c r="I610" i="3"/>
  <c r="G611" i="3"/>
  <c r="H611" i="3"/>
  <c r="I611" i="3"/>
  <c r="G612" i="3"/>
  <c r="H612" i="3"/>
  <c r="I612" i="3"/>
  <c r="G613" i="3"/>
  <c r="H613" i="3"/>
  <c r="I613" i="3"/>
  <c r="G614" i="3"/>
  <c r="H614" i="3"/>
  <c r="I614" i="3"/>
  <c r="G615" i="3"/>
  <c r="H615" i="3"/>
  <c r="I615" i="3"/>
  <c r="G616" i="3"/>
  <c r="H616" i="3"/>
  <c r="I616" i="3"/>
  <c r="G617" i="3"/>
  <c r="H617" i="3"/>
  <c r="I617" i="3"/>
  <c r="G618" i="3"/>
  <c r="H618" i="3"/>
  <c r="I618" i="3"/>
  <c r="G619" i="3"/>
  <c r="H619" i="3"/>
  <c r="I619" i="3"/>
  <c r="G620" i="3"/>
  <c r="H620" i="3"/>
  <c r="I620" i="3"/>
  <c r="G621" i="3"/>
  <c r="H621" i="3"/>
  <c r="I621" i="3"/>
  <c r="G622" i="3"/>
  <c r="H622" i="3"/>
  <c r="I622" i="3"/>
  <c r="G623" i="3"/>
  <c r="H623" i="3"/>
  <c r="I623" i="3"/>
  <c r="G624" i="3"/>
  <c r="H624" i="3"/>
  <c r="I624" i="3"/>
  <c r="G625" i="3"/>
  <c r="H625" i="3"/>
  <c r="I625" i="3"/>
  <c r="G626" i="3"/>
  <c r="H626" i="3"/>
  <c r="I626" i="3"/>
  <c r="G627" i="3"/>
  <c r="H627" i="3"/>
  <c r="I627" i="3"/>
  <c r="G628" i="3"/>
  <c r="H628" i="3"/>
  <c r="I628" i="3"/>
  <c r="G629" i="3"/>
  <c r="H629" i="3"/>
  <c r="I629" i="3"/>
  <c r="G630" i="3"/>
  <c r="H630" i="3"/>
  <c r="I630" i="3"/>
  <c r="G631" i="3"/>
  <c r="H631" i="3"/>
  <c r="I631" i="3"/>
  <c r="G632" i="3"/>
  <c r="H632" i="3"/>
  <c r="I632" i="3"/>
  <c r="G633" i="3"/>
  <c r="H633" i="3"/>
  <c r="I633" i="3"/>
  <c r="G634" i="3"/>
  <c r="H634" i="3"/>
  <c r="I634" i="3"/>
  <c r="G635" i="3"/>
  <c r="H635" i="3"/>
  <c r="I635" i="3"/>
  <c r="G636" i="3"/>
  <c r="H636" i="3"/>
  <c r="I636" i="3"/>
  <c r="G637" i="3"/>
  <c r="H637" i="3"/>
  <c r="I637" i="3"/>
  <c r="G638" i="3"/>
  <c r="H638" i="3"/>
  <c r="I638" i="3"/>
  <c r="G639" i="3"/>
  <c r="H639" i="3"/>
  <c r="I639" i="3"/>
  <c r="G640" i="3"/>
  <c r="H640" i="3"/>
  <c r="I640" i="3"/>
  <c r="G641" i="3"/>
  <c r="H641" i="3"/>
  <c r="I641" i="3"/>
  <c r="G642" i="3"/>
  <c r="H642" i="3"/>
  <c r="I642" i="3"/>
  <c r="G643" i="3"/>
  <c r="H643" i="3"/>
  <c r="I643" i="3"/>
  <c r="G644" i="3"/>
  <c r="H644" i="3"/>
  <c r="I644" i="3"/>
  <c r="G645" i="3"/>
  <c r="H645" i="3"/>
  <c r="I645" i="3"/>
  <c r="G646" i="3"/>
  <c r="H646" i="3"/>
  <c r="I646" i="3"/>
  <c r="G647" i="3"/>
  <c r="H647" i="3"/>
  <c r="I647" i="3"/>
  <c r="G648" i="3"/>
  <c r="H648" i="3"/>
  <c r="I648" i="3"/>
  <c r="G649" i="3"/>
  <c r="H649" i="3"/>
  <c r="I649" i="3"/>
  <c r="G650" i="3"/>
  <c r="H650" i="3"/>
  <c r="I650" i="3"/>
  <c r="G651" i="3"/>
  <c r="H651" i="3"/>
  <c r="I651" i="3"/>
  <c r="G652" i="3"/>
  <c r="H652" i="3"/>
  <c r="I652" i="3"/>
  <c r="G653" i="3"/>
  <c r="H653" i="3"/>
  <c r="I653" i="3"/>
  <c r="G654" i="3"/>
  <c r="H654" i="3"/>
  <c r="I654" i="3"/>
  <c r="G655" i="3"/>
  <c r="H655" i="3"/>
  <c r="I655" i="3"/>
  <c r="G656" i="3"/>
  <c r="H656" i="3"/>
  <c r="I656" i="3"/>
  <c r="G657" i="3"/>
  <c r="H657" i="3"/>
  <c r="I657" i="3"/>
  <c r="G658" i="3"/>
  <c r="H658" i="3"/>
  <c r="I658" i="3"/>
  <c r="G659" i="3"/>
  <c r="H659" i="3"/>
  <c r="I659" i="3"/>
  <c r="G660" i="3"/>
  <c r="H660" i="3"/>
  <c r="I660" i="3"/>
  <c r="G661" i="3"/>
  <c r="H661" i="3"/>
  <c r="I661" i="3"/>
  <c r="G662" i="3"/>
  <c r="H662" i="3"/>
  <c r="I662" i="3"/>
  <c r="G663" i="3"/>
  <c r="H663" i="3"/>
  <c r="I663" i="3"/>
  <c r="G664" i="3"/>
  <c r="H664" i="3"/>
  <c r="I664" i="3"/>
  <c r="G665" i="3"/>
  <c r="H665" i="3"/>
  <c r="I665" i="3"/>
  <c r="G666" i="3"/>
  <c r="H666" i="3"/>
  <c r="I666" i="3"/>
  <c r="G667" i="3"/>
  <c r="H667" i="3"/>
  <c r="I667" i="3"/>
  <c r="G668" i="3"/>
  <c r="H668" i="3"/>
  <c r="I668" i="3"/>
  <c r="G669" i="3"/>
  <c r="H669" i="3"/>
  <c r="I669" i="3"/>
  <c r="G670" i="3"/>
  <c r="H670" i="3"/>
  <c r="I670" i="3"/>
  <c r="G671" i="3"/>
  <c r="H671" i="3"/>
  <c r="I671" i="3"/>
  <c r="G672" i="3"/>
  <c r="H672" i="3"/>
  <c r="I672" i="3"/>
  <c r="G673" i="3"/>
  <c r="H673" i="3"/>
  <c r="I673" i="3"/>
  <c r="G674" i="3"/>
  <c r="H674" i="3"/>
  <c r="I674" i="3"/>
  <c r="G675" i="3"/>
  <c r="H675" i="3"/>
  <c r="I675" i="3"/>
  <c r="G676" i="3"/>
  <c r="H676" i="3"/>
  <c r="I676" i="3"/>
  <c r="G677" i="3"/>
  <c r="H677" i="3"/>
  <c r="I677" i="3"/>
  <c r="G678" i="3"/>
  <c r="H678" i="3"/>
  <c r="I678" i="3"/>
  <c r="G679" i="3"/>
  <c r="H679" i="3"/>
  <c r="I679" i="3"/>
  <c r="G680" i="3"/>
  <c r="H680" i="3"/>
  <c r="I680" i="3"/>
  <c r="G681" i="3"/>
  <c r="H681" i="3"/>
  <c r="I681" i="3"/>
  <c r="G682" i="3"/>
  <c r="H682" i="3"/>
  <c r="I682" i="3"/>
  <c r="G683" i="3"/>
  <c r="H683" i="3"/>
  <c r="I683" i="3"/>
  <c r="G684" i="3"/>
  <c r="H684" i="3"/>
  <c r="I684" i="3"/>
  <c r="G685" i="3"/>
  <c r="H685" i="3"/>
  <c r="I685" i="3"/>
  <c r="G686" i="3"/>
  <c r="H686" i="3"/>
  <c r="I686" i="3"/>
  <c r="G687" i="3"/>
  <c r="H687" i="3"/>
  <c r="I687" i="3"/>
  <c r="G688" i="3"/>
  <c r="H688" i="3"/>
  <c r="I688" i="3"/>
  <c r="G689" i="3"/>
  <c r="H689" i="3"/>
  <c r="I689" i="3"/>
  <c r="G690" i="3"/>
  <c r="H690" i="3"/>
  <c r="I690" i="3"/>
  <c r="G691" i="3"/>
  <c r="H691" i="3"/>
  <c r="I691" i="3"/>
  <c r="G692" i="3"/>
  <c r="H692" i="3"/>
  <c r="I692" i="3"/>
  <c r="G693" i="3"/>
  <c r="H693" i="3"/>
  <c r="I693" i="3"/>
  <c r="G694" i="3"/>
  <c r="H694" i="3"/>
  <c r="I694" i="3"/>
  <c r="G695" i="3"/>
  <c r="H695" i="3"/>
  <c r="I695" i="3"/>
  <c r="G696" i="3"/>
  <c r="H696" i="3"/>
  <c r="I696" i="3"/>
  <c r="G697" i="3"/>
  <c r="H697" i="3"/>
  <c r="I697" i="3"/>
  <c r="G698" i="3"/>
  <c r="H698" i="3"/>
  <c r="I698" i="3"/>
  <c r="G699" i="3"/>
  <c r="H699" i="3"/>
  <c r="I699" i="3"/>
  <c r="G700" i="3"/>
  <c r="H700" i="3"/>
  <c r="I700" i="3"/>
  <c r="G701" i="3"/>
  <c r="H701" i="3"/>
  <c r="I701" i="3"/>
  <c r="G702" i="3"/>
  <c r="H702" i="3"/>
  <c r="I702" i="3"/>
  <c r="G703" i="3"/>
  <c r="H703" i="3"/>
  <c r="I703" i="3"/>
  <c r="G704" i="3"/>
  <c r="H704" i="3"/>
  <c r="I704" i="3"/>
  <c r="G705" i="3"/>
  <c r="H705" i="3"/>
  <c r="I705" i="3"/>
  <c r="G706" i="3"/>
  <c r="H706" i="3"/>
  <c r="I706" i="3"/>
  <c r="G707" i="3"/>
  <c r="H707" i="3"/>
  <c r="I707" i="3"/>
  <c r="G708" i="3"/>
  <c r="H708" i="3"/>
  <c r="I708" i="3"/>
  <c r="G709" i="3"/>
  <c r="H709" i="3"/>
  <c r="I709" i="3"/>
  <c r="G710" i="3"/>
  <c r="H710" i="3"/>
  <c r="I710" i="3"/>
  <c r="G711" i="3"/>
  <c r="H711" i="3"/>
  <c r="I711" i="3"/>
  <c r="G712" i="3"/>
  <c r="H712" i="3"/>
  <c r="I712" i="3"/>
  <c r="G713" i="3"/>
  <c r="H713" i="3"/>
  <c r="I713" i="3"/>
  <c r="G714" i="3"/>
  <c r="H714" i="3"/>
  <c r="I714" i="3"/>
  <c r="G715" i="3"/>
  <c r="H715" i="3"/>
  <c r="I715" i="3"/>
  <c r="G716" i="3"/>
  <c r="H716" i="3"/>
  <c r="I716" i="3"/>
  <c r="G717" i="3"/>
  <c r="H717" i="3"/>
  <c r="I717" i="3"/>
  <c r="G718" i="3"/>
  <c r="H718" i="3"/>
  <c r="I718" i="3"/>
  <c r="G719" i="3"/>
  <c r="H719" i="3"/>
  <c r="I719" i="3"/>
  <c r="G720" i="3"/>
  <c r="H720" i="3"/>
  <c r="I720" i="3"/>
  <c r="G721" i="3"/>
  <c r="H721" i="3"/>
  <c r="I721" i="3"/>
  <c r="G722" i="3"/>
  <c r="H722" i="3"/>
  <c r="I722" i="3"/>
  <c r="G723" i="3"/>
  <c r="H723" i="3"/>
  <c r="I723" i="3"/>
  <c r="G724" i="3"/>
  <c r="H724" i="3"/>
  <c r="I724" i="3"/>
  <c r="G725" i="3"/>
  <c r="H725" i="3"/>
  <c r="I725" i="3"/>
  <c r="G726" i="3"/>
  <c r="H726" i="3"/>
  <c r="I726" i="3"/>
  <c r="G727" i="3"/>
  <c r="H727" i="3"/>
  <c r="I727" i="3"/>
  <c r="G728" i="3"/>
  <c r="H728" i="3"/>
  <c r="I728" i="3"/>
  <c r="G729" i="3"/>
  <c r="H729" i="3"/>
  <c r="I729" i="3"/>
  <c r="G730" i="3"/>
  <c r="H730" i="3"/>
  <c r="I730" i="3"/>
  <c r="G731" i="3"/>
  <c r="H731" i="3"/>
  <c r="I731" i="3"/>
  <c r="G732" i="3"/>
  <c r="H732" i="3"/>
  <c r="I732" i="3"/>
  <c r="G733" i="3"/>
  <c r="H733" i="3"/>
  <c r="I733" i="3"/>
  <c r="G734" i="3"/>
  <c r="H734" i="3"/>
  <c r="I734" i="3"/>
  <c r="G735" i="3"/>
  <c r="H735" i="3"/>
  <c r="I735" i="3"/>
  <c r="G736" i="3"/>
  <c r="H736" i="3"/>
  <c r="I736" i="3"/>
  <c r="G737" i="3"/>
  <c r="H737" i="3"/>
  <c r="I737" i="3"/>
  <c r="G738" i="3"/>
  <c r="H738" i="3"/>
  <c r="I738" i="3"/>
  <c r="G739" i="3"/>
  <c r="H739" i="3"/>
  <c r="I739" i="3"/>
  <c r="G740" i="3"/>
  <c r="H740" i="3"/>
  <c r="I740" i="3"/>
  <c r="G741" i="3"/>
  <c r="H741" i="3"/>
  <c r="I741" i="3"/>
  <c r="G742" i="3"/>
  <c r="H742" i="3"/>
  <c r="I742" i="3"/>
  <c r="G743" i="3"/>
  <c r="H743" i="3"/>
  <c r="I743" i="3"/>
  <c r="G744" i="3"/>
  <c r="H744" i="3"/>
  <c r="I744" i="3"/>
  <c r="G745" i="3"/>
  <c r="H745" i="3"/>
  <c r="I745" i="3"/>
  <c r="G746" i="3"/>
  <c r="H746" i="3"/>
  <c r="I746" i="3"/>
  <c r="G747" i="3"/>
  <c r="H747" i="3"/>
  <c r="I747" i="3"/>
  <c r="G748" i="3"/>
  <c r="H748" i="3"/>
  <c r="I748" i="3"/>
  <c r="G749" i="3"/>
  <c r="H749" i="3"/>
  <c r="I749" i="3"/>
  <c r="G750" i="3"/>
  <c r="H750" i="3"/>
  <c r="I750" i="3"/>
  <c r="G751" i="3"/>
  <c r="H751" i="3"/>
  <c r="I751" i="3"/>
  <c r="G752" i="3"/>
  <c r="H752" i="3"/>
  <c r="I752" i="3"/>
  <c r="G753" i="3"/>
  <c r="H753" i="3"/>
  <c r="I753" i="3"/>
  <c r="G754" i="3"/>
  <c r="H754" i="3"/>
  <c r="I754" i="3"/>
  <c r="G755" i="3"/>
  <c r="H755" i="3"/>
  <c r="I755" i="3"/>
  <c r="G756" i="3"/>
  <c r="H756" i="3"/>
  <c r="I756" i="3"/>
  <c r="G757" i="3"/>
  <c r="H757" i="3"/>
  <c r="I757" i="3"/>
  <c r="G758" i="3"/>
  <c r="H758" i="3"/>
  <c r="I758" i="3"/>
  <c r="G759" i="3"/>
  <c r="H759" i="3"/>
  <c r="I759" i="3"/>
  <c r="G760" i="3"/>
  <c r="H760" i="3"/>
  <c r="I760" i="3"/>
  <c r="G761" i="3"/>
  <c r="H761" i="3"/>
  <c r="I761" i="3"/>
  <c r="G762" i="3"/>
  <c r="H762" i="3"/>
  <c r="I762" i="3"/>
  <c r="G763" i="3"/>
  <c r="H763" i="3"/>
  <c r="I763" i="3"/>
  <c r="G764" i="3"/>
  <c r="H764" i="3"/>
  <c r="I764" i="3"/>
  <c r="G765" i="3"/>
  <c r="H765" i="3"/>
  <c r="I765" i="3"/>
  <c r="G766" i="3"/>
  <c r="H766" i="3"/>
  <c r="I766" i="3"/>
  <c r="G767" i="3"/>
  <c r="H767" i="3"/>
  <c r="I767" i="3"/>
  <c r="G768" i="3"/>
  <c r="H768" i="3"/>
  <c r="I768" i="3"/>
  <c r="G769" i="3"/>
  <c r="H769" i="3"/>
  <c r="I769" i="3"/>
  <c r="G770" i="3"/>
  <c r="H770" i="3"/>
  <c r="I770" i="3"/>
  <c r="G771" i="3"/>
  <c r="H771" i="3"/>
  <c r="I771" i="3"/>
  <c r="G772" i="3"/>
  <c r="H772" i="3"/>
  <c r="I772" i="3"/>
  <c r="G773" i="3"/>
  <c r="H773" i="3"/>
  <c r="I773" i="3"/>
  <c r="G774" i="3"/>
  <c r="H774" i="3"/>
  <c r="I774" i="3"/>
  <c r="G775" i="3"/>
  <c r="H775" i="3"/>
  <c r="I775" i="3"/>
  <c r="G776" i="3"/>
  <c r="H776" i="3"/>
  <c r="I776" i="3"/>
  <c r="G777" i="3"/>
  <c r="H777" i="3"/>
  <c r="I777" i="3"/>
  <c r="G778" i="3"/>
  <c r="H778" i="3"/>
  <c r="I778" i="3"/>
  <c r="G779" i="3"/>
  <c r="H779" i="3"/>
  <c r="I779" i="3"/>
  <c r="G780" i="3"/>
  <c r="H780" i="3"/>
  <c r="I780" i="3"/>
  <c r="G781" i="3"/>
  <c r="H781" i="3"/>
  <c r="I781" i="3"/>
  <c r="G782" i="3"/>
  <c r="H782" i="3"/>
  <c r="I782" i="3"/>
  <c r="G783" i="3"/>
  <c r="H783" i="3"/>
  <c r="I783" i="3"/>
  <c r="G784" i="3"/>
  <c r="H784" i="3"/>
  <c r="I784" i="3"/>
  <c r="G785" i="3"/>
  <c r="H785" i="3"/>
  <c r="I785" i="3"/>
  <c r="G786" i="3"/>
  <c r="H786" i="3"/>
  <c r="I786" i="3"/>
  <c r="G787" i="3"/>
  <c r="H787" i="3"/>
  <c r="I787" i="3"/>
  <c r="G788" i="3"/>
  <c r="H788" i="3"/>
  <c r="I788" i="3"/>
  <c r="G789" i="3"/>
  <c r="H789" i="3"/>
  <c r="I789" i="3"/>
  <c r="G790" i="3"/>
  <c r="H790" i="3"/>
  <c r="I790" i="3"/>
  <c r="G791" i="3"/>
  <c r="H791" i="3"/>
  <c r="I791" i="3"/>
  <c r="G792" i="3"/>
  <c r="H792" i="3"/>
  <c r="I792" i="3"/>
  <c r="G793" i="3"/>
  <c r="H793" i="3"/>
  <c r="I793" i="3"/>
  <c r="G794" i="3"/>
  <c r="H794" i="3"/>
  <c r="I794" i="3"/>
  <c r="G795" i="3"/>
  <c r="H795" i="3"/>
  <c r="I795" i="3"/>
  <c r="G796" i="3"/>
  <c r="H796" i="3"/>
  <c r="I796" i="3"/>
  <c r="G797" i="3"/>
  <c r="H797" i="3"/>
  <c r="I797" i="3"/>
  <c r="G798" i="3"/>
  <c r="H798" i="3"/>
  <c r="I798" i="3"/>
  <c r="G799" i="3"/>
  <c r="H799" i="3"/>
  <c r="I799" i="3"/>
  <c r="G800" i="3"/>
  <c r="H800" i="3"/>
  <c r="I800" i="3"/>
  <c r="G801" i="3"/>
  <c r="H801" i="3"/>
  <c r="I801" i="3"/>
  <c r="G802" i="3"/>
  <c r="H802" i="3"/>
  <c r="I802" i="3"/>
  <c r="G803" i="3"/>
  <c r="H803" i="3"/>
  <c r="I803" i="3"/>
  <c r="G804" i="3"/>
  <c r="H804" i="3"/>
  <c r="I804" i="3"/>
  <c r="G805" i="3"/>
  <c r="H805" i="3"/>
  <c r="I805" i="3"/>
  <c r="G806" i="3"/>
  <c r="H806" i="3"/>
  <c r="I806" i="3"/>
  <c r="G807" i="3"/>
  <c r="H807" i="3"/>
  <c r="I807" i="3"/>
  <c r="G808" i="3"/>
  <c r="H808" i="3"/>
  <c r="I808" i="3"/>
  <c r="G809" i="3"/>
  <c r="H809" i="3"/>
  <c r="I809" i="3"/>
  <c r="G810" i="3"/>
  <c r="H810" i="3"/>
  <c r="I810" i="3"/>
  <c r="G811" i="3"/>
  <c r="H811" i="3"/>
  <c r="I811" i="3"/>
  <c r="G812" i="3"/>
  <c r="H812" i="3"/>
  <c r="I812" i="3"/>
  <c r="G813" i="3"/>
  <c r="H813" i="3"/>
  <c r="I813" i="3"/>
  <c r="G814" i="3"/>
  <c r="H814" i="3"/>
  <c r="I814" i="3"/>
  <c r="G815" i="3"/>
  <c r="H815" i="3"/>
  <c r="I815" i="3"/>
  <c r="G816" i="3"/>
  <c r="H816" i="3"/>
  <c r="I816" i="3"/>
  <c r="G817" i="3"/>
  <c r="H817" i="3"/>
  <c r="I817" i="3"/>
  <c r="G818" i="3"/>
  <c r="H818" i="3"/>
  <c r="I818" i="3"/>
  <c r="G819" i="3"/>
  <c r="H819" i="3"/>
  <c r="I819" i="3"/>
  <c r="G820" i="3"/>
  <c r="H820" i="3"/>
  <c r="I820" i="3"/>
  <c r="G821" i="3"/>
  <c r="H821" i="3"/>
  <c r="I821" i="3"/>
  <c r="G822" i="3"/>
  <c r="H822" i="3"/>
  <c r="I822" i="3"/>
  <c r="G823" i="3"/>
  <c r="H823" i="3"/>
  <c r="I823" i="3"/>
  <c r="G824" i="3"/>
  <c r="H824" i="3"/>
  <c r="I824" i="3"/>
  <c r="G825" i="3"/>
  <c r="H825" i="3"/>
  <c r="I825" i="3"/>
  <c r="G826" i="3"/>
  <c r="H826" i="3"/>
  <c r="I826" i="3"/>
  <c r="G827" i="3"/>
  <c r="H827" i="3"/>
  <c r="I827" i="3"/>
  <c r="G828" i="3"/>
  <c r="H828" i="3"/>
  <c r="I828" i="3"/>
  <c r="G829" i="3"/>
  <c r="H829" i="3"/>
  <c r="I829" i="3"/>
  <c r="G830" i="3"/>
  <c r="H830" i="3"/>
  <c r="I830" i="3"/>
  <c r="G831" i="3"/>
  <c r="H831" i="3"/>
  <c r="I831" i="3"/>
  <c r="G832" i="3"/>
  <c r="H832" i="3"/>
  <c r="I832" i="3"/>
  <c r="G833" i="3"/>
  <c r="H833" i="3"/>
  <c r="I833" i="3"/>
  <c r="G834" i="3"/>
  <c r="H834" i="3"/>
  <c r="I834" i="3"/>
  <c r="G835" i="3"/>
  <c r="H835" i="3"/>
  <c r="I835" i="3"/>
  <c r="G836" i="3"/>
  <c r="H836" i="3"/>
  <c r="I836" i="3"/>
  <c r="G837" i="3"/>
  <c r="H837" i="3"/>
  <c r="I837" i="3"/>
  <c r="G838" i="3"/>
  <c r="H838" i="3"/>
  <c r="I838" i="3"/>
  <c r="G839" i="3"/>
  <c r="H839" i="3"/>
  <c r="I839" i="3"/>
  <c r="G840" i="3"/>
  <c r="H840" i="3"/>
  <c r="I840" i="3"/>
  <c r="G841" i="3"/>
  <c r="H841" i="3"/>
  <c r="I841" i="3"/>
  <c r="G842" i="3"/>
  <c r="H842" i="3"/>
  <c r="I842" i="3"/>
  <c r="G843" i="3"/>
  <c r="H843" i="3"/>
  <c r="I843" i="3"/>
  <c r="G844" i="3"/>
  <c r="H844" i="3"/>
  <c r="I844" i="3"/>
  <c r="G845" i="3"/>
  <c r="H845" i="3"/>
  <c r="I845" i="3"/>
  <c r="G846" i="3"/>
  <c r="H846" i="3"/>
  <c r="I846" i="3"/>
  <c r="G847" i="3"/>
  <c r="H847" i="3"/>
  <c r="I847" i="3"/>
  <c r="G848" i="3"/>
  <c r="H848" i="3"/>
  <c r="I848" i="3"/>
  <c r="G849" i="3"/>
  <c r="H849" i="3"/>
  <c r="I849" i="3"/>
  <c r="G850" i="3"/>
  <c r="H850" i="3"/>
  <c r="I850" i="3"/>
  <c r="G851" i="3"/>
  <c r="H851" i="3"/>
  <c r="I851" i="3"/>
  <c r="G852" i="3"/>
  <c r="H852" i="3"/>
  <c r="I852" i="3"/>
  <c r="G853" i="3"/>
  <c r="H853" i="3"/>
  <c r="I853" i="3"/>
  <c r="G854" i="3"/>
  <c r="H854" i="3"/>
  <c r="I854" i="3"/>
  <c r="G855" i="3"/>
  <c r="H855" i="3"/>
  <c r="I855" i="3"/>
  <c r="G856" i="3"/>
  <c r="H856" i="3"/>
  <c r="I856" i="3"/>
  <c r="G857" i="3"/>
  <c r="H857" i="3"/>
  <c r="I857" i="3"/>
  <c r="G858" i="3"/>
  <c r="H858" i="3"/>
  <c r="I858" i="3"/>
  <c r="G859" i="3"/>
  <c r="H859" i="3"/>
  <c r="I859" i="3"/>
  <c r="G860" i="3"/>
  <c r="H860" i="3"/>
  <c r="I860" i="3"/>
  <c r="G861" i="3"/>
  <c r="H861" i="3"/>
  <c r="I861" i="3"/>
  <c r="G862" i="3"/>
  <c r="H862" i="3"/>
  <c r="I862" i="3"/>
  <c r="G863" i="3"/>
  <c r="H863" i="3"/>
  <c r="I863" i="3"/>
  <c r="G864" i="3"/>
  <c r="H864" i="3"/>
  <c r="I864" i="3"/>
  <c r="G865" i="3"/>
  <c r="H865" i="3"/>
  <c r="I865" i="3"/>
  <c r="G866" i="3"/>
  <c r="H866" i="3"/>
  <c r="I866" i="3"/>
  <c r="G867" i="3"/>
  <c r="H867" i="3"/>
  <c r="I867" i="3"/>
  <c r="G868" i="3"/>
  <c r="H868" i="3"/>
  <c r="I868" i="3"/>
  <c r="G869" i="3"/>
  <c r="H869" i="3"/>
  <c r="I869" i="3"/>
  <c r="G870" i="3"/>
  <c r="H870" i="3"/>
  <c r="I870" i="3"/>
  <c r="G871" i="3"/>
  <c r="H871" i="3"/>
  <c r="I871" i="3"/>
  <c r="G872" i="3"/>
  <c r="H872" i="3"/>
  <c r="I872" i="3"/>
  <c r="G873" i="3"/>
  <c r="H873" i="3"/>
  <c r="I873" i="3"/>
  <c r="G874" i="3"/>
  <c r="H874" i="3"/>
  <c r="I874" i="3"/>
  <c r="G875" i="3"/>
  <c r="H875" i="3"/>
  <c r="I875" i="3"/>
  <c r="G876" i="3"/>
  <c r="H876" i="3"/>
  <c r="I876" i="3"/>
  <c r="G877" i="3"/>
  <c r="H877" i="3"/>
  <c r="I877" i="3"/>
  <c r="G878" i="3"/>
  <c r="H878" i="3"/>
  <c r="I878" i="3"/>
  <c r="G879" i="3"/>
  <c r="H879" i="3"/>
  <c r="I879" i="3"/>
  <c r="G880" i="3"/>
  <c r="H880" i="3"/>
  <c r="I880" i="3"/>
  <c r="G881" i="3"/>
  <c r="H881" i="3"/>
  <c r="I881" i="3"/>
  <c r="G882" i="3"/>
  <c r="H882" i="3"/>
  <c r="I882" i="3"/>
  <c r="G883" i="3"/>
  <c r="H883" i="3"/>
  <c r="I883" i="3"/>
  <c r="G884" i="3"/>
  <c r="H884" i="3"/>
  <c r="I884" i="3"/>
  <c r="G885" i="3"/>
  <c r="H885" i="3"/>
  <c r="I885" i="3"/>
  <c r="G886" i="3"/>
  <c r="H886" i="3"/>
  <c r="I886" i="3"/>
  <c r="G887" i="3"/>
  <c r="H887" i="3"/>
  <c r="I887" i="3"/>
  <c r="G888" i="3"/>
  <c r="H888" i="3"/>
  <c r="I888" i="3"/>
  <c r="G889" i="3"/>
  <c r="H889" i="3"/>
  <c r="I889" i="3"/>
  <c r="G890" i="3"/>
  <c r="H890" i="3"/>
  <c r="I890" i="3"/>
  <c r="G891" i="3"/>
  <c r="H891" i="3"/>
  <c r="I891" i="3"/>
  <c r="G892" i="3"/>
  <c r="H892" i="3"/>
  <c r="I892" i="3"/>
  <c r="G893" i="3"/>
  <c r="H893" i="3"/>
  <c r="I893" i="3"/>
  <c r="G894" i="3"/>
  <c r="H894" i="3"/>
  <c r="I894" i="3"/>
  <c r="G895" i="3"/>
  <c r="H895" i="3"/>
  <c r="I895" i="3"/>
  <c r="G896" i="3"/>
  <c r="H896" i="3"/>
  <c r="I896" i="3"/>
  <c r="G897" i="3"/>
  <c r="H897" i="3"/>
  <c r="I897" i="3"/>
  <c r="G898" i="3"/>
  <c r="H898" i="3"/>
  <c r="I898" i="3"/>
  <c r="G899" i="3"/>
  <c r="H899" i="3"/>
  <c r="I899" i="3"/>
  <c r="G900" i="3"/>
  <c r="H900" i="3"/>
  <c r="I900" i="3"/>
  <c r="G901" i="3"/>
  <c r="H901" i="3"/>
  <c r="I901" i="3"/>
  <c r="G902" i="3"/>
  <c r="H902" i="3"/>
  <c r="I902" i="3"/>
  <c r="G903" i="3"/>
  <c r="H903" i="3"/>
  <c r="I903" i="3"/>
  <c r="G904" i="3"/>
  <c r="H904" i="3"/>
  <c r="I904" i="3"/>
  <c r="G905" i="3"/>
  <c r="H905" i="3"/>
  <c r="I905" i="3"/>
  <c r="G906" i="3"/>
  <c r="H906" i="3"/>
  <c r="I906" i="3"/>
  <c r="G907" i="3"/>
  <c r="H907" i="3"/>
  <c r="I907" i="3"/>
  <c r="G908" i="3"/>
  <c r="H908" i="3"/>
  <c r="I908" i="3"/>
  <c r="G909" i="3"/>
  <c r="H909" i="3"/>
  <c r="I909" i="3"/>
  <c r="G910" i="3"/>
  <c r="H910" i="3"/>
  <c r="I910" i="3"/>
  <c r="G911" i="3"/>
  <c r="H911" i="3"/>
  <c r="I911" i="3"/>
  <c r="G912" i="3"/>
  <c r="H912" i="3"/>
  <c r="I912" i="3"/>
  <c r="G913" i="3"/>
  <c r="H913" i="3"/>
  <c r="I913" i="3"/>
  <c r="G914" i="3"/>
  <c r="H914" i="3"/>
  <c r="I914" i="3"/>
  <c r="G915" i="3"/>
  <c r="H915" i="3"/>
  <c r="I915" i="3"/>
  <c r="G916" i="3"/>
  <c r="H916" i="3"/>
  <c r="I916" i="3"/>
  <c r="G917" i="3"/>
  <c r="H917" i="3"/>
  <c r="I917" i="3"/>
  <c r="G918" i="3"/>
  <c r="H918" i="3"/>
  <c r="I918" i="3"/>
  <c r="G919" i="3"/>
  <c r="H919" i="3"/>
  <c r="I919" i="3"/>
  <c r="G920" i="3"/>
  <c r="H920" i="3"/>
  <c r="I920" i="3"/>
  <c r="G921" i="3"/>
  <c r="H921" i="3"/>
  <c r="I921" i="3"/>
  <c r="G922" i="3"/>
  <c r="H922" i="3"/>
  <c r="I922" i="3"/>
  <c r="G923" i="3"/>
  <c r="H923" i="3"/>
  <c r="I923" i="3"/>
  <c r="G924" i="3"/>
  <c r="H924" i="3"/>
  <c r="I924" i="3"/>
  <c r="G925" i="3"/>
  <c r="H925" i="3"/>
  <c r="I925" i="3"/>
  <c r="G926" i="3"/>
  <c r="H926" i="3"/>
  <c r="I926" i="3"/>
  <c r="G927" i="3"/>
  <c r="H927" i="3"/>
  <c r="I927" i="3"/>
  <c r="G928" i="3"/>
  <c r="H928" i="3"/>
  <c r="I928" i="3"/>
  <c r="G929" i="3"/>
  <c r="H929" i="3"/>
  <c r="I929" i="3"/>
  <c r="G930" i="3"/>
  <c r="H930" i="3"/>
  <c r="I930" i="3"/>
  <c r="G931" i="3"/>
  <c r="H931" i="3"/>
  <c r="I931" i="3"/>
  <c r="G932" i="3"/>
  <c r="H932" i="3"/>
  <c r="I932" i="3"/>
  <c r="G933" i="3"/>
  <c r="H933" i="3"/>
  <c r="I933" i="3"/>
  <c r="G934" i="3"/>
  <c r="H934" i="3"/>
  <c r="I934" i="3"/>
  <c r="G935" i="3"/>
  <c r="H935" i="3"/>
  <c r="I935" i="3"/>
  <c r="G936" i="3"/>
  <c r="H936" i="3"/>
  <c r="I936" i="3"/>
  <c r="G937" i="3"/>
  <c r="H937" i="3"/>
  <c r="I937" i="3"/>
  <c r="G938" i="3"/>
  <c r="H938" i="3"/>
  <c r="I938" i="3"/>
  <c r="G939" i="3"/>
  <c r="H939" i="3"/>
  <c r="I939" i="3"/>
  <c r="G940" i="3"/>
  <c r="H940" i="3"/>
  <c r="I940" i="3"/>
  <c r="G941" i="3"/>
  <c r="H941" i="3"/>
  <c r="I941" i="3"/>
  <c r="G942" i="3"/>
  <c r="H942" i="3"/>
  <c r="I942" i="3"/>
  <c r="G943" i="3"/>
  <c r="H943" i="3"/>
  <c r="I943" i="3"/>
  <c r="G944" i="3"/>
  <c r="H944" i="3"/>
  <c r="I944" i="3"/>
  <c r="G945" i="3"/>
  <c r="H945" i="3"/>
  <c r="I945" i="3"/>
  <c r="G946" i="3"/>
  <c r="H946" i="3"/>
  <c r="I946" i="3"/>
  <c r="G947" i="3"/>
  <c r="H947" i="3"/>
  <c r="I947" i="3"/>
  <c r="G948" i="3"/>
  <c r="H948" i="3"/>
  <c r="I948" i="3"/>
  <c r="G949" i="3"/>
  <c r="H949" i="3"/>
  <c r="I949" i="3"/>
  <c r="G950" i="3"/>
  <c r="H950" i="3"/>
  <c r="I950" i="3"/>
  <c r="G951" i="3"/>
  <c r="H951" i="3"/>
  <c r="I951" i="3"/>
  <c r="G952" i="3"/>
  <c r="H952" i="3"/>
  <c r="I952" i="3"/>
  <c r="G953" i="3"/>
  <c r="H953" i="3"/>
  <c r="I953" i="3"/>
  <c r="G954" i="3"/>
  <c r="H954" i="3"/>
  <c r="I954" i="3"/>
  <c r="G955" i="3"/>
  <c r="H955" i="3"/>
  <c r="I955" i="3"/>
  <c r="G956" i="3"/>
  <c r="H956" i="3"/>
  <c r="I956" i="3"/>
  <c r="G957" i="3"/>
  <c r="H957" i="3"/>
  <c r="I957" i="3"/>
  <c r="G958" i="3"/>
  <c r="H958" i="3"/>
  <c r="I958" i="3"/>
  <c r="G959" i="3"/>
  <c r="H959" i="3"/>
  <c r="I959" i="3"/>
  <c r="G960" i="3"/>
  <c r="H960" i="3"/>
  <c r="I960" i="3"/>
  <c r="G961" i="3"/>
  <c r="H961" i="3"/>
  <c r="I961" i="3"/>
  <c r="G962" i="3"/>
  <c r="H962" i="3"/>
  <c r="I962" i="3"/>
  <c r="G963" i="3"/>
  <c r="H963" i="3"/>
  <c r="I963" i="3"/>
  <c r="G964" i="3"/>
  <c r="H964" i="3"/>
  <c r="I964" i="3"/>
  <c r="G965" i="3"/>
  <c r="H965" i="3"/>
  <c r="I965" i="3"/>
  <c r="G966" i="3"/>
  <c r="H966" i="3"/>
  <c r="I966" i="3"/>
  <c r="G967" i="3"/>
  <c r="H967" i="3"/>
  <c r="I967" i="3"/>
  <c r="G968" i="3"/>
  <c r="H968" i="3"/>
  <c r="I968" i="3"/>
  <c r="G969" i="3"/>
  <c r="H969" i="3"/>
  <c r="I969" i="3"/>
  <c r="G970" i="3"/>
  <c r="H970" i="3"/>
  <c r="I970" i="3"/>
  <c r="G971" i="3"/>
  <c r="H971" i="3"/>
  <c r="I971" i="3"/>
  <c r="G972" i="3"/>
  <c r="H972" i="3"/>
  <c r="I972" i="3"/>
  <c r="G973" i="3"/>
  <c r="H973" i="3"/>
  <c r="I973" i="3"/>
  <c r="G974" i="3"/>
  <c r="H974" i="3"/>
  <c r="I974" i="3"/>
  <c r="G975" i="3"/>
  <c r="H975" i="3"/>
  <c r="I975" i="3"/>
  <c r="G976" i="3"/>
  <c r="H976" i="3"/>
  <c r="I976" i="3"/>
  <c r="G977" i="3"/>
  <c r="H977" i="3"/>
  <c r="I977" i="3"/>
  <c r="G978" i="3"/>
  <c r="H978" i="3"/>
  <c r="I978" i="3"/>
  <c r="G979" i="3"/>
  <c r="H979" i="3"/>
  <c r="I979" i="3"/>
  <c r="G980" i="3"/>
  <c r="H980" i="3"/>
  <c r="I980" i="3"/>
  <c r="G981" i="3"/>
  <c r="H981" i="3"/>
  <c r="I981" i="3"/>
  <c r="G982" i="3"/>
  <c r="H982" i="3"/>
  <c r="I982" i="3"/>
  <c r="G983" i="3"/>
  <c r="H983" i="3"/>
  <c r="I983" i="3"/>
  <c r="G984" i="3"/>
  <c r="H984" i="3"/>
  <c r="I984" i="3"/>
  <c r="G985" i="3"/>
  <c r="H985" i="3"/>
  <c r="I985" i="3"/>
  <c r="G986" i="3"/>
  <c r="H986" i="3"/>
  <c r="I986" i="3"/>
  <c r="G987" i="3"/>
  <c r="H987" i="3"/>
  <c r="I987" i="3"/>
  <c r="G988" i="3"/>
  <c r="H988" i="3"/>
  <c r="I988" i="3"/>
  <c r="G989" i="3"/>
  <c r="H989" i="3"/>
  <c r="I989" i="3"/>
  <c r="G990" i="3"/>
  <c r="H990" i="3"/>
  <c r="I990" i="3"/>
  <c r="G991" i="3"/>
  <c r="H991" i="3"/>
  <c r="I991" i="3"/>
  <c r="G992" i="3"/>
  <c r="H992" i="3"/>
  <c r="I992" i="3"/>
  <c r="G993" i="3"/>
  <c r="H993" i="3"/>
  <c r="I993" i="3"/>
  <c r="G994" i="3"/>
  <c r="H994" i="3"/>
  <c r="I994" i="3"/>
  <c r="G995" i="3"/>
  <c r="H995" i="3"/>
  <c r="I995" i="3"/>
  <c r="G996" i="3"/>
  <c r="H996" i="3"/>
  <c r="I996" i="3"/>
  <c r="G997" i="3"/>
  <c r="H997" i="3"/>
  <c r="I997" i="3"/>
  <c r="G998" i="3"/>
  <c r="H998" i="3"/>
  <c r="I998" i="3"/>
  <c r="G999" i="3"/>
  <c r="H999" i="3"/>
  <c r="I999" i="3"/>
  <c r="G1000" i="3"/>
  <c r="H1000" i="3"/>
  <c r="I1000" i="3"/>
  <c r="G1001" i="3"/>
  <c r="H1001" i="3"/>
  <c r="I1001" i="3"/>
  <c r="G1002" i="3"/>
  <c r="H1002" i="3"/>
  <c r="I1002" i="3"/>
  <c r="G1003" i="3"/>
  <c r="H1003" i="3"/>
  <c r="I1003" i="3"/>
  <c r="G1004" i="3"/>
  <c r="H1004" i="3"/>
  <c r="I1004" i="3"/>
  <c r="G1005" i="3"/>
  <c r="H1005" i="3"/>
  <c r="I1005" i="3"/>
  <c r="G1006" i="3"/>
  <c r="H1006" i="3"/>
  <c r="I1006" i="3"/>
  <c r="G1007" i="3"/>
  <c r="H1007" i="3"/>
  <c r="I1007" i="3"/>
  <c r="G1008" i="3"/>
  <c r="H1008" i="3"/>
  <c r="I1008" i="3"/>
  <c r="G1009" i="3"/>
  <c r="H1009" i="3"/>
  <c r="I1009" i="3"/>
  <c r="G1010" i="3"/>
  <c r="H1010" i="3"/>
  <c r="I1010" i="3"/>
  <c r="G1011" i="3"/>
  <c r="H1011" i="3"/>
  <c r="I1011" i="3"/>
  <c r="G1012" i="3"/>
  <c r="H1012" i="3"/>
  <c r="I1012" i="3"/>
  <c r="G1013" i="3"/>
  <c r="H1013" i="3"/>
  <c r="I1013" i="3"/>
  <c r="G1014" i="3"/>
  <c r="H1014" i="3"/>
  <c r="I1014" i="3"/>
  <c r="G1015" i="3"/>
  <c r="H1015" i="3"/>
  <c r="I1015" i="3"/>
  <c r="G1016" i="3"/>
  <c r="H1016" i="3"/>
  <c r="I1016" i="3"/>
  <c r="G1017" i="3"/>
  <c r="H1017" i="3"/>
  <c r="I1017" i="3"/>
  <c r="G1018" i="3"/>
  <c r="H1018" i="3"/>
  <c r="I1018" i="3"/>
  <c r="G1019" i="3"/>
  <c r="H1019" i="3"/>
  <c r="I1019" i="3"/>
  <c r="G1020" i="3"/>
  <c r="H1020" i="3"/>
  <c r="I1020" i="3"/>
  <c r="G1021" i="3"/>
  <c r="H1021" i="3"/>
  <c r="I1021" i="3"/>
  <c r="G1022" i="3"/>
  <c r="H1022" i="3"/>
  <c r="I1022" i="3"/>
  <c r="G1023" i="3"/>
  <c r="H1023" i="3"/>
  <c r="I1023" i="3"/>
  <c r="G1024" i="3"/>
  <c r="H1024" i="3"/>
  <c r="I1024" i="3"/>
  <c r="G1025" i="3"/>
  <c r="H1025" i="3"/>
  <c r="I1025" i="3"/>
  <c r="G1026" i="3"/>
  <c r="H1026" i="3"/>
  <c r="I1026" i="3"/>
  <c r="G1027" i="3"/>
  <c r="H1027" i="3"/>
  <c r="I1027" i="3"/>
  <c r="G1028" i="3"/>
  <c r="H1028" i="3"/>
  <c r="I1028" i="3"/>
  <c r="G1029" i="3"/>
  <c r="H1029" i="3"/>
  <c r="I1029" i="3"/>
  <c r="G1030" i="3"/>
  <c r="H1030" i="3"/>
  <c r="I1030" i="3"/>
  <c r="G1031" i="3"/>
  <c r="H1031" i="3"/>
  <c r="I1031" i="3"/>
  <c r="G1032" i="3"/>
  <c r="H1032" i="3"/>
  <c r="I1032" i="3"/>
  <c r="G1033" i="3"/>
  <c r="H1033" i="3"/>
  <c r="I1033" i="3"/>
  <c r="G1034" i="3"/>
  <c r="H1034" i="3"/>
  <c r="I1034" i="3"/>
  <c r="G1035" i="3"/>
  <c r="H1035" i="3"/>
  <c r="I1035" i="3"/>
  <c r="G1036" i="3"/>
  <c r="H1036" i="3"/>
  <c r="I1036" i="3"/>
  <c r="G1037" i="3"/>
  <c r="H1037" i="3"/>
  <c r="I1037" i="3"/>
  <c r="G1038" i="3"/>
  <c r="H1038" i="3"/>
  <c r="I1038" i="3"/>
  <c r="G1039" i="3"/>
  <c r="H1039" i="3"/>
  <c r="I1039" i="3"/>
  <c r="G1040" i="3"/>
  <c r="H1040" i="3"/>
  <c r="I1040" i="3"/>
  <c r="G1041" i="3"/>
  <c r="H1041" i="3"/>
  <c r="I1041" i="3"/>
  <c r="G1042" i="3"/>
  <c r="H1042" i="3"/>
  <c r="I1042" i="3"/>
  <c r="G1043" i="3"/>
  <c r="H1043" i="3"/>
  <c r="I1043" i="3"/>
  <c r="G1044" i="3"/>
  <c r="H1044" i="3"/>
  <c r="I1044" i="3"/>
  <c r="G1045" i="3"/>
  <c r="H1045" i="3"/>
  <c r="I1045" i="3"/>
  <c r="G1046" i="3"/>
  <c r="H1046" i="3"/>
  <c r="I1046" i="3"/>
  <c r="G1047" i="3"/>
  <c r="H1047" i="3"/>
  <c r="I1047" i="3"/>
  <c r="G1048" i="3"/>
  <c r="H1048" i="3"/>
  <c r="I1048" i="3"/>
  <c r="G1049" i="3"/>
  <c r="H1049" i="3"/>
  <c r="I1049" i="3"/>
  <c r="G1050" i="3"/>
  <c r="H1050" i="3"/>
  <c r="I1050" i="3"/>
  <c r="G1051" i="3"/>
  <c r="H1051" i="3"/>
  <c r="I1051" i="3"/>
  <c r="G1052" i="3"/>
  <c r="H1052" i="3"/>
  <c r="I1052" i="3"/>
  <c r="G1053" i="3"/>
  <c r="H1053" i="3"/>
  <c r="I1053" i="3"/>
  <c r="G1054" i="3"/>
  <c r="H1054" i="3"/>
  <c r="I1054" i="3"/>
  <c r="G1055" i="3"/>
  <c r="H1055" i="3"/>
  <c r="I1055" i="3"/>
  <c r="G1056" i="3"/>
  <c r="H1056" i="3"/>
  <c r="I1056" i="3"/>
  <c r="G1057" i="3"/>
  <c r="H1057" i="3"/>
  <c r="I1057" i="3"/>
  <c r="G1058" i="3"/>
  <c r="H1058" i="3"/>
  <c r="I1058" i="3"/>
  <c r="G1059" i="3"/>
  <c r="H1059" i="3"/>
  <c r="I1059" i="3"/>
  <c r="G1060" i="3"/>
  <c r="H1060" i="3"/>
  <c r="I1060" i="3"/>
  <c r="G1061" i="3"/>
  <c r="H1061" i="3"/>
  <c r="I1061" i="3"/>
  <c r="G1062" i="3"/>
  <c r="H1062" i="3"/>
  <c r="I1062" i="3"/>
  <c r="G1063" i="3"/>
  <c r="H1063" i="3"/>
  <c r="I1063" i="3"/>
  <c r="G1064" i="3"/>
  <c r="H1064" i="3"/>
  <c r="I1064" i="3"/>
  <c r="G1065" i="3"/>
  <c r="H1065" i="3"/>
  <c r="I1065" i="3"/>
  <c r="G1066" i="3"/>
  <c r="H1066" i="3"/>
  <c r="I1066" i="3"/>
  <c r="G1067" i="3"/>
  <c r="H1067" i="3"/>
  <c r="I1067" i="3"/>
  <c r="G1068" i="3"/>
  <c r="H1068" i="3"/>
  <c r="I1068" i="3"/>
  <c r="G1069" i="3"/>
  <c r="H1069" i="3"/>
  <c r="I1069" i="3"/>
  <c r="G1070" i="3"/>
  <c r="H1070" i="3"/>
  <c r="I1070" i="3"/>
  <c r="G1071" i="3"/>
  <c r="H1071" i="3"/>
  <c r="I1071" i="3"/>
  <c r="G1072" i="3"/>
  <c r="H1072" i="3"/>
  <c r="I1072" i="3"/>
  <c r="G1073" i="3"/>
  <c r="H1073" i="3"/>
  <c r="I1073" i="3"/>
  <c r="G1074" i="3"/>
  <c r="H1074" i="3"/>
  <c r="I1074" i="3"/>
  <c r="G1075" i="3"/>
  <c r="H1075" i="3"/>
  <c r="I1075" i="3"/>
  <c r="G1076" i="3"/>
  <c r="H1076" i="3"/>
  <c r="I1076" i="3"/>
  <c r="G1077" i="3"/>
  <c r="H1077" i="3"/>
  <c r="I1077" i="3"/>
  <c r="G1078" i="3"/>
  <c r="H1078" i="3"/>
  <c r="I1078" i="3"/>
  <c r="G1079" i="3"/>
  <c r="H1079" i="3"/>
  <c r="I1079" i="3"/>
  <c r="G1080" i="3"/>
  <c r="H1080" i="3"/>
  <c r="I1080" i="3"/>
  <c r="G1081" i="3"/>
  <c r="H1081" i="3"/>
  <c r="I1081" i="3"/>
  <c r="G1082" i="3"/>
  <c r="H1082" i="3"/>
  <c r="I1082" i="3"/>
  <c r="G1083" i="3"/>
  <c r="H1083" i="3"/>
  <c r="I1083" i="3"/>
  <c r="G1084" i="3"/>
  <c r="H1084" i="3"/>
  <c r="I1084" i="3"/>
  <c r="G1085" i="3"/>
  <c r="H1085" i="3"/>
  <c r="I1085" i="3"/>
  <c r="G1086" i="3"/>
  <c r="H1086" i="3"/>
  <c r="I1086" i="3"/>
  <c r="G1087" i="3"/>
  <c r="H1087" i="3"/>
  <c r="I1087" i="3"/>
  <c r="G1088" i="3"/>
  <c r="H1088" i="3"/>
  <c r="I1088" i="3"/>
  <c r="G1089" i="3"/>
  <c r="H1089" i="3"/>
  <c r="I1089" i="3"/>
  <c r="G1090" i="3"/>
  <c r="H1090" i="3"/>
  <c r="I1090" i="3"/>
  <c r="G1091" i="3"/>
  <c r="H1091" i="3"/>
  <c r="I1091" i="3"/>
  <c r="G1092" i="3"/>
  <c r="H1092" i="3"/>
  <c r="I1092" i="3"/>
  <c r="G1093" i="3"/>
  <c r="H1093" i="3"/>
  <c r="I1093" i="3"/>
  <c r="G1094" i="3"/>
  <c r="H1094" i="3"/>
  <c r="I1094" i="3"/>
  <c r="G1095" i="3"/>
  <c r="H1095" i="3"/>
  <c r="I1095" i="3"/>
  <c r="G1096" i="3"/>
  <c r="H1096" i="3"/>
  <c r="I1096" i="3"/>
  <c r="G1097" i="3"/>
  <c r="H1097" i="3"/>
  <c r="I1097" i="3"/>
  <c r="G1098" i="3"/>
  <c r="H1098" i="3"/>
  <c r="I1098" i="3"/>
  <c r="G1099" i="3"/>
  <c r="H1099" i="3"/>
  <c r="I1099" i="3"/>
  <c r="G1100" i="3"/>
  <c r="H1100" i="3"/>
  <c r="I1100" i="3"/>
  <c r="G1101" i="3"/>
  <c r="H1101" i="3"/>
  <c r="I1101" i="3"/>
  <c r="G1102" i="3"/>
  <c r="H1102" i="3"/>
  <c r="I1102" i="3"/>
  <c r="G1103" i="3"/>
  <c r="H1103" i="3"/>
  <c r="I1103" i="3"/>
  <c r="G1104" i="3"/>
  <c r="H1104" i="3"/>
  <c r="I1104" i="3"/>
  <c r="G1105" i="3"/>
  <c r="H1105" i="3"/>
  <c r="I1105" i="3"/>
  <c r="G1106" i="3"/>
  <c r="H1106" i="3"/>
  <c r="I1106" i="3"/>
  <c r="G1107" i="3"/>
  <c r="H1107" i="3"/>
  <c r="I1107" i="3"/>
  <c r="G1108" i="3"/>
  <c r="H1108" i="3"/>
  <c r="I1108" i="3"/>
  <c r="G1109" i="3"/>
  <c r="H1109" i="3"/>
  <c r="I1109" i="3"/>
  <c r="G1110" i="3"/>
  <c r="H1110" i="3"/>
  <c r="I1110" i="3"/>
  <c r="G1111" i="3"/>
  <c r="H1111" i="3"/>
  <c r="I1111" i="3"/>
  <c r="G1112" i="3"/>
  <c r="H1112" i="3"/>
  <c r="I1112" i="3"/>
  <c r="G1113" i="3"/>
  <c r="H1113" i="3"/>
  <c r="I1113" i="3"/>
  <c r="G1114" i="3"/>
  <c r="H1114" i="3"/>
  <c r="I1114" i="3"/>
  <c r="G1115" i="3"/>
  <c r="H1115" i="3"/>
  <c r="I1115" i="3"/>
  <c r="G1116" i="3"/>
  <c r="H1116" i="3"/>
  <c r="I1116" i="3"/>
  <c r="G1117" i="3"/>
  <c r="H1117" i="3"/>
  <c r="I1117" i="3"/>
  <c r="G1118" i="3"/>
  <c r="H1118" i="3"/>
  <c r="I1118" i="3"/>
  <c r="G1119" i="3"/>
  <c r="H1119" i="3"/>
  <c r="I1119" i="3"/>
  <c r="G1120" i="3"/>
  <c r="H1120" i="3"/>
  <c r="I1120" i="3"/>
  <c r="G1121" i="3"/>
  <c r="H1121" i="3"/>
  <c r="I1121" i="3"/>
  <c r="G1122" i="3"/>
  <c r="H1122" i="3"/>
  <c r="I1122" i="3"/>
  <c r="G1123" i="3"/>
  <c r="H1123" i="3"/>
  <c r="I1123" i="3"/>
  <c r="G1124" i="3"/>
  <c r="H1124" i="3"/>
  <c r="I1124" i="3"/>
  <c r="G1125" i="3"/>
  <c r="H1125" i="3"/>
  <c r="I1125" i="3"/>
  <c r="G1126" i="3"/>
  <c r="H1126" i="3"/>
  <c r="I1126" i="3"/>
  <c r="G1127" i="3"/>
  <c r="H1127" i="3"/>
  <c r="I1127" i="3"/>
  <c r="G1128" i="3"/>
  <c r="H1128" i="3"/>
  <c r="I1128" i="3"/>
  <c r="G1129" i="3"/>
  <c r="H1129" i="3"/>
  <c r="I1129" i="3"/>
  <c r="G1130" i="3"/>
  <c r="H1130" i="3"/>
  <c r="I1130" i="3"/>
  <c r="G1131" i="3"/>
  <c r="H1131" i="3"/>
  <c r="I1131" i="3"/>
  <c r="G1132" i="3"/>
  <c r="H1132" i="3"/>
  <c r="I1132" i="3"/>
  <c r="G1133" i="3"/>
  <c r="H1133" i="3"/>
  <c r="I1133" i="3"/>
  <c r="G1134" i="3"/>
  <c r="H1134" i="3"/>
  <c r="I1134" i="3"/>
  <c r="G1135" i="3"/>
  <c r="H1135" i="3"/>
  <c r="I1135" i="3"/>
  <c r="G1136" i="3"/>
  <c r="H1136" i="3"/>
  <c r="I1136" i="3"/>
  <c r="G1137" i="3"/>
  <c r="H1137" i="3"/>
  <c r="I1137" i="3"/>
  <c r="G1138" i="3"/>
  <c r="H1138" i="3"/>
  <c r="I1138" i="3"/>
  <c r="G1139" i="3"/>
  <c r="H1139" i="3"/>
  <c r="I1139" i="3"/>
  <c r="G1140" i="3"/>
  <c r="H1140" i="3"/>
  <c r="I1140" i="3"/>
  <c r="G1141" i="3"/>
  <c r="H1141" i="3"/>
  <c r="I1141" i="3"/>
  <c r="G1142" i="3"/>
  <c r="H1142" i="3"/>
  <c r="I1142" i="3"/>
  <c r="G1143" i="3"/>
  <c r="H1143" i="3"/>
  <c r="I1143" i="3"/>
  <c r="G1144" i="3"/>
  <c r="H1144" i="3"/>
  <c r="I1144" i="3"/>
  <c r="G1145" i="3"/>
  <c r="H1145" i="3"/>
  <c r="I1145" i="3"/>
  <c r="G1146" i="3"/>
  <c r="H1146" i="3"/>
  <c r="I1146" i="3"/>
  <c r="G1147" i="3"/>
  <c r="H1147" i="3"/>
  <c r="I1147" i="3"/>
  <c r="G1148" i="3"/>
  <c r="H1148" i="3"/>
  <c r="I1148" i="3"/>
  <c r="G1149" i="3"/>
  <c r="H1149" i="3"/>
  <c r="I1149" i="3"/>
  <c r="G1150" i="3"/>
  <c r="H1150" i="3"/>
  <c r="I1150" i="3"/>
  <c r="G1151" i="3"/>
  <c r="H1151" i="3"/>
  <c r="I1151" i="3"/>
  <c r="G1152" i="3"/>
  <c r="H1152" i="3"/>
  <c r="I1152" i="3"/>
  <c r="G1153" i="3"/>
  <c r="H1153" i="3"/>
  <c r="I1153" i="3"/>
  <c r="G1154" i="3"/>
  <c r="H1154" i="3"/>
  <c r="I1154" i="3"/>
  <c r="G1155" i="3"/>
  <c r="H1155" i="3"/>
  <c r="I1155" i="3"/>
  <c r="G1156" i="3"/>
  <c r="H1156" i="3"/>
  <c r="I1156" i="3"/>
  <c r="G1157" i="3"/>
  <c r="H1157" i="3"/>
  <c r="I1157" i="3"/>
  <c r="G1158" i="3"/>
  <c r="H1158" i="3"/>
  <c r="I1158" i="3"/>
  <c r="G1159" i="3"/>
  <c r="H1159" i="3"/>
  <c r="I1159" i="3"/>
  <c r="G1160" i="3"/>
  <c r="H1160" i="3"/>
  <c r="I1160" i="3"/>
  <c r="G1161" i="3"/>
  <c r="H1161" i="3"/>
  <c r="I1161" i="3"/>
  <c r="G1162" i="3"/>
  <c r="H1162" i="3"/>
  <c r="I1162" i="3"/>
  <c r="G1163" i="3"/>
  <c r="H1163" i="3"/>
  <c r="I1163" i="3"/>
  <c r="G1164" i="3"/>
  <c r="H1164" i="3"/>
  <c r="I1164" i="3"/>
  <c r="G1165" i="3"/>
  <c r="H1165" i="3"/>
  <c r="I1165" i="3"/>
  <c r="G1166" i="3"/>
  <c r="H1166" i="3"/>
  <c r="I1166" i="3"/>
  <c r="G1167" i="3"/>
  <c r="H1167" i="3"/>
  <c r="I1167" i="3"/>
  <c r="G1168" i="3"/>
  <c r="H1168" i="3"/>
  <c r="I1168" i="3"/>
  <c r="G1169" i="3"/>
  <c r="H1169" i="3"/>
  <c r="I1169" i="3"/>
  <c r="G1170" i="3"/>
  <c r="H1170" i="3"/>
  <c r="I1170" i="3"/>
  <c r="G1171" i="3"/>
  <c r="H1171" i="3"/>
  <c r="I1171" i="3"/>
  <c r="G1172" i="3"/>
  <c r="H1172" i="3"/>
  <c r="I1172" i="3"/>
  <c r="G1173" i="3"/>
  <c r="H1173" i="3"/>
  <c r="I1173" i="3"/>
  <c r="G1174" i="3"/>
  <c r="H1174" i="3"/>
  <c r="I1174" i="3"/>
  <c r="G1175" i="3"/>
  <c r="H1175" i="3"/>
  <c r="I1175" i="3"/>
  <c r="G1176" i="3"/>
  <c r="H1176" i="3"/>
  <c r="I1176" i="3"/>
  <c r="G1177" i="3"/>
  <c r="H1177" i="3"/>
  <c r="I1177" i="3"/>
  <c r="G1178" i="3"/>
  <c r="H1178" i="3"/>
  <c r="I1178" i="3"/>
  <c r="G1179" i="3"/>
  <c r="H1179" i="3"/>
  <c r="I1179" i="3"/>
  <c r="G1180" i="3"/>
  <c r="H1180" i="3"/>
  <c r="I1180" i="3"/>
  <c r="G1181" i="3"/>
  <c r="H1181" i="3"/>
  <c r="I1181" i="3"/>
  <c r="G1182" i="3"/>
  <c r="H1182" i="3"/>
  <c r="I1182" i="3"/>
  <c r="G1183" i="3"/>
  <c r="H1183" i="3"/>
  <c r="I1183" i="3"/>
  <c r="G1184" i="3"/>
  <c r="H1184" i="3"/>
  <c r="I1184" i="3"/>
  <c r="G1185" i="3"/>
  <c r="H1185" i="3"/>
  <c r="I1185" i="3"/>
  <c r="G1186" i="3"/>
  <c r="H1186" i="3"/>
  <c r="I1186" i="3"/>
  <c r="G1187" i="3"/>
  <c r="H1187" i="3"/>
  <c r="I1187" i="3"/>
  <c r="G1188" i="3"/>
  <c r="H1188" i="3"/>
  <c r="I1188" i="3"/>
  <c r="G1189" i="3"/>
  <c r="H1189" i="3"/>
  <c r="I1189" i="3"/>
  <c r="G1190" i="3"/>
  <c r="H1190" i="3"/>
  <c r="I1190" i="3"/>
  <c r="G1191" i="3"/>
  <c r="H1191" i="3"/>
  <c r="I1191" i="3"/>
  <c r="G1192" i="3"/>
  <c r="H1192" i="3"/>
  <c r="I1192" i="3"/>
  <c r="G1193" i="3"/>
  <c r="H1193" i="3"/>
  <c r="I1193" i="3"/>
  <c r="G1194" i="3"/>
  <c r="H1194" i="3"/>
  <c r="I1194" i="3"/>
  <c r="G1195" i="3"/>
  <c r="H1195" i="3"/>
  <c r="I1195" i="3"/>
  <c r="G1196" i="3"/>
  <c r="H1196" i="3"/>
  <c r="I1196" i="3"/>
  <c r="G1197" i="3"/>
  <c r="H1197" i="3"/>
  <c r="I1197" i="3"/>
  <c r="G1198" i="3"/>
  <c r="H1198" i="3"/>
  <c r="I1198" i="3"/>
  <c r="G1199" i="3"/>
  <c r="H1199" i="3"/>
  <c r="I1199" i="3"/>
  <c r="G1200" i="3"/>
  <c r="H1200" i="3"/>
  <c r="I1200" i="3"/>
  <c r="I3" i="3"/>
  <c r="G3" i="3"/>
  <c r="AM77" i="10" l="1"/>
  <c r="AM65" i="10"/>
  <c r="AM44" i="10"/>
  <c r="AM68" i="10"/>
  <c r="AM59" i="10"/>
  <c r="AM71" i="10"/>
  <c r="AM46" i="10"/>
  <c r="AM58" i="10"/>
  <c r="AM61" i="10"/>
  <c r="AM74" i="10"/>
  <c r="AM66" i="10"/>
  <c r="AM69" i="10"/>
  <c r="AM75" i="10"/>
  <c r="AM76" i="10"/>
  <c r="AM55" i="10"/>
  <c r="AM60" i="10"/>
  <c r="AM57" i="10"/>
  <c r="AM52" i="10"/>
  <c r="AM54" i="10"/>
  <c r="AM50" i="10"/>
  <c r="AM90" i="10" s="1"/>
  <c r="AM130" i="10" s="1"/>
  <c r="AM73" i="10"/>
  <c r="AM70" i="10"/>
  <c r="AM47" i="10"/>
  <c r="AM64" i="10"/>
  <c r="AM51" i="10"/>
  <c r="AM53" i="10"/>
  <c r="AM72" i="10"/>
  <c r="AM62" i="10"/>
  <c r="AM67" i="10"/>
  <c r="AM45" i="10"/>
  <c r="AM49" i="10"/>
  <c r="AM63" i="10"/>
  <c r="AM56" i="10"/>
  <c r="AM14" i="10"/>
  <c r="AX14" i="10" s="1"/>
  <c r="AB38" i="10"/>
  <c r="AM10" i="10"/>
  <c r="AM28" i="10"/>
  <c r="BH28" i="10" s="1"/>
  <c r="Y38" i="10"/>
  <c r="CW13" i="10" s="1"/>
  <c r="AM27" i="10"/>
  <c r="BH27" i="10" s="1"/>
  <c r="AM22" i="10"/>
  <c r="BA22" i="10" s="1"/>
  <c r="G98" i="10"/>
  <c r="G138" i="10" s="1"/>
  <c r="W98" i="10"/>
  <c r="W138" i="10" s="1"/>
  <c r="T90" i="10"/>
  <c r="T130" i="10"/>
  <c r="AI109" i="10"/>
  <c r="AI149" i="10"/>
  <c r="AJ97" i="10"/>
  <c r="AJ137" i="10"/>
  <c r="P109" i="10"/>
  <c r="P149" i="10"/>
  <c r="AK85" i="10"/>
  <c r="AK125" i="10"/>
  <c r="S99" i="10"/>
  <c r="S139" i="10" s="1"/>
  <c r="Y107" i="10"/>
  <c r="Y147" i="10" s="1"/>
  <c r="AL113" i="10"/>
  <c r="AL153" i="10"/>
  <c r="W111" i="10"/>
  <c r="W151" i="10"/>
  <c r="U100" i="10"/>
  <c r="U140" i="10" s="1"/>
  <c r="P107" i="10"/>
  <c r="P147" i="10"/>
  <c r="T107" i="10"/>
  <c r="T147" i="10"/>
  <c r="AH107" i="10"/>
  <c r="AH147" i="10"/>
  <c r="AK107" i="10"/>
  <c r="AK147" i="10"/>
  <c r="E112" i="10"/>
  <c r="E152" i="10" s="1"/>
  <c r="AM32" i="10"/>
  <c r="J95" i="10"/>
  <c r="J135" i="10"/>
  <c r="N91" i="10"/>
  <c r="N131" i="10" s="1"/>
  <c r="V107" i="10"/>
  <c r="V147" i="10" s="1"/>
  <c r="Z103" i="10"/>
  <c r="Z143" i="10"/>
  <c r="K111" i="10"/>
  <c r="K151" i="10"/>
  <c r="AJ110" i="10"/>
  <c r="AJ150" i="10"/>
  <c r="P92" i="10"/>
  <c r="P132" i="10" s="1"/>
  <c r="AC93" i="10"/>
  <c r="AC133" i="10"/>
  <c r="AB101" i="10"/>
  <c r="AB141" i="10" s="1"/>
  <c r="AA103" i="10"/>
  <c r="AA143" i="10"/>
  <c r="T89" i="10"/>
  <c r="T129" i="10"/>
  <c r="AC98" i="10"/>
  <c r="AC138" i="10"/>
  <c r="P89" i="10"/>
  <c r="P129" i="10"/>
  <c r="T85" i="10"/>
  <c r="T125" i="10"/>
  <c r="K96" i="10"/>
  <c r="K136" i="10" s="1"/>
  <c r="E111" i="10"/>
  <c r="E151" i="10"/>
  <c r="AM31" i="10"/>
  <c r="AG86" i="10"/>
  <c r="AG126" i="10"/>
  <c r="AJ95" i="10"/>
  <c r="AJ135" i="10"/>
  <c r="AJ89" i="10"/>
  <c r="AJ129" i="10"/>
  <c r="I110" i="10"/>
  <c r="I150" i="10"/>
  <c r="I98" i="10"/>
  <c r="I138" i="10" s="1"/>
  <c r="AC128" i="10"/>
  <c r="AD99" i="10"/>
  <c r="AD139" i="10"/>
  <c r="U96" i="10"/>
  <c r="U136" i="10"/>
  <c r="AH94" i="10"/>
  <c r="AH134" i="10"/>
  <c r="R111" i="10"/>
  <c r="R151" i="10"/>
  <c r="X114" i="10"/>
  <c r="X154" i="10"/>
  <c r="AG109" i="10"/>
  <c r="AG149" i="10"/>
  <c r="AK111" i="10"/>
  <c r="AK151" i="10"/>
  <c r="AE106" i="10"/>
  <c r="AE146" i="10"/>
  <c r="T108" i="10"/>
  <c r="T148" i="10"/>
  <c r="AH84" i="10"/>
  <c r="AH124" i="10"/>
  <c r="AH91" i="10"/>
  <c r="AH131" i="10"/>
  <c r="J99" i="10"/>
  <c r="J139" i="10"/>
  <c r="J110" i="10"/>
  <c r="J150" i="10"/>
  <c r="W105" i="10"/>
  <c r="W145" i="10" s="1"/>
  <c r="AJ90" i="10"/>
  <c r="AJ130" i="10"/>
  <c r="K100" i="10"/>
  <c r="K140" i="10"/>
  <c r="G84" i="10"/>
  <c r="G124" i="10" s="1"/>
  <c r="AB109" i="10"/>
  <c r="AB149" i="10"/>
  <c r="AG111" i="10"/>
  <c r="AG151" i="10"/>
  <c r="O92" i="10"/>
  <c r="O132" i="10" s="1"/>
  <c r="AB107" i="10"/>
  <c r="AB147" i="10" s="1"/>
  <c r="S94" i="10"/>
  <c r="S134" i="10"/>
  <c r="N96" i="10"/>
  <c r="N136" i="10" s="1"/>
  <c r="H110" i="10"/>
  <c r="H150" i="10"/>
  <c r="M86" i="10"/>
  <c r="M126" i="10" s="1"/>
  <c r="G100" i="10"/>
  <c r="G140" i="10" s="1"/>
  <c r="AF128" i="10"/>
  <c r="AE100" i="10"/>
  <c r="AE140" i="10"/>
  <c r="AA128" i="10"/>
  <c r="AD109" i="10"/>
  <c r="AD149" i="10" s="1"/>
  <c r="N101" i="10"/>
  <c r="N141" i="10"/>
  <c r="AL87" i="10"/>
  <c r="AL127" i="10"/>
  <c r="L84" i="10"/>
  <c r="L124" i="10" s="1"/>
  <c r="O111" i="10"/>
  <c r="O151" i="10"/>
  <c r="AD95" i="10"/>
  <c r="AD135" i="10"/>
  <c r="Z99" i="10"/>
  <c r="Z139" i="10"/>
  <c r="AI91" i="10"/>
  <c r="AI131" i="10"/>
  <c r="S101" i="10"/>
  <c r="S141" i="10" s="1"/>
  <c r="E115" i="10"/>
  <c r="E155" i="10" s="1"/>
  <c r="AM35" i="10"/>
  <c r="J108" i="10"/>
  <c r="J148" i="10"/>
  <c r="W90" i="10"/>
  <c r="W130" i="10"/>
  <c r="X95" i="10"/>
  <c r="X135" i="10"/>
  <c r="K104" i="10"/>
  <c r="K144" i="10"/>
  <c r="AK86" i="10"/>
  <c r="AK126" i="10"/>
  <c r="M90" i="10"/>
  <c r="M130" i="10" s="1"/>
  <c r="Q98" i="10"/>
  <c r="Q138" i="10"/>
  <c r="R94" i="10"/>
  <c r="R134" i="10" s="1"/>
  <c r="Z89" i="10"/>
  <c r="Z129" i="10"/>
  <c r="AI106" i="10"/>
  <c r="AI146" i="10"/>
  <c r="L105" i="10"/>
  <c r="L145" i="10"/>
  <c r="AA107" i="10"/>
  <c r="AA147" i="10" s="1"/>
  <c r="T105" i="10"/>
  <c r="T145" i="10"/>
  <c r="AG93" i="10"/>
  <c r="AG133" i="10"/>
  <c r="L117" i="10"/>
  <c r="L157" i="10"/>
  <c r="G99" i="10"/>
  <c r="G139" i="10" s="1"/>
  <c r="P84" i="10"/>
  <c r="P124" i="10"/>
  <c r="AI89" i="10"/>
  <c r="AI129" i="10"/>
  <c r="E92" i="10"/>
  <c r="E132" i="10" s="1"/>
  <c r="V85" i="10"/>
  <c r="V125" i="10" s="1"/>
  <c r="W85" i="10"/>
  <c r="W125" i="10" s="1"/>
  <c r="L108" i="10"/>
  <c r="L148" i="10"/>
  <c r="L102" i="10"/>
  <c r="L142" i="10"/>
  <c r="K99" i="10"/>
  <c r="K139" i="10" s="1"/>
  <c r="Q84" i="10"/>
  <c r="Q124" i="10"/>
  <c r="AI99" i="10"/>
  <c r="AI139" i="10"/>
  <c r="AD84" i="10"/>
  <c r="AD124" i="10"/>
  <c r="AH128" i="10"/>
  <c r="N93" i="10"/>
  <c r="N133" i="10" s="1"/>
  <c r="G97" i="10"/>
  <c r="G137" i="10"/>
  <c r="N97" i="10"/>
  <c r="N137" i="10"/>
  <c r="E85" i="10"/>
  <c r="E125" i="10" s="1"/>
  <c r="J98" i="10"/>
  <c r="J138" i="10"/>
  <c r="I100" i="10"/>
  <c r="I140" i="10" s="1"/>
  <c r="V110" i="10"/>
  <c r="V150" i="10"/>
  <c r="U112" i="10"/>
  <c r="U152" i="10"/>
  <c r="M92" i="10"/>
  <c r="M132" i="10" s="1"/>
  <c r="AL115" i="10"/>
  <c r="AL155" i="10" s="1"/>
  <c r="W116" i="10"/>
  <c r="W156" i="10"/>
  <c r="V97" i="10"/>
  <c r="V137" i="10"/>
  <c r="Z93" i="10"/>
  <c r="Z133" i="10"/>
  <c r="P103" i="10"/>
  <c r="P143" i="10"/>
  <c r="V96" i="10"/>
  <c r="V136" i="10"/>
  <c r="Y98" i="10"/>
  <c r="Y138" i="10"/>
  <c r="AB104" i="10"/>
  <c r="AB144" i="10" s="1"/>
  <c r="G106" i="10"/>
  <c r="G146" i="10" s="1"/>
  <c r="W87" i="10"/>
  <c r="W127" i="10" s="1"/>
  <c r="G112" i="10"/>
  <c r="G152" i="10"/>
  <c r="W115" i="10"/>
  <c r="W155" i="10"/>
  <c r="AL114" i="10"/>
  <c r="AL154" i="10"/>
  <c r="AJ116" i="10"/>
  <c r="AJ156" i="10" s="1"/>
  <c r="G114" i="10"/>
  <c r="G154" i="10"/>
  <c r="AJ128" i="10"/>
  <c r="AB128" i="10"/>
  <c r="O110" i="10"/>
  <c r="O150" i="10"/>
  <c r="G105" i="10"/>
  <c r="G145" i="10" s="1"/>
  <c r="U108" i="10"/>
  <c r="U148" i="10"/>
  <c r="N84" i="10"/>
  <c r="N124" i="10"/>
  <c r="I106" i="10"/>
  <c r="I146" i="10" s="1"/>
  <c r="K85" i="10"/>
  <c r="K125" i="10" s="1"/>
  <c r="Q116" i="10"/>
  <c r="Q156" i="10"/>
  <c r="AD114" i="10"/>
  <c r="AD154" i="10"/>
  <c r="M112" i="10"/>
  <c r="M152" i="10"/>
  <c r="L109" i="10"/>
  <c r="L149" i="10"/>
  <c r="N110" i="10"/>
  <c r="N150" i="10"/>
  <c r="AA111" i="10"/>
  <c r="AA151" i="10"/>
  <c r="S85" i="10"/>
  <c r="S125" i="10" s="1"/>
  <c r="AK98" i="10"/>
  <c r="AK138" i="10"/>
  <c r="AG108" i="10"/>
  <c r="AG148" i="10"/>
  <c r="F109" i="10"/>
  <c r="F149" i="10"/>
  <c r="AM29" i="10"/>
  <c r="AV29" i="10" s="1"/>
  <c r="AE96" i="10"/>
  <c r="AE136" i="10"/>
  <c r="AJ109" i="10"/>
  <c r="AJ149" i="10"/>
  <c r="AI111" i="10"/>
  <c r="AI151" i="10"/>
  <c r="U93" i="10"/>
  <c r="U133" i="10"/>
  <c r="F96" i="10"/>
  <c r="F136" i="10"/>
  <c r="E104" i="10"/>
  <c r="E144" i="10" s="1"/>
  <c r="Q85" i="10"/>
  <c r="Q125" i="10"/>
  <c r="G90" i="10"/>
  <c r="G130" i="10" s="1"/>
  <c r="N109" i="10"/>
  <c r="N149" i="10"/>
  <c r="R105" i="10"/>
  <c r="R145" i="10"/>
  <c r="H115" i="10"/>
  <c r="H155" i="10"/>
  <c r="N108" i="10"/>
  <c r="N148" i="10"/>
  <c r="O113" i="10"/>
  <c r="O153" i="10"/>
  <c r="T116" i="10"/>
  <c r="T156" i="10"/>
  <c r="AG117" i="10"/>
  <c r="AG157" i="10"/>
  <c r="Z105" i="10"/>
  <c r="Z145" i="10" s="1"/>
  <c r="U98" i="10"/>
  <c r="U138" i="10" s="1"/>
  <c r="S106" i="10"/>
  <c r="S146" i="10"/>
  <c r="X115" i="10"/>
  <c r="X155" i="10"/>
  <c r="E108" i="10"/>
  <c r="E148" i="10" s="1"/>
  <c r="AJ99" i="10"/>
  <c r="AJ139" i="10"/>
  <c r="G107" i="10"/>
  <c r="G147" i="10" s="1"/>
  <c r="AH104" i="10"/>
  <c r="AH144" i="10"/>
  <c r="G110" i="10"/>
  <c r="G150" i="10"/>
  <c r="M110" i="10"/>
  <c r="M150" i="10"/>
  <c r="AL110" i="10"/>
  <c r="AL150" i="10"/>
  <c r="AF93" i="10"/>
  <c r="AF133" i="10"/>
  <c r="AL104" i="10"/>
  <c r="AL144" i="10"/>
  <c r="AH87" i="10"/>
  <c r="AH127" i="10"/>
  <c r="AE93" i="10"/>
  <c r="AE133" i="10"/>
  <c r="M85" i="10"/>
  <c r="M125" i="10" s="1"/>
  <c r="V91" i="10"/>
  <c r="V131" i="10"/>
  <c r="AG128" i="10"/>
  <c r="AC91" i="10"/>
  <c r="AC131" i="10"/>
  <c r="W94" i="10"/>
  <c r="W134" i="10"/>
  <c r="M93" i="10"/>
  <c r="M133" i="10" s="1"/>
  <c r="L95" i="10"/>
  <c r="L135" i="10" s="1"/>
  <c r="K97" i="10"/>
  <c r="K137" i="10"/>
  <c r="N94" i="10"/>
  <c r="N134" i="10" s="1"/>
  <c r="AF99" i="10"/>
  <c r="AF139" i="10"/>
  <c r="P85" i="10"/>
  <c r="P125" i="10"/>
  <c r="M108" i="10"/>
  <c r="M148" i="10"/>
  <c r="W108" i="10"/>
  <c r="W148" i="10"/>
  <c r="AI92" i="10"/>
  <c r="AI132" i="10"/>
  <c r="T95" i="10"/>
  <c r="T135" i="10" s="1"/>
  <c r="M105" i="10"/>
  <c r="M145" i="10"/>
  <c r="AF107" i="10"/>
  <c r="AF147" i="10"/>
  <c r="AE115" i="10"/>
  <c r="AE155" i="10"/>
  <c r="W89" i="10"/>
  <c r="W129" i="10"/>
  <c r="F93" i="10"/>
  <c r="F133" i="10"/>
  <c r="S93" i="10"/>
  <c r="S133" i="10"/>
  <c r="J117" i="10"/>
  <c r="J157" i="10"/>
  <c r="W91" i="10"/>
  <c r="W131" i="10"/>
  <c r="Q92" i="10"/>
  <c r="Q132" i="10" s="1"/>
  <c r="Q90" i="10"/>
  <c r="Q130" i="10"/>
  <c r="K101" i="10"/>
  <c r="K141" i="10"/>
  <c r="R101" i="10"/>
  <c r="R141" i="10"/>
  <c r="AI87" i="10"/>
  <c r="AI127" i="10"/>
  <c r="AF103" i="10"/>
  <c r="AF143" i="10"/>
  <c r="E84" i="10"/>
  <c r="E124" i="10" s="1"/>
  <c r="E89" i="10"/>
  <c r="E129" i="10" s="1"/>
  <c r="T91" i="10"/>
  <c r="T131" i="10"/>
  <c r="Q114" i="10"/>
  <c r="Q154" i="10"/>
  <c r="P97" i="10"/>
  <c r="P137" i="10"/>
  <c r="AJ86" i="10"/>
  <c r="AJ126" i="10"/>
  <c r="AD105" i="10"/>
  <c r="AD145" i="10"/>
  <c r="AD128" i="10"/>
  <c r="V95" i="10"/>
  <c r="V135" i="10" s="1"/>
  <c r="AF108" i="10"/>
  <c r="AF148" i="10"/>
  <c r="AF102" i="10"/>
  <c r="AF142" i="10"/>
  <c r="I109" i="10"/>
  <c r="I149" i="10"/>
  <c r="AL106" i="10"/>
  <c r="AL146" i="10"/>
  <c r="AK108" i="10"/>
  <c r="AK148" i="10"/>
  <c r="F106" i="10"/>
  <c r="F146" i="10"/>
  <c r="X111" i="10"/>
  <c r="X151" i="10"/>
  <c r="AD104" i="10"/>
  <c r="AD144" i="10"/>
  <c r="J104" i="10"/>
  <c r="J144" i="10"/>
  <c r="AB92" i="10"/>
  <c r="AB132" i="10"/>
  <c r="AA104" i="10"/>
  <c r="AA144" i="10" s="1"/>
  <c r="L107" i="10"/>
  <c r="L147" i="10"/>
  <c r="E117" i="10"/>
  <c r="E157" i="10" s="1"/>
  <c r="AM37" i="10"/>
  <c r="AM117" i="10" s="1"/>
  <c r="AM157" i="10" s="1"/>
  <c r="Q91" i="10"/>
  <c r="Q131" i="10"/>
  <c r="P99" i="10"/>
  <c r="P139" i="10" s="1"/>
  <c r="O101" i="10"/>
  <c r="O141" i="10" s="1"/>
  <c r="AF104" i="10"/>
  <c r="AF144" i="10"/>
  <c r="K105" i="10"/>
  <c r="K145" i="10"/>
  <c r="S90" i="10"/>
  <c r="S130" i="10"/>
  <c r="AK105" i="10"/>
  <c r="AK145" i="10"/>
  <c r="J92" i="10"/>
  <c r="J132" i="10" s="1"/>
  <c r="AK112" i="10"/>
  <c r="AK152" i="10"/>
  <c r="J113" i="10"/>
  <c r="J153" i="10"/>
  <c r="AH86" i="10"/>
  <c r="AH126" i="10"/>
  <c r="AK97" i="10"/>
  <c r="AK137" i="10"/>
  <c r="X86" i="10"/>
  <c r="X126" i="10" s="1"/>
  <c r="AL84" i="10"/>
  <c r="AL124" i="10" s="1"/>
  <c r="K113" i="10"/>
  <c r="K153" i="10"/>
  <c r="O105" i="10"/>
  <c r="O145" i="10"/>
  <c r="T93" i="10"/>
  <c r="T133" i="10"/>
  <c r="AK104" i="10"/>
  <c r="AK144" i="10"/>
  <c r="AK87" i="10"/>
  <c r="AK127" i="10"/>
  <c r="AD85" i="10"/>
  <c r="AD125" i="10"/>
  <c r="AA86" i="10"/>
  <c r="AA126" i="10"/>
  <c r="AC109" i="10"/>
  <c r="AC149" i="10"/>
  <c r="AG112" i="10"/>
  <c r="AG152" i="10" s="1"/>
  <c r="AK89" i="10"/>
  <c r="AK129" i="10"/>
  <c r="T128" i="10"/>
  <c r="AH93" i="10"/>
  <c r="AH133" i="10"/>
  <c r="V116" i="10"/>
  <c r="V156" i="10"/>
  <c r="AJ115" i="10"/>
  <c r="AJ155" i="10" s="1"/>
  <c r="AL107" i="10"/>
  <c r="AL147" i="10"/>
  <c r="S116" i="10"/>
  <c r="S156" i="10"/>
  <c r="AE90" i="10"/>
  <c r="AE130" i="10"/>
  <c r="AD101" i="10"/>
  <c r="AD141" i="10"/>
  <c r="H111" i="10"/>
  <c r="H151" i="10"/>
  <c r="G113" i="10"/>
  <c r="G153" i="10"/>
  <c r="X116" i="10"/>
  <c r="X156" i="10"/>
  <c r="AK116" i="10"/>
  <c r="AK156" i="10" s="1"/>
  <c r="AC90" i="10"/>
  <c r="AC130" i="10"/>
  <c r="K102" i="10"/>
  <c r="K142" i="10"/>
  <c r="AC117" i="10"/>
  <c r="AC157" i="10"/>
  <c r="AI95" i="10"/>
  <c r="AI135" i="10"/>
  <c r="O112" i="10"/>
  <c r="O152" i="10"/>
  <c r="AI84" i="10"/>
  <c r="AI124" i="10"/>
  <c r="AI38" i="10"/>
  <c r="DG6" i="10" s="1"/>
  <c r="AJ113" i="10"/>
  <c r="AJ153" i="10"/>
  <c r="AE91" i="10"/>
  <c r="AE131" i="10"/>
  <c r="AG113" i="10"/>
  <c r="AG153" i="10" s="1"/>
  <c r="E101" i="10"/>
  <c r="E141" i="10" s="1"/>
  <c r="AB93" i="10"/>
  <c r="AB133" i="10"/>
  <c r="L87" i="10"/>
  <c r="L127" i="10"/>
  <c r="AC86" i="10"/>
  <c r="AC126" i="10"/>
  <c r="X105" i="10"/>
  <c r="X145" i="10"/>
  <c r="K103" i="10"/>
  <c r="K143" i="10"/>
  <c r="F86" i="10"/>
  <c r="F126" i="10" s="1"/>
  <c r="P115" i="10"/>
  <c r="P155" i="10"/>
  <c r="N103" i="10"/>
  <c r="N143" i="10"/>
  <c r="V92" i="10"/>
  <c r="V132" i="10" s="1"/>
  <c r="I103" i="10"/>
  <c r="I143" i="10" s="1"/>
  <c r="AM26" i="10"/>
  <c r="AW26" i="10" s="1"/>
  <c r="T38" i="10"/>
  <c r="CR28" i="10" s="1"/>
  <c r="AM23" i="10"/>
  <c r="AB108" i="10"/>
  <c r="AB148" i="10"/>
  <c r="F105" i="10"/>
  <c r="F145" i="10" s="1"/>
  <c r="AH100" i="10"/>
  <c r="AH140" i="10"/>
  <c r="K86" i="10"/>
  <c r="K126" i="10" s="1"/>
  <c r="L103" i="10"/>
  <c r="L143" i="10"/>
  <c r="F85" i="10"/>
  <c r="F125" i="10" s="1"/>
  <c r="P90" i="10"/>
  <c r="P130" i="10"/>
  <c r="R117" i="10"/>
  <c r="R157" i="10"/>
  <c r="X84" i="10"/>
  <c r="X124" i="10" s="1"/>
  <c r="O90" i="10"/>
  <c r="O130" i="10" s="1"/>
  <c r="G89" i="10"/>
  <c r="G129" i="10" s="1"/>
  <c r="W95" i="10"/>
  <c r="W135" i="10"/>
  <c r="S111" i="10"/>
  <c r="S151" i="10"/>
  <c r="H96" i="10"/>
  <c r="H136" i="10"/>
  <c r="X110" i="10"/>
  <c r="X150" i="10"/>
  <c r="I102" i="10"/>
  <c r="I142" i="10" s="1"/>
  <c r="U113" i="10"/>
  <c r="U153" i="10"/>
  <c r="F116" i="10"/>
  <c r="F156" i="10"/>
  <c r="AI97" i="10"/>
  <c r="AI137" i="10"/>
  <c r="AA98" i="10"/>
  <c r="AA138" i="10" s="1"/>
  <c r="K114" i="10"/>
  <c r="K154" i="10"/>
  <c r="H90" i="10"/>
  <c r="H130" i="10"/>
  <c r="AE109" i="10"/>
  <c r="AE149" i="10"/>
  <c r="AJ112" i="10"/>
  <c r="AJ152" i="10"/>
  <c r="O114" i="10"/>
  <c r="O154" i="10"/>
  <c r="M98" i="10"/>
  <c r="M138" i="10" s="1"/>
  <c r="T98" i="10"/>
  <c r="T138" i="10"/>
  <c r="AG105" i="10"/>
  <c r="AG145" i="10"/>
  <c r="R108" i="10"/>
  <c r="R148" i="10"/>
  <c r="I90" i="10"/>
  <c r="I130" i="10" s="1"/>
  <c r="N112" i="10"/>
  <c r="N152" i="10"/>
  <c r="M114" i="10"/>
  <c r="M154" i="10"/>
  <c r="H98" i="10"/>
  <c r="H138" i="10"/>
  <c r="L94" i="10"/>
  <c r="L134" i="10" s="1"/>
  <c r="O93" i="10"/>
  <c r="O133" i="10" s="1"/>
  <c r="H87" i="10"/>
  <c r="H127" i="10" s="1"/>
  <c r="AI100" i="10"/>
  <c r="AI140" i="10"/>
  <c r="Y108" i="10"/>
  <c r="Y148" i="10"/>
  <c r="R114" i="10"/>
  <c r="R154" i="10"/>
  <c r="AI107" i="10"/>
  <c r="AI147" i="10"/>
  <c r="G102" i="10"/>
  <c r="G142" i="10" s="1"/>
  <c r="I85" i="10"/>
  <c r="I125" i="10" s="1"/>
  <c r="R128" i="10"/>
  <c r="Y105" i="10"/>
  <c r="Y145" i="10" s="1"/>
  <c r="AB86" i="10"/>
  <c r="AB126" i="10"/>
  <c r="AF109" i="10"/>
  <c r="AF149" i="10"/>
  <c r="L98" i="10"/>
  <c r="L138" i="10"/>
  <c r="Y99" i="10"/>
  <c r="Y139" i="10"/>
  <c r="N87" i="10"/>
  <c r="N127" i="10"/>
  <c r="S110" i="10"/>
  <c r="S150" i="10"/>
  <c r="AE84" i="10"/>
  <c r="AE124" i="10"/>
  <c r="Z113" i="10"/>
  <c r="Z153" i="10"/>
  <c r="F95" i="10"/>
  <c r="F135" i="10"/>
  <c r="AA97" i="10"/>
  <c r="AA137" i="10"/>
  <c r="AH97" i="10"/>
  <c r="AH137" i="10"/>
  <c r="E110" i="10"/>
  <c r="E150" i="10" s="1"/>
  <c r="AM30" i="10"/>
  <c r="L110" i="10"/>
  <c r="L150" i="10"/>
  <c r="Y117" i="10"/>
  <c r="Y157" i="10"/>
  <c r="AK91" i="10"/>
  <c r="AK131" i="10"/>
  <c r="AI101" i="10"/>
  <c r="AI141" i="10"/>
  <c r="M95" i="10"/>
  <c r="M135" i="10" s="1"/>
  <c r="AF97" i="10"/>
  <c r="AF137" i="10"/>
  <c r="AH109" i="10"/>
  <c r="AH149" i="10"/>
  <c r="AL105" i="10"/>
  <c r="AL145" i="10"/>
  <c r="E91" i="10"/>
  <c r="E131" i="10" s="1"/>
  <c r="AM11" i="10"/>
  <c r="BS11" i="10" s="1"/>
  <c r="W106" i="10"/>
  <c r="W146" i="10"/>
  <c r="P100" i="10"/>
  <c r="P140" i="10"/>
  <c r="H93" i="10"/>
  <c r="H133" i="10"/>
  <c r="F94" i="10"/>
  <c r="F134" i="10"/>
  <c r="R90" i="10"/>
  <c r="R130" i="10"/>
  <c r="Y85" i="10"/>
  <c r="Y125" i="10" s="1"/>
  <c r="AL100" i="10"/>
  <c r="AL140" i="10"/>
  <c r="AH90" i="10"/>
  <c r="AH130" i="10"/>
  <c r="V38" i="10"/>
  <c r="CT5" i="10" s="1"/>
  <c r="AM24" i="10"/>
  <c r="BU24" i="10" s="1"/>
  <c r="Y90" i="10"/>
  <c r="Y130" i="10"/>
  <c r="X89" i="10"/>
  <c r="X129" i="10"/>
  <c r="O100" i="10"/>
  <c r="O140" i="10" s="1"/>
  <c r="M103" i="10"/>
  <c r="M143" i="10"/>
  <c r="W101" i="10"/>
  <c r="W141" i="10" s="1"/>
  <c r="W84" i="10"/>
  <c r="W124" i="10" s="1"/>
  <c r="R93" i="10"/>
  <c r="R133" i="10"/>
  <c r="AG103" i="10"/>
  <c r="AG143" i="10"/>
  <c r="AK114" i="10"/>
  <c r="AK154" i="10"/>
  <c r="L85" i="10"/>
  <c r="L125" i="10" s="1"/>
  <c r="L93" i="10"/>
  <c r="L133" i="10" s="1"/>
  <c r="AB87" i="10"/>
  <c r="AB127" i="10"/>
  <c r="O117" i="10"/>
  <c r="O157" i="10"/>
  <c r="AM4" i="10"/>
  <c r="BX4" i="10" s="1"/>
  <c r="AM25" i="10"/>
  <c r="BG25" i="10" s="1"/>
  <c r="M101" i="10"/>
  <c r="M141" i="10"/>
  <c r="N89" i="10"/>
  <c r="N129" i="10"/>
  <c r="L99" i="10"/>
  <c r="L139" i="10" s="1"/>
  <c r="Y86" i="10"/>
  <c r="Y126" i="10" s="1"/>
  <c r="AI102" i="10"/>
  <c r="AI142" i="10"/>
  <c r="T84" i="10"/>
  <c r="T124" i="10" s="1"/>
  <c r="N100" i="10"/>
  <c r="N140" i="10"/>
  <c r="AM19" i="10"/>
  <c r="BV19" i="10" s="1"/>
  <c r="AM21" i="10"/>
  <c r="E95" i="10"/>
  <c r="E135" i="10" s="1"/>
  <c r="AM15" i="10"/>
  <c r="R84" i="10"/>
  <c r="R124" i="10"/>
  <c r="J105" i="10"/>
  <c r="J145" i="10"/>
  <c r="AE86" i="10"/>
  <c r="AE126" i="10"/>
  <c r="W96" i="10"/>
  <c r="W136" i="10"/>
  <c r="Y95" i="10"/>
  <c r="Y135" i="10"/>
  <c r="AK84" i="10"/>
  <c r="AK124" i="10" s="1"/>
  <c r="AK117" i="10"/>
  <c r="AK157" i="10" s="1"/>
  <c r="AL97" i="10"/>
  <c r="AL137" i="10"/>
  <c r="H38" i="10"/>
  <c r="CF7" i="10" s="1"/>
  <c r="AE97" i="10"/>
  <c r="AE137" i="10"/>
  <c r="S107" i="10"/>
  <c r="S147" i="10"/>
  <c r="Q97" i="10"/>
  <c r="Q137" i="10" s="1"/>
  <c r="AL96" i="10"/>
  <c r="AL136" i="10"/>
  <c r="Y102" i="10"/>
  <c r="Y142" i="10" s="1"/>
  <c r="AD116" i="10"/>
  <c r="AD156" i="10"/>
  <c r="K116" i="10"/>
  <c r="K156" i="10"/>
  <c r="AG116" i="10"/>
  <c r="AG156" i="10"/>
  <c r="F98" i="10"/>
  <c r="F138" i="10" s="1"/>
  <c r="L86" i="10"/>
  <c r="L126" i="10" s="1"/>
  <c r="AB111" i="10"/>
  <c r="AB151" i="10"/>
  <c r="AL116" i="10"/>
  <c r="AL156" i="10" s="1"/>
  <c r="R99" i="10"/>
  <c r="R139" i="10"/>
  <c r="O84" i="10"/>
  <c r="O124" i="10" s="1"/>
  <c r="O38" i="10"/>
  <c r="AD102" i="10"/>
  <c r="AD142" i="10"/>
  <c r="AC96" i="10"/>
  <c r="AC136" i="10"/>
  <c r="K106" i="10"/>
  <c r="K146" i="10"/>
  <c r="AG85" i="10"/>
  <c r="AG125" i="10"/>
  <c r="Z86" i="10"/>
  <c r="Z126" i="10" s="1"/>
  <c r="L113" i="10"/>
  <c r="L153" i="10"/>
  <c r="AK99" i="10"/>
  <c r="AK139" i="10"/>
  <c r="AB84" i="10"/>
  <c r="AB124" i="10"/>
  <c r="Q101" i="10"/>
  <c r="Q141" i="10"/>
  <c r="Z84" i="10"/>
  <c r="Z124" i="10" s="1"/>
  <c r="M102" i="10"/>
  <c r="M142" i="10"/>
  <c r="Z90" i="10"/>
  <c r="Z130" i="10"/>
  <c r="AC116" i="10"/>
  <c r="AC156" i="10"/>
  <c r="L96" i="10"/>
  <c r="L136" i="10" s="1"/>
  <c r="H117" i="10"/>
  <c r="H157" i="10"/>
  <c r="Y103" i="10"/>
  <c r="Y143" i="10" s="1"/>
  <c r="AF89" i="10"/>
  <c r="AF129" i="10"/>
  <c r="Y110" i="10"/>
  <c r="Y150" i="10"/>
  <c r="AF110" i="10"/>
  <c r="AF150" i="10"/>
  <c r="W92" i="10"/>
  <c r="W132" i="10"/>
  <c r="N115" i="10"/>
  <c r="N155" i="10"/>
  <c r="AA116" i="10"/>
  <c r="AA156" i="10"/>
  <c r="H101" i="10"/>
  <c r="H141" i="10" s="1"/>
  <c r="G103" i="10"/>
  <c r="G143" i="10" s="1"/>
  <c r="T110" i="10"/>
  <c r="T150" i="10"/>
  <c r="X106" i="10"/>
  <c r="X146" i="10"/>
  <c r="Y91" i="10"/>
  <c r="Y131" i="10"/>
  <c r="AM6" i="10"/>
  <c r="AR6" i="10" s="1"/>
  <c r="W100" i="10"/>
  <c r="W140" i="10" s="1"/>
  <c r="T87" i="10"/>
  <c r="T127" i="10"/>
  <c r="AF106" i="10"/>
  <c r="AF146" i="10"/>
  <c r="AC111" i="10"/>
  <c r="AC151" i="10"/>
  <c r="AJ117" i="10"/>
  <c r="AJ157" i="10"/>
  <c r="I99" i="10"/>
  <c r="I139" i="10" s="1"/>
  <c r="P110" i="10"/>
  <c r="P150" i="10"/>
  <c r="T97" i="10"/>
  <c r="T137" i="10"/>
  <c r="Z98" i="10"/>
  <c r="Z138" i="10"/>
  <c r="F97" i="10"/>
  <c r="F137" i="10"/>
  <c r="AM17" i="10"/>
  <c r="BA17" i="10" s="1"/>
  <c r="AF98" i="10"/>
  <c r="AF138" i="10"/>
  <c r="X103" i="10"/>
  <c r="X143" i="10" s="1"/>
  <c r="S104" i="10"/>
  <c r="S144" i="10" s="1"/>
  <c r="AC85" i="10"/>
  <c r="AC125" i="10"/>
  <c r="AF87" i="10"/>
  <c r="AF127" i="10"/>
  <c r="X98" i="10"/>
  <c r="X138" i="10"/>
  <c r="H109" i="10"/>
  <c r="H149" i="10"/>
  <c r="AJ87" i="10"/>
  <c r="AJ127" i="10"/>
  <c r="I96" i="10"/>
  <c r="I136" i="10"/>
  <c r="J111" i="10"/>
  <c r="J151" i="10"/>
  <c r="R102" i="10"/>
  <c r="R142" i="10"/>
  <c r="I113" i="10"/>
  <c r="I153" i="10"/>
  <c r="J106" i="10"/>
  <c r="J146" i="10"/>
  <c r="E114" i="10"/>
  <c r="E154" i="10"/>
  <c r="AM34" i="10"/>
  <c r="AE87" i="10"/>
  <c r="AE127" i="10"/>
  <c r="AH89" i="10"/>
  <c r="AH129" i="10"/>
  <c r="U87" i="10"/>
  <c r="U127" i="10"/>
  <c r="E103" i="10"/>
  <c r="E143" i="10" s="1"/>
  <c r="AG99" i="10"/>
  <c r="AG139" i="10"/>
  <c r="Q115" i="10"/>
  <c r="Q155" i="10"/>
  <c r="X101" i="10"/>
  <c r="X141" i="10" s="1"/>
  <c r="AD94" i="10"/>
  <c r="AD134" i="10"/>
  <c r="AJ102" i="10"/>
  <c r="AJ142" i="10"/>
  <c r="O104" i="10"/>
  <c r="O144" i="10"/>
  <c r="E100" i="10"/>
  <c r="E140" i="10" s="1"/>
  <c r="AM20" i="10"/>
  <c r="AW20" i="10" s="1"/>
  <c r="L100" i="10"/>
  <c r="L140" i="10"/>
  <c r="AH112" i="10"/>
  <c r="AH152" i="10" s="1"/>
  <c r="AG114" i="10"/>
  <c r="AG154" i="10"/>
  <c r="Y94" i="10"/>
  <c r="Y134" i="10"/>
  <c r="H84" i="10"/>
  <c r="H124" i="10" s="1"/>
  <c r="I115" i="10"/>
  <c r="I155" i="10"/>
  <c r="J85" i="10"/>
  <c r="J125" i="10" s="1"/>
  <c r="V114" i="10"/>
  <c r="V154" i="10"/>
  <c r="L89" i="10"/>
  <c r="L129" i="10" s="1"/>
  <c r="AC104" i="10"/>
  <c r="AC144" i="10"/>
  <c r="J116" i="10"/>
  <c r="J156" i="10"/>
  <c r="Y115" i="10"/>
  <c r="Y155" i="10"/>
  <c r="I112" i="10"/>
  <c r="I152" i="10"/>
  <c r="H92" i="10"/>
  <c r="H132" i="10"/>
  <c r="AE112" i="10"/>
  <c r="AE152" i="10"/>
  <c r="Q100" i="10"/>
  <c r="Q140" i="10"/>
  <c r="Z100" i="10"/>
  <c r="Z140" i="10"/>
  <c r="AL102" i="10"/>
  <c r="AL142" i="10"/>
  <c r="T112" i="10"/>
  <c r="T152" i="10"/>
  <c r="Y87" i="10"/>
  <c r="Y127" i="10"/>
  <c r="AL93" i="10"/>
  <c r="AL133" i="10"/>
  <c r="Q87" i="10"/>
  <c r="Q127" i="10"/>
  <c r="Z102" i="10"/>
  <c r="Z142" i="10" s="1"/>
  <c r="G92" i="10"/>
  <c r="G132" i="10" s="1"/>
  <c r="Q94" i="10"/>
  <c r="Q134" i="10" s="1"/>
  <c r="N90" i="10"/>
  <c r="N130" i="10"/>
  <c r="AA100" i="10"/>
  <c r="AA140" i="10"/>
  <c r="J114" i="10"/>
  <c r="J154" i="10"/>
  <c r="AB96" i="10"/>
  <c r="AB136" i="10"/>
  <c r="S84" i="10"/>
  <c r="S124" i="10" s="1"/>
  <c r="X97" i="10"/>
  <c r="X137" i="10"/>
  <c r="W99" i="10"/>
  <c r="W139" i="10" s="1"/>
  <c r="G109" i="10"/>
  <c r="G149" i="10"/>
  <c r="M99" i="10"/>
  <c r="M139" i="10" s="1"/>
  <c r="AE114" i="10"/>
  <c r="AE154" i="10"/>
  <c r="Y111" i="10"/>
  <c r="Y151" i="10"/>
  <c r="AC87" i="10"/>
  <c r="AC127" i="10"/>
  <c r="P113" i="10"/>
  <c r="P153" i="10"/>
  <c r="V106" i="10"/>
  <c r="V146" i="10" s="1"/>
  <c r="AB114" i="10"/>
  <c r="AB154" i="10"/>
  <c r="G116" i="10"/>
  <c r="G156" i="10" s="1"/>
  <c r="AE111" i="10"/>
  <c r="AE151" i="10"/>
  <c r="AL111" i="10"/>
  <c r="AL151" i="10"/>
  <c r="AG95" i="10"/>
  <c r="AG135" i="10"/>
  <c r="R98" i="10"/>
  <c r="R138" i="10"/>
  <c r="Q106" i="10"/>
  <c r="Q146" i="10"/>
  <c r="M91" i="10"/>
  <c r="M131" i="10" s="1"/>
  <c r="F111" i="10"/>
  <c r="F151" i="10"/>
  <c r="AK106" i="10"/>
  <c r="AK146" i="10"/>
  <c r="I89" i="10"/>
  <c r="I129" i="10" s="1"/>
  <c r="Z87" i="10"/>
  <c r="Z127" i="10"/>
  <c r="I92" i="10"/>
  <c r="I132" i="10" s="1"/>
  <c r="Q102" i="10"/>
  <c r="Q142" i="10"/>
  <c r="X102" i="10"/>
  <c r="X142" i="10" s="1"/>
  <c r="AK109" i="10"/>
  <c r="AK149" i="10"/>
  <c r="V112" i="10"/>
  <c r="V152" i="10"/>
  <c r="I105" i="10"/>
  <c r="I145" i="10" s="1"/>
  <c r="U86" i="10"/>
  <c r="U126" i="10" s="1"/>
  <c r="S97" i="10"/>
  <c r="S137" i="10"/>
  <c r="I104" i="10"/>
  <c r="I144" i="10" s="1"/>
  <c r="P104" i="10"/>
  <c r="P144" i="10"/>
  <c r="AB110" i="10"/>
  <c r="AB150" i="10"/>
  <c r="Z108" i="10"/>
  <c r="Z148" i="10"/>
  <c r="AF101" i="10"/>
  <c r="AF141" i="10"/>
  <c r="F114" i="10"/>
  <c r="F154" i="10"/>
  <c r="AA112" i="10"/>
  <c r="AA152" i="10"/>
  <c r="I97" i="10"/>
  <c r="I137" i="10"/>
  <c r="P93" i="10"/>
  <c r="P133" i="10" s="1"/>
  <c r="I114" i="10"/>
  <c r="I154" i="10"/>
  <c r="P114" i="10"/>
  <c r="P154" i="10"/>
  <c r="AB94" i="10"/>
  <c r="AB134" i="10"/>
  <c r="G96" i="10"/>
  <c r="G136" i="10"/>
  <c r="AI116" i="10"/>
  <c r="AI156" i="10"/>
  <c r="R85" i="10"/>
  <c r="R125" i="10"/>
  <c r="H95" i="10"/>
  <c r="H135" i="10"/>
  <c r="AI115" i="10"/>
  <c r="AI155" i="10"/>
  <c r="H116" i="10"/>
  <c r="H156" i="10"/>
  <c r="E90" i="10"/>
  <c r="E130" i="10" s="1"/>
  <c r="AF86" i="10"/>
  <c r="AF126" i="10"/>
  <c r="X113" i="10"/>
  <c r="X153" i="10"/>
  <c r="AE108" i="10"/>
  <c r="AE148" i="10" s="1"/>
  <c r="H112" i="10"/>
  <c r="H152" i="10"/>
  <c r="R95" i="10"/>
  <c r="R135" i="10"/>
  <c r="H105" i="10"/>
  <c r="H145" i="10" s="1"/>
  <c r="N98" i="10"/>
  <c r="N138" i="10"/>
  <c r="O103" i="10"/>
  <c r="O143" i="10"/>
  <c r="T106" i="10"/>
  <c r="T146" i="10"/>
  <c r="AG107" i="10"/>
  <c r="AG147" i="10"/>
  <c r="F101" i="10"/>
  <c r="F141" i="10" s="1"/>
  <c r="J97" i="10"/>
  <c r="J137" i="10"/>
  <c r="AH106" i="10"/>
  <c r="AH146" i="10"/>
  <c r="F100" i="10"/>
  <c r="F140" i="10" s="1"/>
  <c r="S95" i="10"/>
  <c r="S135" i="10"/>
  <c r="M84" i="10"/>
  <c r="M124" i="10" s="1"/>
  <c r="V84" i="10"/>
  <c r="V124" i="10" s="1"/>
  <c r="U99" i="10"/>
  <c r="U139" i="10" s="1"/>
  <c r="N105" i="10"/>
  <c r="N145" i="10"/>
  <c r="AK100" i="10"/>
  <c r="AK140" i="10"/>
  <c r="J107" i="10"/>
  <c r="J147" i="10"/>
  <c r="AH116" i="10"/>
  <c r="AH156" i="10"/>
  <c r="F110" i="10"/>
  <c r="F150" i="10"/>
  <c r="G115" i="10"/>
  <c r="G155" i="10"/>
  <c r="AH85" i="10"/>
  <c r="AH125" i="10"/>
  <c r="R91" i="10"/>
  <c r="R131" i="10"/>
  <c r="AF112" i="10"/>
  <c r="AF152" i="10"/>
  <c r="AJ108" i="10"/>
  <c r="AJ148" i="10"/>
  <c r="AB99" i="10"/>
  <c r="AB139" i="10"/>
  <c r="AF111" i="10"/>
  <c r="AF151" i="10"/>
  <c r="K107" i="10"/>
  <c r="K147" i="10"/>
  <c r="E96" i="10"/>
  <c r="E136" i="10" s="1"/>
  <c r="AC95" i="10"/>
  <c r="AC135" i="10"/>
  <c r="M111" i="10"/>
  <c r="M151" i="10"/>
  <c r="E87" i="10"/>
  <c r="E127" i="10" s="1"/>
  <c r="S91" i="10"/>
  <c r="S131" i="10"/>
  <c r="J109" i="10"/>
  <c r="J149" i="10"/>
  <c r="M109" i="10"/>
  <c r="M149" i="10"/>
  <c r="F87" i="10"/>
  <c r="F127" i="10" s="1"/>
  <c r="AE113" i="10"/>
  <c r="AE153" i="10"/>
  <c r="AD111" i="10"/>
  <c r="AD151" i="10"/>
  <c r="AL99" i="10"/>
  <c r="AL139" i="10"/>
  <c r="T94" i="10"/>
  <c r="T134" i="10" s="1"/>
  <c r="G108" i="10"/>
  <c r="G148" i="10" s="1"/>
  <c r="K91" i="10"/>
  <c r="K131" i="10" s="1"/>
  <c r="G104" i="10"/>
  <c r="G144" i="10" s="1"/>
  <c r="Q86" i="10"/>
  <c r="Q126" i="10"/>
  <c r="F103" i="10"/>
  <c r="F143" i="10" s="1"/>
  <c r="R115" i="10"/>
  <c r="R155" i="10"/>
  <c r="S100" i="10"/>
  <c r="S140" i="10" s="1"/>
  <c r="P95" i="10"/>
  <c r="P135" i="10" s="1"/>
  <c r="M96" i="10"/>
  <c r="M136" i="10" s="1"/>
  <c r="H104" i="10"/>
  <c r="H144" i="10" s="1"/>
  <c r="S115" i="10"/>
  <c r="S155" i="10"/>
  <c r="U103" i="10"/>
  <c r="U143" i="10" s="1"/>
  <c r="E86" i="10"/>
  <c r="E126" i="10" s="1"/>
  <c r="AG92" i="10"/>
  <c r="AG132" i="10"/>
  <c r="R89" i="10"/>
  <c r="R129" i="10"/>
  <c r="AI96" i="10"/>
  <c r="AI136" i="10"/>
  <c r="AJ84" i="10"/>
  <c r="AJ124" i="10"/>
  <c r="R112" i="10"/>
  <c r="R152" i="10"/>
  <c r="S87" i="10"/>
  <c r="S127" i="10"/>
  <c r="L92" i="10"/>
  <c r="L132" i="10" s="1"/>
  <c r="AG101" i="10"/>
  <c r="AG141" i="10"/>
  <c r="R107" i="10"/>
  <c r="R147" i="10"/>
  <c r="K90" i="10"/>
  <c r="K130" i="10" s="1"/>
  <c r="G91" i="10"/>
  <c r="G131" i="10" s="1"/>
  <c r="S103" i="10"/>
  <c r="S143" i="10"/>
  <c r="K112" i="10"/>
  <c r="K152" i="10"/>
  <c r="H107" i="10"/>
  <c r="H147" i="10" s="1"/>
  <c r="AG89" i="10"/>
  <c r="AG129" i="10"/>
  <c r="S96" i="10"/>
  <c r="S136" i="10"/>
  <c r="R110" i="10"/>
  <c r="R150" i="10"/>
  <c r="O95" i="10"/>
  <c r="O135" i="10" s="1"/>
  <c r="O102" i="10"/>
  <c r="O142" i="10"/>
  <c r="AA108" i="10"/>
  <c r="AA148" i="10"/>
  <c r="U116" i="10"/>
  <c r="U156" i="10"/>
  <c r="G87" i="10"/>
  <c r="G127" i="10" s="1"/>
  <c r="S86" i="10"/>
  <c r="S126" i="10" s="1"/>
  <c r="J102" i="10"/>
  <c r="J142" i="10"/>
  <c r="F113" i="10"/>
  <c r="F153" i="10"/>
  <c r="I86" i="10"/>
  <c r="I126" i="10" s="1"/>
  <c r="U110" i="10"/>
  <c r="U150" i="10"/>
  <c r="F108" i="10"/>
  <c r="F148" i="10" s="1"/>
  <c r="U85" i="10"/>
  <c r="U125" i="10" s="1"/>
  <c r="AL103" i="10"/>
  <c r="AL143" i="10"/>
  <c r="H100" i="10"/>
  <c r="H140" i="10" s="1"/>
  <c r="X93" i="10"/>
  <c r="X133" i="10"/>
  <c r="Z85" i="10"/>
  <c r="Z125" i="10" s="1"/>
  <c r="X100" i="10"/>
  <c r="X140" i="10" s="1"/>
  <c r="AK101" i="10"/>
  <c r="AK141" i="10"/>
  <c r="P86" i="10"/>
  <c r="P126" i="10"/>
  <c r="AG102" i="10"/>
  <c r="AG142" i="10"/>
  <c r="R92" i="10"/>
  <c r="R132" i="10"/>
  <c r="K115" i="10"/>
  <c r="K155" i="10"/>
  <c r="AK128" i="10"/>
  <c r="P96" i="10"/>
  <c r="P136" i="10" s="1"/>
  <c r="T92" i="10"/>
  <c r="T132" i="10"/>
  <c r="I84" i="10"/>
  <c r="I124" i="10" s="1"/>
  <c r="Y101" i="10"/>
  <c r="Y141" i="10" s="1"/>
  <c r="I117" i="10"/>
  <c r="I157" i="10"/>
  <c r="K89" i="10"/>
  <c r="K129" i="10" s="1"/>
  <c r="Y100" i="10"/>
  <c r="Y140" i="10"/>
  <c r="AF100" i="10"/>
  <c r="AF140" i="10"/>
  <c r="K108" i="10"/>
  <c r="K148" i="10"/>
  <c r="AD110" i="10"/>
  <c r="AD150" i="10"/>
  <c r="AB97" i="10"/>
  <c r="AB137" i="10"/>
  <c r="AK90" i="10"/>
  <c r="AK130" i="10"/>
  <c r="AC106" i="10"/>
  <c r="AC146" i="10"/>
  <c r="AA95" i="10"/>
  <c r="AA135" i="10"/>
  <c r="K84" i="10"/>
  <c r="K124" i="10" s="1"/>
  <c r="AI93" i="10"/>
  <c r="AI133" i="10"/>
  <c r="AK102" i="10"/>
  <c r="AK142" i="10"/>
  <c r="J103" i="10"/>
  <c r="J143" i="10"/>
  <c r="AK96" i="10"/>
  <c r="AK136" i="10"/>
  <c r="O85" i="10"/>
  <c r="O125" i="10"/>
  <c r="AE99" i="10"/>
  <c r="AE139" i="10"/>
  <c r="K94" i="10"/>
  <c r="K134" i="10" s="1"/>
  <c r="AD90" i="10"/>
  <c r="AD130" i="10"/>
  <c r="AE107" i="10"/>
  <c r="AE147" i="10"/>
  <c r="U107" i="10"/>
  <c r="U147" i="10" s="1"/>
  <c r="V86" i="10"/>
  <c r="V126" i="10" s="1"/>
  <c r="AF95" i="10"/>
  <c r="AF135" i="10"/>
  <c r="F112" i="10"/>
  <c r="F152" i="10"/>
  <c r="AB95" i="10"/>
  <c r="AB135" i="10"/>
  <c r="X107" i="10"/>
  <c r="X147" i="10"/>
  <c r="AD108" i="10"/>
  <c r="AD148" i="10"/>
  <c r="AB85" i="10"/>
  <c r="AB125" i="10"/>
  <c r="E105" i="10"/>
  <c r="E145" i="10" s="1"/>
  <c r="AA89" i="10"/>
  <c r="AA129" i="10"/>
  <c r="O86" i="10"/>
  <c r="O126" i="10" s="1"/>
  <c r="AA92" i="10"/>
  <c r="AA132" i="10"/>
  <c r="AF85" i="10"/>
  <c r="AF125" i="10"/>
  <c r="N128" i="10"/>
  <c r="X128" i="10"/>
  <c r="Z106" i="10"/>
  <c r="Z146" i="10"/>
  <c r="AJ106" i="10"/>
  <c r="AJ146" i="10"/>
  <c r="AA91" i="10"/>
  <c r="AA131" i="10"/>
  <c r="AK115" i="10"/>
  <c r="AK155" i="10" s="1"/>
  <c r="AE89" i="10"/>
  <c r="AE129" i="10"/>
  <c r="U105" i="10"/>
  <c r="U145" i="10"/>
  <c r="T113" i="10"/>
  <c r="T153" i="10"/>
  <c r="AF113" i="10"/>
  <c r="AF153" i="10"/>
  <c r="Y84" i="10"/>
  <c r="Y124" i="10" s="1"/>
  <c r="Q110" i="10"/>
  <c r="Q150" i="10"/>
  <c r="J89" i="10"/>
  <c r="J129" i="10" s="1"/>
  <c r="M115" i="10"/>
  <c r="M155" i="10"/>
  <c r="T96" i="10"/>
  <c r="T136" i="10"/>
  <c r="X87" i="10"/>
  <c r="X127" i="10"/>
  <c r="R97" i="10"/>
  <c r="R137" i="10" s="1"/>
  <c r="Z95" i="10"/>
  <c r="Z135" i="10"/>
  <c r="AJ96" i="10"/>
  <c r="AJ136" i="10"/>
  <c r="Q107" i="10"/>
  <c r="Q147" i="10"/>
  <c r="H89" i="10"/>
  <c r="H129" i="10"/>
  <c r="P128" i="10"/>
  <c r="AG115" i="10"/>
  <c r="AG155" i="10"/>
  <c r="X85" i="10"/>
  <c r="X125" i="10" s="1"/>
  <c r="AF114" i="10"/>
  <c r="AF154" i="10"/>
  <c r="J94" i="10"/>
  <c r="J134" i="10" s="1"/>
  <c r="AI128" i="10"/>
  <c r="Q105" i="10"/>
  <c r="Q145" i="10"/>
  <c r="AC112" i="10"/>
  <c r="AC152" i="10"/>
  <c r="AH115" i="10"/>
  <c r="AH155" i="10"/>
  <c r="M117" i="10"/>
  <c r="M157" i="10"/>
  <c r="AL98" i="10"/>
  <c r="AL138" i="10"/>
  <c r="AI110" i="10"/>
  <c r="AI150" i="10"/>
  <c r="K93" i="10"/>
  <c r="K133" i="10" s="1"/>
  <c r="AL90" i="10"/>
  <c r="AL130" i="10"/>
  <c r="AF105" i="10"/>
  <c r="AF145" i="10"/>
  <c r="P98" i="10"/>
  <c r="P138" i="10"/>
  <c r="AI117" i="10"/>
  <c r="AI157" i="10"/>
  <c r="N86" i="10"/>
  <c r="N126" i="10"/>
  <c r="V101" i="10"/>
  <c r="V141" i="10" s="1"/>
  <c r="AE85" i="10"/>
  <c r="AE125" i="10"/>
  <c r="AG106" i="10"/>
  <c r="AG146" i="10"/>
  <c r="E113" i="10"/>
  <c r="E153" i="10" s="1"/>
  <c r="AM33" i="10"/>
  <c r="AA84" i="10"/>
  <c r="AA124" i="10" s="1"/>
  <c r="AE128" i="10"/>
  <c r="R87" i="10"/>
  <c r="R127" i="10"/>
  <c r="V117" i="10"/>
  <c r="V157" i="10"/>
  <c r="AA114" i="10"/>
  <c r="AA154" i="10"/>
  <c r="V89" i="10"/>
  <c r="V129" i="10" s="1"/>
  <c r="Z116" i="10"/>
  <c r="Z156" i="10"/>
  <c r="AB100" i="10"/>
  <c r="AB140" i="10"/>
  <c r="Q104" i="10"/>
  <c r="Q144" i="10"/>
  <c r="AG90" i="10"/>
  <c r="AG130" i="10"/>
  <c r="J86" i="10"/>
  <c r="J126" i="10" s="1"/>
  <c r="V87" i="10"/>
  <c r="V127" i="10" s="1"/>
  <c r="W112" i="10"/>
  <c r="W152" i="10"/>
  <c r="F89" i="10"/>
  <c r="F129" i="10" s="1"/>
  <c r="I91" i="10"/>
  <c r="I131" i="10" s="1"/>
  <c r="M89" i="10"/>
  <c r="M129" i="10" s="1"/>
  <c r="E102" i="10"/>
  <c r="E142" i="10" s="1"/>
  <c r="AD115" i="10"/>
  <c r="AD155" i="10"/>
  <c r="AH111" i="10"/>
  <c r="AH151" i="10"/>
  <c r="AH101" i="10"/>
  <c r="AH141" i="10"/>
  <c r="K109" i="10"/>
  <c r="K149" i="10"/>
  <c r="P112" i="10"/>
  <c r="P152" i="10"/>
  <c r="AC113" i="10"/>
  <c r="AC153" i="10"/>
  <c r="AD106" i="10"/>
  <c r="AD146" i="10"/>
  <c r="Y114" i="10"/>
  <c r="Y154" i="10"/>
  <c r="Q128" i="10"/>
  <c r="AD98" i="10"/>
  <c r="AD138" i="10"/>
  <c r="AC100" i="10"/>
  <c r="AC140" i="10"/>
  <c r="H108" i="10"/>
  <c r="H148" i="10"/>
  <c r="L104" i="10"/>
  <c r="L144" i="10"/>
  <c r="AE104" i="10"/>
  <c r="AE144" i="10"/>
  <c r="Q113" i="10"/>
  <c r="Q153" i="10"/>
  <c r="AG91" i="10"/>
  <c r="AG131" i="10"/>
  <c r="X91" i="10"/>
  <c r="X131" i="10"/>
  <c r="Q112" i="10"/>
  <c r="Q152" i="10"/>
  <c r="X112" i="10"/>
  <c r="X152" i="10"/>
  <c r="AJ92" i="10"/>
  <c r="AJ132" i="10"/>
  <c r="O94" i="10"/>
  <c r="O134" i="10" s="1"/>
  <c r="T86" i="10"/>
  <c r="T126" i="10" s="1"/>
  <c r="V104" i="10"/>
  <c r="V144" i="10" s="1"/>
  <c r="O97" i="10"/>
  <c r="O137" i="10" s="1"/>
  <c r="K92" i="10"/>
  <c r="K132" i="10" s="1"/>
  <c r="AC107" i="10"/>
  <c r="AC147" i="10"/>
  <c r="AJ93" i="10"/>
  <c r="AJ133" i="10"/>
  <c r="AC114" i="10"/>
  <c r="AC154" i="10"/>
  <c r="AJ114" i="10"/>
  <c r="AJ154" i="10"/>
  <c r="AC108" i="10"/>
  <c r="AC148" i="10" s="1"/>
  <c r="AK95" i="10"/>
  <c r="AK135" i="10"/>
  <c r="AK93" i="10"/>
  <c r="AK133" i="10"/>
  <c r="U109" i="10"/>
  <c r="U149" i="10"/>
  <c r="V102" i="10"/>
  <c r="V142" i="10" s="1"/>
  <c r="P91" i="10"/>
  <c r="P131" i="10"/>
  <c r="Z91" i="10"/>
  <c r="Z131" i="10"/>
  <c r="AD87" i="10"/>
  <c r="AD127" i="10"/>
  <c r="S92" i="10"/>
  <c r="S132" i="10"/>
  <c r="U94" i="10"/>
  <c r="U134" i="10"/>
  <c r="Y92" i="10"/>
  <c r="Y132" i="10"/>
  <c r="AK103" i="10"/>
  <c r="AK143" i="10" s="1"/>
  <c r="X90" i="10"/>
  <c r="X130" i="10"/>
  <c r="AB105" i="10"/>
  <c r="AB145" i="10"/>
  <c r="AH98" i="10"/>
  <c r="AH138" i="10"/>
  <c r="Z112" i="10"/>
  <c r="Z152" i="10"/>
  <c r="N92" i="10"/>
  <c r="N132" i="10" s="1"/>
  <c r="M94" i="10"/>
  <c r="M134" i="10" s="1"/>
  <c r="AC105" i="10"/>
  <c r="AC145" i="10"/>
  <c r="S89" i="10"/>
  <c r="S129" i="10"/>
  <c r="N114" i="10"/>
  <c r="N154" i="10"/>
  <c r="H103" i="10"/>
  <c r="H143" i="10" s="1"/>
  <c r="R103" i="10"/>
  <c r="R143" i="10"/>
  <c r="V99" i="10"/>
  <c r="V139" i="10" s="1"/>
  <c r="U92" i="10"/>
  <c r="U132" i="10"/>
  <c r="Q103" i="10"/>
  <c r="Q143" i="10"/>
  <c r="Z92" i="10"/>
  <c r="Z132" i="10"/>
  <c r="AC115" i="10"/>
  <c r="AC155" i="10"/>
  <c r="AI98" i="10"/>
  <c r="AI138" i="10"/>
  <c r="T117" i="10"/>
  <c r="T157" i="10"/>
  <c r="Z110" i="10"/>
  <c r="Z150" i="10"/>
  <c r="AI90" i="10"/>
  <c r="AI130" i="10"/>
  <c r="F104" i="10"/>
  <c r="F144" i="10" s="1"/>
  <c r="E106" i="10"/>
  <c r="E146" i="10" s="1"/>
  <c r="U117" i="10"/>
  <c r="U157" i="10"/>
  <c r="AL85" i="10"/>
  <c r="AL125" i="10" s="1"/>
  <c r="AG97" i="10"/>
  <c r="AG137" i="10"/>
  <c r="AH114" i="10"/>
  <c r="AH154" i="10" s="1"/>
  <c r="J115" i="10"/>
  <c r="J155" i="10"/>
  <c r="N111" i="10"/>
  <c r="N151" i="10"/>
  <c r="M104" i="10"/>
  <c r="M144" i="10"/>
  <c r="N99" i="10"/>
  <c r="N139" i="10"/>
  <c r="Y112" i="10"/>
  <c r="Y152" i="10"/>
  <c r="AH99" i="10"/>
  <c r="AH139" i="10"/>
  <c r="AL95" i="10"/>
  <c r="AL135" i="10"/>
  <c r="AG96" i="10"/>
  <c r="AG136" i="10"/>
  <c r="I87" i="10"/>
  <c r="I127" i="10" s="1"/>
  <c r="AA102" i="10"/>
  <c r="AA142" i="10"/>
  <c r="AF115" i="10"/>
  <c r="AF155" i="10"/>
  <c r="AE117" i="10"/>
  <c r="AE157" i="10"/>
  <c r="Z101" i="10"/>
  <c r="Z141" i="10" s="1"/>
  <c r="AD97" i="10"/>
  <c r="AD137" i="10"/>
  <c r="Y109" i="10"/>
  <c r="Y149" i="10"/>
  <c r="S98" i="10"/>
  <c r="S138" i="10" s="1"/>
  <c r="O99" i="10"/>
  <c r="O139" i="10" s="1"/>
  <c r="AK92" i="10"/>
  <c r="AK132" i="10"/>
  <c r="E116" i="10"/>
  <c r="E156" i="10" s="1"/>
  <c r="AM36" i="10"/>
  <c r="K95" i="10"/>
  <c r="K135" i="10" s="1"/>
  <c r="Z111" i="10"/>
  <c r="Z151" i="10"/>
  <c r="AD107" i="10"/>
  <c r="AD147" i="10"/>
  <c r="AE92" i="10"/>
  <c r="AE132" i="10"/>
  <c r="O108" i="10"/>
  <c r="O148" i="10"/>
  <c r="S114" i="10"/>
  <c r="S154" i="10"/>
  <c r="AE98" i="10"/>
  <c r="AE138" i="10"/>
  <c r="P101" i="10"/>
  <c r="P141" i="10"/>
  <c r="R113" i="10"/>
  <c r="R153" i="10"/>
  <c r="V109" i="10"/>
  <c r="V149" i="10" s="1"/>
  <c r="J93" i="10"/>
  <c r="J133" i="10" s="1"/>
  <c r="K110" i="10"/>
  <c r="K150" i="10"/>
  <c r="G111" i="10"/>
  <c r="G151" i="10"/>
  <c r="AG84" i="10"/>
  <c r="AG124" i="10"/>
  <c r="X99" i="10"/>
  <c r="X139" i="10"/>
  <c r="V90" i="10"/>
  <c r="V130" i="10"/>
  <c r="O87" i="10"/>
  <c r="O127" i="10"/>
  <c r="AE95" i="10"/>
  <c r="AE135" i="10"/>
  <c r="W104" i="10"/>
  <c r="W144" i="10" s="1"/>
  <c r="AC84" i="10"/>
  <c r="AC124" i="10"/>
  <c r="H102" i="10"/>
  <c r="H142" i="10" s="1"/>
  <c r="W110" i="10"/>
  <c r="W150" i="10"/>
  <c r="H113" i="10"/>
  <c r="H153" i="10"/>
  <c r="W97" i="10"/>
  <c r="W137" i="10"/>
  <c r="AI85" i="10"/>
  <c r="AI125" i="10"/>
  <c r="AJ104" i="10"/>
  <c r="AJ144" i="10"/>
  <c r="AD93" i="10"/>
  <c r="AD133" i="10"/>
  <c r="Z94" i="10"/>
  <c r="Z134" i="10"/>
  <c r="Y96" i="10"/>
  <c r="Y136" i="10"/>
  <c r="AJ103" i="10"/>
  <c r="AJ143" i="10"/>
  <c r="H97" i="10"/>
  <c r="H137" i="10"/>
  <c r="AD86" i="10"/>
  <c r="AD126" i="10"/>
  <c r="U97" i="10"/>
  <c r="U137" i="10"/>
  <c r="W109" i="10"/>
  <c r="W149" i="10"/>
  <c r="X108" i="10"/>
  <c r="X148" i="10" s="1"/>
  <c r="R96" i="10"/>
  <c r="R136" i="10" s="1"/>
  <c r="L91" i="10"/>
  <c r="L131" i="10" s="1"/>
  <c r="O96" i="10"/>
  <c r="O136" i="10" s="1"/>
  <c r="O89" i="10"/>
  <c r="O129" i="10" s="1"/>
  <c r="T101" i="10"/>
  <c r="T141" i="10" s="1"/>
  <c r="P87" i="10"/>
  <c r="P127" i="10"/>
  <c r="U128" i="10"/>
  <c r="AF116" i="10"/>
  <c r="AF156" i="10"/>
  <c r="AK94" i="10"/>
  <c r="AK134" i="10"/>
  <c r="AL86" i="10"/>
  <c r="AL126" i="10" s="1"/>
  <c r="AJ107" i="10"/>
  <c r="AJ147" i="10"/>
  <c r="F92" i="10"/>
  <c r="F132" i="10"/>
  <c r="AG87" i="10"/>
  <c r="AG127" i="10"/>
  <c r="AA105" i="10"/>
  <c r="AA145" i="10" s="1"/>
  <c r="AJ85" i="10"/>
  <c r="AJ125" i="10"/>
  <c r="AA94" i="10"/>
  <c r="AA134" i="10"/>
  <c r="AC92" i="10"/>
  <c r="AC132" i="10"/>
  <c r="AC101" i="10"/>
  <c r="AC141" i="10"/>
  <c r="N104" i="10"/>
  <c r="N144" i="10"/>
  <c r="O107" i="10"/>
  <c r="O147" i="10"/>
  <c r="AI86" i="10"/>
  <c r="AI126" i="10"/>
  <c r="S102" i="10"/>
  <c r="S142" i="10"/>
  <c r="Y113" i="10"/>
  <c r="Y153" i="10"/>
  <c r="AD89" i="10"/>
  <c r="AD129" i="10"/>
  <c r="J101" i="10"/>
  <c r="J141" i="10"/>
  <c r="W102" i="10"/>
  <c r="W142" i="10" s="1"/>
  <c r="V113" i="10"/>
  <c r="V153" i="10"/>
  <c r="AI114" i="10"/>
  <c r="AI154" i="10" s="1"/>
  <c r="G94" i="10"/>
  <c r="G134" i="10" s="1"/>
  <c r="Z96" i="10"/>
  <c r="Z136" i="10"/>
  <c r="W86" i="10"/>
  <c r="W126" i="10" s="1"/>
  <c r="V100" i="10"/>
  <c r="V140" i="10" s="1"/>
  <c r="U102" i="10"/>
  <c r="U142" i="10" s="1"/>
  <c r="AK113" i="10"/>
  <c r="AK153" i="10"/>
  <c r="E93" i="10"/>
  <c r="E133" i="10" s="1"/>
  <c r="AB115" i="10"/>
  <c r="AB155" i="10"/>
  <c r="AH108" i="10"/>
  <c r="AH148" i="10"/>
  <c r="AB89" i="10"/>
  <c r="AB129" i="10"/>
  <c r="P111" i="10"/>
  <c r="P151" i="10"/>
  <c r="N102" i="10"/>
  <c r="N142" i="10"/>
  <c r="AL94" i="10"/>
  <c r="AL134" i="10"/>
  <c r="W107" i="10"/>
  <c r="W147" i="10" s="1"/>
  <c r="Y93" i="10"/>
  <c r="Y133" i="10"/>
  <c r="O116" i="10"/>
  <c r="O156" i="10"/>
  <c r="AF84" i="10"/>
  <c r="AF124" i="10"/>
  <c r="AH113" i="10"/>
  <c r="AH153" i="10" s="1"/>
  <c r="N95" i="10"/>
  <c r="N135" i="10" s="1"/>
  <c r="AA96" i="10"/>
  <c r="AA136" i="10"/>
  <c r="O109" i="10"/>
  <c r="O149" i="10"/>
  <c r="O98" i="10"/>
  <c r="O138" i="10" s="1"/>
  <c r="AB116" i="10"/>
  <c r="AB156" i="10"/>
  <c r="V105" i="10"/>
  <c r="V145" i="10" s="1"/>
  <c r="R106" i="10"/>
  <c r="R146" i="10"/>
  <c r="Q108" i="10"/>
  <c r="Q148" i="10"/>
  <c r="AI94" i="10"/>
  <c r="AI134" i="10"/>
  <c r="E97" i="10"/>
  <c r="E137" i="10"/>
  <c r="T111" i="10"/>
  <c r="T151" i="10"/>
  <c r="H91" i="10"/>
  <c r="H131" i="10"/>
  <c r="G93" i="10"/>
  <c r="G133" i="10" s="1"/>
  <c r="T100" i="10"/>
  <c r="T140" i="10" s="1"/>
  <c r="X96" i="10"/>
  <c r="X136" i="10"/>
  <c r="AI103" i="10"/>
  <c r="AI143" i="10"/>
  <c r="F107" i="10"/>
  <c r="F147" i="10" s="1"/>
  <c r="S108" i="10"/>
  <c r="S148" i="10"/>
  <c r="AH92" i="10"/>
  <c r="AH132" i="10"/>
  <c r="AG94" i="10"/>
  <c r="AG134" i="10"/>
  <c r="G117" i="10"/>
  <c r="G157" i="10" s="1"/>
  <c r="N117" i="10"/>
  <c r="N157" i="10"/>
  <c r="Q89" i="10"/>
  <c r="Q129" i="10"/>
  <c r="AJ91" i="10"/>
  <c r="AJ131" i="10"/>
  <c r="AA106" i="10"/>
  <c r="AA146" i="10" s="1"/>
  <c r="V93" i="10"/>
  <c r="V133" i="10"/>
  <c r="AC89" i="10"/>
  <c r="AC129" i="10"/>
  <c r="AH102" i="10"/>
  <c r="AH142" i="10"/>
  <c r="AG104" i="10"/>
  <c r="AG144" i="10"/>
  <c r="L112" i="10"/>
  <c r="L152" i="10"/>
  <c r="P108" i="10"/>
  <c r="P148" i="10"/>
  <c r="AA115" i="10"/>
  <c r="AA155" i="10"/>
  <c r="J91" i="10"/>
  <c r="J131" i="10" s="1"/>
  <c r="AL91" i="10"/>
  <c r="AL131" i="10"/>
  <c r="Z104" i="10"/>
  <c r="Z144" i="10" s="1"/>
  <c r="Y106" i="10"/>
  <c r="Y146" i="10"/>
  <c r="L101" i="10"/>
  <c r="L141" i="10" s="1"/>
  <c r="AE116" i="10"/>
  <c r="AE156" i="10"/>
  <c r="I101" i="10"/>
  <c r="I141" i="10" s="1"/>
  <c r="AB103" i="10"/>
  <c r="AB143" i="10"/>
  <c r="L90" i="10"/>
  <c r="L130" i="10" s="1"/>
  <c r="F117" i="10"/>
  <c r="F157" i="10" s="1"/>
  <c r="U101" i="10"/>
  <c r="U141" i="10" s="1"/>
  <c r="Z114" i="10"/>
  <c r="Z154" i="10"/>
  <c r="Y116" i="10"/>
  <c r="Y156" i="10"/>
  <c r="Q96" i="10"/>
  <c r="Q136" i="10" s="1"/>
  <c r="AD91" i="10"/>
  <c r="AD131" i="10"/>
  <c r="G95" i="10"/>
  <c r="G135" i="10" s="1"/>
  <c r="W103" i="10"/>
  <c r="W143" i="10" s="1"/>
  <c r="AD103" i="10"/>
  <c r="AD143" i="10" s="1"/>
  <c r="R116" i="10"/>
  <c r="R156" i="10"/>
  <c r="J90" i="10"/>
  <c r="J130" i="10" s="1"/>
  <c r="AL112" i="10"/>
  <c r="AL152" i="10"/>
  <c r="T104" i="10"/>
  <c r="T144" i="10"/>
  <c r="AI112" i="10"/>
  <c r="AI152" i="10"/>
  <c r="T115" i="10"/>
  <c r="T155" i="10"/>
  <c r="AL101" i="10"/>
  <c r="AL141" i="10"/>
  <c r="AE101" i="10"/>
  <c r="AE141" i="10"/>
  <c r="M113" i="10"/>
  <c r="M153" i="10"/>
  <c r="Y97" i="10"/>
  <c r="Y137" i="10"/>
  <c r="J100" i="10"/>
  <c r="J140" i="10" s="1"/>
  <c r="I108" i="10"/>
  <c r="I148" i="10"/>
  <c r="AE94" i="10"/>
  <c r="AE134" i="10"/>
  <c r="V94" i="10"/>
  <c r="V134" i="10" s="1"/>
  <c r="O115" i="10"/>
  <c r="O155" i="10"/>
  <c r="V115" i="10"/>
  <c r="V155" i="10"/>
  <c r="Q99" i="10"/>
  <c r="Q139" i="10"/>
  <c r="AJ101" i="10"/>
  <c r="AJ141" i="10"/>
  <c r="AC97" i="10"/>
  <c r="AC137" i="10"/>
  <c r="L116" i="10"/>
  <c r="L156" i="10"/>
  <c r="Z97" i="10"/>
  <c r="Z137" i="10"/>
  <c r="E99" i="10"/>
  <c r="E139" i="10" s="1"/>
  <c r="I95" i="10"/>
  <c r="I135" i="10"/>
  <c r="AL109" i="10"/>
  <c r="AL149" i="10"/>
  <c r="Q111" i="10"/>
  <c r="Q151" i="10"/>
  <c r="M100" i="10"/>
  <c r="M140" i="10"/>
  <c r="X94" i="10"/>
  <c r="X134" i="10"/>
  <c r="AB90" i="10"/>
  <c r="AB130" i="10"/>
  <c r="K87" i="10"/>
  <c r="K127" i="10"/>
  <c r="S109" i="10"/>
  <c r="S149" i="10"/>
  <c r="Z109" i="10"/>
  <c r="Z149" i="10"/>
  <c r="AL92" i="10"/>
  <c r="AL132" i="10"/>
  <c r="U84" i="10"/>
  <c r="U124" i="10" s="1"/>
  <c r="P102" i="10"/>
  <c r="P142" i="10"/>
  <c r="AC103" i="10"/>
  <c r="AC143" i="10" s="1"/>
  <c r="AA113" i="10"/>
  <c r="AA153" i="10"/>
  <c r="E107" i="10"/>
  <c r="E147" i="10" s="1"/>
  <c r="X109" i="10"/>
  <c r="X149" i="10" s="1"/>
  <c r="E94" i="10"/>
  <c r="E134" i="10" s="1"/>
  <c r="AD117" i="10"/>
  <c r="AD157" i="10"/>
  <c r="AE102" i="10"/>
  <c r="AE142" i="10"/>
  <c r="N85" i="10"/>
  <c r="N125" i="10"/>
  <c r="AI113" i="10"/>
  <c r="AI153" i="10" s="1"/>
  <c r="AM115" i="10"/>
  <c r="AM155" i="10" s="1"/>
  <c r="W93" i="10"/>
  <c r="W133" i="10"/>
  <c r="U111" i="10"/>
  <c r="U151" i="10"/>
  <c r="M87" i="10"/>
  <c r="M127" i="10"/>
  <c r="O106" i="10"/>
  <c r="O146" i="10"/>
  <c r="AA99" i="10"/>
  <c r="AA139" i="10"/>
  <c r="P117" i="10"/>
  <c r="P157" i="10"/>
  <c r="Q117" i="10"/>
  <c r="Q157" i="10"/>
  <c r="N113" i="10"/>
  <c r="N153" i="10"/>
  <c r="F102" i="10"/>
  <c r="F142" i="10" s="1"/>
  <c r="F91" i="10"/>
  <c r="F131" i="10" s="1"/>
  <c r="AF92" i="10"/>
  <c r="AF132" i="10"/>
  <c r="Y104" i="10"/>
  <c r="Y144" i="10" s="1"/>
  <c r="Z115" i="10"/>
  <c r="Z155" i="10"/>
  <c r="AL117" i="10"/>
  <c r="AL157" i="10" s="1"/>
  <c r="J96" i="10"/>
  <c r="J136" i="10"/>
  <c r="V108" i="10"/>
  <c r="V148" i="10" s="1"/>
  <c r="AL128" i="10"/>
  <c r="AD96" i="10"/>
  <c r="AD136" i="10"/>
  <c r="N107" i="10"/>
  <c r="N147" i="10"/>
  <c r="X104" i="10"/>
  <c r="X144" i="10"/>
  <c r="AC94" i="10"/>
  <c r="AC134" i="10"/>
  <c r="AJ94" i="10"/>
  <c r="AJ134" i="10"/>
  <c r="H86" i="10"/>
  <c r="H126" i="10" s="1"/>
  <c r="P106" i="10"/>
  <c r="P146" i="10"/>
  <c r="T102" i="10"/>
  <c r="T142" i="10" s="1"/>
  <c r="AC110" i="10"/>
  <c r="AC150" i="10"/>
  <c r="R100" i="10"/>
  <c r="R140" i="10"/>
  <c r="F90" i="10"/>
  <c r="F130" i="10" s="1"/>
  <c r="AD112" i="10"/>
  <c r="AD152" i="10"/>
  <c r="AJ105" i="10"/>
  <c r="AJ145" i="10"/>
  <c r="AK110" i="10"/>
  <c r="AK150" i="10"/>
  <c r="H114" i="10"/>
  <c r="H154" i="10"/>
  <c r="U115" i="10"/>
  <c r="U155" i="10"/>
  <c r="L97" i="10"/>
  <c r="L137" i="10" s="1"/>
  <c r="AL89" i="10"/>
  <c r="AL129" i="10"/>
  <c r="I93" i="10"/>
  <c r="I133" i="10"/>
  <c r="AE105" i="10"/>
  <c r="AE145" i="10"/>
  <c r="U89" i="10"/>
  <c r="U129" i="10"/>
  <c r="W114" i="10"/>
  <c r="W154" i="10"/>
  <c r="Q95" i="10"/>
  <c r="Q135" i="10" s="1"/>
  <c r="AD92" i="10"/>
  <c r="AD132" i="10"/>
  <c r="AM7" i="10"/>
  <c r="AM87" i="10" s="1"/>
  <c r="AM127" i="10" s="1"/>
  <c r="S112" i="10"/>
  <c r="S152" i="10"/>
  <c r="L106" i="10"/>
  <c r="L146" i="10"/>
  <c r="AE103" i="10"/>
  <c r="AE143" i="10"/>
  <c r="P116" i="10"/>
  <c r="P156" i="10"/>
  <c r="R86" i="10"/>
  <c r="R126" i="10"/>
  <c r="H99" i="10"/>
  <c r="H139" i="10"/>
  <c r="AC99" i="10"/>
  <c r="AC139" i="10"/>
  <c r="V111" i="10"/>
  <c r="V151" i="10"/>
  <c r="S117" i="10"/>
  <c r="S157" i="10"/>
  <c r="F115" i="10"/>
  <c r="F155" i="10"/>
  <c r="G101" i="10"/>
  <c r="G141" i="10" s="1"/>
  <c r="AA101" i="10"/>
  <c r="AA141" i="10"/>
  <c r="X117" i="10"/>
  <c r="X157" i="10"/>
  <c r="G86" i="10"/>
  <c r="G126" i="10" s="1"/>
  <c r="AF96" i="10"/>
  <c r="AF136" i="10"/>
  <c r="AG110" i="10"/>
  <c r="AG150" i="10"/>
  <c r="U91" i="10"/>
  <c r="U131" i="10"/>
  <c r="Y89" i="10"/>
  <c r="Y129" i="10"/>
  <c r="AA109" i="10"/>
  <c r="AA149" i="10"/>
  <c r="AH103" i="10"/>
  <c r="AH143" i="10"/>
  <c r="S113" i="10"/>
  <c r="S153" i="10"/>
  <c r="U106" i="10"/>
  <c r="U146" i="10"/>
  <c r="AB106" i="10"/>
  <c r="AB146" i="10"/>
  <c r="F84" i="10"/>
  <c r="F124" i="10" s="1"/>
  <c r="U90" i="10"/>
  <c r="U130" i="10"/>
  <c r="L114" i="10"/>
  <c r="L154" i="10"/>
  <c r="AF117" i="10"/>
  <c r="AF157" i="10"/>
  <c r="J112" i="10"/>
  <c r="J152" i="10"/>
  <c r="P105" i="10"/>
  <c r="P145" i="10"/>
  <c r="AA85" i="10"/>
  <c r="AA125" i="10"/>
  <c r="AB117" i="10"/>
  <c r="AB157" i="10"/>
  <c r="G85" i="10"/>
  <c r="G125" i="10" s="1"/>
  <c r="AG98" i="10"/>
  <c r="AG138" i="10"/>
  <c r="F99" i="10"/>
  <c r="F139" i="10" s="1"/>
  <c r="AL108" i="10"/>
  <c r="AL148" i="10"/>
  <c r="V103" i="10"/>
  <c r="V143" i="10" s="1"/>
  <c r="AI104" i="10"/>
  <c r="AI144" i="10"/>
  <c r="W117" i="10"/>
  <c r="W157" i="10"/>
  <c r="O91" i="10"/>
  <c r="O131" i="10" s="1"/>
  <c r="AB98" i="10"/>
  <c r="AB138" i="10"/>
  <c r="AF94" i="10"/>
  <c r="AF134" i="10"/>
  <c r="N116" i="10"/>
  <c r="N156" i="10"/>
  <c r="AD113" i="10"/>
  <c r="AD153" i="10"/>
  <c r="W113" i="10"/>
  <c r="W153" i="10"/>
  <c r="AJ100" i="10"/>
  <c r="AJ140" i="10"/>
  <c r="Q109" i="10"/>
  <c r="Q149" i="10"/>
  <c r="AJ111" i="10"/>
  <c r="AJ151" i="10"/>
  <c r="AB91" i="10"/>
  <c r="AB131" i="10"/>
  <c r="AA93" i="10"/>
  <c r="AA133" i="10"/>
  <c r="N106" i="10"/>
  <c r="N146" i="10"/>
  <c r="T99" i="10"/>
  <c r="T139" i="10" s="1"/>
  <c r="AB102" i="10"/>
  <c r="AB142" i="10"/>
  <c r="I111" i="10"/>
  <c r="I151" i="10"/>
  <c r="AB113" i="10"/>
  <c r="AB153" i="10"/>
  <c r="AA110" i="10"/>
  <c r="AA150" i="10"/>
  <c r="M106" i="10"/>
  <c r="M146" i="10"/>
  <c r="R109" i="10"/>
  <c r="R149" i="10"/>
  <c r="AE110" i="10"/>
  <c r="AE150" i="10" s="1"/>
  <c r="AG100" i="10"/>
  <c r="AG140" i="10"/>
  <c r="T109" i="10"/>
  <c r="T149" i="10"/>
  <c r="AB112" i="10"/>
  <c r="AB152" i="10"/>
  <c r="H94" i="10"/>
  <c r="H134" i="10"/>
  <c r="U95" i="10"/>
  <c r="U135" i="10"/>
  <c r="T103" i="10"/>
  <c r="T143" i="10" s="1"/>
  <c r="S105" i="10"/>
  <c r="S145" i="10"/>
  <c r="V98" i="10"/>
  <c r="V138" i="10" s="1"/>
  <c r="L111" i="10"/>
  <c r="L151" i="10"/>
  <c r="T114" i="10"/>
  <c r="T154" i="10"/>
  <c r="AH95" i="10"/>
  <c r="AH135" i="10"/>
  <c r="M97" i="10"/>
  <c r="M137" i="10" s="1"/>
  <c r="J84" i="10"/>
  <c r="J124" i="10" s="1"/>
  <c r="R104" i="10"/>
  <c r="R144" i="10"/>
  <c r="I94" i="10"/>
  <c r="I134" i="10"/>
  <c r="P94" i="10"/>
  <c r="P134" i="10" s="1"/>
  <c r="I116" i="10"/>
  <c r="I156" i="10"/>
  <c r="AF91" i="10"/>
  <c r="AF131" i="10"/>
  <c r="AC102" i="10"/>
  <c r="AC142" i="10"/>
  <c r="AH105" i="10"/>
  <c r="AH145" i="10"/>
  <c r="M107" i="10"/>
  <c r="M147" i="10"/>
  <c r="L115" i="10"/>
  <c r="L155" i="10"/>
  <c r="K117" i="10"/>
  <c r="K157" i="10"/>
  <c r="E98" i="10"/>
  <c r="E138" i="10" s="1"/>
  <c r="AA90" i="10"/>
  <c r="AA130" i="10"/>
  <c r="U104" i="10"/>
  <c r="U144" i="10" s="1"/>
  <c r="Z107" i="10"/>
  <c r="Z147" i="10" s="1"/>
  <c r="E109" i="10"/>
  <c r="E149" i="10" s="1"/>
  <c r="J87" i="10"/>
  <c r="J127" i="10"/>
  <c r="H85" i="10"/>
  <c r="H125" i="10" s="1"/>
  <c r="AI105" i="10"/>
  <c r="AI145" i="10"/>
  <c r="H106" i="10"/>
  <c r="H146" i="10"/>
  <c r="AH110" i="10"/>
  <c r="AH150" i="10"/>
  <c r="I107" i="10"/>
  <c r="I147" i="10" s="1"/>
  <c r="U114" i="10"/>
  <c r="U154" i="10"/>
  <c r="Z117" i="10"/>
  <c r="Z157" i="10"/>
  <c r="AF90" i="10"/>
  <c r="AF130" i="10"/>
  <c r="K98" i="10"/>
  <c r="K138" i="10"/>
  <c r="AD100" i="10"/>
  <c r="AD140" i="10"/>
  <c r="Q93" i="10"/>
  <c r="Q133" i="10" s="1"/>
  <c r="AI108" i="10"/>
  <c r="AI148" i="10"/>
  <c r="M116" i="10"/>
  <c r="M156" i="10"/>
  <c r="AA87" i="10"/>
  <c r="AA127" i="10"/>
  <c r="X92" i="10"/>
  <c r="X132" i="10"/>
  <c r="AJ98" i="10"/>
  <c r="AJ138" i="10"/>
  <c r="AH96" i="10"/>
  <c r="AH136" i="10"/>
  <c r="AA117" i="10"/>
  <c r="AA157" i="10"/>
  <c r="AH117" i="10"/>
  <c r="AH157" i="10"/>
  <c r="BP21" i="10"/>
  <c r="AM95" i="10"/>
  <c r="AM135" i="10" s="1"/>
  <c r="BH21" i="10"/>
  <c r="BY21" i="10"/>
  <c r="BV21" i="10"/>
  <c r="BN21" i="10"/>
  <c r="BK21" i="10"/>
  <c r="BJ21" i="10"/>
  <c r="BJ23" i="10"/>
  <c r="AY26" i="10"/>
  <c r="BA21" i="10"/>
  <c r="BU21" i="10"/>
  <c r="AZ21" i="10"/>
  <c r="BT21" i="10"/>
  <c r="BP26" i="10"/>
  <c r="AX21" i="10"/>
  <c r="BR21" i="10"/>
  <c r="AW21" i="10"/>
  <c r="AS26" i="10"/>
  <c r="AQ21" i="10"/>
  <c r="BB26" i="10"/>
  <c r="BS21" i="10"/>
  <c r="BK26" i="10"/>
  <c r="AY21" i="10"/>
  <c r="BJ26" i="10"/>
  <c r="AY28" i="10"/>
  <c r="BQ21" i="10"/>
  <c r="BI21" i="10"/>
  <c r="AV21" i="10"/>
  <c r="BG21" i="10"/>
  <c r="AU21" i="10"/>
  <c r="BF21" i="10"/>
  <c r="BO21" i="10"/>
  <c r="BE21" i="10"/>
  <c r="AT21" i="10"/>
  <c r="BD21" i="10"/>
  <c r="AS21" i="10"/>
  <c r="BX21" i="10"/>
  <c r="BM21" i="10"/>
  <c r="BC21" i="10"/>
  <c r="AR21" i="10"/>
  <c r="BW21" i="10"/>
  <c r="BL21" i="10"/>
  <c r="BB21" i="10"/>
  <c r="BY14" i="10"/>
  <c r="BH14" i="10"/>
  <c r="BI14" i="10"/>
  <c r="BK14" i="10"/>
  <c r="AW14" i="10"/>
  <c r="BQ14" i="10"/>
  <c r="AY14" i="10"/>
  <c r="BA14" i="10"/>
  <c r="BB14" i="10"/>
  <c r="BD14" i="10"/>
  <c r="BF14" i="10"/>
  <c r="BJ14" i="10"/>
  <c r="BN14" i="10"/>
  <c r="BP14" i="10"/>
  <c r="BR14" i="10"/>
  <c r="BS14" i="10"/>
  <c r="AS14" i="10"/>
  <c r="BT14" i="10"/>
  <c r="AU14" i="10"/>
  <c r="AV14" i="10"/>
  <c r="BW14" i="10"/>
  <c r="BB15" i="10"/>
  <c r="BV15" i="10"/>
  <c r="BC15" i="10"/>
  <c r="BW15" i="10"/>
  <c r="BD15" i="10"/>
  <c r="BX15" i="10"/>
  <c r="AR15" i="10"/>
  <c r="BL15" i="10"/>
  <c r="AY15" i="10"/>
  <c r="AZ15" i="10"/>
  <c r="BA15" i="10"/>
  <c r="BE15" i="10"/>
  <c r="BF15" i="10"/>
  <c r="BG15" i="10"/>
  <c r="BH15" i="10"/>
  <c r="BI15" i="10"/>
  <c r="BJ15" i="10"/>
  <c r="BK15" i="10"/>
  <c r="BM15" i="10"/>
  <c r="BN15" i="10"/>
  <c r="BO15" i="10"/>
  <c r="AQ15" i="10"/>
  <c r="BP15" i="10"/>
  <c r="AS15" i="10"/>
  <c r="BQ15" i="10"/>
  <c r="AT15" i="10"/>
  <c r="BR15" i="10"/>
  <c r="AU15" i="10"/>
  <c r="BS15" i="10"/>
  <c r="AV15" i="10"/>
  <c r="BT15" i="10"/>
  <c r="AW15" i="10"/>
  <c r="BU15" i="10"/>
  <c r="AX15" i="10"/>
  <c r="BY15" i="10"/>
  <c r="BE10" i="10"/>
  <c r="BY10" i="10"/>
  <c r="BG10" i="10"/>
  <c r="BH10" i="10"/>
  <c r="BI10" i="10"/>
  <c r="AQ10" i="10"/>
  <c r="BK10" i="10"/>
  <c r="AR10" i="10"/>
  <c r="BL10" i="10"/>
  <c r="AS10" i="10"/>
  <c r="BM10" i="10"/>
  <c r="AT10" i="10"/>
  <c r="BN10" i="10"/>
  <c r="AW10" i="10"/>
  <c r="BQ10" i="10"/>
  <c r="BR10" i="10"/>
  <c r="BS10" i="10"/>
  <c r="BT10" i="10"/>
  <c r="BU10" i="10"/>
  <c r="BV10" i="10"/>
  <c r="BW10" i="10"/>
  <c r="BX10" i="10"/>
  <c r="AU10" i="10"/>
  <c r="AV10" i="10"/>
  <c r="AX10" i="10"/>
  <c r="AY10" i="10"/>
  <c r="AZ10" i="10"/>
  <c r="BA10" i="10"/>
  <c r="BB10" i="10"/>
  <c r="BC10" i="10"/>
  <c r="BD10" i="10"/>
  <c r="BF10" i="10"/>
  <c r="BJ10" i="10"/>
  <c r="BO10" i="10"/>
  <c r="BP10" i="10"/>
  <c r="AM13" i="10"/>
  <c r="AM93" i="10" s="1"/>
  <c r="U38" i="10"/>
  <c r="M38" i="10"/>
  <c r="P38" i="10"/>
  <c r="AG38" i="10"/>
  <c r="AJ38" i="10"/>
  <c r="AM8" i="10"/>
  <c r="L38" i="10"/>
  <c r="CZ6" i="10"/>
  <c r="CZ10" i="10"/>
  <c r="CZ14" i="10"/>
  <c r="CZ7" i="10"/>
  <c r="CZ11" i="10"/>
  <c r="CZ5" i="10"/>
  <c r="CZ9" i="10"/>
  <c r="CZ18" i="10"/>
  <c r="CZ13" i="10"/>
  <c r="CZ16" i="10"/>
  <c r="CZ8" i="10"/>
  <c r="CZ12" i="10"/>
  <c r="CZ4" i="10"/>
  <c r="CZ23" i="10"/>
  <c r="CZ27" i="10"/>
  <c r="CZ31" i="10"/>
  <c r="CZ15" i="10"/>
  <c r="CZ19" i="10"/>
  <c r="CZ34" i="10"/>
  <c r="CZ38" i="10"/>
  <c r="CZ24" i="10"/>
  <c r="CZ25" i="10"/>
  <c r="CZ26" i="10"/>
  <c r="CZ35" i="10"/>
  <c r="CZ28" i="10"/>
  <c r="CZ29" i="10"/>
  <c r="CZ30" i="10"/>
  <c r="CZ36" i="10"/>
  <c r="CZ17" i="10"/>
  <c r="CZ32" i="10"/>
  <c r="CZ20" i="10"/>
  <c r="CZ33" i="10"/>
  <c r="CZ37" i="10"/>
  <c r="CZ21" i="10"/>
  <c r="CZ22" i="10"/>
  <c r="K38" i="10"/>
  <c r="AF38" i="10"/>
  <c r="AE38" i="10"/>
  <c r="F38" i="10"/>
  <c r="Z38" i="10"/>
  <c r="AM12" i="10"/>
  <c r="W38" i="10"/>
  <c r="I38" i="10"/>
  <c r="R38" i="10"/>
  <c r="AC38" i="10"/>
  <c r="AM9" i="10"/>
  <c r="AM89" i="10" s="1"/>
  <c r="AL38" i="10"/>
  <c r="X38" i="10"/>
  <c r="Q38" i="10"/>
  <c r="G38" i="10"/>
  <c r="S38" i="10"/>
  <c r="J38" i="10"/>
  <c r="AK38" i="10"/>
  <c r="AA38" i="10"/>
  <c r="AM16" i="10"/>
  <c r="AD38" i="10"/>
  <c r="CT15" i="10"/>
  <c r="CT12" i="10"/>
  <c r="CT10" i="10"/>
  <c r="CT13" i="10"/>
  <c r="CT27" i="10"/>
  <c r="CT36" i="10"/>
  <c r="CT33" i="10"/>
  <c r="CT21" i="10"/>
  <c r="CT38" i="10"/>
  <c r="CT25" i="10"/>
  <c r="AM5" i="10"/>
  <c r="E38" i="10"/>
  <c r="N38" i="10"/>
  <c r="CM4" i="10"/>
  <c r="CM8" i="10"/>
  <c r="CM16" i="10"/>
  <c r="CM5" i="10"/>
  <c r="CM9" i="10"/>
  <c r="CM13" i="10"/>
  <c r="CM14" i="10"/>
  <c r="CM12" i="10"/>
  <c r="CM11" i="10"/>
  <c r="CM15" i="10"/>
  <c r="CM10" i="10"/>
  <c r="CM6" i="10"/>
  <c r="CM7" i="10"/>
  <c r="CM17" i="10"/>
  <c r="CM18" i="10"/>
  <c r="CM32" i="10"/>
  <c r="CM37" i="10"/>
  <c r="CM20" i="10"/>
  <c r="CM33" i="10"/>
  <c r="CM21" i="10"/>
  <c r="CM22" i="10"/>
  <c r="CM23" i="10"/>
  <c r="CM34" i="10"/>
  <c r="CM38" i="10"/>
  <c r="CM19" i="10"/>
  <c r="CM24" i="10"/>
  <c r="CM25" i="10"/>
  <c r="CM26" i="10"/>
  <c r="CM35" i="10"/>
  <c r="CM27" i="10"/>
  <c r="CM28" i="10"/>
  <c r="CM29" i="10"/>
  <c r="CM30" i="10"/>
  <c r="CM36" i="10"/>
  <c r="CM31" i="10"/>
  <c r="AH38" i="10"/>
  <c r="AM18" i="10"/>
  <c r="AM98" i="10" l="1"/>
  <c r="CR27" i="10"/>
  <c r="CR18" i="10"/>
  <c r="AM85" i="10"/>
  <c r="CT18" i="10"/>
  <c r="BI26" i="10"/>
  <c r="BL26" i="10"/>
  <c r="BR26" i="10"/>
  <c r="CT35" i="10"/>
  <c r="CT20" i="10"/>
  <c r="CT8" i="10"/>
  <c r="AU26" i="10"/>
  <c r="CT26" i="10"/>
  <c r="CT37" i="10"/>
  <c r="CT16" i="10"/>
  <c r="CT4" i="10"/>
  <c r="AR14" i="10"/>
  <c r="BC14" i="10"/>
  <c r="AQ14" i="10"/>
  <c r="BU26" i="10"/>
  <c r="BW26" i="10"/>
  <c r="AX26" i="10"/>
  <c r="CT24" i="10"/>
  <c r="CT32" i="10"/>
  <c r="CT9" i="10"/>
  <c r="CT11" i="10"/>
  <c r="BA26" i="10"/>
  <c r="AR26" i="10"/>
  <c r="BF26" i="10"/>
  <c r="BX28" i="10"/>
  <c r="CT19" i="10"/>
  <c r="CT31" i="10"/>
  <c r="CT6" i="10"/>
  <c r="CT7" i="10"/>
  <c r="BV14" i="10"/>
  <c r="BO14" i="10"/>
  <c r="AZ14" i="10"/>
  <c r="BG14" i="10"/>
  <c r="BM26" i="10"/>
  <c r="AV26" i="10"/>
  <c r="BS26" i="10"/>
  <c r="AM106" i="10"/>
  <c r="AM146" i="10" s="1"/>
  <c r="CT34" i="10"/>
  <c r="CT30" i="10"/>
  <c r="CT14" i="10"/>
  <c r="BI4" i="10"/>
  <c r="BU14" i="10"/>
  <c r="BM14" i="10"/>
  <c r="BX14" i="10"/>
  <c r="BE14" i="10"/>
  <c r="BV26" i="10"/>
  <c r="BH26" i="10"/>
  <c r="BQ26" i="10"/>
  <c r="AZ26" i="10"/>
  <c r="CT23" i="10"/>
  <c r="CT29" i="10"/>
  <c r="CT17" i="10"/>
  <c r="AT14" i="10"/>
  <c r="BL14" i="10"/>
  <c r="BC28" i="10"/>
  <c r="BG26" i="10"/>
  <c r="CT22" i="10"/>
  <c r="CT28" i="10"/>
  <c r="AR28" i="10"/>
  <c r="BT26" i="10"/>
  <c r="AQ26" i="10"/>
  <c r="BO26" i="10"/>
  <c r="AM103" i="10"/>
  <c r="AM143" i="10" s="1"/>
  <c r="AM110" i="10"/>
  <c r="AM150" i="10" s="1"/>
  <c r="AV6" i="10"/>
  <c r="BS6" i="10"/>
  <c r="BB19" i="10"/>
  <c r="AU6" i="10"/>
  <c r="BL6" i="10"/>
  <c r="BP6" i="10"/>
  <c r="BK6" i="10"/>
  <c r="AQ6" i="10"/>
  <c r="AM86" i="10"/>
  <c r="AM126" i="10" s="1"/>
  <c r="BG6" i="10"/>
  <c r="BJ6" i="10"/>
  <c r="BE6" i="10"/>
  <c r="BC6" i="10"/>
  <c r="BI6" i="10"/>
  <c r="BV6" i="10"/>
  <c r="BR6" i="10"/>
  <c r="AY6" i="10"/>
  <c r="AX6" i="10"/>
  <c r="AV19" i="10"/>
  <c r="AW6" i="10"/>
  <c r="BO6" i="10"/>
  <c r="BY6" i="10"/>
  <c r="BA6" i="10"/>
  <c r="BN6" i="10"/>
  <c r="BH6" i="10"/>
  <c r="BW6" i="10"/>
  <c r="AZ6" i="10"/>
  <c r="AT6" i="10"/>
  <c r="BF6" i="10"/>
  <c r="BU6" i="10"/>
  <c r="BX6" i="10"/>
  <c r="BM6" i="10"/>
  <c r="BT6" i="10"/>
  <c r="BD6" i="10"/>
  <c r="AS6" i="10"/>
  <c r="BQ6" i="10"/>
  <c r="BB6" i="10"/>
  <c r="AM92" i="10"/>
  <c r="CW11" i="10"/>
  <c r="BB28" i="10"/>
  <c r="BK28" i="10"/>
  <c r="BS28" i="10"/>
  <c r="BD28" i="10"/>
  <c r="AZ28" i="10"/>
  <c r="BP28" i="10"/>
  <c r="AM108" i="10"/>
  <c r="AM148" i="10" s="1"/>
  <c r="AQ28" i="10"/>
  <c r="BW28" i="10"/>
  <c r="BL28" i="10"/>
  <c r="BD4" i="10"/>
  <c r="BQ28" i="10"/>
  <c r="BM28" i="10"/>
  <c r="BF28" i="10"/>
  <c r="BU28" i="10"/>
  <c r="AT28" i="10"/>
  <c r="BY28" i="10"/>
  <c r="AS28" i="10"/>
  <c r="BA28" i="10"/>
  <c r="AW28" i="10"/>
  <c r="BN28" i="10"/>
  <c r="BT28" i="10"/>
  <c r="BO28" i="10"/>
  <c r="BE28" i="10"/>
  <c r="AV28" i="10"/>
  <c r="BG28" i="10"/>
  <c r="BV28" i="10"/>
  <c r="BI28" i="10"/>
  <c r="BR28" i="10"/>
  <c r="AU28" i="10"/>
  <c r="BJ28" i="10"/>
  <c r="AX28" i="10"/>
  <c r="CW16" i="10"/>
  <c r="BQ17" i="10"/>
  <c r="BK29" i="10"/>
  <c r="AM101" i="10"/>
  <c r="AM141" i="10" s="1"/>
  <c r="CW20" i="10"/>
  <c r="CW32" i="10"/>
  <c r="CW31" i="10"/>
  <c r="CW9" i="10"/>
  <c r="DG25" i="10"/>
  <c r="DG20" i="10"/>
  <c r="DG11" i="10"/>
  <c r="BJ17" i="10"/>
  <c r="DG19" i="10"/>
  <c r="BP17" i="10"/>
  <c r="DG32" i="10"/>
  <c r="BB17" i="10"/>
  <c r="AS17" i="10"/>
  <c r="AY29" i="10"/>
  <c r="DG36" i="10"/>
  <c r="DG34" i="10"/>
  <c r="DG12" i="10"/>
  <c r="DG5" i="10"/>
  <c r="BX17" i="10"/>
  <c r="BL17" i="10"/>
  <c r="DG24" i="10"/>
  <c r="BH17" i="10"/>
  <c r="DG31" i="10"/>
  <c r="DG30" i="10"/>
  <c r="DG18" i="10"/>
  <c r="DG17" i="10"/>
  <c r="DG16" i="10"/>
  <c r="AZ17" i="10"/>
  <c r="AR17" i="10"/>
  <c r="BB29" i="10"/>
  <c r="DG29" i="10"/>
  <c r="DG23" i="10"/>
  <c r="DG15" i="10"/>
  <c r="DG8" i="10"/>
  <c r="BW17" i="10"/>
  <c r="BK17" i="10"/>
  <c r="BO29" i="10"/>
  <c r="DG13" i="10"/>
  <c r="DG38" i="10"/>
  <c r="DG28" i="10"/>
  <c r="DG22" i="10"/>
  <c r="DG7" i="10"/>
  <c r="DG4" i="10"/>
  <c r="BV17" i="10"/>
  <c r="BF29" i="10"/>
  <c r="DG9" i="10"/>
  <c r="DG35" i="10"/>
  <c r="DG21" i="10"/>
  <c r="DG14" i="10"/>
  <c r="BE17" i="10"/>
  <c r="AV17" i="10"/>
  <c r="DG27" i="10"/>
  <c r="DG37" i="10"/>
  <c r="DG10" i="10"/>
  <c r="BC17" i="10"/>
  <c r="BR17" i="10"/>
  <c r="DG26" i="10"/>
  <c r="DG33" i="10"/>
  <c r="BM17" i="10"/>
  <c r="AU17" i="10"/>
  <c r="BJ29" i="10"/>
  <c r="BI17" i="10"/>
  <c r="AY17" i="10"/>
  <c r="AT17" i="10"/>
  <c r="AQ17" i="10"/>
  <c r="AM97" i="10"/>
  <c r="AM137" i="10" s="1"/>
  <c r="BG17" i="10"/>
  <c r="AX17" i="10"/>
  <c r="BO17" i="10"/>
  <c r="BF17" i="10"/>
  <c r="BT17" i="10"/>
  <c r="BN17" i="10"/>
  <c r="BD17" i="10"/>
  <c r="AW17" i="10"/>
  <c r="BU17" i="10"/>
  <c r="BY17" i="10"/>
  <c r="BS17" i="10"/>
  <c r="BQ11" i="10"/>
  <c r="BR11" i="10"/>
  <c r="BH25" i="10"/>
  <c r="AM94" i="10"/>
  <c r="AM134" i="10" s="1"/>
  <c r="CF25" i="10"/>
  <c r="CF14" i="10"/>
  <c r="CW36" i="10"/>
  <c r="CW7" i="10"/>
  <c r="AQ22" i="10"/>
  <c r="BK23" i="10"/>
  <c r="BQ22" i="10"/>
  <c r="BV22" i="10"/>
  <c r="CW30" i="10"/>
  <c r="CW18" i="10"/>
  <c r="BL22" i="10"/>
  <c r="BB22" i="10"/>
  <c r="BM22" i="10"/>
  <c r="AM147" i="10"/>
  <c r="BN22" i="10"/>
  <c r="CW29" i="10"/>
  <c r="CW6" i="10"/>
  <c r="AR22" i="10"/>
  <c r="BG22" i="10"/>
  <c r="AQ23" i="10"/>
  <c r="CW28" i="10"/>
  <c r="AS22" i="10"/>
  <c r="BO22" i="10"/>
  <c r="BL23" i="10"/>
  <c r="CW27" i="10"/>
  <c r="BP22" i="10"/>
  <c r="BW22" i="10"/>
  <c r="BH22" i="10"/>
  <c r="CW35" i="10"/>
  <c r="AU22" i="10"/>
  <c r="AW22" i="10"/>
  <c r="CW26" i="10"/>
  <c r="AV22" i="10"/>
  <c r="AR23" i="10"/>
  <c r="AZ22" i="10"/>
  <c r="CW25" i="10"/>
  <c r="BJ20" i="10"/>
  <c r="BX22" i="10"/>
  <c r="CW24" i="10"/>
  <c r="CW10" i="10"/>
  <c r="BI20" i="10"/>
  <c r="BR22" i="10"/>
  <c r="BK22" i="10"/>
  <c r="CW19" i="10"/>
  <c r="CW5" i="10"/>
  <c r="BH20" i="10"/>
  <c r="AX22" i="10"/>
  <c r="BM23" i="10"/>
  <c r="AM107" i="10"/>
  <c r="BF22" i="10"/>
  <c r="CW38" i="10"/>
  <c r="CW15" i="10"/>
  <c r="BR20" i="10"/>
  <c r="BS22" i="10"/>
  <c r="BD22" i="10"/>
  <c r="CW34" i="10"/>
  <c r="CW14" i="10"/>
  <c r="BQ20" i="10"/>
  <c r="BC22" i="10"/>
  <c r="CW23" i="10"/>
  <c r="CW4" i="10"/>
  <c r="AV20" i="10"/>
  <c r="AY22" i="10"/>
  <c r="AS23" i="10"/>
  <c r="AM102" i="10"/>
  <c r="AM142" i="10" s="1"/>
  <c r="CW22" i="10"/>
  <c r="CW12" i="10"/>
  <c r="BP20" i="10"/>
  <c r="BU22" i="10"/>
  <c r="BY22" i="10"/>
  <c r="CW21" i="10"/>
  <c r="CW17" i="10"/>
  <c r="AT22" i="10"/>
  <c r="CW37" i="10"/>
  <c r="CW8" i="10"/>
  <c r="BJ22" i="10"/>
  <c r="BT22" i="10"/>
  <c r="BE22" i="10"/>
  <c r="BI22" i="10"/>
  <c r="CW33" i="10"/>
  <c r="BH23" i="10"/>
  <c r="AM111" i="10"/>
  <c r="AM151" i="10" s="1"/>
  <c r="AM113" i="10"/>
  <c r="AM153" i="10" s="1"/>
  <c r="CF24" i="10"/>
  <c r="CF38" i="10"/>
  <c r="CF10" i="10"/>
  <c r="CF6" i="10"/>
  <c r="CF34" i="10"/>
  <c r="CF23" i="10"/>
  <c r="CF22" i="10"/>
  <c r="CF17" i="10"/>
  <c r="CF27" i="10"/>
  <c r="CF33" i="10"/>
  <c r="CF9" i="10"/>
  <c r="CF13" i="10"/>
  <c r="CF20" i="10"/>
  <c r="CF16" i="10"/>
  <c r="CF8" i="10"/>
  <c r="CF31" i="10"/>
  <c r="CF21" i="10"/>
  <c r="CF37" i="10"/>
  <c r="CF4" i="10"/>
  <c r="CF18" i="10"/>
  <c r="CF30" i="10"/>
  <c r="CF15" i="10"/>
  <c r="CF12" i="10"/>
  <c r="CF19" i="10"/>
  <c r="CF36" i="10"/>
  <c r="CF28" i="10"/>
  <c r="CF32" i="10"/>
  <c r="CF29" i="10"/>
  <c r="CF5" i="10"/>
  <c r="CF35" i="10"/>
  <c r="CF11" i="10"/>
  <c r="CF26" i="10"/>
  <c r="BL29" i="10"/>
  <c r="BN11" i="10"/>
  <c r="BI11" i="10"/>
  <c r="AW4" i="10"/>
  <c r="BV4" i="10"/>
  <c r="BW29" i="10"/>
  <c r="BG29" i="10"/>
  <c r="BS29" i="10"/>
  <c r="BQ29" i="10"/>
  <c r="AM84" i="10"/>
  <c r="AM124" i="10" s="1"/>
  <c r="BG4" i="10"/>
  <c r="AS4" i="10"/>
  <c r="BJ11" i="10"/>
  <c r="BF11" i="10"/>
  <c r="AQ4" i="10"/>
  <c r="BA4" i="10"/>
  <c r="BC29" i="10"/>
  <c r="BH29" i="10"/>
  <c r="BW4" i="10"/>
  <c r="AS29" i="10"/>
  <c r="BE11" i="10"/>
  <c r="BX11" i="10"/>
  <c r="BQ4" i="10"/>
  <c r="BT4" i="10"/>
  <c r="BP29" i="10"/>
  <c r="AW29" i="10"/>
  <c r="BL11" i="10"/>
  <c r="AU4" i="10"/>
  <c r="AU29" i="10"/>
  <c r="BK11" i="10"/>
  <c r="BU4" i="10"/>
  <c r="BA11" i="10"/>
  <c r="BD11" i="10"/>
  <c r="BO4" i="10"/>
  <c r="AZ4" i="10"/>
  <c r="BR29" i="10"/>
  <c r="BO11" i="10"/>
  <c r="BF4" i="10"/>
  <c r="BM11" i="10"/>
  <c r="BB4" i="10"/>
  <c r="BU29" i="10"/>
  <c r="BG11" i="10"/>
  <c r="AY11" i="10"/>
  <c r="BW11" i="10"/>
  <c r="BM4" i="10"/>
  <c r="BS4" i="10"/>
  <c r="AQ29" i="10"/>
  <c r="BI29" i="10"/>
  <c r="AX11" i="10"/>
  <c r="BC11" i="10"/>
  <c r="BK4" i="10"/>
  <c r="AY4" i="10"/>
  <c r="BA29" i="10"/>
  <c r="BN29" i="10"/>
  <c r="BD29" i="10"/>
  <c r="AX29" i="10"/>
  <c r="BH11" i="10"/>
  <c r="AV11" i="10"/>
  <c r="BB11" i="10"/>
  <c r="BN4" i="10"/>
  <c r="AX4" i="10"/>
  <c r="AM91" i="10"/>
  <c r="AM131" i="10" s="1"/>
  <c r="AU11" i="10"/>
  <c r="BT11" i="10"/>
  <c r="AT4" i="10"/>
  <c r="BP4" i="10"/>
  <c r="BT29" i="10"/>
  <c r="BC4" i="10"/>
  <c r="AT11" i="10"/>
  <c r="AZ11" i="10"/>
  <c r="BL4" i="10"/>
  <c r="AV4" i="10"/>
  <c r="AR29" i="10"/>
  <c r="BY29" i="10"/>
  <c r="AS11" i="10"/>
  <c r="AR4" i="10"/>
  <c r="BV29" i="10"/>
  <c r="BX29" i="10"/>
  <c r="AW11" i="10"/>
  <c r="BR4" i="10"/>
  <c r="BY11" i="10"/>
  <c r="BH4" i="10"/>
  <c r="AT29" i="10"/>
  <c r="BJ4" i="10"/>
  <c r="BY4" i="10"/>
  <c r="BE29" i="10"/>
  <c r="BU11" i="10"/>
  <c r="BE4" i="10"/>
  <c r="AZ29" i="10"/>
  <c r="BP11" i="10"/>
  <c r="AR11" i="10"/>
  <c r="BV11" i="10"/>
  <c r="AQ11" i="10"/>
  <c r="BM29" i="10"/>
  <c r="AZ7" i="10"/>
  <c r="BI25" i="10"/>
  <c r="BQ25" i="10"/>
  <c r="CR16" i="10"/>
  <c r="AX7" i="10"/>
  <c r="CR26" i="10"/>
  <c r="CR13" i="10"/>
  <c r="AU7" i="10"/>
  <c r="BX25" i="10"/>
  <c r="BM25" i="10"/>
  <c r="BT25" i="10"/>
  <c r="BB25" i="10"/>
  <c r="BW25" i="10"/>
  <c r="CR35" i="10"/>
  <c r="CR25" i="10"/>
  <c r="CR9" i="10"/>
  <c r="BS7" i="10"/>
  <c r="CR24" i="10"/>
  <c r="CR6" i="10"/>
  <c r="AY7" i="10"/>
  <c r="BN25" i="10"/>
  <c r="CR19" i="10"/>
  <c r="CR15" i="10"/>
  <c r="BQ7" i="10"/>
  <c r="AZ25" i="10"/>
  <c r="CR38" i="10"/>
  <c r="CR10" i="10"/>
  <c r="AW7" i="10"/>
  <c r="BJ25" i="10"/>
  <c r="AU25" i="10"/>
  <c r="CR34" i="10"/>
  <c r="CR11" i="10"/>
  <c r="AS7" i="10"/>
  <c r="CR23" i="10"/>
  <c r="CR5" i="10"/>
  <c r="BJ7" i="10"/>
  <c r="BU25" i="10"/>
  <c r="CR22" i="10"/>
  <c r="CR14" i="10"/>
  <c r="BI7" i="10"/>
  <c r="AY25" i="10"/>
  <c r="CR21" i="10"/>
  <c r="CR17" i="10"/>
  <c r="BG7" i="10"/>
  <c r="AR25" i="10"/>
  <c r="BK25" i="10"/>
  <c r="BP25" i="10"/>
  <c r="AM105" i="10"/>
  <c r="AM145" i="10" s="1"/>
  <c r="CR12" i="10"/>
  <c r="AR7" i="10"/>
  <c r="BF7" i="10"/>
  <c r="BC25" i="10"/>
  <c r="AT25" i="10"/>
  <c r="BS25" i="10"/>
  <c r="AQ7" i="10"/>
  <c r="AV25" i="10"/>
  <c r="BA25" i="10"/>
  <c r="CR20" i="10"/>
  <c r="CR37" i="10"/>
  <c r="CR8" i="10"/>
  <c r="BY7" i="10"/>
  <c r="CR33" i="10"/>
  <c r="CR4" i="10"/>
  <c r="BV7" i="10"/>
  <c r="BX7" i="10"/>
  <c r="BD25" i="10"/>
  <c r="CR32" i="10"/>
  <c r="CR7" i="10"/>
  <c r="BR7" i="10"/>
  <c r="BD7" i="10"/>
  <c r="AQ25" i="10"/>
  <c r="AW25" i="10"/>
  <c r="CR31" i="10"/>
  <c r="BP7" i="10"/>
  <c r="BW7" i="10"/>
  <c r="BY25" i="10"/>
  <c r="CR36" i="10"/>
  <c r="BO7" i="10"/>
  <c r="BC7" i="10"/>
  <c r="BR25" i="10"/>
  <c r="BE25" i="10"/>
  <c r="CR30" i="10"/>
  <c r="BL7" i="10"/>
  <c r="BU7" i="10"/>
  <c r="BV25" i="10"/>
  <c r="CR29" i="10"/>
  <c r="BK7" i="10"/>
  <c r="AS25" i="10"/>
  <c r="BO25" i="10"/>
  <c r="BL25" i="10"/>
  <c r="BF25" i="10"/>
  <c r="BB7" i="10"/>
  <c r="AX25" i="10"/>
  <c r="AU19" i="10"/>
  <c r="BU19" i="10"/>
  <c r="BY19" i="10"/>
  <c r="BA19" i="10"/>
  <c r="AT19" i="10"/>
  <c r="BX19" i="10"/>
  <c r="AV24" i="10"/>
  <c r="AS19" i="10"/>
  <c r="AM99" i="10"/>
  <c r="AM139" i="10" s="1"/>
  <c r="BW19" i="10"/>
  <c r="AR19" i="10"/>
  <c r="BQ19" i="10"/>
  <c r="BT19" i="10"/>
  <c r="BP19" i="10"/>
  <c r="AQ19" i="10"/>
  <c r="BO19" i="10"/>
  <c r="BS19" i="10"/>
  <c r="BN19" i="10"/>
  <c r="BR19" i="10"/>
  <c r="BM19" i="10"/>
  <c r="BF19" i="10"/>
  <c r="BL19" i="10"/>
  <c r="BE19" i="10"/>
  <c r="BH19" i="10"/>
  <c r="BD19" i="10"/>
  <c r="BC19" i="10"/>
  <c r="BK19" i="10"/>
  <c r="AZ19" i="10"/>
  <c r="BJ19" i="10"/>
  <c r="AR24" i="10"/>
  <c r="AY19" i="10"/>
  <c r="BI19" i="10"/>
  <c r="BC24" i="10"/>
  <c r="AX19" i="10"/>
  <c r="BG19" i="10"/>
  <c r="AW19" i="10"/>
  <c r="AY27" i="10"/>
  <c r="BS27" i="10"/>
  <c r="BO27" i="10"/>
  <c r="BG20" i="10"/>
  <c r="AU20" i="10"/>
  <c r="BF20" i="10"/>
  <c r="BO20" i="10"/>
  <c r="BE20" i="10"/>
  <c r="AT20" i="10"/>
  <c r="AM100" i="10"/>
  <c r="AM140" i="10" s="1"/>
  <c r="BY20" i="10"/>
  <c r="BN20" i="10"/>
  <c r="BC20" i="10"/>
  <c r="AS20" i="10"/>
  <c r="BW20" i="10"/>
  <c r="BM20" i="10"/>
  <c r="BB20" i="10"/>
  <c r="AR20" i="10"/>
  <c r="BV20" i="10"/>
  <c r="BL20" i="10"/>
  <c r="BA20" i="10"/>
  <c r="AQ20" i="10"/>
  <c r="BU20" i="10"/>
  <c r="BX20" i="10"/>
  <c r="AZ20" i="10"/>
  <c r="BD20" i="10"/>
  <c r="BT20" i="10"/>
  <c r="AY20" i="10"/>
  <c r="BS20" i="10"/>
  <c r="AX20" i="10"/>
  <c r="BK20" i="10"/>
  <c r="BV27" i="10"/>
  <c r="AT7" i="10"/>
  <c r="BM7" i="10"/>
  <c r="BA27" i="10"/>
  <c r="AT27" i="10"/>
  <c r="BN27" i="10"/>
  <c r="BI27" i="10"/>
  <c r="BT7" i="10"/>
  <c r="BH7" i="10"/>
  <c r="AS27" i="10"/>
  <c r="AZ27" i="10"/>
  <c r="BJ27" i="10"/>
  <c r="AX27" i="10"/>
  <c r="BN7" i="10"/>
  <c r="BE7" i="10"/>
  <c r="BE27" i="10"/>
  <c r="AV7" i="10"/>
  <c r="BA7" i="10"/>
  <c r="AM109" i="10"/>
  <c r="AM149" i="10" s="1"/>
  <c r="BX27" i="10"/>
  <c r="BF27" i="10"/>
  <c r="BC27" i="10"/>
  <c r="BU27" i="10"/>
  <c r="BW27" i="10"/>
  <c r="BD27" i="10"/>
  <c r="BB27" i="10"/>
  <c r="BR27" i="10"/>
  <c r="BT27" i="10"/>
  <c r="BY27" i="10"/>
  <c r="AW27" i="10"/>
  <c r="BQ27" i="10"/>
  <c r="AV27" i="10"/>
  <c r="BP27" i="10"/>
  <c r="AU27" i="10"/>
  <c r="BM27" i="10"/>
  <c r="BL27" i="10"/>
  <c r="BG27" i="10"/>
  <c r="AR27" i="10"/>
  <c r="AQ27" i="10"/>
  <c r="BK27" i="10"/>
  <c r="BF24" i="10"/>
  <c r="BN24" i="10"/>
  <c r="AQ24" i="10"/>
  <c r="BS24" i="10"/>
  <c r="BW24" i="10"/>
  <c r="AS35" i="10"/>
  <c r="BC35" i="10"/>
  <c r="BM35" i="10"/>
  <c r="BW35" i="10"/>
  <c r="BO35" i="10"/>
  <c r="BF35" i="10"/>
  <c r="BR35" i="10"/>
  <c r="BG35" i="10"/>
  <c r="AY35" i="10"/>
  <c r="BS35" i="10"/>
  <c r="AZ35" i="10"/>
  <c r="BH35" i="10"/>
  <c r="BI35" i="10"/>
  <c r="BQ35" i="10"/>
  <c r="AX35" i="10"/>
  <c r="BT35" i="10"/>
  <c r="BA35" i="10"/>
  <c r="BD35" i="10"/>
  <c r="BU35" i="10"/>
  <c r="BX35" i="10"/>
  <c r="BB35" i="10"/>
  <c r="BV35" i="10"/>
  <c r="BE35" i="10"/>
  <c r="BY35" i="10"/>
  <c r="AQ35" i="10"/>
  <c r="BJ35" i="10"/>
  <c r="BK35" i="10"/>
  <c r="AR35" i="10"/>
  <c r="BL35" i="10"/>
  <c r="AT35" i="10"/>
  <c r="BN35" i="10"/>
  <c r="AU35" i="10"/>
  <c r="AV35" i="10"/>
  <c r="AW35" i="10"/>
  <c r="BP35" i="10"/>
  <c r="BQ24" i="10"/>
  <c r="BJ24" i="10"/>
  <c r="BA24" i="10"/>
  <c r="BH24" i="10"/>
  <c r="AT24" i="10"/>
  <c r="BG24" i="10"/>
  <c r="BJ36" i="10"/>
  <c r="AQ36" i="10"/>
  <c r="BT36" i="10"/>
  <c r="AS36" i="10"/>
  <c r="BW36" i="10"/>
  <c r="AV36" i="10"/>
  <c r="BD36" i="10"/>
  <c r="BX36" i="10"/>
  <c r="BQ36" i="10"/>
  <c r="BP36" i="10"/>
  <c r="AW36" i="10"/>
  <c r="BE36" i="10"/>
  <c r="BU36" i="10"/>
  <c r="BB36" i="10"/>
  <c r="BV36" i="10"/>
  <c r="BC36" i="10"/>
  <c r="BF36" i="10"/>
  <c r="BY36" i="10"/>
  <c r="BG36" i="10"/>
  <c r="BH36" i="10"/>
  <c r="BI36" i="10"/>
  <c r="AR36" i="10"/>
  <c r="BK36" i="10"/>
  <c r="BM36" i="10"/>
  <c r="BL36" i="10"/>
  <c r="AT36" i="10"/>
  <c r="BN36" i="10"/>
  <c r="AU36" i="10"/>
  <c r="AY36" i="10"/>
  <c r="BO36" i="10"/>
  <c r="BR36" i="10"/>
  <c r="BS36" i="10"/>
  <c r="AX36" i="10"/>
  <c r="AZ36" i="10"/>
  <c r="BA36" i="10"/>
  <c r="BT24" i="10"/>
  <c r="AW24" i="10"/>
  <c r="AY24" i="10"/>
  <c r="AM116" i="10"/>
  <c r="AM156" i="10" s="1"/>
  <c r="BY24" i="10"/>
  <c r="BO24" i="10"/>
  <c r="BS32" i="10"/>
  <c r="AR32" i="10"/>
  <c r="AY32" i="10"/>
  <c r="BM32" i="10"/>
  <c r="BA32" i="10"/>
  <c r="AT32" i="10"/>
  <c r="BE32" i="10"/>
  <c r="BO32" i="10"/>
  <c r="BF32" i="10"/>
  <c r="AU32" i="10"/>
  <c r="BG32" i="10"/>
  <c r="BP32" i="10"/>
  <c r="BH32" i="10"/>
  <c r="AW32" i="10"/>
  <c r="BR32" i="10"/>
  <c r="AX32" i="10"/>
  <c r="BT32" i="10"/>
  <c r="AZ32" i="10"/>
  <c r="BV32" i="10"/>
  <c r="BU32" i="10"/>
  <c r="BB32" i="10"/>
  <c r="BW32" i="10"/>
  <c r="BY32" i="10"/>
  <c r="BC32" i="10"/>
  <c r="BJ32" i="10"/>
  <c r="BI32" i="10"/>
  <c r="BK32" i="10"/>
  <c r="BD32" i="10"/>
  <c r="AQ32" i="10"/>
  <c r="BQ32" i="10"/>
  <c r="BX32" i="10"/>
  <c r="BL32" i="10"/>
  <c r="AS32" i="10"/>
  <c r="AV32" i="10"/>
  <c r="BN32" i="10"/>
  <c r="BB24" i="10"/>
  <c r="BL24" i="10"/>
  <c r="BD24" i="10"/>
  <c r="BR24" i="10"/>
  <c r="AM104" i="10"/>
  <c r="AM144" i="10" s="1"/>
  <c r="BK24" i="10"/>
  <c r="BP24" i="10"/>
  <c r="BT34" i="10"/>
  <c r="AZ34" i="10"/>
  <c r="AX34" i="10"/>
  <c r="BJ34" i="10"/>
  <c r="BE34" i="10"/>
  <c r="AU34" i="10"/>
  <c r="BX34" i="10"/>
  <c r="BN34" i="10"/>
  <c r="BI34" i="10"/>
  <c r="BD34" i="10"/>
  <c r="AT34" i="10"/>
  <c r="BW34" i="10"/>
  <c r="BC34" i="10"/>
  <c r="BV34" i="10"/>
  <c r="BB34" i="10"/>
  <c r="BU34" i="10"/>
  <c r="BA34" i="10"/>
  <c r="BS34" i="10"/>
  <c r="AY34" i="10"/>
  <c r="BR34" i="10"/>
  <c r="BQ34" i="10"/>
  <c r="BP34" i="10"/>
  <c r="AW34" i="10"/>
  <c r="AV34" i="10"/>
  <c r="BO34" i="10"/>
  <c r="BM34" i="10"/>
  <c r="AS34" i="10"/>
  <c r="BL34" i="10"/>
  <c r="BH34" i="10"/>
  <c r="AR34" i="10"/>
  <c r="BF34" i="10"/>
  <c r="BG34" i="10"/>
  <c r="BK34" i="10"/>
  <c r="AQ34" i="10"/>
  <c r="BY34" i="10"/>
  <c r="BC37" i="10"/>
  <c r="BW37" i="10"/>
  <c r="BO37" i="10"/>
  <c r="BY37" i="10"/>
  <c r="BR37" i="10"/>
  <c r="AQ37" i="10"/>
  <c r="AY37" i="10"/>
  <c r="BK37" i="10"/>
  <c r="BS37" i="10"/>
  <c r="AR37" i="10"/>
  <c r="AZ37" i="10"/>
  <c r="BL37" i="10"/>
  <c r="BD37" i="10"/>
  <c r="BX37" i="10"/>
  <c r="BE37" i="10"/>
  <c r="BF37" i="10"/>
  <c r="BH37" i="10"/>
  <c r="BG37" i="10"/>
  <c r="BI37" i="10"/>
  <c r="AT37" i="10"/>
  <c r="BJ37" i="10"/>
  <c r="BN37" i="10"/>
  <c r="AS37" i="10"/>
  <c r="AU37" i="10"/>
  <c r="BM37" i="10"/>
  <c r="AV37" i="10"/>
  <c r="BP37" i="10"/>
  <c r="AW37" i="10"/>
  <c r="BQ37" i="10"/>
  <c r="AX37" i="10"/>
  <c r="BV37" i="10"/>
  <c r="BT37" i="10"/>
  <c r="BA37" i="10"/>
  <c r="BB37" i="10"/>
  <c r="BU37" i="10"/>
  <c r="BV24" i="10"/>
  <c r="BI23" i="10"/>
  <c r="BW23" i="10"/>
  <c r="BG23" i="10"/>
  <c r="BC23" i="10"/>
  <c r="AU23" i="10"/>
  <c r="BE23" i="10"/>
  <c r="AX23" i="10"/>
  <c r="BS23" i="10"/>
  <c r="AY23" i="10"/>
  <c r="BT23" i="10"/>
  <c r="BB23" i="10"/>
  <c r="BX23" i="10"/>
  <c r="BD23" i="10"/>
  <c r="BY23" i="10"/>
  <c r="BF23" i="10"/>
  <c r="BN23" i="10"/>
  <c r="BO23" i="10"/>
  <c r="AV23" i="10"/>
  <c r="AT23" i="10"/>
  <c r="BP23" i="10"/>
  <c r="BQ23" i="10"/>
  <c r="AW23" i="10"/>
  <c r="BV23" i="10"/>
  <c r="BR23" i="10"/>
  <c r="BA23" i="10"/>
  <c r="AZ23" i="10"/>
  <c r="BU23" i="10"/>
  <c r="AM114" i="10"/>
  <c r="AM154" i="10" s="1"/>
  <c r="AS24" i="10"/>
  <c r="BX24" i="10"/>
  <c r="AM112" i="10"/>
  <c r="AM152" i="10" s="1"/>
  <c r="BE24" i="10"/>
  <c r="BM24" i="10"/>
  <c r="AU24" i="10"/>
  <c r="AX24" i="10"/>
  <c r="BR33" i="10"/>
  <c r="AX33" i="10"/>
  <c r="AY33" i="10"/>
  <c r="BA33" i="10"/>
  <c r="AS33" i="10"/>
  <c r="BD33" i="10"/>
  <c r="BN33" i="10"/>
  <c r="BY33" i="10"/>
  <c r="BE33" i="10"/>
  <c r="AT33" i="10"/>
  <c r="BO33" i="10"/>
  <c r="BF33" i="10"/>
  <c r="BW33" i="10"/>
  <c r="BC33" i="10"/>
  <c r="BX33" i="10"/>
  <c r="BG33" i="10"/>
  <c r="BJ33" i="10"/>
  <c r="BH33" i="10"/>
  <c r="BS33" i="10"/>
  <c r="AQ33" i="10"/>
  <c r="BI33" i="10"/>
  <c r="BL33" i="10"/>
  <c r="BK33" i="10"/>
  <c r="AR33" i="10"/>
  <c r="BM33" i="10"/>
  <c r="AU33" i="10"/>
  <c r="BP33" i="10"/>
  <c r="AV33" i="10"/>
  <c r="BQ33" i="10"/>
  <c r="AW33" i="10"/>
  <c r="BT33" i="10"/>
  <c r="AZ33" i="10"/>
  <c r="BB33" i="10"/>
  <c r="BU33" i="10"/>
  <c r="BV33" i="10"/>
  <c r="BC26" i="10"/>
  <c r="BX26" i="10"/>
  <c r="AT26" i="10"/>
  <c r="BN26" i="10"/>
  <c r="BD26" i="10"/>
  <c r="BY26" i="10"/>
  <c r="BE26" i="10"/>
  <c r="BS31" i="10"/>
  <c r="BL31" i="10"/>
  <c r="AY31" i="10"/>
  <c r="AR31" i="10"/>
  <c r="BA31" i="10"/>
  <c r="AT31" i="10"/>
  <c r="BD31" i="10"/>
  <c r="BI31" i="10"/>
  <c r="BY31" i="10"/>
  <c r="BE31" i="10"/>
  <c r="BF31" i="10"/>
  <c r="AU31" i="10"/>
  <c r="BP31" i="10"/>
  <c r="BV31" i="10"/>
  <c r="BB31" i="10"/>
  <c r="BW31" i="10"/>
  <c r="BC31" i="10"/>
  <c r="BG31" i="10"/>
  <c r="BX31" i="10"/>
  <c r="AV31" i="10"/>
  <c r="BH31" i="10"/>
  <c r="BJ31" i="10"/>
  <c r="BN31" i="10"/>
  <c r="BK31" i="10"/>
  <c r="AQ31" i="10"/>
  <c r="BM31" i="10"/>
  <c r="AS31" i="10"/>
  <c r="BQ31" i="10"/>
  <c r="BO31" i="10"/>
  <c r="AW31" i="10"/>
  <c r="BR31" i="10"/>
  <c r="AX31" i="10"/>
  <c r="BT31" i="10"/>
  <c r="AZ31" i="10"/>
  <c r="BU31" i="10"/>
  <c r="BI24" i="10"/>
  <c r="AZ24" i="10"/>
  <c r="BR30" i="10"/>
  <c r="BJ30" i="10"/>
  <c r="AX30" i="10"/>
  <c r="BK30" i="10"/>
  <c r="AZ30" i="10"/>
  <c r="BM30" i="10"/>
  <c r="BC30" i="10"/>
  <c r="BQ30" i="10"/>
  <c r="BX30" i="10"/>
  <c r="BD30" i="10"/>
  <c r="BY30" i="10"/>
  <c r="BW30" i="10"/>
  <c r="BE30" i="10"/>
  <c r="BF30" i="10"/>
  <c r="BG30" i="10"/>
  <c r="BH30" i="10"/>
  <c r="BL30" i="10"/>
  <c r="BI30" i="10"/>
  <c r="AQ30" i="10"/>
  <c r="AR30" i="10"/>
  <c r="AT30" i="10"/>
  <c r="BO30" i="10"/>
  <c r="AS30" i="10"/>
  <c r="BN30" i="10"/>
  <c r="AU30" i="10"/>
  <c r="AW30" i="10"/>
  <c r="BP30" i="10"/>
  <c r="BS30" i="10"/>
  <c r="AV30" i="10"/>
  <c r="AY30" i="10"/>
  <c r="BT30" i="10"/>
  <c r="BU30" i="10"/>
  <c r="BA30" i="10"/>
  <c r="BV30" i="10"/>
  <c r="BB30" i="10"/>
  <c r="AM133" i="10"/>
  <c r="AM125" i="10"/>
  <c r="AM138" i="10"/>
  <c r="AM129" i="10"/>
  <c r="AM132" i="10"/>
  <c r="AF158" i="10"/>
  <c r="AM96" i="10"/>
  <c r="AM136" i="10" s="1"/>
  <c r="DB5" i="10"/>
  <c r="DB17" i="10"/>
  <c r="DB6" i="10"/>
  <c r="DB10" i="10"/>
  <c r="DB7" i="10"/>
  <c r="DB15" i="10"/>
  <c r="DB9" i="10"/>
  <c r="DB13" i="10"/>
  <c r="DB18" i="10"/>
  <c r="DB16" i="10"/>
  <c r="DB8" i="10"/>
  <c r="DB12" i="10"/>
  <c r="DB11" i="10"/>
  <c r="DB4" i="10"/>
  <c r="DB14" i="10"/>
  <c r="DB22" i="10"/>
  <c r="DB23" i="10"/>
  <c r="DB34" i="10"/>
  <c r="DB38" i="10"/>
  <c r="DB24" i="10"/>
  <c r="DB25" i="10"/>
  <c r="DB26" i="10"/>
  <c r="DB27" i="10"/>
  <c r="DB35" i="10"/>
  <c r="DB28" i="10"/>
  <c r="DB29" i="10"/>
  <c r="DB30" i="10"/>
  <c r="DB36" i="10"/>
  <c r="DB31" i="10"/>
  <c r="DB32" i="10"/>
  <c r="DB20" i="10"/>
  <c r="DB33" i="10"/>
  <c r="DB37" i="10"/>
  <c r="DB19" i="10"/>
  <c r="DB21" i="10"/>
  <c r="CI9" i="10"/>
  <c r="CI13" i="10"/>
  <c r="CI17" i="10"/>
  <c r="CI6" i="10"/>
  <c r="CI10" i="10"/>
  <c r="CI11" i="10"/>
  <c r="CI15" i="10"/>
  <c r="CI4" i="10"/>
  <c r="CI8" i="10"/>
  <c r="CI14" i="10"/>
  <c r="CI19" i="10"/>
  <c r="CI12" i="10"/>
  <c r="CI5" i="10"/>
  <c r="CI7" i="10"/>
  <c r="CI21" i="10"/>
  <c r="CI22" i="10"/>
  <c r="CI23" i="10"/>
  <c r="CI34" i="10"/>
  <c r="CI38" i="10"/>
  <c r="CI24" i="10"/>
  <c r="CI25" i="10"/>
  <c r="CI26" i="10"/>
  <c r="CI35" i="10"/>
  <c r="CI27" i="10"/>
  <c r="CI28" i="10"/>
  <c r="CI29" i="10"/>
  <c r="CI36" i="10"/>
  <c r="CI30" i="10"/>
  <c r="CI31" i="10"/>
  <c r="CI16" i="10"/>
  <c r="CI18" i="10"/>
  <c r="CI32" i="10"/>
  <c r="CI37" i="10"/>
  <c r="CI20" i="10"/>
  <c r="CI33" i="10"/>
  <c r="AV16" i="10"/>
  <c r="BP16" i="10"/>
  <c r="AW16" i="10"/>
  <c r="BQ16" i="10"/>
  <c r="AX16" i="10"/>
  <c r="BR16" i="10"/>
  <c r="BF16" i="10"/>
  <c r="AS16" i="10"/>
  <c r="BT16" i="10"/>
  <c r="AT16" i="10"/>
  <c r="BU16" i="10"/>
  <c r="AU16" i="10"/>
  <c r="BV16" i="10"/>
  <c r="AY16" i="10"/>
  <c r="BW16" i="10"/>
  <c r="AZ16" i="10"/>
  <c r="BX16" i="10"/>
  <c r="BA16" i="10"/>
  <c r="BY16" i="10"/>
  <c r="BB16" i="10"/>
  <c r="BC16" i="10"/>
  <c r="BD16" i="10"/>
  <c r="BE16" i="10"/>
  <c r="BG16" i="10"/>
  <c r="BI16" i="10"/>
  <c r="BJ16" i="10"/>
  <c r="BK16" i="10"/>
  <c r="BL16" i="10"/>
  <c r="BM16" i="10"/>
  <c r="BN16" i="10"/>
  <c r="AQ16" i="10"/>
  <c r="BO16" i="10"/>
  <c r="AR16" i="10"/>
  <c r="BS16" i="10"/>
  <c r="BH16" i="10"/>
  <c r="CH5" i="10"/>
  <c r="CH17" i="10"/>
  <c r="CH6" i="10"/>
  <c r="CH10" i="10"/>
  <c r="CH14" i="10"/>
  <c r="CH8" i="10"/>
  <c r="CH19" i="10"/>
  <c r="CH12" i="10"/>
  <c r="CH11" i="10"/>
  <c r="CH15" i="10"/>
  <c r="CH4" i="10"/>
  <c r="CH16" i="10"/>
  <c r="CH13" i="10"/>
  <c r="CH7" i="10"/>
  <c r="CH9" i="10"/>
  <c r="CH21" i="10"/>
  <c r="CH22" i="10"/>
  <c r="CH23" i="10"/>
  <c r="CH34" i="10"/>
  <c r="CH38" i="10"/>
  <c r="CH24" i="10"/>
  <c r="CH25" i="10"/>
  <c r="CH26" i="10"/>
  <c r="CH35" i="10"/>
  <c r="CH27" i="10"/>
  <c r="CH28" i="10"/>
  <c r="CH29" i="10"/>
  <c r="CH36" i="10"/>
  <c r="CH30" i="10"/>
  <c r="CH31" i="10"/>
  <c r="CH18" i="10"/>
  <c r="CH32" i="10"/>
  <c r="CH37" i="10"/>
  <c r="CH20" i="10"/>
  <c r="CH33" i="10"/>
  <c r="CQ11" i="10"/>
  <c r="CQ4" i="10"/>
  <c r="CQ8" i="10"/>
  <c r="CQ5" i="10"/>
  <c r="CQ17" i="10"/>
  <c r="CQ12" i="10"/>
  <c r="CQ14" i="10"/>
  <c r="CQ10" i="10"/>
  <c r="CQ15" i="10"/>
  <c r="CQ6" i="10"/>
  <c r="CQ9" i="10"/>
  <c r="CQ13" i="10"/>
  <c r="CQ16" i="10"/>
  <c r="CQ18" i="10"/>
  <c r="CQ7" i="10"/>
  <c r="CQ29" i="10"/>
  <c r="CQ30" i="10"/>
  <c r="CQ36" i="10"/>
  <c r="CQ31" i="10"/>
  <c r="CQ32" i="10"/>
  <c r="CQ33" i="10"/>
  <c r="CQ37" i="10"/>
  <c r="CQ20" i="10"/>
  <c r="CQ21" i="10"/>
  <c r="CQ22" i="10"/>
  <c r="CQ23" i="10"/>
  <c r="CQ34" i="10"/>
  <c r="CQ38" i="10"/>
  <c r="CQ19" i="10"/>
  <c r="CQ24" i="10"/>
  <c r="CQ25" i="10"/>
  <c r="CQ26" i="10"/>
  <c r="CQ35" i="10"/>
  <c r="CQ27" i="10"/>
  <c r="CQ28" i="10"/>
  <c r="CE6" i="10"/>
  <c r="CE10" i="10"/>
  <c r="CE14" i="10"/>
  <c r="CE7" i="10"/>
  <c r="CE11" i="10"/>
  <c r="CE4" i="10"/>
  <c r="CE8" i="10"/>
  <c r="CE12" i="10"/>
  <c r="CE15" i="10"/>
  <c r="CE18" i="10"/>
  <c r="CE16" i="10"/>
  <c r="CE13" i="10"/>
  <c r="CE5" i="10"/>
  <c r="CE9" i="10"/>
  <c r="CE19" i="10"/>
  <c r="CE23" i="10"/>
  <c r="CE24" i="10"/>
  <c r="CE25" i="10"/>
  <c r="CE26" i="10"/>
  <c r="CE35" i="10"/>
  <c r="CE27" i="10"/>
  <c r="CE28" i="10"/>
  <c r="CE29" i="10"/>
  <c r="CE36" i="10"/>
  <c r="CE30" i="10"/>
  <c r="CE17" i="10"/>
  <c r="CE31" i="10"/>
  <c r="CE32" i="10"/>
  <c r="CE37" i="10"/>
  <c r="CE20" i="10"/>
  <c r="CE33" i="10"/>
  <c r="CE21" i="10"/>
  <c r="CE22" i="10"/>
  <c r="CE34" i="10"/>
  <c r="CE38" i="10"/>
  <c r="CO4" i="10"/>
  <c r="CO8" i="10"/>
  <c r="CO12" i="10"/>
  <c r="CO16" i="10"/>
  <c r="CO5" i="10"/>
  <c r="CO9" i="10"/>
  <c r="CO6" i="10"/>
  <c r="CO17" i="10"/>
  <c r="CO14" i="10"/>
  <c r="CO10" i="10"/>
  <c r="CO11" i="10"/>
  <c r="CO15" i="10"/>
  <c r="CO13" i="10"/>
  <c r="CO18" i="10"/>
  <c r="CO7" i="10"/>
  <c r="CO31" i="10"/>
  <c r="CO32" i="10"/>
  <c r="CO37" i="10"/>
  <c r="CO20" i="10"/>
  <c r="CO33" i="10"/>
  <c r="CO21" i="10"/>
  <c r="CO22" i="10"/>
  <c r="CO23" i="10"/>
  <c r="CO34" i="10"/>
  <c r="CO38" i="10"/>
  <c r="CO19" i="10"/>
  <c r="CO24" i="10"/>
  <c r="CO25" i="10"/>
  <c r="CO26" i="10"/>
  <c r="CO35" i="10"/>
  <c r="CO27" i="10"/>
  <c r="CO28" i="10"/>
  <c r="CO29" i="10"/>
  <c r="CO30" i="10"/>
  <c r="CO36" i="10"/>
  <c r="CS11" i="10"/>
  <c r="CS15" i="10"/>
  <c r="CS19" i="10"/>
  <c r="CS4" i="10"/>
  <c r="CS8" i="10"/>
  <c r="CS12" i="10"/>
  <c r="CS9" i="10"/>
  <c r="CS13" i="10"/>
  <c r="CS6" i="10"/>
  <c r="CS7" i="10"/>
  <c r="CS17" i="10"/>
  <c r="CS14" i="10"/>
  <c r="CS5" i="10"/>
  <c r="CS10" i="10"/>
  <c r="CS16" i="10"/>
  <c r="CS18" i="10"/>
  <c r="CS28" i="10"/>
  <c r="CS29" i="10"/>
  <c r="CS30" i="10"/>
  <c r="CS36" i="10"/>
  <c r="CS31" i="10"/>
  <c r="CS32" i="10"/>
  <c r="CS33" i="10"/>
  <c r="CS37" i="10"/>
  <c r="CS20" i="10"/>
  <c r="CS21" i="10"/>
  <c r="CS22" i="10"/>
  <c r="CS23" i="10"/>
  <c r="CS34" i="10"/>
  <c r="CS38" i="10"/>
  <c r="CS24" i="10"/>
  <c r="CS25" i="10"/>
  <c r="CS26" i="10"/>
  <c r="CS35" i="10"/>
  <c r="CS27" i="10"/>
  <c r="CV10" i="10"/>
  <c r="CV14" i="10"/>
  <c r="CV7" i="10"/>
  <c r="CV4" i="10"/>
  <c r="CV8" i="10"/>
  <c r="CV9" i="10"/>
  <c r="CV13" i="10"/>
  <c r="CV16" i="10"/>
  <c r="CV17" i="10"/>
  <c r="CV12" i="10"/>
  <c r="CV11" i="10"/>
  <c r="CV15" i="10"/>
  <c r="CV5" i="10"/>
  <c r="CV6" i="10"/>
  <c r="CV26" i="10"/>
  <c r="CV35" i="10"/>
  <c r="CV27" i="10"/>
  <c r="CV18" i="10"/>
  <c r="CV28" i="10"/>
  <c r="CV29" i="10"/>
  <c r="CV30" i="10"/>
  <c r="CV36" i="10"/>
  <c r="CV31" i="10"/>
  <c r="CV32" i="10"/>
  <c r="CV20" i="10"/>
  <c r="CV33" i="10"/>
  <c r="CV37" i="10"/>
  <c r="CV21" i="10"/>
  <c r="CV22" i="10"/>
  <c r="CV23" i="10"/>
  <c r="CV34" i="10"/>
  <c r="CV38" i="10"/>
  <c r="CV19" i="10"/>
  <c r="CV24" i="10"/>
  <c r="CV25" i="10"/>
  <c r="BJ13" i="10"/>
  <c r="AR13" i="10"/>
  <c r="BL13" i="10"/>
  <c r="AS13" i="10"/>
  <c r="BM13" i="10"/>
  <c r="AT13" i="10"/>
  <c r="BN13" i="10"/>
  <c r="AV13" i="10"/>
  <c r="BP13" i="10"/>
  <c r="BB13" i="10"/>
  <c r="BV13" i="10"/>
  <c r="BR13" i="10"/>
  <c r="BS13" i="10"/>
  <c r="BT13" i="10"/>
  <c r="AQ13" i="10"/>
  <c r="BU13" i="10"/>
  <c r="AU13" i="10"/>
  <c r="BW13" i="10"/>
  <c r="AW13" i="10"/>
  <c r="BX13" i="10"/>
  <c r="AX13" i="10"/>
  <c r="BY13" i="10"/>
  <c r="AY13" i="10"/>
  <c r="AZ13" i="10"/>
  <c r="BA13" i="10"/>
  <c r="BC13" i="10"/>
  <c r="BD13" i="10"/>
  <c r="BE13" i="10"/>
  <c r="BF13" i="10"/>
  <c r="BG13" i="10"/>
  <c r="BH13" i="10"/>
  <c r="BI13" i="10"/>
  <c r="BK13" i="10"/>
  <c r="BO13" i="10"/>
  <c r="BQ13" i="10"/>
  <c r="AQ5" i="10"/>
  <c r="BK5" i="10"/>
  <c r="AS5" i="10"/>
  <c r="BM5" i="10"/>
  <c r="AT5" i="10"/>
  <c r="BN5" i="10"/>
  <c r="AU5" i="10"/>
  <c r="BO5" i="10"/>
  <c r="AV5" i="10"/>
  <c r="BP5" i="10"/>
  <c r="AW5" i="10"/>
  <c r="BQ5" i="10"/>
  <c r="AX5" i="10"/>
  <c r="BR5" i="10"/>
  <c r="AY5" i="10"/>
  <c r="BS5" i="10"/>
  <c r="AZ5" i="10"/>
  <c r="BT5" i="10"/>
  <c r="BC5" i="10"/>
  <c r="BW5" i="10"/>
  <c r="BG5" i="10"/>
  <c r="BI5" i="10"/>
  <c r="BE5" i="10"/>
  <c r="BF5" i="10"/>
  <c r="BH5" i="10"/>
  <c r="BJ5" i="10"/>
  <c r="BL5" i="10"/>
  <c r="BU5" i="10"/>
  <c r="BV5" i="10"/>
  <c r="BX5" i="10"/>
  <c r="BY5" i="10"/>
  <c r="AR5" i="10"/>
  <c r="BA5" i="10"/>
  <c r="BB5" i="10"/>
  <c r="BD5" i="10"/>
  <c r="DJ4" i="10"/>
  <c r="DJ8" i="10"/>
  <c r="DJ12" i="10"/>
  <c r="DJ5" i="10"/>
  <c r="DJ9" i="10"/>
  <c r="DJ6" i="10"/>
  <c r="DJ10" i="10"/>
  <c r="DJ11" i="10"/>
  <c r="DJ14" i="10"/>
  <c r="DJ7" i="10"/>
  <c r="DJ15" i="10"/>
  <c r="DJ13" i="10"/>
  <c r="DJ21" i="10"/>
  <c r="DJ25" i="10"/>
  <c r="DJ29" i="10"/>
  <c r="DJ17" i="10"/>
  <c r="DJ36" i="10"/>
  <c r="DJ31" i="10"/>
  <c r="DJ32" i="10"/>
  <c r="DJ19" i="10"/>
  <c r="DJ20" i="10"/>
  <c r="DJ33" i="10"/>
  <c r="DJ37" i="10"/>
  <c r="DJ22" i="10"/>
  <c r="DJ23" i="10"/>
  <c r="DJ18" i="10"/>
  <c r="DJ34" i="10"/>
  <c r="DJ38" i="10"/>
  <c r="DJ24" i="10"/>
  <c r="DJ26" i="10"/>
  <c r="DJ27" i="10"/>
  <c r="DJ35" i="10"/>
  <c r="DJ28" i="10"/>
  <c r="DJ16" i="10"/>
  <c r="DJ30" i="10"/>
  <c r="CN12" i="10"/>
  <c r="CN16" i="10"/>
  <c r="CN5" i="10"/>
  <c r="CN9" i="10"/>
  <c r="CN10" i="10"/>
  <c r="CN14" i="10"/>
  <c r="CN7" i="10"/>
  <c r="CN17" i="10"/>
  <c r="CN8" i="10"/>
  <c r="CN11" i="10"/>
  <c r="CN15" i="10"/>
  <c r="CN4" i="10"/>
  <c r="CN13" i="10"/>
  <c r="CN6" i="10"/>
  <c r="CN31" i="10"/>
  <c r="CN18" i="10"/>
  <c r="CN32" i="10"/>
  <c r="CN37" i="10"/>
  <c r="CN20" i="10"/>
  <c r="CN33" i="10"/>
  <c r="CN21" i="10"/>
  <c r="CN22" i="10"/>
  <c r="CN23" i="10"/>
  <c r="CN34" i="10"/>
  <c r="CN38" i="10"/>
  <c r="CN19" i="10"/>
  <c r="CN24" i="10"/>
  <c r="CN25" i="10"/>
  <c r="CN26" i="10"/>
  <c r="CN35" i="10"/>
  <c r="CN27" i="10"/>
  <c r="CN28" i="10"/>
  <c r="CN29" i="10"/>
  <c r="CN30" i="10"/>
  <c r="CN36" i="10"/>
  <c r="CY6" i="10"/>
  <c r="CY10" i="10"/>
  <c r="CY14" i="10"/>
  <c r="CY7" i="10"/>
  <c r="CY11" i="10"/>
  <c r="CY4" i="10"/>
  <c r="CY8" i="10"/>
  <c r="CY9" i="10"/>
  <c r="CY18" i="10"/>
  <c r="CY13" i="10"/>
  <c r="CY16" i="10"/>
  <c r="CY17" i="10"/>
  <c r="CY12" i="10"/>
  <c r="CY5" i="10"/>
  <c r="CY15" i="10"/>
  <c r="CY19" i="10"/>
  <c r="CY24" i="10"/>
  <c r="CY25" i="10"/>
  <c r="CY26" i="10"/>
  <c r="CY35" i="10"/>
  <c r="CY27" i="10"/>
  <c r="CY28" i="10"/>
  <c r="CY29" i="10"/>
  <c r="CY30" i="10"/>
  <c r="CY36" i="10"/>
  <c r="CY31" i="10"/>
  <c r="CY32" i="10"/>
  <c r="CY20" i="10"/>
  <c r="CY33" i="10"/>
  <c r="CY37" i="10"/>
  <c r="CY21" i="10"/>
  <c r="CY22" i="10"/>
  <c r="CY23" i="10"/>
  <c r="CY34" i="10"/>
  <c r="CY38" i="10"/>
  <c r="DA9" i="10"/>
  <c r="DA13" i="10"/>
  <c r="DA6" i="10"/>
  <c r="DA7" i="10"/>
  <c r="DA15" i="10"/>
  <c r="DA19" i="10"/>
  <c r="DA18" i="10"/>
  <c r="DA16" i="10"/>
  <c r="DA8" i="10"/>
  <c r="DA17" i="10"/>
  <c r="DA12" i="10"/>
  <c r="DA11" i="10"/>
  <c r="DA4" i="10"/>
  <c r="DA14" i="10"/>
  <c r="DA5" i="10"/>
  <c r="DA10" i="10"/>
  <c r="DA23" i="10"/>
  <c r="DA34" i="10"/>
  <c r="DA38" i="10"/>
  <c r="DA24" i="10"/>
  <c r="DA25" i="10"/>
  <c r="DA26" i="10"/>
  <c r="DA27" i="10"/>
  <c r="DA35" i="10"/>
  <c r="DA28" i="10"/>
  <c r="DA29" i="10"/>
  <c r="DA30" i="10"/>
  <c r="DA36" i="10"/>
  <c r="DA31" i="10"/>
  <c r="DA32" i="10"/>
  <c r="DA20" i="10"/>
  <c r="DA33" i="10"/>
  <c r="DA37" i="10"/>
  <c r="DA21" i="10"/>
  <c r="DA22" i="10"/>
  <c r="CK5" i="10"/>
  <c r="CK9" i="10"/>
  <c r="CK13" i="10"/>
  <c r="CK6" i="10"/>
  <c r="CK10" i="10"/>
  <c r="CK4" i="10"/>
  <c r="CK8" i="10"/>
  <c r="CK14" i="10"/>
  <c r="CK11" i="10"/>
  <c r="CK12" i="10"/>
  <c r="CK15" i="10"/>
  <c r="CK16" i="10"/>
  <c r="CK7" i="10"/>
  <c r="CK17" i="10"/>
  <c r="CK22" i="10"/>
  <c r="CK26" i="10"/>
  <c r="CK30" i="10"/>
  <c r="CK37" i="10"/>
  <c r="CK20" i="10"/>
  <c r="CK33" i="10"/>
  <c r="CK21" i="10"/>
  <c r="CK23" i="10"/>
  <c r="CK34" i="10"/>
  <c r="CK38" i="10"/>
  <c r="CK19" i="10"/>
  <c r="CK24" i="10"/>
  <c r="CK25" i="10"/>
  <c r="CK35" i="10"/>
  <c r="CK27" i="10"/>
  <c r="CK28" i="10"/>
  <c r="CK29" i="10"/>
  <c r="CK36" i="10"/>
  <c r="CK31" i="10"/>
  <c r="CK18" i="10"/>
  <c r="CK32" i="10"/>
  <c r="CP4" i="10"/>
  <c r="CP8" i="10"/>
  <c r="CP12" i="10"/>
  <c r="CP5" i="10"/>
  <c r="CP9" i="10"/>
  <c r="CP7" i="10"/>
  <c r="CP17" i="10"/>
  <c r="CP14" i="10"/>
  <c r="CP10" i="10"/>
  <c r="CP11" i="10"/>
  <c r="CP15" i="10"/>
  <c r="CP6" i="10"/>
  <c r="CP13" i="10"/>
  <c r="CP16" i="10"/>
  <c r="CP18" i="10"/>
  <c r="CP21" i="10"/>
  <c r="CP25" i="10"/>
  <c r="CP29" i="10"/>
  <c r="CP33" i="10"/>
  <c r="CP30" i="10"/>
  <c r="CP36" i="10"/>
  <c r="CP31" i="10"/>
  <c r="CP32" i="10"/>
  <c r="CP37" i="10"/>
  <c r="CP20" i="10"/>
  <c r="CP22" i="10"/>
  <c r="CP23" i="10"/>
  <c r="CP34" i="10"/>
  <c r="CP38" i="10"/>
  <c r="CP19" i="10"/>
  <c r="CP24" i="10"/>
  <c r="CP26" i="10"/>
  <c r="CP35" i="10"/>
  <c r="CP27" i="10"/>
  <c r="CP28" i="10"/>
  <c r="AV8" i="10"/>
  <c r="BP8" i="10"/>
  <c r="AX8" i="10"/>
  <c r="BR8" i="10"/>
  <c r="AY8" i="10"/>
  <c r="BS8" i="10"/>
  <c r="AZ8" i="10"/>
  <c r="BT8" i="10"/>
  <c r="BA8" i="10"/>
  <c r="BU8" i="10"/>
  <c r="BB8" i="10"/>
  <c r="BV8" i="10"/>
  <c r="BC8" i="10"/>
  <c r="BW8" i="10"/>
  <c r="BD8" i="10"/>
  <c r="BX8" i="10"/>
  <c r="BE8" i="10"/>
  <c r="BY8" i="10"/>
  <c r="BH8" i="10"/>
  <c r="AR8" i="10"/>
  <c r="BL8" i="10"/>
  <c r="AQ8" i="10"/>
  <c r="AS8" i="10"/>
  <c r="AT8" i="10"/>
  <c r="AU8" i="10"/>
  <c r="AW8" i="10"/>
  <c r="BF8" i="10"/>
  <c r="BG8" i="10"/>
  <c r="BI8" i="10"/>
  <c r="BJ8" i="10"/>
  <c r="BK8" i="10"/>
  <c r="BM8" i="10"/>
  <c r="BN8" i="10"/>
  <c r="BO8" i="10"/>
  <c r="BQ8" i="10"/>
  <c r="CG9" i="10"/>
  <c r="CG13" i="10"/>
  <c r="CG6" i="10"/>
  <c r="CG7" i="10"/>
  <c r="CG8" i="10"/>
  <c r="CG14" i="10"/>
  <c r="CG12" i="10"/>
  <c r="CG11" i="10"/>
  <c r="CG15" i="10"/>
  <c r="CG18" i="10"/>
  <c r="CG4" i="10"/>
  <c r="CG10" i="10"/>
  <c r="CG16" i="10"/>
  <c r="CG5" i="10"/>
  <c r="CG17" i="10"/>
  <c r="CG22" i="10"/>
  <c r="CG23" i="10"/>
  <c r="CG34" i="10"/>
  <c r="CG38" i="10"/>
  <c r="CG24" i="10"/>
  <c r="CG25" i="10"/>
  <c r="CG19" i="10"/>
  <c r="CG26" i="10"/>
  <c r="CG35" i="10"/>
  <c r="CG27" i="10"/>
  <c r="CG28" i="10"/>
  <c r="CG29" i="10"/>
  <c r="CG36" i="10"/>
  <c r="CG30" i="10"/>
  <c r="CG31" i="10"/>
  <c r="CG32" i="10"/>
  <c r="CG37" i="10"/>
  <c r="CG20" i="10"/>
  <c r="CG33" i="10"/>
  <c r="CG21" i="10"/>
  <c r="DH12" i="10"/>
  <c r="DH16" i="10"/>
  <c r="DH5" i="10"/>
  <c r="DH9" i="10"/>
  <c r="DH10" i="10"/>
  <c r="DH14" i="10"/>
  <c r="DH7" i="10"/>
  <c r="DH4" i="10"/>
  <c r="DH11" i="10"/>
  <c r="DH6" i="10"/>
  <c r="DH15" i="10"/>
  <c r="DH13" i="10"/>
  <c r="DH8" i="10"/>
  <c r="DH17" i="10"/>
  <c r="DH32" i="10"/>
  <c r="DH19" i="10"/>
  <c r="DH20" i="10"/>
  <c r="DH33" i="10"/>
  <c r="DH37" i="10"/>
  <c r="DH21" i="10"/>
  <c r="DH22" i="10"/>
  <c r="DH23" i="10"/>
  <c r="DH18" i="10"/>
  <c r="DH34" i="10"/>
  <c r="DH38" i="10"/>
  <c r="DH24" i="10"/>
  <c r="DH25" i="10"/>
  <c r="DH26" i="10"/>
  <c r="DH27" i="10"/>
  <c r="DH35" i="10"/>
  <c r="DH28" i="10"/>
  <c r="DH29" i="10"/>
  <c r="DH30" i="10"/>
  <c r="DH36" i="10"/>
  <c r="DH31" i="10"/>
  <c r="DF12" i="10"/>
  <c r="DF5" i="10"/>
  <c r="DF6" i="10"/>
  <c r="DF10" i="10"/>
  <c r="DF14" i="10"/>
  <c r="DF7" i="10"/>
  <c r="DF15" i="10"/>
  <c r="DF9" i="10"/>
  <c r="DF13" i="10"/>
  <c r="DF16" i="10"/>
  <c r="DF8" i="10"/>
  <c r="DF17" i="10"/>
  <c r="DF4" i="10"/>
  <c r="DF11" i="10"/>
  <c r="DF19" i="10"/>
  <c r="DF20" i="10"/>
  <c r="DF33" i="10"/>
  <c r="DF37" i="10"/>
  <c r="DF21" i="10"/>
  <c r="DF22" i="10"/>
  <c r="DF23" i="10"/>
  <c r="DF18" i="10"/>
  <c r="DF34" i="10"/>
  <c r="DF38" i="10"/>
  <c r="DF24" i="10"/>
  <c r="DF25" i="10"/>
  <c r="DF26" i="10"/>
  <c r="DF27" i="10"/>
  <c r="DF35" i="10"/>
  <c r="DF28" i="10"/>
  <c r="DF29" i="10"/>
  <c r="DF30" i="10"/>
  <c r="DF36" i="10"/>
  <c r="DF31" i="10"/>
  <c r="DF32" i="10"/>
  <c r="CU7" i="10"/>
  <c r="CU11" i="10"/>
  <c r="CU15" i="10"/>
  <c r="CU4" i="10"/>
  <c r="CU8" i="10"/>
  <c r="CU12" i="10"/>
  <c r="CU6" i="10"/>
  <c r="CU16" i="10"/>
  <c r="CU18" i="10"/>
  <c r="CU17" i="10"/>
  <c r="CU14" i="10"/>
  <c r="CU5" i="10"/>
  <c r="CU10" i="10"/>
  <c r="CU20" i="10"/>
  <c r="CU24" i="10"/>
  <c r="CU28" i="10"/>
  <c r="CU32" i="10"/>
  <c r="CU9" i="10"/>
  <c r="CU13" i="10"/>
  <c r="CU35" i="10"/>
  <c r="CU27" i="10"/>
  <c r="CU29" i="10"/>
  <c r="CU30" i="10"/>
  <c r="CU36" i="10"/>
  <c r="CU31" i="10"/>
  <c r="CU33" i="10"/>
  <c r="CU37" i="10"/>
  <c r="CU21" i="10"/>
  <c r="CU22" i="10"/>
  <c r="CU23" i="10"/>
  <c r="CU34" i="10"/>
  <c r="CU38" i="10"/>
  <c r="CU19" i="10"/>
  <c r="CU25" i="10"/>
  <c r="CU26" i="10"/>
  <c r="DE5" i="10"/>
  <c r="DE9" i="10"/>
  <c r="DE13" i="10"/>
  <c r="DE6" i="10"/>
  <c r="DE10" i="10"/>
  <c r="DE4" i="10"/>
  <c r="DE14" i="10"/>
  <c r="DE7" i="10"/>
  <c r="DE15" i="10"/>
  <c r="DE19" i="10"/>
  <c r="DE16" i="10"/>
  <c r="DE8" i="10"/>
  <c r="DE17" i="10"/>
  <c r="DE11" i="10"/>
  <c r="DE12" i="10"/>
  <c r="DE22" i="10"/>
  <c r="DE26" i="10"/>
  <c r="DE30" i="10"/>
  <c r="DE20" i="10"/>
  <c r="DE33" i="10"/>
  <c r="DE37" i="10"/>
  <c r="DE21" i="10"/>
  <c r="DE23" i="10"/>
  <c r="DE18" i="10"/>
  <c r="DE34" i="10"/>
  <c r="DE38" i="10"/>
  <c r="DE24" i="10"/>
  <c r="DE25" i="10"/>
  <c r="DE27" i="10"/>
  <c r="DE35" i="10"/>
  <c r="DE28" i="10"/>
  <c r="DE29" i="10"/>
  <c r="DE36" i="10"/>
  <c r="DE31" i="10"/>
  <c r="DE32" i="10"/>
  <c r="CL12" i="10"/>
  <c r="CL5" i="10"/>
  <c r="CL6" i="10"/>
  <c r="CL8" i="10"/>
  <c r="CL14" i="10"/>
  <c r="CL11" i="10"/>
  <c r="CL15" i="10"/>
  <c r="CL10" i="10"/>
  <c r="CL4" i="10"/>
  <c r="CL13" i="10"/>
  <c r="CL16" i="10"/>
  <c r="CL9" i="10"/>
  <c r="CL7" i="10"/>
  <c r="CL17" i="10"/>
  <c r="CL18" i="10"/>
  <c r="CL32" i="10"/>
  <c r="CL37" i="10"/>
  <c r="CL20" i="10"/>
  <c r="CL33" i="10"/>
  <c r="CL21" i="10"/>
  <c r="CL22" i="10"/>
  <c r="CL23" i="10"/>
  <c r="CL34" i="10"/>
  <c r="CL38" i="10"/>
  <c r="CL19" i="10"/>
  <c r="CL24" i="10"/>
  <c r="CL25" i="10"/>
  <c r="CL26" i="10"/>
  <c r="CL35" i="10"/>
  <c r="CL27" i="10"/>
  <c r="CL28" i="10"/>
  <c r="CL29" i="10"/>
  <c r="CL30" i="10"/>
  <c r="CL36" i="10"/>
  <c r="CL31" i="10"/>
  <c r="BF18" i="10"/>
  <c r="BG18" i="10"/>
  <c r="AZ18" i="10"/>
  <c r="BV18" i="10"/>
  <c r="BB18" i="10"/>
  <c r="BX18" i="10"/>
  <c r="BC18" i="10"/>
  <c r="BY18" i="10"/>
  <c r="BD18" i="10"/>
  <c r="BE18" i="10"/>
  <c r="BH18" i="10"/>
  <c r="AT18" i="10"/>
  <c r="BP18" i="10"/>
  <c r="AU18" i="10"/>
  <c r="BQ18" i="10"/>
  <c r="AV18" i="10"/>
  <c r="BR18" i="10"/>
  <c r="AW18" i="10"/>
  <c r="BS18" i="10"/>
  <c r="AX18" i="10"/>
  <c r="BT18" i="10"/>
  <c r="AY18" i="10"/>
  <c r="BU18" i="10"/>
  <c r="AQ18" i="10"/>
  <c r="AR18" i="10"/>
  <c r="AS18" i="10"/>
  <c r="BA18" i="10"/>
  <c r="BI18" i="10"/>
  <c r="BJ18" i="10"/>
  <c r="BK18" i="10"/>
  <c r="BL18" i="10"/>
  <c r="BM18" i="10"/>
  <c r="BN18" i="10"/>
  <c r="BO18" i="10"/>
  <c r="BW18" i="10"/>
  <c r="AU12" i="10"/>
  <c r="BO12" i="10"/>
  <c r="AW12" i="10"/>
  <c r="BQ12" i="10"/>
  <c r="AX12" i="10"/>
  <c r="BR12" i="10"/>
  <c r="AY12" i="10"/>
  <c r="BS12" i="10"/>
  <c r="BA12" i="10"/>
  <c r="BU12" i="10"/>
  <c r="BB12" i="10"/>
  <c r="BV12" i="10"/>
  <c r="BC12" i="10"/>
  <c r="BW12" i="10"/>
  <c r="BD12" i="10"/>
  <c r="BX12" i="10"/>
  <c r="BG12" i="10"/>
  <c r="AQ12" i="10"/>
  <c r="AR12" i="10"/>
  <c r="AS12" i="10"/>
  <c r="AT12" i="10"/>
  <c r="AV12" i="10"/>
  <c r="AZ12" i="10"/>
  <c r="BE12" i="10"/>
  <c r="BF12" i="10"/>
  <c r="BH12" i="10"/>
  <c r="BI12" i="10"/>
  <c r="BJ12" i="10"/>
  <c r="BK12" i="10"/>
  <c r="BL12" i="10"/>
  <c r="BM12" i="10"/>
  <c r="BN12" i="10"/>
  <c r="BP12" i="10"/>
  <c r="BT12" i="10"/>
  <c r="BY12" i="10"/>
  <c r="DI4" i="10"/>
  <c r="DI8" i="10"/>
  <c r="DI12" i="10"/>
  <c r="DI16" i="10"/>
  <c r="DI5" i="10"/>
  <c r="DI9" i="10"/>
  <c r="DI6" i="10"/>
  <c r="DI10" i="10"/>
  <c r="DI11" i="10"/>
  <c r="DI14" i="10"/>
  <c r="DI7" i="10"/>
  <c r="DI15" i="10"/>
  <c r="DI13" i="10"/>
  <c r="DI17" i="10"/>
  <c r="DI31" i="10"/>
  <c r="DI32" i="10"/>
  <c r="DI19" i="10"/>
  <c r="DI20" i="10"/>
  <c r="DI33" i="10"/>
  <c r="DI37" i="10"/>
  <c r="DI21" i="10"/>
  <c r="DI22" i="10"/>
  <c r="DI23" i="10"/>
  <c r="DI18" i="10"/>
  <c r="DI34" i="10"/>
  <c r="DI38" i="10"/>
  <c r="DI24" i="10"/>
  <c r="DI25" i="10"/>
  <c r="DI26" i="10"/>
  <c r="DI27" i="10"/>
  <c r="DI35" i="10"/>
  <c r="DI28" i="10"/>
  <c r="DI29" i="10"/>
  <c r="DI30" i="10"/>
  <c r="DI36" i="10"/>
  <c r="BJ9" i="10"/>
  <c r="AR9" i="10"/>
  <c r="BL9" i="10"/>
  <c r="AS9" i="10"/>
  <c r="BM9" i="10"/>
  <c r="AT9" i="10"/>
  <c r="BN9" i="10"/>
  <c r="AV9" i="10"/>
  <c r="BP9" i="10"/>
  <c r="AW9" i="10"/>
  <c r="BQ9" i="10"/>
  <c r="AX9" i="10"/>
  <c r="BR9" i="10"/>
  <c r="AY9" i="10"/>
  <c r="BS9" i="10"/>
  <c r="BB9" i="10"/>
  <c r="BV9" i="10"/>
  <c r="BF9" i="10"/>
  <c r="BE9" i="10"/>
  <c r="BG9" i="10"/>
  <c r="BH9" i="10"/>
  <c r="BI9" i="10"/>
  <c r="BK9" i="10"/>
  <c r="BO9" i="10"/>
  <c r="BT9" i="10"/>
  <c r="BU9" i="10"/>
  <c r="BW9" i="10"/>
  <c r="BX9" i="10"/>
  <c r="BY9" i="10"/>
  <c r="AQ9" i="10"/>
  <c r="AU9" i="10"/>
  <c r="AZ9" i="10"/>
  <c r="BA9" i="10"/>
  <c r="BC9" i="10"/>
  <c r="BD9" i="10"/>
  <c r="CX10" i="10"/>
  <c r="CX14" i="10"/>
  <c r="CX18" i="10"/>
  <c r="CX7" i="10"/>
  <c r="CX11" i="10"/>
  <c r="CX12" i="10"/>
  <c r="CX5" i="10"/>
  <c r="CX6" i="10"/>
  <c r="CX9" i="10"/>
  <c r="CX13" i="10"/>
  <c r="CX16" i="10"/>
  <c r="CX8" i="10"/>
  <c r="CX17" i="10"/>
  <c r="CX4" i="10"/>
  <c r="CX15" i="10"/>
  <c r="CX19" i="10"/>
  <c r="CX25" i="10"/>
  <c r="CX26" i="10"/>
  <c r="CX35" i="10"/>
  <c r="CX27" i="10"/>
  <c r="CX28" i="10"/>
  <c r="CX29" i="10"/>
  <c r="CX30" i="10"/>
  <c r="CX36" i="10"/>
  <c r="CX31" i="10"/>
  <c r="CX32" i="10"/>
  <c r="CX20" i="10"/>
  <c r="CX33" i="10"/>
  <c r="CX37" i="10"/>
  <c r="CX21" i="10"/>
  <c r="CX22" i="10"/>
  <c r="CX23" i="10"/>
  <c r="CX34" i="10"/>
  <c r="CX38" i="10"/>
  <c r="CX24" i="10"/>
  <c r="CJ5" i="10"/>
  <c r="CJ9" i="10"/>
  <c r="CJ13" i="10"/>
  <c r="CJ6" i="10"/>
  <c r="CJ10" i="10"/>
  <c r="CJ7" i="10"/>
  <c r="CJ8" i="10"/>
  <c r="CJ14" i="10"/>
  <c r="CJ19" i="10"/>
  <c r="CJ11" i="10"/>
  <c r="CJ12" i="10"/>
  <c r="CJ15" i="10"/>
  <c r="CJ4" i="10"/>
  <c r="CJ16" i="10"/>
  <c r="CJ17" i="10"/>
  <c r="CJ20" i="10"/>
  <c r="CJ33" i="10"/>
  <c r="CJ21" i="10"/>
  <c r="CJ22" i="10"/>
  <c r="CJ23" i="10"/>
  <c r="CJ34" i="10"/>
  <c r="CJ38" i="10"/>
  <c r="CJ24" i="10"/>
  <c r="CJ25" i="10"/>
  <c r="CJ26" i="10"/>
  <c r="CJ35" i="10"/>
  <c r="CJ27" i="10"/>
  <c r="CJ28" i="10"/>
  <c r="CJ29" i="10"/>
  <c r="CJ36" i="10"/>
  <c r="CJ30" i="10"/>
  <c r="CJ31" i="10"/>
  <c r="CJ18" i="10"/>
  <c r="CJ32" i="10"/>
  <c r="CJ37" i="10"/>
  <c r="CD10" i="10"/>
  <c r="CD14" i="10"/>
  <c r="CD18" i="10"/>
  <c r="CD7" i="10"/>
  <c r="CD11" i="10"/>
  <c r="CD12" i="10"/>
  <c r="CD5" i="10"/>
  <c r="CD15" i="10"/>
  <c r="CD4" i="10"/>
  <c r="CD16" i="10"/>
  <c r="CD13" i="10"/>
  <c r="CD9" i="10"/>
  <c r="CD6" i="10"/>
  <c r="CD17" i="10"/>
  <c r="CD8" i="10"/>
  <c r="CD19" i="10"/>
  <c r="CD24" i="10"/>
  <c r="CD25" i="10"/>
  <c r="CD26" i="10"/>
  <c r="CD35" i="10"/>
  <c r="CD27" i="10"/>
  <c r="CD28" i="10"/>
  <c r="CD29" i="10"/>
  <c r="CD36" i="10"/>
  <c r="CD30" i="10"/>
  <c r="CD31" i="10"/>
  <c r="CD32" i="10"/>
  <c r="CD37" i="10"/>
  <c r="CD20" i="10"/>
  <c r="CD33" i="10"/>
  <c r="CD21" i="10"/>
  <c r="CD22" i="10"/>
  <c r="CD34" i="10"/>
  <c r="CD38" i="10"/>
  <c r="CD23" i="10"/>
  <c r="DC9" i="10"/>
  <c r="DC13" i="10"/>
  <c r="DC17" i="10"/>
  <c r="DC6" i="10"/>
  <c r="DC10" i="10"/>
  <c r="DC11" i="10"/>
  <c r="DC15" i="10"/>
  <c r="DC4" i="10"/>
  <c r="DC8" i="10"/>
  <c r="DC5" i="10"/>
  <c r="DC7" i="10"/>
  <c r="DC19" i="10"/>
  <c r="DC18" i="10"/>
  <c r="DC16" i="10"/>
  <c r="DC12" i="10"/>
  <c r="DC14" i="10"/>
  <c r="DC21" i="10"/>
  <c r="DC22" i="10"/>
  <c r="DC23" i="10"/>
  <c r="DC34" i="10"/>
  <c r="DC38" i="10"/>
  <c r="DC24" i="10"/>
  <c r="DC25" i="10"/>
  <c r="DC26" i="10"/>
  <c r="DC27" i="10"/>
  <c r="DC35" i="10"/>
  <c r="DC28" i="10"/>
  <c r="DC29" i="10"/>
  <c r="DC30" i="10"/>
  <c r="DC36" i="10"/>
  <c r="DC31" i="10"/>
  <c r="DC32" i="10"/>
  <c r="DC20" i="10"/>
  <c r="DC33" i="10"/>
  <c r="DC37" i="10"/>
  <c r="CC6" i="10"/>
  <c r="CC18" i="10"/>
  <c r="CC7" i="10"/>
  <c r="CC11" i="10"/>
  <c r="CC16" i="10"/>
  <c r="CC9" i="10"/>
  <c r="CC12" i="10"/>
  <c r="CC15" i="10"/>
  <c r="CC14" i="10"/>
  <c r="CC4" i="10"/>
  <c r="CC10" i="10"/>
  <c r="CC13" i="10"/>
  <c r="CC5" i="10"/>
  <c r="CC8" i="10"/>
  <c r="CC19" i="10"/>
  <c r="CC25" i="10"/>
  <c r="CC26" i="10"/>
  <c r="CC35" i="10"/>
  <c r="CC27" i="10"/>
  <c r="CC28" i="10"/>
  <c r="CC29" i="10"/>
  <c r="CC36" i="10"/>
  <c r="CC30" i="10"/>
  <c r="CC17" i="10"/>
  <c r="CC31" i="10"/>
  <c r="CC32" i="10"/>
  <c r="CC37" i="10"/>
  <c r="CC20" i="10"/>
  <c r="CC33" i="10"/>
  <c r="CC21" i="10"/>
  <c r="CC22" i="10"/>
  <c r="CC34" i="10"/>
  <c r="CC38" i="10"/>
  <c r="CC23" i="10"/>
  <c r="CC24" i="10"/>
  <c r="DD5" i="10"/>
  <c r="DD9" i="10"/>
  <c r="DD13" i="10"/>
  <c r="DD6" i="10"/>
  <c r="DD10" i="10"/>
  <c r="DD7" i="10"/>
  <c r="DD15" i="10"/>
  <c r="DD19" i="10"/>
  <c r="DD16" i="10"/>
  <c r="DD8" i="10"/>
  <c r="DD11" i="10"/>
  <c r="DD12" i="10"/>
  <c r="DD4" i="10"/>
  <c r="DD14" i="10"/>
  <c r="DD21" i="10"/>
  <c r="DD22" i="10"/>
  <c r="DD23" i="10"/>
  <c r="DD18" i="10"/>
  <c r="DD34" i="10"/>
  <c r="DD38" i="10"/>
  <c r="DD24" i="10"/>
  <c r="DD25" i="10"/>
  <c r="DD26" i="10"/>
  <c r="DD27" i="10"/>
  <c r="DD35" i="10"/>
  <c r="DD28" i="10"/>
  <c r="DD17" i="10"/>
  <c r="DD29" i="10"/>
  <c r="DD30" i="10"/>
  <c r="DD36" i="10"/>
  <c r="DD31" i="10"/>
  <c r="DD32" i="10"/>
  <c r="DD20" i="10"/>
  <c r="DD33" i="10"/>
  <c r="DD37" i="10"/>
  <c r="AM38" i="10"/>
  <c r="DK11" i="10" l="1"/>
  <c r="DK4" i="10"/>
  <c r="DK8" i="10"/>
  <c r="DK5" i="10"/>
  <c r="DK12" i="10"/>
  <c r="DK17" i="10"/>
  <c r="DK6" i="10"/>
  <c r="DK10" i="10"/>
  <c r="DK14" i="10"/>
  <c r="DK9" i="10"/>
  <c r="DK7" i="10"/>
  <c r="DK15" i="10"/>
  <c r="DK13" i="10"/>
  <c r="A18" i="10"/>
  <c r="DK16" i="10"/>
  <c r="DK18" i="10"/>
  <c r="DK30" i="10"/>
  <c r="BI38" i="10"/>
  <c r="DK36" i="10"/>
  <c r="BJ38" i="10"/>
  <c r="DK31" i="10"/>
  <c r="AQ38" i="10"/>
  <c r="BK38" i="10"/>
  <c r="AR38" i="10"/>
  <c r="BL38" i="10"/>
  <c r="DK32" i="10"/>
  <c r="AS38" i="10"/>
  <c r="BM38" i="10"/>
  <c r="DK19" i="10"/>
  <c r="AT38" i="10"/>
  <c r="BN38" i="10"/>
  <c r="DK20" i="10"/>
  <c r="DK33" i="10"/>
  <c r="DK37" i="10"/>
  <c r="AU38" i="10"/>
  <c r="BO38" i="10"/>
  <c r="DK21" i="10"/>
  <c r="AV38" i="10"/>
  <c r="BP38" i="10"/>
  <c r="DK22" i="10"/>
  <c r="AW38" i="10"/>
  <c r="BQ38" i="10"/>
  <c r="AX38" i="10"/>
  <c r="BR38" i="10"/>
  <c r="DK23" i="10"/>
  <c r="AY38" i="10"/>
  <c r="BS38" i="10"/>
  <c r="DK34" i="10"/>
  <c r="AZ38" i="10"/>
  <c r="BT38" i="10"/>
  <c r="DK38" i="10"/>
  <c r="DK24" i="10"/>
  <c r="BA38" i="10"/>
  <c r="BU38" i="10"/>
  <c r="DK25" i="10"/>
  <c r="BB38" i="10"/>
  <c r="BV38" i="10"/>
  <c r="DK26" i="10"/>
  <c r="BC38" i="10"/>
  <c r="BW38" i="10"/>
  <c r="BD38" i="10"/>
  <c r="BX38" i="10"/>
  <c r="DK27" i="10"/>
  <c r="DK35" i="10"/>
  <c r="BE38" i="10"/>
  <c r="BY38" i="10"/>
  <c r="BF38" i="10"/>
  <c r="DK28" i="10"/>
  <c r="BG38" i="10"/>
  <c r="DK29" i="10"/>
  <c r="BH38" i="10"/>
  <c r="H35" i="11" l="1"/>
  <c r="J35" i="11" s="1"/>
  <c r="I35" i="11" s="1"/>
  <c r="H11" i="11"/>
  <c r="J11" i="11" s="1"/>
  <c r="I11" i="11" s="1"/>
  <c r="H27" i="11"/>
  <c r="J27" i="11" s="1"/>
  <c r="I27" i="11" s="1"/>
  <c r="H19" i="11"/>
  <c r="J19" i="11" s="1"/>
  <c r="I19" i="11" s="1"/>
  <c r="H43" i="11"/>
  <c r="J43" i="11" s="1"/>
  <c r="I43" i="11" s="1"/>
  <c r="F28" i="11"/>
  <c r="F30" i="11"/>
  <c r="F29" i="11"/>
  <c r="F27" i="11"/>
  <c r="F21" i="11"/>
  <c r="F22" i="11"/>
  <c r="F20" i="11"/>
  <c r="F19" i="11"/>
  <c r="F14" i="11"/>
  <c r="F13" i="11"/>
  <c r="F12" i="11"/>
  <c r="F11" i="11"/>
  <c r="F36" i="11"/>
  <c r="F38" i="11"/>
  <c r="F37" i="11"/>
  <c r="F35" i="11"/>
  <c r="F46" i="11"/>
  <c r="F45" i="11"/>
  <c r="F44" i="11"/>
  <c r="F43" i="11"/>
  <c r="H6" i="11" l="1"/>
  <c r="J6" i="11" s="1"/>
  <c r="I6" i="11" s="1"/>
  <c r="H5" i="11"/>
  <c r="J5" i="11" s="1"/>
  <c r="I5" i="11" s="1"/>
  <c r="H4" i="11"/>
  <c r="J4" i="11" s="1"/>
  <c r="I4" i="11" s="1"/>
  <c r="H3" i="11"/>
  <c r="J3" i="11" s="1"/>
  <c r="I3" i="11" s="1"/>
  <c r="F6" i="11"/>
  <c r="F3" i="11"/>
  <c r="F5" i="11"/>
  <c r="F4" i="11"/>
  <c r="U70" i="6"/>
  <c r="I70" i="6"/>
  <c r="Q70" i="6"/>
  <c r="E70" i="6"/>
  <c r="AG70" i="6"/>
  <c r="M70" i="6"/>
  <c r="AO70" i="6"/>
  <c r="AC70" i="6"/>
  <c r="AK70" i="6"/>
  <c r="Y70" i="6"/>
  <c r="AS71" i="4"/>
  <c r="AT71" i="4"/>
  <c r="AU71" i="4"/>
  <c r="AS72" i="4"/>
  <c r="AT72" i="4"/>
  <c r="AU72" i="4"/>
  <c r="AS73" i="4"/>
  <c r="AT73" i="4"/>
  <c r="AU73" i="4"/>
  <c r="AS56" i="4"/>
  <c r="AT56" i="4"/>
  <c r="AU56" i="4"/>
  <c r="AS57" i="4"/>
  <c r="AT57" i="4"/>
  <c r="AU57" i="4"/>
  <c r="AS58" i="4"/>
  <c r="AT58" i="4"/>
  <c r="AU58" i="4"/>
  <c r="AS41" i="4"/>
  <c r="AT41" i="4"/>
  <c r="AU41" i="4"/>
  <c r="AS42" i="4"/>
  <c r="AT42" i="4"/>
  <c r="AU42" i="4"/>
  <c r="AS43" i="4"/>
  <c r="AT43" i="4"/>
  <c r="AU43" i="4"/>
  <c r="AS26" i="4"/>
  <c r="AT26" i="4"/>
  <c r="AU26" i="4"/>
  <c r="AS27" i="4"/>
  <c r="AT27" i="4"/>
  <c r="AU27" i="4"/>
  <c r="AS28" i="4"/>
  <c r="AT28" i="4"/>
  <c r="AU28" i="4"/>
  <c r="AS101" i="4"/>
  <c r="AT101" i="4"/>
  <c r="AU101" i="4"/>
  <c r="AS102" i="4"/>
  <c r="AT102" i="4"/>
  <c r="AU102" i="4"/>
  <c r="AS103" i="4"/>
  <c r="AT103" i="4"/>
  <c r="AU103" i="4"/>
  <c r="AS11" i="4"/>
  <c r="AT11" i="4"/>
  <c r="AU11" i="4"/>
  <c r="AS12" i="4"/>
  <c r="AT12" i="4"/>
  <c r="AU12" i="4"/>
  <c r="AS13" i="4"/>
  <c r="AT13" i="4"/>
  <c r="AU13" i="4"/>
  <c r="AS87" i="4" l="1"/>
  <c r="AS117" i="4"/>
  <c r="AU86" i="4"/>
  <c r="AU116" i="4"/>
  <c r="AT86" i="4"/>
  <c r="AT116" i="4"/>
  <c r="AS86" i="4"/>
  <c r="AS116" i="4"/>
  <c r="AT87" i="4"/>
  <c r="AT117" i="4"/>
  <c r="AU87" i="4"/>
  <c r="AU117" i="4"/>
  <c r="AU88" i="4"/>
  <c r="AU118" i="4"/>
  <c r="AT88" i="4"/>
  <c r="AT118" i="4"/>
  <c r="AS88" i="4"/>
  <c r="AS118" i="4"/>
  <c r="E24" i="8" l="1"/>
  <c r="C77" i="8"/>
  <c r="E76" i="8"/>
  <c r="E75" i="8"/>
  <c r="E37" i="8"/>
  <c r="C38" i="8"/>
  <c r="E69" i="8"/>
  <c r="E63" i="8"/>
  <c r="C64" i="8"/>
  <c r="B77" i="8"/>
  <c r="E70" i="8"/>
  <c r="D77" i="8"/>
  <c r="E74" i="8"/>
  <c r="E71" i="8"/>
  <c r="E56" i="8"/>
  <c r="B64" i="8"/>
  <c r="E57" i="8"/>
  <c r="D64" i="8"/>
  <c r="E61" i="8"/>
  <c r="E58" i="8"/>
  <c r="E62" i="8"/>
  <c r="C51" i="8"/>
  <c r="B51" i="8"/>
  <c r="D51" i="8"/>
  <c r="E30" i="8"/>
  <c r="B38" i="8"/>
  <c r="D38" i="8"/>
  <c r="E35" i="8"/>
  <c r="E36" i="8"/>
  <c r="C25" i="8"/>
  <c r="E17" i="8"/>
  <c r="B25" i="8"/>
  <c r="E18" i="8"/>
  <c r="D25" i="8"/>
  <c r="E22" i="8"/>
  <c r="E19" i="8"/>
  <c r="E23" i="8"/>
  <c r="F22" i="5"/>
  <c r="F21" i="5"/>
  <c r="F20" i="5"/>
  <c r="F9" i="5"/>
  <c r="F8" i="5"/>
  <c r="F7" i="5"/>
  <c r="F6" i="5"/>
  <c r="F5" i="5"/>
  <c r="F4" i="5"/>
  <c r="F3" i="5"/>
  <c r="F2" i="5"/>
  <c r="AA77" i="6"/>
  <c r="AA75" i="6"/>
  <c r="AA73" i="6"/>
  <c r="AA71" i="6"/>
  <c r="AL69" i="8"/>
  <c r="AL56" i="8"/>
  <c r="AL43" i="8"/>
  <c r="AL30" i="8"/>
  <c r="AL17" i="8"/>
  <c r="AL4" i="8"/>
  <c r="AU100" i="4"/>
  <c r="AT100" i="4"/>
  <c r="AS100" i="4"/>
  <c r="AU99" i="4"/>
  <c r="AT99" i="4"/>
  <c r="AS99" i="4"/>
  <c r="AU98" i="4"/>
  <c r="AT98" i="4"/>
  <c r="AS98" i="4"/>
  <c r="AU97" i="4"/>
  <c r="AT97" i="4"/>
  <c r="AS97" i="4"/>
  <c r="AU95" i="4"/>
  <c r="AT95" i="4"/>
  <c r="AS95" i="4"/>
  <c r="AU94" i="4"/>
  <c r="AT94" i="4"/>
  <c r="AS94" i="4"/>
  <c r="AN20" i="6"/>
  <c r="AO20" i="6" s="1"/>
  <c r="AU70" i="4"/>
  <c r="AU55" i="4"/>
  <c r="AU40" i="4"/>
  <c r="AU25" i="4"/>
  <c r="AU10" i="4"/>
  <c r="AN19" i="6"/>
  <c r="AO19" i="6" s="1"/>
  <c r="AT70" i="4"/>
  <c r="AT55" i="4"/>
  <c r="AT40" i="4"/>
  <c r="AT25" i="4"/>
  <c r="AT10" i="4"/>
  <c r="AS70" i="4"/>
  <c r="AS55" i="4"/>
  <c r="AS40" i="4"/>
  <c r="AS25" i="4"/>
  <c r="AS10" i="4"/>
  <c r="AU69" i="4"/>
  <c r="AU54" i="4"/>
  <c r="AU39" i="4"/>
  <c r="AU24" i="4"/>
  <c r="AU9" i="4"/>
  <c r="AT69" i="4"/>
  <c r="AT54" i="4"/>
  <c r="AT39" i="4"/>
  <c r="AT24" i="4"/>
  <c r="AT9" i="4"/>
  <c r="AS69" i="4"/>
  <c r="AS54" i="4"/>
  <c r="AS39" i="4"/>
  <c r="AS24" i="4"/>
  <c r="AS9" i="4"/>
  <c r="AU68" i="4"/>
  <c r="AU53" i="4"/>
  <c r="AU38" i="4"/>
  <c r="AU23" i="4"/>
  <c r="AU8" i="4"/>
  <c r="AT68" i="4"/>
  <c r="AT53" i="4"/>
  <c r="AT38" i="4"/>
  <c r="AT23" i="4"/>
  <c r="AT8" i="4"/>
  <c r="AS68" i="4"/>
  <c r="AS53" i="4"/>
  <c r="AS38" i="4"/>
  <c r="AS23" i="4"/>
  <c r="AS8" i="4"/>
  <c r="AU67" i="4"/>
  <c r="AU52" i="4"/>
  <c r="AU37" i="4"/>
  <c r="AU22" i="4"/>
  <c r="AU7" i="4"/>
  <c r="AT67" i="4"/>
  <c r="AT52" i="4"/>
  <c r="AT37" i="4"/>
  <c r="AT22" i="4"/>
  <c r="AT7" i="4"/>
  <c r="AS67" i="4"/>
  <c r="AS52" i="4"/>
  <c r="AS37" i="4"/>
  <c r="AS22" i="4"/>
  <c r="AS7" i="4"/>
  <c r="AU65" i="4"/>
  <c r="AU50" i="4"/>
  <c r="AU35" i="4"/>
  <c r="AU20" i="4"/>
  <c r="AU5" i="4"/>
  <c r="AT65" i="4"/>
  <c r="AT50" i="4"/>
  <c r="AT35" i="4"/>
  <c r="AT20" i="4"/>
  <c r="AT5" i="4"/>
  <c r="AS65" i="4"/>
  <c r="AS50" i="4"/>
  <c r="AS35" i="4"/>
  <c r="AS20" i="4"/>
  <c r="AS5" i="4"/>
  <c r="AU64" i="4"/>
  <c r="AU49" i="4"/>
  <c r="AU34" i="4"/>
  <c r="AU19" i="4"/>
  <c r="AU4" i="4"/>
  <c r="AT64" i="4"/>
  <c r="AT49" i="4"/>
  <c r="AT34" i="4"/>
  <c r="AT19" i="4"/>
  <c r="AT4" i="4"/>
  <c r="AS64" i="4"/>
  <c r="AS49" i="4"/>
  <c r="AS34" i="4"/>
  <c r="AS19" i="4"/>
  <c r="AS4" i="4"/>
  <c r="O20" i="8" l="1"/>
  <c r="O21" i="8"/>
  <c r="P21" i="8"/>
  <c r="P20" i="8"/>
  <c r="N20" i="8"/>
  <c r="N21" i="8"/>
  <c r="P74" i="8"/>
  <c r="AU74" i="8" s="1"/>
  <c r="P69" i="8"/>
  <c r="AU69" i="8" s="1"/>
  <c r="P71" i="8"/>
  <c r="AU71" i="8" s="1"/>
  <c r="P75" i="8"/>
  <c r="AU75" i="8" s="1"/>
  <c r="P76" i="8"/>
  <c r="P70" i="8"/>
  <c r="AU70" i="8" s="1"/>
  <c r="P73" i="8"/>
  <c r="AU73" i="8" s="1"/>
  <c r="P72" i="8"/>
  <c r="AU72" i="8" s="1"/>
  <c r="O76" i="8"/>
  <c r="AS76" i="8" s="1"/>
  <c r="O74" i="8"/>
  <c r="AS74" i="8" s="1"/>
  <c r="O69" i="8"/>
  <c r="AS69" i="8" s="1"/>
  <c r="O71" i="8"/>
  <c r="AS71" i="8" s="1"/>
  <c r="O73" i="8"/>
  <c r="AS73" i="8" s="1"/>
  <c r="O72" i="8"/>
  <c r="AS72" i="8" s="1"/>
  <c r="O75" i="8"/>
  <c r="O70" i="8"/>
  <c r="AS70" i="8" s="1"/>
  <c r="N70" i="8"/>
  <c r="N73" i="8"/>
  <c r="AQ73" i="8" s="1"/>
  <c r="N75" i="8"/>
  <c r="N76" i="8"/>
  <c r="AQ76" i="8" s="1"/>
  <c r="N71" i="8"/>
  <c r="AQ71" i="8" s="1"/>
  <c r="N69" i="8"/>
  <c r="AQ69" i="8" s="1"/>
  <c r="N74" i="8"/>
  <c r="AQ74" i="8" s="1"/>
  <c r="N72" i="8"/>
  <c r="AQ72" i="8" s="1"/>
  <c r="P57" i="8"/>
  <c r="P61" i="8"/>
  <c r="P56" i="8"/>
  <c r="P58" i="8"/>
  <c r="P62" i="8"/>
  <c r="P63" i="8"/>
  <c r="AU63" i="8" s="1"/>
  <c r="P60" i="8"/>
  <c r="AU60" i="8" s="1"/>
  <c r="P59" i="8"/>
  <c r="AU59" i="8" s="1"/>
  <c r="O57" i="8"/>
  <c r="AS57" i="8" s="1"/>
  <c r="O61" i="8"/>
  <c r="AS61" i="8" s="1"/>
  <c r="O56" i="8"/>
  <c r="O58" i="8"/>
  <c r="AS58" i="8" s="1"/>
  <c r="O59" i="8"/>
  <c r="AS59" i="8" s="1"/>
  <c r="O63" i="8"/>
  <c r="AS63" i="8" s="1"/>
  <c r="O60" i="8"/>
  <c r="AS60" i="8" s="1"/>
  <c r="O62" i="8"/>
  <c r="AS62" i="8" s="1"/>
  <c r="N57" i="8"/>
  <c r="AQ57" i="8" s="1"/>
  <c r="N60" i="8"/>
  <c r="AQ60" i="8" s="1"/>
  <c r="N63" i="8"/>
  <c r="AQ63" i="8" s="1"/>
  <c r="N56" i="8"/>
  <c r="AQ56" i="8" s="1"/>
  <c r="N61" i="8"/>
  <c r="N59" i="8"/>
  <c r="AQ59" i="8" s="1"/>
  <c r="N62" i="8"/>
  <c r="N58" i="8"/>
  <c r="AQ58" i="8" s="1"/>
  <c r="P50" i="8"/>
  <c r="P46" i="8"/>
  <c r="AU46" i="8" s="1"/>
  <c r="P47" i="8"/>
  <c r="AU47" i="8" s="1"/>
  <c r="P43" i="8"/>
  <c r="AU43" i="8" s="1"/>
  <c r="P45" i="8"/>
  <c r="AU45" i="8" s="1"/>
  <c r="P44" i="8"/>
  <c r="AU44" i="8" s="1"/>
  <c r="P49" i="8"/>
  <c r="P48" i="8"/>
  <c r="AU48" i="8" s="1"/>
  <c r="O48" i="8"/>
  <c r="AS48" i="8" s="1"/>
  <c r="O47" i="8"/>
  <c r="AS47" i="8" s="1"/>
  <c r="O44" i="8"/>
  <c r="O43" i="8"/>
  <c r="AS43" i="8" s="1"/>
  <c r="O49" i="8"/>
  <c r="AS49" i="8" s="1"/>
  <c r="O46" i="8"/>
  <c r="AS46" i="8" s="1"/>
  <c r="O45" i="8"/>
  <c r="AS45" i="8" s="1"/>
  <c r="O50" i="8"/>
  <c r="AS50" i="8" s="1"/>
  <c r="N46" i="8"/>
  <c r="AQ46" i="8" s="1"/>
  <c r="N49" i="8"/>
  <c r="N47" i="8"/>
  <c r="AQ47" i="8" s="1"/>
  <c r="N43" i="8"/>
  <c r="AQ43" i="8" s="1"/>
  <c r="N45" i="8"/>
  <c r="N48" i="8"/>
  <c r="AQ48" i="8" s="1"/>
  <c r="N50" i="8"/>
  <c r="AQ50" i="8" s="1"/>
  <c r="N44" i="8"/>
  <c r="AQ44" i="8" s="1"/>
  <c r="O36" i="8"/>
  <c r="AS36" i="8" s="1"/>
  <c r="O31" i="8"/>
  <c r="AS31" i="8" s="1"/>
  <c r="O35" i="8"/>
  <c r="AS35" i="8" s="1"/>
  <c r="O30" i="8"/>
  <c r="AS30" i="8" s="1"/>
  <c r="O34" i="8"/>
  <c r="AS34" i="8" s="1"/>
  <c r="O32" i="8"/>
  <c r="O37" i="8"/>
  <c r="AS37" i="8" s="1"/>
  <c r="O33" i="8"/>
  <c r="AS33" i="8" s="1"/>
  <c r="P36" i="8"/>
  <c r="AU36" i="8" s="1"/>
  <c r="P31" i="8"/>
  <c r="AU31" i="8" s="1"/>
  <c r="P35" i="8"/>
  <c r="AU35" i="8" s="1"/>
  <c r="P30" i="8"/>
  <c r="AU30" i="8" s="1"/>
  <c r="P37" i="8"/>
  <c r="P34" i="8"/>
  <c r="AU34" i="8" s="1"/>
  <c r="P32" i="8"/>
  <c r="P33" i="8"/>
  <c r="AU33" i="8" s="1"/>
  <c r="N36" i="8"/>
  <c r="AQ36" i="8" s="1"/>
  <c r="N34" i="8"/>
  <c r="N32" i="8"/>
  <c r="AQ32" i="8" s="1"/>
  <c r="N35" i="8"/>
  <c r="AQ35" i="8" s="1"/>
  <c r="N37" i="8"/>
  <c r="AQ37" i="8" s="1"/>
  <c r="N31" i="8"/>
  <c r="AQ31" i="8" s="1"/>
  <c r="N33" i="8"/>
  <c r="N30" i="8"/>
  <c r="AQ30" i="8" s="1"/>
  <c r="H153" i="3"/>
  <c r="H60" i="3"/>
  <c r="H241" i="3"/>
  <c r="H108" i="3"/>
  <c r="H275" i="3"/>
  <c r="H123" i="3"/>
  <c r="H323" i="3"/>
  <c r="H170" i="3"/>
  <c r="H224" i="3"/>
  <c r="H136" i="3"/>
  <c r="H91" i="3"/>
  <c r="H44" i="3"/>
  <c r="H311" i="3"/>
  <c r="H7" i="3"/>
  <c r="H32" i="3"/>
  <c r="H187" i="3"/>
  <c r="H74" i="3"/>
  <c r="H19" i="3"/>
  <c r="H259" i="3"/>
  <c r="H299" i="3"/>
  <c r="H206" i="3"/>
  <c r="H287" i="3"/>
  <c r="H33" i="3"/>
  <c r="H20" i="3"/>
  <c r="H260" i="3"/>
  <c r="H300" i="3"/>
  <c r="H61" i="3"/>
  <c r="H8" i="3"/>
  <c r="H188" i="3"/>
  <c r="H288" i="3"/>
  <c r="H75" i="3"/>
  <c r="H242" i="3"/>
  <c r="H109" i="3"/>
  <c r="H276" i="3"/>
  <c r="H137" i="3"/>
  <c r="H124" i="3"/>
  <c r="H324" i="3"/>
  <c r="H171" i="3"/>
  <c r="H154" i="3"/>
  <c r="H45" i="3"/>
  <c r="H225" i="3"/>
  <c r="H92" i="3"/>
  <c r="H312" i="3"/>
  <c r="H207" i="3"/>
  <c r="H13" i="3"/>
  <c r="H253" i="3"/>
  <c r="H120" i="3"/>
  <c r="H148" i="3"/>
  <c r="H182" i="3"/>
  <c r="H56" i="3"/>
  <c r="H236" i="3"/>
  <c r="H103" i="3"/>
  <c r="H294" i="3"/>
  <c r="H282" i="3"/>
  <c r="H271" i="3"/>
  <c r="H130" i="3"/>
  <c r="H71" i="3"/>
  <c r="H26" i="3"/>
  <c r="H86" i="3"/>
  <c r="H38" i="3"/>
  <c r="H218" i="3"/>
  <c r="H318" i="3"/>
  <c r="H165" i="3"/>
  <c r="H306" i="3"/>
  <c r="H199" i="3"/>
  <c r="H200" i="3"/>
  <c r="H328" i="3"/>
  <c r="H295" i="3"/>
  <c r="H283" i="3"/>
  <c r="H27" i="3"/>
  <c r="H57" i="3"/>
  <c r="H14" i="3"/>
  <c r="H307" i="3"/>
  <c r="H131" i="3"/>
  <c r="H254" i="3"/>
  <c r="H272" i="3"/>
  <c r="H319" i="3"/>
  <c r="H320" i="3"/>
  <c r="H201" i="3"/>
  <c r="H308" i="3"/>
  <c r="H296" i="3"/>
  <c r="H284" i="3"/>
  <c r="H39" i="3"/>
  <c r="H219" i="3"/>
  <c r="H87" i="3"/>
  <c r="H40" i="3"/>
  <c r="H220" i="3"/>
  <c r="H3" i="3"/>
  <c r="H28" i="3"/>
  <c r="H15" i="3"/>
  <c r="H255" i="3"/>
  <c r="H149" i="3"/>
  <c r="H183" i="3"/>
  <c r="H202" i="3"/>
  <c r="H237" i="3"/>
  <c r="H166" i="3"/>
  <c r="H104" i="3"/>
  <c r="H132" i="3"/>
  <c r="H133" i="3"/>
  <c r="H41" i="3"/>
  <c r="H221" i="3"/>
  <c r="H88" i="3"/>
  <c r="H256" i="3"/>
  <c r="H203" i="3"/>
  <c r="H150" i="3"/>
  <c r="H4" i="3"/>
  <c r="H29" i="3"/>
  <c r="H16" i="3"/>
  <c r="H184" i="3"/>
  <c r="H238" i="3"/>
  <c r="H105" i="3"/>
  <c r="H167" i="3"/>
  <c r="B59" i="4"/>
  <c r="H273" i="3"/>
  <c r="H121" i="3"/>
  <c r="H321" i="3"/>
  <c r="H134" i="3"/>
  <c r="H168" i="3"/>
  <c r="H222" i="3"/>
  <c r="H89" i="3"/>
  <c r="H42" i="3"/>
  <c r="H309" i="3"/>
  <c r="H257" i="3"/>
  <c r="H204" i="3"/>
  <c r="H30" i="3"/>
  <c r="H17" i="3"/>
  <c r="H297" i="3"/>
  <c r="H285" i="3"/>
  <c r="H151" i="3"/>
  <c r="H106" i="3"/>
  <c r="H58" i="3"/>
  <c r="H5" i="3"/>
  <c r="H185" i="3"/>
  <c r="H72" i="3"/>
  <c r="H239" i="3"/>
  <c r="H73" i="3"/>
  <c r="H240" i="3"/>
  <c r="H169" i="3"/>
  <c r="H43" i="3"/>
  <c r="H223" i="3"/>
  <c r="H135" i="3"/>
  <c r="H122" i="3"/>
  <c r="H322" i="3"/>
  <c r="H90" i="3"/>
  <c r="H310" i="3"/>
  <c r="H6" i="3"/>
  <c r="H107" i="3"/>
  <c r="H286" i="3"/>
  <c r="H31" i="3"/>
  <c r="H18" i="3"/>
  <c r="H258" i="3"/>
  <c r="H298" i="3"/>
  <c r="H205" i="3"/>
  <c r="H186" i="3"/>
  <c r="H152" i="3"/>
  <c r="H274" i="3"/>
  <c r="H59" i="3"/>
  <c r="B14" i="4"/>
  <c r="C104" i="4"/>
  <c r="B104" i="4"/>
  <c r="E104" i="4" s="1"/>
  <c r="W73" i="6"/>
  <c r="W75" i="6"/>
  <c r="W77" i="6"/>
  <c r="AE71" i="6"/>
  <c r="AE73" i="6"/>
  <c r="AE75" i="6"/>
  <c r="AE77" i="6"/>
  <c r="AM73" i="6"/>
  <c r="AM75" i="6"/>
  <c r="AM77" i="6"/>
  <c r="C109" i="4"/>
  <c r="AS32" i="8"/>
  <c r="AS75" i="8"/>
  <c r="C111" i="4"/>
  <c r="D111" i="4"/>
  <c r="B111" i="4"/>
  <c r="B83" i="8"/>
  <c r="C89" i="8"/>
  <c r="N17" i="8"/>
  <c r="AQ17" i="8" s="1"/>
  <c r="C83" i="8"/>
  <c r="D89" i="8"/>
  <c r="P17" i="8"/>
  <c r="AU17" i="8" s="1"/>
  <c r="O24" i="8"/>
  <c r="AS24" i="8" s="1"/>
  <c r="AQ75" i="8"/>
  <c r="D83" i="8"/>
  <c r="B115" i="4"/>
  <c r="E5" i="8"/>
  <c r="D88" i="8"/>
  <c r="D114" i="4"/>
  <c r="C115" i="4"/>
  <c r="B84" i="8"/>
  <c r="D115" i="4"/>
  <c r="B114" i="4"/>
  <c r="C84" i="8"/>
  <c r="B112" i="4"/>
  <c r="C112" i="4"/>
  <c r="B109" i="4"/>
  <c r="D112" i="4"/>
  <c r="B116" i="4"/>
  <c r="D109" i="4"/>
  <c r="C116" i="4"/>
  <c r="D84" i="8"/>
  <c r="D116" i="4"/>
  <c r="AU61" i="8"/>
  <c r="C113" i="4"/>
  <c r="B110" i="4"/>
  <c r="D113" i="4"/>
  <c r="C110" i="4"/>
  <c r="D87" i="8"/>
  <c r="AS56" i="8"/>
  <c r="C114" i="4"/>
  <c r="B113" i="4"/>
  <c r="D110" i="4"/>
  <c r="C88" i="8"/>
  <c r="O73" i="6"/>
  <c r="O75" i="6"/>
  <c r="O77" i="6"/>
  <c r="S71" i="6"/>
  <c r="S73" i="6"/>
  <c r="S75" i="6"/>
  <c r="S77" i="6"/>
  <c r="E10" i="8"/>
  <c r="C82" i="8"/>
  <c r="B12" i="8"/>
  <c r="B82" i="8"/>
  <c r="D12" i="8"/>
  <c r="D82" i="8"/>
  <c r="E11" i="8"/>
  <c r="B89" i="8"/>
  <c r="AI71" i="6"/>
  <c r="AI73" i="6"/>
  <c r="AI75" i="6"/>
  <c r="AI77" i="6"/>
  <c r="AL44" i="8"/>
  <c r="O71" i="6"/>
  <c r="AL70" i="8"/>
  <c r="AM71" i="6"/>
  <c r="C72" i="6"/>
  <c r="C74" i="6"/>
  <c r="C76" i="6"/>
  <c r="G72" i="6"/>
  <c r="G74" i="6"/>
  <c r="AL34" i="8" s="1"/>
  <c r="G76" i="6"/>
  <c r="K72" i="6"/>
  <c r="K74" i="6"/>
  <c r="K76" i="6"/>
  <c r="AL57" i="8"/>
  <c r="W71" i="6"/>
  <c r="O72" i="6"/>
  <c r="O74" i="6"/>
  <c r="O76" i="6"/>
  <c r="S72" i="6"/>
  <c r="S74" i="6"/>
  <c r="S76" i="6"/>
  <c r="W72" i="6"/>
  <c r="W74" i="6"/>
  <c r="W76" i="6"/>
  <c r="AA72" i="6"/>
  <c r="AA74" i="6"/>
  <c r="AA76" i="6"/>
  <c r="AE72" i="6"/>
  <c r="AE74" i="6"/>
  <c r="AE76" i="6"/>
  <c r="AI72" i="6"/>
  <c r="AI74" i="6"/>
  <c r="AI76" i="6"/>
  <c r="AM72" i="6"/>
  <c r="AM74" i="6"/>
  <c r="AM76" i="6"/>
  <c r="AL5" i="8"/>
  <c r="C71" i="6"/>
  <c r="C73" i="6"/>
  <c r="C75" i="6"/>
  <c r="C77" i="6"/>
  <c r="AL18" i="8"/>
  <c r="G71" i="6"/>
  <c r="G73" i="6"/>
  <c r="AL33" i="8" s="1"/>
  <c r="G75" i="6"/>
  <c r="G77" i="6"/>
  <c r="AL31" i="8"/>
  <c r="K71" i="6"/>
  <c r="K73" i="6"/>
  <c r="K75" i="6"/>
  <c r="K77" i="6"/>
  <c r="AL48" i="8"/>
  <c r="AL74" i="8"/>
  <c r="AL6" i="8"/>
  <c r="AL10" i="8"/>
  <c r="AL19" i="8"/>
  <c r="AL23" i="8"/>
  <c r="AL32" i="8"/>
  <c r="AL36" i="8"/>
  <c r="AL45" i="8"/>
  <c r="AL49" i="8"/>
  <c r="AL58" i="8"/>
  <c r="AL62" i="8"/>
  <c r="AL61" i="8"/>
  <c r="AL50" i="8"/>
  <c r="AL71" i="8"/>
  <c r="AL75" i="8"/>
  <c r="AL63" i="8"/>
  <c r="AL76" i="8"/>
  <c r="AL9" i="8"/>
  <c r="AL11" i="8"/>
  <c r="AL22" i="8"/>
  <c r="AL24" i="8"/>
  <c r="AL35" i="8"/>
  <c r="AL37" i="8"/>
  <c r="AT79" i="4"/>
  <c r="AT109" i="4"/>
  <c r="AS80" i="4"/>
  <c r="AS110" i="4"/>
  <c r="AU80" i="4"/>
  <c r="AU110" i="4"/>
  <c r="AT82" i="4"/>
  <c r="AT112" i="4"/>
  <c r="AS83" i="4"/>
  <c r="AS113" i="4"/>
  <c r="AU83" i="4"/>
  <c r="AU113" i="4"/>
  <c r="AT84" i="4"/>
  <c r="AT114" i="4"/>
  <c r="AS85" i="4"/>
  <c r="AS115" i="4"/>
  <c r="AU85" i="4"/>
  <c r="AU115" i="4"/>
  <c r="AS79" i="4"/>
  <c r="AS109" i="4"/>
  <c r="AU79" i="4"/>
  <c r="AU109" i="4"/>
  <c r="AT80" i="4"/>
  <c r="AT110" i="4"/>
  <c r="AS82" i="4"/>
  <c r="AS112" i="4"/>
  <c r="AU82" i="4"/>
  <c r="AU112" i="4"/>
  <c r="AT83" i="4"/>
  <c r="AT113" i="4"/>
  <c r="AS84" i="4"/>
  <c r="AS114" i="4"/>
  <c r="AU84" i="4"/>
  <c r="AU114" i="4"/>
  <c r="AT85" i="4"/>
  <c r="AT115" i="4"/>
  <c r="E98" i="4"/>
  <c r="O66" i="4" a="1"/>
  <c r="O66" i="4" s="1"/>
  <c r="Q38" i="4" a="1"/>
  <c r="Q38" i="4" s="1"/>
  <c r="O65" i="4" a="1"/>
  <c r="O65" i="4" s="1"/>
  <c r="P53" i="4" a="1"/>
  <c r="P53" i="4" s="1"/>
  <c r="P25" i="4" a="1"/>
  <c r="P25" i="4" s="1"/>
  <c r="P39" i="4" a="1"/>
  <c r="P39" i="4" s="1"/>
  <c r="P66" i="4" a="1"/>
  <c r="P66" i="4" s="1"/>
  <c r="O54" i="4" a="1"/>
  <c r="O54" i="4" s="1"/>
  <c r="P50" i="4" a="1"/>
  <c r="P50" i="4" s="1"/>
  <c r="Q50" i="4" a="1"/>
  <c r="Q50" i="4" s="1"/>
  <c r="O40" i="4" a="1"/>
  <c r="O40" i="4" s="1"/>
  <c r="Q55" i="4" a="1"/>
  <c r="Q55" i="4" s="1"/>
  <c r="Q40" i="4" a="1"/>
  <c r="Q40" i="4" s="1"/>
  <c r="O51" i="4" a="1"/>
  <c r="O51" i="4" s="1"/>
  <c r="Q51" i="4" a="1"/>
  <c r="Q51" i="4" s="1"/>
  <c r="Q37" i="4" a="1"/>
  <c r="Q37" i="4" s="1"/>
  <c r="O41" i="4" a="1"/>
  <c r="O41" i="4" s="1"/>
  <c r="P41" i="4" a="1"/>
  <c r="P41" i="4" s="1"/>
  <c r="P49" i="4" a="1"/>
  <c r="P49" i="4" s="1"/>
  <c r="Q58" i="4" a="1"/>
  <c r="Q58" i="4" s="1"/>
  <c r="P12" i="4" a="1"/>
  <c r="P12" i="4" s="1"/>
  <c r="O72" i="4" a="1"/>
  <c r="O72" i="4" s="1"/>
  <c r="Q12" i="4" a="1"/>
  <c r="Q12" i="4" s="1"/>
  <c r="P72" i="4" a="1"/>
  <c r="P72" i="4" s="1"/>
  <c r="O28" i="4" a="1"/>
  <c r="O28" i="4" s="1"/>
  <c r="Q72" i="4" a="1"/>
  <c r="Q72" i="4" s="1"/>
  <c r="Q28" i="4" a="1"/>
  <c r="Q28" i="4" s="1"/>
  <c r="Q13" i="4" a="1"/>
  <c r="Q13" i="4" s="1"/>
  <c r="O73" i="4" a="1"/>
  <c r="O73" i="4" s="1"/>
  <c r="O12" i="4" a="1"/>
  <c r="O12" i="4" s="1"/>
  <c r="P73" i="4" a="1"/>
  <c r="P73" i="4" s="1"/>
  <c r="P28" i="4" a="1"/>
  <c r="P28" i="4" s="1"/>
  <c r="Q73" i="4" a="1"/>
  <c r="Q73" i="4" s="1"/>
  <c r="O27" i="4" a="1"/>
  <c r="O27" i="4" s="1"/>
  <c r="O87" i="4" a="1"/>
  <c r="O87" i="4" s="1"/>
  <c r="P13" i="4" a="1"/>
  <c r="P13" i="4" s="1"/>
  <c r="P87" i="4" a="1"/>
  <c r="P87" i="4" s="1"/>
  <c r="Q27" i="4" a="1"/>
  <c r="Q27" i="4" s="1"/>
  <c r="Q87" i="4" a="1"/>
  <c r="Q87" i="4" s="1"/>
  <c r="P27" i="4" a="1"/>
  <c r="P27" i="4" s="1"/>
  <c r="O88" i="4" a="1"/>
  <c r="O88" i="4" s="1"/>
  <c r="Q43" i="4" a="1"/>
  <c r="Q43" i="4" s="1"/>
  <c r="P88" i="4" a="1"/>
  <c r="P88" i="4" s="1"/>
  <c r="P43" i="4" a="1"/>
  <c r="P43" i="4" s="1"/>
  <c r="Q88" i="4" a="1"/>
  <c r="Q88" i="4" s="1"/>
  <c r="O43" i="4" a="1"/>
  <c r="O43" i="4" s="1"/>
  <c r="O42" i="4" a="1"/>
  <c r="O42" i="4" s="1"/>
  <c r="O102" i="4" a="1"/>
  <c r="O102" i="4" s="1"/>
  <c r="Q42" i="4" a="1"/>
  <c r="Q42" i="4" s="1"/>
  <c r="P102" i="4" a="1"/>
  <c r="P102" i="4" s="1"/>
  <c r="P42" i="4" a="1"/>
  <c r="P42" i="4" s="1"/>
  <c r="Q102" i="4" a="1"/>
  <c r="Q102" i="4" s="1"/>
  <c r="O57" i="4" a="1"/>
  <c r="O57" i="4" s="1"/>
  <c r="O103" i="4" a="1"/>
  <c r="O103" i="4" s="1"/>
  <c r="P57" i="4" a="1"/>
  <c r="P57" i="4" s="1"/>
  <c r="P103" i="4" a="1"/>
  <c r="P103" i="4" s="1"/>
  <c r="Q57" i="4" a="1"/>
  <c r="Q57" i="4" s="1"/>
  <c r="Q103" i="4" a="1"/>
  <c r="Q103" i="4" s="1"/>
  <c r="O58" i="4" a="1"/>
  <c r="O58" i="4" s="1"/>
  <c r="P58" i="4" a="1"/>
  <c r="P58" i="4" s="1"/>
  <c r="O13" i="4" a="1"/>
  <c r="O13" i="4" s="1"/>
  <c r="Q66" i="4" a="1"/>
  <c r="Q66" i="4" s="1"/>
  <c r="O56" i="4" a="1"/>
  <c r="O56" i="4" s="1"/>
  <c r="P56" i="4" a="1"/>
  <c r="P56" i="4" s="1"/>
  <c r="Q56" i="4" a="1"/>
  <c r="Q56" i="4" s="1"/>
  <c r="O67" i="4" a="1"/>
  <c r="O67" i="4" s="1"/>
  <c r="P67" i="4" a="1"/>
  <c r="P67" i="4" s="1"/>
  <c r="O39" i="4" a="1"/>
  <c r="O39" i="4" s="1"/>
  <c r="O64" i="4" a="1"/>
  <c r="O64" i="4" s="1"/>
  <c r="P81" i="4" a="1"/>
  <c r="P81" i="4" s="1"/>
  <c r="O68" i="4" a="1"/>
  <c r="O68" i="4" s="1"/>
  <c r="P54" i="4" a="1"/>
  <c r="P54" i="4" s="1"/>
  <c r="Q54" i="4" a="1"/>
  <c r="Q54" i="4" s="1"/>
  <c r="O82" i="4" a="1"/>
  <c r="O82" i="4" s="1"/>
  <c r="P65" i="4" a="1"/>
  <c r="P65" i="4" s="1"/>
  <c r="Q65" i="4" a="1"/>
  <c r="Q65" i="4" s="1"/>
  <c r="O55" i="4" a="1"/>
  <c r="O55" i="4" s="1"/>
  <c r="P55" i="4" a="1"/>
  <c r="P55" i="4" s="1"/>
  <c r="E82" i="4"/>
  <c r="E101" i="4"/>
  <c r="E56" i="4"/>
  <c r="E5" i="4"/>
  <c r="E86" i="4"/>
  <c r="E36" i="4"/>
  <c r="E9" i="4"/>
  <c r="E40" i="4"/>
  <c r="E23" i="4"/>
  <c r="E10" i="4"/>
  <c r="E97" i="4"/>
  <c r="E84" i="4"/>
  <c r="E54" i="4"/>
  <c r="E37" i="4"/>
  <c r="E35" i="4"/>
  <c r="E79" i="4"/>
  <c r="E64" i="4"/>
  <c r="E20" i="4"/>
  <c r="E81" i="4"/>
  <c r="E24" i="4"/>
  <c r="E68" i="4"/>
  <c r="E4" i="4"/>
  <c r="E51" i="4"/>
  <c r="E55" i="4"/>
  <c r="E65" i="4"/>
  <c r="E69" i="4"/>
  <c r="E22" i="4"/>
  <c r="E96" i="4"/>
  <c r="E83" i="4"/>
  <c r="E52" i="4"/>
  <c r="E66" i="4"/>
  <c r="E39" i="4"/>
  <c r="E71" i="4"/>
  <c r="P86" i="4" a="1"/>
  <c r="P86" i="4" s="1"/>
  <c r="P70" i="4" a="1"/>
  <c r="P70" i="4" s="1"/>
  <c r="Q70" i="4" a="1"/>
  <c r="Q70" i="4" s="1"/>
  <c r="Q53" i="4" a="1"/>
  <c r="Q53" i="4" s="1"/>
  <c r="Q94" i="4" a="1"/>
  <c r="Q94" i="4" s="1"/>
  <c r="Q82" i="4" a="1"/>
  <c r="Q82" i="4" s="1"/>
  <c r="P71" i="4" a="1"/>
  <c r="P71" i="4" s="1"/>
  <c r="Q71" i="4" a="1"/>
  <c r="Q71" i="4" s="1"/>
  <c r="P64" i="4" a="1"/>
  <c r="P64" i="4" s="1"/>
  <c r="O83" i="4" a="1"/>
  <c r="O83" i="4" s="1"/>
  <c r="P51" i="4" a="1"/>
  <c r="P51" i="4" s="1"/>
  <c r="Q79" i="4" a="1"/>
  <c r="Q79" i="4" s="1"/>
  <c r="P68" i="4" a="1"/>
  <c r="P68" i="4" s="1"/>
  <c r="Q68" i="4" a="1"/>
  <c r="Q68" i="4" s="1"/>
  <c r="P84" i="4" a="1"/>
  <c r="P84" i="4" s="1"/>
  <c r="Q80" i="4" a="1"/>
  <c r="Q80" i="4" s="1"/>
  <c r="O52" i="4" a="1"/>
  <c r="O52" i="4" s="1"/>
  <c r="Q69" i="4" a="1"/>
  <c r="Q69" i="4" s="1"/>
  <c r="O94" i="4" a="1"/>
  <c r="O94" i="4" s="1"/>
  <c r="O79" i="4" a="1"/>
  <c r="O79" i="4" s="1"/>
  <c r="Q52" i="4" a="1"/>
  <c r="Q52" i="4" s="1"/>
  <c r="O69" i="4" a="1"/>
  <c r="O69" i="4" s="1"/>
  <c r="P69" i="4" a="1"/>
  <c r="P69" i="4" s="1"/>
  <c r="O80" i="4" a="1"/>
  <c r="O80" i="4" s="1"/>
  <c r="P101" i="4" a="1"/>
  <c r="P101" i="4" s="1"/>
  <c r="I4" i="8" a="1"/>
  <c r="I4" i="8" s="1"/>
  <c r="AA4" i="8" s="1"/>
  <c r="J4" i="8" a="1"/>
  <c r="J4" i="8" s="1"/>
  <c r="AB4" i="8" s="1"/>
  <c r="O70" i="4" a="1"/>
  <c r="O70" i="4" s="1"/>
  <c r="P85" i="4" a="1"/>
  <c r="P85" i="4" s="1"/>
  <c r="Q81" i="4" a="1"/>
  <c r="Q81" i="4" s="1"/>
  <c r="Q98" i="4" a="1"/>
  <c r="Q98" i="4" s="1"/>
  <c r="Q67" i="4" a="1"/>
  <c r="Q67" i="4" s="1"/>
  <c r="I5" i="8" a="1"/>
  <c r="I5" i="8" s="1"/>
  <c r="AA5" i="8" s="1"/>
  <c r="J9" i="8" a="1"/>
  <c r="J9" i="8" s="1"/>
  <c r="AB9" i="8" s="1"/>
  <c r="H5" i="8" a="1"/>
  <c r="H5" i="8" s="1"/>
  <c r="Z5" i="8" s="1"/>
  <c r="J5" i="8" a="1"/>
  <c r="J5" i="8" s="1"/>
  <c r="AB5" i="8" s="1"/>
  <c r="J6" i="8" a="1"/>
  <c r="J6" i="8" s="1"/>
  <c r="H10" i="8" a="1"/>
  <c r="H10" i="8" s="1"/>
  <c r="Z10" i="8" s="1"/>
  <c r="J10" i="8" a="1"/>
  <c r="J10" i="8" s="1"/>
  <c r="AB10" i="8" s="1"/>
  <c r="I6" i="8" a="1"/>
  <c r="I6" i="8" s="1"/>
  <c r="Z4" i="8"/>
  <c r="O84" i="4" a="1"/>
  <c r="O84" i="4" s="1"/>
  <c r="O101" i="4" a="1"/>
  <c r="O101" i="4" s="1"/>
  <c r="Q84" i="4" a="1"/>
  <c r="Q84" i="4" s="1"/>
  <c r="O71" i="4" a="1"/>
  <c r="O71" i="4" s="1"/>
  <c r="R71" i="4" s="1"/>
  <c r="P95" i="4" a="1"/>
  <c r="P95" i="4" s="1"/>
  <c r="Q95" i="4" a="1"/>
  <c r="Q95" i="4" s="1"/>
  <c r="Q85" i="4" a="1"/>
  <c r="Q85" i="4" s="1"/>
  <c r="P82" i="4" a="1"/>
  <c r="P82" i="4" s="1"/>
  <c r="P79" i="4" a="1"/>
  <c r="P79" i="4" s="1"/>
  <c r="P96" i="4" a="1"/>
  <c r="P96" i="4" s="1"/>
  <c r="Q96" i="4" a="1"/>
  <c r="Q96" i="4" s="1"/>
  <c r="Q86" i="4" a="1"/>
  <c r="Q86" i="4" s="1"/>
  <c r="P83" i="4" a="1"/>
  <c r="P83" i="4" s="1"/>
  <c r="Q83" i="4" a="1"/>
  <c r="Q83" i="4" s="1"/>
  <c r="P80" i="4" a="1"/>
  <c r="P80" i="4" s="1"/>
  <c r="P94" i="4" a="1"/>
  <c r="P94" i="4" s="1"/>
  <c r="I10" i="8" a="1"/>
  <c r="I10" i="8" s="1"/>
  <c r="AA10" i="8" s="1"/>
  <c r="H11" i="8" a="1"/>
  <c r="H11" i="8" s="1"/>
  <c r="Z11" i="8" s="1"/>
  <c r="I11" i="8" a="1"/>
  <c r="I11" i="8" s="1"/>
  <c r="AA11" i="8" s="1"/>
  <c r="J11" i="8" a="1"/>
  <c r="J11" i="8" s="1"/>
  <c r="AB11" i="8" s="1"/>
  <c r="Z6" i="8"/>
  <c r="H9" i="8" a="1"/>
  <c r="H9" i="8" s="1"/>
  <c r="Z9" i="8" s="1"/>
  <c r="I9" i="8" a="1"/>
  <c r="I9" i="8" s="1"/>
  <c r="AA9" i="8" s="1"/>
  <c r="Q99" i="4" a="1"/>
  <c r="Q99" i="4" s="1"/>
  <c r="O81" i="4" a="1"/>
  <c r="O81" i="4" s="1"/>
  <c r="O97" i="4" a="1"/>
  <c r="O97" i="4" s="1"/>
  <c r="P97" i="4" a="1"/>
  <c r="P97" i="4" s="1"/>
  <c r="Q97" i="4" a="1"/>
  <c r="Q97" i="4" s="1"/>
  <c r="O100" i="4" a="1"/>
  <c r="O100" i="4" s="1"/>
  <c r="P100" i="4" a="1"/>
  <c r="P100" i="4" s="1"/>
  <c r="Q100" i="4" a="1"/>
  <c r="Q100" i="4" s="1"/>
  <c r="O85" i="4" a="1"/>
  <c r="O85" i="4" s="1"/>
  <c r="O95" i="4" a="1"/>
  <c r="O95" i="4" s="1"/>
  <c r="O98" i="4" a="1"/>
  <c r="O98" i="4" s="1"/>
  <c r="P98" i="4" a="1"/>
  <c r="P98" i="4" s="1"/>
  <c r="Q104" i="4" a="1"/>
  <c r="Q104" i="4" s="1"/>
  <c r="P104" i="4" a="1"/>
  <c r="P104" i="4" s="1"/>
  <c r="O104" i="4" a="1"/>
  <c r="O104" i="4" s="1"/>
  <c r="Q89" i="4" a="1"/>
  <c r="Q89" i="4" s="1"/>
  <c r="P89" i="4" a="1"/>
  <c r="P89" i="4" s="1"/>
  <c r="O89" i="4" a="1"/>
  <c r="O89" i="4" s="1"/>
  <c r="Q74" i="4" a="1"/>
  <c r="Q74" i="4" s="1"/>
  <c r="P74" i="4" a="1"/>
  <c r="P74" i="4" s="1"/>
  <c r="O74" i="4" a="1"/>
  <c r="O74" i="4" s="1"/>
  <c r="Q59" i="4" a="1"/>
  <c r="Q59" i="4" s="1"/>
  <c r="P59" i="4" a="1"/>
  <c r="P59" i="4" s="1"/>
  <c r="O59" i="4" a="1"/>
  <c r="O59" i="4" s="1"/>
  <c r="P44" i="4" a="1"/>
  <c r="P44" i="4" s="1"/>
  <c r="Q44" i="4" a="1"/>
  <c r="Q44" i="4" s="1"/>
  <c r="Q29" i="4" a="1"/>
  <c r="Q29" i="4" s="1"/>
  <c r="O44" i="4" a="1"/>
  <c r="O44" i="4" s="1"/>
  <c r="O29" i="4" a="1"/>
  <c r="O29" i="4" s="1"/>
  <c r="P29" i="4" a="1"/>
  <c r="P29" i="4" s="1"/>
  <c r="P14" i="4" a="1"/>
  <c r="P14" i="4" s="1"/>
  <c r="Q14" i="4" a="1"/>
  <c r="Q14" i="4" s="1"/>
  <c r="O14" i="4" a="1"/>
  <c r="O14" i="4" s="1"/>
  <c r="Q101" i="4" a="1"/>
  <c r="Q101" i="4" s="1"/>
  <c r="O86" i="4" a="1"/>
  <c r="O86" i="4" s="1"/>
  <c r="O96" i="4" a="1"/>
  <c r="O96" i="4" s="1"/>
  <c r="O99" i="4" a="1"/>
  <c r="O99" i="4" s="1"/>
  <c r="P99" i="4" a="1"/>
  <c r="P99" i="4" s="1"/>
  <c r="R68" i="4"/>
  <c r="E41" i="4"/>
  <c r="R51" i="4"/>
  <c r="E19" i="4"/>
  <c r="R69" i="4"/>
  <c r="E34" i="4"/>
  <c r="R67" i="4"/>
  <c r="E26" i="4"/>
  <c r="R65" i="4"/>
  <c r="R54" i="4"/>
  <c r="R70" i="4"/>
  <c r="E21" i="4"/>
  <c r="E6" i="4"/>
  <c r="E7" i="4"/>
  <c r="E8" i="4"/>
  <c r="E11" i="4"/>
  <c r="E25" i="4"/>
  <c r="R66" i="4"/>
  <c r="E99" i="4"/>
  <c r="E4" i="8"/>
  <c r="E50" i="4"/>
  <c r="J62" i="8" a="1"/>
  <c r="J62" i="8" s="1"/>
  <c r="AB62" i="8" s="1"/>
  <c r="H56" i="8" a="1"/>
  <c r="H56" i="8" s="1"/>
  <c r="Z56" i="8" s="1"/>
  <c r="H48" i="8" a="1"/>
  <c r="H48" i="8" s="1"/>
  <c r="Z48" i="8" s="1"/>
  <c r="I31" i="8" a="1"/>
  <c r="I31" i="8" s="1"/>
  <c r="AA31" i="8" s="1"/>
  <c r="J23" i="8" a="1"/>
  <c r="J23" i="8" s="1"/>
  <c r="AB23" i="8" s="1"/>
  <c r="I62" i="8" a="1"/>
  <c r="I62" i="8" s="1"/>
  <c r="AA62" i="8" s="1"/>
  <c r="J37" i="8" a="1"/>
  <c r="J37" i="8" s="1"/>
  <c r="AB37" i="8" s="1"/>
  <c r="H31" i="8" a="1"/>
  <c r="H31" i="8" s="1"/>
  <c r="Z31" i="8" s="1"/>
  <c r="I23" i="8" a="1"/>
  <c r="I23" i="8" s="1"/>
  <c r="AA23" i="8" s="1"/>
  <c r="I22" i="8" a="1"/>
  <c r="I22" i="8" s="1"/>
  <c r="AA22" i="8" s="1"/>
  <c r="H62" i="8" a="1"/>
  <c r="H62" i="8" s="1"/>
  <c r="Z62" i="8" s="1"/>
  <c r="I37" i="8" a="1"/>
  <c r="I37" i="8" s="1"/>
  <c r="AA37" i="8" s="1"/>
  <c r="J30" i="8" a="1"/>
  <c r="J30" i="8" s="1"/>
  <c r="AB30" i="8" s="1"/>
  <c r="H23" i="8" a="1"/>
  <c r="H23" i="8" s="1"/>
  <c r="Z23" i="8" s="1"/>
  <c r="J71" i="8" a="1"/>
  <c r="J71" i="8" s="1"/>
  <c r="AB71" i="8" s="1"/>
  <c r="J61" i="8" a="1"/>
  <c r="J61" i="8" s="1"/>
  <c r="AB61" i="8" s="1"/>
  <c r="H37" i="8" a="1"/>
  <c r="H37" i="8" s="1"/>
  <c r="Z37" i="8" s="1"/>
  <c r="I30" i="8" a="1"/>
  <c r="I30" i="8" s="1"/>
  <c r="AA30" i="8" s="1"/>
  <c r="J22" i="8" a="1"/>
  <c r="J22" i="8" s="1"/>
  <c r="AB22" i="8" s="1"/>
  <c r="I71" i="8" a="1"/>
  <c r="I71" i="8" s="1"/>
  <c r="AA71" i="8" s="1"/>
  <c r="I61" i="8" a="1"/>
  <c r="I61" i="8" s="1"/>
  <c r="AA61" i="8" s="1"/>
  <c r="J36" i="8" a="1"/>
  <c r="J36" i="8" s="1"/>
  <c r="AB36" i="8" s="1"/>
  <c r="H30" i="8" a="1"/>
  <c r="H30" i="8" s="1"/>
  <c r="Z30" i="8" s="1"/>
  <c r="H17" i="8" a="1"/>
  <c r="H17" i="8" s="1"/>
  <c r="Z17" i="8" s="1"/>
  <c r="H71" i="8" a="1"/>
  <c r="H71" i="8" s="1"/>
  <c r="Z71" i="8" s="1"/>
  <c r="H61" i="8" a="1"/>
  <c r="H61" i="8" s="1"/>
  <c r="Z61" i="8" s="1"/>
  <c r="I36" i="8" a="1"/>
  <c r="I36" i="8" s="1"/>
  <c r="AA36" i="8" s="1"/>
  <c r="H22" i="8" a="1"/>
  <c r="H22" i="8" s="1"/>
  <c r="Z22" i="8" s="1"/>
  <c r="J70" i="8" a="1"/>
  <c r="J70" i="8" s="1"/>
  <c r="AB70" i="8" s="1"/>
  <c r="H36" i="8" a="1"/>
  <c r="H36" i="8" s="1"/>
  <c r="Z36" i="8" s="1"/>
  <c r="J19" i="8" a="1"/>
  <c r="J19" i="8" s="1"/>
  <c r="AB19" i="8" s="1"/>
  <c r="I70" i="8" a="1"/>
  <c r="I70" i="8" s="1"/>
  <c r="AA70" i="8" s="1"/>
  <c r="J45" i="8" a="1"/>
  <c r="J45" i="8" s="1"/>
  <c r="AB45" i="8" s="1"/>
  <c r="J35" i="8" a="1"/>
  <c r="J35" i="8" s="1"/>
  <c r="AB35" i="8" s="1"/>
  <c r="J76" i="8" a="1"/>
  <c r="J76" i="8" s="1"/>
  <c r="AB76" i="8" s="1"/>
  <c r="H70" i="8" a="1"/>
  <c r="H70" i="8" s="1"/>
  <c r="Z70" i="8" s="1"/>
  <c r="I45" i="8" a="1"/>
  <c r="I45" i="8" s="1"/>
  <c r="AA45" i="8" s="1"/>
  <c r="I35" i="8" a="1"/>
  <c r="I35" i="8" s="1"/>
  <c r="AA35" i="8" s="1"/>
  <c r="I19" i="8" a="1"/>
  <c r="I19" i="8" s="1"/>
  <c r="AA19" i="8" s="1"/>
  <c r="I76" i="8" a="1"/>
  <c r="I76" i="8" s="1"/>
  <c r="AA76" i="8" s="1"/>
  <c r="J69" i="8" a="1"/>
  <c r="J69" i="8" s="1"/>
  <c r="AB69" i="8" s="1"/>
  <c r="H45" i="8" a="1"/>
  <c r="H45" i="8" s="1"/>
  <c r="Z45" i="8" s="1"/>
  <c r="H35" i="8" a="1"/>
  <c r="H35" i="8" s="1"/>
  <c r="Z35" i="8" s="1"/>
  <c r="H76" i="8" a="1"/>
  <c r="H76" i="8" s="1"/>
  <c r="Z76" i="8" s="1"/>
  <c r="I69" i="8" a="1"/>
  <c r="I69" i="8" s="1"/>
  <c r="AA69" i="8" s="1"/>
  <c r="J44" i="8" a="1"/>
  <c r="J44" i="8" s="1"/>
  <c r="AB44" i="8" s="1"/>
  <c r="J75" i="8" a="1"/>
  <c r="J75" i="8" s="1"/>
  <c r="AB75" i="8" s="1"/>
  <c r="H69" i="8" a="1"/>
  <c r="H69" i="8" s="1"/>
  <c r="Z69" i="8" s="1"/>
  <c r="I44" i="8" a="1"/>
  <c r="I44" i="8" s="1"/>
  <c r="AA44" i="8" s="1"/>
  <c r="I75" i="8" a="1"/>
  <c r="I75" i="8" s="1"/>
  <c r="AA75" i="8" s="1"/>
  <c r="J58" i="8" a="1"/>
  <c r="J58" i="8" s="1"/>
  <c r="AB58" i="8" s="1"/>
  <c r="J50" i="8" a="1"/>
  <c r="J50" i="8" s="1"/>
  <c r="AB50" i="8" s="1"/>
  <c r="H44" i="8" a="1"/>
  <c r="H44" i="8" s="1"/>
  <c r="Z44" i="8" s="1"/>
  <c r="I17" i="8" a="1"/>
  <c r="I17" i="8" s="1"/>
  <c r="AA17" i="8" s="1"/>
  <c r="H75" i="8" a="1"/>
  <c r="H75" i="8" s="1"/>
  <c r="Z75" i="8" s="1"/>
  <c r="I58" i="8" a="1"/>
  <c r="I58" i="8" s="1"/>
  <c r="AA58" i="8" s="1"/>
  <c r="I50" i="8" a="1"/>
  <c r="I50" i="8" s="1"/>
  <c r="AA50" i="8" s="1"/>
  <c r="J43" i="8" a="1"/>
  <c r="J43" i="8" s="1"/>
  <c r="AB43" i="8" s="1"/>
  <c r="J17" i="8" a="1"/>
  <c r="J17" i="8" s="1"/>
  <c r="AB17" i="8" s="1"/>
  <c r="J74" i="8" a="1"/>
  <c r="J74" i="8" s="1"/>
  <c r="AB74" i="8" s="1"/>
  <c r="H58" i="8" a="1"/>
  <c r="H58" i="8" s="1"/>
  <c r="Z58" i="8" s="1"/>
  <c r="H50" i="8" a="1"/>
  <c r="H50" i="8" s="1"/>
  <c r="Z50" i="8" s="1"/>
  <c r="I43" i="8" a="1"/>
  <c r="I43" i="8" s="1"/>
  <c r="AA43" i="8" s="1"/>
  <c r="H19" i="8" a="1"/>
  <c r="H19" i="8" s="1"/>
  <c r="Z19" i="8" s="1"/>
  <c r="I74" i="8" a="1"/>
  <c r="I74" i="8" s="1"/>
  <c r="AA74" i="8" s="1"/>
  <c r="J57" i="8" a="1"/>
  <c r="J57" i="8" s="1"/>
  <c r="AB57" i="8" s="1"/>
  <c r="J49" i="8" a="1"/>
  <c r="J49" i="8" s="1"/>
  <c r="AB49" i="8" s="1"/>
  <c r="H43" i="8" a="1"/>
  <c r="H43" i="8" s="1"/>
  <c r="Z43" i="8" s="1"/>
  <c r="J18" i="8" a="1"/>
  <c r="J18" i="8" s="1"/>
  <c r="AB18" i="8" s="1"/>
  <c r="H74" i="8" a="1"/>
  <c r="H74" i="8" s="1"/>
  <c r="Z74" i="8" s="1"/>
  <c r="I57" i="8" a="1"/>
  <c r="I57" i="8" s="1"/>
  <c r="AA57" i="8" s="1"/>
  <c r="I49" i="8" a="1"/>
  <c r="I49" i="8" s="1"/>
  <c r="AA49" i="8" s="1"/>
  <c r="J32" i="8" a="1"/>
  <c r="J32" i="8" s="1"/>
  <c r="AB32" i="8" s="1"/>
  <c r="I18" i="8" a="1"/>
  <c r="I18" i="8" s="1"/>
  <c r="AA18" i="8" s="1"/>
  <c r="J24" i="8" a="1"/>
  <c r="J24" i="8" s="1"/>
  <c r="AB24" i="8" s="1"/>
  <c r="J63" i="8" a="1"/>
  <c r="J63" i="8" s="1"/>
  <c r="AB63" i="8" s="1"/>
  <c r="H57" i="8" a="1"/>
  <c r="H57" i="8" s="1"/>
  <c r="Z57" i="8" s="1"/>
  <c r="H49" i="8" a="1"/>
  <c r="H49" i="8" s="1"/>
  <c r="Z49" i="8" s="1"/>
  <c r="AA32" i="8"/>
  <c r="H18" i="8" a="1"/>
  <c r="H18" i="8" s="1"/>
  <c r="Z18" i="8" s="1"/>
  <c r="I63" i="8" a="1"/>
  <c r="I63" i="8" s="1"/>
  <c r="AA63" i="8" s="1"/>
  <c r="J56" i="8" a="1"/>
  <c r="J56" i="8" s="1"/>
  <c r="AB56" i="8" s="1"/>
  <c r="J48" i="8" a="1"/>
  <c r="J48" i="8" s="1"/>
  <c r="AB48" i="8" s="1"/>
  <c r="H32" i="8" a="1"/>
  <c r="H32" i="8" s="1"/>
  <c r="Z32" i="8" s="1"/>
  <c r="I24" i="8" a="1"/>
  <c r="I24" i="8" s="1"/>
  <c r="AA24" i="8" s="1"/>
  <c r="H63" i="8" a="1"/>
  <c r="H63" i="8" s="1"/>
  <c r="Z63" i="8" s="1"/>
  <c r="I56" i="8" a="1"/>
  <c r="I56" i="8" s="1"/>
  <c r="AA56" i="8" s="1"/>
  <c r="I48" i="8" a="1"/>
  <c r="I48" i="8" s="1"/>
  <c r="AA48" i="8" s="1"/>
  <c r="J31" i="8" a="1"/>
  <c r="J31" i="8" s="1"/>
  <c r="AB31" i="8" s="1"/>
  <c r="H24" i="8" a="1"/>
  <c r="H24" i="8" s="1"/>
  <c r="Z24" i="8" s="1"/>
  <c r="E38" i="4"/>
  <c r="R56" i="4"/>
  <c r="E67" i="4"/>
  <c r="E80" i="4"/>
  <c r="E85" i="4"/>
  <c r="E95" i="4"/>
  <c r="E9" i="8"/>
  <c r="E70" i="4"/>
  <c r="E53" i="4"/>
  <c r="E100" i="4"/>
  <c r="E6" i="8"/>
  <c r="E49" i="4"/>
  <c r="R55" i="4"/>
  <c r="AU57" i="8"/>
  <c r="E94" i="4"/>
  <c r="AQ70" i="8"/>
  <c r="AU76" i="8"/>
  <c r="E77" i="8"/>
  <c r="AU62" i="8"/>
  <c r="E64" i="8"/>
  <c r="AQ61" i="8"/>
  <c r="AQ62" i="8"/>
  <c r="AU58" i="8"/>
  <c r="AU56" i="8"/>
  <c r="AS44" i="8"/>
  <c r="AQ49" i="8"/>
  <c r="AQ45" i="8"/>
  <c r="AU50" i="8"/>
  <c r="AU49" i="8"/>
  <c r="E51" i="8"/>
  <c r="E38" i="8"/>
  <c r="AU37" i="8"/>
  <c r="AU32" i="8"/>
  <c r="O18" i="8"/>
  <c r="AS18" i="8" s="1"/>
  <c r="O23" i="8"/>
  <c r="AS23" i="8" s="1"/>
  <c r="O22" i="8"/>
  <c r="AS22" i="8" s="1"/>
  <c r="O19" i="8"/>
  <c r="AS19" i="8" s="1"/>
  <c r="O17" i="8"/>
  <c r="N23" i="8"/>
  <c r="AQ23" i="8" s="1"/>
  <c r="N22" i="8"/>
  <c r="AQ22" i="8" s="1"/>
  <c r="P22" i="8"/>
  <c r="AU22" i="8" s="1"/>
  <c r="N24" i="8"/>
  <c r="AQ24" i="8" s="1"/>
  <c r="E25" i="8"/>
  <c r="P24" i="8"/>
  <c r="AU24" i="8" s="1"/>
  <c r="P23" i="8"/>
  <c r="AU23" i="8" s="1"/>
  <c r="P19" i="8"/>
  <c r="AU19" i="8" s="1"/>
  <c r="N19" i="8"/>
  <c r="AQ19" i="8" s="1"/>
  <c r="P18" i="8"/>
  <c r="AU18" i="8" s="1"/>
  <c r="N18" i="8"/>
  <c r="AQ18" i="8" s="1"/>
  <c r="E12" i="8" l="1"/>
  <c r="AQ21" i="8"/>
  <c r="Q20" i="8"/>
  <c r="Q21" i="8"/>
  <c r="AU20" i="8"/>
  <c r="AU21" i="8"/>
  <c r="AQ20" i="8"/>
  <c r="AQ25" i="8" s="1"/>
  <c r="AS21" i="8"/>
  <c r="AS20" i="8"/>
  <c r="Q73" i="8"/>
  <c r="AW73" i="8" s="1"/>
  <c r="Q72" i="8"/>
  <c r="AW72" i="8" s="1"/>
  <c r="Q60" i="8"/>
  <c r="AW60" i="8" s="1"/>
  <c r="Q59" i="8"/>
  <c r="AW59" i="8" s="1"/>
  <c r="Q46" i="8"/>
  <c r="AW46" i="8" s="1"/>
  <c r="Q47" i="8"/>
  <c r="AW47" i="8" s="1"/>
  <c r="AQ33" i="8"/>
  <c r="Q33" i="8"/>
  <c r="Q34" i="8"/>
  <c r="Q32" i="8"/>
  <c r="AW32" i="8" s="1"/>
  <c r="AQ34" i="8"/>
  <c r="AQ38" i="8" s="1"/>
  <c r="AA6" i="8"/>
  <c r="AB6" i="8"/>
  <c r="P9" i="8"/>
  <c r="AU9" i="8" s="1"/>
  <c r="P8" i="8"/>
  <c r="AU8" i="8" s="1"/>
  <c r="P7" i="8"/>
  <c r="AU7" i="8" s="1"/>
  <c r="N4" i="8"/>
  <c r="AQ4" i="8" s="1"/>
  <c r="N7" i="8"/>
  <c r="AQ7" i="8" s="1"/>
  <c r="N8" i="8"/>
  <c r="AQ8" i="8" s="1"/>
  <c r="O11" i="8"/>
  <c r="AS11" i="8" s="1"/>
  <c r="O8" i="8"/>
  <c r="AS8" i="8" s="1"/>
  <c r="O7" i="8"/>
  <c r="AS7" i="8" s="1"/>
  <c r="P11" i="8"/>
  <c r="AU11" i="8" s="1"/>
  <c r="N11" i="8"/>
  <c r="AQ11" i="8" s="1"/>
  <c r="N9" i="8"/>
  <c r="AQ9" i="8" s="1"/>
  <c r="N6" i="8"/>
  <c r="AQ6" i="8" s="1"/>
  <c r="N10" i="8"/>
  <c r="AQ10" i="8" s="1"/>
  <c r="N5" i="8"/>
  <c r="AQ5" i="8" s="1"/>
  <c r="K98" i="4"/>
  <c r="AI98" i="4" s="1"/>
  <c r="K102" i="4"/>
  <c r="AI102" i="4" s="1"/>
  <c r="K100" i="4"/>
  <c r="AI100" i="4" s="1"/>
  <c r="K101" i="4"/>
  <c r="K103" i="4"/>
  <c r="K99" i="4"/>
  <c r="AI99" i="4" s="1"/>
  <c r="K95" i="4"/>
  <c r="K97" i="4"/>
  <c r="K94" i="4"/>
  <c r="K96" i="4"/>
  <c r="I97" i="4"/>
  <c r="AG97" i="4" s="1"/>
  <c r="I95" i="4"/>
  <c r="AG95" i="4" s="1"/>
  <c r="I100" i="4"/>
  <c r="I99" i="4"/>
  <c r="I102" i="4"/>
  <c r="AG102" i="4" s="1"/>
  <c r="I101" i="4"/>
  <c r="I94" i="4"/>
  <c r="I103" i="4"/>
  <c r="I98" i="4"/>
  <c r="AG98" i="4" s="1"/>
  <c r="I96" i="4"/>
  <c r="AG96" i="4" s="1"/>
  <c r="J101" i="4"/>
  <c r="AH101" i="4" s="1"/>
  <c r="J97" i="4"/>
  <c r="AH97" i="4" s="1"/>
  <c r="J95" i="4"/>
  <c r="AH95" i="4" s="1"/>
  <c r="J100" i="4"/>
  <c r="AH100" i="4" s="1"/>
  <c r="J96" i="4"/>
  <c r="AH96" i="4" s="1"/>
  <c r="J103" i="4"/>
  <c r="J102" i="4"/>
  <c r="AH102" i="4" s="1"/>
  <c r="J98" i="4"/>
  <c r="AH98" i="4" s="1"/>
  <c r="J99" i="4"/>
  <c r="AH99" i="4" s="1"/>
  <c r="J94" i="4"/>
  <c r="I49" i="4"/>
  <c r="I51" i="4"/>
  <c r="AG51" i="4" s="1"/>
  <c r="I50" i="4"/>
  <c r="I52" i="4"/>
  <c r="I53" i="4"/>
  <c r="I55" i="4"/>
  <c r="I54" i="4"/>
  <c r="I57" i="4"/>
  <c r="I56" i="4"/>
  <c r="AG56" i="4" s="1"/>
  <c r="I58" i="4"/>
  <c r="I4" i="4"/>
  <c r="I13" i="4"/>
  <c r="AG13" i="4" s="1"/>
  <c r="I7" i="4"/>
  <c r="I8" i="4"/>
  <c r="I9" i="4"/>
  <c r="I6" i="4"/>
  <c r="I5" i="4"/>
  <c r="I12" i="4"/>
  <c r="AG12" i="4" s="1"/>
  <c r="I11" i="4"/>
  <c r="I10" i="4"/>
  <c r="D14" i="4"/>
  <c r="C44" i="4"/>
  <c r="B44" i="4"/>
  <c r="D59" i="4"/>
  <c r="O50" i="4" a="1"/>
  <c r="O50" i="4" s="1"/>
  <c r="R50" i="4" s="1"/>
  <c r="O37" i="4" a="1"/>
  <c r="O37" i="4" s="1"/>
  <c r="P23" i="4" a="1"/>
  <c r="P23" i="4" s="1"/>
  <c r="O23" i="4" a="1"/>
  <c r="O23" i="4" s="1"/>
  <c r="P9" i="4" a="1"/>
  <c r="P9" i="4" s="1"/>
  <c r="P5" i="4" a="1"/>
  <c r="P5" i="4" s="1"/>
  <c r="Q26" i="4" a="1"/>
  <c r="Q26" i="4" s="1"/>
  <c r="O9" i="4" a="1"/>
  <c r="O9" i="4" s="1"/>
  <c r="Q5" i="4" a="1"/>
  <c r="Q5" i="4" s="1"/>
  <c r="Q22" i="4" a="1"/>
  <c r="Q22" i="4" s="1"/>
  <c r="P26" i="4" a="1"/>
  <c r="P26" i="4" s="1"/>
  <c r="Q19" i="4" a="1"/>
  <c r="Q19" i="4" s="1"/>
  <c r="P19" i="4" a="1"/>
  <c r="P19" i="4" s="1"/>
  <c r="O5" i="4" a="1"/>
  <c r="O5" i="4" s="1"/>
  <c r="R5" i="4" s="1"/>
  <c r="Q49" i="4" a="1"/>
  <c r="Q49" i="4" s="1"/>
  <c r="Q36" i="4" a="1"/>
  <c r="Q36" i="4" s="1"/>
  <c r="O26" i="4" a="1"/>
  <c r="O26" i="4" s="1"/>
  <c r="O19" i="4" a="1"/>
  <c r="O19" i="4" s="1"/>
  <c r="O38" i="4" a="1"/>
  <c r="O38" i="4" s="1"/>
  <c r="O49" i="4" a="1"/>
  <c r="O49" i="4" s="1"/>
  <c r="R49" i="4" s="1"/>
  <c r="P36" i="4" a="1"/>
  <c r="P36" i="4" s="1"/>
  <c r="O36" i="4" a="1"/>
  <c r="O36" i="4" s="1"/>
  <c r="P22" i="4" a="1"/>
  <c r="P22" i="4" s="1"/>
  <c r="P8" i="4" a="1"/>
  <c r="P8" i="4" s="1"/>
  <c r="Q8" i="4" a="1"/>
  <c r="Q8" i="4" s="1"/>
  <c r="O22" i="4" a="1"/>
  <c r="O22" i="4" s="1"/>
  <c r="O8" i="4" a="1"/>
  <c r="O8" i="4" s="1"/>
  <c r="Q7" i="4" a="1"/>
  <c r="Q7" i="4" s="1"/>
  <c r="Q25" i="4" a="1"/>
  <c r="Q25" i="4" s="1"/>
  <c r="O25" i="4" a="1"/>
  <c r="O25" i="4" s="1"/>
  <c r="Q4" i="4" a="1"/>
  <c r="Q4" i="4" s="1"/>
  <c r="O53" i="4" a="1"/>
  <c r="O53" i="4" s="1"/>
  <c r="R53" i="4" s="1"/>
  <c r="Q41" i="4" a="1"/>
  <c r="Q41" i="4" s="1"/>
  <c r="R41" i="4" s="1"/>
  <c r="Q11" i="4" a="1"/>
  <c r="Q11" i="4" s="1"/>
  <c r="Q35" i="4" a="1"/>
  <c r="Q35" i="4" s="1"/>
  <c r="P11" i="4" a="1"/>
  <c r="P11" i="4" s="1"/>
  <c r="P4" i="4" a="1"/>
  <c r="P4" i="4" s="1"/>
  <c r="O7" i="4" a="1"/>
  <c r="O7" i="4" s="1"/>
  <c r="P35" i="4" a="1"/>
  <c r="P35" i="4" s="1"/>
  <c r="Q21" i="4" a="1"/>
  <c r="Q21" i="4" s="1"/>
  <c r="O11" i="4" a="1"/>
  <c r="O11" i="4" s="1"/>
  <c r="R11" i="4" s="1"/>
  <c r="O4" i="4" a="1"/>
  <c r="O4" i="4" s="1"/>
  <c r="R4" i="4" s="1"/>
  <c r="O35" i="4" a="1"/>
  <c r="O35" i="4" s="1"/>
  <c r="R35" i="4" s="1"/>
  <c r="P21" i="4" a="1"/>
  <c r="P21" i="4" s="1"/>
  <c r="P7" i="4" a="1"/>
  <c r="P7" i="4" s="1"/>
  <c r="AB7" i="4" s="1"/>
  <c r="O21" i="4" a="1"/>
  <c r="O21" i="4" s="1"/>
  <c r="P52" i="4" a="1"/>
  <c r="P52" i="4" s="1"/>
  <c r="R52" i="4" s="1"/>
  <c r="P40" i="4" a="1"/>
  <c r="P40" i="4" s="1"/>
  <c r="Q24" i="4" a="1"/>
  <c r="Q24" i="4" s="1"/>
  <c r="P24" i="4" a="1"/>
  <c r="P24" i="4" s="1"/>
  <c r="Q10" i="4" a="1"/>
  <c r="Q10" i="4" s="1"/>
  <c r="Q115" i="4" s="1"/>
  <c r="P6" i="4" a="1"/>
  <c r="P6" i="4" s="1"/>
  <c r="AB6" i="4" s="1"/>
  <c r="O24" i="4" a="1"/>
  <c r="O24" i="4" s="1"/>
  <c r="R24" i="4" s="1"/>
  <c r="P10" i="4" a="1"/>
  <c r="P10" i="4" s="1"/>
  <c r="Q6" i="4" a="1"/>
  <c r="Q6" i="4" s="1"/>
  <c r="Q64" i="4" a="1"/>
  <c r="Q64" i="4" s="1"/>
  <c r="R64" i="4" s="1"/>
  <c r="Q34" i="4" a="1"/>
  <c r="Q34" i="4" s="1"/>
  <c r="O10" i="4" a="1"/>
  <c r="O10" i="4" s="1"/>
  <c r="AA10" i="4" s="1"/>
  <c r="BI10" i="4" s="1"/>
  <c r="Q9" i="4" a="1"/>
  <c r="Q9" i="4" s="1"/>
  <c r="Q39" i="4" a="1"/>
  <c r="Q39" i="4" s="1"/>
  <c r="AC39" i="4" s="1"/>
  <c r="BM39" i="4" s="1"/>
  <c r="P34" i="4" a="1"/>
  <c r="P34" i="4" s="1"/>
  <c r="P109" i="4" s="1"/>
  <c r="Q20" i="4" a="1"/>
  <c r="Q20" i="4" s="1"/>
  <c r="Q110" i="4" s="1"/>
  <c r="P38" i="4" a="1"/>
  <c r="P38" i="4" s="1"/>
  <c r="P113" i="4" s="1"/>
  <c r="O34" i="4" a="1"/>
  <c r="O34" i="4" s="1"/>
  <c r="R34" i="4" s="1"/>
  <c r="P20" i="4" a="1"/>
  <c r="P20" i="4" s="1"/>
  <c r="P110" i="4" s="1"/>
  <c r="O6" i="4" a="1"/>
  <c r="O6" i="4" s="1"/>
  <c r="R6" i="4" s="1"/>
  <c r="P37" i="4" a="1"/>
  <c r="P37" i="4" s="1"/>
  <c r="AB37" i="4" s="1"/>
  <c r="Q23" i="4" a="1"/>
  <c r="Q23" i="4" s="1"/>
  <c r="Q113" i="4" s="1"/>
  <c r="O20" i="4" a="1"/>
  <c r="O20" i="4" s="1"/>
  <c r="C59" i="4"/>
  <c r="D44" i="4"/>
  <c r="C14" i="4"/>
  <c r="D74" i="4"/>
  <c r="AS38" i="8"/>
  <c r="E28" i="4"/>
  <c r="B118" i="4"/>
  <c r="E27" i="4"/>
  <c r="B117" i="4"/>
  <c r="C29" i="4"/>
  <c r="E87" i="4"/>
  <c r="E88" i="4"/>
  <c r="E43" i="4"/>
  <c r="D117" i="4"/>
  <c r="B29" i="4"/>
  <c r="D89" i="4"/>
  <c r="D118" i="4"/>
  <c r="E12" i="4"/>
  <c r="C117" i="4"/>
  <c r="C89" i="4"/>
  <c r="B89" i="4"/>
  <c r="E72" i="4"/>
  <c r="E13" i="4"/>
  <c r="C118" i="4"/>
  <c r="E73" i="4"/>
  <c r="E42" i="4"/>
  <c r="E57" i="4"/>
  <c r="C74" i="4"/>
  <c r="E58" i="4"/>
  <c r="B74" i="4"/>
  <c r="D29" i="4"/>
  <c r="AS77" i="8"/>
  <c r="R83" i="4"/>
  <c r="AS51" i="8"/>
  <c r="O38" i="8"/>
  <c r="O77" i="8"/>
  <c r="P6" i="8"/>
  <c r="AU6" i="8" s="1"/>
  <c r="AU51" i="8"/>
  <c r="P10" i="8"/>
  <c r="AU10" i="8" s="1"/>
  <c r="P4" i="8"/>
  <c r="AU4" i="8" s="1"/>
  <c r="P5" i="8"/>
  <c r="AU5" i="8" s="1"/>
  <c r="AQ64" i="8"/>
  <c r="O10" i="8"/>
  <c r="AS10" i="8" s="1"/>
  <c r="O5" i="8"/>
  <c r="AS5" i="8" s="1"/>
  <c r="E111" i="4"/>
  <c r="E109" i="4"/>
  <c r="Q62" i="8"/>
  <c r="AW62" i="8" s="1"/>
  <c r="D90" i="8"/>
  <c r="O64" i="8"/>
  <c r="B90" i="8"/>
  <c r="N82" i="8" s="1"/>
  <c r="E110" i="4"/>
  <c r="E112" i="4"/>
  <c r="E83" i="8"/>
  <c r="Q70" i="8"/>
  <c r="AW70" i="8" s="1"/>
  <c r="E88" i="8"/>
  <c r="E115" i="4"/>
  <c r="Q45" i="8"/>
  <c r="AW45" i="8" s="1"/>
  <c r="E114" i="4"/>
  <c r="AS64" i="8"/>
  <c r="E113" i="4"/>
  <c r="E116" i="4"/>
  <c r="E89" i="8"/>
  <c r="H87" i="8"/>
  <c r="Z87" i="8" s="1"/>
  <c r="J82" i="8"/>
  <c r="AB82" i="8" s="1"/>
  <c r="O4" i="8"/>
  <c r="AS4" i="8" s="1"/>
  <c r="C90" i="8"/>
  <c r="H84" i="8"/>
  <c r="Z84" i="8" s="1"/>
  <c r="I82" i="8"/>
  <c r="AA82" i="8" s="1"/>
  <c r="J89" i="8"/>
  <c r="AB89" i="8" s="1"/>
  <c r="E82" i="8"/>
  <c r="I89" i="8"/>
  <c r="AA89" i="8" s="1"/>
  <c r="H89" i="8"/>
  <c r="Z89" i="8" s="1"/>
  <c r="H82" i="8"/>
  <c r="Z82" i="8" s="1"/>
  <c r="I84" i="8"/>
  <c r="AA84" i="8" s="1"/>
  <c r="I88" i="8"/>
  <c r="AA88" i="8" s="1"/>
  <c r="J88" i="8"/>
  <c r="AB88" i="8" s="1"/>
  <c r="H88" i="8"/>
  <c r="Z88" i="8" s="1"/>
  <c r="O25" i="8"/>
  <c r="AS17" i="8"/>
  <c r="AS25" i="8" s="1"/>
  <c r="J84" i="8"/>
  <c r="AB84" i="8" s="1"/>
  <c r="J83" i="8"/>
  <c r="AB83" i="8" s="1"/>
  <c r="H83" i="8"/>
  <c r="Z83" i="8" s="1"/>
  <c r="J87" i="8"/>
  <c r="AB87" i="8" s="1"/>
  <c r="AQ77" i="8"/>
  <c r="I83" i="8"/>
  <c r="AA83" i="8" s="1"/>
  <c r="AU64" i="8"/>
  <c r="O6" i="8"/>
  <c r="AS6" i="8" s="1"/>
  <c r="E84" i="8"/>
  <c r="AU38" i="8"/>
  <c r="E87" i="8"/>
  <c r="Q49" i="8"/>
  <c r="AW49" i="8" s="1"/>
  <c r="AU77" i="8"/>
  <c r="O9" i="8"/>
  <c r="AS9" i="8" s="1"/>
  <c r="AQ51" i="8"/>
  <c r="I87" i="8"/>
  <c r="AA87" i="8" s="1"/>
  <c r="K10" i="8"/>
  <c r="AC10" i="8" s="1"/>
  <c r="K5" i="8"/>
  <c r="AC5" i="8" s="1"/>
  <c r="P116" i="4"/>
  <c r="Q112" i="4"/>
  <c r="Q111" i="4"/>
  <c r="R84" i="4"/>
  <c r="R86" i="4"/>
  <c r="R101" i="4"/>
  <c r="P115" i="4"/>
  <c r="O119" i="4"/>
  <c r="O117" i="4"/>
  <c r="Q118" i="4"/>
  <c r="R94" i="4"/>
  <c r="AA38" i="4"/>
  <c r="BI38" i="4" s="1"/>
  <c r="R96" i="4"/>
  <c r="Q117" i="4"/>
  <c r="Q119" i="4"/>
  <c r="P119" i="4"/>
  <c r="R13" i="4"/>
  <c r="O118" i="4"/>
  <c r="P117" i="4"/>
  <c r="O112" i="4"/>
  <c r="R81" i="4"/>
  <c r="R82" i="4"/>
  <c r="O113" i="4"/>
  <c r="Q109" i="4"/>
  <c r="P118" i="4"/>
  <c r="Q116" i="4"/>
  <c r="R79" i="4"/>
  <c r="R12" i="4"/>
  <c r="R95" i="4"/>
  <c r="AB95" i="4"/>
  <c r="BK95" i="4" s="1"/>
  <c r="R102" i="4"/>
  <c r="R28" i="4"/>
  <c r="R87" i="4"/>
  <c r="R103" i="4"/>
  <c r="R27" i="4"/>
  <c r="R57" i="4"/>
  <c r="R73" i="4"/>
  <c r="R42" i="4"/>
  <c r="R43" i="4"/>
  <c r="R72" i="4"/>
  <c r="R88" i="4"/>
  <c r="R58" i="4"/>
  <c r="AB102" i="4"/>
  <c r="AB103" i="4"/>
  <c r="AC102" i="4"/>
  <c r="AC103" i="4"/>
  <c r="R104" i="4"/>
  <c r="AA102" i="4"/>
  <c r="AA103" i="4"/>
  <c r="AA88" i="4"/>
  <c r="AA87" i="4"/>
  <c r="AB86" i="4"/>
  <c r="AB87" i="4"/>
  <c r="AB88" i="4"/>
  <c r="AC83" i="4"/>
  <c r="AC87" i="4"/>
  <c r="AC88" i="4"/>
  <c r="AA72" i="4"/>
  <c r="AA73" i="4"/>
  <c r="AB71" i="4"/>
  <c r="BK71" i="4" s="1"/>
  <c r="AB72" i="4"/>
  <c r="AB73" i="4"/>
  <c r="AC71" i="4"/>
  <c r="BM71" i="4" s="1"/>
  <c r="AC73" i="4"/>
  <c r="AC72" i="4"/>
  <c r="AA50" i="4"/>
  <c r="BI50" i="4" s="1"/>
  <c r="AA58" i="4"/>
  <c r="AA57" i="4"/>
  <c r="AB55" i="4"/>
  <c r="AB58" i="4"/>
  <c r="AB57" i="4"/>
  <c r="AC56" i="4"/>
  <c r="BM56" i="4" s="1"/>
  <c r="AC57" i="4"/>
  <c r="AC58" i="4"/>
  <c r="R98" i="4"/>
  <c r="AA43" i="4"/>
  <c r="AA42" i="4"/>
  <c r="AC40" i="4"/>
  <c r="BM40" i="4" s="1"/>
  <c r="AC42" i="4"/>
  <c r="AC43" i="4"/>
  <c r="AB42" i="4"/>
  <c r="AB43" i="4"/>
  <c r="AA28" i="4"/>
  <c r="AA27" i="4"/>
  <c r="AB26" i="4"/>
  <c r="AB28" i="4"/>
  <c r="AB27" i="4"/>
  <c r="AC22" i="4"/>
  <c r="BM22" i="4" s="1"/>
  <c r="AC28" i="4"/>
  <c r="AC27" i="4"/>
  <c r="AA9" i="4"/>
  <c r="BI9" i="4" s="1"/>
  <c r="AA13" i="4"/>
  <c r="AA12" i="4"/>
  <c r="AB12" i="4"/>
  <c r="AB13" i="4"/>
  <c r="AC7" i="4"/>
  <c r="AC12" i="4"/>
  <c r="AC13" i="4"/>
  <c r="R74" i="4"/>
  <c r="AA85" i="4"/>
  <c r="BI85" i="4" s="1"/>
  <c r="R80" i="4"/>
  <c r="R89" i="4"/>
  <c r="K4" i="8"/>
  <c r="AC4" i="8" s="1"/>
  <c r="AB85" i="4"/>
  <c r="AA97" i="4"/>
  <c r="AB84" i="4"/>
  <c r="J12" i="8"/>
  <c r="V6" i="8" s="1"/>
  <c r="AB79" i="4"/>
  <c r="K76" i="8"/>
  <c r="AC76" i="8" s="1"/>
  <c r="AA80" i="4"/>
  <c r="BI80" i="4" s="1"/>
  <c r="R100" i="4"/>
  <c r="R29" i="4"/>
  <c r="R97" i="4"/>
  <c r="AB67" i="4"/>
  <c r="R99" i="4"/>
  <c r="K11" i="8"/>
  <c r="AC11" i="8" s="1"/>
  <c r="I12" i="8"/>
  <c r="U6" i="8" s="1"/>
  <c r="K44" i="8"/>
  <c r="AC44" i="8" s="1"/>
  <c r="K22" i="8"/>
  <c r="AC22" i="8" s="1"/>
  <c r="K9" i="8"/>
  <c r="AC9" i="8" s="1"/>
  <c r="H12" i="8"/>
  <c r="K6" i="8"/>
  <c r="K50" i="8"/>
  <c r="AC50" i="8" s="1"/>
  <c r="K57" i="8"/>
  <c r="AC57" i="8" s="1"/>
  <c r="K74" i="8"/>
  <c r="AC74" i="8" s="1"/>
  <c r="R44" i="4"/>
  <c r="AA86" i="4"/>
  <c r="AB70" i="4"/>
  <c r="AB40" i="4"/>
  <c r="AC35" i="4"/>
  <c r="BM35" i="4" s="1"/>
  <c r="AC54" i="4"/>
  <c r="BM54" i="4" s="1"/>
  <c r="AB22" i="4"/>
  <c r="BK22" i="4" s="1"/>
  <c r="AC36" i="4"/>
  <c r="BM36" i="4" s="1"/>
  <c r="AA71" i="4"/>
  <c r="BI71" i="4" s="1"/>
  <c r="AC53" i="4"/>
  <c r="BM53" i="4" s="1"/>
  <c r="AC55" i="4"/>
  <c r="BM55" i="4" s="1"/>
  <c r="R14" i="4"/>
  <c r="R59" i="4"/>
  <c r="AC4" i="4"/>
  <c r="AC52" i="4"/>
  <c r="AC51" i="4"/>
  <c r="AC34" i="4"/>
  <c r="AC37" i="4"/>
  <c r="BM37" i="4" s="1"/>
  <c r="AA70" i="4"/>
  <c r="BI70" i="4" s="1"/>
  <c r="AC41" i="4"/>
  <c r="BM41" i="4" s="1"/>
  <c r="AC50" i="4"/>
  <c r="BM50" i="4" s="1"/>
  <c r="AA39" i="4"/>
  <c r="R85" i="4"/>
  <c r="AC38" i="4"/>
  <c r="BM38" i="4" s="1"/>
  <c r="AB41" i="4"/>
  <c r="BK41" i="4" s="1"/>
  <c r="AC19" i="4"/>
  <c r="AC49" i="4"/>
  <c r="AA40" i="4"/>
  <c r="AA79" i="4"/>
  <c r="K49" i="8"/>
  <c r="AC49" i="8" s="1"/>
  <c r="K58" i="8"/>
  <c r="AC58" i="8" s="1"/>
  <c r="I64" i="8"/>
  <c r="K18" i="8"/>
  <c r="AC18" i="8" s="1"/>
  <c r="K37" i="8"/>
  <c r="AC37" i="8" s="1"/>
  <c r="AA64" i="4"/>
  <c r="AB35" i="4"/>
  <c r="BK35" i="4" s="1"/>
  <c r="AC26" i="4"/>
  <c r="AA66" i="4"/>
  <c r="BI66" i="4" s="1"/>
  <c r="AB100" i="4"/>
  <c r="BK100" i="4" s="1"/>
  <c r="AB98" i="4"/>
  <c r="BK98" i="4" s="1"/>
  <c r="AA68" i="4"/>
  <c r="BI68" i="4" s="1"/>
  <c r="AA36" i="4"/>
  <c r="AA96" i="4"/>
  <c r="BI96" i="4" s="1"/>
  <c r="AB66" i="4"/>
  <c r="BK66" i="4" s="1"/>
  <c r="AC67" i="4"/>
  <c r="BM67" i="4" s="1"/>
  <c r="AB99" i="4"/>
  <c r="AA41" i="4"/>
  <c r="BI41" i="4" s="1"/>
  <c r="AB80" i="4"/>
  <c r="AA84" i="4"/>
  <c r="BI84" i="4" s="1"/>
  <c r="AA81" i="4"/>
  <c r="BI81" i="4" s="1"/>
  <c r="AB49" i="4"/>
  <c r="AB52" i="4"/>
  <c r="AB21" i="4"/>
  <c r="AA98" i="4"/>
  <c r="AC69" i="4"/>
  <c r="AA7" i="4"/>
  <c r="BI7" i="4" s="1"/>
  <c r="AA94" i="4"/>
  <c r="AA95" i="4"/>
  <c r="AC66" i="4"/>
  <c r="BM66" i="4" s="1"/>
  <c r="AC79" i="4"/>
  <c r="AA5" i="4"/>
  <c r="BI5" i="4" s="1"/>
  <c r="AA101" i="4"/>
  <c r="AA8" i="4"/>
  <c r="BI8" i="4" s="1"/>
  <c r="AB96" i="4"/>
  <c r="BK96" i="4" s="1"/>
  <c r="AB97" i="4"/>
  <c r="BK97" i="4" s="1"/>
  <c r="AA99" i="4"/>
  <c r="AB23" i="4"/>
  <c r="AB94" i="4"/>
  <c r="AA37" i="4"/>
  <c r="AB64" i="4"/>
  <c r="AB101" i="4"/>
  <c r="O51" i="8"/>
  <c r="P25" i="8"/>
  <c r="AC95" i="4"/>
  <c r="AC97" i="4"/>
  <c r="BM97" i="4" s="1"/>
  <c r="AC94" i="4"/>
  <c r="AC98" i="4"/>
  <c r="AC100" i="4"/>
  <c r="BM100" i="4" s="1"/>
  <c r="AC99" i="4"/>
  <c r="AC101" i="4"/>
  <c r="AC96" i="4"/>
  <c r="K24" i="8"/>
  <c r="AC24" i="8" s="1"/>
  <c r="K63" i="8"/>
  <c r="AC63" i="8" s="1"/>
  <c r="P51" i="8"/>
  <c r="K32" i="8"/>
  <c r="AC32" i="8" s="1"/>
  <c r="J64" i="8"/>
  <c r="K19" i="8"/>
  <c r="AC19" i="8" s="1"/>
  <c r="K70" i="8"/>
  <c r="AC70" i="8" s="1"/>
  <c r="K30" i="8"/>
  <c r="AC30" i="8" s="1"/>
  <c r="H38" i="8"/>
  <c r="AA53" i="4"/>
  <c r="AA49" i="4"/>
  <c r="AB82" i="4"/>
  <c r="AC84" i="4"/>
  <c r="AC85" i="4"/>
  <c r="AC81" i="4"/>
  <c r="AA25" i="4"/>
  <c r="I51" i="8"/>
  <c r="K69" i="8"/>
  <c r="AC69" i="8" s="1"/>
  <c r="H77" i="8"/>
  <c r="AB56" i="4"/>
  <c r="AC8" i="4"/>
  <c r="BM8" i="4" s="1"/>
  <c r="AA55" i="4"/>
  <c r="AB68" i="4"/>
  <c r="AB81" i="4"/>
  <c r="AB51" i="4"/>
  <c r="AB69" i="4"/>
  <c r="BK69" i="4" s="1"/>
  <c r="AA26" i="4"/>
  <c r="AB65" i="4"/>
  <c r="J25" i="8"/>
  <c r="I38" i="8"/>
  <c r="K48" i="8"/>
  <c r="AC48" i="8" s="1"/>
  <c r="AA21" i="4"/>
  <c r="K56" i="8"/>
  <c r="AC56" i="8" s="1"/>
  <c r="H64" i="8"/>
  <c r="AA51" i="4"/>
  <c r="J51" i="8"/>
  <c r="I77" i="8"/>
  <c r="AB54" i="4"/>
  <c r="AA65" i="4"/>
  <c r="AA67" i="4"/>
  <c r="AB11" i="4"/>
  <c r="AB10" i="4"/>
  <c r="AB5" i="4"/>
  <c r="K36" i="8"/>
  <c r="AC36" i="8" s="1"/>
  <c r="AC82" i="4"/>
  <c r="AA54" i="4"/>
  <c r="BI54" i="4" s="1"/>
  <c r="AC64" i="4"/>
  <c r="AA19" i="4"/>
  <c r="K75" i="8"/>
  <c r="AC75" i="8" s="1"/>
  <c r="K35" i="8"/>
  <c r="AC35" i="8" s="1"/>
  <c r="K23" i="8"/>
  <c r="AC23" i="8" s="1"/>
  <c r="I25" i="8"/>
  <c r="K45" i="8"/>
  <c r="AC45" i="8" s="1"/>
  <c r="J38" i="8"/>
  <c r="AA23" i="4"/>
  <c r="AC68" i="4"/>
  <c r="AA52" i="4"/>
  <c r="BI52" i="4" s="1"/>
  <c r="AA82" i="4"/>
  <c r="AB4" i="4"/>
  <c r="AB53" i="4"/>
  <c r="AB19" i="4"/>
  <c r="AB29" i="4" s="1"/>
  <c r="AB8" i="4"/>
  <c r="AC11" i="4"/>
  <c r="BM11" i="4" s="1"/>
  <c r="AB9" i="4"/>
  <c r="J77" i="8"/>
  <c r="AC65" i="4"/>
  <c r="K62" i="8"/>
  <c r="AC62" i="8" s="1"/>
  <c r="AC80" i="4"/>
  <c r="AA100" i="4"/>
  <c r="AC70" i="4"/>
  <c r="AC21" i="4"/>
  <c r="BM21" i="4" s="1"/>
  <c r="AB83" i="4"/>
  <c r="AC5" i="4"/>
  <c r="BM5" i="4" s="1"/>
  <c r="K43" i="8"/>
  <c r="AC43" i="8" s="1"/>
  <c r="H51" i="8"/>
  <c r="AA56" i="4"/>
  <c r="AC6" i="4"/>
  <c r="K61" i="8"/>
  <c r="AC61" i="8" s="1"/>
  <c r="AB50" i="4"/>
  <c r="BK50" i="4" s="1"/>
  <c r="AB36" i="4"/>
  <c r="AB39" i="4"/>
  <c r="K71" i="8"/>
  <c r="AC71" i="8" s="1"/>
  <c r="AC86" i="4"/>
  <c r="AB25" i="4"/>
  <c r="AC25" i="4"/>
  <c r="H25" i="8"/>
  <c r="K17" i="8"/>
  <c r="AC17" i="8" s="1"/>
  <c r="K31" i="8"/>
  <c r="AC31" i="8" s="1"/>
  <c r="AA22" i="4"/>
  <c r="AA69" i="4"/>
  <c r="AA83" i="4"/>
  <c r="P77" i="8"/>
  <c r="N77" i="8"/>
  <c r="Q75" i="8"/>
  <c r="AW75" i="8" s="1"/>
  <c r="Q69" i="8"/>
  <c r="AW69" i="8" s="1"/>
  <c r="Q76" i="8"/>
  <c r="AW76" i="8" s="1"/>
  <c r="Q74" i="8"/>
  <c r="AW74" i="8" s="1"/>
  <c r="Q71" i="8"/>
  <c r="AW71" i="8" s="1"/>
  <c r="Q61" i="8"/>
  <c r="AW61" i="8" s="1"/>
  <c r="P64" i="8"/>
  <c r="Q58" i="8"/>
  <c r="AW58" i="8" s="1"/>
  <c r="N64" i="8"/>
  <c r="Q56" i="8"/>
  <c r="AW56" i="8" s="1"/>
  <c r="Q63" i="8"/>
  <c r="AW63" i="8" s="1"/>
  <c r="Q57" i="8"/>
  <c r="AW57" i="8" s="1"/>
  <c r="Q48" i="8"/>
  <c r="AW48" i="8" s="1"/>
  <c r="N51" i="8"/>
  <c r="Q43" i="8"/>
  <c r="AW43" i="8" s="1"/>
  <c r="Q50" i="8"/>
  <c r="AW50" i="8" s="1"/>
  <c r="Q44" i="8"/>
  <c r="AW44" i="8" s="1"/>
  <c r="P38" i="8"/>
  <c r="N38" i="8"/>
  <c r="Q37" i="8"/>
  <c r="AW37" i="8" s="1"/>
  <c r="Q30" i="8"/>
  <c r="AW30" i="8" s="1"/>
  <c r="Q31" i="8"/>
  <c r="AW31" i="8" s="1"/>
  <c r="Q35" i="8"/>
  <c r="AW35" i="8" s="1"/>
  <c r="Q36" i="8"/>
  <c r="AW36" i="8" s="1"/>
  <c r="N25" i="8"/>
  <c r="Q24" i="8"/>
  <c r="AW24" i="8" s="1"/>
  <c r="Q17" i="8"/>
  <c r="AW17" i="8" s="1"/>
  <c r="Q19" i="8"/>
  <c r="AW19" i="8" s="1"/>
  <c r="Q18" i="8"/>
  <c r="AW18" i="8" s="1"/>
  <c r="Q22" i="8"/>
  <c r="AW22" i="8" s="1"/>
  <c r="Q23" i="8"/>
  <c r="AW23" i="8" s="1"/>
  <c r="T20" i="8" l="1"/>
  <c r="T21" i="8"/>
  <c r="V21" i="8"/>
  <c r="V20" i="8"/>
  <c r="U21" i="8"/>
  <c r="U20" i="8"/>
  <c r="AU25" i="8"/>
  <c r="E74" i="4"/>
  <c r="AW21" i="8"/>
  <c r="AW20" i="8"/>
  <c r="AW25" i="8" s="1"/>
  <c r="J39" i="4"/>
  <c r="AH39" i="4" s="1"/>
  <c r="J41" i="4"/>
  <c r="J42" i="4"/>
  <c r="J36" i="4"/>
  <c r="J37" i="4"/>
  <c r="J38" i="4"/>
  <c r="J40" i="4"/>
  <c r="AH40" i="4" s="1"/>
  <c r="J43" i="4"/>
  <c r="J35" i="4"/>
  <c r="J34" i="4"/>
  <c r="K42" i="4"/>
  <c r="K39" i="4"/>
  <c r="AI39" i="4" s="1"/>
  <c r="K38" i="4"/>
  <c r="K43" i="4"/>
  <c r="K37" i="4"/>
  <c r="K36" i="4"/>
  <c r="K41" i="4"/>
  <c r="K35" i="4"/>
  <c r="K34" i="4"/>
  <c r="K40" i="4"/>
  <c r="AI40" i="4" s="1"/>
  <c r="I39" i="4"/>
  <c r="I35" i="4"/>
  <c r="AG35" i="4" s="1"/>
  <c r="I42" i="4"/>
  <c r="AG42" i="4" s="1"/>
  <c r="I40" i="4"/>
  <c r="I38" i="4"/>
  <c r="I43" i="4"/>
  <c r="I41" i="4"/>
  <c r="I37" i="4"/>
  <c r="AG37" i="4" s="1"/>
  <c r="I34" i="4"/>
  <c r="AG34" i="4" s="1"/>
  <c r="I36" i="4"/>
  <c r="AG36" i="4" s="1"/>
  <c r="P89" i="8"/>
  <c r="AU89" i="8" s="1"/>
  <c r="P84" i="8"/>
  <c r="AU84" i="8" s="1"/>
  <c r="P88" i="8"/>
  <c r="AU88" i="8" s="1"/>
  <c r="P83" i="8"/>
  <c r="AU83" i="8" s="1"/>
  <c r="P87" i="8"/>
  <c r="AU87" i="8" s="1"/>
  <c r="P82" i="8"/>
  <c r="AU82" i="8" s="1"/>
  <c r="P85" i="8"/>
  <c r="AU85" i="8" s="1"/>
  <c r="P86" i="8"/>
  <c r="AU86" i="8" s="1"/>
  <c r="O89" i="8"/>
  <c r="AS89" i="8" s="1"/>
  <c r="O84" i="8"/>
  <c r="AS84" i="8" s="1"/>
  <c r="O88" i="8"/>
  <c r="AS88" i="8" s="1"/>
  <c r="O83" i="8"/>
  <c r="AS83" i="8" s="1"/>
  <c r="O85" i="8"/>
  <c r="AS85" i="8" s="1"/>
  <c r="O87" i="8"/>
  <c r="AS87" i="8" s="1"/>
  <c r="O82" i="8"/>
  <c r="AS82" i="8" s="1"/>
  <c r="O86" i="8"/>
  <c r="AS86" i="8" s="1"/>
  <c r="AB77" i="8"/>
  <c r="V73" i="8"/>
  <c r="V72" i="8"/>
  <c r="AA77" i="8"/>
  <c r="U72" i="8"/>
  <c r="U73" i="8"/>
  <c r="T73" i="8"/>
  <c r="T72" i="8"/>
  <c r="V59" i="8"/>
  <c r="V60" i="8"/>
  <c r="Z64" i="8"/>
  <c r="T59" i="8"/>
  <c r="T60" i="8"/>
  <c r="U59" i="8"/>
  <c r="U60" i="8"/>
  <c r="Z51" i="8"/>
  <c r="T47" i="8"/>
  <c r="T46" i="8"/>
  <c r="U46" i="8"/>
  <c r="U47" i="8"/>
  <c r="AB51" i="8"/>
  <c r="V47" i="8"/>
  <c r="V46" i="8"/>
  <c r="Z38" i="8"/>
  <c r="T34" i="8"/>
  <c r="T33" i="8"/>
  <c r="AA38" i="8"/>
  <c r="U34" i="8"/>
  <c r="U33" i="8"/>
  <c r="AB38" i="8"/>
  <c r="V33" i="8"/>
  <c r="V34" i="8"/>
  <c r="AW33" i="8"/>
  <c r="AW38" i="8" s="1"/>
  <c r="N86" i="8"/>
  <c r="N89" i="8"/>
  <c r="AQ89" i="8" s="1"/>
  <c r="N87" i="8"/>
  <c r="AQ87" i="8" s="1"/>
  <c r="N85" i="8"/>
  <c r="N84" i="8"/>
  <c r="AQ84" i="8" s="1"/>
  <c r="N88" i="8"/>
  <c r="AQ88" i="8" s="1"/>
  <c r="N83" i="8"/>
  <c r="AQ83" i="8" s="1"/>
  <c r="AW34" i="8"/>
  <c r="AC6" i="8"/>
  <c r="Z12" i="8"/>
  <c r="T7" i="8"/>
  <c r="T6" i="8"/>
  <c r="T8" i="8"/>
  <c r="AA12" i="8"/>
  <c r="U7" i="8"/>
  <c r="U8" i="8"/>
  <c r="AB12" i="8"/>
  <c r="V7" i="8"/>
  <c r="V8" i="8"/>
  <c r="Q4" i="8"/>
  <c r="AW4" i="8" s="1"/>
  <c r="Q7" i="8"/>
  <c r="Q8" i="8"/>
  <c r="AQ12" i="8"/>
  <c r="N12" i="8"/>
  <c r="Q9" i="8"/>
  <c r="AW9" i="8" s="1"/>
  <c r="Q11" i="8"/>
  <c r="AW11" i="8" s="1"/>
  <c r="Q10" i="8"/>
  <c r="AW10" i="8" s="1"/>
  <c r="L99" i="4"/>
  <c r="AJ99" i="4" s="1"/>
  <c r="E90" i="8"/>
  <c r="Q6" i="8"/>
  <c r="AW6" i="8" s="1"/>
  <c r="Q5" i="8"/>
  <c r="AW5" i="8" s="1"/>
  <c r="L100" i="4"/>
  <c r="AJ100" i="4" s="1"/>
  <c r="AG99" i="4"/>
  <c r="AG100" i="4"/>
  <c r="J81" i="4"/>
  <c r="AH81" i="4" s="1"/>
  <c r="J82" i="4"/>
  <c r="AH82" i="4" s="1"/>
  <c r="J88" i="4"/>
  <c r="AH88" i="4" s="1"/>
  <c r="J85" i="4"/>
  <c r="AH85" i="4" s="1"/>
  <c r="J86" i="4"/>
  <c r="AH86" i="4" s="1"/>
  <c r="J80" i="4"/>
  <c r="AH80" i="4" s="1"/>
  <c r="J83" i="4"/>
  <c r="AH83" i="4" s="1"/>
  <c r="J87" i="4"/>
  <c r="AH87" i="4" s="1"/>
  <c r="J84" i="4"/>
  <c r="AH84" i="4" s="1"/>
  <c r="J79" i="4"/>
  <c r="AH79" i="4" s="1"/>
  <c r="K88" i="4"/>
  <c r="AI88" i="4" s="1"/>
  <c r="K83" i="4"/>
  <c r="AI83" i="4" s="1"/>
  <c r="K85" i="4"/>
  <c r="AI85" i="4" s="1"/>
  <c r="K81" i="4"/>
  <c r="AI81" i="4" s="1"/>
  <c r="K82" i="4"/>
  <c r="AI82" i="4" s="1"/>
  <c r="K84" i="4"/>
  <c r="AI84" i="4" s="1"/>
  <c r="K80" i="4"/>
  <c r="AI80" i="4" s="1"/>
  <c r="K79" i="4"/>
  <c r="AI79" i="4" s="1"/>
  <c r="K87" i="4"/>
  <c r="AI87" i="4" s="1"/>
  <c r="K86" i="4"/>
  <c r="AI86" i="4" s="1"/>
  <c r="I84" i="4"/>
  <c r="I79" i="4"/>
  <c r="AG79" i="4" s="1"/>
  <c r="I80" i="4"/>
  <c r="I87" i="4"/>
  <c r="I85" i="4"/>
  <c r="I86" i="4"/>
  <c r="I81" i="4"/>
  <c r="AG81" i="4" s="1"/>
  <c r="I88" i="4"/>
  <c r="I82" i="4"/>
  <c r="I83" i="4"/>
  <c r="AG83" i="4" s="1"/>
  <c r="J72" i="4"/>
  <c r="AH72" i="4" s="1"/>
  <c r="J71" i="4"/>
  <c r="AH71" i="4" s="1"/>
  <c r="J67" i="4"/>
  <c r="AH67" i="4" s="1"/>
  <c r="J66" i="4"/>
  <c r="AH66" i="4" s="1"/>
  <c r="J70" i="4"/>
  <c r="AH70" i="4" s="1"/>
  <c r="J65" i="4"/>
  <c r="AH65" i="4" s="1"/>
  <c r="J68" i="4"/>
  <c r="AH68" i="4" s="1"/>
  <c r="J69" i="4"/>
  <c r="AH69" i="4" s="1"/>
  <c r="J73" i="4"/>
  <c r="AH73" i="4" s="1"/>
  <c r="J64" i="4"/>
  <c r="AH64" i="4" s="1"/>
  <c r="K67" i="4"/>
  <c r="AI67" i="4" s="1"/>
  <c r="K73" i="4"/>
  <c r="AI73" i="4" s="1"/>
  <c r="K66" i="4"/>
  <c r="AI66" i="4" s="1"/>
  <c r="K65" i="4"/>
  <c r="AI65" i="4" s="1"/>
  <c r="K71" i="4"/>
  <c r="AI71" i="4" s="1"/>
  <c r="K70" i="4"/>
  <c r="AI70" i="4" s="1"/>
  <c r="K69" i="4"/>
  <c r="AI69" i="4" s="1"/>
  <c r="K64" i="4"/>
  <c r="AI64" i="4" s="1"/>
  <c r="K68" i="4"/>
  <c r="AI68" i="4" s="1"/>
  <c r="K72" i="4"/>
  <c r="AI72" i="4" s="1"/>
  <c r="I64" i="4"/>
  <c r="AG64" i="4" s="1"/>
  <c r="I67" i="4"/>
  <c r="AG67" i="4" s="1"/>
  <c r="I65" i="4"/>
  <c r="AG65" i="4" s="1"/>
  <c r="I68" i="4"/>
  <c r="AG68" i="4" s="1"/>
  <c r="I66" i="4"/>
  <c r="AG66" i="4" s="1"/>
  <c r="I70" i="4"/>
  <c r="I69" i="4"/>
  <c r="I72" i="4"/>
  <c r="I71" i="4"/>
  <c r="AG71" i="4" s="1"/>
  <c r="I73" i="4"/>
  <c r="AG73" i="4" s="1"/>
  <c r="J53" i="4"/>
  <c r="AH53" i="4" s="1"/>
  <c r="J57" i="4"/>
  <c r="AH57" i="4" s="1"/>
  <c r="J52" i="4"/>
  <c r="AH52" i="4" s="1"/>
  <c r="J51" i="4"/>
  <c r="AH51" i="4" s="1"/>
  <c r="J56" i="4"/>
  <c r="AH56" i="4" s="1"/>
  <c r="J55" i="4"/>
  <c r="AH55" i="4" s="1"/>
  <c r="J50" i="4"/>
  <c r="AH50" i="4" s="1"/>
  <c r="J54" i="4"/>
  <c r="AH54" i="4" s="1"/>
  <c r="J58" i="4"/>
  <c r="AH58" i="4" s="1"/>
  <c r="J49" i="4"/>
  <c r="AH49" i="4" s="1"/>
  <c r="K52" i="4"/>
  <c r="AI52" i="4" s="1"/>
  <c r="K57" i="4"/>
  <c r="AI57" i="4" s="1"/>
  <c r="K51" i="4"/>
  <c r="AI51" i="4" s="1"/>
  <c r="K56" i="4"/>
  <c r="AI56" i="4" s="1"/>
  <c r="K50" i="4"/>
  <c r="AI50" i="4" s="1"/>
  <c r="K55" i="4"/>
  <c r="AI55" i="4" s="1"/>
  <c r="K54" i="4"/>
  <c r="AI54" i="4" s="1"/>
  <c r="K58" i="4"/>
  <c r="AI58" i="4" s="1"/>
  <c r="K49" i="4"/>
  <c r="AI49" i="4" s="1"/>
  <c r="K53" i="4"/>
  <c r="AI53" i="4" s="1"/>
  <c r="AG54" i="4"/>
  <c r="AG55" i="4"/>
  <c r="K22" i="4"/>
  <c r="AI22" i="4" s="1"/>
  <c r="K19" i="4"/>
  <c r="AI19" i="4" s="1"/>
  <c r="K26" i="4"/>
  <c r="AI26" i="4" s="1"/>
  <c r="K20" i="4"/>
  <c r="AI20" i="4" s="1"/>
  <c r="K28" i="4"/>
  <c r="AI28" i="4" s="1"/>
  <c r="K24" i="4"/>
  <c r="AI24" i="4" s="1"/>
  <c r="K21" i="4"/>
  <c r="AI21" i="4" s="1"/>
  <c r="K23" i="4"/>
  <c r="AI23" i="4" s="1"/>
  <c r="K27" i="4"/>
  <c r="AI27" i="4" s="1"/>
  <c r="K25" i="4"/>
  <c r="AI25" i="4" s="1"/>
  <c r="I26" i="4"/>
  <c r="AG26" i="4" s="1"/>
  <c r="I23" i="4"/>
  <c r="I19" i="4"/>
  <c r="AG19" i="4" s="1"/>
  <c r="I20" i="4"/>
  <c r="AG20" i="4" s="1"/>
  <c r="I22" i="4"/>
  <c r="AG22" i="4" s="1"/>
  <c r="I28" i="4"/>
  <c r="I24" i="4"/>
  <c r="I21" i="4"/>
  <c r="AG21" i="4" s="1"/>
  <c r="I25" i="4"/>
  <c r="I27" i="4"/>
  <c r="AG27" i="4" s="1"/>
  <c r="AQ82" i="8"/>
  <c r="J19" i="4"/>
  <c r="AH19" i="4" s="1"/>
  <c r="J22" i="4"/>
  <c r="AH22" i="4" s="1"/>
  <c r="J28" i="4"/>
  <c r="AH28" i="4" s="1"/>
  <c r="J26" i="4"/>
  <c r="AH26" i="4" s="1"/>
  <c r="J24" i="4"/>
  <c r="AH24" i="4" s="1"/>
  <c r="J20" i="4"/>
  <c r="AH20" i="4" s="1"/>
  <c r="J21" i="4"/>
  <c r="AH21" i="4" s="1"/>
  <c r="J25" i="4"/>
  <c r="AH25" i="4" s="1"/>
  <c r="J23" i="4"/>
  <c r="AH23" i="4" s="1"/>
  <c r="J27" i="4"/>
  <c r="AH27" i="4" s="1"/>
  <c r="J7" i="4"/>
  <c r="J5" i="4"/>
  <c r="AH5" i="4" s="1"/>
  <c r="J9" i="4"/>
  <c r="J8" i="4"/>
  <c r="AH8" i="4" s="1"/>
  <c r="J10" i="4"/>
  <c r="J12" i="4"/>
  <c r="AH12" i="4" s="1"/>
  <c r="J13" i="4"/>
  <c r="AH13" i="4" s="1"/>
  <c r="J6" i="4"/>
  <c r="AH6" i="4" s="1"/>
  <c r="J4" i="4"/>
  <c r="AH4" i="4" s="1"/>
  <c r="J11" i="4"/>
  <c r="AH11" i="4" s="1"/>
  <c r="K7" i="4"/>
  <c r="AI7" i="4" s="1"/>
  <c r="K11" i="4"/>
  <c r="AI11" i="4" s="1"/>
  <c r="K10" i="4"/>
  <c r="K8" i="4"/>
  <c r="AI8" i="4" s="1"/>
  <c r="K12" i="4"/>
  <c r="AI12" i="4" s="1"/>
  <c r="K13" i="4"/>
  <c r="AI13" i="4" s="1"/>
  <c r="K5" i="4"/>
  <c r="AI5" i="4" s="1"/>
  <c r="K4" i="4"/>
  <c r="AI4" i="4" s="1"/>
  <c r="K6" i="4"/>
  <c r="AI6" i="4" s="1"/>
  <c r="K9" i="4"/>
  <c r="AI9" i="4" s="1"/>
  <c r="AG38" i="4"/>
  <c r="AG41" i="4"/>
  <c r="AG43" i="4"/>
  <c r="E14" i="4"/>
  <c r="BK4" i="4"/>
  <c r="AB14" i="4"/>
  <c r="AA4" i="4"/>
  <c r="BM4" i="4"/>
  <c r="AC14" i="4"/>
  <c r="P111" i="4"/>
  <c r="BM79" i="4"/>
  <c r="AC89" i="4"/>
  <c r="BM49" i="4"/>
  <c r="AC59" i="4"/>
  <c r="R25" i="4"/>
  <c r="BM19" i="4"/>
  <c r="AC29" i="4"/>
  <c r="AB34" i="4"/>
  <c r="P114" i="4"/>
  <c r="AC10" i="4"/>
  <c r="BM10" i="4" s="1"/>
  <c r="AA35" i="4"/>
  <c r="BI35" i="4" s="1"/>
  <c r="AC20" i="4"/>
  <c r="Q114" i="4"/>
  <c r="AC24" i="4"/>
  <c r="BM94" i="4"/>
  <c r="AC104" i="4"/>
  <c r="P112" i="4"/>
  <c r="AB20" i="4"/>
  <c r="O111" i="4"/>
  <c r="BI49" i="4"/>
  <c r="AA59" i="4"/>
  <c r="BI94" i="4"/>
  <c r="AA104" i="4"/>
  <c r="O115" i="4"/>
  <c r="R40" i="4"/>
  <c r="AG9" i="4"/>
  <c r="R9" i="4"/>
  <c r="R8" i="4"/>
  <c r="R21" i="4"/>
  <c r="R22" i="4"/>
  <c r="AD22" i="4" s="1"/>
  <c r="BO22" i="4" s="1"/>
  <c r="R23" i="4"/>
  <c r="R20" i="4"/>
  <c r="BI19" i="4"/>
  <c r="AA29" i="4"/>
  <c r="O116" i="4"/>
  <c r="R36" i="4"/>
  <c r="R37" i="4"/>
  <c r="R39" i="4"/>
  <c r="R38" i="4"/>
  <c r="R10" i="4"/>
  <c r="AG10" i="4"/>
  <c r="R7" i="4"/>
  <c r="R19" i="4"/>
  <c r="AA34" i="4"/>
  <c r="BM64" i="4"/>
  <c r="AC74" i="4"/>
  <c r="AC9" i="4"/>
  <c r="BM9" i="4" s="1"/>
  <c r="BK64" i="4"/>
  <c r="AB74" i="4"/>
  <c r="O110" i="4"/>
  <c r="AA110" i="4" s="1"/>
  <c r="AB38" i="4"/>
  <c r="BI64" i="4"/>
  <c r="AA74" i="4"/>
  <c r="BM34" i="4"/>
  <c r="AC44" i="4"/>
  <c r="AA6" i="4"/>
  <c r="AB24" i="4"/>
  <c r="BK94" i="4"/>
  <c r="AB104" i="4"/>
  <c r="R26" i="4"/>
  <c r="AA20" i="4"/>
  <c r="AA24" i="4"/>
  <c r="C119" i="4"/>
  <c r="O114" i="4"/>
  <c r="O109" i="4"/>
  <c r="AC23" i="4"/>
  <c r="BM23" i="4" s="1"/>
  <c r="BI79" i="4"/>
  <c r="AA89" i="4"/>
  <c r="AC112" i="4"/>
  <c r="BM112" i="4" s="1"/>
  <c r="AA11" i="4"/>
  <c r="BI11" i="4" s="1"/>
  <c r="BK49" i="4"/>
  <c r="AB59" i="4"/>
  <c r="BK79" i="4"/>
  <c r="AB89" i="4"/>
  <c r="E117" i="4"/>
  <c r="E59" i="4"/>
  <c r="D119" i="4"/>
  <c r="AU12" i="8"/>
  <c r="E118" i="4"/>
  <c r="E89" i="4"/>
  <c r="E29" i="4"/>
  <c r="I59" i="4"/>
  <c r="U56" i="4" s="1"/>
  <c r="AX56" i="4" s="1"/>
  <c r="B119" i="4"/>
  <c r="AG57" i="4"/>
  <c r="AG58" i="4"/>
  <c r="K104" i="4"/>
  <c r="W101" i="4" s="1"/>
  <c r="AZ101" i="4" s="1"/>
  <c r="I14" i="4"/>
  <c r="U13" i="4" s="1"/>
  <c r="AI103" i="4"/>
  <c r="AH94" i="4"/>
  <c r="J104" i="4"/>
  <c r="V101" i="4" s="1"/>
  <c r="AY101" i="4" s="1"/>
  <c r="AH103" i="4"/>
  <c r="I104" i="4"/>
  <c r="U103" i="4" s="1"/>
  <c r="AX103" i="4" s="1"/>
  <c r="L101" i="4"/>
  <c r="L103" i="4"/>
  <c r="L102" i="4"/>
  <c r="AG103" i="4"/>
  <c r="T19" i="8"/>
  <c r="AF19" i="8" s="1"/>
  <c r="Z25" i="8"/>
  <c r="U19" i="8"/>
  <c r="AG19" i="8" s="1"/>
  <c r="AA25" i="8"/>
  <c r="V19" i="8"/>
  <c r="AH19" i="8" s="1"/>
  <c r="AB25" i="8"/>
  <c r="T71" i="8"/>
  <c r="AF71" i="8" s="1"/>
  <c r="Z77" i="8"/>
  <c r="AA51" i="8"/>
  <c r="V62" i="8"/>
  <c r="AH62" i="8" s="1"/>
  <c r="AB64" i="8"/>
  <c r="U57" i="8"/>
  <c r="AG57" i="8" s="1"/>
  <c r="AA64" i="8"/>
  <c r="P12" i="8"/>
  <c r="AW51" i="8"/>
  <c r="AW77" i="8"/>
  <c r="O12" i="8"/>
  <c r="K84" i="8"/>
  <c r="AC84" i="8" s="1"/>
  <c r="AH6" i="8"/>
  <c r="J90" i="8"/>
  <c r="T11" i="8"/>
  <c r="AF11" i="8" s="1"/>
  <c r="H90" i="8"/>
  <c r="K87" i="8"/>
  <c r="AC87" i="8" s="1"/>
  <c r="K82" i="8"/>
  <c r="AC82" i="8" s="1"/>
  <c r="K83" i="8"/>
  <c r="AC83" i="8" s="1"/>
  <c r="K88" i="8"/>
  <c r="AC88" i="8" s="1"/>
  <c r="I90" i="8"/>
  <c r="K89" i="8"/>
  <c r="AC89" i="8" s="1"/>
  <c r="AW64" i="8"/>
  <c r="AS12" i="8"/>
  <c r="AC114" i="4"/>
  <c r="AA111" i="4"/>
  <c r="R111" i="4"/>
  <c r="AB115" i="4"/>
  <c r="AC110" i="4"/>
  <c r="BM110" i="4" s="1"/>
  <c r="R115" i="4"/>
  <c r="AA115" i="4"/>
  <c r="AG53" i="4"/>
  <c r="AB111" i="4"/>
  <c r="AI94" i="4"/>
  <c r="R114" i="4"/>
  <c r="AA114" i="4"/>
  <c r="AG6" i="4"/>
  <c r="AC111" i="4"/>
  <c r="AB118" i="4"/>
  <c r="BK118" i="4" s="1"/>
  <c r="AG7" i="4"/>
  <c r="AG94" i="4"/>
  <c r="AG101" i="4"/>
  <c r="AB117" i="4"/>
  <c r="BK117" i="4" s="1"/>
  <c r="AG11" i="4"/>
  <c r="AG4" i="4"/>
  <c r="AB116" i="4"/>
  <c r="AA109" i="4"/>
  <c r="AA119" i="4" s="1"/>
  <c r="R109" i="4"/>
  <c r="AC109" i="4"/>
  <c r="AC119" i="4" s="1"/>
  <c r="AA118" i="4"/>
  <c r="BI118" i="4" s="1"/>
  <c r="R118" i="4"/>
  <c r="AC113" i="4"/>
  <c r="AB114" i="4"/>
  <c r="R119" i="4"/>
  <c r="AI101" i="4"/>
  <c r="AC116" i="4"/>
  <c r="BM116" i="4" s="1"/>
  <c r="AB112" i="4"/>
  <c r="AG5" i="4"/>
  <c r="R116" i="4"/>
  <c r="AC117" i="4"/>
  <c r="BM117" i="4" s="1"/>
  <c r="AA116" i="4"/>
  <c r="AA112" i="4"/>
  <c r="R112" i="4"/>
  <c r="AB110" i="4"/>
  <c r="AI95" i="4"/>
  <c r="AB113" i="4"/>
  <c r="AG49" i="4"/>
  <c r="AC115" i="4"/>
  <c r="AB109" i="4"/>
  <c r="AB119" i="4" s="1"/>
  <c r="AI96" i="4"/>
  <c r="AA117" i="4"/>
  <c r="BI117" i="4" s="1"/>
  <c r="R117" i="4"/>
  <c r="AG50" i="4"/>
  <c r="AI97" i="4"/>
  <c r="AG52" i="4"/>
  <c r="R110" i="4"/>
  <c r="AA113" i="4"/>
  <c r="R113" i="4"/>
  <c r="AC118" i="4"/>
  <c r="BM118" i="4" s="1"/>
  <c r="AD69" i="4"/>
  <c r="BO69" i="4" s="1"/>
  <c r="AD52" i="4"/>
  <c r="BO52" i="4" s="1"/>
  <c r="AD8" i="4"/>
  <c r="BO8" i="4" s="1"/>
  <c r="BK19" i="4"/>
  <c r="BK86" i="4"/>
  <c r="BI86" i="4"/>
  <c r="BM26" i="4"/>
  <c r="V5" i="8"/>
  <c r="AH5" i="8" s="1"/>
  <c r="V9" i="8"/>
  <c r="AH9" i="8" s="1"/>
  <c r="V4" i="8"/>
  <c r="V10" i="8"/>
  <c r="V11" i="8"/>
  <c r="AH11" i="8" s="1"/>
  <c r="AD68" i="4"/>
  <c r="BO68" i="4" s="1"/>
  <c r="AD99" i="4"/>
  <c r="BO99" i="4" s="1"/>
  <c r="BM83" i="4"/>
  <c r="BI103" i="4"/>
  <c r="BI102" i="4"/>
  <c r="AD103" i="4"/>
  <c r="BO103" i="4" s="1"/>
  <c r="AD102" i="4"/>
  <c r="BO102" i="4" s="1"/>
  <c r="BM103" i="4"/>
  <c r="BM102" i="4"/>
  <c r="BK103" i="4"/>
  <c r="BK102" i="4"/>
  <c r="AD87" i="4"/>
  <c r="BO87" i="4" s="1"/>
  <c r="AD88" i="4"/>
  <c r="BO88" i="4" s="1"/>
  <c r="BM88" i="4"/>
  <c r="BK26" i="4"/>
  <c r="BM87" i="4"/>
  <c r="BK88" i="4"/>
  <c r="BK87" i="4"/>
  <c r="BI97" i="4"/>
  <c r="BI87" i="4"/>
  <c r="BI88" i="4"/>
  <c r="AD73" i="4"/>
  <c r="BO73" i="4" s="1"/>
  <c r="AD72" i="4"/>
  <c r="BO72" i="4" s="1"/>
  <c r="BM72" i="4"/>
  <c r="BM73" i="4"/>
  <c r="BK73" i="4"/>
  <c r="BK72" i="4"/>
  <c r="BI73" i="4"/>
  <c r="BI72" i="4"/>
  <c r="BK55" i="4"/>
  <c r="BK85" i="4"/>
  <c r="BM58" i="4"/>
  <c r="BM57" i="4"/>
  <c r="BK57" i="4"/>
  <c r="BK58" i="4"/>
  <c r="BI57" i="4"/>
  <c r="BI58" i="4"/>
  <c r="AD55" i="4"/>
  <c r="AD58" i="4"/>
  <c r="BO58" i="4" s="1"/>
  <c r="AD57" i="4"/>
  <c r="BO57" i="4" s="1"/>
  <c r="AD37" i="4"/>
  <c r="BO37" i="4" s="1"/>
  <c r="AD42" i="4"/>
  <c r="BO42" i="4" s="1"/>
  <c r="AD43" i="4"/>
  <c r="BO43" i="4" s="1"/>
  <c r="BK43" i="4"/>
  <c r="BK42" i="4"/>
  <c r="BM43" i="4"/>
  <c r="BM42" i="4"/>
  <c r="BK84" i="4"/>
  <c r="BI42" i="4"/>
  <c r="BI43" i="4"/>
  <c r="AD24" i="4"/>
  <c r="AD27" i="4"/>
  <c r="AD28" i="4"/>
  <c r="BM27" i="4"/>
  <c r="BM28" i="4"/>
  <c r="BK27" i="4"/>
  <c r="BK28" i="4"/>
  <c r="BI27" i="4"/>
  <c r="BI28" i="4"/>
  <c r="BK13" i="4"/>
  <c r="BK12" i="4"/>
  <c r="AD12" i="4"/>
  <c r="AD13" i="4"/>
  <c r="BI12" i="4"/>
  <c r="BI13" i="4"/>
  <c r="BM7" i="4"/>
  <c r="BM12" i="4"/>
  <c r="BK6" i="4"/>
  <c r="AD19" i="4"/>
  <c r="BO19" i="4" s="1"/>
  <c r="BM13" i="4"/>
  <c r="AD25" i="4"/>
  <c r="BO25" i="4" s="1"/>
  <c r="BK67" i="4"/>
  <c r="U5" i="8"/>
  <c r="AG5" i="8" s="1"/>
  <c r="U9" i="8"/>
  <c r="AG9" i="8" s="1"/>
  <c r="BI39" i="4"/>
  <c r="BK40" i="4"/>
  <c r="BK70" i="4"/>
  <c r="K12" i="8"/>
  <c r="W6" i="8" s="1"/>
  <c r="T10" i="8"/>
  <c r="T4" i="8"/>
  <c r="U4" i="8"/>
  <c r="T5" i="8"/>
  <c r="AF5" i="8" s="1"/>
  <c r="U10" i="8"/>
  <c r="T9" i="8"/>
  <c r="AF9" i="8" s="1"/>
  <c r="U11" i="8"/>
  <c r="AG11" i="8" s="1"/>
  <c r="AF6" i="8"/>
  <c r="BI40" i="4"/>
  <c r="U56" i="8"/>
  <c r="U63" i="8"/>
  <c r="V58" i="8"/>
  <c r="U62" i="8"/>
  <c r="T70" i="8"/>
  <c r="AF70" i="8" s="1"/>
  <c r="V61" i="8"/>
  <c r="AH61" i="8" s="1"/>
  <c r="U61" i="8"/>
  <c r="AG61" i="8" s="1"/>
  <c r="V57" i="8"/>
  <c r="AH57" i="8" s="1"/>
  <c r="U58" i="8"/>
  <c r="BM51" i="4"/>
  <c r="BM20" i="4"/>
  <c r="BI36" i="4"/>
  <c r="BM52" i="4"/>
  <c r="V24" i="8"/>
  <c r="AH24" i="8" s="1"/>
  <c r="AD71" i="4"/>
  <c r="BO71" i="4" s="1"/>
  <c r="AD23" i="4"/>
  <c r="BO23" i="4" s="1"/>
  <c r="AD26" i="4"/>
  <c r="BO26" i="4" s="1"/>
  <c r="AD21" i="4"/>
  <c r="AD34" i="4"/>
  <c r="BO34" i="4" s="1"/>
  <c r="AD20" i="4"/>
  <c r="BK99" i="4"/>
  <c r="BK80" i="4"/>
  <c r="BM82" i="4"/>
  <c r="BK54" i="4"/>
  <c r="BI55" i="4"/>
  <c r="BK21" i="4"/>
  <c r="BI21" i="4"/>
  <c r="BM84" i="4"/>
  <c r="BK82" i="4"/>
  <c r="BK52" i="4"/>
  <c r="BI65" i="4"/>
  <c r="BK24" i="4"/>
  <c r="BK5" i="4"/>
  <c r="BK56" i="4"/>
  <c r="BI53" i="4"/>
  <c r="BK53" i="4"/>
  <c r="BM68" i="4"/>
  <c r="BM85" i="4"/>
  <c r="BK101" i="4"/>
  <c r="BI23" i="4"/>
  <c r="BM69" i="4"/>
  <c r="BM6" i="4"/>
  <c r="BI37" i="4"/>
  <c r="BM95" i="4"/>
  <c r="AD53" i="4"/>
  <c r="BK83" i="4"/>
  <c r="BI83" i="4"/>
  <c r="BM24" i="4"/>
  <c r="BI51" i="4"/>
  <c r="BK39" i="4"/>
  <c r="BM65" i="4"/>
  <c r="BK51" i="4"/>
  <c r="BI95" i="4"/>
  <c r="BI98" i="4"/>
  <c r="BM86" i="4"/>
  <c r="AD49" i="4"/>
  <c r="BO49" i="4" s="1"/>
  <c r="BI69" i="4"/>
  <c r="BK7" i="4"/>
  <c r="BK37" i="4"/>
  <c r="AD100" i="4"/>
  <c r="BK10" i="4"/>
  <c r="AD65" i="4"/>
  <c r="BO65" i="4" s="1"/>
  <c r="BK81" i="4"/>
  <c r="BM96" i="4"/>
  <c r="BK23" i="4"/>
  <c r="BI56" i="4"/>
  <c r="BM25" i="4"/>
  <c r="BK36" i="4"/>
  <c r="BI20" i="4"/>
  <c r="BK11" i="4"/>
  <c r="AD54" i="4"/>
  <c r="BM101" i="4"/>
  <c r="AD51" i="4"/>
  <c r="BM99" i="4"/>
  <c r="BI99" i="4"/>
  <c r="BM70" i="4"/>
  <c r="BI24" i="4"/>
  <c r="BK38" i="4"/>
  <c r="BI100" i="4"/>
  <c r="BK65" i="4"/>
  <c r="BM98" i="4"/>
  <c r="BK8" i="4"/>
  <c r="BK25" i="4"/>
  <c r="BK9" i="4"/>
  <c r="BI67" i="4"/>
  <c r="BI26" i="4"/>
  <c r="BK20" i="4"/>
  <c r="BM81" i="4"/>
  <c r="BI6" i="4"/>
  <c r="BI22" i="4"/>
  <c r="BM80" i="4"/>
  <c r="BI82" i="4"/>
  <c r="AD50" i="4"/>
  <c r="BK68" i="4"/>
  <c r="BI25" i="4"/>
  <c r="BI101" i="4"/>
  <c r="AD9" i="4"/>
  <c r="BO9" i="4" s="1"/>
  <c r="V71" i="8"/>
  <c r="AH71" i="8" s="1"/>
  <c r="V70" i="8"/>
  <c r="AH70" i="8" s="1"/>
  <c r="V76" i="8"/>
  <c r="AH76" i="8" s="1"/>
  <c r="V75" i="8"/>
  <c r="AH75" i="8" s="1"/>
  <c r="V69" i="8"/>
  <c r="V74" i="8"/>
  <c r="AH74" i="8" s="1"/>
  <c r="AD94" i="4"/>
  <c r="BO94" i="4" s="1"/>
  <c r="V23" i="8"/>
  <c r="AH23" i="8" s="1"/>
  <c r="V17" i="8"/>
  <c r="V22" i="8"/>
  <c r="AH22" i="8" s="1"/>
  <c r="V18" i="8"/>
  <c r="AH18" i="8" s="1"/>
  <c r="V37" i="8"/>
  <c r="AH37" i="8" s="1"/>
  <c r="V31" i="8"/>
  <c r="AH31" i="8" s="1"/>
  <c r="V36" i="8"/>
  <c r="AH36" i="8" s="1"/>
  <c r="V30" i="8"/>
  <c r="V35" i="8"/>
  <c r="AH35" i="8" s="1"/>
  <c r="V32" i="8"/>
  <c r="AH32" i="8" s="1"/>
  <c r="AD6" i="4"/>
  <c r="T45" i="8"/>
  <c r="AF45" i="8" s="1"/>
  <c r="K51" i="8"/>
  <c r="T43" i="8"/>
  <c r="T44" i="8"/>
  <c r="AF44" i="8" s="1"/>
  <c r="T49" i="8"/>
  <c r="AF49" i="8" s="1"/>
  <c r="T48" i="8"/>
  <c r="AF48" i="8" s="1"/>
  <c r="U30" i="8"/>
  <c r="U31" i="8"/>
  <c r="AG31" i="8" s="1"/>
  <c r="U35" i="8"/>
  <c r="AG35" i="8" s="1"/>
  <c r="U36" i="8"/>
  <c r="AG36" i="8" s="1"/>
  <c r="U37" i="8"/>
  <c r="AG37" i="8" s="1"/>
  <c r="U22" i="8"/>
  <c r="AG22" i="8" s="1"/>
  <c r="U24" i="8"/>
  <c r="AG24" i="8" s="1"/>
  <c r="U23" i="8"/>
  <c r="AG23" i="8" s="1"/>
  <c r="U17" i="8"/>
  <c r="T50" i="8"/>
  <c r="AF50" i="8" s="1"/>
  <c r="AD82" i="4"/>
  <c r="AD86" i="4"/>
  <c r="BO86" i="4" s="1"/>
  <c r="K25" i="8"/>
  <c r="T23" i="8"/>
  <c r="AF23" i="8" s="1"/>
  <c r="T17" i="8"/>
  <c r="T22" i="8"/>
  <c r="AF22" i="8" s="1"/>
  <c r="AD5" i="4"/>
  <c r="AD11" i="4"/>
  <c r="AD36" i="4"/>
  <c r="T24" i="8"/>
  <c r="AF24" i="8" s="1"/>
  <c r="AD38" i="4"/>
  <c r="BO38" i="4" s="1"/>
  <c r="AD85" i="4"/>
  <c r="K64" i="8"/>
  <c r="T62" i="8"/>
  <c r="AF62" i="8" s="1"/>
  <c r="T57" i="8"/>
  <c r="AF57" i="8" s="1"/>
  <c r="T56" i="8"/>
  <c r="T63" i="8"/>
  <c r="AF63" i="8" s="1"/>
  <c r="T61" i="8"/>
  <c r="AF61" i="8" s="1"/>
  <c r="T58" i="8"/>
  <c r="AF58" i="8" s="1"/>
  <c r="K77" i="8"/>
  <c r="T69" i="8"/>
  <c r="T76" i="8"/>
  <c r="AF76" i="8" s="1"/>
  <c r="T75" i="8"/>
  <c r="AF75" i="8" s="1"/>
  <c r="T74" i="8"/>
  <c r="AF74" i="8" s="1"/>
  <c r="AD80" i="4"/>
  <c r="AD7" i="4"/>
  <c r="U48" i="8"/>
  <c r="AG48" i="8" s="1"/>
  <c r="U43" i="8"/>
  <c r="U50" i="8"/>
  <c r="AG50" i="8" s="1"/>
  <c r="U44" i="8"/>
  <c r="AG44" i="8" s="1"/>
  <c r="U49" i="8"/>
  <c r="AG49" i="8" s="1"/>
  <c r="U45" i="8"/>
  <c r="AG45" i="8" s="1"/>
  <c r="AD84" i="4"/>
  <c r="BO84" i="4" s="1"/>
  <c r="AD81" i="4"/>
  <c r="AD56" i="4"/>
  <c r="AD79" i="4"/>
  <c r="BO79" i="4" s="1"/>
  <c r="AD96" i="4"/>
  <c r="U71" i="8"/>
  <c r="AG71" i="8" s="1"/>
  <c r="U75" i="8"/>
  <c r="AG75" i="8" s="1"/>
  <c r="U70" i="8"/>
  <c r="AG70" i="8" s="1"/>
  <c r="U74" i="8"/>
  <c r="AG74" i="8" s="1"/>
  <c r="U69" i="8"/>
  <c r="U76" i="8"/>
  <c r="AG76" i="8" s="1"/>
  <c r="AD97" i="4"/>
  <c r="T18" i="8"/>
  <c r="AF18" i="8" s="1"/>
  <c r="AD39" i="4"/>
  <c r="AD41" i="4"/>
  <c r="V50" i="8"/>
  <c r="AH50" i="8" s="1"/>
  <c r="V44" i="8"/>
  <c r="AH44" i="8" s="1"/>
  <c r="V45" i="8"/>
  <c r="AH45" i="8" s="1"/>
  <c r="V48" i="8"/>
  <c r="AH48" i="8" s="1"/>
  <c r="V49" i="8"/>
  <c r="AH49" i="8" s="1"/>
  <c r="V43" i="8"/>
  <c r="AD4" i="4"/>
  <c r="BO4" i="4" s="1"/>
  <c r="V56" i="8"/>
  <c r="AD95" i="4"/>
  <c r="AD101" i="4"/>
  <c r="AD64" i="4"/>
  <c r="BO64" i="4" s="1"/>
  <c r="AD35" i="4"/>
  <c r="AD98" i="4"/>
  <c r="AD70" i="4"/>
  <c r="AD83" i="4"/>
  <c r="BO83" i="4" s="1"/>
  <c r="U18" i="8"/>
  <c r="AG18" i="8" s="1"/>
  <c r="AD66" i="4"/>
  <c r="T36" i="8"/>
  <c r="AF36" i="8" s="1"/>
  <c r="T32" i="8"/>
  <c r="AF32" i="8" s="1"/>
  <c r="T37" i="8"/>
  <c r="AF37" i="8" s="1"/>
  <c r="K38" i="8"/>
  <c r="T31" i="8"/>
  <c r="AF31" i="8" s="1"/>
  <c r="T35" i="8"/>
  <c r="AF35" i="8" s="1"/>
  <c r="T30" i="8"/>
  <c r="AD40" i="4"/>
  <c r="AD67" i="4"/>
  <c r="AD10" i="4"/>
  <c r="V63" i="8"/>
  <c r="AH63" i="8" s="1"/>
  <c r="U32" i="8"/>
  <c r="AG32" i="8" s="1"/>
  <c r="Q77" i="8"/>
  <c r="Q64" i="8"/>
  <c r="Q51" i="8"/>
  <c r="Q38" i="8"/>
  <c r="Q25" i="8"/>
  <c r="AT20" i="8" l="1"/>
  <c r="AG20" i="8"/>
  <c r="AT21" i="8"/>
  <c r="AG21" i="8"/>
  <c r="AV20" i="8"/>
  <c r="AH20" i="8"/>
  <c r="W21" i="8"/>
  <c r="W20" i="8"/>
  <c r="AV21" i="8"/>
  <c r="AH21" i="8"/>
  <c r="AR21" i="8"/>
  <c r="AF21" i="8"/>
  <c r="AR20" i="8"/>
  <c r="AF20" i="8"/>
  <c r="L40" i="4"/>
  <c r="AJ40" i="4" s="1"/>
  <c r="AG40" i="4"/>
  <c r="L39" i="4"/>
  <c r="AJ39" i="4" s="1"/>
  <c r="AG39" i="4"/>
  <c r="AC77" i="8"/>
  <c r="W72" i="8"/>
  <c r="W73" i="8"/>
  <c r="AF72" i="8"/>
  <c r="AR72" i="8"/>
  <c r="AF73" i="8"/>
  <c r="AR73" i="8"/>
  <c r="AG73" i="8"/>
  <c r="AT73" i="8"/>
  <c r="AG72" i="8"/>
  <c r="AT72" i="8"/>
  <c r="AV72" i="8"/>
  <c r="AH72" i="8"/>
  <c r="AV73" i="8"/>
  <c r="AH73" i="8"/>
  <c r="AG60" i="8"/>
  <c r="AT60" i="8"/>
  <c r="AF60" i="8"/>
  <c r="AR60" i="8"/>
  <c r="AG59" i="8"/>
  <c r="AT59" i="8"/>
  <c r="AR59" i="8"/>
  <c r="AF59" i="8"/>
  <c r="AV60" i="8"/>
  <c r="AH60" i="8"/>
  <c r="W60" i="8"/>
  <c r="W59" i="8"/>
  <c r="AH59" i="8"/>
  <c r="AV59" i="8"/>
  <c r="AH46" i="8"/>
  <c r="AV46" i="8"/>
  <c r="AT47" i="8"/>
  <c r="AG47" i="8"/>
  <c r="AT46" i="8"/>
  <c r="AG46" i="8"/>
  <c r="AC51" i="8"/>
  <c r="W46" i="8"/>
  <c r="W47" i="8"/>
  <c r="AH47" i="8"/>
  <c r="AV47" i="8"/>
  <c r="AR46" i="8"/>
  <c r="AF46" i="8"/>
  <c r="AR47" i="8"/>
  <c r="AF47" i="8"/>
  <c r="AR33" i="8"/>
  <c r="AF33" i="8"/>
  <c r="AR34" i="8"/>
  <c r="AF34" i="8"/>
  <c r="Z90" i="8"/>
  <c r="T86" i="8"/>
  <c r="AR86" i="8" s="1"/>
  <c r="T85" i="8"/>
  <c r="AR85" i="8" s="1"/>
  <c r="U87" i="8"/>
  <c r="AT87" i="8" s="1"/>
  <c r="U85" i="8"/>
  <c r="U86" i="8"/>
  <c r="AG33" i="8"/>
  <c r="AT33" i="8"/>
  <c r="AG34" i="8"/>
  <c r="AT34" i="8"/>
  <c r="AC38" i="8"/>
  <c r="W33" i="8"/>
  <c r="W34" i="8"/>
  <c r="V89" i="8"/>
  <c r="AV89" i="8" s="1"/>
  <c r="V86" i="8"/>
  <c r="V85" i="8"/>
  <c r="AV33" i="8"/>
  <c r="AH33" i="8"/>
  <c r="AH34" i="8"/>
  <c r="AV34" i="8"/>
  <c r="Q89" i="8"/>
  <c r="AW89" i="8" s="1"/>
  <c r="Q86" i="8"/>
  <c r="Q85" i="8"/>
  <c r="AF85" i="8"/>
  <c r="AQ85" i="8"/>
  <c r="AQ86" i="8"/>
  <c r="AC12" i="8"/>
  <c r="W8" i="8"/>
  <c r="W7" i="8"/>
  <c r="AW8" i="8"/>
  <c r="AM8" i="8"/>
  <c r="AN8" i="8" s="1"/>
  <c r="D61" i="6" s="1"/>
  <c r="AW7" i="8"/>
  <c r="AW12" i="8" s="1"/>
  <c r="AM7" i="8"/>
  <c r="AN7" i="8" s="1"/>
  <c r="D60" i="6" s="1"/>
  <c r="AV8" i="8"/>
  <c r="AH8" i="8"/>
  <c r="AH7" i="8"/>
  <c r="AV7" i="8"/>
  <c r="AT8" i="8"/>
  <c r="AG8" i="8"/>
  <c r="AT7" i="8"/>
  <c r="AG7" i="8"/>
  <c r="AF8" i="8"/>
  <c r="AR8" i="8"/>
  <c r="AR7" i="8"/>
  <c r="AF7" i="8"/>
  <c r="AR71" i="8"/>
  <c r="AR19" i="8"/>
  <c r="AV62" i="8"/>
  <c r="AV6" i="8"/>
  <c r="AT57" i="8"/>
  <c r="AV19" i="8"/>
  <c r="Q12" i="8"/>
  <c r="Q84" i="8"/>
  <c r="AW84" i="8" s="1"/>
  <c r="Q88" i="8"/>
  <c r="AW88" i="8" s="1"/>
  <c r="Q87" i="8"/>
  <c r="AW87" i="8" s="1"/>
  <c r="Q83" i="8"/>
  <c r="AW83" i="8" s="1"/>
  <c r="Q82" i="8"/>
  <c r="AW82" i="8" s="1"/>
  <c r="L7" i="4"/>
  <c r="AJ7" i="4" s="1"/>
  <c r="L85" i="4"/>
  <c r="AJ85" i="4" s="1"/>
  <c r="AG85" i="4"/>
  <c r="L84" i="4"/>
  <c r="AJ84" i="4" s="1"/>
  <c r="AG84" i="4"/>
  <c r="L70" i="4"/>
  <c r="AJ70" i="4" s="1"/>
  <c r="AG70" i="4"/>
  <c r="L69" i="4"/>
  <c r="AJ69" i="4" s="1"/>
  <c r="AG69" i="4"/>
  <c r="L55" i="4"/>
  <c r="AJ55" i="4" s="1"/>
  <c r="L54" i="4"/>
  <c r="AJ54" i="4" s="1"/>
  <c r="I114" i="4"/>
  <c r="AG114" i="4" s="1"/>
  <c r="L24" i="4"/>
  <c r="AJ24" i="4" s="1"/>
  <c r="K115" i="4"/>
  <c r="AI115" i="4" s="1"/>
  <c r="K114" i="4"/>
  <c r="AI114" i="4" s="1"/>
  <c r="L25" i="4"/>
  <c r="AJ25" i="4" s="1"/>
  <c r="I115" i="4"/>
  <c r="AG115" i="4" s="1"/>
  <c r="AG25" i="4"/>
  <c r="AG24" i="4"/>
  <c r="J115" i="4"/>
  <c r="AH10" i="4"/>
  <c r="J114" i="4"/>
  <c r="L9" i="4"/>
  <c r="AJ9" i="4" s="1"/>
  <c r="AH9" i="4"/>
  <c r="AI10" i="4"/>
  <c r="L10" i="4"/>
  <c r="AJ10" i="4" s="1"/>
  <c r="T88" i="8"/>
  <c r="AF88" i="8" s="1"/>
  <c r="AR11" i="8"/>
  <c r="K14" i="4"/>
  <c r="W12" i="4" s="1"/>
  <c r="AH7" i="4"/>
  <c r="I117" i="4"/>
  <c r="AG117" i="4" s="1"/>
  <c r="L12" i="4"/>
  <c r="AJ12" i="4" s="1"/>
  <c r="I113" i="4"/>
  <c r="AG113" i="4" s="1"/>
  <c r="J14" i="4"/>
  <c r="V12" i="4" s="1"/>
  <c r="AY12" i="4" s="1"/>
  <c r="I110" i="4"/>
  <c r="AG110" i="4" s="1"/>
  <c r="AG23" i="4"/>
  <c r="L71" i="4"/>
  <c r="L26" i="4"/>
  <c r="AJ26" i="4" s="1"/>
  <c r="I44" i="4"/>
  <c r="U42" i="4" s="1"/>
  <c r="AX42" i="4" s="1"/>
  <c r="I116" i="4"/>
  <c r="AG116" i="4" s="1"/>
  <c r="I29" i="4"/>
  <c r="U26" i="4" s="1"/>
  <c r="AX26" i="4" s="1"/>
  <c r="J89" i="4"/>
  <c r="V86" i="4" s="1"/>
  <c r="AY86" i="4" s="1"/>
  <c r="K74" i="4"/>
  <c r="W73" i="4" s="1"/>
  <c r="AZ73" i="4" s="1"/>
  <c r="AG86" i="4"/>
  <c r="L56" i="4"/>
  <c r="BI34" i="4"/>
  <c r="AA44" i="4"/>
  <c r="L86" i="4"/>
  <c r="AJ86" i="4" s="1"/>
  <c r="L82" i="4"/>
  <c r="AJ82" i="4" s="1"/>
  <c r="T84" i="8"/>
  <c r="AF84" i="8" s="1"/>
  <c r="BK34" i="4"/>
  <c r="AB44" i="4"/>
  <c r="E119" i="4"/>
  <c r="F114" i="4" s="1"/>
  <c r="L13" i="4"/>
  <c r="AJ13" i="4" s="1"/>
  <c r="BI4" i="4"/>
  <c r="AA14" i="4"/>
  <c r="K59" i="4"/>
  <c r="W58" i="4" s="1"/>
  <c r="AZ58" i="4" s="1"/>
  <c r="BE58" i="4" s="1"/>
  <c r="AT19" i="8"/>
  <c r="I111" i="4"/>
  <c r="AG111" i="4" s="1"/>
  <c r="AG80" i="4"/>
  <c r="AM13" i="4"/>
  <c r="AX13" i="4"/>
  <c r="BC13" i="4" s="1"/>
  <c r="I89" i="4"/>
  <c r="U88" i="4" s="1"/>
  <c r="AX88" i="4" s="1"/>
  <c r="AG82" i="4"/>
  <c r="J59" i="4"/>
  <c r="V58" i="4" s="1"/>
  <c r="AY58" i="4" s="1"/>
  <c r="L73" i="4"/>
  <c r="AJ73" i="4" s="1"/>
  <c r="K29" i="4"/>
  <c r="W26" i="4" s="1"/>
  <c r="AZ26" i="4" s="1"/>
  <c r="L58" i="4"/>
  <c r="AJ58" i="4" s="1"/>
  <c r="U58" i="4"/>
  <c r="U57" i="4"/>
  <c r="AX57" i="4" s="1"/>
  <c r="BC57" i="4" s="1"/>
  <c r="L57" i="4"/>
  <c r="AJ57" i="4" s="1"/>
  <c r="L88" i="4"/>
  <c r="AJ88" i="4" s="1"/>
  <c r="AG88" i="4"/>
  <c r="L28" i="4"/>
  <c r="AJ28" i="4" s="1"/>
  <c r="AG28" i="4"/>
  <c r="J29" i="4"/>
  <c r="V27" i="4" s="1"/>
  <c r="AY27" i="4" s="1"/>
  <c r="K89" i="4"/>
  <c r="W87" i="4" s="1"/>
  <c r="AZ87" i="4" s="1"/>
  <c r="I118" i="4"/>
  <c r="AG118" i="4" s="1"/>
  <c r="L87" i="4"/>
  <c r="AJ87" i="4" s="1"/>
  <c r="AG87" i="4"/>
  <c r="I109" i="4"/>
  <c r="AG109" i="4" s="1"/>
  <c r="I112" i="4"/>
  <c r="AG112" i="4" s="1"/>
  <c r="W103" i="4"/>
  <c r="AZ103" i="4" s="1"/>
  <c r="BE103" i="4" s="1"/>
  <c r="AN56" i="6" s="1"/>
  <c r="AO56" i="6" s="1"/>
  <c r="I74" i="4"/>
  <c r="L27" i="4"/>
  <c r="AJ27" i="4" s="1"/>
  <c r="W102" i="4"/>
  <c r="J74" i="4"/>
  <c r="V64" i="4" s="1"/>
  <c r="AN64" i="4" s="1"/>
  <c r="L72" i="4"/>
  <c r="AJ72" i="4" s="1"/>
  <c r="AG72" i="4"/>
  <c r="V103" i="4"/>
  <c r="V102" i="4"/>
  <c r="AN101" i="4"/>
  <c r="AO101" i="4"/>
  <c r="U102" i="4"/>
  <c r="AM56" i="4"/>
  <c r="U12" i="4"/>
  <c r="BH13" i="4"/>
  <c r="BC103" i="4"/>
  <c r="AN54" i="6" s="1"/>
  <c r="AO54" i="6" s="1"/>
  <c r="AM103" i="4"/>
  <c r="BH103" i="4"/>
  <c r="AJ102" i="4"/>
  <c r="AJ103" i="4"/>
  <c r="U101" i="4"/>
  <c r="AX101" i="4" s="1"/>
  <c r="L104" i="4"/>
  <c r="X101" i="4" s="1"/>
  <c r="AP101" i="4" s="1"/>
  <c r="U89" i="8"/>
  <c r="AG89" i="8" s="1"/>
  <c r="U83" i="8"/>
  <c r="AT83" i="8" s="1"/>
  <c r="U82" i="8"/>
  <c r="AG82" i="8" s="1"/>
  <c r="T83" i="8"/>
  <c r="AF83" i="8" s="1"/>
  <c r="T89" i="8"/>
  <c r="AF89" i="8" s="1"/>
  <c r="T87" i="8"/>
  <c r="AF87" i="8" s="1"/>
  <c r="T82" i="8"/>
  <c r="AF82" i="8" s="1"/>
  <c r="AR30" i="8"/>
  <c r="AF30" i="8"/>
  <c r="AV56" i="8"/>
  <c r="AH56" i="8"/>
  <c r="AV43" i="8"/>
  <c r="AH43" i="8"/>
  <c r="AT69" i="8"/>
  <c r="AG69" i="8"/>
  <c r="AT43" i="8"/>
  <c r="AG43" i="8"/>
  <c r="AR69" i="8"/>
  <c r="AF69" i="8"/>
  <c r="AR56" i="8"/>
  <c r="AF56" i="8"/>
  <c r="W62" i="8"/>
  <c r="AM62" i="8" s="1"/>
  <c r="AN62" i="8" s="1"/>
  <c r="AC64" i="8"/>
  <c r="AR17" i="8"/>
  <c r="AF17" i="8"/>
  <c r="W17" i="8"/>
  <c r="AM17" i="8" s="1"/>
  <c r="AN17" i="8" s="1"/>
  <c r="H57" i="6" s="1"/>
  <c r="AC25" i="8"/>
  <c r="AT17" i="8"/>
  <c r="AG17" i="8"/>
  <c r="AT30" i="8"/>
  <c r="AG30" i="8"/>
  <c r="AR43" i="8"/>
  <c r="AF43" i="8"/>
  <c r="AV30" i="8"/>
  <c r="AH30" i="8"/>
  <c r="AV17" i="8"/>
  <c r="AH17" i="8"/>
  <c r="AV69" i="8"/>
  <c r="AH69" i="8"/>
  <c r="AT58" i="8"/>
  <c r="AG58" i="8"/>
  <c r="AT62" i="8"/>
  <c r="AG62" i="8"/>
  <c r="AV58" i="8"/>
  <c r="AH58" i="8"/>
  <c r="AT63" i="8"/>
  <c r="AG63" i="8"/>
  <c r="AT56" i="8"/>
  <c r="AG56" i="8"/>
  <c r="AT10" i="8"/>
  <c r="AG10" i="8"/>
  <c r="AT4" i="8"/>
  <c r="AG4" i="8"/>
  <c r="AR4" i="8"/>
  <c r="AF4" i="8"/>
  <c r="AR10" i="8"/>
  <c r="AF10" i="8"/>
  <c r="AT6" i="8"/>
  <c r="AG6" i="8"/>
  <c r="AV10" i="8"/>
  <c r="AH10" i="8"/>
  <c r="AV4" i="8"/>
  <c r="AH4" i="8"/>
  <c r="U88" i="8"/>
  <c r="AG88" i="8" s="1"/>
  <c r="AA90" i="8"/>
  <c r="V87" i="8"/>
  <c r="AH87" i="8" s="1"/>
  <c r="AB90" i="8"/>
  <c r="AU90" i="8"/>
  <c r="P90" i="8"/>
  <c r="N90" i="8"/>
  <c r="O90" i="8"/>
  <c r="V83" i="8"/>
  <c r="AH83" i="8" s="1"/>
  <c r="V84" i="8"/>
  <c r="AH84" i="8" s="1"/>
  <c r="V88" i="8"/>
  <c r="AH88" i="8" s="1"/>
  <c r="V82" i="8"/>
  <c r="AH82" i="8" s="1"/>
  <c r="U84" i="8"/>
  <c r="AG84" i="8" s="1"/>
  <c r="W11" i="8"/>
  <c r="K90" i="8"/>
  <c r="AS90" i="8"/>
  <c r="AV11" i="8"/>
  <c r="BK113" i="4"/>
  <c r="AJ101" i="4"/>
  <c r="BK111" i="4"/>
  <c r="BK115" i="4"/>
  <c r="BI116" i="4"/>
  <c r="BM114" i="4"/>
  <c r="BK116" i="4"/>
  <c r="BI109" i="4"/>
  <c r="BK110" i="4"/>
  <c r="BK112" i="4"/>
  <c r="BK114" i="4"/>
  <c r="BI110" i="4"/>
  <c r="BK109" i="4"/>
  <c r="AD111" i="4"/>
  <c r="AD113" i="4"/>
  <c r="BM115" i="4"/>
  <c r="BM113" i="4"/>
  <c r="BI114" i="4"/>
  <c r="BI111" i="4"/>
  <c r="BI113" i="4"/>
  <c r="AD117" i="4"/>
  <c r="BO117" i="4" s="1"/>
  <c r="AD112" i="4"/>
  <c r="AD114" i="4"/>
  <c r="AD110" i="4"/>
  <c r="BI112" i="4"/>
  <c r="AD118" i="4"/>
  <c r="BO118" i="4" s="1"/>
  <c r="BM111" i="4"/>
  <c r="BI115" i="4"/>
  <c r="AD109" i="4"/>
  <c r="BM109" i="4"/>
  <c r="AD115" i="4"/>
  <c r="AD116" i="4"/>
  <c r="L94" i="4"/>
  <c r="L49" i="4"/>
  <c r="L81" i="4"/>
  <c r="L97" i="4"/>
  <c r="L20" i="4"/>
  <c r="L4" i="4"/>
  <c r="L80" i="4"/>
  <c r="L98" i="4"/>
  <c r="L65" i="4"/>
  <c r="L5" i="4"/>
  <c r="L83" i="4"/>
  <c r="L64" i="4"/>
  <c r="L11" i="4"/>
  <c r="L52" i="4"/>
  <c r="L66" i="4"/>
  <c r="L6" i="4"/>
  <c r="L79" i="4"/>
  <c r="L67" i="4"/>
  <c r="L21" i="4"/>
  <c r="L19" i="4"/>
  <c r="L51" i="4"/>
  <c r="L96" i="4"/>
  <c r="L68" i="4"/>
  <c r="L22" i="4"/>
  <c r="L53" i="4"/>
  <c r="L50" i="4"/>
  <c r="L95" i="4"/>
  <c r="L23" i="4"/>
  <c r="AV5" i="8"/>
  <c r="V12" i="8"/>
  <c r="AH12" i="8" s="1"/>
  <c r="AV9" i="8"/>
  <c r="BO24" i="4"/>
  <c r="AT5" i="8"/>
  <c r="AT9" i="8"/>
  <c r="U12" i="8"/>
  <c r="AG12" i="8" s="1"/>
  <c r="BO55" i="4"/>
  <c r="BO28" i="4"/>
  <c r="BO27" i="4"/>
  <c r="BO13" i="4"/>
  <c r="BO12" i="4"/>
  <c r="AR9" i="8"/>
  <c r="AR6" i="8"/>
  <c r="AR5" i="8"/>
  <c r="T12" i="8"/>
  <c r="AF12" i="8" s="1"/>
  <c r="W5" i="8"/>
  <c r="W9" i="8"/>
  <c r="W4" i="8"/>
  <c r="W10" i="8"/>
  <c r="AT11" i="8"/>
  <c r="BO20" i="4"/>
  <c r="AT61" i="8"/>
  <c r="AV57" i="8"/>
  <c r="AR70" i="8"/>
  <c r="AV61" i="8"/>
  <c r="U64" i="8"/>
  <c r="AG64" i="8" s="1"/>
  <c r="BO21" i="4"/>
  <c r="AV37" i="8"/>
  <c r="AV70" i="8"/>
  <c r="AR62" i="8"/>
  <c r="AR23" i="8"/>
  <c r="AT24" i="8"/>
  <c r="AV71" i="8"/>
  <c r="AT22" i="8"/>
  <c r="AR48" i="8"/>
  <c r="AR22" i="8"/>
  <c r="AR31" i="8"/>
  <c r="AR49" i="8"/>
  <c r="AV76" i="8"/>
  <c r="AT23" i="8"/>
  <c r="AR32" i="8"/>
  <c r="AT45" i="8"/>
  <c r="AR44" i="8"/>
  <c r="AR37" i="8"/>
  <c r="AT18" i="8"/>
  <c r="AT76" i="8"/>
  <c r="AR24" i="8"/>
  <c r="AR50" i="8"/>
  <c r="AT49" i="8"/>
  <c r="AV49" i="8"/>
  <c r="AT74" i="8"/>
  <c r="AT44" i="8"/>
  <c r="AR74" i="8"/>
  <c r="AT37" i="8"/>
  <c r="AR45" i="8"/>
  <c r="AV48" i="8"/>
  <c r="AT70" i="8"/>
  <c r="AT50" i="8"/>
  <c r="AR75" i="8"/>
  <c r="AT36" i="8"/>
  <c r="AV18" i="8"/>
  <c r="AR63" i="8"/>
  <c r="AR57" i="8"/>
  <c r="AV63" i="8"/>
  <c r="W61" i="8"/>
  <c r="AI61" i="8" s="1"/>
  <c r="AV45" i="8"/>
  <c r="AT75" i="8"/>
  <c r="AR76" i="8"/>
  <c r="AV24" i="8"/>
  <c r="AV44" i="8"/>
  <c r="AT48" i="8"/>
  <c r="AT35" i="8"/>
  <c r="AR36" i="8"/>
  <c r="AV50" i="8"/>
  <c r="AT71" i="8"/>
  <c r="AT31" i="8"/>
  <c r="AV22" i="8"/>
  <c r="AR18" i="8"/>
  <c r="AT32" i="8"/>
  <c r="AR35" i="8"/>
  <c r="AV23" i="8"/>
  <c r="AV32" i="8"/>
  <c r="AR58" i="8"/>
  <c r="AV35" i="8"/>
  <c r="AV74" i="8"/>
  <c r="AV31" i="8"/>
  <c r="AR61" i="8"/>
  <c r="AV36" i="8"/>
  <c r="AV75" i="8"/>
  <c r="AD29" i="4"/>
  <c r="BO56" i="4"/>
  <c r="BO54" i="4"/>
  <c r="BO95" i="4"/>
  <c r="BO81" i="4"/>
  <c r="BO36" i="4"/>
  <c r="BO85" i="4"/>
  <c r="BO11" i="4"/>
  <c r="BO100" i="4"/>
  <c r="BO39" i="4"/>
  <c r="BO5" i="4"/>
  <c r="BO67" i="4"/>
  <c r="BO41" i="4"/>
  <c r="BO6" i="4"/>
  <c r="BO51" i="4"/>
  <c r="BO53" i="4"/>
  <c r="BO70" i="4"/>
  <c r="BO97" i="4"/>
  <c r="BO101" i="4"/>
  <c r="BO80" i="4"/>
  <c r="BO82" i="4"/>
  <c r="BO50" i="4"/>
  <c r="BO66" i="4"/>
  <c r="BO40" i="4"/>
  <c r="BO98" i="4"/>
  <c r="BO96" i="4"/>
  <c r="BO10" i="4"/>
  <c r="BO35" i="4"/>
  <c r="BO7" i="4"/>
  <c r="T38" i="8"/>
  <c r="AF38" i="8" s="1"/>
  <c r="W50" i="8"/>
  <c r="W44" i="8"/>
  <c r="W48" i="8"/>
  <c r="W49" i="8"/>
  <c r="W45" i="8"/>
  <c r="W43" i="8"/>
  <c r="AD59" i="4"/>
  <c r="T64" i="8"/>
  <c r="AF64" i="8" s="1"/>
  <c r="AD89" i="4"/>
  <c r="W57" i="8"/>
  <c r="W58" i="8"/>
  <c r="W63" i="8"/>
  <c r="V64" i="8"/>
  <c r="AH64" i="8" s="1"/>
  <c r="AD14" i="4"/>
  <c r="T25" i="8"/>
  <c r="AF25" i="8" s="1"/>
  <c r="V38" i="8"/>
  <c r="AH38" i="8" s="1"/>
  <c r="W31" i="8"/>
  <c r="W36" i="8"/>
  <c r="W37" i="8"/>
  <c r="W32" i="8"/>
  <c r="W30" i="8"/>
  <c r="W56" i="8"/>
  <c r="V25" i="8"/>
  <c r="AH25" i="8" s="1"/>
  <c r="U38" i="8"/>
  <c r="AG38" i="8" s="1"/>
  <c r="W22" i="8"/>
  <c r="W23" i="8"/>
  <c r="W18" i="8"/>
  <c r="W19" i="8"/>
  <c r="W24" i="8"/>
  <c r="AD104" i="4"/>
  <c r="U25" i="8"/>
  <c r="AG25" i="8" s="1"/>
  <c r="AD74" i="4"/>
  <c r="V51" i="8"/>
  <c r="AH51" i="8" s="1"/>
  <c r="T77" i="8"/>
  <c r="AF77" i="8" s="1"/>
  <c r="V77" i="8"/>
  <c r="AH77" i="8" s="1"/>
  <c r="U51" i="8"/>
  <c r="AG51" i="8" s="1"/>
  <c r="W76" i="8"/>
  <c r="W75" i="8"/>
  <c r="W69" i="8"/>
  <c r="W74" i="8"/>
  <c r="W70" i="8"/>
  <c r="AD44" i="4"/>
  <c r="U77" i="8"/>
  <c r="AG77" i="8" s="1"/>
  <c r="W35" i="8"/>
  <c r="T51" i="8"/>
  <c r="AF51" i="8" s="1"/>
  <c r="W71" i="8"/>
  <c r="AX20" i="8" l="1"/>
  <c r="AM20" i="8"/>
  <c r="AN20" i="8" s="1"/>
  <c r="H60" i="6" s="1"/>
  <c r="H73" i="6" s="1"/>
  <c r="AI20" i="8"/>
  <c r="AX21" i="8"/>
  <c r="AI21" i="8"/>
  <c r="AM21" i="8"/>
  <c r="AN21" i="8" s="1"/>
  <c r="H61" i="6" s="1"/>
  <c r="H74" i="6" s="1"/>
  <c r="AG87" i="8"/>
  <c r="AH89" i="8"/>
  <c r="AQ90" i="8"/>
  <c r="AX73" i="8"/>
  <c r="AM73" i="8"/>
  <c r="AN73" i="8" s="1"/>
  <c r="AN61" i="6" s="1"/>
  <c r="AI73" i="8"/>
  <c r="AM72" i="8"/>
  <c r="AN72" i="8" s="1"/>
  <c r="AN60" i="6" s="1"/>
  <c r="AX72" i="8"/>
  <c r="AI72" i="8"/>
  <c r="AM59" i="8"/>
  <c r="AN59" i="8" s="1"/>
  <c r="AX59" i="8"/>
  <c r="AI59" i="8"/>
  <c r="AX60" i="8"/>
  <c r="AM60" i="8"/>
  <c r="AN60" i="8" s="1"/>
  <c r="AI60" i="8"/>
  <c r="AM46" i="8"/>
  <c r="AN46" i="8" s="1"/>
  <c r="AI46" i="8"/>
  <c r="AX46" i="8"/>
  <c r="AX47" i="8"/>
  <c r="AM47" i="8"/>
  <c r="AN47" i="8" s="1"/>
  <c r="AI47" i="8"/>
  <c r="AF86" i="8"/>
  <c r="AG85" i="8"/>
  <c r="AT85" i="8"/>
  <c r="AG86" i="8"/>
  <c r="AT86" i="8"/>
  <c r="AV85" i="8"/>
  <c r="AH85" i="8"/>
  <c r="AX33" i="8"/>
  <c r="AM33" i="8"/>
  <c r="AN33" i="8" s="1"/>
  <c r="L60" i="6" s="1"/>
  <c r="AI33" i="8"/>
  <c r="W83" i="8"/>
  <c r="AX83" i="8" s="1"/>
  <c r="W86" i="8"/>
  <c r="AX86" i="8" s="1"/>
  <c r="W85" i="8"/>
  <c r="AX85" i="8" s="1"/>
  <c r="AV86" i="8"/>
  <c r="AH86" i="8"/>
  <c r="AX34" i="8"/>
  <c r="AM34" i="8"/>
  <c r="AN34" i="8" s="1"/>
  <c r="L61" i="6" s="1"/>
  <c r="AI34" i="8"/>
  <c r="AW85" i="8"/>
  <c r="AW86" i="8"/>
  <c r="AI7" i="8"/>
  <c r="AX7" i="8"/>
  <c r="AX8" i="8"/>
  <c r="AI8" i="8"/>
  <c r="AV87" i="8"/>
  <c r="AT64" i="8"/>
  <c r="AT89" i="8"/>
  <c r="AR88" i="8"/>
  <c r="AG83" i="8"/>
  <c r="Q90" i="8"/>
  <c r="AO12" i="4"/>
  <c r="AZ12" i="4"/>
  <c r="BE12" i="4" s="1"/>
  <c r="BL12" i="4"/>
  <c r="W13" i="4"/>
  <c r="AO13" i="4" s="1"/>
  <c r="AH114" i="4"/>
  <c r="L114" i="4"/>
  <c r="AJ114" i="4" s="1"/>
  <c r="L115" i="4"/>
  <c r="AJ115" i="4" s="1"/>
  <c r="AH115" i="4"/>
  <c r="AR89" i="8"/>
  <c r="V13" i="4"/>
  <c r="AY13" i="4" s="1"/>
  <c r="BD13" i="4" s="1"/>
  <c r="U28" i="4"/>
  <c r="AX28" i="4" s="1"/>
  <c r="BC28" i="4" s="1"/>
  <c r="U43" i="4"/>
  <c r="AX43" i="4" s="1"/>
  <c r="BC43" i="4" s="1"/>
  <c r="U41" i="4"/>
  <c r="AX41" i="4" s="1"/>
  <c r="F117" i="4"/>
  <c r="BL58" i="4"/>
  <c r="U27" i="4"/>
  <c r="AX27" i="4" s="1"/>
  <c r="BC27" i="4" s="1"/>
  <c r="AO58" i="4"/>
  <c r="W72" i="4"/>
  <c r="AZ72" i="4" s="1"/>
  <c r="BE72" i="4" s="1"/>
  <c r="W71" i="4"/>
  <c r="AZ71" i="4" s="1"/>
  <c r="V88" i="4"/>
  <c r="AY88" i="4" s="1"/>
  <c r="BD88" i="4" s="1"/>
  <c r="AN86" i="4"/>
  <c r="V57" i="4"/>
  <c r="AY57" i="4" s="1"/>
  <c r="BD57" i="4" s="1"/>
  <c r="V56" i="4"/>
  <c r="AY56" i="4" s="1"/>
  <c r="V87" i="4"/>
  <c r="AN87" i="4" s="1"/>
  <c r="F118" i="4"/>
  <c r="BL103" i="4"/>
  <c r="AO103" i="4"/>
  <c r="F109" i="4"/>
  <c r="F115" i="4"/>
  <c r="F116" i="4"/>
  <c r="F112" i="4"/>
  <c r="F110" i="4"/>
  <c r="F111" i="4"/>
  <c r="L59" i="4"/>
  <c r="X56" i="4" s="1"/>
  <c r="AP56" i="4" s="1"/>
  <c r="W56" i="4"/>
  <c r="AZ56" i="4" s="1"/>
  <c r="W57" i="4"/>
  <c r="AZ57" i="4" s="1"/>
  <c r="BE57" i="4" s="1"/>
  <c r="AR83" i="8"/>
  <c r="F113" i="4"/>
  <c r="AT82" i="8"/>
  <c r="AT90" i="8" s="1"/>
  <c r="U90" i="8"/>
  <c r="AG90" i="8" s="1"/>
  <c r="AR84" i="8"/>
  <c r="W27" i="4"/>
  <c r="AZ27" i="4" s="1"/>
  <c r="BE27" i="4" s="1"/>
  <c r="U86" i="4"/>
  <c r="AX86" i="4" s="1"/>
  <c r="L89" i="4"/>
  <c r="X86" i="4" s="1"/>
  <c r="AP86" i="4" s="1"/>
  <c r="U87" i="4"/>
  <c r="AX87" i="4" s="1"/>
  <c r="BC87" i="4" s="1"/>
  <c r="BH57" i="4"/>
  <c r="AM57" i="4"/>
  <c r="W28" i="4"/>
  <c r="AZ28" i="4" s="1"/>
  <c r="BE28" i="4" s="1"/>
  <c r="AX102" i="4"/>
  <c r="BC102" i="4" s="1"/>
  <c r="AN51" i="6" s="1"/>
  <c r="AO51" i="6" s="1"/>
  <c r="AY102" i="4"/>
  <c r="BD102" i="4" s="1"/>
  <c r="AN52" i="6" s="1"/>
  <c r="AO52" i="6" s="1"/>
  <c r="AY103" i="4"/>
  <c r="BD103" i="4" s="1"/>
  <c r="AN55" i="6" s="1"/>
  <c r="AO55" i="6" s="1"/>
  <c r="AM58" i="4"/>
  <c r="AX58" i="4"/>
  <c r="BC58" i="4" s="1"/>
  <c r="V69" i="4"/>
  <c r="AY69" i="4" s="1"/>
  <c r="AZ102" i="4"/>
  <c r="BE102" i="4" s="1"/>
  <c r="AN53" i="6" s="1"/>
  <c r="AO53" i="6" s="1"/>
  <c r="V70" i="4"/>
  <c r="AY70" i="4" s="1"/>
  <c r="BH58" i="4"/>
  <c r="AM12" i="4"/>
  <c r="AX12" i="4"/>
  <c r="BC12" i="4" s="1"/>
  <c r="AH74" i="4"/>
  <c r="W88" i="4"/>
  <c r="W86" i="4"/>
  <c r="BH102" i="4"/>
  <c r="AM102" i="4"/>
  <c r="L29" i="4"/>
  <c r="X28" i="4" s="1"/>
  <c r="BJ102" i="4"/>
  <c r="AN102" i="4"/>
  <c r="V28" i="4"/>
  <c r="L74" i="4"/>
  <c r="X71" i="4" s="1"/>
  <c r="AP71" i="4" s="1"/>
  <c r="V26" i="4"/>
  <c r="AY26" i="4" s="1"/>
  <c r="AY64" i="4"/>
  <c r="V68" i="4"/>
  <c r="AY68" i="4" s="1"/>
  <c r="V67" i="4"/>
  <c r="BJ67" i="4" s="1"/>
  <c r="BJ64" i="4"/>
  <c r="I119" i="4"/>
  <c r="U117" i="4" s="1"/>
  <c r="AM117" i="4" s="1"/>
  <c r="V73" i="4"/>
  <c r="AN73" i="4" s="1"/>
  <c r="V72" i="4"/>
  <c r="V71" i="4"/>
  <c r="BJ103" i="4"/>
  <c r="U72" i="4"/>
  <c r="AX72" i="4" s="1"/>
  <c r="BC72" i="4" s="1"/>
  <c r="V65" i="4"/>
  <c r="BJ65" i="4" s="1"/>
  <c r="V66" i="4"/>
  <c r="BJ66" i="4" s="1"/>
  <c r="AN103" i="4"/>
  <c r="U73" i="4"/>
  <c r="U71" i="4"/>
  <c r="AX71" i="4" s="1"/>
  <c r="BL102" i="4"/>
  <c r="AO102" i="4"/>
  <c r="AM101" i="4"/>
  <c r="BE87" i="4"/>
  <c r="AO87" i="4"/>
  <c r="BL87" i="4"/>
  <c r="BC88" i="4"/>
  <c r="AM88" i="4"/>
  <c r="BH88" i="4"/>
  <c r="BE73" i="4"/>
  <c r="AO73" i="4"/>
  <c r="BL73" i="4"/>
  <c r="BD58" i="4"/>
  <c r="AN58" i="4"/>
  <c r="BJ58" i="4"/>
  <c r="AM41" i="4"/>
  <c r="BC42" i="4"/>
  <c r="AM42" i="4"/>
  <c r="BH42" i="4"/>
  <c r="BD27" i="4"/>
  <c r="BJ27" i="4"/>
  <c r="AN27" i="4"/>
  <c r="BD12" i="4"/>
  <c r="BJ12" i="4"/>
  <c r="AN12" i="4"/>
  <c r="BH12" i="4"/>
  <c r="X102" i="4"/>
  <c r="AP102" i="4" s="1"/>
  <c r="X103" i="4"/>
  <c r="AP103" i="4" s="1"/>
  <c r="AT88" i="8"/>
  <c r="AR87" i="8"/>
  <c r="T90" i="8"/>
  <c r="AF90" i="8" s="1"/>
  <c r="AR82" i="8"/>
  <c r="AR90" i="8" s="1"/>
  <c r="AX71" i="8"/>
  <c r="AI71" i="8"/>
  <c r="AX35" i="8"/>
  <c r="AI35" i="8"/>
  <c r="AX70" i="8"/>
  <c r="AI70" i="8"/>
  <c r="AX74" i="8"/>
  <c r="AI74" i="8"/>
  <c r="AX69" i="8"/>
  <c r="AX77" i="8" s="1"/>
  <c r="AI69" i="8"/>
  <c r="AX75" i="8"/>
  <c r="AI75" i="8"/>
  <c r="AX76" i="8"/>
  <c r="AI76" i="8"/>
  <c r="AX24" i="8"/>
  <c r="AI24" i="8"/>
  <c r="AX19" i="8"/>
  <c r="AI19" i="8"/>
  <c r="AX18" i="8"/>
  <c r="AI18" i="8"/>
  <c r="AX23" i="8"/>
  <c r="AI23" i="8"/>
  <c r="AX22" i="8"/>
  <c r="AI22" i="8"/>
  <c r="AX56" i="8"/>
  <c r="AI56" i="8"/>
  <c r="AX30" i="8"/>
  <c r="AX38" i="8" s="1"/>
  <c r="AI30" i="8"/>
  <c r="AX32" i="8"/>
  <c r="AI32" i="8"/>
  <c r="AX37" i="8"/>
  <c r="AI37" i="8"/>
  <c r="AX36" i="8"/>
  <c r="AI36" i="8"/>
  <c r="AX31" i="8"/>
  <c r="AI31" i="8"/>
  <c r="AX63" i="8"/>
  <c r="AI63" i="8"/>
  <c r="AX58" i="8"/>
  <c r="AI58" i="8"/>
  <c r="AX57" i="8"/>
  <c r="AI57" i="8"/>
  <c r="AX43" i="8"/>
  <c r="AX51" i="8" s="1"/>
  <c r="AI43" i="8"/>
  <c r="AX45" i="8"/>
  <c r="AI45" i="8"/>
  <c r="AX49" i="8"/>
  <c r="AI49" i="8"/>
  <c r="AX48" i="8"/>
  <c r="AI48" i="8"/>
  <c r="AX44" i="8"/>
  <c r="AI44" i="8"/>
  <c r="AX50" i="8"/>
  <c r="AI50" i="8"/>
  <c r="AX10" i="8"/>
  <c r="AI10" i="8"/>
  <c r="AX4" i="8"/>
  <c r="AX12" i="8" s="1"/>
  <c r="AI4" i="8"/>
  <c r="AX9" i="8"/>
  <c r="AI9" i="8"/>
  <c r="AX5" i="8"/>
  <c r="AI5" i="8"/>
  <c r="AX6" i="8"/>
  <c r="AI6" i="8"/>
  <c r="W88" i="8"/>
  <c r="AI88" i="8" s="1"/>
  <c r="AC90" i="8"/>
  <c r="AM11" i="8"/>
  <c r="AN11" i="8" s="1"/>
  <c r="D64" i="6" s="1"/>
  <c r="E64" i="6" s="1"/>
  <c r="AI11" i="8"/>
  <c r="AX17" i="8"/>
  <c r="AX25" i="8" s="1"/>
  <c r="AI17" i="8"/>
  <c r="AX62" i="8"/>
  <c r="AI62" i="8"/>
  <c r="AV88" i="8"/>
  <c r="AV84" i="8"/>
  <c r="W82" i="8"/>
  <c r="AI82" i="8" s="1"/>
  <c r="W84" i="8"/>
  <c r="AI84" i="8" s="1"/>
  <c r="AV83" i="8"/>
  <c r="AT84" i="8"/>
  <c r="W87" i="8"/>
  <c r="AI87" i="8" s="1"/>
  <c r="W89" i="8"/>
  <c r="AI89" i="8" s="1"/>
  <c r="AX11" i="8"/>
  <c r="V90" i="8"/>
  <c r="AH90" i="8" s="1"/>
  <c r="AV82" i="8"/>
  <c r="AV90" i="8" s="1"/>
  <c r="I57" i="6"/>
  <c r="AV12" i="8"/>
  <c r="AJ50" i="4"/>
  <c r="AJ79" i="4"/>
  <c r="AD119" i="4"/>
  <c r="BO109" i="4"/>
  <c r="AI29" i="4"/>
  <c r="W25" i="4"/>
  <c r="W24" i="4"/>
  <c r="W22" i="4"/>
  <c r="W21" i="4"/>
  <c r="W20" i="4"/>
  <c r="W19" i="4"/>
  <c r="W23" i="4"/>
  <c r="AJ6" i="4"/>
  <c r="BO110" i="4"/>
  <c r="AH29" i="4"/>
  <c r="V25" i="4"/>
  <c r="V24" i="4"/>
  <c r="V20" i="4"/>
  <c r="V22" i="4"/>
  <c r="V23" i="4"/>
  <c r="V19" i="4"/>
  <c r="V21" i="4"/>
  <c r="AJ53" i="4"/>
  <c r="AJ66" i="4"/>
  <c r="AJ80" i="4"/>
  <c r="AG104" i="4"/>
  <c r="U100" i="4"/>
  <c r="U99" i="4"/>
  <c r="U95" i="4"/>
  <c r="U94" i="4"/>
  <c r="U96" i="4"/>
  <c r="U97" i="4"/>
  <c r="U98" i="4"/>
  <c r="AG89" i="4"/>
  <c r="U85" i="4"/>
  <c r="U84" i="4"/>
  <c r="U82" i="4"/>
  <c r="U80" i="4"/>
  <c r="U81" i="4"/>
  <c r="U83" i="4"/>
  <c r="U79" i="4"/>
  <c r="AI74" i="4"/>
  <c r="W70" i="4"/>
  <c r="W69" i="4"/>
  <c r="W64" i="4"/>
  <c r="W68" i="4"/>
  <c r="W65" i="4"/>
  <c r="W66" i="4"/>
  <c r="W67" i="4"/>
  <c r="U10" i="4"/>
  <c r="U9" i="4"/>
  <c r="U6" i="4"/>
  <c r="U7" i="4"/>
  <c r="U8" i="4"/>
  <c r="U11" i="4"/>
  <c r="AX11" i="4" s="1"/>
  <c r="U4" i="4"/>
  <c r="U5" i="4"/>
  <c r="AJ98" i="4"/>
  <c r="AJ22" i="4"/>
  <c r="AJ4" i="4"/>
  <c r="AJ68" i="4"/>
  <c r="AJ52" i="4"/>
  <c r="AJ20" i="4"/>
  <c r="AJ96" i="4"/>
  <c r="AJ11" i="4"/>
  <c r="BO114" i="4"/>
  <c r="AJ51" i="4"/>
  <c r="AH14" i="4"/>
  <c r="V9" i="4"/>
  <c r="V10" i="4"/>
  <c r="V8" i="4"/>
  <c r="V7" i="4"/>
  <c r="V11" i="4"/>
  <c r="AY11" i="4" s="1"/>
  <c r="V5" i="4"/>
  <c r="V4" i="4"/>
  <c r="V6" i="4"/>
  <c r="AG44" i="4"/>
  <c r="U39" i="4"/>
  <c r="U40" i="4"/>
  <c r="U38" i="4"/>
  <c r="U34" i="4"/>
  <c r="U36" i="4"/>
  <c r="U35" i="4"/>
  <c r="U37" i="4"/>
  <c r="AJ95" i="4"/>
  <c r="AJ64" i="4"/>
  <c r="AH89" i="4"/>
  <c r="V84" i="4"/>
  <c r="V85" i="4"/>
  <c r="V83" i="4"/>
  <c r="V82" i="4"/>
  <c r="V80" i="4"/>
  <c r="V81" i="4"/>
  <c r="V79" i="4"/>
  <c r="BO116" i="4"/>
  <c r="AG74" i="4"/>
  <c r="U70" i="4"/>
  <c r="U69" i="4"/>
  <c r="U65" i="4"/>
  <c r="U64" i="4"/>
  <c r="U66" i="4"/>
  <c r="U68" i="4"/>
  <c r="U67" i="4"/>
  <c r="AJ56" i="4"/>
  <c r="BO115" i="4"/>
  <c r="AH104" i="4"/>
  <c r="V100" i="4"/>
  <c r="V99" i="4"/>
  <c r="V96" i="4"/>
  <c r="V97" i="4"/>
  <c r="V98" i="4"/>
  <c r="V94" i="4"/>
  <c r="V95" i="4"/>
  <c r="AJ19" i="4"/>
  <c r="AJ71" i="4"/>
  <c r="AI14" i="4"/>
  <c r="W10" i="4"/>
  <c r="W9" i="4"/>
  <c r="W6" i="4"/>
  <c r="W11" i="4"/>
  <c r="AZ11" i="4" s="1"/>
  <c r="W8" i="4"/>
  <c r="W5" i="4"/>
  <c r="W7" i="4"/>
  <c r="W4" i="4"/>
  <c r="AJ23" i="4"/>
  <c r="U25" i="4"/>
  <c r="U24" i="4"/>
  <c r="U23" i="4"/>
  <c r="U20" i="4"/>
  <c r="U22" i="4"/>
  <c r="U21" i="4"/>
  <c r="U19" i="4"/>
  <c r="AI104" i="4"/>
  <c r="W100" i="4"/>
  <c r="W99" i="4"/>
  <c r="W95" i="4"/>
  <c r="W94" i="4"/>
  <c r="W96" i="4"/>
  <c r="W97" i="4"/>
  <c r="W98" i="4"/>
  <c r="AJ97" i="4"/>
  <c r="BO113" i="4"/>
  <c r="AH59" i="4"/>
  <c r="V55" i="4"/>
  <c r="V54" i="4"/>
  <c r="V51" i="4"/>
  <c r="V49" i="4"/>
  <c r="V53" i="4"/>
  <c r="V52" i="4"/>
  <c r="V50" i="4"/>
  <c r="AJ83" i="4"/>
  <c r="AJ81" i="4"/>
  <c r="AI89" i="4"/>
  <c r="W85" i="4"/>
  <c r="W84" i="4"/>
  <c r="W83" i="4"/>
  <c r="W82" i="4"/>
  <c r="W80" i="4"/>
  <c r="W81" i="4"/>
  <c r="W79" i="4"/>
  <c r="AJ5" i="4"/>
  <c r="AG59" i="4"/>
  <c r="U55" i="4"/>
  <c r="U54" i="4"/>
  <c r="U52" i="4"/>
  <c r="U53" i="4"/>
  <c r="U50" i="4"/>
  <c r="U49" i="4"/>
  <c r="U51" i="4"/>
  <c r="BO112" i="4"/>
  <c r="AI59" i="4"/>
  <c r="W54" i="4"/>
  <c r="W55" i="4"/>
  <c r="W51" i="4"/>
  <c r="W49" i="4"/>
  <c r="W52" i="4"/>
  <c r="W53" i="4"/>
  <c r="W50" i="4"/>
  <c r="AJ49" i="4"/>
  <c r="BO111" i="4"/>
  <c r="AJ67" i="4"/>
  <c r="AJ21" i="4"/>
  <c r="AJ65" i="4"/>
  <c r="AJ94" i="4"/>
  <c r="AG14" i="4"/>
  <c r="AG29" i="4"/>
  <c r="L14" i="4"/>
  <c r="X98" i="4"/>
  <c r="AT12" i="8"/>
  <c r="AM6" i="8"/>
  <c r="AN6" i="8" s="1"/>
  <c r="D59" i="6" s="1"/>
  <c r="AM4" i="8"/>
  <c r="AN4" i="8" s="1"/>
  <c r="D57" i="6" s="1"/>
  <c r="AR12" i="8"/>
  <c r="W12" i="8"/>
  <c r="AI12" i="8" s="1"/>
  <c r="AM9" i="8"/>
  <c r="AN9" i="8" s="1"/>
  <c r="D62" i="6" s="1"/>
  <c r="AM10" i="8"/>
  <c r="AN10" i="8" s="1"/>
  <c r="D63" i="6" s="1"/>
  <c r="AM5" i="8"/>
  <c r="AN5" i="8" s="1"/>
  <c r="D58" i="6" s="1"/>
  <c r="AV64" i="8"/>
  <c r="AT38" i="8"/>
  <c r="AR25" i="8"/>
  <c r="AV25" i="8"/>
  <c r="AT51" i="8"/>
  <c r="AV38" i="8"/>
  <c r="AT25" i="8"/>
  <c r="AR38" i="8"/>
  <c r="AR77" i="8"/>
  <c r="AT77" i="8"/>
  <c r="AR64" i="8"/>
  <c r="AV51" i="8"/>
  <c r="AR51" i="8"/>
  <c r="AX61" i="8"/>
  <c r="AM61" i="8"/>
  <c r="AN61" i="8" s="1"/>
  <c r="AV77" i="8"/>
  <c r="AM48" i="8"/>
  <c r="AN48" i="8" s="1"/>
  <c r="AM18" i="8"/>
  <c r="AN18" i="8" s="1"/>
  <c r="H58" i="6" s="1"/>
  <c r="AM58" i="8"/>
  <c r="AN58" i="8" s="1"/>
  <c r="AM44" i="8"/>
  <c r="AN44" i="8" s="1"/>
  <c r="AM23" i="8"/>
  <c r="AN23" i="8" s="1"/>
  <c r="H63" i="6" s="1"/>
  <c r="H76" i="6" s="1"/>
  <c r="W64" i="8"/>
  <c r="AI64" i="8" s="1"/>
  <c r="AM57" i="8"/>
  <c r="AN57" i="8" s="1"/>
  <c r="AM50" i="8"/>
  <c r="AN50" i="8" s="1"/>
  <c r="AM19" i="8"/>
  <c r="AN19" i="8" s="1"/>
  <c r="H59" i="6" s="1"/>
  <c r="H72" i="6" s="1"/>
  <c r="AM22" i="8"/>
  <c r="AN22" i="8" s="1"/>
  <c r="H62" i="6" s="1"/>
  <c r="H75" i="6" s="1"/>
  <c r="W38" i="8"/>
  <c r="AI38" i="8" s="1"/>
  <c r="AM30" i="8"/>
  <c r="AN30" i="8" s="1"/>
  <c r="L57" i="6" s="1"/>
  <c r="W51" i="8"/>
  <c r="AI51" i="8" s="1"/>
  <c r="AM43" i="8"/>
  <c r="AN43" i="8" s="1"/>
  <c r="AM37" i="8"/>
  <c r="AN37" i="8" s="1"/>
  <c r="L64" i="6" s="1"/>
  <c r="AM56" i="8"/>
  <c r="AN56" i="8" s="1"/>
  <c r="AM36" i="8"/>
  <c r="AN36" i="8" s="1"/>
  <c r="L63" i="6" s="1"/>
  <c r="AM31" i="8"/>
  <c r="AN31" i="8" s="1"/>
  <c r="L58" i="6" s="1"/>
  <c r="AM63" i="8"/>
  <c r="AN63" i="8" s="1"/>
  <c r="AM74" i="8"/>
  <c r="AN74" i="8" s="1"/>
  <c r="AN62" i="6" s="1"/>
  <c r="AM32" i="8"/>
  <c r="AN32" i="8" s="1"/>
  <c r="L59" i="6" s="1"/>
  <c r="AM71" i="8"/>
  <c r="AN71" i="8" s="1"/>
  <c r="AN59" i="6" s="1"/>
  <c r="AM70" i="8"/>
  <c r="AN70" i="8" s="1"/>
  <c r="AN58" i="6" s="1"/>
  <c r="AM35" i="8"/>
  <c r="AN35" i="8" s="1"/>
  <c r="L62" i="6" s="1"/>
  <c r="AM69" i="8"/>
  <c r="AN69" i="8" s="1"/>
  <c r="AN57" i="6" s="1"/>
  <c r="W77" i="8"/>
  <c r="AI77" i="8" s="1"/>
  <c r="AM75" i="8"/>
  <c r="AN75" i="8" s="1"/>
  <c r="AN63" i="6" s="1"/>
  <c r="AM76" i="8"/>
  <c r="AN76" i="8" s="1"/>
  <c r="AN64" i="6" s="1"/>
  <c r="AF63" i="6"/>
  <c r="AB63" i="6"/>
  <c r="AJ63" i="6"/>
  <c r="X63" i="6"/>
  <c r="AM45" i="8"/>
  <c r="AN45" i="8" s="1"/>
  <c r="AM24" i="8"/>
  <c r="AN24" i="8" s="1"/>
  <c r="H64" i="6" s="1"/>
  <c r="H77" i="6" s="1"/>
  <c r="I77" i="6" s="1"/>
  <c r="AM49" i="8"/>
  <c r="AN49" i="8" s="1"/>
  <c r="W25" i="8"/>
  <c r="AI25" i="8" s="1"/>
  <c r="AW90" i="8" l="1"/>
  <c r="T61" i="6"/>
  <c r="P61" i="6"/>
  <c r="AF60" i="6"/>
  <c r="AB60" i="6"/>
  <c r="X60" i="6"/>
  <c r="AJ60" i="6"/>
  <c r="T60" i="6"/>
  <c r="P60" i="6"/>
  <c r="X61" i="6"/>
  <c r="AJ61" i="6"/>
  <c r="AB61" i="6"/>
  <c r="AF61" i="6"/>
  <c r="AI83" i="8"/>
  <c r="AI86" i="8"/>
  <c r="AI85" i="8"/>
  <c r="BH28" i="4"/>
  <c r="AN13" i="4"/>
  <c r="BJ13" i="4"/>
  <c r="AX64" i="8"/>
  <c r="BJ57" i="4"/>
  <c r="BL13" i="4"/>
  <c r="AN57" i="4"/>
  <c r="AZ13" i="4"/>
  <c r="BE13" i="4" s="1"/>
  <c r="BH43" i="4"/>
  <c r="AM43" i="4"/>
  <c r="AM28" i="4"/>
  <c r="AM27" i="4"/>
  <c r="BJ88" i="4"/>
  <c r="BH27" i="4"/>
  <c r="AN88" i="4"/>
  <c r="AO71" i="4"/>
  <c r="BL72" i="4"/>
  <c r="AO72" i="4"/>
  <c r="AN56" i="4"/>
  <c r="X20" i="4"/>
  <c r="BN20" i="4" s="1"/>
  <c r="X57" i="4"/>
  <c r="AP57" i="4" s="1"/>
  <c r="X52" i="4"/>
  <c r="AP52" i="4" s="1"/>
  <c r="AO27" i="4"/>
  <c r="AN69" i="4"/>
  <c r="AN70" i="4"/>
  <c r="BJ70" i="4"/>
  <c r="BL27" i="4"/>
  <c r="AY87" i="4"/>
  <c r="BD87" i="4" s="1"/>
  <c r="BJ87" i="4"/>
  <c r="BH87" i="4"/>
  <c r="X58" i="4"/>
  <c r="AP58" i="4" s="1"/>
  <c r="BL57" i="4"/>
  <c r="BJ69" i="4"/>
  <c r="AN67" i="4"/>
  <c r="AM87" i="4"/>
  <c r="AO56" i="4"/>
  <c r="X88" i="4"/>
  <c r="AP88" i="4" s="1"/>
  <c r="AO57" i="4"/>
  <c r="X87" i="4"/>
  <c r="AP87" i="4" s="1"/>
  <c r="AN66" i="4"/>
  <c r="AY66" i="4"/>
  <c r="BD68" i="4" s="1"/>
  <c r="AM86" i="4"/>
  <c r="AO28" i="4"/>
  <c r="BL28" i="4"/>
  <c r="X27" i="4"/>
  <c r="AP27" i="4" s="1"/>
  <c r="X26" i="4"/>
  <c r="BH117" i="4"/>
  <c r="AG119" i="4"/>
  <c r="U109" i="4"/>
  <c r="BH109" i="4" s="1"/>
  <c r="BJ28" i="4"/>
  <c r="AY28" i="4"/>
  <c r="BD28" i="4" s="1"/>
  <c r="BH73" i="4"/>
  <c r="AX73" i="4"/>
  <c r="BC73" i="4" s="1"/>
  <c r="AO86" i="4"/>
  <c r="AZ86" i="4"/>
  <c r="X72" i="4"/>
  <c r="BN72" i="4" s="1"/>
  <c r="BL88" i="4"/>
  <c r="AZ88" i="4"/>
  <c r="BE88" i="4" s="1"/>
  <c r="X73" i="4"/>
  <c r="AP73" i="4" s="1"/>
  <c r="AM73" i="4"/>
  <c r="AY71" i="4"/>
  <c r="BD71" i="4" s="1"/>
  <c r="AY72" i="4"/>
  <c r="BD72" i="4" s="1"/>
  <c r="BH72" i="4"/>
  <c r="BJ73" i="4"/>
  <c r="AY73" i="4"/>
  <c r="BD73" i="4" s="1"/>
  <c r="AM72" i="4"/>
  <c r="AO88" i="4"/>
  <c r="AN68" i="4"/>
  <c r="BJ68" i="4"/>
  <c r="U111" i="4"/>
  <c r="BH111" i="4" s="1"/>
  <c r="U114" i="4"/>
  <c r="BH114" i="4" s="1"/>
  <c r="U112" i="4"/>
  <c r="BH112" i="4" s="1"/>
  <c r="U115" i="4"/>
  <c r="BH115" i="4" s="1"/>
  <c r="U113" i="4"/>
  <c r="BH113" i="4" s="1"/>
  <c r="AY65" i="4"/>
  <c r="BJ71" i="4"/>
  <c r="V74" i="4"/>
  <c r="AN74" i="4" s="1"/>
  <c r="U116" i="4"/>
  <c r="AM116" i="4" s="1"/>
  <c r="AY67" i="4"/>
  <c r="AN71" i="4"/>
  <c r="U110" i="4"/>
  <c r="BH110" i="4" s="1"/>
  <c r="BJ72" i="4"/>
  <c r="U118" i="4"/>
  <c r="AM118" i="4" s="1"/>
  <c r="AN28" i="4"/>
  <c r="AN72" i="4"/>
  <c r="AM71" i="4"/>
  <c r="AN65" i="4"/>
  <c r="BN102" i="4"/>
  <c r="BN103" i="4"/>
  <c r="W29" i="4"/>
  <c r="AO29" i="4" s="1"/>
  <c r="V29" i="4"/>
  <c r="AN29" i="4" s="1"/>
  <c r="BN28" i="4"/>
  <c r="AP28" i="4"/>
  <c r="W14" i="4"/>
  <c r="AO14" i="4" s="1"/>
  <c r="U14" i="4"/>
  <c r="AM14" i="4" s="1"/>
  <c r="U104" i="4"/>
  <c r="AM104" i="4" s="1"/>
  <c r="W104" i="4"/>
  <c r="AO104" i="4" s="1"/>
  <c r="V104" i="4"/>
  <c r="AN104" i="4" s="1"/>
  <c r="W89" i="4"/>
  <c r="AO89" i="4" s="1"/>
  <c r="V89" i="4"/>
  <c r="AN89" i="4" s="1"/>
  <c r="U89" i="4"/>
  <c r="AM89" i="4" s="1"/>
  <c r="U74" i="4"/>
  <c r="AM74" i="4" s="1"/>
  <c r="W74" i="4"/>
  <c r="AO74" i="4" s="1"/>
  <c r="U59" i="4"/>
  <c r="AM59" i="4" s="1"/>
  <c r="V59" i="4"/>
  <c r="AN59" i="4" s="1"/>
  <c r="W59" i="4"/>
  <c r="AO59" i="4" s="1"/>
  <c r="U44" i="4"/>
  <c r="AM44" i="4" s="1"/>
  <c r="U29" i="4"/>
  <c r="AM29" i="4" s="1"/>
  <c r="V14" i="4"/>
  <c r="AN14" i="4" s="1"/>
  <c r="X13" i="4"/>
  <c r="X12" i="4"/>
  <c r="AX88" i="8"/>
  <c r="L77" i="6"/>
  <c r="M77" i="6" s="1"/>
  <c r="L73" i="6"/>
  <c r="M73" i="6" s="1"/>
  <c r="AX82" i="8"/>
  <c r="AX90" i="8" s="1"/>
  <c r="W90" i="8"/>
  <c r="AI90" i="8" s="1"/>
  <c r="AN72" i="6"/>
  <c r="AO72" i="6" s="1"/>
  <c r="AX89" i="8"/>
  <c r="AX87" i="8"/>
  <c r="AX84" i="8"/>
  <c r="L72" i="6"/>
  <c r="M72" i="6" s="1"/>
  <c r="AN75" i="6"/>
  <c r="AO75" i="6" s="1"/>
  <c r="E58" i="6"/>
  <c r="D71" i="6"/>
  <c r="E71" i="6" s="1"/>
  <c r="AN73" i="6"/>
  <c r="AO73" i="6" s="1"/>
  <c r="D74" i="6"/>
  <c r="E74" i="6" s="1"/>
  <c r="D77" i="6"/>
  <c r="E77" i="6" s="1"/>
  <c r="D72" i="6"/>
  <c r="E72" i="6" s="1"/>
  <c r="D76" i="6"/>
  <c r="E76" i="6" s="1"/>
  <c r="M58" i="6"/>
  <c r="L71" i="6"/>
  <c r="M71" i="6" s="1"/>
  <c r="D73" i="6"/>
  <c r="E73" i="6" s="1"/>
  <c r="AN77" i="6"/>
  <c r="AO77" i="6" s="1"/>
  <c r="AN76" i="6"/>
  <c r="AO76" i="6" s="1"/>
  <c r="I58" i="6"/>
  <c r="H71" i="6"/>
  <c r="I71" i="6" s="1"/>
  <c r="D75" i="6"/>
  <c r="E75" i="6" s="1"/>
  <c r="L74" i="6"/>
  <c r="M74" i="6" s="1"/>
  <c r="AN74" i="6"/>
  <c r="AO74" i="6" s="1"/>
  <c r="AO58" i="6"/>
  <c r="AN71" i="6"/>
  <c r="AO71" i="6" s="1"/>
  <c r="L76" i="6"/>
  <c r="M76" i="6" s="1"/>
  <c r="L75" i="6"/>
  <c r="M75" i="6" s="1"/>
  <c r="I64" i="6"/>
  <c r="I76" i="6"/>
  <c r="I61" i="6"/>
  <c r="I73" i="6"/>
  <c r="Y63" i="6"/>
  <c r="AK63" i="6"/>
  <c r="AC63" i="6"/>
  <c r="AG63" i="6"/>
  <c r="AO64" i="6"/>
  <c r="AO63" i="6"/>
  <c r="AO57" i="6"/>
  <c r="AO61" i="6"/>
  <c r="M62" i="6"/>
  <c r="AO59" i="6"/>
  <c r="M59" i="6"/>
  <c r="AO62" i="6"/>
  <c r="AO60" i="6"/>
  <c r="M63" i="6"/>
  <c r="M64" i="6"/>
  <c r="M60" i="6"/>
  <c r="M57" i="6"/>
  <c r="I62" i="6"/>
  <c r="I74" i="6"/>
  <c r="M61" i="6"/>
  <c r="I60" i="6"/>
  <c r="I72" i="6"/>
  <c r="I59" i="6"/>
  <c r="I63" i="6"/>
  <c r="I75" i="6"/>
  <c r="E61" i="6"/>
  <c r="E63" i="6"/>
  <c r="E62" i="6"/>
  <c r="E60" i="6"/>
  <c r="E57" i="6"/>
  <c r="E59" i="6"/>
  <c r="X22" i="4"/>
  <c r="BN22" i="4" s="1"/>
  <c r="X67" i="4"/>
  <c r="BN67" i="4" s="1"/>
  <c r="BN98" i="4"/>
  <c r="AP98" i="4"/>
  <c r="BN71" i="4"/>
  <c r="BL86" i="4"/>
  <c r="BL84" i="4"/>
  <c r="AO84" i="4"/>
  <c r="AZ84" i="4"/>
  <c r="BJ49" i="4"/>
  <c r="AN49" i="4"/>
  <c r="AY49" i="4"/>
  <c r="BL99" i="4"/>
  <c r="AZ99" i="4"/>
  <c r="AO99" i="4"/>
  <c r="BL5" i="4"/>
  <c r="AO5" i="4"/>
  <c r="AZ5" i="4"/>
  <c r="BJ8" i="4"/>
  <c r="AY8" i="4"/>
  <c r="AN8" i="4"/>
  <c r="BL68" i="4"/>
  <c r="AZ68" i="4"/>
  <c r="AO68" i="4"/>
  <c r="BH95" i="4"/>
  <c r="AM95" i="4"/>
  <c r="AX95" i="4"/>
  <c r="BJ19" i="4"/>
  <c r="AY19" i="4"/>
  <c r="AN19" i="4"/>
  <c r="AJ14" i="4"/>
  <c r="X10" i="4"/>
  <c r="X9" i="4"/>
  <c r="X7" i="4"/>
  <c r="BL85" i="4"/>
  <c r="AZ85" i="4"/>
  <c r="AO85" i="4"/>
  <c r="BJ56" i="4"/>
  <c r="BL100" i="4"/>
  <c r="AO100" i="4"/>
  <c r="AZ100" i="4"/>
  <c r="BL8" i="4"/>
  <c r="AO8" i="4"/>
  <c r="AZ8" i="4"/>
  <c r="BJ10" i="4"/>
  <c r="AY10" i="4"/>
  <c r="AN10" i="4"/>
  <c r="BL71" i="4"/>
  <c r="BH99" i="4"/>
  <c r="AX99" i="4"/>
  <c r="AM99" i="4"/>
  <c r="BJ23" i="4"/>
  <c r="AY23" i="4"/>
  <c r="AN23" i="4"/>
  <c r="BL24" i="4"/>
  <c r="AZ24" i="4"/>
  <c r="AO24" i="4"/>
  <c r="BJ51" i="4"/>
  <c r="AN51" i="4"/>
  <c r="AY51" i="4"/>
  <c r="BD51" i="4" s="1"/>
  <c r="BL11" i="4"/>
  <c r="BE11" i="4"/>
  <c r="D23" i="6" s="1"/>
  <c r="E23" i="6" s="1"/>
  <c r="AO11" i="4"/>
  <c r="BJ9" i="4"/>
  <c r="AY9" i="4"/>
  <c r="AN9" i="4"/>
  <c r="BL64" i="4"/>
  <c r="AO64" i="4"/>
  <c r="AZ64" i="4"/>
  <c r="BH100" i="4"/>
  <c r="AM100" i="4"/>
  <c r="AX100" i="4"/>
  <c r="BJ22" i="4"/>
  <c r="AY22" i="4"/>
  <c r="AN22" i="4"/>
  <c r="BH51" i="4"/>
  <c r="AX51" i="4"/>
  <c r="BC51" i="4" s="1"/>
  <c r="AM51" i="4"/>
  <c r="BJ54" i="4"/>
  <c r="AN54" i="4"/>
  <c r="AY54" i="4"/>
  <c r="BH19" i="4"/>
  <c r="AX19" i="4"/>
  <c r="AM19" i="4"/>
  <c r="BL6" i="4"/>
  <c r="AO6" i="4"/>
  <c r="AZ6" i="4"/>
  <c r="BE6" i="4" s="1"/>
  <c r="BJ86" i="4"/>
  <c r="X95" i="4"/>
  <c r="BL69" i="4"/>
  <c r="AO69" i="4"/>
  <c r="AZ69" i="4"/>
  <c r="BJ26" i="4"/>
  <c r="AN26" i="4"/>
  <c r="BH94" i="4"/>
  <c r="AM94" i="4"/>
  <c r="AX94" i="4"/>
  <c r="BH49" i="4"/>
  <c r="AX49" i="4"/>
  <c r="AM49" i="4"/>
  <c r="BJ55" i="4"/>
  <c r="AY55" i="4"/>
  <c r="AN55" i="4"/>
  <c r="BH21" i="4"/>
  <c r="AX21" i="4"/>
  <c r="BC21" i="4" s="1"/>
  <c r="AM21" i="4"/>
  <c r="BL9" i="4"/>
  <c r="AO9" i="4"/>
  <c r="AZ9" i="4"/>
  <c r="BJ79" i="4"/>
  <c r="AN79" i="4"/>
  <c r="AY79" i="4"/>
  <c r="X51" i="4"/>
  <c r="BL70" i="4"/>
  <c r="AZ70" i="4"/>
  <c r="AO70" i="4"/>
  <c r="BJ20" i="4"/>
  <c r="AN20" i="4"/>
  <c r="AY20" i="4"/>
  <c r="BL4" i="4"/>
  <c r="AO4" i="4"/>
  <c r="AZ4" i="4"/>
  <c r="AJ104" i="4"/>
  <c r="X99" i="4"/>
  <c r="X100" i="4"/>
  <c r="BH56" i="4"/>
  <c r="BH26" i="4"/>
  <c r="AM26" i="4"/>
  <c r="BL10" i="4"/>
  <c r="AZ10" i="4"/>
  <c r="AO10" i="4"/>
  <c r="BJ81" i="4"/>
  <c r="AN81" i="4"/>
  <c r="AY81" i="4"/>
  <c r="BD81" i="4" s="1"/>
  <c r="BJ24" i="4"/>
  <c r="AY24" i="4"/>
  <c r="AN24" i="4"/>
  <c r="AJ89" i="4"/>
  <c r="X85" i="4"/>
  <c r="X84" i="4"/>
  <c r="X82" i="4"/>
  <c r="BH50" i="4"/>
  <c r="AX50" i="4"/>
  <c r="AM50" i="4"/>
  <c r="BH22" i="4"/>
  <c r="AX22" i="4"/>
  <c r="AM22" i="4"/>
  <c r="BH67" i="4"/>
  <c r="AX67" i="4"/>
  <c r="AM67" i="4"/>
  <c r="BJ80" i="4"/>
  <c r="AY80" i="4"/>
  <c r="AN80" i="4"/>
  <c r="BH37" i="4"/>
  <c r="AM37" i="4"/>
  <c r="AX37" i="4"/>
  <c r="BH79" i="4"/>
  <c r="AX79" i="4"/>
  <c r="AM79" i="4"/>
  <c r="BJ25" i="4"/>
  <c r="AY25" i="4"/>
  <c r="AN25" i="4"/>
  <c r="BJ21" i="4"/>
  <c r="AY21" i="4"/>
  <c r="AN21" i="4"/>
  <c r="AJ59" i="4"/>
  <c r="X55" i="4"/>
  <c r="X54" i="4"/>
  <c r="AJ29" i="4"/>
  <c r="X24" i="4"/>
  <c r="X25" i="4"/>
  <c r="X49" i="4"/>
  <c r="BH53" i="4"/>
  <c r="AM53" i="4"/>
  <c r="AX53" i="4"/>
  <c r="BH20" i="4"/>
  <c r="AM20" i="4"/>
  <c r="AX20" i="4"/>
  <c r="BH68" i="4"/>
  <c r="AX68" i="4"/>
  <c r="AM68" i="4"/>
  <c r="BJ82" i="4"/>
  <c r="AY82" i="4"/>
  <c r="AN82" i="4"/>
  <c r="BH35" i="4"/>
  <c r="AM35" i="4"/>
  <c r="AX35" i="4"/>
  <c r="BH83" i="4"/>
  <c r="AX83" i="4"/>
  <c r="AM83" i="4"/>
  <c r="X80" i="4"/>
  <c r="BL95" i="4"/>
  <c r="AZ95" i="4"/>
  <c r="AO95" i="4"/>
  <c r="AJ74" i="4"/>
  <c r="X70" i="4"/>
  <c r="X69" i="4"/>
  <c r="BH52" i="4"/>
  <c r="AM52" i="4"/>
  <c r="AX52" i="4"/>
  <c r="BH23" i="4"/>
  <c r="AX23" i="4"/>
  <c r="AM23" i="4"/>
  <c r="BH71" i="4"/>
  <c r="BJ83" i="4"/>
  <c r="AN83" i="4"/>
  <c r="AY83" i="4"/>
  <c r="BH41" i="4"/>
  <c r="X68" i="4"/>
  <c r="BH86" i="4"/>
  <c r="BC86" i="4"/>
  <c r="AN21" i="6" s="1"/>
  <c r="AO21" i="6" s="1"/>
  <c r="X79" i="4"/>
  <c r="BJ52" i="4"/>
  <c r="AY52" i="4"/>
  <c r="AN52" i="4"/>
  <c r="BL7" i="4"/>
  <c r="AZ7" i="4"/>
  <c r="AO7" i="4"/>
  <c r="BL50" i="4"/>
  <c r="AZ50" i="4"/>
  <c r="AO50" i="4"/>
  <c r="BH54" i="4"/>
  <c r="AM54" i="4"/>
  <c r="AX54" i="4"/>
  <c r="BH24" i="4"/>
  <c r="AX24" i="4"/>
  <c r="AM24" i="4"/>
  <c r="X19" i="4"/>
  <c r="BH66" i="4"/>
  <c r="AX66" i="4"/>
  <c r="BC66" i="4" s="1"/>
  <c r="AM66" i="4"/>
  <c r="BJ85" i="4"/>
  <c r="AN85" i="4"/>
  <c r="AY85" i="4"/>
  <c r="BH36" i="4"/>
  <c r="AM36" i="4"/>
  <c r="AX36" i="4"/>
  <c r="BC36" i="4" s="1"/>
  <c r="BH5" i="4"/>
  <c r="AX5" i="4"/>
  <c r="AM5" i="4"/>
  <c r="AX81" i="4"/>
  <c r="BC81" i="4" s="1"/>
  <c r="AM81" i="4"/>
  <c r="BH81" i="4"/>
  <c r="X66" i="4"/>
  <c r="BL65" i="4"/>
  <c r="AO65" i="4"/>
  <c r="AZ65" i="4"/>
  <c r="BL53" i="4"/>
  <c r="AO53" i="4"/>
  <c r="AZ53" i="4"/>
  <c r="BH55" i="4"/>
  <c r="AM55" i="4"/>
  <c r="AX55" i="4"/>
  <c r="BH25" i="4"/>
  <c r="AM25" i="4"/>
  <c r="AX25" i="4"/>
  <c r="BH64" i="4"/>
  <c r="AX64" i="4"/>
  <c r="AM64" i="4"/>
  <c r="BJ84" i="4"/>
  <c r="AN84" i="4"/>
  <c r="AY84" i="4"/>
  <c r="BH34" i="4"/>
  <c r="AX34" i="4"/>
  <c r="AM34" i="4"/>
  <c r="X11" i="4"/>
  <c r="BH4" i="4"/>
  <c r="AM4" i="4"/>
  <c r="AX4" i="4"/>
  <c r="BH80" i="4"/>
  <c r="AX80" i="4"/>
  <c r="AM80" i="4"/>
  <c r="X6" i="4"/>
  <c r="X50" i="4"/>
  <c r="BL66" i="4"/>
  <c r="AZ66" i="4"/>
  <c r="BE66" i="4" s="1"/>
  <c r="AO66" i="4"/>
  <c r="BJ53" i="4"/>
  <c r="AN53" i="4"/>
  <c r="AY53" i="4"/>
  <c r="BL52" i="4"/>
  <c r="AO52" i="4"/>
  <c r="AZ52" i="4"/>
  <c r="X23" i="4"/>
  <c r="BJ95" i="4"/>
  <c r="AY95" i="4"/>
  <c r="AN95" i="4"/>
  <c r="BH65" i="4"/>
  <c r="AX65" i="4"/>
  <c r="AM65" i="4"/>
  <c r="BH38" i="4"/>
  <c r="AX38" i="4"/>
  <c r="AM38" i="4"/>
  <c r="BH11" i="4"/>
  <c r="AM11" i="4"/>
  <c r="BH82" i="4"/>
  <c r="AX82" i="4"/>
  <c r="AM82" i="4"/>
  <c r="X53" i="4"/>
  <c r="X94" i="4"/>
  <c r="BL56" i="4"/>
  <c r="X5" i="4"/>
  <c r="X97" i="4"/>
  <c r="BJ101" i="4"/>
  <c r="BH69" i="4"/>
  <c r="AX69" i="4"/>
  <c r="AM69" i="4"/>
  <c r="X64" i="4"/>
  <c r="BH40" i="4"/>
  <c r="AM40" i="4"/>
  <c r="AX40" i="4"/>
  <c r="X96" i="4"/>
  <c r="BH8" i="4"/>
  <c r="AM8" i="4"/>
  <c r="AX8" i="4"/>
  <c r="BH84" i="4"/>
  <c r="AX84" i="4"/>
  <c r="AM84" i="4"/>
  <c r="BL23" i="4"/>
  <c r="AZ23" i="4"/>
  <c r="AO23" i="4"/>
  <c r="BJ11" i="4"/>
  <c r="AN11" i="4"/>
  <c r="BL49" i="4"/>
  <c r="AZ49" i="4"/>
  <c r="AO49" i="4"/>
  <c r="X81" i="4"/>
  <c r="BJ94" i="4"/>
  <c r="AN94" i="4"/>
  <c r="AY94" i="4"/>
  <c r="AM70" i="4"/>
  <c r="AX70" i="4"/>
  <c r="BH70" i="4"/>
  <c r="BH39" i="4"/>
  <c r="AM39" i="4"/>
  <c r="AX39" i="4"/>
  <c r="BH7" i="4"/>
  <c r="AM7" i="4"/>
  <c r="AX7" i="4"/>
  <c r="BH85" i="4"/>
  <c r="AX85" i="4"/>
  <c r="AM85" i="4"/>
  <c r="BL19" i="4"/>
  <c r="AZ19" i="4"/>
  <c r="AO19" i="4"/>
  <c r="BL83" i="4"/>
  <c r="AO83" i="4"/>
  <c r="AZ83" i="4"/>
  <c r="BH101" i="4"/>
  <c r="X65" i="4"/>
  <c r="BL51" i="4"/>
  <c r="AO51" i="4"/>
  <c r="AZ51" i="4"/>
  <c r="BE51" i="4" s="1"/>
  <c r="BL79" i="4"/>
  <c r="AO79" i="4"/>
  <c r="AZ79" i="4"/>
  <c r="BL98" i="4"/>
  <c r="AO98" i="4"/>
  <c r="AZ98" i="4"/>
  <c r="BJ98" i="4"/>
  <c r="AY98" i="4"/>
  <c r="AN98" i="4"/>
  <c r="BH6" i="4"/>
  <c r="AM6" i="4"/>
  <c r="AX6" i="4"/>
  <c r="BC6" i="4" s="1"/>
  <c r="BL20" i="4"/>
  <c r="AZ20" i="4"/>
  <c r="AO20" i="4"/>
  <c r="BJ100" i="4"/>
  <c r="AY100" i="4"/>
  <c r="AN100" i="4"/>
  <c r="BL55" i="4"/>
  <c r="AZ55" i="4"/>
  <c r="AO55" i="4"/>
  <c r="BL81" i="4"/>
  <c r="AO81" i="4"/>
  <c r="AZ81" i="4"/>
  <c r="BE81" i="4" s="1"/>
  <c r="X83" i="4"/>
  <c r="BL97" i="4"/>
  <c r="AO97" i="4"/>
  <c r="AZ97" i="4"/>
  <c r="BJ97" i="4"/>
  <c r="AY97" i="4"/>
  <c r="AN97" i="4"/>
  <c r="BJ6" i="4"/>
  <c r="AY6" i="4"/>
  <c r="BD6" i="4" s="1"/>
  <c r="AN6" i="4"/>
  <c r="AM9" i="4"/>
  <c r="AX9" i="4"/>
  <c r="BH9" i="4"/>
  <c r="BH98" i="4"/>
  <c r="AX98" i="4"/>
  <c r="AM98" i="4"/>
  <c r="BL21" i="4"/>
  <c r="AO21" i="4"/>
  <c r="AZ21" i="4"/>
  <c r="BE21" i="4" s="1"/>
  <c r="BL101" i="4"/>
  <c r="BJ7" i="4"/>
  <c r="AY7" i="4"/>
  <c r="AN7" i="4"/>
  <c r="X21" i="4"/>
  <c r="BL54" i="4"/>
  <c r="AO54" i="4"/>
  <c r="AZ54" i="4"/>
  <c r="BL80" i="4"/>
  <c r="AZ80" i="4"/>
  <c r="AO80" i="4"/>
  <c r="BL96" i="4"/>
  <c r="AZ96" i="4"/>
  <c r="BE96" i="4" s="1"/>
  <c r="AO96" i="4"/>
  <c r="BJ96" i="4"/>
  <c r="AN96" i="4"/>
  <c r="AY96" i="4"/>
  <c r="BD96" i="4" s="1"/>
  <c r="BJ4" i="4"/>
  <c r="AN4" i="4"/>
  <c r="AY4" i="4"/>
  <c r="BH10" i="4"/>
  <c r="AX10" i="4"/>
  <c r="AM10" i="4"/>
  <c r="BH97" i="4"/>
  <c r="AX97" i="4"/>
  <c r="AM97" i="4"/>
  <c r="AO26" i="4"/>
  <c r="BL26" i="4"/>
  <c r="BE26" i="4"/>
  <c r="H23" i="6" s="1"/>
  <c r="I23" i="6" s="1"/>
  <c r="BL25" i="4"/>
  <c r="AZ25" i="4"/>
  <c r="AO25" i="4"/>
  <c r="BL82" i="4"/>
  <c r="AZ82" i="4"/>
  <c r="AO82" i="4"/>
  <c r="BJ50" i="4"/>
  <c r="AN50" i="4"/>
  <c r="AY50" i="4"/>
  <c r="BL94" i="4"/>
  <c r="AZ94" i="4"/>
  <c r="AO94" i="4"/>
  <c r="BJ99" i="4"/>
  <c r="AY99" i="4"/>
  <c r="AN99" i="4"/>
  <c r="BJ5" i="4"/>
  <c r="AN5" i="4"/>
  <c r="AY5" i="4"/>
  <c r="X4" i="4"/>
  <c r="BL67" i="4"/>
  <c r="AO67" i="4"/>
  <c r="AZ67" i="4"/>
  <c r="BH96" i="4"/>
  <c r="AX96" i="4"/>
  <c r="BC96" i="4" s="1"/>
  <c r="AM96" i="4"/>
  <c r="AO22" i="4"/>
  <c r="AZ22" i="4"/>
  <c r="BL22" i="4"/>
  <c r="AG8" i="4"/>
  <c r="L8" i="4"/>
  <c r="AB62" i="6"/>
  <c r="AJ62" i="6"/>
  <c r="X62" i="6"/>
  <c r="AF62" i="6"/>
  <c r="P59" i="6"/>
  <c r="T59" i="6"/>
  <c r="P62" i="6"/>
  <c r="T62" i="6"/>
  <c r="T64" i="6"/>
  <c r="P64" i="6"/>
  <c r="X58" i="6"/>
  <c r="AF58" i="6"/>
  <c r="AB58" i="6"/>
  <c r="AJ58" i="6"/>
  <c r="P58" i="6"/>
  <c r="T58" i="6"/>
  <c r="P57" i="6"/>
  <c r="T57" i="6"/>
  <c r="AB59" i="6"/>
  <c r="X59" i="6"/>
  <c r="AF59" i="6"/>
  <c r="AJ59" i="6"/>
  <c r="AF64" i="6"/>
  <c r="AB64" i="6"/>
  <c r="AJ64" i="6"/>
  <c r="X64" i="6"/>
  <c r="AJ57" i="6"/>
  <c r="X57" i="6"/>
  <c r="AF57" i="6"/>
  <c r="AB57" i="6"/>
  <c r="T63" i="6"/>
  <c r="P63" i="6"/>
  <c r="AM115" i="4" l="1"/>
  <c r="BN52" i="4"/>
  <c r="AP20" i="4"/>
  <c r="BN57" i="4"/>
  <c r="BD67" i="4"/>
  <c r="AF10" i="6" s="1"/>
  <c r="AG10" i="6" s="1"/>
  <c r="BD66" i="4"/>
  <c r="AP72" i="4"/>
  <c r="BD64" i="4"/>
  <c r="X4" i="6" s="1"/>
  <c r="Y4" i="6" s="1"/>
  <c r="BD70" i="4"/>
  <c r="AF19" i="6" s="1"/>
  <c r="AG19" i="6" s="1"/>
  <c r="BN73" i="4"/>
  <c r="BJ74" i="4"/>
  <c r="BD69" i="4"/>
  <c r="AJ16" i="6" s="1"/>
  <c r="AK16" i="6" s="1"/>
  <c r="BN58" i="4"/>
  <c r="AM109" i="4"/>
  <c r="BN27" i="4"/>
  <c r="BD65" i="4"/>
  <c r="AJ7" i="6" s="1"/>
  <c r="AK7" i="6" s="1"/>
  <c r="BN87" i="4"/>
  <c r="BH74" i="4"/>
  <c r="BN88" i="4"/>
  <c r="BH89" i="4"/>
  <c r="BH59" i="4"/>
  <c r="BL89" i="4"/>
  <c r="BH104" i="4"/>
  <c r="BJ89" i="4"/>
  <c r="BJ59" i="4"/>
  <c r="BH14" i="4"/>
  <c r="BJ29" i="4"/>
  <c r="BJ104" i="4"/>
  <c r="BL59" i="4"/>
  <c r="BL29" i="4"/>
  <c r="BL74" i="4"/>
  <c r="BH44" i="4"/>
  <c r="BH29" i="4"/>
  <c r="BL104" i="4"/>
  <c r="BJ14" i="4"/>
  <c r="BL14" i="4"/>
  <c r="AM111" i="4"/>
  <c r="AM114" i="4"/>
  <c r="AM112" i="4"/>
  <c r="AJ22" i="6"/>
  <c r="AK22" i="6" s="1"/>
  <c r="X22" i="6"/>
  <c r="Y22" i="6" s="1"/>
  <c r="AF22" i="6"/>
  <c r="AG22" i="6" s="1"/>
  <c r="U119" i="4"/>
  <c r="AM119" i="4" s="1"/>
  <c r="BH118" i="4"/>
  <c r="AM113" i="4"/>
  <c r="BH116" i="4"/>
  <c r="AM110" i="4"/>
  <c r="X59" i="4"/>
  <c r="AP59" i="4" s="1"/>
  <c r="X104" i="4"/>
  <c r="AP104" i="4" s="1"/>
  <c r="X89" i="4"/>
  <c r="AP89" i="4" s="1"/>
  <c r="X74" i="4"/>
  <c r="AP74" i="4" s="1"/>
  <c r="X29" i="4"/>
  <c r="AP29" i="4" s="1"/>
  <c r="BN12" i="4"/>
  <c r="AP12" i="4"/>
  <c r="BN13" i="4"/>
  <c r="AP13" i="4"/>
  <c r="BD50" i="4"/>
  <c r="P7" i="6" s="1"/>
  <c r="Q7" i="6" s="1"/>
  <c r="T74" i="6"/>
  <c r="U74" i="6" s="1"/>
  <c r="T72" i="6"/>
  <c r="U72" i="6" s="1"/>
  <c r="T76" i="6"/>
  <c r="U76" i="6" s="1"/>
  <c r="T77" i="6"/>
  <c r="U77" i="6" s="1"/>
  <c r="T73" i="6"/>
  <c r="U73" i="6" s="1"/>
  <c r="T75" i="6"/>
  <c r="U75" i="6" s="1"/>
  <c r="AF74" i="6"/>
  <c r="AG74" i="6" s="1"/>
  <c r="X73" i="6"/>
  <c r="Y73" i="6" s="1"/>
  <c r="X75" i="6"/>
  <c r="Y75" i="6" s="1"/>
  <c r="BE4" i="4"/>
  <c r="D5" i="6" s="1"/>
  <c r="E5" i="6" s="1"/>
  <c r="X72" i="6"/>
  <c r="Y72" i="6" s="1"/>
  <c r="AB74" i="6"/>
  <c r="AC74" i="6" s="1"/>
  <c r="BD5" i="4"/>
  <c r="D7" i="6" s="1"/>
  <c r="E7" i="6" s="1"/>
  <c r="AJ74" i="6"/>
  <c r="AK74" i="6" s="1"/>
  <c r="BE65" i="4"/>
  <c r="AF8" i="6" s="1"/>
  <c r="AG8" i="6" s="1"/>
  <c r="X77" i="6"/>
  <c r="Y77" i="6" s="1"/>
  <c r="Q58" i="6"/>
  <c r="P71" i="6"/>
  <c r="Q71" i="6" s="1"/>
  <c r="X74" i="6"/>
  <c r="Y74" i="6" s="1"/>
  <c r="AC58" i="6"/>
  <c r="AB71" i="6"/>
  <c r="AC71" i="6" s="1"/>
  <c r="AG58" i="6"/>
  <c r="AF71" i="6"/>
  <c r="AG71" i="6" s="1"/>
  <c r="Y58" i="6"/>
  <c r="X71" i="6"/>
  <c r="Y71" i="6" s="1"/>
  <c r="P77" i="6"/>
  <c r="Q77" i="6" s="1"/>
  <c r="AF76" i="6"/>
  <c r="AG76" i="6" s="1"/>
  <c r="AK58" i="6"/>
  <c r="AJ71" i="6"/>
  <c r="AK71" i="6" s="1"/>
  <c r="P73" i="6"/>
  <c r="Q73" i="6" s="1"/>
  <c r="AJ77" i="6"/>
  <c r="AK77" i="6" s="1"/>
  <c r="AF77" i="6"/>
  <c r="AG77" i="6" s="1"/>
  <c r="P75" i="6"/>
  <c r="Q75" i="6" s="1"/>
  <c r="AB77" i="6"/>
  <c r="AC77" i="6" s="1"/>
  <c r="P74" i="6"/>
  <c r="Q74" i="6" s="1"/>
  <c r="P72" i="6"/>
  <c r="Q72" i="6" s="1"/>
  <c r="AJ72" i="6"/>
  <c r="AK72" i="6" s="1"/>
  <c r="AF75" i="6"/>
  <c r="AG75" i="6" s="1"/>
  <c r="AB76" i="6"/>
  <c r="AC76" i="6" s="1"/>
  <c r="AJ75" i="6"/>
  <c r="AK75" i="6" s="1"/>
  <c r="X76" i="6"/>
  <c r="Y76" i="6" s="1"/>
  <c r="U58" i="6"/>
  <c r="T71" i="6"/>
  <c r="U71" i="6" s="1"/>
  <c r="AF73" i="6"/>
  <c r="AG73" i="6" s="1"/>
  <c r="AF72" i="6"/>
  <c r="AG72" i="6" s="1"/>
  <c r="AJ73" i="6"/>
  <c r="AK73" i="6" s="1"/>
  <c r="AB73" i="6"/>
  <c r="AC73" i="6" s="1"/>
  <c r="AB72" i="6"/>
  <c r="AC72" i="6" s="1"/>
  <c r="AB75" i="6"/>
  <c r="AC75" i="6" s="1"/>
  <c r="P76" i="6"/>
  <c r="Q76" i="6" s="1"/>
  <c r="AJ76" i="6"/>
  <c r="AK76" i="6" s="1"/>
  <c r="Y60" i="6"/>
  <c r="AG60" i="6"/>
  <c r="AK60" i="6"/>
  <c r="AC60" i="6"/>
  <c r="Q63" i="6"/>
  <c r="U63" i="6"/>
  <c r="AK61" i="6"/>
  <c r="AC61" i="6"/>
  <c r="AG61" i="6"/>
  <c r="Y61" i="6"/>
  <c r="AC57" i="6"/>
  <c r="AG57" i="6"/>
  <c r="Y57" i="6"/>
  <c r="AK57" i="6"/>
  <c r="Y64" i="6"/>
  <c r="AK64" i="6"/>
  <c r="AC64" i="6"/>
  <c r="AG64" i="6"/>
  <c r="U61" i="6"/>
  <c r="Q61" i="6"/>
  <c r="AK59" i="6"/>
  <c r="AG59" i="6"/>
  <c r="Y59" i="6"/>
  <c r="AC59" i="6"/>
  <c r="U57" i="6"/>
  <c r="Q57" i="6"/>
  <c r="Q64" i="6"/>
  <c r="U64" i="6"/>
  <c r="Q60" i="6"/>
  <c r="U60" i="6"/>
  <c r="U62" i="6"/>
  <c r="Q62" i="6"/>
  <c r="U59" i="6"/>
  <c r="Q59" i="6"/>
  <c r="AG62" i="6"/>
  <c r="Y62" i="6"/>
  <c r="AK62" i="6"/>
  <c r="AC62" i="6"/>
  <c r="BD24" i="4"/>
  <c r="H16" i="6" s="1"/>
  <c r="I16" i="6" s="1"/>
  <c r="BC10" i="4"/>
  <c r="D18" i="6" s="1"/>
  <c r="E18" i="6" s="1"/>
  <c r="BE79" i="4"/>
  <c r="AN5" i="6" s="1"/>
  <c r="AO5" i="6" s="1"/>
  <c r="BE80" i="4"/>
  <c r="AN8" i="6" s="1"/>
  <c r="AO8" i="6" s="1"/>
  <c r="BE5" i="4"/>
  <c r="D8" i="6" s="1"/>
  <c r="E8" i="6" s="1"/>
  <c r="BE49" i="4"/>
  <c r="T5" i="6" s="1"/>
  <c r="U5" i="6" s="1"/>
  <c r="BC24" i="4"/>
  <c r="H15" i="6" s="1"/>
  <c r="I15" i="6" s="1"/>
  <c r="BC85" i="4"/>
  <c r="AN18" i="6" s="1"/>
  <c r="AO18" i="6" s="1"/>
  <c r="BC20" i="4"/>
  <c r="H6" i="6" s="1"/>
  <c r="I6" i="6" s="1"/>
  <c r="BE10" i="4"/>
  <c r="D20" i="6" s="1"/>
  <c r="E20" i="6" s="1"/>
  <c r="BE25" i="4"/>
  <c r="H20" i="6" s="1"/>
  <c r="I20" i="6" s="1"/>
  <c r="BD84" i="4"/>
  <c r="AN16" i="6" s="1"/>
  <c r="AO16" i="6" s="1"/>
  <c r="BE94" i="4"/>
  <c r="T32" i="6" s="1"/>
  <c r="U32" i="6" s="1"/>
  <c r="BC54" i="4"/>
  <c r="P15" i="6" s="1"/>
  <c r="Q15" i="6" s="1"/>
  <c r="BD55" i="4"/>
  <c r="P19" i="6" s="1"/>
  <c r="Q19" i="6" s="1"/>
  <c r="BD49" i="4"/>
  <c r="P4" i="6" s="1"/>
  <c r="Q4" i="6" s="1"/>
  <c r="BC25" i="4"/>
  <c r="H18" i="6" s="1"/>
  <c r="I18" i="6" s="1"/>
  <c r="BC65" i="4"/>
  <c r="X6" i="6" s="1"/>
  <c r="Y6" i="6" s="1"/>
  <c r="BC19" i="4"/>
  <c r="H3" i="6" s="1"/>
  <c r="I3" i="6" s="1"/>
  <c r="BC99" i="4"/>
  <c r="X42" i="6" s="1"/>
  <c r="Y42" i="6" s="1"/>
  <c r="BE55" i="4"/>
  <c r="P20" i="6" s="1"/>
  <c r="Q20" i="6" s="1"/>
  <c r="BE56" i="4"/>
  <c r="T23" i="6" s="1"/>
  <c r="U23" i="6" s="1"/>
  <c r="BC80" i="4"/>
  <c r="AN6" i="6" s="1"/>
  <c r="AO6" i="6" s="1"/>
  <c r="BD79" i="4"/>
  <c r="AN4" i="6" s="1"/>
  <c r="AO4" i="6" s="1"/>
  <c r="BC56" i="4"/>
  <c r="T21" i="6" s="1"/>
  <c r="U21" i="6" s="1"/>
  <c r="BE71" i="4"/>
  <c r="X23" i="6" s="1"/>
  <c r="Y23" i="6" s="1"/>
  <c r="BE84" i="4"/>
  <c r="AN17" i="6" s="1"/>
  <c r="AO17" i="6" s="1"/>
  <c r="BE101" i="4"/>
  <c r="BC70" i="4"/>
  <c r="X18" i="6" s="1"/>
  <c r="Y18" i="6" s="1"/>
  <c r="BC84" i="4"/>
  <c r="AN15" i="6" s="1"/>
  <c r="AO15" i="6" s="1"/>
  <c r="BC4" i="4"/>
  <c r="D3" i="6" s="1"/>
  <c r="E3" i="6" s="1"/>
  <c r="BD80" i="4"/>
  <c r="AN7" i="6" s="1"/>
  <c r="AO7" i="6" s="1"/>
  <c r="BD54" i="4"/>
  <c r="AB16" i="6" s="1"/>
  <c r="AC16" i="6" s="1"/>
  <c r="BC55" i="4"/>
  <c r="P18" i="6" s="1"/>
  <c r="Q18" i="6" s="1"/>
  <c r="BC71" i="4"/>
  <c r="AJ21" i="6" s="1"/>
  <c r="AK21" i="6" s="1"/>
  <c r="BD56" i="4"/>
  <c r="P22" i="6" s="1"/>
  <c r="Q22" i="6" s="1"/>
  <c r="BD94" i="4"/>
  <c r="AN31" i="6" s="1"/>
  <c r="AO31" i="6" s="1"/>
  <c r="AP22" i="4"/>
  <c r="AP67" i="4"/>
  <c r="BE9" i="4"/>
  <c r="D17" i="6" s="1"/>
  <c r="E17" i="6" s="1"/>
  <c r="BN5" i="4"/>
  <c r="AP5" i="4"/>
  <c r="BD98" i="4"/>
  <c r="BE83" i="4"/>
  <c r="AN14" i="6" s="1"/>
  <c r="AO14" i="6" s="1"/>
  <c r="AN29" i="6"/>
  <c r="AO29" i="6" s="1"/>
  <c r="BN80" i="4"/>
  <c r="AP80" i="4"/>
  <c r="BN26" i="4"/>
  <c r="AP26" i="4"/>
  <c r="BN85" i="4"/>
  <c r="AP85" i="4"/>
  <c r="BC94" i="4"/>
  <c r="BE100" i="4"/>
  <c r="BD95" i="4"/>
  <c r="AJ25" i="6"/>
  <c r="AK25" i="6" s="1"/>
  <c r="X25" i="6"/>
  <c r="Y25" i="6" s="1"/>
  <c r="AF25" i="6"/>
  <c r="AG25" i="6" s="1"/>
  <c r="BN25" i="4"/>
  <c r="AP25" i="4"/>
  <c r="BE68" i="4"/>
  <c r="AJ8" i="4"/>
  <c r="X8" i="4"/>
  <c r="BN94" i="4"/>
  <c r="AP94" i="4"/>
  <c r="BD52" i="4"/>
  <c r="BC83" i="4"/>
  <c r="AN12" i="6" s="1"/>
  <c r="AO12" i="6" s="1"/>
  <c r="AN27" i="6"/>
  <c r="AO27" i="6" s="1"/>
  <c r="BN24" i="4"/>
  <c r="AP24" i="4"/>
  <c r="D27" i="6"/>
  <c r="E27" i="6" s="1"/>
  <c r="BC8" i="4"/>
  <c r="D12" i="6" s="1"/>
  <c r="E12" i="6" s="1"/>
  <c r="BN23" i="4"/>
  <c r="AP23" i="4"/>
  <c r="BN101" i="4"/>
  <c r="BC35" i="4"/>
  <c r="L6" i="6" s="1"/>
  <c r="M6" i="6" s="1"/>
  <c r="BN54" i="4"/>
  <c r="AP54" i="4"/>
  <c r="BN100" i="4"/>
  <c r="AP100" i="4"/>
  <c r="BN56" i="4"/>
  <c r="BD9" i="4"/>
  <c r="D16" i="6" s="1"/>
  <c r="E16" i="6" s="1"/>
  <c r="H26" i="6"/>
  <c r="I26" i="6" s="1"/>
  <c r="BE22" i="4"/>
  <c r="H11" i="6" s="1"/>
  <c r="I11" i="6" s="1"/>
  <c r="BC97" i="4"/>
  <c r="BN11" i="4"/>
  <c r="AP11" i="4"/>
  <c r="BE53" i="4"/>
  <c r="BN55" i="4"/>
  <c r="AP55" i="4"/>
  <c r="BC67" i="4"/>
  <c r="BN99" i="4"/>
  <c r="AP99" i="4"/>
  <c r="BE23" i="4"/>
  <c r="H14" i="6" s="1"/>
  <c r="I14" i="6" s="1"/>
  <c r="H29" i="6"/>
  <c r="I29" i="6" s="1"/>
  <c r="BD99" i="4"/>
  <c r="BD97" i="4"/>
  <c r="BE98" i="4"/>
  <c r="BE19" i="4"/>
  <c r="H5" i="6" s="1"/>
  <c r="I5" i="6" s="1"/>
  <c r="BN81" i="4"/>
  <c r="AP81" i="4"/>
  <c r="BN96" i="4"/>
  <c r="AP96" i="4"/>
  <c r="BN79" i="4"/>
  <c r="AP79" i="4"/>
  <c r="H27" i="6"/>
  <c r="I27" i="6" s="1"/>
  <c r="BC23" i="4"/>
  <c r="H12" i="6" s="1"/>
  <c r="I12" i="6" s="1"/>
  <c r="BD26" i="4"/>
  <c r="H22" i="6" s="1"/>
  <c r="I22" i="6" s="1"/>
  <c r="BD100" i="4"/>
  <c r="BC40" i="4"/>
  <c r="L18" i="6" s="1"/>
  <c r="M18" i="6" s="1"/>
  <c r="BN53" i="4"/>
  <c r="AP53" i="4"/>
  <c r="BE52" i="4"/>
  <c r="BC34" i="4"/>
  <c r="L3" i="6" s="1"/>
  <c r="M3" i="6" s="1"/>
  <c r="BN19" i="4"/>
  <c r="AP19" i="4"/>
  <c r="BD8" i="4"/>
  <c r="D13" i="6" s="1"/>
  <c r="E13" i="6" s="1"/>
  <c r="D28" i="6"/>
  <c r="E28" i="6" s="1"/>
  <c r="BN84" i="4"/>
  <c r="AP84" i="4"/>
  <c r="BC98" i="4"/>
  <c r="BC52" i="4"/>
  <c r="BD82" i="4"/>
  <c r="AN10" i="6" s="1"/>
  <c r="AO10" i="6" s="1"/>
  <c r="AN25" i="6"/>
  <c r="AO25" i="6" s="1"/>
  <c r="BD20" i="4"/>
  <c r="H7" i="6" s="1"/>
  <c r="I7" i="6" s="1"/>
  <c r="BD21" i="4"/>
  <c r="BC22" i="4"/>
  <c r="H9" i="6" s="1"/>
  <c r="I9" i="6" s="1"/>
  <c r="H24" i="6"/>
  <c r="I24" i="6" s="1"/>
  <c r="BE69" i="4"/>
  <c r="AJ13" i="6"/>
  <c r="AK13" i="6" s="1"/>
  <c r="X13" i="6"/>
  <c r="Y13" i="6" s="1"/>
  <c r="AF13" i="6"/>
  <c r="AG13" i="6" s="1"/>
  <c r="BE86" i="4"/>
  <c r="AN23" i="6" s="1"/>
  <c r="AO23" i="6" s="1"/>
  <c r="BN86" i="4"/>
  <c r="BN49" i="4"/>
  <c r="AP49" i="4"/>
  <c r="AN24" i="6"/>
  <c r="AO24" i="6" s="1"/>
  <c r="BC82" i="4"/>
  <c r="AN9" i="6" s="1"/>
  <c r="AO9" i="6" s="1"/>
  <c r="AJ28" i="6"/>
  <c r="AK28" i="6" s="1"/>
  <c r="X28" i="6"/>
  <c r="Y28" i="6" s="1"/>
  <c r="AF28" i="6"/>
  <c r="AG28" i="6" s="1"/>
  <c r="BN7" i="4"/>
  <c r="AP7" i="4"/>
  <c r="BN51" i="4"/>
  <c r="AP51" i="4"/>
  <c r="BE97" i="4"/>
  <c r="BE20" i="4"/>
  <c r="H8" i="6" s="1"/>
  <c r="I8" i="6" s="1"/>
  <c r="BN64" i="4"/>
  <c r="AP64" i="4"/>
  <c r="BD53" i="4"/>
  <c r="BD10" i="4"/>
  <c r="D19" i="6" s="1"/>
  <c r="E19" i="6" s="1"/>
  <c r="BN9" i="4"/>
  <c r="AP9" i="4"/>
  <c r="BE67" i="4"/>
  <c r="BC9" i="4"/>
  <c r="D15" i="6" s="1"/>
  <c r="E15" i="6" s="1"/>
  <c r="BD11" i="4"/>
  <c r="D22" i="6" s="1"/>
  <c r="E22" i="6" s="1"/>
  <c r="BN66" i="4"/>
  <c r="AP66" i="4"/>
  <c r="BN69" i="4"/>
  <c r="AP69" i="4"/>
  <c r="BC68" i="4"/>
  <c r="BN95" i="4"/>
  <c r="AP95" i="4"/>
  <c r="H25" i="6"/>
  <c r="I25" i="6" s="1"/>
  <c r="BD22" i="4"/>
  <c r="H10" i="6" s="1"/>
  <c r="I10" i="6" s="1"/>
  <c r="BN10" i="4"/>
  <c r="AP10" i="4"/>
  <c r="BC37" i="4"/>
  <c r="L9" i="6" s="1"/>
  <c r="M9" i="6" s="1"/>
  <c r="L24" i="6"/>
  <c r="M24" i="6" s="1"/>
  <c r="BD83" i="4"/>
  <c r="AN13" i="6" s="1"/>
  <c r="AO13" i="6" s="1"/>
  <c r="AN28" i="6"/>
  <c r="AO28" i="6" s="1"/>
  <c r="BE54" i="4"/>
  <c r="BC69" i="4"/>
  <c r="AP68" i="4"/>
  <c r="BN68" i="4"/>
  <c r="BN70" i="4"/>
  <c r="AP70" i="4"/>
  <c r="BD25" i="4"/>
  <c r="H19" i="6" s="1"/>
  <c r="I19" i="6" s="1"/>
  <c r="BD7" i="4"/>
  <c r="D10" i="6" s="1"/>
  <c r="E10" i="6" s="1"/>
  <c r="D25" i="6"/>
  <c r="E25" i="6" s="1"/>
  <c r="BN83" i="4"/>
  <c r="AP83" i="4"/>
  <c r="BC7" i="4"/>
  <c r="D9" i="6" s="1"/>
  <c r="E9" i="6" s="1"/>
  <c r="D24" i="6"/>
  <c r="E24" i="6" s="1"/>
  <c r="BC11" i="4"/>
  <c r="D21" i="6" s="1"/>
  <c r="E21" i="6" s="1"/>
  <c r="BD86" i="4"/>
  <c r="AN22" i="6" s="1"/>
  <c r="AO22" i="6" s="1"/>
  <c r="BC100" i="4"/>
  <c r="BE24" i="4"/>
  <c r="H17" i="6" s="1"/>
  <c r="I17" i="6" s="1"/>
  <c r="BE7" i="4"/>
  <c r="D11" i="6" s="1"/>
  <c r="E11" i="6" s="1"/>
  <c r="D26" i="6"/>
  <c r="E26" i="6" s="1"/>
  <c r="BN4" i="4"/>
  <c r="AP4" i="4"/>
  <c r="BD4" i="4"/>
  <c r="D4" i="6" s="1"/>
  <c r="E4" i="6" s="1"/>
  <c r="BD101" i="4"/>
  <c r="AN49" i="6" s="1"/>
  <c r="AO49" i="6" s="1"/>
  <c r="BD19" i="4"/>
  <c r="H4" i="6" s="1"/>
  <c r="I4" i="6" s="1"/>
  <c r="BN21" i="4"/>
  <c r="AP21" i="4"/>
  <c r="BC38" i="4"/>
  <c r="L12" i="6" s="1"/>
  <c r="M12" i="6" s="1"/>
  <c r="L27" i="6"/>
  <c r="M27" i="6" s="1"/>
  <c r="BC64" i="4"/>
  <c r="BE50" i="4"/>
  <c r="BE95" i="4"/>
  <c r="BC50" i="4"/>
  <c r="BC26" i="4"/>
  <c r="H21" i="6" s="1"/>
  <c r="I21" i="6" s="1"/>
  <c r="BE82" i="4"/>
  <c r="AN11" i="6" s="1"/>
  <c r="AO11" i="6" s="1"/>
  <c r="AN26" i="6"/>
  <c r="AO26" i="6" s="1"/>
  <c r="BN65" i="4"/>
  <c r="AP65" i="4"/>
  <c r="BC39" i="4"/>
  <c r="L15" i="6" s="1"/>
  <c r="M15" i="6" s="1"/>
  <c r="BN50" i="4"/>
  <c r="AP50" i="4"/>
  <c r="BC5" i="4"/>
  <c r="D6" i="6" s="1"/>
  <c r="E6" i="6" s="1"/>
  <c r="BC53" i="4"/>
  <c r="BC79" i="4"/>
  <c r="AN3" i="6" s="1"/>
  <c r="AO3" i="6" s="1"/>
  <c r="BE64" i="4"/>
  <c r="H28" i="6"/>
  <c r="I28" i="6" s="1"/>
  <c r="BD23" i="4"/>
  <c r="H13" i="6" s="1"/>
  <c r="I13" i="6" s="1"/>
  <c r="BE99" i="4"/>
  <c r="BC101" i="4"/>
  <c r="AN48" i="6" s="1"/>
  <c r="AO48" i="6" s="1"/>
  <c r="BN97" i="4"/>
  <c r="AP97" i="4"/>
  <c r="BN6" i="4"/>
  <c r="AP6" i="4"/>
  <c r="BC41" i="4"/>
  <c r="L21" i="6" s="1"/>
  <c r="M21" i="6" s="1"/>
  <c r="BN82" i="4"/>
  <c r="AP82" i="4"/>
  <c r="BE70" i="4"/>
  <c r="BC49" i="4"/>
  <c r="BE8" i="4"/>
  <c r="D14" i="6" s="1"/>
  <c r="E14" i="6" s="1"/>
  <c r="D29" i="6"/>
  <c r="E29" i="6" s="1"/>
  <c r="BC95" i="4"/>
  <c r="AJ4" i="6" l="1"/>
  <c r="AK4" i="6" s="1"/>
  <c r="AF4" i="6"/>
  <c r="AG4" i="6" s="1"/>
  <c r="X10" i="6"/>
  <c r="Y10" i="6" s="1"/>
  <c r="AJ10" i="6"/>
  <c r="AK10" i="6" s="1"/>
  <c r="AF7" i="6"/>
  <c r="AG7" i="6" s="1"/>
  <c r="AJ19" i="6"/>
  <c r="AK19" i="6" s="1"/>
  <c r="X19" i="6"/>
  <c r="Y19" i="6" s="1"/>
  <c r="X7" i="6"/>
  <c r="Y7" i="6" s="1"/>
  <c r="X16" i="6"/>
  <c r="Y16" i="6" s="1"/>
  <c r="AF16" i="6"/>
  <c r="AG16" i="6" s="1"/>
  <c r="BH119" i="4"/>
  <c r="BN89" i="4"/>
  <c r="BN59" i="4"/>
  <c r="BN104" i="4"/>
  <c r="BN29" i="4"/>
  <c r="BN74" i="4"/>
  <c r="P5" i="6"/>
  <c r="Q5" i="6" s="1"/>
  <c r="T50" i="6"/>
  <c r="U50" i="6" s="1"/>
  <c r="AN50" i="6"/>
  <c r="AO50" i="6" s="1"/>
  <c r="T7" i="6"/>
  <c r="U7" i="6" s="1"/>
  <c r="AB7" i="6"/>
  <c r="AC7" i="6" s="1"/>
  <c r="AB5" i="6"/>
  <c r="AC5" i="6" s="1"/>
  <c r="X14" i="4"/>
  <c r="AP14" i="4" s="1"/>
  <c r="AB23" i="6"/>
  <c r="AC23" i="6" s="1"/>
  <c r="P23" i="6"/>
  <c r="Q23" i="6" s="1"/>
  <c r="X8" i="6"/>
  <c r="Y8" i="6" s="1"/>
  <c r="AJ8" i="6"/>
  <c r="AK8" i="6" s="1"/>
  <c r="AJ6" i="6"/>
  <c r="AK6" i="6" s="1"/>
  <c r="AF6" i="6"/>
  <c r="AG6" i="6" s="1"/>
  <c r="AF50" i="6"/>
  <c r="AG50" i="6" s="1"/>
  <c r="X50" i="6"/>
  <c r="Y50" i="6" s="1"/>
  <c r="L50" i="6"/>
  <c r="M50" i="6" s="1"/>
  <c r="H50" i="6"/>
  <c r="I50" i="6" s="1"/>
  <c r="AB50" i="6"/>
  <c r="AC50" i="6" s="1"/>
  <c r="P50" i="6"/>
  <c r="Q50" i="6" s="1"/>
  <c r="D50" i="6"/>
  <c r="E50" i="6" s="1"/>
  <c r="AB32" i="6"/>
  <c r="AC32" i="6" s="1"/>
  <c r="P32" i="6"/>
  <c r="Q32" i="6" s="1"/>
  <c r="X32" i="6"/>
  <c r="Y32" i="6" s="1"/>
  <c r="AN32" i="6"/>
  <c r="AO32" i="6" s="1"/>
  <c r="T15" i="6"/>
  <c r="U15" i="6" s="1"/>
  <c r="AB15" i="6"/>
  <c r="AC15" i="6" s="1"/>
  <c r="D32" i="6"/>
  <c r="E32" i="6" s="1"/>
  <c r="AF32" i="6"/>
  <c r="AG32" i="6" s="1"/>
  <c r="T4" i="6"/>
  <c r="U4" i="6" s="1"/>
  <c r="AJ32" i="6"/>
  <c r="AK32" i="6" s="1"/>
  <c r="T19" i="6"/>
  <c r="U19" i="6" s="1"/>
  <c r="L32" i="6"/>
  <c r="M32" i="6" s="1"/>
  <c r="AB19" i="6"/>
  <c r="AC19" i="6" s="1"/>
  <c r="H32" i="6"/>
  <c r="I32" i="6" s="1"/>
  <c r="AB4" i="6"/>
  <c r="AC4" i="6" s="1"/>
  <c r="AJ50" i="6"/>
  <c r="AK50" i="6" s="1"/>
  <c r="AF21" i="6"/>
  <c r="AG21" i="6" s="1"/>
  <c r="X31" i="6"/>
  <c r="Y31" i="6" s="1"/>
  <c r="AB31" i="6"/>
  <c r="AC31" i="6" s="1"/>
  <c r="AF31" i="6"/>
  <c r="AG31" i="6" s="1"/>
  <c r="P16" i="6"/>
  <c r="Q16" i="6" s="1"/>
  <c r="T16" i="6"/>
  <c r="U16" i="6" s="1"/>
  <c r="L31" i="6"/>
  <c r="M31" i="6" s="1"/>
  <c r="AF18" i="6"/>
  <c r="AG18" i="6" s="1"/>
  <c r="AJ18" i="6"/>
  <c r="AK18" i="6" s="1"/>
  <c r="AB18" i="6"/>
  <c r="AC18" i="6" s="1"/>
  <c r="AJ31" i="6"/>
  <c r="AK31" i="6" s="1"/>
  <c r="T20" i="6"/>
  <c r="U20" i="6" s="1"/>
  <c r="P42" i="6"/>
  <c r="Q42" i="6" s="1"/>
  <c r="L42" i="6"/>
  <c r="M42" i="6" s="1"/>
  <c r="H42" i="6"/>
  <c r="I42" i="6" s="1"/>
  <c r="AJ42" i="6"/>
  <c r="AK42" i="6" s="1"/>
  <c r="T42" i="6"/>
  <c r="U42" i="6" s="1"/>
  <c r="T22" i="6"/>
  <c r="U22" i="6" s="1"/>
  <c r="T18" i="6"/>
  <c r="U18" i="6" s="1"/>
  <c r="AF42" i="6"/>
  <c r="AG42" i="6" s="1"/>
  <c r="AB22" i="6"/>
  <c r="AC22" i="6" s="1"/>
  <c r="AN42" i="6"/>
  <c r="AO42" i="6" s="1"/>
  <c r="X21" i="6"/>
  <c r="Y21" i="6" s="1"/>
  <c r="D42" i="6"/>
  <c r="E42" i="6" s="1"/>
  <c r="P31" i="6"/>
  <c r="Q31" i="6" s="1"/>
  <c r="AB20" i="6"/>
  <c r="AC20" i="6" s="1"/>
  <c r="AB42" i="6"/>
  <c r="AC42" i="6" s="1"/>
  <c r="H31" i="6"/>
  <c r="I31" i="6" s="1"/>
  <c r="D31" i="6"/>
  <c r="E31" i="6" s="1"/>
  <c r="T31" i="6"/>
  <c r="U31" i="6" s="1"/>
  <c r="AJ23" i="6"/>
  <c r="AK23" i="6" s="1"/>
  <c r="AF23" i="6"/>
  <c r="AG23" i="6" s="1"/>
  <c r="AB21" i="6"/>
  <c r="AC21" i="6" s="1"/>
  <c r="P21" i="6"/>
  <c r="Q21" i="6" s="1"/>
  <c r="X15" i="6"/>
  <c r="Y15" i="6" s="1"/>
  <c r="AF15" i="6"/>
  <c r="AG15" i="6" s="1"/>
  <c r="AJ15" i="6"/>
  <c r="AK15" i="6" s="1"/>
  <c r="T29" i="6"/>
  <c r="U29" i="6" s="1"/>
  <c r="P29" i="6"/>
  <c r="Q29" i="6" s="1"/>
  <c r="AB29" i="6"/>
  <c r="AC29" i="6" s="1"/>
  <c r="AB14" i="6"/>
  <c r="AC14" i="6" s="1"/>
  <c r="P14" i="6"/>
  <c r="Q14" i="6" s="1"/>
  <c r="T14" i="6"/>
  <c r="U14" i="6" s="1"/>
  <c r="T26" i="6"/>
  <c r="U26" i="6" s="1"/>
  <c r="AB26" i="6"/>
  <c r="AC26" i="6" s="1"/>
  <c r="P26" i="6"/>
  <c r="Q26" i="6" s="1"/>
  <c r="AF40" i="6"/>
  <c r="AG40" i="6" s="1"/>
  <c r="AJ40" i="6"/>
  <c r="AK40" i="6" s="1"/>
  <c r="AN40" i="6"/>
  <c r="AO40" i="6" s="1"/>
  <c r="T40" i="6"/>
  <c r="U40" i="6" s="1"/>
  <c r="AB40" i="6"/>
  <c r="AC40" i="6" s="1"/>
  <c r="P40" i="6"/>
  <c r="Q40" i="6" s="1"/>
  <c r="X40" i="6"/>
  <c r="Y40" i="6" s="1"/>
  <c r="L40" i="6"/>
  <c r="M40" i="6" s="1"/>
  <c r="H40" i="6"/>
  <c r="I40" i="6" s="1"/>
  <c r="D40" i="6"/>
  <c r="E40" i="6" s="1"/>
  <c r="T28" i="6"/>
  <c r="U28" i="6" s="1"/>
  <c r="P28" i="6"/>
  <c r="Q28" i="6" s="1"/>
  <c r="AB28" i="6"/>
  <c r="AC28" i="6" s="1"/>
  <c r="D53" i="6"/>
  <c r="E53" i="6" s="1"/>
  <c r="X53" i="6"/>
  <c r="Y53" i="6" s="1"/>
  <c r="T53" i="6"/>
  <c r="U53" i="6" s="1"/>
  <c r="L53" i="6"/>
  <c r="M53" i="6" s="1"/>
  <c r="H53" i="6"/>
  <c r="I53" i="6" s="1"/>
  <c r="AF53" i="6"/>
  <c r="AG53" i="6" s="1"/>
  <c r="P53" i="6"/>
  <c r="Q53" i="6" s="1"/>
  <c r="AB53" i="6"/>
  <c r="AC53" i="6" s="1"/>
  <c r="AJ53" i="6"/>
  <c r="AK53" i="6" s="1"/>
  <c r="T24" i="6"/>
  <c r="U24" i="6" s="1"/>
  <c r="AB24" i="6"/>
  <c r="AC24" i="6" s="1"/>
  <c r="P24" i="6"/>
  <c r="Q24" i="6" s="1"/>
  <c r="T11" i="6"/>
  <c r="U11" i="6" s="1"/>
  <c r="P11" i="6"/>
  <c r="Q11" i="6" s="1"/>
  <c r="AB11" i="6"/>
  <c r="AC11" i="6" s="1"/>
  <c r="X56" i="6"/>
  <c r="Y56" i="6" s="1"/>
  <c r="AF56" i="6"/>
  <c r="AG56" i="6" s="1"/>
  <c r="AB56" i="6"/>
  <c r="AC56" i="6" s="1"/>
  <c r="H56" i="6"/>
  <c r="I56" i="6" s="1"/>
  <c r="P56" i="6"/>
  <c r="Q56" i="6" s="1"/>
  <c r="L56" i="6"/>
  <c r="M56" i="6" s="1"/>
  <c r="AJ56" i="6"/>
  <c r="AK56" i="6" s="1"/>
  <c r="T56" i="6"/>
  <c r="U56" i="6" s="1"/>
  <c r="D56" i="6"/>
  <c r="E56" i="6" s="1"/>
  <c r="P55" i="6"/>
  <c r="Q55" i="6" s="1"/>
  <c r="T55" i="6"/>
  <c r="U55" i="6" s="1"/>
  <c r="D55" i="6"/>
  <c r="E55" i="6" s="1"/>
  <c r="H55" i="6"/>
  <c r="I55" i="6" s="1"/>
  <c r="X55" i="6"/>
  <c r="Y55" i="6" s="1"/>
  <c r="AJ55" i="6"/>
  <c r="AK55" i="6" s="1"/>
  <c r="AF55" i="6"/>
  <c r="AG55" i="6" s="1"/>
  <c r="L55" i="6"/>
  <c r="M55" i="6" s="1"/>
  <c r="AB55" i="6"/>
  <c r="AC55" i="6" s="1"/>
  <c r="T17" i="6"/>
  <c r="U17" i="6" s="1"/>
  <c r="AB17" i="6"/>
  <c r="AC17" i="6" s="1"/>
  <c r="P17" i="6"/>
  <c r="Q17" i="6" s="1"/>
  <c r="P38" i="6"/>
  <c r="Q38" i="6" s="1"/>
  <c r="D38" i="6"/>
  <c r="E38" i="6" s="1"/>
  <c r="L38" i="6"/>
  <c r="M38" i="6" s="1"/>
  <c r="AN38" i="6"/>
  <c r="AO38" i="6" s="1"/>
  <c r="T38" i="6"/>
  <c r="U38" i="6" s="1"/>
  <c r="AF38" i="6"/>
  <c r="AG38" i="6" s="1"/>
  <c r="AB38" i="6"/>
  <c r="AC38" i="6" s="1"/>
  <c r="AJ38" i="6"/>
  <c r="AK38" i="6" s="1"/>
  <c r="X38" i="6"/>
  <c r="Y38" i="6" s="1"/>
  <c r="H38" i="6"/>
  <c r="I38" i="6" s="1"/>
  <c r="AB9" i="6"/>
  <c r="AC9" i="6" s="1"/>
  <c r="P9" i="6"/>
  <c r="Q9" i="6" s="1"/>
  <c r="T9" i="6"/>
  <c r="U9" i="6" s="1"/>
  <c r="AB41" i="6"/>
  <c r="AC41" i="6" s="1"/>
  <c r="AF41" i="6"/>
  <c r="AG41" i="6" s="1"/>
  <c r="D41" i="6"/>
  <c r="E41" i="6" s="1"/>
  <c r="X41" i="6"/>
  <c r="Y41" i="6" s="1"/>
  <c r="H41" i="6"/>
  <c r="I41" i="6" s="1"/>
  <c r="L41" i="6"/>
  <c r="M41" i="6" s="1"/>
  <c r="AJ41" i="6"/>
  <c r="AK41" i="6" s="1"/>
  <c r="T41" i="6"/>
  <c r="U41" i="6" s="1"/>
  <c r="P41" i="6"/>
  <c r="Q41" i="6" s="1"/>
  <c r="AN41" i="6"/>
  <c r="AO41" i="6" s="1"/>
  <c r="AJ49" i="6"/>
  <c r="AK49" i="6" s="1"/>
  <c r="AF49" i="6"/>
  <c r="AG49" i="6" s="1"/>
  <c r="D49" i="6"/>
  <c r="E49" i="6" s="1"/>
  <c r="T49" i="6"/>
  <c r="U49" i="6" s="1"/>
  <c r="X49" i="6"/>
  <c r="Y49" i="6" s="1"/>
  <c r="H49" i="6"/>
  <c r="I49" i="6" s="1"/>
  <c r="P49" i="6"/>
  <c r="Q49" i="6" s="1"/>
  <c r="L49" i="6"/>
  <c r="M49" i="6" s="1"/>
  <c r="AB49" i="6"/>
  <c r="AC49" i="6" s="1"/>
  <c r="AJ52" i="6"/>
  <c r="AK52" i="6" s="1"/>
  <c r="H52" i="6"/>
  <c r="I52" i="6" s="1"/>
  <c r="T52" i="6"/>
  <c r="U52" i="6" s="1"/>
  <c r="P52" i="6"/>
  <c r="Q52" i="6" s="1"/>
  <c r="X52" i="6"/>
  <c r="Y52" i="6" s="1"/>
  <c r="AB52" i="6"/>
  <c r="AC52" i="6" s="1"/>
  <c r="L52" i="6"/>
  <c r="M52" i="6" s="1"/>
  <c r="AF52" i="6"/>
  <c r="AG52" i="6" s="1"/>
  <c r="D52" i="6"/>
  <c r="E52" i="6" s="1"/>
  <c r="AJ14" i="6"/>
  <c r="AK14" i="6" s="1"/>
  <c r="AF14" i="6"/>
  <c r="AG14" i="6" s="1"/>
  <c r="X14" i="6"/>
  <c r="Y14" i="6" s="1"/>
  <c r="T47" i="6"/>
  <c r="U47" i="6" s="1"/>
  <c r="P47" i="6"/>
  <c r="Q47" i="6" s="1"/>
  <c r="H47" i="6"/>
  <c r="I47" i="6" s="1"/>
  <c r="L47" i="6"/>
  <c r="M47" i="6" s="1"/>
  <c r="AF47" i="6"/>
  <c r="AG47" i="6" s="1"/>
  <c r="D47" i="6"/>
  <c r="E47" i="6" s="1"/>
  <c r="AB47" i="6"/>
  <c r="AC47" i="6" s="1"/>
  <c r="AN47" i="6"/>
  <c r="AO47" i="6" s="1"/>
  <c r="AJ47" i="6"/>
  <c r="AK47" i="6" s="1"/>
  <c r="X47" i="6"/>
  <c r="Y47" i="6" s="1"/>
  <c r="X37" i="6"/>
  <c r="Y37" i="6" s="1"/>
  <c r="AF37" i="6"/>
  <c r="AG37" i="6" s="1"/>
  <c r="AN37" i="6"/>
  <c r="AO37" i="6" s="1"/>
  <c r="P37" i="6"/>
  <c r="Q37" i="6" s="1"/>
  <c r="H37" i="6"/>
  <c r="I37" i="6" s="1"/>
  <c r="D37" i="6"/>
  <c r="E37" i="6" s="1"/>
  <c r="T37" i="6"/>
  <c r="U37" i="6" s="1"/>
  <c r="L37" i="6"/>
  <c r="M37" i="6" s="1"/>
  <c r="AB37" i="6"/>
  <c r="AC37" i="6" s="1"/>
  <c r="AJ37" i="6"/>
  <c r="AK37" i="6" s="1"/>
  <c r="AJ29" i="6"/>
  <c r="AK29" i="6" s="1"/>
  <c r="AF29" i="6"/>
  <c r="AG29" i="6" s="1"/>
  <c r="X29" i="6"/>
  <c r="Y29" i="6" s="1"/>
  <c r="AN30" i="6"/>
  <c r="AO30" i="6" s="1"/>
  <c r="X30" i="6"/>
  <c r="Y30" i="6" s="1"/>
  <c r="AJ30" i="6"/>
  <c r="AK30" i="6" s="1"/>
  <c r="D30" i="6"/>
  <c r="E30" i="6" s="1"/>
  <c r="T30" i="6"/>
  <c r="U30" i="6" s="1"/>
  <c r="AB30" i="6"/>
  <c r="AC30" i="6" s="1"/>
  <c r="H30" i="6"/>
  <c r="I30" i="6" s="1"/>
  <c r="L30" i="6"/>
  <c r="M30" i="6" s="1"/>
  <c r="P30" i="6"/>
  <c r="Q30" i="6" s="1"/>
  <c r="AF30" i="6"/>
  <c r="AG30" i="6" s="1"/>
  <c r="X26" i="6"/>
  <c r="Y26" i="6" s="1"/>
  <c r="AJ26" i="6"/>
  <c r="AK26" i="6" s="1"/>
  <c r="AF26" i="6"/>
  <c r="AG26" i="6" s="1"/>
  <c r="AF46" i="6"/>
  <c r="AG46" i="6" s="1"/>
  <c r="T46" i="6"/>
  <c r="U46" i="6" s="1"/>
  <c r="P46" i="6"/>
  <c r="Q46" i="6" s="1"/>
  <c r="H46" i="6"/>
  <c r="I46" i="6" s="1"/>
  <c r="L46" i="6"/>
  <c r="M46" i="6" s="1"/>
  <c r="AN46" i="6"/>
  <c r="AO46" i="6" s="1"/>
  <c r="AB46" i="6"/>
  <c r="AC46" i="6" s="1"/>
  <c r="D46" i="6"/>
  <c r="E46" i="6" s="1"/>
  <c r="AJ46" i="6"/>
  <c r="AK46" i="6" s="1"/>
  <c r="X46" i="6"/>
  <c r="Y46" i="6" s="1"/>
  <c r="D51" i="6"/>
  <c r="E51" i="6" s="1"/>
  <c r="AB51" i="6"/>
  <c r="AC51" i="6" s="1"/>
  <c r="H51" i="6"/>
  <c r="I51" i="6" s="1"/>
  <c r="AF51" i="6"/>
  <c r="AG51" i="6" s="1"/>
  <c r="X51" i="6"/>
  <c r="Y51" i="6" s="1"/>
  <c r="L51" i="6"/>
  <c r="M51" i="6" s="1"/>
  <c r="P51" i="6"/>
  <c r="Q51" i="6" s="1"/>
  <c r="AJ51" i="6"/>
  <c r="AK51" i="6" s="1"/>
  <c r="T51" i="6"/>
  <c r="U51" i="6" s="1"/>
  <c r="D48" i="6"/>
  <c r="E48" i="6" s="1"/>
  <c r="H48" i="6"/>
  <c r="I48" i="6" s="1"/>
  <c r="AJ48" i="6"/>
  <c r="AK48" i="6" s="1"/>
  <c r="L48" i="6"/>
  <c r="M48" i="6" s="1"/>
  <c r="AF48" i="6"/>
  <c r="AG48" i="6" s="1"/>
  <c r="P48" i="6"/>
  <c r="Q48" i="6" s="1"/>
  <c r="T48" i="6"/>
  <c r="U48" i="6" s="1"/>
  <c r="X48" i="6"/>
  <c r="Y48" i="6" s="1"/>
  <c r="AB48" i="6"/>
  <c r="AC48" i="6" s="1"/>
  <c r="T3" i="6"/>
  <c r="U3" i="6" s="1"/>
  <c r="AB3" i="6"/>
  <c r="AC3" i="6" s="1"/>
  <c r="P3" i="6"/>
  <c r="Q3" i="6" s="1"/>
  <c r="AF43" i="6"/>
  <c r="AG43" i="6" s="1"/>
  <c r="L43" i="6"/>
  <c r="M43" i="6" s="1"/>
  <c r="AJ43" i="6"/>
  <c r="AK43" i="6" s="1"/>
  <c r="P43" i="6"/>
  <c r="Q43" i="6" s="1"/>
  <c r="T43" i="6"/>
  <c r="U43" i="6" s="1"/>
  <c r="D43" i="6"/>
  <c r="E43" i="6" s="1"/>
  <c r="H43" i="6"/>
  <c r="I43" i="6" s="1"/>
  <c r="AN43" i="6"/>
  <c r="AO43" i="6" s="1"/>
  <c r="X43" i="6"/>
  <c r="Y43" i="6" s="1"/>
  <c r="AB43" i="6"/>
  <c r="AC43" i="6" s="1"/>
  <c r="AN36" i="6"/>
  <c r="AO36" i="6" s="1"/>
  <c r="L36" i="6"/>
  <c r="M36" i="6" s="1"/>
  <c r="T36" i="6"/>
  <c r="U36" i="6" s="1"/>
  <c r="AB36" i="6"/>
  <c r="AC36" i="6" s="1"/>
  <c r="P36" i="6"/>
  <c r="Q36" i="6" s="1"/>
  <c r="AF36" i="6"/>
  <c r="AG36" i="6" s="1"/>
  <c r="AJ36" i="6"/>
  <c r="AK36" i="6" s="1"/>
  <c r="H36" i="6"/>
  <c r="I36" i="6" s="1"/>
  <c r="X36" i="6"/>
  <c r="Y36" i="6" s="1"/>
  <c r="D36" i="6"/>
  <c r="E36" i="6" s="1"/>
  <c r="X45" i="6"/>
  <c r="Y45" i="6" s="1"/>
  <c r="D45" i="6"/>
  <c r="E45" i="6" s="1"/>
  <c r="L45" i="6"/>
  <c r="M45" i="6" s="1"/>
  <c r="P45" i="6"/>
  <c r="Q45" i="6" s="1"/>
  <c r="H45" i="6"/>
  <c r="I45" i="6" s="1"/>
  <c r="AN45" i="6"/>
  <c r="AO45" i="6" s="1"/>
  <c r="T45" i="6"/>
  <c r="U45" i="6" s="1"/>
  <c r="AF45" i="6"/>
  <c r="AG45" i="6" s="1"/>
  <c r="AJ45" i="6"/>
  <c r="AK45" i="6" s="1"/>
  <c r="AB45" i="6"/>
  <c r="AC45" i="6" s="1"/>
  <c r="AN44" i="6"/>
  <c r="AO44" i="6" s="1"/>
  <c r="AF44" i="6"/>
  <c r="AG44" i="6" s="1"/>
  <c r="D44" i="6"/>
  <c r="E44" i="6" s="1"/>
  <c r="P44" i="6"/>
  <c r="Q44" i="6" s="1"/>
  <c r="T44" i="6"/>
  <c r="U44" i="6" s="1"/>
  <c r="AJ44" i="6"/>
  <c r="AK44" i="6" s="1"/>
  <c r="H44" i="6"/>
  <c r="I44" i="6" s="1"/>
  <c r="L44" i="6"/>
  <c r="M44" i="6" s="1"/>
  <c r="X44" i="6"/>
  <c r="Y44" i="6" s="1"/>
  <c r="AB44" i="6"/>
  <c r="AC44" i="6" s="1"/>
  <c r="X5" i="6"/>
  <c r="Y5" i="6" s="1"/>
  <c r="AF5" i="6"/>
  <c r="AG5" i="6" s="1"/>
  <c r="AJ5" i="6"/>
  <c r="AK5" i="6" s="1"/>
  <c r="AJ54" i="6"/>
  <c r="AK54" i="6" s="1"/>
  <c r="D54" i="6"/>
  <c r="E54" i="6" s="1"/>
  <c r="AF54" i="6"/>
  <c r="AG54" i="6" s="1"/>
  <c r="X54" i="6"/>
  <c r="Y54" i="6" s="1"/>
  <c r="T54" i="6"/>
  <c r="U54" i="6" s="1"/>
  <c r="H54" i="6"/>
  <c r="I54" i="6" s="1"/>
  <c r="AB54" i="6"/>
  <c r="AC54" i="6" s="1"/>
  <c r="P54" i="6"/>
  <c r="Q54" i="6" s="1"/>
  <c r="L54" i="6"/>
  <c r="M54" i="6" s="1"/>
  <c r="T25" i="6"/>
  <c r="U25" i="6" s="1"/>
  <c r="P25" i="6"/>
  <c r="Q25" i="6" s="1"/>
  <c r="AB25" i="6"/>
  <c r="AC25" i="6" s="1"/>
  <c r="P27" i="6"/>
  <c r="Q27" i="6" s="1"/>
  <c r="AB27" i="6"/>
  <c r="AC27" i="6" s="1"/>
  <c r="T27" i="6"/>
  <c r="U27" i="6" s="1"/>
  <c r="P6" i="6"/>
  <c r="Q6" i="6" s="1"/>
  <c r="AB6" i="6"/>
  <c r="AC6" i="6" s="1"/>
  <c r="T6" i="6"/>
  <c r="U6" i="6" s="1"/>
  <c r="D39" i="6"/>
  <c r="E39" i="6" s="1"/>
  <c r="L39" i="6"/>
  <c r="M39" i="6" s="1"/>
  <c r="AJ39" i="6"/>
  <c r="AK39" i="6" s="1"/>
  <c r="X39" i="6"/>
  <c r="Y39" i="6" s="1"/>
  <c r="AF39" i="6"/>
  <c r="AG39" i="6" s="1"/>
  <c r="H39" i="6"/>
  <c r="I39" i="6" s="1"/>
  <c r="AN39" i="6"/>
  <c r="AO39" i="6" s="1"/>
  <c r="P39" i="6"/>
  <c r="Q39" i="6" s="1"/>
  <c r="AB39" i="6"/>
  <c r="AC39" i="6" s="1"/>
  <c r="T39" i="6"/>
  <c r="U39" i="6" s="1"/>
  <c r="P10" i="6"/>
  <c r="Q10" i="6" s="1"/>
  <c r="T10" i="6"/>
  <c r="U10" i="6" s="1"/>
  <c r="AB10" i="6"/>
  <c r="AC10" i="6" s="1"/>
  <c r="BN8" i="4"/>
  <c r="BN14" i="4" s="1"/>
  <c r="AP8" i="4"/>
  <c r="AB13" i="6"/>
  <c r="AC13" i="6" s="1"/>
  <c r="P13" i="6"/>
  <c r="Q13" i="6" s="1"/>
  <c r="T13" i="6"/>
  <c r="U13" i="6" s="1"/>
  <c r="AJ33" i="6"/>
  <c r="AK33" i="6" s="1"/>
  <c r="D33" i="6"/>
  <c r="E33" i="6" s="1"/>
  <c r="AF33" i="6"/>
  <c r="AG33" i="6" s="1"/>
  <c r="H33" i="6"/>
  <c r="I33" i="6" s="1"/>
  <c r="X33" i="6"/>
  <c r="Y33" i="6" s="1"/>
  <c r="AB33" i="6"/>
  <c r="AC33" i="6" s="1"/>
  <c r="T33" i="6"/>
  <c r="U33" i="6" s="1"/>
  <c r="P33" i="6"/>
  <c r="Q33" i="6" s="1"/>
  <c r="AN33" i="6"/>
  <c r="AO33" i="6" s="1"/>
  <c r="L33" i="6"/>
  <c r="M33" i="6" s="1"/>
  <c r="AJ20" i="6"/>
  <c r="AK20" i="6" s="1"/>
  <c r="AF20" i="6"/>
  <c r="AG20" i="6" s="1"/>
  <c r="X20" i="6"/>
  <c r="Y20" i="6" s="1"/>
  <c r="AJ27" i="6"/>
  <c r="AK27" i="6" s="1"/>
  <c r="X27" i="6"/>
  <c r="Y27" i="6" s="1"/>
  <c r="AF27" i="6"/>
  <c r="AG27" i="6" s="1"/>
  <c r="AJ34" i="6"/>
  <c r="AK34" i="6" s="1"/>
  <c r="AB34" i="6"/>
  <c r="AC34" i="6" s="1"/>
  <c r="P34" i="6"/>
  <c r="Q34" i="6" s="1"/>
  <c r="D34" i="6"/>
  <c r="E34" i="6" s="1"/>
  <c r="AN34" i="6"/>
  <c r="AO34" i="6" s="1"/>
  <c r="T34" i="6"/>
  <c r="U34" i="6" s="1"/>
  <c r="H34" i="6"/>
  <c r="I34" i="6" s="1"/>
  <c r="X34" i="6"/>
  <c r="Y34" i="6" s="1"/>
  <c r="AF34" i="6"/>
  <c r="AG34" i="6" s="1"/>
  <c r="L34" i="6"/>
  <c r="M34" i="6" s="1"/>
  <c r="AJ11" i="6"/>
  <c r="AK11" i="6" s="1"/>
  <c r="X11" i="6"/>
  <c r="Y11" i="6" s="1"/>
  <c r="AF11" i="6"/>
  <c r="AG11" i="6" s="1"/>
  <c r="D35" i="6"/>
  <c r="E35" i="6" s="1"/>
  <c r="AJ35" i="6"/>
  <c r="AK35" i="6" s="1"/>
  <c r="L35" i="6"/>
  <c r="M35" i="6" s="1"/>
  <c r="AN35" i="6"/>
  <c r="AO35" i="6" s="1"/>
  <c r="T35" i="6"/>
  <c r="U35" i="6" s="1"/>
  <c r="H35" i="6"/>
  <c r="I35" i="6" s="1"/>
  <c r="P35" i="6"/>
  <c r="Q35" i="6" s="1"/>
  <c r="X35" i="6"/>
  <c r="Y35" i="6" s="1"/>
  <c r="AB35" i="6"/>
  <c r="AC35" i="6" s="1"/>
  <c r="AF35" i="6"/>
  <c r="AG35" i="6" s="1"/>
  <c r="AJ24" i="6"/>
  <c r="AK24" i="6" s="1"/>
  <c r="X24" i="6"/>
  <c r="Y24" i="6" s="1"/>
  <c r="AF24" i="6"/>
  <c r="AG24" i="6" s="1"/>
  <c r="P12" i="6"/>
  <c r="Q12" i="6" s="1"/>
  <c r="AB12" i="6"/>
  <c r="AC12" i="6" s="1"/>
  <c r="T12" i="6"/>
  <c r="U12" i="6" s="1"/>
  <c r="AB8" i="6"/>
  <c r="AC8" i="6" s="1"/>
  <c r="T8" i="6"/>
  <c r="U8" i="6" s="1"/>
  <c r="P8" i="6"/>
  <c r="Q8" i="6" s="1"/>
  <c r="AJ3" i="6"/>
  <c r="AK3" i="6" s="1"/>
  <c r="X3" i="6"/>
  <c r="Y3" i="6" s="1"/>
  <c r="AF3" i="6"/>
  <c r="AG3" i="6" s="1"/>
  <c r="AJ12" i="6"/>
  <c r="AK12" i="6" s="1"/>
  <c r="AF12" i="6"/>
  <c r="AG12" i="6" s="1"/>
  <c r="X12" i="6"/>
  <c r="Y12" i="6" s="1"/>
  <c r="AF17" i="6"/>
  <c r="AG17" i="6" s="1"/>
  <c r="X17" i="6"/>
  <c r="Y17" i="6" s="1"/>
  <c r="AJ17" i="6"/>
  <c r="AK17" i="6" s="1"/>
  <c r="AJ9" i="6"/>
  <c r="AK9" i="6" s="1"/>
  <c r="AF9" i="6"/>
  <c r="AG9" i="6" s="1"/>
  <c r="X9" i="6"/>
  <c r="Y9" i="6" s="1"/>
  <c r="AF88" i="10" l="1"/>
  <c r="Q88" i="10"/>
  <c r="AD88" i="10"/>
  <c r="Y88" i="10"/>
  <c r="Y128" i="10" s="1"/>
  <c r="L88" i="10"/>
  <c r="L128" i="10" s="1"/>
  <c r="I88" i="10"/>
  <c r="I128" i="10" s="1"/>
  <c r="AA88" i="10"/>
  <c r="AF78" i="10"/>
  <c r="AF118" i="10" s="1"/>
  <c r="P88" i="10"/>
  <c r="AG88" i="10"/>
  <c r="U88" i="10"/>
  <c r="AE88" i="10"/>
  <c r="Z88" i="10"/>
  <c r="Z128" i="10"/>
  <c r="AJ88" i="10"/>
  <c r="X88" i="10"/>
  <c r="O78" i="10"/>
  <c r="O118" i="10" s="1"/>
  <c r="O158" i="10" s="1"/>
  <c r="S78" i="10"/>
  <c r="S118" i="10" s="1"/>
  <c r="S158" i="10" s="1"/>
  <c r="AA78" i="10"/>
  <c r="AA118" i="10" s="1"/>
  <c r="AA158" i="10" s="1"/>
  <c r="AH88" i="10"/>
  <c r="G78" i="10"/>
  <c r="G118" i="10" s="1"/>
  <c r="G158" i="10" s="1"/>
  <c r="AJ78" i="10"/>
  <c r="AJ118" i="10" s="1"/>
  <c r="AJ158" i="10" s="1"/>
  <c r="W78" i="10"/>
  <c r="W118" i="10" s="1"/>
  <c r="W158" i="10" s="1"/>
  <c r="U78" i="10"/>
  <c r="U118" i="10" s="1"/>
  <c r="U158" i="10" s="1"/>
  <c r="AH78" i="10"/>
  <c r="AH118" i="10" s="1"/>
  <c r="AH158" i="10" s="1"/>
  <c r="AI88" i="10"/>
  <c r="M78" i="10"/>
  <c r="M118" i="10" s="1"/>
  <c r="M158" i="10" s="1"/>
  <c r="F88" i="10"/>
  <c r="F128" i="10" s="1"/>
  <c r="T88" i="10"/>
  <c r="AB88" i="10"/>
  <c r="AE78" i="10"/>
  <c r="AE118" i="10" s="1"/>
  <c r="AE158" i="10" s="1"/>
  <c r="J78" i="10"/>
  <c r="J118" i="10" s="1"/>
  <c r="J158" i="10" s="1"/>
  <c r="AK88" i="10"/>
  <c r="G88" i="10"/>
  <c r="G128" i="10" s="1"/>
  <c r="O88" i="10"/>
  <c r="O128" i="10" s="1"/>
  <c r="AL88" i="10"/>
  <c r="AK78" i="10"/>
  <c r="AK118" i="10" s="1"/>
  <c r="AK158" i="10" s="1"/>
  <c r="H88" i="10"/>
  <c r="H128" i="10" s="1"/>
  <c r="V78" i="10"/>
  <c r="V118" i="10" s="1"/>
  <c r="V158" i="10" s="1"/>
  <c r="AC78" i="10"/>
  <c r="AC118" i="10" s="1"/>
  <c r="AC158" i="10" s="1"/>
  <c r="AC88" i="10"/>
  <c r="T78" i="10"/>
  <c r="T118" i="10" s="1"/>
  <c r="T158" i="10" s="1"/>
  <c r="P78" i="10"/>
  <c r="P118" i="10" s="1"/>
  <c r="P158" i="10" s="1"/>
  <c r="AL78" i="10"/>
  <c r="AL118" i="10" s="1"/>
  <c r="AL158" i="10" s="1"/>
  <c r="I78" i="10"/>
  <c r="I118" i="10" s="1"/>
  <c r="I158" i="10" s="1"/>
  <c r="AB78" i="10"/>
  <c r="AB118" i="10" s="1"/>
  <c r="AB158" i="10" s="1"/>
  <c r="R88" i="10"/>
  <c r="F78" i="10"/>
  <c r="F118" i="10" s="1"/>
  <c r="F158" i="10" s="1"/>
  <c r="H78" i="10"/>
  <c r="H118" i="10" s="1"/>
  <c r="H158" i="10" s="1"/>
  <c r="K88" i="10"/>
  <c r="K128" i="10"/>
  <c r="N78" i="10"/>
  <c r="N118" i="10" s="1"/>
  <c r="N158" i="10" s="1"/>
  <c r="N88" i="10"/>
  <c r="V88" i="10"/>
  <c r="V128" i="10" s="1"/>
  <c r="Y78" i="10"/>
  <c r="Y118" i="10" s="1"/>
  <c r="Y158" i="10" s="1"/>
  <c r="M88" i="10"/>
  <c r="M128" i="10" s="1"/>
  <c r="Q78" i="10"/>
  <c r="Q118" i="10" s="1"/>
  <c r="Q158" i="10" s="1"/>
  <c r="S88" i="10"/>
  <c r="S128" i="10" s="1"/>
  <c r="Z78" i="10"/>
  <c r="Z118" i="10" s="1"/>
  <c r="Z158" i="10" s="1"/>
  <c r="W88" i="10"/>
  <c r="W128" i="10" s="1"/>
  <c r="J88" i="10"/>
  <c r="J128" i="10" s="1"/>
  <c r="AD78" i="10"/>
  <c r="AD118" i="10" s="1"/>
  <c r="AD158" i="10" s="1"/>
  <c r="AG78" i="10"/>
  <c r="AG118" i="10" s="1"/>
  <c r="AG158" i="10" s="1"/>
  <c r="X78" i="10"/>
  <c r="X118" i="10" s="1"/>
  <c r="X158" i="10" s="1"/>
  <c r="L78" i="10"/>
  <c r="L118" i="10" s="1"/>
  <c r="L158" i="10" s="1"/>
  <c r="AI78" i="10"/>
  <c r="AI118" i="10" s="1"/>
  <c r="AI158" i="10" s="1"/>
  <c r="K78" i="10"/>
  <c r="K118" i="10" s="1"/>
  <c r="K158" i="10" s="1"/>
  <c r="R78" i="10"/>
  <c r="R118" i="10" s="1"/>
  <c r="R158" i="10" s="1"/>
  <c r="E88" i="10"/>
  <c r="E128" i="10" s="1"/>
  <c r="AM48" i="10"/>
  <c r="AM88" i="10" s="1"/>
  <c r="AM128" i="10" s="1"/>
  <c r="E78" i="10"/>
  <c r="E118" i="10" s="1"/>
  <c r="E158" i="10" s="1"/>
  <c r="AM78" i="10" l="1"/>
  <c r="A55" i="10" l="1"/>
  <c r="AM118" i="10"/>
  <c r="AM158" i="10" s="1"/>
  <c r="J116" i="4" l="1"/>
  <c r="J110" i="4"/>
  <c r="AH42" i="4"/>
  <c r="J113" i="4"/>
  <c r="J112" i="4"/>
  <c r="AH35" i="4" l="1"/>
  <c r="AH41" i="4"/>
  <c r="AH112" i="4"/>
  <c r="AH116" i="4"/>
  <c r="AH113" i="4"/>
  <c r="AH37" i="4"/>
  <c r="AH34" i="4"/>
  <c r="AH110" i="4"/>
  <c r="J117" i="4"/>
  <c r="AH38" i="4"/>
  <c r="AH36" i="4"/>
  <c r="J44" i="4"/>
  <c r="V41" i="4" s="1"/>
  <c r="AY41" i="4" s="1"/>
  <c r="J111" i="4"/>
  <c r="AH43" i="4"/>
  <c r="J109" i="4"/>
  <c r="J118" i="4"/>
  <c r="V34" i="4" l="1"/>
  <c r="AN34" i="4" s="1"/>
  <c r="V36" i="4"/>
  <c r="BJ36" i="4" s="1"/>
  <c r="AN41" i="4"/>
  <c r="BJ41" i="4"/>
  <c r="BD41" i="4"/>
  <c r="L22" i="6" s="1"/>
  <c r="M22" i="6" s="1"/>
  <c r="AH109" i="4"/>
  <c r="J119" i="4"/>
  <c r="V111" i="4" s="1"/>
  <c r="AH117" i="4"/>
  <c r="AH118" i="4"/>
  <c r="AY36" i="4"/>
  <c r="BD36" i="4" s="1"/>
  <c r="AY34" i="4"/>
  <c r="V40" i="4"/>
  <c r="V39" i="4"/>
  <c r="V35" i="4"/>
  <c r="V37" i="4"/>
  <c r="AH44" i="4"/>
  <c r="AH111" i="4"/>
  <c r="V42" i="4"/>
  <c r="AY42" i="4" s="1"/>
  <c r="V38" i="4"/>
  <c r="V43" i="4"/>
  <c r="AY43" i="4" s="1"/>
  <c r="BJ34" i="4" l="1"/>
  <c r="AN36" i="4"/>
  <c r="V118" i="4"/>
  <c r="AN118" i="4" s="1"/>
  <c r="V117" i="4"/>
  <c r="BJ117" i="4" s="1"/>
  <c r="AN42" i="4"/>
  <c r="BJ42" i="4"/>
  <c r="BD42" i="4"/>
  <c r="L25" i="6" s="1"/>
  <c r="M25" i="6" s="1"/>
  <c r="AN111" i="4"/>
  <c r="BJ111" i="4"/>
  <c r="AY35" i="4"/>
  <c r="BD35" i="4" s="1"/>
  <c r="L7" i="6" s="1"/>
  <c r="M7" i="6" s="1"/>
  <c r="BJ35" i="4"/>
  <c r="AN35" i="4"/>
  <c r="V114" i="4"/>
  <c r="AH119" i="4"/>
  <c r="V115" i="4"/>
  <c r="V112" i="4"/>
  <c r="V110" i="4"/>
  <c r="V116" i="4"/>
  <c r="V113" i="4"/>
  <c r="BJ118" i="4"/>
  <c r="BJ39" i="4"/>
  <c r="AN39" i="4"/>
  <c r="AY39" i="4"/>
  <c r="BD39" i="4" s="1"/>
  <c r="L16" i="6" s="1"/>
  <c r="M16" i="6" s="1"/>
  <c r="BD34" i="4"/>
  <c r="L4" i="6" s="1"/>
  <c r="M4" i="6" s="1"/>
  <c r="AY37" i="4"/>
  <c r="BD37" i="4" s="1"/>
  <c r="L10" i="6" s="1"/>
  <c r="M10" i="6" s="1"/>
  <c r="BJ37" i="4"/>
  <c r="AN37" i="4"/>
  <c r="BJ40" i="4"/>
  <c r="AY40" i="4"/>
  <c r="BD40" i="4" s="1"/>
  <c r="L19" i="6" s="1"/>
  <c r="M19" i="6" s="1"/>
  <c r="AN40" i="4"/>
  <c r="V109" i="4"/>
  <c r="BD43" i="4"/>
  <c r="L28" i="6" s="1"/>
  <c r="M28" i="6" s="1"/>
  <c r="AN43" i="4"/>
  <c r="BJ43" i="4"/>
  <c r="V44" i="4"/>
  <c r="AN44" i="4" s="1"/>
  <c r="BJ38" i="4"/>
  <c r="AN38" i="4"/>
  <c r="AY38" i="4"/>
  <c r="BD38" i="4" s="1"/>
  <c r="L13" i="6" s="1"/>
  <c r="M13" i="6" s="1"/>
  <c r="AN117" i="4" l="1"/>
  <c r="BJ44" i="4"/>
  <c r="BJ116" i="4"/>
  <c r="AN116" i="4"/>
  <c r="AN112" i="4"/>
  <c r="BJ112" i="4"/>
  <c r="BJ113" i="4"/>
  <c r="AN113" i="4"/>
  <c r="BJ110" i="4"/>
  <c r="AN110" i="4"/>
  <c r="BJ114" i="4"/>
  <c r="AN114" i="4"/>
  <c r="AN109" i="4"/>
  <c r="V119" i="4"/>
  <c r="AN119" i="4" s="1"/>
  <c r="BJ109" i="4"/>
  <c r="BJ115" i="4"/>
  <c r="AN115" i="4"/>
  <c r="BJ119" i="4" l="1"/>
  <c r="E44" i="4"/>
  <c r="AI36" i="4"/>
  <c r="L43" i="4"/>
  <c r="L37" i="4"/>
  <c r="AI35" i="4"/>
  <c r="L38" i="4"/>
  <c r="K109" i="4"/>
  <c r="K110" i="4" l="1"/>
  <c r="L110" i="4" s="1"/>
  <c r="L36" i="4"/>
  <c r="AJ36" i="4" s="1"/>
  <c r="L41" i="4"/>
  <c r="L42" i="4"/>
  <c r="AJ42" i="4" s="1"/>
  <c r="K117" i="4"/>
  <c r="AI117" i="4" s="1"/>
  <c r="K111" i="4"/>
  <c r="L111" i="4" s="1"/>
  <c r="AI41" i="4"/>
  <c r="K44" i="4"/>
  <c r="L44" i="4" s="1"/>
  <c r="X36" i="4" s="1"/>
  <c r="AI37" i="4"/>
  <c r="K113" i="4"/>
  <c r="AI113" i="4" s="1"/>
  <c r="AI38" i="4"/>
  <c r="L109" i="4"/>
  <c r="AI109" i="4"/>
  <c r="AJ43" i="4"/>
  <c r="AJ38" i="4"/>
  <c r="AJ37" i="4"/>
  <c r="L35" i="4"/>
  <c r="AI34" i="4"/>
  <c r="AI43" i="4"/>
  <c r="L34" i="4"/>
  <c r="K116" i="4"/>
  <c r="AI42" i="4"/>
  <c r="K118" i="4"/>
  <c r="K112" i="4"/>
  <c r="AI110" i="4" l="1"/>
  <c r="AI44" i="4"/>
  <c r="X37" i="4"/>
  <c r="X42" i="4"/>
  <c r="AJ111" i="4"/>
  <c r="AJ110" i="4"/>
  <c r="AI111" i="4"/>
  <c r="W37" i="4"/>
  <c r="AO37" i="4" s="1"/>
  <c r="W40" i="4"/>
  <c r="BL40" i="4" s="1"/>
  <c r="L117" i="4"/>
  <c r="AJ117" i="4" s="1"/>
  <c r="W39" i="4"/>
  <c r="BL39" i="4" s="1"/>
  <c r="W35" i="4"/>
  <c r="W34" i="4"/>
  <c r="AO34" i="4" s="1"/>
  <c r="X38" i="4"/>
  <c r="AP38" i="4" s="1"/>
  <c r="X39" i="4"/>
  <c r="BN39" i="4" s="1"/>
  <c r="X40" i="4"/>
  <c r="BN40" i="4" s="1"/>
  <c r="W43" i="4"/>
  <c r="AZ43" i="4" s="1"/>
  <c r="BE43" i="4" s="1"/>
  <c r="L29" i="6" s="1"/>
  <c r="M29" i="6" s="1"/>
  <c r="X41" i="4"/>
  <c r="AJ41" i="4"/>
  <c r="W38" i="4"/>
  <c r="BL38" i="4" s="1"/>
  <c r="AJ44" i="4"/>
  <c r="L113" i="4"/>
  <c r="W36" i="4"/>
  <c r="AZ36" i="4" s="1"/>
  <c r="BE36" i="4" s="1"/>
  <c r="X43" i="4"/>
  <c r="AP43" i="4" s="1"/>
  <c r="W41" i="4"/>
  <c r="AZ41" i="4" s="1"/>
  <c r="W42" i="4"/>
  <c r="AZ42" i="4" s="1"/>
  <c r="AP36" i="4"/>
  <c r="BN36" i="4"/>
  <c r="L112" i="4"/>
  <c r="AI112" i="4"/>
  <c r="K119" i="4"/>
  <c r="AJ109" i="4"/>
  <c r="AI116" i="4"/>
  <c r="L116" i="4"/>
  <c r="AP37" i="4"/>
  <c r="BN37" i="4"/>
  <c r="AI118" i="4"/>
  <c r="L118" i="4"/>
  <c r="BN42" i="4"/>
  <c r="AP42" i="4"/>
  <c r="AJ34" i="4"/>
  <c r="X34" i="4"/>
  <c r="AJ35" i="4"/>
  <c r="X35" i="4"/>
  <c r="AZ37" i="4" l="1"/>
  <c r="BL37" i="4"/>
  <c r="AO40" i="4"/>
  <c r="BN38" i="4"/>
  <c r="AJ113" i="4"/>
  <c r="AO38" i="4"/>
  <c r="AZ38" i="4"/>
  <c r="BE38" i="4" s="1"/>
  <c r="L14" i="6" s="1"/>
  <c r="M14" i="6" s="1"/>
  <c r="AZ40" i="4"/>
  <c r="BE40" i="4" s="1"/>
  <c r="L20" i="6" s="1"/>
  <c r="M20" i="6" s="1"/>
  <c r="BL34" i="4"/>
  <c r="AZ34" i="4"/>
  <c r="BE34" i="4" s="1"/>
  <c r="L5" i="6" s="1"/>
  <c r="M5" i="6" s="1"/>
  <c r="AO43" i="4"/>
  <c r="AZ39" i="4"/>
  <c r="BE39" i="4" s="1"/>
  <c r="L17" i="6" s="1"/>
  <c r="M17" i="6" s="1"/>
  <c r="AO39" i="4"/>
  <c r="BL43" i="4"/>
  <c r="AO36" i="4"/>
  <c r="BN43" i="4"/>
  <c r="W44" i="4"/>
  <c r="AO44" i="4" s="1"/>
  <c r="BL36" i="4"/>
  <c r="AP40" i="4"/>
  <c r="AP39" i="4"/>
  <c r="BN41" i="4"/>
  <c r="AP41" i="4"/>
  <c r="BE41" i="4"/>
  <c r="L23" i="6" s="1"/>
  <c r="M23" i="6" s="1"/>
  <c r="AO41" i="4"/>
  <c r="BL41" i="4"/>
  <c r="BE37" i="4"/>
  <c r="L11" i="6" s="1"/>
  <c r="M11" i="6" s="1"/>
  <c r="AO42" i="4"/>
  <c r="BE42" i="4"/>
  <c r="L26" i="6" s="1"/>
  <c r="M26" i="6" s="1"/>
  <c r="BL42" i="4"/>
  <c r="AZ35" i="4"/>
  <c r="BE35" i="4" s="1"/>
  <c r="L8" i="6" s="1"/>
  <c r="M8" i="6" s="1"/>
  <c r="BL35" i="4"/>
  <c r="AO35" i="4"/>
  <c r="L119" i="4"/>
  <c r="M116" i="4" s="1"/>
  <c r="W115" i="4"/>
  <c r="W114" i="4"/>
  <c r="AI119" i="4"/>
  <c r="W117" i="4"/>
  <c r="W110" i="4"/>
  <c r="W109" i="4"/>
  <c r="W113" i="4"/>
  <c r="W111" i="4"/>
  <c r="AJ118" i="4"/>
  <c r="W112" i="4"/>
  <c r="AJ112" i="4"/>
  <c r="BN35" i="4"/>
  <c r="AP35" i="4"/>
  <c r="W116" i="4"/>
  <c r="AJ116" i="4"/>
  <c r="X44" i="4"/>
  <c r="AP44" i="4" s="1"/>
  <c r="AP34" i="4"/>
  <c r="BN34" i="4"/>
  <c r="W118" i="4"/>
  <c r="M113" i="4" l="1"/>
  <c r="M118" i="4"/>
  <c r="M112" i="4"/>
  <c r="X112" i="4"/>
  <c r="BN112" i="4" s="1"/>
  <c r="M115" i="4"/>
  <c r="M114" i="4"/>
  <c r="M111" i="4"/>
  <c r="M109" i="4"/>
  <c r="M110" i="4"/>
  <c r="M117" i="4"/>
  <c r="BL44" i="4"/>
  <c r="BN44" i="4"/>
  <c r="X116" i="4"/>
  <c r="BN116" i="4" s="1"/>
  <c r="X118" i="4"/>
  <c r="BN118" i="4" s="1"/>
  <c r="AO117" i="4"/>
  <c r="BL117" i="4"/>
  <c r="AO112" i="4"/>
  <c r="BL112" i="4"/>
  <c r="AO118" i="4"/>
  <c r="BL118" i="4"/>
  <c r="AO113" i="4"/>
  <c r="BL113" i="4"/>
  <c r="BL116" i="4"/>
  <c r="AO116" i="4"/>
  <c r="AO111" i="4"/>
  <c r="BL111" i="4"/>
  <c r="BL109" i="4"/>
  <c r="AO109" i="4"/>
  <c r="W119" i="4"/>
  <c r="AO119" i="4" s="1"/>
  <c r="BL110" i="4"/>
  <c r="AO110" i="4"/>
  <c r="AO114" i="4"/>
  <c r="BL114" i="4"/>
  <c r="AO115" i="4"/>
  <c r="BL115" i="4"/>
  <c r="AJ119" i="4"/>
  <c r="X114" i="4"/>
  <c r="X115" i="4"/>
  <c r="X110" i="4"/>
  <c r="X111" i="4"/>
  <c r="X113" i="4"/>
  <c r="X117" i="4"/>
  <c r="X109" i="4"/>
  <c r="AP112" i="4" l="1"/>
  <c r="AP118" i="4"/>
  <c r="AP116" i="4"/>
  <c r="BL119" i="4"/>
  <c r="AP111" i="4"/>
  <c r="BN111" i="4"/>
  <c r="AP110" i="4"/>
  <c r="BN110" i="4"/>
  <c r="AP109" i="4"/>
  <c r="X119" i="4"/>
  <c r="AP119" i="4" s="1"/>
  <c r="BN109" i="4"/>
  <c r="BN115" i="4"/>
  <c r="AP115" i="4"/>
  <c r="AP113" i="4"/>
  <c r="BN113" i="4"/>
  <c r="BN117" i="4"/>
  <c r="AP117" i="4"/>
  <c r="AP114" i="4"/>
  <c r="BN114" i="4"/>
  <c r="BN119" i="4" l="1"/>
  <c r="R170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Melody Tsao</author>
  </authors>
  <commentList>
    <comment ref="N2" authorId="0" shapeId="0" xr:uid="{D504D2ED-52CD-4FC6-888D-EB73C03507C2}">
      <text>
        <r>
          <rPr>
            <b/>
            <sz val="9"/>
            <color indexed="81"/>
            <rFont val="Tahoma"/>
            <charset val="1"/>
          </rPr>
          <t>Melody Tsao:</t>
        </r>
        <r>
          <rPr>
            <sz val="9"/>
            <color indexed="81"/>
            <rFont val="Tahoma"/>
            <charset val="1"/>
          </rPr>
          <t xml:space="preserve">
Pulling scaled factors from OBS_Adjustments sheet. Scale factor was calculated as the ratio of BATS Tours/BATS Trips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Lisa Zorn</author>
  </authors>
  <commentList>
    <comment ref="A1" authorId="0" shapeId="0" xr:uid="{8D0F7C5E-86C7-44EC-810A-B893D671DFC7}">
      <text>
        <r>
          <rPr>
            <b/>
            <sz val="9"/>
            <color indexed="81"/>
            <rFont val="Tahoma"/>
            <family val="2"/>
          </rPr>
          <t>Lisa Zorn:</t>
        </r>
        <r>
          <rPr>
            <sz val="9"/>
            <color indexed="81"/>
            <rFont val="Tahoma"/>
            <family val="2"/>
          </rPr>
          <t xml:space="preserve">
Source for this sheet: 
</t>
        </r>
        <r>
          <rPr>
            <b/>
            <sz val="9"/>
            <color indexed="81"/>
            <rFont val="Tahoma"/>
            <family val="2"/>
          </rPr>
          <t xml:space="preserve">Box\Modeling and Surveys\Development\Travel Model 1.5\Calibration\OBS_Summaries\OBS_Summaries_TM1.5 v5.xlsx
</t>
        </r>
        <r>
          <rPr>
            <sz val="9"/>
            <color indexed="81"/>
            <rFont val="Tahoma"/>
            <family val="2"/>
          </rPr>
          <t>(https://mtcdrive.box.com/s/r1vco54lsqp7q5hupszmajxwr4z4gja6)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Worksheet </t>
        </r>
        <r>
          <rPr>
            <b/>
            <sz val="9"/>
            <color indexed="81"/>
            <rFont val="Tahoma"/>
            <family val="2"/>
          </rPr>
          <t>paste_districtTourFlow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<sst xmlns="http://schemas.openxmlformats.org/spreadsheetml/2006/main" count="14306" uniqueCount="371">
  <si>
    <t>Autos &gt;= Workers</t>
  </si>
  <si>
    <t>Total</t>
  </si>
  <si>
    <t>Walk</t>
  </si>
  <si>
    <t>Walk-Transit</t>
  </si>
  <si>
    <t>indiv_joint</t>
  </si>
  <si>
    <t>tour_purpose</t>
  </si>
  <si>
    <t>tour_mode</t>
  </si>
  <si>
    <t>Autos=0</t>
  </si>
  <si>
    <t>Autos&lt;Workers</t>
  </si>
  <si>
    <t>Autos&gt;=Workers</t>
  </si>
  <si>
    <t>indiv</t>
  </si>
  <si>
    <t>atwork_business</t>
  </si>
  <si>
    <t>atwork_eat</t>
  </si>
  <si>
    <t>atwork_maint</t>
  </si>
  <si>
    <t>eatout</t>
  </si>
  <si>
    <t>escort_kids</t>
  </si>
  <si>
    <t>escort_no kids</t>
  </si>
  <si>
    <t>othdiscr</t>
  </si>
  <si>
    <t>othmaint</t>
  </si>
  <si>
    <t>school_grade</t>
  </si>
  <si>
    <t>school_high</t>
  </si>
  <si>
    <t>shopping</t>
  </si>
  <si>
    <t>social</t>
  </si>
  <si>
    <t>university</t>
  </si>
  <si>
    <t>work_high</t>
  </si>
  <si>
    <t>work_low</t>
  </si>
  <si>
    <t>work_med</t>
  </si>
  <si>
    <t>work_very high</t>
  </si>
  <si>
    <t>joint</t>
  </si>
  <si>
    <t>Tour Mode Choice Targets</t>
  </si>
  <si>
    <t>Work</t>
  </si>
  <si>
    <t>Bike</t>
  </si>
  <si>
    <t>Drive Alone</t>
  </si>
  <si>
    <t>SR2</t>
  </si>
  <si>
    <t>SR3+</t>
  </si>
  <si>
    <t>Drive-Transit</t>
  </si>
  <si>
    <t>Taxi</t>
  </si>
  <si>
    <t>Autos &lt; Workers</t>
  </si>
  <si>
    <t>Autos = 0</t>
  </si>
  <si>
    <t>University</t>
  </si>
  <si>
    <t>School</t>
  </si>
  <si>
    <t>Individual Maintenance</t>
  </si>
  <si>
    <t>Individual Discretionary</t>
  </si>
  <si>
    <t>Individual At-Work</t>
  </si>
  <si>
    <t>Mode Simple</t>
  </si>
  <si>
    <t>Walk-Local</t>
  </si>
  <si>
    <t>Walk-LRF</t>
  </si>
  <si>
    <t>Walk-Express</t>
  </si>
  <si>
    <t>Walk-CommRail</t>
  </si>
  <si>
    <t>Walk-HeavyRail</t>
  </si>
  <si>
    <t>Drive-Local</t>
  </si>
  <si>
    <t>Drive-LRF</t>
  </si>
  <si>
    <t>Drive-Express</t>
  </si>
  <si>
    <t>Drive-HeavyRail</t>
  </si>
  <si>
    <t>Drive-CommRail</t>
  </si>
  <si>
    <t>TNC-Single</t>
  </si>
  <si>
    <t>TNC-Shared</t>
  </si>
  <si>
    <t>Mode Long</t>
  </si>
  <si>
    <t>Purpose Simple</t>
  </si>
  <si>
    <t>Tour Mode Choice Model Results</t>
  </si>
  <si>
    <t>Joint</t>
  </si>
  <si>
    <t>Description</t>
  </si>
  <si>
    <t>Walk - Alternative-specific constant - Zero auto</t>
  </si>
  <si>
    <t>indivTour*zeroAutoHh</t>
  </si>
  <si>
    <t>Walk - Alternative-specific constant - Auto deficient</t>
  </si>
  <si>
    <t>indivTour*autoDeficientHh</t>
  </si>
  <si>
    <t>Walk - Alternative-specific constant - Auto sufficient</t>
  </si>
  <si>
    <t>indivTour*autoSufficientHh</t>
  </si>
  <si>
    <t>Bike - Alternative-specific constant - Zero auto</t>
  </si>
  <si>
    <t>Bike - Alternative-specific constant - Auto deficient</t>
  </si>
  <si>
    <t>Bike - Alternative-specific constant - Auto sufficient</t>
  </si>
  <si>
    <t>Shared ride 2 - Alternative-specific constant - Zero auto</t>
  </si>
  <si>
    <t>Shared ride 2 - Alternative-specific constant - Auto deficient</t>
  </si>
  <si>
    <t>Shared ride 2 - Alternative-specific constant - Auto sufficient</t>
  </si>
  <si>
    <t>Shared ride 3+ - Alternative-specific constant - Zero auto</t>
  </si>
  <si>
    <t>Shared ride 3+ - Alternative-specific constant - Auto deficient</t>
  </si>
  <si>
    <t>Shared ride 3+ - Alternative-specific constant - Auto sufficient</t>
  </si>
  <si>
    <t>Walk to Transit - Alternative-specific constant - Zero auto</t>
  </si>
  <si>
    <t>Walk to Transit - Alternative-specific constant - Auto deficient</t>
  </si>
  <si>
    <t>Walk to Transit - Alternative-specific constant - Auto sufficient</t>
  </si>
  <si>
    <t>Drive to Transit  - Alternative-specific constant - Zero auto</t>
  </si>
  <si>
    <t>Drive to Transit  - Alternative-specific constant - Auto deficient</t>
  </si>
  <si>
    <t>Drive to Transit  - Alternative-specific constant - Auto sufficient</t>
  </si>
  <si>
    <t>Walk - Alternative-specific constant - Joint Tours</t>
  </si>
  <si>
    <t>tourCategoryJoint*zeroAutoHh</t>
  </si>
  <si>
    <t>tourCategoryJoint*autoDeficientHh</t>
  </si>
  <si>
    <t>tourCategoryJoint*autoSufficientHh</t>
  </si>
  <si>
    <t>Bike - Alternative-specific constant - Joint Tours</t>
  </si>
  <si>
    <t>Shared ride 2 - Alternative-specific constant - Joint Tours</t>
  </si>
  <si>
    <t>Shared ride 3+ - Alternative-specific constant - Joint Tours</t>
  </si>
  <si>
    <t>Walk to Transit - Alternative-specific constant - Joint Tours</t>
  </si>
  <si>
    <t>Drive to Transit  - Alternative-specific constant - Joint Tours</t>
  </si>
  <si>
    <t>Local bus</t>
  </si>
  <si>
    <t>Light rail - Alternative-specific constant (walk access)</t>
  </si>
  <si>
    <t>walkFerryAvailable==0</t>
  </si>
  <si>
    <t>Light rail - Alternative-specific constant (drive access)</t>
  </si>
  <si>
    <t>driveFerryAvailable==0</t>
  </si>
  <si>
    <t>Ferry - Alternative-specific constant (walk access)</t>
  </si>
  <si>
    <t>walkFerryAvailable==1</t>
  </si>
  <si>
    <t>Ferry - Alternative-specific constant (drive access)</t>
  </si>
  <si>
    <t>driveFerryAvailable==1</t>
  </si>
  <si>
    <t>Express bus - Alternative-specific constant</t>
  </si>
  <si>
    <t xml:space="preserve">Heavy rail - Alternative-specific constant </t>
  </si>
  <si>
    <t xml:space="preserve">Commuter rail - Alternative-specific constant </t>
  </si>
  <si>
    <t>Filter</t>
  </si>
  <si>
    <t>Escort</t>
  </si>
  <si>
    <t>Shopping</t>
  </si>
  <si>
    <t>EatOut</t>
  </si>
  <si>
    <t>OthMaint</t>
  </si>
  <si>
    <t>Social</t>
  </si>
  <si>
    <t>OthDiscr</t>
  </si>
  <si>
    <t>WorkBased</t>
  </si>
  <si>
    <t>Existing Constant</t>
  </si>
  <si>
    <t>Individual Maintenance (Shopping)</t>
  </si>
  <si>
    <t>Individual Discretionary (OthDisc)</t>
  </si>
  <si>
    <t>Individual At-Work (WorkBased)</t>
  </si>
  <si>
    <t>Change in Constant</t>
  </si>
  <si>
    <t>New Constant</t>
  </si>
  <si>
    <t>Autos==0</t>
  </si>
  <si>
    <t>0 &lt; Autos &lt; Workers</t>
  </si>
  <si>
    <t>Shared Ride 2</t>
  </si>
  <si>
    <t>Shared Ride 3+</t>
  </si>
  <si>
    <t>Local</t>
  </si>
  <si>
    <t>Express Bus</t>
  </si>
  <si>
    <t>Heavy Rail</t>
  </si>
  <si>
    <t>Commuter Rail</t>
  </si>
  <si>
    <t>trn_submode</t>
  </si>
  <si>
    <t>CommRail</t>
  </si>
  <si>
    <t>Express</t>
  </si>
  <si>
    <t>Ferry-Walk</t>
  </si>
  <si>
    <t>HeavyRail</t>
  </si>
  <si>
    <t>LRT-Walk</t>
  </si>
  <si>
    <t>Ferry-Drive</t>
  </si>
  <si>
    <t>LRT-Drive</t>
  </si>
  <si>
    <t>Existing</t>
  </si>
  <si>
    <t>Change</t>
  </si>
  <si>
    <t>New</t>
  </si>
  <si>
    <t>(Ind Maint)</t>
  </si>
  <si>
    <t>(Indiv Disc)</t>
  </si>
  <si>
    <t>Target</t>
  </si>
  <si>
    <t>Model</t>
  </si>
  <si>
    <t>All</t>
  </si>
  <si>
    <t>0 Autos</t>
  </si>
  <si>
    <t>Autos&lt;Wrks</t>
  </si>
  <si>
    <t>Autos&gt;=Wrks</t>
  </si>
  <si>
    <t>Autos&lt;=Wrks</t>
  </si>
  <si>
    <t>Shares for Graphing</t>
  </si>
  <si>
    <t>Taxi - Alternative-specific constant - Zero auto</t>
  </si>
  <si>
    <t>Taxi - Alternative-specific constant - Auto deficient</t>
  </si>
  <si>
    <t>Taxi - Alternative-specific constant - Auto sufficient</t>
  </si>
  <si>
    <t>TNC-Single - Alternative-specific constant - Zero auto</t>
  </si>
  <si>
    <t>TNC-Single - Alternative-specific constant - Auto deficient</t>
  </si>
  <si>
    <t>TNC-Single - Alternative-specific constant - Auto sufficient</t>
  </si>
  <si>
    <t>TNC-Shared - Alternative-specific constant - Zero auto</t>
  </si>
  <si>
    <t>TNC-Shared - Alternative-specific constant - Auto deficient</t>
  </si>
  <si>
    <t>TNC-Shared - Alternative-specific constant - Auto sufficient</t>
  </si>
  <si>
    <t>Taxi - Alternative-specific constant - Zero auto - Joint Tours</t>
  </si>
  <si>
    <t>Taxi - Alternative-specific constant - Auto deficient - Joint Tours</t>
  </si>
  <si>
    <t>Taxi - Alternative-specific constant - Auto sufficient - Joint Tours</t>
  </si>
  <si>
    <t>TNC-Single - Alternative-specific constant - Zero auto - Joint Tours</t>
  </si>
  <si>
    <t>TNC-Single - Alternative-specific constant - Auto deficient - Joint Tours</t>
  </si>
  <si>
    <t>TNC-Single - Alternative-specific constant - Auto sufficient - Joint Tours</t>
  </si>
  <si>
    <t>TNC-Shared - Alternative-specific constant - Zero auto - Joint Tours</t>
  </si>
  <si>
    <t>TNC-Shared - Alternative-specific constant - Auto deficient - Joint Tours</t>
  </si>
  <si>
    <t>TNC-Shared - Alternative-specific constant - Auto sufficient - Joint Tours</t>
  </si>
  <si>
    <t>Equivalent IVT</t>
  </si>
  <si>
    <t>Tour Mode Choice Deviation: Model - Target, Percent</t>
  </si>
  <si>
    <t>Tour Mode Choice Targets, Percent</t>
  </si>
  <si>
    <t>Tour Mode Choice Model Results, Percent</t>
  </si>
  <si>
    <t>Tour Mode Choice Deviation: Model - Scaled Target, Absolute</t>
  </si>
  <si>
    <t>Tour Mode Choice Targets, Scaled to match Modeled Segment</t>
  </si>
  <si>
    <t>All Tours</t>
  </si>
  <si>
    <t>Transit Tour Mode Constants Normalized to Local Bus</t>
  </si>
  <si>
    <t>KEY</t>
  </si>
  <si>
    <t>tourPurpose</t>
  </si>
  <si>
    <t>SD_NAME</t>
  </si>
  <si>
    <t>SD</t>
  </si>
  <si>
    <t>Name</t>
  </si>
  <si>
    <t>CR</t>
  </si>
  <si>
    <t>Antioch and Pittsburg</t>
  </si>
  <si>
    <t>Greater Downtown San Francisco</t>
  </si>
  <si>
    <t>Work, work-related</t>
  </si>
  <si>
    <t>EB</t>
  </si>
  <si>
    <t>San Francisco Richmond District</t>
  </si>
  <si>
    <t>University, college</t>
  </si>
  <si>
    <t>FR</t>
  </si>
  <si>
    <t>San Francisco Mission District</t>
  </si>
  <si>
    <t>School, grade school, high school</t>
  </si>
  <si>
    <t>HR</t>
  </si>
  <si>
    <t>San Francisco Sunset District</t>
  </si>
  <si>
    <t>Escorting, shopping, other maintenace</t>
  </si>
  <si>
    <t>LB</t>
  </si>
  <si>
    <t>Daly City and San Bruno</t>
  </si>
  <si>
    <t>Social recreation, eat out, discretionary</t>
  </si>
  <si>
    <t>LR</t>
  </si>
  <si>
    <t>San Mateo and Burlingame</t>
  </si>
  <si>
    <t>At-work</t>
  </si>
  <si>
    <t>Berkeley and Albany</t>
  </si>
  <si>
    <t>Redwood City and Menlo Park</t>
  </si>
  <si>
    <t>Palo Alto and Los Altos</t>
  </si>
  <si>
    <t>Sunnyvale and Mountain View</t>
  </si>
  <si>
    <t>Cupertino and Saratoga</t>
  </si>
  <si>
    <t>mode</t>
  </si>
  <si>
    <t>Central San Jose</t>
  </si>
  <si>
    <t>Milpitas and East San Jose</t>
  </si>
  <si>
    <t>South San Jose</t>
  </si>
  <si>
    <t>Gilroy and Morgan Hill</t>
  </si>
  <si>
    <t>Livermore and Pleasanton</t>
  </si>
  <si>
    <t>Fremont and Union City</t>
  </si>
  <si>
    <t>Hayward and San Leandro</t>
  </si>
  <si>
    <t>Oakland and Alameda</t>
  </si>
  <si>
    <t>Concord and Martinez</t>
  </si>
  <si>
    <t>Richmond and El Cerrito</t>
  </si>
  <si>
    <t>Walnut Creek</t>
  </si>
  <si>
    <t>Danville and San Ramon</t>
  </si>
  <si>
    <t>Vallejo and Benicia</t>
  </si>
  <si>
    <t>Fairfield and Vacaville</t>
  </si>
  <si>
    <t>Napa</t>
  </si>
  <si>
    <t>St Helena</t>
  </si>
  <si>
    <t>Petaluma and Rohnert Park</t>
  </si>
  <si>
    <t>Santa Rosa and Sebastopol</t>
  </si>
  <si>
    <t>Healdsburg and Cloverdale</t>
  </si>
  <si>
    <t>Novato</t>
  </si>
  <si>
    <t>San Rafael</t>
  </si>
  <si>
    <t>Mill Valley and Sausalito</t>
  </si>
  <si>
    <t>included</t>
  </si>
  <si>
    <t>location info not</t>
  </si>
  <si>
    <t>few tours with missing</t>
  </si>
  <si>
    <t>Column Percent</t>
  </si>
  <si>
    <t>Row Percent</t>
  </si>
  <si>
    <t>Counts</t>
  </si>
  <si>
    <t>Select View</t>
  </si>
  <si>
    <t>Total Tours</t>
  </si>
  <si>
    <t>Select Primary Mode</t>
  </si>
  <si>
    <t>Purpose ID</t>
  </si>
  <si>
    <t>Select Purpose</t>
  </si>
  <si>
    <t>Origin District</t>
  </si>
  <si>
    <t>OBS trip Flows in Tour format ( home end is origin)</t>
  </si>
  <si>
    <t>Destination District</t>
  </si>
  <si>
    <t>key</t>
  </si>
  <si>
    <t>orig_SD</t>
  </si>
  <si>
    <t>dest_SD</t>
  </si>
  <si>
    <t>simple_purpose</t>
  </si>
  <si>
    <t>num_tours</t>
  </si>
  <si>
    <t>atwork</t>
  </si>
  <si>
    <t>purpose code</t>
  </si>
  <si>
    <t>ind_disc</t>
  </si>
  <si>
    <t>ind_maint</t>
  </si>
  <si>
    <t>school</t>
  </si>
  <si>
    <t>work</t>
  </si>
  <si>
    <t>mode code</t>
  </si>
  <si>
    <t>Transit Mode</t>
  </si>
  <si>
    <t>Ferry</t>
  </si>
  <si>
    <t>LRT</t>
  </si>
  <si>
    <t>Onboard Survey Counts</t>
  </si>
  <si>
    <t>Primary Mode</t>
  </si>
  <si>
    <t>Model Tours</t>
  </si>
  <si>
    <t>Model minus Onboard Survey Counts (percentage)</t>
  </si>
  <si>
    <t>Model Tours minus Onboard Survey Counts</t>
  </si>
  <si>
    <t>All Purposes</t>
  </si>
  <si>
    <t>Tour Mode Choice Deviation: Model - Target, absolute</t>
  </si>
  <si>
    <t>Tour Mode Choice Deviation: Model - Target, percent</t>
  </si>
  <si>
    <t>Source:</t>
  </si>
  <si>
    <t>accessMode</t>
  </si>
  <si>
    <t>walk</t>
  </si>
  <si>
    <t>Select Access Mode</t>
  </si>
  <si>
    <t>Access  Mode</t>
  </si>
  <si>
    <t>trn_access</t>
  </si>
  <si>
    <t>drive</t>
  </si>
  <si>
    <t>walk-CommRail-Central San Jose-Palo Alto and Los Altos-atwork</t>
  </si>
  <si>
    <t>drive-CommRail-Central San Jose-Sunnyvale and Mountain View-atwork</t>
  </si>
  <si>
    <t>ModeChoice.xls</t>
  </si>
  <si>
    <t>Constant</t>
  </si>
  <si>
    <t>IVT equivalent</t>
  </si>
  <si>
    <t>Observed</t>
  </si>
  <si>
    <t>Modeled</t>
  </si>
  <si>
    <t>Diff - Absolute</t>
  </si>
  <si>
    <t>Diff - Pct</t>
  </si>
  <si>
    <t>All purposes</t>
  </si>
  <si>
    <t>Walk to Transit - Within SF dummy</t>
  </si>
  <si>
    <t>Drive to Transit - Within SF dummy</t>
  </si>
  <si>
    <t>Walk to Transit - to CBD dummy</t>
  </si>
  <si>
    <t>Drive to Transit - to CBD dummy</t>
  </si>
  <si>
    <t>Walk to Transit - to San Francisco dummy</t>
  </si>
  <si>
    <t>Drive to Transit - to San Francisco dummy</t>
  </si>
  <si>
    <t>Walk to Transit - from San Francisco dummy</t>
  </si>
  <si>
    <t>Drive to Transit - from San Francisco dummy</t>
  </si>
  <si>
    <r>
      <t xml:space="preserve">Transit Tours </t>
    </r>
    <r>
      <rPr>
        <b/>
        <sz val="11"/>
        <color theme="8"/>
        <rFont val="Calibri"/>
        <family val="2"/>
        <scheme val="minor"/>
      </rPr>
      <t xml:space="preserve">to/within/from
</t>
    </r>
    <r>
      <rPr>
        <sz val="11"/>
        <color theme="8"/>
        <rFont val="Calibri"/>
        <family val="2"/>
        <scheme val="minor"/>
      </rPr>
      <t>CBD / SF</t>
    </r>
  </si>
  <si>
    <t>Note: the Observed/Modeled totals for "CBD" are not really for the CBD as defined by the model; they're based on the Downtown San Francisco district.</t>
  </si>
  <si>
    <t>all - unweighted</t>
  </si>
  <si>
    <t>tour_mode_label</t>
  </si>
  <si>
    <t>Drive alone</t>
  </si>
  <si>
    <t>Shared ride 2</t>
  </si>
  <si>
    <t>Shared ride 3+</t>
  </si>
  <si>
    <t>Walk to local bus</t>
  </si>
  <si>
    <t>Walk to express bus</t>
  </si>
  <si>
    <t>Walk to heavy rail</t>
  </si>
  <si>
    <t>Walk to commuter rail</t>
  </si>
  <si>
    <t>Drive to local bus</t>
  </si>
  <si>
    <t>Drive to express bus</t>
  </si>
  <si>
    <t>Drive to heavy rail</t>
  </si>
  <si>
    <t>Drive to commuter rail</t>
  </si>
  <si>
    <t>TNC - single party</t>
  </si>
  <si>
    <t>TNC - shared</t>
  </si>
  <si>
    <t>all - weighted</t>
  </si>
  <si>
    <t>solano_napa - unweighted</t>
  </si>
  <si>
    <t>solano_napa - weighted</t>
  </si>
  <si>
    <t>north_bay - unweighted</t>
  </si>
  <si>
    <t>north_bay - weighted</t>
  </si>
  <si>
    <t>Source: M:/Development/Travel Model One/Calibration/Version 1.7/2023_BATS_Summaries/pipeline_mt_20260821_NoMon_rmo/ctramp_2023/BATS_Summaries/BATS2023_tour_mode_summary_unweighted_all</t>
  </si>
  <si>
    <t>Walk to ferry</t>
  </si>
  <si>
    <t>Drive to ferry</t>
  </si>
  <si>
    <t>Source: M:/Development/Travel Model One/Calibration/Version 1.7/2023_BATS_Summaries/pipeline_mt_20260821_NoMon_rmo/ctramp_2023/BATS_Summaries/BATS2023_tour_mode_summary_weighted_all</t>
  </si>
  <si>
    <t>Source: M:/Development/Travel Model One/Calibration/Version 1.7/2023_BATS_Summaries/pipeline_mt_20260821_NoMon_rmo/ctramp_2023/BATS_Summaries/BATS2023_tour_mode_summary_unweighted_solano_napa</t>
  </si>
  <si>
    <t>Source: M:/Development/Travel Model One/Calibration/Version 1.7/2023_BATS_Summaries/pipeline_mt_20260821_NoMon_rmo/ctramp_2023/BATS_Summaries/BATS2023_tour_mode_summary_weighted_solano_napa</t>
  </si>
  <si>
    <t>Source: M:/Development/Travel Model One/Calibration/Version 1.7/2023_BATS_Summaries/pipeline_mt_20260821_NoMon_rmo/ctramp_2023/BATS_Summaries/BATS2023_tour_mode_summary_unweighted_north_bay</t>
  </si>
  <si>
    <t>Source: M:/Development/Travel Model One/Calibration/Version 1.7/2023_BATS_Summaries/pipeline_mt_20260821_NoMon_rmo/ctramp_2023/BATS_Summaries/BATS2023_tour_mode_summary_weighted_north_bay</t>
  </si>
  <si>
    <t>Drive to light rail</t>
  </si>
  <si>
    <t>all-weighted (adjusted) - dropping all drive tours for autos = 0 since CTRAMP does not allow for this</t>
  </si>
  <si>
    <t>orig_superdistrict</t>
  </si>
  <si>
    <t>dest_superdistrict</t>
  </si>
  <si>
    <t>tour_purp</t>
  </si>
  <si>
    <t>response_count</t>
  </si>
  <si>
    <t>weighted_boardings</t>
  </si>
  <si>
    <t>Social recreation</t>
  </si>
  <si>
    <t>Other maintenance</t>
  </si>
  <si>
    <t>High school</t>
  </si>
  <si>
    <t>Missing</t>
  </si>
  <si>
    <t>Other</t>
  </si>
  <si>
    <t>Name - SnapShot Survey</t>
  </si>
  <si>
    <t>Social Recreation</t>
  </si>
  <si>
    <t>Other Maintenance</t>
  </si>
  <si>
    <t>High School</t>
  </si>
  <si>
    <t>1.5.2 Observed</t>
  </si>
  <si>
    <t>2023 Transit Snapshot Survey</t>
  </si>
  <si>
    <t>Source: M:\Development\Travel Model One\Calibration\Version 1.7\2023_snapshot_survey\regional_snapshot_2023_superdistrict_od_by_tour_purpose.csv</t>
  </si>
  <si>
    <t>Transit - to CBD Dummy</t>
  </si>
  <si>
    <t>Transit - to SF Dummy</t>
  </si>
  <si>
    <t>Transit - Within SF Dummy</t>
  </si>
  <si>
    <t>Transit - from SF Dummy</t>
  </si>
  <si>
    <t>School (University &amp; Grade School)</t>
  </si>
  <si>
    <t>Transit Tours to/within/from CBD / SF
(Grouping Access Mode/Purpose to match Snapshot survey)</t>
  </si>
  <si>
    <t>All Purpose</t>
  </si>
  <si>
    <t>TM1.6</t>
  </si>
  <si>
    <t>TM1.7</t>
  </si>
  <si>
    <t>Walk to light rail</t>
  </si>
  <si>
    <t>Source: M:/Development/Travel Model One/Calibration/Version 1.7/2023_BATS_Summaries/pipeline_mt_20260821_NoMon_rmo/ctramp_2023/BATS_Summaries/BATS2023_tour_trip_mode_summary_wide_weighted_all.csv</t>
  </si>
  <si>
    <t>all-weighted (adjusted) - dropping for trips not allowed in the corresponding tour mode based on CTRAMP logic</t>
  </si>
  <si>
    <t>trip_mode_label</t>
  </si>
  <si>
    <t>Tours</t>
  </si>
  <si>
    <t>Trips/Tours</t>
  </si>
  <si>
    <t>Scale Factor</t>
  </si>
  <si>
    <t>Mode</t>
  </si>
  <si>
    <t>Light Rail</t>
  </si>
  <si>
    <t>BATS Trip</t>
  </si>
  <si>
    <t>BATS Tour</t>
  </si>
  <si>
    <t>Snapshot Trips</t>
  </si>
  <si>
    <t>Transit</t>
  </si>
  <si>
    <t>vehicle_tech</t>
  </si>
  <si>
    <t>Local Bus</t>
  </si>
  <si>
    <t>Ferry Boat</t>
  </si>
  <si>
    <t>CTRAMP_tour_purpose</t>
  </si>
  <si>
    <t>Snapshot Scaled Tours</t>
  </si>
  <si>
    <t>All Transit</t>
  </si>
  <si>
    <t>Purpose</t>
  </si>
  <si>
    <t>Maint</t>
  </si>
  <si>
    <t>Discretionary</t>
  </si>
  <si>
    <t>vehicle tech</t>
  </si>
  <si>
    <t>BATS Trips</t>
  </si>
  <si>
    <t>Scaled Observed</t>
  </si>
  <si>
    <t>Snapshot Scaled Tours by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</si>
</sst>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0%;[Red]\-0%"/>
    <numFmt numFmtId="166" formatCode="#,##0.0000_);[Red]\-#,##0.0000_)"/>
    <numFmt numFmtId="167" formatCode="0.0000;[Red]\-0.0000"/>
    <numFmt numFmtId="168" formatCode="0.0"/>
    <numFmt numFmtId="169" formatCode="0.0%"/>
    <numFmt numFmtId="170" formatCode="#,##0;[Red]\-#,##0"/>
    <numFmt numFmtId="171" formatCode="#,##0.00;[Red]\-#,##0.00"/>
    <numFmt numFmtId="172" formatCode="0%;\-0%;\-"/>
    <numFmt numFmtId="173" formatCode="#,##0;\-#,##0;\-"/>
    <numFmt numFmtId="174" formatCode="#,##0_);[Red]\-#,##0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9C650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9"/>
      <color rgb="FFFA7D0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4" fillId="10" borderId="9" applyNumberFormat="0" applyAlignment="0" applyProtection="0"/>
    <xf numFmtId="0" fontId="15" fillId="11" borderId="0" applyNumberFormat="0" applyBorder="0" applyAlignment="0" applyProtection="0"/>
    <xf numFmtId="0" fontId="16" fillId="9" borderId="0" applyNumberFormat="0" applyBorder="0" applyAlignment="0" applyProtection="0"/>
  </cellStyleXfs>
  <cellXfs count="291">
    <xf numFmtId="0" fontId="0" fillId="0" borderId="0" xfId="0"/>
    <xf numFmtId="0" fontId="2" fillId="0" borderId="0" xfId="0" applyFont="1"/>
    <xf numFmtId="0" fontId="3" fillId="0" borderId="0" xfId="0" applyFont="1"/>
    <xf numFmtId="37" fontId="2" fillId="0" borderId="0" xfId="0" applyNumberFormat="1" applyFont="1"/>
    <xf numFmtId="0" fontId="5" fillId="0" borderId="0" xfId="0" applyFont="1"/>
    <xf numFmtId="3" fontId="2" fillId="0" borderId="0" xfId="0" applyNumberFormat="1" applyFont="1"/>
    <xf numFmtId="3" fontId="2" fillId="0" borderId="1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3" fontId="2" fillId="0" borderId="4" xfId="0" applyNumberFormat="1" applyFont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2" fillId="0" borderId="7" xfId="0" applyNumberFormat="1" applyFont="1" applyBorder="1"/>
    <xf numFmtId="3" fontId="2" fillId="0" borderId="8" xfId="0" applyNumberFormat="1" applyFont="1" applyBorder="1"/>
    <xf numFmtId="0" fontId="2" fillId="0" borderId="0" xfId="0" applyFont="1" applyAlignment="1">
      <alignment horizontal="center" wrapText="1"/>
    </xf>
    <xf numFmtId="0" fontId="6" fillId="3" borderId="0" xfId="0" applyFont="1" applyFill="1"/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7" xfId="0" applyFont="1" applyBorder="1"/>
    <xf numFmtId="0" fontId="2" fillId="0" borderId="2" xfId="0" applyFont="1" applyBorder="1"/>
    <xf numFmtId="0" fontId="7" fillId="4" borderId="0" xfId="0" applyFont="1" applyFill="1"/>
    <xf numFmtId="0" fontId="8" fillId="4" borderId="0" xfId="0" applyFont="1" applyFill="1"/>
    <xf numFmtId="9" fontId="2" fillId="0" borderId="1" xfId="0" applyNumberFormat="1" applyFont="1" applyBorder="1"/>
    <xf numFmtId="9" fontId="2" fillId="0" borderId="4" xfId="0" applyNumberFormat="1" applyFont="1" applyBorder="1"/>
    <xf numFmtId="9" fontId="2" fillId="0" borderId="6" xfId="0" applyNumberFormat="1" applyFont="1" applyBorder="1"/>
    <xf numFmtId="9" fontId="2" fillId="0" borderId="0" xfId="0" applyNumberFormat="1" applyFont="1"/>
    <xf numFmtId="9" fontId="2" fillId="0" borderId="2" xfId="0" applyNumberFormat="1" applyFont="1" applyBorder="1"/>
    <xf numFmtId="9" fontId="2" fillId="0" borderId="3" xfId="0" applyNumberFormat="1" applyFont="1" applyBorder="1"/>
    <xf numFmtId="9" fontId="2" fillId="0" borderId="5" xfId="0" applyNumberFormat="1" applyFont="1" applyBorder="1"/>
    <xf numFmtId="9" fontId="2" fillId="0" borderId="7" xfId="0" applyNumberFormat="1" applyFont="1" applyBorder="1"/>
    <xf numFmtId="9" fontId="2" fillId="0" borderId="8" xfId="0" applyNumberFormat="1" applyFont="1" applyBorder="1"/>
    <xf numFmtId="165" fontId="2" fillId="0" borderId="1" xfId="0" applyNumberFormat="1" applyFont="1" applyBorder="1"/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165" fontId="2" fillId="0" borderId="5" xfId="0" applyNumberFormat="1" applyFont="1" applyBorder="1"/>
    <xf numFmtId="165" fontId="2" fillId="0" borderId="6" xfId="0" applyNumberFormat="1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166" fontId="2" fillId="0" borderId="0" xfId="0" applyNumberFormat="1" applyFont="1"/>
    <xf numFmtId="166" fontId="2" fillId="0" borderId="2" xfId="0" applyNumberFormat="1" applyFont="1" applyBorder="1"/>
    <xf numFmtId="166" fontId="2" fillId="0" borderId="7" xfId="0" applyNumberFormat="1" applyFont="1" applyBorder="1"/>
    <xf numFmtId="0" fontId="5" fillId="0" borderId="0" xfId="0" applyFont="1" applyAlignment="1">
      <alignment horizontal="center" wrapText="1"/>
    </xf>
    <xf numFmtId="167" fontId="2" fillId="0" borderId="1" xfId="0" applyNumberFormat="1" applyFont="1" applyBorder="1"/>
    <xf numFmtId="167" fontId="2" fillId="0" borderId="2" xfId="0" applyNumberFormat="1" applyFont="1" applyBorder="1"/>
    <xf numFmtId="167" fontId="2" fillId="0" borderId="3" xfId="0" applyNumberFormat="1" applyFont="1" applyBorder="1"/>
    <xf numFmtId="167" fontId="2" fillId="0" borderId="4" xfId="0" applyNumberFormat="1" applyFont="1" applyBorder="1"/>
    <xf numFmtId="167" fontId="2" fillId="0" borderId="0" xfId="0" applyNumberFormat="1" applyFont="1"/>
    <xf numFmtId="167" fontId="2" fillId="0" borderId="5" xfId="0" applyNumberFormat="1" applyFont="1" applyBorder="1"/>
    <xf numFmtId="167" fontId="2" fillId="0" borderId="6" xfId="0" applyNumberFormat="1" applyFont="1" applyBorder="1"/>
    <xf numFmtId="167" fontId="2" fillId="0" borderId="7" xfId="0" applyNumberFormat="1" applyFont="1" applyBorder="1"/>
    <xf numFmtId="167" fontId="2" fillId="0" borderId="8" xfId="0" applyNumberFormat="1" applyFont="1" applyBorder="1"/>
    <xf numFmtId="168" fontId="2" fillId="5" borderId="0" xfId="0" applyNumberFormat="1" applyFont="1" applyFill="1"/>
    <xf numFmtId="0" fontId="2" fillId="6" borderId="0" xfId="0" applyFont="1" applyFill="1"/>
    <xf numFmtId="0" fontId="7" fillId="4" borderId="0" xfId="0" applyFont="1" applyFill="1" applyAlignment="1">
      <alignment horizontal="center"/>
    </xf>
    <xf numFmtId="0" fontId="9" fillId="0" borderId="0" xfId="0" applyFont="1"/>
    <xf numFmtId="169" fontId="2" fillId="0" borderId="1" xfId="0" applyNumberFormat="1" applyFont="1" applyBorder="1"/>
    <xf numFmtId="169" fontId="2" fillId="0" borderId="2" xfId="0" applyNumberFormat="1" applyFont="1" applyBorder="1"/>
    <xf numFmtId="169" fontId="2" fillId="0" borderId="3" xfId="0" applyNumberFormat="1" applyFont="1" applyBorder="1"/>
    <xf numFmtId="169" fontId="2" fillId="0" borderId="0" xfId="0" applyNumberFormat="1" applyFont="1"/>
    <xf numFmtId="169" fontId="2" fillId="0" borderId="4" xfId="0" applyNumberFormat="1" applyFont="1" applyBorder="1"/>
    <xf numFmtId="169" fontId="2" fillId="0" borderId="5" xfId="0" applyNumberFormat="1" applyFont="1" applyBorder="1"/>
    <xf numFmtId="169" fontId="2" fillId="0" borderId="6" xfId="0" applyNumberFormat="1" applyFont="1" applyBorder="1"/>
    <xf numFmtId="169" fontId="2" fillId="0" borderId="7" xfId="0" applyNumberFormat="1" applyFont="1" applyBorder="1"/>
    <xf numFmtId="169" fontId="2" fillId="0" borderId="8" xfId="0" applyNumberFormat="1" applyFont="1" applyBorder="1"/>
    <xf numFmtId="49" fontId="11" fillId="5" borderId="0" xfId="0" applyNumberFormat="1" applyFont="1" applyFill="1" applyAlignment="1">
      <alignment horizontal="left" vertical="center"/>
    </xf>
    <xf numFmtId="49" fontId="11" fillId="4" borderId="0" xfId="0" applyNumberFormat="1" applyFont="1" applyFill="1" applyAlignment="1">
      <alignment horizontal="left" vertical="center"/>
    </xf>
    <xf numFmtId="49" fontId="11" fillId="5" borderId="7" xfId="0" applyNumberFormat="1" applyFont="1" applyFill="1" applyBorder="1" applyAlignment="1">
      <alignment horizontal="left" vertical="center"/>
    </xf>
    <xf numFmtId="49" fontId="10" fillId="5" borderId="0" xfId="0" applyNumberFormat="1" applyFont="1" applyFill="1" applyAlignment="1">
      <alignment horizontal="left" vertical="center"/>
    </xf>
    <xf numFmtId="49" fontId="10" fillId="4" borderId="0" xfId="0" applyNumberFormat="1" applyFont="1" applyFill="1" applyAlignment="1">
      <alignment horizontal="left" vertical="center"/>
    </xf>
    <xf numFmtId="49" fontId="10" fillId="5" borderId="7" xfId="0" applyNumberFormat="1" applyFont="1" applyFill="1" applyBorder="1" applyAlignment="1">
      <alignment horizontal="left" vertical="center"/>
    </xf>
    <xf numFmtId="170" fontId="2" fillId="0" borderId="7" xfId="0" applyNumberFormat="1" applyFont="1" applyBorder="1"/>
    <xf numFmtId="170" fontId="2" fillId="0" borderId="0" xfId="0" applyNumberFormat="1" applyFont="1"/>
    <xf numFmtId="0" fontId="6" fillId="7" borderId="0" xfId="0" applyFont="1" applyFill="1"/>
    <xf numFmtId="0" fontId="5" fillId="7" borderId="0" xfId="0" applyFont="1" applyFill="1"/>
    <xf numFmtId="166" fontId="2" fillId="7" borderId="0" xfId="0" applyNumberFormat="1" applyFont="1" applyFill="1"/>
    <xf numFmtId="166" fontId="2" fillId="7" borderId="2" xfId="0" applyNumberFormat="1" applyFont="1" applyFill="1" applyBorder="1"/>
    <xf numFmtId="166" fontId="2" fillId="7" borderId="7" xfId="0" applyNumberFormat="1" applyFont="1" applyFill="1" applyBorder="1"/>
    <xf numFmtId="0" fontId="2" fillId="7" borderId="0" xfId="0" applyFont="1" applyFill="1"/>
    <xf numFmtId="0" fontId="2" fillId="7" borderId="2" xfId="0" applyFont="1" applyFill="1" applyBorder="1"/>
    <xf numFmtId="0" fontId="2" fillId="7" borderId="7" xfId="0" applyFont="1" applyFill="1" applyBorder="1"/>
    <xf numFmtId="0" fontId="5" fillId="7" borderId="0" xfId="0" applyFont="1" applyFill="1" applyAlignment="1">
      <alignment horizontal="center" wrapText="1"/>
    </xf>
    <xf numFmtId="170" fontId="2" fillId="0" borderId="1" xfId="0" applyNumberFormat="1" applyFont="1" applyBorder="1"/>
    <xf numFmtId="170" fontId="2" fillId="0" borderId="2" xfId="0" applyNumberFormat="1" applyFont="1" applyBorder="1"/>
    <xf numFmtId="170" fontId="2" fillId="0" borderId="3" xfId="0" applyNumberFormat="1" applyFont="1" applyBorder="1"/>
    <xf numFmtId="170" fontId="2" fillId="0" borderId="4" xfId="0" applyNumberFormat="1" applyFont="1" applyBorder="1"/>
    <xf numFmtId="170" fontId="2" fillId="0" borderId="5" xfId="0" applyNumberFormat="1" applyFont="1" applyBorder="1"/>
    <xf numFmtId="170" fontId="2" fillId="0" borderId="6" xfId="0" applyNumberFormat="1" applyFont="1" applyBorder="1"/>
    <xf numFmtId="170" fontId="2" fillId="0" borderId="8" xfId="0" applyNumberFormat="1" applyFont="1" applyBorder="1"/>
    <xf numFmtId="0" fontId="2" fillId="8" borderId="0" xfId="0" applyFont="1" applyFill="1"/>
    <xf numFmtId="3" fontId="2" fillId="8" borderId="4" xfId="0" applyNumberFormat="1" applyFont="1" applyFill="1" applyBorder="1"/>
    <xf numFmtId="3" fontId="2" fillId="8" borderId="0" xfId="0" applyNumberFormat="1" applyFont="1" applyFill="1"/>
    <xf numFmtId="3" fontId="2" fillId="8" borderId="5" xfId="0" applyNumberFormat="1" applyFont="1" applyFill="1" applyBorder="1"/>
    <xf numFmtId="168" fontId="2" fillId="0" borderId="0" xfId="0" applyNumberFormat="1" applyFont="1"/>
    <xf numFmtId="171" fontId="2" fillId="0" borderId="0" xfId="0" applyNumberFormat="1" applyFont="1"/>
    <xf numFmtId="171" fontId="2" fillId="0" borderId="7" xfId="0" applyNumberFormat="1" applyFont="1" applyBorder="1"/>
    <xf numFmtId="171" fontId="2" fillId="0" borderId="2" xfId="0" applyNumberFormat="1" applyFont="1" applyBorder="1"/>
    <xf numFmtId="0" fontId="17" fillId="10" borderId="9" xfId="4" applyFont="1"/>
    <xf numFmtId="0" fontId="2" fillId="4" borderId="0" xfId="0" applyFont="1" applyFill="1"/>
    <xf numFmtId="0" fontId="18" fillId="4" borderId="0" xfId="0" applyFont="1" applyFill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164" fontId="19" fillId="0" borderId="18" xfId="1" applyNumberFormat="1" applyFont="1" applyBorder="1"/>
    <xf numFmtId="164" fontId="19" fillId="0" borderId="17" xfId="1" applyNumberFormat="1" applyFont="1" applyBorder="1"/>
    <xf numFmtId="164" fontId="19" fillId="0" borderId="16" xfId="1" applyNumberFormat="1" applyFont="1" applyBorder="1"/>
    <xf numFmtId="164" fontId="20" fillId="0" borderId="0" xfId="0" applyNumberFormat="1" applyFont="1"/>
    <xf numFmtId="169" fontId="19" fillId="0" borderId="18" xfId="3" applyNumberFormat="1" applyFont="1" applyBorder="1"/>
    <xf numFmtId="169" fontId="19" fillId="0" borderId="17" xfId="3" applyNumberFormat="1" applyFont="1" applyBorder="1"/>
    <xf numFmtId="169" fontId="19" fillId="0" borderId="16" xfId="3" applyNumberFormat="1" applyFont="1" applyBorder="1"/>
    <xf numFmtId="169" fontId="20" fillId="0" borderId="0" xfId="3" applyNumberFormat="1" applyFont="1"/>
    <xf numFmtId="0" fontId="22" fillId="11" borderId="0" xfId="5" applyFont="1"/>
    <xf numFmtId="0" fontId="22" fillId="0" borderId="0" xfId="5" applyFont="1" applyFill="1"/>
    <xf numFmtId="164" fontId="19" fillId="0" borderId="14" xfId="1" applyNumberFormat="1" applyFont="1" applyBorder="1"/>
    <xf numFmtId="164" fontId="19" fillId="0" borderId="0" xfId="1" applyNumberFormat="1" applyFont="1"/>
    <xf numFmtId="164" fontId="19" fillId="0" borderId="13" xfId="1" applyNumberFormat="1" applyFont="1" applyBorder="1"/>
    <xf numFmtId="169" fontId="19" fillId="0" borderId="14" xfId="3" applyNumberFormat="1" applyFont="1" applyBorder="1"/>
    <xf numFmtId="169" fontId="19" fillId="0" borderId="0" xfId="3" applyNumberFormat="1" applyFont="1"/>
    <xf numFmtId="169" fontId="19" fillId="0" borderId="13" xfId="3" applyNumberFormat="1" applyFont="1" applyBorder="1"/>
    <xf numFmtId="0" fontId="23" fillId="10" borderId="15" xfId="4" applyFont="1" applyBorder="1"/>
    <xf numFmtId="0" fontId="23" fillId="0" borderId="0" xfId="4" applyFont="1" applyFill="1" applyBorder="1"/>
    <xf numFmtId="0" fontId="24" fillId="9" borderId="0" xfId="6" applyFont="1"/>
    <xf numFmtId="0" fontId="24" fillId="0" borderId="0" xfId="6" applyFont="1" applyFill="1"/>
    <xf numFmtId="164" fontId="24" fillId="9" borderId="0" xfId="6" applyNumberFormat="1" applyFont="1"/>
    <xf numFmtId="164" fontId="24" fillId="0" borderId="0" xfId="6" applyNumberFormat="1" applyFont="1" applyFill="1"/>
    <xf numFmtId="0" fontId="25" fillId="0" borderId="0" xfId="2" applyFont="1"/>
    <xf numFmtId="164" fontId="19" fillId="0" borderId="12" xfId="1" applyNumberFormat="1" applyFont="1" applyBorder="1"/>
    <xf numFmtId="164" fontId="19" fillId="0" borderId="11" xfId="1" applyNumberFormat="1" applyFont="1" applyBorder="1"/>
    <xf numFmtId="164" fontId="19" fillId="0" borderId="10" xfId="1" applyNumberFormat="1" applyFont="1" applyBorder="1"/>
    <xf numFmtId="169" fontId="19" fillId="0" borderId="12" xfId="3" applyNumberFormat="1" applyFont="1" applyBorder="1"/>
    <xf numFmtId="169" fontId="19" fillId="0" borderId="11" xfId="3" applyNumberFormat="1" applyFont="1" applyBorder="1"/>
    <xf numFmtId="169" fontId="19" fillId="0" borderId="10" xfId="3" applyNumberFormat="1" applyFont="1" applyBorder="1"/>
    <xf numFmtId="0" fontId="20" fillId="0" borderId="0" xfId="0" applyFont="1" applyAlignment="1">
      <alignment horizontal="right"/>
    </xf>
    <xf numFmtId="0" fontId="19" fillId="4" borderId="0" xfId="0" applyFont="1" applyFill="1"/>
    <xf numFmtId="0" fontId="20" fillId="4" borderId="0" xfId="0" applyFont="1" applyFill="1"/>
    <xf numFmtId="172" fontId="19" fillId="0" borderId="18" xfId="1" applyNumberFormat="1" applyFont="1" applyBorder="1"/>
    <xf numFmtId="172" fontId="19" fillId="0" borderId="17" xfId="1" applyNumberFormat="1" applyFont="1" applyBorder="1"/>
    <xf numFmtId="172" fontId="19" fillId="0" borderId="16" xfId="1" applyNumberFormat="1" applyFont="1" applyBorder="1"/>
    <xf numFmtId="172" fontId="19" fillId="0" borderId="0" xfId="1" applyNumberFormat="1" applyFont="1"/>
    <xf numFmtId="172" fontId="19" fillId="0" borderId="14" xfId="1" applyNumberFormat="1" applyFont="1" applyBorder="1"/>
    <xf numFmtId="172" fontId="19" fillId="0" borderId="13" xfId="1" applyNumberFormat="1" applyFont="1" applyBorder="1"/>
    <xf numFmtId="172" fontId="19" fillId="0" borderId="12" xfId="1" applyNumberFormat="1" applyFont="1" applyBorder="1"/>
    <xf numFmtId="172" fontId="19" fillId="0" borderId="11" xfId="1" applyNumberFormat="1" applyFont="1" applyBorder="1"/>
    <xf numFmtId="172" fontId="19" fillId="0" borderId="10" xfId="1" applyNumberFormat="1" applyFont="1" applyBorder="1"/>
    <xf numFmtId="173" fontId="19" fillId="0" borderId="18" xfId="1" applyNumberFormat="1" applyFont="1" applyBorder="1"/>
    <xf numFmtId="173" fontId="19" fillId="0" borderId="17" xfId="1" applyNumberFormat="1" applyFont="1" applyBorder="1"/>
    <xf numFmtId="173" fontId="19" fillId="0" borderId="16" xfId="1" applyNumberFormat="1" applyFont="1" applyBorder="1"/>
    <xf numFmtId="173" fontId="20" fillId="0" borderId="0" xfId="0" applyNumberFormat="1" applyFont="1"/>
    <xf numFmtId="173" fontId="19" fillId="0" borderId="14" xfId="1" applyNumberFormat="1" applyFont="1" applyBorder="1"/>
    <xf numFmtId="173" fontId="19" fillId="0" borderId="0" xfId="1" applyNumberFormat="1" applyFont="1"/>
    <xf numFmtId="173" fontId="19" fillId="0" borderId="13" xfId="1" applyNumberFormat="1" applyFont="1" applyBorder="1"/>
    <xf numFmtId="173" fontId="19" fillId="0" borderId="12" xfId="1" applyNumberFormat="1" applyFont="1" applyBorder="1"/>
    <xf numFmtId="173" fontId="19" fillId="0" borderId="11" xfId="1" applyNumberFormat="1" applyFont="1" applyBorder="1"/>
    <xf numFmtId="173" fontId="19" fillId="0" borderId="10" xfId="1" applyNumberFormat="1" applyFont="1" applyBorder="1"/>
    <xf numFmtId="0" fontId="26" fillId="10" borderId="9" xfId="4" applyFont="1"/>
    <xf numFmtId="0" fontId="27" fillId="0" borderId="0" xfId="0" applyFont="1"/>
    <xf numFmtId="0" fontId="2" fillId="0" borderId="4" xfId="0" applyFont="1" applyBorder="1"/>
    <xf numFmtId="0" fontId="2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9" fillId="0" borderId="1" xfId="0" applyNumberFormat="1" applyFont="1" applyBorder="1" applyAlignment="1">
      <alignment vertical="center"/>
    </xf>
    <xf numFmtId="174" fontId="10" fillId="0" borderId="3" xfId="0" applyNumberFormat="1" applyFont="1" applyBorder="1"/>
    <xf numFmtId="3" fontId="2" fillId="0" borderId="1" xfId="1" applyNumberFormat="1" applyFont="1" applyBorder="1"/>
    <xf numFmtId="3" fontId="2" fillId="0" borderId="2" xfId="1" applyNumberFormat="1" applyFont="1" applyBorder="1"/>
    <xf numFmtId="166" fontId="29" fillId="0" borderId="4" xfId="0" applyNumberFormat="1" applyFont="1" applyBorder="1" applyAlignment="1">
      <alignment vertical="center"/>
    </xf>
    <xf numFmtId="174" fontId="10" fillId="0" borderId="5" xfId="0" applyNumberFormat="1" applyFont="1" applyBorder="1"/>
    <xf numFmtId="3" fontId="2" fillId="0" borderId="4" xfId="1" applyNumberFormat="1" applyFont="1" applyBorder="1"/>
    <xf numFmtId="3" fontId="2" fillId="0" borderId="0" xfId="1" applyNumberFormat="1" applyFont="1"/>
    <xf numFmtId="166" fontId="29" fillId="0" borderId="6" xfId="0" applyNumberFormat="1" applyFont="1" applyBorder="1" applyAlignment="1">
      <alignment vertical="center"/>
    </xf>
    <xf numFmtId="3" fontId="2" fillId="0" borderId="6" xfId="1" applyNumberFormat="1" applyFont="1" applyBorder="1"/>
    <xf numFmtId="3" fontId="2" fillId="0" borderId="7" xfId="1" applyNumberFormat="1" applyFont="1" applyBorder="1"/>
    <xf numFmtId="174" fontId="10" fillId="0" borderId="2" xfId="0" applyNumberFormat="1" applyFont="1" applyBorder="1"/>
    <xf numFmtId="174" fontId="10" fillId="0" borderId="0" xfId="0" applyNumberFormat="1" applyFont="1"/>
    <xf numFmtId="1" fontId="2" fillId="0" borderId="3" xfId="0" applyNumberFormat="1" applyFont="1" applyBorder="1"/>
    <xf numFmtId="1" fontId="2" fillId="0" borderId="5" xfId="0" applyNumberFormat="1" applyFont="1" applyBorder="1"/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0" borderId="0" xfId="0" applyFont="1" applyAlignment="1">
      <alignment horizontal="right"/>
    </xf>
    <xf numFmtId="10" fontId="2" fillId="0" borderId="0" xfId="0" applyNumberFormat="1" applyFont="1"/>
    <xf numFmtId="10" fontId="2" fillId="8" borderId="0" xfId="0" applyNumberFormat="1" applyFont="1" applyFill="1"/>
    <xf numFmtId="3" fontId="2" fillId="5" borderId="0" xfId="0" applyNumberFormat="1" applyFont="1" applyFill="1"/>
    <xf numFmtId="3" fontId="2" fillId="5" borderId="4" xfId="0" applyNumberFormat="1" applyFont="1" applyFill="1" applyBorder="1"/>
    <xf numFmtId="3" fontId="2" fillId="5" borderId="5" xfId="0" applyNumberFormat="1" applyFont="1" applyFill="1" applyBorder="1"/>
    <xf numFmtId="3" fontId="2" fillId="5" borderId="6" xfId="0" applyNumberFormat="1" applyFont="1" applyFill="1" applyBorder="1"/>
    <xf numFmtId="3" fontId="2" fillId="5" borderId="7" xfId="0" applyNumberFormat="1" applyFont="1" applyFill="1" applyBorder="1"/>
    <xf numFmtId="3" fontId="2" fillId="5" borderId="8" xfId="0" applyNumberFormat="1" applyFont="1" applyFill="1" applyBorder="1"/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right" indent="1"/>
    </xf>
    <xf numFmtId="10" fontId="2" fillId="8" borderId="0" xfId="0" applyNumberFormat="1" applyFont="1" applyFill="1" applyAlignment="1">
      <alignment horizontal="right" indent="1"/>
    </xf>
    <xf numFmtId="3" fontId="2" fillId="0" borderId="0" xfId="1" applyNumberFormat="1" applyFont="1" applyBorder="1"/>
    <xf numFmtId="49" fontId="11" fillId="0" borderId="2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166" fontId="29" fillId="2" borderId="4" xfId="0" applyNumberFormat="1" applyFont="1" applyFill="1" applyBorder="1" applyAlignment="1">
      <alignment vertical="center"/>
    </xf>
    <xf numFmtId="174" fontId="10" fillId="2" borderId="5" xfId="0" applyNumberFormat="1" applyFont="1" applyFill="1" applyBorder="1"/>
    <xf numFmtId="1" fontId="2" fillId="2" borderId="5" xfId="0" applyNumberFormat="1" applyFont="1" applyFill="1" applyBorder="1"/>
    <xf numFmtId="3" fontId="2" fillId="2" borderId="4" xfId="1" applyNumberFormat="1" applyFont="1" applyFill="1" applyBorder="1"/>
    <xf numFmtId="165" fontId="2" fillId="2" borderId="5" xfId="0" applyNumberFormat="1" applyFont="1" applyFill="1" applyBorder="1"/>
    <xf numFmtId="49" fontId="11" fillId="2" borderId="0" xfId="0" applyNumberFormat="1" applyFont="1" applyFill="1" applyAlignment="1">
      <alignment horizontal="left" vertical="center"/>
    </xf>
    <xf numFmtId="174" fontId="10" fillId="2" borderId="0" xfId="0" applyNumberFormat="1" applyFont="1" applyFill="1"/>
    <xf numFmtId="0" fontId="2" fillId="2" borderId="0" xfId="0" applyFont="1" applyFill="1"/>
    <xf numFmtId="3" fontId="2" fillId="2" borderId="0" xfId="1" applyNumberFormat="1" applyFont="1" applyFill="1" applyBorder="1"/>
    <xf numFmtId="170" fontId="2" fillId="2" borderId="0" xfId="0" applyNumberFormat="1" applyFont="1" applyFill="1"/>
    <xf numFmtId="174" fontId="10" fillId="0" borderId="8" xfId="0" applyNumberFormat="1" applyFont="1" applyBorder="1"/>
    <xf numFmtId="174" fontId="10" fillId="0" borderId="7" xfId="0" applyNumberFormat="1" applyFont="1" applyBorder="1"/>
    <xf numFmtId="1" fontId="2" fillId="0" borderId="8" xfId="0" applyNumberFormat="1" applyFont="1" applyBorder="1"/>
    <xf numFmtId="49" fontId="11" fillId="0" borderId="3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2" borderId="5" xfId="0" applyNumberFormat="1" applyFont="1" applyFill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169" fontId="8" fillId="4" borderId="0" xfId="0" applyNumberFormat="1" applyFont="1" applyFill="1"/>
    <xf numFmtId="169" fontId="10" fillId="3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69" fontId="2" fillId="0" borderId="0" xfId="0" applyNumberFormat="1" applyFont="1" applyAlignment="1">
      <alignment horizontal="center" wrapText="1"/>
    </xf>
    <xf numFmtId="169" fontId="2" fillId="0" borderId="0" xfId="0" applyNumberFormat="1" applyFont="1" applyAlignment="1">
      <alignment horizontal="center"/>
    </xf>
    <xf numFmtId="169" fontId="7" fillId="4" borderId="0" xfId="0" applyNumberFormat="1" applyFont="1" applyFill="1"/>
    <xf numFmtId="3" fontId="2" fillId="12" borderId="4" xfId="0" applyNumberFormat="1" applyFont="1" applyFill="1" applyBorder="1"/>
    <xf numFmtId="3" fontId="2" fillId="12" borderId="5" xfId="0" applyNumberFormat="1" applyFont="1" applyFill="1" applyBorder="1"/>
    <xf numFmtId="3" fontId="2" fillId="12" borderId="6" xfId="0" applyNumberFormat="1" applyFont="1" applyFill="1" applyBorder="1"/>
    <xf numFmtId="3" fontId="2" fillId="12" borderId="7" xfId="0" applyNumberFormat="1" applyFont="1" applyFill="1" applyBorder="1"/>
    <xf numFmtId="3" fontId="2" fillId="12" borderId="8" xfId="0" applyNumberFormat="1" applyFont="1" applyFill="1" applyBorder="1"/>
    <xf numFmtId="0" fontId="32" fillId="0" borderId="0" xfId="0" applyFont="1"/>
    <xf numFmtId="3" fontId="0" fillId="0" borderId="0" xfId="0" applyNumberFormat="1"/>
    <xf numFmtId="0" fontId="33" fillId="0" borderId="0" xfId="0" applyFont="1"/>
    <xf numFmtId="0" fontId="33" fillId="0" borderId="0" xfId="0" applyFont="1" applyAlignment="1">
      <alignment horizontal="center" wrapText="1"/>
    </xf>
    <xf numFmtId="3" fontId="33" fillId="0" borderId="0" xfId="0" applyNumberFormat="1" applyFont="1"/>
    <xf numFmtId="0" fontId="33" fillId="0" borderId="0" xfId="0" applyFont="1" applyAlignment="1">
      <alignment horizontal="right" wrapText="1"/>
    </xf>
    <xf numFmtId="0" fontId="33" fillId="0" borderId="0" xfId="0" applyFont="1" applyAlignment="1">
      <alignment horizontal="right"/>
    </xf>
    <xf numFmtId="0" fontId="0" fillId="0" borderId="20" xfId="0" applyBorder="1"/>
    <xf numFmtId="3" fontId="33" fillId="0" borderId="20" xfId="0" applyNumberFormat="1" applyFont="1" applyBorder="1"/>
    <xf numFmtId="0" fontId="33" fillId="0" borderId="20" xfId="0" applyFont="1" applyBorder="1" applyAlignment="1">
      <alignment horizontal="right" wrapText="1"/>
    </xf>
    <xf numFmtId="0" fontId="0" fillId="0" borderId="19" xfId="0" applyBorder="1"/>
    <xf numFmtId="0" fontId="33" fillId="0" borderId="21" xfId="0" applyFont="1" applyBorder="1"/>
    <xf numFmtId="3" fontId="33" fillId="0" borderId="21" xfId="0" applyNumberFormat="1" applyFont="1" applyBorder="1"/>
    <xf numFmtId="3" fontId="33" fillId="0" borderId="19" xfId="0" applyNumberFormat="1" applyFont="1" applyBorder="1"/>
    <xf numFmtId="3" fontId="2" fillId="12" borderId="0" xfId="0" applyNumberFormat="1" applyFont="1" applyFill="1"/>
    <xf numFmtId="0" fontId="34" fillId="0" borderId="0" xfId="0" applyFont="1"/>
    <xf numFmtId="0" fontId="35" fillId="0" borderId="0" xfId="0" applyFont="1"/>
    <xf numFmtId="3" fontId="2" fillId="2" borderId="0" xfId="0" applyNumberFormat="1" applyFont="1" applyFill="1"/>
    <xf numFmtId="0" fontId="2" fillId="0" borderId="3" xfId="0" applyFont="1" applyBorder="1"/>
    <xf numFmtId="0" fontId="2" fillId="0" borderId="5" xfId="0" applyFont="1" applyBorder="1"/>
    <xf numFmtId="0" fontId="2" fillId="2" borderId="5" xfId="0" applyFont="1" applyFill="1" applyBorder="1"/>
    <xf numFmtId="0" fontId="2" fillId="0" borderId="8" xfId="0" applyFont="1" applyBorder="1"/>
    <xf numFmtId="0" fontId="2" fillId="0" borderId="6" xfId="0" applyFont="1" applyBorder="1"/>
    <xf numFmtId="0" fontId="36" fillId="0" borderId="0" xfId="0" applyFont="1"/>
    <xf numFmtId="0" fontId="2" fillId="5" borderId="0" xfId="0" applyFont="1" applyFill="1"/>
    <xf numFmtId="0" fontId="37" fillId="0" borderId="0" xfId="0" applyFont="1"/>
    <xf numFmtId="0" fontId="38" fillId="0" borderId="0" xfId="0" applyFont="1"/>
    <xf numFmtId="0" fontId="38" fillId="0" borderId="19" xfId="0" applyFont="1" applyBorder="1" applyAlignment="1">
      <alignment horizontal="left" wrapText="1"/>
    </xf>
    <xf numFmtId="0" fontId="38" fillId="0" borderId="21" xfId="0" applyFont="1" applyBorder="1" applyAlignment="1">
      <alignment wrapText="1"/>
    </xf>
    <xf numFmtId="0" fontId="38" fillId="0" borderId="19" xfId="0" applyFont="1" applyBorder="1" applyAlignment="1">
      <alignment wrapText="1"/>
    </xf>
    <xf numFmtId="0" fontId="38" fillId="0" borderId="22" xfId="0" applyFont="1" applyBorder="1" applyAlignment="1">
      <alignment horizontal="left"/>
    </xf>
    <xf numFmtId="164" fontId="38" fillId="0" borderId="0" xfId="0" applyNumberFormat="1" applyFont="1"/>
    <xf numFmtId="0" fontId="37" fillId="0" borderId="0" xfId="1" applyNumberFormat="1" applyFont="1"/>
    <xf numFmtId="164" fontId="37" fillId="0" borderId="0" xfId="0" applyNumberFormat="1" applyFont="1"/>
    <xf numFmtId="164" fontId="38" fillId="0" borderId="20" xfId="0" applyNumberFormat="1" applyFont="1" applyBorder="1"/>
    <xf numFmtId="0" fontId="38" fillId="0" borderId="20" xfId="0" applyFont="1" applyBorder="1" applyAlignment="1">
      <alignment horizontal="left"/>
    </xf>
    <xf numFmtId="0" fontId="39" fillId="0" borderId="20" xfId="0" applyFont="1" applyBorder="1" applyAlignment="1">
      <alignment horizontal="left" wrapText="1"/>
    </xf>
    <xf numFmtId="164" fontId="39" fillId="0" borderId="0" xfId="0" applyNumberFormat="1" applyFont="1"/>
    <xf numFmtId="164" fontId="39" fillId="0" borderId="0" xfId="0" applyNumberFormat="1" applyFont="1" applyAlignment="1">
      <alignment vertical="center" wrapText="1"/>
    </xf>
    <xf numFmtId="164" fontId="37" fillId="0" borderId="0" xfId="0" applyNumberFormat="1" applyFont="1" applyAlignment="1">
      <alignment vertical="center" wrapText="1"/>
    </xf>
    <xf numFmtId="0" fontId="37" fillId="0" borderId="0" xfId="0" applyFont="1" applyAlignment="1">
      <alignment vertical="center" wrapText="1"/>
    </xf>
    <xf numFmtId="3" fontId="39" fillId="0" borderId="20" xfId="0" applyNumberFormat="1" applyFont="1" applyBorder="1" applyAlignment="1">
      <alignment horizontal="left"/>
    </xf>
    <xf numFmtId="164" fontId="38" fillId="0" borderId="0" xfId="1" applyNumberFormat="1" applyFont="1" applyFill="1" applyBorder="1"/>
    <xf numFmtId="164" fontId="11" fillId="0" borderId="0" xfId="1" applyNumberFormat="1" applyFont="1" applyFill="1" applyBorder="1"/>
    <xf numFmtId="164" fontId="37" fillId="0" borderId="0" xfId="1" applyNumberFormat="1" applyFont="1" applyFill="1" applyBorder="1"/>
    <xf numFmtId="0" fontId="37" fillId="0" borderId="0" xfId="1" applyNumberFormat="1" applyFont="1" applyFill="1" applyBorder="1"/>
    <xf numFmtId="164" fontId="38" fillId="0" borderId="20" xfId="1" applyNumberFormat="1" applyFont="1" applyFill="1" applyBorder="1"/>
    <xf numFmtId="3" fontId="39" fillId="0" borderId="19" xfId="0" applyNumberFormat="1" applyFont="1" applyBorder="1" applyAlignment="1">
      <alignment horizontal="left"/>
    </xf>
    <xf numFmtId="164" fontId="38" fillId="0" borderId="21" xfId="0" applyNumberFormat="1" applyFont="1" applyBorder="1"/>
    <xf numFmtId="164" fontId="38" fillId="0" borderId="19" xfId="1" applyNumberFormat="1" applyFont="1" applyFill="1" applyBorder="1"/>
    <xf numFmtId="3" fontId="39" fillId="0" borderId="0" xfId="0" applyNumberFormat="1" applyFont="1" applyAlignment="1">
      <alignment horizontal="left"/>
    </xf>
    <xf numFmtId="0" fontId="39" fillId="0" borderId="0" xfId="0" applyFont="1"/>
    <xf numFmtId="3" fontId="39" fillId="0" borderId="0" xfId="0" applyNumberFormat="1" applyFont="1"/>
    <xf numFmtId="43" fontId="38" fillId="0" borderId="0" xfId="0" applyNumberFormat="1" applyFont="1"/>
    <xf numFmtId="0" fontId="38" fillId="0" borderId="0" xfId="0" applyFont="1" applyAlignment="1">
      <alignment wrapText="1"/>
    </xf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0" fontId="20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 textRotation="90" wrapText="1"/>
    </xf>
    <xf numFmtId="0" fontId="21" fillId="8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8" fillId="0" borderId="0" xfId="0" applyFont="1" applyFill="1" applyBorder="1" applyAlignment="1">
      <alignment wrapText="1"/>
    </xf>
  </cellXfs>
  <cellStyles count="7">
    <cellStyle name="Accent5" xfId="5" builtinId="45"/>
    <cellStyle name="Calculation" xfId="4" builtinId="22"/>
    <cellStyle name="Comma" xfId="1" builtinId="3"/>
    <cellStyle name="Hyperlink" xfId="2" builtinId="8"/>
    <cellStyle name="Neutral 2" xfId="6" xr:uid="{FD9A8B0B-C434-4ADF-B9F7-1D98328DB493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Work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calibration_simplemodes!$BH$4:$BO$4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calibration_simplemodes!$BH$5:$BO$5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calibration_simplemodes!$BG$6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calibration_simplemodes!$BH$6:$BO$6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calibration_simplemodes!$BG$7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calibration_simplemodes!$BH$7:$BO$7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calibration_simplemodes!$BG$8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calibration_simplemodes!$BH$8:$BO$8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calibration_simplemodes!$BG$9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calibration_simplemodes!$BH$9:$BO$9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calibration_simplemodes!$BG$10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calibration_simplemodes!$BH$10:$BO$10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calibration_simplemodes!$BG$11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calibration_simplemodes!$BH$2:$BO$3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calibration_simplemodes!$BH$11:$BO$11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calibration_simplemodes!$BG$12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calibration_simplemodes!$BH$12:$BO$12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3-459A-AE25-D4217A8C2214}"/>
            </c:ext>
          </c:extLst>
        </c:ser>
        <c:ser>
          <c:idx val="9"/>
          <c:order val="9"/>
          <c:tx>
            <c:strRef>
              <c:f>calibration_simplemodes!$BG$13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calibration_simplemodes!$BH$13:$BO$13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03-459A-AE25-D4217A8C2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19919116360454947"/>
          <c:h val="0.71044251919905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University</a:t>
            </a:r>
          </a:p>
        </c:rich>
      </c:tx>
      <c:layout>
        <c:manualLayout>
          <c:xMode val="edge"/>
          <c:yMode val="edge"/>
          <c:x val="0.78542344706911638"/>
          <c:y val="0.1086567793483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calibration_simplemodes!$BG$19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calibration_simplemodes!$BH$19:$BO$19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calibration_simplemodes!$BG$20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calibration_simplemodes!$BH$20:$BO$20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calibration_simplemodes!$BG$21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calibration_simplemodes!$BH$21:$BO$21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calibration_simplemodes!$BG$22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calibration_simplemodes!$BH$22:$BO$22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calibration_simplemodes!$BG$23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calibration_simplemodes!$BH$23:$BO$23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calibration_simplemodes!$BG$24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calibration_simplemodes!$BH$24:$BO$24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calibration_simplemodes!$BG$25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calibration_simplemodes!$BH$25:$BO$25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calibration_simplemodes!$BG$26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calibration_simplemodes!$BH$17:$BO$18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calibration_simplemodes!$BH$26:$BO$26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calibration_simplemodes!$BG$27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calibration_simplemodes!$BH$27:$BO$27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B-4EF7-8504-9DBDA89309B4}"/>
            </c:ext>
          </c:extLst>
        </c:ser>
        <c:ser>
          <c:idx val="9"/>
          <c:order val="9"/>
          <c:tx>
            <c:strRef>
              <c:f>calibration_simplemodes!$BG$28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calibration_simplemodes!$BH$28:$BO$28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AB-4EF7-8504-9DBDA8930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19913451443569552"/>
          <c:h val="0.71044240910052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School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calibration_simplemodes!$BG$34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calibration_simplemodes!$BH$34:$BO$34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calibration_simplemodes!$BG$35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calibration_simplemodes!$BH$35:$BO$35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calibration_simplemodes!$BG$36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calibration_simplemodes!$BH$36:$BO$36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calibration_simplemodes!$BG$37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calibration_simplemodes!$BH$37:$BO$37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calibration_simplemodes!$BG$38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calibration_simplemodes!$BH$38:$BO$38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calibration_simplemodes!$BG$39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calibration_simplemodes!$BH$39:$BO$39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calibration_simplemodes!$BG$40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calibration_simplemodes!$BH$40:$BO$40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calibration_simplemodes!$BG$41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calibration_simplemodes!$BH$32:$BO$33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calibration_simplemodes!$BH$41:$BO$41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calibration_simplemodes!$BG$42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calibration_simplemodes!$BH$42:$BO$42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7-4CD6-8D98-D06F04AF4AC5}"/>
            </c:ext>
          </c:extLst>
        </c:ser>
        <c:ser>
          <c:idx val="9"/>
          <c:order val="9"/>
          <c:tx>
            <c:strRef>
              <c:f>calibration_simplemodes!$BG$43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calibration_simplemodes!$BH$43:$BO$43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67-4CD6-8D98-D06F04AF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20469006999125108"/>
          <c:h val="0.710442409100529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Individual</a:t>
            </a:r>
            <a:br>
              <a:rPr lang="en-US" sz="1200" b="1">
                <a:solidFill>
                  <a:schemeClr val="accent5"/>
                </a:solidFill>
              </a:rPr>
            </a:br>
            <a:r>
              <a:rPr lang="en-US" sz="1200" b="1">
                <a:solidFill>
                  <a:schemeClr val="accent5"/>
                </a:solidFill>
              </a:rPr>
              <a:t>Maintenance</a:t>
            </a: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calibration_simplemodes!$BG$49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calibration_simplemodes!$BH$49:$BO$49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calibration_simplemodes!$BG$50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calibration_simplemodes!$BH$50:$BO$50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calibration_simplemodes!$BG$51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calibration_simplemodes!$BH$51:$BO$51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calibration_simplemodes!$BG$52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calibration_simplemodes!$BH$52:$BO$52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calibration_simplemodes!$BG$53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calibration_simplemodes!$BH$53:$BO$53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calibration_simplemodes!$BG$54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calibration_simplemodes!$BH$54:$BO$54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calibration_simplemodes!$BG$55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calibration_simplemodes!$BH$55:$BO$55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calibration_simplemodes!$BG$56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calibration_simplemodes!$BH$47:$BO$48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calibration_simplemodes!$BH$56:$BO$56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calibration_simplemodes!$BG$57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calibration_simplemodes!$BH$57:$BO$57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9-42C8-AC11-8938F2E99B4C}"/>
            </c:ext>
          </c:extLst>
        </c:ser>
        <c:ser>
          <c:idx val="9"/>
          <c:order val="9"/>
          <c:tx>
            <c:strRef>
              <c:f>calibration_simplemodes!$BG$58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calibration_simplemodes!$BH$58:$BO$58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E9-42C8-AC11-8938F2E99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20191229221347329"/>
          <c:h val="0.710442407640710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Individual</a:t>
            </a:r>
            <a:br>
              <a:rPr lang="en-US" sz="1200" b="1">
                <a:solidFill>
                  <a:schemeClr val="accent5"/>
                </a:solidFill>
              </a:rPr>
            </a:br>
            <a:r>
              <a:rPr lang="en-US" sz="1200" b="1">
                <a:solidFill>
                  <a:schemeClr val="accent5"/>
                </a:solidFill>
              </a:rPr>
              <a:t>Discretionary</a:t>
            </a: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calibration_simplemodes!$BG$64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calibration_simplemodes!$BH$64:$BO$64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calibration_simplemodes!$BG$65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calibration_simplemodes!$BH$65:$BO$65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calibration_simplemodes!$BG$66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calibration_simplemodes!$BH$66:$BO$66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calibration_simplemodes!$BG$67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calibration_simplemodes!$BH$67:$BO$67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calibration_simplemodes!$BG$68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calibration_simplemodes!$BH$68:$BO$68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calibration_simplemodes!$BG$69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calibration_simplemodes!$BH$69:$BO$69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calibration_simplemodes!$BG$70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calibration_simplemodes!$BH$70:$BO$70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calibration_simplemodes!$BG$71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calibration_simplemodes!$BH$71:$BO$71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calibration_simplemodes!$BH$62:$BO$63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calibration_simplemodes!$BH$74:$BO$74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4F1-4C20-9EF1-A9010DE366AB}"/>
            </c:ext>
          </c:extLst>
        </c:ser>
        <c:ser>
          <c:idx val="9"/>
          <c:order val="9"/>
          <c:tx>
            <c:strRef>
              <c:f>calibration_simplemodes!$BG$72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calibration_simplemodes!$BH$72:$BO$72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C-475C-8991-F594D9CA5DE4}"/>
            </c:ext>
          </c:extLst>
        </c:ser>
        <c:ser>
          <c:idx val="10"/>
          <c:order val="10"/>
          <c:tx>
            <c:strRef>
              <c:f>calibration_simplemodes!$BG$73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calibration_simplemodes!$BH$73:$BO$73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C-475C-8991-F594D9CA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19357895888013996"/>
          <c:h val="0.71044251919905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At-Work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calibration_simplemodes!$BG$79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calibration_simplemodes!$BH$79:$BO$79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calibration_simplemodes!$BG$80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calibration_simplemodes!$BH$80:$BO$80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calibration_simplemodes!$BG$81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calibration_simplemodes!$BH$81:$BO$81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calibration_simplemodes!$BG$82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calibration_simplemodes!$BH$82:$BO$82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calibration_simplemodes!$BG$83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calibration_simplemodes!$BH$83:$BO$83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calibration_simplemodes!$BG$84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calibration_simplemodes!$BH$84:$BO$84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calibration_simplemodes!$BG$85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calibration_simplemodes!$BH$85:$BO$85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calibration_simplemodes!$BG$86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calibration_simplemodes!$BH$77:$BO$78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calibration_simplemodes!$BH$86:$BO$86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calibration_simplemodes!$BG$87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calibration_simplemodes!$BH$87:$BO$87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E-483A-930F-89D4F4BE302D}"/>
            </c:ext>
          </c:extLst>
        </c:ser>
        <c:ser>
          <c:idx val="9"/>
          <c:order val="9"/>
          <c:tx>
            <c:strRef>
              <c:f>calibration_simplemodes!$BG$88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calibration_simplemodes!$BH$88:$BO$88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E-483A-930F-89D4F4BE3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19633814523184601"/>
          <c:h val="0.7104424844420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Joint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calibration_simplemodes!$BG$94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calibration_simplemodes!$BH$94:$BO$94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calibration_simplemodes!$BG$95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calibration_simplemodes!$BH$95:$BO$95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calibration_simplemodes!$BG$96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calibration_simplemodes!$BH$96:$BO$96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calibration_simplemodes!$BG$97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calibration_simplemodes!$BH$97:$BO$97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calibration_simplemodes!$BG$98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calibration_simplemodes!$BH$98:$BO$98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calibration_simplemodes!$BG$99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calibration_simplemodes!$BH$99:$BO$99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calibration_simplemodes!$BG$100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calibration_simplemodes!$BH$100:$BO$100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calibration_simplemodes!$BG$101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calibration_simplemodes!$BH$92:$BO$93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calibration_simplemodes!$BH$101:$BO$101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calibration_simplemodes!$BG$102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calibration_simplemodes!$BH$102:$BO$102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1-42D2-AAD5-62A040F442C5}"/>
            </c:ext>
          </c:extLst>
        </c:ser>
        <c:ser>
          <c:idx val="9"/>
          <c:order val="9"/>
          <c:tx>
            <c:strRef>
              <c:f>calibration_simplemodes!$BG$103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calibration_simplemodes!$BH$103:$BO$103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1-42D2-AAD5-62A040F44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28955781568970546"/>
          <c:w val="0.19633814523184601"/>
          <c:h val="0.7104423842181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All Tours</a:t>
            </a:r>
          </a:p>
        </c:rich>
      </c:tx>
      <c:layout>
        <c:manualLayout>
          <c:xMode val="edge"/>
          <c:yMode val="edge"/>
          <c:x val="0.81042344706911629"/>
          <c:y val="9.2592592592592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7.0865298464197993E-2"/>
          <c:w val="0.65931692913385831"/>
          <c:h val="0.5390591236336421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calibration_simplemodes!$BG$109</c:f>
              <c:strCache>
                <c:ptCount val="1"/>
                <c:pt idx="0">
                  <c:v>Walk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calibration_simplemodes!$BH$109:$BO$109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5-434C-AFEB-49421B198392}"/>
            </c:ext>
          </c:extLst>
        </c:ser>
        <c:ser>
          <c:idx val="1"/>
          <c:order val="1"/>
          <c:tx>
            <c:strRef>
              <c:f>calibration_simplemodes!$BG$110</c:f>
              <c:strCache>
                <c:ptCount val="1"/>
                <c:pt idx="0">
                  <c:v>Bike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calibration_simplemodes!$BH$110:$BO$110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5-434C-AFEB-49421B198392}"/>
            </c:ext>
          </c:extLst>
        </c:ser>
        <c:ser>
          <c:idx val="2"/>
          <c:order val="2"/>
          <c:tx>
            <c:strRef>
              <c:f>calibration_simplemodes!$BG$111</c:f>
              <c:strCache>
                <c:ptCount val="1"/>
                <c:pt idx="0">
                  <c:v>Drive Alone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calibration_simplemodes!$BH$111:$BO$111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85-434C-AFEB-49421B198392}"/>
            </c:ext>
          </c:extLst>
        </c:ser>
        <c:ser>
          <c:idx val="3"/>
          <c:order val="3"/>
          <c:tx>
            <c:strRef>
              <c:f>calibration_simplemodes!$BG$112</c:f>
              <c:strCache>
                <c:ptCount val="1"/>
                <c:pt idx="0">
                  <c:v>Shared Ride 2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calibration_simplemodes!$BH$112:$BO$112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85-434C-AFEB-49421B198392}"/>
            </c:ext>
          </c:extLst>
        </c:ser>
        <c:ser>
          <c:idx val="4"/>
          <c:order val="4"/>
          <c:tx>
            <c:strRef>
              <c:f>calibration_simplemodes!$BG$113</c:f>
              <c:strCache>
                <c:ptCount val="1"/>
                <c:pt idx="0">
                  <c:v>Shared Ride 3+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calibration_simplemodes!$BH$113:$BO$113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85-434C-AFEB-49421B198392}"/>
            </c:ext>
          </c:extLst>
        </c:ser>
        <c:ser>
          <c:idx val="5"/>
          <c:order val="5"/>
          <c:tx>
            <c:strRef>
              <c:f>calibration_simplemodes!$BG$114</c:f>
              <c:strCache>
                <c:ptCount val="1"/>
                <c:pt idx="0">
                  <c:v>Walk-Transit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calibration_simplemodes!$BH$114:$BO$114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85-434C-AFEB-49421B198392}"/>
            </c:ext>
          </c:extLst>
        </c:ser>
        <c:ser>
          <c:idx val="6"/>
          <c:order val="6"/>
          <c:tx>
            <c:strRef>
              <c:f>calibration_simplemodes!$BG$115</c:f>
              <c:strCache>
                <c:ptCount val="1"/>
                <c:pt idx="0">
                  <c:v>Drive-Transit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calibration_simplemodes!$BH$115:$BO$115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85-434C-AFEB-49421B198392}"/>
            </c:ext>
          </c:extLst>
        </c:ser>
        <c:ser>
          <c:idx val="7"/>
          <c:order val="7"/>
          <c:tx>
            <c:strRef>
              <c:f>calibration_simplemodes!$BG$116</c:f>
              <c:strCache>
                <c:ptCount val="1"/>
                <c:pt idx="0">
                  <c:v>Taxi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calibration_simplemodes!$BH$116:$BO$116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85-434C-AFEB-49421B198392}"/>
            </c:ext>
          </c:extLst>
        </c:ser>
        <c:ser>
          <c:idx val="8"/>
          <c:order val="8"/>
          <c:tx>
            <c:strRef>
              <c:f>calibration_simplemodes!$BG$117</c:f>
              <c:strCache>
                <c:ptCount val="1"/>
                <c:pt idx="0">
                  <c:v>TNC-Single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calibration_simplemodes!$BH$117:$BO$117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23F-4E5D-8AB2-86FFE037B98C}"/>
            </c:ext>
          </c:extLst>
        </c:ser>
        <c:ser>
          <c:idx val="9"/>
          <c:order val="9"/>
          <c:tx>
            <c:strRef>
              <c:f>calibration_simplemodes!$BG$118</c:f>
              <c:strCache>
                <c:ptCount val="1"/>
                <c:pt idx="0">
                  <c:v>TNC-Shared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calibration_simplemodes!$BH$107:$BO$108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calibration_simplemodes!$BH$118:$BO$118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3F-4E5D-8AB2-86FFE037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86627952"/>
        <c:axId val="586670352"/>
      </c:barChart>
      <c:catAx>
        <c:axId val="98662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0352"/>
        <c:crosses val="autoZero"/>
        <c:auto val="1"/>
        <c:lblAlgn val="ctr"/>
        <c:lblOffset val="100"/>
        <c:tickLblSkip val="1"/>
        <c:noMultiLvlLbl val="0"/>
      </c:catAx>
      <c:valAx>
        <c:axId val="5866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66185476815397"/>
          <c:y val="0.19233559346748322"/>
          <c:w val="0.19633814523184601"/>
          <c:h val="0.659516258384368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Work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calibration_trnsubmodes!$AP$4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calibration_trnsubmodes!$AQ$4:$AX$4</c:f>
              <c:numCache>
                <c:formatCode>0.0%</c:formatCode>
                <c:ptCount val="8"/>
                <c:pt idx="0">
                  <c:v>0.62415607444932042</c:v>
                </c:pt>
                <c:pt idx="1">
                  <c:v>0</c:v>
                </c:pt>
                <c:pt idx="2">
                  <c:v>0.31071629002519863</c:v>
                </c:pt>
                <c:pt idx="3">
                  <c:v>0</c:v>
                </c:pt>
                <c:pt idx="4">
                  <c:v>0.30890753041632163</c:v>
                </c:pt>
                <c:pt idx="5">
                  <c:v>0</c:v>
                </c:pt>
                <c:pt idx="6">
                  <c:v>0.3958719163628342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E-4D81-A078-E258F0C45FCF}"/>
            </c:ext>
          </c:extLst>
        </c:ser>
        <c:ser>
          <c:idx val="1"/>
          <c:order val="1"/>
          <c:tx>
            <c:strRef>
              <c:f>calibration_trnsubmodes!$AP$5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calibration_trnsubmodes!$AQ$5:$AX$5</c:f>
              <c:numCache>
                <c:formatCode>0.0%</c:formatCode>
                <c:ptCount val="8"/>
                <c:pt idx="0">
                  <c:v>0.1561949656164032</c:v>
                </c:pt>
                <c:pt idx="1">
                  <c:v>0</c:v>
                </c:pt>
                <c:pt idx="2">
                  <c:v>0.11875346055129272</c:v>
                </c:pt>
                <c:pt idx="3">
                  <c:v>0</c:v>
                </c:pt>
                <c:pt idx="4">
                  <c:v>4.923529641216029E-2</c:v>
                </c:pt>
                <c:pt idx="5">
                  <c:v>0</c:v>
                </c:pt>
                <c:pt idx="6">
                  <c:v>9.4897071011141351E-2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CE-4D81-A078-E258F0C45FCF}"/>
            </c:ext>
          </c:extLst>
        </c:ser>
        <c:ser>
          <c:idx val="2"/>
          <c:order val="2"/>
          <c:tx>
            <c:strRef>
              <c:f>calibration_trnsubmodes!$AP$6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calibration_trnsubmodes!$AQ$6:$AX$6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4.4620394304297206E-3</c:v>
                </c:pt>
                <c:pt idx="3">
                  <c:v>0</c:v>
                </c:pt>
                <c:pt idx="4">
                  <c:v>5.0017311908453254E-3</c:v>
                </c:pt>
                <c:pt idx="5">
                  <c:v>0</c:v>
                </c:pt>
                <c:pt idx="6">
                  <c:v>3.5021430251559985E-3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CE-4D81-A078-E258F0C45FCF}"/>
            </c:ext>
          </c:extLst>
        </c:ser>
        <c:ser>
          <c:idx val="3"/>
          <c:order val="3"/>
          <c:tx>
            <c:strRef>
              <c:f>calibration_trnsubmodes!$AP$7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calibration_trnsubmodes!$AQ$7:$AX$7</c:f>
              <c:numCache>
                <c:formatCode>0.0%</c:formatCode>
                <c:ptCount val="8"/>
                <c:pt idx="0">
                  <c:v>3.2909708547768036E-4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7.1625097931760301E-3</c:v>
                </c:pt>
                <c:pt idx="5">
                  <c:v>0</c:v>
                </c:pt>
                <c:pt idx="6">
                  <c:v>3.6072584937495772E-3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CE-4D81-A078-E258F0C45FCF}"/>
            </c:ext>
          </c:extLst>
        </c:ser>
        <c:ser>
          <c:idx val="4"/>
          <c:order val="4"/>
          <c:tx>
            <c:strRef>
              <c:f>calibration_trnsubmodes!$AP$8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calibration_trnsubmodes!$AQ$8:$AX$8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5.0503101840784319E-3</c:v>
                </c:pt>
                <c:pt idx="5">
                  <c:v>0</c:v>
                </c:pt>
                <c:pt idx="6">
                  <c:v>2.4797899241439055E-3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CE-4D81-A078-E258F0C45FCF}"/>
            </c:ext>
          </c:extLst>
        </c:ser>
        <c:ser>
          <c:idx val="5"/>
          <c:order val="5"/>
          <c:tx>
            <c:strRef>
              <c:f>calibration_trnsubmodes!$AP$9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calibration_trnsubmodes!$AQ$9:$AX$9</c:f>
              <c:numCache>
                <c:formatCode>0.0%</c:formatCode>
                <c:ptCount val="8"/>
                <c:pt idx="0">
                  <c:v>1.3518760443364784E-2</c:v>
                </c:pt>
                <c:pt idx="1">
                  <c:v>0</c:v>
                </c:pt>
                <c:pt idx="2">
                  <c:v>2.8746682381684172E-3</c:v>
                </c:pt>
                <c:pt idx="3">
                  <c:v>0</c:v>
                </c:pt>
                <c:pt idx="4">
                  <c:v>5.5732391387601908E-2</c:v>
                </c:pt>
                <c:pt idx="5">
                  <c:v>0</c:v>
                </c:pt>
                <c:pt idx="6">
                  <c:v>3.1750684806739371E-2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CE-4D81-A078-E258F0C45FCF}"/>
            </c:ext>
          </c:extLst>
        </c:ser>
        <c:ser>
          <c:idx val="6"/>
          <c:order val="6"/>
          <c:tx>
            <c:strRef>
              <c:f>calibration_trnsubmodes!$AP$10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calibration_trnsubmodes!$AQ$10:$AX$10</c:f>
              <c:numCache>
                <c:formatCode>0.0%</c:formatCode>
                <c:ptCount val="8"/>
                <c:pt idx="0">
                  <c:v>0.10445107012088589</c:v>
                </c:pt>
                <c:pt idx="1">
                  <c:v>0</c:v>
                </c:pt>
                <c:pt idx="2">
                  <c:v>0.4770490913548846</c:v>
                </c:pt>
                <c:pt idx="3">
                  <c:v>0</c:v>
                </c:pt>
                <c:pt idx="4">
                  <c:v>0.3680633996558425</c:v>
                </c:pt>
                <c:pt idx="5">
                  <c:v>0</c:v>
                </c:pt>
                <c:pt idx="6">
                  <c:v>0.32125167464698834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CE-4D81-A078-E258F0C45FCF}"/>
            </c:ext>
          </c:extLst>
        </c:ser>
        <c:ser>
          <c:idx val="7"/>
          <c:order val="7"/>
          <c:tx>
            <c:strRef>
              <c:f>calibration_trnsubmodes!$AP$11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calibration_trnsubmodes!$AQ$2:$AX$3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calibration_trnsubmodes!$AQ$11:$AX$11</c:f>
              <c:numCache>
                <c:formatCode>0.0%</c:formatCode>
                <c:ptCount val="8"/>
                <c:pt idx="0">
                  <c:v>0.10135003228454791</c:v>
                </c:pt>
                <c:pt idx="1">
                  <c:v>0</c:v>
                </c:pt>
                <c:pt idx="2">
                  <c:v>8.6144450400025954E-2</c:v>
                </c:pt>
                <c:pt idx="3">
                  <c:v>0</c:v>
                </c:pt>
                <c:pt idx="4">
                  <c:v>0.20084683095997391</c:v>
                </c:pt>
                <c:pt idx="5">
                  <c:v>0</c:v>
                </c:pt>
                <c:pt idx="6">
                  <c:v>0.14663946172924724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CE-4D81-A078-E258F0C45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4628509671585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University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calibration_trnsubmodes!$AP$17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calibration_trnsubmodes!$AQ$17:$AX$17</c:f>
              <c:numCache>
                <c:formatCode>0.0%</c:formatCode>
                <c:ptCount val="8"/>
                <c:pt idx="0">
                  <c:v>0.9024795900777105</c:v>
                </c:pt>
                <c:pt idx="1">
                  <c:v>0</c:v>
                </c:pt>
                <c:pt idx="2">
                  <c:v>1.6248929721934119E-2</c:v>
                </c:pt>
                <c:pt idx="3">
                  <c:v>0</c:v>
                </c:pt>
                <c:pt idx="4">
                  <c:v>0.28737240403033709</c:v>
                </c:pt>
                <c:pt idx="5">
                  <c:v>0</c:v>
                </c:pt>
                <c:pt idx="6">
                  <c:v>0.74510930851334267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3-4F9C-828E-4770B5EBFA25}"/>
            </c:ext>
          </c:extLst>
        </c:ser>
        <c:ser>
          <c:idx val="1"/>
          <c:order val="1"/>
          <c:tx>
            <c:strRef>
              <c:f>calibration_trnsubmodes!$AP$18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calibration_trnsubmodes!$AQ$18:$AX$18</c:f>
              <c:numCache>
                <c:formatCode>0.0%</c:formatCode>
                <c:ptCount val="8"/>
                <c:pt idx="0">
                  <c:v>7.1066171979188034E-2</c:v>
                </c:pt>
                <c:pt idx="1">
                  <c:v>0</c:v>
                </c:pt>
                <c:pt idx="2">
                  <c:v>2.0463839165625806E-2</c:v>
                </c:pt>
                <c:pt idx="3">
                  <c:v>0</c:v>
                </c:pt>
                <c:pt idx="4">
                  <c:v>0.35505385187291927</c:v>
                </c:pt>
                <c:pt idx="5">
                  <c:v>0</c:v>
                </c:pt>
                <c:pt idx="6">
                  <c:v>7.3375681649690064E-2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B3-4F9C-828E-4770B5EBFA25}"/>
            </c:ext>
          </c:extLst>
        </c:ser>
        <c:ser>
          <c:idx val="2"/>
          <c:order val="2"/>
          <c:tx>
            <c:strRef>
              <c:f>calibration_trnsubmodes!$AP$19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calibration_trnsubmodes!$AQ$19:$AX$19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3-4F9C-828E-4770B5EBFA25}"/>
            </c:ext>
          </c:extLst>
        </c:ser>
        <c:ser>
          <c:idx val="3"/>
          <c:order val="3"/>
          <c:tx>
            <c:strRef>
              <c:f>calibration_trnsubmodes!$AP$20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calibration_trnsubmodes!$AQ$20:$AX$20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B3-4F9C-828E-4770B5EBFA25}"/>
            </c:ext>
          </c:extLst>
        </c:ser>
        <c:ser>
          <c:idx val="4"/>
          <c:order val="4"/>
          <c:tx>
            <c:strRef>
              <c:f>calibration_trnsubmodes!$AP$21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calibration_trnsubmodes!$AQ$21:$AX$21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B3-4F9C-828E-4770B5EBFA25}"/>
            </c:ext>
          </c:extLst>
        </c:ser>
        <c:ser>
          <c:idx val="5"/>
          <c:order val="5"/>
          <c:tx>
            <c:strRef>
              <c:f>calibration_trnsubmodes!$AP$22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calibration_trnsubmodes!$AQ$22:$AX$22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B3-4F9C-828E-4770B5EBFA25}"/>
            </c:ext>
          </c:extLst>
        </c:ser>
        <c:ser>
          <c:idx val="6"/>
          <c:order val="6"/>
          <c:tx>
            <c:strRef>
              <c:f>calibration_trnsubmodes!$AP$23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calibration_trnsubmodes!$AQ$23:$AX$23</c:f>
              <c:numCache>
                <c:formatCode>0.0%</c:formatCode>
                <c:ptCount val="8"/>
                <c:pt idx="0">
                  <c:v>2.6454237943101418E-2</c:v>
                </c:pt>
                <c:pt idx="1">
                  <c:v>0</c:v>
                </c:pt>
                <c:pt idx="2">
                  <c:v>0.85257667729298525</c:v>
                </c:pt>
                <c:pt idx="3">
                  <c:v>0</c:v>
                </c:pt>
                <c:pt idx="4">
                  <c:v>0.25701857376886666</c:v>
                </c:pt>
                <c:pt idx="5">
                  <c:v>0</c:v>
                </c:pt>
                <c:pt idx="6">
                  <c:v>0.16101646967362371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B3-4F9C-828E-4770B5EBFA25}"/>
            </c:ext>
          </c:extLst>
        </c:ser>
        <c:ser>
          <c:idx val="7"/>
          <c:order val="7"/>
          <c:tx>
            <c:strRef>
              <c:f>calibration_trnsubmodes!$AP$24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calibration_trnsubmodes!$AQ$15:$AX$16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calibration_trnsubmodes!$AQ$24:$AX$24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0.11071055381945481</c:v>
                </c:pt>
                <c:pt idx="3">
                  <c:v>0</c:v>
                </c:pt>
                <c:pt idx="4">
                  <c:v>0.10055517032787695</c:v>
                </c:pt>
                <c:pt idx="5">
                  <c:v>0</c:v>
                </c:pt>
                <c:pt idx="6">
                  <c:v>2.0498540163343598E-2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B3-4F9C-828E-4770B5EBF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School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calibration_trnsubmodes!$AP$30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calibration_trnsubmodes!$AQ$30:$AX$30</c:f>
              <c:numCache>
                <c:formatCode>0.0%</c:formatCode>
                <c:ptCount val="8"/>
                <c:pt idx="0">
                  <c:v>0.80568291303924988</c:v>
                </c:pt>
                <c:pt idx="1">
                  <c:v>0</c:v>
                </c:pt>
                <c:pt idx="2">
                  <c:v>0.98249998705567654</c:v>
                </c:pt>
                <c:pt idx="3">
                  <c:v>0</c:v>
                </c:pt>
                <c:pt idx="4">
                  <c:v>0.71540931164991672</c:v>
                </c:pt>
                <c:pt idx="5">
                  <c:v>0</c:v>
                </c:pt>
                <c:pt idx="6">
                  <c:v>0.84551605102210248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5-4B81-B789-C97D060E42C1}"/>
            </c:ext>
          </c:extLst>
        </c:ser>
        <c:ser>
          <c:idx val="1"/>
          <c:order val="1"/>
          <c:tx>
            <c:strRef>
              <c:f>calibration_trnsubmodes!$AP$31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calibration_trnsubmodes!$AQ$31:$AX$31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1.75000129443234E-2</c:v>
                </c:pt>
                <c:pt idx="3">
                  <c:v>0</c:v>
                </c:pt>
                <c:pt idx="4">
                  <c:v>3.3730465965409635E-2</c:v>
                </c:pt>
                <c:pt idx="5">
                  <c:v>0</c:v>
                </c:pt>
                <c:pt idx="6">
                  <c:v>2.4991640872566556E-2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5-4B81-B789-C97D060E42C1}"/>
            </c:ext>
          </c:extLst>
        </c:ser>
        <c:ser>
          <c:idx val="2"/>
          <c:order val="2"/>
          <c:tx>
            <c:strRef>
              <c:f>calibration_trnsubmodes!$AP$32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calibration_trnsubmodes!$AQ$32:$AX$32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1.447343979945614E-2</c:v>
                </c:pt>
                <c:pt idx="5">
                  <c:v>0</c:v>
                </c:pt>
                <c:pt idx="6">
                  <c:v>7.1406243383361654E-3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5-4B81-B789-C97D060E42C1}"/>
            </c:ext>
          </c:extLst>
        </c:ser>
        <c:ser>
          <c:idx val="3"/>
          <c:order val="3"/>
          <c:tx>
            <c:strRef>
              <c:f>calibration_trnsubmodes!$AP$33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calibration_trnsubmodes!$AQ$33:$AX$33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5-4B81-B789-C97D060E42C1}"/>
            </c:ext>
          </c:extLst>
        </c:ser>
        <c:ser>
          <c:idx val="4"/>
          <c:order val="4"/>
          <c:tx>
            <c:strRef>
              <c:f>calibration_trnsubmodes!$AP$34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calibration_trnsubmodes!$AQ$34:$AX$34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5-4B81-B789-C97D060E42C1}"/>
            </c:ext>
          </c:extLst>
        </c:ser>
        <c:ser>
          <c:idx val="5"/>
          <c:order val="5"/>
          <c:tx>
            <c:strRef>
              <c:f>calibration_trnsubmodes!$AP$35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calibration_trnsubmodes!$AQ$35:$AX$35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5-4B81-B789-C97D060E42C1}"/>
            </c:ext>
          </c:extLst>
        </c:ser>
        <c:ser>
          <c:idx val="6"/>
          <c:order val="6"/>
          <c:tx>
            <c:strRef>
              <c:f>calibration_trnsubmodes!$AP$36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calibration_trnsubmodes!$AQ$36:$AX$36</c:f>
              <c:numCache>
                <c:formatCode>0.0%</c:formatCode>
                <c:ptCount val="8"/>
                <c:pt idx="0">
                  <c:v>0.19431708696075009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0.21938972638521245</c:v>
                </c:pt>
                <c:pt idx="5">
                  <c:v>0</c:v>
                </c:pt>
                <c:pt idx="6">
                  <c:v>0.11396600663263561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A5-4B81-B789-C97D060E42C1}"/>
            </c:ext>
          </c:extLst>
        </c:ser>
        <c:ser>
          <c:idx val="7"/>
          <c:order val="7"/>
          <c:tx>
            <c:strRef>
              <c:f>calibration_trnsubmodes!$AP$37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calibration_trnsubmodes!$AQ$28:$AX$29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calibration_trnsubmodes!$AQ$37:$AX$37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1.699705620000496E-2</c:v>
                </c:pt>
                <c:pt idx="5">
                  <c:v>0</c:v>
                </c:pt>
                <c:pt idx="6">
                  <c:v>8.3856771343591499E-3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A5-4B81-B789-C97D060E4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Individual</a:t>
            </a:r>
            <a:br>
              <a:rPr lang="en-US" sz="1200" b="1">
                <a:solidFill>
                  <a:schemeClr val="accent5"/>
                </a:solidFill>
              </a:rPr>
            </a:br>
            <a:r>
              <a:rPr lang="en-US" sz="1200" b="1">
                <a:solidFill>
                  <a:schemeClr val="accent5"/>
                </a:solidFill>
              </a:rPr>
              <a:t>Maintenance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calibration_trnsubmodes!$AP$43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calibration_trnsubmodes!$AQ$43:$AX$43</c:f>
              <c:numCache>
                <c:formatCode>0.0%</c:formatCode>
                <c:ptCount val="8"/>
                <c:pt idx="0">
                  <c:v>0.74916761740066151</c:v>
                </c:pt>
                <c:pt idx="1">
                  <c:v>0</c:v>
                </c:pt>
                <c:pt idx="2">
                  <c:v>0.58241654282096544</c:v>
                </c:pt>
                <c:pt idx="3">
                  <c:v>0</c:v>
                </c:pt>
                <c:pt idx="4">
                  <c:v>0.71440265827194038</c:v>
                </c:pt>
                <c:pt idx="5">
                  <c:v>0</c:v>
                </c:pt>
                <c:pt idx="6">
                  <c:v>0.71755684450763269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9-43CF-9278-73CC57B10B44}"/>
            </c:ext>
          </c:extLst>
        </c:ser>
        <c:ser>
          <c:idx val="1"/>
          <c:order val="1"/>
          <c:tx>
            <c:strRef>
              <c:f>calibration_trnsubmodes!$AP$44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calibration_trnsubmodes!$AQ$44:$AX$44</c:f>
              <c:numCache>
                <c:formatCode>0.0%</c:formatCode>
                <c:ptCount val="8"/>
                <c:pt idx="0">
                  <c:v>0.19253141492001277</c:v>
                </c:pt>
                <c:pt idx="1">
                  <c:v>0</c:v>
                </c:pt>
                <c:pt idx="2">
                  <c:v>0.16907762057792189</c:v>
                </c:pt>
                <c:pt idx="3">
                  <c:v>0</c:v>
                </c:pt>
                <c:pt idx="4">
                  <c:v>3.5051062904564986E-2</c:v>
                </c:pt>
                <c:pt idx="5">
                  <c:v>0</c:v>
                </c:pt>
                <c:pt idx="6">
                  <c:v>0.10744005445473309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9-43CF-9278-73CC57B10B44}"/>
            </c:ext>
          </c:extLst>
        </c:ser>
        <c:ser>
          <c:idx val="2"/>
          <c:order val="2"/>
          <c:tx>
            <c:strRef>
              <c:f>calibration_trnsubmodes!$AP$45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calibration_trnsubmodes!$AQ$45:$AX$45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1.7601800536527677E-2</c:v>
                </c:pt>
                <c:pt idx="3">
                  <c:v>0</c:v>
                </c:pt>
                <c:pt idx="4">
                  <c:v>1.8734349983915636E-3</c:v>
                </c:pt>
                <c:pt idx="5">
                  <c:v>0</c:v>
                </c:pt>
                <c:pt idx="6">
                  <c:v>2.3874116975761595E-3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9-43CF-9278-73CC57B10B44}"/>
            </c:ext>
          </c:extLst>
        </c:ser>
        <c:ser>
          <c:idx val="3"/>
          <c:order val="3"/>
          <c:tx>
            <c:strRef>
              <c:f>calibration_trnsubmodes!$AP$46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calibration_trnsubmodes!$AQ$46:$AX$46</c:f>
              <c:numCache>
                <c:formatCode>0.0%</c:formatCode>
                <c:ptCount val="8"/>
                <c:pt idx="0">
                  <c:v>2.4417284081800325E-3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9.5742475399048811E-4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79-43CF-9278-73CC57B10B44}"/>
            </c:ext>
          </c:extLst>
        </c:ser>
        <c:ser>
          <c:idx val="4"/>
          <c:order val="4"/>
          <c:tx>
            <c:strRef>
              <c:f>calibration_trnsubmodes!$AP$47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calibration_trnsubmodes!$AQ$47:$AX$47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5.2852385038707633E-4</c:v>
                </c:pt>
                <c:pt idx="5">
                  <c:v>0</c:v>
                </c:pt>
                <c:pt idx="6">
                  <c:v>2.7932873728134895E-4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79-43CF-9278-73CC57B10B44}"/>
            </c:ext>
          </c:extLst>
        </c:ser>
        <c:ser>
          <c:idx val="5"/>
          <c:order val="5"/>
          <c:tx>
            <c:strRef>
              <c:f>calibration_trnsubmodes!$AP$48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calibration_trnsubmodes!$AQ$48:$AX$48</c:f>
              <c:numCache>
                <c:formatCode>0.0%</c:formatCode>
                <c:ptCount val="8"/>
                <c:pt idx="0">
                  <c:v>1.0919054151747385E-2</c:v>
                </c:pt>
                <c:pt idx="1">
                  <c:v>0</c:v>
                </c:pt>
                <c:pt idx="2">
                  <c:v>1.4844434788006568E-2</c:v>
                </c:pt>
                <c:pt idx="3">
                  <c:v>0</c:v>
                </c:pt>
                <c:pt idx="4">
                  <c:v>1.4011788593032988E-2</c:v>
                </c:pt>
                <c:pt idx="5">
                  <c:v>0</c:v>
                </c:pt>
                <c:pt idx="6">
                  <c:v>1.2865196362237508E-2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79-43CF-9278-73CC57B10B44}"/>
            </c:ext>
          </c:extLst>
        </c:ser>
        <c:ser>
          <c:idx val="6"/>
          <c:order val="6"/>
          <c:tx>
            <c:strRef>
              <c:f>calibration_trnsubmodes!$AP$49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calibration_trnsubmodes!$AQ$49:$AX$49</c:f>
              <c:numCache>
                <c:formatCode>0.0%</c:formatCode>
                <c:ptCount val="8"/>
                <c:pt idx="0">
                  <c:v>3.9997926493759467E-2</c:v>
                </c:pt>
                <c:pt idx="1">
                  <c:v>0</c:v>
                </c:pt>
                <c:pt idx="2">
                  <c:v>0.21129477934400034</c:v>
                </c:pt>
                <c:pt idx="3">
                  <c:v>0</c:v>
                </c:pt>
                <c:pt idx="4">
                  <c:v>0.20506813417272385</c:v>
                </c:pt>
                <c:pt idx="5">
                  <c:v>0</c:v>
                </c:pt>
                <c:pt idx="6">
                  <c:v>0.17652250777128736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79-43CF-9278-73CC57B10B44}"/>
            </c:ext>
          </c:extLst>
        </c:ser>
        <c:ser>
          <c:idx val="7"/>
          <c:order val="7"/>
          <c:tx>
            <c:strRef>
              <c:f>calibration_trnsubmodes!$AP$50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calibration_trnsubmodes!$AQ$41:$AX$42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calibration_trnsubmodes!$AQ$50:$AX$50</c:f>
              <c:numCache>
                <c:formatCode>0.0%</c:formatCode>
                <c:ptCount val="8"/>
                <c:pt idx="0">
                  <c:v>4.9422586256388052E-3</c:v>
                </c:pt>
                <c:pt idx="1">
                  <c:v>0</c:v>
                </c:pt>
                <c:pt idx="2">
                  <c:v>4.7648219325781569E-3</c:v>
                </c:pt>
                <c:pt idx="3">
                  <c:v>0</c:v>
                </c:pt>
                <c:pt idx="4">
                  <c:v>2.9064397208959206E-2</c:v>
                </c:pt>
                <c:pt idx="5">
                  <c:v>0</c:v>
                </c:pt>
                <c:pt idx="6">
                  <c:v>1.7676900564350916E-2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79-43CF-9278-73CC57B10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Individual</a:t>
            </a:r>
            <a:br>
              <a:rPr lang="en-US" sz="1200" b="1">
                <a:solidFill>
                  <a:schemeClr val="accent5"/>
                </a:solidFill>
              </a:rPr>
            </a:br>
            <a:r>
              <a:rPr lang="en-US" sz="1200" b="1">
                <a:solidFill>
                  <a:schemeClr val="accent5"/>
                </a:solidFill>
              </a:rPr>
              <a:t>Discretionary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calibration_trnsubmodes!$AP$56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calibration_trnsubmodes!$AQ$56:$AX$56</c:f>
              <c:numCache>
                <c:formatCode>0.0%</c:formatCode>
                <c:ptCount val="8"/>
                <c:pt idx="0">
                  <c:v>0.70909555995247675</c:v>
                </c:pt>
                <c:pt idx="1">
                  <c:v>0</c:v>
                </c:pt>
                <c:pt idx="2">
                  <c:v>0.67271251213506689</c:v>
                </c:pt>
                <c:pt idx="3">
                  <c:v>0</c:v>
                </c:pt>
                <c:pt idx="4">
                  <c:v>0.56177678114918161</c:v>
                </c:pt>
                <c:pt idx="5">
                  <c:v>0</c:v>
                </c:pt>
                <c:pt idx="6">
                  <c:v>0.62978786211663518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E-4CBA-9D61-E88FF23C554A}"/>
            </c:ext>
          </c:extLst>
        </c:ser>
        <c:ser>
          <c:idx val="1"/>
          <c:order val="1"/>
          <c:tx>
            <c:strRef>
              <c:f>calibration_trnsubmodes!$AP$57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calibration_trnsubmodes!$AQ$57:$AX$57</c:f>
              <c:numCache>
                <c:formatCode>0.0%</c:formatCode>
                <c:ptCount val="8"/>
                <c:pt idx="0">
                  <c:v>0.13135416859198154</c:v>
                </c:pt>
                <c:pt idx="1">
                  <c:v>0</c:v>
                </c:pt>
                <c:pt idx="2">
                  <c:v>0.10495734281664855</c:v>
                </c:pt>
                <c:pt idx="3">
                  <c:v>0</c:v>
                </c:pt>
                <c:pt idx="4">
                  <c:v>0.15464276365006102</c:v>
                </c:pt>
                <c:pt idx="5">
                  <c:v>0</c:v>
                </c:pt>
                <c:pt idx="6">
                  <c:v>0.14038730011897646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E-4CBA-9D61-E88FF23C554A}"/>
            </c:ext>
          </c:extLst>
        </c:ser>
        <c:ser>
          <c:idx val="2"/>
          <c:order val="2"/>
          <c:tx>
            <c:strRef>
              <c:f>calibration_trnsubmodes!$AP$58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calibration_trnsubmodes!$AQ$58:$AX$58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5.9574854465700034E-3</c:v>
                </c:pt>
                <c:pt idx="3">
                  <c:v>0</c:v>
                </c:pt>
                <c:pt idx="4">
                  <c:v>4.3237799861305919E-3</c:v>
                </c:pt>
                <c:pt idx="5">
                  <c:v>0</c:v>
                </c:pt>
                <c:pt idx="6">
                  <c:v>2.8606227440581404E-3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E-4CBA-9D61-E88FF23C554A}"/>
            </c:ext>
          </c:extLst>
        </c:ser>
        <c:ser>
          <c:idx val="3"/>
          <c:order val="3"/>
          <c:tx>
            <c:strRef>
              <c:f>calibration_trnsubmodes!$AP$59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calibration_trnsubmodes!$AQ$59:$AX$59</c:f>
              <c:numCache>
                <c:formatCode>0.0%</c:formatCode>
                <c:ptCount val="8"/>
                <c:pt idx="0">
                  <c:v>2.083601188634111E-3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7.1082918085469955E-4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2E-4CBA-9D61-E88FF23C554A}"/>
            </c:ext>
          </c:extLst>
        </c:ser>
        <c:ser>
          <c:idx val="4"/>
          <c:order val="4"/>
          <c:tx>
            <c:strRef>
              <c:f>calibration_trnsubmodes!$AP$60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calibration_trnsubmodes!$AQ$60:$AX$60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1.0764123224958992E-3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2E-4CBA-9D61-E88FF23C554A}"/>
            </c:ext>
          </c:extLst>
        </c:ser>
        <c:ser>
          <c:idx val="5"/>
          <c:order val="5"/>
          <c:tx>
            <c:strRef>
              <c:f>calibration_trnsubmodes!$AP$61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calibration_trnsubmodes!$AQ$61:$AX$61</c:f>
              <c:numCache>
                <c:formatCode>0.0%</c:formatCode>
                <c:ptCount val="8"/>
                <c:pt idx="0">
                  <c:v>6.5968362018983739E-3</c:v>
                </c:pt>
                <c:pt idx="1">
                  <c:v>0</c:v>
                </c:pt>
                <c:pt idx="2">
                  <c:v>2.2096247551813063E-2</c:v>
                </c:pt>
                <c:pt idx="3">
                  <c:v>0</c:v>
                </c:pt>
                <c:pt idx="4">
                  <c:v>1.7037137539249472E-2</c:v>
                </c:pt>
                <c:pt idx="5">
                  <c:v>0</c:v>
                </c:pt>
                <c:pt idx="6">
                  <c:v>1.3625621418777108E-2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2E-4CBA-9D61-E88FF23C554A}"/>
            </c:ext>
          </c:extLst>
        </c:ser>
        <c:ser>
          <c:idx val="6"/>
          <c:order val="6"/>
          <c:tx>
            <c:strRef>
              <c:f>calibration_trnsubmodes!$AP$62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calibration_trnsubmodes!$AQ$62:$AX$62</c:f>
              <c:numCache>
                <c:formatCode>0.0%</c:formatCode>
                <c:ptCount val="8"/>
                <c:pt idx="0">
                  <c:v>8.832365167966659E-2</c:v>
                </c:pt>
                <c:pt idx="1">
                  <c:v>0</c:v>
                </c:pt>
                <c:pt idx="2">
                  <c:v>0.13931528911293034</c:v>
                </c:pt>
                <c:pt idx="3">
                  <c:v>0</c:v>
                </c:pt>
                <c:pt idx="4">
                  <c:v>0.25412729539763107</c:v>
                </c:pt>
                <c:pt idx="5">
                  <c:v>0</c:v>
                </c:pt>
                <c:pt idx="6">
                  <c:v>0.17867720481682839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2E-4CBA-9D61-E88FF23C554A}"/>
            </c:ext>
          </c:extLst>
        </c:ser>
        <c:ser>
          <c:idx val="7"/>
          <c:order val="7"/>
          <c:tx>
            <c:strRef>
              <c:f>calibration_trnsubmodes!$AP$63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calibration_trnsubmodes!$AQ$54:$AX$55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calibration_trnsubmodes!$AQ$63:$AX$63</c:f>
              <c:numCache>
                <c:formatCode>0.0%</c:formatCode>
                <c:ptCount val="8"/>
                <c:pt idx="0">
                  <c:v>6.2546182385342597E-2</c:v>
                </c:pt>
                <c:pt idx="1">
                  <c:v>0</c:v>
                </c:pt>
                <c:pt idx="2">
                  <c:v>5.4961122936971071E-2</c:v>
                </c:pt>
                <c:pt idx="3">
                  <c:v>0</c:v>
                </c:pt>
                <c:pt idx="4">
                  <c:v>6.3050007743955232E-3</c:v>
                </c:pt>
                <c:pt idx="5">
                  <c:v>0</c:v>
                </c:pt>
                <c:pt idx="6">
                  <c:v>3.2956458216674651E-2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2E-4CBA-9D61-E88FF23C5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At-Work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calibration_trnsubmodes!$AP$69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calibration_trnsubmodes!$AQ$69:$AX$69</c:f>
              <c:numCache>
                <c:formatCode>0.0%</c:formatCode>
                <c:ptCount val="8"/>
                <c:pt idx="0">
                  <c:v>0.46174488833952088</c:v>
                </c:pt>
                <c:pt idx="1">
                  <c:v>0</c:v>
                </c:pt>
                <c:pt idx="2">
                  <c:v>0.7096178982517839</c:v>
                </c:pt>
                <c:pt idx="3">
                  <c:v>0</c:v>
                </c:pt>
                <c:pt idx="4">
                  <c:v>0.58811596577196867</c:v>
                </c:pt>
                <c:pt idx="5">
                  <c:v>0</c:v>
                </c:pt>
                <c:pt idx="6">
                  <c:v>0.61832706157591499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E-4E23-B6F4-696572DEB13D}"/>
            </c:ext>
          </c:extLst>
        </c:ser>
        <c:ser>
          <c:idx val="1"/>
          <c:order val="1"/>
          <c:tx>
            <c:strRef>
              <c:f>calibration_trnsubmodes!$AP$70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calibration_trnsubmodes!$AQ$70:$AX$70</c:f>
              <c:numCache>
                <c:formatCode>0.0%</c:formatCode>
                <c:ptCount val="8"/>
                <c:pt idx="0">
                  <c:v>0.45143414837277052</c:v>
                </c:pt>
                <c:pt idx="1">
                  <c:v>0</c:v>
                </c:pt>
                <c:pt idx="2">
                  <c:v>7.1149617116704283E-2</c:v>
                </c:pt>
                <c:pt idx="3">
                  <c:v>0</c:v>
                </c:pt>
                <c:pt idx="4">
                  <c:v>1.6396368116618067E-2</c:v>
                </c:pt>
                <c:pt idx="5">
                  <c:v>0</c:v>
                </c:pt>
                <c:pt idx="6">
                  <c:v>5.5329510253735822E-2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E-4E23-B6F4-696572DEB13D}"/>
            </c:ext>
          </c:extLst>
        </c:ser>
        <c:ser>
          <c:idx val="2"/>
          <c:order val="2"/>
          <c:tx>
            <c:strRef>
              <c:f>calibration_trnsubmodes!$AP$71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calibration_trnsubmodes!$AQ$71:$AX$71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E-4E23-B6F4-696572DEB13D}"/>
            </c:ext>
          </c:extLst>
        </c:ser>
        <c:ser>
          <c:idx val="3"/>
          <c:order val="3"/>
          <c:tx>
            <c:strRef>
              <c:f>calibration_trnsubmodes!$AP$72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calibration_trnsubmodes!$AQ$72:$AX$72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E-4E23-B6F4-696572DEB13D}"/>
            </c:ext>
          </c:extLst>
        </c:ser>
        <c:ser>
          <c:idx val="4"/>
          <c:order val="4"/>
          <c:tx>
            <c:strRef>
              <c:f>calibration_trnsubmodes!$AP$73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calibration_trnsubmodes!$AQ$73:$AX$73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E-4E23-B6F4-696572DEB13D}"/>
            </c:ext>
          </c:extLst>
        </c:ser>
        <c:ser>
          <c:idx val="5"/>
          <c:order val="5"/>
          <c:tx>
            <c:strRef>
              <c:f>calibration_trnsubmodes!$AP$74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calibration_trnsubmodes!$AQ$74:$AX$74</c:f>
              <c:numCache>
                <c:formatCode>0.0%</c:formatCode>
                <c:ptCount val="8"/>
                <c:pt idx="0">
                  <c:v>8.6820963287708525E-2</c:v>
                </c:pt>
                <c:pt idx="1">
                  <c:v>0</c:v>
                </c:pt>
                <c:pt idx="2">
                  <c:v>0.21923248463151174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7.0713991514841659E-2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BE-4E23-B6F4-696572DEB13D}"/>
            </c:ext>
          </c:extLst>
        </c:ser>
        <c:ser>
          <c:idx val="6"/>
          <c:order val="6"/>
          <c:tx>
            <c:strRef>
              <c:f>calibration_trnsubmodes!$AP$75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calibration_trnsubmodes!$AQ$75:$AX$75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0.37424754325293774</c:v>
                </c:pt>
                <c:pt idx="5">
                  <c:v>0</c:v>
                </c:pt>
                <c:pt idx="6">
                  <c:v>0.24190056188630987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BE-4E23-B6F4-696572DEB13D}"/>
            </c:ext>
          </c:extLst>
        </c:ser>
        <c:ser>
          <c:idx val="7"/>
          <c:order val="7"/>
          <c:tx>
            <c:strRef>
              <c:f>calibration_trnsubmodes!$AP$76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calibration_trnsubmodes!$AQ$67:$AX$68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calibration_trnsubmodes!$AQ$76:$AX$76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2.1240122858475485E-2</c:v>
                </c:pt>
                <c:pt idx="5">
                  <c:v>0</c:v>
                </c:pt>
                <c:pt idx="6">
                  <c:v>1.372887476919768E-2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BE-4E23-B6F4-696572DEB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5"/>
                </a:solidFill>
              </a:rPr>
              <a:t>All Purposes</a:t>
            </a:r>
            <a:endParaRPr lang="en-US" b="1">
              <a:solidFill>
                <a:schemeClr val="accent5"/>
              </a:solidFill>
            </a:endParaRPr>
          </a:p>
        </c:rich>
      </c:tx>
      <c:layout>
        <c:manualLayout>
          <c:xMode val="edge"/>
          <c:yMode val="edge"/>
          <c:x val="0.78727077865266848"/>
          <c:y val="8.5873820411114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789370078740146E-2"/>
          <c:y val="5.5972222222222236E-2"/>
          <c:w val="0.65971959755030618"/>
          <c:h val="0.58451963609009749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calibration_trnsubmodes!$AP$82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calibration_trnsubmodes!$AQ$82:$AX$82</c:f>
              <c:numCache>
                <c:formatCode>0.0%</c:formatCode>
                <c:ptCount val="8"/>
                <c:pt idx="0">
                  <c:v>0.70051618037978669</c:v>
                </c:pt>
                <c:pt idx="1">
                  <c:v>0</c:v>
                </c:pt>
                <c:pt idx="2">
                  <c:v>0.42976926952155031</c:v>
                </c:pt>
                <c:pt idx="3">
                  <c:v>0</c:v>
                </c:pt>
                <c:pt idx="4">
                  <c:v>0.46327252926379348</c:v>
                </c:pt>
                <c:pt idx="5">
                  <c:v>0</c:v>
                </c:pt>
                <c:pt idx="6">
                  <c:v>0.53514441705018778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4-4876-BB12-8D382177D2F1}"/>
            </c:ext>
          </c:extLst>
        </c:ser>
        <c:ser>
          <c:idx val="1"/>
          <c:order val="1"/>
          <c:tx>
            <c:strRef>
              <c:f>calibration_trnsubmodes!$AP$83</c:f>
              <c:strCache>
                <c:ptCount val="1"/>
                <c:pt idx="0">
                  <c:v>LRT-Walk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calibration_trnsubmodes!$AQ$83:$AX$83</c:f>
              <c:numCache>
                <c:formatCode>0.0%</c:formatCode>
                <c:ptCount val="8"/>
                <c:pt idx="0">
                  <c:v>0.1499057507962413</c:v>
                </c:pt>
                <c:pt idx="1">
                  <c:v>0</c:v>
                </c:pt>
                <c:pt idx="2">
                  <c:v>0.10827520047469398</c:v>
                </c:pt>
                <c:pt idx="3">
                  <c:v>0</c:v>
                </c:pt>
                <c:pt idx="4">
                  <c:v>6.8545948227799705E-2</c:v>
                </c:pt>
                <c:pt idx="5">
                  <c:v>0</c:v>
                </c:pt>
                <c:pt idx="6">
                  <c:v>0.10270198084321716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4-4876-BB12-8D382177D2F1}"/>
            </c:ext>
          </c:extLst>
        </c:ser>
        <c:ser>
          <c:idx val="2"/>
          <c:order val="2"/>
          <c:tx>
            <c:strRef>
              <c:f>calibration_trnsubmodes!$AP$84</c:f>
              <c:strCache>
                <c:ptCount val="1"/>
                <c:pt idx="0">
                  <c:v>LRT-Drive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calibration_trnsubmodes!$AQ$84:$AX$84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5.0677772370456755E-3</c:v>
                </c:pt>
                <c:pt idx="3">
                  <c:v>0</c:v>
                </c:pt>
                <c:pt idx="4">
                  <c:v>4.4349643313610259E-3</c:v>
                </c:pt>
                <c:pt idx="5">
                  <c:v>0</c:v>
                </c:pt>
                <c:pt idx="6">
                  <c:v>3.09262103861156E-3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4-4876-BB12-8D382177D2F1}"/>
            </c:ext>
          </c:extLst>
        </c:ser>
        <c:ser>
          <c:idx val="3"/>
          <c:order val="3"/>
          <c:tx>
            <c:strRef>
              <c:f>calibration_trnsubmodes!$AP$85</c:f>
              <c:strCache>
                <c:ptCount val="1"/>
                <c:pt idx="0">
                  <c:v>Ferry-Walk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calibration_trnsubmodes!$AQ$85:$AX$85</c:f>
              <c:numCache>
                <c:formatCode>0.0%</c:formatCode>
                <c:ptCount val="8"/>
                <c:pt idx="0">
                  <c:v>1.1709203851790462E-3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3.9546053715514068E-3</c:v>
                </c:pt>
                <c:pt idx="5">
                  <c:v>0</c:v>
                </c:pt>
                <c:pt idx="6">
                  <c:v>2.0720116934958492E-3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4-4876-BB12-8D382177D2F1}"/>
            </c:ext>
          </c:extLst>
        </c:ser>
        <c:ser>
          <c:idx val="4"/>
          <c:order val="4"/>
          <c:tx>
            <c:strRef>
              <c:f>calibration_trnsubmodes!$AP$86</c:f>
              <c:strCache>
                <c:ptCount val="1"/>
                <c:pt idx="0">
                  <c:v>Ferry-Drive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calibration_trnsubmodes!$AQ$86:$AX$86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3.0179442098492641E-3</c:v>
                </c:pt>
                <c:pt idx="5">
                  <c:v>0</c:v>
                </c:pt>
                <c:pt idx="6">
                  <c:v>1.3535803962861574E-3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64-4876-BB12-8D382177D2F1}"/>
            </c:ext>
          </c:extLst>
        </c:ser>
        <c:ser>
          <c:idx val="5"/>
          <c:order val="5"/>
          <c:tx>
            <c:strRef>
              <c:f>calibration_trnsubmodes!$AP$87</c:f>
              <c:strCache>
                <c:ptCount val="1"/>
                <c:pt idx="0">
                  <c:v>Express Bus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calibration_trnsubmodes!$AQ$87:$AX$87</c:f>
              <c:numCache>
                <c:formatCode>0.0%</c:formatCode>
                <c:ptCount val="8"/>
                <c:pt idx="0">
                  <c:v>1.0051867459577471E-2</c:v>
                </c:pt>
                <c:pt idx="1">
                  <c:v>0</c:v>
                </c:pt>
                <c:pt idx="2">
                  <c:v>1.0276755530951436E-2</c:v>
                </c:pt>
                <c:pt idx="3">
                  <c:v>0</c:v>
                </c:pt>
                <c:pt idx="4">
                  <c:v>3.6063132077352622E-2</c:v>
                </c:pt>
                <c:pt idx="5">
                  <c:v>0</c:v>
                </c:pt>
                <c:pt idx="6">
                  <c:v>2.2714135190408827E-2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64-4876-BB12-8D382177D2F1}"/>
            </c:ext>
          </c:extLst>
        </c:ser>
        <c:ser>
          <c:idx val="6"/>
          <c:order val="6"/>
          <c:tx>
            <c:strRef>
              <c:f>calibration_trnsubmodes!$AP$88</c:f>
              <c:strCache>
                <c:ptCount val="1"/>
                <c:pt idx="0">
                  <c:v>Heavy Rail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calibration_trnsubmodes!$AQ$88:$AX$88</c:f>
              <c:numCache>
                <c:formatCode>0.0%</c:formatCode>
                <c:ptCount val="8"/>
                <c:pt idx="0">
                  <c:v>7.8392389428922349E-2</c:v>
                </c:pt>
                <c:pt idx="1">
                  <c:v>0</c:v>
                </c:pt>
                <c:pt idx="2">
                  <c:v>0.3788375985509646</c:v>
                </c:pt>
                <c:pt idx="3">
                  <c:v>0</c:v>
                </c:pt>
                <c:pt idx="4">
                  <c:v>0.30555616100323613</c:v>
                </c:pt>
                <c:pt idx="5">
                  <c:v>0</c:v>
                </c:pt>
                <c:pt idx="6">
                  <c:v>0.25105697133562438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64-4876-BB12-8D382177D2F1}"/>
            </c:ext>
          </c:extLst>
        </c:ser>
        <c:ser>
          <c:idx val="7"/>
          <c:order val="7"/>
          <c:tx>
            <c:strRef>
              <c:f>calibration_trnsubmodes!$AP$89</c:f>
              <c:strCache>
                <c:ptCount val="1"/>
                <c:pt idx="0">
                  <c:v>Commuter Rail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calibration_trnsubmodes!$AQ$80:$AX$81</c:f>
              <c:multiLvlStrCache>
                <c:ptCount val="8"/>
                <c:lvl>
                  <c:pt idx="0">
                    <c:v>0 Autos</c:v>
                  </c:pt>
                  <c:pt idx="1">
                    <c:v>0 Autos</c:v>
                  </c:pt>
                  <c:pt idx="2">
                    <c:v>Autos&lt;Wrks</c:v>
                  </c:pt>
                  <c:pt idx="3">
                    <c:v>Autos&lt;Wrks</c:v>
                  </c:pt>
                  <c:pt idx="4">
                    <c:v>Autos&gt;=Wrks</c:v>
                  </c:pt>
                  <c:pt idx="5">
                    <c:v>Autos&lt;=Wrks</c:v>
                  </c:pt>
                  <c:pt idx="6">
                    <c:v>All</c:v>
                  </c:pt>
                  <c:pt idx="7">
                    <c:v>All</c:v>
                  </c:pt>
                </c:lvl>
                <c:lvl>
                  <c:pt idx="0">
                    <c:v>Target</c:v>
                  </c:pt>
                  <c:pt idx="1">
                    <c:v>Model</c:v>
                  </c:pt>
                  <c:pt idx="2">
                    <c:v>Target</c:v>
                  </c:pt>
                  <c:pt idx="3">
                    <c:v>Model</c:v>
                  </c:pt>
                  <c:pt idx="4">
                    <c:v>Target</c:v>
                  </c:pt>
                  <c:pt idx="5">
                    <c:v>Model</c:v>
                  </c:pt>
                  <c:pt idx="6">
                    <c:v>Target</c:v>
                  </c:pt>
                  <c:pt idx="7">
                    <c:v>Model</c:v>
                  </c:pt>
                </c:lvl>
              </c:multiLvlStrCache>
            </c:multiLvlStrRef>
          </c:cat>
          <c:val>
            <c:numRef>
              <c:f>calibration_trnsubmodes!$AQ$89:$AX$89</c:f>
              <c:numCache>
                <c:formatCode>0.0%</c:formatCode>
                <c:ptCount val="8"/>
                <c:pt idx="0">
                  <c:v>5.9962891550293086E-2</c:v>
                </c:pt>
                <c:pt idx="1">
                  <c:v>0</c:v>
                </c:pt>
                <c:pt idx="2">
                  <c:v>6.7773398684793748E-2</c:v>
                </c:pt>
                <c:pt idx="3">
                  <c:v>0</c:v>
                </c:pt>
                <c:pt idx="4">
                  <c:v>0.11515471551505641</c:v>
                </c:pt>
                <c:pt idx="5">
                  <c:v>0</c:v>
                </c:pt>
                <c:pt idx="6">
                  <c:v>8.8191624945881064E-2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64-4876-BB12-8D382177D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5237728"/>
        <c:axId val="1041948080"/>
      </c:barChart>
      <c:catAx>
        <c:axId val="111523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48080"/>
        <c:crosses val="autoZero"/>
        <c:auto val="1"/>
        <c:lblAlgn val="ctr"/>
        <c:lblOffset val="100"/>
        <c:noMultiLvlLbl val="0"/>
      </c:catAx>
      <c:valAx>
        <c:axId val="10419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2377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39785651793526"/>
          <c:y val="0.25371503186340605"/>
          <c:w val="0.19593547681539805"/>
          <c:h val="0.715710625337606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247650</xdr:colOff>
      <xdr:row>1</xdr:row>
      <xdr:rowOff>57150</xdr:rowOff>
    </xdr:from>
    <xdr:to>
      <xdr:col>74</xdr:col>
      <xdr:colOff>552450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3D34EA-928D-4E2F-BE51-57E8BA4C2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228600</xdr:colOff>
      <xdr:row>16</xdr:row>
      <xdr:rowOff>95250</xdr:rowOff>
    </xdr:from>
    <xdr:to>
      <xdr:col>74</xdr:col>
      <xdr:colOff>533400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2F6BA8-518A-4F22-806B-F46687D75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238125</xdr:colOff>
      <xdr:row>31</xdr:row>
      <xdr:rowOff>104775</xdr:rowOff>
    </xdr:from>
    <xdr:to>
      <xdr:col>74</xdr:col>
      <xdr:colOff>542925</xdr:colOff>
      <xdr:row>46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333948-0A24-432E-BC36-868DCCAB4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67</xdr:col>
      <xdr:colOff>219075</xdr:colOff>
      <xdr:row>46</xdr:row>
      <xdr:rowOff>85725</xdr:rowOff>
    </xdr:from>
    <xdr:to>
      <xdr:col>74</xdr:col>
      <xdr:colOff>523875</xdr:colOff>
      <xdr:row>61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FFCFA5-8B9E-4DC7-BA0C-700796585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219075</xdr:colOff>
      <xdr:row>61</xdr:row>
      <xdr:rowOff>85725</xdr:rowOff>
    </xdr:from>
    <xdr:to>
      <xdr:col>74</xdr:col>
      <xdr:colOff>523875</xdr:colOff>
      <xdr:row>76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E90597-0CCA-465B-B57F-563883E2E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67</xdr:col>
      <xdr:colOff>209550</xdr:colOff>
      <xdr:row>76</xdr:row>
      <xdr:rowOff>76200</xdr:rowOff>
    </xdr:from>
    <xdr:to>
      <xdr:col>74</xdr:col>
      <xdr:colOff>514350</xdr:colOff>
      <xdr:row>91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0420CC-6650-496A-9377-35E40DD7C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67</xdr:col>
      <xdr:colOff>219075</xdr:colOff>
      <xdr:row>91</xdr:row>
      <xdr:rowOff>66675</xdr:rowOff>
    </xdr:from>
    <xdr:to>
      <xdr:col>74</xdr:col>
      <xdr:colOff>523875</xdr:colOff>
      <xdr:row>104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F9E84EC-B928-43B7-B7CB-BA643E670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177511</xdr:colOff>
      <xdr:row>106</xdr:row>
      <xdr:rowOff>70138</xdr:rowOff>
    </xdr:from>
    <xdr:to>
      <xdr:col>74</xdr:col>
      <xdr:colOff>506557</xdr:colOff>
      <xdr:row>122</xdr:row>
      <xdr:rowOff>25111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0D3FD-5721-4BFA-9727-60101F92D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157162</xdr:colOff>
      <xdr:row>1</xdr:row>
      <xdr:rowOff>38100</xdr:rowOff>
    </xdr:from>
    <xdr:to>
      <xdr:col>57</xdr:col>
      <xdr:colOff>461962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2C9B3-5D4C-4442-9428-288868167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152400</xdr:colOff>
      <xdr:row>14</xdr:row>
      <xdr:rowOff>76200</xdr:rowOff>
    </xdr:from>
    <xdr:to>
      <xdr:col>57</xdr:col>
      <xdr:colOff>457200</xdr:colOff>
      <xdr:row>27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823AE-C076-4761-94A4-944690E47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152400</xdr:colOff>
      <xdr:row>27</xdr:row>
      <xdr:rowOff>57149</xdr:rowOff>
    </xdr:from>
    <xdr:to>
      <xdr:col>57</xdr:col>
      <xdr:colOff>457200</xdr:colOff>
      <xdr:row>40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332C96-4AE2-4187-A59B-C875D78CC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152400</xdr:colOff>
      <xdr:row>40</xdr:row>
      <xdr:rowOff>76200</xdr:rowOff>
    </xdr:from>
    <xdr:to>
      <xdr:col>57</xdr:col>
      <xdr:colOff>457200</xdr:colOff>
      <xdr:row>53</xdr:row>
      <xdr:rowOff>76201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247906-38C0-4A02-B747-7995AAE5D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161925</xdr:colOff>
      <xdr:row>53</xdr:row>
      <xdr:rowOff>85725</xdr:rowOff>
    </xdr:from>
    <xdr:to>
      <xdr:col>57</xdr:col>
      <xdr:colOff>466725</xdr:colOff>
      <xdr:row>66</xdr:row>
      <xdr:rowOff>85726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A920A0-3B32-44DE-8531-F735CCE63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152400</xdr:colOff>
      <xdr:row>66</xdr:row>
      <xdr:rowOff>104775</xdr:rowOff>
    </xdr:from>
    <xdr:to>
      <xdr:col>57</xdr:col>
      <xdr:colOff>457200</xdr:colOff>
      <xdr:row>79</xdr:row>
      <xdr:rowOff>104776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8E644B-406F-473D-ADFC-3E34E1931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171450</xdr:colOff>
      <xdr:row>80</xdr:row>
      <xdr:rowOff>9525</xdr:rowOff>
    </xdr:from>
    <xdr:to>
      <xdr:col>57</xdr:col>
      <xdr:colOff>476250</xdr:colOff>
      <xdr:row>93</xdr:row>
      <xdr:rowOff>9526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16BF76-C338-4A98-B3DA-F2A8FF4E4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vel-model-one-calib1.5.2\model-files\model\TM1.0%20version\ModeChoice_TM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ravel-model-one-calib1.5.2\model-files\model\ModeChoi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Work"/>
      <sheetName val="University"/>
      <sheetName val="School"/>
      <sheetName val="Escort"/>
      <sheetName val="Shopping"/>
      <sheetName val="EatOut"/>
      <sheetName val="OthMaint"/>
      <sheetName val="Social"/>
      <sheetName val="OthDiscr"/>
      <sheetName val="WorkBased"/>
      <sheetName val="modelStructure"/>
    </sheetNames>
    <sheetDataSet>
      <sheetData sheetId="0"/>
      <sheetData sheetId="1">
        <row r="38">
          <cell r="E38">
            <v>-1.34E-2</v>
          </cell>
        </row>
      </sheetData>
      <sheetData sheetId="2">
        <row r="38">
          <cell r="E38">
            <v>-2.24E-2</v>
          </cell>
        </row>
      </sheetData>
      <sheetData sheetId="3">
        <row r="38">
          <cell r="E38">
            <v>-2.24E-2</v>
          </cell>
        </row>
      </sheetData>
      <sheetData sheetId="4">
        <row r="38">
          <cell r="E38">
            <v>-1.7500000000000002E-2</v>
          </cell>
        </row>
      </sheetData>
      <sheetData sheetId="5">
        <row r="38">
          <cell r="E38">
            <v>-1.7500000000000002E-2</v>
          </cell>
        </row>
      </sheetData>
      <sheetData sheetId="6">
        <row r="38">
          <cell r="E38">
            <v>-1.7500000000000002E-2</v>
          </cell>
        </row>
      </sheetData>
      <sheetData sheetId="7">
        <row r="38">
          <cell r="E38">
            <v>-1.7500000000000002E-2</v>
          </cell>
        </row>
      </sheetData>
      <sheetData sheetId="8">
        <row r="38">
          <cell r="E38">
            <v>-1.7500000000000002E-2</v>
          </cell>
        </row>
      </sheetData>
      <sheetData sheetId="9">
        <row r="38">
          <cell r="E38">
            <v>-1.7500000000000002E-2</v>
          </cell>
        </row>
      </sheetData>
      <sheetData sheetId="10">
        <row r="11">
          <cell r="E11">
            <v>-1.8800000000000001E-2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Work"/>
      <sheetName val="University"/>
      <sheetName val="School"/>
      <sheetName val="Escort"/>
      <sheetName val="Shopping"/>
      <sheetName val="EatOut"/>
      <sheetName val="OthMaint"/>
      <sheetName val="Social"/>
      <sheetName val="OthDiscr"/>
      <sheetName val="WorkBased"/>
      <sheetName val="modelStructure"/>
    </sheetNames>
    <sheetDataSet>
      <sheetData sheetId="0"/>
      <sheetData sheetId="1">
        <row r="408">
          <cell r="E408">
            <v>6.166821093201861</v>
          </cell>
        </row>
        <row r="409">
          <cell r="E409">
            <v>3.1036383775144252</v>
          </cell>
        </row>
        <row r="410">
          <cell r="E410">
            <v>-0.23375440911945508</v>
          </cell>
        </row>
        <row r="411">
          <cell r="E411">
            <v>5.0031301237750112</v>
          </cell>
        </row>
        <row r="412">
          <cell r="E412">
            <v>1.4103832165105781</v>
          </cell>
        </row>
        <row r="413">
          <cell r="E413">
            <v>-0.92826848365333126</v>
          </cell>
        </row>
        <row r="414">
          <cell r="E414">
            <v>-2.1775822246739822</v>
          </cell>
        </row>
        <row r="415">
          <cell r="E415">
            <v>-0.36815560129565073</v>
          </cell>
        </row>
        <row r="416">
          <cell r="E416">
            <v>-1.0856352245199332</v>
          </cell>
        </row>
        <row r="417">
          <cell r="E417">
            <v>-6.014344845339167</v>
          </cell>
        </row>
        <row r="418">
          <cell r="E418">
            <v>-1.1894915544221669</v>
          </cell>
        </row>
        <row r="419">
          <cell r="E419">
            <v>-1.5610327696718005</v>
          </cell>
        </row>
        <row r="420">
          <cell r="E420">
            <v>7.1105802177749338</v>
          </cell>
        </row>
        <row r="421">
          <cell r="E421">
            <v>1.3661161278544285</v>
          </cell>
        </row>
        <row r="422">
          <cell r="E422">
            <v>-2.1584516018567892</v>
          </cell>
        </row>
        <row r="423">
          <cell r="E423">
            <v>0</v>
          </cell>
        </row>
        <row r="424">
          <cell r="E424">
            <v>0.65577867711211824</v>
          </cell>
        </row>
        <row r="425">
          <cell r="E425">
            <v>-2.4114705490352404</v>
          </cell>
        </row>
        <row r="426">
          <cell r="E426">
            <v>6.5933202564827722</v>
          </cell>
        </row>
        <row r="427">
          <cell r="E427">
            <v>2.1487276046681307</v>
          </cell>
        </row>
        <row r="428">
          <cell r="E428">
            <v>-3.4263257019588114</v>
          </cell>
        </row>
        <row r="429">
          <cell r="E429">
            <v>6.2258428032793161</v>
          </cell>
        </row>
        <row r="430">
          <cell r="E430">
            <v>0.24808697360853438</v>
          </cell>
        </row>
        <row r="431">
          <cell r="E431">
            <v>-3.1443867415880868</v>
          </cell>
        </row>
        <row r="432">
          <cell r="E432">
            <v>3.9968598925704333</v>
          </cell>
        </row>
        <row r="433">
          <cell r="E433">
            <v>-0.25532669982229961</v>
          </cell>
        </row>
        <row r="434">
          <cell r="E434">
            <v>-4.1112134108957266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-0.24389292357870532</v>
          </cell>
        </row>
        <row r="463">
          <cell r="E463">
            <v>0.48872513809390233</v>
          </cell>
        </row>
        <row r="464">
          <cell r="E464">
            <v>1.2379410877827062</v>
          </cell>
        </row>
        <row r="465">
          <cell r="E465">
            <v>0.31090456149160672</v>
          </cell>
        </row>
        <row r="466">
          <cell r="E466">
            <v>0.93549281481212043</v>
          </cell>
        </row>
        <row r="467">
          <cell r="E467">
            <v>-0.26404285159141472</v>
          </cell>
        </row>
        <row r="468">
          <cell r="E468">
            <v>0.925496153086103</v>
          </cell>
        </row>
        <row r="469">
          <cell r="E469">
            <v>1.804157918501045</v>
          </cell>
        </row>
      </sheetData>
      <sheetData sheetId="2">
        <row r="408">
          <cell r="E408">
            <v>1.2344145889526736</v>
          </cell>
        </row>
        <row r="409">
          <cell r="E409">
            <v>2.0305284328803408</v>
          </cell>
        </row>
        <row r="410">
          <cell r="E410">
            <v>0.77901000122149044</v>
          </cell>
        </row>
        <row r="411">
          <cell r="E411">
            <v>-29.968666756966783</v>
          </cell>
        </row>
        <row r="412">
          <cell r="E412">
            <v>4.1967269557219566</v>
          </cell>
        </row>
        <row r="413">
          <cell r="E413">
            <v>-8.8613700728153888E-2</v>
          </cell>
        </row>
        <row r="414">
          <cell r="E414">
            <v>-40.453128407981588</v>
          </cell>
        </row>
        <row r="415">
          <cell r="E415">
            <v>0.60047947978238914</v>
          </cell>
        </row>
        <row r="416">
          <cell r="E416">
            <v>-0.49265961402021302</v>
          </cell>
        </row>
        <row r="417">
          <cell r="E417">
            <v>-40.148514606624495</v>
          </cell>
        </row>
        <row r="418">
          <cell r="E418">
            <v>-0.60527791769083006</v>
          </cell>
        </row>
        <row r="419">
          <cell r="E419">
            <v>-1.6222210151259882</v>
          </cell>
        </row>
        <row r="420">
          <cell r="E420">
            <v>3.2403367107369023</v>
          </cell>
        </row>
        <row r="421">
          <cell r="E421">
            <v>9.8646021894660887</v>
          </cell>
        </row>
        <row r="422">
          <cell r="E422">
            <v>0.27716887960604059</v>
          </cell>
        </row>
        <row r="423">
          <cell r="E423">
            <v>0</v>
          </cell>
        </row>
        <row r="424">
          <cell r="E424">
            <v>9.5010314888844718</v>
          </cell>
        </row>
        <row r="425">
          <cell r="E425">
            <v>-0.72310673781542345</v>
          </cell>
        </row>
        <row r="426">
          <cell r="E426">
            <v>-14.413390978433416</v>
          </cell>
        </row>
        <row r="427">
          <cell r="E427">
            <v>6.7745387844835925</v>
          </cell>
        </row>
        <row r="428">
          <cell r="E428">
            <v>1.2947270672734077</v>
          </cell>
        </row>
        <row r="429">
          <cell r="E429">
            <v>-13.96354352588383</v>
          </cell>
        </row>
        <row r="430">
          <cell r="E430">
            <v>7.2289885853822087</v>
          </cell>
        </row>
        <row r="431">
          <cell r="E431">
            <v>1.6280289671840444</v>
          </cell>
        </row>
        <row r="432">
          <cell r="E432">
            <v>-17.206312355165117</v>
          </cell>
        </row>
        <row r="433">
          <cell r="E433">
            <v>5.401777450854647</v>
          </cell>
        </row>
        <row r="434">
          <cell r="E434">
            <v>0.43055313598834039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-0.92169645275697076</v>
          </cell>
        </row>
        <row r="463">
          <cell r="E463">
            <v>1.9890569046432705</v>
          </cell>
        </row>
        <row r="464">
          <cell r="E464">
            <v>0.90980840668073981</v>
          </cell>
        </row>
        <row r="465">
          <cell r="E465">
            <v>0.92023167885195711</v>
          </cell>
        </row>
        <row r="466">
          <cell r="E466">
            <v>1.0512464977478317</v>
          </cell>
        </row>
        <row r="467">
          <cell r="E467">
            <v>0.43995482787651691</v>
          </cell>
        </row>
        <row r="468">
          <cell r="E468">
            <v>2.3581337380913232</v>
          </cell>
        </row>
        <row r="469">
          <cell r="E469">
            <v>3.605285675759121</v>
          </cell>
        </row>
      </sheetData>
      <sheetData sheetId="3">
        <row r="408">
          <cell r="E408">
            <v>6.3479069761768967</v>
          </cell>
        </row>
        <row r="409">
          <cell r="E409">
            <v>1.9971685029483144</v>
          </cell>
        </row>
        <row r="410">
          <cell r="E410">
            <v>0.42707637069141169</v>
          </cell>
        </row>
        <row r="411">
          <cell r="E411">
            <v>9.8734445243454871E-2</v>
          </cell>
        </row>
        <row r="412">
          <cell r="E412">
            <v>0.39491095188586745</v>
          </cell>
        </row>
        <row r="413">
          <cell r="E413">
            <v>-1.2306433251773359</v>
          </cell>
        </row>
        <row r="414">
          <cell r="E414">
            <v>1.7719402463060021</v>
          </cell>
        </row>
        <row r="415">
          <cell r="E415">
            <v>0.30734712010672066</v>
          </cell>
        </row>
        <row r="416">
          <cell r="E416">
            <v>-1.2119877648935298</v>
          </cell>
        </row>
        <row r="417">
          <cell r="E417">
            <v>2.7086434161891142</v>
          </cell>
        </row>
        <row r="418">
          <cell r="E418">
            <v>1.4081140163000663</v>
          </cell>
        </row>
        <row r="419">
          <cell r="E419">
            <v>-0.43764837537568624</v>
          </cell>
        </row>
        <row r="420">
          <cell r="E420">
            <v>6.3804233460626865</v>
          </cell>
        </row>
        <row r="421">
          <cell r="E421">
            <v>2.8370573031288306</v>
          </cell>
        </row>
        <row r="422">
          <cell r="E422">
            <v>-0.21447880324559515</v>
          </cell>
        </row>
        <row r="423">
          <cell r="E423">
            <v>0</v>
          </cell>
        </row>
        <row r="424">
          <cell r="E424">
            <v>4.8187968492688995</v>
          </cell>
        </row>
        <row r="425">
          <cell r="E425">
            <v>1.5963172704126067</v>
          </cell>
        </row>
        <row r="426">
          <cell r="E426">
            <v>-7</v>
          </cell>
        </row>
        <row r="427">
          <cell r="E427">
            <v>1.0403043240006329</v>
          </cell>
        </row>
        <row r="428">
          <cell r="E428">
            <v>-1.8616392449916963</v>
          </cell>
        </row>
        <row r="429">
          <cell r="E429">
            <v>-6.982041207453344</v>
          </cell>
        </row>
        <row r="430">
          <cell r="E430">
            <v>1.5153716762814526</v>
          </cell>
        </row>
        <row r="431">
          <cell r="E431">
            <v>-1.3850387162089937</v>
          </cell>
        </row>
        <row r="432">
          <cell r="E432">
            <v>-6.9648716174727205</v>
          </cell>
        </row>
        <row r="433">
          <cell r="E433">
            <v>0.66752081234139138</v>
          </cell>
        </row>
        <row r="434">
          <cell r="E434">
            <v>-2.1992222710368536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-2.9573837114887931E-2</v>
          </cell>
        </row>
        <row r="463">
          <cell r="E463">
            <v>0.34140935900378533</v>
          </cell>
        </row>
        <row r="464">
          <cell r="E464">
            <v>0.59884295065236937</v>
          </cell>
        </row>
        <row r="465">
          <cell r="E465">
            <v>0.92023167885195711</v>
          </cell>
        </row>
        <row r="466">
          <cell r="E466">
            <v>0.92023167885195711</v>
          </cell>
        </row>
        <row r="467">
          <cell r="E467">
            <v>0.79278714218752167</v>
          </cell>
        </row>
        <row r="468">
          <cell r="E468">
            <v>0.92762926719234562</v>
          </cell>
        </row>
        <row r="469">
          <cell r="E469">
            <v>2.3103733917387013</v>
          </cell>
        </row>
      </sheetData>
      <sheetData sheetId="4">
        <row r="408">
          <cell r="E408">
            <v>1.4168515952875929</v>
          </cell>
        </row>
        <row r="409">
          <cell r="E409">
            <v>2.5378038269417806</v>
          </cell>
        </row>
        <row r="410">
          <cell r="E410">
            <v>1.9403786646010408</v>
          </cell>
        </row>
        <row r="411">
          <cell r="E411">
            <v>-0.18211045905382711</v>
          </cell>
        </row>
        <row r="412">
          <cell r="E412">
            <v>8.8447474867492451E-2</v>
          </cell>
        </row>
        <row r="413">
          <cell r="E413">
            <v>-1.481798026386129</v>
          </cell>
        </row>
        <row r="414">
          <cell r="E414">
            <v>-1.6118491295443853</v>
          </cell>
        </row>
        <row r="415">
          <cell r="E415">
            <v>0.89103306002598126</v>
          </cell>
        </row>
        <row r="416">
          <cell r="E416">
            <v>0.70656308679893387</v>
          </cell>
        </row>
        <row r="417">
          <cell r="E417">
            <v>-1.8573153197099912</v>
          </cell>
        </row>
        <row r="418">
          <cell r="E418">
            <v>1.0710585647793112</v>
          </cell>
        </row>
        <row r="419">
          <cell r="E419">
            <v>0.57120318515580049</v>
          </cell>
        </row>
        <row r="420">
          <cell r="E420">
            <v>3.5995973639730958</v>
          </cell>
        </row>
        <row r="421">
          <cell r="E421">
            <v>0.34346745528911504</v>
          </cell>
        </row>
        <row r="422">
          <cell r="E422">
            <v>-1.5994644887843372</v>
          </cell>
        </row>
        <row r="423">
          <cell r="E423">
            <v>0</v>
          </cell>
        </row>
        <row r="424">
          <cell r="E424">
            <v>0.56044160163320422</v>
          </cell>
        </row>
        <row r="425">
          <cell r="E425">
            <v>-1.9604864025399809</v>
          </cell>
        </row>
        <row r="426">
          <cell r="E426">
            <v>2.2138516699775987</v>
          </cell>
        </row>
        <row r="427">
          <cell r="E427">
            <v>0.89089456505769793</v>
          </cell>
        </row>
        <row r="428">
          <cell r="E428">
            <v>-1.295389740422666</v>
          </cell>
        </row>
        <row r="429">
          <cell r="E429">
            <v>2.0037099795157784</v>
          </cell>
        </row>
        <row r="430">
          <cell r="E430">
            <v>1.3090931315479235</v>
          </cell>
        </row>
        <row r="431">
          <cell r="E431">
            <v>-0.86041087078342071</v>
          </cell>
        </row>
        <row r="432">
          <cell r="E432">
            <v>1.1517611156113243</v>
          </cell>
        </row>
        <row r="433">
          <cell r="E433">
            <v>0.3082880035690394</v>
          </cell>
        </row>
        <row r="434">
          <cell r="E434">
            <v>-1.8404322374992144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0.18003902175868816</v>
          </cell>
        </row>
        <row r="463">
          <cell r="E463">
            <v>0.80117072032916292</v>
          </cell>
        </row>
        <row r="464">
          <cell r="E464">
            <v>1.7236794815626455E-2</v>
          </cell>
        </row>
        <row r="465">
          <cell r="E465">
            <v>-3.5445578385821599</v>
          </cell>
        </row>
        <row r="466">
          <cell r="E466">
            <v>-1.5190980731061539</v>
          </cell>
        </row>
        <row r="467">
          <cell r="E467">
            <v>-0.13719907168066101</v>
          </cell>
        </row>
        <row r="468">
          <cell r="E468">
            <v>0.29519201294031433</v>
          </cell>
        </row>
        <row r="469">
          <cell r="E469">
            <v>1.8429314921640141</v>
          </cell>
        </row>
      </sheetData>
      <sheetData sheetId="5">
        <row r="408">
          <cell r="E408">
            <v>1.4168515952875929</v>
          </cell>
        </row>
        <row r="409">
          <cell r="E409">
            <v>2.5378038269417806</v>
          </cell>
        </row>
        <row r="410">
          <cell r="E410">
            <v>1.9403786646010408</v>
          </cell>
        </row>
        <row r="411">
          <cell r="E411">
            <v>-0.18211045905382711</v>
          </cell>
        </row>
        <row r="412">
          <cell r="E412">
            <v>8.8447474867492451E-2</v>
          </cell>
        </row>
        <row r="413">
          <cell r="E413">
            <v>-1.481798026386129</v>
          </cell>
        </row>
        <row r="414">
          <cell r="E414">
            <v>-1.6118491295443853</v>
          </cell>
        </row>
        <row r="415">
          <cell r="E415">
            <v>0.89103306002598126</v>
          </cell>
        </row>
        <row r="416">
          <cell r="E416">
            <v>0.70656308679893387</v>
          </cell>
        </row>
        <row r="417">
          <cell r="E417">
            <v>-1.8573153197099912</v>
          </cell>
        </row>
        <row r="418">
          <cell r="E418">
            <v>1.0710585647793112</v>
          </cell>
        </row>
        <row r="419">
          <cell r="E419">
            <v>0.57120318515580049</v>
          </cell>
        </row>
        <row r="420">
          <cell r="E420">
            <v>3.5995973639730958</v>
          </cell>
        </row>
        <row r="421">
          <cell r="E421">
            <v>0.34346745528911504</v>
          </cell>
        </row>
        <row r="422">
          <cell r="E422">
            <v>-1.5994644887843372</v>
          </cell>
        </row>
        <row r="423">
          <cell r="E423">
            <v>0</v>
          </cell>
        </row>
        <row r="424">
          <cell r="E424">
            <v>0.56044160163320422</v>
          </cell>
        </row>
        <row r="425">
          <cell r="E425">
            <v>-1.9604864025399809</v>
          </cell>
        </row>
        <row r="426">
          <cell r="E426">
            <v>2.2138516699775987</v>
          </cell>
        </row>
        <row r="427">
          <cell r="E427">
            <v>0.89089456505769793</v>
          </cell>
        </row>
        <row r="428">
          <cell r="E428">
            <v>-1.295389740422666</v>
          </cell>
        </row>
        <row r="429">
          <cell r="E429">
            <v>2.0037099795157784</v>
          </cell>
        </row>
        <row r="430">
          <cell r="E430">
            <v>1.3090931315479235</v>
          </cell>
        </row>
        <row r="431">
          <cell r="E431">
            <v>-0.86041087078342071</v>
          </cell>
        </row>
        <row r="432">
          <cell r="E432">
            <v>1.1517611156113243</v>
          </cell>
        </row>
        <row r="433">
          <cell r="E433">
            <v>0.3082880035690394</v>
          </cell>
        </row>
        <row r="434">
          <cell r="E434">
            <v>-1.8404322374992144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0.18003902175868816</v>
          </cell>
        </row>
        <row r="463">
          <cell r="E463">
            <v>0.80117072032916292</v>
          </cell>
        </row>
        <row r="464">
          <cell r="E464">
            <v>1.7236794815626455E-2</v>
          </cell>
        </row>
        <row r="465">
          <cell r="E465">
            <v>-3.5445578385821599</v>
          </cell>
        </row>
        <row r="466">
          <cell r="E466">
            <v>-1.5190980731061539</v>
          </cell>
        </row>
        <row r="467">
          <cell r="E467">
            <v>-0.13719907168066101</v>
          </cell>
        </row>
        <row r="468">
          <cell r="E468">
            <v>0.29519201294031433</v>
          </cell>
        </row>
        <row r="469">
          <cell r="E469">
            <v>1.8429314921640141</v>
          </cell>
        </row>
      </sheetData>
      <sheetData sheetId="6">
        <row r="408">
          <cell r="E408">
            <v>1.9734120957939418</v>
          </cell>
        </row>
        <row r="409">
          <cell r="E409">
            <v>3.1770054210318968</v>
          </cell>
        </row>
        <row r="410">
          <cell r="E410">
            <v>3.4179843736867594</v>
          </cell>
        </row>
        <row r="411">
          <cell r="E411">
            <v>0.41130004744666782</v>
          </cell>
        </row>
        <row r="412">
          <cell r="E412">
            <v>1.2398303317459609</v>
          </cell>
        </row>
        <row r="413">
          <cell r="E413">
            <v>0.13631788507929379</v>
          </cell>
        </row>
        <row r="414">
          <cell r="E414">
            <v>0.75729595706682873</v>
          </cell>
        </row>
        <row r="415">
          <cell r="E415">
            <v>0.11008789959488734</v>
          </cell>
        </row>
        <row r="416">
          <cell r="E416">
            <v>0.42293691678523676</v>
          </cell>
        </row>
        <row r="417">
          <cell r="E417">
            <v>-4.3582849562341947E-3</v>
          </cell>
        </row>
        <row r="418">
          <cell r="E418">
            <v>0.24721473192238075</v>
          </cell>
        </row>
        <row r="419">
          <cell r="E419">
            <v>0.20738923702841278</v>
          </cell>
        </row>
        <row r="420">
          <cell r="E420">
            <v>3.2687951593544211</v>
          </cell>
        </row>
        <row r="421">
          <cell r="E421">
            <v>0.76489851264789344</v>
          </cell>
        </row>
        <row r="422">
          <cell r="E422">
            <v>-0.78789916201269705</v>
          </cell>
        </row>
        <row r="423">
          <cell r="E423">
            <v>0</v>
          </cell>
        </row>
        <row r="424">
          <cell r="E424">
            <v>1.5957627284935656</v>
          </cell>
        </row>
        <row r="425">
          <cell r="E425">
            <v>-0.73182338816790138</v>
          </cell>
        </row>
        <row r="426">
          <cell r="E426">
            <v>2.4882592478731649</v>
          </cell>
        </row>
        <row r="427">
          <cell r="E427">
            <v>-2.6431325169015345</v>
          </cell>
        </row>
        <row r="428">
          <cell r="E428">
            <v>-1.8596233885735838</v>
          </cell>
        </row>
        <row r="429">
          <cell r="E429">
            <v>2.9150751716764773</v>
          </cell>
        </row>
        <row r="430">
          <cell r="E430">
            <v>-1.8227974803759781</v>
          </cell>
        </row>
        <row r="431">
          <cell r="E431">
            <v>-1.4651281973364874</v>
          </cell>
        </row>
        <row r="432">
          <cell r="E432">
            <v>1.9672374477481704</v>
          </cell>
        </row>
        <row r="433">
          <cell r="E433">
            <v>-3.0458146379072693</v>
          </cell>
        </row>
        <row r="434">
          <cell r="E434">
            <v>-2.5605178509078965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-9.3323643613554483E-2</v>
          </cell>
        </row>
        <row r="463">
          <cell r="E463">
            <v>0.6019502344012182</v>
          </cell>
        </row>
        <row r="464">
          <cell r="E464">
            <v>0.52055117688581609</v>
          </cell>
        </row>
        <row r="465">
          <cell r="E465">
            <v>1.8900422328242343</v>
          </cell>
        </row>
        <row r="466">
          <cell r="E466">
            <v>1.9109233794550322</v>
          </cell>
        </row>
        <row r="467">
          <cell r="E467">
            <v>-1.1532484255161255</v>
          </cell>
        </row>
        <row r="468">
          <cell r="E468">
            <v>1.0723056844191379</v>
          </cell>
        </row>
        <row r="469">
          <cell r="E469">
            <v>2.1910289036197326</v>
          </cell>
        </row>
      </sheetData>
      <sheetData sheetId="7">
        <row r="408">
          <cell r="E408">
            <v>1.4168515952875929</v>
          </cell>
        </row>
        <row r="409">
          <cell r="E409">
            <v>2.5378038269417806</v>
          </cell>
        </row>
        <row r="410">
          <cell r="E410">
            <v>1.9403786646010408</v>
          </cell>
        </row>
        <row r="411">
          <cell r="E411">
            <v>-0.18211045905382711</v>
          </cell>
        </row>
        <row r="412">
          <cell r="E412">
            <v>8.8447474867492451E-2</v>
          </cell>
        </row>
        <row r="413">
          <cell r="E413">
            <v>-1.481798026386129</v>
          </cell>
        </row>
        <row r="414">
          <cell r="E414">
            <v>-1.6118491295443853</v>
          </cell>
        </row>
        <row r="415">
          <cell r="E415">
            <v>0.89103306002598126</v>
          </cell>
        </row>
        <row r="416">
          <cell r="E416">
            <v>0.70656308679893387</v>
          </cell>
        </row>
        <row r="417">
          <cell r="E417">
            <v>-1.8573153197099912</v>
          </cell>
        </row>
        <row r="418">
          <cell r="E418">
            <v>1.0710585647793112</v>
          </cell>
        </row>
        <row r="419">
          <cell r="E419">
            <v>0.57120318515580049</v>
          </cell>
        </row>
        <row r="420">
          <cell r="E420">
            <v>3.5995973639730958</v>
          </cell>
        </row>
        <row r="421">
          <cell r="E421">
            <v>0.34346745528911504</v>
          </cell>
        </row>
        <row r="422">
          <cell r="E422">
            <v>-1.5994644887843372</v>
          </cell>
        </row>
        <row r="423">
          <cell r="E423">
            <v>0</v>
          </cell>
        </row>
        <row r="424">
          <cell r="E424">
            <v>0.56044160163320422</v>
          </cell>
        </row>
        <row r="425">
          <cell r="E425">
            <v>-1.9604864025399809</v>
          </cell>
        </row>
        <row r="426">
          <cell r="E426">
            <v>2.2138516699775987</v>
          </cell>
        </row>
        <row r="427">
          <cell r="E427">
            <v>0.89089456505769793</v>
          </cell>
        </row>
        <row r="428">
          <cell r="E428">
            <v>-1.295389740422666</v>
          </cell>
        </row>
        <row r="429">
          <cell r="E429">
            <v>2.0037099795157784</v>
          </cell>
        </row>
        <row r="430">
          <cell r="E430">
            <v>1.3090931315479235</v>
          </cell>
        </row>
        <row r="431">
          <cell r="E431">
            <v>-0.86041087078342071</v>
          </cell>
        </row>
        <row r="432">
          <cell r="E432">
            <v>1.1517611156113243</v>
          </cell>
        </row>
        <row r="433">
          <cell r="E433">
            <v>0.3082880035690394</v>
          </cell>
        </row>
        <row r="434">
          <cell r="E434">
            <v>-1.8404322374992144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-9.3323643613554483E-2</v>
          </cell>
        </row>
        <row r="463">
          <cell r="E463">
            <v>0.6019502344012182</v>
          </cell>
        </row>
        <row r="464">
          <cell r="E464">
            <v>0.52055117688581609</v>
          </cell>
        </row>
        <row r="465">
          <cell r="E465">
            <v>1.8900422328242343</v>
          </cell>
        </row>
        <row r="466">
          <cell r="E466">
            <v>1.9109233794550322</v>
          </cell>
        </row>
        <row r="467">
          <cell r="E467">
            <v>-1.1532484255161255</v>
          </cell>
        </row>
        <row r="468">
          <cell r="E468">
            <v>1.0723056844191379</v>
          </cell>
        </row>
        <row r="469">
          <cell r="E469">
            <v>2.1910289036197326</v>
          </cell>
        </row>
      </sheetData>
      <sheetData sheetId="8">
        <row r="408">
          <cell r="E408">
            <v>1.9734120957939418</v>
          </cell>
        </row>
        <row r="409">
          <cell r="E409">
            <v>3.1770054210318968</v>
          </cell>
        </row>
        <row r="410">
          <cell r="E410">
            <v>3.4179843736867594</v>
          </cell>
        </row>
        <row r="411">
          <cell r="E411">
            <v>0.41130004744666782</v>
          </cell>
        </row>
        <row r="412">
          <cell r="E412">
            <v>1.2398303317459609</v>
          </cell>
        </row>
        <row r="413">
          <cell r="E413">
            <v>0.13631788507929379</v>
          </cell>
        </row>
        <row r="414">
          <cell r="E414">
            <v>0.75729595706682873</v>
          </cell>
        </row>
        <row r="415">
          <cell r="E415">
            <v>0.11008789959488734</v>
          </cell>
        </row>
        <row r="416">
          <cell r="E416">
            <v>0.42293691678523676</v>
          </cell>
        </row>
        <row r="417">
          <cell r="E417">
            <v>-4.3582849562341947E-3</v>
          </cell>
        </row>
        <row r="418">
          <cell r="E418">
            <v>0.24721473192238075</v>
          </cell>
        </row>
        <row r="419">
          <cell r="E419">
            <v>0.20738923702841278</v>
          </cell>
        </row>
        <row r="420">
          <cell r="E420">
            <v>3.2687951593544211</v>
          </cell>
        </row>
        <row r="421">
          <cell r="E421">
            <v>0.76489851264789344</v>
          </cell>
        </row>
        <row r="422">
          <cell r="E422">
            <v>-0.78789916201269705</v>
          </cell>
        </row>
        <row r="423">
          <cell r="E423">
            <v>0</v>
          </cell>
        </row>
        <row r="424">
          <cell r="E424">
            <v>1.5957627284935656</v>
          </cell>
        </row>
        <row r="425">
          <cell r="E425">
            <v>-0.73182338816790138</v>
          </cell>
        </row>
        <row r="426">
          <cell r="E426">
            <v>2.4882592478731649</v>
          </cell>
        </row>
        <row r="427">
          <cell r="E427">
            <v>-2.6431325169015345</v>
          </cell>
        </row>
        <row r="428">
          <cell r="E428">
            <v>-1.8596233885735838</v>
          </cell>
        </row>
        <row r="429">
          <cell r="E429">
            <v>2.9150751716764773</v>
          </cell>
        </row>
        <row r="430">
          <cell r="E430">
            <v>-1.8227974803759781</v>
          </cell>
        </row>
        <row r="431">
          <cell r="E431">
            <v>-1.4651281973364874</v>
          </cell>
        </row>
        <row r="432">
          <cell r="E432">
            <v>1.9672374477481704</v>
          </cell>
        </row>
        <row r="433">
          <cell r="E433">
            <v>-3.0458146379072693</v>
          </cell>
        </row>
        <row r="434">
          <cell r="E434">
            <v>-2.5605178509078965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-9.3323643613554483E-2</v>
          </cell>
        </row>
        <row r="463">
          <cell r="E463">
            <v>0.6019502344012182</v>
          </cell>
        </row>
        <row r="464">
          <cell r="E464">
            <v>0.52055117688581609</v>
          </cell>
        </row>
        <row r="465">
          <cell r="E465">
            <v>1.8900422328242343</v>
          </cell>
        </row>
        <row r="466">
          <cell r="E466">
            <v>1.9109233794550322</v>
          </cell>
        </row>
        <row r="467">
          <cell r="E467">
            <v>-1.1532484255161255</v>
          </cell>
        </row>
        <row r="468">
          <cell r="E468">
            <v>1.0723056844191379</v>
          </cell>
        </row>
        <row r="469">
          <cell r="E469">
            <v>2.1910289036197326</v>
          </cell>
        </row>
      </sheetData>
      <sheetData sheetId="9">
        <row r="408">
          <cell r="E408">
            <v>1.9734120957939418</v>
          </cell>
        </row>
        <row r="409">
          <cell r="E409">
            <v>3.1770054210318968</v>
          </cell>
        </row>
        <row r="410">
          <cell r="E410">
            <v>3.4179843736867594</v>
          </cell>
        </row>
        <row r="411">
          <cell r="E411">
            <v>0.41130004744666782</v>
          </cell>
        </row>
        <row r="412">
          <cell r="E412">
            <v>1.2398303317459609</v>
          </cell>
        </row>
        <row r="413">
          <cell r="E413">
            <v>0.13631788507929379</v>
          </cell>
        </row>
        <row r="414">
          <cell r="E414">
            <v>0.75729595706682873</v>
          </cell>
        </row>
        <row r="415">
          <cell r="E415">
            <v>0.11008789959488734</v>
          </cell>
        </row>
        <row r="416">
          <cell r="E416">
            <v>0.42293691678523676</v>
          </cell>
        </row>
        <row r="417">
          <cell r="E417">
            <v>-4.3582849562341947E-3</v>
          </cell>
        </row>
        <row r="418">
          <cell r="E418">
            <v>0.24721473192238075</v>
          </cell>
        </row>
        <row r="419">
          <cell r="E419">
            <v>0.20738923702841278</v>
          </cell>
        </row>
        <row r="420">
          <cell r="E420">
            <v>3.2687951593544211</v>
          </cell>
        </row>
        <row r="421">
          <cell r="E421">
            <v>0.76489851264789344</v>
          </cell>
        </row>
        <row r="422">
          <cell r="E422">
            <v>-0.78789916201269705</v>
          </cell>
        </row>
        <row r="423">
          <cell r="E423">
            <v>0</v>
          </cell>
        </row>
        <row r="424">
          <cell r="E424">
            <v>1.5957627284935656</v>
          </cell>
        </row>
        <row r="425">
          <cell r="E425">
            <v>-0.73182338816790138</v>
          </cell>
        </row>
        <row r="426">
          <cell r="E426">
            <v>2.4882592478731649</v>
          </cell>
        </row>
        <row r="427">
          <cell r="E427">
            <v>-2.6431325169015345</v>
          </cell>
        </row>
        <row r="428">
          <cell r="E428">
            <v>-1.8596233885735838</v>
          </cell>
        </row>
        <row r="429">
          <cell r="E429">
            <v>2.9150751716764773</v>
          </cell>
        </row>
        <row r="430">
          <cell r="E430">
            <v>-1.8227974803759781</v>
          </cell>
        </row>
        <row r="431">
          <cell r="E431">
            <v>-1.4651281973364874</v>
          </cell>
        </row>
        <row r="432">
          <cell r="E432">
            <v>1.9672374477481704</v>
          </cell>
        </row>
        <row r="433">
          <cell r="E433">
            <v>-3.0458146379072693</v>
          </cell>
        </row>
        <row r="434">
          <cell r="E434">
            <v>-2.5605178509078965</v>
          </cell>
        </row>
        <row r="435">
          <cell r="E435">
            <v>-2.3505204046613182</v>
          </cell>
        </row>
        <row r="436">
          <cell r="E436">
            <v>-5.6817039430815885</v>
          </cell>
        </row>
        <row r="437">
          <cell r="E437">
            <v>-7.787472888668602</v>
          </cell>
        </row>
        <row r="438">
          <cell r="E438">
            <v>-4.4556271225409212</v>
          </cell>
        </row>
        <row r="439">
          <cell r="E439">
            <v>-8.0967498335842354</v>
          </cell>
        </row>
        <row r="440">
          <cell r="E440">
            <v>-7.4818583426191125</v>
          </cell>
        </row>
        <row r="441">
          <cell r="E441">
            <v>1.1919004955884664</v>
          </cell>
        </row>
        <row r="442">
          <cell r="E442">
            <v>1.7189539687424977</v>
          </cell>
        </row>
        <row r="443">
          <cell r="E443">
            <v>0.35551676923551639</v>
          </cell>
        </row>
        <row r="444">
          <cell r="E444">
            <v>1.3219805715627733</v>
          </cell>
        </row>
        <row r="445">
          <cell r="E445">
            <v>-2.3872107207716851</v>
          </cell>
        </row>
        <row r="446">
          <cell r="E446">
            <v>-2.2960717494713565</v>
          </cell>
        </row>
        <row r="447">
          <cell r="E447">
            <v>-1.8519971833468032</v>
          </cell>
        </row>
        <row r="448">
          <cell r="E448">
            <v>-6.6733333178652172</v>
          </cell>
        </row>
        <row r="449">
          <cell r="E449">
            <v>-7.484376309459793</v>
          </cell>
        </row>
        <row r="450">
          <cell r="E450">
            <v>0</v>
          </cell>
        </row>
        <row r="451">
          <cell r="E451">
            <v>-4.5729706194667621</v>
          </cell>
        </row>
        <row r="452">
          <cell r="E452">
            <v>-7.0831524149992582</v>
          </cell>
        </row>
        <row r="453">
          <cell r="E453">
            <v>-4.5792091796996726</v>
          </cell>
        </row>
        <row r="454">
          <cell r="E454">
            <v>-9.8157175798197525</v>
          </cell>
        </row>
        <row r="455">
          <cell r="E455">
            <v>-11.709876913156872</v>
          </cell>
        </row>
        <row r="456">
          <cell r="E456">
            <v>-4.4774223828813682</v>
          </cell>
        </row>
        <row r="457">
          <cell r="E457">
            <v>-9.9419122971357758</v>
          </cell>
        </row>
        <row r="458">
          <cell r="E458">
            <v>-14.025754796662577</v>
          </cell>
        </row>
        <row r="459">
          <cell r="E459">
            <v>-4.2917212345243021</v>
          </cell>
        </row>
        <row r="460">
          <cell r="E460">
            <v>-11.088069328455756</v>
          </cell>
        </row>
        <row r="461">
          <cell r="E461">
            <v>-13.188333681106254</v>
          </cell>
        </row>
        <row r="462">
          <cell r="E462">
            <v>-9.3323643613554483E-2</v>
          </cell>
        </row>
        <row r="463">
          <cell r="E463">
            <v>0.6019502344012182</v>
          </cell>
        </row>
        <row r="464">
          <cell r="E464">
            <v>0.52055117688581609</v>
          </cell>
        </row>
        <row r="465">
          <cell r="E465">
            <v>1.8900422328242343</v>
          </cell>
        </row>
        <row r="466">
          <cell r="E466">
            <v>1.9109233794550322</v>
          </cell>
        </row>
        <row r="467">
          <cell r="E467">
            <v>-1.1532484255161255</v>
          </cell>
        </row>
        <row r="468">
          <cell r="E468">
            <v>1.0723056844191379</v>
          </cell>
        </row>
        <row r="469">
          <cell r="E469">
            <v>2.1910289036197326</v>
          </cell>
        </row>
      </sheetData>
      <sheetData sheetId="10">
        <row r="411">
          <cell r="E411">
            <v>6.9155808800838923</v>
          </cell>
        </row>
        <row r="412">
          <cell r="E412">
            <v>1.29019093625246</v>
          </cell>
        </row>
        <row r="413">
          <cell r="E413">
            <v>1.3469980966817354</v>
          </cell>
        </row>
        <row r="414">
          <cell r="E414">
            <v>8.1812234173041034</v>
          </cell>
        </row>
        <row r="415">
          <cell r="E415">
            <v>1.841757571145942</v>
          </cell>
        </row>
        <row r="416">
          <cell r="E416">
            <v>17.169088474390101</v>
          </cell>
        </row>
        <row r="417">
          <cell r="E417">
            <v>0</v>
          </cell>
        </row>
        <row r="418">
          <cell r="E418">
            <v>-2.2236107421935327</v>
          </cell>
        </row>
        <row r="419">
          <cell r="E419">
            <v>-1.6268485914679052</v>
          </cell>
        </row>
        <row r="420">
          <cell r="E420">
            <v>-9.1426836539394624E-2</v>
          </cell>
        </row>
        <row r="421">
          <cell r="E421">
            <v>-3.4913495786520863</v>
          </cell>
        </row>
        <row r="422">
          <cell r="E422">
            <v>-2.0742819106962838</v>
          </cell>
        </row>
        <row r="423">
          <cell r="E423">
            <v>3.1450127825160732</v>
          </cell>
        </row>
        <row r="424">
          <cell r="E424">
            <v>-3.4136434690204598</v>
          </cell>
        </row>
        <row r="425">
          <cell r="E425">
            <v>-4.2096340712934692</v>
          </cell>
        </row>
        <row r="426">
          <cell r="E426">
            <v>0</v>
          </cell>
        </row>
        <row r="427">
          <cell r="E427">
            <v>-999</v>
          </cell>
        </row>
        <row r="428">
          <cell r="E428">
            <v>-999</v>
          </cell>
        </row>
        <row r="429">
          <cell r="E429">
            <v>4.8420209089230175</v>
          </cell>
        </row>
        <row r="430">
          <cell r="E430">
            <v>-3.3772121132837474</v>
          </cell>
        </row>
        <row r="431">
          <cell r="E431">
            <v>-3.022133117479147</v>
          </cell>
        </row>
        <row r="432">
          <cell r="E432">
            <v>5.5085260908188074</v>
          </cell>
        </row>
        <row r="433">
          <cell r="E433">
            <v>-3.1699375887121133</v>
          </cell>
        </row>
        <row r="434">
          <cell r="E434">
            <v>-2.3541348228571715</v>
          </cell>
        </row>
        <row r="435">
          <cell r="E435">
            <v>4.2713065622243782</v>
          </cell>
        </row>
        <row r="436">
          <cell r="E436">
            <v>-3.7791628617553497</v>
          </cell>
        </row>
        <row r="437">
          <cell r="E437">
            <v>-3.2430867960569971</v>
          </cell>
        </row>
        <row r="438">
          <cell r="E438">
            <v>-2.3505204046613182</v>
          </cell>
        </row>
        <row r="439">
          <cell r="E439">
            <v>-5.6817039430815885</v>
          </cell>
        </row>
        <row r="440">
          <cell r="E440">
            <v>-7.787472888668602</v>
          </cell>
        </row>
        <row r="441">
          <cell r="E441">
            <v>-4.4556271225409212</v>
          </cell>
        </row>
        <row r="442">
          <cell r="E442">
            <v>-8.0967498335842354</v>
          </cell>
        </row>
        <row r="443">
          <cell r="E443">
            <v>-7.4818583426191125</v>
          </cell>
        </row>
        <row r="444">
          <cell r="E444">
            <v>1.1919004955884664</v>
          </cell>
        </row>
        <row r="445">
          <cell r="E445">
            <v>1.7189539687424977</v>
          </cell>
        </row>
        <row r="446">
          <cell r="E446">
            <v>0.35551676923551639</v>
          </cell>
        </row>
        <row r="447">
          <cell r="E447">
            <v>1.3219805715627733</v>
          </cell>
        </row>
        <row r="448">
          <cell r="E448">
            <v>-2.3872107207716851</v>
          </cell>
        </row>
        <row r="449">
          <cell r="E449">
            <v>-2.3150366951619445</v>
          </cell>
        </row>
        <row r="450">
          <cell r="E450">
            <v>-1.8519971833468032</v>
          </cell>
        </row>
        <row r="451">
          <cell r="E451">
            <v>-6.6733333178652172</v>
          </cell>
        </row>
        <row r="452">
          <cell r="E452">
            <v>-7.484376309459793</v>
          </cell>
        </row>
        <row r="453">
          <cell r="E453">
            <v>0</v>
          </cell>
        </row>
        <row r="454">
          <cell r="E454">
            <v>-4.5729706194667621</v>
          </cell>
        </row>
        <row r="455">
          <cell r="E455">
            <v>-7.0831524149992582</v>
          </cell>
        </row>
        <row r="456">
          <cell r="E456">
            <v>-4.5792091796996726</v>
          </cell>
        </row>
        <row r="457">
          <cell r="E457">
            <v>-9.8157175798197525</v>
          </cell>
        </row>
        <row r="458">
          <cell r="E458">
            <v>-11.709876913156872</v>
          </cell>
        </row>
        <row r="459">
          <cell r="E459">
            <v>-4.4774223828813682</v>
          </cell>
        </row>
        <row r="460">
          <cell r="E460">
            <v>-9.9419122971357758</v>
          </cell>
        </row>
        <row r="461">
          <cell r="E461">
            <v>-14.025754796662577</v>
          </cell>
        </row>
        <row r="462">
          <cell r="E462">
            <v>-4.2917212345243021</v>
          </cell>
        </row>
        <row r="463">
          <cell r="E463">
            <v>-11.088069328455756</v>
          </cell>
        </row>
        <row r="464">
          <cell r="E464">
            <v>-13.188333681106254</v>
          </cell>
        </row>
        <row r="465">
          <cell r="E465">
            <v>-0.19402288048189537</v>
          </cell>
        </row>
        <row r="466">
          <cell r="E466">
            <v>1.0241025463037381</v>
          </cell>
        </row>
        <row r="467">
          <cell r="E467">
            <v>0.76895472965717282</v>
          </cell>
        </row>
        <row r="468">
          <cell r="E468">
            <v>0.94012381030816317</v>
          </cell>
        </row>
        <row r="469">
          <cell r="E469">
            <v>0.94012381030816317</v>
          </cell>
        </row>
        <row r="470">
          <cell r="E470">
            <v>-1.4182407114376705</v>
          </cell>
        </row>
        <row r="471">
          <cell r="E471">
            <v>1.0145420569089958</v>
          </cell>
        </row>
        <row r="472">
          <cell r="E472">
            <v>3.1664461327819211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0703-1F50-43E4-8A2C-6A57C44CBD2C}">
  <sheetPr>
    <tabColor theme="5"/>
  </sheetPr>
  <dimension ref="A1:DK158"/>
  <sheetViews>
    <sheetView zoomScaleNormal="100" workbookViewId="0">
      <pane xSplit="2" topLeftCell="C1" activePane="topRight" state="frozen"/>
      <selection pane="topRight" activeCell="E5" sqref="E5"/>
    </sheetView>
  </sheetViews>
  <sheetFormatPr defaultRowHeight="11.25" x14ac:dyDescent="0.2"/>
  <cols>
    <col min="1" max="1" width="22.5703125" style="103" customWidth="1"/>
    <col min="2" max="2" width="5.28515625" style="103" customWidth="1"/>
    <col min="3" max="3" width="3.85546875" style="103" customWidth="1"/>
    <col min="4" max="4" width="23.28515625" style="103" customWidth="1"/>
    <col min="5" max="39" width="8.42578125" style="103" customWidth="1"/>
    <col min="40" max="41" width="9.140625" style="103"/>
    <col min="42" max="42" width="34.140625" style="103" bestFit="1" customWidth="1"/>
    <col min="43" max="76" width="10.42578125" style="103" customWidth="1"/>
    <col min="77" max="77" width="10.5703125" style="103" bestFit="1" customWidth="1"/>
    <col min="78" max="79" width="9.140625" style="103"/>
    <col min="80" max="80" width="34.140625" style="103" bestFit="1" customWidth="1"/>
    <col min="81" max="114" width="10.42578125" style="103" customWidth="1"/>
    <col min="115" max="115" width="10.5703125" style="103" bestFit="1" customWidth="1"/>
    <col min="116" max="16384" width="9.140625" style="103"/>
  </cols>
  <sheetData>
    <row r="1" spans="1:115" s="138" customFormat="1" ht="12.75" x14ac:dyDescent="0.2">
      <c r="D1" s="20" t="s">
        <v>254</v>
      </c>
      <c r="AP1" s="139" t="s">
        <v>229</v>
      </c>
      <c r="CB1" s="139" t="s">
        <v>228</v>
      </c>
    </row>
    <row r="2" spans="1:115" x14ac:dyDescent="0.2">
      <c r="E2" s="284" t="s">
        <v>238</v>
      </c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Q2" s="284" t="s">
        <v>238</v>
      </c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CC2" s="284" t="s">
        <v>238</v>
      </c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</row>
    <row r="3" spans="1:115" ht="45.75" thickBot="1" x14ac:dyDescent="0.25">
      <c r="A3" s="104" t="s">
        <v>237</v>
      </c>
      <c r="B3" s="104"/>
      <c r="E3" s="105" t="s">
        <v>180</v>
      </c>
      <c r="F3" s="105" t="s">
        <v>183</v>
      </c>
      <c r="G3" s="105" t="s">
        <v>186</v>
      </c>
      <c r="H3" s="105" t="s">
        <v>189</v>
      </c>
      <c r="I3" s="105" t="s">
        <v>192</v>
      </c>
      <c r="J3" s="105" t="s">
        <v>195</v>
      </c>
      <c r="K3" s="105" t="s">
        <v>198</v>
      </c>
      <c r="L3" s="105" t="s">
        <v>199</v>
      </c>
      <c r="M3" s="105" t="s">
        <v>200</v>
      </c>
      <c r="N3" s="105" t="s">
        <v>201</v>
      </c>
      <c r="O3" s="105" t="s">
        <v>203</v>
      </c>
      <c r="P3" s="105" t="s">
        <v>204</v>
      </c>
      <c r="Q3" s="105" t="s">
        <v>205</v>
      </c>
      <c r="R3" s="105" t="s">
        <v>206</v>
      </c>
      <c r="S3" s="105" t="s">
        <v>207</v>
      </c>
      <c r="T3" s="105" t="s">
        <v>208</v>
      </c>
      <c r="U3" s="105" t="s">
        <v>209</v>
      </c>
      <c r="V3" s="105" t="s">
        <v>210</v>
      </c>
      <c r="W3" s="105" t="s">
        <v>197</v>
      </c>
      <c r="X3" s="105" t="s">
        <v>212</v>
      </c>
      <c r="Y3" s="105" t="s">
        <v>211</v>
      </c>
      <c r="Z3" s="105" t="s">
        <v>213</v>
      </c>
      <c r="AA3" s="105" t="s">
        <v>214</v>
      </c>
      <c r="AB3" s="105" t="s">
        <v>179</v>
      </c>
      <c r="AC3" s="105" t="s">
        <v>215</v>
      </c>
      <c r="AD3" s="105" t="s">
        <v>216</v>
      </c>
      <c r="AE3" s="105" t="s">
        <v>217</v>
      </c>
      <c r="AF3" s="105" t="s">
        <v>218</v>
      </c>
      <c r="AG3" s="105" t="s">
        <v>219</v>
      </c>
      <c r="AH3" s="105" t="s">
        <v>220</v>
      </c>
      <c r="AI3" s="105" t="s">
        <v>221</v>
      </c>
      <c r="AJ3" s="105" t="s">
        <v>222</v>
      </c>
      <c r="AK3" s="105" t="s">
        <v>223</v>
      </c>
      <c r="AL3" s="105" t="s">
        <v>224</v>
      </c>
      <c r="AM3" s="106" t="s">
        <v>1</v>
      </c>
      <c r="AQ3" s="105" t="s">
        <v>180</v>
      </c>
      <c r="AR3" s="105" t="s">
        <v>183</v>
      </c>
      <c r="AS3" s="105" t="s">
        <v>186</v>
      </c>
      <c r="AT3" s="105" t="s">
        <v>189</v>
      </c>
      <c r="AU3" s="105" t="s">
        <v>192</v>
      </c>
      <c r="AV3" s="105" t="s">
        <v>195</v>
      </c>
      <c r="AW3" s="105" t="s">
        <v>198</v>
      </c>
      <c r="AX3" s="105" t="s">
        <v>199</v>
      </c>
      <c r="AY3" s="105" t="s">
        <v>200</v>
      </c>
      <c r="AZ3" s="105" t="s">
        <v>201</v>
      </c>
      <c r="BA3" s="105" t="s">
        <v>203</v>
      </c>
      <c r="BB3" s="105" t="s">
        <v>204</v>
      </c>
      <c r="BC3" s="105" t="s">
        <v>205</v>
      </c>
      <c r="BD3" s="105" t="s">
        <v>206</v>
      </c>
      <c r="BE3" s="105" t="s">
        <v>207</v>
      </c>
      <c r="BF3" s="105" t="s">
        <v>208</v>
      </c>
      <c r="BG3" s="105" t="s">
        <v>209</v>
      </c>
      <c r="BH3" s="105" t="s">
        <v>210</v>
      </c>
      <c r="BI3" s="105" t="s">
        <v>197</v>
      </c>
      <c r="BJ3" s="105" t="s">
        <v>212</v>
      </c>
      <c r="BK3" s="105" t="s">
        <v>211</v>
      </c>
      <c r="BL3" s="105" t="s">
        <v>213</v>
      </c>
      <c r="BM3" s="105" t="s">
        <v>214</v>
      </c>
      <c r="BN3" s="105" t="s">
        <v>179</v>
      </c>
      <c r="BO3" s="105" t="s">
        <v>215</v>
      </c>
      <c r="BP3" s="105" t="s">
        <v>216</v>
      </c>
      <c r="BQ3" s="105" t="s">
        <v>217</v>
      </c>
      <c r="BR3" s="105" t="s">
        <v>218</v>
      </c>
      <c r="BS3" s="105" t="s">
        <v>219</v>
      </c>
      <c r="BT3" s="105" t="s">
        <v>220</v>
      </c>
      <c r="BU3" s="105" t="s">
        <v>221</v>
      </c>
      <c r="BV3" s="105" t="s">
        <v>222</v>
      </c>
      <c r="BW3" s="105" t="s">
        <v>223</v>
      </c>
      <c r="BX3" s="105" t="s">
        <v>224</v>
      </c>
      <c r="BY3" s="106" t="s">
        <v>1</v>
      </c>
      <c r="CC3" s="105" t="s">
        <v>180</v>
      </c>
      <c r="CD3" s="105" t="s">
        <v>183</v>
      </c>
      <c r="CE3" s="105" t="s">
        <v>186</v>
      </c>
      <c r="CF3" s="105" t="s">
        <v>189</v>
      </c>
      <c r="CG3" s="105" t="s">
        <v>192</v>
      </c>
      <c r="CH3" s="105" t="s">
        <v>195</v>
      </c>
      <c r="CI3" s="105" t="s">
        <v>198</v>
      </c>
      <c r="CJ3" s="105" t="s">
        <v>199</v>
      </c>
      <c r="CK3" s="105" t="s">
        <v>200</v>
      </c>
      <c r="CL3" s="105" t="s">
        <v>201</v>
      </c>
      <c r="CM3" s="105" t="s">
        <v>203</v>
      </c>
      <c r="CN3" s="105" t="s">
        <v>204</v>
      </c>
      <c r="CO3" s="105" t="s">
        <v>205</v>
      </c>
      <c r="CP3" s="105" t="s">
        <v>206</v>
      </c>
      <c r="CQ3" s="105" t="s">
        <v>207</v>
      </c>
      <c r="CR3" s="105" t="s">
        <v>208</v>
      </c>
      <c r="CS3" s="105" t="s">
        <v>209</v>
      </c>
      <c r="CT3" s="105" t="s">
        <v>210</v>
      </c>
      <c r="CU3" s="105" t="s">
        <v>197</v>
      </c>
      <c r="CV3" s="105" t="s">
        <v>212</v>
      </c>
      <c r="CW3" s="105" t="s">
        <v>211</v>
      </c>
      <c r="CX3" s="105" t="s">
        <v>213</v>
      </c>
      <c r="CY3" s="105" t="s">
        <v>214</v>
      </c>
      <c r="CZ3" s="105" t="s">
        <v>179</v>
      </c>
      <c r="DA3" s="105" t="s">
        <v>215</v>
      </c>
      <c r="DB3" s="105" t="s">
        <v>216</v>
      </c>
      <c r="DC3" s="105" t="s">
        <v>217</v>
      </c>
      <c r="DD3" s="105" t="s">
        <v>218</v>
      </c>
      <c r="DE3" s="105" t="s">
        <v>219</v>
      </c>
      <c r="DF3" s="105" t="s">
        <v>220</v>
      </c>
      <c r="DG3" s="105" t="s">
        <v>221</v>
      </c>
      <c r="DH3" s="105" t="s">
        <v>222</v>
      </c>
      <c r="DI3" s="105" t="s">
        <v>223</v>
      </c>
      <c r="DJ3" s="105" t="s">
        <v>224</v>
      </c>
      <c r="DK3" s="106" t="s">
        <v>1</v>
      </c>
    </row>
    <row r="4" spans="1:115" x14ac:dyDescent="0.2">
      <c r="C4" s="285" t="s">
        <v>236</v>
      </c>
      <c r="D4" s="107" t="s">
        <v>180</v>
      </c>
      <c r="E4" s="108">
        <f>IFERROR(VLOOKUP(CONCATENATE($A$15,"-",$A$12, "-", $D4, "-", E$3, "-", $A$9),OBS_District_Flows!$A:$K, 6,FALSE),0)</f>
        <v>0</v>
      </c>
      <c r="F4" s="109">
        <f>IFERROR(VLOOKUP(CONCATENATE($A$15,"-",$A$12, "-", $D4, "-", F$3, "-", $A$9),OBS_District_Flows!$A:$K, 6,FALSE),0)</f>
        <v>0</v>
      </c>
      <c r="G4" s="109">
        <f>IFERROR(VLOOKUP(CONCATENATE($A$15,"-",$A$12, "-", $D4, "-", G$3, "-", $A$9),OBS_District_Flows!$A:$K, 6,FALSE),0)</f>
        <v>0</v>
      </c>
      <c r="H4" s="109">
        <f>IFERROR(VLOOKUP(CONCATENATE($A$15,"-",$A$12, "-", $D4, "-", H$3, "-", $A$9),OBS_District_Flows!$A:$K, 6,FALSE),0)</f>
        <v>0</v>
      </c>
      <c r="I4" s="109">
        <f>IFERROR(VLOOKUP(CONCATENATE($A$15,"-",$A$12, "-", $D4, "-", I$3, "-", $A$9),OBS_District_Flows!$A:$K, 6,FALSE),0)</f>
        <v>0</v>
      </c>
      <c r="J4" s="109">
        <f>IFERROR(VLOOKUP(CONCATENATE($A$15,"-",$A$12, "-", $D4, "-", J$3, "-", $A$9),OBS_District_Flows!$A:$K, 6,FALSE),0)</f>
        <v>0</v>
      </c>
      <c r="K4" s="109">
        <f>IFERROR(VLOOKUP(CONCATENATE($A$15,"-",$A$12, "-", $D4, "-", K$3, "-", $A$9),OBS_District_Flows!$A:$K, 6,FALSE),0)</f>
        <v>0</v>
      </c>
      <c r="L4" s="109">
        <f>IFERROR(VLOOKUP(CONCATENATE($A$15,"-",$A$12, "-", $D4, "-", L$3, "-", $A$9),OBS_District_Flows!$A:$K, 6,FALSE),0)</f>
        <v>0</v>
      </c>
      <c r="M4" s="109">
        <f>IFERROR(VLOOKUP(CONCATENATE($A$15,"-",$A$12, "-", $D4, "-", M$3, "-", $A$9),OBS_District_Flows!$A:$K, 6,FALSE),0)</f>
        <v>0</v>
      </c>
      <c r="N4" s="109">
        <f>IFERROR(VLOOKUP(CONCATENATE($A$15,"-",$A$12, "-", $D4, "-", N$3, "-", $A$9),OBS_District_Flows!$A:$K, 6,FALSE),0)</f>
        <v>0</v>
      </c>
      <c r="O4" s="109">
        <f>IFERROR(VLOOKUP(CONCATENATE($A$15,"-",$A$12, "-", $D4, "-", O$3, "-", $A$9),OBS_District_Flows!$A:$K, 6,FALSE),0)</f>
        <v>0</v>
      </c>
      <c r="P4" s="109">
        <f>IFERROR(VLOOKUP(CONCATENATE($A$15,"-",$A$12, "-", $D4, "-", P$3, "-", $A$9),OBS_District_Flows!$A:$K, 6,FALSE),0)</f>
        <v>0</v>
      </c>
      <c r="Q4" s="109">
        <f>IFERROR(VLOOKUP(CONCATENATE($A$15,"-",$A$12, "-", $D4, "-", Q$3, "-", $A$9),OBS_District_Flows!$A:$K, 6,FALSE),0)</f>
        <v>0</v>
      </c>
      <c r="R4" s="109">
        <f>IFERROR(VLOOKUP(CONCATENATE($A$15,"-",$A$12, "-", $D4, "-", R$3, "-", $A$9),OBS_District_Flows!$A:$K, 6,FALSE),0)</f>
        <v>0</v>
      </c>
      <c r="S4" s="109">
        <f>IFERROR(VLOOKUP(CONCATENATE($A$15,"-",$A$12, "-", $D4, "-", S$3, "-", $A$9),OBS_District_Flows!$A:$K, 6,FALSE),0)</f>
        <v>0</v>
      </c>
      <c r="T4" s="109">
        <f>IFERROR(VLOOKUP(CONCATENATE($A$15,"-",$A$12, "-", $D4, "-", T$3, "-", $A$9),OBS_District_Flows!$A:$K, 6,FALSE),0)</f>
        <v>0</v>
      </c>
      <c r="U4" s="109">
        <f>IFERROR(VLOOKUP(CONCATENATE($A$15,"-",$A$12, "-", $D4, "-", U$3, "-", $A$9),OBS_District_Flows!$A:$K, 6,FALSE),0)</f>
        <v>0</v>
      </c>
      <c r="V4" s="109">
        <f>IFERROR(VLOOKUP(CONCATENATE($A$15,"-",$A$12, "-", $D4, "-", V$3, "-", $A$9),OBS_District_Flows!$A:$K, 6,FALSE),0)</f>
        <v>0</v>
      </c>
      <c r="W4" s="109">
        <f>IFERROR(VLOOKUP(CONCATENATE($A$15,"-",$A$12, "-", $D4, "-", W$3, "-", $A$9),OBS_District_Flows!$A:$K, 6,FALSE),0)</f>
        <v>0</v>
      </c>
      <c r="X4" s="109">
        <f>IFERROR(VLOOKUP(CONCATENATE($A$15,"-",$A$12, "-", $D4, "-", X$3, "-", $A$9),OBS_District_Flows!$A:$K, 6,FALSE),0)</f>
        <v>0</v>
      </c>
      <c r="Y4" s="109">
        <f>IFERROR(VLOOKUP(CONCATENATE($A$15,"-",$A$12, "-", $D4, "-", Y$3, "-", $A$9),OBS_District_Flows!$A:$K, 6,FALSE),0)</f>
        <v>0</v>
      </c>
      <c r="Z4" s="109">
        <f>IFERROR(VLOOKUP(CONCATENATE($A$15,"-",$A$12, "-", $D4, "-", Z$3, "-", $A$9),OBS_District_Flows!$A:$K, 6,FALSE),0)</f>
        <v>0</v>
      </c>
      <c r="AA4" s="109">
        <f>IFERROR(VLOOKUP(CONCATENATE($A$15,"-",$A$12, "-", $D4, "-", AA$3, "-", $A$9),OBS_District_Flows!$A:$K, 6,FALSE),0)</f>
        <v>0</v>
      </c>
      <c r="AB4" s="109">
        <f>IFERROR(VLOOKUP(CONCATENATE($A$15,"-",$A$12, "-", $D4, "-", AB$3, "-", $A$9),OBS_District_Flows!$A:$K, 6,FALSE),0)</f>
        <v>0</v>
      </c>
      <c r="AC4" s="109">
        <f>IFERROR(VLOOKUP(CONCATENATE($A$15,"-",$A$12, "-", $D4, "-", AC$3, "-", $A$9),OBS_District_Flows!$A:$K, 6,FALSE),0)</f>
        <v>0</v>
      </c>
      <c r="AD4" s="109">
        <f>IFERROR(VLOOKUP(CONCATENATE($A$15,"-",$A$12, "-", $D4, "-", AD$3, "-", $A$9),OBS_District_Flows!$A:$K, 6,FALSE),0)</f>
        <v>0</v>
      </c>
      <c r="AE4" s="109">
        <f>IFERROR(VLOOKUP(CONCATENATE($A$15,"-",$A$12, "-", $D4, "-", AE$3, "-", $A$9),OBS_District_Flows!$A:$K, 6,FALSE),0)</f>
        <v>0</v>
      </c>
      <c r="AF4" s="109">
        <f>IFERROR(VLOOKUP(CONCATENATE($A$15,"-",$A$12, "-", $D4, "-", AF$3, "-", $A$9),OBS_District_Flows!$A:$K, 6,FALSE),0)</f>
        <v>0</v>
      </c>
      <c r="AG4" s="109">
        <f>IFERROR(VLOOKUP(CONCATENATE($A$15,"-",$A$12, "-", $D4, "-", AG$3, "-", $A$9),OBS_District_Flows!$A:$K, 6,FALSE),0)</f>
        <v>0</v>
      </c>
      <c r="AH4" s="109">
        <f>IFERROR(VLOOKUP(CONCATENATE($A$15,"-",$A$12, "-", $D4, "-", AH$3, "-", $A$9),OBS_District_Flows!$A:$K, 6,FALSE),0)</f>
        <v>0</v>
      </c>
      <c r="AI4" s="109">
        <f>IFERROR(VLOOKUP(CONCATENATE($A$15,"-",$A$12, "-", $D4, "-", AI$3, "-", $A$9),OBS_District_Flows!$A:$K, 6,FALSE),0)</f>
        <v>0</v>
      </c>
      <c r="AJ4" s="109">
        <f>IFERROR(VLOOKUP(CONCATENATE($A$15,"-",$A$12, "-", $D4, "-", AJ$3, "-", $A$9),OBS_District_Flows!$A:$K, 6,FALSE),0)</f>
        <v>0</v>
      </c>
      <c r="AK4" s="109">
        <f>IFERROR(VLOOKUP(CONCATENATE($A$15,"-",$A$12, "-", $D4, "-", AK$3, "-", $A$9),OBS_District_Flows!$A:$K, 6,FALSE),0)</f>
        <v>0</v>
      </c>
      <c r="AL4" s="110">
        <f>IFERROR(VLOOKUP(CONCATENATE($A$15,"-",$A$12, "-", $D4, "-", AL$3, "-", $A$9),OBS_District_Flows!$A:$K, 6,FALSE),0)</f>
        <v>0</v>
      </c>
      <c r="AM4" s="111">
        <f t="shared" ref="AM4:AM37" si="0">SUM(E4:AL4)</f>
        <v>0</v>
      </c>
      <c r="AO4" s="286" t="s">
        <v>236</v>
      </c>
      <c r="AP4" s="107" t="s">
        <v>180</v>
      </c>
      <c r="AQ4" s="112" t="str">
        <f t="shared" ref="AQ4:AQ38" si="1">IF($AM4&gt;0,E4/$AM4, "")</f>
        <v/>
      </c>
      <c r="AR4" s="113" t="str">
        <f t="shared" ref="AR4:AR38" si="2">IF($AM4&gt;0,F4/$AM4, "")</f>
        <v/>
      </c>
      <c r="AS4" s="113" t="str">
        <f t="shared" ref="AS4:AS38" si="3">IF($AM4&gt;0,G4/$AM4, "")</f>
        <v/>
      </c>
      <c r="AT4" s="113" t="str">
        <f t="shared" ref="AT4:AT38" si="4">IF($AM4&gt;0,H4/$AM4, "")</f>
        <v/>
      </c>
      <c r="AU4" s="113" t="str">
        <f t="shared" ref="AU4:AU38" si="5">IF($AM4&gt;0,I4/$AM4, "")</f>
        <v/>
      </c>
      <c r="AV4" s="113" t="str">
        <f t="shared" ref="AV4:AV38" si="6">IF($AM4&gt;0,J4/$AM4, "")</f>
        <v/>
      </c>
      <c r="AW4" s="113" t="str">
        <f t="shared" ref="AW4:AW38" si="7">IF($AM4&gt;0,K4/$AM4, "")</f>
        <v/>
      </c>
      <c r="AX4" s="113" t="str">
        <f t="shared" ref="AX4:AX38" si="8">IF($AM4&gt;0,L4/$AM4, "")</f>
        <v/>
      </c>
      <c r="AY4" s="113" t="str">
        <f t="shared" ref="AY4:AY38" si="9">IF($AM4&gt;0,M4/$AM4, "")</f>
        <v/>
      </c>
      <c r="AZ4" s="113" t="str">
        <f t="shared" ref="AZ4:AZ38" si="10">IF($AM4&gt;0,N4/$AM4, "")</f>
        <v/>
      </c>
      <c r="BA4" s="113" t="str">
        <f t="shared" ref="BA4:BA38" si="11">IF($AM4&gt;0,O4/$AM4, "")</f>
        <v/>
      </c>
      <c r="BB4" s="113" t="str">
        <f t="shared" ref="BB4:BB38" si="12">IF($AM4&gt;0,P4/$AM4, "")</f>
        <v/>
      </c>
      <c r="BC4" s="113" t="str">
        <f t="shared" ref="BC4:BC38" si="13">IF($AM4&gt;0,Q4/$AM4, "")</f>
        <v/>
      </c>
      <c r="BD4" s="113" t="str">
        <f t="shared" ref="BD4:BD38" si="14">IF($AM4&gt;0,R4/$AM4, "")</f>
        <v/>
      </c>
      <c r="BE4" s="113" t="str">
        <f t="shared" ref="BE4:BE38" si="15">IF($AM4&gt;0,S4/$AM4, "")</f>
        <v/>
      </c>
      <c r="BF4" s="113" t="str">
        <f t="shared" ref="BF4:BF38" si="16">IF($AM4&gt;0,T4/$AM4, "")</f>
        <v/>
      </c>
      <c r="BG4" s="113" t="str">
        <f t="shared" ref="BG4:BG38" si="17">IF($AM4&gt;0,U4/$AM4, "")</f>
        <v/>
      </c>
      <c r="BH4" s="113" t="str">
        <f t="shared" ref="BH4:BH38" si="18">IF($AM4&gt;0,V4/$AM4, "")</f>
        <v/>
      </c>
      <c r="BI4" s="113" t="str">
        <f t="shared" ref="BI4:BI38" si="19">IF($AM4&gt;0,W4/$AM4, "")</f>
        <v/>
      </c>
      <c r="BJ4" s="113" t="str">
        <f t="shared" ref="BJ4:BJ38" si="20">IF($AM4&gt;0,X4/$AM4, "")</f>
        <v/>
      </c>
      <c r="BK4" s="113" t="str">
        <f t="shared" ref="BK4:BK38" si="21">IF($AM4&gt;0,Y4/$AM4, "")</f>
        <v/>
      </c>
      <c r="BL4" s="113" t="str">
        <f t="shared" ref="BL4:BL38" si="22">IF($AM4&gt;0,Z4/$AM4, "")</f>
        <v/>
      </c>
      <c r="BM4" s="113" t="str">
        <f t="shared" ref="BM4:BM38" si="23">IF($AM4&gt;0,AA4/$AM4, "")</f>
        <v/>
      </c>
      <c r="BN4" s="113" t="str">
        <f t="shared" ref="BN4:BN38" si="24">IF($AM4&gt;0,AB4/$AM4, "")</f>
        <v/>
      </c>
      <c r="BO4" s="113" t="str">
        <f t="shared" ref="BO4:BO38" si="25">IF($AM4&gt;0,AC4/$AM4, "")</f>
        <v/>
      </c>
      <c r="BP4" s="113" t="str">
        <f t="shared" ref="BP4:BP38" si="26">IF($AM4&gt;0,AD4/$AM4, "")</f>
        <v/>
      </c>
      <c r="BQ4" s="113" t="str">
        <f t="shared" ref="BQ4:BQ38" si="27">IF($AM4&gt;0,AE4/$AM4, "")</f>
        <v/>
      </c>
      <c r="BR4" s="113" t="str">
        <f t="shared" ref="BR4:BR38" si="28">IF($AM4&gt;0,AF4/$AM4, "")</f>
        <v/>
      </c>
      <c r="BS4" s="113" t="str">
        <f t="shared" ref="BS4:BS38" si="29">IF($AM4&gt;0,AG4/$AM4, "")</f>
        <v/>
      </c>
      <c r="BT4" s="113" t="str">
        <f t="shared" ref="BT4:BT38" si="30">IF($AM4&gt;0,AH4/$AM4, "")</f>
        <v/>
      </c>
      <c r="BU4" s="113" t="str">
        <f t="shared" ref="BU4:BU38" si="31">IF($AM4&gt;0,AI4/$AM4, "")</f>
        <v/>
      </c>
      <c r="BV4" s="113" t="str">
        <f t="shared" ref="BV4:BV38" si="32">IF($AM4&gt;0,AJ4/$AM4, "")</f>
        <v/>
      </c>
      <c r="BW4" s="113" t="str">
        <f t="shared" ref="BW4:BW38" si="33">IF($AM4&gt;0,AK4/$AM4, "")</f>
        <v/>
      </c>
      <c r="BX4" s="114" t="str">
        <f t="shared" ref="BX4:BX38" si="34">IF($AM4&gt;0,AL4/$AM4, "")</f>
        <v/>
      </c>
      <c r="BY4" s="115" t="str">
        <f t="shared" ref="BY4:BY38" si="35">IF($AM4&gt;0,AM4/$AM4, "")</f>
        <v/>
      </c>
      <c r="CA4" s="286" t="s">
        <v>236</v>
      </c>
      <c r="CB4" s="107" t="s">
        <v>180</v>
      </c>
      <c r="CC4" s="112" t="str">
        <f t="shared" ref="CC4:CC38" si="36">IF(E$38&gt;0, E4/E$38, "")</f>
        <v/>
      </c>
      <c r="CD4" s="113" t="str">
        <f t="shared" ref="CD4:CD38" si="37">IF(F$38&gt;0, F4/F$38, "")</f>
        <v/>
      </c>
      <c r="CE4" s="113" t="str">
        <f t="shared" ref="CE4:CE38" si="38">IF(G$38&gt;0, G4/G$38, "")</f>
        <v/>
      </c>
      <c r="CF4" s="113" t="str">
        <f t="shared" ref="CF4:CF38" si="39">IF(H$38&gt;0, H4/H$38, "")</f>
        <v/>
      </c>
      <c r="CG4" s="113" t="str">
        <f t="shared" ref="CG4:CG38" si="40">IF(I$38&gt;0, I4/I$38, "")</f>
        <v/>
      </c>
      <c r="CH4" s="113" t="str">
        <f t="shared" ref="CH4:CH38" si="41">IF(J$38&gt;0, J4/J$38, "")</f>
        <v/>
      </c>
      <c r="CI4" s="113" t="str">
        <f t="shared" ref="CI4:CI38" si="42">IF(K$38&gt;0, K4/K$38, "")</f>
        <v/>
      </c>
      <c r="CJ4" s="113" t="str">
        <f t="shared" ref="CJ4:CJ38" si="43">IF(L$38&gt;0, L4/L$38, "")</f>
        <v/>
      </c>
      <c r="CK4" s="113" t="str">
        <f t="shared" ref="CK4:CK38" si="44">IF(M$38&gt;0, M4/M$38, "")</f>
        <v/>
      </c>
      <c r="CL4" s="113" t="str">
        <f t="shared" ref="CL4:CL38" si="45">IF(N$38&gt;0, N4/N$38, "")</f>
        <v/>
      </c>
      <c r="CM4" s="113" t="str">
        <f t="shared" ref="CM4:CM38" si="46">IF(O$38&gt;0, O4/O$38, "")</f>
        <v/>
      </c>
      <c r="CN4" s="113" t="str">
        <f t="shared" ref="CN4:CN38" si="47">IF(P$38&gt;0, P4/P$38, "")</f>
        <v/>
      </c>
      <c r="CO4" s="113" t="str">
        <f t="shared" ref="CO4:CO38" si="48">IF(Q$38&gt;0, Q4/Q$38, "")</f>
        <v/>
      </c>
      <c r="CP4" s="113" t="str">
        <f t="shared" ref="CP4:CP38" si="49">IF(R$38&gt;0, R4/R$38, "")</f>
        <v/>
      </c>
      <c r="CQ4" s="113" t="str">
        <f t="shared" ref="CQ4:CQ38" si="50">IF(S$38&gt;0, S4/S$38, "")</f>
        <v/>
      </c>
      <c r="CR4" s="113" t="str">
        <f t="shared" ref="CR4:CR38" si="51">IF(T$38&gt;0, T4/T$38, "")</f>
        <v/>
      </c>
      <c r="CS4" s="113" t="str">
        <f t="shared" ref="CS4:CS38" si="52">IF(U$38&gt;0, U4/U$38, "")</f>
        <v/>
      </c>
      <c r="CT4" s="113" t="str">
        <f t="shared" ref="CT4:CT38" si="53">IF(V$38&gt;0, V4/V$38, "")</f>
        <v/>
      </c>
      <c r="CU4" s="113" t="str">
        <f t="shared" ref="CU4:CU38" si="54">IF(W$38&gt;0, W4/W$38, "")</f>
        <v/>
      </c>
      <c r="CV4" s="113" t="str">
        <f t="shared" ref="CV4:CV38" si="55">IF(X$38&gt;0, X4/X$38, "")</f>
        <v/>
      </c>
      <c r="CW4" s="113" t="str">
        <f t="shared" ref="CW4:CW38" si="56">IF(Y$38&gt;0, Y4/Y$38, "")</f>
        <v/>
      </c>
      <c r="CX4" s="113" t="str">
        <f t="shared" ref="CX4:CX38" si="57">IF(Z$38&gt;0, Z4/Z$38, "")</f>
        <v/>
      </c>
      <c r="CY4" s="113" t="str">
        <f t="shared" ref="CY4:CY38" si="58">IF(AA$38&gt;0, AA4/AA$38, "")</f>
        <v/>
      </c>
      <c r="CZ4" s="113" t="str">
        <f t="shared" ref="CZ4:CZ38" si="59">IF(AB$38&gt;0, AB4/AB$38, "")</f>
        <v/>
      </c>
      <c r="DA4" s="113" t="str">
        <f t="shared" ref="DA4:DA38" si="60">IF(AC$38&gt;0, AC4/AC$38, "")</f>
        <v/>
      </c>
      <c r="DB4" s="113" t="str">
        <f t="shared" ref="DB4:DB38" si="61">IF(AD$38&gt;0, AD4/AD$38, "")</f>
        <v/>
      </c>
      <c r="DC4" s="113" t="str">
        <f t="shared" ref="DC4:DC38" si="62">IF(AE$38&gt;0, AE4/AE$38, "")</f>
        <v/>
      </c>
      <c r="DD4" s="113" t="str">
        <f t="shared" ref="DD4:DD38" si="63">IF(AF$38&gt;0, AF4/AF$38, "")</f>
        <v/>
      </c>
      <c r="DE4" s="113" t="str">
        <f t="shared" ref="DE4:DE38" si="64">IF(AG$38&gt;0, AG4/AG$38, "")</f>
        <v/>
      </c>
      <c r="DF4" s="113" t="str">
        <f t="shared" ref="DF4:DF38" si="65">IF(AH$38&gt;0, AH4/AH$38, "")</f>
        <v/>
      </c>
      <c r="DG4" s="113" t="str">
        <f t="shared" ref="DG4:DG38" si="66">IF(AI$38&gt;0, AI4/AI$38, "")</f>
        <v/>
      </c>
      <c r="DH4" s="113" t="str">
        <f t="shared" ref="DH4:DH38" si="67">IF(AJ$38&gt;0, AJ4/AJ$38, "")</f>
        <v/>
      </c>
      <c r="DI4" s="113" t="str">
        <f t="shared" ref="DI4:DI38" si="68">IF(AK$38&gt;0, AK4/AK$38, "")</f>
        <v/>
      </c>
      <c r="DJ4" s="114" t="str">
        <f t="shared" ref="DJ4:DJ38" si="69">IF(AL$38&gt;0, AL4/AL$38, "")</f>
        <v/>
      </c>
      <c r="DK4" s="115" t="str">
        <f t="shared" ref="DK4:DK38" si="70">IF(AM$38&gt;0, AM4/AM$38, "")</f>
        <v/>
      </c>
    </row>
    <row r="5" spans="1:115" x14ac:dyDescent="0.2">
      <c r="A5" s="116" t="s">
        <v>235</v>
      </c>
      <c r="B5" s="117"/>
      <c r="C5" s="285"/>
      <c r="D5" s="107" t="s">
        <v>183</v>
      </c>
      <c r="E5" s="118">
        <f>IFERROR(VLOOKUP(CONCATENATE($A$15,"-",$A$12, "-", $D5, "-", E$3, "-", $A$9),OBS_District_Flows!$A:$K, 6,FALSE),0)</f>
        <v>0</v>
      </c>
      <c r="F5" s="119">
        <f>IFERROR(VLOOKUP(CONCATENATE($A$15,"-",$A$12, "-", $D5, "-", F$3, "-", $A$9),OBS_District_Flows!$A:$K, 6,FALSE),0)</f>
        <v>0</v>
      </c>
      <c r="G5" s="119">
        <f>IFERROR(VLOOKUP(CONCATENATE($A$15,"-",$A$12, "-", $D5, "-", G$3, "-", $A$9),OBS_District_Flows!$A:$K, 6,FALSE),0)</f>
        <v>0</v>
      </c>
      <c r="H5" s="119">
        <f>IFERROR(VLOOKUP(CONCATENATE($A$15,"-",$A$12, "-", $D5, "-", H$3, "-", $A$9),OBS_District_Flows!$A:$K, 6,FALSE),0)</f>
        <v>0</v>
      </c>
      <c r="I5" s="119">
        <f>IFERROR(VLOOKUP(CONCATENATE($A$15,"-",$A$12, "-", $D5, "-", I$3, "-", $A$9),OBS_District_Flows!$A:$K, 6,FALSE),0)</f>
        <v>0</v>
      </c>
      <c r="J5" s="119">
        <f>IFERROR(VLOOKUP(CONCATENATE($A$15,"-",$A$12, "-", $D5, "-", J$3, "-", $A$9),OBS_District_Flows!$A:$K, 6,FALSE),0)</f>
        <v>0</v>
      </c>
      <c r="K5" s="119">
        <f>IFERROR(VLOOKUP(CONCATENATE($A$15,"-",$A$12, "-", $D5, "-", K$3, "-", $A$9),OBS_District_Flows!$A:$K, 6,FALSE),0)</f>
        <v>0</v>
      </c>
      <c r="L5" s="119">
        <f>IFERROR(VLOOKUP(CONCATENATE($A$15,"-",$A$12, "-", $D5, "-", L$3, "-", $A$9),OBS_District_Flows!$A:$K, 6,FALSE),0)</f>
        <v>0</v>
      </c>
      <c r="M5" s="119">
        <f>IFERROR(VLOOKUP(CONCATENATE($A$15,"-",$A$12, "-", $D5, "-", M$3, "-", $A$9),OBS_District_Flows!$A:$K, 6,FALSE),0)</f>
        <v>0</v>
      </c>
      <c r="N5" s="119">
        <f>IFERROR(VLOOKUP(CONCATENATE($A$15,"-",$A$12, "-", $D5, "-", N$3, "-", $A$9),OBS_District_Flows!$A:$K, 6,FALSE),0)</f>
        <v>0</v>
      </c>
      <c r="O5" s="119">
        <f>IFERROR(VLOOKUP(CONCATENATE($A$15,"-",$A$12, "-", $D5, "-", O$3, "-", $A$9),OBS_District_Flows!$A:$K, 6,FALSE),0)</f>
        <v>0</v>
      </c>
      <c r="P5" s="119">
        <f>IFERROR(VLOOKUP(CONCATENATE($A$15,"-",$A$12, "-", $D5, "-", P$3, "-", $A$9),OBS_District_Flows!$A:$K, 6,FALSE),0)</f>
        <v>0</v>
      </c>
      <c r="Q5" s="119">
        <f>IFERROR(VLOOKUP(CONCATENATE($A$15,"-",$A$12, "-", $D5, "-", Q$3, "-", $A$9),OBS_District_Flows!$A:$K, 6,FALSE),0)</f>
        <v>0</v>
      </c>
      <c r="R5" s="119">
        <f>IFERROR(VLOOKUP(CONCATENATE($A$15,"-",$A$12, "-", $D5, "-", R$3, "-", $A$9),OBS_District_Flows!$A:$K, 6,FALSE),0)</f>
        <v>0</v>
      </c>
      <c r="S5" s="119">
        <f>IFERROR(VLOOKUP(CONCATENATE($A$15,"-",$A$12, "-", $D5, "-", S$3, "-", $A$9),OBS_District_Flows!$A:$K, 6,FALSE),0)</f>
        <v>0</v>
      </c>
      <c r="T5" s="119">
        <f>IFERROR(VLOOKUP(CONCATENATE($A$15,"-",$A$12, "-", $D5, "-", T$3, "-", $A$9),OBS_District_Flows!$A:$K, 6,FALSE),0)</f>
        <v>0</v>
      </c>
      <c r="U5" s="119">
        <f>IFERROR(VLOOKUP(CONCATENATE($A$15,"-",$A$12, "-", $D5, "-", U$3, "-", $A$9),OBS_District_Flows!$A:$K, 6,FALSE),0)</f>
        <v>0</v>
      </c>
      <c r="V5" s="119">
        <f>IFERROR(VLOOKUP(CONCATENATE($A$15,"-",$A$12, "-", $D5, "-", V$3, "-", $A$9),OBS_District_Flows!$A:$K, 6,FALSE),0)</f>
        <v>0</v>
      </c>
      <c r="W5" s="119">
        <f>IFERROR(VLOOKUP(CONCATENATE($A$15,"-",$A$12, "-", $D5, "-", W$3, "-", $A$9),OBS_District_Flows!$A:$K, 6,FALSE),0)</f>
        <v>0</v>
      </c>
      <c r="X5" s="119">
        <f>IFERROR(VLOOKUP(CONCATENATE($A$15,"-",$A$12, "-", $D5, "-", X$3, "-", $A$9),OBS_District_Flows!$A:$K, 6,FALSE),0)</f>
        <v>0</v>
      </c>
      <c r="Y5" s="119">
        <f>IFERROR(VLOOKUP(CONCATENATE($A$15,"-",$A$12, "-", $D5, "-", Y$3, "-", $A$9),OBS_District_Flows!$A:$K, 6,FALSE),0)</f>
        <v>0</v>
      </c>
      <c r="Z5" s="119">
        <f>IFERROR(VLOOKUP(CONCATENATE($A$15,"-",$A$12, "-", $D5, "-", Z$3, "-", $A$9),OBS_District_Flows!$A:$K, 6,FALSE),0)</f>
        <v>0</v>
      </c>
      <c r="AA5" s="119">
        <f>IFERROR(VLOOKUP(CONCATENATE($A$15,"-",$A$12, "-", $D5, "-", AA$3, "-", $A$9),OBS_District_Flows!$A:$K, 6,FALSE),0)</f>
        <v>0</v>
      </c>
      <c r="AB5" s="119">
        <f>IFERROR(VLOOKUP(CONCATENATE($A$15,"-",$A$12, "-", $D5, "-", AB$3, "-", $A$9),OBS_District_Flows!$A:$K, 6,FALSE),0)</f>
        <v>0</v>
      </c>
      <c r="AC5" s="119">
        <f>IFERROR(VLOOKUP(CONCATENATE($A$15,"-",$A$12, "-", $D5, "-", AC$3, "-", $A$9),OBS_District_Flows!$A:$K, 6,FALSE),0)</f>
        <v>0</v>
      </c>
      <c r="AD5" s="119">
        <f>IFERROR(VLOOKUP(CONCATENATE($A$15,"-",$A$12, "-", $D5, "-", AD$3, "-", $A$9),OBS_District_Flows!$A:$K, 6,FALSE),0)</f>
        <v>0</v>
      </c>
      <c r="AE5" s="119">
        <f>IFERROR(VLOOKUP(CONCATENATE($A$15,"-",$A$12, "-", $D5, "-", AE$3, "-", $A$9),OBS_District_Flows!$A:$K, 6,FALSE),0)</f>
        <v>0</v>
      </c>
      <c r="AF5" s="119">
        <f>IFERROR(VLOOKUP(CONCATENATE($A$15,"-",$A$12, "-", $D5, "-", AF$3, "-", $A$9),OBS_District_Flows!$A:$K, 6,FALSE),0)</f>
        <v>0</v>
      </c>
      <c r="AG5" s="119">
        <f>IFERROR(VLOOKUP(CONCATENATE($A$15,"-",$A$12, "-", $D5, "-", AG$3, "-", $A$9),OBS_District_Flows!$A:$K, 6,FALSE),0)</f>
        <v>0</v>
      </c>
      <c r="AH5" s="119">
        <f>IFERROR(VLOOKUP(CONCATENATE($A$15,"-",$A$12, "-", $D5, "-", AH$3, "-", $A$9),OBS_District_Flows!$A:$K, 6,FALSE),0)</f>
        <v>0</v>
      </c>
      <c r="AI5" s="119">
        <f>IFERROR(VLOOKUP(CONCATENATE($A$15,"-",$A$12, "-", $D5, "-", AI$3, "-", $A$9),OBS_District_Flows!$A:$K, 6,FALSE),0)</f>
        <v>0</v>
      </c>
      <c r="AJ5" s="119">
        <f>IFERROR(VLOOKUP(CONCATENATE($A$15,"-",$A$12, "-", $D5, "-", AJ$3, "-", $A$9),OBS_District_Flows!$A:$K, 6,FALSE),0)</f>
        <v>0</v>
      </c>
      <c r="AK5" s="119">
        <f>IFERROR(VLOOKUP(CONCATENATE($A$15,"-",$A$12, "-", $D5, "-", AK$3, "-", $A$9),OBS_District_Flows!$A:$K, 6,FALSE),0)</f>
        <v>0</v>
      </c>
      <c r="AL5" s="120">
        <f>IFERROR(VLOOKUP(CONCATENATE($A$15,"-",$A$12, "-", $D5, "-", AL$3, "-", $A$9),OBS_District_Flows!$A:$K, 6,FALSE),0)</f>
        <v>0</v>
      </c>
      <c r="AM5" s="111">
        <f t="shared" si="0"/>
        <v>0</v>
      </c>
      <c r="AO5" s="286"/>
      <c r="AP5" s="107" t="s">
        <v>183</v>
      </c>
      <c r="AQ5" s="121" t="str">
        <f t="shared" si="1"/>
        <v/>
      </c>
      <c r="AR5" s="122" t="str">
        <f t="shared" si="2"/>
        <v/>
      </c>
      <c r="AS5" s="122" t="str">
        <f t="shared" si="3"/>
        <v/>
      </c>
      <c r="AT5" s="122" t="str">
        <f t="shared" si="4"/>
        <v/>
      </c>
      <c r="AU5" s="122" t="str">
        <f t="shared" si="5"/>
        <v/>
      </c>
      <c r="AV5" s="122" t="str">
        <f t="shared" si="6"/>
        <v/>
      </c>
      <c r="AW5" s="122" t="str">
        <f t="shared" si="7"/>
        <v/>
      </c>
      <c r="AX5" s="122" t="str">
        <f t="shared" si="8"/>
        <v/>
      </c>
      <c r="AY5" s="122" t="str">
        <f t="shared" si="9"/>
        <v/>
      </c>
      <c r="AZ5" s="122" t="str">
        <f t="shared" si="10"/>
        <v/>
      </c>
      <c r="BA5" s="122" t="str">
        <f t="shared" si="11"/>
        <v/>
      </c>
      <c r="BB5" s="122" t="str">
        <f t="shared" si="12"/>
        <v/>
      </c>
      <c r="BC5" s="122" t="str">
        <f t="shared" si="13"/>
        <v/>
      </c>
      <c r="BD5" s="122" t="str">
        <f t="shared" si="14"/>
        <v/>
      </c>
      <c r="BE5" s="122" t="str">
        <f t="shared" si="15"/>
        <v/>
      </c>
      <c r="BF5" s="122" t="str">
        <f t="shared" si="16"/>
        <v/>
      </c>
      <c r="BG5" s="122" t="str">
        <f t="shared" si="17"/>
        <v/>
      </c>
      <c r="BH5" s="122" t="str">
        <f t="shared" si="18"/>
        <v/>
      </c>
      <c r="BI5" s="122" t="str">
        <f t="shared" si="19"/>
        <v/>
      </c>
      <c r="BJ5" s="122" t="str">
        <f t="shared" si="20"/>
        <v/>
      </c>
      <c r="BK5" s="122" t="str">
        <f t="shared" si="21"/>
        <v/>
      </c>
      <c r="BL5" s="122" t="str">
        <f t="shared" si="22"/>
        <v/>
      </c>
      <c r="BM5" s="122" t="str">
        <f t="shared" si="23"/>
        <v/>
      </c>
      <c r="BN5" s="122" t="str">
        <f t="shared" si="24"/>
        <v/>
      </c>
      <c r="BO5" s="122" t="str">
        <f t="shared" si="25"/>
        <v/>
      </c>
      <c r="BP5" s="122" t="str">
        <f t="shared" si="26"/>
        <v/>
      </c>
      <c r="BQ5" s="122" t="str">
        <f t="shared" si="27"/>
        <v/>
      </c>
      <c r="BR5" s="122" t="str">
        <f t="shared" si="28"/>
        <v/>
      </c>
      <c r="BS5" s="122" t="str">
        <f t="shared" si="29"/>
        <v/>
      </c>
      <c r="BT5" s="122" t="str">
        <f t="shared" si="30"/>
        <v/>
      </c>
      <c r="BU5" s="122" t="str">
        <f t="shared" si="31"/>
        <v/>
      </c>
      <c r="BV5" s="122" t="str">
        <f t="shared" si="32"/>
        <v/>
      </c>
      <c r="BW5" s="122" t="str">
        <f t="shared" si="33"/>
        <v/>
      </c>
      <c r="BX5" s="123" t="str">
        <f t="shared" si="34"/>
        <v/>
      </c>
      <c r="BY5" s="115" t="str">
        <f t="shared" si="35"/>
        <v/>
      </c>
      <c r="CA5" s="286"/>
      <c r="CB5" s="107" t="s">
        <v>183</v>
      </c>
      <c r="CC5" s="121" t="str">
        <f t="shared" si="36"/>
        <v/>
      </c>
      <c r="CD5" s="122" t="str">
        <f t="shared" si="37"/>
        <v/>
      </c>
      <c r="CE5" s="122" t="str">
        <f t="shared" si="38"/>
        <v/>
      </c>
      <c r="CF5" s="122" t="str">
        <f t="shared" si="39"/>
        <v/>
      </c>
      <c r="CG5" s="122" t="str">
        <f t="shared" si="40"/>
        <v/>
      </c>
      <c r="CH5" s="122" t="str">
        <f t="shared" si="41"/>
        <v/>
      </c>
      <c r="CI5" s="122" t="str">
        <f t="shared" si="42"/>
        <v/>
      </c>
      <c r="CJ5" s="122" t="str">
        <f t="shared" si="43"/>
        <v/>
      </c>
      <c r="CK5" s="122" t="str">
        <f t="shared" si="44"/>
        <v/>
      </c>
      <c r="CL5" s="122" t="str">
        <f t="shared" si="45"/>
        <v/>
      </c>
      <c r="CM5" s="122" t="str">
        <f t="shared" si="46"/>
        <v/>
      </c>
      <c r="CN5" s="122" t="str">
        <f t="shared" si="47"/>
        <v/>
      </c>
      <c r="CO5" s="122" t="str">
        <f t="shared" si="48"/>
        <v/>
      </c>
      <c r="CP5" s="122" t="str">
        <f t="shared" si="49"/>
        <v/>
      </c>
      <c r="CQ5" s="122" t="str">
        <f t="shared" si="50"/>
        <v/>
      </c>
      <c r="CR5" s="122" t="str">
        <f t="shared" si="51"/>
        <v/>
      </c>
      <c r="CS5" s="122" t="str">
        <f t="shared" si="52"/>
        <v/>
      </c>
      <c r="CT5" s="122" t="str">
        <f t="shared" si="53"/>
        <v/>
      </c>
      <c r="CU5" s="122" t="str">
        <f t="shared" si="54"/>
        <v/>
      </c>
      <c r="CV5" s="122" t="str">
        <f t="shared" si="55"/>
        <v/>
      </c>
      <c r="CW5" s="122" t="str">
        <f t="shared" si="56"/>
        <v/>
      </c>
      <c r="CX5" s="122" t="str">
        <f t="shared" si="57"/>
        <v/>
      </c>
      <c r="CY5" s="122" t="str">
        <f t="shared" si="58"/>
        <v/>
      </c>
      <c r="CZ5" s="122" t="str">
        <f t="shared" si="59"/>
        <v/>
      </c>
      <c r="DA5" s="122" t="str">
        <f t="shared" si="60"/>
        <v/>
      </c>
      <c r="DB5" s="122" t="str">
        <f t="shared" si="61"/>
        <v/>
      </c>
      <c r="DC5" s="122" t="str">
        <f t="shared" si="62"/>
        <v/>
      </c>
      <c r="DD5" s="122" t="str">
        <f t="shared" si="63"/>
        <v/>
      </c>
      <c r="DE5" s="122" t="str">
        <f t="shared" si="64"/>
        <v/>
      </c>
      <c r="DF5" s="122" t="str">
        <f t="shared" si="65"/>
        <v/>
      </c>
      <c r="DG5" s="122" t="str">
        <f t="shared" si="66"/>
        <v/>
      </c>
      <c r="DH5" s="122" t="str">
        <f t="shared" si="67"/>
        <v/>
      </c>
      <c r="DI5" s="122" t="str">
        <f t="shared" si="68"/>
        <v/>
      </c>
      <c r="DJ5" s="123" t="str">
        <f t="shared" si="69"/>
        <v/>
      </c>
      <c r="DK5" s="115" t="str">
        <f t="shared" si="70"/>
        <v/>
      </c>
    </row>
    <row r="6" spans="1:115" x14ac:dyDescent="0.2">
      <c r="A6" s="124" t="s">
        <v>1</v>
      </c>
      <c r="B6" s="125"/>
      <c r="C6" s="285"/>
      <c r="D6" s="107" t="s">
        <v>186</v>
      </c>
      <c r="E6" s="118">
        <f>IFERROR(VLOOKUP(CONCATENATE($A$15,"-",$A$12, "-", $D6, "-", E$3, "-", $A$9),OBS_District_Flows!$A:$K, 6,FALSE),0)</f>
        <v>0</v>
      </c>
      <c r="F6" s="119">
        <f>IFERROR(VLOOKUP(CONCATENATE($A$15,"-",$A$12, "-", $D6, "-", F$3, "-", $A$9),OBS_District_Flows!$A:$K, 6,FALSE),0)</f>
        <v>0</v>
      </c>
      <c r="G6" s="119">
        <f>IFERROR(VLOOKUP(CONCATENATE($A$15,"-",$A$12, "-", $D6, "-", G$3, "-", $A$9),OBS_District_Flows!$A:$K, 6,FALSE),0)</f>
        <v>0</v>
      </c>
      <c r="H6" s="119">
        <f>IFERROR(VLOOKUP(CONCATENATE($A$15,"-",$A$12, "-", $D6, "-", H$3, "-", $A$9),OBS_District_Flows!$A:$K, 6,FALSE),0)</f>
        <v>0</v>
      </c>
      <c r="I6" s="119">
        <f>IFERROR(VLOOKUP(CONCATENATE($A$15,"-",$A$12, "-", $D6, "-", I$3, "-", $A$9),OBS_District_Flows!$A:$K, 6,FALSE),0)</f>
        <v>0</v>
      </c>
      <c r="J6" s="119">
        <f>IFERROR(VLOOKUP(CONCATENATE($A$15,"-",$A$12, "-", $D6, "-", J$3, "-", $A$9),OBS_District_Flows!$A:$K, 6,FALSE),0)</f>
        <v>0</v>
      </c>
      <c r="K6" s="119">
        <f>IFERROR(VLOOKUP(CONCATENATE($A$15,"-",$A$12, "-", $D6, "-", K$3, "-", $A$9),OBS_District_Flows!$A:$K, 6,FALSE),0)</f>
        <v>0</v>
      </c>
      <c r="L6" s="119">
        <f>IFERROR(VLOOKUP(CONCATENATE($A$15,"-",$A$12, "-", $D6, "-", L$3, "-", $A$9),OBS_District_Flows!$A:$K, 6,FALSE),0)</f>
        <v>0</v>
      </c>
      <c r="M6" s="119">
        <f>IFERROR(VLOOKUP(CONCATENATE($A$15,"-",$A$12, "-", $D6, "-", M$3, "-", $A$9),OBS_District_Flows!$A:$K, 6,FALSE),0)</f>
        <v>0</v>
      </c>
      <c r="N6" s="119">
        <f>IFERROR(VLOOKUP(CONCATENATE($A$15,"-",$A$12, "-", $D6, "-", N$3, "-", $A$9),OBS_District_Flows!$A:$K, 6,FALSE),0)</f>
        <v>0</v>
      </c>
      <c r="O6" s="119">
        <f>IFERROR(VLOOKUP(CONCATENATE($A$15,"-",$A$12, "-", $D6, "-", O$3, "-", $A$9),OBS_District_Flows!$A:$K, 6,FALSE),0)</f>
        <v>0</v>
      </c>
      <c r="P6" s="119">
        <f>IFERROR(VLOOKUP(CONCATENATE($A$15,"-",$A$12, "-", $D6, "-", P$3, "-", $A$9),OBS_District_Flows!$A:$K, 6,FALSE),0)</f>
        <v>0</v>
      </c>
      <c r="Q6" s="119">
        <f>IFERROR(VLOOKUP(CONCATENATE($A$15,"-",$A$12, "-", $D6, "-", Q$3, "-", $A$9),OBS_District_Flows!$A:$K, 6,FALSE),0)</f>
        <v>0</v>
      </c>
      <c r="R6" s="119">
        <f>IFERROR(VLOOKUP(CONCATENATE($A$15,"-",$A$12, "-", $D6, "-", R$3, "-", $A$9),OBS_District_Flows!$A:$K, 6,FALSE),0)</f>
        <v>0</v>
      </c>
      <c r="S6" s="119">
        <f>IFERROR(VLOOKUP(CONCATENATE($A$15,"-",$A$12, "-", $D6, "-", S$3, "-", $A$9),OBS_District_Flows!$A:$K, 6,FALSE),0)</f>
        <v>0</v>
      </c>
      <c r="T6" s="119">
        <f>IFERROR(VLOOKUP(CONCATENATE($A$15,"-",$A$12, "-", $D6, "-", T$3, "-", $A$9),OBS_District_Flows!$A:$K, 6,FALSE),0)</f>
        <v>0</v>
      </c>
      <c r="U6" s="119">
        <f>IFERROR(VLOOKUP(CONCATENATE($A$15,"-",$A$12, "-", $D6, "-", U$3, "-", $A$9),OBS_District_Flows!$A:$K, 6,FALSE),0)</f>
        <v>0</v>
      </c>
      <c r="V6" s="119">
        <f>IFERROR(VLOOKUP(CONCATENATE($A$15,"-",$A$12, "-", $D6, "-", V$3, "-", $A$9),OBS_District_Flows!$A:$K, 6,FALSE),0)</f>
        <v>0</v>
      </c>
      <c r="W6" s="119">
        <f>IFERROR(VLOOKUP(CONCATENATE($A$15,"-",$A$12, "-", $D6, "-", W$3, "-", $A$9),OBS_District_Flows!$A:$K, 6,FALSE),0)</f>
        <v>0</v>
      </c>
      <c r="X6" s="119">
        <f>IFERROR(VLOOKUP(CONCATENATE($A$15,"-",$A$12, "-", $D6, "-", X$3, "-", $A$9),OBS_District_Flows!$A:$K, 6,FALSE),0)</f>
        <v>0</v>
      </c>
      <c r="Y6" s="119">
        <f>IFERROR(VLOOKUP(CONCATENATE($A$15,"-",$A$12, "-", $D6, "-", Y$3, "-", $A$9),OBS_District_Flows!$A:$K, 6,FALSE),0)</f>
        <v>0</v>
      </c>
      <c r="Z6" s="119">
        <f>IFERROR(VLOOKUP(CONCATENATE($A$15,"-",$A$12, "-", $D6, "-", Z$3, "-", $A$9),OBS_District_Flows!$A:$K, 6,FALSE),0)</f>
        <v>0</v>
      </c>
      <c r="AA6" s="119">
        <f>IFERROR(VLOOKUP(CONCATENATE($A$15,"-",$A$12, "-", $D6, "-", AA$3, "-", $A$9),OBS_District_Flows!$A:$K, 6,FALSE),0)</f>
        <v>0</v>
      </c>
      <c r="AB6" s="119">
        <f>IFERROR(VLOOKUP(CONCATENATE($A$15,"-",$A$12, "-", $D6, "-", AB$3, "-", $A$9),OBS_District_Flows!$A:$K, 6,FALSE),0)</f>
        <v>0</v>
      </c>
      <c r="AC6" s="119">
        <f>IFERROR(VLOOKUP(CONCATENATE($A$15,"-",$A$12, "-", $D6, "-", AC$3, "-", $A$9),OBS_District_Flows!$A:$K, 6,FALSE),0)</f>
        <v>0</v>
      </c>
      <c r="AD6" s="119">
        <f>IFERROR(VLOOKUP(CONCATENATE($A$15,"-",$A$12, "-", $D6, "-", AD$3, "-", $A$9),OBS_District_Flows!$A:$K, 6,FALSE),0)</f>
        <v>0</v>
      </c>
      <c r="AE6" s="119">
        <f>IFERROR(VLOOKUP(CONCATENATE($A$15,"-",$A$12, "-", $D6, "-", AE$3, "-", $A$9),OBS_District_Flows!$A:$K, 6,FALSE),0)</f>
        <v>0</v>
      </c>
      <c r="AF6" s="119">
        <f>IFERROR(VLOOKUP(CONCATENATE($A$15,"-",$A$12, "-", $D6, "-", AF$3, "-", $A$9),OBS_District_Flows!$A:$K, 6,FALSE),0)</f>
        <v>0</v>
      </c>
      <c r="AG6" s="119">
        <f>IFERROR(VLOOKUP(CONCATENATE($A$15,"-",$A$12, "-", $D6, "-", AG$3, "-", $A$9),OBS_District_Flows!$A:$K, 6,FALSE),0)</f>
        <v>0</v>
      </c>
      <c r="AH6" s="119">
        <f>IFERROR(VLOOKUP(CONCATENATE($A$15,"-",$A$12, "-", $D6, "-", AH$3, "-", $A$9),OBS_District_Flows!$A:$K, 6,FALSE),0)</f>
        <v>0</v>
      </c>
      <c r="AI6" s="119">
        <f>IFERROR(VLOOKUP(CONCATENATE($A$15,"-",$A$12, "-", $D6, "-", AI$3, "-", $A$9),OBS_District_Flows!$A:$K, 6,FALSE),0)</f>
        <v>0</v>
      </c>
      <c r="AJ6" s="119">
        <f>IFERROR(VLOOKUP(CONCATENATE($A$15,"-",$A$12, "-", $D6, "-", AJ$3, "-", $A$9),OBS_District_Flows!$A:$K, 6,FALSE),0)</f>
        <v>0</v>
      </c>
      <c r="AK6" s="119">
        <f>IFERROR(VLOOKUP(CONCATENATE($A$15,"-",$A$12, "-", $D6, "-", AK$3, "-", $A$9),OBS_District_Flows!$A:$K, 6,FALSE),0)</f>
        <v>0</v>
      </c>
      <c r="AL6" s="120">
        <f>IFERROR(VLOOKUP(CONCATENATE($A$15,"-",$A$12, "-", $D6, "-", AL$3, "-", $A$9),OBS_District_Flows!$A:$K, 6,FALSE),0)</f>
        <v>0</v>
      </c>
      <c r="AM6" s="111">
        <f t="shared" si="0"/>
        <v>0</v>
      </c>
      <c r="AO6" s="286"/>
      <c r="AP6" s="107" t="s">
        <v>186</v>
      </c>
      <c r="AQ6" s="121" t="str">
        <f t="shared" si="1"/>
        <v/>
      </c>
      <c r="AR6" s="122" t="str">
        <f t="shared" si="2"/>
        <v/>
      </c>
      <c r="AS6" s="122" t="str">
        <f t="shared" si="3"/>
        <v/>
      </c>
      <c r="AT6" s="122" t="str">
        <f t="shared" si="4"/>
        <v/>
      </c>
      <c r="AU6" s="122" t="str">
        <f t="shared" si="5"/>
        <v/>
      </c>
      <c r="AV6" s="122" t="str">
        <f t="shared" si="6"/>
        <v/>
      </c>
      <c r="AW6" s="122" t="str">
        <f t="shared" si="7"/>
        <v/>
      </c>
      <c r="AX6" s="122" t="str">
        <f t="shared" si="8"/>
        <v/>
      </c>
      <c r="AY6" s="122" t="str">
        <f t="shared" si="9"/>
        <v/>
      </c>
      <c r="AZ6" s="122" t="str">
        <f t="shared" si="10"/>
        <v/>
      </c>
      <c r="BA6" s="122" t="str">
        <f t="shared" si="11"/>
        <v/>
      </c>
      <c r="BB6" s="122" t="str">
        <f t="shared" si="12"/>
        <v/>
      </c>
      <c r="BC6" s="122" t="str">
        <f t="shared" si="13"/>
        <v/>
      </c>
      <c r="BD6" s="122" t="str">
        <f t="shared" si="14"/>
        <v/>
      </c>
      <c r="BE6" s="122" t="str">
        <f t="shared" si="15"/>
        <v/>
      </c>
      <c r="BF6" s="122" t="str">
        <f t="shared" si="16"/>
        <v/>
      </c>
      <c r="BG6" s="122" t="str">
        <f t="shared" si="17"/>
        <v/>
      </c>
      <c r="BH6" s="122" t="str">
        <f t="shared" si="18"/>
        <v/>
      </c>
      <c r="BI6" s="122" t="str">
        <f t="shared" si="19"/>
        <v/>
      </c>
      <c r="BJ6" s="122" t="str">
        <f t="shared" si="20"/>
        <v/>
      </c>
      <c r="BK6" s="122" t="str">
        <f t="shared" si="21"/>
        <v/>
      </c>
      <c r="BL6" s="122" t="str">
        <f t="shared" si="22"/>
        <v/>
      </c>
      <c r="BM6" s="122" t="str">
        <f t="shared" si="23"/>
        <v/>
      </c>
      <c r="BN6" s="122" t="str">
        <f t="shared" si="24"/>
        <v/>
      </c>
      <c r="BO6" s="122" t="str">
        <f t="shared" si="25"/>
        <v/>
      </c>
      <c r="BP6" s="122" t="str">
        <f t="shared" si="26"/>
        <v/>
      </c>
      <c r="BQ6" s="122" t="str">
        <f t="shared" si="27"/>
        <v/>
      </c>
      <c r="BR6" s="122" t="str">
        <f t="shared" si="28"/>
        <v/>
      </c>
      <c r="BS6" s="122" t="str">
        <f t="shared" si="29"/>
        <v/>
      </c>
      <c r="BT6" s="122" t="str">
        <f t="shared" si="30"/>
        <v/>
      </c>
      <c r="BU6" s="122" t="str">
        <f t="shared" si="31"/>
        <v/>
      </c>
      <c r="BV6" s="122" t="str">
        <f t="shared" si="32"/>
        <v/>
      </c>
      <c r="BW6" s="122" t="str">
        <f t="shared" si="33"/>
        <v/>
      </c>
      <c r="BX6" s="123" t="str">
        <f t="shared" si="34"/>
        <v/>
      </c>
      <c r="BY6" s="115" t="str">
        <f t="shared" si="35"/>
        <v/>
      </c>
      <c r="CA6" s="286"/>
      <c r="CB6" s="107" t="s">
        <v>186</v>
      </c>
      <c r="CC6" s="121" t="str">
        <f t="shared" si="36"/>
        <v/>
      </c>
      <c r="CD6" s="122" t="str">
        <f t="shared" si="37"/>
        <v/>
      </c>
      <c r="CE6" s="122" t="str">
        <f t="shared" si="38"/>
        <v/>
      </c>
      <c r="CF6" s="122" t="str">
        <f t="shared" si="39"/>
        <v/>
      </c>
      <c r="CG6" s="122" t="str">
        <f t="shared" si="40"/>
        <v/>
      </c>
      <c r="CH6" s="122" t="str">
        <f t="shared" si="41"/>
        <v/>
      </c>
      <c r="CI6" s="122" t="str">
        <f t="shared" si="42"/>
        <v/>
      </c>
      <c r="CJ6" s="122" t="str">
        <f t="shared" si="43"/>
        <v/>
      </c>
      <c r="CK6" s="122" t="str">
        <f t="shared" si="44"/>
        <v/>
      </c>
      <c r="CL6" s="122" t="str">
        <f t="shared" si="45"/>
        <v/>
      </c>
      <c r="CM6" s="122" t="str">
        <f t="shared" si="46"/>
        <v/>
      </c>
      <c r="CN6" s="122" t="str">
        <f t="shared" si="47"/>
        <v/>
      </c>
      <c r="CO6" s="122" t="str">
        <f t="shared" si="48"/>
        <v/>
      </c>
      <c r="CP6" s="122" t="str">
        <f t="shared" si="49"/>
        <v/>
      </c>
      <c r="CQ6" s="122" t="str">
        <f t="shared" si="50"/>
        <v/>
      </c>
      <c r="CR6" s="122" t="str">
        <f t="shared" si="51"/>
        <v/>
      </c>
      <c r="CS6" s="122" t="str">
        <f t="shared" si="52"/>
        <v/>
      </c>
      <c r="CT6" s="122" t="str">
        <f t="shared" si="53"/>
        <v/>
      </c>
      <c r="CU6" s="122" t="str">
        <f t="shared" si="54"/>
        <v/>
      </c>
      <c r="CV6" s="122" t="str">
        <f t="shared" si="55"/>
        <v/>
      </c>
      <c r="CW6" s="122" t="str">
        <f t="shared" si="56"/>
        <v/>
      </c>
      <c r="CX6" s="122" t="str">
        <f t="shared" si="57"/>
        <v/>
      </c>
      <c r="CY6" s="122" t="str">
        <f t="shared" si="58"/>
        <v/>
      </c>
      <c r="CZ6" s="122" t="str">
        <f t="shared" si="59"/>
        <v/>
      </c>
      <c r="DA6" s="122" t="str">
        <f t="shared" si="60"/>
        <v/>
      </c>
      <c r="DB6" s="122" t="str">
        <f t="shared" si="61"/>
        <v/>
      </c>
      <c r="DC6" s="122" t="str">
        <f t="shared" si="62"/>
        <v/>
      </c>
      <c r="DD6" s="122" t="str">
        <f t="shared" si="63"/>
        <v/>
      </c>
      <c r="DE6" s="122" t="str">
        <f t="shared" si="64"/>
        <v/>
      </c>
      <c r="DF6" s="122" t="str">
        <f t="shared" si="65"/>
        <v/>
      </c>
      <c r="DG6" s="122" t="str">
        <f t="shared" si="66"/>
        <v/>
      </c>
      <c r="DH6" s="122" t="str">
        <f t="shared" si="67"/>
        <v/>
      </c>
      <c r="DI6" s="122" t="str">
        <f t="shared" si="68"/>
        <v/>
      </c>
      <c r="DJ6" s="123" t="str">
        <f t="shared" si="69"/>
        <v/>
      </c>
      <c r="DK6" s="115" t="str">
        <f t="shared" si="70"/>
        <v/>
      </c>
    </row>
    <row r="7" spans="1:115" x14ac:dyDescent="0.2">
      <c r="C7" s="285"/>
      <c r="D7" s="107" t="s">
        <v>189</v>
      </c>
      <c r="E7" s="118">
        <f>IFERROR(VLOOKUP(CONCATENATE($A$15,"-",$A$12, "-", $D7, "-", E$3, "-", $A$9),OBS_District_Flows!$A:$K, 6,FALSE),0)</f>
        <v>0</v>
      </c>
      <c r="F7" s="119">
        <f>IFERROR(VLOOKUP(CONCATENATE($A$15,"-",$A$12, "-", $D7, "-", F$3, "-", $A$9),OBS_District_Flows!$A:$K, 6,FALSE),0)</f>
        <v>0</v>
      </c>
      <c r="G7" s="119">
        <f>IFERROR(VLOOKUP(CONCATENATE($A$15,"-",$A$12, "-", $D7, "-", G$3, "-", $A$9),OBS_District_Flows!$A:$K, 6,FALSE),0)</f>
        <v>0</v>
      </c>
      <c r="H7" s="119">
        <f>IFERROR(VLOOKUP(CONCATENATE($A$15,"-",$A$12, "-", $D7, "-", H$3, "-", $A$9),OBS_District_Flows!$A:$K, 6,FALSE),0)</f>
        <v>0</v>
      </c>
      <c r="I7" s="119">
        <f>IFERROR(VLOOKUP(CONCATENATE($A$15,"-",$A$12, "-", $D7, "-", I$3, "-", $A$9),OBS_District_Flows!$A:$K, 6,FALSE),0)</f>
        <v>0</v>
      </c>
      <c r="J7" s="119">
        <f>IFERROR(VLOOKUP(CONCATENATE($A$15,"-",$A$12, "-", $D7, "-", J$3, "-", $A$9),OBS_District_Flows!$A:$K, 6,FALSE),0)</f>
        <v>0</v>
      </c>
      <c r="K7" s="119">
        <f>IFERROR(VLOOKUP(CONCATENATE($A$15,"-",$A$12, "-", $D7, "-", K$3, "-", $A$9),OBS_District_Flows!$A:$K, 6,FALSE),0)</f>
        <v>0</v>
      </c>
      <c r="L7" s="119">
        <f>IFERROR(VLOOKUP(CONCATENATE($A$15,"-",$A$12, "-", $D7, "-", L$3, "-", $A$9),OBS_District_Flows!$A:$K, 6,FALSE),0)</f>
        <v>0</v>
      </c>
      <c r="M7" s="119">
        <f>IFERROR(VLOOKUP(CONCATENATE($A$15,"-",$A$12, "-", $D7, "-", M$3, "-", $A$9),OBS_District_Flows!$A:$K, 6,FALSE),0)</f>
        <v>0</v>
      </c>
      <c r="N7" s="119">
        <f>IFERROR(VLOOKUP(CONCATENATE($A$15,"-",$A$12, "-", $D7, "-", N$3, "-", $A$9),OBS_District_Flows!$A:$K, 6,FALSE),0)</f>
        <v>0</v>
      </c>
      <c r="O7" s="119">
        <f>IFERROR(VLOOKUP(CONCATENATE($A$15,"-",$A$12, "-", $D7, "-", O$3, "-", $A$9),OBS_District_Flows!$A:$K, 6,FALSE),0)</f>
        <v>0</v>
      </c>
      <c r="P7" s="119">
        <f>IFERROR(VLOOKUP(CONCATENATE($A$15,"-",$A$12, "-", $D7, "-", P$3, "-", $A$9),OBS_District_Flows!$A:$K, 6,FALSE),0)</f>
        <v>0</v>
      </c>
      <c r="Q7" s="119">
        <f>IFERROR(VLOOKUP(CONCATENATE($A$15,"-",$A$12, "-", $D7, "-", Q$3, "-", $A$9),OBS_District_Flows!$A:$K, 6,FALSE),0)</f>
        <v>0</v>
      </c>
      <c r="R7" s="119">
        <f>IFERROR(VLOOKUP(CONCATENATE($A$15,"-",$A$12, "-", $D7, "-", R$3, "-", $A$9),OBS_District_Flows!$A:$K, 6,FALSE),0)</f>
        <v>0</v>
      </c>
      <c r="S7" s="119">
        <f>IFERROR(VLOOKUP(CONCATENATE($A$15,"-",$A$12, "-", $D7, "-", S$3, "-", $A$9),OBS_District_Flows!$A:$K, 6,FALSE),0)</f>
        <v>0</v>
      </c>
      <c r="T7" s="119">
        <f>IFERROR(VLOOKUP(CONCATENATE($A$15,"-",$A$12, "-", $D7, "-", T$3, "-", $A$9),OBS_District_Flows!$A:$K, 6,FALSE),0)</f>
        <v>0</v>
      </c>
      <c r="U7" s="119">
        <f>IFERROR(VLOOKUP(CONCATENATE($A$15,"-",$A$12, "-", $D7, "-", U$3, "-", $A$9),OBS_District_Flows!$A:$K, 6,FALSE),0)</f>
        <v>0</v>
      </c>
      <c r="V7" s="119">
        <f>IFERROR(VLOOKUP(CONCATENATE($A$15,"-",$A$12, "-", $D7, "-", V$3, "-", $A$9),OBS_District_Flows!$A:$K, 6,FALSE),0)</f>
        <v>0</v>
      </c>
      <c r="W7" s="119">
        <f>IFERROR(VLOOKUP(CONCATENATE($A$15,"-",$A$12, "-", $D7, "-", W$3, "-", $A$9),OBS_District_Flows!$A:$K, 6,FALSE),0)</f>
        <v>0</v>
      </c>
      <c r="X7" s="119">
        <f>IFERROR(VLOOKUP(CONCATENATE($A$15,"-",$A$12, "-", $D7, "-", X$3, "-", $A$9),OBS_District_Flows!$A:$K, 6,FALSE),0)</f>
        <v>0</v>
      </c>
      <c r="Y7" s="119">
        <f>IFERROR(VLOOKUP(CONCATENATE($A$15,"-",$A$12, "-", $D7, "-", Y$3, "-", $A$9),OBS_District_Flows!$A:$K, 6,FALSE),0)</f>
        <v>0</v>
      </c>
      <c r="Z7" s="119">
        <f>IFERROR(VLOOKUP(CONCATENATE($A$15,"-",$A$12, "-", $D7, "-", Z$3, "-", $A$9),OBS_District_Flows!$A:$K, 6,FALSE),0)</f>
        <v>0</v>
      </c>
      <c r="AA7" s="119">
        <f>IFERROR(VLOOKUP(CONCATENATE($A$15,"-",$A$12, "-", $D7, "-", AA$3, "-", $A$9),OBS_District_Flows!$A:$K, 6,FALSE),0)</f>
        <v>0</v>
      </c>
      <c r="AB7" s="119">
        <f>IFERROR(VLOOKUP(CONCATENATE($A$15,"-",$A$12, "-", $D7, "-", AB$3, "-", $A$9),OBS_District_Flows!$A:$K, 6,FALSE),0)</f>
        <v>0</v>
      </c>
      <c r="AC7" s="119">
        <f>IFERROR(VLOOKUP(CONCATENATE($A$15,"-",$A$12, "-", $D7, "-", AC$3, "-", $A$9),OBS_District_Flows!$A:$K, 6,FALSE),0)</f>
        <v>0</v>
      </c>
      <c r="AD7" s="119">
        <f>IFERROR(VLOOKUP(CONCATENATE($A$15,"-",$A$12, "-", $D7, "-", AD$3, "-", $A$9),OBS_District_Flows!$A:$K, 6,FALSE),0)</f>
        <v>0</v>
      </c>
      <c r="AE7" s="119">
        <f>IFERROR(VLOOKUP(CONCATENATE($A$15,"-",$A$12, "-", $D7, "-", AE$3, "-", $A$9),OBS_District_Flows!$A:$K, 6,FALSE),0)</f>
        <v>0</v>
      </c>
      <c r="AF7" s="119">
        <f>IFERROR(VLOOKUP(CONCATENATE($A$15,"-",$A$12, "-", $D7, "-", AF$3, "-", $A$9),OBS_District_Flows!$A:$K, 6,FALSE),0)</f>
        <v>0</v>
      </c>
      <c r="AG7" s="119">
        <f>IFERROR(VLOOKUP(CONCATENATE($A$15,"-",$A$12, "-", $D7, "-", AG$3, "-", $A$9),OBS_District_Flows!$A:$K, 6,FALSE),0)</f>
        <v>0</v>
      </c>
      <c r="AH7" s="119">
        <f>IFERROR(VLOOKUP(CONCATENATE($A$15,"-",$A$12, "-", $D7, "-", AH$3, "-", $A$9),OBS_District_Flows!$A:$K, 6,FALSE),0)</f>
        <v>0</v>
      </c>
      <c r="AI7" s="119">
        <f>IFERROR(VLOOKUP(CONCATENATE($A$15,"-",$A$12, "-", $D7, "-", AI$3, "-", $A$9),OBS_District_Flows!$A:$K, 6,FALSE),0)</f>
        <v>0</v>
      </c>
      <c r="AJ7" s="119">
        <f>IFERROR(VLOOKUP(CONCATENATE($A$15,"-",$A$12, "-", $D7, "-", AJ$3, "-", $A$9),OBS_District_Flows!$A:$K, 6,FALSE),0)</f>
        <v>0</v>
      </c>
      <c r="AK7" s="119">
        <f>IFERROR(VLOOKUP(CONCATENATE($A$15,"-",$A$12, "-", $D7, "-", AK$3, "-", $A$9),OBS_District_Flows!$A:$K, 6,FALSE),0)</f>
        <v>0</v>
      </c>
      <c r="AL7" s="120">
        <f>IFERROR(VLOOKUP(CONCATENATE($A$15,"-",$A$12, "-", $D7, "-", AL$3, "-", $A$9),OBS_District_Flows!$A:$K, 6,FALSE),0)</f>
        <v>0</v>
      </c>
      <c r="AM7" s="111">
        <f t="shared" si="0"/>
        <v>0</v>
      </c>
      <c r="AO7" s="286"/>
      <c r="AP7" s="107" t="s">
        <v>189</v>
      </c>
      <c r="AQ7" s="121" t="str">
        <f t="shared" si="1"/>
        <v/>
      </c>
      <c r="AR7" s="122" t="str">
        <f t="shared" si="2"/>
        <v/>
      </c>
      <c r="AS7" s="122" t="str">
        <f t="shared" si="3"/>
        <v/>
      </c>
      <c r="AT7" s="122" t="str">
        <f t="shared" si="4"/>
        <v/>
      </c>
      <c r="AU7" s="122" t="str">
        <f t="shared" si="5"/>
        <v/>
      </c>
      <c r="AV7" s="122" t="str">
        <f t="shared" si="6"/>
        <v/>
      </c>
      <c r="AW7" s="122" t="str">
        <f t="shared" si="7"/>
        <v/>
      </c>
      <c r="AX7" s="122" t="str">
        <f t="shared" si="8"/>
        <v/>
      </c>
      <c r="AY7" s="122" t="str">
        <f t="shared" si="9"/>
        <v/>
      </c>
      <c r="AZ7" s="122" t="str">
        <f t="shared" si="10"/>
        <v/>
      </c>
      <c r="BA7" s="122" t="str">
        <f t="shared" si="11"/>
        <v/>
      </c>
      <c r="BB7" s="122" t="str">
        <f t="shared" si="12"/>
        <v/>
      </c>
      <c r="BC7" s="122" t="str">
        <f t="shared" si="13"/>
        <v/>
      </c>
      <c r="BD7" s="122" t="str">
        <f t="shared" si="14"/>
        <v/>
      </c>
      <c r="BE7" s="122" t="str">
        <f t="shared" si="15"/>
        <v/>
      </c>
      <c r="BF7" s="122" t="str">
        <f t="shared" si="16"/>
        <v/>
      </c>
      <c r="BG7" s="122" t="str">
        <f t="shared" si="17"/>
        <v/>
      </c>
      <c r="BH7" s="122" t="str">
        <f t="shared" si="18"/>
        <v/>
      </c>
      <c r="BI7" s="122" t="str">
        <f t="shared" si="19"/>
        <v/>
      </c>
      <c r="BJ7" s="122" t="str">
        <f t="shared" si="20"/>
        <v/>
      </c>
      <c r="BK7" s="122" t="str">
        <f t="shared" si="21"/>
        <v/>
      </c>
      <c r="BL7" s="122" t="str">
        <f t="shared" si="22"/>
        <v/>
      </c>
      <c r="BM7" s="122" t="str">
        <f t="shared" si="23"/>
        <v/>
      </c>
      <c r="BN7" s="122" t="str">
        <f t="shared" si="24"/>
        <v/>
      </c>
      <c r="BO7" s="122" t="str">
        <f t="shared" si="25"/>
        <v/>
      </c>
      <c r="BP7" s="122" t="str">
        <f t="shared" si="26"/>
        <v/>
      </c>
      <c r="BQ7" s="122" t="str">
        <f t="shared" si="27"/>
        <v/>
      </c>
      <c r="BR7" s="122" t="str">
        <f t="shared" si="28"/>
        <v/>
      </c>
      <c r="BS7" s="122" t="str">
        <f t="shared" si="29"/>
        <v/>
      </c>
      <c r="BT7" s="122" t="str">
        <f t="shared" si="30"/>
        <v/>
      </c>
      <c r="BU7" s="122" t="str">
        <f t="shared" si="31"/>
        <v/>
      </c>
      <c r="BV7" s="122" t="str">
        <f t="shared" si="32"/>
        <v/>
      </c>
      <c r="BW7" s="122" t="str">
        <f t="shared" si="33"/>
        <v/>
      </c>
      <c r="BX7" s="123" t="str">
        <f t="shared" si="34"/>
        <v/>
      </c>
      <c r="BY7" s="115" t="str">
        <f t="shared" si="35"/>
        <v/>
      </c>
      <c r="CA7" s="286"/>
      <c r="CB7" s="107" t="s">
        <v>189</v>
      </c>
      <c r="CC7" s="121" t="str">
        <f t="shared" si="36"/>
        <v/>
      </c>
      <c r="CD7" s="122" t="str">
        <f t="shared" si="37"/>
        <v/>
      </c>
      <c r="CE7" s="122" t="str">
        <f t="shared" si="38"/>
        <v/>
      </c>
      <c r="CF7" s="122" t="str">
        <f t="shared" si="39"/>
        <v/>
      </c>
      <c r="CG7" s="122" t="str">
        <f t="shared" si="40"/>
        <v/>
      </c>
      <c r="CH7" s="122" t="str">
        <f t="shared" si="41"/>
        <v/>
      </c>
      <c r="CI7" s="122" t="str">
        <f t="shared" si="42"/>
        <v/>
      </c>
      <c r="CJ7" s="122" t="str">
        <f t="shared" si="43"/>
        <v/>
      </c>
      <c r="CK7" s="122" t="str">
        <f t="shared" si="44"/>
        <v/>
      </c>
      <c r="CL7" s="122" t="str">
        <f t="shared" si="45"/>
        <v/>
      </c>
      <c r="CM7" s="122" t="str">
        <f t="shared" si="46"/>
        <v/>
      </c>
      <c r="CN7" s="122" t="str">
        <f t="shared" si="47"/>
        <v/>
      </c>
      <c r="CO7" s="122" t="str">
        <f t="shared" si="48"/>
        <v/>
      </c>
      <c r="CP7" s="122" t="str">
        <f t="shared" si="49"/>
        <v/>
      </c>
      <c r="CQ7" s="122" t="str">
        <f t="shared" si="50"/>
        <v/>
      </c>
      <c r="CR7" s="122" t="str">
        <f t="shared" si="51"/>
        <v/>
      </c>
      <c r="CS7" s="122" t="str">
        <f t="shared" si="52"/>
        <v/>
      </c>
      <c r="CT7" s="122" t="str">
        <f t="shared" si="53"/>
        <v/>
      </c>
      <c r="CU7" s="122" t="str">
        <f t="shared" si="54"/>
        <v/>
      </c>
      <c r="CV7" s="122" t="str">
        <f t="shared" si="55"/>
        <v/>
      </c>
      <c r="CW7" s="122" t="str">
        <f t="shared" si="56"/>
        <v/>
      </c>
      <c r="CX7" s="122" t="str">
        <f t="shared" si="57"/>
        <v/>
      </c>
      <c r="CY7" s="122" t="str">
        <f t="shared" si="58"/>
        <v/>
      </c>
      <c r="CZ7" s="122" t="str">
        <f t="shared" si="59"/>
        <v/>
      </c>
      <c r="DA7" s="122" t="str">
        <f t="shared" si="60"/>
        <v/>
      </c>
      <c r="DB7" s="122" t="str">
        <f t="shared" si="61"/>
        <v/>
      </c>
      <c r="DC7" s="122" t="str">
        <f t="shared" si="62"/>
        <v/>
      </c>
      <c r="DD7" s="122" t="str">
        <f t="shared" si="63"/>
        <v/>
      </c>
      <c r="DE7" s="122" t="str">
        <f t="shared" si="64"/>
        <v/>
      </c>
      <c r="DF7" s="122" t="str">
        <f t="shared" si="65"/>
        <v/>
      </c>
      <c r="DG7" s="122" t="str">
        <f t="shared" si="66"/>
        <v/>
      </c>
      <c r="DH7" s="122" t="str">
        <f t="shared" si="67"/>
        <v/>
      </c>
      <c r="DI7" s="122" t="str">
        <f t="shared" si="68"/>
        <v/>
      </c>
      <c r="DJ7" s="123" t="str">
        <f t="shared" si="69"/>
        <v/>
      </c>
      <c r="DK7" s="115" t="str">
        <f t="shared" si="70"/>
        <v/>
      </c>
    </row>
    <row r="8" spans="1:115" x14ac:dyDescent="0.2">
      <c r="A8" s="103" t="s">
        <v>234</v>
      </c>
      <c r="C8" s="285"/>
      <c r="D8" s="107" t="s">
        <v>192</v>
      </c>
      <c r="E8" s="118">
        <f>IFERROR(VLOOKUP(CONCATENATE($A$15,"-",$A$12, "-", $D8, "-", E$3, "-", $A$9),OBS_District_Flows!$A:$K, 6,FALSE),0)</f>
        <v>0</v>
      </c>
      <c r="F8" s="119">
        <f>IFERROR(VLOOKUP(CONCATENATE($A$15,"-",$A$12, "-", $D8, "-", F$3, "-", $A$9),OBS_District_Flows!$A:$K, 6,FALSE),0)</f>
        <v>0</v>
      </c>
      <c r="G8" s="119">
        <f>IFERROR(VLOOKUP(CONCATENATE($A$15,"-",$A$12, "-", $D8, "-", G$3, "-", $A$9),OBS_District_Flows!$A:$K, 6,FALSE),0)</f>
        <v>0</v>
      </c>
      <c r="H8" s="119">
        <f>IFERROR(VLOOKUP(CONCATENATE($A$15,"-",$A$12, "-", $D8, "-", H$3, "-", $A$9),OBS_District_Flows!$A:$K, 6,FALSE),0)</f>
        <v>0</v>
      </c>
      <c r="I8" s="119">
        <f>IFERROR(VLOOKUP(CONCATENATE($A$15,"-",$A$12, "-", $D8, "-", I$3, "-", $A$9),OBS_District_Flows!$A:$K, 6,FALSE),0)</f>
        <v>0</v>
      </c>
      <c r="J8" s="119">
        <f>IFERROR(VLOOKUP(CONCATENATE($A$15,"-",$A$12, "-", $D8, "-", J$3, "-", $A$9),OBS_District_Flows!$A:$K, 6,FALSE),0)</f>
        <v>0</v>
      </c>
      <c r="K8" s="119">
        <f>IFERROR(VLOOKUP(CONCATENATE($A$15,"-",$A$12, "-", $D8, "-", K$3, "-", $A$9),OBS_District_Flows!$A:$K, 6,FALSE),0)</f>
        <v>0</v>
      </c>
      <c r="L8" s="119">
        <f>IFERROR(VLOOKUP(CONCATENATE($A$15,"-",$A$12, "-", $D8, "-", L$3, "-", $A$9),OBS_District_Flows!$A:$K, 6,FALSE),0)</f>
        <v>0</v>
      </c>
      <c r="M8" s="119">
        <f>IFERROR(VLOOKUP(CONCATENATE($A$15,"-",$A$12, "-", $D8, "-", M$3, "-", $A$9),OBS_District_Flows!$A:$K, 6,FALSE),0)</f>
        <v>0</v>
      </c>
      <c r="N8" s="119">
        <f>IFERROR(VLOOKUP(CONCATENATE($A$15,"-",$A$12, "-", $D8, "-", N$3, "-", $A$9),OBS_District_Flows!$A:$K, 6,FALSE),0)</f>
        <v>0</v>
      </c>
      <c r="O8" s="119">
        <f>IFERROR(VLOOKUP(CONCATENATE($A$15,"-",$A$12, "-", $D8, "-", O$3, "-", $A$9),OBS_District_Flows!$A:$K, 6,FALSE),0)</f>
        <v>0</v>
      </c>
      <c r="P8" s="119">
        <f>IFERROR(VLOOKUP(CONCATENATE($A$15,"-",$A$12, "-", $D8, "-", P$3, "-", $A$9),OBS_District_Flows!$A:$K, 6,FALSE),0)</f>
        <v>0</v>
      </c>
      <c r="Q8" s="119">
        <f>IFERROR(VLOOKUP(CONCATENATE($A$15,"-",$A$12, "-", $D8, "-", Q$3, "-", $A$9),OBS_District_Flows!$A:$K, 6,FALSE),0)</f>
        <v>0</v>
      </c>
      <c r="R8" s="119">
        <f>IFERROR(VLOOKUP(CONCATENATE($A$15,"-",$A$12, "-", $D8, "-", R$3, "-", $A$9),OBS_District_Flows!$A:$K, 6,FALSE),0)</f>
        <v>0</v>
      </c>
      <c r="S8" s="119">
        <f>IFERROR(VLOOKUP(CONCATENATE($A$15,"-",$A$12, "-", $D8, "-", S$3, "-", $A$9),OBS_District_Flows!$A:$K, 6,FALSE),0)</f>
        <v>0</v>
      </c>
      <c r="T8" s="119">
        <f>IFERROR(VLOOKUP(CONCATENATE($A$15,"-",$A$12, "-", $D8, "-", T$3, "-", $A$9),OBS_District_Flows!$A:$K, 6,FALSE),0)</f>
        <v>0</v>
      </c>
      <c r="U8" s="119">
        <f>IFERROR(VLOOKUP(CONCATENATE($A$15,"-",$A$12, "-", $D8, "-", U$3, "-", $A$9),OBS_District_Flows!$A:$K, 6,FALSE),0)</f>
        <v>0</v>
      </c>
      <c r="V8" s="119">
        <f>IFERROR(VLOOKUP(CONCATENATE($A$15,"-",$A$12, "-", $D8, "-", V$3, "-", $A$9),OBS_District_Flows!$A:$K, 6,FALSE),0)</f>
        <v>0</v>
      </c>
      <c r="W8" s="119">
        <f>IFERROR(VLOOKUP(CONCATENATE($A$15,"-",$A$12, "-", $D8, "-", W$3, "-", $A$9),OBS_District_Flows!$A:$K, 6,FALSE),0)</f>
        <v>0</v>
      </c>
      <c r="X8" s="119">
        <f>IFERROR(VLOOKUP(CONCATENATE($A$15,"-",$A$12, "-", $D8, "-", X$3, "-", $A$9),OBS_District_Flows!$A:$K, 6,FALSE),0)</f>
        <v>0</v>
      </c>
      <c r="Y8" s="119">
        <f>IFERROR(VLOOKUP(CONCATENATE($A$15,"-",$A$12, "-", $D8, "-", Y$3, "-", $A$9),OBS_District_Flows!$A:$K, 6,FALSE),0)</f>
        <v>0</v>
      </c>
      <c r="Z8" s="119">
        <f>IFERROR(VLOOKUP(CONCATENATE($A$15,"-",$A$12, "-", $D8, "-", Z$3, "-", $A$9),OBS_District_Flows!$A:$K, 6,FALSE),0)</f>
        <v>0</v>
      </c>
      <c r="AA8" s="119">
        <f>IFERROR(VLOOKUP(CONCATENATE($A$15,"-",$A$12, "-", $D8, "-", AA$3, "-", $A$9),OBS_District_Flows!$A:$K, 6,FALSE),0)</f>
        <v>0</v>
      </c>
      <c r="AB8" s="119">
        <f>IFERROR(VLOOKUP(CONCATENATE($A$15,"-",$A$12, "-", $D8, "-", AB$3, "-", $A$9),OBS_District_Flows!$A:$K, 6,FALSE),0)</f>
        <v>0</v>
      </c>
      <c r="AC8" s="119">
        <f>IFERROR(VLOOKUP(CONCATENATE($A$15,"-",$A$12, "-", $D8, "-", AC$3, "-", $A$9),OBS_District_Flows!$A:$K, 6,FALSE),0)</f>
        <v>0</v>
      </c>
      <c r="AD8" s="119">
        <f>IFERROR(VLOOKUP(CONCATENATE($A$15,"-",$A$12, "-", $D8, "-", AD$3, "-", $A$9),OBS_District_Flows!$A:$K, 6,FALSE),0)</f>
        <v>0</v>
      </c>
      <c r="AE8" s="119">
        <f>IFERROR(VLOOKUP(CONCATENATE($A$15,"-",$A$12, "-", $D8, "-", AE$3, "-", $A$9),OBS_District_Flows!$A:$K, 6,FALSE),0)</f>
        <v>0</v>
      </c>
      <c r="AF8" s="119">
        <f>IFERROR(VLOOKUP(CONCATENATE($A$15,"-",$A$12, "-", $D8, "-", AF$3, "-", $A$9),OBS_District_Flows!$A:$K, 6,FALSE),0)</f>
        <v>0</v>
      </c>
      <c r="AG8" s="119">
        <f>IFERROR(VLOOKUP(CONCATENATE($A$15,"-",$A$12, "-", $D8, "-", AG$3, "-", $A$9),OBS_District_Flows!$A:$K, 6,FALSE),0)</f>
        <v>0</v>
      </c>
      <c r="AH8" s="119">
        <f>IFERROR(VLOOKUP(CONCATENATE($A$15,"-",$A$12, "-", $D8, "-", AH$3, "-", $A$9),OBS_District_Flows!$A:$K, 6,FALSE),0)</f>
        <v>0</v>
      </c>
      <c r="AI8" s="119">
        <f>IFERROR(VLOOKUP(CONCATENATE($A$15,"-",$A$12, "-", $D8, "-", AI$3, "-", $A$9),OBS_District_Flows!$A:$K, 6,FALSE),0)</f>
        <v>0</v>
      </c>
      <c r="AJ8" s="119">
        <f>IFERROR(VLOOKUP(CONCATENATE($A$15,"-",$A$12, "-", $D8, "-", AJ$3, "-", $A$9),OBS_District_Flows!$A:$K, 6,FALSE),0)</f>
        <v>0</v>
      </c>
      <c r="AK8" s="119">
        <f>IFERROR(VLOOKUP(CONCATENATE($A$15,"-",$A$12, "-", $D8, "-", AK$3, "-", $A$9),OBS_District_Flows!$A:$K, 6,FALSE),0)</f>
        <v>0</v>
      </c>
      <c r="AL8" s="120">
        <f>IFERROR(VLOOKUP(CONCATENATE($A$15,"-",$A$12, "-", $D8, "-", AL$3, "-", $A$9),OBS_District_Flows!$A:$K, 6,FALSE),0)</f>
        <v>0</v>
      </c>
      <c r="AM8" s="111">
        <f t="shared" si="0"/>
        <v>0</v>
      </c>
      <c r="AO8" s="286"/>
      <c r="AP8" s="107" t="s">
        <v>192</v>
      </c>
      <c r="AQ8" s="121" t="str">
        <f t="shared" si="1"/>
        <v/>
      </c>
      <c r="AR8" s="122" t="str">
        <f t="shared" si="2"/>
        <v/>
      </c>
      <c r="AS8" s="122" t="str">
        <f t="shared" si="3"/>
        <v/>
      </c>
      <c r="AT8" s="122" t="str">
        <f t="shared" si="4"/>
        <v/>
      </c>
      <c r="AU8" s="122" t="str">
        <f t="shared" si="5"/>
        <v/>
      </c>
      <c r="AV8" s="122" t="str">
        <f t="shared" si="6"/>
        <v/>
      </c>
      <c r="AW8" s="122" t="str">
        <f t="shared" si="7"/>
        <v/>
      </c>
      <c r="AX8" s="122" t="str">
        <f t="shared" si="8"/>
        <v/>
      </c>
      <c r="AY8" s="122" t="str">
        <f t="shared" si="9"/>
        <v/>
      </c>
      <c r="AZ8" s="122" t="str">
        <f t="shared" si="10"/>
        <v/>
      </c>
      <c r="BA8" s="122" t="str">
        <f t="shared" si="11"/>
        <v/>
      </c>
      <c r="BB8" s="122" t="str">
        <f t="shared" si="12"/>
        <v/>
      </c>
      <c r="BC8" s="122" t="str">
        <f t="shared" si="13"/>
        <v/>
      </c>
      <c r="BD8" s="122" t="str">
        <f t="shared" si="14"/>
        <v/>
      </c>
      <c r="BE8" s="122" t="str">
        <f t="shared" si="15"/>
        <v/>
      </c>
      <c r="BF8" s="122" t="str">
        <f t="shared" si="16"/>
        <v/>
      </c>
      <c r="BG8" s="122" t="str">
        <f t="shared" si="17"/>
        <v/>
      </c>
      <c r="BH8" s="122" t="str">
        <f t="shared" si="18"/>
        <v/>
      </c>
      <c r="BI8" s="122" t="str">
        <f t="shared" si="19"/>
        <v/>
      </c>
      <c r="BJ8" s="122" t="str">
        <f t="shared" si="20"/>
        <v/>
      </c>
      <c r="BK8" s="122" t="str">
        <f t="shared" si="21"/>
        <v/>
      </c>
      <c r="BL8" s="122" t="str">
        <f t="shared" si="22"/>
        <v/>
      </c>
      <c r="BM8" s="122" t="str">
        <f t="shared" si="23"/>
        <v/>
      </c>
      <c r="BN8" s="122" t="str">
        <f t="shared" si="24"/>
        <v/>
      </c>
      <c r="BO8" s="122" t="str">
        <f t="shared" si="25"/>
        <v/>
      </c>
      <c r="BP8" s="122" t="str">
        <f t="shared" si="26"/>
        <v/>
      </c>
      <c r="BQ8" s="122" t="str">
        <f t="shared" si="27"/>
        <v/>
      </c>
      <c r="BR8" s="122" t="str">
        <f t="shared" si="28"/>
        <v/>
      </c>
      <c r="BS8" s="122" t="str">
        <f t="shared" si="29"/>
        <v/>
      </c>
      <c r="BT8" s="122" t="str">
        <f t="shared" si="30"/>
        <v/>
      </c>
      <c r="BU8" s="122" t="str">
        <f t="shared" si="31"/>
        <v/>
      </c>
      <c r="BV8" s="122" t="str">
        <f t="shared" si="32"/>
        <v/>
      </c>
      <c r="BW8" s="122" t="str">
        <f t="shared" si="33"/>
        <v/>
      </c>
      <c r="BX8" s="123" t="str">
        <f t="shared" si="34"/>
        <v/>
      </c>
      <c r="BY8" s="115" t="str">
        <f t="shared" si="35"/>
        <v/>
      </c>
      <c r="CA8" s="286"/>
      <c r="CB8" s="107" t="s">
        <v>192</v>
      </c>
      <c r="CC8" s="121" t="str">
        <f t="shared" si="36"/>
        <v/>
      </c>
      <c r="CD8" s="122" t="str">
        <f t="shared" si="37"/>
        <v/>
      </c>
      <c r="CE8" s="122" t="str">
        <f t="shared" si="38"/>
        <v/>
      </c>
      <c r="CF8" s="122" t="str">
        <f t="shared" si="39"/>
        <v/>
      </c>
      <c r="CG8" s="122" t="str">
        <f t="shared" si="40"/>
        <v/>
      </c>
      <c r="CH8" s="122" t="str">
        <f t="shared" si="41"/>
        <v/>
      </c>
      <c r="CI8" s="122" t="str">
        <f t="shared" si="42"/>
        <v/>
      </c>
      <c r="CJ8" s="122" t="str">
        <f t="shared" si="43"/>
        <v/>
      </c>
      <c r="CK8" s="122" t="str">
        <f t="shared" si="44"/>
        <v/>
      </c>
      <c r="CL8" s="122" t="str">
        <f t="shared" si="45"/>
        <v/>
      </c>
      <c r="CM8" s="122" t="str">
        <f t="shared" si="46"/>
        <v/>
      </c>
      <c r="CN8" s="122" t="str">
        <f t="shared" si="47"/>
        <v/>
      </c>
      <c r="CO8" s="122" t="str">
        <f t="shared" si="48"/>
        <v/>
      </c>
      <c r="CP8" s="122" t="str">
        <f t="shared" si="49"/>
        <v/>
      </c>
      <c r="CQ8" s="122" t="str">
        <f t="shared" si="50"/>
        <v/>
      </c>
      <c r="CR8" s="122" t="str">
        <f t="shared" si="51"/>
        <v/>
      </c>
      <c r="CS8" s="122" t="str">
        <f t="shared" si="52"/>
        <v/>
      </c>
      <c r="CT8" s="122" t="str">
        <f t="shared" si="53"/>
        <v/>
      </c>
      <c r="CU8" s="122" t="str">
        <f t="shared" si="54"/>
        <v/>
      </c>
      <c r="CV8" s="122" t="str">
        <f t="shared" si="55"/>
        <v/>
      </c>
      <c r="CW8" s="122" t="str">
        <f t="shared" si="56"/>
        <v/>
      </c>
      <c r="CX8" s="122" t="str">
        <f t="shared" si="57"/>
        <v/>
      </c>
      <c r="CY8" s="122" t="str">
        <f t="shared" si="58"/>
        <v/>
      </c>
      <c r="CZ8" s="122" t="str">
        <f t="shared" si="59"/>
        <v/>
      </c>
      <c r="DA8" s="122" t="str">
        <f t="shared" si="60"/>
        <v/>
      </c>
      <c r="DB8" s="122" t="str">
        <f t="shared" si="61"/>
        <v/>
      </c>
      <c r="DC8" s="122" t="str">
        <f t="shared" si="62"/>
        <v/>
      </c>
      <c r="DD8" s="122" t="str">
        <f t="shared" si="63"/>
        <v/>
      </c>
      <c r="DE8" s="122" t="str">
        <f t="shared" si="64"/>
        <v/>
      </c>
      <c r="DF8" s="122" t="str">
        <f t="shared" si="65"/>
        <v/>
      </c>
      <c r="DG8" s="122" t="str">
        <f t="shared" si="66"/>
        <v/>
      </c>
      <c r="DH8" s="122" t="str">
        <f t="shared" si="67"/>
        <v/>
      </c>
      <c r="DI8" s="122" t="str">
        <f t="shared" si="68"/>
        <v/>
      </c>
      <c r="DJ8" s="123" t="str">
        <f t="shared" si="69"/>
        <v/>
      </c>
      <c r="DK8" s="115" t="str">
        <f t="shared" si="70"/>
        <v/>
      </c>
    </row>
    <row r="9" spans="1:115" x14ac:dyDescent="0.2">
      <c r="A9" s="126" t="str">
        <f>VLOOKUP(A6, OBS_District_Flows!W2:X11,2,FALSE)</f>
        <v>Total</v>
      </c>
      <c r="B9" s="127"/>
      <c r="C9" s="285"/>
      <c r="D9" s="107" t="s">
        <v>195</v>
      </c>
      <c r="E9" s="118">
        <f>IFERROR(VLOOKUP(CONCATENATE($A$15,"-",$A$12, "-", $D9, "-", E$3, "-", $A$9),OBS_District_Flows!$A:$K, 6,FALSE),0)</f>
        <v>0</v>
      </c>
      <c r="F9" s="119">
        <f>IFERROR(VLOOKUP(CONCATENATE($A$15,"-",$A$12, "-", $D9, "-", F$3, "-", $A$9),OBS_District_Flows!$A:$K, 6,FALSE),0)</f>
        <v>0</v>
      </c>
      <c r="G9" s="119">
        <f>IFERROR(VLOOKUP(CONCATENATE($A$15,"-",$A$12, "-", $D9, "-", G$3, "-", $A$9),OBS_District_Flows!$A:$K, 6,FALSE),0)</f>
        <v>0</v>
      </c>
      <c r="H9" s="119">
        <f>IFERROR(VLOOKUP(CONCATENATE($A$15,"-",$A$12, "-", $D9, "-", H$3, "-", $A$9),OBS_District_Flows!$A:$K, 6,FALSE),0)</f>
        <v>0</v>
      </c>
      <c r="I9" s="119">
        <f>IFERROR(VLOOKUP(CONCATENATE($A$15,"-",$A$12, "-", $D9, "-", I$3, "-", $A$9),OBS_District_Flows!$A:$K, 6,FALSE),0)</f>
        <v>0</v>
      </c>
      <c r="J9" s="119">
        <f>IFERROR(VLOOKUP(CONCATENATE($A$15,"-",$A$12, "-", $D9, "-", J$3, "-", $A$9),OBS_District_Flows!$A:$K, 6,FALSE),0)</f>
        <v>0</v>
      </c>
      <c r="K9" s="119">
        <f>IFERROR(VLOOKUP(CONCATENATE($A$15,"-",$A$12, "-", $D9, "-", K$3, "-", $A$9),OBS_District_Flows!$A:$K, 6,FALSE),0)</f>
        <v>0</v>
      </c>
      <c r="L9" s="119">
        <f>IFERROR(VLOOKUP(CONCATENATE($A$15,"-",$A$12, "-", $D9, "-", L$3, "-", $A$9),OBS_District_Flows!$A:$K, 6,FALSE),0)</f>
        <v>0</v>
      </c>
      <c r="M9" s="119">
        <f>IFERROR(VLOOKUP(CONCATENATE($A$15,"-",$A$12, "-", $D9, "-", M$3, "-", $A$9),OBS_District_Flows!$A:$K, 6,FALSE),0)</f>
        <v>0</v>
      </c>
      <c r="N9" s="119">
        <f>IFERROR(VLOOKUP(CONCATENATE($A$15,"-",$A$12, "-", $D9, "-", N$3, "-", $A$9),OBS_District_Flows!$A:$K, 6,FALSE),0)</f>
        <v>0</v>
      </c>
      <c r="O9" s="119">
        <f>IFERROR(VLOOKUP(CONCATENATE($A$15,"-",$A$12, "-", $D9, "-", O$3, "-", $A$9),OBS_District_Flows!$A:$K, 6,FALSE),0)</f>
        <v>0</v>
      </c>
      <c r="P9" s="119">
        <f>IFERROR(VLOOKUP(CONCATENATE($A$15,"-",$A$12, "-", $D9, "-", P$3, "-", $A$9),OBS_District_Flows!$A:$K, 6,FALSE),0)</f>
        <v>0</v>
      </c>
      <c r="Q9" s="119">
        <f>IFERROR(VLOOKUP(CONCATENATE($A$15,"-",$A$12, "-", $D9, "-", Q$3, "-", $A$9),OBS_District_Flows!$A:$K, 6,FALSE),0)</f>
        <v>0</v>
      </c>
      <c r="R9" s="119">
        <f>IFERROR(VLOOKUP(CONCATENATE($A$15,"-",$A$12, "-", $D9, "-", R$3, "-", $A$9),OBS_District_Flows!$A:$K, 6,FALSE),0)</f>
        <v>0</v>
      </c>
      <c r="S9" s="119">
        <f>IFERROR(VLOOKUP(CONCATENATE($A$15,"-",$A$12, "-", $D9, "-", S$3, "-", $A$9),OBS_District_Flows!$A:$K, 6,FALSE),0)</f>
        <v>0</v>
      </c>
      <c r="T9" s="119">
        <f>IFERROR(VLOOKUP(CONCATENATE($A$15,"-",$A$12, "-", $D9, "-", T$3, "-", $A$9),OBS_District_Flows!$A:$K, 6,FALSE),0)</f>
        <v>0</v>
      </c>
      <c r="U9" s="119">
        <f>IFERROR(VLOOKUP(CONCATENATE($A$15,"-",$A$12, "-", $D9, "-", U$3, "-", $A$9),OBS_District_Flows!$A:$K, 6,FALSE),0)</f>
        <v>0</v>
      </c>
      <c r="V9" s="119">
        <f>IFERROR(VLOOKUP(CONCATENATE($A$15,"-",$A$12, "-", $D9, "-", V$3, "-", $A$9),OBS_District_Flows!$A:$K, 6,FALSE),0)</f>
        <v>0</v>
      </c>
      <c r="W9" s="119">
        <f>IFERROR(VLOOKUP(CONCATENATE($A$15,"-",$A$12, "-", $D9, "-", W$3, "-", $A$9),OBS_District_Flows!$A:$K, 6,FALSE),0)</f>
        <v>0</v>
      </c>
      <c r="X9" s="119">
        <f>IFERROR(VLOOKUP(CONCATENATE($A$15,"-",$A$12, "-", $D9, "-", X$3, "-", $A$9),OBS_District_Flows!$A:$K, 6,FALSE),0)</f>
        <v>0</v>
      </c>
      <c r="Y9" s="119">
        <f>IFERROR(VLOOKUP(CONCATENATE($A$15,"-",$A$12, "-", $D9, "-", Y$3, "-", $A$9),OBS_District_Flows!$A:$K, 6,FALSE),0)</f>
        <v>0</v>
      </c>
      <c r="Z9" s="119">
        <f>IFERROR(VLOOKUP(CONCATENATE($A$15,"-",$A$12, "-", $D9, "-", Z$3, "-", $A$9),OBS_District_Flows!$A:$K, 6,FALSE),0)</f>
        <v>0</v>
      </c>
      <c r="AA9" s="119">
        <f>IFERROR(VLOOKUP(CONCATENATE($A$15,"-",$A$12, "-", $D9, "-", AA$3, "-", $A$9),OBS_District_Flows!$A:$K, 6,FALSE),0)</f>
        <v>0</v>
      </c>
      <c r="AB9" s="119">
        <f>IFERROR(VLOOKUP(CONCATENATE($A$15,"-",$A$12, "-", $D9, "-", AB$3, "-", $A$9),OBS_District_Flows!$A:$K, 6,FALSE),0)</f>
        <v>0</v>
      </c>
      <c r="AC9" s="119">
        <f>IFERROR(VLOOKUP(CONCATENATE($A$15,"-",$A$12, "-", $D9, "-", AC$3, "-", $A$9),OBS_District_Flows!$A:$K, 6,FALSE),0)</f>
        <v>0</v>
      </c>
      <c r="AD9" s="119">
        <f>IFERROR(VLOOKUP(CONCATENATE($A$15,"-",$A$12, "-", $D9, "-", AD$3, "-", $A$9),OBS_District_Flows!$A:$K, 6,FALSE),0)</f>
        <v>0</v>
      </c>
      <c r="AE9" s="119">
        <f>IFERROR(VLOOKUP(CONCATENATE($A$15,"-",$A$12, "-", $D9, "-", AE$3, "-", $A$9),OBS_District_Flows!$A:$K, 6,FALSE),0)</f>
        <v>0</v>
      </c>
      <c r="AF9" s="119">
        <f>IFERROR(VLOOKUP(CONCATENATE($A$15,"-",$A$12, "-", $D9, "-", AF$3, "-", $A$9),OBS_District_Flows!$A:$K, 6,FALSE),0)</f>
        <v>0</v>
      </c>
      <c r="AG9" s="119">
        <f>IFERROR(VLOOKUP(CONCATENATE($A$15,"-",$A$12, "-", $D9, "-", AG$3, "-", $A$9),OBS_District_Flows!$A:$K, 6,FALSE),0)</f>
        <v>0</v>
      </c>
      <c r="AH9" s="119">
        <f>IFERROR(VLOOKUP(CONCATENATE($A$15,"-",$A$12, "-", $D9, "-", AH$3, "-", $A$9),OBS_District_Flows!$A:$K, 6,FALSE),0)</f>
        <v>0</v>
      </c>
      <c r="AI9" s="119">
        <f>IFERROR(VLOOKUP(CONCATENATE($A$15,"-",$A$12, "-", $D9, "-", AI$3, "-", $A$9),OBS_District_Flows!$A:$K, 6,FALSE),0)</f>
        <v>0</v>
      </c>
      <c r="AJ9" s="119">
        <f>IFERROR(VLOOKUP(CONCATENATE($A$15,"-",$A$12, "-", $D9, "-", AJ$3, "-", $A$9),OBS_District_Flows!$A:$K, 6,FALSE),0)</f>
        <v>0</v>
      </c>
      <c r="AK9" s="119">
        <f>IFERROR(VLOOKUP(CONCATENATE($A$15,"-",$A$12, "-", $D9, "-", AK$3, "-", $A$9),OBS_District_Flows!$A:$K, 6,FALSE),0)</f>
        <v>0</v>
      </c>
      <c r="AL9" s="120">
        <f>IFERROR(VLOOKUP(CONCATENATE($A$15,"-",$A$12, "-", $D9, "-", AL$3, "-", $A$9),OBS_District_Flows!$A:$K, 6,FALSE),0)</f>
        <v>0</v>
      </c>
      <c r="AM9" s="111">
        <f t="shared" si="0"/>
        <v>0</v>
      </c>
      <c r="AO9" s="286"/>
      <c r="AP9" s="107" t="s">
        <v>195</v>
      </c>
      <c r="AQ9" s="121" t="str">
        <f t="shared" si="1"/>
        <v/>
      </c>
      <c r="AR9" s="122" t="str">
        <f t="shared" si="2"/>
        <v/>
      </c>
      <c r="AS9" s="122" t="str">
        <f t="shared" si="3"/>
        <v/>
      </c>
      <c r="AT9" s="122" t="str">
        <f t="shared" si="4"/>
        <v/>
      </c>
      <c r="AU9" s="122" t="str">
        <f t="shared" si="5"/>
        <v/>
      </c>
      <c r="AV9" s="122" t="str">
        <f t="shared" si="6"/>
        <v/>
      </c>
      <c r="AW9" s="122" t="str">
        <f t="shared" si="7"/>
        <v/>
      </c>
      <c r="AX9" s="122" t="str">
        <f t="shared" si="8"/>
        <v/>
      </c>
      <c r="AY9" s="122" t="str">
        <f t="shared" si="9"/>
        <v/>
      </c>
      <c r="AZ9" s="122" t="str">
        <f t="shared" si="10"/>
        <v/>
      </c>
      <c r="BA9" s="122" t="str">
        <f t="shared" si="11"/>
        <v/>
      </c>
      <c r="BB9" s="122" t="str">
        <f t="shared" si="12"/>
        <v/>
      </c>
      <c r="BC9" s="122" t="str">
        <f t="shared" si="13"/>
        <v/>
      </c>
      <c r="BD9" s="122" t="str">
        <f t="shared" si="14"/>
        <v/>
      </c>
      <c r="BE9" s="122" t="str">
        <f t="shared" si="15"/>
        <v/>
      </c>
      <c r="BF9" s="122" t="str">
        <f t="shared" si="16"/>
        <v/>
      </c>
      <c r="BG9" s="122" t="str">
        <f t="shared" si="17"/>
        <v/>
      </c>
      <c r="BH9" s="122" t="str">
        <f t="shared" si="18"/>
        <v/>
      </c>
      <c r="BI9" s="122" t="str">
        <f t="shared" si="19"/>
        <v/>
      </c>
      <c r="BJ9" s="122" t="str">
        <f t="shared" si="20"/>
        <v/>
      </c>
      <c r="BK9" s="122" t="str">
        <f t="shared" si="21"/>
        <v/>
      </c>
      <c r="BL9" s="122" t="str">
        <f t="shared" si="22"/>
        <v/>
      </c>
      <c r="BM9" s="122" t="str">
        <f t="shared" si="23"/>
        <v/>
      </c>
      <c r="BN9" s="122" t="str">
        <f t="shared" si="24"/>
        <v/>
      </c>
      <c r="BO9" s="122" t="str">
        <f t="shared" si="25"/>
        <v/>
      </c>
      <c r="BP9" s="122" t="str">
        <f t="shared" si="26"/>
        <v/>
      </c>
      <c r="BQ9" s="122" t="str">
        <f t="shared" si="27"/>
        <v/>
      </c>
      <c r="BR9" s="122" t="str">
        <f t="shared" si="28"/>
        <v/>
      </c>
      <c r="BS9" s="122" t="str">
        <f t="shared" si="29"/>
        <v/>
      </c>
      <c r="BT9" s="122" t="str">
        <f t="shared" si="30"/>
        <v/>
      </c>
      <c r="BU9" s="122" t="str">
        <f t="shared" si="31"/>
        <v/>
      </c>
      <c r="BV9" s="122" t="str">
        <f t="shared" si="32"/>
        <v/>
      </c>
      <c r="BW9" s="122" t="str">
        <f t="shared" si="33"/>
        <v/>
      </c>
      <c r="BX9" s="123" t="str">
        <f t="shared" si="34"/>
        <v/>
      </c>
      <c r="BY9" s="115" t="str">
        <f t="shared" si="35"/>
        <v/>
      </c>
      <c r="CA9" s="286"/>
      <c r="CB9" s="107" t="s">
        <v>195</v>
      </c>
      <c r="CC9" s="121" t="str">
        <f t="shared" si="36"/>
        <v/>
      </c>
      <c r="CD9" s="122" t="str">
        <f t="shared" si="37"/>
        <v/>
      </c>
      <c r="CE9" s="122" t="str">
        <f t="shared" si="38"/>
        <v/>
      </c>
      <c r="CF9" s="122" t="str">
        <f t="shared" si="39"/>
        <v/>
      </c>
      <c r="CG9" s="122" t="str">
        <f t="shared" si="40"/>
        <v/>
      </c>
      <c r="CH9" s="122" t="str">
        <f t="shared" si="41"/>
        <v/>
      </c>
      <c r="CI9" s="122" t="str">
        <f t="shared" si="42"/>
        <v/>
      </c>
      <c r="CJ9" s="122" t="str">
        <f t="shared" si="43"/>
        <v/>
      </c>
      <c r="CK9" s="122" t="str">
        <f t="shared" si="44"/>
        <v/>
      </c>
      <c r="CL9" s="122" t="str">
        <f t="shared" si="45"/>
        <v/>
      </c>
      <c r="CM9" s="122" t="str">
        <f t="shared" si="46"/>
        <v/>
      </c>
      <c r="CN9" s="122" t="str">
        <f t="shared" si="47"/>
        <v/>
      </c>
      <c r="CO9" s="122" t="str">
        <f t="shared" si="48"/>
        <v/>
      </c>
      <c r="CP9" s="122" t="str">
        <f t="shared" si="49"/>
        <v/>
      </c>
      <c r="CQ9" s="122" t="str">
        <f t="shared" si="50"/>
        <v/>
      </c>
      <c r="CR9" s="122" t="str">
        <f t="shared" si="51"/>
        <v/>
      </c>
      <c r="CS9" s="122" t="str">
        <f t="shared" si="52"/>
        <v/>
      </c>
      <c r="CT9" s="122" t="str">
        <f t="shared" si="53"/>
        <v/>
      </c>
      <c r="CU9" s="122" t="str">
        <f t="shared" si="54"/>
        <v/>
      </c>
      <c r="CV9" s="122" t="str">
        <f t="shared" si="55"/>
        <v/>
      </c>
      <c r="CW9" s="122" t="str">
        <f t="shared" si="56"/>
        <v/>
      </c>
      <c r="CX9" s="122" t="str">
        <f t="shared" si="57"/>
        <v/>
      </c>
      <c r="CY9" s="122" t="str">
        <f t="shared" si="58"/>
        <v/>
      </c>
      <c r="CZ9" s="122" t="str">
        <f t="shared" si="59"/>
        <v/>
      </c>
      <c r="DA9" s="122" t="str">
        <f t="shared" si="60"/>
        <v/>
      </c>
      <c r="DB9" s="122" t="str">
        <f t="shared" si="61"/>
        <v/>
      </c>
      <c r="DC9" s="122" t="str">
        <f t="shared" si="62"/>
        <v/>
      </c>
      <c r="DD9" s="122" t="str">
        <f t="shared" si="63"/>
        <v/>
      </c>
      <c r="DE9" s="122" t="str">
        <f t="shared" si="64"/>
        <v/>
      </c>
      <c r="DF9" s="122" t="str">
        <f t="shared" si="65"/>
        <v/>
      </c>
      <c r="DG9" s="122" t="str">
        <f t="shared" si="66"/>
        <v/>
      </c>
      <c r="DH9" s="122" t="str">
        <f t="shared" si="67"/>
        <v/>
      </c>
      <c r="DI9" s="122" t="str">
        <f t="shared" si="68"/>
        <v/>
      </c>
      <c r="DJ9" s="123" t="str">
        <f t="shared" si="69"/>
        <v/>
      </c>
      <c r="DK9" s="115" t="str">
        <f t="shared" si="70"/>
        <v/>
      </c>
    </row>
    <row r="10" spans="1:115" x14ac:dyDescent="0.2">
      <c r="C10" s="285"/>
      <c r="D10" s="107" t="s">
        <v>198</v>
      </c>
      <c r="E10" s="118">
        <f>IFERROR(VLOOKUP(CONCATENATE($A$15,"-",$A$12, "-", $D10, "-", E$3, "-", $A$9),OBS_District_Flows!$A:$K, 6,FALSE),0)</f>
        <v>0</v>
      </c>
      <c r="F10" s="119">
        <f>IFERROR(VLOOKUP(CONCATENATE($A$15,"-",$A$12, "-", $D10, "-", F$3, "-", $A$9),OBS_District_Flows!$A:$K, 6,FALSE),0)</f>
        <v>0</v>
      </c>
      <c r="G10" s="119">
        <f>IFERROR(VLOOKUP(CONCATENATE($A$15,"-",$A$12, "-", $D10, "-", G$3, "-", $A$9),OBS_District_Flows!$A:$K, 6,FALSE),0)</f>
        <v>0</v>
      </c>
      <c r="H10" s="119">
        <f>IFERROR(VLOOKUP(CONCATENATE($A$15,"-",$A$12, "-", $D10, "-", H$3, "-", $A$9),OBS_District_Flows!$A:$K, 6,FALSE),0)</f>
        <v>0</v>
      </c>
      <c r="I10" s="119">
        <f>IFERROR(VLOOKUP(CONCATENATE($A$15,"-",$A$12, "-", $D10, "-", I$3, "-", $A$9),OBS_District_Flows!$A:$K, 6,FALSE),0)</f>
        <v>0</v>
      </c>
      <c r="J10" s="119">
        <f>IFERROR(VLOOKUP(CONCATENATE($A$15,"-",$A$12, "-", $D10, "-", J$3, "-", $A$9),OBS_District_Flows!$A:$K, 6,FALSE),0)</f>
        <v>0</v>
      </c>
      <c r="K10" s="119">
        <f>IFERROR(VLOOKUP(CONCATENATE($A$15,"-",$A$12, "-", $D10, "-", K$3, "-", $A$9),OBS_District_Flows!$A:$K, 6,FALSE),0)</f>
        <v>0</v>
      </c>
      <c r="L10" s="119">
        <f>IFERROR(VLOOKUP(CONCATENATE($A$15,"-",$A$12, "-", $D10, "-", L$3, "-", $A$9),OBS_District_Flows!$A:$K, 6,FALSE),0)</f>
        <v>0</v>
      </c>
      <c r="M10" s="119">
        <f>IFERROR(VLOOKUP(CONCATENATE($A$15,"-",$A$12, "-", $D10, "-", M$3, "-", $A$9),OBS_District_Flows!$A:$K, 6,FALSE),0)</f>
        <v>0</v>
      </c>
      <c r="N10" s="119">
        <f>IFERROR(VLOOKUP(CONCATENATE($A$15,"-",$A$12, "-", $D10, "-", N$3, "-", $A$9),OBS_District_Flows!$A:$K, 6,FALSE),0)</f>
        <v>0</v>
      </c>
      <c r="O10" s="119">
        <f>IFERROR(VLOOKUP(CONCATENATE($A$15,"-",$A$12, "-", $D10, "-", O$3, "-", $A$9),OBS_District_Flows!$A:$K, 6,FALSE),0)</f>
        <v>0</v>
      </c>
      <c r="P10" s="119">
        <f>IFERROR(VLOOKUP(CONCATENATE($A$15,"-",$A$12, "-", $D10, "-", P$3, "-", $A$9),OBS_District_Flows!$A:$K, 6,FALSE),0)</f>
        <v>0</v>
      </c>
      <c r="Q10" s="119">
        <f>IFERROR(VLOOKUP(CONCATENATE($A$15,"-",$A$12, "-", $D10, "-", Q$3, "-", $A$9),OBS_District_Flows!$A:$K, 6,FALSE),0)</f>
        <v>0</v>
      </c>
      <c r="R10" s="119">
        <f>IFERROR(VLOOKUP(CONCATENATE($A$15,"-",$A$12, "-", $D10, "-", R$3, "-", $A$9),OBS_District_Flows!$A:$K, 6,FALSE),0)</f>
        <v>0</v>
      </c>
      <c r="S10" s="119">
        <f>IFERROR(VLOOKUP(CONCATENATE($A$15,"-",$A$12, "-", $D10, "-", S$3, "-", $A$9),OBS_District_Flows!$A:$K, 6,FALSE),0)</f>
        <v>0</v>
      </c>
      <c r="T10" s="119">
        <f>IFERROR(VLOOKUP(CONCATENATE($A$15,"-",$A$12, "-", $D10, "-", T$3, "-", $A$9),OBS_District_Flows!$A:$K, 6,FALSE),0)</f>
        <v>0</v>
      </c>
      <c r="U10" s="119">
        <f>IFERROR(VLOOKUP(CONCATENATE($A$15,"-",$A$12, "-", $D10, "-", U$3, "-", $A$9),OBS_District_Flows!$A:$K, 6,FALSE),0)</f>
        <v>0</v>
      </c>
      <c r="V10" s="119">
        <f>IFERROR(VLOOKUP(CONCATENATE($A$15,"-",$A$12, "-", $D10, "-", V$3, "-", $A$9),OBS_District_Flows!$A:$K, 6,FALSE),0)</f>
        <v>0</v>
      </c>
      <c r="W10" s="119">
        <f>IFERROR(VLOOKUP(CONCATENATE($A$15,"-",$A$12, "-", $D10, "-", W$3, "-", $A$9),OBS_District_Flows!$A:$K, 6,FALSE),0)</f>
        <v>0</v>
      </c>
      <c r="X10" s="119">
        <f>IFERROR(VLOOKUP(CONCATENATE($A$15,"-",$A$12, "-", $D10, "-", X$3, "-", $A$9),OBS_District_Flows!$A:$K, 6,FALSE),0)</f>
        <v>0</v>
      </c>
      <c r="Y10" s="119">
        <f>IFERROR(VLOOKUP(CONCATENATE($A$15,"-",$A$12, "-", $D10, "-", Y$3, "-", $A$9),OBS_District_Flows!$A:$K, 6,FALSE),0)</f>
        <v>0</v>
      </c>
      <c r="Z10" s="119">
        <f>IFERROR(VLOOKUP(CONCATENATE($A$15,"-",$A$12, "-", $D10, "-", Z$3, "-", $A$9),OBS_District_Flows!$A:$K, 6,FALSE),0)</f>
        <v>0</v>
      </c>
      <c r="AA10" s="119">
        <f>IFERROR(VLOOKUP(CONCATENATE($A$15,"-",$A$12, "-", $D10, "-", AA$3, "-", $A$9),OBS_District_Flows!$A:$K, 6,FALSE),0)</f>
        <v>0</v>
      </c>
      <c r="AB10" s="119">
        <f>IFERROR(VLOOKUP(CONCATENATE($A$15,"-",$A$12, "-", $D10, "-", AB$3, "-", $A$9),OBS_District_Flows!$A:$K, 6,FALSE),0)</f>
        <v>0</v>
      </c>
      <c r="AC10" s="119">
        <f>IFERROR(VLOOKUP(CONCATENATE($A$15,"-",$A$12, "-", $D10, "-", AC$3, "-", $A$9),OBS_District_Flows!$A:$K, 6,FALSE),0)</f>
        <v>0</v>
      </c>
      <c r="AD10" s="119">
        <f>IFERROR(VLOOKUP(CONCATENATE($A$15,"-",$A$12, "-", $D10, "-", AD$3, "-", $A$9),OBS_District_Flows!$A:$K, 6,FALSE),0)</f>
        <v>0</v>
      </c>
      <c r="AE10" s="119">
        <f>IFERROR(VLOOKUP(CONCATENATE($A$15,"-",$A$12, "-", $D10, "-", AE$3, "-", $A$9),OBS_District_Flows!$A:$K, 6,FALSE),0)</f>
        <v>0</v>
      </c>
      <c r="AF10" s="119">
        <f>IFERROR(VLOOKUP(CONCATENATE($A$15,"-",$A$12, "-", $D10, "-", AF$3, "-", $A$9),OBS_District_Flows!$A:$K, 6,FALSE),0)</f>
        <v>0</v>
      </c>
      <c r="AG10" s="119">
        <f>IFERROR(VLOOKUP(CONCATENATE($A$15,"-",$A$12, "-", $D10, "-", AG$3, "-", $A$9),OBS_District_Flows!$A:$K, 6,FALSE),0)</f>
        <v>0</v>
      </c>
      <c r="AH10" s="119">
        <f>IFERROR(VLOOKUP(CONCATENATE($A$15,"-",$A$12, "-", $D10, "-", AH$3, "-", $A$9),OBS_District_Flows!$A:$K, 6,FALSE),0)</f>
        <v>0</v>
      </c>
      <c r="AI10" s="119">
        <f>IFERROR(VLOOKUP(CONCATENATE($A$15,"-",$A$12, "-", $D10, "-", AI$3, "-", $A$9),OBS_District_Flows!$A:$K, 6,FALSE),0)</f>
        <v>0</v>
      </c>
      <c r="AJ10" s="119">
        <f>IFERROR(VLOOKUP(CONCATENATE($A$15,"-",$A$12, "-", $D10, "-", AJ$3, "-", $A$9),OBS_District_Flows!$A:$K, 6,FALSE),0)</f>
        <v>0</v>
      </c>
      <c r="AK10" s="119">
        <f>IFERROR(VLOOKUP(CONCATENATE($A$15,"-",$A$12, "-", $D10, "-", AK$3, "-", $A$9),OBS_District_Flows!$A:$K, 6,FALSE),0)</f>
        <v>0</v>
      </c>
      <c r="AL10" s="120">
        <f>IFERROR(VLOOKUP(CONCATENATE($A$15,"-",$A$12, "-", $D10, "-", AL$3, "-", $A$9),OBS_District_Flows!$A:$K, 6,FALSE),0)</f>
        <v>0</v>
      </c>
      <c r="AM10" s="111">
        <f t="shared" si="0"/>
        <v>0</v>
      </c>
      <c r="AO10" s="286"/>
      <c r="AP10" s="107" t="s">
        <v>198</v>
      </c>
      <c r="AQ10" s="121" t="str">
        <f t="shared" si="1"/>
        <v/>
      </c>
      <c r="AR10" s="122" t="str">
        <f t="shared" si="2"/>
        <v/>
      </c>
      <c r="AS10" s="122" t="str">
        <f t="shared" si="3"/>
        <v/>
      </c>
      <c r="AT10" s="122" t="str">
        <f t="shared" si="4"/>
        <v/>
      </c>
      <c r="AU10" s="122" t="str">
        <f t="shared" si="5"/>
        <v/>
      </c>
      <c r="AV10" s="122" t="str">
        <f t="shared" si="6"/>
        <v/>
      </c>
      <c r="AW10" s="122" t="str">
        <f t="shared" si="7"/>
        <v/>
      </c>
      <c r="AX10" s="122" t="str">
        <f t="shared" si="8"/>
        <v/>
      </c>
      <c r="AY10" s="122" t="str">
        <f t="shared" si="9"/>
        <v/>
      </c>
      <c r="AZ10" s="122" t="str">
        <f t="shared" si="10"/>
        <v/>
      </c>
      <c r="BA10" s="122" t="str">
        <f t="shared" si="11"/>
        <v/>
      </c>
      <c r="BB10" s="122" t="str">
        <f t="shared" si="12"/>
        <v/>
      </c>
      <c r="BC10" s="122" t="str">
        <f t="shared" si="13"/>
        <v/>
      </c>
      <c r="BD10" s="122" t="str">
        <f t="shared" si="14"/>
        <v/>
      </c>
      <c r="BE10" s="122" t="str">
        <f t="shared" si="15"/>
        <v/>
      </c>
      <c r="BF10" s="122" t="str">
        <f t="shared" si="16"/>
        <v/>
      </c>
      <c r="BG10" s="122" t="str">
        <f t="shared" si="17"/>
        <v/>
      </c>
      <c r="BH10" s="122" t="str">
        <f t="shared" si="18"/>
        <v/>
      </c>
      <c r="BI10" s="122" t="str">
        <f t="shared" si="19"/>
        <v/>
      </c>
      <c r="BJ10" s="122" t="str">
        <f t="shared" si="20"/>
        <v/>
      </c>
      <c r="BK10" s="122" t="str">
        <f t="shared" si="21"/>
        <v/>
      </c>
      <c r="BL10" s="122" t="str">
        <f t="shared" si="22"/>
        <v/>
      </c>
      <c r="BM10" s="122" t="str">
        <f t="shared" si="23"/>
        <v/>
      </c>
      <c r="BN10" s="122" t="str">
        <f t="shared" si="24"/>
        <v/>
      </c>
      <c r="BO10" s="122" t="str">
        <f t="shared" si="25"/>
        <v/>
      </c>
      <c r="BP10" s="122" t="str">
        <f t="shared" si="26"/>
        <v/>
      </c>
      <c r="BQ10" s="122" t="str">
        <f t="shared" si="27"/>
        <v/>
      </c>
      <c r="BR10" s="122" t="str">
        <f t="shared" si="28"/>
        <v/>
      </c>
      <c r="BS10" s="122" t="str">
        <f t="shared" si="29"/>
        <v/>
      </c>
      <c r="BT10" s="122" t="str">
        <f t="shared" si="30"/>
        <v/>
      </c>
      <c r="BU10" s="122" t="str">
        <f t="shared" si="31"/>
        <v/>
      </c>
      <c r="BV10" s="122" t="str">
        <f t="shared" si="32"/>
        <v/>
      </c>
      <c r="BW10" s="122" t="str">
        <f t="shared" si="33"/>
        <v/>
      </c>
      <c r="BX10" s="123" t="str">
        <f t="shared" si="34"/>
        <v/>
      </c>
      <c r="BY10" s="115" t="str">
        <f t="shared" si="35"/>
        <v/>
      </c>
      <c r="CA10" s="286"/>
      <c r="CB10" s="107" t="s">
        <v>198</v>
      </c>
      <c r="CC10" s="121" t="str">
        <f t="shared" si="36"/>
        <v/>
      </c>
      <c r="CD10" s="122" t="str">
        <f t="shared" si="37"/>
        <v/>
      </c>
      <c r="CE10" s="122" t="str">
        <f t="shared" si="38"/>
        <v/>
      </c>
      <c r="CF10" s="122" t="str">
        <f t="shared" si="39"/>
        <v/>
      </c>
      <c r="CG10" s="122" t="str">
        <f t="shared" si="40"/>
        <v/>
      </c>
      <c r="CH10" s="122" t="str">
        <f t="shared" si="41"/>
        <v/>
      </c>
      <c r="CI10" s="122" t="str">
        <f t="shared" si="42"/>
        <v/>
      </c>
      <c r="CJ10" s="122" t="str">
        <f t="shared" si="43"/>
        <v/>
      </c>
      <c r="CK10" s="122" t="str">
        <f t="shared" si="44"/>
        <v/>
      </c>
      <c r="CL10" s="122" t="str">
        <f t="shared" si="45"/>
        <v/>
      </c>
      <c r="CM10" s="122" t="str">
        <f t="shared" si="46"/>
        <v/>
      </c>
      <c r="CN10" s="122" t="str">
        <f t="shared" si="47"/>
        <v/>
      </c>
      <c r="CO10" s="122" t="str">
        <f t="shared" si="48"/>
        <v/>
      </c>
      <c r="CP10" s="122" t="str">
        <f t="shared" si="49"/>
        <v/>
      </c>
      <c r="CQ10" s="122" t="str">
        <f t="shared" si="50"/>
        <v/>
      </c>
      <c r="CR10" s="122" t="str">
        <f t="shared" si="51"/>
        <v/>
      </c>
      <c r="CS10" s="122" t="str">
        <f t="shared" si="52"/>
        <v/>
      </c>
      <c r="CT10" s="122" t="str">
        <f t="shared" si="53"/>
        <v/>
      </c>
      <c r="CU10" s="122" t="str">
        <f t="shared" si="54"/>
        <v/>
      </c>
      <c r="CV10" s="122" t="str">
        <f t="shared" si="55"/>
        <v/>
      </c>
      <c r="CW10" s="122" t="str">
        <f t="shared" si="56"/>
        <v/>
      </c>
      <c r="CX10" s="122" t="str">
        <f t="shared" si="57"/>
        <v/>
      </c>
      <c r="CY10" s="122" t="str">
        <f t="shared" si="58"/>
        <v/>
      </c>
      <c r="CZ10" s="122" t="str">
        <f t="shared" si="59"/>
        <v/>
      </c>
      <c r="DA10" s="122" t="str">
        <f t="shared" si="60"/>
        <v/>
      </c>
      <c r="DB10" s="122" t="str">
        <f t="shared" si="61"/>
        <v/>
      </c>
      <c r="DC10" s="122" t="str">
        <f t="shared" si="62"/>
        <v/>
      </c>
      <c r="DD10" s="122" t="str">
        <f t="shared" si="63"/>
        <v/>
      </c>
      <c r="DE10" s="122" t="str">
        <f t="shared" si="64"/>
        <v/>
      </c>
      <c r="DF10" s="122" t="str">
        <f t="shared" si="65"/>
        <v/>
      </c>
      <c r="DG10" s="122" t="str">
        <f t="shared" si="66"/>
        <v/>
      </c>
      <c r="DH10" s="122" t="str">
        <f t="shared" si="67"/>
        <v/>
      </c>
      <c r="DI10" s="122" t="str">
        <f t="shared" si="68"/>
        <v/>
      </c>
      <c r="DJ10" s="123" t="str">
        <f t="shared" si="69"/>
        <v/>
      </c>
      <c r="DK10" s="115" t="str">
        <f t="shared" si="70"/>
        <v/>
      </c>
    </row>
    <row r="11" spans="1:115" x14ac:dyDescent="0.2">
      <c r="A11" s="116" t="s">
        <v>233</v>
      </c>
      <c r="B11" s="117"/>
      <c r="C11" s="285"/>
      <c r="D11" s="107" t="s">
        <v>199</v>
      </c>
      <c r="E11" s="118">
        <f>IFERROR(VLOOKUP(CONCATENATE($A$15,"-",$A$12, "-", $D11, "-", E$3, "-", $A$9),OBS_District_Flows!$A:$K, 6,FALSE),0)</f>
        <v>0</v>
      </c>
      <c r="F11" s="119">
        <f>IFERROR(VLOOKUP(CONCATENATE($A$15,"-",$A$12, "-", $D11, "-", F$3, "-", $A$9),OBS_District_Flows!$A:$K, 6,FALSE),0)</f>
        <v>0</v>
      </c>
      <c r="G11" s="119">
        <f>IFERROR(VLOOKUP(CONCATENATE($A$15,"-",$A$12, "-", $D11, "-", G$3, "-", $A$9),OBS_District_Flows!$A:$K, 6,FALSE),0)</f>
        <v>0</v>
      </c>
      <c r="H11" s="119">
        <f>IFERROR(VLOOKUP(CONCATENATE($A$15,"-",$A$12, "-", $D11, "-", H$3, "-", $A$9),OBS_District_Flows!$A:$K, 6,FALSE),0)</f>
        <v>0</v>
      </c>
      <c r="I11" s="119">
        <f>IFERROR(VLOOKUP(CONCATENATE($A$15,"-",$A$12, "-", $D11, "-", I$3, "-", $A$9),OBS_District_Flows!$A:$K, 6,FALSE),0)</f>
        <v>0</v>
      </c>
      <c r="J11" s="119">
        <f>IFERROR(VLOOKUP(CONCATENATE($A$15,"-",$A$12, "-", $D11, "-", J$3, "-", $A$9),OBS_District_Flows!$A:$K, 6,FALSE),0)</f>
        <v>0</v>
      </c>
      <c r="K11" s="119">
        <f>IFERROR(VLOOKUP(CONCATENATE($A$15,"-",$A$12, "-", $D11, "-", K$3, "-", $A$9),OBS_District_Flows!$A:$K, 6,FALSE),0)</f>
        <v>0</v>
      </c>
      <c r="L11" s="119">
        <f>IFERROR(VLOOKUP(CONCATENATE($A$15,"-",$A$12, "-", $D11, "-", L$3, "-", $A$9),OBS_District_Flows!$A:$K, 6,FALSE),0)</f>
        <v>0</v>
      </c>
      <c r="M11" s="119">
        <f>IFERROR(VLOOKUP(CONCATENATE($A$15,"-",$A$12, "-", $D11, "-", M$3, "-", $A$9),OBS_District_Flows!$A:$K, 6,FALSE),0)</f>
        <v>0</v>
      </c>
      <c r="N11" s="119">
        <f>IFERROR(VLOOKUP(CONCATENATE($A$15,"-",$A$12, "-", $D11, "-", N$3, "-", $A$9),OBS_District_Flows!$A:$K, 6,FALSE),0)</f>
        <v>0</v>
      </c>
      <c r="O11" s="119">
        <f>IFERROR(VLOOKUP(CONCATENATE($A$15,"-",$A$12, "-", $D11, "-", O$3, "-", $A$9),OBS_District_Flows!$A:$K, 6,FALSE),0)</f>
        <v>0</v>
      </c>
      <c r="P11" s="119">
        <f>IFERROR(VLOOKUP(CONCATENATE($A$15,"-",$A$12, "-", $D11, "-", P$3, "-", $A$9),OBS_District_Flows!$A:$K, 6,FALSE),0)</f>
        <v>0</v>
      </c>
      <c r="Q11" s="119">
        <f>IFERROR(VLOOKUP(CONCATENATE($A$15,"-",$A$12, "-", $D11, "-", Q$3, "-", $A$9),OBS_District_Flows!$A:$K, 6,FALSE),0)</f>
        <v>0</v>
      </c>
      <c r="R11" s="119">
        <f>IFERROR(VLOOKUP(CONCATENATE($A$15,"-",$A$12, "-", $D11, "-", R$3, "-", $A$9),OBS_District_Flows!$A:$K, 6,FALSE),0)</f>
        <v>0</v>
      </c>
      <c r="S11" s="119">
        <f>IFERROR(VLOOKUP(CONCATENATE($A$15,"-",$A$12, "-", $D11, "-", S$3, "-", $A$9),OBS_District_Flows!$A:$K, 6,FALSE),0)</f>
        <v>0</v>
      </c>
      <c r="T11" s="119">
        <f>IFERROR(VLOOKUP(CONCATENATE($A$15,"-",$A$12, "-", $D11, "-", T$3, "-", $A$9),OBS_District_Flows!$A:$K, 6,FALSE),0)</f>
        <v>0</v>
      </c>
      <c r="U11" s="119">
        <f>IFERROR(VLOOKUP(CONCATENATE($A$15,"-",$A$12, "-", $D11, "-", U$3, "-", $A$9),OBS_District_Flows!$A:$K, 6,FALSE),0)</f>
        <v>0</v>
      </c>
      <c r="V11" s="119">
        <f>IFERROR(VLOOKUP(CONCATENATE($A$15,"-",$A$12, "-", $D11, "-", V$3, "-", $A$9),OBS_District_Flows!$A:$K, 6,FALSE),0)</f>
        <v>0</v>
      </c>
      <c r="W11" s="119">
        <f>IFERROR(VLOOKUP(CONCATENATE($A$15,"-",$A$12, "-", $D11, "-", W$3, "-", $A$9),OBS_District_Flows!$A:$K, 6,FALSE),0)</f>
        <v>0</v>
      </c>
      <c r="X11" s="119">
        <f>IFERROR(VLOOKUP(CONCATENATE($A$15,"-",$A$12, "-", $D11, "-", X$3, "-", $A$9),OBS_District_Flows!$A:$K, 6,FALSE),0)</f>
        <v>0</v>
      </c>
      <c r="Y11" s="119">
        <f>IFERROR(VLOOKUP(CONCATENATE($A$15,"-",$A$12, "-", $D11, "-", Y$3, "-", $A$9),OBS_District_Flows!$A:$K, 6,FALSE),0)</f>
        <v>0</v>
      </c>
      <c r="Z11" s="119">
        <f>IFERROR(VLOOKUP(CONCATENATE($A$15,"-",$A$12, "-", $D11, "-", Z$3, "-", $A$9),OBS_District_Flows!$A:$K, 6,FALSE),0)</f>
        <v>0</v>
      </c>
      <c r="AA11" s="119">
        <f>IFERROR(VLOOKUP(CONCATENATE($A$15,"-",$A$12, "-", $D11, "-", AA$3, "-", $A$9),OBS_District_Flows!$A:$K, 6,FALSE),0)</f>
        <v>0</v>
      </c>
      <c r="AB11" s="119">
        <f>IFERROR(VLOOKUP(CONCATENATE($A$15,"-",$A$12, "-", $D11, "-", AB$3, "-", $A$9),OBS_District_Flows!$A:$K, 6,FALSE),0)</f>
        <v>0</v>
      </c>
      <c r="AC11" s="119">
        <f>IFERROR(VLOOKUP(CONCATENATE($A$15,"-",$A$12, "-", $D11, "-", AC$3, "-", $A$9),OBS_District_Flows!$A:$K, 6,FALSE),0)</f>
        <v>0</v>
      </c>
      <c r="AD11" s="119">
        <f>IFERROR(VLOOKUP(CONCATENATE($A$15,"-",$A$12, "-", $D11, "-", AD$3, "-", $A$9),OBS_District_Flows!$A:$K, 6,FALSE),0)</f>
        <v>0</v>
      </c>
      <c r="AE11" s="119">
        <f>IFERROR(VLOOKUP(CONCATENATE($A$15,"-",$A$12, "-", $D11, "-", AE$3, "-", $A$9),OBS_District_Flows!$A:$K, 6,FALSE),0)</f>
        <v>0</v>
      </c>
      <c r="AF11" s="119">
        <f>IFERROR(VLOOKUP(CONCATENATE($A$15,"-",$A$12, "-", $D11, "-", AF$3, "-", $A$9),OBS_District_Flows!$A:$K, 6,FALSE),0)</f>
        <v>0</v>
      </c>
      <c r="AG11" s="119">
        <f>IFERROR(VLOOKUP(CONCATENATE($A$15,"-",$A$12, "-", $D11, "-", AG$3, "-", $A$9),OBS_District_Flows!$A:$K, 6,FALSE),0)</f>
        <v>0</v>
      </c>
      <c r="AH11" s="119">
        <f>IFERROR(VLOOKUP(CONCATENATE($A$15,"-",$A$12, "-", $D11, "-", AH$3, "-", $A$9),OBS_District_Flows!$A:$K, 6,FALSE),0)</f>
        <v>0</v>
      </c>
      <c r="AI11" s="119">
        <f>IFERROR(VLOOKUP(CONCATENATE($A$15,"-",$A$12, "-", $D11, "-", AI$3, "-", $A$9),OBS_District_Flows!$A:$K, 6,FALSE),0)</f>
        <v>0</v>
      </c>
      <c r="AJ11" s="119">
        <f>IFERROR(VLOOKUP(CONCATENATE($A$15,"-",$A$12, "-", $D11, "-", AJ$3, "-", $A$9),OBS_District_Flows!$A:$K, 6,FALSE),0)</f>
        <v>0</v>
      </c>
      <c r="AK11" s="119">
        <f>IFERROR(VLOOKUP(CONCATENATE($A$15,"-",$A$12, "-", $D11, "-", AK$3, "-", $A$9),OBS_District_Flows!$A:$K, 6,FALSE),0)</f>
        <v>0</v>
      </c>
      <c r="AL11" s="120">
        <f>IFERROR(VLOOKUP(CONCATENATE($A$15,"-",$A$12, "-", $D11, "-", AL$3, "-", $A$9),OBS_District_Flows!$A:$K, 6,FALSE),0)</f>
        <v>0</v>
      </c>
      <c r="AM11" s="111">
        <f t="shared" si="0"/>
        <v>0</v>
      </c>
      <c r="AO11" s="286"/>
      <c r="AP11" s="107" t="s">
        <v>199</v>
      </c>
      <c r="AQ11" s="121" t="str">
        <f t="shared" si="1"/>
        <v/>
      </c>
      <c r="AR11" s="122" t="str">
        <f t="shared" si="2"/>
        <v/>
      </c>
      <c r="AS11" s="122" t="str">
        <f t="shared" si="3"/>
        <v/>
      </c>
      <c r="AT11" s="122" t="str">
        <f t="shared" si="4"/>
        <v/>
      </c>
      <c r="AU11" s="122" t="str">
        <f t="shared" si="5"/>
        <v/>
      </c>
      <c r="AV11" s="122" t="str">
        <f t="shared" si="6"/>
        <v/>
      </c>
      <c r="AW11" s="122" t="str">
        <f t="shared" si="7"/>
        <v/>
      </c>
      <c r="AX11" s="122" t="str">
        <f t="shared" si="8"/>
        <v/>
      </c>
      <c r="AY11" s="122" t="str">
        <f t="shared" si="9"/>
        <v/>
      </c>
      <c r="AZ11" s="122" t="str">
        <f t="shared" si="10"/>
        <v/>
      </c>
      <c r="BA11" s="122" t="str">
        <f t="shared" si="11"/>
        <v/>
      </c>
      <c r="BB11" s="122" t="str">
        <f t="shared" si="12"/>
        <v/>
      </c>
      <c r="BC11" s="122" t="str">
        <f t="shared" si="13"/>
        <v/>
      </c>
      <c r="BD11" s="122" t="str">
        <f t="shared" si="14"/>
        <v/>
      </c>
      <c r="BE11" s="122" t="str">
        <f t="shared" si="15"/>
        <v/>
      </c>
      <c r="BF11" s="122" t="str">
        <f t="shared" si="16"/>
        <v/>
      </c>
      <c r="BG11" s="122" t="str">
        <f t="shared" si="17"/>
        <v/>
      </c>
      <c r="BH11" s="122" t="str">
        <f t="shared" si="18"/>
        <v/>
      </c>
      <c r="BI11" s="122" t="str">
        <f t="shared" si="19"/>
        <v/>
      </c>
      <c r="BJ11" s="122" t="str">
        <f t="shared" si="20"/>
        <v/>
      </c>
      <c r="BK11" s="122" t="str">
        <f t="shared" si="21"/>
        <v/>
      </c>
      <c r="BL11" s="122" t="str">
        <f t="shared" si="22"/>
        <v/>
      </c>
      <c r="BM11" s="122" t="str">
        <f t="shared" si="23"/>
        <v/>
      </c>
      <c r="BN11" s="122" t="str">
        <f t="shared" si="24"/>
        <v/>
      </c>
      <c r="BO11" s="122" t="str">
        <f t="shared" si="25"/>
        <v/>
      </c>
      <c r="BP11" s="122" t="str">
        <f t="shared" si="26"/>
        <v/>
      </c>
      <c r="BQ11" s="122" t="str">
        <f t="shared" si="27"/>
        <v/>
      </c>
      <c r="BR11" s="122" t="str">
        <f t="shared" si="28"/>
        <v/>
      </c>
      <c r="BS11" s="122" t="str">
        <f t="shared" si="29"/>
        <v/>
      </c>
      <c r="BT11" s="122" t="str">
        <f t="shared" si="30"/>
        <v/>
      </c>
      <c r="BU11" s="122" t="str">
        <f t="shared" si="31"/>
        <v/>
      </c>
      <c r="BV11" s="122" t="str">
        <f t="shared" si="32"/>
        <v/>
      </c>
      <c r="BW11" s="122" t="str">
        <f t="shared" si="33"/>
        <v/>
      </c>
      <c r="BX11" s="123" t="str">
        <f t="shared" si="34"/>
        <v/>
      </c>
      <c r="BY11" s="115" t="str">
        <f t="shared" si="35"/>
        <v/>
      </c>
      <c r="CA11" s="286"/>
      <c r="CB11" s="107" t="s">
        <v>199</v>
      </c>
      <c r="CC11" s="121" t="str">
        <f t="shared" si="36"/>
        <v/>
      </c>
      <c r="CD11" s="122" t="str">
        <f t="shared" si="37"/>
        <v/>
      </c>
      <c r="CE11" s="122" t="str">
        <f t="shared" si="38"/>
        <v/>
      </c>
      <c r="CF11" s="122" t="str">
        <f t="shared" si="39"/>
        <v/>
      </c>
      <c r="CG11" s="122" t="str">
        <f t="shared" si="40"/>
        <v/>
      </c>
      <c r="CH11" s="122" t="str">
        <f t="shared" si="41"/>
        <v/>
      </c>
      <c r="CI11" s="122" t="str">
        <f t="shared" si="42"/>
        <v/>
      </c>
      <c r="CJ11" s="122" t="str">
        <f t="shared" si="43"/>
        <v/>
      </c>
      <c r="CK11" s="122" t="str">
        <f t="shared" si="44"/>
        <v/>
      </c>
      <c r="CL11" s="122" t="str">
        <f t="shared" si="45"/>
        <v/>
      </c>
      <c r="CM11" s="122" t="str">
        <f t="shared" si="46"/>
        <v/>
      </c>
      <c r="CN11" s="122" t="str">
        <f t="shared" si="47"/>
        <v/>
      </c>
      <c r="CO11" s="122" t="str">
        <f t="shared" si="48"/>
        <v/>
      </c>
      <c r="CP11" s="122" t="str">
        <f t="shared" si="49"/>
        <v/>
      </c>
      <c r="CQ11" s="122" t="str">
        <f t="shared" si="50"/>
        <v/>
      </c>
      <c r="CR11" s="122" t="str">
        <f t="shared" si="51"/>
        <v/>
      </c>
      <c r="CS11" s="122" t="str">
        <f t="shared" si="52"/>
        <v/>
      </c>
      <c r="CT11" s="122" t="str">
        <f t="shared" si="53"/>
        <v/>
      </c>
      <c r="CU11" s="122" t="str">
        <f t="shared" si="54"/>
        <v/>
      </c>
      <c r="CV11" s="122" t="str">
        <f t="shared" si="55"/>
        <v/>
      </c>
      <c r="CW11" s="122" t="str">
        <f t="shared" si="56"/>
        <v/>
      </c>
      <c r="CX11" s="122" t="str">
        <f t="shared" si="57"/>
        <v/>
      </c>
      <c r="CY11" s="122" t="str">
        <f t="shared" si="58"/>
        <v/>
      </c>
      <c r="CZ11" s="122" t="str">
        <f t="shared" si="59"/>
        <v/>
      </c>
      <c r="DA11" s="122" t="str">
        <f t="shared" si="60"/>
        <v/>
      </c>
      <c r="DB11" s="122" t="str">
        <f t="shared" si="61"/>
        <v/>
      </c>
      <c r="DC11" s="122" t="str">
        <f t="shared" si="62"/>
        <v/>
      </c>
      <c r="DD11" s="122" t="str">
        <f t="shared" si="63"/>
        <v/>
      </c>
      <c r="DE11" s="122" t="str">
        <f t="shared" si="64"/>
        <v/>
      </c>
      <c r="DF11" s="122" t="str">
        <f t="shared" si="65"/>
        <v/>
      </c>
      <c r="DG11" s="122" t="str">
        <f t="shared" si="66"/>
        <v/>
      </c>
      <c r="DH11" s="122" t="str">
        <f t="shared" si="67"/>
        <v/>
      </c>
      <c r="DI11" s="122" t="str">
        <f t="shared" si="68"/>
        <v/>
      </c>
      <c r="DJ11" s="123" t="str">
        <f t="shared" si="69"/>
        <v/>
      </c>
      <c r="DK11" s="115" t="str">
        <f t="shared" si="70"/>
        <v/>
      </c>
    </row>
    <row r="12" spans="1:115" x14ac:dyDescent="0.2">
      <c r="A12" s="124" t="s">
        <v>1</v>
      </c>
      <c r="B12" s="125"/>
      <c r="C12" s="285"/>
      <c r="D12" s="107" t="s">
        <v>200</v>
      </c>
      <c r="E12" s="118">
        <f>IFERROR(VLOOKUP(CONCATENATE($A$15,"-",$A$12, "-", $D12, "-", E$3, "-", $A$9),OBS_District_Flows!$A:$K, 6,FALSE),0)</f>
        <v>0</v>
      </c>
      <c r="F12" s="119">
        <f>IFERROR(VLOOKUP(CONCATENATE($A$15,"-",$A$12, "-", $D12, "-", F$3, "-", $A$9),OBS_District_Flows!$A:$K, 6,FALSE),0)</f>
        <v>0</v>
      </c>
      <c r="G12" s="119">
        <f>IFERROR(VLOOKUP(CONCATENATE($A$15,"-",$A$12, "-", $D12, "-", G$3, "-", $A$9),OBS_District_Flows!$A:$K, 6,FALSE),0)</f>
        <v>0</v>
      </c>
      <c r="H12" s="119">
        <f>IFERROR(VLOOKUP(CONCATENATE($A$15,"-",$A$12, "-", $D12, "-", H$3, "-", $A$9),OBS_District_Flows!$A:$K, 6,FALSE),0)</f>
        <v>0</v>
      </c>
      <c r="I12" s="119">
        <f>IFERROR(VLOOKUP(CONCATENATE($A$15,"-",$A$12, "-", $D12, "-", I$3, "-", $A$9),OBS_District_Flows!$A:$K, 6,FALSE),0)</f>
        <v>0</v>
      </c>
      <c r="J12" s="119">
        <f>IFERROR(VLOOKUP(CONCATENATE($A$15,"-",$A$12, "-", $D12, "-", J$3, "-", $A$9),OBS_District_Flows!$A:$K, 6,FALSE),0)</f>
        <v>0</v>
      </c>
      <c r="K12" s="119">
        <f>IFERROR(VLOOKUP(CONCATENATE($A$15,"-",$A$12, "-", $D12, "-", K$3, "-", $A$9),OBS_District_Flows!$A:$K, 6,FALSE),0)</f>
        <v>0</v>
      </c>
      <c r="L12" s="119">
        <f>IFERROR(VLOOKUP(CONCATENATE($A$15,"-",$A$12, "-", $D12, "-", L$3, "-", $A$9),OBS_District_Flows!$A:$K, 6,FALSE),0)</f>
        <v>0</v>
      </c>
      <c r="M12" s="119">
        <f>IFERROR(VLOOKUP(CONCATENATE($A$15,"-",$A$12, "-", $D12, "-", M$3, "-", $A$9),OBS_District_Flows!$A:$K, 6,FALSE),0)</f>
        <v>0</v>
      </c>
      <c r="N12" s="119">
        <f>IFERROR(VLOOKUP(CONCATENATE($A$15,"-",$A$12, "-", $D12, "-", N$3, "-", $A$9),OBS_District_Flows!$A:$K, 6,FALSE),0)</f>
        <v>0</v>
      </c>
      <c r="O12" s="119">
        <f>IFERROR(VLOOKUP(CONCATENATE($A$15,"-",$A$12, "-", $D12, "-", O$3, "-", $A$9),OBS_District_Flows!$A:$K, 6,FALSE),0)</f>
        <v>0</v>
      </c>
      <c r="P12" s="119">
        <f>IFERROR(VLOOKUP(CONCATENATE($A$15,"-",$A$12, "-", $D12, "-", P$3, "-", $A$9),OBS_District_Flows!$A:$K, 6,FALSE),0)</f>
        <v>0</v>
      </c>
      <c r="Q12" s="119">
        <f>IFERROR(VLOOKUP(CONCATENATE($A$15,"-",$A$12, "-", $D12, "-", Q$3, "-", $A$9),OBS_District_Flows!$A:$K, 6,FALSE),0)</f>
        <v>0</v>
      </c>
      <c r="R12" s="119">
        <f>IFERROR(VLOOKUP(CONCATENATE($A$15,"-",$A$12, "-", $D12, "-", R$3, "-", $A$9),OBS_District_Flows!$A:$K, 6,FALSE),0)</f>
        <v>0</v>
      </c>
      <c r="S12" s="119">
        <f>IFERROR(VLOOKUP(CONCATENATE($A$15,"-",$A$12, "-", $D12, "-", S$3, "-", $A$9),OBS_District_Flows!$A:$K, 6,FALSE),0)</f>
        <v>0</v>
      </c>
      <c r="T12" s="119">
        <f>IFERROR(VLOOKUP(CONCATENATE($A$15,"-",$A$12, "-", $D12, "-", T$3, "-", $A$9),OBS_District_Flows!$A:$K, 6,FALSE),0)</f>
        <v>0</v>
      </c>
      <c r="U12" s="119">
        <f>IFERROR(VLOOKUP(CONCATENATE($A$15,"-",$A$12, "-", $D12, "-", U$3, "-", $A$9),OBS_District_Flows!$A:$K, 6,FALSE),0)</f>
        <v>0</v>
      </c>
      <c r="V12" s="119">
        <f>IFERROR(VLOOKUP(CONCATENATE($A$15,"-",$A$12, "-", $D12, "-", V$3, "-", $A$9),OBS_District_Flows!$A:$K, 6,FALSE),0)</f>
        <v>0</v>
      </c>
      <c r="W12" s="119">
        <f>IFERROR(VLOOKUP(CONCATENATE($A$15,"-",$A$12, "-", $D12, "-", W$3, "-", $A$9),OBS_District_Flows!$A:$K, 6,FALSE),0)</f>
        <v>0</v>
      </c>
      <c r="X12" s="119">
        <f>IFERROR(VLOOKUP(CONCATENATE($A$15,"-",$A$12, "-", $D12, "-", X$3, "-", $A$9),OBS_District_Flows!$A:$K, 6,FALSE),0)</f>
        <v>0</v>
      </c>
      <c r="Y12" s="119">
        <f>IFERROR(VLOOKUP(CONCATENATE($A$15,"-",$A$12, "-", $D12, "-", Y$3, "-", $A$9),OBS_District_Flows!$A:$K, 6,FALSE),0)</f>
        <v>0</v>
      </c>
      <c r="Z12" s="119">
        <f>IFERROR(VLOOKUP(CONCATENATE($A$15,"-",$A$12, "-", $D12, "-", Z$3, "-", $A$9),OBS_District_Flows!$A:$K, 6,FALSE),0)</f>
        <v>0</v>
      </c>
      <c r="AA12" s="119">
        <f>IFERROR(VLOOKUP(CONCATENATE($A$15,"-",$A$12, "-", $D12, "-", AA$3, "-", $A$9),OBS_District_Flows!$A:$K, 6,FALSE),0)</f>
        <v>0</v>
      </c>
      <c r="AB12" s="119">
        <f>IFERROR(VLOOKUP(CONCATENATE($A$15,"-",$A$12, "-", $D12, "-", AB$3, "-", $A$9),OBS_District_Flows!$A:$K, 6,FALSE),0)</f>
        <v>0</v>
      </c>
      <c r="AC12" s="119">
        <f>IFERROR(VLOOKUP(CONCATENATE($A$15,"-",$A$12, "-", $D12, "-", AC$3, "-", $A$9),OBS_District_Flows!$A:$K, 6,FALSE),0)</f>
        <v>0</v>
      </c>
      <c r="AD12" s="119">
        <f>IFERROR(VLOOKUP(CONCATENATE($A$15,"-",$A$12, "-", $D12, "-", AD$3, "-", $A$9),OBS_District_Flows!$A:$K, 6,FALSE),0)</f>
        <v>0</v>
      </c>
      <c r="AE12" s="119">
        <f>IFERROR(VLOOKUP(CONCATENATE($A$15,"-",$A$12, "-", $D12, "-", AE$3, "-", $A$9),OBS_District_Flows!$A:$K, 6,FALSE),0)</f>
        <v>0</v>
      </c>
      <c r="AF12" s="119">
        <f>IFERROR(VLOOKUP(CONCATENATE($A$15,"-",$A$12, "-", $D12, "-", AF$3, "-", $A$9),OBS_District_Flows!$A:$K, 6,FALSE),0)</f>
        <v>0</v>
      </c>
      <c r="AG12" s="119">
        <f>IFERROR(VLOOKUP(CONCATENATE($A$15,"-",$A$12, "-", $D12, "-", AG$3, "-", $A$9),OBS_District_Flows!$A:$K, 6,FALSE),0)</f>
        <v>0</v>
      </c>
      <c r="AH12" s="119">
        <f>IFERROR(VLOOKUP(CONCATENATE($A$15,"-",$A$12, "-", $D12, "-", AH$3, "-", $A$9),OBS_District_Flows!$A:$K, 6,FALSE),0)</f>
        <v>0</v>
      </c>
      <c r="AI12" s="119">
        <f>IFERROR(VLOOKUP(CONCATENATE($A$15,"-",$A$12, "-", $D12, "-", AI$3, "-", $A$9),OBS_District_Flows!$A:$K, 6,FALSE),0)</f>
        <v>0</v>
      </c>
      <c r="AJ12" s="119">
        <f>IFERROR(VLOOKUP(CONCATENATE($A$15,"-",$A$12, "-", $D12, "-", AJ$3, "-", $A$9),OBS_District_Flows!$A:$K, 6,FALSE),0)</f>
        <v>0</v>
      </c>
      <c r="AK12" s="119">
        <f>IFERROR(VLOOKUP(CONCATENATE($A$15,"-",$A$12, "-", $D12, "-", AK$3, "-", $A$9),OBS_District_Flows!$A:$K, 6,FALSE),0)</f>
        <v>0</v>
      </c>
      <c r="AL12" s="120">
        <f>IFERROR(VLOOKUP(CONCATENATE($A$15,"-",$A$12, "-", $D12, "-", AL$3, "-", $A$9),OBS_District_Flows!$A:$K, 6,FALSE),0)</f>
        <v>0</v>
      </c>
      <c r="AM12" s="111">
        <f t="shared" si="0"/>
        <v>0</v>
      </c>
      <c r="AO12" s="286"/>
      <c r="AP12" s="107" t="s">
        <v>200</v>
      </c>
      <c r="AQ12" s="121" t="str">
        <f t="shared" si="1"/>
        <v/>
      </c>
      <c r="AR12" s="122" t="str">
        <f t="shared" si="2"/>
        <v/>
      </c>
      <c r="AS12" s="122" t="str">
        <f t="shared" si="3"/>
        <v/>
      </c>
      <c r="AT12" s="122" t="str">
        <f t="shared" si="4"/>
        <v/>
      </c>
      <c r="AU12" s="122" t="str">
        <f t="shared" si="5"/>
        <v/>
      </c>
      <c r="AV12" s="122" t="str">
        <f t="shared" si="6"/>
        <v/>
      </c>
      <c r="AW12" s="122" t="str">
        <f t="shared" si="7"/>
        <v/>
      </c>
      <c r="AX12" s="122" t="str">
        <f t="shared" si="8"/>
        <v/>
      </c>
      <c r="AY12" s="122" t="str">
        <f t="shared" si="9"/>
        <v/>
      </c>
      <c r="AZ12" s="122" t="str">
        <f t="shared" si="10"/>
        <v/>
      </c>
      <c r="BA12" s="122" t="str">
        <f t="shared" si="11"/>
        <v/>
      </c>
      <c r="BB12" s="122" t="str">
        <f t="shared" si="12"/>
        <v/>
      </c>
      <c r="BC12" s="122" t="str">
        <f t="shared" si="13"/>
        <v/>
      </c>
      <c r="BD12" s="122" t="str">
        <f t="shared" si="14"/>
        <v/>
      </c>
      <c r="BE12" s="122" t="str">
        <f t="shared" si="15"/>
        <v/>
      </c>
      <c r="BF12" s="122" t="str">
        <f t="shared" si="16"/>
        <v/>
      </c>
      <c r="BG12" s="122" t="str">
        <f t="shared" si="17"/>
        <v/>
      </c>
      <c r="BH12" s="122" t="str">
        <f t="shared" si="18"/>
        <v/>
      </c>
      <c r="BI12" s="122" t="str">
        <f t="shared" si="19"/>
        <v/>
      </c>
      <c r="BJ12" s="122" t="str">
        <f t="shared" si="20"/>
        <v/>
      </c>
      <c r="BK12" s="122" t="str">
        <f t="shared" si="21"/>
        <v/>
      </c>
      <c r="BL12" s="122" t="str">
        <f t="shared" si="22"/>
        <v/>
      </c>
      <c r="BM12" s="122" t="str">
        <f t="shared" si="23"/>
        <v/>
      </c>
      <c r="BN12" s="122" t="str">
        <f t="shared" si="24"/>
        <v/>
      </c>
      <c r="BO12" s="122" t="str">
        <f t="shared" si="25"/>
        <v/>
      </c>
      <c r="BP12" s="122" t="str">
        <f t="shared" si="26"/>
        <v/>
      </c>
      <c r="BQ12" s="122" t="str">
        <f t="shared" si="27"/>
        <v/>
      </c>
      <c r="BR12" s="122" t="str">
        <f t="shared" si="28"/>
        <v/>
      </c>
      <c r="BS12" s="122" t="str">
        <f t="shared" si="29"/>
        <v/>
      </c>
      <c r="BT12" s="122" t="str">
        <f t="shared" si="30"/>
        <v/>
      </c>
      <c r="BU12" s="122" t="str">
        <f t="shared" si="31"/>
        <v/>
      </c>
      <c r="BV12" s="122" t="str">
        <f t="shared" si="32"/>
        <v/>
      </c>
      <c r="BW12" s="122" t="str">
        <f t="shared" si="33"/>
        <v/>
      </c>
      <c r="BX12" s="123" t="str">
        <f t="shared" si="34"/>
        <v/>
      </c>
      <c r="BY12" s="115" t="str">
        <f t="shared" si="35"/>
        <v/>
      </c>
      <c r="CA12" s="286"/>
      <c r="CB12" s="107" t="s">
        <v>200</v>
      </c>
      <c r="CC12" s="121" t="str">
        <f t="shared" si="36"/>
        <v/>
      </c>
      <c r="CD12" s="122" t="str">
        <f t="shared" si="37"/>
        <v/>
      </c>
      <c r="CE12" s="122" t="str">
        <f t="shared" si="38"/>
        <v/>
      </c>
      <c r="CF12" s="122" t="str">
        <f t="shared" si="39"/>
        <v/>
      </c>
      <c r="CG12" s="122" t="str">
        <f t="shared" si="40"/>
        <v/>
      </c>
      <c r="CH12" s="122" t="str">
        <f t="shared" si="41"/>
        <v/>
      </c>
      <c r="CI12" s="122" t="str">
        <f t="shared" si="42"/>
        <v/>
      </c>
      <c r="CJ12" s="122" t="str">
        <f t="shared" si="43"/>
        <v/>
      </c>
      <c r="CK12" s="122" t="str">
        <f t="shared" si="44"/>
        <v/>
      </c>
      <c r="CL12" s="122" t="str">
        <f t="shared" si="45"/>
        <v/>
      </c>
      <c r="CM12" s="122" t="str">
        <f t="shared" si="46"/>
        <v/>
      </c>
      <c r="CN12" s="122" t="str">
        <f t="shared" si="47"/>
        <v/>
      </c>
      <c r="CO12" s="122" t="str">
        <f t="shared" si="48"/>
        <v/>
      </c>
      <c r="CP12" s="122" t="str">
        <f t="shared" si="49"/>
        <v/>
      </c>
      <c r="CQ12" s="122" t="str">
        <f t="shared" si="50"/>
        <v/>
      </c>
      <c r="CR12" s="122" t="str">
        <f t="shared" si="51"/>
        <v/>
      </c>
      <c r="CS12" s="122" t="str">
        <f t="shared" si="52"/>
        <v/>
      </c>
      <c r="CT12" s="122" t="str">
        <f t="shared" si="53"/>
        <v/>
      </c>
      <c r="CU12" s="122" t="str">
        <f t="shared" si="54"/>
        <v/>
      </c>
      <c r="CV12" s="122" t="str">
        <f t="shared" si="55"/>
        <v/>
      </c>
      <c r="CW12" s="122" t="str">
        <f t="shared" si="56"/>
        <v/>
      </c>
      <c r="CX12" s="122" t="str">
        <f t="shared" si="57"/>
        <v/>
      </c>
      <c r="CY12" s="122" t="str">
        <f t="shared" si="58"/>
        <v/>
      </c>
      <c r="CZ12" s="122" t="str">
        <f t="shared" si="59"/>
        <v/>
      </c>
      <c r="DA12" s="122" t="str">
        <f t="shared" si="60"/>
        <v/>
      </c>
      <c r="DB12" s="122" t="str">
        <f t="shared" si="61"/>
        <v/>
      </c>
      <c r="DC12" s="122" t="str">
        <f t="shared" si="62"/>
        <v/>
      </c>
      <c r="DD12" s="122" t="str">
        <f t="shared" si="63"/>
        <v/>
      </c>
      <c r="DE12" s="122" t="str">
        <f t="shared" si="64"/>
        <v/>
      </c>
      <c r="DF12" s="122" t="str">
        <f t="shared" si="65"/>
        <v/>
      </c>
      <c r="DG12" s="122" t="str">
        <f t="shared" si="66"/>
        <v/>
      </c>
      <c r="DH12" s="122" t="str">
        <f t="shared" si="67"/>
        <v/>
      </c>
      <c r="DI12" s="122" t="str">
        <f t="shared" si="68"/>
        <v/>
      </c>
      <c r="DJ12" s="123" t="str">
        <f t="shared" si="69"/>
        <v/>
      </c>
      <c r="DK12" s="115" t="str">
        <f t="shared" si="70"/>
        <v/>
      </c>
    </row>
    <row r="13" spans="1:115" x14ac:dyDescent="0.2">
      <c r="C13" s="285"/>
      <c r="D13" s="107" t="s">
        <v>201</v>
      </c>
      <c r="E13" s="118">
        <f>IFERROR(VLOOKUP(CONCATENATE($A$15,"-",$A$12, "-", $D13, "-", E$3, "-", $A$9),OBS_District_Flows!$A:$K, 6,FALSE),0)</f>
        <v>0</v>
      </c>
      <c r="F13" s="119">
        <f>IFERROR(VLOOKUP(CONCATENATE($A$15,"-",$A$12, "-", $D13, "-", F$3, "-", $A$9),OBS_District_Flows!$A:$K, 6,FALSE),0)</f>
        <v>0</v>
      </c>
      <c r="G13" s="119">
        <f>IFERROR(VLOOKUP(CONCATENATE($A$15,"-",$A$12, "-", $D13, "-", G$3, "-", $A$9),OBS_District_Flows!$A:$K, 6,FALSE),0)</f>
        <v>0</v>
      </c>
      <c r="H13" s="119">
        <f>IFERROR(VLOOKUP(CONCATENATE($A$15,"-",$A$12, "-", $D13, "-", H$3, "-", $A$9),OBS_District_Flows!$A:$K, 6,FALSE),0)</f>
        <v>0</v>
      </c>
      <c r="I13" s="119">
        <f>IFERROR(VLOOKUP(CONCATENATE($A$15,"-",$A$12, "-", $D13, "-", I$3, "-", $A$9),OBS_District_Flows!$A:$K, 6,FALSE),0)</f>
        <v>0</v>
      </c>
      <c r="J13" s="119">
        <f>IFERROR(VLOOKUP(CONCATENATE($A$15,"-",$A$12, "-", $D13, "-", J$3, "-", $A$9),OBS_District_Flows!$A:$K, 6,FALSE),0)</f>
        <v>0</v>
      </c>
      <c r="K13" s="119">
        <f>IFERROR(VLOOKUP(CONCATENATE($A$15,"-",$A$12, "-", $D13, "-", K$3, "-", $A$9),OBS_District_Flows!$A:$K, 6,FALSE),0)</f>
        <v>0</v>
      </c>
      <c r="L13" s="119">
        <f>IFERROR(VLOOKUP(CONCATENATE($A$15,"-",$A$12, "-", $D13, "-", L$3, "-", $A$9),OBS_District_Flows!$A:$K, 6,FALSE),0)</f>
        <v>0</v>
      </c>
      <c r="M13" s="119">
        <f>IFERROR(VLOOKUP(CONCATENATE($A$15,"-",$A$12, "-", $D13, "-", M$3, "-", $A$9),OBS_District_Flows!$A:$K, 6,FALSE),0)</f>
        <v>0</v>
      </c>
      <c r="N13" s="119">
        <f>IFERROR(VLOOKUP(CONCATENATE($A$15,"-",$A$12, "-", $D13, "-", N$3, "-", $A$9),OBS_District_Flows!$A:$K, 6,FALSE),0)</f>
        <v>0</v>
      </c>
      <c r="O13" s="119">
        <f>IFERROR(VLOOKUP(CONCATENATE($A$15,"-",$A$12, "-", $D13, "-", O$3, "-", $A$9),OBS_District_Flows!$A:$K, 6,FALSE),0)</f>
        <v>0</v>
      </c>
      <c r="P13" s="119">
        <f>IFERROR(VLOOKUP(CONCATENATE($A$15,"-",$A$12, "-", $D13, "-", P$3, "-", $A$9),OBS_District_Flows!$A:$K, 6,FALSE),0)</f>
        <v>0</v>
      </c>
      <c r="Q13" s="119">
        <f>IFERROR(VLOOKUP(CONCATENATE($A$15,"-",$A$12, "-", $D13, "-", Q$3, "-", $A$9),OBS_District_Flows!$A:$K, 6,FALSE),0)</f>
        <v>0</v>
      </c>
      <c r="R13" s="119">
        <f>IFERROR(VLOOKUP(CONCATENATE($A$15,"-",$A$12, "-", $D13, "-", R$3, "-", $A$9),OBS_District_Flows!$A:$K, 6,FALSE),0)</f>
        <v>0</v>
      </c>
      <c r="S13" s="119">
        <f>IFERROR(VLOOKUP(CONCATENATE($A$15,"-",$A$12, "-", $D13, "-", S$3, "-", $A$9),OBS_District_Flows!$A:$K, 6,FALSE),0)</f>
        <v>0</v>
      </c>
      <c r="T13" s="119">
        <f>IFERROR(VLOOKUP(CONCATENATE($A$15,"-",$A$12, "-", $D13, "-", T$3, "-", $A$9),OBS_District_Flows!$A:$K, 6,FALSE),0)</f>
        <v>0</v>
      </c>
      <c r="U13" s="119">
        <f>IFERROR(VLOOKUP(CONCATENATE($A$15,"-",$A$12, "-", $D13, "-", U$3, "-", $A$9),OBS_District_Flows!$A:$K, 6,FALSE),0)</f>
        <v>0</v>
      </c>
      <c r="V13" s="119">
        <f>IFERROR(VLOOKUP(CONCATENATE($A$15,"-",$A$12, "-", $D13, "-", V$3, "-", $A$9),OBS_District_Flows!$A:$K, 6,FALSE),0)</f>
        <v>0</v>
      </c>
      <c r="W13" s="119">
        <f>IFERROR(VLOOKUP(CONCATENATE($A$15,"-",$A$12, "-", $D13, "-", W$3, "-", $A$9),OBS_District_Flows!$A:$K, 6,FALSE),0)</f>
        <v>0</v>
      </c>
      <c r="X13" s="119">
        <f>IFERROR(VLOOKUP(CONCATENATE($A$15,"-",$A$12, "-", $D13, "-", X$3, "-", $A$9),OBS_District_Flows!$A:$K, 6,FALSE),0)</f>
        <v>0</v>
      </c>
      <c r="Y13" s="119">
        <f>IFERROR(VLOOKUP(CONCATENATE($A$15,"-",$A$12, "-", $D13, "-", Y$3, "-", $A$9),OBS_District_Flows!$A:$K, 6,FALSE),0)</f>
        <v>0</v>
      </c>
      <c r="Z13" s="119">
        <f>IFERROR(VLOOKUP(CONCATENATE($A$15,"-",$A$12, "-", $D13, "-", Z$3, "-", $A$9),OBS_District_Flows!$A:$K, 6,FALSE),0)</f>
        <v>0</v>
      </c>
      <c r="AA13" s="119">
        <f>IFERROR(VLOOKUP(CONCATENATE($A$15,"-",$A$12, "-", $D13, "-", AA$3, "-", $A$9),OBS_District_Flows!$A:$K, 6,FALSE),0)</f>
        <v>0</v>
      </c>
      <c r="AB13" s="119">
        <f>IFERROR(VLOOKUP(CONCATENATE($A$15,"-",$A$12, "-", $D13, "-", AB$3, "-", $A$9),OBS_District_Flows!$A:$K, 6,FALSE),0)</f>
        <v>0</v>
      </c>
      <c r="AC13" s="119">
        <f>IFERROR(VLOOKUP(CONCATENATE($A$15,"-",$A$12, "-", $D13, "-", AC$3, "-", $A$9),OBS_District_Flows!$A:$K, 6,FALSE),0)</f>
        <v>0</v>
      </c>
      <c r="AD13" s="119">
        <f>IFERROR(VLOOKUP(CONCATENATE($A$15,"-",$A$12, "-", $D13, "-", AD$3, "-", $A$9),OBS_District_Flows!$A:$K, 6,FALSE),0)</f>
        <v>0</v>
      </c>
      <c r="AE13" s="119">
        <f>IFERROR(VLOOKUP(CONCATENATE($A$15,"-",$A$12, "-", $D13, "-", AE$3, "-", $A$9),OBS_District_Flows!$A:$K, 6,FALSE),0)</f>
        <v>0</v>
      </c>
      <c r="AF13" s="119">
        <f>IFERROR(VLOOKUP(CONCATENATE($A$15,"-",$A$12, "-", $D13, "-", AF$3, "-", $A$9),OBS_District_Flows!$A:$K, 6,FALSE),0)</f>
        <v>0</v>
      </c>
      <c r="AG13" s="119">
        <f>IFERROR(VLOOKUP(CONCATENATE($A$15,"-",$A$12, "-", $D13, "-", AG$3, "-", $A$9),OBS_District_Flows!$A:$K, 6,FALSE),0)</f>
        <v>0</v>
      </c>
      <c r="AH13" s="119">
        <f>IFERROR(VLOOKUP(CONCATENATE($A$15,"-",$A$12, "-", $D13, "-", AH$3, "-", $A$9),OBS_District_Flows!$A:$K, 6,FALSE),0)</f>
        <v>0</v>
      </c>
      <c r="AI13" s="119">
        <f>IFERROR(VLOOKUP(CONCATENATE($A$15,"-",$A$12, "-", $D13, "-", AI$3, "-", $A$9),OBS_District_Flows!$A:$K, 6,FALSE),0)</f>
        <v>0</v>
      </c>
      <c r="AJ13" s="119">
        <f>IFERROR(VLOOKUP(CONCATENATE($A$15,"-",$A$12, "-", $D13, "-", AJ$3, "-", $A$9),OBS_District_Flows!$A:$K, 6,FALSE),0)</f>
        <v>0</v>
      </c>
      <c r="AK13" s="119">
        <f>IFERROR(VLOOKUP(CONCATENATE($A$15,"-",$A$12, "-", $D13, "-", AK$3, "-", $A$9),OBS_District_Flows!$A:$K, 6,FALSE),0)</f>
        <v>0</v>
      </c>
      <c r="AL13" s="120">
        <f>IFERROR(VLOOKUP(CONCATENATE($A$15,"-",$A$12, "-", $D13, "-", AL$3, "-", $A$9),OBS_District_Flows!$A:$K, 6,FALSE),0)</f>
        <v>0</v>
      </c>
      <c r="AM13" s="111">
        <f t="shared" si="0"/>
        <v>0</v>
      </c>
      <c r="AO13" s="286"/>
      <c r="AP13" s="107" t="s">
        <v>201</v>
      </c>
      <c r="AQ13" s="121" t="str">
        <f t="shared" si="1"/>
        <v/>
      </c>
      <c r="AR13" s="122" t="str">
        <f t="shared" si="2"/>
        <v/>
      </c>
      <c r="AS13" s="122" t="str">
        <f t="shared" si="3"/>
        <v/>
      </c>
      <c r="AT13" s="122" t="str">
        <f t="shared" si="4"/>
        <v/>
      </c>
      <c r="AU13" s="122" t="str">
        <f t="shared" si="5"/>
        <v/>
      </c>
      <c r="AV13" s="122" t="str">
        <f t="shared" si="6"/>
        <v/>
      </c>
      <c r="AW13" s="122" t="str">
        <f t="shared" si="7"/>
        <v/>
      </c>
      <c r="AX13" s="122" t="str">
        <f t="shared" si="8"/>
        <v/>
      </c>
      <c r="AY13" s="122" t="str">
        <f t="shared" si="9"/>
        <v/>
      </c>
      <c r="AZ13" s="122" t="str">
        <f t="shared" si="10"/>
        <v/>
      </c>
      <c r="BA13" s="122" t="str">
        <f t="shared" si="11"/>
        <v/>
      </c>
      <c r="BB13" s="122" t="str">
        <f t="shared" si="12"/>
        <v/>
      </c>
      <c r="BC13" s="122" t="str">
        <f t="shared" si="13"/>
        <v/>
      </c>
      <c r="BD13" s="122" t="str">
        <f t="shared" si="14"/>
        <v/>
      </c>
      <c r="BE13" s="122" t="str">
        <f t="shared" si="15"/>
        <v/>
      </c>
      <c r="BF13" s="122" t="str">
        <f t="shared" si="16"/>
        <v/>
      </c>
      <c r="BG13" s="122" t="str">
        <f t="shared" si="17"/>
        <v/>
      </c>
      <c r="BH13" s="122" t="str">
        <f t="shared" si="18"/>
        <v/>
      </c>
      <c r="BI13" s="122" t="str">
        <f t="shared" si="19"/>
        <v/>
      </c>
      <c r="BJ13" s="122" t="str">
        <f t="shared" si="20"/>
        <v/>
      </c>
      <c r="BK13" s="122" t="str">
        <f t="shared" si="21"/>
        <v/>
      </c>
      <c r="BL13" s="122" t="str">
        <f t="shared" si="22"/>
        <v/>
      </c>
      <c r="BM13" s="122" t="str">
        <f t="shared" si="23"/>
        <v/>
      </c>
      <c r="BN13" s="122" t="str">
        <f t="shared" si="24"/>
        <v/>
      </c>
      <c r="BO13" s="122" t="str">
        <f t="shared" si="25"/>
        <v/>
      </c>
      <c r="BP13" s="122" t="str">
        <f t="shared" si="26"/>
        <v/>
      </c>
      <c r="BQ13" s="122" t="str">
        <f t="shared" si="27"/>
        <v/>
      </c>
      <c r="BR13" s="122" t="str">
        <f t="shared" si="28"/>
        <v/>
      </c>
      <c r="BS13" s="122" t="str">
        <f t="shared" si="29"/>
        <v/>
      </c>
      <c r="BT13" s="122" t="str">
        <f t="shared" si="30"/>
        <v/>
      </c>
      <c r="BU13" s="122" t="str">
        <f t="shared" si="31"/>
        <v/>
      </c>
      <c r="BV13" s="122" t="str">
        <f t="shared" si="32"/>
        <v/>
      </c>
      <c r="BW13" s="122" t="str">
        <f t="shared" si="33"/>
        <v/>
      </c>
      <c r="BX13" s="123" t="str">
        <f t="shared" si="34"/>
        <v/>
      </c>
      <c r="BY13" s="115" t="str">
        <f t="shared" si="35"/>
        <v/>
      </c>
      <c r="CA13" s="286"/>
      <c r="CB13" s="107" t="s">
        <v>201</v>
      </c>
      <c r="CC13" s="121" t="str">
        <f t="shared" si="36"/>
        <v/>
      </c>
      <c r="CD13" s="122" t="str">
        <f t="shared" si="37"/>
        <v/>
      </c>
      <c r="CE13" s="122" t="str">
        <f t="shared" si="38"/>
        <v/>
      </c>
      <c r="CF13" s="122" t="str">
        <f t="shared" si="39"/>
        <v/>
      </c>
      <c r="CG13" s="122" t="str">
        <f t="shared" si="40"/>
        <v/>
      </c>
      <c r="CH13" s="122" t="str">
        <f t="shared" si="41"/>
        <v/>
      </c>
      <c r="CI13" s="122" t="str">
        <f t="shared" si="42"/>
        <v/>
      </c>
      <c r="CJ13" s="122" t="str">
        <f t="shared" si="43"/>
        <v/>
      </c>
      <c r="CK13" s="122" t="str">
        <f t="shared" si="44"/>
        <v/>
      </c>
      <c r="CL13" s="122" t="str">
        <f t="shared" si="45"/>
        <v/>
      </c>
      <c r="CM13" s="122" t="str">
        <f t="shared" si="46"/>
        <v/>
      </c>
      <c r="CN13" s="122" t="str">
        <f t="shared" si="47"/>
        <v/>
      </c>
      <c r="CO13" s="122" t="str">
        <f t="shared" si="48"/>
        <v/>
      </c>
      <c r="CP13" s="122" t="str">
        <f t="shared" si="49"/>
        <v/>
      </c>
      <c r="CQ13" s="122" t="str">
        <f t="shared" si="50"/>
        <v/>
      </c>
      <c r="CR13" s="122" t="str">
        <f t="shared" si="51"/>
        <v/>
      </c>
      <c r="CS13" s="122" t="str">
        <f t="shared" si="52"/>
        <v/>
      </c>
      <c r="CT13" s="122" t="str">
        <f t="shared" si="53"/>
        <v/>
      </c>
      <c r="CU13" s="122" t="str">
        <f t="shared" si="54"/>
        <v/>
      </c>
      <c r="CV13" s="122" t="str">
        <f t="shared" si="55"/>
        <v/>
      </c>
      <c r="CW13" s="122" t="str">
        <f t="shared" si="56"/>
        <v/>
      </c>
      <c r="CX13" s="122" t="str">
        <f t="shared" si="57"/>
        <v/>
      </c>
      <c r="CY13" s="122" t="str">
        <f t="shared" si="58"/>
        <v/>
      </c>
      <c r="CZ13" s="122" t="str">
        <f t="shared" si="59"/>
        <v/>
      </c>
      <c r="DA13" s="122" t="str">
        <f t="shared" si="60"/>
        <v/>
      </c>
      <c r="DB13" s="122" t="str">
        <f t="shared" si="61"/>
        <v/>
      </c>
      <c r="DC13" s="122" t="str">
        <f t="shared" si="62"/>
        <v/>
      </c>
      <c r="DD13" s="122" t="str">
        <f t="shared" si="63"/>
        <v/>
      </c>
      <c r="DE13" s="122" t="str">
        <f t="shared" si="64"/>
        <v/>
      </c>
      <c r="DF13" s="122" t="str">
        <f t="shared" si="65"/>
        <v/>
      </c>
      <c r="DG13" s="122" t="str">
        <f t="shared" si="66"/>
        <v/>
      </c>
      <c r="DH13" s="122" t="str">
        <f t="shared" si="67"/>
        <v/>
      </c>
      <c r="DI13" s="122" t="str">
        <f t="shared" si="68"/>
        <v/>
      </c>
      <c r="DJ13" s="123" t="str">
        <f t="shared" si="69"/>
        <v/>
      </c>
      <c r="DK13" s="115" t="str">
        <f t="shared" si="70"/>
        <v/>
      </c>
    </row>
    <row r="14" spans="1:115" x14ac:dyDescent="0.2">
      <c r="A14" s="116" t="s">
        <v>265</v>
      </c>
      <c r="C14" s="285"/>
      <c r="D14" s="107" t="s">
        <v>203</v>
      </c>
      <c r="E14" s="118">
        <f>IFERROR(VLOOKUP(CONCATENATE($A$15,"-",$A$12, "-", $D14, "-", E$3, "-", $A$9),OBS_District_Flows!$A:$K, 6,FALSE),0)</f>
        <v>0</v>
      </c>
      <c r="F14" s="119">
        <f>IFERROR(VLOOKUP(CONCATENATE($A$15,"-",$A$12, "-", $D14, "-", F$3, "-", $A$9),OBS_District_Flows!$A:$K, 6,FALSE),0)</f>
        <v>0</v>
      </c>
      <c r="G14" s="119">
        <f>IFERROR(VLOOKUP(CONCATENATE($A$15,"-",$A$12, "-", $D14, "-", G$3, "-", $A$9),OBS_District_Flows!$A:$K, 6,FALSE),0)</f>
        <v>0</v>
      </c>
      <c r="H14" s="119">
        <f>IFERROR(VLOOKUP(CONCATENATE($A$15,"-",$A$12, "-", $D14, "-", H$3, "-", $A$9),OBS_District_Flows!$A:$K, 6,FALSE),0)</f>
        <v>0</v>
      </c>
      <c r="I14" s="119">
        <f>IFERROR(VLOOKUP(CONCATENATE($A$15,"-",$A$12, "-", $D14, "-", I$3, "-", $A$9),OBS_District_Flows!$A:$K, 6,FALSE),0)</f>
        <v>0</v>
      </c>
      <c r="J14" s="119">
        <f>IFERROR(VLOOKUP(CONCATENATE($A$15,"-",$A$12, "-", $D14, "-", J$3, "-", $A$9),OBS_District_Flows!$A:$K, 6,FALSE),0)</f>
        <v>0</v>
      </c>
      <c r="K14" s="119">
        <f>IFERROR(VLOOKUP(CONCATENATE($A$15,"-",$A$12, "-", $D14, "-", K$3, "-", $A$9),OBS_District_Flows!$A:$K, 6,FALSE),0)</f>
        <v>0</v>
      </c>
      <c r="L14" s="119">
        <f>IFERROR(VLOOKUP(CONCATENATE($A$15,"-",$A$12, "-", $D14, "-", L$3, "-", $A$9),OBS_District_Flows!$A:$K, 6,FALSE),0)</f>
        <v>0</v>
      </c>
      <c r="M14" s="119">
        <f>IFERROR(VLOOKUP(CONCATENATE($A$15,"-",$A$12, "-", $D14, "-", M$3, "-", $A$9),OBS_District_Flows!$A:$K, 6,FALSE),0)</f>
        <v>0</v>
      </c>
      <c r="N14" s="119">
        <f>IFERROR(VLOOKUP(CONCATENATE($A$15,"-",$A$12, "-", $D14, "-", N$3, "-", $A$9),OBS_District_Flows!$A:$K, 6,FALSE),0)</f>
        <v>0</v>
      </c>
      <c r="O14" s="119">
        <f>IFERROR(VLOOKUP(CONCATENATE($A$15,"-",$A$12, "-", $D14, "-", O$3, "-", $A$9),OBS_District_Flows!$A:$K, 6,FALSE),0)</f>
        <v>0</v>
      </c>
      <c r="P14" s="119">
        <f>IFERROR(VLOOKUP(CONCATENATE($A$15,"-",$A$12, "-", $D14, "-", P$3, "-", $A$9),OBS_District_Flows!$A:$K, 6,FALSE),0)</f>
        <v>0</v>
      </c>
      <c r="Q14" s="119">
        <f>IFERROR(VLOOKUP(CONCATENATE($A$15,"-",$A$12, "-", $D14, "-", Q$3, "-", $A$9),OBS_District_Flows!$A:$K, 6,FALSE),0)</f>
        <v>0</v>
      </c>
      <c r="R14" s="119">
        <f>IFERROR(VLOOKUP(CONCATENATE($A$15,"-",$A$12, "-", $D14, "-", R$3, "-", $A$9),OBS_District_Flows!$A:$K, 6,FALSE),0)</f>
        <v>0</v>
      </c>
      <c r="S14" s="119">
        <f>IFERROR(VLOOKUP(CONCATENATE($A$15,"-",$A$12, "-", $D14, "-", S$3, "-", $A$9),OBS_District_Flows!$A:$K, 6,FALSE),0)</f>
        <v>0</v>
      </c>
      <c r="T14" s="119">
        <f>IFERROR(VLOOKUP(CONCATENATE($A$15,"-",$A$12, "-", $D14, "-", T$3, "-", $A$9),OBS_District_Flows!$A:$K, 6,FALSE),0)</f>
        <v>0</v>
      </c>
      <c r="U14" s="119">
        <f>IFERROR(VLOOKUP(CONCATENATE($A$15,"-",$A$12, "-", $D14, "-", U$3, "-", $A$9),OBS_District_Flows!$A:$K, 6,FALSE),0)</f>
        <v>0</v>
      </c>
      <c r="V14" s="119">
        <f>IFERROR(VLOOKUP(CONCATENATE($A$15,"-",$A$12, "-", $D14, "-", V$3, "-", $A$9),OBS_District_Flows!$A:$K, 6,FALSE),0)</f>
        <v>0</v>
      </c>
      <c r="W14" s="119">
        <f>IFERROR(VLOOKUP(CONCATENATE($A$15,"-",$A$12, "-", $D14, "-", W$3, "-", $A$9),OBS_District_Flows!$A:$K, 6,FALSE),0)</f>
        <v>0</v>
      </c>
      <c r="X14" s="119">
        <f>IFERROR(VLOOKUP(CONCATENATE($A$15,"-",$A$12, "-", $D14, "-", X$3, "-", $A$9),OBS_District_Flows!$A:$K, 6,FALSE),0)</f>
        <v>0</v>
      </c>
      <c r="Y14" s="119">
        <f>IFERROR(VLOOKUP(CONCATENATE($A$15,"-",$A$12, "-", $D14, "-", Y$3, "-", $A$9),OBS_District_Flows!$A:$K, 6,FALSE),0)</f>
        <v>0</v>
      </c>
      <c r="Z14" s="119">
        <f>IFERROR(VLOOKUP(CONCATENATE($A$15,"-",$A$12, "-", $D14, "-", Z$3, "-", $A$9),OBS_District_Flows!$A:$K, 6,FALSE),0)</f>
        <v>0</v>
      </c>
      <c r="AA14" s="119">
        <f>IFERROR(VLOOKUP(CONCATENATE($A$15,"-",$A$12, "-", $D14, "-", AA$3, "-", $A$9),OBS_District_Flows!$A:$K, 6,FALSE),0)</f>
        <v>0</v>
      </c>
      <c r="AB14" s="119">
        <f>IFERROR(VLOOKUP(CONCATENATE($A$15,"-",$A$12, "-", $D14, "-", AB$3, "-", $A$9),OBS_District_Flows!$A:$K, 6,FALSE),0)</f>
        <v>0</v>
      </c>
      <c r="AC14" s="119">
        <f>IFERROR(VLOOKUP(CONCATENATE($A$15,"-",$A$12, "-", $D14, "-", AC$3, "-", $A$9),OBS_District_Flows!$A:$K, 6,FALSE),0)</f>
        <v>0</v>
      </c>
      <c r="AD14" s="119">
        <f>IFERROR(VLOOKUP(CONCATENATE($A$15,"-",$A$12, "-", $D14, "-", AD$3, "-", $A$9),OBS_District_Flows!$A:$K, 6,FALSE),0)</f>
        <v>0</v>
      </c>
      <c r="AE14" s="119">
        <f>IFERROR(VLOOKUP(CONCATENATE($A$15,"-",$A$12, "-", $D14, "-", AE$3, "-", $A$9),OBS_District_Flows!$A:$K, 6,FALSE),0)</f>
        <v>0</v>
      </c>
      <c r="AF14" s="119">
        <f>IFERROR(VLOOKUP(CONCATENATE($A$15,"-",$A$12, "-", $D14, "-", AF$3, "-", $A$9),OBS_District_Flows!$A:$K, 6,FALSE),0)</f>
        <v>0</v>
      </c>
      <c r="AG14" s="119">
        <f>IFERROR(VLOOKUP(CONCATENATE($A$15,"-",$A$12, "-", $D14, "-", AG$3, "-", $A$9),OBS_District_Flows!$A:$K, 6,FALSE),0)</f>
        <v>0</v>
      </c>
      <c r="AH14" s="119">
        <f>IFERROR(VLOOKUP(CONCATENATE($A$15,"-",$A$12, "-", $D14, "-", AH$3, "-", $A$9),OBS_District_Flows!$A:$K, 6,FALSE),0)</f>
        <v>0</v>
      </c>
      <c r="AI14" s="119">
        <f>IFERROR(VLOOKUP(CONCATENATE($A$15,"-",$A$12, "-", $D14, "-", AI$3, "-", $A$9),OBS_District_Flows!$A:$K, 6,FALSE),0)</f>
        <v>0</v>
      </c>
      <c r="AJ14" s="119">
        <f>IFERROR(VLOOKUP(CONCATENATE($A$15,"-",$A$12, "-", $D14, "-", AJ$3, "-", $A$9),OBS_District_Flows!$A:$K, 6,FALSE),0)</f>
        <v>0</v>
      </c>
      <c r="AK14" s="119">
        <f>IFERROR(VLOOKUP(CONCATENATE($A$15,"-",$A$12, "-", $D14, "-", AK$3, "-", $A$9),OBS_District_Flows!$A:$K, 6,FALSE),0)</f>
        <v>0</v>
      </c>
      <c r="AL14" s="120">
        <f>IFERROR(VLOOKUP(CONCATENATE($A$15,"-",$A$12, "-", $D14, "-", AL$3, "-", $A$9),OBS_District_Flows!$A:$K, 6,FALSE),0)</f>
        <v>0</v>
      </c>
      <c r="AM14" s="111">
        <f t="shared" si="0"/>
        <v>0</v>
      </c>
      <c r="AO14" s="286"/>
      <c r="AP14" s="107" t="s">
        <v>203</v>
      </c>
      <c r="AQ14" s="121" t="str">
        <f t="shared" si="1"/>
        <v/>
      </c>
      <c r="AR14" s="122" t="str">
        <f t="shared" si="2"/>
        <v/>
      </c>
      <c r="AS14" s="122" t="str">
        <f t="shared" si="3"/>
        <v/>
      </c>
      <c r="AT14" s="122" t="str">
        <f t="shared" si="4"/>
        <v/>
      </c>
      <c r="AU14" s="122" t="str">
        <f t="shared" si="5"/>
        <v/>
      </c>
      <c r="AV14" s="122" t="str">
        <f t="shared" si="6"/>
        <v/>
      </c>
      <c r="AW14" s="122" t="str">
        <f t="shared" si="7"/>
        <v/>
      </c>
      <c r="AX14" s="122" t="str">
        <f t="shared" si="8"/>
        <v/>
      </c>
      <c r="AY14" s="122" t="str">
        <f t="shared" si="9"/>
        <v/>
      </c>
      <c r="AZ14" s="122" t="str">
        <f t="shared" si="10"/>
        <v/>
      </c>
      <c r="BA14" s="122" t="str">
        <f t="shared" si="11"/>
        <v/>
      </c>
      <c r="BB14" s="122" t="str">
        <f t="shared" si="12"/>
        <v/>
      </c>
      <c r="BC14" s="122" t="str">
        <f t="shared" si="13"/>
        <v/>
      </c>
      <c r="BD14" s="122" t="str">
        <f t="shared" si="14"/>
        <v/>
      </c>
      <c r="BE14" s="122" t="str">
        <f t="shared" si="15"/>
        <v/>
      </c>
      <c r="BF14" s="122" t="str">
        <f t="shared" si="16"/>
        <v/>
      </c>
      <c r="BG14" s="122" t="str">
        <f t="shared" si="17"/>
        <v/>
      </c>
      <c r="BH14" s="122" t="str">
        <f t="shared" si="18"/>
        <v/>
      </c>
      <c r="BI14" s="122" t="str">
        <f t="shared" si="19"/>
        <v/>
      </c>
      <c r="BJ14" s="122" t="str">
        <f t="shared" si="20"/>
        <v/>
      </c>
      <c r="BK14" s="122" t="str">
        <f t="shared" si="21"/>
        <v/>
      </c>
      <c r="BL14" s="122" t="str">
        <f t="shared" si="22"/>
        <v/>
      </c>
      <c r="BM14" s="122" t="str">
        <f t="shared" si="23"/>
        <v/>
      </c>
      <c r="BN14" s="122" t="str">
        <f t="shared" si="24"/>
        <v/>
      </c>
      <c r="BO14" s="122" t="str">
        <f t="shared" si="25"/>
        <v/>
      </c>
      <c r="BP14" s="122" t="str">
        <f t="shared" si="26"/>
        <v/>
      </c>
      <c r="BQ14" s="122" t="str">
        <f t="shared" si="27"/>
        <v/>
      </c>
      <c r="BR14" s="122" t="str">
        <f t="shared" si="28"/>
        <v/>
      </c>
      <c r="BS14" s="122" t="str">
        <f t="shared" si="29"/>
        <v/>
      </c>
      <c r="BT14" s="122" t="str">
        <f t="shared" si="30"/>
        <v/>
      </c>
      <c r="BU14" s="122" t="str">
        <f t="shared" si="31"/>
        <v/>
      </c>
      <c r="BV14" s="122" t="str">
        <f t="shared" si="32"/>
        <v/>
      </c>
      <c r="BW14" s="122" t="str">
        <f t="shared" si="33"/>
        <v/>
      </c>
      <c r="BX14" s="123" t="str">
        <f t="shared" si="34"/>
        <v/>
      </c>
      <c r="BY14" s="115" t="str">
        <f t="shared" si="35"/>
        <v/>
      </c>
      <c r="CA14" s="286"/>
      <c r="CB14" s="107" t="s">
        <v>203</v>
      </c>
      <c r="CC14" s="121" t="str">
        <f t="shared" si="36"/>
        <v/>
      </c>
      <c r="CD14" s="122" t="str">
        <f t="shared" si="37"/>
        <v/>
      </c>
      <c r="CE14" s="122" t="str">
        <f t="shared" si="38"/>
        <v/>
      </c>
      <c r="CF14" s="122" t="str">
        <f t="shared" si="39"/>
        <v/>
      </c>
      <c r="CG14" s="122" t="str">
        <f t="shared" si="40"/>
        <v/>
      </c>
      <c r="CH14" s="122" t="str">
        <f t="shared" si="41"/>
        <v/>
      </c>
      <c r="CI14" s="122" t="str">
        <f t="shared" si="42"/>
        <v/>
      </c>
      <c r="CJ14" s="122" t="str">
        <f t="shared" si="43"/>
        <v/>
      </c>
      <c r="CK14" s="122" t="str">
        <f t="shared" si="44"/>
        <v/>
      </c>
      <c r="CL14" s="122" t="str">
        <f t="shared" si="45"/>
        <v/>
      </c>
      <c r="CM14" s="122" t="str">
        <f t="shared" si="46"/>
        <v/>
      </c>
      <c r="CN14" s="122" t="str">
        <f t="shared" si="47"/>
        <v/>
      </c>
      <c r="CO14" s="122" t="str">
        <f t="shared" si="48"/>
        <v/>
      </c>
      <c r="CP14" s="122" t="str">
        <f t="shared" si="49"/>
        <v/>
      </c>
      <c r="CQ14" s="122" t="str">
        <f t="shared" si="50"/>
        <v/>
      </c>
      <c r="CR14" s="122" t="str">
        <f t="shared" si="51"/>
        <v/>
      </c>
      <c r="CS14" s="122" t="str">
        <f t="shared" si="52"/>
        <v/>
      </c>
      <c r="CT14" s="122" t="str">
        <f t="shared" si="53"/>
        <v/>
      </c>
      <c r="CU14" s="122" t="str">
        <f t="shared" si="54"/>
        <v/>
      </c>
      <c r="CV14" s="122" t="str">
        <f t="shared" si="55"/>
        <v/>
      </c>
      <c r="CW14" s="122" t="str">
        <f t="shared" si="56"/>
        <v/>
      </c>
      <c r="CX14" s="122" t="str">
        <f t="shared" si="57"/>
        <v/>
      </c>
      <c r="CY14" s="122" t="str">
        <f t="shared" si="58"/>
        <v/>
      </c>
      <c r="CZ14" s="122" t="str">
        <f t="shared" si="59"/>
        <v/>
      </c>
      <c r="DA14" s="122" t="str">
        <f t="shared" si="60"/>
        <v/>
      </c>
      <c r="DB14" s="122" t="str">
        <f t="shared" si="61"/>
        <v/>
      </c>
      <c r="DC14" s="122" t="str">
        <f t="shared" si="62"/>
        <v/>
      </c>
      <c r="DD14" s="122" t="str">
        <f t="shared" si="63"/>
        <v/>
      </c>
      <c r="DE14" s="122" t="str">
        <f t="shared" si="64"/>
        <v/>
      </c>
      <c r="DF14" s="122" t="str">
        <f t="shared" si="65"/>
        <v/>
      </c>
      <c r="DG14" s="122" t="str">
        <f t="shared" si="66"/>
        <v/>
      </c>
      <c r="DH14" s="122" t="str">
        <f t="shared" si="67"/>
        <v/>
      </c>
      <c r="DI14" s="122" t="str">
        <f t="shared" si="68"/>
        <v/>
      </c>
      <c r="DJ14" s="123" t="str">
        <f t="shared" si="69"/>
        <v/>
      </c>
      <c r="DK14" s="115" t="str">
        <f t="shared" si="70"/>
        <v/>
      </c>
    </row>
    <row r="15" spans="1:115" x14ac:dyDescent="0.2">
      <c r="A15" s="124" t="s">
        <v>1</v>
      </c>
      <c r="C15" s="285"/>
      <c r="D15" s="107" t="s">
        <v>204</v>
      </c>
      <c r="E15" s="118">
        <f>IFERROR(VLOOKUP(CONCATENATE($A$15,"-",$A$12, "-", $D15, "-", E$3, "-", $A$9),OBS_District_Flows!$A:$K, 6,FALSE),0)</f>
        <v>0</v>
      </c>
      <c r="F15" s="119">
        <f>IFERROR(VLOOKUP(CONCATENATE($A$15,"-",$A$12, "-", $D15, "-", F$3, "-", $A$9),OBS_District_Flows!$A:$K, 6,FALSE),0)</f>
        <v>0</v>
      </c>
      <c r="G15" s="119">
        <f>IFERROR(VLOOKUP(CONCATENATE($A$15,"-",$A$12, "-", $D15, "-", G$3, "-", $A$9),OBS_District_Flows!$A:$K, 6,FALSE),0)</f>
        <v>0</v>
      </c>
      <c r="H15" s="119">
        <f>IFERROR(VLOOKUP(CONCATENATE($A$15,"-",$A$12, "-", $D15, "-", H$3, "-", $A$9),OBS_District_Flows!$A:$K, 6,FALSE),0)</f>
        <v>0</v>
      </c>
      <c r="I15" s="119">
        <f>IFERROR(VLOOKUP(CONCATENATE($A$15,"-",$A$12, "-", $D15, "-", I$3, "-", $A$9),OBS_District_Flows!$A:$K, 6,FALSE),0)</f>
        <v>0</v>
      </c>
      <c r="J15" s="119">
        <f>IFERROR(VLOOKUP(CONCATENATE($A$15,"-",$A$12, "-", $D15, "-", J$3, "-", $A$9),OBS_District_Flows!$A:$K, 6,FALSE),0)</f>
        <v>0</v>
      </c>
      <c r="K15" s="119">
        <f>IFERROR(VLOOKUP(CONCATENATE($A$15,"-",$A$12, "-", $D15, "-", K$3, "-", $A$9),OBS_District_Flows!$A:$K, 6,FALSE),0)</f>
        <v>0</v>
      </c>
      <c r="L15" s="119">
        <f>IFERROR(VLOOKUP(CONCATENATE($A$15,"-",$A$12, "-", $D15, "-", L$3, "-", $A$9),OBS_District_Flows!$A:$K, 6,FALSE),0)</f>
        <v>0</v>
      </c>
      <c r="M15" s="119">
        <f>IFERROR(VLOOKUP(CONCATENATE($A$15,"-",$A$12, "-", $D15, "-", M$3, "-", $A$9),OBS_District_Flows!$A:$K, 6,FALSE),0)</f>
        <v>0</v>
      </c>
      <c r="N15" s="119">
        <f>IFERROR(VLOOKUP(CONCATENATE($A$15,"-",$A$12, "-", $D15, "-", N$3, "-", $A$9),OBS_District_Flows!$A:$K, 6,FALSE),0)</f>
        <v>0</v>
      </c>
      <c r="O15" s="119">
        <f>IFERROR(VLOOKUP(CONCATENATE($A$15,"-",$A$12, "-", $D15, "-", O$3, "-", $A$9),OBS_District_Flows!$A:$K, 6,FALSE),0)</f>
        <v>0</v>
      </c>
      <c r="P15" s="119">
        <f>IFERROR(VLOOKUP(CONCATENATE($A$15,"-",$A$12, "-", $D15, "-", P$3, "-", $A$9),OBS_District_Flows!$A:$K, 6,FALSE),0)</f>
        <v>0</v>
      </c>
      <c r="Q15" s="119">
        <f>IFERROR(VLOOKUP(CONCATENATE($A$15,"-",$A$12, "-", $D15, "-", Q$3, "-", $A$9),OBS_District_Flows!$A:$K, 6,FALSE),0)</f>
        <v>0</v>
      </c>
      <c r="R15" s="119">
        <f>IFERROR(VLOOKUP(CONCATENATE($A$15,"-",$A$12, "-", $D15, "-", R$3, "-", $A$9),OBS_District_Flows!$A:$K, 6,FALSE),0)</f>
        <v>0</v>
      </c>
      <c r="S15" s="119">
        <f>IFERROR(VLOOKUP(CONCATENATE($A$15,"-",$A$12, "-", $D15, "-", S$3, "-", $A$9),OBS_District_Flows!$A:$K, 6,FALSE),0)</f>
        <v>0</v>
      </c>
      <c r="T15" s="119">
        <f>IFERROR(VLOOKUP(CONCATENATE($A$15,"-",$A$12, "-", $D15, "-", T$3, "-", $A$9),OBS_District_Flows!$A:$K, 6,FALSE),0)</f>
        <v>0</v>
      </c>
      <c r="U15" s="119">
        <f>IFERROR(VLOOKUP(CONCATENATE($A$15,"-",$A$12, "-", $D15, "-", U$3, "-", $A$9),OBS_District_Flows!$A:$K, 6,FALSE),0)</f>
        <v>0</v>
      </c>
      <c r="V15" s="119">
        <f>IFERROR(VLOOKUP(CONCATENATE($A$15,"-",$A$12, "-", $D15, "-", V$3, "-", $A$9),OBS_District_Flows!$A:$K, 6,FALSE),0)</f>
        <v>0</v>
      </c>
      <c r="W15" s="119">
        <f>IFERROR(VLOOKUP(CONCATENATE($A$15,"-",$A$12, "-", $D15, "-", W$3, "-", $A$9),OBS_District_Flows!$A:$K, 6,FALSE),0)</f>
        <v>0</v>
      </c>
      <c r="X15" s="119">
        <f>IFERROR(VLOOKUP(CONCATENATE($A$15,"-",$A$12, "-", $D15, "-", X$3, "-", $A$9),OBS_District_Flows!$A:$K, 6,FALSE),0)</f>
        <v>0</v>
      </c>
      <c r="Y15" s="119">
        <f>IFERROR(VLOOKUP(CONCATENATE($A$15,"-",$A$12, "-", $D15, "-", Y$3, "-", $A$9),OBS_District_Flows!$A:$K, 6,FALSE),0)</f>
        <v>0</v>
      </c>
      <c r="Z15" s="119">
        <f>IFERROR(VLOOKUP(CONCATENATE($A$15,"-",$A$12, "-", $D15, "-", Z$3, "-", $A$9),OBS_District_Flows!$A:$K, 6,FALSE),0)</f>
        <v>0</v>
      </c>
      <c r="AA15" s="119">
        <f>IFERROR(VLOOKUP(CONCATENATE($A$15,"-",$A$12, "-", $D15, "-", AA$3, "-", $A$9),OBS_District_Flows!$A:$K, 6,FALSE),0)</f>
        <v>0</v>
      </c>
      <c r="AB15" s="119">
        <f>IFERROR(VLOOKUP(CONCATENATE($A$15,"-",$A$12, "-", $D15, "-", AB$3, "-", $A$9),OBS_District_Flows!$A:$K, 6,FALSE),0)</f>
        <v>0</v>
      </c>
      <c r="AC15" s="119">
        <f>IFERROR(VLOOKUP(CONCATENATE($A$15,"-",$A$12, "-", $D15, "-", AC$3, "-", $A$9),OBS_District_Flows!$A:$K, 6,FALSE),0)</f>
        <v>0</v>
      </c>
      <c r="AD15" s="119">
        <f>IFERROR(VLOOKUP(CONCATENATE($A$15,"-",$A$12, "-", $D15, "-", AD$3, "-", $A$9),OBS_District_Flows!$A:$K, 6,FALSE),0)</f>
        <v>0</v>
      </c>
      <c r="AE15" s="119">
        <f>IFERROR(VLOOKUP(CONCATENATE($A$15,"-",$A$12, "-", $D15, "-", AE$3, "-", $A$9),OBS_District_Flows!$A:$K, 6,FALSE),0)</f>
        <v>0</v>
      </c>
      <c r="AF15" s="119">
        <f>IFERROR(VLOOKUP(CONCATENATE($A$15,"-",$A$12, "-", $D15, "-", AF$3, "-", $A$9),OBS_District_Flows!$A:$K, 6,FALSE),0)</f>
        <v>0</v>
      </c>
      <c r="AG15" s="119">
        <f>IFERROR(VLOOKUP(CONCATENATE($A$15,"-",$A$12, "-", $D15, "-", AG$3, "-", $A$9),OBS_District_Flows!$A:$K, 6,FALSE),0)</f>
        <v>0</v>
      </c>
      <c r="AH15" s="119">
        <f>IFERROR(VLOOKUP(CONCATENATE($A$15,"-",$A$12, "-", $D15, "-", AH$3, "-", $A$9),OBS_District_Flows!$A:$K, 6,FALSE),0)</f>
        <v>0</v>
      </c>
      <c r="AI15" s="119">
        <f>IFERROR(VLOOKUP(CONCATENATE($A$15,"-",$A$12, "-", $D15, "-", AI$3, "-", $A$9),OBS_District_Flows!$A:$K, 6,FALSE),0)</f>
        <v>0</v>
      </c>
      <c r="AJ15" s="119">
        <f>IFERROR(VLOOKUP(CONCATENATE($A$15,"-",$A$12, "-", $D15, "-", AJ$3, "-", $A$9),OBS_District_Flows!$A:$K, 6,FALSE),0)</f>
        <v>0</v>
      </c>
      <c r="AK15" s="119">
        <f>IFERROR(VLOOKUP(CONCATENATE($A$15,"-",$A$12, "-", $D15, "-", AK$3, "-", $A$9),OBS_District_Flows!$A:$K, 6,FALSE),0)</f>
        <v>0</v>
      </c>
      <c r="AL15" s="120">
        <f>IFERROR(VLOOKUP(CONCATENATE($A$15,"-",$A$12, "-", $D15, "-", AL$3, "-", $A$9),OBS_District_Flows!$A:$K, 6,FALSE),0)</f>
        <v>0</v>
      </c>
      <c r="AM15" s="111">
        <f t="shared" si="0"/>
        <v>0</v>
      </c>
      <c r="AO15" s="286"/>
      <c r="AP15" s="107" t="s">
        <v>204</v>
      </c>
      <c r="AQ15" s="121" t="str">
        <f t="shared" si="1"/>
        <v/>
      </c>
      <c r="AR15" s="122" t="str">
        <f t="shared" si="2"/>
        <v/>
      </c>
      <c r="AS15" s="122" t="str">
        <f t="shared" si="3"/>
        <v/>
      </c>
      <c r="AT15" s="122" t="str">
        <f t="shared" si="4"/>
        <v/>
      </c>
      <c r="AU15" s="122" t="str">
        <f t="shared" si="5"/>
        <v/>
      </c>
      <c r="AV15" s="122" t="str">
        <f t="shared" si="6"/>
        <v/>
      </c>
      <c r="AW15" s="122" t="str">
        <f t="shared" si="7"/>
        <v/>
      </c>
      <c r="AX15" s="122" t="str">
        <f t="shared" si="8"/>
        <v/>
      </c>
      <c r="AY15" s="122" t="str">
        <f t="shared" si="9"/>
        <v/>
      </c>
      <c r="AZ15" s="122" t="str">
        <f t="shared" si="10"/>
        <v/>
      </c>
      <c r="BA15" s="122" t="str">
        <f t="shared" si="11"/>
        <v/>
      </c>
      <c r="BB15" s="122" t="str">
        <f t="shared" si="12"/>
        <v/>
      </c>
      <c r="BC15" s="122" t="str">
        <f t="shared" si="13"/>
        <v/>
      </c>
      <c r="BD15" s="122" t="str">
        <f t="shared" si="14"/>
        <v/>
      </c>
      <c r="BE15" s="122" t="str">
        <f t="shared" si="15"/>
        <v/>
      </c>
      <c r="BF15" s="122" t="str">
        <f t="shared" si="16"/>
        <v/>
      </c>
      <c r="BG15" s="122" t="str">
        <f t="shared" si="17"/>
        <v/>
      </c>
      <c r="BH15" s="122" t="str">
        <f t="shared" si="18"/>
        <v/>
      </c>
      <c r="BI15" s="122" t="str">
        <f t="shared" si="19"/>
        <v/>
      </c>
      <c r="BJ15" s="122" t="str">
        <f t="shared" si="20"/>
        <v/>
      </c>
      <c r="BK15" s="122" t="str">
        <f t="shared" si="21"/>
        <v/>
      </c>
      <c r="BL15" s="122" t="str">
        <f t="shared" si="22"/>
        <v/>
      </c>
      <c r="BM15" s="122" t="str">
        <f t="shared" si="23"/>
        <v/>
      </c>
      <c r="BN15" s="122" t="str">
        <f t="shared" si="24"/>
        <v/>
      </c>
      <c r="BO15" s="122" t="str">
        <f t="shared" si="25"/>
        <v/>
      </c>
      <c r="BP15" s="122" t="str">
        <f t="shared" si="26"/>
        <v/>
      </c>
      <c r="BQ15" s="122" t="str">
        <f t="shared" si="27"/>
        <v/>
      </c>
      <c r="BR15" s="122" t="str">
        <f t="shared" si="28"/>
        <v/>
      </c>
      <c r="BS15" s="122" t="str">
        <f t="shared" si="29"/>
        <v/>
      </c>
      <c r="BT15" s="122" t="str">
        <f t="shared" si="30"/>
        <v/>
      </c>
      <c r="BU15" s="122" t="str">
        <f t="shared" si="31"/>
        <v/>
      </c>
      <c r="BV15" s="122" t="str">
        <f t="shared" si="32"/>
        <v/>
      </c>
      <c r="BW15" s="122" t="str">
        <f t="shared" si="33"/>
        <v/>
      </c>
      <c r="BX15" s="123" t="str">
        <f t="shared" si="34"/>
        <v/>
      </c>
      <c r="BY15" s="115" t="str">
        <f t="shared" si="35"/>
        <v/>
      </c>
      <c r="CA15" s="286"/>
      <c r="CB15" s="107" t="s">
        <v>204</v>
      </c>
      <c r="CC15" s="121" t="str">
        <f t="shared" si="36"/>
        <v/>
      </c>
      <c r="CD15" s="122" t="str">
        <f t="shared" si="37"/>
        <v/>
      </c>
      <c r="CE15" s="122" t="str">
        <f t="shared" si="38"/>
        <v/>
      </c>
      <c r="CF15" s="122" t="str">
        <f t="shared" si="39"/>
        <v/>
      </c>
      <c r="CG15" s="122" t="str">
        <f t="shared" si="40"/>
        <v/>
      </c>
      <c r="CH15" s="122" t="str">
        <f t="shared" si="41"/>
        <v/>
      </c>
      <c r="CI15" s="122" t="str">
        <f t="shared" si="42"/>
        <v/>
      </c>
      <c r="CJ15" s="122" t="str">
        <f t="shared" si="43"/>
        <v/>
      </c>
      <c r="CK15" s="122" t="str">
        <f t="shared" si="44"/>
        <v/>
      </c>
      <c r="CL15" s="122" t="str">
        <f t="shared" si="45"/>
        <v/>
      </c>
      <c r="CM15" s="122" t="str">
        <f t="shared" si="46"/>
        <v/>
      </c>
      <c r="CN15" s="122" t="str">
        <f t="shared" si="47"/>
        <v/>
      </c>
      <c r="CO15" s="122" t="str">
        <f t="shared" si="48"/>
        <v/>
      </c>
      <c r="CP15" s="122" t="str">
        <f t="shared" si="49"/>
        <v/>
      </c>
      <c r="CQ15" s="122" t="str">
        <f t="shared" si="50"/>
        <v/>
      </c>
      <c r="CR15" s="122" t="str">
        <f t="shared" si="51"/>
        <v/>
      </c>
      <c r="CS15" s="122" t="str">
        <f t="shared" si="52"/>
        <v/>
      </c>
      <c r="CT15" s="122" t="str">
        <f t="shared" si="53"/>
        <v/>
      </c>
      <c r="CU15" s="122" t="str">
        <f t="shared" si="54"/>
        <v/>
      </c>
      <c r="CV15" s="122" t="str">
        <f t="shared" si="55"/>
        <v/>
      </c>
      <c r="CW15" s="122" t="str">
        <f t="shared" si="56"/>
        <v/>
      </c>
      <c r="CX15" s="122" t="str">
        <f t="shared" si="57"/>
        <v/>
      </c>
      <c r="CY15" s="122" t="str">
        <f t="shared" si="58"/>
        <v/>
      </c>
      <c r="CZ15" s="122" t="str">
        <f t="shared" si="59"/>
        <v/>
      </c>
      <c r="DA15" s="122" t="str">
        <f t="shared" si="60"/>
        <v/>
      </c>
      <c r="DB15" s="122" t="str">
        <f t="shared" si="61"/>
        <v/>
      </c>
      <c r="DC15" s="122" t="str">
        <f t="shared" si="62"/>
        <v/>
      </c>
      <c r="DD15" s="122" t="str">
        <f t="shared" si="63"/>
        <v/>
      </c>
      <c r="DE15" s="122" t="str">
        <f t="shared" si="64"/>
        <v/>
      </c>
      <c r="DF15" s="122" t="str">
        <f t="shared" si="65"/>
        <v/>
      </c>
      <c r="DG15" s="122" t="str">
        <f t="shared" si="66"/>
        <v/>
      </c>
      <c r="DH15" s="122" t="str">
        <f t="shared" si="67"/>
        <v/>
      </c>
      <c r="DI15" s="122" t="str">
        <f t="shared" si="68"/>
        <v/>
      </c>
      <c r="DJ15" s="123" t="str">
        <f t="shared" si="69"/>
        <v/>
      </c>
      <c r="DK15" s="115" t="str">
        <f t="shared" si="70"/>
        <v/>
      </c>
    </row>
    <row r="16" spans="1:115" x14ac:dyDescent="0.2">
      <c r="B16" s="129"/>
      <c r="C16" s="285"/>
      <c r="D16" s="107" t="s">
        <v>205</v>
      </c>
      <c r="E16" s="118">
        <f>IFERROR(VLOOKUP(CONCATENATE($A$15,"-",$A$12, "-", $D16, "-", E$3, "-", $A$9),OBS_District_Flows!$A:$K, 6,FALSE),0)</f>
        <v>0</v>
      </c>
      <c r="F16" s="119">
        <f>IFERROR(VLOOKUP(CONCATENATE($A$15,"-",$A$12, "-", $D16, "-", F$3, "-", $A$9),OBS_District_Flows!$A:$K, 6,FALSE),0)</f>
        <v>0</v>
      </c>
      <c r="G16" s="119">
        <f>IFERROR(VLOOKUP(CONCATENATE($A$15,"-",$A$12, "-", $D16, "-", G$3, "-", $A$9),OBS_District_Flows!$A:$K, 6,FALSE),0)</f>
        <v>0</v>
      </c>
      <c r="H16" s="119">
        <f>IFERROR(VLOOKUP(CONCATENATE($A$15,"-",$A$12, "-", $D16, "-", H$3, "-", $A$9),OBS_District_Flows!$A:$K, 6,FALSE),0)</f>
        <v>0</v>
      </c>
      <c r="I16" s="119">
        <f>IFERROR(VLOOKUP(CONCATENATE($A$15,"-",$A$12, "-", $D16, "-", I$3, "-", $A$9),OBS_District_Flows!$A:$K, 6,FALSE),0)</f>
        <v>0</v>
      </c>
      <c r="J16" s="119">
        <f>IFERROR(VLOOKUP(CONCATENATE($A$15,"-",$A$12, "-", $D16, "-", J$3, "-", $A$9),OBS_District_Flows!$A:$K, 6,FALSE),0)</f>
        <v>0</v>
      </c>
      <c r="K16" s="119">
        <f>IFERROR(VLOOKUP(CONCATENATE($A$15,"-",$A$12, "-", $D16, "-", K$3, "-", $A$9),OBS_District_Flows!$A:$K, 6,FALSE),0)</f>
        <v>0</v>
      </c>
      <c r="L16" s="119">
        <f>IFERROR(VLOOKUP(CONCATENATE($A$15,"-",$A$12, "-", $D16, "-", L$3, "-", $A$9),OBS_District_Flows!$A:$K, 6,FALSE),0)</f>
        <v>0</v>
      </c>
      <c r="M16" s="119">
        <f>IFERROR(VLOOKUP(CONCATENATE($A$15,"-",$A$12, "-", $D16, "-", M$3, "-", $A$9),OBS_District_Flows!$A:$K, 6,FALSE),0)</f>
        <v>0</v>
      </c>
      <c r="N16" s="119">
        <f>IFERROR(VLOOKUP(CONCATENATE($A$15,"-",$A$12, "-", $D16, "-", N$3, "-", $A$9),OBS_District_Flows!$A:$K, 6,FALSE),0)</f>
        <v>0</v>
      </c>
      <c r="O16" s="119">
        <f>IFERROR(VLOOKUP(CONCATENATE($A$15,"-",$A$12, "-", $D16, "-", O$3, "-", $A$9),OBS_District_Flows!$A:$K, 6,FALSE),0)</f>
        <v>0</v>
      </c>
      <c r="P16" s="119">
        <f>IFERROR(VLOOKUP(CONCATENATE($A$15,"-",$A$12, "-", $D16, "-", P$3, "-", $A$9),OBS_District_Flows!$A:$K, 6,FALSE),0)</f>
        <v>0</v>
      </c>
      <c r="Q16" s="119">
        <f>IFERROR(VLOOKUP(CONCATENATE($A$15,"-",$A$12, "-", $D16, "-", Q$3, "-", $A$9),OBS_District_Flows!$A:$K, 6,FALSE),0)</f>
        <v>0</v>
      </c>
      <c r="R16" s="119">
        <f>IFERROR(VLOOKUP(CONCATENATE($A$15,"-",$A$12, "-", $D16, "-", R$3, "-", $A$9),OBS_District_Flows!$A:$K, 6,FALSE),0)</f>
        <v>0</v>
      </c>
      <c r="S16" s="119">
        <f>IFERROR(VLOOKUP(CONCATENATE($A$15,"-",$A$12, "-", $D16, "-", S$3, "-", $A$9),OBS_District_Flows!$A:$K, 6,FALSE),0)</f>
        <v>0</v>
      </c>
      <c r="T16" s="119">
        <f>IFERROR(VLOOKUP(CONCATENATE($A$15,"-",$A$12, "-", $D16, "-", T$3, "-", $A$9),OBS_District_Flows!$A:$K, 6,FALSE),0)</f>
        <v>0</v>
      </c>
      <c r="U16" s="119">
        <f>IFERROR(VLOOKUP(CONCATENATE($A$15,"-",$A$12, "-", $D16, "-", U$3, "-", $A$9),OBS_District_Flows!$A:$K, 6,FALSE),0)</f>
        <v>0</v>
      </c>
      <c r="V16" s="119">
        <f>IFERROR(VLOOKUP(CONCATENATE($A$15,"-",$A$12, "-", $D16, "-", V$3, "-", $A$9),OBS_District_Flows!$A:$K, 6,FALSE),0)</f>
        <v>0</v>
      </c>
      <c r="W16" s="119">
        <f>IFERROR(VLOOKUP(CONCATENATE($A$15,"-",$A$12, "-", $D16, "-", W$3, "-", $A$9),OBS_District_Flows!$A:$K, 6,FALSE),0)</f>
        <v>0</v>
      </c>
      <c r="X16" s="119">
        <f>IFERROR(VLOOKUP(CONCATENATE($A$15,"-",$A$12, "-", $D16, "-", X$3, "-", $A$9),OBS_District_Flows!$A:$K, 6,FALSE),0)</f>
        <v>0</v>
      </c>
      <c r="Y16" s="119">
        <f>IFERROR(VLOOKUP(CONCATENATE($A$15,"-",$A$12, "-", $D16, "-", Y$3, "-", $A$9),OBS_District_Flows!$A:$K, 6,FALSE),0)</f>
        <v>0</v>
      </c>
      <c r="Z16" s="119">
        <f>IFERROR(VLOOKUP(CONCATENATE($A$15,"-",$A$12, "-", $D16, "-", Z$3, "-", $A$9),OBS_District_Flows!$A:$K, 6,FALSE),0)</f>
        <v>0</v>
      </c>
      <c r="AA16" s="119">
        <f>IFERROR(VLOOKUP(CONCATENATE($A$15,"-",$A$12, "-", $D16, "-", AA$3, "-", $A$9),OBS_District_Flows!$A:$K, 6,FALSE),0)</f>
        <v>0</v>
      </c>
      <c r="AB16" s="119">
        <f>IFERROR(VLOOKUP(CONCATENATE($A$15,"-",$A$12, "-", $D16, "-", AB$3, "-", $A$9),OBS_District_Flows!$A:$K, 6,FALSE),0)</f>
        <v>0</v>
      </c>
      <c r="AC16" s="119">
        <f>IFERROR(VLOOKUP(CONCATENATE($A$15,"-",$A$12, "-", $D16, "-", AC$3, "-", $A$9),OBS_District_Flows!$A:$K, 6,FALSE),0)</f>
        <v>0</v>
      </c>
      <c r="AD16" s="119">
        <f>IFERROR(VLOOKUP(CONCATENATE($A$15,"-",$A$12, "-", $D16, "-", AD$3, "-", $A$9),OBS_District_Flows!$A:$K, 6,FALSE),0)</f>
        <v>0</v>
      </c>
      <c r="AE16" s="119">
        <f>IFERROR(VLOOKUP(CONCATENATE($A$15,"-",$A$12, "-", $D16, "-", AE$3, "-", $A$9),OBS_District_Flows!$A:$K, 6,FALSE),0)</f>
        <v>0</v>
      </c>
      <c r="AF16" s="119">
        <f>IFERROR(VLOOKUP(CONCATENATE($A$15,"-",$A$12, "-", $D16, "-", AF$3, "-", $A$9),OBS_District_Flows!$A:$K, 6,FALSE),0)</f>
        <v>0</v>
      </c>
      <c r="AG16" s="119">
        <f>IFERROR(VLOOKUP(CONCATENATE($A$15,"-",$A$12, "-", $D16, "-", AG$3, "-", $A$9),OBS_District_Flows!$A:$K, 6,FALSE),0)</f>
        <v>0</v>
      </c>
      <c r="AH16" s="119">
        <f>IFERROR(VLOOKUP(CONCATENATE($A$15,"-",$A$12, "-", $D16, "-", AH$3, "-", $A$9),OBS_District_Flows!$A:$K, 6,FALSE),0)</f>
        <v>0</v>
      </c>
      <c r="AI16" s="119">
        <f>IFERROR(VLOOKUP(CONCATENATE($A$15,"-",$A$12, "-", $D16, "-", AI$3, "-", $A$9),OBS_District_Flows!$A:$K, 6,FALSE),0)</f>
        <v>0</v>
      </c>
      <c r="AJ16" s="119">
        <f>IFERROR(VLOOKUP(CONCATENATE($A$15,"-",$A$12, "-", $D16, "-", AJ$3, "-", $A$9),OBS_District_Flows!$A:$K, 6,FALSE),0)</f>
        <v>0</v>
      </c>
      <c r="AK16" s="119">
        <f>IFERROR(VLOOKUP(CONCATENATE($A$15,"-",$A$12, "-", $D16, "-", AK$3, "-", $A$9),OBS_District_Flows!$A:$K, 6,FALSE),0)</f>
        <v>0</v>
      </c>
      <c r="AL16" s="120">
        <f>IFERROR(VLOOKUP(CONCATENATE($A$15,"-",$A$12, "-", $D16, "-", AL$3, "-", $A$9),OBS_District_Flows!$A:$K, 6,FALSE),0)</f>
        <v>0</v>
      </c>
      <c r="AM16" s="111">
        <f t="shared" si="0"/>
        <v>0</v>
      </c>
      <c r="AO16" s="286"/>
      <c r="AP16" s="107" t="s">
        <v>205</v>
      </c>
      <c r="AQ16" s="121" t="str">
        <f t="shared" si="1"/>
        <v/>
      </c>
      <c r="AR16" s="122" t="str">
        <f t="shared" si="2"/>
        <v/>
      </c>
      <c r="AS16" s="122" t="str">
        <f t="shared" si="3"/>
        <v/>
      </c>
      <c r="AT16" s="122" t="str">
        <f t="shared" si="4"/>
        <v/>
      </c>
      <c r="AU16" s="122" t="str">
        <f t="shared" si="5"/>
        <v/>
      </c>
      <c r="AV16" s="122" t="str">
        <f t="shared" si="6"/>
        <v/>
      </c>
      <c r="AW16" s="122" t="str">
        <f t="shared" si="7"/>
        <v/>
      </c>
      <c r="AX16" s="122" t="str">
        <f t="shared" si="8"/>
        <v/>
      </c>
      <c r="AY16" s="122" t="str">
        <f t="shared" si="9"/>
        <v/>
      </c>
      <c r="AZ16" s="122" t="str">
        <f t="shared" si="10"/>
        <v/>
      </c>
      <c r="BA16" s="122" t="str">
        <f t="shared" si="11"/>
        <v/>
      </c>
      <c r="BB16" s="122" t="str">
        <f t="shared" si="12"/>
        <v/>
      </c>
      <c r="BC16" s="122" t="str">
        <f t="shared" si="13"/>
        <v/>
      </c>
      <c r="BD16" s="122" t="str">
        <f t="shared" si="14"/>
        <v/>
      </c>
      <c r="BE16" s="122" t="str">
        <f t="shared" si="15"/>
        <v/>
      </c>
      <c r="BF16" s="122" t="str">
        <f t="shared" si="16"/>
        <v/>
      </c>
      <c r="BG16" s="122" t="str">
        <f t="shared" si="17"/>
        <v/>
      </c>
      <c r="BH16" s="122" t="str">
        <f t="shared" si="18"/>
        <v/>
      </c>
      <c r="BI16" s="122" t="str">
        <f t="shared" si="19"/>
        <v/>
      </c>
      <c r="BJ16" s="122" t="str">
        <f t="shared" si="20"/>
        <v/>
      </c>
      <c r="BK16" s="122" t="str">
        <f t="shared" si="21"/>
        <v/>
      </c>
      <c r="BL16" s="122" t="str">
        <f t="shared" si="22"/>
        <v/>
      </c>
      <c r="BM16" s="122" t="str">
        <f t="shared" si="23"/>
        <v/>
      </c>
      <c r="BN16" s="122" t="str">
        <f t="shared" si="24"/>
        <v/>
      </c>
      <c r="BO16" s="122" t="str">
        <f t="shared" si="25"/>
        <v/>
      </c>
      <c r="BP16" s="122" t="str">
        <f t="shared" si="26"/>
        <v/>
      </c>
      <c r="BQ16" s="122" t="str">
        <f t="shared" si="27"/>
        <v/>
      </c>
      <c r="BR16" s="122" t="str">
        <f t="shared" si="28"/>
        <v/>
      </c>
      <c r="BS16" s="122" t="str">
        <f t="shared" si="29"/>
        <v/>
      </c>
      <c r="BT16" s="122" t="str">
        <f t="shared" si="30"/>
        <v/>
      </c>
      <c r="BU16" s="122" t="str">
        <f t="shared" si="31"/>
        <v/>
      </c>
      <c r="BV16" s="122" t="str">
        <f t="shared" si="32"/>
        <v/>
      </c>
      <c r="BW16" s="122" t="str">
        <f t="shared" si="33"/>
        <v/>
      </c>
      <c r="BX16" s="123" t="str">
        <f t="shared" si="34"/>
        <v/>
      </c>
      <c r="BY16" s="115" t="str">
        <f t="shared" si="35"/>
        <v/>
      </c>
      <c r="CA16" s="286"/>
      <c r="CB16" s="107" t="s">
        <v>205</v>
      </c>
      <c r="CC16" s="121" t="str">
        <f t="shared" si="36"/>
        <v/>
      </c>
      <c r="CD16" s="122" t="str">
        <f t="shared" si="37"/>
        <v/>
      </c>
      <c r="CE16" s="122" t="str">
        <f t="shared" si="38"/>
        <v/>
      </c>
      <c r="CF16" s="122" t="str">
        <f t="shared" si="39"/>
        <v/>
      </c>
      <c r="CG16" s="122" t="str">
        <f t="shared" si="40"/>
        <v/>
      </c>
      <c r="CH16" s="122" t="str">
        <f t="shared" si="41"/>
        <v/>
      </c>
      <c r="CI16" s="122" t="str">
        <f t="shared" si="42"/>
        <v/>
      </c>
      <c r="CJ16" s="122" t="str">
        <f t="shared" si="43"/>
        <v/>
      </c>
      <c r="CK16" s="122" t="str">
        <f t="shared" si="44"/>
        <v/>
      </c>
      <c r="CL16" s="122" t="str">
        <f t="shared" si="45"/>
        <v/>
      </c>
      <c r="CM16" s="122" t="str">
        <f t="shared" si="46"/>
        <v/>
      </c>
      <c r="CN16" s="122" t="str">
        <f t="shared" si="47"/>
        <v/>
      </c>
      <c r="CO16" s="122" t="str">
        <f t="shared" si="48"/>
        <v/>
      </c>
      <c r="CP16" s="122" t="str">
        <f t="shared" si="49"/>
        <v/>
      </c>
      <c r="CQ16" s="122" t="str">
        <f t="shared" si="50"/>
        <v/>
      </c>
      <c r="CR16" s="122" t="str">
        <f t="shared" si="51"/>
        <v/>
      </c>
      <c r="CS16" s="122" t="str">
        <f t="shared" si="52"/>
        <v/>
      </c>
      <c r="CT16" s="122" t="str">
        <f t="shared" si="53"/>
        <v/>
      </c>
      <c r="CU16" s="122" t="str">
        <f t="shared" si="54"/>
        <v/>
      </c>
      <c r="CV16" s="122" t="str">
        <f t="shared" si="55"/>
        <v/>
      </c>
      <c r="CW16" s="122" t="str">
        <f t="shared" si="56"/>
        <v/>
      </c>
      <c r="CX16" s="122" t="str">
        <f t="shared" si="57"/>
        <v/>
      </c>
      <c r="CY16" s="122" t="str">
        <f t="shared" si="58"/>
        <v/>
      </c>
      <c r="CZ16" s="122" t="str">
        <f t="shared" si="59"/>
        <v/>
      </c>
      <c r="DA16" s="122" t="str">
        <f t="shared" si="60"/>
        <v/>
      </c>
      <c r="DB16" s="122" t="str">
        <f t="shared" si="61"/>
        <v/>
      </c>
      <c r="DC16" s="122" t="str">
        <f t="shared" si="62"/>
        <v/>
      </c>
      <c r="DD16" s="122" t="str">
        <f t="shared" si="63"/>
        <v/>
      </c>
      <c r="DE16" s="122" t="str">
        <f t="shared" si="64"/>
        <v/>
      </c>
      <c r="DF16" s="122" t="str">
        <f t="shared" si="65"/>
        <v/>
      </c>
      <c r="DG16" s="122" t="str">
        <f t="shared" si="66"/>
        <v/>
      </c>
      <c r="DH16" s="122" t="str">
        <f t="shared" si="67"/>
        <v/>
      </c>
      <c r="DI16" s="122" t="str">
        <f t="shared" si="68"/>
        <v/>
      </c>
      <c r="DJ16" s="123" t="str">
        <f t="shared" si="69"/>
        <v/>
      </c>
      <c r="DK16" s="115" t="str">
        <f t="shared" si="70"/>
        <v/>
      </c>
    </row>
    <row r="17" spans="1:115" x14ac:dyDescent="0.2">
      <c r="A17" s="103" t="s">
        <v>232</v>
      </c>
      <c r="C17" s="285"/>
      <c r="D17" s="107" t="s">
        <v>206</v>
      </c>
      <c r="E17" s="118">
        <f>IFERROR(VLOOKUP(CONCATENATE($A$15,"-",$A$12, "-", $D17, "-", E$3, "-", $A$9),OBS_District_Flows!$A:$K, 6,FALSE),0)</f>
        <v>0</v>
      </c>
      <c r="F17" s="119">
        <f>IFERROR(VLOOKUP(CONCATENATE($A$15,"-",$A$12, "-", $D17, "-", F$3, "-", $A$9),OBS_District_Flows!$A:$K, 6,FALSE),0)</f>
        <v>0</v>
      </c>
      <c r="G17" s="119">
        <f>IFERROR(VLOOKUP(CONCATENATE($A$15,"-",$A$12, "-", $D17, "-", G$3, "-", $A$9),OBS_District_Flows!$A:$K, 6,FALSE),0)</f>
        <v>0</v>
      </c>
      <c r="H17" s="119">
        <f>IFERROR(VLOOKUP(CONCATENATE($A$15,"-",$A$12, "-", $D17, "-", H$3, "-", $A$9),OBS_District_Flows!$A:$K, 6,FALSE),0)</f>
        <v>0</v>
      </c>
      <c r="I17" s="119">
        <f>IFERROR(VLOOKUP(CONCATENATE($A$15,"-",$A$12, "-", $D17, "-", I$3, "-", $A$9),OBS_District_Flows!$A:$K, 6,FALSE),0)</f>
        <v>0</v>
      </c>
      <c r="J17" s="119">
        <f>IFERROR(VLOOKUP(CONCATENATE($A$15,"-",$A$12, "-", $D17, "-", J$3, "-", $A$9),OBS_District_Flows!$A:$K, 6,FALSE),0)</f>
        <v>0</v>
      </c>
      <c r="K17" s="119">
        <f>IFERROR(VLOOKUP(CONCATENATE($A$15,"-",$A$12, "-", $D17, "-", K$3, "-", $A$9),OBS_District_Flows!$A:$K, 6,FALSE),0)</f>
        <v>0</v>
      </c>
      <c r="L17" s="119">
        <f>IFERROR(VLOOKUP(CONCATENATE($A$15,"-",$A$12, "-", $D17, "-", L$3, "-", $A$9),OBS_District_Flows!$A:$K, 6,FALSE),0)</f>
        <v>0</v>
      </c>
      <c r="M17" s="119">
        <f>IFERROR(VLOOKUP(CONCATENATE($A$15,"-",$A$12, "-", $D17, "-", M$3, "-", $A$9),OBS_District_Flows!$A:$K, 6,FALSE),0)</f>
        <v>0</v>
      </c>
      <c r="N17" s="119">
        <f>IFERROR(VLOOKUP(CONCATENATE($A$15,"-",$A$12, "-", $D17, "-", N$3, "-", $A$9),OBS_District_Flows!$A:$K, 6,FALSE),0)</f>
        <v>0</v>
      </c>
      <c r="O17" s="119">
        <f>IFERROR(VLOOKUP(CONCATENATE($A$15,"-",$A$12, "-", $D17, "-", O$3, "-", $A$9),OBS_District_Flows!$A:$K, 6,FALSE),0)</f>
        <v>0</v>
      </c>
      <c r="P17" s="119">
        <f>IFERROR(VLOOKUP(CONCATENATE($A$15,"-",$A$12, "-", $D17, "-", P$3, "-", $A$9),OBS_District_Flows!$A:$K, 6,FALSE),0)</f>
        <v>0</v>
      </c>
      <c r="Q17" s="119">
        <f>IFERROR(VLOOKUP(CONCATENATE($A$15,"-",$A$12, "-", $D17, "-", Q$3, "-", $A$9),OBS_District_Flows!$A:$K, 6,FALSE),0)</f>
        <v>0</v>
      </c>
      <c r="R17" s="119">
        <f>IFERROR(VLOOKUP(CONCATENATE($A$15,"-",$A$12, "-", $D17, "-", R$3, "-", $A$9),OBS_District_Flows!$A:$K, 6,FALSE),0)</f>
        <v>0</v>
      </c>
      <c r="S17" s="119">
        <f>IFERROR(VLOOKUP(CONCATENATE($A$15,"-",$A$12, "-", $D17, "-", S$3, "-", $A$9),OBS_District_Flows!$A:$K, 6,FALSE),0)</f>
        <v>0</v>
      </c>
      <c r="T17" s="119">
        <f>IFERROR(VLOOKUP(CONCATENATE($A$15,"-",$A$12, "-", $D17, "-", T$3, "-", $A$9),OBS_District_Flows!$A:$K, 6,FALSE),0)</f>
        <v>0</v>
      </c>
      <c r="U17" s="119">
        <f>IFERROR(VLOOKUP(CONCATENATE($A$15,"-",$A$12, "-", $D17, "-", U$3, "-", $A$9),OBS_District_Flows!$A:$K, 6,FALSE),0)</f>
        <v>0</v>
      </c>
      <c r="V17" s="119">
        <f>IFERROR(VLOOKUP(CONCATENATE($A$15,"-",$A$12, "-", $D17, "-", V$3, "-", $A$9),OBS_District_Flows!$A:$K, 6,FALSE),0)</f>
        <v>0</v>
      </c>
      <c r="W17" s="119">
        <f>IFERROR(VLOOKUP(CONCATENATE($A$15,"-",$A$12, "-", $D17, "-", W$3, "-", $A$9),OBS_District_Flows!$A:$K, 6,FALSE),0)</f>
        <v>0</v>
      </c>
      <c r="X17" s="119">
        <f>IFERROR(VLOOKUP(CONCATENATE($A$15,"-",$A$12, "-", $D17, "-", X$3, "-", $A$9),OBS_District_Flows!$A:$K, 6,FALSE),0)</f>
        <v>0</v>
      </c>
      <c r="Y17" s="119">
        <f>IFERROR(VLOOKUP(CONCATENATE($A$15,"-",$A$12, "-", $D17, "-", Y$3, "-", $A$9),OBS_District_Flows!$A:$K, 6,FALSE),0)</f>
        <v>0</v>
      </c>
      <c r="Z17" s="119">
        <f>IFERROR(VLOOKUP(CONCATENATE($A$15,"-",$A$12, "-", $D17, "-", Z$3, "-", $A$9),OBS_District_Flows!$A:$K, 6,FALSE),0)</f>
        <v>0</v>
      </c>
      <c r="AA17" s="119">
        <f>IFERROR(VLOOKUP(CONCATENATE($A$15,"-",$A$12, "-", $D17, "-", AA$3, "-", $A$9),OBS_District_Flows!$A:$K, 6,FALSE),0)</f>
        <v>0</v>
      </c>
      <c r="AB17" s="119">
        <f>IFERROR(VLOOKUP(CONCATENATE($A$15,"-",$A$12, "-", $D17, "-", AB$3, "-", $A$9),OBS_District_Flows!$A:$K, 6,FALSE),0)</f>
        <v>0</v>
      </c>
      <c r="AC17" s="119">
        <f>IFERROR(VLOOKUP(CONCATENATE($A$15,"-",$A$12, "-", $D17, "-", AC$3, "-", $A$9),OBS_District_Flows!$A:$K, 6,FALSE),0)</f>
        <v>0</v>
      </c>
      <c r="AD17" s="119">
        <f>IFERROR(VLOOKUP(CONCATENATE($A$15,"-",$A$12, "-", $D17, "-", AD$3, "-", $A$9),OBS_District_Flows!$A:$K, 6,FALSE),0)</f>
        <v>0</v>
      </c>
      <c r="AE17" s="119">
        <f>IFERROR(VLOOKUP(CONCATENATE($A$15,"-",$A$12, "-", $D17, "-", AE$3, "-", $A$9),OBS_District_Flows!$A:$K, 6,FALSE),0)</f>
        <v>0</v>
      </c>
      <c r="AF17" s="119">
        <f>IFERROR(VLOOKUP(CONCATENATE($A$15,"-",$A$12, "-", $D17, "-", AF$3, "-", $A$9),OBS_District_Flows!$A:$K, 6,FALSE),0)</f>
        <v>0</v>
      </c>
      <c r="AG17" s="119">
        <f>IFERROR(VLOOKUP(CONCATENATE($A$15,"-",$A$12, "-", $D17, "-", AG$3, "-", $A$9),OBS_District_Flows!$A:$K, 6,FALSE),0)</f>
        <v>0</v>
      </c>
      <c r="AH17" s="119">
        <f>IFERROR(VLOOKUP(CONCATENATE($A$15,"-",$A$12, "-", $D17, "-", AH$3, "-", $A$9),OBS_District_Flows!$A:$K, 6,FALSE),0)</f>
        <v>0</v>
      </c>
      <c r="AI17" s="119">
        <f>IFERROR(VLOOKUP(CONCATENATE($A$15,"-",$A$12, "-", $D17, "-", AI$3, "-", $A$9),OBS_District_Flows!$A:$K, 6,FALSE),0)</f>
        <v>0</v>
      </c>
      <c r="AJ17" s="119">
        <f>IFERROR(VLOOKUP(CONCATENATE($A$15,"-",$A$12, "-", $D17, "-", AJ$3, "-", $A$9),OBS_District_Flows!$A:$K, 6,FALSE),0)</f>
        <v>0</v>
      </c>
      <c r="AK17" s="119">
        <f>IFERROR(VLOOKUP(CONCATENATE($A$15,"-",$A$12, "-", $D17, "-", AK$3, "-", $A$9),OBS_District_Flows!$A:$K, 6,FALSE),0)</f>
        <v>0</v>
      </c>
      <c r="AL17" s="120">
        <f>IFERROR(VLOOKUP(CONCATENATE($A$15,"-",$A$12, "-", $D17, "-", AL$3, "-", $A$9),OBS_District_Flows!$A:$K, 6,FALSE),0)</f>
        <v>0</v>
      </c>
      <c r="AM17" s="111">
        <f t="shared" si="0"/>
        <v>0</v>
      </c>
      <c r="AO17" s="286"/>
      <c r="AP17" s="107" t="s">
        <v>206</v>
      </c>
      <c r="AQ17" s="121" t="str">
        <f t="shared" si="1"/>
        <v/>
      </c>
      <c r="AR17" s="122" t="str">
        <f t="shared" si="2"/>
        <v/>
      </c>
      <c r="AS17" s="122" t="str">
        <f t="shared" si="3"/>
        <v/>
      </c>
      <c r="AT17" s="122" t="str">
        <f t="shared" si="4"/>
        <v/>
      </c>
      <c r="AU17" s="122" t="str">
        <f t="shared" si="5"/>
        <v/>
      </c>
      <c r="AV17" s="122" t="str">
        <f t="shared" si="6"/>
        <v/>
      </c>
      <c r="AW17" s="122" t="str">
        <f t="shared" si="7"/>
        <v/>
      </c>
      <c r="AX17" s="122" t="str">
        <f t="shared" si="8"/>
        <v/>
      </c>
      <c r="AY17" s="122" t="str">
        <f t="shared" si="9"/>
        <v/>
      </c>
      <c r="AZ17" s="122" t="str">
        <f t="shared" si="10"/>
        <v/>
      </c>
      <c r="BA17" s="122" t="str">
        <f t="shared" si="11"/>
        <v/>
      </c>
      <c r="BB17" s="122" t="str">
        <f t="shared" si="12"/>
        <v/>
      </c>
      <c r="BC17" s="122" t="str">
        <f t="shared" si="13"/>
        <v/>
      </c>
      <c r="BD17" s="122" t="str">
        <f t="shared" si="14"/>
        <v/>
      </c>
      <c r="BE17" s="122" t="str">
        <f t="shared" si="15"/>
        <v/>
      </c>
      <c r="BF17" s="122" t="str">
        <f t="shared" si="16"/>
        <v/>
      </c>
      <c r="BG17" s="122" t="str">
        <f t="shared" si="17"/>
        <v/>
      </c>
      <c r="BH17" s="122" t="str">
        <f t="shared" si="18"/>
        <v/>
      </c>
      <c r="BI17" s="122" t="str">
        <f t="shared" si="19"/>
        <v/>
      </c>
      <c r="BJ17" s="122" t="str">
        <f t="shared" si="20"/>
        <v/>
      </c>
      <c r="BK17" s="122" t="str">
        <f t="shared" si="21"/>
        <v/>
      </c>
      <c r="BL17" s="122" t="str">
        <f t="shared" si="22"/>
        <v/>
      </c>
      <c r="BM17" s="122" t="str">
        <f t="shared" si="23"/>
        <v/>
      </c>
      <c r="BN17" s="122" t="str">
        <f t="shared" si="24"/>
        <v/>
      </c>
      <c r="BO17" s="122" t="str">
        <f t="shared" si="25"/>
        <v/>
      </c>
      <c r="BP17" s="122" t="str">
        <f t="shared" si="26"/>
        <v/>
      </c>
      <c r="BQ17" s="122" t="str">
        <f t="shared" si="27"/>
        <v/>
      </c>
      <c r="BR17" s="122" t="str">
        <f t="shared" si="28"/>
        <v/>
      </c>
      <c r="BS17" s="122" t="str">
        <f t="shared" si="29"/>
        <v/>
      </c>
      <c r="BT17" s="122" t="str">
        <f t="shared" si="30"/>
        <v/>
      </c>
      <c r="BU17" s="122" t="str">
        <f t="shared" si="31"/>
        <v/>
      </c>
      <c r="BV17" s="122" t="str">
        <f t="shared" si="32"/>
        <v/>
      </c>
      <c r="BW17" s="122" t="str">
        <f t="shared" si="33"/>
        <v/>
      </c>
      <c r="BX17" s="123" t="str">
        <f t="shared" si="34"/>
        <v/>
      </c>
      <c r="BY17" s="115" t="str">
        <f t="shared" si="35"/>
        <v/>
      </c>
      <c r="CA17" s="286"/>
      <c r="CB17" s="107" t="s">
        <v>206</v>
      </c>
      <c r="CC17" s="121" t="str">
        <f t="shared" si="36"/>
        <v/>
      </c>
      <c r="CD17" s="122" t="str">
        <f t="shared" si="37"/>
        <v/>
      </c>
      <c r="CE17" s="122" t="str">
        <f t="shared" si="38"/>
        <v/>
      </c>
      <c r="CF17" s="122" t="str">
        <f t="shared" si="39"/>
        <v/>
      </c>
      <c r="CG17" s="122" t="str">
        <f t="shared" si="40"/>
        <v/>
      </c>
      <c r="CH17" s="122" t="str">
        <f t="shared" si="41"/>
        <v/>
      </c>
      <c r="CI17" s="122" t="str">
        <f t="shared" si="42"/>
        <v/>
      </c>
      <c r="CJ17" s="122" t="str">
        <f t="shared" si="43"/>
        <v/>
      </c>
      <c r="CK17" s="122" t="str">
        <f t="shared" si="44"/>
        <v/>
      </c>
      <c r="CL17" s="122" t="str">
        <f t="shared" si="45"/>
        <v/>
      </c>
      <c r="CM17" s="122" t="str">
        <f t="shared" si="46"/>
        <v/>
      </c>
      <c r="CN17" s="122" t="str">
        <f t="shared" si="47"/>
        <v/>
      </c>
      <c r="CO17" s="122" t="str">
        <f t="shared" si="48"/>
        <v/>
      </c>
      <c r="CP17" s="122" t="str">
        <f t="shared" si="49"/>
        <v/>
      </c>
      <c r="CQ17" s="122" t="str">
        <f t="shared" si="50"/>
        <v/>
      </c>
      <c r="CR17" s="122" t="str">
        <f t="shared" si="51"/>
        <v/>
      </c>
      <c r="CS17" s="122" t="str">
        <f t="shared" si="52"/>
        <v/>
      </c>
      <c r="CT17" s="122" t="str">
        <f t="shared" si="53"/>
        <v/>
      </c>
      <c r="CU17" s="122" t="str">
        <f t="shared" si="54"/>
        <v/>
      </c>
      <c r="CV17" s="122" t="str">
        <f t="shared" si="55"/>
        <v/>
      </c>
      <c r="CW17" s="122" t="str">
        <f t="shared" si="56"/>
        <v/>
      </c>
      <c r="CX17" s="122" t="str">
        <f t="shared" si="57"/>
        <v/>
      </c>
      <c r="CY17" s="122" t="str">
        <f t="shared" si="58"/>
        <v/>
      </c>
      <c r="CZ17" s="122" t="str">
        <f t="shared" si="59"/>
        <v/>
      </c>
      <c r="DA17" s="122" t="str">
        <f t="shared" si="60"/>
        <v/>
      </c>
      <c r="DB17" s="122" t="str">
        <f t="shared" si="61"/>
        <v/>
      </c>
      <c r="DC17" s="122" t="str">
        <f t="shared" si="62"/>
        <v/>
      </c>
      <c r="DD17" s="122" t="str">
        <f t="shared" si="63"/>
        <v/>
      </c>
      <c r="DE17" s="122" t="str">
        <f t="shared" si="64"/>
        <v/>
      </c>
      <c r="DF17" s="122" t="str">
        <f t="shared" si="65"/>
        <v/>
      </c>
      <c r="DG17" s="122" t="str">
        <f t="shared" si="66"/>
        <v/>
      </c>
      <c r="DH17" s="122" t="str">
        <f t="shared" si="67"/>
        <v/>
      </c>
      <c r="DI17" s="122" t="str">
        <f t="shared" si="68"/>
        <v/>
      </c>
      <c r="DJ17" s="123" t="str">
        <f t="shared" si="69"/>
        <v/>
      </c>
      <c r="DK17" s="115" t="str">
        <f t="shared" si="70"/>
        <v/>
      </c>
    </row>
    <row r="18" spans="1:115" x14ac:dyDescent="0.2">
      <c r="A18" s="128">
        <f>AM38</f>
        <v>0</v>
      </c>
      <c r="B18" s="117"/>
      <c r="C18" s="285"/>
      <c r="D18" s="107" t="s">
        <v>207</v>
      </c>
      <c r="E18" s="118">
        <f>IFERROR(VLOOKUP(CONCATENATE($A$15,"-",$A$12, "-", $D18, "-", E$3, "-", $A$9),OBS_District_Flows!$A:$K, 6,FALSE),0)</f>
        <v>0</v>
      </c>
      <c r="F18" s="119">
        <f>IFERROR(VLOOKUP(CONCATENATE($A$15,"-",$A$12, "-", $D18, "-", F$3, "-", $A$9),OBS_District_Flows!$A:$K, 6,FALSE),0)</f>
        <v>0</v>
      </c>
      <c r="G18" s="119">
        <f>IFERROR(VLOOKUP(CONCATENATE($A$15,"-",$A$12, "-", $D18, "-", G$3, "-", $A$9),OBS_District_Flows!$A:$K, 6,FALSE),0)</f>
        <v>0</v>
      </c>
      <c r="H18" s="119">
        <f>IFERROR(VLOOKUP(CONCATENATE($A$15,"-",$A$12, "-", $D18, "-", H$3, "-", $A$9),OBS_District_Flows!$A:$K, 6,FALSE),0)</f>
        <v>0</v>
      </c>
      <c r="I18" s="119">
        <f>IFERROR(VLOOKUP(CONCATENATE($A$15,"-",$A$12, "-", $D18, "-", I$3, "-", $A$9),OBS_District_Flows!$A:$K, 6,FALSE),0)</f>
        <v>0</v>
      </c>
      <c r="J18" s="119">
        <f>IFERROR(VLOOKUP(CONCATENATE($A$15,"-",$A$12, "-", $D18, "-", J$3, "-", $A$9),OBS_District_Flows!$A:$K, 6,FALSE),0)</f>
        <v>0</v>
      </c>
      <c r="K18" s="119">
        <f>IFERROR(VLOOKUP(CONCATENATE($A$15,"-",$A$12, "-", $D18, "-", K$3, "-", $A$9),OBS_District_Flows!$A:$K, 6,FALSE),0)</f>
        <v>0</v>
      </c>
      <c r="L18" s="119">
        <f>IFERROR(VLOOKUP(CONCATENATE($A$15,"-",$A$12, "-", $D18, "-", L$3, "-", $A$9),OBS_District_Flows!$A:$K, 6,FALSE),0)</f>
        <v>0</v>
      </c>
      <c r="M18" s="119">
        <f>IFERROR(VLOOKUP(CONCATENATE($A$15,"-",$A$12, "-", $D18, "-", M$3, "-", $A$9),OBS_District_Flows!$A:$K, 6,FALSE),0)</f>
        <v>0</v>
      </c>
      <c r="N18" s="119">
        <f>IFERROR(VLOOKUP(CONCATENATE($A$15,"-",$A$12, "-", $D18, "-", N$3, "-", $A$9),OBS_District_Flows!$A:$K, 6,FALSE),0)</f>
        <v>0</v>
      </c>
      <c r="O18" s="119">
        <f>IFERROR(VLOOKUP(CONCATENATE($A$15,"-",$A$12, "-", $D18, "-", O$3, "-", $A$9),OBS_District_Flows!$A:$K, 6,FALSE),0)</f>
        <v>0</v>
      </c>
      <c r="P18" s="119">
        <f>IFERROR(VLOOKUP(CONCATENATE($A$15,"-",$A$12, "-", $D18, "-", P$3, "-", $A$9),OBS_District_Flows!$A:$K, 6,FALSE),0)</f>
        <v>0</v>
      </c>
      <c r="Q18" s="119">
        <f>IFERROR(VLOOKUP(CONCATENATE($A$15,"-",$A$12, "-", $D18, "-", Q$3, "-", $A$9),OBS_District_Flows!$A:$K, 6,FALSE),0)</f>
        <v>0</v>
      </c>
      <c r="R18" s="119">
        <f>IFERROR(VLOOKUP(CONCATENATE($A$15,"-",$A$12, "-", $D18, "-", R$3, "-", $A$9),OBS_District_Flows!$A:$K, 6,FALSE),0)</f>
        <v>0</v>
      </c>
      <c r="S18" s="119">
        <f>IFERROR(VLOOKUP(CONCATENATE($A$15,"-",$A$12, "-", $D18, "-", S$3, "-", $A$9),OBS_District_Flows!$A:$K, 6,FALSE),0)</f>
        <v>0</v>
      </c>
      <c r="T18" s="119">
        <f>IFERROR(VLOOKUP(CONCATENATE($A$15,"-",$A$12, "-", $D18, "-", T$3, "-", $A$9),OBS_District_Flows!$A:$K, 6,FALSE),0)</f>
        <v>0</v>
      </c>
      <c r="U18" s="119">
        <f>IFERROR(VLOOKUP(CONCATENATE($A$15,"-",$A$12, "-", $D18, "-", U$3, "-", $A$9),OBS_District_Flows!$A:$K, 6,FALSE),0)</f>
        <v>0</v>
      </c>
      <c r="V18" s="119">
        <f>IFERROR(VLOOKUP(CONCATENATE($A$15,"-",$A$12, "-", $D18, "-", V$3, "-", $A$9),OBS_District_Flows!$A:$K, 6,FALSE),0)</f>
        <v>0</v>
      </c>
      <c r="W18" s="119">
        <f>IFERROR(VLOOKUP(CONCATENATE($A$15,"-",$A$12, "-", $D18, "-", W$3, "-", $A$9),OBS_District_Flows!$A:$K, 6,FALSE),0)</f>
        <v>0</v>
      </c>
      <c r="X18" s="119">
        <f>IFERROR(VLOOKUP(CONCATENATE($A$15,"-",$A$12, "-", $D18, "-", X$3, "-", $A$9),OBS_District_Flows!$A:$K, 6,FALSE),0)</f>
        <v>0</v>
      </c>
      <c r="Y18" s="119">
        <f>IFERROR(VLOOKUP(CONCATENATE($A$15,"-",$A$12, "-", $D18, "-", Y$3, "-", $A$9),OBS_District_Flows!$A:$K, 6,FALSE),0)</f>
        <v>0</v>
      </c>
      <c r="Z18" s="119">
        <f>IFERROR(VLOOKUP(CONCATENATE($A$15,"-",$A$12, "-", $D18, "-", Z$3, "-", $A$9),OBS_District_Flows!$A:$K, 6,FALSE),0)</f>
        <v>0</v>
      </c>
      <c r="AA18" s="119">
        <f>IFERROR(VLOOKUP(CONCATENATE($A$15,"-",$A$12, "-", $D18, "-", AA$3, "-", $A$9),OBS_District_Flows!$A:$K, 6,FALSE),0)</f>
        <v>0</v>
      </c>
      <c r="AB18" s="119">
        <f>IFERROR(VLOOKUP(CONCATENATE($A$15,"-",$A$12, "-", $D18, "-", AB$3, "-", $A$9),OBS_District_Flows!$A:$K, 6,FALSE),0)</f>
        <v>0</v>
      </c>
      <c r="AC18" s="119">
        <f>IFERROR(VLOOKUP(CONCATENATE($A$15,"-",$A$12, "-", $D18, "-", AC$3, "-", $A$9),OBS_District_Flows!$A:$K, 6,FALSE),0)</f>
        <v>0</v>
      </c>
      <c r="AD18" s="119">
        <f>IFERROR(VLOOKUP(CONCATENATE($A$15,"-",$A$12, "-", $D18, "-", AD$3, "-", $A$9),OBS_District_Flows!$A:$K, 6,FALSE),0)</f>
        <v>0</v>
      </c>
      <c r="AE18" s="119">
        <f>IFERROR(VLOOKUP(CONCATENATE($A$15,"-",$A$12, "-", $D18, "-", AE$3, "-", $A$9),OBS_District_Flows!$A:$K, 6,FALSE),0)</f>
        <v>0</v>
      </c>
      <c r="AF18" s="119">
        <f>IFERROR(VLOOKUP(CONCATENATE($A$15,"-",$A$12, "-", $D18, "-", AF$3, "-", $A$9),OBS_District_Flows!$A:$K, 6,FALSE),0)</f>
        <v>0</v>
      </c>
      <c r="AG18" s="119">
        <f>IFERROR(VLOOKUP(CONCATENATE($A$15,"-",$A$12, "-", $D18, "-", AG$3, "-", $A$9),OBS_District_Flows!$A:$K, 6,FALSE),0)</f>
        <v>0</v>
      </c>
      <c r="AH18" s="119">
        <f>IFERROR(VLOOKUP(CONCATENATE($A$15,"-",$A$12, "-", $D18, "-", AH$3, "-", $A$9),OBS_District_Flows!$A:$K, 6,FALSE),0)</f>
        <v>0</v>
      </c>
      <c r="AI18" s="119">
        <f>IFERROR(VLOOKUP(CONCATENATE($A$15,"-",$A$12, "-", $D18, "-", AI$3, "-", $A$9),OBS_District_Flows!$A:$K, 6,FALSE),0)</f>
        <v>0</v>
      </c>
      <c r="AJ18" s="119">
        <f>IFERROR(VLOOKUP(CONCATENATE($A$15,"-",$A$12, "-", $D18, "-", AJ$3, "-", $A$9),OBS_District_Flows!$A:$K, 6,FALSE),0)</f>
        <v>0</v>
      </c>
      <c r="AK18" s="119">
        <f>IFERROR(VLOOKUP(CONCATENATE($A$15,"-",$A$12, "-", $D18, "-", AK$3, "-", $A$9),OBS_District_Flows!$A:$K, 6,FALSE),0)</f>
        <v>0</v>
      </c>
      <c r="AL18" s="120">
        <f>IFERROR(VLOOKUP(CONCATENATE($A$15,"-",$A$12, "-", $D18, "-", AL$3, "-", $A$9),OBS_District_Flows!$A:$K, 6,FALSE),0)</f>
        <v>0</v>
      </c>
      <c r="AM18" s="111">
        <f t="shared" si="0"/>
        <v>0</v>
      </c>
      <c r="AO18" s="286"/>
      <c r="AP18" s="107" t="s">
        <v>207</v>
      </c>
      <c r="AQ18" s="121" t="str">
        <f t="shared" si="1"/>
        <v/>
      </c>
      <c r="AR18" s="122" t="str">
        <f t="shared" si="2"/>
        <v/>
      </c>
      <c r="AS18" s="122" t="str">
        <f t="shared" si="3"/>
        <v/>
      </c>
      <c r="AT18" s="122" t="str">
        <f t="shared" si="4"/>
        <v/>
      </c>
      <c r="AU18" s="122" t="str">
        <f t="shared" si="5"/>
        <v/>
      </c>
      <c r="AV18" s="122" t="str">
        <f t="shared" si="6"/>
        <v/>
      </c>
      <c r="AW18" s="122" t="str">
        <f t="shared" si="7"/>
        <v/>
      </c>
      <c r="AX18" s="122" t="str">
        <f t="shared" si="8"/>
        <v/>
      </c>
      <c r="AY18" s="122" t="str">
        <f t="shared" si="9"/>
        <v/>
      </c>
      <c r="AZ18" s="122" t="str">
        <f t="shared" si="10"/>
        <v/>
      </c>
      <c r="BA18" s="122" t="str">
        <f t="shared" si="11"/>
        <v/>
      </c>
      <c r="BB18" s="122" t="str">
        <f t="shared" si="12"/>
        <v/>
      </c>
      <c r="BC18" s="122" t="str">
        <f t="shared" si="13"/>
        <v/>
      </c>
      <c r="BD18" s="122" t="str">
        <f t="shared" si="14"/>
        <v/>
      </c>
      <c r="BE18" s="122" t="str">
        <f t="shared" si="15"/>
        <v/>
      </c>
      <c r="BF18" s="122" t="str">
        <f t="shared" si="16"/>
        <v/>
      </c>
      <c r="BG18" s="122" t="str">
        <f t="shared" si="17"/>
        <v/>
      </c>
      <c r="BH18" s="122" t="str">
        <f t="shared" si="18"/>
        <v/>
      </c>
      <c r="BI18" s="122" t="str">
        <f t="shared" si="19"/>
        <v/>
      </c>
      <c r="BJ18" s="122" t="str">
        <f t="shared" si="20"/>
        <v/>
      </c>
      <c r="BK18" s="122" t="str">
        <f t="shared" si="21"/>
        <v/>
      </c>
      <c r="BL18" s="122" t="str">
        <f t="shared" si="22"/>
        <v/>
      </c>
      <c r="BM18" s="122" t="str">
        <f t="shared" si="23"/>
        <v/>
      </c>
      <c r="BN18" s="122" t="str">
        <f t="shared" si="24"/>
        <v/>
      </c>
      <c r="BO18" s="122" t="str">
        <f t="shared" si="25"/>
        <v/>
      </c>
      <c r="BP18" s="122" t="str">
        <f t="shared" si="26"/>
        <v/>
      </c>
      <c r="BQ18" s="122" t="str">
        <f t="shared" si="27"/>
        <v/>
      </c>
      <c r="BR18" s="122" t="str">
        <f t="shared" si="28"/>
        <v/>
      </c>
      <c r="BS18" s="122" t="str">
        <f t="shared" si="29"/>
        <v/>
      </c>
      <c r="BT18" s="122" t="str">
        <f t="shared" si="30"/>
        <v/>
      </c>
      <c r="BU18" s="122" t="str">
        <f t="shared" si="31"/>
        <v/>
      </c>
      <c r="BV18" s="122" t="str">
        <f t="shared" si="32"/>
        <v/>
      </c>
      <c r="BW18" s="122" t="str">
        <f t="shared" si="33"/>
        <v/>
      </c>
      <c r="BX18" s="123" t="str">
        <f t="shared" si="34"/>
        <v/>
      </c>
      <c r="BY18" s="115" t="str">
        <f t="shared" si="35"/>
        <v/>
      </c>
      <c r="CA18" s="286"/>
      <c r="CB18" s="107" t="s">
        <v>207</v>
      </c>
      <c r="CC18" s="121" t="str">
        <f t="shared" si="36"/>
        <v/>
      </c>
      <c r="CD18" s="122" t="str">
        <f t="shared" si="37"/>
        <v/>
      </c>
      <c r="CE18" s="122" t="str">
        <f t="shared" si="38"/>
        <v/>
      </c>
      <c r="CF18" s="122" t="str">
        <f t="shared" si="39"/>
        <v/>
      </c>
      <c r="CG18" s="122" t="str">
        <f t="shared" si="40"/>
        <v/>
      </c>
      <c r="CH18" s="122" t="str">
        <f t="shared" si="41"/>
        <v/>
      </c>
      <c r="CI18" s="122" t="str">
        <f t="shared" si="42"/>
        <v/>
      </c>
      <c r="CJ18" s="122" t="str">
        <f t="shared" si="43"/>
        <v/>
      </c>
      <c r="CK18" s="122" t="str">
        <f t="shared" si="44"/>
        <v/>
      </c>
      <c r="CL18" s="122" t="str">
        <f t="shared" si="45"/>
        <v/>
      </c>
      <c r="CM18" s="122" t="str">
        <f t="shared" si="46"/>
        <v/>
      </c>
      <c r="CN18" s="122" t="str">
        <f t="shared" si="47"/>
        <v/>
      </c>
      <c r="CO18" s="122" t="str">
        <f t="shared" si="48"/>
        <v/>
      </c>
      <c r="CP18" s="122" t="str">
        <f t="shared" si="49"/>
        <v/>
      </c>
      <c r="CQ18" s="122" t="str">
        <f t="shared" si="50"/>
        <v/>
      </c>
      <c r="CR18" s="122" t="str">
        <f t="shared" si="51"/>
        <v/>
      </c>
      <c r="CS18" s="122" t="str">
        <f t="shared" si="52"/>
        <v/>
      </c>
      <c r="CT18" s="122" t="str">
        <f t="shared" si="53"/>
        <v/>
      </c>
      <c r="CU18" s="122" t="str">
        <f t="shared" si="54"/>
        <v/>
      </c>
      <c r="CV18" s="122" t="str">
        <f t="shared" si="55"/>
        <v/>
      </c>
      <c r="CW18" s="122" t="str">
        <f t="shared" si="56"/>
        <v/>
      </c>
      <c r="CX18" s="122" t="str">
        <f t="shared" si="57"/>
        <v/>
      </c>
      <c r="CY18" s="122" t="str">
        <f t="shared" si="58"/>
        <v/>
      </c>
      <c r="CZ18" s="122" t="str">
        <f t="shared" si="59"/>
        <v/>
      </c>
      <c r="DA18" s="122" t="str">
        <f t="shared" si="60"/>
        <v/>
      </c>
      <c r="DB18" s="122" t="str">
        <f t="shared" si="61"/>
        <v/>
      </c>
      <c r="DC18" s="122" t="str">
        <f t="shared" si="62"/>
        <v/>
      </c>
      <c r="DD18" s="122" t="str">
        <f t="shared" si="63"/>
        <v/>
      </c>
      <c r="DE18" s="122" t="str">
        <f t="shared" si="64"/>
        <v/>
      </c>
      <c r="DF18" s="122" t="str">
        <f t="shared" si="65"/>
        <v/>
      </c>
      <c r="DG18" s="122" t="str">
        <f t="shared" si="66"/>
        <v/>
      </c>
      <c r="DH18" s="122" t="str">
        <f t="shared" si="67"/>
        <v/>
      </c>
      <c r="DI18" s="122" t="str">
        <f t="shared" si="68"/>
        <v/>
      </c>
      <c r="DJ18" s="123" t="str">
        <f t="shared" si="69"/>
        <v/>
      </c>
      <c r="DK18" s="115" t="str">
        <f t="shared" si="70"/>
        <v/>
      </c>
    </row>
    <row r="19" spans="1:115" x14ac:dyDescent="0.2">
      <c r="B19" s="130"/>
      <c r="C19" s="285"/>
      <c r="D19" s="107" t="s">
        <v>208</v>
      </c>
      <c r="E19" s="118">
        <f>IFERROR(VLOOKUP(CONCATENATE($A$15,"-",$A$12, "-", $D19, "-", E$3, "-", $A$9),OBS_District_Flows!$A:$K, 6,FALSE),0)</f>
        <v>0</v>
      </c>
      <c r="F19" s="119">
        <f>IFERROR(VLOOKUP(CONCATENATE($A$15,"-",$A$12, "-", $D19, "-", F$3, "-", $A$9),OBS_District_Flows!$A:$K, 6,FALSE),0)</f>
        <v>0</v>
      </c>
      <c r="G19" s="119">
        <f>IFERROR(VLOOKUP(CONCATENATE($A$15,"-",$A$12, "-", $D19, "-", G$3, "-", $A$9),OBS_District_Flows!$A:$K, 6,FALSE),0)</f>
        <v>0</v>
      </c>
      <c r="H19" s="119">
        <f>IFERROR(VLOOKUP(CONCATENATE($A$15,"-",$A$12, "-", $D19, "-", H$3, "-", $A$9),OBS_District_Flows!$A:$K, 6,FALSE),0)</f>
        <v>0</v>
      </c>
      <c r="I19" s="119">
        <f>IFERROR(VLOOKUP(CONCATENATE($A$15,"-",$A$12, "-", $D19, "-", I$3, "-", $A$9),OBS_District_Flows!$A:$K, 6,FALSE),0)</f>
        <v>0</v>
      </c>
      <c r="J19" s="119">
        <f>IFERROR(VLOOKUP(CONCATENATE($A$15,"-",$A$12, "-", $D19, "-", J$3, "-", $A$9),OBS_District_Flows!$A:$K, 6,FALSE),0)</f>
        <v>0</v>
      </c>
      <c r="K19" s="119">
        <f>IFERROR(VLOOKUP(CONCATENATE($A$15,"-",$A$12, "-", $D19, "-", K$3, "-", $A$9),OBS_District_Flows!$A:$K, 6,FALSE),0)</f>
        <v>0</v>
      </c>
      <c r="L19" s="119">
        <f>IFERROR(VLOOKUP(CONCATENATE($A$15,"-",$A$12, "-", $D19, "-", L$3, "-", $A$9),OBS_District_Flows!$A:$K, 6,FALSE),0)</f>
        <v>0</v>
      </c>
      <c r="M19" s="119">
        <f>IFERROR(VLOOKUP(CONCATENATE($A$15,"-",$A$12, "-", $D19, "-", M$3, "-", $A$9),OBS_District_Flows!$A:$K, 6,FALSE),0)</f>
        <v>0</v>
      </c>
      <c r="N19" s="119">
        <f>IFERROR(VLOOKUP(CONCATENATE($A$15,"-",$A$12, "-", $D19, "-", N$3, "-", $A$9),OBS_District_Flows!$A:$K, 6,FALSE),0)</f>
        <v>0</v>
      </c>
      <c r="O19" s="119">
        <f>IFERROR(VLOOKUP(CONCATENATE($A$15,"-",$A$12, "-", $D19, "-", O$3, "-", $A$9),OBS_District_Flows!$A:$K, 6,FALSE),0)</f>
        <v>0</v>
      </c>
      <c r="P19" s="119">
        <f>IFERROR(VLOOKUP(CONCATENATE($A$15,"-",$A$12, "-", $D19, "-", P$3, "-", $A$9),OBS_District_Flows!$A:$K, 6,FALSE),0)</f>
        <v>0</v>
      </c>
      <c r="Q19" s="119">
        <f>IFERROR(VLOOKUP(CONCATENATE($A$15,"-",$A$12, "-", $D19, "-", Q$3, "-", $A$9),OBS_District_Flows!$A:$K, 6,FALSE),0)</f>
        <v>0</v>
      </c>
      <c r="R19" s="119">
        <f>IFERROR(VLOOKUP(CONCATENATE($A$15,"-",$A$12, "-", $D19, "-", R$3, "-", $A$9),OBS_District_Flows!$A:$K, 6,FALSE),0)</f>
        <v>0</v>
      </c>
      <c r="S19" s="119">
        <f>IFERROR(VLOOKUP(CONCATENATE($A$15,"-",$A$12, "-", $D19, "-", S$3, "-", $A$9),OBS_District_Flows!$A:$K, 6,FALSE),0)</f>
        <v>0</v>
      </c>
      <c r="T19" s="119">
        <f>IFERROR(VLOOKUP(CONCATENATE($A$15,"-",$A$12, "-", $D19, "-", T$3, "-", $A$9),OBS_District_Flows!$A:$K, 6,FALSE),0)</f>
        <v>0</v>
      </c>
      <c r="U19" s="119">
        <f>IFERROR(VLOOKUP(CONCATENATE($A$15,"-",$A$12, "-", $D19, "-", U$3, "-", $A$9),OBS_District_Flows!$A:$K, 6,FALSE),0)</f>
        <v>0</v>
      </c>
      <c r="V19" s="119">
        <f>IFERROR(VLOOKUP(CONCATENATE($A$15,"-",$A$12, "-", $D19, "-", V$3, "-", $A$9),OBS_District_Flows!$A:$K, 6,FALSE),0)</f>
        <v>0</v>
      </c>
      <c r="W19" s="119">
        <f>IFERROR(VLOOKUP(CONCATENATE($A$15,"-",$A$12, "-", $D19, "-", W$3, "-", $A$9),OBS_District_Flows!$A:$K, 6,FALSE),0)</f>
        <v>0</v>
      </c>
      <c r="X19" s="119">
        <f>IFERROR(VLOOKUP(CONCATENATE($A$15,"-",$A$12, "-", $D19, "-", X$3, "-", $A$9),OBS_District_Flows!$A:$K, 6,FALSE),0)</f>
        <v>0</v>
      </c>
      <c r="Y19" s="119">
        <f>IFERROR(VLOOKUP(CONCATENATE($A$15,"-",$A$12, "-", $D19, "-", Y$3, "-", $A$9),OBS_District_Flows!$A:$K, 6,FALSE),0)</f>
        <v>0</v>
      </c>
      <c r="Z19" s="119">
        <f>IFERROR(VLOOKUP(CONCATENATE($A$15,"-",$A$12, "-", $D19, "-", Z$3, "-", $A$9),OBS_District_Flows!$A:$K, 6,FALSE),0)</f>
        <v>0</v>
      </c>
      <c r="AA19" s="119">
        <f>IFERROR(VLOOKUP(CONCATENATE($A$15,"-",$A$12, "-", $D19, "-", AA$3, "-", $A$9),OBS_District_Flows!$A:$K, 6,FALSE),0)</f>
        <v>0</v>
      </c>
      <c r="AB19" s="119">
        <f>IFERROR(VLOOKUP(CONCATENATE($A$15,"-",$A$12, "-", $D19, "-", AB$3, "-", $A$9),OBS_District_Flows!$A:$K, 6,FALSE),0)</f>
        <v>0</v>
      </c>
      <c r="AC19" s="119">
        <f>IFERROR(VLOOKUP(CONCATENATE($A$15,"-",$A$12, "-", $D19, "-", AC$3, "-", $A$9),OBS_District_Flows!$A:$K, 6,FALSE),0)</f>
        <v>0</v>
      </c>
      <c r="AD19" s="119">
        <f>IFERROR(VLOOKUP(CONCATENATE($A$15,"-",$A$12, "-", $D19, "-", AD$3, "-", $A$9),OBS_District_Flows!$A:$K, 6,FALSE),0)</f>
        <v>0</v>
      </c>
      <c r="AE19" s="119">
        <f>IFERROR(VLOOKUP(CONCATENATE($A$15,"-",$A$12, "-", $D19, "-", AE$3, "-", $A$9),OBS_District_Flows!$A:$K, 6,FALSE),0)</f>
        <v>0</v>
      </c>
      <c r="AF19" s="119">
        <f>IFERROR(VLOOKUP(CONCATENATE($A$15,"-",$A$12, "-", $D19, "-", AF$3, "-", $A$9),OBS_District_Flows!$A:$K, 6,FALSE),0)</f>
        <v>0</v>
      </c>
      <c r="AG19" s="119">
        <f>IFERROR(VLOOKUP(CONCATENATE($A$15,"-",$A$12, "-", $D19, "-", AG$3, "-", $A$9),OBS_District_Flows!$A:$K, 6,FALSE),0)</f>
        <v>0</v>
      </c>
      <c r="AH19" s="119">
        <f>IFERROR(VLOOKUP(CONCATENATE($A$15,"-",$A$12, "-", $D19, "-", AH$3, "-", $A$9),OBS_District_Flows!$A:$K, 6,FALSE),0)</f>
        <v>0</v>
      </c>
      <c r="AI19" s="119">
        <f>IFERROR(VLOOKUP(CONCATENATE($A$15,"-",$A$12, "-", $D19, "-", AI$3, "-", $A$9),OBS_District_Flows!$A:$K, 6,FALSE),0)</f>
        <v>0</v>
      </c>
      <c r="AJ19" s="119">
        <f>IFERROR(VLOOKUP(CONCATENATE($A$15,"-",$A$12, "-", $D19, "-", AJ$3, "-", $A$9),OBS_District_Flows!$A:$K, 6,FALSE),0)</f>
        <v>0</v>
      </c>
      <c r="AK19" s="119">
        <f>IFERROR(VLOOKUP(CONCATENATE($A$15,"-",$A$12, "-", $D19, "-", AK$3, "-", $A$9),OBS_District_Flows!$A:$K, 6,FALSE),0)</f>
        <v>0</v>
      </c>
      <c r="AL19" s="120">
        <f>IFERROR(VLOOKUP(CONCATENATE($A$15,"-",$A$12, "-", $D19, "-", AL$3, "-", $A$9),OBS_District_Flows!$A:$K, 6,FALSE),0)</f>
        <v>0</v>
      </c>
      <c r="AM19" s="111">
        <f t="shared" si="0"/>
        <v>0</v>
      </c>
      <c r="AO19" s="286"/>
      <c r="AP19" s="107" t="s">
        <v>208</v>
      </c>
      <c r="AQ19" s="121" t="str">
        <f t="shared" si="1"/>
        <v/>
      </c>
      <c r="AR19" s="122" t="str">
        <f t="shared" si="2"/>
        <v/>
      </c>
      <c r="AS19" s="122" t="str">
        <f t="shared" si="3"/>
        <v/>
      </c>
      <c r="AT19" s="122" t="str">
        <f t="shared" si="4"/>
        <v/>
      </c>
      <c r="AU19" s="122" t="str">
        <f t="shared" si="5"/>
        <v/>
      </c>
      <c r="AV19" s="122" t="str">
        <f t="shared" si="6"/>
        <v/>
      </c>
      <c r="AW19" s="122" t="str">
        <f t="shared" si="7"/>
        <v/>
      </c>
      <c r="AX19" s="122" t="str">
        <f t="shared" si="8"/>
        <v/>
      </c>
      <c r="AY19" s="122" t="str">
        <f t="shared" si="9"/>
        <v/>
      </c>
      <c r="AZ19" s="122" t="str">
        <f t="shared" si="10"/>
        <v/>
      </c>
      <c r="BA19" s="122" t="str">
        <f t="shared" si="11"/>
        <v/>
      </c>
      <c r="BB19" s="122" t="str">
        <f t="shared" si="12"/>
        <v/>
      </c>
      <c r="BC19" s="122" t="str">
        <f t="shared" si="13"/>
        <v/>
      </c>
      <c r="BD19" s="122" t="str">
        <f t="shared" si="14"/>
        <v/>
      </c>
      <c r="BE19" s="122" t="str">
        <f t="shared" si="15"/>
        <v/>
      </c>
      <c r="BF19" s="122" t="str">
        <f t="shared" si="16"/>
        <v/>
      </c>
      <c r="BG19" s="122" t="str">
        <f t="shared" si="17"/>
        <v/>
      </c>
      <c r="BH19" s="122" t="str">
        <f t="shared" si="18"/>
        <v/>
      </c>
      <c r="BI19" s="122" t="str">
        <f t="shared" si="19"/>
        <v/>
      </c>
      <c r="BJ19" s="122" t="str">
        <f t="shared" si="20"/>
        <v/>
      </c>
      <c r="BK19" s="122" t="str">
        <f t="shared" si="21"/>
        <v/>
      </c>
      <c r="BL19" s="122" t="str">
        <f t="shared" si="22"/>
        <v/>
      </c>
      <c r="BM19" s="122" t="str">
        <f t="shared" si="23"/>
        <v/>
      </c>
      <c r="BN19" s="122" t="str">
        <f t="shared" si="24"/>
        <v/>
      </c>
      <c r="BO19" s="122" t="str">
        <f t="shared" si="25"/>
        <v/>
      </c>
      <c r="BP19" s="122" t="str">
        <f t="shared" si="26"/>
        <v/>
      </c>
      <c r="BQ19" s="122" t="str">
        <f t="shared" si="27"/>
        <v/>
      </c>
      <c r="BR19" s="122" t="str">
        <f t="shared" si="28"/>
        <v/>
      </c>
      <c r="BS19" s="122" t="str">
        <f t="shared" si="29"/>
        <v/>
      </c>
      <c r="BT19" s="122" t="str">
        <f t="shared" si="30"/>
        <v/>
      </c>
      <c r="BU19" s="122" t="str">
        <f t="shared" si="31"/>
        <v/>
      </c>
      <c r="BV19" s="122" t="str">
        <f t="shared" si="32"/>
        <v/>
      </c>
      <c r="BW19" s="122" t="str">
        <f t="shared" si="33"/>
        <v/>
      </c>
      <c r="BX19" s="123" t="str">
        <f t="shared" si="34"/>
        <v/>
      </c>
      <c r="BY19" s="115" t="str">
        <f t="shared" si="35"/>
        <v/>
      </c>
      <c r="CA19" s="286"/>
      <c r="CB19" s="107" t="s">
        <v>208</v>
      </c>
      <c r="CC19" s="121" t="str">
        <f t="shared" si="36"/>
        <v/>
      </c>
      <c r="CD19" s="122" t="str">
        <f t="shared" si="37"/>
        <v/>
      </c>
      <c r="CE19" s="122" t="str">
        <f t="shared" si="38"/>
        <v/>
      </c>
      <c r="CF19" s="122" t="str">
        <f t="shared" si="39"/>
        <v/>
      </c>
      <c r="CG19" s="122" t="str">
        <f t="shared" si="40"/>
        <v/>
      </c>
      <c r="CH19" s="122" t="str">
        <f t="shared" si="41"/>
        <v/>
      </c>
      <c r="CI19" s="122" t="str">
        <f t="shared" si="42"/>
        <v/>
      </c>
      <c r="CJ19" s="122" t="str">
        <f t="shared" si="43"/>
        <v/>
      </c>
      <c r="CK19" s="122" t="str">
        <f t="shared" si="44"/>
        <v/>
      </c>
      <c r="CL19" s="122" t="str">
        <f t="shared" si="45"/>
        <v/>
      </c>
      <c r="CM19" s="122" t="str">
        <f t="shared" si="46"/>
        <v/>
      </c>
      <c r="CN19" s="122" t="str">
        <f t="shared" si="47"/>
        <v/>
      </c>
      <c r="CO19" s="122" t="str">
        <f t="shared" si="48"/>
        <v/>
      </c>
      <c r="CP19" s="122" t="str">
        <f t="shared" si="49"/>
        <v/>
      </c>
      <c r="CQ19" s="122" t="str">
        <f t="shared" si="50"/>
        <v/>
      </c>
      <c r="CR19" s="122" t="str">
        <f t="shared" si="51"/>
        <v/>
      </c>
      <c r="CS19" s="122" t="str">
        <f t="shared" si="52"/>
        <v/>
      </c>
      <c r="CT19" s="122" t="str">
        <f t="shared" si="53"/>
        <v/>
      </c>
      <c r="CU19" s="122" t="str">
        <f t="shared" si="54"/>
        <v/>
      </c>
      <c r="CV19" s="122" t="str">
        <f t="shared" si="55"/>
        <v/>
      </c>
      <c r="CW19" s="122" t="str">
        <f t="shared" si="56"/>
        <v/>
      </c>
      <c r="CX19" s="122" t="str">
        <f t="shared" si="57"/>
        <v/>
      </c>
      <c r="CY19" s="122" t="str">
        <f t="shared" si="58"/>
        <v/>
      </c>
      <c r="CZ19" s="122" t="str">
        <f t="shared" si="59"/>
        <v/>
      </c>
      <c r="DA19" s="122" t="str">
        <f t="shared" si="60"/>
        <v/>
      </c>
      <c r="DB19" s="122" t="str">
        <f t="shared" si="61"/>
        <v/>
      </c>
      <c r="DC19" s="122" t="str">
        <f t="shared" si="62"/>
        <v/>
      </c>
      <c r="DD19" s="122" t="str">
        <f t="shared" si="63"/>
        <v/>
      </c>
      <c r="DE19" s="122" t="str">
        <f t="shared" si="64"/>
        <v/>
      </c>
      <c r="DF19" s="122" t="str">
        <f t="shared" si="65"/>
        <v/>
      </c>
      <c r="DG19" s="122" t="str">
        <f t="shared" si="66"/>
        <v/>
      </c>
      <c r="DH19" s="122" t="str">
        <f t="shared" si="67"/>
        <v/>
      </c>
      <c r="DI19" s="122" t="str">
        <f t="shared" si="68"/>
        <v/>
      </c>
      <c r="DJ19" s="123" t="str">
        <f t="shared" si="69"/>
        <v/>
      </c>
      <c r="DK19" s="115" t="str">
        <f t="shared" si="70"/>
        <v/>
      </c>
    </row>
    <row r="20" spans="1:115" x14ac:dyDescent="0.2">
      <c r="A20" s="116" t="s">
        <v>231</v>
      </c>
      <c r="B20" s="130"/>
      <c r="C20" s="285"/>
      <c r="D20" s="107" t="s">
        <v>209</v>
      </c>
      <c r="E20" s="118">
        <f>IFERROR(VLOOKUP(CONCATENATE($A$15,"-",$A$12, "-", $D20, "-", E$3, "-", $A$9),OBS_District_Flows!$A:$K, 6,FALSE),0)</f>
        <v>0</v>
      </c>
      <c r="F20" s="119">
        <f>IFERROR(VLOOKUP(CONCATENATE($A$15,"-",$A$12, "-", $D20, "-", F$3, "-", $A$9),OBS_District_Flows!$A:$K, 6,FALSE),0)</f>
        <v>0</v>
      </c>
      <c r="G20" s="119">
        <f>IFERROR(VLOOKUP(CONCATENATE($A$15,"-",$A$12, "-", $D20, "-", G$3, "-", $A$9),OBS_District_Flows!$A:$K, 6,FALSE),0)</f>
        <v>0</v>
      </c>
      <c r="H20" s="119">
        <f>IFERROR(VLOOKUP(CONCATENATE($A$15,"-",$A$12, "-", $D20, "-", H$3, "-", $A$9),OBS_District_Flows!$A:$K, 6,FALSE),0)</f>
        <v>0</v>
      </c>
      <c r="I20" s="119">
        <f>IFERROR(VLOOKUP(CONCATENATE($A$15,"-",$A$12, "-", $D20, "-", I$3, "-", $A$9),OBS_District_Flows!$A:$K, 6,FALSE),0)</f>
        <v>0</v>
      </c>
      <c r="J20" s="119">
        <f>IFERROR(VLOOKUP(CONCATENATE($A$15,"-",$A$12, "-", $D20, "-", J$3, "-", $A$9),OBS_District_Flows!$A:$K, 6,FALSE),0)</f>
        <v>0</v>
      </c>
      <c r="K20" s="119">
        <f>IFERROR(VLOOKUP(CONCATENATE($A$15,"-",$A$12, "-", $D20, "-", K$3, "-", $A$9),OBS_District_Flows!$A:$K, 6,FALSE),0)</f>
        <v>0</v>
      </c>
      <c r="L20" s="119">
        <f>IFERROR(VLOOKUP(CONCATENATE($A$15,"-",$A$12, "-", $D20, "-", L$3, "-", $A$9),OBS_District_Flows!$A:$K, 6,FALSE),0)</f>
        <v>0</v>
      </c>
      <c r="M20" s="119">
        <f>IFERROR(VLOOKUP(CONCATENATE($A$15,"-",$A$12, "-", $D20, "-", M$3, "-", $A$9),OBS_District_Flows!$A:$K, 6,FALSE),0)</f>
        <v>0</v>
      </c>
      <c r="N20" s="119">
        <f>IFERROR(VLOOKUP(CONCATENATE($A$15,"-",$A$12, "-", $D20, "-", N$3, "-", $A$9),OBS_District_Flows!$A:$K, 6,FALSE),0)</f>
        <v>0</v>
      </c>
      <c r="O20" s="119">
        <f>IFERROR(VLOOKUP(CONCATENATE($A$15,"-",$A$12, "-", $D20, "-", O$3, "-", $A$9),OBS_District_Flows!$A:$K, 6,FALSE),0)</f>
        <v>0</v>
      </c>
      <c r="P20" s="119">
        <f>IFERROR(VLOOKUP(CONCATENATE($A$15,"-",$A$12, "-", $D20, "-", P$3, "-", $A$9),OBS_District_Flows!$A:$K, 6,FALSE),0)</f>
        <v>0</v>
      </c>
      <c r="Q20" s="119">
        <f>IFERROR(VLOOKUP(CONCATENATE($A$15,"-",$A$12, "-", $D20, "-", Q$3, "-", $A$9),OBS_District_Flows!$A:$K, 6,FALSE),0)</f>
        <v>0</v>
      </c>
      <c r="R20" s="119">
        <f>IFERROR(VLOOKUP(CONCATENATE($A$15,"-",$A$12, "-", $D20, "-", R$3, "-", $A$9),OBS_District_Flows!$A:$K, 6,FALSE),0)</f>
        <v>0</v>
      </c>
      <c r="S20" s="119">
        <f>IFERROR(VLOOKUP(CONCATENATE($A$15,"-",$A$12, "-", $D20, "-", S$3, "-", $A$9),OBS_District_Flows!$A:$K, 6,FALSE),0)</f>
        <v>0</v>
      </c>
      <c r="T20" s="119">
        <f>IFERROR(VLOOKUP(CONCATENATE($A$15,"-",$A$12, "-", $D20, "-", T$3, "-", $A$9),OBS_District_Flows!$A:$K, 6,FALSE),0)</f>
        <v>0</v>
      </c>
      <c r="U20" s="119">
        <f>IFERROR(VLOOKUP(CONCATENATE($A$15,"-",$A$12, "-", $D20, "-", U$3, "-", $A$9),OBS_District_Flows!$A:$K, 6,FALSE),0)</f>
        <v>0</v>
      </c>
      <c r="V20" s="119">
        <f>IFERROR(VLOOKUP(CONCATENATE($A$15,"-",$A$12, "-", $D20, "-", V$3, "-", $A$9),OBS_District_Flows!$A:$K, 6,FALSE),0)</f>
        <v>0</v>
      </c>
      <c r="W20" s="119">
        <f>IFERROR(VLOOKUP(CONCATENATE($A$15,"-",$A$12, "-", $D20, "-", W$3, "-", $A$9),OBS_District_Flows!$A:$K, 6,FALSE),0)</f>
        <v>0</v>
      </c>
      <c r="X20" s="119">
        <f>IFERROR(VLOOKUP(CONCATENATE($A$15,"-",$A$12, "-", $D20, "-", X$3, "-", $A$9),OBS_District_Flows!$A:$K, 6,FALSE),0)</f>
        <v>0</v>
      </c>
      <c r="Y20" s="119">
        <f>IFERROR(VLOOKUP(CONCATENATE($A$15,"-",$A$12, "-", $D20, "-", Y$3, "-", $A$9),OBS_District_Flows!$A:$K, 6,FALSE),0)</f>
        <v>0</v>
      </c>
      <c r="Z20" s="119">
        <f>IFERROR(VLOOKUP(CONCATENATE($A$15,"-",$A$12, "-", $D20, "-", Z$3, "-", $A$9),OBS_District_Flows!$A:$K, 6,FALSE),0)</f>
        <v>0</v>
      </c>
      <c r="AA20" s="119">
        <f>IFERROR(VLOOKUP(CONCATENATE($A$15,"-",$A$12, "-", $D20, "-", AA$3, "-", $A$9),OBS_District_Flows!$A:$K, 6,FALSE),0)</f>
        <v>0</v>
      </c>
      <c r="AB20" s="119">
        <f>IFERROR(VLOOKUP(CONCATENATE($A$15,"-",$A$12, "-", $D20, "-", AB$3, "-", $A$9),OBS_District_Flows!$A:$K, 6,FALSE),0)</f>
        <v>0</v>
      </c>
      <c r="AC20" s="119">
        <f>IFERROR(VLOOKUP(CONCATENATE($A$15,"-",$A$12, "-", $D20, "-", AC$3, "-", $A$9),OBS_District_Flows!$A:$K, 6,FALSE),0)</f>
        <v>0</v>
      </c>
      <c r="AD20" s="119">
        <f>IFERROR(VLOOKUP(CONCATENATE($A$15,"-",$A$12, "-", $D20, "-", AD$3, "-", $A$9),OBS_District_Flows!$A:$K, 6,FALSE),0)</f>
        <v>0</v>
      </c>
      <c r="AE20" s="119">
        <f>IFERROR(VLOOKUP(CONCATENATE($A$15,"-",$A$12, "-", $D20, "-", AE$3, "-", $A$9),OBS_District_Flows!$A:$K, 6,FALSE),0)</f>
        <v>0</v>
      </c>
      <c r="AF20" s="119">
        <f>IFERROR(VLOOKUP(CONCATENATE($A$15,"-",$A$12, "-", $D20, "-", AF$3, "-", $A$9),OBS_District_Flows!$A:$K, 6,FALSE),0)</f>
        <v>0</v>
      </c>
      <c r="AG20" s="119">
        <f>IFERROR(VLOOKUP(CONCATENATE($A$15,"-",$A$12, "-", $D20, "-", AG$3, "-", $A$9),OBS_District_Flows!$A:$K, 6,FALSE),0)</f>
        <v>0</v>
      </c>
      <c r="AH20" s="119">
        <f>IFERROR(VLOOKUP(CONCATENATE($A$15,"-",$A$12, "-", $D20, "-", AH$3, "-", $A$9),OBS_District_Flows!$A:$K, 6,FALSE),0)</f>
        <v>0</v>
      </c>
      <c r="AI20" s="119">
        <f>IFERROR(VLOOKUP(CONCATENATE($A$15,"-",$A$12, "-", $D20, "-", AI$3, "-", $A$9),OBS_District_Flows!$A:$K, 6,FALSE),0)</f>
        <v>0</v>
      </c>
      <c r="AJ20" s="119">
        <f>IFERROR(VLOOKUP(CONCATENATE($A$15,"-",$A$12, "-", $D20, "-", AJ$3, "-", $A$9),OBS_District_Flows!$A:$K, 6,FALSE),0)</f>
        <v>0</v>
      </c>
      <c r="AK20" s="119">
        <f>IFERROR(VLOOKUP(CONCATENATE($A$15,"-",$A$12, "-", $D20, "-", AK$3, "-", $A$9),OBS_District_Flows!$A:$K, 6,FALSE),0)</f>
        <v>0</v>
      </c>
      <c r="AL20" s="120">
        <f>IFERROR(VLOOKUP(CONCATENATE($A$15,"-",$A$12, "-", $D20, "-", AL$3, "-", $A$9),OBS_District_Flows!$A:$K, 6,FALSE),0)</f>
        <v>0</v>
      </c>
      <c r="AM20" s="111">
        <f t="shared" si="0"/>
        <v>0</v>
      </c>
      <c r="AO20" s="286"/>
      <c r="AP20" s="107" t="s">
        <v>209</v>
      </c>
      <c r="AQ20" s="121" t="str">
        <f t="shared" si="1"/>
        <v/>
      </c>
      <c r="AR20" s="122" t="str">
        <f t="shared" si="2"/>
        <v/>
      </c>
      <c r="AS20" s="122" t="str">
        <f t="shared" si="3"/>
        <v/>
      </c>
      <c r="AT20" s="122" t="str">
        <f t="shared" si="4"/>
        <v/>
      </c>
      <c r="AU20" s="122" t="str">
        <f t="shared" si="5"/>
        <v/>
      </c>
      <c r="AV20" s="122" t="str">
        <f t="shared" si="6"/>
        <v/>
      </c>
      <c r="AW20" s="122" t="str">
        <f t="shared" si="7"/>
        <v/>
      </c>
      <c r="AX20" s="122" t="str">
        <f t="shared" si="8"/>
        <v/>
      </c>
      <c r="AY20" s="122" t="str">
        <f t="shared" si="9"/>
        <v/>
      </c>
      <c r="AZ20" s="122" t="str">
        <f t="shared" si="10"/>
        <v/>
      </c>
      <c r="BA20" s="122" t="str">
        <f t="shared" si="11"/>
        <v/>
      </c>
      <c r="BB20" s="122" t="str">
        <f t="shared" si="12"/>
        <v/>
      </c>
      <c r="BC20" s="122" t="str">
        <f t="shared" si="13"/>
        <v/>
      </c>
      <c r="BD20" s="122" t="str">
        <f t="shared" si="14"/>
        <v/>
      </c>
      <c r="BE20" s="122" t="str">
        <f t="shared" si="15"/>
        <v/>
      </c>
      <c r="BF20" s="122" t="str">
        <f t="shared" si="16"/>
        <v/>
      </c>
      <c r="BG20" s="122" t="str">
        <f t="shared" si="17"/>
        <v/>
      </c>
      <c r="BH20" s="122" t="str">
        <f t="shared" si="18"/>
        <v/>
      </c>
      <c r="BI20" s="122" t="str">
        <f t="shared" si="19"/>
        <v/>
      </c>
      <c r="BJ20" s="122" t="str">
        <f t="shared" si="20"/>
        <v/>
      </c>
      <c r="BK20" s="122" t="str">
        <f t="shared" si="21"/>
        <v/>
      </c>
      <c r="BL20" s="122" t="str">
        <f t="shared" si="22"/>
        <v/>
      </c>
      <c r="BM20" s="122" t="str">
        <f t="shared" si="23"/>
        <v/>
      </c>
      <c r="BN20" s="122" t="str">
        <f t="shared" si="24"/>
        <v/>
      </c>
      <c r="BO20" s="122" t="str">
        <f t="shared" si="25"/>
        <v/>
      </c>
      <c r="BP20" s="122" t="str">
        <f t="shared" si="26"/>
        <v/>
      </c>
      <c r="BQ20" s="122" t="str">
        <f t="shared" si="27"/>
        <v/>
      </c>
      <c r="BR20" s="122" t="str">
        <f t="shared" si="28"/>
        <v/>
      </c>
      <c r="BS20" s="122" t="str">
        <f t="shared" si="29"/>
        <v/>
      </c>
      <c r="BT20" s="122" t="str">
        <f t="shared" si="30"/>
        <v/>
      </c>
      <c r="BU20" s="122" t="str">
        <f t="shared" si="31"/>
        <v/>
      </c>
      <c r="BV20" s="122" t="str">
        <f t="shared" si="32"/>
        <v/>
      </c>
      <c r="BW20" s="122" t="str">
        <f t="shared" si="33"/>
        <v/>
      </c>
      <c r="BX20" s="123" t="str">
        <f t="shared" si="34"/>
        <v/>
      </c>
      <c r="BY20" s="115" t="str">
        <f t="shared" si="35"/>
        <v/>
      </c>
      <c r="CA20" s="286"/>
      <c r="CB20" s="107" t="s">
        <v>209</v>
      </c>
      <c r="CC20" s="121" t="str">
        <f t="shared" si="36"/>
        <v/>
      </c>
      <c r="CD20" s="122" t="str">
        <f t="shared" si="37"/>
        <v/>
      </c>
      <c r="CE20" s="122" t="str">
        <f t="shared" si="38"/>
        <v/>
      </c>
      <c r="CF20" s="122" t="str">
        <f t="shared" si="39"/>
        <v/>
      </c>
      <c r="CG20" s="122" t="str">
        <f t="shared" si="40"/>
        <v/>
      </c>
      <c r="CH20" s="122" t="str">
        <f t="shared" si="41"/>
        <v/>
      </c>
      <c r="CI20" s="122" t="str">
        <f t="shared" si="42"/>
        <v/>
      </c>
      <c r="CJ20" s="122" t="str">
        <f t="shared" si="43"/>
        <v/>
      </c>
      <c r="CK20" s="122" t="str">
        <f t="shared" si="44"/>
        <v/>
      </c>
      <c r="CL20" s="122" t="str">
        <f t="shared" si="45"/>
        <v/>
      </c>
      <c r="CM20" s="122" t="str">
        <f t="shared" si="46"/>
        <v/>
      </c>
      <c r="CN20" s="122" t="str">
        <f t="shared" si="47"/>
        <v/>
      </c>
      <c r="CO20" s="122" t="str">
        <f t="shared" si="48"/>
        <v/>
      </c>
      <c r="CP20" s="122" t="str">
        <f t="shared" si="49"/>
        <v/>
      </c>
      <c r="CQ20" s="122" t="str">
        <f t="shared" si="50"/>
        <v/>
      </c>
      <c r="CR20" s="122" t="str">
        <f t="shared" si="51"/>
        <v/>
      </c>
      <c r="CS20" s="122" t="str">
        <f t="shared" si="52"/>
        <v/>
      </c>
      <c r="CT20" s="122" t="str">
        <f t="shared" si="53"/>
        <v/>
      </c>
      <c r="CU20" s="122" t="str">
        <f t="shared" si="54"/>
        <v/>
      </c>
      <c r="CV20" s="122" t="str">
        <f t="shared" si="55"/>
        <v/>
      </c>
      <c r="CW20" s="122" t="str">
        <f t="shared" si="56"/>
        <v/>
      </c>
      <c r="CX20" s="122" t="str">
        <f t="shared" si="57"/>
        <v/>
      </c>
      <c r="CY20" s="122" t="str">
        <f t="shared" si="58"/>
        <v/>
      </c>
      <c r="CZ20" s="122" t="str">
        <f t="shared" si="59"/>
        <v/>
      </c>
      <c r="DA20" s="122" t="str">
        <f t="shared" si="60"/>
        <v/>
      </c>
      <c r="DB20" s="122" t="str">
        <f t="shared" si="61"/>
        <v/>
      </c>
      <c r="DC20" s="122" t="str">
        <f t="shared" si="62"/>
        <v/>
      </c>
      <c r="DD20" s="122" t="str">
        <f t="shared" si="63"/>
        <v/>
      </c>
      <c r="DE20" s="122" t="str">
        <f t="shared" si="64"/>
        <v/>
      </c>
      <c r="DF20" s="122" t="str">
        <f t="shared" si="65"/>
        <v/>
      </c>
      <c r="DG20" s="122" t="str">
        <f t="shared" si="66"/>
        <v/>
      </c>
      <c r="DH20" s="122" t="str">
        <f t="shared" si="67"/>
        <v/>
      </c>
      <c r="DI20" s="122" t="str">
        <f t="shared" si="68"/>
        <v/>
      </c>
      <c r="DJ20" s="123" t="str">
        <f t="shared" si="69"/>
        <v/>
      </c>
      <c r="DK20" s="115" t="str">
        <f t="shared" si="70"/>
        <v/>
      </c>
    </row>
    <row r="21" spans="1:115" x14ac:dyDescent="0.2">
      <c r="A21" s="130" t="s">
        <v>230</v>
      </c>
      <c r="B21" s="130"/>
      <c r="C21" s="285"/>
      <c r="D21" s="107" t="s">
        <v>210</v>
      </c>
      <c r="E21" s="118">
        <f>IFERROR(VLOOKUP(CONCATENATE($A$15,"-",$A$12, "-", $D21, "-", E$3, "-", $A$9),OBS_District_Flows!$A:$K, 6,FALSE),0)</f>
        <v>0</v>
      </c>
      <c r="F21" s="119">
        <f>IFERROR(VLOOKUP(CONCATENATE($A$15,"-",$A$12, "-", $D21, "-", F$3, "-", $A$9),OBS_District_Flows!$A:$K, 6,FALSE),0)</f>
        <v>0</v>
      </c>
      <c r="G21" s="119">
        <f>IFERROR(VLOOKUP(CONCATENATE($A$15,"-",$A$12, "-", $D21, "-", G$3, "-", $A$9),OBS_District_Flows!$A:$K, 6,FALSE),0)</f>
        <v>0</v>
      </c>
      <c r="H21" s="119">
        <f>IFERROR(VLOOKUP(CONCATENATE($A$15,"-",$A$12, "-", $D21, "-", H$3, "-", $A$9),OBS_District_Flows!$A:$K, 6,FALSE),0)</f>
        <v>0</v>
      </c>
      <c r="I21" s="119">
        <f>IFERROR(VLOOKUP(CONCATENATE($A$15,"-",$A$12, "-", $D21, "-", I$3, "-", $A$9),OBS_District_Flows!$A:$K, 6,FALSE),0)</f>
        <v>0</v>
      </c>
      <c r="J21" s="119">
        <f>IFERROR(VLOOKUP(CONCATENATE($A$15,"-",$A$12, "-", $D21, "-", J$3, "-", $A$9),OBS_District_Flows!$A:$K, 6,FALSE),0)</f>
        <v>0</v>
      </c>
      <c r="K21" s="119">
        <f>IFERROR(VLOOKUP(CONCATENATE($A$15,"-",$A$12, "-", $D21, "-", K$3, "-", $A$9),OBS_District_Flows!$A:$K, 6,FALSE),0)</f>
        <v>0</v>
      </c>
      <c r="L21" s="119">
        <f>IFERROR(VLOOKUP(CONCATENATE($A$15,"-",$A$12, "-", $D21, "-", L$3, "-", $A$9),OBS_District_Flows!$A:$K, 6,FALSE),0)</f>
        <v>0</v>
      </c>
      <c r="M21" s="119">
        <f>IFERROR(VLOOKUP(CONCATENATE($A$15,"-",$A$12, "-", $D21, "-", M$3, "-", $A$9),OBS_District_Flows!$A:$K, 6,FALSE),0)</f>
        <v>0</v>
      </c>
      <c r="N21" s="119">
        <f>IFERROR(VLOOKUP(CONCATENATE($A$15,"-",$A$12, "-", $D21, "-", N$3, "-", $A$9),OBS_District_Flows!$A:$K, 6,FALSE),0)</f>
        <v>0</v>
      </c>
      <c r="O21" s="119">
        <f>IFERROR(VLOOKUP(CONCATENATE($A$15,"-",$A$12, "-", $D21, "-", O$3, "-", $A$9),OBS_District_Flows!$A:$K, 6,FALSE),0)</f>
        <v>0</v>
      </c>
      <c r="P21" s="119">
        <f>IFERROR(VLOOKUP(CONCATENATE($A$15,"-",$A$12, "-", $D21, "-", P$3, "-", $A$9),OBS_District_Flows!$A:$K, 6,FALSE),0)</f>
        <v>0</v>
      </c>
      <c r="Q21" s="119">
        <f>IFERROR(VLOOKUP(CONCATENATE($A$15,"-",$A$12, "-", $D21, "-", Q$3, "-", $A$9),OBS_District_Flows!$A:$K, 6,FALSE),0)</f>
        <v>0</v>
      </c>
      <c r="R21" s="119">
        <f>IFERROR(VLOOKUP(CONCATENATE($A$15,"-",$A$12, "-", $D21, "-", R$3, "-", $A$9),OBS_District_Flows!$A:$K, 6,FALSE),0)</f>
        <v>0</v>
      </c>
      <c r="S21" s="119">
        <f>IFERROR(VLOOKUP(CONCATENATE($A$15,"-",$A$12, "-", $D21, "-", S$3, "-", $A$9),OBS_District_Flows!$A:$K, 6,FALSE),0)</f>
        <v>0</v>
      </c>
      <c r="T21" s="119">
        <f>IFERROR(VLOOKUP(CONCATENATE($A$15,"-",$A$12, "-", $D21, "-", T$3, "-", $A$9),OBS_District_Flows!$A:$K, 6,FALSE),0)</f>
        <v>0</v>
      </c>
      <c r="U21" s="119">
        <f>IFERROR(VLOOKUP(CONCATENATE($A$15,"-",$A$12, "-", $D21, "-", U$3, "-", $A$9),OBS_District_Flows!$A:$K, 6,FALSE),0)</f>
        <v>0</v>
      </c>
      <c r="V21" s="119">
        <f>IFERROR(VLOOKUP(CONCATENATE($A$15,"-",$A$12, "-", $D21, "-", V$3, "-", $A$9),OBS_District_Flows!$A:$K, 6,FALSE),0)</f>
        <v>0</v>
      </c>
      <c r="W21" s="119">
        <f>IFERROR(VLOOKUP(CONCATENATE($A$15,"-",$A$12, "-", $D21, "-", W$3, "-", $A$9),OBS_District_Flows!$A:$K, 6,FALSE),0)</f>
        <v>0</v>
      </c>
      <c r="X21" s="119">
        <f>IFERROR(VLOOKUP(CONCATENATE($A$15,"-",$A$12, "-", $D21, "-", X$3, "-", $A$9),OBS_District_Flows!$A:$K, 6,FALSE),0)</f>
        <v>0</v>
      </c>
      <c r="Y21" s="119">
        <f>IFERROR(VLOOKUP(CONCATENATE($A$15,"-",$A$12, "-", $D21, "-", Y$3, "-", $A$9),OBS_District_Flows!$A:$K, 6,FALSE),0)</f>
        <v>0</v>
      </c>
      <c r="Z21" s="119">
        <f>IFERROR(VLOOKUP(CONCATENATE($A$15,"-",$A$12, "-", $D21, "-", Z$3, "-", $A$9),OBS_District_Flows!$A:$K, 6,FALSE),0)</f>
        <v>0</v>
      </c>
      <c r="AA21" s="119">
        <f>IFERROR(VLOOKUP(CONCATENATE($A$15,"-",$A$12, "-", $D21, "-", AA$3, "-", $A$9),OBS_District_Flows!$A:$K, 6,FALSE),0)</f>
        <v>0</v>
      </c>
      <c r="AB21" s="119">
        <f>IFERROR(VLOOKUP(CONCATENATE($A$15,"-",$A$12, "-", $D21, "-", AB$3, "-", $A$9),OBS_District_Flows!$A:$K, 6,FALSE),0)</f>
        <v>0</v>
      </c>
      <c r="AC21" s="119">
        <f>IFERROR(VLOOKUP(CONCATENATE($A$15,"-",$A$12, "-", $D21, "-", AC$3, "-", $A$9),OBS_District_Flows!$A:$K, 6,FALSE),0)</f>
        <v>0</v>
      </c>
      <c r="AD21" s="119">
        <f>IFERROR(VLOOKUP(CONCATENATE($A$15,"-",$A$12, "-", $D21, "-", AD$3, "-", $A$9),OBS_District_Flows!$A:$K, 6,FALSE),0)</f>
        <v>0</v>
      </c>
      <c r="AE21" s="119">
        <f>IFERROR(VLOOKUP(CONCATENATE($A$15,"-",$A$12, "-", $D21, "-", AE$3, "-", $A$9),OBS_District_Flows!$A:$K, 6,FALSE),0)</f>
        <v>0</v>
      </c>
      <c r="AF21" s="119">
        <f>IFERROR(VLOOKUP(CONCATENATE($A$15,"-",$A$12, "-", $D21, "-", AF$3, "-", $A$9),OBS_District_Flows!$A:$K, 6,FALSE),0)</f>
        <v>0</v>
      </c>
      <c r="AG21" s="119">
        <f>IFERROR(VLOOKUP(CONCATENATE($A$15,"-",$A$12, "-", $D21, "-", AG$3, "-", $A$9),OBS_District_Flows!$A:$K, 6,FALSE),0)</f>
        <v>0</v>
      </c>
      <c r="AH21" s="119">
        <f>IFERROR(VLOOKUP(CONCATENATE($A$15,"-",$A$12, "-", $D21, "-", AH$3, "-", $A$9),OBS_District_Flows!$A:$K, 6,FALSE),0)</f>
        <v>0</v>
      </c>
      <c r="AI21" s="119">
        <f>IFERROR(VLOOKUP(CONCATENATE($A$15,"-",$A$12, "-", $D21, "-", AI$3, "-", $A$9),OBS_District_Flows!$A:$K, 6,FALSE),0)</f>
        <v>0</v>
      </c>
      <c r="AJ21" s="119">
        <f>IFERROR(VLOOKUP(CONCATENATE($A$15,"-",$A$12, "-", $D21, "-", AJ$3, "-", $A$9),OBS_District_Flows!$A:$K, 6,FALSE),0)</f>
        <v>0</v>
      </c>
      <c r="AK21" s="119">
        <f>IFERROR(VLOOKUP(CONCATENATE($A$15,"-",$A$12, "-", $D21, "-", AK$3, "-", $A$9),OBS_District_Flows!$A:$K, 6,FALSE),0)</f>
        <v>0</v>
      </c>
      <c r="AL21" s="120">
        <f>IFERROR(VLOOKUP(CONCATENATE($A$15,"-",$A$12, "-", $D21, "-", AL$3, "-", $A$9),OBS_District_Flows!$A:$K, 6,FALSE),0)</f>
        <v>0</v>
      </c>
      <c r="AM21" s="111">
        <f t="shared" si="0"/>
        <v>0</v>
      </c>
      <c r="AO21" s="286"/>
      <c r="AP21" s="107" t="s">
        <v>210</v>
      </c>
      <c r="AQ21" s="121" t="str">
        <f t="shared" si="1"/>
        <v/>
      </c>
      <c r="AR21" s="122" t="str">
        <f t="shared" si="2"/>
        <v/>
      </c>
      <c r="AS21" s="122" t="str">
        <f t="shared" si="3"/>
        <v/>
      </c>
      <c r="AT21" s="122" t="str">
        <f t="shared" si="4"/>
        <v/>
      </c>
      <c r="AU21" s="122" t="str">
        <f t="shared" si="5"/>
        <v/>
      </c>
      <c r="AV21" s="122" t="str">
        <f t="shared" si="6"/>
        <v/>
      </c>
      <c r="AW21" s="122" t="str">
        <f t="shared" si="7"/>
        <v/>
      </c>
      <c r="AX21" s="122" t="str">
        <f t="shared" si="8"/>
        <v/>
      </c>
      <c r="AY21" s="122" t="str">
        <f t="shared" si="9"/>
        <v/>
      </c>
      <c r="AZ21" s="122" t="str">
        <f t="shared" si="10"/>
        <v/>
      </c>
      <c r="BA21" s="122" t="str">
        <f t="shared" si="11"/>
        <v/>
      </c>
      <c r="BB21" s="122" t="str">
        <f t="shared" si="12"/>
        <v/>
      </c>
      <c r="BC21" s="122" t="str">
        <f t="shared" si="13"/>
        <v/>
      </c>
      <c r="BD21" s="122" t="str">
        <f t="shared" si="14"/>
        <v/>
      </c>
      <c r="BE21" s="122" t="str">
        <f t="shared" si="15"/>
        <v/>
      </c>
      <c r="BF21" s="122" t="str">
        <f t="shared" si="16"/>
        <v/>
      </c>
      <c r="BG21" s="122" t="str">
        <f t="shared" si="17"/>
        <v/>
      </c>
      <c r="BH21" s="122" t="str">
        <f t="shared" si="18"/>
        <v/>
      </c>
      <c r="BI21" s="122" t="str">
        <f t="shared" si="19"/>
        <v/>
      </c>
      <c r="BJ21" s="122" t="str">
        <f t="shared" si="20"/>
        <v/>
      </c>
      <c r="BK21" s="122" t="str">
        <f t="shared" si="21"/>
        <v/>
      </c>
      <c r="BL21" s="122" t="str">
        <f t="shared" si="22"/>
        <v/>
      </c>
      <c r="BM21" s="122" t="str">
        <f t="shared" si="23"/>
        <v/>
      </c>
      <c r="BN21" s="122" t="str">
        <f t="shared" si="24"/>
        <v/>
      </c>
      <c r="BO21" s="122" t="str">
        <f t="shared" si="25"/>
        <v/>
      </c>
      <c r="BP21" s="122" t="str">
        <f t="shared" si="26"/>
        <v/>
      </c>
      <c r="BQ21" s="122" t="str">
        <f t="shared" si="27"/>
        <v/>
      </c>
      <c r="BR21" s="122" t="str">
        <f t="shared" si="28"/>
        <v/>
      </c>
      <c r="BS21" s="122" t="str">
        <f t="shared" si="29"/>
        <v/>
      </c>
      <c r="BT21" s="122" t="str">
        <f t="shared" si="30"/>
        <v/>
      </c>
      <c r="BU21" s="122" t="str">
        <f t="shared" si="31"/>
        <v/>
      </c>
      <c r="BV21" s="122" t="str">
        <f t="shared" si="32"/>
        <v/>
      </c>
      <c r="BW21" s="122" t="str">
        <f t="shared" si="33"/>
        <v/>
      </c>
      <c r="BX21" s="123" t="str">
        <f t="shared" si="34"/>
        <v/>
      </c>
      <c r="BY21" s="115" t="str">
        <f t="shared" si="35"/>
        <v/>
      </c>
      <c r="CA21" s="286"/>
      <c r="CB21" s="107" t="s">
        <v>210</v>
      </c>
      <c r="CC21" s="121" t="str">
        <f t="shared" si="36"/>
        <v/>
      </c>
      <c r="CD21" s="122" t="str">
        <f t="shared" si="37"/>
        <v/>
      </c>
      <c r="CE21" s="122" t="str">
        <f t="shared" si="38"/>
        <v/>
      </c>
      <c r="CF21" s="122" t="str">
        <f t="shared" si="39"/>
        <v/>
      </c>
      <c r="CG21" s="122" t="str">
        <f t="shared" si="40"/>
        <v/>
      </c>
      <c r="CH21" s="122" t="str">
        <f t="shared" si="41"/>
        <v/>
      </c>
      <c r="CI21" s="122" t="str">
        <f t="shared" si="42"/>
        <v/>
      </c>
      <c r="CJ21" s="122" t="str">
        <f t="shared" si="43"/>
        <v/>
      </c>
      <c r="CK21" s="122" t="str">
        <f t="shared" si="44"/>
        <v/>
      </c>
      <c r="CL21" s="122" t="str">
        <f t="shared" si="45"/>
        <v/>
      </c>
      <c r="CM21" s="122" t="str">
        <f t="shared" si="46"/>
        <v/>
      </c>
      <c r="CN21" s="122" t="str">
        <f t="shared" si="47"/>
        <v/>
      </c>
      <c r="CO21" s="122" t="str">
        <f t="shared" si="48"/>
        <v/>
      </c>
      <c r="CP21" s="122" t="str">
        <f t="shared" si="49"/>
        <v/>
      </c>
      <c r="CQ21" s="122" t="str">
        <f t="shared" si="50"/>
        <v/>
      </c>
      <c r="CR21" s="122" t="str">
        <f t="shared" si="51"/>
        <v/>
      </c>
      <c r="CS21" s="122" t="str">
        <f t="shared" si="52"/>
        <v/>
      </c>
      <c r="CT21" s="122" t="str">
        <f t="shared" si="53"/>
        <v/>
      </c>
      <c r="CU21" s="122" t="str">
        <f t="shared" si="54"/>
        <v/>
      </c>
      <c r="CV21" s="122" t="str">
        <f t="shared" si="55"/>
        <v/>
      </c>
      <c r="CW21" s="122" t="str">
        <f t="shared" si="56"/>
        <v/>
      </c>
      <c r="CX21" s="122" t="str">
        <f t="shared" si="57"/>
        <v/>
      </c>
      <c r="CY21" s="122" t="str">
        <f t="shared" si="58"/>
        <v/>
      </c>
      <c r="CZ21" s="122" t="str">
        <f t="shared" si="59"/>
        <v/>
      </c>
      <c r="DA21" s="122" t="str">
        <f t="shared" si="60"/>
        <v/>
      </c>
      <c r="DB21" s="122" t="str">
        <f t="shared" si="61"/>
        <v/>
      </c>
      <c r="DC21" s="122" t="str">
        <f t="shared" si="62"/>
        <v/>
      </c>
      <c r="DD21" s="122" t="str">
        <f t="shared" si="63"/>
        <v/>
      </c>
      <c r="DE21" s="122" t="str">
        <f t="shared" si="64"/>
        <v/>
      </c>
      <c r="DF21" s="122" t="str">
        <f t="shared" si="65"/>
        <v/>
      </c>
      <c r="DG21" s="122" t="str">
        <f t="shared" si="66"/>
        <v/>
      </c>
      <c r="DH21" s="122" t="str">
        <f t="shared" si="67"/>
        <v/>
      </c>
      <c r="DI21" s="122" t="str">
        <f t="shared" si="68"/>
        <v/>
      </c>
      <c r="DJ21" s="123" t="str">
        <f t="shared" si="69"/>
        <v/>
      </c>
      <c r="DK21" s="115" t="str">
        <f t="shared" si="70"/>
        <v/>
      </c>
    </row>
    <row r="22" spans="1:115" x14ac:dyDescent="0.2">
      <c r="A22" s="130" t="s">
        <v>229</v>
      </c>
      <c r="C22" s="285"/>
      <c r="D22" s="107" t="s">
        <v>197</v>
      </c>
      <c r="E22" s="118">
        <f>IFERROR(VLOOKUP(CONCATENATE($A$15,"-",$A$12, "-", $D22, "-", E$3, "-", $A$9),OBS_District_Flows!$A:$K, 6,FALSE),0)</f>
        <v>0</v>
      </c>
      <c r="F22" s="119">
        <f>IFERROR(VLOOKUP(CONCATENATE($A$15,"-",$A$12, "-", $D22, "-", F$3, "-", $A$9),OBS_District_Flows!$A:$K, 6,FALSE),0)</f>
        <v>0</v>
      </c>
      <c r="G22" s="119">
        <f>IFERROR(VLOOKUP(CONCATENATE($A$15,"-",$A$12, "-", $D22, "-", G$3, "-", $A$9),OBS_District_Flows!$A:$K, 6,FALSE),0)</f>
        <v>0</v>
      </c>
      <c r="H22" s="119">
        <f>IFERROR(VLOOKUP(CONCATENATE($A$15,"-",$A$12, "-", $D22, "-", H$3, "-", $A$9),OBS_District_Flows!$A:$K, 6,FALSE),0)</f>
        <v>0</v>
      </c>
      <c r="I22" s="119">
        <f>IFERROR(VLOOKUP(CONCATENATE($A$15,"-",$A$12, "-", $D22, "-", I$3, "-", $A$9),OBS_District_Flows!$A:$K, 6,FALSE),0)</f>
        <v>0</v>
      </c>
      <c r="J22" s="119">
        <f>IFERROR(VLOOKUP(CONCATENATE($A$15,"-",$A$12, "-", $D22, "-", J$3, "-", $A$9),OBS_District_Flows!$A:$K, 6,FALSE),0)</f>
        <v>0</v>
      </c>
      <c r="K22" s="119">
        <f>IFERROR(VLOOKUP(CONCATENATE($A$15,"-",$A$12, "-", $D22, "-", K$3, "-", $A$9),OBS_District_Flows!$A:$K, 6,FALSE),0)</f>
        <v>0</v>
      </c>
      <c r="L22" s="119">
        <f>IFERROR(VLOOKUP(CONCATENATE($A$15,"-",$A$12, "-", $D22, "-", L$3, "-", $A$9),OBS_District_Flows!$A:$K, 6,FALSE),0)</f>
        <v>0</v>
      </c>
      <c r="M22" s="119">
        <f>IFERROR(VLOOKUP(CONCATENATE($A$15,"-",$A$12, "-", $D22, "-", M$3, "-", $A$9),OBS_District_Flows!$A:$K, 6,FALSE),0)</f>
        <v>0</v>
      </c>
      <c r="N22" s="119">
        <f>IFERROR(VLOOKUP(CONCATENATE($A$15,"-",$A$12, "-", $D22, "-", N$3, "-", $A$9),OBS_District_Flows!$A:$K, 6,FALSE),0)</f>
        <v>0</v>
      </c>
      <c r="O22" s="119">
        <f>IFERROR(VLOOKUP(CONCATENATE($A$15,"-",$A$12, "-", $D22, "-", O$3, "-", $A$9),OBS_District_Flows!$A:$K, 6,FALSE),0)</f>
        <v>0</v>
      </c>
      <c r="P22" s="119">
        <f>IFERROR(VLOOKUP(CONCATENATE($A$15,"-",$A$12, "-", $D22, "-", P$3, "-", $A$9),OBS_District_Flows!$A:$K, 6,FALSE),0)</f>
        <v>0</v>
      </c>
      <c r="Q22" s="119">
        <f>IFERROR(VLOOKUP(CONCATENATE($A$15,"-",$A$12, "-", $D22, "-", Q$3, "-", $A$9),OBS_District_Flows!$A:$K, 6,FALSE),0)</f>
        <v>0</v>
      </c>
      <c r="R22" s="119">
        <f>IFERROR(VLOOKUP(CONCATENATE($A$15,"-",$A$12, "-", $D22, "-", R$3, "-", $A$9),OBS_District_Flows!$A:$K, 6,FALSE),0)</f>
        <v>0</v>
      </c>
      <c r="S22" s="119">
        <f>IFERROR(VLOOKUP(CONCATENATE($A$15,"-",$A$12, "-", $D22, "-", S$3, "-", $A$9),OBS_District_Flows!$A:$K, 6,FALSE),0)</f>
        <v>0</v>
      </c>
      <c r="T22" s="119">
        <f>IFERROR(VLOOKUP(CONCATENATE($A$15,"-",$A$12, "-", $D22, "-", T$3, "-", $A$9),OBS_District_Flows!$A:$K, 6,FALSE),0)</f>
        <v>0</v>
      </c>
      <c r="U22" s="119">
        <f>IFERROR(VLOOKUP(CONCATENATE($A$15,"-",$A$12, "-", $D22, "-", U$3, "-", $A$9),OBS_District_Flows!$A:$K, 6,FALSE),0)</f>
        <v>0</v>
      </c>
      <c r="V22" s="119">
        <f>IFERROR(VLOOKUP(CONCATENATE($A$15,"-",$A$12, "-", $D22, "-", V$3, "-", $A$9),OBS_District_Flows!$A:$K, 6,FALSE),0)</f>
        <v>0</v>
      </c>
      <c r="W22" s="119">
        <f>IFERROR(VLOOKUP(CONCATENATE($A$15,"-",$A$12, "-", $D22, "-", W$3, "-", $A$9),OBS_District_Flows!$A:$K, 6,FALSE),0)</f>
        <v>0</v>
      </c>
      <c r="X22" s="119">
        <f>IFERROR(VLOOKUP(CONCATENATE($A$15,"-",$A$12, "-", $D22, "-", X$3, "-", $A$9),OBS_District_Flows!$A:$K, 6,FALSE),0)</f>
        <v>0</v>
      </c>
      <c r="Y22" s="119">
        <f>IFERROR(VLOOKUP(CONCATENATE($A$15,"-",$A$12, "-", $D22, "-", Y$3, "-", $A$9),OBS_District_Flows!$A:$K, 6,FALSE),0)</f>
        <v>0</v>
      </c>
      <c r="Z22" s="119">
        <f>IFERROR(VLOOKUP(CONCATENATE($A$15,"-",$A$12, "-", $D22, "-", Z$3, "-", $A$9),OBS_District_Flows!$A:$K, 6,FALSE),0)</f>
        <v>0</v>
      </c>
      <c r="AA22" s="119">
        <f>IFERROR(VLOOKUP(CONCATENATE($A$15,"-",$A$12, "-", $D22, "-", AA$3, "-", $A$9),OBS_District_Flows!$A:$K, 6,FALSE),0)</f>
        <v>0</v>
      </c>
      <c r="AB22" s="119">
        <f>IFERROR(VLOOKUP(CONCATENATE($A$15,"-",$A$12, "-", $D22, "-", AB$3, "-", $A$9),OBS_District_Flows!$A:$K, 6,FALSE),0)</f>
        <v>0</v>
      </c>
      <c r="AC22" s="119">
        <f>IFERROR(VLOOKUP(CONCATENATE($A$15,"-",$A$12, "-", $D22, "-", AC$3, "-", $A$9),OBS_District_Flows!$A:$K, 6,FALSE),0)</f>
        <v>0</v>
      </c>
      <c r="AD22" s="119">
        <f>IFERROR(VLOOKUP(CONCATENATE($A$15,"-",$A$12, "-", $D22, "-", AD$3, "-", $A$9),OBS_District_Flows!$A:$K, 6,FALSE),0)</f>
        <v>0</v>
      </c>
      <c r="AE22" s="119">
        <f>IFERROR(VLOOKUP(CONCATENATE($A$15,"-",$A$12, "-", $D22, "-", AE$3, "-", $A$9),OBS_District_Flows!$A:$K, 6,FALSE),0)</f>
        <v>0</v>
      </c>
      <c r="AF22" s="119">
        <f>IFERROR(VLOOKUP(CONCATENATE($A$15,"-",$A$12, "-", $D22, "-", AF$3, "-", $A$9),OBS_District_Flows!$A:$K, 6,FALSE),0)</f>
        <v>0</v>
      </c>
      <c r="AG22" s="119">
        <f>IFERROR(VLOOKUP(CONCATENATE($A$15,"-",$A$12, "-", $D22, "-", AG$3, "-", $A$9),OBS_District_Flows!$A:$K, 6,FALSE),0)</f>
        <v>0</v>
      </c>
      <c r="AH22" s="119">
        <f>IFERROR(VLOOKUP(CONCATENATE($A$15,"-",$A$12, "-", $D22, "-", AH$3, "-", $A$9),OBS_District_Flows!$A:$K, 6,FALSE),0)</f>
        <v>0</v>
      </c>
      <c r="AI22" s="119">
        <f>IFERROR(VLOOKUP(CONCATENATE($A$15,"-",$A$12, "-", $D22, "-", AI$3, "-", $A$9),OBS_District_Flows!$A:$K, 6,FALSE),0)</f>
        <v>0</v>
      </c>
      <c r="AJ22" s="119">
        <f>IFERROR(VLOOKUP(CONCATENATE($A$15,"-",$A$12, "-", $D22, "-", AJ$3, "-", $A$9),OBS_District_Flows!$A:$K, 6,FALSE),0)</f>
        <v>0</v>
      </c>
      <c r="AK22" s="119">
        <f>IFERROR(VLOOKUP(CONCATENATE($A$15,"-",$A$12, "-", $D22, "-", AK$3, "-", $A$9),OBS_District_Flows!$A:$K, 6,FALSE),0)</f>
        <v>0</v>
      </c>
      <c r="AL22" s="120">
        <f>IFERROR(VLOOKUP(CONCATENATE($A$15,"-",$A$12, "-", $D22, "-", AL$3, "-", $A$9),OBS_District_Flows!$A:$K, 6,FALSE),0)</f>
        <v>0</v>
      </c>
      <c r="AM22" s="111">
        <f t="shared" si="0"/>
        <v>0</v>
      </c>
      <c r="AO22" s="286"/>
      <c r="AP22" s="107" t="s">
        <v>197</v>
      </c>
      <c r="AQ22" s="121" t="str">
        <f t="shared" si="1"/>
        <v/>
      </c>
      <c r="AR22" s="122" t="str">
        <f t="shared" si="2"/>
        <v/>
      </c>
      <c r="AS22" s="122" t="str">
        <f t="shared" si="3"/>
        <v/>
      </c>
      <c r="AT22" s="122" t="str">
        <f t="shared" si="4"/>
        <v/>
      </c>
      <c r="AU22" s="122" t="str">
        <f t="shared" si="5"/>
        <v/>
      </c>
      <c r="AV22" s="122" t="str">
        <f t="shared" si="6"/>
        <v/>
      </c>
      <c r="AW22" s="122" t="str">
        <f t="shared" si="7"/>
        <v/>
      </c>
      <c r="AX22" s="122" t="str">
        <f t="shared" si="8"/>
        <v/>
      </c>
      <c r="AY22" s="122" t="str">
        <f t="shared" si="9"/>
        <v/>
      </c>
      <c r="AZ22" s="122" t="str">
        <f t="shared" si="10"/>
        <v/>
      </c>
      <c r="BA22" s="122" t="str">
        <f t="shared" si="11"/>
        <v/>
      </c>
      <c r="BB22" s="122" t="str">
        <f t="shared" si="12"/>
        <v/>
      </c>
      <c r="BC22" s="122" t="str">
        <f t="shared" si="13"/>
        <v/>
      </c>
      <c r="BD22" s="122" t="str">
        <f t="shared" si="14"/>
        <v/>
      </c>
      <c r="BE22" s="122" t="str">
        <f t="shared" si="15"/>
        <v/>
      </c>
      <c r="BF22" s="122" t="str">
        <f t="shared" si="16"/>
        <v/>
      </c>
      <c r="BG22" s="122" t="str">
        <f t="shared" si="17"/>
        <v/>
      </c>
      <c r="BH22" s="122" t="str">
        <f t="shared" si="18"/>
        <v/>
      </c>
      <c r="BI22" s="122" t="str">
        <f t="shared" si="19"/>
        <v/>
      </c>
      <c r="BJ22" s="122" t="str">
        <f t="shared" si="20"/>
        <v/>
      </c>
      <c r="BK22" s="122" t="str">
        <f t="shared" si="21"/>
        <v/>
      </c>
      <c r="BL22" s="122" t="str">
        <f t="shared" si="22"/>
        <v/>
      </c>
      <c r="BM22" s="122" t="str">
        <f t="shared" si="23"/>
        <v/>
      </c>
      <c r="BN22" s="122" t="str">
        <f t="shared" si="24"/>
        <v/>
      </c>
      <c r="BO22" s="122" t="str">
        <f t="shared" si="25"/>
        <v/>
      </c>
      <c r="BP22" s="122" t="str">
        <f t="shared" si="26"/>
        <v/>
      </c>
      <c r="BQ22" s="122" t="str">
        <f t="shared" si="27"/>
        <v/>
      </c>
      <c r="BR22" s="122" t="str">
        <f t="shared" si="28"/>
        <v/>
      </c>
      <c r="BS22" s="122" t="str">
        <f t="shared" si="29"/>
        <v/>
      </c>
      <c r="BT22" s="122" t="str">
        <f t="shared" si="30"/>
        <v/>
      </c>
      <c r="BU22" s="122" t="str">
        <f t="shared" si="31"/>
        <v/>
      </c>
      <c r="BV22" s="122" t="str">
        <f t="shared" si="32"/>
        <v/>
      </c>
      <c r="BW22" s="122" t="str">
        <f t="shared" si="33"/>
        <v/>
      </c>
      <c r="BX22" s="123" t="str">
        <f t="shared" si="34"/>
        <v/>
      </c>
      <c r="BY22" s="115" t="str">
        <f t="shared" si="35"/>
        <v/>
      </c>
      <c r="CA22" s="286"/>
      <c r="CB22" s="107" t="s">
        <v>197</v>
      </c>
      <c r="CC22" s="121" t="str">
        <f t="shared" si="36"/>
        <v/>
      </c>
      <c r="CD22" s="122" t="str">
        <f t="shared" si="37"/>
        <v/>
      </c>
      <c r="CE22" s="122" t="str">
        <f t="shared" si="38"/>
        <v/>
      </c>
      <c r="CF22" s="122" t="str">
        <f t="shared" si="39"/>
        <v/>
      </c>
      <c r="CG22" s="122" t="str">
        <f t="shared" si="40"/>
        <v/>
      </c>
      <c r="CH22" s="122" t="str">
        <f t="shared" si="41"/>
        <v/>
      </c>
      <c r="CI22" s="122" t="str">
        <f t="shared" si="42"/>
        <v/>
      </c>
      <c r="CJ22" s="122" t="str">
        <f t="shared" si="43"/>
        <v/>
      </c>
      <c r="CK22" s="122" t="str">
        <f t="shared" si="44"/>
        <v/>
      </c>
      <c r="CL22" s="122" t="str">
        <f t="shared" si="45"/>
        <v/>
      </c>
      <c r="CM22" s="122" t="str">
        <f t="shared" si="46"/>
        <v/>
      </c>
      <c r="CN22" s="122" t="str">
        <f t="shared" si="47"/>
        <v/>
      </c>
      <c r="CO22" s="122" t="str">
        <f t="shared" si="48"/>
        <v/>
      </c>
      <c r="CP22" s="122" t="str">
        <f t="shared" si="49"/>
        <v/>
      </c>
      <c r="CQ22" s="122" t="str">
        <f t="shared" si="50"/>
        <v/>
      </c>
      <c r="CR22" s="122" t="str">
        <f t="shared" si="51"/>
        <v/>
      </c>
      <c r="CS22" s="122" t="str">
        <f t="shared" si="52"/>
        <v/>
      </c>
      <c r="CT22" s="122" t="str">
        <f t="shared" si="53"/>
        <v/>
      </c>
      <c r="CU22" s="122" t="str">
        <f t="shared" si="54"/>
        <v/>
      </c>
      <c r="CV22" s="122" t="str">
        <f t="shared" si="55"/>
        <v/>
      </c>
      <c r="CW22" s="122" t="str">
        <f t="shared" si="56"/>
        <v/>
      </c>
      <c r="CX22" s="122" t="str">
        <f t="shared" si="57"/>
        <v/>
      </c>
      <c r="CY22" s="122" t="str">
        <f t="shared" si="58"/>
        <v/>
      </c>
      <c r="CZ22" s="122" t="str">
        <f t="shared" si="59"/>
        <v/>
      </c>
      <c r="DA22" s="122" t="str">
        <f t="shared" si="60"/>
        <v/>
      </c>
      <c r="DB22" s="122" t="str">
        <f t="shared" si="61"/>
        <v/>
      </c>
      <c r="DC22" s="122" t="str">
        <f t="shared" si="62"/>
        <v/>
      </c>
      <c r="DD22" s="122" t="str">
        <f t="shared" si="63"/>
        <v/>
      </c>
      <c r="DE22" s="122" t="str">
        <f t="shared" si="64"/>
        <v/>
      </c>
      <c r="DF22" s="122" t="str">
        <f t="shared" si="65"/>
        <v/>
      </c>
      <c r="DG22" s="122" t="str">
        <f t="shared" si="66"/>
        <v/>
      </c>
      <c r="DH22" s="122" t="str">
        <f t="shared" si="67"/>
        <v/>
      </c>
      <c r="DI22" s="122" t="str">
        <f t="shared" si="68"/>
        <v/>
      </c>
      <c r="DJ22" s="123" t="str">
        <f t="shared" si="69"/>
        <v/>
      </c>
      <c r="DK22" s="115" t="str">
        <f t="shared" si="70"/>
        <v/>
      </c>
    </row>
    <row r="23" spans="1:115" x14ac:dyDescent="0.2">
      <c r="A23" s="130" t="s">
        <v>228</v>
      </c>
      <c r="C23" s="285"/>
      <c r="D23" s="107" t="s">
        <v>212</v>
      </c>
      <c r="E23" s="118">
        <f>IFERROR(VLOOKUP(CONCATENATE($A$15,"-",$A$12, "-", $D23, "-", E$3, "-", $A$9),OBS_District_Flows!$A:$K, 6,FALSE),0)</f>
        <v>0</v>
      </c>
      <c r="F23" s="119">
        <f>IFERROR(VLOOKUP(CONCATENATE($A$15,"-",$A$12, "-", $D23, "-", F$3, "-", $A$9),OBS_District_Flows!$A:$K, 6,FALSE),0)</f>
        <v>0</v>
      </c>
      <c r="G23" s="119">
        <f>IFERROR(VLOOKUP(CONCATENATE($A$15,"-",$A$12, "-", $D23, "-", G$3, "-", $A$9),OBS_District_Flows!$A:$K, 6,FALSE),0)</f>
        <v>0</v>
      </c>
      <c r="H23" s="119">
        <f>IFERROR(VLOOKUP(CONCATENATE($A$15,"-",$A$12, "-", $D23, "-", H$3, "-", $A$9),OBS_District_Flows!$A:$K, 6,FALSE),0)</f>
        <v>0</v>
      </c>
      <c r="I23" s="119">
        <f>IFERROR(VLOOKUP(CONCATENATE($A$15,"-",$A$12, "-", $D23, "-", I$3, "-", $A$9),OBS_District_Flows!$A:$K, 6,FALSE),0)</f>
        <v>0</v>
      </c>
      <c r="J23" s="119">
        <f>IFERROR(VLOOKUP(CONCATENATE($A$15,"-",$A$12, "-", $D23, "-", J$3, "-", $A$9),OBS_District_Flows!$A:$K, 6,FALSE),0)</f>
        <v>0</v>
      </c>
      <c r="K23" s="119">
        <f>IFERROR(VLOOKUP(CONCATENATE($A$15,"-",$A$12, "-", $D23, "-", K$3, "-", $A$9),OBS_District_Flows!$A:$K, 6,FALSE),0)</f>
        <v>0</v>
      </c>
      <c r="L23" s="119">
        <f>IFERROR(VLOOKUP(CONCATENATE($A$15,"-",$A$12, "-", $D23, "-", L$3, "-", $A$9),OBS_District_Flows!$A:$K, 6,FALSE),0)</f>
        <v>0</v>
      </c>
      <c r="M23" s="119">
        <f>IFERROR(VLOOKUP(CONCATENATE($A$15,"-",$A$12, "-", $D23, "-", M$3, "-", $A$9),OBS_District_Flows!$A:$K, 6,FALSE),0)</f>
        <v>0</v>
      </c>
      <c r="N23" s="119">
        <f>IFERROR(VLOOKUP(CONCATENATE($A$15,"-",$A$12, "-", $D23, "-", N$3, "-", $A$9),OBS_District_Flows!$A:$K, 6,FALSE),0)</f>
        <v>0</v>
      </c>
      <c r="O23" s="119">
        <f>IFERROR(VLOOKUP(CONCATENATE($A$15,"-",$A$12, "-", $D23, "-", O$3, "-", $A$9),OBS_District_Flows!$A:$K, 6,FALSE),0)</f>
        <v>0</v>
      </c>
      <c r="P23" s="119">
        <f>IFERROR(VLOOKUP(CONCATENATE($A$15,"-",$A$12, "-", $D23, "-", P$3, "-", $A$9),OBS_District_Flows!$A:$K, 6,FALSE),0)</f>
        <v>0</v>
      </c>
      <c r="Q23" s="119">
        <f>IFERROR(VLOOKUP(CONCATENATE($A$15,"-",$A$12, "-", $D23, "-", Q$3, "-", $A$9),OBS_District_Flows!$A:$K, 6,FALSE),0)</f>
        <v>0</v>
      </c>
      <c r="R23" s="119">
        <f>IFERROR(VLOOKUP(CONCATENATE($A$15,"-",$A$12, "-", $D23, "-", R$3, "-", $A$9),OBS_District_Flows!$A:$K, 6,FALSE),0)</f>
        <v>0</v>
      </c>
      <c r="S23" s="119">
        <f>IFERROR(VLOOKUP(CONCATENATE($A$15,"-",$A$12, "-", $D23, "-", S$3, "-", $A$9),OBS_District_Flows!$A:$K, 6,FALSE),0)</f>
        <v>0</v>
      </c>
      <c r="T23" s="119">
        <f>IFERROR(VLOOKUP(CONCATENATE($A$15,"-",$A$12, "-", $D23, "-", T$3, "-", $A$9),OBS_District_Flows!$A:$K, 6,FALSE),0)</f>
        <v>0</v>
      </c>
      <c r="U23" s="119">
        <f>IFERROR(VLOOKUP(CONCATENATE($A$15,"-",$A$12, "-", $D23, "-", U$3, "-", $A$9),OBS_District_Flows!$A:$K, 6,FALSE),0)</f>
        <v>0</v>
      </c>
      <c r="V23" s="119">
        <f>IFERROR(VLOOKUP(CONCATENATE($A$15,"-",$A$12, "-", $D23, "-", V$3, "-", $A$9),OBS_District_Flows!$A:$K, 6,FALSE),0)</f>
        <v>0</v>
      </c>
      <c r="W23" s="119">
        <f>IFERROR(VLOOKUP(CONCATENATE($A$15,"-",$A$12, "-", $D23, "-", W$3, "-", $A$9),OBS_District_Flows!$A:$K, 6,FALSE),0)</f>
        <v>0</v>
      </c>
      <c r="X23" s="119">
        <f>IFERROR(VLOOKUP(CONCATENATE($A$15,"-",$A$12, "-", $D23, "-", X$3, "-", $A$9),OBS_District_Flows!$A:$K, 6,FALSE),0)</f>
        <v>0</v>
      </c>
      <c r="Y23" s="119">
        <f>IFERROR(VLOOKUP(CONCATENATE($A$15,"-",$A$12, "-", $D23, "-", Y$3, "-", $A$9),OBS_District_Flows!$A:$K, 6,FALSE),0)</f>
        <v>0</v>
      </c>
      <c r="Z23" s="119">
        <f>IFERROR(VLOOKUP(CONCATENATE($A$15,"-",$A$12, "-", $D23, "-", Z$3, "-", $A$9),OBS_District_Flows!$A:$K, 6,FALSE),0)</f>
        <v>0</v>
      </c>
      <c r="AA23" s="119">
        <f>IFERROR(VLOOKUP(CONCATENATE($A$15,"-",$A$12, "-", $D23, "-", AA$3, "-", $A$9),OBS_District_Flows!$A:$K, 6,FALSE),0)</f>
        <v>0</v>
      </c>
      <c r="AB23" s="119">
        <f>IFERROR(VLOOKUP(CONCATENATE($A$15,"-",$A$12, "-", $D23, "-", AB$3, "-", $A$9),OBS_District_Flows!$A:$K, 6,FALSE),0)</f>
        <v>0</v>
      </c>
      <c r="AC23" s="119">
        <f>IFERROR(VLOOKUP(CONCATENATE($A$15,"-",$A$12, "-", $D23, "-", AC$3, "-", $A$9),OBS_District_Flows!$A:$K, 6,FALSE),0)</f>
        <v>0</v>
      </c>
      <c r="AD23" s="119">
        <f>IFERROR(VLOOKUP(CONCATENATE($A$15,"-",$A$12, "-", $D23, "-", AD$3, "-", $A$9),OBS_District_Flows!$A:$K, 6,FALSE),0)</f>
        <v>0</v>
      </c>
      <c r="AE23" s="119">
        <f>IFERROR(VLOOKUP(CONCATENATE($A$15,"-",$A$12, "-", $D23, "-", AE$3, "-", $A$9),OBS_District_Flows!$A:$K, 6,FALSE),0)</f>
        <v>0</v>
      </c>
      <c r="AF23" s="119">
        <f>IFERROR(VLOOKUP(CONCATENATE($A$15,"-",$A$12, "-", $D23, "-", AF$3, "-", $A$9),OBS_District_Flows!$A:$K, 6,FALSE),0)</f>
        <v>0</v>
      </c>
      <c r="AG23" s="119">
        <f>IFERROR(VLOOKUP(CONCATENATE($A$15,"-",$A$12, "-", $D23, "-", AG$3, "-", $A$9),OBS_District_Flows!$A:$K, 6,FALSE),0)</f>
        <v>0</v>
      </c>
      <c r="AH23" s="119">
        <f>IFERROR(VLOOKUP(CONCATENATE($A$15,"-",$A$12, "-", $D23, "-", AH$3, "-", $A$9),OBS_District_Flows!$A:$K, 6,FALSE),0)</f>
        <v>0</v>
      </c>
      <c r="AI23" s="119">
        <f>IFERROR(VLOOKUP(CONCATENATE($A$15,"-",$A$12, "-", $D23, "-", AI$3, "-", $A$9),OBS_District_Flows!$A:$K, 6,FALSE),0)</f>
        <v>0</v>
      </c>
      <c r="AJ23" s="119">
        <f>IFERROR(VLOOKUP(CONCATENATE($A$15,"-",$A$12, "-", $D23, "-", AJ$3, "-", $A$9),OBS_District_Flows!$A:$K, 6,FALSE),0)</f>
        <v>0</v>
      </c>
      <c r="AK23" s="119">
        <f>IFERROR(VLOOKUP(CONCATENATE($A$15,"-",$A$12, "-", $D23, "-", AK$3, "-", $A$9),OBS_District_Flows!$A:$K, 6,FALSE),0)</f>
        <v>0</v>
      </c>
      <c r="AL23" s="120">
        <f>IFERROR(VLOOKUP(CONCATENATE($A$15,"-",$A$12, "-", $D23, "-", AL$3, "-", $A$9),OBS_District_Flows!$A:$K, 6,FALSE),0)</f>
        <v>0</v>
      </c>
      <c r="AM23" s="111">
        <f t="shared" si="0"/>
        <v>0</v>
      </c>
      <c r="AO23" s="286"/>
      <c r="AP23" s="107" t="s">
        <v>212</v>
      </c>
      <c r="AQ23" s="121" t="str">
        <f t="shared" si="1"/>
        <v/>
      </c>
      <c r="AR23" s="122" t="str">
        <f t="shared" si="2"/>
        <v/>
      </c>
      <c r="AS23" s="122" t="str">
        <f t="shared" si="3"/>
        <v/>
      </c>
      <c r="AT23" s="122" t="str">
        <f t="shared" si="4"/>
        <v/>
      </c>
      <c r="AU23" s="122" t="str">
        <f t="shared" si="5"/>
        <v/>
      </c>
      <c r="AV23" s="122" t="str">
        <f t="shared" si="6"/>
        <v/>
      </c>
      <c r="AW23" s="122" t="str">
        <f t="shared" si="7"/>
        <v/>
      </c>
      <c r="AX23" s="122" t="str">
        <f t="shared" si="8"/>
        <v/>
      </c>
      <c r="AY23" s="122" t="str">
        <f t="shared" si="9"/>
        <v/>
      </c>
      <c r="AZ23" s="122" t="str">
        <f t="shared" si="10"/>
        <v/>
      </c>
      <c r="BA23" s="122" t="str">
        <f t="shared" si="11"/>
        <v/>
      </c>
      <c r="BB23" s="122" t="str">
        <f t="shared" si="12"/>
        <v/>
      </c>
      <c r="BC23" s="122" t="str">
        <f t="shared" si="13"/>
        <v/>
      </c>
      <c r="BD23" s="122" t="str">
        <f t="shared" si="14"/>
        <v/>
      </c>
      <c r="BE23" s="122" t="str">
        <f t="shared" si="15"/>
        <v/>
      </c>
      <c r="BF23" s="122" t="str">
        <f t="shared" si="16"/>
        <v/>
      </c>
      <c r="BG23" s="122" t="str">
        <f t="shared" si="17"/>
        <v/>
      </c>
      <c r="BH23" s="122" t="str">
        <f t="shared" si="18"/>
        <v/>
      </c>
      <c r="BI23" s="122" t="str">
        <f t="shared" si="19"/>
        <v/>
      </c>
      <c r="BJ23" s="122" t="str">
        <f t="shared" si="20"/>
        <v/>
      </c>
      <c r="BK23" s="122" t="str">
        <f t="shared" si="21"/>
        <v/>
      </c>
      <c r="BL23" s="122" t="str">
        <f t="shared" si="22"/>
        <v/>
      </c>
      <c r="BM23" s="122" t="str">
        <f t="shared" si="23"/>
        <v/>
      </c>
      <c r="BN23" s="122" t="str">
        <f t="shared" si="24"/>
        <v/>
      </c>
      <c r="BO23" s="122" t="str">
        <f t="shared" si="25"/>
        <v/>
      </c>
      <c r="BP23" s="122" t="str">
        <f t="shared" si="26"/>
        <v/>
      </c>
      <c r="BQ23" s="122" t="str">
        <f t="shared" si="27"/>
        <v/>
      </c>
      <c r="BR23" s="122" t="str">
        <f t="shared" si="28"/>
        <v/>
      </c>
      <c r="BS23" s="122" t="str">
        <f t="shared" si="29"/>
        <v/>
      </c>
      <c r="BT23" s="122" t="str">
        <f t="shared" si="30"/>
        <v/>
      </c>
      <c r="BU23" s="122" t="str">
        <f t="shared" si="31"/>
        <v/>
      </c>
      <c r="BV23" s="122" t="str">
        <f t="shared" si="32"/>
        <v/>
      </c>
      <c r="BW23" s="122" t="str">
        <f t="shared" si="33"/>
        <v/>
      </c>
      <c r="BX23" s="123" t="str">
        <f t="shared" si="34"/>
        <v/>
      </c>
      <c r="BY23" s="115" t="str">
        <f t="shared" si="35"/>
        <v/>
      </c>
      <c r="CA23" s="286"/>
      <c r="CB23" s="107" t="s">
        <v>212</v>
      </c>
      <c r="CC23" s="121" t="str">
        <f t="shared" si="36"/>
        <v/>
      </c>
      <c r="CD23" s="122" t="str">
        <f t="shared" si="37"/>
        <v/>
      </c>
      <c r="CE23" s="122" t="str">
        <f t="shared" si="38"/>
        <v/>
      </c>
      <c r="CF23" s="122" t="str">
        <f t="shared" si="39"/>
        <v/>
      </c>
      <c r="CG23" s="122" t="str">
        <f t="shared" si="40"/>
        <v/>
      </c>
      <c r="CH23" s="122" t="str">
        <f t="shared" si="41"/>
        <v/>
      </c>
      <c r="CI23" s="122" t="str">
        <f t="shared" si="42"/>
        <v/>
      </c>
      <c r="CJ23" s="122" t="str">
        <f t="shared" si="43"/>
        <v/>
      </c>
      <c r="CK23" s="122" t="str">
        <f t="shared" si="44"/>
        <v/>
      </c>
      <c r="CL23" s="122" t="str">
        <f t="shared" si="45"/>
        <v/>
      </c>
      <c r="CM23" s="122" t="str">
        <f t="shared" si="46"/>
        <v/>
      </c>
      <c r="CN23" s="122" t="str">
        <f t="shared" si="47"/>
        <v/>
      </c>
      <c r="CO23" s="122" t="str">
        <f t="shared" si="48"/>
        <v/>
      </c>
      <c r="CP23" s="122" t="str">
        <f t="shared" si="49"/>
        <v/>
      </c>
      <c r="CQ23" s="122" t="str">
        <f t="shared" si="50"/>
        <v/>
      </c>
      <c r="CR23" s="122" t="str">
        <f t="shared" si="51"/>
        <v/>
      </c>
      <c r="CS23" s="122" t="str">
        <f t="shared" si="52"/>
        <v/>
      </c>
      <c r="CT23" s="122" t="str">
        <f t="shared" si="53"/>
        <v/>
      </c>
      <c r="CU23" s="122" t="str">
        <f t="shared" si="54"/>
        <v/>
      </c>
      <c r="CV23" s="122" t="str">
        <f t="shared" si="55"/>
        <v/>
      </c>
      <c r="CW23" s="122" t="str">
        <f t="shared" si="56"/>
        <v/>
      </c>
      <c r="CX23" s="122" t="str">
        <f t="shared" si="57"/>
        <v/>
      </c>
      <c r="CY23" s="122" t="str">
        <f t="shared" si="58"/>
        <v/>
      </c>
      <c r="CZ23" s="122" t="str">
        <f t="shared" si="59"/>
        <v/>
      </c>
      <c r="DA23" s="122" t="str">
        <f t="shared" si="60"/>
        <v/>
      </c>
      <c r="DB23" s="122" t="str">
        <f t="shared" si="61"/>
        <v/>
      </c>
      <c r="DC23" s="122" t="str">
        <f t="shared" si="62"/>
        <v/>
      </c>
      <c r="DD23" s="122" t="str">
        <f t="shared" si="63"/>
        <v/>
      </c>
      <c r="DE23" s="122" t="str">
        <f t="shared" si="64"/>
        <v/>
      </c>
      <c r="DF23" s="122" t="str">
        <f t="shared" si="65"/>
        <v/>
      </c>
      <c r="DG23" s="122" t="str">
        <f t="shared" si="66"/>
        <v/>
      </c>
      <c r="DH23" s="122" t="str">
        <f t="shared" si="67"/>
        <v/>
      </c>
      <c r="DI23" s="122" t="str">
        <f t="shared" si="68"/>
        <v/>
      </c>
      <c r="DJ23" s="123" t="str">
        <f t="shared" si="69"/>
        <v/>
      </c>
      <c r="DK23" s="115" t="str">
        <f t="shared" si="70"/>
        <v/>
      </c>
    </row>
    <row r="24" spans="1:115" x14ac:dyDescent="0.2">
      <c r="C24" s="285"/>
      <c r="D24" s="107" t="s">
        <v>211</v>
      </c>
      <c r="E24" s="118">
        <f>IFERROR(VLOOKUP(CONCATENATE($A$15,"-",$A$12, "-", $D24, "-", E$3, "-", $A$9),OBS_District_Flows!$A:$K, 6,FALSE),0)</f>
        <v>0</v>
      </c>
      <c r="F24" s="119">
        <f>IFERROR(VLOOKUP(CONCATENATE($A$15,"-",$A$12, "-", $D24, "-", F$3, "-", $A$9),OBS_District_Flows!$A:$K, 6,FALSE),0)</f>
        <v>0</v>
      </c>
      <c r="G24" s="119">
        <f>IFERROR(VLOOKUP(CONCATENATE($A$15,"-",$A$12, "-", $D24, "-", G$3, "-", $A$9),OBS_District_Flows!$A:$K, 6,FALSE),0)</f>
        <v>0</v>
      </c>
      <c r="H24" s="119">
        <f>IFERROR(VLOOKUP(CONCATENATE($A$15,"-",$A$12, "-", $D24, "-", H$3, "-", $A$9),OBS_District_Flows!$A:$K, 6,FALSE),0)</f>
        <v>0</v>
      </c>
      <c r="I24" s="119">
        <f>IFERROR(VLOOKUP(CONCATENATE($A$15,"-",$A$12, "-", $D24, "-", I$3, "-", $A$9),OBS_District_Flows!$A:$K, 6,FALSE),0)</f>
        <v>0</v>
      </c>
      <c r="J24" s="119">
        <f>IFERROR(VLOOKUP(CONCATENATE($A$15,"-",$A$12, "-", $D24, "-", J$3, "-", $A$9),OBS_District_Flows!$A:$K, 6,FALSE),0)</f>
        <v>0</v>
      </c>
      <c r="K24" s="119">
        <f>IFERROR(VLOOKUP(CONCATENATE($A$15,"-",$A$12, "-", $D24, "-", K$3, "-", $A$9),OBS_District_Flows!$A:$K, 6,FALSE),0)</f>
        <v>0</v>
      </c>
      <c r="L24" s="119">
        <f>IFERROR(VLOOKUP(CONCATENATE($A$15,"-",$A$12, "-", $D24, "-", L$3, "-", $A$9),OBS_District_Flows!$A:$K, 6,FALSE),0)</f>
        <v>0</v>
      </c>
      <c r="M24" s="119">
        <f>IFERROR(VLOOKUP(CONCATENATE($A$15,"-",$A$12, "-", $D24, "-", M$3, "-", $A$9),OBS_District_Flows!$A:$K, 6,FALSE),0)</f>
        <v>0</v>
      </c>
      <c r="N24" s="119">
        <f>IFERROR(VLOOKUP(CONCATENATE($A$15,"-",$A$12, "-", $D24, "-", N$3, "-", $A$9),OBS_District_Flows!$A:$K, 6,FALSE),0)</f>
        <v>0</v>
      </c>
      <c r="O24" s="119">
        <f>IFERROR(VLOOKUP(CONCATENATE($A$15,"-",$A$12, "-", $D24, "-", O$3, "-", $A$9),OBS_District_Flows!$A:$K, 6,FALSE),0)</f>
        <v>0</v>
      </c>
      <c r="P24" s="119">
        <f>IFERROR(VLOOKUP(CONCATENATE($A$15,"-",$A$12, "-", $D24, "-", P$3, "-", $A$9),OBS_District_Flows!$A:$K, 6,FALSE),0)</f>
        <v>0</v>
      </c>
      <c r="Q24" s="119">
        <f>IFERROR(VLOOKUP(CONCATENATE($A$15,"-",$A$12, "-", $D24, "-", Q$3, "-", $A$9),OBS_District_Flows!$A:$K, 6,FALSE),0)</f>
        <v>0</v>
      </c>
      <c r="R24" s="119">
        <f>IFERROR(VLOOKUP(CONCATENATE($A$15,"-",$A$12, "-", $D24, "-", R$3, "-", $A$9),OBS_District_Flows!$A:$K, 6,FALSE),0)</f>
        <v>0</v>
      </c>
      <c r="S24" s="119">
        <f>IFERROR(VLOOKUP(CONCATENATE($A$15,"-",$A$12, "-", $D24, "-", S$3, "-", $A$9),OBS_District_Flows!$A:$K, 6,FALSE),0)</f>
        <v>0</v>
      </c>
      <c r="T24" s="119">
        <f>IFERROR(VLOOKUP(CONCATENATE($A$15,"-",$A$12, "-", $D24, "-", T$3, "-", $A$9),OBS_District_Flows!$A:$K, 6,FALSE),0)</f>
        <v>0</v>
      </c>
      <c r="U24" s="119">
        <f>IFERROR(VLOOKUP(CONCATENATE($A$15,"-",$A$12, "-", $D24, "-", U$3, "-", $A$9),OBS_District_Flows!$A:$K, 6,FALSE),0)</f>
        <v>0</v>
      </c>
      <c r="V24" s="119">
        <f>IFERROR(VLOOKUP(CONCATENATE($A$15,"-",$A$12, "-", $D24, "-", V$3, "-", $A$9),OBS_District_Flows!$A:$K, 6,FALSE),0)</f>
        <v>0</v>
      </c>
      <c r="W24" s="119">
        <f>IFERROR(VLOOKUP(CONCATENATE($A$15,"-",$A$12, "-", $D24, "-", W$3, "-", $A$9),OBS_District_Flows!$A:$K, 6,FALSE),0)</f>
        <v>0</v>
      </c>
      <c r="X24" s="119">
        <f>IFERROR(VLOOKUP(CONCATENATE($A$15,"-",$A$12, "-", $D24, "-", X$3, "-", $A$9),OBS_District_Flows!$A:$K, 6,FALSE),0)</f>
        <v>0</v>
      </c>
      <c r="Y24" s="119">
        <f>IFERROR(VLOOKUP(CONCATENATE($A$15,"-",$A$12, "-", $D24, "-", Y$3, "-", $A$9),OBS_District_Flows!$A:$K, 6,FALSE),0)</f>
        <v>0</v>
      </c>
      <c r="Z24" s="119">
        <f>IFERROR(VLOOKUP(CONCATENATE($A$15,"-",$A$12, "-", $D24, "-", Z$3, "-", $A$9),OBS_District_Flows!$A:$K, 6,FALSE),0)</f>
        <v>0</v>
      </c>
      <c r="AA24" s="119">
        <f>IFERROR(VLOOKUP(CONCATENATE($A$15,"-",$A$12, "-", $D24, "-", AA$3, "-", $A$9),OBS_District_Flows!$A:$K, 6,FALSE),0)</f>
        <v>0</v>
      </c>
      <c r="AB24" s="119">
        <f>IFERROR(VLOOKUP(CONCATENATE($A$15,"-",$A$12, "-", $D24, "-", AB$3, "-", $A$9),OBS_District_Flows!$A:$K, 6,FALSE),0)</f>
        <v>0</v>
      </c>
      <c r="AC24" s="119">
        <f>IFERROR(VLOOKUP(CONCATENATE($A$15,"-",$A$12, "-", $D24, "-", AC$3, "-", $A$9),OBS_District_Flows!$A:$K, 6,FALSE),0)</f>
        <v>0</v>
      </c>
      <c r="AD24" s="119">
        <f>IFERROR(VLOOKUP(CONCATENATE($A$15,"-",$A$12, "-", $D24, "-", AD$3, "-", $A$9),OBS_District_Flows!$A:$K, 6,FALSE),0)</f>
        <v>0</v>
      </c>
      <c r="AE24" s="119">
        <f>IFERROR(VLOOKUP(CONCATENATE($A$15,"-",$A$12, "-", $D24, "-", AE$3, "-", $A$9),OBS_District_Flows!$A:$K, 6,FALSE),0)</f>
        <v>0</v>
      </c>
      <c r="AF24" s="119">
        <f>IFERROR(VLOOKUP(CONCATENATE($A$15,"-",$A$12, "-", $D24, "-", AF$3, "-", $A$9),OBS_District_Flows!$A:$K, 6,FALSE),0)</f>
        <v>0</v>
      </c>
      <c r="AG24" s="119">
        <f>IFERROR(VLOOKUP(CONCATENATE($A$15,"-",$A$12, "-", $D24, "-", AG$3, "-", $A$9),OBS_District_Flows!$A:$K, 6,FALSE),0)</f>
        <v>0</v>
      </c>
      <c r="AH24" s="119">
        <f>IFERROR(VLOOKUP(CONCATENATE($A$15,"-",$A$12, "-", $D24, "-", AH$3, "-", $A$9),OBS_District_Flows!$A:$K, 6,FALSE),0)</f>
        <v>0</v>
      </c>
      <c r="AI24" s="119">
        <f>IFERROR(VLOOKUP(CONCATENATE($A$15,"-",$A$12, "-", $D24, "-", AI$3, "-", $A$9),OBS_District_Flows!$A:$K, 6,FALSE),0)</f>
        <v>0</v>
      </c>
      <c r="AJ24" s="119">
        <f>IFERROR(VLOOKUP(CONCATENATE($A$15,"-",$A$12, "-", $D24, "-", AJ$3, "-", $A$9),OBS_District_Flows!$A:$K, 6,FALSE),0)</f>
        <v>0</v>
      </c>
      <c r="AK24" s="119">
        <f>IFERROR(VLOOKUP(CONCATENATE($A$15,"-",$A$12, "-", $D24, "-", AK$3, "-", $A$9),OBS_District_Flows!$A:$K, 6,FALSE),0)</f>
        <v>0</v>
      </c>
      <c r="AL24" s="120">
        <f>IFERROR(VLOOKUP(CONCATENATE($A$15,"-",$A$12, "-", $D24, "-", AL$3, "-", $A$9),OBS_District_Flows!$A:$K, 6,FALSE),0)</f>
        <v>0</v>
      </c>
      <c r="AM24" s="111">
        <f t="shared" si="0"/>
        <v>0</v>
      </c>
      <c r="AO24" s="286"/>
      <c r="AP24" s="107" t="s">
        <v>211</v>
      </c>
      <c r="AQ24" s="121" t="str">
        <f t="shared" si="1"/>
        <v/>
      </c>
      <c r="AR24" s="122" t="str">
        <f t="shared" si="2"/>
        <v/>
      </c>
      <c r="AS24" s="122" t="str">
        <f t="shared" si="3"/>
        <v/>
      </c>
      <c r="AT24" s="122" t="str">
        <f t="shared" si="4"/>
        <v/>
      </c>
      <c r="AU24" s="122" t="str">
        <f t="shared" si="5"/>
        <v/>
      </c>
      <c r="AV24" s="122" t="str">
        <f t="shared" si="6"/>
        <v/>
      </c>
      <c r="AW24" s="122" t="str">
        <f t="shared" si="7"/>
        <v/>
      </c>
      <c r="AX24" s="122" t="str">
        <f t="shared" si="8"/>
        <v/>
      </c>
      <c r="AY24" s="122" t="str">
        <f t="shared" si="9"/>
        <v/>
      </c>
      <c r="AZ24" s="122" t="str">
        <f t="shared" si="10"/>
        <v/>
      </c>
      <c r="BA24" s="122" t="str">
        <f t="shared" si="11"/>
        <v/>
      </c>
      <c r="BB24" s="122" t="str">
        <f t="shared" si="12"/>
        <v/>
      </c>
      <c r="BC24" s="122" t="str">
        <f t="shared" si="13"/>
        <v/>
      </c>
      <c r="BD24" s="122" t="str">
        <f t="shared" si="14"/>
        <v/>
      </c>
      <c r="BE24" s="122" t="str">
        <f t="shared" si="15"/>
        <v/>
      </c>
      <c r="BF24" s="122" t="str">
        <f t="shared" si="16"/>
        <v/>
      </c>
      <c r="BG24" s="122" t="str">
        <f t="shared" si="17"/>
        <v/>
      </c>
      <c r="BH24" s="122" t="str">
        <f t="shared" si="18"/>
        <v/>
      </c>
      <c r="BI24" s="122" t="str">
        <f t="shared" si="19"/>
        <v/>
      </c>
      <c r="BJ24" s="122" t="str">
        <f t="shared" si="20"/>
        <v/>
      </c>
      <c r="BK24" s="122" t="str">
        <f t="shared" si="21"/>
        <v/>
      </c>
      <c r="BL24" s="122" t="str">
        <f t="shared" si="22"/>
        <v/>
      </c>
      <c r="BM24" s="122" t="str">
        <f t="shared" si="23"/>
        <v/>
      </c>
      <c r="BN24" s="122" t="str">
        <f t="shared" si="24"/>
        <v/>
      </c>
      <c r="BO24" s="122" t="str">
        <f t="shared" si="25"/>
        <v/>
      </c>
      <c r="BP24" s="122" t="str">
        <f t="shared" si="26"/>
        <v/>
      </c>
      <c r="BQ24" s="122" t="str">
        <f t="shared" si="27"/>
        <v/>
      </c>
      <c r="BR24" s="122" t="str">
        <f t="shared" si="28"/>
        <v/>
      </c>
      <c r="BS24" s="122" t="str">
        <f t="shared" si="29"/>
        <v/>
      </c>
      <c r="BT24" s="122" t="str">
        <f t="shared" si="30"/>
        <v/>
      </c>
      <c r="BU24" s="122" t="str">
        <f t="shared" si="31"/>
        <v/>
      </c>
      <c r="BV24" s="122" t="str">
        <f t="shared" si="32"/>
        <v/>
      </c>
      <c r="BW24" s="122" t="str">
        <f t="shared" si="33"/>
        <v/>
      </c>
      <c r="BX24" s="123" t="str">
        <f t="shared" si="34"/>
        <v/>
      </c>
      <c r="BY24" s="115" t="str">
        <f t="shared" si="35"/>
        <v/>
      </c>
      <c r="CA24" s="286"/>
      <c r="CB24" s="107" t="s">
        <v>211</v>
      </c>
      <c r="CC24" s="121" t="str">
        <f t="shared" si="36"/>
        <v/>
      </c>
      <c r="CD24" s="122" t="str">
        <f t="shared" si="37"/>
        <v/>
      </c>
      <c r="CE24" s="122" t="str">
        <f t="shared" si="38"/>
        <v/>
      </c>
      <c r="CF24" s="122" t="str">
        <f t="shared" si="39"/>
        <v/>
      </c>
      <c r="CG24" s="122" t="str">
        <f t="shared" si="40"/>
        <v/>
      </c>
      <c r="CH24" s="122" t="str">
        <f t="shared" si="41"/>
        <v/>
      </c>
      <c r="CI24" s="122" t="str">
        <f t="shared" si="42"/>
        <v/>
      </c>
      <c r="CJ24" s="122" t="str">
        <f t="shared" si="43"/>
        <v/>
      </c>
      <c r="CK24" s="122" t="str">
        <f t="shared" si="44"/>
        <v/>
      </c>
      <c r="CL24" s="122" t="str">
        <f t="shared" si="45"/>
        <v/>
      </c>
      <c r="CM24" s="122" t="str">
        <f t="shared" si="46"/>
        <v/>
      </c>
      <c r="CN24" s="122" t="str">
        <f t="shared" si="47"/>
        <v/>
      </c>
      <c r="CO24" s="122" t="str">
        <f t="shared" si="48"/>
        <v/>
      </c>
      <c r="CP24" s="122" t="str">
        <f t="shared" si="49"/>
        <v/>
      </c>
      <c r="CQ24" s="122" t="str">
        <f t="shared" si="50"/>
        <v/>
      </c>
      <c r="CR24" s="122" t="str">
        <f t="shared" si="51"/>
        <v/>
      </c>
      <c r="CS24" s="122" t="str">
        <f t="shared" si="52"/>
        <v/>
      </c>
      <c r="CT24" s="122" t="str">
        <f t="shared" si="53"/>
        <v/>
      </c>
      <c r="CU24" s="122" t="str">
        <f t="shared" si="54"/>
        <v/>
      </c>
      <c r="CV24" s="122" t="str">
        <f t="shared" si="55"/>
        <v/>
      </c>
      <c r="CW24" s="122" t="str">
        <f t="shared" si="56"/>
        <v/>
      </c>
      <c r="CX24" s="122" t="str">
        <f t="shared" si="57"/>
        <v/>
      </c>
      <c r="CY24" s="122" t="str">
        <f t="shared" si="58"/>
        <v/>
      </c>
      <c r="CZ24" s="122" t="str">
        <f t="shared" si="59"/>
        <v/>
      </c>
      <c r="DA24" s="122" t="str">
        <f t="shared" si="60"/>
        <v/>
      </c>
      <c r="DB24" s="122" t="str">
        <f t="shared" si="61"/>
        <v/>
      </c>
      <c r="DC24" s="122" t="str">
        <f t="shared" si="62"/>
        <v/>
      </c>
      <c r="DD24" s="122" t="str">
        <f t="shared" si="63"/>
        <v/>
      </c>
      <c r="DE24" s="122" t="str">
        <f t="shared" si="64"/>
        <v/>
      </c>
      <c r="DF24" s="122" t="str">
        <f t="shared" si="65"/>
        <v/>
      </c>
      <c r="DG24" s="122" t="str">
        <f t="shared" si="66"/>
        <v/>
      </c>
      <c r="DH24" s="122" t="str">
        <f t="shared" si="67"/>
        <v/>
      </c>
      <c r="DI24" s="122" t="str">
        <f t="shared" si="68"/>
        <v/>
      </c>
      <c r="DJ24" s="123" t="str">
        <f t="shared" si="69"/>
        <v/>
      </c>
      <c r="DK24" s="115" t="str">
        <f t="shared" si="70"/>
        <v/>
      </c>
    </row>
    <row r="25" spans="1:115" x14ac:dyDescent="0.2">
      <c r="C25" s="285"/>
      <c r="D25" s="107" t="s">
        <v>213</v>
      </c>
      <c r="E25" s="118">
        <f>IFERROR(VLOOKUP(CONCATENATE($A$15,"-",$A$12, "-", $D25, "-", E$3, "-", $A$9),OBS_District_Flows!$A:$K, 6,FALSE),0)</f>
        <v>0</v>
      </c>
      <c r="F25" s="119">
        <f>IFERROR(VLOOKUP(CONCATENATE($A$15,"-",$A$12, "-", $D25, "-", F$3, "-", $A$9),OBS_District_Flows!$A:$K, 6,FALSE),0)</f>
        <v>0</v>
      </c>
      <c r="G25" s="119">
        <f>IFERROR(VLOOKUP(CONCATENATE($A$15,"-",$A$12, "-", $D25, "-", G$3, "-", $A$9),OBS_District_Flows!$A:$K, 6,FALSE),0)</f>
        <v>0</v>
      </c>
      <c r="H25" s="119">
        <f>IFERROR(VLOOKUP(CONCATENATE($A$15,"-",$A$12, "-", $D25, "-", H$3, "-", $A$9),OBS_District_Flows!$A:$K, 6,FALSE),0)</f>
        <v>0</v>
      </c>
      <c r="I25" s="119">
        <f>IFERROR(VLOOKUP(CONCATENATE($A$15,"-",$A$12, "-", $D25, "-", I$3, "-", $A$9),OBS_District_Flows!$A:$K, 6,FALSE),0)</f>
        <v>0</v>
      </c>
      <c r="J25" s="119">
        <f>IFERROR(VLOOKUP(CONCATENATE($A$15,"-",$A$12, "-", $D25, "-", J$3, "-", $A$9),OBS_District_Flows!$A:$K, 6,FALSE),0)</f>
        <v>0</v>
      </c>
      <c r="K25" s="119">
        <f>IFERROR(VLOOKUP(CONCATENATE($A$15,"-",$A$12, "-", $D25, "-", K$3, "-", $A$9),OBS_District_Flows!$A:$K, 6,FALSE),0)</f>
        <v>0</v>
      </c>
      <c r="L25" s="119">
        <f>IFERROR(VLOOKUP(CONCATENATE($A$15,"-",$A$12, "-", $D25, "-", L$3, "-", $A$9),OBS_District_Flows!$A:$K, 6,FALSE),0)</f>
        <v>0</v>
      </c>
      <c r="M25" s="119">
        <f>IFERROR(VLOOKUP(CONCATENATE($A$15,"-",$A$12, "-", $D25, "-", M$3, "-", $A$9),OBS_District_Flows!$A:$K, 6,FALSE),0)</f>
        <v>0</v>
      </c>
      <c r="N25" s="119">
        <f>IFERROR(VLOOKUP(CONCATENATE($A$15,"-",$A$12, "-", $D25, "-", N$3, "-", $A$9),OBS_District_Flows!$A:$K, 6,FALSE),0)</f>
        <v>0</v>
      </c>
      <c r="O25" s="119">
        <f>IFERROR(VLOOKUP(CONCATENATE($A$15,"-",$A$12, "-", $D25, "-", O$3, "-", $A$9),OBS_District_Flows!$A:$K, 6,FALSE),0)</f>
        <v>0</v>
      </c>
      <c r="P25" s="119">
        <f>IFERROR(VLOOKUP(CONCATENATE($A$15,"-",$A$12, "-", $D25, "-", P$3, "-", $A$9),OBS_District_Flows!$A:$K, 6,FALSE),0)</f>
        <v>0</v>
      </c>
      <c r="Q25" s="119">
        <f>IFERROR(VLOOKUP(CONCATENATE($A$15,"-",$A$12, "-", $D25, "-", Q$3, "-", $A$9),OBS_District_Flows!$A:$K, 6,FALSE),0)</f>
        <v>0</v>
      </c>
      <c r="R25" s="119">
        <f>IFERROR(VLOOKUP(CONCATENATE($A$15,"-",$A$12, "-", $D25, "-", R$3, "-", $A$9),OBS_District_Flows!$A:$K, 6,FALSE),0)</f>
        <v>0</v>
      </c>
      <c r="S25" s="119">
        <f>IFERROR(VLOOKUP(CONCATENATE($A$15,"-",$A$12, "-", $D25, "-", S$3, "-", $A$9),OBS_District_Flows!$A:$K, 6,FALSE),0)</f>
        <v>0</v>
      </c>
      <c r="T25" s="119">
        <f>IFERROR(VLOOKUP(CONCATENATE($A$15,"-",$A$12, "-", $D25, "-", T$3, "-", $A$9),OBS_District_Flows!$A:$K, 6,FALSE),0)</f>
        <v>0</v>
      </c>
      <c r="U25" s="119">
        <f>IFERROR(VLOOKUP(CONCATENATE($A$15,"-",$A$12, "-", $D25, "-", U$3, "-", $A$9),OBS_District_Flows!$A:$K, 6,FALSE),0)</f>
        <v>0</v>
      </c>
      <c r="V25" s="119">
        <f>IFERROR(VLOOKUP(CONCATENATE($A$15,"-",$A$12, "-", $D25, "-", V$3, "-", $A$9),OBS_District_Flows!$A:$K, 6,FALSE),0)</f>
        <v>0</v>
      </c>
      <c r="W25" s="119">
        <f>IFERROR(VLOOKUP(CONCATENATE($A$15,"-",$A$12, "-", $D25, "-", W$3, "-", $A$9),OBS_District_Flows!$A:$K, 6,FALSE),0)</f>
        <v>0</v>
      </c>
      <c r="X25" s="119">
        <f>IFERROR(VLOOKUP(CONCATENATE($A$15,"-",$A$12, "-", $D25, "-", X$3, "-", $A$9),OBS_District_Flows!$A:$K, 6,FALSE),0)</f>
        <v>0</v>
      </c>
      <c r="Y25" s="119">
        <f>IFERROR(VLOOKUP(CONCATENATE($A$15,"-",$A$12, "-", $D25, "-", Y$3, "-", $A$9),OBS_District_Flows!$A:$K, 6,FALSE),0)</f>
        <v>0</v>
      </c>
      <c r="Z25" s="119">
        <f>IFERROR(VLOOKUP(CONCATENATE($A$15,"-",$A$12, "-", $D25, "-", Z$3, "-", $A$9),OBS_District_Flows!$A:$K, 6,FALSE),0)</f>
        <v>0</v>
      </c>
      <c r="AA25" s="119">
        <f>IFERROR(VLOOKUP(CONCATENATE($A$15,"-",$A$12, "-", $D25, "-", AA$3, "-", $A$9),OBS_District_Flows!$A:$K, 6,FALSE),0)</f>
        <v>0</v>
      </c>
      <c r="AB25" s="119">
        <f>IFERROR(VLOOKUP(CONCATENATE($A$15,"-",$A$12, "-", $D25, "-", AB$3, "-", $A$9),OBS_District_Flows!$A:$K, 6,FALSE),0)</f>
        <v>0</v>
      </c>
      <c r="AC25" s="119">
        <f>IFERROR(VLOOKUP(CONCATENATE($A$15,"-",$A$12, "-", $D25, "-", AC$3, "-", $A$9),OBS_District_Flows!$A:$K, 6,FALSE),0)</f>
        <v>0</v>
      </c>
      <c r="AD25" s="119">
        <f>IFERROR(VLOOKUP(CONCATENATE($A$15,"-",$A$12, "-", $D25, "-", AD$3, "-", $A$9),OBS_District_Flows!$A:$K, 6,FALSE),0)</f>
        <v>0</v>
      </c>
      <c r="AE25" s="119">
        <f>IFERROR(VLOOKUP(CONCATENATE($A$15,"-",$A$12, "-", $D25, "-", AE$3, "-", $A$9),OBS_District_Flows!$A:$K, 6,FALSE),0)</f>
        <v>0</v>
      </c>
      <c r="AF25" s="119">
        <f>IFERROR(VLOOKUP(CONCATENATE($A$15,"-",$A$12, "-", $D25, "-", AF$3, "-", $A$9),OBS_District_Flows!$A:$K, 6,FALSE),0)</f>
        <v>0</v>
      </c>
      <c r="AG25" s="119">
        <f>IFERROR(VLOOKUP(CONCATENATE($A$15,"-",$A$12, "-", $D25, "-", AG$3, "-", $A$9),OBS_District_Flows!$A:$K, 6,FALSE),0)</f>
        <v>0</v>
      </c>
      <c r="AH25" s="119">
        <f>IFERROR(VLOOKUP(CONCATENATE($A$15,"-",$A$12, "-", $D25, "-", AH$3, "-", $A$9),OBS_District_Flows!$A:$K, 6,FALSE),0)</f>
        <v>0</v>
      </c>
      <c r="AI25" s="119">
        <f>IFERROR(VLOOKUP(CONCATENATE($A$15,"-",$A$12, "-", $D25, "-", AI$3, "-", $A$9),OBS_District_Flows!$A:$K, 6,FALSE),0)</f>
        <v>0</v>
      </c>
      <c r="AJ25" s="119">
        <f>IFERROR(VLOOKUP(CONCATENATE($A$15,"-",$A$12, "-", $D25, "-", AJ$3, "-", $A$9),OBS_District_Flows!$A:$K, 6,FALSE),0)</f>
        <v>0</v>
      </c>
      <c r="AK25" s="119">
        <f>IFERROR(VLOOKUP(CONCATENATE($A$15,"-",$A$12, "-", $D25, "-", AK$3, "-", $A$9),OBS_District_Flows!$A:$K, 6,FALSE),0)</f>
        <v>0</v>
      </c>
      <c r="AL25" s="120">
        <f>IFERROR(VLOOKUP(CONCATENATE($A$15,"-",$A$12, "-", $D25, "-", AL$3, "-", $A$9),OBS_District_Flows!$A:$K, 6,FALSE),0)</f>
        <v>0</v>
      </c>
      <c r="AM25" s="111">
        <f t="shared" si="0"/>
        <v>0</v>
      </c>
      <c r="AO25" s="286"/>
      <c r="AP25" s="107" t="s">
        <v>213</v>
      </c>
      <c r="AQ25" s="121" t="str">
        <f t="shared" si="1"/>
        <v/>
      </c>
      <c r="AR25" s="122" t="str">
        <f t="shared" si="2"/>
        <v/>
      </c>
      <c r="AS25" s="122" t="str">
        <f t="shared" si="3"/>
        <v/>
      </c>
      <c r="AT25" s="122" t="str">
        <f t="shared" si="4"/>
        <v/>
      </c>
      <c r="AU25" s="122" t="str">
        <f t="shared" si="5"/>
        <v/>
      </c>
      <c r="AV25" s="122" t="str">
        <f t="shared" si="6"/>
        <v/>
      </c>
      <c r="AW25" s="122" t="str">
        <f t="shared" si="7"/>
        <v/>
      </c>
      <c r="AX25" s="122" t="str">
        <f t="shared" si="8"/>
        <v/>
      </c>
      <c r="AY25" s="122" t="str">
        <f t="shared" si="9"/>
        <v/>
      </c>
      <c r="AZ25" s="122" t="str">
        <f t="shared" si="10"/>
        <v/>
      </c>
      <c r="BA25" s="122" t="str">
        <f t="shared" si="11"/>
        <v/>
      </c>
      <c r="BB25" s="122" t="str">
        <f t="shared" si="12"/>
        <v/>
      </c>
      <c r="BC25" s="122" t="str">
        <f t="shared" si="13"/>
        <v/>
      </c>
      <c r="BD25" s="122" t="str">
        <f t="shared" si="14"/>
        <v/>
      </c>
      <c r="BE25" s="122" t="str">
        <f t="shared" si="15"/>
        <v/>
      </c>
      <c r="BF25" s="122" t="str">
        <f t="shared" si="16"/>
        <v/>
      </c>
      <c r="BG25" s="122" t="str">
        <f t="shared" si="17"/>
        <v/>
      </c>
      <c r="BH25" s="122" t="str">
        <f t="shared" si="18"/>
        <v/>
      </c>
      <c r="BI25" s="122" t="str">
        <f t="shared" si="19"/>
        <v/>
      </c>
      <c r="BJ25" s="122" t="str">
        <f t="shared" si="20"/>
        <v/>
      </c>
      <c r="BK25" s="122" t="str">
        <f t="shared" si="21"/>
        <v/>
      </c>
      <c r="BL25" s="122" t="str">
        <f t="shared" si="22"/>
        <v/>
      </c>
      <c r="BM25" s="122" t="str">
        <f t="shared" si="23"/>
        <v/>
      </c>
      <c r="BN25" s="122" t="str">
        <f t="shared" si="24"/>
        <v/>
      </c>
      <c r="BO25" s="122" t="str">
        <f t="shared" si="25"/>
        <v/>
      </c>
      <c r="BP25" s="122" t="str">
        <f t="shared" si="26"/>
        <v/>
      </c>
      <c r="BQ25" s="122" t="str">
        <f t="shared" si="27"/>
        <v/>
      </c>
      <c r="BR25" s="122" t="str">
        <f t="shared" si="28"/>
        <v/>
      </c>
      <c r="BS25" s="122" t="str">
        <f t="shared" si="29"/>
        <v/>
      </c>
      <c r="BT25" s="122" t="str">
        <f t="shared" si="30"/>
        <v/>
      </c>
      <c r="BU25" s="122" t="str">
        <f t="shared" si="31"/>
        <v/>
      </c>
      <c r="BV25" s="122" t="str">
        <f t="shared" si="32"/>
        <v/>
      </c>
      <c r="BW25" s="122" t="str">
        <f t="shared" si="33"/>
        <v/>
      </c>
      <c r="BX25" s="123" t="str">
        <f t="shared" si="34"/>
        <v/>
      </c>
      <c r="BY25" s="115" t="str">
        <f t="shared" si="35"/>
        <v/>
      </c>
      <c r="CA25" s="286"/>
      <c r="CB25" s="107" t="s">
        <v>213</v>
      </c>
      <c r="CC25" s="121" t="str">
        <f t="shared" si="36"/>
        <v/>
      </c>
      <c r="CD25" s="122" t="str">
        <f t="shared" si="37"/>
        <v/>
      </c>
      <c r="CE25" s="122" t="str">
        <f t="shared" si="38"/>
        <v/>
      </c>
      <c r="CF25" s="122" t="str">
        <f t="shared" si="39"/>
        <v/>
      </c>
      <c r="CG25" s="122" t="str">
        <f t="shared" si="40"/>
        <v/>
      </c>
      <c r="CH25" s="122" t="str">
        <f t="shared" si="41"/>
        <v/>
      </c>
      <c r="CI25" s="122" t="str">
        <f t="shared" si="42"/>
        <v/>
      </c>
      <c r="CJ25" s="122" t="str">
        <f t="shared" si="43"/>
        <v/>
      </c>
      <c r="CK25" s="122" t="str">
        <f t="shared" si="44"/>
        <v/>
      </c>
      <c r="CL25" s="122" t="str">
        <f t="shared" si="45"/>
        <v/>
      </c>
      <c r="CM25" s="122" t="str">
        <f t="shared" si="46"/>
        <v/>
      </c>
      <c r="CN25" s="122" t="str">
        <f t="shared" si="47"/>
        <v/>
      </c>
      <c r="CO25" s="122" t="str">
        <f t="shared" si="48"/>
        <v/>
      </c>
      <c r="CP25" s="122" t="str">
        <f t="shared" si="49"/>
        <v/>
      </c>
      <c r="CQ25" s="122" t="str">
        <f t="shared" si="50"/>
        <v/>
      </c>
      <c r="CR25" s="122" t="str">
        <f t="shared" si="51"/>
        <v/>
      </c>
      <c r="CS25" s="122" t="str">
        <f t="shared" si="52"/>
        <v/>
      </c>
      <c r="CT25" s="122" t="str">
        <f t="shared" si="53"/>
        <v/>
      </c>
      <c r="CU25" s="122" t="str">
        <f t="shared" si="54"/>
        <v/>
      </c>
      <c r="CV25" s="122" t="str">
        <f t="shared" si="55"/>
        <v/>
      </c>
      <c r="CW25" s="122" t="str">
        <f t="shared" si="56"/>
        <v/>
      </c>
      <c r="CX25" s="122" t="str">
        <f t="shared" si="57"/>
        <v/>
      </c>
      <c r="CY25" s="122" t="str">
        <f t="shared" si="58"/>
        <v/>
      </c>
      <c r="CZ25" s="122" t="str">
        <f t="shared" si="59"/>
        <v/>
      </c>
      <c r="DA25" s="122" t="str">
        <f t="shared" si="60"/>
        <v/>
      </c>
      <c r="DB25" s="122" t="str">
        <f t="shared" si="61"/>
        <v/>
      </c>
      <c r="DC25" s="122" t="str">
        <f t="shared" si="62"/>
        <v/>
      </c>
      <c r="DD25" s="122" t="str">
        <f t="shared" si="63"/>
        <v/>
      </c>
      <c r="DE25" s="122" t="str">
        <f t="shared" si="64"/>
        <v/>
      </c>
      <c r="DF25" s="122" t="str">
        <f t="shared" si="65"/>
        <v/>
      </c>
      <c r="DG25" s="122" t="str">
        <f t="shared" si="66"/>
        <v/>
      </c>
      <c r="DH25" s="122" t="str">
        <f t="shared" si="67"/>
        <v/>
      </c>
      <c r="DI25" s="122" t="str">
        <f t="shared" si="68"/>
        <v/>
      </c>
      <c r="DJ25" s="123" t="str">
        <f t="shared" si="69"/>
        <v/>
      </c>
      <c r="DK25" s="115" t="str">
        <f t="shared" si="70"/>
        <v/>
      </c>
    </row>
    <row r="26" spans="1:115" x14ac:dyDescent="0.2">
      <c r="A26" s="103" t="s">
        <v>227</v>
      </c>
      <c r="C26" s="285"/>
      <c r="D26" s="107" t="s">
        <v>214</v>
      </c>
      <c r="E26" s="118">
        <f>IFERROR(VLOOKUP(CONCATENATE($A$15,"-",$A$12, "-", $D26, "-", E$3, "-", $A$9),OBS_District_Flows!$A:$K, 6,FALSE),0)</f>
        <v>0</v>
      </c>
      <c r="F26" s="119">
        <f>IFERROR(VLOOKUP(CONCATENATE($A$15,"-",$A$12, "-", $D26, "-", F$3, "-", $A$9),OBS_District_Flows!$A:$K, 6,FALSE),0)</f>
        <v>0</v>
      </c>
      <c r="G26" s="119">
        <f>IFERROR(VLOOKUP(CONCATENATE($A$15,"-",$A$12, "-", $D26, "-", G$3, "-", $A$9),OBS_District_Flows!$A:$K, 6,FALSE),0)</f>
        <v>0</v>
      </c>
      <c r="H26" s="119">
        <f>IFERROR(VLOOKUP(CONCATENATE($A$15,"-",$A$12, "-", $D26, "-", H$3, "-", $A$9),OBS_District_Flows!$A:$K, 6,FALSE),0)</f>
        <v>0</v>
      </c>
      <c r="I26" s="119">
        <f>IFERROR(VLOOKUP(CONCATENATE($A$15,"-",$A$12, "-", $D26, "-", I$3, "-", $A$9),OBS_District_Flows!$A:$K, 6,FALSE),0)</f>
        <v>0</v>
      </c>
      <c r="J26" s="119">
        <f>IFERROR(VLOOKUP(CONCATENATE($A$15,"-",$A$12, "-", $D26, "-", J$3, "-", $A$9),OBS_District_Flows!$A:$K, 6,FALSE),0)</f>
        <v>0</v>
      </c>
      <c r="K26" s="119">
        <f>IFERROR(VLOOKUP(CONCATENATE($A$15,"-",$A$12, "-", $D26, "-", K$3, "-", $A$9),OBS_District_Flows!$A:$K, 6,FALSE),0)</f>
        <v>0</v>
      </c>
      <c r="L26" s="119">
        <f>IFERROR(VLOOKUP(CONCATENATE($A$15,"-",$A$12, "-", $D26, "-", L$3, "-", $A$9),OBS_District_Flows!$A:$K, 6,FALSE),0)</f>
        <v>0</v>
      </c>
      <c r="M26" s="119">
        <f>IFERROR(VLOOKUP(CONCATENATE($A$15,"-",$A$12, "-", $D26, "-", M$3, "-", $A$9),OBS_District_Flows!$A:$K, 6,FALSE),0)</f>
        <v>0</v>
      </c>
      <c r="N26" s="119">
        <f>IFERROR(VLOOKUP(CONCATENATE($A$15,"-",$A$12, "-", $D26, "-", N$3, "-", $A$9),OBS_District_Flows!$A:$K, 6,FALSE),0)</f>
        <v>0</v>
      </c>
      <c r="O26" s="119">
        <f>IFERROR(VLOOKUP(CONCATENATE($A$15,"-",$A$12, "-", $D26, "-", O$3, "-", $A$9),OBS_District_Flows!$A:$K, 6,FALSE),0)</f>
        <v>0</v>
      </c>
      <c r="P26" s="119">
        <f>IFERROR(VLOOKUP(CONCATENATE($A$15,"-",$A$12, "-", $D26, "-", P$3, "-", $A$9),OBS_District_Flows!$A:$K, 6,FALSE),0)</f>
        <v>0</v>
      </c>
      <c r="Q26" s="119">
        <f>IFERROR(VLOOKUP(CONCATENATE($A$15,"-",$A$12, "-", $D26, "-", Q$3, "-", $A$9),OBS_District_Flows!$A:$K, 6,FALSE),0)</f>
        <v>0</v>
      </c>
      <c r="R26" s="119">
        <f>IFERROR(VLOOKUP(CONCATENATE($A$15,"-",$A$12, "-", $D26, "-", R$3, "-", $A$9),OBS_District_Flows!$A:$K, 6,FALSE),0)</f>
        <v>0</v>
      </c>
      <c r="S26" s="119">
        <f>IFERROR(VLOOKUP(CONCATENATE($A$15,"-",$A$12, "-", $D26, "-", S$3, "-", $A$9),OBS_District_Flows!$A:$K, 6,FALSE),0)</f>
        <v>0</v>
      </c>
      <c r="T26" s="119">
        <f>IFERROR(VLOOKUP(CONCATENATE($A$15,"-",$A$12, "-", $D26, "-", T$3, "-", $A$9),OBS_District_Flows!$A:$K, 6,FALSE),0)</f>
        <v>0</v>
      </c>
      <c r="U26" s="119">
        <f>IFERROR(VLOOKUP(CONCATENATE($A$15,"-",$A$12, "-", $D26, "-", U$3, "-", $A$9),OBS_District_Flows!$A:$K, 6,FALSE),0)</f>
        <v>0</v>
      </c>
      <c r="V26" s="119">
        <f>IFERROR(VLOOKUP(CONCATENATE($A$15,"-",$A$12, "-", $D26, "-", V$3, "-", $A$9),OBS_District_Flows!$A:$K, 6,FALSE),0)</f>
        <v>0</v>
      </c>
      <c r="W26" s="119">
        <f>IFERROR(VLOOKUP(CONCATENATE($A$15,"-",$A$12, "-", $D26, "-", W$3, "-", $A$9),OBS_District_Flows!$A:$K, 6,FALSE),0)</f>
        <v>0</v>
      </c>
      <c r="X26" s="119">
        <f>IFERROR(VLOOKUP(CONCATENATE($A$15,"-",$A$12, "-", $D26, "-", X$3, "-", $A$9),OBS_District_Flows!$A:$K, 6,FALSE),0)</f>
        <v>0</v>
      </c>
      <c r="Y26" s="119">
        <f>IFERROR(VLOOKUP(CONCATENATE($A$15,"-",$A$12, "-", $D26, "-", Y$3, "-", $A$9),OBS_District_Flows!$A:$K, 6,FALSE),0)</f>
        <v>0</v>
      </c>
      <c r="Z26" s="119">
        <f>IFERROR(VLOOKUP(CONCATENATE($A$15,"-",$A$12, "-", $D26, "-", Z$3, "-", $A$9),OBS_District_Flows!$A:$K, 6,FALSE),0)</f>
        <v>0</v>
      </c>
      <c r="AA26" s="119">
        <f>IFERROR(VLOOKUP(CONCATENATE($A$15,"-",$A$12, "-", $D26, "-", AA$3, "-", $A$9),OBS_District_Flows!$A:$K, 6,FALSE),0)</f>
        <v>0</v>
      </c>
      <c r="AB26" s="119">
        <f>IFERROR(VLOOKUP(CONCATENATE($A$15,"-",$A$12, "-", $D26, "-", AB$3, "-", $A$9),OBS_District_Flows!$A:$K, 6,FALSE),0)</f>
        <v>0</v>
      </c>
      <c r="AC26" s="119">
        <f>IFERROR(VLOOKUP(CONCATENATE($A$15,"-",$A$12, "-", $D26, "-", AC$3, "-", $A$9),OBS_District_Flows!$A:$K, 6,FALSE),0)</f>
        <v>0</v>
      </c>
      <c r="AD26" s="119">
        <f>IFERROR(VLOOKUP(CONCATENATE($A$15,"-",$A$12, "-", $D26, "-", AD$3, "-", $A$9),OBS_District_Flows!$A:$K, 6,FALSE),0)</f>
        <v>0</v>
      </c>
      <c r="AE26" s="119">
        <f>IFERROR(VLOOKUP(CONCATENATE($A$15,"-",$A$12, "-", $D26, "-", AE$3, "-", $A$9),OBS_District_Flows!$A:$K, 6,FALSE),0)</f>
        <v>0</v>
      </c>
      <c r="AF26" s="119">
        <f>IFERROR(VLOOKUP(CONCATENATE($A$15,"-",$A$12, "-", $D26, "-", AF$3, "-", $A$9),OBS_District_Flows!$A:$K, 6,FALSE),0)</f>
        <v>0</v>
      </c>
      <c r="AG26" s="119">
        <f>IFERROR(VLOOKUP(CONCATENATE($A$15,"-",$A$12, "-", $D26, "-", AG$3, "-", $A$9),OBS_District_Flows!$A:$K, 6,FALSE),0)</f>
        <v>0</v>
      </c>
      <c r="AH26" s="119">
        <f>IFERROR(VLOOKUP(CONCATENATE($A$15,"-",$A$12, "-", $D26, "-", AH$3, "-", $A$9),OBS_District_Flows!$A:$K, 6,FALSE),0)</f>
        <v>0</v>
      </c>
      <c r="AI26" s="119">
        <f>IFERROR(VLOOKUP(CONCATENATE($A$15,"-",$A$12, "-", $D26, "-", AI$3, "-", $A$9),OBS_District_Flows!$A:$K, 6,FALSE),0)</f>
        <v>0</v>
      </c>
      <c r="AJ26" s="119">
        <f>IFERROR(VLOOKUP(CONCATENATE($A$15,"-",$A$12, "-", $D26, "-", AJ$3, "-", $A$9),OBS_District_Flows!$A:$K, 6,FALSE),0)</f>
        <v>0</v>
      </c>
      <c r="AK26" s="119">
        <f>IFERROR(VLOOKUP(CONCATENATE($A$15,"-",$A$12, "-", $D26, "-", AK$3, "-", $A$9),OBS_District_Flows!$A:$K, 6,FALSE),0)</f>
        <v>0</v>
      </c>
      <c r="AL26" s="120">
        <f>IFERROR(VLOOKUP(CONCATENATE($A$15,"-",$A$12, "-", $D26, "-", AL$3, "-", $A$9),OBS_District_Flows!$A:$K, 6,FALSE),0)</f>
        <v>0</v>
      </c>
      <c r="AM26" s="111">
        <f t="shared" si="0"/>
        <v>0</v>
      </c>
      <c r="AO26" s="286"/>
      <c r="AP26" s="107" t="s">
        <v>214</v>
      </c>
      <c r="AQ26" s="121" t="str">
        <f t="shared" si="1"/>
        <v/>
      </c>
      <c r="AR26" s="122" t="str">
        <f t="shared" si="2"/>
        <v/>
      </c>
      <c r="AS26" s="122" t="str">
        <f t="shared" si="3"/>
        <v/>
      </c>
      <c r="AT26" s="122" t="str">
        <f t="shared" si="4"/>
        <v/>
      </c>
      <c r="AU26" s="122" t="str">
        <f t="shared" si="5"/>
        <v/>
      </c>
      <c r="AV26" s="122" t="str">
        <f t="shared" si="6"/>
        <v/>
      </c>
      <c r="AW26" s="122" t="str">
        <f t="shared" si="7"/>
        <v/>
      </c>
      <c r="AX26" s="122" t="str">
        <f t="shared" si="8"/>
        <v/>
      </c>
      <c r="AY26" s="122" t="str">
        <f t="shared" si="9"/>
        <v/>
      </c>
      <c r="AZ26" s="122" t="str">
        <f t="shared" si="10"/>
        <v/>
      </c>
      <c r="BA26" s="122" t="str">
        <f t="shared" si="11"/>
        <v/>
      </c>
      <c r="BB26" s="122" t="str">
        <f t="shared" si="12"/>
        <v/>
      </c>
      <c r="BC26" s="122" t="str">
        <f t="shared" si="13"/>
        <v/>
      </c>
      <c r="BD26" s="122" t="str">
        <f t="shared" si="14"/>
        <v/>
      </c>
      <c r="BE26" s="122" t="str">
        <f t="shared" si="15"/>
        <v/>
      </c>
      <c r="BF26" s="122" t="str">
        <f t="shared" si="16"/>
        <v/>
      </c>
      <c r="BG26" s="122" t="str">
        <f t="shared" si="17"/>
        <v/>
      </c>
      <c r="BH26" s="122" t="str">
        <f t="shared" si="18"/>
        <v/>
      </c>
      <c r="BI26" s="122" t="str">
        <f t="shared" si="19"/>
        <v/>
      </c>
      <c r="BJ26" s="122" t="str">
        <f t="shared" si="20"/>
        <v/>
      </c>
      <c r="BK26" s="122" t="str">
        <f t="shared" si="21"/>
        <v/>
      </c>
      <c r="BL26" s="122" t="str">
        <f t="shared" si="22"/>
        <v/>
      </c>
      <c r="BM26" s="122" t="str">
        <f t="shared" si="23"/>
        <v/>
      </c>
      <c r="BN26" s="122" t="str">
        <f t="shared" si="24"/>
        <v/>
      </c>
      <c r="BO26" s="122" t="str">
        <f t="shared" si="25"/>
        <v/>
      </c>
      <c r="BP26" s="122" t="str">
        <f t="shared" si="26"/>
        <v/>
      </c>
      <c r="BQ26" s="122" t="str">
        <f t="shared" si="27"/>
        <v/>
      </c>
      <c r="BR26" s="122" t="str">
        <f t="shared" si="28"/>
        <v/>
      </c>
      <c r="BS26" s="122" t="str">
        <f t="shared" si="29"/>
        <v/>
      </c>
      <c r="BT26" s="122" t="str">
        <f t="shared" si="30"/>
        <v/>
      </c>
      <c r="BU26" s="122" t="str">
        <f t="shared" si="31"/>
        <v/>
      </c>
      <c r="BV26" s="122" t="str">
        <f t="shared" si="32"/>
        <v/>
      </c>
      <c r="BW26" s="122" t="str">
        <f t="shared" si="33"/>
        <v/>
      </c>
      <c r="BX26" s="123" t="str">
        <f t="shared" si="34"/>
        <v/>
      </c>
      <c r="BY26" s="115" t="str">
        <f t="shared" si="35"/>
        <v/>
      </c>
      <c r="CA26" s="286"/>
      <c r="CB26" s="107" t="s">
        <v>214</v>
      </c>
      <c r="CC26" s="121" t="str">
        <f t="shared" si="36"/>
        <v/>
      </c>
      <c r="CD26" s="122" t="str">
        <f t="shared" si="37"/>
        <v/>
      </c>
      <c r="CE26" s="122" t="str">
        <f t="shared" si="38"/>
        <v/>
      </c>
      <c r="CF26" s="122" t="str">
        <f t="shared" si="39"/>
        <v/>
      </c>
      <c r="CG26" s="122" t="str">
        <f t="shared" si="40"/>
        <v/>
      </c>
      <c r="CH26" s="122" t="str">
        <f t="shared" si="41"/>
        <v/>
      </c>
      <c r="CI26" s="122" t="str">
        <f t="shared" si="42"/>
        <v/>
      </c>
      <c r="CJ26" s="122" t="str">
        <f t="shared" si="43"/>
        <v/>
      </c>
      <c r="CK26" s="122" t="str">
        <f t="shared" si="44"/>
        <v/>
      </c>
      <c r="CL26" s="122" t="str">
        <f t="shared" si="45"/>
        <v/>
      </c>
      <c r="CM26" s="122" t="str">
        <f t="shared" si="46"/>
        <v/>
      </c>
      <c r="CN26" s="122" t="str">
        <f t="shared" si="47"/>
        <v/>
      </c>
      <c r="CO26" s="122" t="str">
        <f t="shared" si="48"/>
        <v/>
      </c>
      <c r="CP26" s="122" t="str">
        <f t="shared" si="49"/>
        <v/>
      </c>
      <c r="CQ26" s="122" t="str">
        <f t="shared" si="50"/>
        <v/>
      </c>
      <c r="CR26" s="122" t="str">
        <f t="shared" si="51"/>
        <v/>
      </c>
      <c r="CS26" s="122" t="str">
        <f t="shared" si="52"/>
        <v/>
      </c>
      <c r="CT26" s="122" t="str">
        <f t="shared" si="53"/>
        <v/>
      </c>
      <c r="CU26" s="122" t="str">
        <f t="shared" si="54"/>
        <v/>
      </c>
      <c r="CV26" s="122" t="str">
        <f t="shared" si="55"/>
        <v/>
      </c>
      <c r="CW26" s="122" t="str">
        <f t="shared" si="56"/>
        <v/>
      </c>
      <c r="CX26" s="122" t="str">
        <f t="shared" si="57"/>
        <v/>
      </c>
      <c r="CY26" s="122" t="str">
        <f t="shared" si="58"/>
        <v/>
      </c>
      <c r="CZ26" s="122" t="str">
        <f t="shared" si="59"/>
        <v/>
      </c>
      <c r="DA26" s="122" t="str">
        <f t="shared" si="60"/>
        <v/>
      </c>
      <c r="DB26" s="122" t="str">
        <f t="shared" si="61"/>
        <v/>
      </c>
      <c r="DC26" s="122" t="str">
        <f t="shared" si="62"/>
        <v/>
      </c>
      <c r="DD26" s="122" t="str">
        <f t="shared" si="63"/>
        <v/>
      </c>
      <c r="DE26" s="122" t="str">
        <f t="shared" si="64"/>
        <v/>
      </c>
      <c r="DF26" s="122" t="str">
        <f t="shared" si="65"/>
        <v/>
      </c>
      <c r="DG26" s="122" t="str">
        <f t="shared" si="66"/>
        <v/>
      </c>
      <c r="DH26" s="122" t="str">
        <f t="shared" si="67"/>
        <v/>
      </c>
      <c r="DI26" s="122" t="str">
        <f t="shared" si="68"/>
        <v/>
      </c>
      <c r="DJ26" s="123" t="str">
        <f t="shared" si="69"/>
        <v/>
      </c>
      <c r="DK26" s="115" t="str">
        <f t="shared" si="70"/>
        <v/>
      </c>
    </row>
    <row r="27" spans="1:115" x14ac:dyDescent="0.2">
      <c r="A27" s="103" t="s">
        <v>226</v>
      </c>
      <c r="C27" s="285"/>
      <c r="D27" s="107" t="s">
        <v>179</v>
      </c>
      <c r="E27" s="118">
        <f>IFERROR(VLOOKUP(CONCATENATE($A$15,"-",$A$12, "-", $D27, "-", E$3, "-", $A$9),OBS_District_Flows!$A:$K, 6,FALSE),0)</f>
        <v>0</v>
      </c>
      <c r="F27" s="119">
        <f>IFERROR(VLOOKUP(CONCATENATE($A$15,"-",$A$12, "-", $D27, "-", F$3, "-", $A$9),OBS_District_Flows!$A:$K, 6,FALSE),0)</f>
        <v>0</v>
      </c>
      <c r="G27" s="119">
        <f>IFERROR(VLOOKUP(CONCATENATE($A$15,"-",$A$12, "-", $D27, "-", G$3, "-", $A$9),OBS_District_Flows!$A:$K, 6,FALSE),0)</f>
        <v>0</v>
      </c>
      <c r="H27" s="119">
        <f>IFERROR(VLOOKUP(CONCATENATE($A$15,"-",$A$12, "-", $D27, "-", H$3, "-", $A$9),OBS_District_Flows!$A:$K, 6,FALSE),0)</f>
        <v>0</v>
      </c>
      <c r="I27" s="119">
        <f>IFERROR(VLOOKUP(CONCATENATE($A$15,"-",$A$12, "-", $D27, "-", I$3, "-", $A$9),OBS_District_Flows!$A:$K, 6,FALSE),0)</f>
        <v>0</v>
      </c>
      <c r="J27" s="119">
        <f>IFERROR(VLOOKUP(CONCATENATE($A$15,"-",$A$12, "-", $D27, "-", J$3, "-", $A$9),OBS_District_Flows!$A:$K, 6,FALSE),0)</f>
        <v>0</v>
      </c>
      <c r="K27" s="119">
        <f>IFERROR(VLOOKUP(CONCATENATE($A$15,"-",$A$12, "-", $D27, "-", K$3, "-", $A$9),OBS_District_Flows!$A:$K, 6,FALSE),0)</f>
        <v>0</v>
      </c>
      <c r="L27" s="119">
        <f>IFERROR(VLOOKUP(CONCATENATE($A$15,"-",$A$12, "-", $D27, "-", L$3, "-", $A$9),OBS_District_Flows!$A:$K, 6,FALSE),0)</f>
        <v>0</v>
      </c>
      <c r="M27" s="119">
        <f>IFERROR(VLOOKUP(CONCATENATE($A$15,"-",$A$12, "-", $D27, "-", M$3, "-", $A$9),OBS_District_Flows!$A:$K, 6,FALSE),0)</f>
        <v>0</v>
      </c>
      <c r="N27" s="119">
        <f>IFERROR(VLOOKUP(CONCATENATE($A$15,"-",$A$12, "-", $D27, "-", N$3, "-", $A$9),OBS_District_Flows!$A:$K, 6,FALSE),0)</f>
        <v>0</v>
      </c>
      <c r="O27" s="119">
        <f>IFERROR(VLOOKUP(CONCATENATE($A$15,"-",$A$12, "-", $D27, "-", O$3, "-", $A$9),OBS_District_Flows!$A:$K, 6,FALSE),0)</f>
        <v>0</v>
      </c>
      <c r="P27" s="119">
        <f>IFERROR(VLOOKUP(CONCATENATE($A$15,"-",$A$12, "-", $D27, "-", P$3, "-", $A$9),OBS_District_Flows!$A:$K, 6,FALSE),0)</f>
        <v>0</v>
      </c>
      <c r="Q27" s="119">
        <f>IFERROR(VLOOKUP(CONCATENATE($A$15,"-",$A$12, "-", $D27, "-", Q$3, "-", $A$9),OBS_District_Flows!$A:$K, 6,FALSE),0)</f>
        <v>0</v>
      </c>
      <c r="R27" s="119">
        <f>IFERROR(VLOOKUP(CONCATENATE($A$15,"-",$A$12, "-", $D27, "-", R$3, "-", $A$9),OBS_District_Flows!$A:$K, 6,FALSE),0)</f>
        <v>0</v>
      </c>
      <c r="S27" s="119">
        <f>IFERROR(VLOOKUP(CONCATENATE($A$15,"-",$A$12, "-", $D27, "-", S$3, "-", $A$9),OBS_District_Flows!$A:$K, 6,FALSE),0)</f>
        <v>0</v>
      </c>
      <c r="T27" s="119">
        <f>IFERROR(VLOOKUP(CONCATENATE($A$15,"-",$A$12, "-", $D27, "-", T$3, "-", $A$9),OBS_District_Flows!$A:$K, 6,FALSE),0)</f>
        <v>0</v>
      </c>
      <c r="U27" s="119">
        <f>IFERROR(VLOOKUP(CONCATENATE($A$15,"-",$A$12, "-", $D27, "-", U$3, "-", $A$9),OBS_District_Flows!$A:$K, 6,FALSE),0)</f>
        <v>0</v>
      </c>
      <c r="V27" s="119">
        <f>IFERROR(VLOOKUP(CONCATENATE($A$15,"-",$A$12, "-", $D27, "-", V$3, "-", $A$9),OBS_District_Flows!$A:$K, 6,FALSE),0)</f>
        <v>0</v>
      </c>
      <c r="W27" s="119">
        <f>IFERROR(VLOOKUP(CONCATENATE($A$15,"-",$A$12, "-", $D27, "-", W$3, "-", $A$9),OBS_District_Flows!$A:$K, 6,FALSE),0)</f>
        <v>0</v>
      </c>
      <c r="X27" s="119">
        <f>IFERROR(VLOOKUP(CONCATENATE($A$15,"-",$A$12, "-", $D27, "-", X$3, "-", $A$9),OBS_District_Flows!$A:$K, 6,FALSE),0)</f>
        <v>0</v>
      </c>
      <c r="Y27" s="119">
        <f>IFERROR(VLOOKUP(CONCATENATE($A$15,"-",$A$12, "-", $D27, "-", Y$3, "-", $A$9),OBS_District_Flows!$A:$K, 6,FALSE),0)</f>
        <v>0</v>
      </c>
      <c r="Z27" s="119">
        <f>IFERROR(VLOOKUP(CONCATENATE($A$15,"-",$A$12, "-", $D27, "-", Z$3, "-", $A$9),OBS_District_Flows!$A:$K, 6,FALSE),0)</f>
        <v>0</v>
      </c>
      <c r="AA27" s="119">
        <f>IFERROR(VLOOKUP(CONCATENATE($A$15,"-",$A$12, "-", $D27, "-", AA$3, "-", $A$9),OBS_District_Flows!$A:$K, 6,FALSE),0)</f>
        <v>0</v>
      </c>
      <c r="AB27" s="119">
        <f>IFERROR(VLOOKUP(CONCATENATE($A$15,"-",$A$12, "-", $D27, "-", AB$3, "-", $A$9),OBS_District_Flows!$A:$K, 6,FALSE),0)</f>
        <v>0</v>
      </c>
      <c r="AC27" s="119">
        <f>IFERROR(VLOOKUP(CONCATENATE($A$15,"-",$A$12, "-", $D27, "-", AC$3, "-", $A$9),OBS_District_Flows!$A:$K, 6,FALSE),0)</f>
        <v>0</v>
      </c>
      <c r="AD27" s="119">
        <f>IFERROR(VLOOKUP(CONCATENATE($A$15,"-",$A$12, "-", $D27, "-", AD$3, "-", $A$9),OBS_District_Flows!$A:$K, 6,FALSE),0)</f>
        <v>0</v>
      </c>
      <c r="AE27" s="119">
        <f>IFERROR(VLOOKUP(CONCATENATE($A$15,"-",$A$12, "-", $D27, "-", AE$3, "-", $A$9),OBS_District_Flows!$A:$K, 6,FALSE),0)</f>
        <v>0</v>
      </c>
      <c r="AF27" s="119">
        <f>IFERROR(VLOOKUP(CONCATENATE($A$15,"-",$A$12, "-", $D27, "-", AF$3, "-", $A$9),OBS_District_Flows!$A:$K, 6,FALSE),0)</f>
        <v>0</v>
      </c>
      <c r="AG27" s="119">
        <f>IFERROR(VLOOKUP(CONCATENATE($A$15,"-",$A$12, "-", $D27, "-", AG$3, "-", $A$9),OBS_District_Flows!$A:$K, 6,FALSE),0)</f>
        <v>0</v>
      </c>
      <c r="AH27" s="119">
        <f>IFERROR(VLOOKUP(CONCATENATE($A$15,"-",$A$12, "-", $D27, "-", AH$3, "-", $A$9),OBS_District_Flows!$A:$K, 6,FALSE),0)</f>
        <v>0</v>
      </c>
      <c r="AI27" s="119">
        <f>IFERROR(VLOOKUP(CONCATENATE($A$15,"-",$A$12, "-", $D27, "-", AI$3, "-", $A$9),OBS_District_Flows!$A:$K, 6,FALSE),0)</f>
        <v>0</v>
      </c>
      <c r="AJ27" s="119">
        <f>IFERROR(VLOOKUP(CONCATENATE($A$15,"-",$A$12, "-", $D27, "-", AJ$3, "-", $A$9),OBS_District_Flows!$A:$K, 6,FALSE),0)</f>
        <v>0</v>
      </c>
      <c r="AK27" s="119">
        <f>IFERROR(VLOOKUP(CONCATENATE($A$15,"-",$A$12, "-", $D27, "-", AK$3, "-", $A$9),OBS_District_Flows!$A:$K, 6,FALSE),0)</f>
        <v>0</v>
      </c>
      <c r="AL27" s="120">
        <f>IFERROR(VLOOKUP(CONCATENATE($A$15,"-",$A$12, "-", $D27, "-", AL$3, "-", $A$9),OBS_District_Flows!$A:$K, 6,FALSE),0)</f>
        <v>0</v>
      </c>
      <c r="AM27" s="111">
        <f t="shared" si="0"/>
        <v>0</v>
      </c>
      <c r="AO27" s="286"/>
      <c r="AP27" s="107" t="s">
        <v>179</v>
      </c>
      <c r="AQ27" s="121" t="str">
        <f t="shared" si="1"/>
        <v/>
      </c>
      <c r="AR27" s="122" t="str">
        <f t="shared" si="2"/>
        <v/>
      </c>
      <c r="AS27" s="122" t="str">
        <f t="shared" si="3"/>
        <v/>
      </c>
      <c r="AT27" s="122" t="str">
        <f t="shared" si="4"/>
        <v/>
      </c>
      <c r="AU27" s="122" t="str">
        <f t="shared" si="5"/>
        <v/>
      </c>
      <c r="AV27" s="122" t="str">
        <f t="shared" si="6"/>
        <v/>
      </c>
      <c r="AW27" s="122" t="str">
        <f t="shared" si="7"/>
        <v/>
      </c>
      <c r="AX27" s="122" t="str">
        <f t="shared" si="8"/>
        <v/>
      </c>
      <c r="AY27" s="122" t="str">
        <f t="shared" si="9"/>
        <v/>
      </c>
      <c r="AZ27" s="122" t="str">
        <f t="shared" si="10"/>
        <v/>
      </c>
      <c r="BA27" s="122" t="str">
        <f t="shared" si="11"/>
        <v/>
      </c>
      <c r="BB27" s="122" t="str">
        <f t="shared" si="12"/>
        <v/>
      </c>
      <c r="BC27" s="122" t="str">
        <f t="shared" si="13"/>
        <v/>
      </c>
      <c r="BD27" s="122" t="str">
        <f t="shared" si="14"/>
        <v/>
      </c>
      <c r="BE27" s="122" t="str">
        <f t="shared" si="15"/>
        <v/>
      </c>
      <c r="BF27" s="122" t="str">
        <f t="shared" si="16"/>
        <v/>
      </c>
      <c r="BG27" s="122" t="str">
        <f t="shared" si="17"/>
        <v/>
      </c>
      <c r="BH27" s="122" t="str">
        <f t="shared" si="18"/>
        <v/>
      </c>
      <c r="BI27" s="122" t="str">
        <f t="shared" si="19"/>
        <v/>
      </c>
      <c r="BJ27" s="122" t="str">
        <f t="shared" si="20"/>
        <v/>
      </c>
      <c r="BK27" s="122" t="str">
        <f t="shared" si="21"/>
        <v/>
      </c>
      <c r="BL27" s="122" t="str">
        <f t="shared" si="22"/>
        <v/>
      </c>
      <c r="BM27" s="122" t="str">
        <f t="shared" si="23"/>
        <v/>
      </c>
      <c r="BN27" s="122" t="str">
        <f t="shared" si="24"/>
        <v/>
      </c>
      <c r="BO27" s="122" t="str">
        <f t="shared" si="25"/>
        <v/>
      </c>
      <c r="BP27" s="122" t="str">
        <f t="shared" si="26"/>
        <v/>
      </c>
      <c r="BQ27" s="122" t="str">
        <f t="shared" si="27"/>
        <v/>
      </c>
      <c r="BR27" s="122" t="str">
        <f t="shared" si="28"/>
        <v/>
      </c>
      <c r="BS27" s="122" t="str">
        <f t="shared" si="29"/>
        <v/>
      </c>
      <c r="BT27" s="122" t="str">
        <f t="shared" si="30"/>
        <v/>
      </c>
      <c r="BU27" s="122" t="str">
        <f t="shared" si="31"/>
        <v/>
      </c>
      <c r="BV27" s="122" t="str">
        <f t="shared" si="32"/>
        <v/>
      </c>
      <c r="BW27" s="122" t="str">
        <f t="shared" si="33"/>
        <v/>
      </c>
      <c r="BX27" s="123" t="str">
        <f t="shared" si="34"/>
        <v/>
      </c>
      <c r="BY27" s="115" t="str">
        <f t="shared" si="35"/>
        <v/>
      </c>
      <c r="CA27" s="286"/>
      <c r="CB27" s="107" t="s">
        <v>179</v>
      </c>
      <c r="CC27" s="121" t="str">
        <f t="shared" si="36"/>
        <v/>
      </c>
      <c r="CD27" s="122" t="str">
        <f t="shared" si="37"/>
        <v/>
      </c>
      <c r="CE27" s="122" t="str">
        <f t="shared" si="38"/>
        <v/>
      </c>
      <c r="CF27" s="122" t="str">
        <f t="shared" si="39"/>
        <v/>
      </c>
      <c r="CG27" s="122" t="str">
        <f t="shared" si="40"/>
        <v/>
      </c>
      <c r="CH27" s="122" t="str">
        <f t="shared" si="41"/>
        <v/>
      </c>
      <c r="CI27" s="122" t="str">
        <f t="shared" si="42"/>
        <v/>
      </c>
      <c r="CJ27" s="122" t="str">
        <f t="shared" si="43"/>
        <v/>
      </c>
      <c r="CK27" s="122" t="str">
        <f t="shared" si="44"/>
        <v/>
      </c>
      <c r="CL27" s="122" t="str">
        <f t="shared" si="45"/>
        <v/>
      </c>
      <c r="CM27" s="122" t="str">
        <f t="shared" si="46"/>
        <v/>
      </c>
      <c r="CN27" s="122" t="str">
        <f t="shared" si="47"/>
        <v/>
      </c>
      <c r="CO27" s="122" t="str">
        <f t="shared" si="48"/>
        <v/>
      </c>
      <c r="CP27" s="122" t="str">
        <f t="shared" si="49"/>
        <v/>
      </c>
      <c r="CQ27" s="122" t="str">
        <f t="shared" si="50"/>
        <v/>
      </c>
      <c r="CR27" s="122" t="str">
        <f t="shared" si="51"/>
        <v/>
      </c>
      <c r="CS27" s="122" t="str">
        <f t="shared" si="52"/>
        <v/>
      </c>
      <c r="CT27" s="122" t="str">
        <f t="shared" si="53"/>
        <v/>
      </c>
      <c r="CU27" s="122" t="str">
        <f t="shared" si="54"/>
        <v/>
      </c>
      <c r="CV27" s="122" t="str">
        <f t="shared" si="55"/>
        <v/>
      </c>
      <c r="CW27" s="122" t="str">
        <f t="shared" si="56"/>
        <v/>
      </c>
      <c r="CX27" s="122" t="str">
        <f t="shared" si="57"/>
        <v/>
      </c>
      <c r="CY27" s="122" t="str">
        <f t="shared" si="58"/>
        <v/>
      </c>
      <c r="CZ27" s="122" t="str">
        <f t="shared" si="59"/>
        <v/>
      </c>
      <c r="DA27" s="122" t="str">
        <f t="shared" si="60"/>
        <v/>
      </c>
      <c r="DB27" s="122" t="str">
        <f t="shared" si="61"/>
        <v/>
      </c>
      <c r="DC27" s="122" t="str">
        <f t="shared" si="62"/>
        <v/>
      </c>
      <c r="DD27" s="122" t="str">
        <f t="shared" si="63"/>
        <v/>
      </c>
      <c r="DE27" s="122" t="str">
        <f t="shared" si="64"/>
        <v/>
      </c>
      <c r="DF27" s="122" t="str">
        <f t="shared" si="65"/>
        <v/>
      </c>
      <c r="DG27" s="122" t="str">
        <f t="shared" si="66"/>
        <v/>
      </c>
      <c r="DH27" s="122" t="str">
        <f t="shared" si="67"/>
        <v/>
      </c>
      <c r="DI27" s="122" t="str">
        <f t="shared" si="68"/>
        <v/>
      </c>
      <c r="DJ27" s="123" t="str">
        <f t="shared" si="69"/>
        <v/>
      </c>
      <c r="DK27" s="115" t="str">
        <f t="shared" si="70"/>
        <v/>
      </c>
    </row>
    <row r="28" spans="1:115" x14ac:dyDescent="0.2">
      <c r="A28" s="103" t="s">
        <v>225</v>
      </c>
      <c r="C28" s="285"/>
      <c r="D28" s="107" t="s">
        <v>215</v>
      </c>
      <c r="E28" s="118">
        <f>IFERROR(VLOOKUP(CONCATENATE($A$15,"-",$A$12, "-", $D28, "-", E$3, "-", $A$9),OBS_District_Flows!$A:$K, 6,FALSE),0)</f>
        <v>0</v>
      </c>
      <c r="F28" s="119">
        <f>IFERROR(VLOOKUP(CONCATENATE($A$15,"-",$A$12, "-", $D28, "-", F$3, "-", $A$9),OBS_District_Flows!$A:$K, 6,FALSE),0)</f>
        <v>0</v>
      </c>
      <c r="G28" s="119">
        <f>IFERROR(VLOOKUP(CONCATENATE($A$15,"-",$A$12, "-", $D28, "-", G$3, "-", $A$9),OBS_District_Flows!$A:$K, 6,FALSE),0)</f>
        <v>0</v>
      </c>
      <c r="H28" s="119">
        <f>IFERROR(VLOOKUP(CONCATENATE($A$15,"-",$A$12, "-", $D28, "-", H$3, "-", $A$9),OBS_District_Flows!$A:$K, 6,FALSE),0)</f>
        <v>0</v>
      </c>
      <c r="I28" s="119">
        <f>IFERROR(VLOOKUP(CONCATENATE($A$15,"-",$A$12, "-", $D28, "-", I$3, "-", $A$9),OBS_District_Flows!$A:$K, 6,FALSE),0)</f>
        <v>0</v>
      </c>
      <c r="J28" s="119">
        <f>IFERROR(VLOOKUP(CONCATENATE($A$15,"-",$A$12, "-", $D28, "-", J$3, "-", $A$9),OBS_District_Flows!$A:$K, 6,FALSE),0)</f>
        <v>0</v>
      </c>
      <c r="K28" s="119">
        <f>IFERROR(VLOOKUP(CONCATENATE($A$15,"-",$A$12, "-", $D28, "-", K$3, "-", $A$9),OBS_District_Flows!$A:$K, 6,FALSE),0)</f>
        <v>0</v>
      </c>
      <c r="L28" s="119">
        <f>IFERROR(VLOOKUP(CONCATENATE($A$15,"-",$A$12, "-", $D28, "-", L$3, "-", $A$9),OBS_District_Flows!$A:$K, 6,FALSE),0)</f>
        <v>0</v>
      </c>
      <c r="M28" s="119">
        <f>IFERROR(VLOOKUP(CONCATENATE($A$15,"-",$A$12, "-", $D28, "-", M$3, "-", $A$9),OBS_District_Flows!$A:$K, 6,FALSE),0)</f>
        <v>0</v>
      </c>
      <c r="N28" s="119">
        <f>IFERROR(VLOOKUP(CONCATENATE($A$15,"-",$A$12, "-", $D28, "-", N$3, "-", $A$9),OBS_District_Flows!$A:$K, 6,FALSE),0)</f>
        <v>0</v>
      </c>
      <c r="O28" s="119">
        <f>IFERROR(VLOOKUP(CONCATENATE($A$15,"-",$A$12, "-", $D28, "-", O$3, "-", $A$9),OBS_District_Flows!$A:$K, 6,FALSE),0)</f>
        <v>0</v>
      </c>
      <c r="P28" s="119">
        <f>IFERROR(VLOOKUP(CONCATENATE($A$15,"-",$A$12, "-", $D28, "-", P$3, "-", $A$9),OBS_District_Flows!$A:$K, 6,FALSE),0)</f>
        <v>0</v>
      </c>
      <c r="Q28" s="119">
        <f>IFERROR(VLOOKUP(CONCATENATE($A$15,"-",$A$12, "-", $D28, "-", Q$3, "-", $A$9),OBS_District_Flows!$A:$K, 6,FALSE),0)</f>
        <v>0</v>
      </c>
      <c r="R28" s="119">
        <f>IFERROR(VLOOKUP(CONCATENATE($A$15,"-",$A$12, "-", $D28, "-", R$3, "-", $A$9),OBS_District_Flows!$A:$K, 6,FALSE),0)</f>
        <v>0</v>
      </c>
      <c r="S28" s="119">
        <f>IFERROR(VLOOKUP(CONCATENATE($A$15,"-",$A$12, "-", $D28, "-", S$3, "-", $A$9),OBS_District_Flows!$A:$K, 6,FALSE),0)</f>
        <v>0</v>
      </c>
      <c r="T28" s="119">
        <f>IFERROR(VLOOKUP(CONCATENATE($A$15,"-",$A$12, "-", $D28, "-", T$3, "-", $A$9),OBS_District_Flows!$A:$K, 6,FALSE),0)</f>
        <v>0</v>
      </c>
      <c r="U28" s="119">
        <f>IFERROR(VLOOKUP(CONCATENATE($A$15,"-",$A$12, "-", $D28, "-", U$3, "-", $A$9),OBS_District_Flows!$A:$K, 6,FALSE),0)</f>
        <v>0</v>
      </c>
      <c r="V28" s="119">
        <f>IFERROR(VLOOKUP(CONCATENATE($A$15,"-",$A$12, "-", $D28, "-", V$3, "-", $A$9),OBS_District_Flows!$A:$K, 6,FALSE),0)</f>
        <v>0</v>
      </c>
      <c r="W28" s="119">
        <f>IFERROR(VLOOKUP(CONCATENATE($A$15,"-",$A$12, "-", $D28, "-", W$3, "-", $A$9),OBS_District_Flows!$A:$K, 6,FALSE),0)</f>
        <v>0</v>
      </c>
      <c r="X28" s="119">
        <f>IFERROR(VLOOKUP(CONCATENATE($A$15,"-",$A$12, "-", $D28, "-", X$3, "-", $A$9),OBS_District_Flows!$A:$K, 6,FALSE),0)</f>
        <v>0</v>
      </c>
      <c r="Y28" s="119">
        <f>IFERROR(VLOOKUP(CONCATENATE($A$15,"-",$A$12, "-", $D28, "-", Y$3, "-", $A$9),OBS_District_Flows!$A:$K, 6,FALSE),0)</f>
        <v>0</v>
      </c>
      <c r="Z28" s="119">
        <f>IFERROR(VLOOKUP(CONCATENATE($A$15,"-",$A$12, "-", $D28, "-", Z$3, "-", $A$9),OBS_District_Flows!$A:$K, 6,FALSE),0)</f>
        <v>0</v>
      </c>
      <c r="AA28" s="119">
        <f>IFERROR(VLOOKUP(CONCATENATE($A$15,"-",$A$12, "-", $D28, "-", AA$3, "-", $A$9),OBS_District_Flows!$A:$K, 6,FALSE),0)</f>
        <v>0</v>
      </c>
      <c r="AB28" s="119">
        <f>IFERROR(VLOOKUP(CONCATENATE($A$15,"-",$A$12, "-", $D28, "-", AB$3, "-", $A$9),OBS_District_Flows!$A:$K, 6,FALSE),0)</f>
        <v>0</v>
      </c>
      <c r="AC28" s="119">
        <f>IFERROR(VLOOKUP(CONCATENATE($A$15,"-",$A$12, "-", $D28, "-", AC$3, "-", $A$9),OBS_District_Flows!$A:$K, 6,FALSE),0)</f>
        <v>0</v>
      </c>
      <c r="AD28" s="119">
        <f>IFERROR(VLOOKUP(CONCATENATE($A$15,"-",$A$12, "-", $D28, "-", AD$3, "-", $A$9),OBS_District_Flows!$A:$K, 6,FALSE),0)</f>
        <v>0</v>
      </c>
      <c r="AE28" s="119">
        <f>IFERROR(VLOOKUP(CONCATENATE($A$15,"-",$A$12, "-", $D28, "-", AE$3, "-", $A$9),OBS_District_Flows!$A:$K, 6,FALSE),0)</f>
        <v>0</v>
      </c>
      <c r="AF28" s="119">
        <f>IFERROR(VLOOKUP(CONCATENATE($A$15,"-",$A$12, "-", $D28, "-", AF$3, "-", $A$9),OBS_District_Flows!$A:$K, 6,FALSE),0)</f>
        <v>0</v>
      </c>
      <c r="AG28" s="119">
        <f>IFERROR(VLOOKUP(CONCATENATE($A$15,"-",$A$12, "-", $D28, "-", AG$3, "-", $A$9),OBS_District_Flows!$A:$K, 6,FALSE),0)</f>
        <v>0</v>
      </c>
      <c r="AH28" s="119">
        <f>IFERROR(VLOOKUP(CONCATENATE($A$15,"-",$A$12, "-", $D28, "-", AH$3, "-", $A$9),OBS_District_Flows!$A:$K, 6,FALSE),0)</f>
        <v>0</v>
      </c>
      <c r="AI28" s="119">
        <f>IFERROR(VLOOKUP(CONCATENATE($A$15,"-",$A$12, "-", $D28, "-", AI$3, "-", $A$9),OBS_District_Flows!$A:$K, 6,FALSE),0)</f>
        <v>0</v>
      </c>
      <c r="AJ28" s="119">
        <f>IFERROR(VLOOKUP(CONCATENATE($A$15,"-",$A$12, "-", $D28, "-", AJ$3, "-", $A$9),OBS_District_Flows!$A:$K, 6,FALSE),0)</f>
        <v>0</v>
      </c>
      <c r="AK28" s="119">
        <f>IFERROR(VLOOKUP(CONCATENATE($A$15,"-",$A$12, "-", $D28, "-", AK$3, "-", $A$9),OBS_District_Flows!$A:$K, 6,FALSE),0)</f>
        <v>0</v>
      </c>
      <c r="AL28" s="120">
        <f>IFERROR(VLOOKUP(CONCATENATE($A$15,"-",$A$12, "-", $D28, "-", AL$3, "-", $A$9),OBS_District_Flows!$A:$K, 6,FALSE),0)</f>
        <v>0</v>
      </c>
      <c r="AM28" s="111">
        <f t="shared" si="0"/>
        <v>0</v>
      </c>
      <c r="AO28" s="286"/>
      <c r="AP28" s="107" t="s">
        <v>215</v>
      </c>
      <c r="AQ28" s="121" t="str">
        <f t="shared" si="1"/>
        <v/>
      </c>
      <c r="AR28" s="122" t="str">
        <f t="shared" si="2"/>
        <v/>
      </c>
      <c r="AS28" s="122" t="str">
        <f t="shared" si="3"/>
        <v/>
      </c>
      <c r="AT28" s="122" t="str">
        <f t="shared" si="4"/>
        <v/>
      </c>
      <c r="AU28" s="122" t="str">
        <f t="shared" si="5"/>
        <v/>
      </c>
      <c r="AV28" s="122" t="str">
        <f t="shared" si="6"/>
        <v/>
      </c>
      <c r="AW28" s="122" t="str">
        <f t="shared" si="7"/>
        <v/>
      </c>
      <c r="AX28" s="122" t="str">
        <f t="shared" si="8"/>
        <v/>
      </c>
      <c r="AY28" s="122" t="str">
        <f t="shared" si="9"/>
        <v/>
      </c>
      <c r="AZ28" s="122" t="str">
        <f t="shared" si="10"/>
        <v/>
      </c>
      <c r="BA28" s="122" t="str">
        <f t="shared" si="11"/>
        <v/>
      </c>
      <c r="BB28" s="122" t="str">
        <f t="shared" si="12"/>
        <v/>
      </c>
      <c r="BC28" s="122" t="str">
        <f t="shared" si="13"/>
        <v/>
      </c>
      <c r="BD28" s="122" t="str">
        <f t="shared" si="14"/>
        <v/>
      </c>
      <c r="BE28" s="122" t="str">
        <f t="shared" si="15"/>
        <v/>
      </c>
      <c r="BF28" s="122" t="str">
        <f t="shared" si="16"/>
        <v/>
      </c>
      <c r="BG28" s="122" t="str">
        <f t="shared" si="17"/>
        <v/>
      </c>
      <c r="BH28" s="122" t="str">
        <f t="shared" si="18"/>
        <v/>
      </c>
      <c r="BI28" s="122" t="str">
        <f t="shared" si="19"/>
        <v/>
      </c>
      <c r="BJ28" s="122" t="str">
        <f t="shared" si="20"/>
        <v/>
      </c>
      <c r="BK28" s="122" t="str">
        <f t="shared" si="21"/>
        <v/>
      </c>
      <c r="BL28" s="122" t="str">
        <f t="shared" si="22"/>
        <v/>
      </c>
      <c r="BM28" s="122" t="str">
        <f t="shared" si="23"/>
        <v/>
      </c>
      <c r="BN28" s="122" t="str">
        <f t="shared" si="24"/>
        <v/>
      </c>
      <c r="BO28" s="122" t="str">
        <f t="shared" si="25"/>
        <v/>
      </c>
      <c r="BP28" s="122" t="str">
        <f t="shared" si="26"/>
        <v/>
      </c>
      <c r="BQ28" s="122" t="str">
        <f t="shared" si="27"/>
        <v/>
      </c>
      <c r="BR28" s="122" t="str">
        <f t="shared" si="28"/>
        <v/>
      </c>
      <c r="BS28" s="122" t="str">
        <f t="shared" si="29"/>
        <v/>
      </c>
      <c r="BT28" s="122" t="str">
        <f t="shared" si="30"/>
        <v/>
      </c>
      <c r="BU28" s="122" t="str">
        <f t="shared" si="31"/>
        <v/>
      </c>
      <c r="BV28" s="122" t="str">
        <f t="shared" si="32"/>
        <v/>
      </c>
      <c r="BW28" s="122" t="str">
        <f t="shared" si="33"/>
        <v/>
      </c>
      <c r="BX28" s="123" t="str">
        <f t="shared" si="34"/>
        <v/>
      </c>
      <c r="BY28" s="115" t="str">
        <f t="shared" si="35"/>
        <v/>
      </c>
      <c r="CA28" s="286"/>
      <c r="CB28" s="107" t="s">
        <v>215</v>
      </c>
      <c r="CC28" s="121" t="str">
        <f t="shared" si="36"/>
        <v/>
      </c>
      <c r="CD28" s="122" t="str">
        <f t="shared" si="37"/>
        <v/>
      </c>
      <c r="CE28" s="122" t="str">
        <f t="shared" si="38"/>
        <v/>
      </c>
      <c r="CF28" s="122" t="str">
        <f t="shared" si="39"/>
        <v/>
      </c>
      <c r="CG28" s="122" t="str">
        <f t="shared" si="40"/>
        <v/>
      </c>
      <c r="CH28" s="122" t="str">
        <f t="shared" si="41"/>
        <v/>
      </c>
      <c r="CI28" s="122" t="str">
        <f t="shared" si="42"/>
        <v/>
      </c>
      <c r="CJ28" s="122" t="str">
        <f t="shared" si="43"/>
        <v/>
      </c>
      <c r="CK28" s="122" t="str">
        <f t="shared" si="44"/>
        <v/>
      </c>
      <c r="CL28" s="122" t="str">
        <f t="shared" si="45"/>
        <v/>
      </c>
      <c r="CM28" s="122" t="str">
        <f t="shared" si="46"/>
        <v/>
      </c>
      <c r="CN28" s="122" t="str">
        <f t="shared" si="47"/>
        <v/>
      </c>
      <c r="CO28" s="122" t="str">
        <f t="shared" si="48"/>
        <v/>
      </c>
      <c r="CP28" s="122" t="str">
        <f t="shared" si="49"/>
        <v/>
      </c>
      <c r="CQ28" s="122" t="str">
        <f t="shared" si="50"/>
        <v/>
      </c>
      <c r="CR28" s="122" t="str">
        <f t="shared" si="51"/>
        <v/>
      </c>
      <c r="CS28" s="122" t="str">
        <f t="shared" si="52"/>
        <v/>
      </c>
      <c r="CT28" s="122" t="str">
        <f t="shared" si="53"/>
        <v/>
      </c>
      <c r="CU28" s="122" t="str">
        <f t="shared" si="54"/>
        <v/>
      </c>
      <c r="CV28" s="122" t="str">
        <f t="shared" si="55"/>
        <v/>
      </c>
      <c r="CW28" s="122" t="str">
        <f t="shared" si="56"/>
        <v/>
      </c>
      <c r="CX28" s="122" t="str">
        <f t="shared" si="57"/>
        <v/>
      </c>
      <c r="CY28" s="122" t="str">
        <f t="shared" si="58"/>
        <v/>
      </c>
      <c r="CZ28" s="122" t="str">
        <f t="shared" si="59"/>
        <v/>
      </c>
      <c r="DA28" s="122" t="str">
        <f t="shared" si="60"/>
        <v/>
      </c>
      <c r="DB28" s="122" t="str">
        <f t="shared" si="61"/>
        <v/>
      </c>
      <c r="DC28" s="122" t="str">
        <f t="shared" si="62"/>
        <v/>
      </c>
      <c r="DD28" s="122" t="str">
        <f t="shared" si="63"/>
        <v/>
      </c>
      <c r="DE28" s="122" t="str">
        <f t="shared" si="64"/>
        <v/>
      </c>
      <c r="DF28" s="122" t="str">
        <f t="shared" si="65"/>
        <v/>
      </c>
      <c r="DG28" s="122" t="str">
        <f t="shared" si="66"/>
        <v/>
      </c>
      <c r="DH28" s="122" t="str">
        <f t="shared" si="67"/>
        <v/>
      </c>
      <c r="DI28" s="122" t="str">
        <f t="shared" si="68"/>
        <v/>
      </c>
      <c r="DJ28" s="123" t="str">
        <f t="shared" si="69"/>
        <v/>
      </c>
      <c r="DK28" s="115" t="str">
        <f t="shared" si="70"/>
        <v/>
      </c>
    </row>
    <row r="29" spans="1:115" x14ac:dyDescent="0.2">
      <c r="C29" s="285"/>
      <c r="D29" s="107" t="s">
        <v>216</v>
      </c>
      <c r="E29" s="118">
        <f>IFERROR(VLOOKUP(CONCATENATE($A$15,"-",$A$12, "-", $D29, "-", E$3, "-", $A$9),OBS_District_Flows!$A:$K, 6,FALSE),0)</f>
        <v>0</v>
      </c>
      <c r="F29" s="119">
        <f>IFERROR(VLOOKUP(CONCATENATE($A$15,"-",$A$12, "-", $D29, "-", F$3, "-", $A$9),OBS_District_Flows!$A:$K, 6,FALSE),0)</f>
        <v>0</v>
      </c>
      <c r="G29" s="119">
        <f>IFERROR(VLOOKUP(CONCATENATE($A$15,"-",$A$12, "-", $D29, "-", G$3, "-", $A$9),OBS_District_Flows!$A:$K, 6,FALSE),0)</f>
        <v>0</v>
      </c>
      <c r="H29" s="119">
        <f>IFERROR(VLOOKUP(CONCATENATE($A$15,"-",$A$12, "-", $D29, "-", H$3, "-", $A$9),OBS_District_Flows!$A:$K, 6,FALSE),0)</f>
        <v>0</v>
      </c>
      <c r="I29" s="119">
        <f>IFERROR(VLOOKUP(CONCATENATE($A$15,"-",$A$12, "-", $D29, "-", I$3, "-", $A$9),OBS_District_Flows!$A:$K, 6,FALSE),0)</f>
        <v>0</v>
      </c>
      <c r="J29" s="119">
        <f>IFERROR(VLOOKUP(CONCATENATE($A$15,"-",$A$12, "-", $D29, "-", J$3, "-", $A$9),OBS_District_Flows!$A:$K, 6,FALSE),0)</f>
        <v>0</v>
      </c>
      <c r="K29" s="119">
        <f>IFERROR(VLOOKUP(CONCATENATE($A$15,"-",$A$12, "-", $D29, "-", K$3, "-", $A$9),OBS_District_Flows!$A:$K, 6,FALSE),0)</f>
        <v>0</v>
      </c>
      <c r="L29" s="119">
        <f>IFERROR(VLOOKUP(CONCATENATE($A$15,"-",$A$12, "-", $D29, "-", L$3, "-", $A$9),OBS_District_Flows!$A:$K, 6,FALSE),0)</f>
        <v>0</v>
      </c>
      <c r="M29" s="119">
        <f>IFERROR(VLOOKUP(CONCATENATE($A$15,"-",$A$12, "-", $D29, "-", M$3, "-", $A$9),OBS_District_Flows!$A:$K, 6,FALSE),0)</f>
        <v>0</v>
      </c>
      <c r="N29" s="119">
        <f>IFERROR(VLOOKUP(CONCATENATE($A$15,"-",$A$12, "-", $D29, "-", N$3, "-", $A$9),OBS_District_Flows!$A:$K, 6,FALSE),0)</f>
        <v>0</v>
      </c>
      <c r="O29" s="119">
        <f>IFERROR(VLOOKUP(CONCATENATE($A$15,"-",$A$12, "-", $D29, "-", O$3, "-", $A$9),OBS_District_Flows!$A:$K, 6,FALSE),0)</f>
        <v>0</v>
      </c>
      <c r="P29" s="119">
        <f>IFERROR(VLOOKUP(CONCATENATE($A$15,"-",$A$12, "-", $D29, "-", P$3, "-", $A$9),OBS_District_Flows!$A:$K, 6,FALSE),0)</f>
        <v>0</v>
      </c>
      <c r="Q29" s="119">
        <f>IFERROR(VLOOKUP(CONCATENATE($A$15,"-",$A$12, "-", $D29, "-", Q$3, "-", $A$9),OBS_District_Flows!$A:$K, 6,FALSE),0)</f>
        <v>0</v>
      </c>
      <c r="R29" s="119">
        <f>IFERROR(VLOOKUP(CONCATENATE($A$15,"-",$A$12, "-", $D29, "-", R$3, "-", $A$9),OBS_District_Flows!$A:$K, 6,FALSE),0)</f>
        <v>0</v>
      </c>
      <c r="S29" s="119">
        <f>IFERROR(VLOOKUP(CONCATENATE($A$15,"-",$A$12, "-", $D29, "-", S$3, "-", $A$9),OBS_District_Flows!$A:$K, 6,FALSE),0)</f>
        <v>0</v>
      </c>
      <c r="T29" s="119">
        <f>IFERROR(VLOOKUP(CONCATENATE($A$15,"-",$A$12, "-", $D29, "-", T$3, "-", $A$9),OBS_District_Flows!$A:$K, 6,FALSE),0)</f>
        <v>0</v>
      </c>
      <c r="U29" s="119">
        <f>IFERROR(VLOOKUP(CONCATENATE($A$15,"-",$A$12, "-", $D29, "-", U$3, "-", $A$9),OBS_District_Flows!$A:$K, 6,FALSE),0)</f>
        <v>0</v>
      </c>
      <c r="V29" s="119">
        <f>IFERROR(VLOOKUP(CONCATENATE($A$15,"-",$A$12, "-", $D29, "-", V$3, "-", $A$9),OBS_District_Flows!$A:$K, 6,FALSE),0)</f>
        <v>0</v>
      </c>
      <c r="W29" s="119">
        <f>IFERROR(VLOOKUP(CONCATENATE($A$15,"-",$A$12, "-", $D29, "-", W$3, "-", $A$9),OBS_District_Flows!$A:$K, 6,FALSE),0)</f>
        <v>0</v>
      </c>
      <c r="X29" s="119">
        <f>IFERROR(VLOOKUP(CONCATENATE($A$15,"-",$A$12, "-", $D29, "-", X$3, "-", $A$9),OBS_District_Flows!$A:$K, 6,FALSE),0)</f>
        <v>0</v>
      </c>
      <c r="Y29" s="119">
        <f>IFERROR(VLOOKUP(CONCATENATE($A$15,"-",$A$12, "-", $D29, "-", Y$3, "-", $A$9),OBS_District_Flows!$A:$K, 6,FALSE),0)</f>
        <v>0</v>
      </c>
      <c r="Z29" s="119">
        <f>IFERROR(VLOOKUP(CONCATENATE($A$15,"-",$A$12, "-", $D29, "-", Z$3, "-", $A$9),OBS_District_Flows!$A:$K, 6,FALSE),0)</f>
        <v>0</v>
      </c>
      <c r="AA29" s="119">
        <f>IFERROR(VLOOKUP(CONCATENATE($A$15,"-",$A$12, "-", $D29, "-", AA$3, "-", $A$9),OBS_District_Flows!$A:$K, 6,FALSE),0)</f>
        <v>0</v>
      </c>
      <c r="AB29" s="119">
        <f>IFERROR(VLOOKUP(CONCATENATE($A$15,"-",$A$12, "-", $D29, "-", AB$3, "-", $A$9),OBS_District_Flows!$A:$K, 6,FALSE),0)</f>
        <v>0</v>
      </c>
      <c r="AC29" s="119">
        <f>IFERROR(VLOOKUP(CONCATENATE($A$15,"-",$A$12, "-", $D29, "-", AC$3, "-", $A$9),OBS_District_Flows!$A:$K, 6,FALSE),0)</f>
        <v>0</v>
      </c>
      <c r="AD29" s="119">
        <f>IFERROR(VLOOKUP(CONCATENATE($A$15,"-",$A$12, "-", $D29, "-", AD$3, "-", $A$9),OBS_District_Flows!$A:$K, 6,FALSE),0)</f>
        <v>0</v>
      </c>
      <c r="AE29" s="119">
        <f>IFERROR(VLOOKUP(CONCATENATE($A$15,"-",$A$12, "-", $D29, "-", AE$3, "-", $A$9),OBS_District_Flows!$A:$K, 6,FALSE),0)</f>
        <v>0</v>
      </c>
      <c r="AF29" s="119">
        <f>IFERROR(VLOOKUP(CONCATENATE($A$15,"-",$A$12, "-", $D29, "-", AF$3, "-", $A$9),OBS_District_Flows!$A:$K, 6,FALSE),0)</f>
        <v>0</v>
      </c>
      <c r="AG29" s="119">
        <f>IFERROR(VLOOKUP(CONCATENATE($A$15,"-",$A$12, "-", $D29, "-", AG$3, "-", $A$9),OBS_District_Flows!$A:$K, 6,FALSE),0)</f>
        <v>0</v>
      </c>
      <c r="AH29" s="119">
        <f>IFERROR(VLOOKUP(CONCATENATE($A$15,"-",$A$12, "-", $D29, "-", AH$3, "-", $A$9),OBS_District_Flows!$A:$K, 6,FALSE),0)</f>
        <v>0</v>
      </c>
      <c r="AI29" s="119">
        <f>IFERROR(VLOOKUP(CONCATENATE($A$15,"-",$A$12, "-", $D29, "-", AI$3, "-", $A$9),OBS_District_Flows!$A:$K, 6,FALSE),0)</f>
        <v>0</v>
      </c>
      <c r="AJ29" s="119">
        <f>IFERROR(VLOOKUP(CONCATENATE($A$15,"-",$A$12, "-", $D29, "-", AJ$3, "-", $A$9),OBS_District_Flows!$A:$K, 6,FALSE),0)</f>
        <v>0</v>
      </c>
      <c r="AK29" s="119">
        <f>IFERROR(VLOOKUP(CONCATENATE($A$15,"-",$A$12, "-", $D29, "-", AK$3, "-", $A$9),OBS_District_Flows!$A:$K, 6,FALSE),0)</f>
        <v>0</v>
      </c>
      <c r="AL29" s="120">
        <f>IFERROR(VLOOKUP(CONCATENATE($A$15,"-",$A$12, "-", $D29, "-", AL$3, "-", $A$9),OBS_District_Flows!$A:$K, 6,FALSE),0)</f>
        <v>0</v>
      </c>
      <c r="AM29" s="111">
        <f t="shared" si="0"/>
        <v>0</v>
      </c>
      <c r="AO29" s="286"/>
      <c r="AP29" s="107" t="s">
        <v>216</v>
      </c>
      <c r="AQ29" s="121" t="str">
        <f t="shared" si="1"/>
        <v/>
      </c>
      <c r="AR29" s="122" t="str">
        <f t="shared" si="2"/>
        <v/>
      </c>
      <c r="AS29" s="122" t="str">
        <f t="shared" si="3"/>
        <v/>
      </c>
      <c r="AT29" s="122" t="str">
        <f t="shared" si="4"/>
        <v/>
      </c>
      <c r="AU29" s="122" t="str">
        <f t="shared" si="5"/>
        <v/>
      </c>
      <c r="AV29" s="122" t="str">
        <f t="shared" si="6"/>
        <v/>
      </c>
      <c r="AW29" s="122" t="str">
        <f t="shared" si="7"/>
        <v/>
      </c>
      <c r="AX29" s="122" t="str">
        <f t="shared" si="8"/>
        <v/>
      </c>
      <c r="AY29" s="122" t="str">
        <f t="shared" si="9"/>
        <v/>
      </c>
      <c r="AZ29" s="122" t="str">
        <f t="shared" si="10"/>
        <v/>
      </c>
      <c r="BA29" s="122" t="str">
        <f t="shared" si="11"/>
        <v/>
      </c>
      <c r="BB29" s="122" t="str">
        <f t="shared" si="12"/>
        <v/>
      </c>
      <c r="BC29" s="122" t="str">
        <f t="shared" si="13"/>
        <v/>
      </c>
      <c r="BD29" s="122" t="str">
        <f t="shared" si="14"/>
        <v/>
      </c>
      <c r="BE29" s="122" t="str">
        <f t="shared" si="15"/>
        <v/>
      </c>
      <c r="BF29" s="122" t="str">
        <f t="shared" si="16"/>
        <v/>
      </c>
      <c r="BG29" s="122" t="str">
        <f t="shared" si="17"/>
        <v/>
      </c>
      <c r="BH29" s="122" t="str">
        <f t="shared" si="18"/>
        <v/>
      </c>
      <c r="BI29" s="122" t="str">
        <f t="shared" si="19"/>
        <v/>
      </c>
      <c r="BJ29" s="122" t="str">
        <f t="shared" si="20"/>
        <v/>
      </c>
      <c r="BK29" s="122" t="str">
        <f t="shared" si="21"/>
        <v/>
      </c>
      <c r="BL29" s="122" t="str">
        <f t="shared" si="22"/>
        <v/>
      </c>
      <c r="BM29" s="122" t="str">
        <f t="shared" si="23"/>
        <v/>
      </c>
      <c r="BN29" s="122" t="str">
        <f t="shared" si="24"/>
        <v/>
      </c>
      <c r="BO29" s="122" t="str">
        <f t="shared" si="25"/>
        <v/>
      </c>
      <c r="BP29" s="122" t="str">
        <f t="shared" si="26"/>
        <v/>
      </c>
      <c r="BQ29" s="122" t="str">
        <f t="shared" si="27"/>
        <v/>
      </c>
      <c r="BR29" s="122" t="str">
        <f t="shared" si="28"/>
        <v/>
      </c>
      <c r="BS29" s="122" t="str">
        <f t="shared" si="29"/>
        <v/>
      </c>
      <c r="BT29" s="122" t="str">
        <f t="shared" si="30"/>
        <v/>
      </c>
      <c r="BU29" s="122" t="str">
        <f t="shared" si="31"/>
        <v/>
      </c>
      <c r="BV29" s="122" t="str">
        <f t="shared" si="32"/>
        <v/>
      </c>
      <c r="BW29" s="122" t="str">
        <f t="shared" si="33"/>
        <v/>
      </c>
      <c r="BX29" s="123" t="str">
        <f t="shared" si="34"/>
        <v/>
      </c>
      <c r="BY29" s="115" t="str">
        <f t="shared" si="35"/>
        <v/>
      </c>
      <c r="CA29" s="286"/>
      <c r="CB29" s="107" t="s">
        <v>216</v>
      </c>
      <c r="CC29" s="121" t="str">
        <f t="shared" si="36"/>
        <v/>
      </c>
      <c r="CD29" s="122" t="str">
        <f t="shared" si="37"/>
        <v/>
      </c>
      <c r="CE29" s="122" t="str">
        <f t="shared" si="38"/>
        <v/>
      </c>
      <c r="CF29" s="122" t="str">
        <f t="shared" si="39"/>
        <v/>
      </c>
      <c r="CG29" s="122" t="str">
        <f t="shared" si="40"/>
        <v/>
      </c>
      <c r="CH29" s="122" t="str">
        <f t="shared" si="41"/>
        <v/>
      </c>
      <c r="CI29" s="122" t="str">
        <f t="shared" si="42"/>
        <v/>
      </c>
      <c r="CJ29" s="122" t="str">
        <f t="shared" si="43"/>
        <v/>
      </c>
      <c r="CK29" s="122" t="str">
        <f t="shared" si="44"/>
        <v/>
      </c>
      <c r="CL29" s="122" t="str">
        <f t="shared" si="45"/>
        <v/>
      </c>
      <c r="CM29" s="122" t="str">
        <f t="shared" si="46"/>
        <v/>
      </c>
      <c r="CN29" s="122" t="str">
        <f t="shared" si="47"/>
        <v/>
      </c>
      <c r="CO29" s="122" t="str">
        <f t="shared" si="48"/>
        <v/>
      </c>
      <c r="CP29" s="122" t="str">
        <f t="shared" si="49"/>
        <v/>
      </c>
      <c r="CQ29" s="122" t="str">
        <f t="shared" si="50"/>
        <v/>
      </c>
      <c r="CR29" s="122" t="str">
        <f t="shared" si="51"/>
        <v/>
      </c>
      <c r="CS29" s="122" t="str">
        <f t="shared" si="52"/>
        <v/>
      </c>
      <c r="CT29" s="122" t="str">
        <f t="shared" si="53"/>
        <v/>
      </c>
      <c r="CU29" s="122" t="str">
        <f t="shared" si="54"/>
        <v/>
      </c>
      <c r="CV29" s="122" t="str">
        <f t="shared" si="55"/>
        <v/>
      </c>
      <c r="CW29" s="122" t="str">
        <f t="shared" si="56"/>
        <v/>
      </c>
      <c r="CX29" s="122" t="str">
        <f t="shared" si="57"/>
        <v/>
      </c>
      <c r="CY29" s="122" t="str">
        <f t="shared" si="58"/>
        <v/>
      </c>
      <c r="CZ29" s="122" t="str">
        <f t="shared" si="59"/>
        <v/>
      </c>
      <c r="DA29" s="122" t="str">
        <f t="shared" si="60"/>
        <v/>
      </c>
      <c r="DB29" s="122" t="str">
        <f t="shared" si="61"/>
        <v/>
      </c>
      <c r="DC29" s="122" t="str">
        <f t="shared" si="62"/>
        <v/>
      </c>
      <c r="DD29" s="122" t="str">
        <f t="shared" si="63"/>
        <v/>
      </c>
      <c r="DE29" s="122" t="str">
        <f t="shared" si="64"/>
        <v/>
      </c>
      <c r="DF29" s="122" t="str">
        <f t="shared" si="65"/>
        <v/>
      </c>
      <c r="DG29" s="122" t="str">
        <f t="shared" si="66"/>
        <v/>
      </c>
      <c r="DH29" s="122" t="str">
        <f t="shared" si="67"/>
        <v/>
      </c>
      <c r="DI29" s="122" t="str">
        <f t="shared" si="68"/>
        <v/>
      </c>
      <c r="DJ29" s="123" t="str">
        <f t="shared" si="69"/>
        <v/>
      </c>
      <c r="DK29" s="115" t="str">
        <f t="shared" si="70"/>
        <v/>
      </c>
    </row>
    <row r="30" spans="1:115" x14ac:dyDescent="0.2">
      <c r="C30" s="285"/>
      <c r="D30" s="107" t="s">
        <v>217</v>
      </c>
      <c r="E30" s="118">
        <f>IFERROR(VLOOKUP(CONCATENATE($A$15,"-",$A$12, "-", $D30, "-", E$3, "-", $A$9),OBS_District_Flows!$A:$K, 6,FALSE),0)</f>
        <v>0</v>
      </c>
      <c r="F30" s="119">
        <f>IFERROR(VLOOKUP(CONCATENATE($A$15,"-",$A$12, "-", $D30, "-", F$3, "-", $A$9),OBS_District_Flows!$A:$K, 6,FALSE),0)</f>
        <v>0</v>
      </c>
      <c r="G30" s="119">
        <f>IFERROR(VLOOKUP(CONCATENATE($A$15,"-",$A$12, "-", $D30, "-", G$3, "-", $A$9),OBS_District_Flows!$A:$K, 6,FALSE),0)</f>
        <v>0</v>
      </c>
      <c r="H30" s="119">
        <f>IFERROR(VLOOKUP(CONCATENATE($A$15,"-",$A$12, "-", $D30, "-", H$3, "-", $A$9),OBS_District_Flows!$A:$K, 6,FALSE),0)</f>
        <v>0</v>
      </c>
      <c r="I30" s="119">
        <f>IFERROR(VLOOKUP(CONCATENATE($A$15,"-",$A$12, "-", $D30, "-", I$3, "-", $A$9),OBS_District_Flows!$A:$K, 6,FALSE),0)</f>
        <v>0</v>
      </c>
      <c r="J30" s="119">
        <f>IFERROR(VLOOKUP(CONCATENATE($A$15,"-",$A$12, "-", $D30, "-", J$3, "-", $A$9),OBS_District_Flows!$A:$K, 6,FALSE),0)</f>
        <v>0</v>
      </c>
      <c r="K30" s="119">
        <f>IFERROR(VLOOKUP(CONCATENATE($A$15,"-",$A$12, "-", $D30, "-", K$3, "-", $A$9),OBS_District_Flows!$A:$K, 6,FALSE),0)</f>
        <v>0</v>
      </c>
      <c r="L30" s="119">
        <f>IFERROR(VLOOKUP(CONCATENATE($A$15,"-",$A$12, "-", $D30, "-", L$3, "-", $A$9),OBS_District_Flows!$A:$K, 6,FALSE),0)</f>
        <v>0</v>
      </c>
      <c r="M30" s="119">
        <f>IFERROR(VLOOKUP(CONCATENATE($A$15,"-",$A$12, "-", $D30, "-", M$3, "-", $A$9),OBS_District_Flows!$A:$K, 6,FALSE),0)</f>
        <v>0</v>
      </c>
      <c r="N30" s="119">
        <f>IFERROR(VLOOKUP(CONCATENATE($A$15,"-",$A$12, "-", $D30, "-", N$3, "-", $A$9),OBS_District_Flows!$A:$K, 6,FALSE),0)</f>
        <v>0</v>
      </c>
      <c r="O30" s="119">
        <f>IFERROR(VLOOKUP(CONCATENATE($A$15,"-",$A$12, "-", $D30, "-", O$3, "-", $A$9),OBS_District_Flows!$A:$K, 6,FALSE),0)</f>
        <v>0</v>
      </c>
      <c r="P30" s="119">
        <f>IFERROR(VLOOKUP(CONCATENATE($A$15,"-",$A$12, "-", $D30, "-", P$3, "-", $A$9),OBS_District_Flows!$A:$K, 6,FALSE),0)</f>
        <v>0</v>
      </c>
      <c r="Q30" s="119">
        <f>IFERROR(VLOOKUP(CONCATENATE($A$15,"-",$A$12, "-", $D30, "-", Q$3, "-", $A$9),OBS_District_Flows!$A:$K, 6,FALSE),0)</f>
        <v>0</v>
      </c>
      <c r="R30" s="119">
        <f>IFERROR(VLOOKUP(CONCATENATE($A$15,"-",$A$12, "-", $D30, "-", R$3, "-", $A$9),OBS_District_Flows!$A:$K, 6,FALSE),0)</f>
        <v>0</v>
      </c>
      <c r="S30" s="119">
        <f>IFERROR(VLOOKUP(CONCATENATE($A$15,"-",$A$12, "-", $D30, "-", S$3, "-", $A$9),OBS_District_Flows!$A:$K, 6,FALSE),0)</f>
        <v>0</v>
      </c>
      <c r="T30" s="119">
        <f>IFERROR(VLOOKUP(CONCATENATE($A$15,"-",$A$12, "-", $D30, "-", T$3, "-", $A$9),OBS_District_Flows!$A:$K, 6,FALSE),0)</f>
        <v>0</v>
      </c>
      <c r="U30" s="119">
        <f>IFERROR(VLOOKUP(CONCATENATE($A$15,"-",$A$12, "-", $D30, "-", U$3, "-", $A$9),OBS_District_Flows!$A:$K, 6,FALSE),0)</f>
        <v>0</v>
      </c>
      <c r="V30" s="119">
        <f>IFERROR(VLOOKUP(CONCATENATE($A$15,"-",$A$12, "-", $D30, "-", V$3, "-", $A$9),OBS_District_Flows!$A:$K, 6,FALSE),0)</f>
        <v>0</v>
      </c>
      <c r="W30" s="119">
        <f>IFERROR(VLOOKUP(CONCATENATE($A$15,"-",$A$12, "-", $D30, "-", W$3, "-", $A$9),OBS_District_Flows!$A:$K, 6,FALSE),0)</f>
        <v>0</v>
      </c>
      <c r="X30" s="119">
        <f>IFERROR(VLOOKUP(CONCATENATE($A$15,"-",$A$12, "-", $D30, "-", X$3, "-", $A$9),OBS_District_Flows!$A:$K, 6,FALSE),0)</f>
        <v>0</v>
      </c>
      <c r="Y30" s="119">
        <f>IFERROR(VLOOKUP(CONCATENATE($A$15,"-",$A$12, "-", $D30, "-", Y$3, "-", $A$9),OBS_District_Flows!$A:$K, 6,FALSE),0)</f>
        <v>0</v>
      </c>
      <c r="Z30" s="119">
        <f>IFERROR(VLOOKUP(CONCATENATE($A$15,"-",$A$12, "-", $D30, "-", Z$3, "-", $A$9),OBS_District_Flows!$A:$K, 6,FALSE),0)</f>
        <v>0</v>
      </c>
      <c r="AA30" s="119">
        <f>IFERROR(VLOOKUP(CONCATENATE($A$15,"-",$A$12, "-", $D30, "-", AA$3, "-", $A$9),OBS_District_Flows!$A:$K, 6,FALSE),0)</f>
        <v>0</v>
      </c>
      <c r="AB30" s="119">
        <f>IFERROR(VLOOKUP(CONCATENATE($A$15,"-",$A$12, "-", $D30, "-", AB$3, "-", $A$9),OBS_District_Flows!$A:$K, 6,FALSE),0)</f>
        <v>0</v>
      </c>
      <c r="AC30" s="119">
        <f>IFERROR(VLOOKUP(CONCATENATE($A$15,"-",$A$12, "-", $D30, "-", AC$3, "-", $A$9),OBS_District_Flows!$A:$K, 6,FALSE),0)</f>
        <v>0</v>
      </c>
      <c r="AD30" s="119">
        <f>IFERROR(VLOOKUP(CONCATENATE($A$15,"-",$A$12, "-", $D30, "-", AD$3, "-", $A$9),OBS_District_Flows!$A:$K, 6,FALSE),0)</f>
        <v>0</v>
      </c>
      <c r="AE30" s="119">
        <f>IFERROR(VLOOKUP(CONCATENATE($A$15,"-",$A$12, "-", $D30, "-", AE$3, "-", $A$9),OBS_District_Flows!$A:$K, 6,FALSE),0)</f>
        <v>0</v>
      </c>
      <c r="AF30" s="119">
        <f>IFERROR(VLOOKUP(CONCATENATE($A$15,"-",$A$12, "-", $D30, "-", AF$3, "-", $A$9),OBS_District_Flows!$A:$K, 6,FALSE),0)</f>
        <v>0</v>
      </c>
      <c r="AG30" s="119">
        <f>IFERROR(VLOOKUP(CONCATENATE($A$15,"-",$A$12, "-", $D30, "-", AG$3, "-", $A$9),OBS_District_Flows!$A:$K, 6,FALSE),0)</f>
        <v>0</v>
      </c>
      <c r="AH30" s="119">
        <f>IFERROR(VLOOKUP(CONCATENATE($A$15,"-",$A$12, "-", $D30, "-", AH$3, "-", $A$9),OBS_District_Flows!$A:$K, 6,FALSE),0)</f>
        <v>0</v>
      </c>
      <c r="AI30" s="119">
        <f>IFERROR(VLOOKUP(CONCATENATE($A$15,"-",$A$12, "-", $D30, "-", AI$3, "-", $A$9),OBS_District_Flows!$A:$K, 6,FALSE),0)</f>
        <v>0</v>
      </c>
      <c r="AJ30" s="119">
        <f>IFERROR(VLOOKUP(CONCATENATE($A$15,"-",$A$12, "-", $D30, "-", AJ$3, "-", $A$9),OBS_District_Flows!$A:$K, 6,FALSE),0)</f>
        <v>0</v>
      </c>
      <c r="AK30" s="119">
        <f>IFERROR(VLOOKUP(CONCATENATE($A$15,"-",$A$12, "-", $D30, "-", AK$3, "-", $A$9),OBS_District_Flows!$A:$K, 6,FALSE),0)</f>
        <v>0</v>
      </c>
      <c r="AL30" s="120">
        <f>IFERROR(VLOOKUP(CONCATENATE($A$15,"-",$A$12, "-", $D30, "-", AL$3, "-", $A$9),OBS_District_Flows!$A:$K, 6,FALSE),0)</f>
        <v>0</v>
      </c>
      <c r="AM30" s="111">
        <f t="shared" si="0"/>
        <v>0</v>
      </c>
      <c r="AO30" s="286"/>
      <c r="AP30" s="107" t="s">
        <v>217</v>
      </c>
      <c r="AQ30" s="121" t="str">
        <f t="shared" si="1"/>
        <v/>
      </c>
      <c r="AR30" s="122" t="str">
        <f t="shared" si="2"/>
        <v/>
      </c>
      <c r="AS30" s="122" t="str">
        <f t="shared" si="3"/>
        <v/>
      </c>
      <c r="AT30" s="122" t="str">
        <f t="shared" si="4"/>
        <v/>
      </c>
      <c r="AU30" s="122" t="str">
        <f t="shared" si="5"/>
        <v/>
      </c>
      <c r="AV30" s="122" t="str">
        <f t="shared" si="6"/>
        <v/>
      </c>
      <c r="AW30" s="122" t="str">
        <f t="shared" si="7"/>
        <v/>
      </c>
      <c r="AX30" s="122" t="str">
        <f t="shared" si="8"/>
        <v/>
      </c>
      <c r="AY30" s="122" t="str">
        <f t="shared" si="9"/>
        <v/>
      </c>
      <c r="AZ30" s="122" t="str">
        <f t="shared" si="10"/>
        <v/>
      </c>
      <c r="BA30" s="122" t="str">
        <f t="shared" si="11"/>
        <v/>
      </c>
      <c r="BB30" s="122" t="str">
        <f t="shared" si="12"/>
        <v/>
      </c>
      <c r="BC30" s="122" t="str">
        <f t="shared" si="13"/>
        <v/>
      </c>
      <c r="BD30" s="122" t="str">
        <f t="shared" si="14"/>
        <v/>
      </c>
      <c r="BE30" s="122" t="str">
        <f t="shared" si="15"/>
        <v/>
      </c>
      <c r="BF30" s="122" t="str">
        <f t="shared" si="16"/>
        <v/>
      </c>
      <c r="BG30" s="122" t="str">
        <f t="shared" si="17"/>
        <v/>
      </c>
      <c r="BH30" s="122" t="str">
        <f t="shared" si="18"/>
        <v/>
      </c>
      <c r="BI30" s="122" t="str">
        <f t="shared" si="19"/>
        <v/>
      </c>
      <c r="BJ30" s="122" t="str">
        <f t="shared" si="20"/>
        <v/>
      </c>
      <c r="BK30" s="122" t="str">
        <f t="shared" si="21"/>
        <v/>
      </c>
      <c r="BL30" s="122" t="str">
        <f t="shared" si="22"/>
        <v/>
      </c>
      <c r="BM30" s="122" t="str">
        <f t="shared" si="23"/>
        <v/>
      </c>
      <c r="BN30" s="122" t="str">
        <f t="shared" si="24"/>
        <v/>
      </c>
      <c r="BO30" s="122" t="str">
        <f t="shared" si="25"/>
        <v/>
      </c>
      <c r="BP30" s="122" t="str">
        <f t="shared" si="26"/>
        <v/>
      </c>
      <c r="BQ30" s="122" t="str">
        <f t="shared" si="27"/>
        <v/>
      </c>
      <c r="BR30" s="122" t="str">
        <f t="shared" si="28"/>
        <v/>
      </c>
      <c r="BS30" s="122" t="str">
        <f t="shared" si="29"/>
        <v/>
      </c>
      <c r="BT30" s="122" t="str">
        <f t="shared" si="30"/>
        <v/>
      </c>
      <c r="BU30" s="122" t="str">
        <f t="shared" si="31"/>
        <v/>
      </c>
      <c r="BV30" s="122" t="str">
        <f t="shared" si="32"/>
        <v/>
      </c>
      <c r="BW30" s="122" t="str">
        <f t="shared" si="33"/>
        <v/>
      </c>
      <c r="BX30" s="123" t="str">
        <f t="shared" si="34"/>
        <v/>
      </c>
      <c r="BY30" s="115" t="str">
        <f t="shared" si="35"/>
        <v/>
      </c>
      <c r="CA30" s="286"/>
      <c r="CB30" s="107" t="s">
        <v>217</v>
      </c>
      <c r="CC30" s="121" t="str">
        <f t="shared" si="36"/>
        <v/>
      </c>
      <c r="CD30" s="122" t="str">
        <f t="shared" si="37"/>
        <v/>
      </c>
      <c r="CE30" s="122" t="str">
        <f t="shared" si="38"/>
        <v/>
      </c>
      <c r="CF30" s="122" t="str">
        <f t="shared" si="39"/>
        <v/>
      </c>
      <c r="CG30" s="122" t="str">
        <f t="shared" si="40"/>
        <v/>
      </c>
      <c r="CH30" s="122" t="str">
        <f t="shared" si="41"/>
        <v/>
      </c>
      <c r="CI30" s="122" t="str">
        <f t="shared" si="42"/>
        <v/>
      </c>
      <c r="CJ30" s="122" t="str">
        <f t="shared" si="43"/>
        <v/>
      </c>
      <c r="CK30" s="122" t="str">
        <f t="shared" si="44"/>
        <v/>
      </c>
      <c r="CL30" s="122" t="str">
        <f t="shared" si="45"/>
        <v/>
      </c>
      <c r="CM30" s="122" t="str">
        <f t="shared" si="46"/>
        <v/>
      </c>
      <c r="CN30" s="122" t="str">
        <f t="shared" si="47"/>
        <v/>
      </c>
      <c r="CO30" s="122" t="str">
        <f t="shared" si="48"/>
        <v/>
      </c>
      <c r="CP30" s="122" t="str">
        <f t="shared" si="49"/>
        <v/>
      </c>
      <c r="CQ30" s="122" t="str">
        <f t="shared" si="50"/>
        <v/>
      </c>
      <c r="CR30" s="122" t="str">
        <f t="shared" si="51"/>
        <v/>
      </c>
      <c r="CS30" s="122" t="str">
        <f t="shared" si="52"/>
        <v/>
      </c>
      <c r="CT30" s="122" t="str">
        <f t="shared" si="53"/>
        <v/>
      </c>
      <c r="CU30" s="122" t="str">
        <f t="shared" si="54"/>
        <v/>
      </c>
      <c r="CV30" s="122" t="str">
        <f t="shared" si="55"/>
        <v/>
      </c>
      <c r="CW30" s="122" t="str">
        <f t="shared" si="56"/>
        <v/>
      </c>
      <c r="CX30" s="122" t="str">
        <f t="shared" si="57"/>
        <v/>
      </c>
      <c r="CY30" s="122" t="str">
        <f t="shared" si="58"/>
        <v/>
      </c>
      <c r="CZ30" s="122" t="str">
        <f t="shared" si="59"/>
        <v/>
      </c>
      <c r="DA30" s="122" t="str">
        <f t="shared" si="60"/>
        <v/>
      </c>
      <c r="DB30" s="122" t="str">
        <f t="shared" si="61"/>
        <v/>
      </c>
      <c r="DC30" s="122" t="str">
        <f t="shared" si="62"/>
        <v/>
      </c>
      <c r="DD30" s="122" t="str">
        <f t="shared" si="63"/>
        <v/>
      </c>
      <c r="DE30" s="122" t="str">
        <f t="shared" si="64"/>
        <v/>
      </c>
      <c r="DF30" s="122" t="str">
        <f t="shared" si="65"/>
        <v/>
      </c>
      <c r="DG30" s="122" t="str">
        <f t="shared" si="66"/>
        <v/>
      </c>
      <c r="DH30" s="122" t="str">
        <f t="shared" si="67"/>
        <v/>
      </c>
      <c r="DI30" s="122" t="str">
        <f t="shared" si="68"/>
        <v/>
      </c>
      <c r="DJ30" s="123" t="str">
        <f t="shared" si="69"/>
        <v/>
      </c>
      <c r="DK30" s="115" t="str">
        <f t="shared" si="70"/>
        <v/>
      </c>
    </row>
    <row r="31" spans="1:115" x14ac:dyDescent="0.2">
      <c r="C31" s="285"/>
      <c r="D31" s="107" t="s">
        <v>218</v>
      </c>
      <c r="E31" s="118">
        <f>IFERROR(VLOOKUP(CONCATENATE($A$15,"-",$A$12, "-", $D31, "-", E$3, "-", $A$9),OBS_District_Flows!$A:$K, 6,FALSE),0)</f>
        <v>0</v>
      </c>
      <c r="F31" s="119">
        <f>IFERROR(VLOOKUP(CONCATENATE($A$15,"-",$A$12, "-", $D31, "-", F$3, "-", $A$9),OBS_District_Flows!$A:$K, 6,FALSE),0)</f>
        <v>0</v>
      </c>
      <c r="G31" s="119">
        <f>IFERROR(VLOOKUP(CONCATENATE($A$15,"-",$A$12, "-", $D31, "-", G$3, "-", $A$9),OBS_District_Flows!$A:$K, 6,FALSE),0)</f>
        <v>0</v>
      </c>
      <c r="H31" s="119">
        <f>IFERROR(VLOOKUP(CONCATENATE($A$15,"-",$A$12, "-", $D31, "-", H$3, "-", $A$9),OBS_District_Flows!$A:$K, 6,FALSE),0)</f>
        <v>0</v>
      </c>
      <c r="I31" s="119">
        <f>IFERROR(VLOOKUP(CONCATENATE($A$15,"-",$A$12, "-", $D31, "-", I$3, "-", $A$9),OBS_District_Flows!$A:$K, 6,FALSE),0)</f>
        <v>0</v>
      </c>
      <c r="J31" s="119">
        <f>IFERROR(VLOOKUP(CONCATENATE($A$15,"-",$A$12, "-", $D31, "-", J$3, "-", $A$9),OBS_District_Flows!$A:$K, 6,FALSE),0)</f>
        <v>0</v>
      </c>
      <c r="K31" s="119">
        <f>IFERROR(VLOOKUP(CONCATENATE($A$15,"-",$A$12, "-", $D31, "-", K$3, "-", $A$9),OBS_District_Flows!$A:$K, 6,FALSE),0)</f>
        <v>0</v>
      </c>
      <c r="L31" s="119">
        <f>IFERROR(VLOOKUP(CONCATENATE($A$15,"-",$A$12, "-", $D31, "-", L$3, "-", $A$9),OBS_District_Flows!$A:$K, 6,FALSE),0)</f>
        <v>0</v>
      </c>
      <c r="M31" s="119">
        <f>IFERROR(VLOOKUP(CONCATENATE($A$15,"-",$A$12, "-", $D31, "-", M$3, "-", $A$9),OBS_District_Flows!$A:$K, 6,FALSE),0)</f>
        <v>0</v>
      </c>
      <c r="N31" s="119">
        <f>IFERROR(VLOOKUP(CONCATENATE($A$15,"-",$A$12, "-", $D31, "-", N$3, "-", $A$9),OBS_District_Flows!$A:$K, 6,FALSE),0)</f>
        <v>0</v>
      </c>
      <c r="O31" s="119">
        <f>IFERROR(VLOOKUP(CONCATENATE($A$15,"-",$A$12, "-", $D31, "-", O$3, "-", $A$9),OBS_District_Flows!$A:$K, 6,FALSE),0)</f>
        <v>0</v>
      </c>
      <c r="P31" s="119">
        <f>IFERROR(VLOOKUP(CONCATENATE($A$15,"-",$A$12, "-", $D31, "-", P$3, "-", $A$9),OBS_District_Flows!$A:$K, 6,FALSE),0)</f>
        <v>0</v>
      </c>
      <c r="Q31" s="119">
        <f>IFERROR(VLOOKUP(CONCATENATE($A$15,"-",$A$12, "-", $D31, "-", Q$3, "-", $A$9),OBS_District_Flows!$A:$K, 6,FALSE),0)</f>
        <v>0</v>
      </c>
      <c r="R31" s="119">
        <f>IFERROR(VLOOKUP(CONCATENATE($A$15,"-",$A$12, "-", $D31, "-", R$3, "-", $A$9),OBS_District_Flows!$A:$K, 6,FALSE),0)</f>
        <v>0</v>
      </c>
      <c r="S31" s="119">
        <f>IFERROR(VLOOKUP(CONCATENATE($A$15,"-",$A$12, "-", $D31, "-", S$3, "-", $A$9),OBS_District_Flows!$A:$K, 6,FALSE),0)</f>
        <v>0</v>
      </c>
      <c r="T31" s="119">
        <f>IFERROR(VLOOKUP(CONCATENATE($A$15,"-",$A$12, "-", $D31, "-", T$3, "-", $A$9),OBS_District_Flows!$A:$K, 6,FALSE),0)</f>
        <v>0</v>
      </c>
      <c r="U31" s="119">
        <f>IFERROR(VLOOKUP(CONCATENATE($A$15,"-",$A$12, "-", $D31, "-", U$3, "-", $A$9),OBS_District_Flows!$A:$K, 6,FALSE),0)</f>
        <v>0</v>
      </c>
      <c r="V31" s="119">
        <f>IFERROR(VLOOKUP(CONCATENATE($A$15,"-",$A$12, "-", $D31, "-", V$3, "-", $A$9),OBS_District_Flows!$A:$K, 6,FALSE),0)</f>
        <v>0</v>
      </c>
      <c r="W31" s="119">
        <f>IFERROR(VLOOKUP(CONCATENATE($A$15,"-",$A$12, "-", $D31, "-", W$3, "-", $A$9),OBS_District_Flows!$A:$K, 6,FALSE),0)</f>
        <v>0</v>
      </c>
      <c r="X31" s="119">
        <f>IFERROR(VLOOKUP(CONCATENATE($A$15,"-",$A$12, "-", $D31, "-", X$3, "-", $A$9),OBS_District_Flows!$A:$K, 6,FALSE),0)</f>
        <v>0</v>
      </c>
      <c r="Y31" s="119">
        <f>IFERROR(VLOOKUP(CONCATENATE($A$15,"-",$A$12, "-", $D31, "-", Y$3, "-", $A$9),OBS_District_Flows!$A:$K, 6,FALSE),0)</f>
        <v>0</v>
      </c>
      <c r="Z31" s="119">
        <f>IFERROR(VLOOKUP(CONCATENATE($A$15,"-",$A$12, "-", $D31, "-", Z$3, "-", $A$9),OBS_District_Flows!$A:$K, 6,FALSE),0)</f>
        <v>0</v>
      </c>
      <c r="AA31" s="119">
        <f>IFERROR(VLOOKUP(CONCATENATE($A$15,"-",$A$12, "-", $D31, "-", AA$3, "-", $A$9),OBS_District_Flows!$A:$K, 6,FALSE),0)</f>
        <v>0</v>
      </c>
      <c r="AB31" s="119">
        <f>IFERROR(VLOOKUP(CONCATENATE($A$15,"-",$A$12, "-", $D31, "-", AB$3, "-", $A$9),OBS_District_Flows!$A:$K, 6,FALSE),0)</f>
        <v>0</v>
      </c>
      <c r="AC31" s="119">
        <f>IFERROR(VLOOKUP(CONCATENATE($A$15,"-",$A$12, "-", $D31, "-", AC$3, "-", $A$9),OBS_District_Flows!$A:$K, 6,FALSE),0)</f>
        <v>0</v>
      </c>
      <c r="AD31" s="119">
        <f>IFERROR(VLOOKUP(CONCATENATE($A$15,"-",$A$12, "-", $D31, "-", AD$3, "-", $A$9),OBS_District_Flows!$A:$K, 6,FALSE),0)</f>
        <v>0</v>
      </c>
      <c r="AE31" s="119">
        <f>IFERROR(VLOOKUP(CONCATENATE($A$15,"-",$A$12, "-", $D31, "-", AE$3, "-", $A$9),OBS_District_Flows!$A:$K, 6,FALSE),0)</f>
        <v>0</v>
      </c>
      <c r="AF31" s="119">
        <f>IFERROR(VLOOKUP(CONCATENATE($A$15,"-",$A$12, "-", $D31, "-", AF$3, "-", $A$9),OBS_District_Flows!$A:$K, 6,FALSE),0)</f>
        <v>0</v>
      </c>
      <c r="AG31" s="119">
        <f>IFERROR(VLOOKUP(CONCATENATE($A$15,"-",$A$12, "-", $D31, "-", AG$3, "-", $A$9),OBS_District_Flows!$A:$K, 6,FALSE),0)</f>
        <v>0</v>
      </c>
      <c r="AH31" s="119">
        <f>IFERROR(VLOOKUP(CONCATENATE($A$15,"-",$A$12, "-", $D31, "-", AH$3, "-", $A$9),OBS_District_Flows!$A:$K, 6,FALSE),0)</f>
        <v>0</v>
      </c>
      <c r="AI31" s="119">
        <f>IFERROR(VLOOKUP(CONCATENATE($A$15,"-",$A$12, "-", $D31, "-", AI$3, "-", $A$9),OBS_District_Flows!$A:$K, 6,FALSE),0)</f>
        <v>0</v>
      </c>
      <c r="AJ31" s="119">
        <f>IFERROR(VLOOKUP(CONCATENATE($A$15,"-",$A$12, "-", $D31, "-", AJ$3, "-", $A$9),OBS_District_Flows!$A:$K, 6,FALSE),0)</f>
        <v>0</v>
      </c>
      <c r="AK31" s="119">
        <f>IFERROR(VLOOKUP(CONCATENATE($A$15,"-",$A$12, "-", $D31, "-", AK$3, "-", $A$9),OBS_District_Flows!$A:$K, 6,FALSE),0)</f>
        <v>0</v>
      </c>
      <c r="AL31" s="120">
        <f>IFERROR(VLOOKUP(CONCATENATE($A$15,"-",$A$12, "-", $D31, "-", AL$3, "-", $A$9),OBS_District_Flows!$A:$K, 6,FALSE),0)</f>
        <v>0</v>
      </c>
      <c r="AM31" s="111">
        <f t="shared" si="0"/>
        <v>0</v>
      </c>
      <c r="AO31" s="286"/>
      <c r="AP31" s="107" t="s">
        <v>218</v>
      </c>
      <c r="AQ31" s="121" t="str">
        <f t="shared" si="1"/>
        <v/>
      </c>
      <c r="AR31" s="122" t="str">
        <f t="shared" si="2"/>
        <v/>
      </c>
      <c r="AS31" s="122" t="str">
        <f t="shared" si="3"/>
        <v/>
      </c>
      <c r="AT31" s="122" t="str">
        <f t="shared" si="4"/>
        <v/>
      </c>
      <c r="AU31" s="122" t="str">
        <f t="shared" si="5"/>
        <v/>
      </c>
      <c r="AV31" s="122" t="str">
        <f t="shared" si="6"/>
        <v/>
      </c>
      <c r="AW31" s="122" t="str">
        <f t="shared" si="7"/>
        <v/>
      </c>
      <c r="AX31" s="122" t="str">
        <f t="shared" si="8"/>
        <v/>
      </c>
      <c r="AY31" s="122" t="str">
        <f t="shared" si="9"/>
        <v/>
      </c>
      <c r="AZ31" s="122" t="str">
        <f t="shared" si="10"/>
        <v/>
      </c>
      <c r="BA31" s="122" t="str">
        <f t="shared" si="11"/>
        <v/>
      </c>
      <c r="BB31" s="122" t="str">
        <f t="shared" si="12"/>
        <v/>
      </c>
      <c r="BC31" s="122" t="str">
        <f t="shared" si="13"/>
        <v/>
      </c>
      <c r="BD31" s="122" t="str">
        <f t="shared" si="14"/>
        <v/>
      </c>
      <c r="BE31" s="122" t="str">
        <f t="shared" si="15"/>
        <v/>
      </c>
      <c r="BF31" s="122" t="str">
        <f t="shared" si="16"/>
        <v/>
      </c>
      <c r="BG31" s="122" t="str">
        <f t="shared" si="17"/>
        <v/>
      </c>
      <c r="BH31" s="122" t="str">
        <f t="shared" si="18"/>
        <v/>
      </c>
      <c r="BI31" s="122" t="str">
        <f t="shared" si="19"/>
        <v/>
      </c>
      <c r="BJ31" s="122" t="str">
        <f t="shared" si="20"/>
        <v/>
      </c>
      <c r="BK31" s="122" t="str">
        <f t="shared" si="21"/>
        <v/>
      </c>
      <c r="BL31" s="122" t="str">
        <f t="shared" si="22"/>
        <v/>
      </c>
      <c r="BM31" s="122" t="str">
        <f t="shared" si="23"/>
        <v/>
      </c>
      <c r="BN31" s="122" t="str">
        <f t="shared" si="24"/>
        <v/>
      </c>
      <c r="BO31" s="122" t="str">
        <f t="shared" si="25"/>
        <v/>
      </c>
      <c r="BP31" s="122" t="str">
        <f t="shared" si="26"/>
        <v/>
      </c>
      <c r="BQ31" s="122" t="str">
        <f t="shared" si="27"/>
        <v/>
      </c>
      <c r="BR31" s="122" t="str">
        <f t="shared" si="28"/>
        <v/>
      </c>
      <c r="BS31" s="122" t="str">
        <f t="shared" si="29"/>
        <v/>
      </c>
      <c r="BT31" s="122" t="str">
        <f t="shared" si="30"/>
        <v/>
      </c>
      <c r="BU31" s="122" t="str">
        <f t="shared" si="31"/>
        <v/>
      </c>
      <c r="BV31" s="122" t="str">
        <f t="shared" si="32"/>
        <v/>
      </c>
      <c r="BW31" s="122" t="str">
        <f t="shared" si="33"/>
        <v/>
      </c>
      <c r="BX31" s="123" t="str">
        <f t="shared" si="34"/>
        <v/>
      </c>
      <c r="BY31" s="115" t="str">
        <f t="shared" si="35"/>
        <v/>
      </c>
      <c r="CA31" s="286"/>
      <c r="CB31" s="107" t="s">
        <v>218</v>
      </c>
      <c r="CC31" s="121" t="str">
        <f t="shared" si="36"/>
        <v/>
      </c>
      <c r="CD31" s="122" t="str">
        <f t="shared" si="37"/>
        <v/>
      </c>
      <c r="CE31" s="122" t="str">
        <f t="shared" si="38"/>
        <v/>
      </c>
      <c r="CF31" s="122" t="str">
        <f t="shared" si="39"/>
        <v/>
      </c>
      <c r="CG31" s="122" t="str">
        <f t="shared" si="40"/>
        <v/>
      </c>
      <c r="CH31" s="122" t="str">
        <f t="shared" si="41"/>
        <v/>
      </c>
      <c r="CI31" s="122" t="str">
        <f t="shared" si="42"/>
        <v/>
      </c>
      <c r="CJ31" s="122" t="str">
        <f t="shared" si="43"/>
        <v/>
      </c>
      <c r="CK31" s="122" t="str">
        <f t="shared" si="44"/>
        <v/>
      </c>
      <c r="CL31" s="122" t="str">
        <f t="shared" si="45"/>
        <v/>
      </c>
      <c r="CM31" s="122" t="str">
        <f t="shared" si="46"/>
        <v/>
      </c>
      <c r="CN31" s="122" t="str">
        <f t="shared" si="47"/>
        <v/>
      </c>
      <c r="CO31" s="122" t="str">
        <f t="shared" si="48"/>
        <v/>
      </c>
      <c r="CP31" s="122" t="str">
        <f t="shared" si="49"/>
        <v/>
      </c>
      <c r="CQ31" s="122" t="str">
        <f t="shared" si="50"/>
        <v/>
      </c>
      <c r="CR31" s="122" t="str">
        <f t="shared" si="51"/>
        <v/>
      </c>
      <c r="CS31" s="122" t="str">
        <f t="shared" si="52"/>
        <v/>
      </c>
      <c r="CT31" s="122" t="str">
        <f t="shared" si="53"/>
        <v/>
      </c>
      <c r="CU31" s="122" t="str">
        <f t="shared" si="54"/>
        <v/>
      </c>
      <c r="CV31" s="122" t="str">
        <f t="shared" si="55"/>
        <v/>
      </c>
      <c r="CW31" s="122" t="str">
        <f t="shared" si="56"/>
        <v/>
      </c>
      <c r="CX31" s="122" t="str">
        <f t="shared" si="57"/>
        <v/>
      </c>
      <c r="CY31" s="122" t="str">
        <f t="shared" si="58"/>
        <v/>
      </c>
      <c r="CZ31" s="122" t="str">
        <f t="shared" si="59"/>
        <v/>
      </c>
      <c r="DA31" s="122" t="str">
        <f t="shared" si="60"/>
        <v/>
      </c>
      <c r="DB31" s="122" t="str">
        <f t="shared" si="61"/>
        <v/>
      </c>
      <c r="DC31" s="122" t="str">
        <f t="shared" si="62"/>
        <v/>
      </c>
      <c r="DD31" s="122" t="str">
        <f t="shared" si="63"/>
        <v/>
      </c>
      <c r="DE31" s="122" t="str">
        <f t="shared" si="64"/>
        <v/>
      </c>
      <c r="DF31" s="122" t="str">
        <f t="shared" si="65"/>
        <v/>
      </c>
      <c r="DG31" s="122" t="str">
        <f t="shared" si="66"/>
        <v/>
      </c>
      <c r="DH31" s="122" t="str">
        <f t="shared" si="67"/>
        <v/>
      </c>
      <c r="DI31" s="122" t="str">
        <f t="shared" si="68"/>
        <v/>
      </c>
      <c r="DJ31" s="123" t="str">
        <f t="shared" si="69"/>
        <v/>
      </c>
      <c r="DK31" s="115" t="str">
        <f t="shared" si="70"/>
        <v/>
      </c>
    </row>
    <row r="32" spans="1:115" x14ac:dyDescent="0.2">
      <c r="C32" s="285"/>
      <c r="D32" s="107" t="s">
        <v>219</v>
      </c>
      <c r="E32" s="118">
        <f>IFERROR(VLOOKUP(CONCATENATE($A$15,"-",$A$12, "-", $D32, "-", E$3, "-", $A$9),OBS_District_Flows!$A:$K, 6,FALSE),0)</f>
        <v>0</v>
      </c>
      <c r="F32" s="119">
        <f>IFERROR(VLOOKUP(CONCATENATE($A$15,"-",$A$12, "-", $D32, "-", F$3, "-", $A$9),OBS_District_Flows!$A:$K, 6,FALSE),0)</f>
        <v>0</v>
      </c>
      <c r="G32" s="119">
        <f>IFERROR(VLOOKUP(CONCATENATE($A$15,"-",$A$12, "-", $D32, "-", G$3, "-", $A$9),OBS_District_Flows!$A:$K, 6,FALSE),0)</f>
        <v>0</v>
      </c>
      <c r="H32" s="119">
        <f>IFERROR(VLOOKUP(CONCATENATE($A$15,"-",$A$12, "-", $D32, "-", H$3, "-", $A$9),OBS_District_Flows!$A:$K, 6,FALSE),0)</f>
        <v>0</v>
      </c>
      <c r="I32" s="119">
        <f>IFERROR(VLOOKUP(CONCATENATE($A$15,"-",$A$12, "-", $D32, "-", I$3, "-", $A$9),OBS_District_Flows!$A:$K, 6,FALSE),0)</f>
        <v>0</v>
      </c>
      <c r="J32" s="119">
        <f>IFERROR(VLOOKUP(CONCATENATE($A$15,"-",$A$12, "-", $D32, "-", J$3, "-", $A$9),OBS_District_Flows!$A:$K, 6,FALSE),0)</f>
        <v>0</v>
      </c>
      <c r="K32" s="119">
        <f>IFERROR(VLOOKUP(CONCATENATE($A$15,"-",$A$12, "-", $D32, "-", K$3, "-", $A$9),OBS_District_Flows!$A:$K, 6,FALSE),0)</f>
        <v>0</v>
      </c>
      <c r="L32" s="119">
        <f>IFERROR(VLOOKUP(CONCATENATE($A$15,"-",$A$12, "-", $D32, "-", L$3, "-", $A$9),OBS_District_Flows!$A:$K, 6,FALSE),0)</f>
        <v>0</v>
      </c>
      <c r="M32" s="119">
        <f>IFERROR(VLOOKUP(CONCATENATE($A$15,"-",$A$12, "-", $D32, "-", M$3, "-", $A$9),OBS_District_Flows!$A:$K, 6,FALSE),0)</f>
        <v>0</v>
      </c>
      <c r="N32" s="119">
        <f>IFERROR(VLOOKUP(CONCATENATE($A$15,"-",$A$12, "-", $D32, "-", N$3, "-", $A$9),OBS_District_Flows!$A:$K, 6,FALSE),0)</f>
        <v>0</v>
      </c>
      <c r="O32" s="119">
        <f>IFERROR(VLOOKUP(CONCATENATE($A$15,"-",$A$12, "-", $D32, "-", O$3, "-", $A$9),OBS_District_Flows!$A:$K, 6,FALSE),0)</f>
        <v>0</v>
      </c>
      <c r="P32" s="119">
        <f>IFERROR(VLOOKUP(CONCATENATE($A$15,"-",$A$12, "-", $D32, "-", P$3, "-", $A$9),OBS_District_Flows!$A:$K, 6,FALSE),0)</f>
        <v>0</v>
      </c>
      <c r="Q32" s="119">
        <f>IFERROR(VLOOKUP(CONCATENATE($A$15,"-",$A$12, "-", $D32, "-", Q$3, "-", $A$9),OBS_District_Flows!$A:$K, 6,FALSE),0)</f>
        <v>0</v>
      </c>
      <c r="R32" s="119">
        <f>IFERROR(VLOOKUP(CONCATENATE($A$15,"-",$A$12, "-", $D32, "-", R$3, "-", $A$9),OBS_District_Flows!$A:$K, 6,FALSE),0)</f>
        <v>0</v>
      </c>
      <c r="S32" s="119">
        <f>IFERROR(VLOOKUP(CONCATENATE($A$15,"-",$A$12, "-", $D32, "-", S$3, "-", $A$9),OBS_District_Flows!$A:$K, 6,FALSE),0)</f>
        <v>0</v>
      </c>
      <c r="T32" s="119">
        <f>IFERROR(VLOOKUP(CONCATENATE($A$15,"-",$A$12, "-", $D32, "-", T$3, "-", $A$9),OBS_District_Flows!$A:$K, 6,FALSE),0)</f>
        <v>0</v>
      </c>
      <c r="U32" s="119">
        <f>IFERROR(VLOOKUP(CONCATENATE($A$15,"-",$A$12, "-", $D32, "-", U$3, "-", $A$9),OBS_District_Flows!$A:$K, 6,FALSE),0)</f>
        <v>0</v>
      </c>
      <c r="V32" s="119">
        <f>IFERROR(VLOOKUP(CONCATENATE($A$15,"-",$A$12, "-", $D32, "-", V$3, "-", $A$9),OBS_District_Flows!$A:$K, 6,FALSE),0)</f>
        <v>0</v>
      </c>
      <c r="W32" s="119">
        <f>IFERROR(VLOOKUP(CONCATENATE($A$15,"-",$A$12, "-", $D32, "-", W$3, "-", $A$9),OBS_District_Flows!$A:$K, 6,FALSE),0)</f>
        <v>0</v>
      </c>
      <c r="X32" s="119">
        <f>IFERROR(VLOOKUP(CONCATENATE($A$15,"-",$A$12, "-", $D32, "-", X$3, "-", $A$9),OBS_District_Flows!$A:$K, 6,FALSE),0)</f>
        <v>0</v>
      </c>
      <c r="Y32" s="119">
        <f>IFERROR(VLOOKUP(CONCATENATE($A$15,"-",$A$12, "-", $D32, "-", Y$3, "-", $A$9),OBS_District_Flows!$A:$K, 6,FALSE),0)</f>
        <v>0</v>
      </c>
      <c r="Z32" s="119">
        <f>IFERROR(VLOOKUP(CONCATENATE($A$15,"-",$A$12, "-", $D32, "-", Z$3, "-", $A$9),OBS_District_Flows!$A:$K, 6,FALSE),0)</f>
        <v>0</v>
      </c>
      <c r="AA32" s="119">
        <f>IFERROR(VLOOKUP(CONCATENATE($A$15,"-",$A$12, "-", $D32, "-", AA$3, "-", $A$9),OBS_District_Flows!$A:$K, 6,FALSE),0)</f>
        <v>0</v>
      </c>
      <c r="AB32" s="119">
        <f>IFERROR(VLOOKUP(CONCATENATE($A$15,"-",$A$12, "-", $D32, "-", AB$3, "-", $A$9),OBS_District_Flows!$A:$K, 6,FALSE),0)</f>
        <v>0</v>
      </c>
      <c r="AC32" s="119">
        <f>IFERROR(VLOOKUP(CONCATENATE($A$15,"-",$A$12, "-", $D32, "-", AC$3, "-", $A$9),OBS_District_Flows!$A:$K, 6,FALSE),0)</f>
        <v>0</v>
      </c>
      <c r="AD32" s="119">
        <f>IFERROR(VLOOKUP(CONCATENATE($A$15,"-",$A$12, "-", $D32, "-", AD$3, "-", $A$9),OBS_District_Flows!$A:$K, 6,FALSE),0)</f>
        <v>0</v>
      </c>
      <c r="AE32" s="119">
        <f>IFERROR(VLOOKUP(CONCATENATE($A$15,"-",$A$12, "-", $D32, "-", AE$3, "-", $A$9),OBS_District_Flows!$A:$K, 6,FALSE),0)</f>
        <v>0</v>
      </c>
      <c r="AF32" s="119">
        <f>IFERROR(VLOOKUP(CONCATENATE($A$15,"-",$A$12, "-", $D32, "-", AF$3, "-", $A$9),OBS_District_Flows!$A:$K, 6,FALSE),0)</f>
        <v>0</v>
      </c>
      <c r="AG32" s="119">
        <f>IFERROR(VLOOKUP(CONCATENATE($A$15,"-",$A$12, "-", $D32, "-", AG$3, "-", $A$9),OBS_District_Flows!$A:$K, 6,FALSE),0)</f>
        <v>0</v>
      </c>
      <c r="AH32" s="119">
        <f>IFERROR(VLOOKUP(CONCATENATE($A$15,"-",$A$12, "-", $D32, "-", AH$3, "-", $A$9),OBS_District_Flows!$A:$K, 6,FALSE),0)</f>
        <v>0</v>
      </c>
      <c r="AI32" s="119">
        <f>IFERROR(VLOOKUP(CONCATENATE($A$15,"-",$A$12, "-", $D32, "-", AI$3, "-", $A$9),OBS_District_Flows!$A:$K, 6,FALSE),0)</f>
        <v>0</v>
      </c>
      <c r="AJ32" s="119">
        <f>IFERROR(VLOOKUP(CONCATENATE($A$15,"-",$A$12, "-", $D32, "-", AJ$3, "-", $A$9),OBS_District_Flows!$A:$K, 6,FALSE),0)</f>
        <v>0</v>
      </c>
      <c r="AK32" s="119">
        <f>IFERROR(VLOOKUP(CONCATENATE($A$15,"-",$A$12, "-", $D32, "-", AK$3, "-", $A$9),OBS_District_Flows!$A:$K, 6,FALSE),0)</f>
        <v>0</v>
      </c>
      <c r="AL32" s="120">
        <f>IFERROR(VLOOKUP(CONCATENATE($A$15,"-",$A$12, "-", $D32, "-", AL$3, "-", $A$9),OBS_District_Flows!$A:$K, 6,FALSE),0)</f>
        <v>0</v>
      </c>
      <c r="AM32" s="111">
        <f t="shared" si="0"/>
        <v>0</v>
      </c>
      <c r="AO32" s="286"/>
      <c r="AP32" s="107" t="s">
        <v>219</v>
      </c>
      <c r="AQ32" s="121" t="str">
        <f t="shared" si="1"/>
        <v/>
      </c>
      <c r="AR32" s="122" t="str">
        <f t="shared" si="2"/>
        <v/>
      </c>
      <c r="AS32" s="122" t="str">
        <f t="shared" si="3"/>
        <v/>
      </c>
      <c r="AT32" s="122" t="str">
        <f t="shared" si="4"/>
        <v/>
      </c>
      <c r="AU32" s="122" t="str">
        <f t="shared" si="5"/>
        <v/>
      </c>
      <c r="AV32" s="122" t="str">
        <f t="shared" si="6"/>
        <v/>
      </c>
      <c r="AW32" s="122" t="str">
        <f t="shared" si="7"/>
        <v/>
      </c>
      <c r="AX32" s="122" t="str">
        <f t="shared" si="8"/>
        <v/>
      </c>
      <c r="AY32" s="122" t="str">
        <f t="shared" si="9"/>
        <v/>
      </c>
      <c r="AZ32" s="122" t="str">
        <f t="shared" si="10"/>
        <v/>
      </c>
      <c r="BA32" s="122" t="str">
        <f t="shared" si="11"/>
        <v/>
      </c>
      <c r="BB32" s="122" t="str">
        <f t="shared" si="12"/>
        <v/>
      </c>
      <c r="BC32" s="122" t="str">
        <f t="shared" si="13"/>
        <v/>
      </c>
      <c r="BD32" s="122" t="str">
        <f t="shared" si="14"/>
        <v/>
      </c>
      <c r="BE32" s="122" t="str">
        <f t="shared" si="15"/>
        <v/>
      </c>
      <c r="BF32" s="122" t="str">
        <f t="shared" si="16"/>
        <v/>
      </c>
      <c r="BG32" s="122" t="str">
        <f t="shared" si="17"/>
        <v/>
      </c>
      <c r="BH32" s="122" t="str">
        <f t="shared" si="18"/>
        <v/>
      </c>
      <c r="BI32" s="122" t="str">
        <f t="shared" si="19"/>
        <v/>
      </c>
      <c r="BJ32" s="122" t="str">
        <f t="shared" si="20"/>
        <v/>
      </c>
      <c r="BK32" s="122" t="str">
        <f t="shared" si="21"/>
        <v/>
      </c>
      <c r="BL32" s="122" t="str">
        <f t="shared" si="22"/>
        <v/>
      </c>
      <c r="BM32" s="122" t="str">
        <f t="shared" si="23"/>
        <v/>
      </c>
      <c r="BN32" s="122" t="str">
        <f t="shared" si="24"/>
        <v/>
      </c>
      <c r="BO32" s="122" t="str">
        <f t="shared" si="25"/>
        <v/>
      </c>
      <c r="BP32" s="122" t="str">
        <f t="shared" si="26"/>
        <v/>
      </c>
      <c r="BQ32" s="122" t="str">
        <f t="shared" si="27"/>
        <v/>
      </c>
      <c r="BR32" s="122" t="str">
        <f t="shared" si="28"/>
        <v/>
      </c>
      <c r="BS32" s="122" t="str">
        <f t="shared" si="29"/>
        <v/>
      </c>
      <c r="BT32" s="122" t="str">
        <f t="shared" si="30"/>
        <v/>
      </c>
      <c r="BU32" s="122" t="str">
        <f t="shared" si="31"/>
        <v/>
      </c>
      <c r="BV32" s="122" t="str">
        <f t="shared" si="32"/>
        <v/>
      </c>
      <c r="BW32" s="122" t="str">
        <f t="shared" si="33"/>
        <v/>
      </c>
      <c r="BX32" s="123" t="str">
        <f t="shared" si="34"/>
        <v/>
      </c>
      <c r="BY32" s="115" t="str">
        <f t="shared" si="35"/>
        <v/>
      </c>
      <c r="CA32" s="286"/>
      <c r="CB32" s="107" t="s">
        <v>219</v>
      </c>
      <c r="CC32" s="121" t="str">
        <f t="shared" si="36"/>
        <v/>
      </c>
      <c r="CD32" s="122" t="str">
        <f t="shared" si="37"/>
        <v/>
      </c>
      <c r="CE32" s="122" t="str">
        <f t="shared" si="38"/>
        <v/>
      </c>
      <c r="CF32" s="122" t="str">
        <f t="shared" si="39"/>
        <v/>
      </c>
      <c r="CG32" s="122" t="str">
        <f t="shared" si="40"/>
        <v/>
      </c>
      <c r="CH32" s="122" t="str">
        <f t="shared" si="41"/>
        <v/>
      </c>
      <c r="CI32" s="122" t="str">
        <f t="shared" si="42"/>
        <v/>
      </c>
      <c r="CJ32" s="122" t="str">
        <f t="shared" si="43"/>
        <v/>
      </c>
      <c r="CK32" s="122" t="str">
        <f t="shared" si="44"/>
        <v/>
      </c>
      <c r="CL32" s="122" t="str">
        <f t="shared" si="45"/>
        <v/>
      </c>
      <c r="CM32" s="122" t="str">
        <f t="shared" si="46"/>
        <v/>
      </c>
      <c r="CN32" s="122" t="str">
        <f t="shared" si="47"/>
        <v/>
      </c>
      <c r="CO32" s="122" t="str">
        <f t="shared" si="48"/>
        <v/>
      </c>
      <c r="CP32" s="122" t="str">
        <f t="shared" si="49"/>
        <v/>
      </c>
      <c r="CQ32" s="122" t="str">
        <f t="shared" si="50"/>
        <v/>
      </c>
      <c r="CR32" s="122" t="str">
        <f t="shared" si="51"/>
        <v/>
      </c>
      <c r="CS32" s="122" t="str">
        <f t="shared" si="52"/>
        <v/>
      </c>
      <c r="CT32" s="122" t="str">
        <f t="shared" si="53"/>
        <v/>
      </c>
      <c r="CU32" s="122" t="str">
        <f t="shared" si="54"/>
        <v/>
      </c>
      <c r="CV32" s="122" t="str">
        <f t="shared" si="55"/>
        <v/>
      </c>
      <c r="CW32" s="122" t="str">
        <f t="shared" si="56"/>
        <v/>
      </c>
      <c r="CX32" s="122" t="str">
        <f t="shared" si="57"/>
        <v/>
      </c>
      <c r="CY32" s="122" t="str">
        <f t="shared" si="58"/>
        <v/>
      </c>
      <c r="CZ32" s="122" t="str">
        <f t="shared" si="59"/>
        <v/>
      </c>
      <c r="DA32" s="122" t="str">
        <f t="shared" si="60"/>
        <v/>
      </c>
      <c r="DB32" s="122" t="str">
        <f t="shared" si="61"/>
        <v/>
      </c>
      <c r="DC32" s="122" t="str">
        <f t="shared" si="62"/>
        <v/>
      </c>
      <c r="DD32" s="122" t="str">
        <f t="shared" si="63"/>
        <v/>
      </c>
      <c r="DE32" s="122" t="str">
        <f t="shared" si="64"/>
        <v/>
      </c>
      <c r="DF32" s="122" t="str">
        <f t="shared" si="65"/>
        <v/>
      </c>
      <c r="DG32" s="122" t="str">
        <f t="shared" si="66"/>
        <v/>
      </c>
      <c r="DH32" s="122" t="str">
        <f t="shared" si="67"/>
        <v/>
      </c>
      <c r="DI32" s="122" t="str">
        <f t="shared" si="68"/>
        <v/>
      </c>
      <c r="DJ32" s="123" t="str">
        <f t="shared" si="69"/>
        <v/>
      </c>
      <c r="DK32" s="115" t="str">
        <f t="shared" si="70"/>
        <v/>
      </c>
    </row>
    <row r="33" spans="1:115" x14ac:dyDescent="0.2">
      <c r="C33" s="285"/>
      <c r="D33" s="107" t="s">
        <v>220</v>
      </c>
      <c r="E33" s="118">
        <f>IFERROR(VLOOKUP(CONCATENATE($A$15,"-",$A$12, "-", $D33, "-", E$3, "-", $A$9),OBS_District_Flows!$A:$K, 6,FALSE),0)</f>
        <v>0</v>
      </c>
      <c r="F33" s="119">
        <f>IFERROR(VLOOKUP(CONCATENATE($A$15,"-",$A$12, "-", $D33, "-", F$3, "-", $A$9),OBS_District_Flows!$A:$K, 6,FALSE),0)</f>
        <v>0</v>
      </c>
      <c r="G33" s="119">
        <f>IFERROR(VLOOKUP(CONCATENATE($A$15,"-",$A$12, "-", $D33, "-", G$3, "-", $A$9),OBS_District_Flows!$A:$K, 6,FALSE),0)</f>
        <v>0</v>
      </c>
      <c r="H33" s="119">
        <f>IFERROR(VLOOKUP(CONCATENATE($A$15,"-",$A$12, "-", $D33, "-", H$3, "-", $A$9),OBS_District_Flows!$A:$K, 6,FALSE),0)</f>
        <v>0</v>
      </c>
      <c r="I33" s="119">
        <f>IFERROR(VLOOKUP(CONCATENATE($A$15,"-",$A$12, "-", $D33, "-", I$3, "-", $A$9),OBS_District_Flows!$A:$K, 6,FALSE),0)</f>
        <v>0</v>
      </c>
      <c r="J33" s="119">
        <f>IFERROR(VLOOKUP(CONCATENATE($A$15,"-",$A$12, "-", $D33, "-", J$3, "-", $A$9),OBS_District_Flows!$A:$K, 6,FALSE),0)</f>
        <v>0</v>
      </c>
      <c r="K33" s="119">
        <f>IFERROR(VLOOKUP(CONCATENATE($A$15,"-",$A$12, "-", $D33, "-", K$3, "-", $A$9),OBS_District_Flows!$A:$K, 6,FALSE),0)</f>
        <v>0</v>
      </c>
      <c r="L33" s="119">
        <f>IFERROR(VLOOKUP(CONCATENATE($A$15,"-",$A$12, "-", $D33, "-", L$3, "-", $A$9),OBS_District_Flows!$A:$K, 6,FALSE),0)</f>
        <v>0</v>
      </c>
      <c r="M33" s="119">
        <f>IFERROR(VLOOKUP(CONCATENATE($A$15,"-",$A$12, "-", $D33, "-", M$3, "-", $A$9),OBS_District_Flows!$A:$K, 6,FALSE),0)</f>
        <v>0</v>
      </c>
      <c r="N33" s="119">
        <f>IFERROR(VLOOKUP(CONCATENATE($A$15,"-",$A$12, "-", $D33, "-", N$3, "-", $A$9),OBS_District_Flows!$A:$K, 6,FALSE),0)</f>
        <v>0</v>
      </c>
      <c r="O33" s="119">
        <f>IFERROR(VLOOKUP(CONCATENATE($A$15,"-",$A$12, "-", $D33, "-", O$3, "-", $A$9),OBS_District_Flows!$A:$K, 6,FALSE),0)</f>
        <v>0</v>
      </c>
      <c r="P33" s="119">
        <f>IFERROR(VLOOKUP(CONCATENATE($A$15,"-",$A$12, "-", $D33, "-", P$3, "-", $A$9),OBS_District_Flows!$A:$K, 6,FALSE),0)</f>
        <v>0</v>
      </c>
      <c r="Q33" s="119">
        <f>IFERROR(VLOOKUP(CONCATENATE($A$15,"-",$A$12, "-", $D33, "-", Q$3, "-", $A$9),OBS_District_Flows!$A:$K, 6,FALSE),0)</f>
        <v>0</v>
      </c>
      <c r="R33" s="119">
        <f>IFERROR(VLOOKUP(CONCATENATE($A$15,"-",$A$12, "-", $D33, "-", R$3, "-", $A$9),OBS_District_Flows!$A:$K, 6,FALSE),0)</f>
        <v>0</v>
      </c>
      <c r="S33" s="119">
        <f>IFERROR(VLOOKUP(CONCATENATE($A$15,"-",$A$12, "-", $D33, "-", S$3, "-", $A$9),OBS_District_Flows!$A:$K, 6,FALSE),0)</f>
        <v>0</v>
      </c>
      <c r="T33" s="119">
        <f>IFERROR(VLOOKUP(CONCATENATE($A$15,"-",$A$12, "-", $D33, "-", T$3, "-", $A$9),OBS_District_Flows!$A:$K, 6,FALSE),0)</f>
        <v>0</v>
      </c>
      <c r="U33" s="119">
        <f>IFERROR(VLOOKUP(CONCATENATE($A$15,"-",$A$12, "-", $D33, "-", U$3, "-", $A$9),OBS_District_Flows!$A:$K, 6,FALSE),0)</f>
        <v>0</v>
      </c>
      <c r="V33" s="119">
        <f>IFERROR(VLOOKUP(CONCATENATE($A$15,"-",$A$12, "-", $D33, "-", V$3, "-", $A$9),OBS_District_Flows!$A:$K, 6,FALSE),0)</f>
        <v>0</v>
      </c>
      <c r="W33" s="119">
        <f>IFERROR(VLOOKUP(CONCATENATE($A$15,"-",$A$12, "-", $D33, "-", W$3, "-", $A$9),OBS_District_Flows!$A:$K, 6,FALSE),0)</f>
        <v>0</v>
      </c>
      <c r="X33" s="119">
        <f>IFERROR(VLOOKUP(CONCATENATE($A$15,"-",$A$12, "-", $D33, "-", X$3, "-", $A$9),OBS_District_Flows!$A:$K, 6,FALSE),0)</f>
        <v>0</v>
      </c>
      <c r="Y33" s="119">
        <f>IFERROR(VLOOKUP(CONCATENATE($A$15,"-",$A$12, "-", $D33, "-", Y$3, "-", $A$9),OBS_District_Flows!$A:$K, 6,FALSE),0)</f>
        <v>0</v>
      </c>
      <c r="Z33" s="119">
        <f>IFERROR(VLOOKUP(CONCATENATE($A$15,"-",$A$12, "-", $D33, "-", Z$3, "-", $A$9),OBS_District_Flows!$A:$K, 6,FALSE),0)</f>
        <v>0</v>
      </c>
      <c r="AA33" s="119">
        <f>IFERROR(VLOOKUP(CONCATENATE($A$15,"-",$A$12, "-", $D33, "-", AA$3, "-", $A$9),OBS_District_Flows!$A:$K, 6,FALSE),0)</f>
        <v>0</v>
      </c>
      <c r="AB33" s="119">
        <f>IFERROR(VLOOKUP(CONCATENATE($A$15,"-",$A$12, "-", $D33, "-", AB$3, "-", $A$9),OBS_District_Flows!$A:$K, 6,FALSE),0)</f>
        <v>0</v>
      </c>
      <c r="AC33" s="119">
        <f>IFERROR(VLOOKUP(CONCATENATE($A$15,"-",$A$12, "-", $D33, "-", AC$3, "-", $A$9),OBS_District_Flows!$A:$K, 6,FALSE),0)</f>
        <v>0</v>
      </c>
      <c r="AD33" s="119">
        <f>IFERROR(VLOOKUP(CONCATENATE($A$15,"-",$A$12, "-", $D33, "-", AD$3, "-", $A$9),OBS_District_Flows!$A:$K, 6,FALSE),0)</f>
        <v>0</v>
      </c>
      <c r="AE33" s="119">
        <f>IFERROR(VLOOKUP(CONCATENATE($A$15,"-",$A$12, "-", $D33, "-", AE$3, "-", $A$9),OBS_District_Flows!$A:$K, 6,FALSE),0)</f>
        <v>0</v>
      </c>
      <c r="AF33" s="119">
        <f>IFERROR(VLOOKUP(CONCATENATE($A$15,"-",$A$12, "-", $D33, "-", AF$3, "-", $A$9),OBS_District_Flows!$A:$K, 6,FALSE),0)</f>
        <v>0</v>
      </c>
      <c r="AG33" s="119">
        <f>IFERROR(VLOOKUP(CONCATENATE($A$15,"-",$A$12, "-", $D33, "-", AG$3, "-", $A$9),OBS_District_Flows!$A:$K, 6,FALSE),0)</f>
        <v>0</v>
      </c>
      <c r="AH33" s="119">
        <f>IFERROR(VLOOKUP(CONCATENATE($A$15,"-",$A$12, "-", $D33, "-", AH$3, "-", $A$9),OBS_District_Flows!$A:$K, 6,FALSE),0)</f>
        <v>0</v>
      </c>
      <c r="AI33" s="119">
        <f>IFERROR(VLOOKUP(CONCATENATE($A$15,"-",$A$12, "-", $D33, "-", AI$3, "-", $A$9),OBS_District_Flows!$A:$K, 6,FALSE),0)</f>
        <v>0</v>
      </c>
      <c r="AJ33" s="119">
        <f>IFERROR(VLOOKUP(CONCATENATE($A$15,"-",$A$12, "-", $D33, "-", AJ$3, "-", $A$9),OBS_District_Flows!$A:$K, 6,FALSE),0)</f>
        <v>0</v>
      </c>
      <c r="AK33" s="119">
        <f>IFERROR(VLOOKUP(CONCATENATE($A$15,"-",$A$12, "-", $D33, "-", AK$3, "-", $A$9),OBS_District_Flows!$A:$K, 6,FALSE),0)</f>
        <v>0</v>
      </c>
      <c r="AL33" s="120">
        <f>IFERROR(VLOOKUP(CONCATENATE($A$15,"-",$A$12, "-", $D33, "-", AL$3, "-", $A$9),OBS_District_Flows!$A:$K, 6,FALSE),0)</f>
        <v>0</v>
      </c>
      <c r="AM33" s="111">
        <f t="shared" si="0"/>
        <v>0</v>
      </c>
      <c r="AO33" s="286"/>
      <c r="AP33" s="107" t="s">
        <v>220</v>
      </c>
      <c r="AQ33" s="121" t="str">
        <f t="shared" si="1"/>
        <v/>
      </c>
      <c r="AR33" s="122" t="str">
        <f t="shared" si="2"/>
        <v/>
      </c>
      <c r="AS33" s="122" t="str">
        <f t="shared" si="3"/>
        <v/>
      </c>
      <c r="AT33" s="122" t="str">
        <f t="shared" si="4"/>
        <v/>
      </c>
      <c r="AU33" s="122" t="str">
        <f t="shared" si="5"/>
        <v/>
      </c>
      <c r="AV33" s="122" t="str">
        <f t="shared" si="6"/>
        <v/>
      </c>
      <c r="AW33" s="122" t="str">
        <f t="shared" si="7"/>
        <v/>
      </c>
      <c r="AX33" s="122" t="str">
        <f t="shared" si="8"/>
        <v/>
      </c>
      <c r="AY33" s="122" t="str">
        <f t="shared" si="9"/>
        <v/>
      </c>
      <c r="AZ33" s="122" t="str">
        <f t="shared" si="10"/>
        <v/>
      </c>
      <c r="BA33" s="122" t="str">
        <f t="shared" si="11"/>
        <v/>
      </c>
      <c r="BB33" s="122" t="str">
        <f t="shared" si="12"/>
        <v/>
      </c>
      <c r="BC33" s="122" t="str">
        <f t="shared" si="13"/>
        <v/>
      </c>
      <c r="BD33" s="122" t="str">
        <f t="shared" si="14"/>
        <v/>
      </c>
      <c r="BE33" s="122" t="str">
        <f t="shared" si="15"/>
        <v/>
      </c>
      <c r="BF33" s="122" t="str">
        <f t="shared" si="16"/>
        <v/>
      </c>
      <c r="BG33" s="122" t="str">
        <f t="shared" si="17"/>
        <v/>
      </c>
      <c r="BH33" s="122" t="str">
        <f t="shared" si="18"/>
        <v/>
      </c>
      <c r="BI33" s="122" t="str">
        <f t="shared" si="19"/>
        <v/>
      </c>
      <c r="BJ33" s="122" t="str">
        <f t="shared" si="20"/>
        <v/>
      </c>
      <c r="BK33" s="122" t="str">
        <f t="shared" si="21"/>
        <v/>
      </c>
      <c r="BL33" s="122" t="str">
        <f t="shared" si="22"/>
        <v/>
      </c>
      <c r="BM33" s="122" t="str">
        <f t="shared" si="23"/>
        <v/>
      </c>
      <c r="BN33" s="122" t="str">
        <f t="shared" si="24"/>
        <v/>
      </c>
      <c r="BO33" s="122" t="str">
        <f t="shared" si="25"/>
        <v/>
      </c>
      <c r="BP33" s="122" t="str">
        <f t="shared" si="26"/>
        <v/>
      </c>
      <c r="BQ33" s="122" t="str">
        <f t="shared" si="27"/>
        <v/>
      </c>
      <c r="BR33" s="122" t="str">
        <f t="shared" si="28"/>
        <v/>
      </c>
      <c r="BS33" s="122" t="str">
        <f t="shared" si="29"/>
        <v/>
      </c>
      <c r="BT33" s="122" t="str">
        <f t="shared" si="30"/>
        <v/>
      </c>
      <c r="BU33" s="122" t="str">
        <f t="shared" si="31"/>
        <v/>
      </c>
      <c r="BV33" s="122" t="str">
        <f t="shared" si="32"/>
        <v/>
      </c>
      <c r="BW33" s="122" t="str">
        <f t="shared" si="33"/>
        <v/>
      </c>
      <c r="BX33" s="123" t="str">
        <f t="shared" si="34"/>
        <v/>
      </c>
      <c r="BY33" s="115" t="str">
        <f t="shared" si="35"/>
        <v/>
      </c>
      <c r="CA33" s="286"/>
      <c r="CB33" s="107" t="s">
        <v>220</v>
      </c>
      <c r="CC33" s="121" t="str">
        <f t="shared" si="36"/>
        <v/>
      </c>
      <c r="CD33" s="122" t="str">
        <f t="shared" si="37"/>
        <v/>
      </c>
      <c r="CE33" s="122" t="str">
        <f t="shared" si="38"/>
        <v/>
      </c>
      <c r="CF33" s="122" t="str">
        <f t="shared" si="39"/>
        <v/>
      </c>
      <c r="CG33" s="122" t="str">
        <f t="shared" si="40"/>
        <v/>
      </c>
      <c r="CH33" s="122" t="str">
        <f t="shared" si="41"/>
        <v/>
      </c>
      <c r="CI33" s="122" t="str">
        <f t="shared" si="42"/>
        <v/>
      </c>
      <c r="CJ33" s="122" t="str">
        <f t="shared" si="43"/>
        <v/>
      </c>
      <c r="CK33" s="122" t="str">
        <f t="shared" si="44"/>
        <v/>
      </c>
      <c r="CL33" s="122" t="str">
        <f t="shared" si="45"/>
        <v/>
      </c>
      <c r="CM33" s="122" t="str">
        <f t="shared" si="46"/>
        <v/>
      </c>
      <c r="CN33" s="122" t="str">
        <f t="shared" si="47"/>
        <v/>
      </c>
      <c r="CO33" s="122" t="str">
        <f t="shared" si="48"/>
        <v/>
      </c>
      <c r="CP33" s="122" t="str">
        <f t="shared" si="49"/>
        <v/>
      </c>
      <c r="CQ33" s="122" t="str">
        <f t="shared" si="50"/>
        <v/>
      </c>
      <c r="CR33" s="122" t="str">
        <f t="shared" si="51"/>
        <v/>
      </c>
      <c r="CS33" s="122" t="str">
        <f t="shared" si="52"/>
        <v/>
      </c>
      <c r="CT33" s="122" t="str">
        <f t="shared" si="53"/>
        <v/>
      </c>
      <c r="CU33" s="122" t="str">
        <f t="shared" si="54"/>
        <v/>
      </c>
      <c r="CV33" s="122" t="str">
        <f t="shared" si="55"/>
        <v/>
      </c>
      <c r="CW33" s="122" t="str">
        <f t="shared" si="56"/>
        <v/>
      </c>
      <c r="CX33" s="122" t="str">
        <f t="shared" si="57"/>
        <v/>
      </c>
      <c r="CY33" s="122" t="str">
        <f t="shared" si="58"/>
        <v/>
      </c>
      <c r="CZ33" s="122" t="str">
        <f t="shared" si="59"/>
        <v/>
      </c>
      <c r="DA33" s="122" t="str">
        <f t="shared" si="60"/>
        <v/>
      </c>
      <c r="DB33" s="122" t="str">
        <f t="shared" si="61"/>
        <v/>
      </c>
      <c r="DC33" s="122" t="str">
        <f t="shared" si="62"/>
        <v/>
      </c>
      <c r="DD33" s="122" t="str">
        <f t="shared" si="63"/>
        <v/>
      </c>
      <c r="DE33" s="122" t="str">
        <f t="shared" si="64"/>
        <v/>
      </c>
      <c r="DF33" s="122" t="str">
        <f t="shared" si="65"/>
        <v/>
      </c>
      <c r="DG33" s="122" t="str">
        <f t="shared" si="66"/>
        <v/>
      </c>
      <c r="DH33" s="122" t="str">
        <f t="shared" si="67"/>
        <v/>
      </c>
      <c r="DI33" s="122" t="str">
        <f t="shared" si="68"/>
        <v/>
      </c>
      <c r="DJ33" s="123" t="str">
        <f t="shared" si="69"/>
        <v/>
      </c>
      <c r="DK33" s="115" t="str">
        <f t="shared" si="70"/>
        <v/>
      </c>
    </row>
    <row r="34" spans="1:115" x14ac:dyDescent="0.2">
      <c r="C34" s="285"/>
      <c r="D34" s="107" t="s">
        <v>221</v>
      </c>
      <c r="E34" s="118">
        <f>IFERROR(VLOOKUP(CONCATENATE($A$15,"-",$A$12, "-", $D34, "-", E$3, "-", $A$9),OBS_District_Flows!$A:$K, 6,FALSE),0)</f>
        <v>0</v>
      </c>
      <c r="F34" s="119">
        <f>IFERROR(VLOOKUP(CONCATENATE($A$15,"-",$A$12, "-", $D34, "-", F$3, "-", $A$9),OBS_District_Flows!$A:$K, 6,FALSE),0)</f>
        <v>0</v>
      </c>
      <c r="G34" s="119">
        <f>IFERROR(VLOOKUP(CONCATENATE($A$15,"-",$A$12, "-", $D34, "-", G$3, "-", $A$9),OBS_District_Flows!$A:$K, 6,FALSE),0)</f>
        <v>0</v>
      </c>
      <c r="H34" s="119">
        <f>IFERROR(VLOOKUP(CONCATENATE($A$15,"-",$A$12, "-", $D34, "-", H$3, "-", $A$9),OBS_District_Flows!$A:$K, 6,FALSE),0)</f>
        <v>0</v>
      </c>
      <c r="I34" s="119">
        <f>IFERROR(VLOOKUP(CONCATENATE($A$15,"-",$A$12, "-", $D34, "-", I$3, "-", $A$9),OBS_District_Flows!$A:$K, 6,FALSE),0)</f>
        <v>0</v>
      </c>
      <c r="J34" s="119">
        <f>IFERROR(VLOOKUP(CONCATENATE($A$15,"-",$A$12, "-", $D34, "-", J$3, "-", $A$9),OBS_District_Flows!$A:$K, 6,FALSE),0)</f>
        <v>0</v>
      </c>
      <c r="K34" s="119">
        <f>IFERROR(VLOOKUP(CONCATENATE($A$15,"-",$A$12, "-", $D34, "-", K$3, "-", $A$9),OBS_District_Flows!$A:$K, 6,FALSE),0)</f>
        <v>0</v>
      </c>
      <c r="L34" s="119">
        <f>IFERROR(VLOOKUP(CONCATENATE($A$15,"-",$A$12, "-", $D34, "-", L$3, "-", $A$9),OBS_District_Flows!$A:$K, 6,FALSE),0)</f>
        <v>0</v>
      </c>
      <c r="M34" s="119">
        <f>IFERROR(VLOOKUP(CONCATENATE($A$15,"-",$A$12, "-", $D34, "-", M$3, "-", $A$9),OBS_District_Flows!$A:$K, 6,FALSE),0)</f>
        <v>0</v>
      </c>
      <c r="N34" s="119">
        <f>IFERROR(VLOOKUP(CONCATENATE($A$15,"-",$A$12, "-", $D34, "-", N$3, "-", $A$9),OBS_District_Flows!$A:$K, 6,FALSE),0)</f>
        <v>0</v>
      </c>
      <c r="O34" s="119">
        <f>IFERROR(VLOOKUP(CONCATENATE($A$15,"-",$A$12, "-", $D34, "-", O$3, "-", $A$9),OBS_District_Flows!$A:$K, 6,FALSE),0)</f>
        <v>0</v>
      </c>
      <c r="P34" s="119">
        <f>IFERROR(VLOOKUP(CONCATENATE($A$15,"-",$A$12, "-", $D34, "-", P$3, "-", $A$9),OBS_District_Flows!$A:$K, 6,FALSE),0)</f>
        <v>0</v>
      </c>
      <c r="Q34" s="119">
        <f>IFERROR(VLOOKUP(CONCATENATE($A$15,"-",$A$12, "-", $D34, "-", Q$3, "-", $A$9),OBS_District_Flows!$A:$K, 6,FALSE),0)</f>
        <v>0</v>
      </c>
      <c r="R34" s="119">
        <f>IFERROR(VLOOKUP(CONCATENATE($A$15,"-",$A$12, "-", $D34, "-", R$3, "-", $A$9),OBS_District_Flows!$A:$K, 6,FALSE),0)</f>
        <v>0</v>
      </c>
      <c r="S34" s="119">
        <f>IFERROR(VLOOKUP(CONCATENATE($A$15,"-",$A$12, "-", $D34, "-", S$3, "-", $A$9),OBS_District_Flows!$A:$K, 6,FALSE),0)</f>
        <v>0</v>
      </c>
      <c r="T34" s="119">
        <f>IFERROR(VLOOKUP(CONCATENATE($A$15,"-",$A$12, "-", $D34, "-", T$3, "-", $A$9),OBS_District_Flows!$A:$K, 6,FALSE),0)</f>
        <v>0</v>
      </c>
      <c r="U34" s="119">
        <f>IFERROR(VLOOKUP(CONCATENATE($A$15,"-",$A$12, "-", $D34, "-", U$3, "-", $A$9),OBS_District_Flows!$A:$K, 6,FALSE),0)</f>
        <v>0</v>
      </c>
      <c r="V34" s="119">
        <f>IFERROR(VLOOKUP(CONCATENATE($A$15,"-",$A$12, "-", $D34, "-", V$3, "-", $A$9),OBS_District_Flows!$A:$K, 6,FALSE),0)</f>
        <v>0</v>
      </c>
      <c r="W34" s="119">
        <f>IFERROR(VLOOKUP(CONCATENATE($A$15,"-",$A$12, "-", $D34, "-", W$3, "-", $A$9),OBS_District_Flows!$A:$K, 6,FALSE),0)</f>
        <v>0</v>
      </c>
      <c r="X34" s="119">
        <f>IFERROR(VLOOKUP(CONCATENATE($A$15,"-",$A$12, "-", $D34, "-", X$3, "-", $A$9),OBS_District_Flows!$A:$K, 6,FALSE),0)</f>
        <v>0</v>
      </c>
      <c r="Y34" s="119">
        <f>IFERROR(VLOOKUP(CONCATENATE($A$15,"-",$A$12, "-", $D34, "-", Y$3, "-", $A$9),OBS_District_Flows!$A:$K, 6,FALSE),0)</f>
        <v>0</v>
      </c>
      <c r="Z34" s="119">
        <f>IFERROR(VLOOKUP(CONCATENATE($A$15,"-",$A$12, "-", $D34, "-", Z$3, "-", $A$9),OBS_District_Flows!$A:$K, 6,FALSE),0)</f>
        <v>0</v>
      </c>
      <c r="AA34" s="119">
        <f>IFERROR(VLOOKUP(CONCATENATE($A$15,"-",$A$12, "-", $D34, "-", AA$3, "-", $A$9),OBS_District_Flows!$A:$K, 6,FALSE),0)</f>
        <v>0</v>
      </c>
      <c r="AB34" s="119">
        <f>IFERROR(VLOOKUP(CONCATENATE($A$15,"-",$A$12, "-", $D34, "-", AB$3, "-", $A$9),OBS_District_Flows!$A:$K, 6,FALSE),0)</f>
        <v>0</v>
      </c>
      <c r="AC34" s="119">
        <f>IFERROR(VLOOKUP(CONCATENATE($A$15,"-",$A$12, "-", $D34, "-", AC$3, "-", $A$9),OBS_District_Flows!$A:$K, 6,FALSE),0)</f>
        <v>0</v>
      </c>
      <c r="AD34" s="119">
        <f>IFERROR(VLOOKUP(CONCATENATE($A$15,"-",$A$12, "-", $D34, "-", AD$3, "-", $A$9),OBS_District_Flows!$A:$K, 6,FALSE),0)</f>
        <v>0</v>
      </c>
      <c r="AE34" s="119">
        <f>IFERROR(VLOOKUP(CONCATENATE($A$15,"-",$A$12, "-", $D34, "-", AE$3, "-", $A$9),OBS_District_Flows!$A:$K, 6,FALSE),0)</f>
        <v>0</v>
      </c>
      <c r="AF34" s="119">
        <f>IFERROR(VLOOKUP(CONCATENATE($A$15,"-",$A$12, "-", $D34, "-", AF$3, "-", $A$9),OBS_District_Flows!$A:$K, 6,FALSE),0)</f>
        <v>0</v>
      </c>
      <c r="AG34" s="119">
        <f>IFERROR(VLOOKUP(CONCATENATE($A$15,"-",$A$12, "-", $D34, "-", AG$3, "-", $A$9),OBS_District_Flows!$A:$K, 6,FALSE),0)</f>
        <v>0</v>
      </c>
      <c r="AH34" s="119">
        <f>IFERROR(VLOOKUP(CONCATENATE($A$15,"-",$A$12, "-", $D34, "-", AH$3, "-", $A$9),OBS_District_Flows!$A:$K, 6,FALSE),0)</f>
        <v>0</v>
      </c>
      <c r="AI34" s="119">
        <f>IFERROR(VLOOKUP(CONCATENATE($A$15,"-",$A$12, "-", $D34, "-", AI$3, "-", $A$9),OBS_District_Flows!$A:$K, 6,FALSE),0)</f>
        <v>0</v>
      </c>
      <c r="AJ34" s="119">
        <f>IFERROR(VLOOKUP(CONCATENATE($A$15,"-",$A$12, "-", $D34, "-", AJ$3, "-", $A$9),OBS_District_Flows!$A:$K, 6,FALSE),0)</f>
        <v>0</v>
      </c>
      <c r="AK34" s="119">
        <f>IFERROR(VLOOKUP(CONCATENATE($A$15,"-",$A$12, "-", $D34, "-", AK$3, "-", $A$9),OBS_District_Flows!$A:$K, 6,FALSE),0)</f>
        <v>0</v>
      </c>
      <c r="AL34" s="120">
        <f>IFERROR(VLOOKUP(CONCATENATE($A$15,"-",$A$12, "-", $D34, "-", AL$3, "-", $A$9),OBS_District_Flows!$A:$K, 6,FALSE),0)</f>
        <v>0</v>
      </c>
      <c r="AM34" s="111">
        <f t="shared" si="0"/>
        <v>0</v>
      </c>
      <c r="AO34" s="286"/>
      <c r="AP34" s="107" t="s">
        <v>221</v>
      </c>
      <c r="AQ34" s="121" t="str">
        <f t="shared" si="1"/>
        <v/>
      </c>
      <c r="AR34" s="122" t="str">
        <f t="shared" si="2"/>
        <v/>
      </c>
      <c r="AS34" s="122" t="str">
        <f t="shared" si="3"/>
        <v/>
      </c>
      <c r="AT34" s="122" t="str">
        <f t="shared" si="4"/>
        <v/>
      </c>
      <c r="AU34" s="122" t="str">
        <f t="shared" si="5"/>
        <v/>
      </c>
      <c r="AV34" s="122" t="str">
        <f t="shared" si="6"/>
        <v/>
      </c>
      <c r="AW34" s="122" t="str">
        <f t="shared" si="7"/>
        <v/>
      </c>
      <c r="AX34" s="122" t="str">
        <f t="shared" si="8"/>
        <v/>
      </c>
      <c r="AY34" s="122" t="str">
        <f t="shared" si="9"/>
        <v/>
      </c>
      <c r="AZ34" s="122" t="str">
        <f t="shared" si="10"/>
        <v/>
      </c>
      <c r="BA34" s="122" t="str">
        <f t="shared" si="11"/>
        <v/>
      </c>
      <c r="BB34" s="122" t="str">
        <f t="shared" si="12"/>
        <v/>
      </c>
      <c r="BC34" s="122" t="str">
        <f t="shared" si="13"/>
        <v/>
      </c>
      <c r="BD34" s="122" t="str">
        <f t="shared" si="14"/>
        <v/>
      </c>
      <c r="BE34" s="122" t="str">
        <f t="shared" si="15"/>
        <v/>
      </c>
      <c r="BF34" s="122" t="str">
        <f t="shared" si="16"/>
        <v/>
      </c>
      <c r="BG34" s="122" t="str">
        <f t="shared" si="17"/>
        <v/>
      </c>
      <c r="BH34" s="122" t="str">
        <f t="shared" si="18"/>
        <v/>
      </c>
      <c r="BI34" s="122" t="str">
        <f t="shared" si="19"/>
        <v/>
      </c>
      <c r="BJ34" s="122" t="str">
        <f t="shared" si="20"/>
        <v/>
      </c>
      <c r="BK34" s="122" t="str">
        <f t="shared" si="21"/>
        <v/>
      </c>
      <c r="BL34" s="122" t="str">
        <f t="shared" si="22"/>
        <v/>
      </c>
      <c r="BM34" s="122" t="str">
        <f t="shared" si="23"/>
        <v/>
      </c>
      <c r="BN34" s="122" t="str">
        <f t="shared" si="24"/>
        <v/>
      </c>
      <c r="BO34" s="122" t="str">
        <f t="shared" si="25"/>
        <v/>
      </c>
      <c r="BP34" s="122" t="str">
        <f t="shared" si="26"/>
        <v/>
      </c>
      <c r="BQ34" s="122" t="str">
        <f t="shared" si="27"/>
        <v/>
      </c>
      <c r="BR34" s="122" t="str">
        <f t="shared" si="28"/>
        <v/>
      </c>
      <c r="BS34" s="122" t="str">
        <f t="shared" si="29"/>
        <v/>
      </c>
      <c r="BT34" s="122" t="str">
        <f t="shared" si="30"/>
        <v/>
      </c>
      <c r="BU34" s="122" t="str">
        <f t="shared" si="31"/>
        <v/>
      </c>
      <c r="BV34" s="122" t="str">
        <f t="shared" si="32"/>
        <v/>
      </c>
      <c r="BW34" s="122" t="str">
        <f t="shared" si="33"/>
        <v/>
      </c>
      <c r="BX34" s="123" t="str">
        <f t="shared" si="34"/>
        <v/>
      </c>
      <c r="BY34" s="115" t="str">
        <f t="shared" si="35"/>
        <v/>
      </c>
      <c r="CA34" s="286"/>
      <c r="CB34" s="107" t="s">
        <v>221</v>
      </c>
      <c r="CC34" s="121" t="str">
        <f t="shared" si="36"/>
        <v/>
      </c>
      <c r="CD34" s="122" t="str">
        <f t="shared" si="37"/>
        <v/>
      </c>
      <c r="CE34" s="122" t="str">
        <f t="shared" si="38"/>
        <v/>
      </c>
      <c r="CF34" s="122" t="str">
        <f t="shared" si="39"/>
        <v/>
      </c>
      <c r="CG34" s="122" t="str">
        <f t="shared" si="40"/>
        <v/>
      </c>
      <c r="CH34" s="122" t="str">
        <f t="shared" si="41"/>
        <v/>
      </c>
      <c r="CI34" s="122" t="str">
        <f t="shared" si="42"/>
        <v/>
      </c>
      <c r="CJ34" s="122" t="str">
        <f t="shared" si="43"/>
        <v/>
      </c>
      <c r="CK34" s="122" t="str">
        <f t="shared" si="44"/>
        <v/>
      </c>
      <c r="CL34" s="122" t="str">
        <f t="shared" si="45"/>
        <v/>
      </c>
      <c r="CM34" s="122" t="str">
        <f t="shared" si="46"/>
        <v/>
      </c>
      <c r="CN34" s="122" t="str">
        <f t="shared" si="47"/>
        <v/>
      </c>
      <c r="CO34" s="122" t="str">
        <f t="shared" si="48"/>
        <v/>
      </c>
      <c r="CP34" s="122" t="str">
        <f t="shared" si="49"/>
        <v/>
      </c>
      <c r="CQ34" s="122" t="str">
        <f t="shared" si="50"/>
        <v/>
      </c>
      <c r="CR34" s="122" t="str">
        <f t="shared" si="51"/>
        <v/>
      </c>
      <c r="CS34" s="122" t="str">
        <f t="shared" si="52"/>
        <v/>
      </c>
      <c r="CT34" s="122" t="str">
        <f t="shared" si="53"/>
        <v/>
      </c>
      <c r="CU34" s="122" t="str">
        <f t="shared" si="54"/>
        <v/>
      </c>
      <c r="CV34" s="122" t="str">
        <f t="shared" si="55"/>
        <v/>
      </c>
      <c r="CW34" s="122" t="str">
        <f t="shared" si="56"/>
        <v/>
      </c>
      <c r="CX34" s="122" t="str">
        <f t="shared" si="57"/>
        <v/>
      </c>
      <c r="CY34" s="122" t="str">
        <f t="shared" si="58"/>
        <v/>
      </c>
      <c r="CZ34" s="122" t="str">
        <f t="shared" si="59"/>
        <v/>
      </c>
      <c r="DA34" s="122" t="str">
        <f t="shared" si="60"/>
        <v/>
      </c>
      <c r="DB34" s="122" t="str">
        <f t="shared" si="61"/>
        <v/>
      </c>
      <c r="DC34" s="122" t="str">
        <f t="shared" si="62"/>
        <v/>
      </c>
      <c r="DD34" s="122" t="str">
        <f t="shared" si="63"/>
        <v/>
      </c>
      <c r="DE34" s="122" t="str">
        <f t="shared" si="64"/>
        <v/>
      </c>
      <c r="DF34" s="122" t="str">
        <f t="shared" si="65"/>
        <v/>
      </c>
      <c r="DG34" s="122" t="str">
        <f t="shared" si="66"/>
        <v/>
      </c>
      <c r="DH34" s="122" t="str">
        <f t="shared" si="67"/>
        <v/>
      </c>
      <c r="DI34" s="122" t="str">
        <f t="shared" si="68"/>
        <v/>
      </c>
      <c r="DJ34" s="123" t="str">
        <f t="shared" si="69"/>
        <v/>
      </c>
      <c r="DK34" s="115" t="str">
        <f t="shared" si="70"/>
        <v/>
      </c>
    </row>
    <row r="35" spans="1:115" x14ac:dyDescent="0.2">
      <c r="C35" s="285"/>
      <c r="D35" s="107" t="s">
        <v>222</v>
      </c>
      <c r="E35" s="118">
        <f>IFERROR(VLOOKUP(CONCATENATE($A$15,"-",$A$12, "-", $D35, "-", E$3, "-", $A$9),OBS_District_Flows!$A:$K, 6,FALSE),0)</f>
        <v>0</v>
      </c>
      <c r="F35" s="119">
        <f>IFERROR(VLOOKUP(CONCATENATE($A$15,"-",$A$12, "-", $D35, "-", F$3, "-", $A$9),OBS_District_Flows!$A:$K, 6,FALSE),0)</f>
        <v>0</v>
      </c>
      <c r="G35" s="119">
        <f>IFERROR(VLOOKUP(CONCATENATE($A$15,"-",$A$12, "-", $D35, "-", G$3, "-", $A$9),OBS_District_Flows!$A:$K, 6,FALSE),0)</f>
        <v>0</v>
      </c>
      <c r="H35" s="119">
        <f>IFERROR(VLOOKUP(CONCATENATE($A$15,"-",$A$12, "-", $D35, "-", H$3, "-", $A$9),OBS_District_Flows!$A:$K, 6,FALSE),0)</f>
        <v>0</v>
      </c>
      <c r="I35" s="119">
        <f>IFERROR(VLOOKUP(CONCATENATE($A$15,"-",$A$12, "-", $D35, "-", I$3, "-", $A$9),OBS_District_Flows!$A:$K, 6,FALSE),0)</f>
        <v>0</v>
      </c>
      <c r="J35" s="119">
        <f>IFERROR(VLOOKUP(CONCATENATE($A$15,"-",$A$12, "-", $D35, "-", J$3, "-", $A$9),OBS_District_Flows!$A:$K, 6,FALSE),0)</f>
        <v>0</v>
      </c>
      <c r="K35" s="119">
        <f>IFERROR(VLOOKUP(CONCATENATE($A$15,"-",$A$12, "-", $D35, "-", K$3, "-", $A$9),OBS_District_Flows!$A:$K, 6,FALSE),0)</f>
        <v>0</v>
      </c>
      <c r="L35" s="119">
        <f>IFERROR(VLOOKUP(CONCATENATE($A$15,"-",$A$12, "-", $D35, "-", L$3, "-", $A$9),OBS_District_Flows!$A:$K, 6,FALSE),0)</f>
        <v>0</v>
      </c>
      <c r="M35" s="119">
        <f>IFERROR(VLOOKUP(CONCATENATE($A$15,"-",$A$12, "-", $D35, "-", M$3, "-", $A$9),OBS_District_Flows!$A:$K, 6,FALSE),0)</f>
        <v>0</v>
      </c>
      <c r="N35" s="119">
        <f>IFERROR(VLOOKUP(CONCATENATE($A$15,"-",$A$12, "-", $D35, "-", N$3, "-", $A$9),OBS_District_Flows!$A:$K, 6,FALSE),0)</f>
        <v>0</v>
      </c>
      <c r="O35" s="119">
        <f>IFERROR(VLOOKUP(CONCATENATE($A$15,"-",$A$12, "-", $D35, "-", O$3, "-", $A$9),OBS_District_Flows!$A:$K, 6,FALSE),0)</f>
        <v>0</v>
      </c>
      <c r="P35" s="119">
        <f>IFERROR(VLOOKUP(CONCATENATE($A$15,"-",$A$12, "-", $D35, "-", P$3, "-", $A$9),OBS_District_Flows!$A:$K, 6,FALSE),0)</f>
        <v>0</v>
      </c>
      <c r="Q35" s="119">
        <f>IFERROR(VLOOKUP(CONCATENATE($A$15,"-",$A$12, "-", $D35, "-", Q$3, "-", $A$9),OBS_District_Flows!$A:$K, 6,FALSE),0)</f>
        <v>0</v>
      </c>
      <c r="R35" s="119">
        <f>IFERROR(VLOOKUP(CONCATENATE($A$15,"-",$A$12, "-", $D35, "-", R$3, "-", $A$9),OBS_District_Flows!$A:$K, 6,FALSE),0)</f>
        <v>0</v>
      </c>
      <c r="S35" s="119">
        <f>IFERROR(VLOOKUP(CONCATENATE($A$15,"-",$A$12, "-", $D35, "-", S$3, "-", $A$9),OBS_District_Flows!$A:$K, 6,FALSE),0)</f>
        <v>0</v>
      </c>
      <c r="T35" s="119">
        <f>IFERROR(VLOOKUP(CONCATENATE($A$15,"-",$A$12, "-", $D35, "-", T$3, "-", $A$9),OBS_District_Flows!$A:$K, 6,FALSE),0)</f>
        <v>0</v>
      </c>
      <c r="U35" s="119">
        <f>IFERROR(VLOOKUP(CONCATENATE($A$15,"-",$A$12, "-", $D35, "-", U$3, "-", $A$9),OBS_District_Flows!$A:$K, 6,FALSE),0)</f>
        <v>0</v>
      </c>
      <c r="V35" s="119">
        <f>IFERROR(VLOOKUP(CONCATENATE($A$15,"-",$A$12, "-", $D35, "-", V$3, "-", $A$9),OBS_District_Flows!$A:$K, 6,FALSE),0)</f>
        <v>0</v>
      </c>
      <c r="W35" s="119">
        <f>IFERROR(VLOOKUP(CONCATENATE($A$15,"-",$A$12, "-", $D35, "-", W$3, "-", $A$9),OBS_District_Flows!$A:$K, 6,FALSE),0)</f>
        <v>0</v>
      </c>
      <c r="X35" s="119">
        <f>IFERROR(VLOOKUP(CONCATENATE($A$15,"-",$A$12, "-", $D35, "-", X$3, "-", $A$9),OBS_District_Flows!$A:$K, 6,FALSE),0)</f>
        <v>0</v>
      </c>
      <c r="Y35" s="119">
        <f>IFERROR(VLOOKUP(CONCATENATE($A$15,"-",$A$12, "-", $D35, "-", Y$3, "-", $A$9),OBS_District_Flows!$A:$K, 6,FALSE),0)</f>
        <v>0</v>
      </c>
      <c r="Z35" s="119">
        <f>IFERROR(VLOOKUP(CONCATENATE($A$15,"-",$A$12, "-", $D35, "-", Z$3, "-", $A$9),OBS_District_Flows!$A:$K, 6,FALSE),0)</f>
        <v>0</v>
      </c>
      <c r="AA35" s="119">
        <f>IFERROR(VLOOKUP(CONCATENATE($A$15,"-",$A$12, "-", $D35, "-", AA$3, "-", $A$9),OBS_District_Flows!$A:$K, 6,FALSE),0)</f>
        <v>0</v>
      </c>
      <c r="AB35" s="119">
        <f>IFERROR(VLOOKUP(CONCATENATE($A$15,"-",$A$12, "-", $D35, "-", AB$3, "-", $A$9),OBS_District_Flows!$A:$K, 6,FALSE),0)</f>
        <v>0</v>
      </c>
      <c r="AC35" s="119">
        <f>IFERROR(VLOOKUP(CONCATENATE($A$15,"-",$A$12, "-", $D35, "-", AC$3, "-", $A$9),OBS_District_Flows!$A:$K, 6,FALSE),0)</f>
        <v>0</v>
      </c>
      <c r="AD35" s="119">
        <f>IFERROR(VLOOKUP(CONCATENATE($A$15,"-",$A$12, "-", $D35, "-", AD$3, "-", $A$9),OBS_District_Flows!$A:$K, 6,FALSE),0)</f>
        <v>0</v>
      </c>
      <c r="AE35" s="119">
        <f>IFERROR(VLOOKUP(CONCATENATE($A$15,"-",$A$12, "-", $D35, "-", AE$3, "-", $A$9),OBS_District_Flows!$A:$K, 6,FALSE),0)</f>
        <v>0</v>
      </c>
      <c r="AF35" s="119">
        <f>IFERROR(VLOOKUP(CONCATENATE($A$15,"-",$A$12, "-", $D35, "-", AF$3, "-", $A$9),OBS_District_Flows!$A:$K, 6,FALSE),0)</f>
        <v>0</v>
      </c>
      <c r="AG35" s="119">
        <f>IFERROR(VLOOKUP(CONCATENATE($A$15,"-",$A$12, "-", $D35, "-", AG$3, "-", $A$9),OBS_District_Flows!$A:$K, 6,FALSE),0)</f>
        <v>0</v>
      </c>
      <c r="AH35" s="119">
        <f>IFERROR(VLOOKUP(CONCATENATE($A$15,"-",$A$12, "-", $D35, "-", AH$3, "-", $A$9),OBS_District_Flows!$A:$K, 6,FALSE),0)</f>
        <v>0</v>
      </c>
      <c r="AI35" s="119">
        <f>IFERROR(VLOOKUP(CONCATENATE($A$15,"-",$A$12, "-", $D35, "-", AI$3, "-", $A$9),OBS_District_Flows!$A:$K, 6,FALSE),0)</f>
        <v>0</v>
      </c>
      <c r="AJ35" s="119">
        <f>IFERROR(VLOOKUP(CONCATENATE($A$15,"-",$A$12, "-", $D35, "-", AJ$3, "-", $A$9),OBS_District_Flows!$A:$K, 6,FALSE),0)</f>
        <v>0</v>
      </c>
      <c r="AK35" s="119">
        <f>IFERROR(VLOOKUP(CONCATENATE($A$15,"-",$A$12, "-", $D35, "-", AK$3, "-", $A$9),OBS_District_Flows!$A:$K, 6,FALSE),0)</f>
        <v>0</v>
      </c>
      <c r="AL35" s="120">
        <f>IFERROR(VLOOKUP(CONCATENATE($A$15,"-",$A$12, "-", $D35, "-", AL$3, "-", $A$9),OBS_District_Flows!$A:$K, 6,FALSE),0)</f>
        <v>0</v>
      </c>
      <c r="AM35" s="111">
        <f t="shared" si="0"/>
        <v>0</v>
      </c>
      <c r="AO35" s="286"/>
      <c r="AP35" s="107" t="s">
        <v>222</v>
      </c>
      <c r="AQ35" s="121" t="str">
        <f t="shared" si="1"/>
        <v/>
      </c>
      <c r="AR35" s="122" t="str">
        <f t="shared" si="2"/>
        <v/>
      </c>
      <c r="AS35" s="122" t="str">
        <f t="shared" si="3"/>
        <v/>
      </c>
      <c r="AT35" s="122" t="str">
        <f t="shared" si="4"/>
        <v/>
      </c>
      <c r="AU35" s="122" t="str">
        <f t="shared" si="5"/>
        <v/>
      </c>
      <c r="AV35" s="122" t="str">
        <f t="shared" si="6"/>
        <v/>
      </c>
      <c r="AW35" s="122" t="str">
        <f t="shared" si="7"/>
        <v/>
      </c>
      <c r="AX35" s="122" t="str">
        <f t="shared" si="8"/>
        <v/>
      </c>
      <c r="AY35" s="122" t="str">
        <f t="shared" si="9"/>
        <v/>
      </c>
      <c r="AZ35" s="122" t="str">
        <f t="shared" si="10"/>
        <v/>
      </c>
      <c r="BA35" s="122" t="str">
        <f t="shared" si="11"/>
        <v/>
      </c>
      <c r="BB35" s="122" t="str">
        <f t="shared" si="12"/>
        <v/>
      </c>
      <c r="BC35" s="122" t="str">
        <f t="shared" si="13"/>
        <v/>
      </c>
      <c r="BD35" s="122" t="str">
        <f t="shared" si="14"/>
        <v/>
      </c>
      <c r="BE35" s="122" t="str">
        <f t="shared" si="15"/>
        <v/>
      </c>
      <c r="BF35" s="122" t="str">
        <f t="shared" si="16"/>
        <v/>
      </c>
      <c r="BG35" s="122" t="str">
        <f t="shared" si="17"/>
        <v/>
      </c>
      <c r="BH35" s="122" t="str">
        <f t="shared" si="18"/>
        <v/>
      </c>
      <c r="BI35" s="122" t="str">
        <f t="shared" si="19"/>
        <v/>
      </c>
      <c r="BJ35" s="122" t="str">
        <f t="shared" si="20"/>
        <v/>
      </c>
      <c r="BK35" s="122" t="str">
        <f t="shared" si="21"/>
        <v/>
      </c>
      <c r="BL35" s="122" t="str">
        <f t="shared" si="22"/>
        <v/>
      </c>
      <c r="BM35" s="122" t="str">
        <f t="shared" si="23"/>
        <v/>
      </c>
      <c r="BN35" s="122" t="str">
        <f t="shared" si="24"/>
        <v/>
      </c>
      <c r="BO35" s="122" t="str">
        <f t="shared" si="25"/>
        <v/>
      </c>
      <c r="BP35" s="122" t="str">
        <f t="shared" si="26"/>
        <v/>
      </c>
      <c r="BQ35" s="122" t="str">
        <f t="shared" si="27"/>
        <v/>
      </c>
      <c r="BR35" s="122" t="str">
        <f t="shared" si="28"/>
        <v/>
      </c>
      <c r="BS35" s="122" t="str">
        <f t="shared" si="29"/>
        <v/>
      </c>
      <c r="BT35" s="122" t="str">
        <f t="shared" si="30"/>
        <v/>
      </c>
      <c r="BU35" s="122" t="str">
        <f t="shared" si="31"/>
        <v/>
      </c>
      <c r="BV35" s="122" t="str">
        <f t="shared" si="32"/>
        <v/>
      </c>
      <c r="BW35" s="122" t="str">
        <f t="shared" si="33"/>
        <v/>
      </c>
      <c r="BX35" s="123" t="str">
        <f t="shared" si="34"/>
        <v/>
      </c>
      <c r="BY35" s="115" t="str">
        <f t="shared" si="35"/>
        <v/>
      </c>
      <c r="CA35" s="286"/>
      <c r="CB35" s="107" t="s">
        <v>222</v>
      </c>
      <c r="CC35" s="121" t="str">
        <f t="shared" si="36"/>
        <v/>
      </c>
      <c r="CD35" s="122" t="str">
        <f t="shared" si="37"/>
        <v/>
      </c>
      <c r="CE35" s="122" t="str">
        <f t="shared" si="38"/>
        <v/>
      </c>
      <c r="CF35" s="122" t="str">
        <f t="shared" si="39"/>
        <v/>
      </c>
      <c r="CG35" s="122" t="str">
        <f t="shared" si="40"/>
        <v/>
      </c>
      <c r="CH35" s="122" t="str">
        <f t="shared" si="41"/>
        <v/>
      </c>
      <c r="CI35" s="122" t="str">
        <f t="shared" si="42"/>
        <v/>
      </c>
      <c r="CJ35" s="122" t="str">
        <f t="shared" si="43"/>
        <v/>
      </c>
      <c r="CK35" s="122" t="str">
        <f t="shared" si="44"/>
        <v/>
      </c>
      <c r="CL35" s="122" t="str">
        <f t="shared" si="45"/>
        <v/>
      </c>
      <c r="CM35" s="122" t="str">
        <f t="shared" si="46"/>
        <v/>
      </c>
      <c r="CN35" s="122" t="str">
        <f t="shared" si="47"/>
        <v/>
      </c>
      <c r="CO35" s="122" t="str">
        <f t="shared" si="48"/>
        <v/>
      </c>
      <c r="CP35" s="122" t="str">
        <f t="shared" si="49"/>
        <v/>
      </c>
      <c r="CQ35" s="122" t="str">
        <f t="shared" si="50"/>
        <v/>
      </c>
      <c r="CR35" s="122" t="str">
        <f t="shared" si="51"/>
        <v/>
      </c>
      <c r="CS35" s="122" t="str">
        <f t="shared" si="52"/>
        <v/>
      </c>
      <c r="CT35" s="122" t="str">
        <f t="shared" si="53"/>
        <v/>
      </c>
      <c r="CU35" s="122" t="str">
        <f t="shared" si="54"/>
        <v/>
      </c>
      <c r="CV35" s="122" t="str">
        <f t="shared" si="55"/>
        <v/>
      </c>
      <c r="CW35" s="122" t="str">
        <f t="shared" si="56"/>
        <v/>
      </c>
      <c r="CX35" s="122" t="str">
        <f t="shared" si="57"/>
        <v/>
      </c>
      <c r="CY35" s="122" t="str">
        <f t="shared" si="58"/>
        <v/>
      </c>
      <c r="CZ35" s="122" t="str">
        <f t="shared" si="59"/>
        <v/>
      </c>
      <c r="DA35" s="122" t="str">
        <f t="shared" si="60"/>
        <v/>
      </c>
      <c r="DB35" s="122" t="str">
        <f t="shared" si="61"/>
        <v/>
      </c>
      <c r="DC35" s="122" t="str">
        <f t="shared" si="62"/>
        <v/>
      </c>
      <c r="DD35" s="122" t="str">
        <f t="shared" si="63"/>
        <v/>
      </c>
      <c r="DE35" s="122" t="str">
        <f t="shared" si="64"/>
        <v/>
      </c>
      <c r="DF35" s="122" t="str">
        <f t="shared" si="65"/>
        <v/>
      </c>
      <c r="DG35" s="122" t="str">
        <f t="shared" si="66"/>
        <v/>
      </c>
      <c r="DH35" s="122" t="str">
        <f t="shared" si="67"/>
        <v/>
      </c>
      <c r="DI35" s="122" t="str">
        <f t="shared" si="68"/>
        <v/>
      </c>
      <c r="DJ35" s="123" t="str">
        <f t="shared" si="69"/>
        <v/>
      </c>
      <c r="DK35" s="115" t="str">
        <f t="shared" si="70"/>
        <v/>
      </c>
    </row>
    <row r="36" spans="1:115" x14ac:dyDescent="0.2">
      <c r="C36" s="285"/>
      <c r="D36" s="107" t="s">
        <v>223</v>
      </c>
      <c r="E36" s="118">
        <f>IFERROR(VLOOKUP(CONCATENATE($A$15,"-",$A$12, "-", $D36, "-", E$3, "-", $A$9),OBS_District_Flows!$A:$K, 6,FALSE),0)</f>
        <v>0</v>
      </c>
      <c r="F36" s="119">
        <f>IFERROR(VLOOKUP(CONCATENATE($A$15,"-",$A$12, "-", $D36, "-", F$3, "-", $A$9),OBS_District_Flows!$A:$K, 6,FALSE),0)</f>
        <v>0</v>
      </c>
      <c r="G36" s="119">
        <f>IFERROR(VLOOKUP(CONCATENATE($A$15,"-",$A$12, "-", $D36, "-", G$3, "-", $A$9),OBS_District_Flows!$A:$K, 6,FALSE),0)</f>
        <v>0</v>
      </c>
      <c r="H36" s="119">
        <f>IFERROR(VLOOKUP(CONCATENATE($A$15,"-",$A$12, "-", $D36, "-", H$3, "-", $A$9),OBS_District_Flows!$A:$K, 6,FALSE),0)</f>
        <v>0</v>
      </c>
      <c r="I36" s="119">
        <f>IFERROR(VLOOKUP(CONCATENATE($A$15,"-",$A$12, "-", $D36, "-", I$3, "-", $A$9),OBS_District_Flows!$A:$K, 6,FALSE),0)</f>
        <v>0</v>
      </c>
      <c r="J36" s="119">
        <f>IFERROR(VLOOKUP(CONCATENATE($A$15,"-",$A$12, "-", $D36, "-", J$3, "-", $A$9),OBS_District_Flows!$A:$K, 6,FALSE),0)</f>
        <v>0</v>
      </c>
      <c r="K36" s="119">
        <f>IFERROR(VLOOKUP(CONCATENATE($A$15,"-",$A$12, "-", $D36, "-", K$3, "-", $A$9),OBS_District_Flows!$A:$K, 6,FALSE),0)</f>
        <v>0</v>
      </c>
      <c r="L36" s="119">
        <f>IFERROR(VLOOKUP(CONCATENATE($A$15,"-",$A$12, "-", $D36, "-", L$3, "-", $A$9),OBS_District_Flows!$A:$K, 6,FALSE),0)</f>
        <v>0</v>
      </c>
      <c r="M36" s="119">
        <f>IFERROR(VLOOKUP(CONCATENATE($A$15,"-",$A$12, "-", $D36, "-", M$3, "-", $A$9),OBS_District_Flows!$A:$K, 6,FALSE),0)</f>
        <v>0</v>
      </c>
      <c r="N36" s="119">
        <f>IFERROR(VLOOKUP(CONCATENATE($A$15,"-",$A$12, "-", $D36, "-", N$3, "-", $A$9),OBS_District_Flows!$A:$K, 6,FALSE),0)</f>
        <v>0</v>
      </c>
      <c r="O36" s="119">
        <f>IFERROR(VLOOKUP(CONCATENATE($A$15,"-",$A$12, "-", $D36, "-", O$3, "-", $A$9),OBS_District_Flows!$A:$K, 6,FALSE),0)</f>
        <v>0</v>
      </c>
      <c r="P36" s="119">
        <f>IFERROR(VLOOKUP(CONCATENATE($A$15,"-",$A$12, "-", $D36, "-", P$3, "-", $A$9),OBS_District_Flows!$A:$K, 6,FALSE),0)</f>
        <v>0</v>
      </c>
      <c r="Q36" s="119">
        <f>IFERROR(VLOOKUP(CONCATENATE($A$15,"-",$A$12, "-", $D36, "-", Q$3, "-", $A$9),OBS_District_Flows!$A:$K, 6,FALSE),0)</f>
        <v>0</v>
      </c>
      <c r="R36" s="119">
        <f>IFERROR(VLOOKUP(CONCATENATE($A$15,"-",$A$12, "-", $D36, "-", R$3, "-", $A$9),OBS_District_Flows!$A:$K, 6,FALSE),0)</f>
        <v>0</v>
      </c>
      <c r="S36" s="119">
        <f>IFERROR(VLOOKUP(CONCATENATE($A$15,"-",$A$12, "-", $D36, "-", S$3, "-", $A$9),OBS_District_Flows!$A:$K, 6,FALSE),0)</f>
        <v>0</v>
      </c>
      <c r="T36" s="119">
        <f>IFERROR(VLOOKUP(CONCATENATE($A$15,"-",$A$12, "-", $D36, "-", T$3, "-", $A$9),OBS_District_Flows!$A:$K, 6,FALSE),0)</f>
        <v>0</v>
      </c>
      <c r="U36" s="119">
        <f>IFERROR(VLOOKUP(CONCATENATE($A$15,"-",$A$12, "-", $D36, "-", U$3, "-", $A$9),OBS_District_Flows!$A:$K, 6,FALSE),0)</f>
        <v>0</v>
      </c>
      <c r="V36" s="119">
        <f>IFERROR(VLOOKUP(CONCATENATE($A$15,"-",$A$12, "-", $D36, "-", V$3, "-", $A$9),OBS_District_Flows!$A:$K, 6,FALSE),0)</f>
        <v>0</v>
      </c>
      <c r="W36" s="119">
        <f>IFERROR(VLOOKUP(CONCATENATE($A$15,"-",$A$12, "-", $D36, "-", W$3, "-", $A$9),OBS_District_Flows!$A:$K, 6,FALSE),0)</f>
        <v>0</v>
      </c>
      <c r="X36" s="119">
        <f>IFERROR(VLOOKUP(CONCATENATE($A$15,"-",$A$12, "-", $D36, "-", X$3, "-", $A$9),OBS_District_Flows!$A:$K, 6,FALSE),0)</f>
        <v>0</v>
      </c>
      <c r="Y36" s="119">
        <f>IFERROR(VLOOKUP(CONCATENATE($A$15,"-",$A$12, "-", $D36, "-", Y$3, "-", $A$9),OBS_District_Flows!$A:$K, 6,FALSE),0)</f>
        <v>0</v>
      </c>
      <c r="Z36" s="119">
        <f>IFERROR(VLOOKUP(CONCATENATE($A$15,"-",$A$12, "-", $D36, "-", Z$3, "-", $A$9),OBS_District_Flows!$A:$K, 6,FALSE),0)</f>
        <v>0</v>
      </c>
      <c r="AA36" s="119">
        <f>IFERROR(VLOOKUP(CONCATENATE($A$15,"-",$A$12, "-", $D36, "-", AA$3, "-", $A$9),OBS_District_Flows!$A:$K, 6,FALSE),0)</f>
        <v>0</v>
      </c>
      <c r="AB36" s="119">
        <f>IFERROR(VLOOKUP(CONCATENATE($A$15,"-",$A$12, "-", $D36, "-", AB$3, "-", $A$9),OBS_District_Flows!$A:$K, 6,FALSE),0)</f>
        <v>0</v>
      </c>
      <c r="AC36" s="119">
        <f>IFERROR(VLOOKUP(CONCATENATE($A$15,"-",$A$12, "-", $D36, "-", AC$3, "-", $A$9),OBS_District_Flows!$A:$K, 6,FALSE),0)</f>
        <v>0</v>
      </c>
      <c r="AD36" s="119">
        <f>IFERROR(VLOOKUP(CONCATENATE($A$15,"-",$A$12, "-", $D36, "-", AD$3, "-", $A$9),OBS_District_Flows!$A:$K, 6,FALSE),0)</f>
        <v>0</v>
      </c>
      <c r="AE36" s="119">
        <f>IFERROR(VLOOKUP(CONCATENATE($A$15,"-",$A$12, "-", $D36, "-", AE$3, "-", $A$9),OBS_District_Flows!$A:$K, 6,FALSE),0)</f>
        <v>0</v>
      </c>
      <c r="AF36" s="119">
        <f>IFERROR(VLOOKUP(CONCATENATE($A$15,"-",$A$12, "-", $D36, "-", AF$3, "-", $A$9),OBS_District_Flows!$A:$K, 6,FALSE),0)</f>
        <v>0</v>
      </c>
      <c r="AG36" s="119">
        <f>IFERROR(VLOOKUP(CONCATENATE($A$15,"-",$A$12, "-", $D36, "-", AG$3, "-", $A$9),OBS_District_Flows!$A:$K, 6,FALSE),0)</f>
        <v>0</v>
      </c>
      <c r="AH36" s="119">
        <f>IFERROR(VLOOKUP(CONCATENATE($A$15,"-",$A$12, "-", $D36, "-", AH$3, "-", $A$9),OBS_District_Flows!$A:$K, 6,FALSE),0)</f>
        <v>0</v>
      </c>
      <c r="AI36" s="119">
        <f>IFERROR(VLOOKUP(CONCATENATE($A$15,"-",$A$12, "-", $D36, "-", AI$3, "-", $A$9),OBS_District_Flows!$A:$K, 6,FALSE),0)</f>
        <v>0</v>
      </c>
      <c r="AJ36" s="119">
        <f>IFERROR(VLOOKUP(CONCATENATE($A$15,"-",$A$12, "-", $D36, "-", AJ$3, "-", $A$9),OBS_District_Flows!$A:$K, 6,FALSE),0)</f>
        <v>0</v>
      </c>
      <c r="AK36" s="119">
        <f>IFERROR(VLOOKUP(CONCATENATE($A$15,"-",$A$12, "-", $D36, "-", AK$3, "-", $A$9),OBS_District_Flows!$A:$K, 6,FALSE),0)</f>
        <v>0</v>
      </c>
      <c r="AL36" s="120">
        <f>IFERROR(VLOOKUP(CONCATENATE($A$15,"-",$A$12, "-", $D36, "-", AL$3, "-", $A$9),OBS_District_Flows!$A:$K, 6,FALSE),0)</f>
        <v>0</v>
      </c>
      <c r="AM36" s="111">
        <f t="shared" si="0"/>
        <v>0</v>
      </c>
      <c r="AO36" s="286"/>
      <c r="AP36" s="107" t="s">
        <v>223</v>
      </c>
      <c r="AQ36" s="121" t="str">
        <f t="shared" si="1"/>
        <v/>
      </c>
      <c r="AR36" s="122" t="str">
        <f t="shared" si="2"/>
        <v/>
      </c>
      <c r="AS36" s="122" t="str">
        <f t="shared" si="3"/>
        <v/>
      </c>
      <c r="AT36" s="122" t="str">
        <f t="shared" si="4"/>
        <v/>
      </c>
      <c r="AU36" s="122" t="str">
        <f t="shared" si="5"/>
        <v/>
      </c>
      <c r="AV36" s="122" t="str">
        <f t="shared" si="6"/>
        <v/>
      </c>
      <c r="AW36" s="122" t="str">
        <f t="shared" si="7"/>
        <v/>
      </c>
      <c r="AX36" s="122" t="str">
        <f t="shared" si="8"/>
        <v/>
      </c>
      <c r="AY36" s="122" t="str">
        <f t="shared" si="9"/>
        <v/>
      </c>
      <c r="AZ36" s="122" t="str">
        <f t="shared" si="10"/>
        <v/>
      </c>
      <c r="BA36" s="122" t="str">
        <f t="shared" si="11"/>
        <v/>
      </c>
      <c r="BB36" s="122" t="str">
        <f t="shared" si="12"/>
        <v/>
      </c>
      <c r="BC36" s="122" t="str">
        <f t="shared" si="13"/>
        <v/>
      </c>
      <c r="BD36" s="122" t="str">
        <f t="shared" si="14"/>
        <v/>
      </c>
      <c r="BE36" s="122" t="str">
        <f t="shared" si="15"/>
        <v/>
      </c>
      <c r="BF36" s="122" t="str">
        <f t="shared" si="16"/>
        <v/>
      </c>
      <c r="BG36" s="122" t="str">
        <f t="shared" si="17"/>
        <v/>
      </c>
      <c r="BH36" s="122" t="str">
        <f t="shared" si="18"/>
        <v/>
      </c>
      <c r="BI36" s="122" t="str">
        <f t="shared" si="19"/>
        <v/>
      </c>
      <c r="BJ36" s="122" t="str">
        <f t="shared" si="20"/>
        <v/>
      </c>
      <c r="BK36" s="122" t="str">
        <f t="shared" si="21"/>
        <v/>
      </c>
      <c r="BL36" s="122" t="str">
        <f t="shared" si="22"/>
        <v/>
      </c>
      <c r="BM36" s="122" t="str">
        <f t="shared" si="23"/>
        <v/>
      </c>
      <c r="BN36" s="122" t="str">
        <f t="shared" si="24"/>
        <v/>
      </c>
      <c r="BO36" s="122" t="str">
        <f t="shared" si="25"/>
        <v/>
      </c>
      <c r="BP36" s="122" t="str">
        <f t="shared" si="26"/>
        <v/>
      </c>
      <c r="BQ36" s="122" t="str">
        <f t="shared" si="27"/>
        <v/>
      </c>
      <c r="BR36" s="122" t="str">
        <f t="shared" si="28"/>
        <v/>
      </c>
      <c r="BS36" s="122" t="str">
        <f t="shared" si="29"/>
        <v/>
      </c>
      <c r="BT36" s="122" t="str">
        <f t="shared" si="30"/>
        <v/>
      </c>
      <c r="BU36" s="122" t="str">
        <f t="shared" si="31"/>
        <v/>
      </c>
      <c r="BV36" s="122" t="str">
        <f t="shared" si="32"/>
        <v/>
      </c>
      <c r="BW36" s="122" t="str">
        <f t="shared" si="33"/>
        <v/>
      </c>
      <c r="BX36" s="123" t="str">
        <f t="shared" si="34"/>
        <v/>
      </c>
      <c r="BY36" s="115" t="str">
        <f t="shared" si="35"/>
        <v/>
      </c>
      <c r="CA36" s="286"/>
      <c r="CB36" s="107" t="s">
        <v>223</v>
      </c>
      <c r="CC36" s="121" t="str">
        <f t="shared" si="36"/>
        <v/>
      </c>
      <c r="CD36" s="122" t="str">
        <f t="shared" si="37"/>
        <v/>
      </c>
      <c r="CE36" s="122" t="str">
        <f t="shared" si="38"/>
        <v/>
      </c>
      <c r="CF36" s="122" t="str">
        <f t="shared" si="39"/>
        <v/>
      </c>
      <c r="CG36" s="122" t="str">
        <f t="shared" si="40"/>
        <v/>
      </c>
      <c r="CH36" s="122" t="str">
        <f t="shared" si="41"/>
        <v/>
      </c>
      <c r="CI36" s="122" t="str">
        <f t="shared" si="42"/>
        <v/>
      </c>
      <c r="CJ36" s="122" t="str">
        <f t="shared" si="43"/>
        <v/>
      </c>
      <c r="CK36" s="122" t="str">
        <f t="shared" si="44"/>
        <v/>
      </c>
      <c r="CL36" s="122" t="str">
        <f t="shared" si="45"/>
        <v/>
      </c>
      <c r="CM36" s="122" t="str">
        <f t="shared" si="46"/>
        <v/>
      </c>
      <c r="CN36" s="122" t="str">
        <f t="shared" si="47"/>
        <v/>
      </c>
      <c r="CO36" s="122" t="str">
        <f t="shared" si="48"/>
        <v/>
      </c>
      <c r="CP36" s="122" t="str">
        <f t="shared" si="49"/>
        <v/>
      </c>
      <c r="CQ36" s="122" t="str">
        <f t="shared" si="50"/>
        <v/>
      </c>
      <c r="CR36" s="122" t="str">
        <f t="shared" si="51"/>
        <v/>
      </c>
      <c r="CS36" s="122" t="str">
        <f t="shared" si="52"/>
        <v/>
      </c>
      <c r="CT36" s="122" t="str">
        <f t="shared" si="53"/>
        <v/>
      </c>
      <c r="CU36" s="122" t="str">
        <f t="shared" si="54"/>
        <v/>
      </c>
      <c r="CV36" s="122" t="str">
        <f t="shared" si="55"/>
        <v/>
      </c>
      <c r="CW36" s="122" t="str">
        <f t="shared" si="56"/>
        <v/>
      </c>
      <c r="CX36" s="122" t="str">
        <f t="shared" si="57"/>
        <v/>
      </c>
      <c r="CY36" s="122" t="str">
        <f t="shared" si="58"/>
        <v/>
      </c>
      <c r="CZ36" s="122" t="str">
        <f t="shared" si="59"/>
        <v/>
      </c>
      <c r="DA36" s="122" t="str">
        <f t="shared" si="60"/>
        <v/>
      </c>
      <c r="DB36" s="122" t="str">
        <f t="shared" si="61"/>
        <v/>
      </c>
      <c r="DC36" s="122" t="str">
        <f t="shared" si="62"/>
        <v/>
      </c>
      <c r="DD36" s="122" t="str">
        <f t="shared" si="63"/>
        <v/>
      </c>
      <c r="DE36" s="122" t="str">
        <f t="shared" si="64"/>
        <v/>
      </c>
      <c r="DF36" s="122" t="str">
        <f t="shared" si="65"/>
        <v/>
      </c>
      <c r="DG36" s="122" t="str">
        <f t="shared" si="66"/>
        <v/>
      </c>
      <c r="DH36" s="122" t="str">
        <f t="shared" si="67"/>
        <v/>
      </c>
      <c r="DI36" s="122" t="str">
        <f t="shared" si="68"/>
        <v/>
      </c>
      <c r="DJ36" s="123" t="str">
        <f t="shared" si="69"/>
        <v/>
      </c>
      <c r="DK36" s="115" t="str">
        <f t="shared" si="70"/>
        <v/>
      </c>
    </row>
    <row r="37" spans="1:115" ht="12" thickBot="1" x14ac:dyDescent="0.25">
      <c r="C37" s="285"/>
      <c r="D37" s="107" t="s">
        <v>224</v>
      </c>
      <c r="E37" s="131">
        <f>IFERROR(VLOOKUP(CONCATENATE($A$15,"-",$A$12, "-", $D37, "-", E$3, "-", $A$9),OBS_District_Flows!$A:$K, 6,FALSE),0)</f>
        <v>0</v>
      </c>
      <c r="F37" s="132">
        <f>IFERROR(VLOOKUP(CONCATENATE($A$15,"-",$A$12, "-", $D37, "-", F$3, "-", $A$9),OBS_District_Flows!$A:$K, 6,FALSE),0)</f>
        <v>0</v>
      </c>
      <c r="G37" s="132">
        <f>IFERROR(VLOOKUP(CONCATENATE($A$15,"-",$A$12, "-", $D37, "-", G$3, "-", $A$9),OBS_District_Flows!$A:$K, 6,FALSE),0)</f>
        <v>0</v>
      </c>
      <c r="H37" s="132">
        <f>IFERROR(VLOOKUP(CONCATENATE($A$15,"-",$A$12, "-", $D37, "-", H$3, "-", $A$9),OBS_District_Flows!$A:$K, 6,FALSE),0)</f>
        <v>0</v>
      </c>
      <c r="I37" s="132">
        <f>IFERROR(VLOOKUP(CONCATENATE($A$15,"-",$A$12, "-", $D37, "-", I$3, "-", $A$9),OBS_District_Flows!$A:$K, 6,FALSE),0)</f>
        <v>0</v>
      </c>
      <c r="J37" s="132">
        <f>IFERROR(VLOOKUP(CONCATENATE($A$15,"-",$A$12, "-", $D37, "-", J$3, "-", $A$9),OBS_District_Flows!$A:$K, 6,FALSE),0)</f>
        <v>0</v>
      </c>
      <c r="K37" s="132">
        <f>IFERROR(VLOOKUP(CONCATENATE($A$15,"-",$A$12, "-", $D37, "-", K$3, "-", $A$9),OBS_District_Flows!$A:$K, 6,FALSE),0)</f>
        <v>0</v>
      </c>
      <c r="L37" s="132">
        <f>IFERROR(VLOOKUP(CONCATENATE($A$15,"-",$A$12, "-", $D37, "-", L$3, "-", $A$9),OBS_District_Flows!$A:$K, 6,FALSE),0)</f>
        <v>0</v>
      </c>
      <c r="M37" s="132">
        <f>IFERROR(VLOOKUP(CONCATENATE($A$15,"-",$A$12, "-", $D37, "-", M$3, "-", $A$9),OBS_District_Flows!$A:$K, 6,FALSE),0)</f>
        <v>0</v>
      </c>
      <c r="N37" s="132">
        <f>IFERROR(VLOOKUP(CONCATENATE($A$15,"-",$A$12, "-", $D37, "-", N$3, "-", $A$9),OBS_District_Flows!$A:$K, 6,FALSE),0)</f>
        <v>0</v>
      </c>
      <c r="O37" s="132">
        <f>IFERROR(VLOOKUP(CONCATENATE($A$15,"-",$A$12, "-", $D37, "-", O$3, "-", $A$9),OBS_District_Flows!$A:$K, 6,FALSE),0)</f>
        <v>0</v>
      </c>
      <c r="P37" s="132">
        <f>IFERROR(VLOOKUP(CONCATENATE($A$15,"-",$A$12, "-", $D37, "-", P$3, "-", $A$9),OBS_District_Flows!$A:$K, 6,FALSE),0)</f>
        <v>0</v>
      </c>
      <c r="Q37" s="132">
        <f>IFERROR(VLOOKUP(CONCATENATE($A$15,"-",$A$12, "-", $D37, "-", Q$3, "-", $A$9),OBS_District_Flows!$A:$K, 6,FALSE),0)</f>
        <v>0</v>
      </c>
      <c r="R37" s="132">
        <f>IFERROR(VLOOKUP(CONCATENATE($A$15,"-",$A$12, "-", $D37, "-", R$3, "-", $A$9),OBS_District_Flows!$A:$K, 6,FALSE),0)</f>
        <v>0</v>
      </c>
      <c r="S37" s="132">
        <f>IFERROR(VLOOKUP(CONCATENATE($A$15,"-",$A$12, "-", $D37, "-", S$3, "-", $A$9),OBS_District_Flows!$A:$K, 6,FALSE),0)</f>
        <v>0</v>
      </c>
      <c r="T37" s="132">
        <f>IFERROR(VLOOKUP(CONCATENATE($A$15,"-",$A$12, "-", $D37, "-", T$3, "-", $A$9),OBS_District_Flows!$A:$K, 6,FALSE),0)</f>
        <v>0</v>
      </c>
      <c r="U37" s="132">
        <f>IFERROR(VLOOKUP(CONCATENATE($A$15,"-",$A$12, "-", $D37, "-", U$3, "-", $A$9),OBS_District_Flows!$A:$K, 6,FALSE),0)</f>
        <v>0</v>
      </c>
      <c r="V37" s="132">
        <f>IFERROR(VLOOKUP(CONCATENATE($A$15,"-",$A$12, "-", $D37, "-", V$3, "-", $A$9),OBS_District_Flows!$A:$K, 6,FALSE),0)</f>
        <v>0</v>
      </c>
      <c r="W37" s="132">
        <f>IFERROR(VLOOKUP(CONCATENATE($A$15,"-",$A$12, "-", $D37, "-", W$3, "-", $A$9),OBS_District_Flows!$A:$K, 6,FALSE),0)</f>
        <v>0</v>
      </c>
      <c r="X37" s="132">
        <f>IFERROR(VLOOKUP(CONCATENATE($A$15,"-",$A$12, "-", $D37, "-", X$3, "-", $A$9),OBS_District_Flows!$A:$K, 6,FALSE),0)</f>
        <v>0</v>
      </c>
      <c r="Y37" s="132">
        <f>IFERROR(VLOOKUP(CONCATENATE($A$15,"-",$A$12, "-", $D37, "-", Y$3, "-", $A$9),OBS_District_Flows!$A:$K, 6,FALSE),0)</f>
        <v>0</v>
      </c>
      <c r="Z37" s="132">
        <f>IFERROR(VLOOKUP(CONCATENATE($A$15,"-",$A$12, "-", $D37, "-", Z$3, "-", $A$9),OBS_District_Flows!$A:$K, 6,FALSE),0)</f>
        <v>0</v>
      </c>
      <c r="AA37" s="132">
        <f>IFERROR(VLOOKUP(CONCATENATE($A$15,"-",$A$12, "-", $D37, "-", AA$3, "-", $A$9),OBS_District_Flows!$A:$K, 6,FALSE),0)</f>
        <v>0</v>
      </c>
      <c r="AB37" s="132">
        <f>IFERROR(VLOOKUP(CONCATENATE($A$15,"-",$A$12, "-", $D37, "-", AB$3, "-", $A$9),OBS_District_Flows!$A:$K, 6,FALSE),0)</f>
        <v>0</v>
      </c>
      <c r="AC37" s="132">
        <f>IFERROR(VLOOKUP(CONCATENATE($A$15,"-",$A$12, "-", $D37, "-", AC$3, "-", $A$9),OBS_District_Flows!$A:$K, 6,FALSE),0)</f>
        <v>0</v>
      </c>
      <c r="AD37" s="132">
        <f>IFERROR(VLOOKUP(CONCATENATE($A$15,"-",$A$12, "-", $D37, "-", AD$3, "-", $A$9),OBS_District_Flows!$A:$K, 6,FALSE),0)</f>
        <v>0</v>
      </c>
      <c r="AE37" s="132">
        <f>IFERROR(VLOOKUP(CONCATENATE($A$15,"-",$A$12, "-", $D37, "-", AE$3, "-", $A$9),OBS_District_Flows!$A:$K, 6,FALSE),0)</f>
        <v>0</v>
      </c>
      <c r="AF37" s="132">
        <f>IFERROR(VLOOKUP(CONCATENATE($A$15,"-",$A$12, "-", $D37, "-", AF$3, "-", $A$9),OBS_District_Flows!$A:$K, 6,FALSE),0)</f>
        <v>0</v>
      </c>
      <c r="AG37" s="132">
        <f>IFERROR(VLOOKUP(CONCATENATE($A$15,"-",$A$12, "-", $D37, "-", AG$3, "-", $A$9),OBS_District_Flows!$A:$K, 6,FALSE),0)</f>
        <v>0</v>
      </c>
      <c r="AH37" s="132">
        <f>IFERROR(VLOOKUP(CONCATENATE($A$15,"-",$A$12, "-", $D37, "-", AH$3, "-", $A$9),OBS_District_Flows!$A:$K, 6,FALSE),0)</f>
        <v>0</v>
      </c>
      <c r="AI37" s="132">
        <f>IFERROR(VLOOKUP(CONCATENATE($A$15,"-",$A$12, "-", $D37, "-", AI$3, "-", $A$9),OBS_District_Flows!$A:$K, 6,FALSE),0)</f>
        <v>0</v>
      </c>
      <c r="AJ37" s="132">
        <f>IFERROR(VLOOKUP(CONCATENATE($A$15,"-",$A$12, "-", $D37, "-", AJ$3, "-", $A$9),OBS_District_Flows!$A:$K, 6,FALSE),0)</f>
        <v>0</v>
      </c>
      <c r="AK37" s="132">
        <f>IFERROR(VLOOKUP(CONCATENATE($A$15,"-",$A$12, "-", $D37, "-", AK$3, "-", $A$9),OBS_District_Flows!$A:$K, 6,FALSE),0)</f>
        <v>0</v>
      </c>
      <c r="AL37" s="133">
        <f>IFERROR(VLOOKUP(CONCATENATE($A$15,"-",$A$12, "-", $D37, "-", AL$3, "-", $A$9),OBS_District_Flows!$A:$K, 6,FALSE),0)</f>
        <v>0</v>
      </c>
      <c r="AM37" s="111">
        <f t="shared" si="0"/>
        <v>0</v>
      </c>
      <c r="AO37" s="286"/>
      <c r="AP37" s="107" t="s">
        <v>224</v>
      </c>
      <c r="AQ37" s="134" t="str">
        <f t="shared" si="1"/>
        <v/>
      </c>
      <c r="AR37" s="135" t="str">
        <f t="shared" si="2"/>
        <v/>
      </c>
      <c r="AS37" s="135" t="str">
        <f t="shared" si="3"/>
        <v/>
      </c>
      <c r="AT37" s="135" t="str">
        <f t="shared" si="4"/>
        <v/>
      </c>
      <c r="AU37" s="135" t="str">
        <f t="shared" si="5"/>
        <v/>
      </c>
      <c r="AV37" s="135" t="str">
        <f t="shared" si="6"/>
        <v/>
      </c>
      <c r="AW37" s="135" t="str">
        <f t="shared" si="7"/>
        <v/>
      </c>
      <c r="AX37" s="135" t="str">
        <f t="shared" si="8"/>
        <v/>
      </c>
      <c r="AY37" s="135" t="str">
        <f t="shared" si="9"/>
        <v/>
      </c>
      <c r="AZ37" s="135" t="str">
        <f t="shared" si="10"/>
        <v/>
      </c>
      <c r="BA37" s="135" t="str">
        <f t="shared" si="11"/>
        <v/>
      </c>
      <c r="BB37" s="135" t="str">
        <f t="shared" si="12"/>
        <v/>
      </c>
      <c r="BC37" s="135" t="str">
        <f t="shared" si="13"/>
        <v/>
      </c>
      <c r="BD37" s="135" t="str">
        <f t="shared" si="14"/>
        <v/>
      </c>
      <c r="BE37" s="135" t="str">
        <f t="shared" si="15"/>
        <v/>
      </c>
      <c r="BF37" s="135" t="str">
        <f t="shared" si="16"/>
        <v/>
      </c>
      <c r="BG37" s="135" t="str">
        <f t="shared" si="17"/>
        <v/>
      </c>
      <c r="BH37" s="135" t="str">
        <f t="shared" si="18"/>
        <v/>
      </c>
      <c r="BI37" s="135" t="str">
        <f t="shared" si="19"/>
        <v/>
      </c>
      <c r="BJ37" s="135" t="str">
        <f t="shared" si="20"/>
        <v/>
      </c>
      <c r="BK37" s="135" t="str">
        <f t="shared" si="21"/>
        <v/>
      </c>
      <c r="BL37" s="135" t="str">
        <f t="shared" si="22"/>
        <v/>
      </c>
      <c r="BM37" s="135" t="str">
        <f t="shared" si="23"/>
        <v/>
      </c>
      <c r="BN37" s="135" t="str">
        <f t="shared" si="24"/>
        <v/>
      </c>
      <c r="BO37" s="135" t="str">
        <f t="shared" si="25"/>
        <v/>
      </c>
      <c r="BP37" s="135" t="str">
        <f t="shared" si="26"/>
        <v/>
      </c>
      <c r="BQ37" s="135" t="str">
        <f t="shared" si="27"/>
        <v/>
      </c>
      <c r="BR37" s="135" t="str">
        <f t="shared" si="28"/>
        <v/>
      </c>
      <c r="BS37" s="135" t="str">
        <f t="shared" si="29"/>
        <v/>
      </c>
      <c r="BT37" s="135" t="str">
        <f t="shared" si="30"/>
        <v/>
      </c>
      <c r="BU37" s="135" t="str">
        <f t="shared" si="31"/>
        <v/>
      </c>
      <c r="BV37" s="135" t="str">
        <f t="shared" si="32"/>
        <v/>
      </c>
      <c r="BW37" s="135" t="str">
        <f t="shared" si="33"/>
        <v/>
      </c>
      <c r="BX37" s="136" t="str">
        <f t="shared" si="34"/>
        <v/>
      </c>
      <c r="BY37" s="115" t="str">
        <f t="shared" si="35"/>
        <v/>
      </c>
      <c r="CA37" s="286"/>
      <c r="CB37" s="107" t="s">
        <v>224</v>
      </c>
      <c r="CC37" s="134" t="str">
        <f t="shared" si="36"/>
        <v/>
      </c>
      <c r="CD37" s="135" t="str">
        <f t="shared" si="37"/>
        <v/>
      </c>
      <c r="CE37" s="135" t="str">
        <f t="shared" si="38"/>
        <v/>
      </c>
      <c r="CF37" s="135" t="str">
        <f t="shared" si="39"/>
        <v/>
      </c>
      <c r="CG37" s="135" t="str">
        <f t="shared" si="40"/>
        <v/>
      </c>
      <c r="CH37" s="135" t="str">
        <f t="shared" si="41"/>
        <v/>
      </c>
      <c r="CI37" s="135" t="str">
        <f t="shared" si="42"/>
        <v/>
      </c>
      <c r="CJ37" s="135" t="str">
        <f t="shared" si="43"/>
        <v/>
      </c>
      <c r="CK37" s="135" t="str">
        <f t="shared" si="44"/>
        <v/>
      </c>
      <c r="CL37" s="135" t="str">
        <f t="shared" si="45"/>
        <v/>
      </c>
      <c r="CM37" s="135" t="str">
        <f t="shared" si="46"/>
        <v/>
      </c>
      <c r="CN37" s="135" t="str">
        <f t="shared" si="47"/>
        <v/>
      </c>
      <c r="CO37" s="135" t="str">
        <f t="shared" si="48"/>
        <v/>
      </c>
      <c r="CP37" s="135" t="str">
        <f t="shared" si="49"/>
        <v/>
      </c>
      <c r="CQ37" s="135" t="str">
        <f t="shared" si="50"/>
        <v/>
      </c>
      <c r="CR37" s="135" t="str">
        <f t="shared" si="51"/>
        <v/>
      </c>
      <c r="CS37" s="135" t="str">
        <f t="shared" si="52"/>
        <v/>
      </c>
      <c r="CT37" s="135" t="str">
        <f t="shared" si="53"/>
        <v/>
      </c>
      <c r="CU37" s="135" t="str">
        <f t="shared" si="54"/>
        <v/>
      </c>
      <c r="CV37" s="135" t="str">
        <f t="shared" si="55"/>
        <v/>
      </c>
      <c r="CW37" s="135" t="str">
        <f t="shared" si="56"/>
        <v/>
      </c>
      <c r="CX37" s="135" t="str">
        <f t="shared" si="57"/>
        <v/>
      </c>
      <c r="CY37" s="135" t="str">
        <f t="shared" si="58"/>
        <v/>
      </c>
      <c r="CZ37" s="135" t="str">
        <f t="shared" si="59"/>
        <v/>
      </c>
      <c r="DA37" s="135" t="str">
        <f t="shared" si="60"/>
        <v/>
      </c>
      <c r="DB37" s="135" t="str">
        <f t="shared" si="61"/>
        <v/>
      </c>
      <c r="DC37" s="135" t="str">
        <f t="shared" si="62"/>
        <v/>
      </c>
      <c r="DD37" s="135" t="str">
        <f t="shared" si="63"/>
        <v/>
      </c>
      <c r="DE37" s="135" t="str">
        <f t="shared" si="64"/>
        <v/>
      </c>
      <c r="DF37" s="135" t="str">
        <f t="shared" si="65"/>
        <v/>
      </c>
      <c r="DG37" s="135" t="str">
        <f t="shared" si="66"/>
        <v/>
      </c>
      <c r="DH37" s="135" t="str">
        <f t="shared" si="67"/>
        <v/>
      </c>
      <c r="DI37" s="135" t="str">
        <f t="shared" si="68"/>
        <v/>
      </c>
      <c r="DJ37" s="136" t="str">
        <f t="shared" si="69"/>
        <v/>
      </c>
      <c r="DK37" s="115" t="str">
        <f t="shared" si="70"/>
        <v/>
      </c>
    </row>
    <row r="38" spans="1:115" x14ac:dyDescent="0.2">
      <c r="C38" s="285"/>
      <c r="D38" s="137" t="s">
        <v>1</v>
      </c>
      <c r="E38" s="111">
        <f t="shared" ref="E38:AM38" si="71">SUM(E4:E37)</f>
        <v>0</v>
      </c>
      <c r="F38" s="111">
        <f t="shared" si="71"/>
        <v>0</v>
      </c>
      <c r="G38" s="111">
        <f t="shared" si="71"/>
        <v>0</v>
      </c>
      <c r="H38" s="111">
        <f t="shared" si="71"/>
        <v>0</v>
      </c>
      <c r="I38" s="111">
        <f t="shared" si="71"/>
        <v>0</v>
      </c>
      <c r="J38" s="111">
        <f t="shared" si="71"/>
        <v>0</v>
      </c>
      <c r="K38" s="111">
        <f t="shared" si="71"/>
        <v>0</v>
      </c>
      <c r="L38" s="111">
        <f t="shared" si="71"/>
        <v>0</v>
      </c>
      <c r="M38" s="111">
        <f t="shared" si="71"/>
        <v>0</v>
      </c>
      <c r="N38" s="111">
        <f t="shared" si="71"/>
        <v>0</v>
      </c>
      <c r="O38" s="111">
        <f t="shared" si="71"/>
        <v>0</v>
      </c>
      <c r="P38" s="111">
        <f t="shared" si="71"/>
        <v>0</v>
      </c>
      <c r="Q38" s="111">
        <f t="shared" si="71"/>
        <v>0</v>
      </c>
      <c r="R38" s="111">
        <f t="shared" si="71"/>
        <v>0</v>
      </c>
      <c r="S38" s="111">
        <f t="shared" si="71"/>
        <v>0</v>
      </c>
      <c r="T38" s="111">
        <f t="shared" si="71"/>
        <v>0</v>
      </c>
      <c r="U38" s="111">
        <f t="shared" si="71"/>
        <v>0</v>
      </c>
      <c r="V38" s="111">
        <f t="shared" si="71"/>
        <v>0</v>
      </c>
      <c r="W38" s="111">
        <f t="shared" si="71"/>
        <v>0</v>
      </c>
      <c r="X38" s="111">
        <f t="shared" si="71"/>
        <v>0</v>
      </c>
      <c r="Y38" s="111">
        <f t="shared" si="71"/>
        <v>0</v>
      </c>
      <c r="Z38" s="111">
        <f t="shared" si="71"/>
        <v>0</v>
      </c>
      <c r="AA38" s="111">
        <f t="shared" si="71"/>
        <v>0</v>
      </c>
      <c r="AB38" s="111">
        <f t="shared" si="71"/>
        <v>0</v>
      </c>
      <c r="AC38" s="111">
        <f t="shared" si="71"/>
        <v>0</v>
      </c>
      <c r="AD38" s="111">
        <f t="shared" si="71"/>
        <v>0</v>
      </c>
      <c r="AE38" s="111">
        <f t="shared" si="71"/>
        <v>0</v>
      </c>
      <c r="AF38" s="111">
        <f t="shared" si="71"/>
        <v>0</v>
      </c>
      <c r="AG38" s="111">
        <f t="shared" si="71"/>
        <v>0</v>
      </c>
      <c r="AH38" s="111">
        <f t="shared" si="71"/>
        <v>0</v>
      </c>
      <c r="AI38" s="111">
        <f t="shared" si="71"/>
        <v>0</v>
      </c>
      <c r="AJ38" s="111">
        <f t="shared" si="71"/>
        <v>0</v>
      </c>
      <c r="AK38" s="111">
        <f t="shared" si="71"/>
        <v>0</v>
      </c>
      <c r="AL38" s="111">
        <f t="shared" si="71"/>
        <v>0</v>
      </c>
      <c r="AM38" s="111">
        <f t="shared" si="71"/>
        <v>0</v>
      </c>
      <c r="AO38" s="286"/>
      <c r="AP38" s="137" t="s">
        <v>1</v>
      </c>
      <c r="AQ38" s="115" t="str">
        <f t="shared" si="1"/>
        <v/>
      </c>
      <c r="AR38" s="115" t="str">
        <f t="shared" si="2"/>
        <v/>
      </c>
      <c r="AS38" s="115" t="str">
        <f t="shared" si="3"/>
        <v/>
      </c>
      <c r="AT38" s="115" t="str">
        <f t="shared" si="4"/>
        <v/>
      </c>
      <c r="AU38" s="115" t="str">
        <f t="shared" si="5"/>
        <v/>
      </c>
      <c r="AV38" s="115" t="str">
        <f t="shared" si="6"/>
        <v/>
      </c>
      <c r="AW38" s="115" t="str">
        <f t="shared" si="7"/>
        <v/>
      </c>
      <c r="AX38" s="115" t="str">
        <f t="shared" si="8"/>
        <v/>
      </c>
      <c r="AY38" s="115" t="str">
        <f t="shared" si="9"/>
        <v/>
      </c>
      <c r="AZ38" s="115" t="str">
        <f t="shared" si="10"/>
        <v/>
      </c>
      <c r="BA38" s="115" t="str">
        <f t="shared" si="11"/>
        <v/>
      </c>
      <c r="BB38" s="115" t="str">
        <f t="shared" si="12"/>
        <v/>
      </c>
      <c r="BC38" s="115" t="str">
        <f t="shared" si="13"/>
        <v/>
      </c>
      <c r="BD38" s="115" t="str">
        <f t="shared" si="14"/>
        <v/>
      </c>
      <c r="BE38" s="115" t="str">
        <f t="shared" si="15"/>
        <v/>
      </c>
      <c r="BF38" s="115" t="str">
        <f t="shared" si="16"/>
        <v/>
      </c>
      <c r="BG38" s="115" t="str">
        <f t="shared" si="17"/>
        <v/>
      </c>
      <c r="BH38" s="115" t="str">
        <f t="shared" si="18"/>
        <v/>
      </c>
      <c r="BI38" s="115" t="str">
        <f t="shared" si="19"/>
        <v/>
      </c>
      <c r="BJ38" s="115" t="str">
        <f t="shared" si="20"/>
        <v/>
      </c>
      <c r="BK38" s="115" t="str">
        <f t="shared" si="21"/>
        <v/>
      </c>
      <c r="BL38" s="115" t="str">
        <f t="shared" si="22"/>
        <v/>
      </c>
      <c r="BM38" s="115" t="str">
        <f t="shared" si="23"/>
        <v/>
      </c>
      <c r="BN38" s="115" t="str">
        <f t="shared" si="24"/>
        <v/>
      </c>
      <c r="BO38" s="115" t="str">
        <f t="shared" si="25"/>
        <v/>
      </c>
      <c r="BP38" s="115" t="str">
        <f t="shared" si="26"/>
        <v/>
      </c>
      <c r="BQ38" s="115" t="str">
        <f t="shared" si="27"/>
        <v/>
      </c>
      <c r="BR38" s="115" t="str">
        <f t="shared" si="28"/>
        <v/>
      </c>
      <c r="BS38" s="115" t="str">
        <f t="shared" si="29"/>
        <v/>
      </c>
      <c r="BT38" s="115" t="str">
        <f t="shared" si="30"/>
        <v/>
      </c>
      <c r="BU38" s="115" t="str">
        <f t="shared" si="31"/>
        <v/>
      </c>
      <c r="BV38" s="115" t="str">
        <f t="shared" si="32"/>
        <v/>
      </c>
      <c r="BW38" s="115" t="str">
        <f t="shared" si="33"/>
        <v/>
      </c>
      <c r="BX38" s="115" t="str">
        <f t="shared" si="34"/>
        <v/>
      </c>
      <c r="BY38" s="115" t="str">
        <f t="shared" si="35"/>
        <v/>
      </c>
      <c r="CA38" s="286"/>
      <c r="CB38" s="137" t="s">
        <v>1</v>
      </c>
      <c r="CC38" s="115" t="str">
        <f t="shared" si="36"/>
        <v/>
      </c>
      <c r="CD38" s="115" t="str">
        <f t="shared" si="37"/>
        <v/>
      </c>
      <c r="CE38" s="115" t="str">
        <f t="shared" si="38"/>
        <v/>
      </c>
      <c r="CF38" s="115" t="str">
        <f t="shared" si="39"/>
        <v/>
      </c>
      <c r="CG38" s="115" t="str">
        <f t="shared" si="40"/>
        <v/>
      </c>
      <c r="CH38" s="115" t="str">
        <f t="shared" si="41"/>
        <v/>
      </c>
      <c r="CI38" s="115" t="str">
        <f t="shared" si="42"/>
        <v/>
      </c>
      <c r="CJ38" s="115" t="str">
        <f t="shared" si="43"/>
        <v/>
      </c>
      <c r="CK38" s="115" t="str">
        <f t="shared" si="44"/>
        <v/>
      </c>
      <c r="CL38" s="115" t="str">
        <f t="shared" si="45"/>
        <v/>
      </c>
      <c r="CM38" s="115" t="str">
        <f t="shared" si="46"/>
        <v/>
      </c>
      <c r="CN38" s="115" t="str">
        <f t="shared" si="47"/>
        <v/>
      </c>
      <c r="CO38" s="115" t="str">
        <f t="shared" si="48"/>
        <v/>
      </c>
      <c r="CP38" s="115" t="str">
        <f t="shared" si="49"/>
        <v/>
      </c>
      <c r="CQ38" s="115" t="str">
        <f t="shared" si="50"/>
        <v/>
      </c>
      <c r="CR38" s="115" t="str">
        <f t="shared" si="51"/>
        <v/>
      </c>
      <c r="CS38" s="115" t="str">
        <f t="shared" si="52"/>
        <v/>
      </c>
      <c r="CT38" s="115" t="str">
        <f t="shared" si="53"/>
        <v/>
      </c>
      <c r="CU38" s="115" t="str">
        <f t="shared" si="54"/>
        <v/>
      </c>
      <c r="CV38" s="115" t="str">
        <f t="shared" si="55"/>
        <v/>
      </c>
      <c r="CW38" s="115" t="str">
        <f t="shared" si="56"/>
        <v/>
      </c>
      <c r="CX38" s="115" t="str">
        <f t="shared" si="57"/>
        <v/>
      </c>
      <c r="CY38" s="115" t="str">
        <f t="shared" si="58"/>
        <v/>
      </c>
      <c r="CZ38" s="115" t="str">
        <f t="shared" si="59"/>
        <v/>
      </c>
      <c r="DA38" s="115" t="str">
        <f t="shared" si="60"/>
        <v/>
      </c>
      <c r="DB38" s="115" t="str">
        <f t="shared" si="61"/>
        <v/>
      </c>
      <c r="DC38" s="115" t="str">
        <f t="shared" si="62"/>
        <v/>
      </c>
      <c r="DD38" s="115" t="str">
        <f t="shared" si="63"/>
        <v/>
      </c>
      <c r="DE38" s="115" t="str">
        <f t="shared" si="64"/>
        <v/>
      </c>
      <c r="DF38" s="115" t="str">
        <f t="shared" si="65"/>
        <v/>
      </c>
      <c r="DG38" s="115" t="str">
        <f t="shared" si="66"/>
        <v/>
      </c>
      <c r="DH38" s="115" t="str">
        <f t="shared" si="67"/>
        <v/>
      </c>
      <c r="DI38" s="115" t="str">
        <f t="shared" si="68"/>
        <v/>
      </c>
      <c r="DJ38" s="115" t="str">
        <f t="shared" si="69"/>
        <v/>
      </c>
      <c r="DK38" s="115" t="str">
        <f t="shared" si="70"/>
        <v/>
      </c>
    </row>
    <row r="41" spans="1:115" ht="12.75" x14ac:dyDescent="0.2">
      <c r="A41" s="138"/>
      <c r="B41" s="138"/>
      <c r="C41" s="138"/>
      <c r="D41" s="20" t="s">
        <v>256</v>
      </c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</row>
    <row r="42" spans="1:115" x14ac:dyDescent="0.2">
      <c r="E42" s="284" t="s">
        <v>238</v>
      </c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284"/>
      <c r="X42" s="284"/>
      <c r="Y42" s="284"/>
      <c r="Z42" s="284"/>
      <c r="AA42" s="284"/>
      <c r="AB42" s="284"/>
      <c r="AC42" s="284"/>
      <c r="AD42" s="284"/>
      <c r="AE42" s="284"/>
      <c r="AF42" s="284"/>
      <c r="AG42" s="284"/>
      <c r="AH42" s="284"/>
      <c r="AI42" s="284"/>
      <c r="AJ42" s="284"/>
      <c r="AK42" s="284"/>
      <c r="AL42" s="284"/>
      <c r="AM42" s="284"/>
    </row>
    <row r="43" spans="1:115" ht="45.75" thickBot="1" x14ac:dyDescent="0.25">
      <c r="E43" s="105" t="s">
        <v>180</v>
      </c>
      <c r="F43" s="105" t="s">
        <v>183</v>
      </c>
      <c r="G43" s="105" t="s">
        <v>186</v>
      </c>
      <c r="H43" s="105" t="s">
        <v>189</v>
      </c>
      <c r="I43" s="105" t="s">
        <v>192</v>
      </c>
      <c r="J43" s="105" t="s">
        <v>195</v>
      </c>
      <c r="K43" s="105" t="s">
        <v>198</v>
      </c>
      <c r="L43" s="105" t="s">
        <v>199</v>
      </c>
      <c r="M43" s="105" t="s">
        <v>200</v>
      </c>
      <c r="N43" s="105" t="s">
        <v>201</v>
      </c>
      <c r="O43" s="105" t="s">
        <v>203</v>
      </c>
      <c r="P43" s="105" t="s">
        <v>204</v>
      </c>
      <c r="Q43" s="105" t="s">
        <v>205</v>
      </c>
      <c r="R43" s="105" t="s">
        <v>206</v>
      </c>
      <c r="S43" s="105" t="s">
        <v>207</v>
      </c>
      <c r="T43" s="105" t="s">
        <v>208</v>
      </c>
      <c r="U43" s="105" t="s">
        <v>209</v>
      </c>
      <c r="V43" s="105" t="s">
        <v>210</v>
      </c>
      <c r="W43" s="105" t="s">
        <v>197</v>
      </c>
      <c r="X43" s="105" t="s">
        <v>212</v>
      </c>
      <c r="Y43" s="105" t="s">
        <v>211</v>
      </c>
      <c r="Z43" s="105" t="s">
        <v>213</v>
      </c>
      <c r="AA43" s="105" t="s">
        <v>214</v>
      </c>
      <c r="AB43" s="105" t="s">
        <v>179</v>
      </c>
      <c r="AC43" s="105" t="s">
        <v>215</v>
      </c>
      <c r="AD43" s="105" t="s">
        <v>216</v>
      </c>
      <c r="AE43" s="105" t="s">
        <v>217</v>
      </c>
      <c r="AF43" s="105" t="s">
        <v>218</v>
      </c>
      <c r="AG43" s="105" t="s">
        <v>219</v>
      </c>
      <c r="AH43" s="105" t="s">
        <v>220</v>
      </c>
      <c r="AI43" s="105" t="s">
        <v>221</v>
      </c>
      <c r="AJ43" s="105" t="s">
        <v>222</v>
      </c>
      <c r="AK43" s="105" t="s">
        <v>223</v>
      </c>
      <c r="AL43" s="105" t="s">
        <v>224</v>
      </c>
      <c r="AM43" s="106" t="s">
        <v>1</v>
      </c>
    </row>
    <row r="44" spans="1:115" x14ac:dyDescent="0.2">
      <c r="A44" s="103" t="s">
        <v>234</v>
      </c>
      <c r="C44" s="285" t="s">
        <v>236</v>
      </c>
      <c r="D44" s="107" t="s">
        <v>180</v>
      </c>
      <c r="E44" s="108">
        <f t="shared" ref="E44:N53" si="72">IFERROR(VLOOKUP(CONCATENATE($A$51,"-",$A$48, "-", $D44, "-", E$43, "-", $A$45),model_trn_tours, 7,FALSE),0)</f>
        <v>0</v>
      </c>
      <c r="F44" s="109">
        <f t="shared" si="72"/>
        <v>0</v>
      </c>
      <c r="G44" s="109">
        <f t="shared" si="72"/>
        <v>0</v>
      </c>
      <c r="H44" s="109">
        <f t="shared" si="72"/>
        <v>0</v>
      </c>
      <c r="I44" s="109">
        <f t="shared" si="72"/>
        <v>0</v>
      </c>
      <c r="J44" s="109">
        <f t="shared" si="72"/>
        <v>0</v>
      </c>
      <c r="K44" s="109">
        <f t="shared" si="72"/>
        <v>0</v>
      </c>
      <c r="L44" s="109">
        <f t="shared" si="72"/>
        <v>0</v>
      </c>
      <c r="M44" s="109">
        <f t="shared" si="72"/>
        <v>0</v>
      </c>
      <c r="N44" s="109">
        <f t="shared" si="72"/>
        <v>0</v>
      </c>
      <c r="O44" s="109">
        <f t="shared" ref="O44:X53" si="73">IFERROR(VLOOKUP(CONCATENATE($A$51,"-",$A$48, "-", $D44, "-", O$43, "-", $A$45),model_trn_tours, 7,FALSE),0)</f>
        <v>0</v>
      </c>
      <c r="P44" s="109">
        <f t="shared" si="73"/>
        <v>0</v>
      </c>
      <c r="Q44" s="109">
        <f t="shared" si="73"/>
        <v>0</v>
      </c>
      <c r="R44" s="109">
        <f t="shared" si="73"/>
        <v>0</v>
      </c>
      <c r="S44" s="109">
        <f t="shared" si="73"/>
        <v>0</v>
      </c>
      <c r="T44" s="109">
        <f t="shared" si="73"/>
        <v>0</v>
      </c>
      <c r="U44" s="109">
        <f t="shared" si="73"/>
        <v>0</v>
      </c>
      <c r="V44" s="109">
        <f t="shared" si="73"/>
        <v>0</v>
      </c>
      <c r="W44" s="109">
        <f t="shared" si="73"/>
        <v>0</v>
      </c>
      <c r="X44" s="109">
        <f t="shared" si="73"/>
        <v>0</v>
      </c>
      <c r="Y44" s="109">
        <f t="shared" ref="Y44:AL53" si="74">IFERROR(VLOOKUP(CONCATENATE($A$51,"-",$A$48, "-", $D44, "-", Y$43, "-", $A$45),model_trn_tours, 7,FALSE),0)</f>
        <v>0</v>
      </c>
      <c r="Z44" s="109">
        <f t="shared" si="74"/>
        <v>0</v>
      </c>
      <c r="AA44" s="109">
        <f t="shared" si="74"/>
        <v>0</v>
      </c>
      <c r="AB44" s="109">
        <f t="shared" si="74"/>
        <v>0</v>
      </c>
      <c r="AC44" s="109">
        <f t="shared" si="74"/>
        <v>0</v>
      </c>
      <c r="AD44" s="109">
        <f t="shared" si="74"/>
        <v>0</v>
      </c>
      <c r="AE44" s="109">
        <f t="shared" si="74"/>
        <v>0</v>
      </c>
      <c r="AF44" s="109">
        <f t="shared" si="74"/>
        <v>0</v>
      </c>
      <c r="AG44" s="109">
        <f t="shared" si="74"/>
        <v>0</v>
      </c>
      <c r="AH44" s="109">
        <f t="shared" si="74"/>
        <v>0</v>
      </c>
      <c r="AI44" s="109">
        <f t="shared" si="74"/>
        <v>0</v>
      </c>
      <c r="AJ44" s="109">
        <f t="shared" si="74"/>
        <v>0</v>
      </c>
      <c r="AK44" s="109">
        <f t="shared" si="74"/>
        <v>0</v>
      </c>
      <c r="AL44" s="110">
        <f t="shared" si="74"/>
        <v>0</v>
      </c>
      <c r="AM44" s="111">
        <f t="shared" ref="AM44:AM77" si="75">SUM(E44:AL44)</f>
        <v>0</v>
      </c>
    </row>
    <row r="45" spans="1:115" x14ac:dyDescent="0.2">
      <c r="A45" s="126" t="str">
        <f>VLOOKUP(A9,simple_purposes,2,FALSE)</f>
        <v>Total</v>
      </c>
      <c r="C45" s="285"/>
      <c r="D45" s="107" t="s">
        <v>183</v>
      </c>
      <c r="E45" s="118">
        <f t="shared" si="72"/>
        <v>0</v>
      </c>
      <c r="F45" s="119">
        <f t="shared" si="72"/>
        <v>0</v>
      </c>
      <c r="G45" s="119">
        <f t="shared" si="72"/>
        <v>0</v>
      </c>
      <c r="H45" s="119">
        <f t="shared" si="72"/>
        <v>0</v>
      </c>
      <c r="I45" s="119">
        <f t="shared" si="72"/>
        <v>0</v>
      </c>
      <c r="J45" s="119">
        <f t="shared" si="72"/>
        <v>0</v>
      </c>
      <c r="K45" s="119">
        <f t="shared" si="72"/>
        <v>0</v>
      </c>
      <c r="L45" s="119">
        <f t="shared" si="72"/>
        <v>0</v>
      </c>
      <c r="M45" s="119">
        <f t="shared" si="72"/>
        <v>0</v>
      </c>
      <c r="N45" s="119">
        <f t="shared" si="72"/>
        <v>0</v>
      </c>
      <c r="O45" s="119">
        <f t="shared" si="73"/>
        <v>0</v>
      </c>
      <c r="P45" s="119">
        <f t="shared" si="73"/>
        <v>0</v>
      </c>
      <c r="Q45" s="119">
        <f t="shared" si="73"/>
        <v>0</v>
      </c>
      <c r="R45" s="119">
        <f t="shared" si="73"/>
        <v>0</v>
      </c>
      <c r="S45" s="119">
        <f t="shared" si="73"/>
        <v>0</v>
      </c>
      <c r="T45" s="119">
        <f t="shared" si="73"/>
        <v>0</v>
      </c>
      <c r="U45" s="119">
        <f t="shared" si="73"/>
        <v>0</v>
      </c>
      <c r="V45" s="119">
        <f t="shared" si="73"/>
        <v>0</v>
      </c>
      <c r="W45" s="119">
        <f t="shared" si="73"/>
        <v>0</v>
      </c>
      <c r="X45" s="119">
        <f t="shared" si="73"/>
        <v>0</v>
      </c>
      <c r="Y45" s="119">
        <f t="shared" si="74"/>
        <v>0</v>
      </c>
      <c r="Z45" s="119">
        <f t="shared" si="74"/>
        <v>0</v>
      </c>
      <c r="AA45" s="119">
        <f t="shared" si="74"/>
        <v>0</v>
      </c>
      <c r="AB45" s="119">
        <f t="shared" si="74"/>
        <v>0</v>
      </c>
      <c r="AC45" s="119">
        <f t="shared" si="74"/>
        <v>0</v>
      </c>
      <c r="AD45" s="119">
        <f t="shared" si="74"/>
        <v>0</v>
      </c>
      <c r="AE45" s="119">
        <f t="shared" si="74"/>
        <v>0</v>
      </c>
      <c r="AF45" s="119">
        <f t="shared" si="74"/>
        <v>0</v>
      </c>
      <c r="AG45" s="119">
        <f t="shared" si="74"/>
        <v>0</v>
      </c>
      <c r="AH45" s="119">
        <f t="shared" si="74"/>
        <v>0</v>
      </c>
      <c r="AI45" s="119">
        <f t="shared" si="74"/>
        <v>0</v>
      </c>
      <c r="AJ45" s="119">
        <f t="shared" si="74"/>
        <v>0</v>
      </c>
      <c r="AK45" s="119">
        <f t="shared" si="74"/>
        <v>0</v>
      </c>
      <c r="AL45" s="120">
        <f t="shared" si="74"/>
        <v>0</v>
      </c>
      <c r="AM45" s="111">
        <f t="shared" si="75"/>
        <v>0</v>
      </c>
    </row>
    <row r="46" spans="1:115" x14ac:dyDescent="0.2">
      <c r="C46" s="285"/>
      <c r="D46" s="107" t="s">
        <v>186</v>
      </c>
      <c r="E46" s="118">
        <f t="shared" si="72"/>
        <v>0</v>
      </c>
      <c r="F46" s="119">
        <f t="shared" si="72"/>
        <v>0</v>
      </c>
      <c r="G46" s="119">
        <f t="shared" si="72"/>
        <v>0</v>
      </c>
      <c r="H46" s="119">
        <f t="shared" si="72"/>
        <v>0</v>
      </c>
      <c r="I46" s="119">
        <f t="shared" si="72"/>
        <v>0</v>
      </c>
      <c r="J46" s="119">
        <f t="shared" si="72"/>
        <v>0</v>
      </c>
      <c r="K46" s="119">
        <f t="shared" si="72"/>
        <v>0</v>
      </c>
      <c r="L46" s="119">
        <f t="shared" si="72"/>
        <v>0</v>
      </c>
      <c r="M46" s="119">
        <f t="shared" si="72"/>
        <v>0</v>
      </c>
      <c r="N46" s="119">
        <f t="shared" si="72"/>
        <v>0</v>
      </c>
      <c r="O46" s="119">
        <f t="shared" si="73"/>
        <v>0</v>
      </c>
      <c r="P46" s="119">
        <f t="shared" si="73"/>
        <v>0</v>
      </c>
      <c r="Q46" s="119">
        <f t="shared" si="73"/>
        <v>0</v>
      </c>
      <c r="R46" s="119">
        <f t="shared" si="73"/>
        <v>0</v>
      </c>
      <c r="S46" s="119">
        <f t="shared" si="73"/>
        <v>0</v>
      </c>
      <c r="T46" s="119">
        <f t="shared" si="73"/>
        <v>0</v>
      </c>
      <c r="U46" s="119">
        <f t="shared" si="73"/>
        <v>0</v>
      </c>
      <c r="V46" s="119">
        <f t="shared" si="73"/>
        <v>0</v>
      </c>
      <c r="W46" s="119">
        <f t="shared" si="73"/>
        <v>0</v>
      </c>
      <c r="X46" s="119">
        <f t="shared" si="73"/>
        <v>0</v>
      </c>
      <c r="Y46" s="119">
        <f t="shared" si="74"/>
        <v>0</v>
      </c>
      <c r="Z46" s="119">
        <f t="shared" si="74"/>
        <v>0</v>
      </c>
      <c r="AA46" s="119">
        <f t="shared" si="74"/>
        <v>0</v>
      </c>
      <c r="AB46" s="119">
        <f t="shared" si="74"/>
        <v>0</v>
      </c>
      <c r="AC46" s="119">
        <f t="shared" si="74"/>
        <v>0</v>
      </c>
      <c r="AD46" s="119">
        <f t="shared" si="74"/>
        <v>0</v>
      </c>
      <c r="AE46" s="119">
        <f t="shared" si="74"/>
        <v>0</v>
      </c>
      <c r="AF46" s="119">
        <f t="shared" si="74"/>
        <v>0</v>
      </c>
      <c r="AG46" s="119">
        <f t="shared" si="74"/>
        <v>0</v>
      </c>
      <c r="AH46" s="119">
        <f t="shared" si="74"/>
        <v>0</v>
      </c>
      <c r="AI46" s="119">
        <f t="shared" si="74"/>
        <v>0</v>
      </c>
      <c r="AJ46" s="119">
        <f t="shared" si="74"/>
        <v>0</v>
      </c>
      <c r="AK46" s="119">
        <f t="shared" si="74"/>
        <v>0</v>
      </c>
      <c r="AL46" s="120">
        <f t="shared" si="74"/>
        <v>0</v>
      </c>
      <c r="AM46" s="111">
        <f t="shared" si="75"/>
        <v>0</v>
      </c>
    </row>
    <row r="47" spans="1:115" x14ac:dyDescent="0.2">
      <c r="A47" s="103" t="s">
        <v>255</v>
      </c>
      <c r="C47" s="285"/>
      <c r="D47" s="107" t="s">
        <v>189</v>
      </c>
      <c r="E47" s="118">
        <f t="shared" si="72"/>
        <v>0</v>
      </c>
      <c r="F47" s="119">
        <f t="shared" si="72"/>
        <v>0</v>
      </c>
      <c r="G47" s="119">
        <f t="shared" si="72"/>
        <v>0</v>
      </c>
      <c r="H47" s="119">
        <f t="shared" si="72"/>
        <v>0</v>
      </c>
      <c r="I47" s="119">
        <f t="shared" si="72"/>
        <v>0</v>
      </c>
      <c r="J47" s="119">
        <f t="shared" si="72"/>
        <v>0</v>
      </c>
      <c r="K47" s="119">
        <f t="shared" si="72"/>
        <v>0</v>
      </c>
      <c r="L47" s="119">
        <f t="shared" si="72"/>
        <v>0</v>
      </c>
      <c r="M47" s="119">
        <f t="shared" si="72"/>
        <v>0</v>
      </c>
      <c r="N47" s="119">
        <f t="shared" si="72"/>
        <v>0</v>
      </c>
      <c r="O47" s="119">
        <f t="shared" si="73"/>
        <v>0</v>
      </c>
      <c r="P47" s="119">
        <f t="shared" si="73"/>
        <v>0</v>
      </c>
      <c r="Q47" s="119">
        <f t="shared" si="73"/>
        <v>0</v>
      </c>
      <c r="R47" s="119">
        <f t="shared" si="73"/>
        <v>0</v>
      </c>
      <c r="S47" s="119">
        <f t="shared" si="73"/>
        <v>0</v>
      </c>
      <c r="T47" s="119">
        <f t="shared" si="73"/>
        <v>0</v>
      </c>
      <c r="U47" s="119">
        <f t="shared" si="73"/>
        <v>0</v>
      </c>
      <c r="V47" s="119">
        <f t="shared" si="73"/>
        <v>0</v>
      </c>
      <c r="W47" s="119">
        <f t="shared" si="73"/>
        <v>0</v>
      </c>
      <c r="X47" s="119">
        <f t="shared" si="73"/>
        <v>0</v>
      </c>
      <c r="Y47" s="119">
        <f t="shared" si="74"/>
        <v>0</v>
      </c>
      <c r="Z47" s="119">
        <f t="shared" si="74"/>
        <v>0</v>
      </c>
      <c r="AA47" s="119">
        <f t="shared" si="74"/>
        <v>0</v>
      </c>
      <c r="AB47" s="119">
        <f t="shared" si="74"/>
        <v>0</v>
      </c>
      <c r="AC47" s="119">
        <f t="shared" si="74"/>
        <v>0</v>
      </c>
      <c r="AD47" s="119">
        <f t="shared" si="74"/>
        <v>0</v>
      </c>
      <c r="AE47" s="119">
        <f t="shared" si="74"/>
        <v>0</v>
      </c>
      <c r="AF47" s="119">
        <f t="shared" si="74"/>
        <v>0</v>
      </c>
      <c r="AG47" s="119">
        <f t="shared" si="74"/>
        <v>0</v>
      </c>
      <c r="AH47" s="119">
        <f t="shared" si="74"/>
        <v>0</v>
      </c>
      <c r="AI47" s="119">
        <f t="shared" si="74"/>
        <v>0</v>
      </c>
      <c r="AJ47" s="119">
        <f t="shared" si="74"/>
        <v>0</v>
      </c>
      <c r="AK47" s="119">
        <f t="shared" si="74"/>
        <v>0</v>
      </c>
      <c r="AL47" s="120">
        <f t="shared" si="74"/>
        <v>0</v>
      </c>
      <c r="AM47" s="111">
        <f t="shared" si="75"/>
        <v>0</v>
      </c>
    </row>
    <row r="48" spans="1:115" x14ac:dyDescent="0.2">
      <c r="A48" s="126" t="str">
        <f>VLOOKUP(A12,trn_modes,2,FALSE)</f>
        <v>Total</v>
      </c>
      <c r="C48" s="285"/>
      <c r="D48" s="107" t="s">
        <v>192</v>
      </c>
      <c r="E48" s="118">
        <f t="shared" si="72"/>
        <v>0</v>
      </c>
      <c r="F48" s="119">
        <f t="shared" si="72"/>
        <v>0</v>
      </c>
      <c r="G48" s="119">
        <f t="shared" si="72"/>
        <v>0</v>
      </c>
      <c r="H48" s="119">
        <f t="shared" si="72"/>
        <v>0</v>
      </c>
      <c r="I48" s="119">
        <f t="shared" si="72"/>
        <v>0</v>
      </c>
      <c r="J48" s="119">
        <f t="shared" si="72"/>
        <v>0</v>
      </c>
      <c r="K48" s="119">
        <f t="shared" si="72"/>
        <v>0</v>
      </c>
      <c r="L48" s="119">
        <f t="shared" si="72"/>
        <v>0</v>
      </c>
      <c r="M48" s="119">
        <f t="shared" si="72"/>
        <v>0</v>
      </c>
      <c r="N48" s="119">
        <f t="shared" si="72"/>
        <v>0</v>
      </c>
      <c r="O48" s="119">
        <f t="shared" si="73"/>
        <v>0</v>
      </c>
      <c r="P48" s="119">
        <f t="shared" si="73"/>
        <v>0</v>
      </c>
      <c r="Q48" s="119">
        <f t="shared" si="73"/>
        <v>0</v>
      </c>
      <c r="R48" s="119">
        <f t="shared" si="73"/>
        <v>0</v>
      </c>
      <c r="S48" s="119">
        <f t="shared" si="73"/>
        <v>0</v>
      </c>
      <c r="T48" s="119">
        <f t="shared" si="73"/>
        <v>0</v>
      </c>
      <c r="U48" s="119">
        <f t="shared" si="73"/>
        <v>0</v>
      </c>
      <c r="V48" s="119">
        <f t="shared" si="73"/>
        <v>0</v>
      </c>
      <c r="W48" s="119">
        <f t="shared" si="73"/>
        <v>0</v>
      </c>
      <c r="X48" s="119">
        <f t="shared" si="73"/>
        <v>0</v>
      </c>
      <c r="Y48" s="119">
        <f t="shared" si="74"/>
        <v>0</v>
      </c>
      <c r="Z48" s="119">
        <f t="shared" si="74"/>
        <v>0</v>
      </c>
      <c r="AA48" s="119">
        <f t="shared" si="74"/>
        <v>0</v>
      </c>
      <c r="AB48" s="119">
        <f t="shared" si="74"/>
        <v>0</v>
      </c>
      <c r="AC48" s="119">
        <f t="shared" si="74"/>
        <v>0</v>
      </c>
      <c r="AD48" s="119">
        <f t="shared" si="74"/>
        <v>0</v>
      </c>
      <c r="AE48" s="119">
        <f t="shared" si="74"/>
        <v>0</v>
      </c>
      <c r="AF48" s="119">
        <f t="shared" si="74"/>
        <v>0</v>
      </c>
      <c r="AG48" s="119">
        <f t="shared" si="74"/>
        <v>0</v>
      </c>
      <c r="AH48" s="119">
        <f t="shared" si="74"/>
        <v>0</v>
      </c>
      <c r="AI48" s="119">
        <f t="shared" si="74"/>
        <v>0</v>
      </c>
      <c r="AJ48" s="119">
        <f t="shared" si="74"/>
        <v>0</v>
      </c>
      <c r="AK48" s="119">
        <f t="shared" si="74"/>
        <v>0</v>
      </c>
      <c r="AL48" s="120">
        <f t="shared" si="74"/>
        <v>0</v>
      </c>
      <c r="AM48" s="111">
        <f t="shared" si="75"/>
        <v>0</v>
      </c>
    </row>
    <row r="49" spans="1:39" x14ac:dyDescent="0.2">
      <c r="C49" s="285"/>
      <c r="D49" s="107" t="s">
        <v>195</v>
      </c>
      <c r="E49" s="118">
        <f t="shared" si="72"/>
        <v>0</v>
      </c>
      <c r="F49" s="119">
        <f t="shared" si="72"/>
        <v>0</v>
      </c>
      <c r="G49" s="119">
        <f t="shared" si="72"/>
        <v>0</v>
      </c>
      <c r="H49" s="119">
        <f t="shared" si="72"/>
        <v>0</v>
      </c>
      <c r="I49" s="119">
        <f t="shared" si="72"/>
        <v>0</v>
      </c>
      <c r="J49" s="119">
        <f t="shared" si="72"/>
        <v>0</v>
      </c>
      <c r="K49" s="119">
        <f t="shared" si="72"/>
        <v>0</v>
      </c>
      <c r="L49" s="119">
        <f t="shared" si="72"/>
        <v>0</v>
      </c>
      <c r="M49" s="119">
        <f t="shared" si="72"/>
        <v>0</v>
      </c>
      <c r="N49" s="119">
        <f t="shared" si="72"/>
        <v>0</v>
      </c>
      <c r="O49" s="119">
        <f t="shared" si="73"/>
        <v>0</v>
      </c>
      <c r="P49" s="119">
        <f t="shared" si="73"/>
        <v>0</v>
      </c>
      <c r="Q49" s="119">
        <f t="shared" si="73"/>
        <v>0</v>
      </c>
      <c r="R49" s="119">
        <f t="shared" si="73"/>
        <v>0</v>
      </c>
      <c r="S49" s="119">
        <f t="shared" si="73"/>
        <v>0</v>
      </c>
      <c r="T49" s="119">
        <f t="shared" si="73"/>
        <v>0</v>
      </c>
      <c r="U49" s="119">
        <f t="shared" si="73"/>
        <v>0</v>
      </c>
      <c r="V49" s="119">
        <f t="shared" si="73"/>
        <v>0</v>
      </c>
      <c r="W49" s="119">
        <f t="shared" si="73"/>
        <v>0</v>
      </c>
      <c r="X49" s="119">
        <f t="shared" si="73"/>
        <v>0</v>
      </c>
      <c r="Y49" s="119">
        <f t="shared" si="74"/>
        <v>0</v>
      </c>
      <c r="Z49" s="119">
        <f t="shared" si="74"/>
        <v>0</v>
      </c>
      <c r="AA49" s="119">
        <f t="shared" si="74"/>
        <v>0</v>
      </c>
      <c r="AB49" s="119">
        <f t="shared" si="74"/>
        <v>0</v>
      </c>
      <c r="AC49" s="119">
        <f t="shared" si="74"/>
        <v>0</v>
      </c>
      <c r="AD49" s="119">
        <f t="shared" si="74"/>
        <v>0</v>
      </c>
      <c r="AE49" s="119">
        <f t="shared" si="74"/>
        <v>0</v>
      </c>
      <c r="AF49" s="119">
        <f t="shared" si="74"/>
        <v>0</v>
      </c>
      <c r="AG49" s="119">
        <f t="shared" si="74"/>
        <v>0</v>
      </c>
      <c r="AH49" s="119">
        <f t="shared" si="74"/>
        <v>0</v>
      </c>
      <c r="AI49" s="119">
        <f t="shared" si="74"/>
        <v>0</v>
      </c>
      <c r="AJ49" s="119">
        <f t="shared" si="74"/>
        <v>0</v>
      </c>
      <c r="AK49" s="119">
        <f t="shared" si="74"/>
        <v>0</v>
      </c>
      <c r="AL49" s="120">
        <f t="shared" si="74"/>
        <v>0</v>
      </c>
      <c r="AM49" s="111">
        <f t="shared" si="75"/>
        <v>0</v>
      </c>
    </row>
    <row r="50" spans="1:39" x14ac:dyDescent="0.2">
      <c r="A50" s="103" t="s">
        <v>266</v>
      </c>
      <c r="C50" s="285"/>
      <c r="D50" s="107" t="s">
        <v>198</v>
      </c>
      <c r="E50" s="118">
        <f t="shared" si="72"/>
        <v>0</v>
      </c>
      <c r="F50" s="119">
        <f t="shared" si="72"/>
        <v>0</v>
      </c>
      <c r="G50" s="119">
        <f t="shared" si="72"/>
        <v>0</v>
      </c>
      <c r="H50" s="119">
        <f t="shared" si="72"/>
        <v>0</v>
      </c>
      <c r="I50" s="119">
        <f t="shared" si="72"/>
        <v>0</v>
      </c>
      <c r="J50" s="119">
        <f t="shared" si="72"/>
        <v>0</v>
      </c>
      <c r="K50" s="119">
        <f t="shared" si="72"/>
        <v>0</v>
      </c>
      <c r="L50" s="119">
        <f t="shared" si="72"/>
        <v>0</v>
      </c>
      <c r="M50" s="119">
        <f t="shared" si="72"/>
        <v>0</v>
      </c>
      <c r="N50" s="119">
        <f t="shared" si="72"/>
        <v>0</v>
      </c>
      <c r="O50" s="119">
        <f t="shared" si="73"/>
        <v>0</v>
      </c>
      <c r="P50" s="119">
        <f t="shared" si="73"/>
        <v>0</v>
      </c>
      <c r="Q50" s="119">
        <f t="shared" si="73"/>
        <v>0</v>
      </c>
      <c r="R50" s="119">
        <f t="shared" si="73"/>
        <v>0</v>
      </c>
      <c r="S50" s="119">
        <f t="shared" si="73"/>
        <v>0</v>
      </c>
      <c r="T50" s="119">
        <f t="shared" si="73"/>
        <v>0</v>
      </c>
      <c r="U50" s="119">
        <f t="shared" si="73"/>
        <v>0</v>
      </c>
      <c r="V50" s="119">
        <f t="shared" si="73"/>
        <v>0</v>
      </c>
      <c r="W50" s="119">
        <f t="shared" si="73"/>
        <v>0</v>
      </c>
      <c r="X50" s="119">
        <f t="shared" si="73"/>
        <v>0</v>
      </c>
      <c r="Y50" s="119">
        <f t="shared" si="74"/>
        <v>0</v>
      </c>
      <c r="Z50" s="119">
        <f t="shared" si="74"/>
        <v>0</v>
      </c>
      <c r="AA50" s="119">
        <f t="shared" si="74"/>
        <v>0</v>
      </c>
      <c r="AB50" s="119">
        <f t="shared" si="74"/>
        <v>0</v>
      </c>
      <c r="AC50" s="119">
        <f t="shared" si="74"/>
        <v>0</v>
      </c>
      <c r="AD50" s="119">
        <f t="shared" si="74"/>
        <v>0</v>
      </c>
      <c r="AE50" s="119">
        <f t="shared" si="74"/>
        <v>0</v>
      </c>
      <c r="AF50" s="119">
        <f t="shared" si="74"/>
        <v>0</v>
      </c>
      <c r="AG50" s="119">
        <f t="shared" si="74"/>
        <v>0</v>
      </c>
      <c r="AH50" s="119">
        <f t="shared" si="74"/>
        <v>0</v>
      </c>
      <c r="AI50" s="119">
        <f t="shared" si="74"/>
        <v>0</v>
      </c>
      <c r="AJ50" s="119">
        <f t="shared" si="74"/>
        <v>0</v>
      </c>
      <c r="AK50" s="119">
        <f t="shared" si="74"/>
        <v>0</v>
      </c>
      <c r="AL50" s="120">
        <f t="shared" si="74"/>
        <v>0</v>
      </c>
      <c r="AM50" s="111">
        <f t="shared" si="75"/>
        <v>0</v>
      </c>
    </row>
    <row r="51" spans="1:39" x14ac:dyDescent="0.2">
      <c r="A51" s="126" t="str">
        <f>A15</f>
        <v>Total</v>
      </c>
      <c r="C51" s="285"/>
      <c r="D51" s="107" t="s">
        <v>199</v>
      </c>
      <c r="E51" s="118">
        <f t="shared" si="72"/>
        <v>0</v>
      </c>
      <c r="F51" s="119">
        <f t="shared" si="72"/>
        <v>0</v>
      </c>
      <c r="G51" s="119">
        <f t="shared" si="72"/>
        <v>0</v>
      </c>
      <c r="H51" s="119">
        <f t="shared" si="72"/>
        <v>0</v>
      </c>
      <c r="I51" s="119">
        <f t="shared" si="72"/>
        <v>0</v>
      </c>
      <c r="J51" s="119">
        <f t="shared" si="72"/>
        <v>0</v>
      </c>
      <c r="K51" s="119">
        <f t="shared" si="72"/>
        <v>0</v>
      </c>
      <c r="L51" s="119">
        <f t="shared" si="72"/>
        <v>0</v>
      </c>
      <c r="M51" s="119">
        <f t="shared" si="72"/>
        <v>0</v>
      </c>
      <c r="N51" s="119">
        <f t="shared" si="72"/>
        <v>0</v>
      </c>
      <c r="O51" s="119">
        <f t="shared" si="73"/>
        <v>0</v>
      </c>
      <c r="P51" s="119">
        <f t="shared" si="73"/>
        <v>0</v>
      </c>
      <c r="Q51" s="119">
        <f t="shared" si="73"/>
        <v>0</v>
      </c>
      <c r="R51" s="119">
        <f t="shared" si="73"/>
        <v>0</v>
      </c>
      <c r="S51" s="119">
        <f t="shared" si="73"/>
        <v>0</v>
      </c>
      <c r="T51" s="119">
        <f t="shared" si="73"/>
        <v>0</v>
      </c>
      <c r="U51" s="119">
        <f t="shared" si="73"/>
        <v>0</v>
      </c>
      <c r="V51" s="119">
        <f t="shared" si="73"/>
        <v>0</v>
      </c>
      <c r="W51" s="119">
        <f t="shared" si="73"/>
        <v>0</v>
      </c>
      <c r="X51" s="119">
        <f t="shared" si="73"/>
        <v>0</v>
      </c>
      <c r="Y51" s="119">
        <f t="shared" si="74"/>
        <v>0</v>
      </c>
      <c r="Z51" s="119">
        <f t="shared" si="74"/>
        <v>0</v>
      </c>
      <c r="AA51" s="119">
        <f t="shared" si="74"/>
        <v>0</v>
      </c>
      <c r="AB51" s="119">
        <f t="shared" si="74"/>
        <v>0</v>
      </c>
      <c r="AC51" s="119">
        <f t="shared" si="74"/>
        <v>0</v>
      </c>
      <c r="AD51" s="119">
        <f t="shared" si="74"/>
        <v>0</v>
      </c>
      <c r="AE51" s="119">
        <f t="shared" si="74"/>
        <v>0</v>
      </c>
      <c r="AF51" s="119">
        <f t="shared" si="74"/>
        <v>0</v>
      </c>
      <c r="AG51" s="119">
        <f t="shared" si="74"/>
        <v>0</v>
      </c>
      <c r="AH51" s="119">
        <f t="shared" si="74"/>
        <v>0</v>
      </c>
      <c r="AI51" s="119">
        <f t="shared" si="74"/>
        <v>0</v>
      </c>
      <c r="AJ51" s="119">
        <f t="shared" si="74"/>
        <v>0</v>
      </c>
      <c r="AK51" s="119">
        <f t="shared" si="74"/>
        <v>0</v>
      </c>
      <c r="AL51" s="120">
        <f t="shared" si="74"/>
        <v>0</v>
      </c>
      <c r="AM51" s="111">
        <f t="shared" si="75"/>
        <v>0</v>
      </c>
    </row>
    <row r="52" spans="1:39" x14ac:dyDescent="0.2">
      <c r="C52" s="285"/>
      <c r="D52" s="107" t="s">
        <v>200</v>
      </c>
      <c r="E52" s="118">
        <f t="shared" si="72"/>
        <v>0</v>
      </c>
      <c r="F52" s="119">
        <f t="shared" si="72"/>
        <v>0</v>
      </c>
      <c r="G52" s="119">
        <f t="shared" si="72"/>
        <v>0</v>
      </c>
      <c r="H52" s="119">
        <f t="shared" si="72"/>
        <v>0</v>
      </c>
      <c r="I52" s="119">
        <f t="shared" si="72"/>
        <v>0</v>
      </c>
      <c r="J52" s="119">
        <f t="shared" si="72"/>
        <v>0</v>
      </c>
      <c r="K52" s="119">
        <f t="shared" si="72"/>
        <v>0</v>
      </c>
      <c r="L52" s="119">
        <f t="shared" si="72"/>
        <v>0</v>
      </c>
      <c r="M52" s="119">
        <f t="shared" si="72"/>
        <v>0</v>
      </c>
      <c r="N52" s="119">
        <f t="shared" si="72"/>
        <v>0</v>
      </c>
      <c r="O52" s="119">
        <f t="shared" si="73"/>
        <v>0</v>
      </c>
      <c r="P52" s="119">
        <f t="shared" si="73"/>
        <v>0</v>
      </c>
      <c r="Q52" s="119">
        <f t="shared" si="73"/>
        <v>0</v>
      </c>
      <c r="R52" s="119">
        <f t="shared" si="73"/>
        <v>0</v>
      </c>
      <c r="S52" s="119">
        <f t="shared" si="73"/>
        <v>0</v>
      </c>
      <c r="T52" s="119">
        <f t="shared" si="73"/>
        <v>0</v>
      </c>
      <c r="U52" s="119">
        <f t="shared" si="73"/>
        <v>0</v>
      </c>
      <c r="V52" s="119">
        <f t="shared" si="73"/>
        <v>0</v>
      </c>
      <c r="W52" s="119">
        <f t="shared" si="73"/>
        <v>0</v>
      </c>
      <c r="X52" s="119">
        <f t="shared" si="73"/>
        <v>0</v>
      </c>
      <c r="Y52" s="119">
        <f t="shared" si="74"/>
        <v>0</v>
      </c>
      <c r="Z52" s="119">
        <f t="shared" si="74"/>
        <v>0</v>
      </c>
      <c r="AA52" s="119">
        <f t="shared" si="74"/>
        <v>0</v>
      </c>
      <c r="AB52" s="119">
        <f t="shared" si="74"/>
        <v>0</v>
      </c>
      <c r="AC52" s="119">
        <f t="shared" si="74"/>
        <v>0</v>
      </c>
      <c r="AD52" s="119">
        <f t="shared" si="74"/>
        <v>0</v>
      </c>
      <c r="AE52" s="119">
        <f t="shared" si="74"/>
        <v>0</v>
      </c>
      <c r="AF52" s="119">
        <f t="shared" si="74"/>
        <v>0</v>
      </c>
      <c r="AG52" s="119">
        <f t="shared" si="74"/>
        <v>0</v>
      </c>
      <c r="AH52" s="119">
        <f t="shared" si="74"/>
        <v>0</v>
      </c>
      <c r="AI52" s="119">
        <f t="shared" si="74"/>
        <v>0</v>
      </c>
      <c r="AJ52" s="119">
        <f t="shared" si="74"/>
        <v>0</v>
      </c>
      <c r="AK52" s="119">
        <f t="shared" si="74"/>
        <v>0</v>
      </c>
      <c r="AL52" s="120">
        <f t="shared" si="74"/>
        <v>0</v>
      </c>
      <c r="AM52" s="111">
        <f t="shared" si="75"/>
        <v>0</v>
      </c>
    </row>
    <row r="53" spans="1:39" x14ac:dyDescent="0.2">
      <c r="C53" s="285"/>
      <c r="D53" s="107" t="s">
        <v>201</v>
      </c>
      <c r="E53" s="118">
        <f t="shared" si="72"/>
        <v>0</v>
      </c>
      <c r="F53" s="119">
        <f t="shared" si="72"/>
        <v>0</v>
      </c>
      <c r="G53" s="119">
        <f t="shared" si="72"/>
        <v>0</v>
      </c>
      <c r="H53" s="119">
        <f t="shared" si="72"/>
        <v>0</v>
      </c>
      <c r="I53" s="119">
        <f t="shared" si="72"/>
        <v>0</v>
      </c>
      <c r="J53" s="119">
        <f t="shared" si="72"/>
        <v>0</v>
      </c>
      <c r="K53" s="119">
        <f t="shared" si="72"/>
        <v>0</v>
      </c>
      <c r="L53" s="119">
        <f t="shared" si="72"/>
        <v>0</v>
      </c>
      <c r="M53" s="119">
        <f t="shared" si="72"/>
        <v>0</v>
      </c>
      <c r="N53" s="119">
        <f t="shared" si="72"/>
        <v>0</v>
      </c>
      <c r="O53" s="119">
        <f t="shared" si="73"/>
        <v>0</v>
      </c>
      <c r="P53" s="119">
        <f t="shared" si="73"/>
        <v>0</v>
      </c>
      <c r="Q53" s="119">
        <f t="shared" si="73"/>
        <v>0</v>
      </c>
      <c r="R53" s="119">
        <f t="shared" si="73"/>
        <v>0</v>
      </c>
      <c r="S53" s="119">
        <f t="shared" si="73"/>
        <v>0</v>
      </c>
      <c r="T53" s="119">
        <f t="shared" si="73"/>
        <v>0</v>
      </c>
      <c r="U53" s="119">
        <f t="shared" si="73"/>
        <v>0</v>
      </c>
      <c r="V53" s="119">
        <f t="shared" si="73"/>
        <v>0</v>
      </c>
      <c r="W53" s="119">
        <f t="shared" si="73"/>
        <v>0</v>
      </c>
      <c r="X53" s="119">
        <f t="shared" si="73"/>
        <v>0</v>
      </c>
      <c r="Y53" s="119">
        <f t="shared" si="74"/>
        <v>0</v>
      </c>
      <c r="Z53" s="119">
        <f t="shared" si="74"/>
        <v>0</v>
      </c>
      <c r="AA53" s="119">
        <f t="shared" si="74"/>
        <v>0</v>
      </c>
      <c r="AB53" s="119">
        <f t="shared" si="74"/>
        <v>0</v>
      </c>
      <c r="AC53" s="119">
        <f t="shared" si="74"/>
        <v>0</v>
      </c>
      <c r="AD53" s="119">
        <f t="shared" si="74"/>
        <v>0</v>
      </c>
      <c r="AE53" s="119">
        <f t="shared" si="74"/>
        <v>0</v>
      </c>
      <c r="AF53" s="119">
        <f t="shared" si="74"/>
        <v>0</v>
      </c>
      <c r="AG53" s="119">
        <f t="shared" si="74"/>
        <v>0</v>
      </c>
      <c r="AH53" s="119">
        <f t="shared" si="74"/>
        <v>0</v>
      </c>
      <c r="AI53" s="119">
        <f t="shared" si="74"/>
        <v>0</v>
      </c>
      <c r="AJ53" s="119">
        <f t="shared" si="74"/>
        <v>0</v>
      </c>
      <c r="AK53" s="119">
        <f t="shared" si="74"/>
        <v>0</v>
      </c>
      <c r="AL53" s="120">
        <f t="shared" si="74"/>
        <v>0</v>
      </c>
      <c r="AM53" s="111">
        <f t="shared" si="75"/>
        <v>0</v>
      </c>
    </row>
    <row r="54" spans="1:39" x14ac:dyDescent="0.2">
      <c r="A54" s="103" t="s">
        <v>232</v>
      </c>
      <c r="C54" s="285"/>
      <c r="D54" s="107" t="s">
        <v>203</v>
      </c>
      <c r="E54" s="118">
        <f t="shared" ref="E54:N63" si="76">IFERROR(VLOOKUP(CONCATENATE($A$51,"-",$A$48, "-", $D54, "-", E$43, "-", $A$45),model_trn_tours, 7,FALSE),0)</f>
        <v>0</v>
      </c>
      <c r="F54" s="119">
        <f t="shared" si="76"/>
        <v>0</v>
      </c>
      <c r="G54" s="119">
        <f t="shared" si="76"/>
        <v>0</v>
      </c>
      <c r="H54" s="119">
        <f t="shared" si="76"/>
        <v>0</v>
      </c>
      <c r="I54" s="119">
        <f t="shared" si="76"/>
        <v>0</v>
      </c>
      <c r="J54" s="119">
        <f t="shared" si="76"/>
        <v>0</v>
      </c>
      <c r="K54" s="119">
        <f t="shared" si="76"/>
        <v>0</v>
      </c>
      <c r="L54" s="119">
        <f t="shared" si="76"/>
        <v>0</v>
      </c>
      <c r="M54" s="119">
        <f t="shared" si="76"/>
        <v>0</v>
      </c>
      <c r="N54" s="119">
        <f t="shared" si="76"/>
        <v>0</v>
      </c>
      <c r="O54" s="119">
        <f t="shared" ref="O54:X63" si="77">IFERROR(VLOOKUP(CONCATENATE($A$51,"-",$A$48, "-", $D54, "-", O$43, "-", $A$45),model_trn_tours, 7,FALSE),0)</f>
        <v>0</v>
      </c>
      <c r="P54" s="119">
        <f t="shared" si="77"/>
        <v>0</v>
      </c>
      <c r="Q54" s="119">
        <f t="shared" si="77"/>
        <v>0</v>
      </c>
      <c r="R54" s="119">
        <f t="shared" si="77"/>
        <v>0</v>
      </c>
      <c r="S54" s="119">
        <f t="shared" si="77"/>
        <v>0</v>
      </c>
      <c r="T54" s="119">
        <f t="shared" si="77"/>
        <v>0</v>
      </c>
      <c r="U54" s="119">
        <f t="shared" si="77"/>
        <v>0</v>
      </c>
      <c r="V54" s="119">
        <f t="shared" si="77"/>
        <v>0</v>
      </c>
      <c r="W54" s="119">
        <f t="shared" si="77"/>
        <v>0</v>
      </c>
      <c r="X54" s="119">
        <f t="shared" si="77"/>
        <v>0</v>
      </c>
      <c r="Y54" s="119">
        <f t="shared" ref="Y54:AL63" si="78">IFERROR(VLOOKUP(CONCATENATE($A$51,"-",$A$48, "-", $D54, "-", Y$43, "-", $A$45),model_trn_tours, 7,FALSE),0)</f>
        <v>0</v>
      </c>
      <c r="Z54" s="119">
        <f t="shared" si="78"/>
        <v>0</v>
      </c>
      <c r="AA54" s="119">
        <f t="shared" si="78"/>
        <v>0</v>
      </c>
      <c r="AB54" s="119">
        <f t="shared" si="78"/>
        <v>0</v>
      </c>
      <c r="AC54" s="119">
        <f t="shared" si="78"/>
        <v>0</v>
      </c>
      <c r="AD54" s="119">
        <f t="shared" si="78"/>
        <v>0</v>
      </c>
      <c r="AE54" s="119">
        <f t="shared" si="78"/>
        <v>0</v>
      </c>
      <c r="AF54" s="119">
        <f t="shared" si="78"/>
        <v>0</v>
      </c>
      <c r="AG54" s="119">
        <f t="shared" si="78"/>
        <v>0</v>
      </c>
      <c r="AH54" s="119">
        <f t="shared" si="78"/>
        <v>0</v>
      </c>
      <c r="AI54" s="119">
        <f t="shared" si="78"/>
        <v>0</v>
      </c>
      <c r="AJ54" s="119">
        <f t="shared" si="78"/>
        <v>0</v>
      </c>
      <c r="AK54" s="119">
        <f t="shared" si="78"/>
        <v>0</v>
      </c>
      <c r="AL54" s="120">
        <f t="shared" si="78"/>
        <v>0</v>
      </c>
      <c r="AM54" s="111">
        <f t="shared" si="75"/>
        <v>0</v>
      </c>
    </row>
    <row r="55" spans="1:39" x14ac:dyDescent="0.2">
      <c r="A55" s="128">
        <f>AM78</f>
        <v>0</v>
      </c>
      <c r="C55" s="285"/>
      <c r="D55" s="107" t="s">
        <v>204</v>
      </c>
      <c r="E55" s="118">
        <f t="shared" si="76"/>
        <v>0</v>
      </c>
      <c r="F55" s="119">
        <f t="shared" si="76"/>
        <v>0</v>
      </c>
      <c r="G55" s="119">
        <f t="shared" si="76"/>
        <v>0</v>
      </c>
      <c r="H55" s="119">
        <f t="shared" si="76"/>
        <v>0</v>
      </c>
      <c r="I55" s="119">
        <f t="shared" si="76"/>
        <v>0</v>
      </c>
      <c r="J55" s="119">
        <f t="shared" si="76"/>
        <v>0</v>
      </c>
      <c r="K55" s="119">
        <f t="shared" si="76"/>
        <v>0</v>
      </c>
      <c r="L55" s="119">
        <f t="shared" si="76"/>
        <v>0</v>
      </c>
      <c r="M55" s="119">
        <f t="shared" si="76"/>
        <v>0</v>
      </c>
      <c r="N55" s="119">
        <f t="shared" si="76"/>
        <v>0</v>
      </c>
      <c r="O55" s="119">
        <f t="shared" si="77"/>
        <v>0</v>
      </c>
      <c r="P55" s="119">
        <f t="shared" si="77"/>
        <v>0</v>
      </c>
      <c r="Q55" s="119">
        <f t="shared" si="77"/>
        <v>0</v>
      </c>
      <c r="R55" s="119">
        <f t="shared" si="77"/>
        <v>0</v>
      </c>
      <c r="S55" s="119">
        <f t="shared" si="77"/>
        <v>0</v>
      </c>
      <c r="T55" s="119">
        <f t="shared" si="77"/>
        <v>0</v>
      </c>
      <c r="U55" s="119">
        <f t="shared" si="77"/>
        <v>0</v>
      </c>
      <c r="V55" s="119">
        <f t="shared" si="77"/>
        <v>0</v>
      </c>
      <c r="W55" s="119">
        <f t="shared" si="77"/>
        <v>0</v>
      </c>
      <c r="X55" s="119">
        <f t="shared" si="77"/>
        <v>0</v>
      </c>
      <c r="Y55" s="119">
        <f t="shared" si="78"/>
        <v>0</v>
      </c>
      <c r="Z55" s="119">
        <f t="shared" si="78"/>
        <v>0</v>
      </c>
      <c r="AA55" s="119">
        <f t="shared" si="78"/>
        <v>0</v>
      </c>
      <c r="AB55" s="119">
        <f t="shared" si="78"/>
        <v>0</v>
      </c>
      <c r="AC55" s="119">
        <f t="shared" si="78"/>
        <v>0</v>
      </c>
      <c r="AD55" s="119">
        <f t="shared" si="78"/>
        <v>0</v>
      </c>
      <c r="AE55" s="119">
        <f t="shared" si="78"/>
        <v>0</v>
      </c>
      <c r="AF55" s="119">
        <f t="shared" si="78"/>
        <v>0</v>
      </c>
      <c r="AG55" s="119">
        <f t="shared" si="78"/>
        <v>0</v>
      </c>
      <c r="AH55" s="119">
        <f t="shared" si="78"/>
        <v>0</v>
      </c>
      <c r="AI55" s="119">
        <f t="shared" si="78"/>
        <v>0</v>
      </c>
      <c r="AJ55" s="119">
        <f t="shared" si="78"/>
        <v>0</v>
      </c>
      <c r="AK55" s="119">
        <f t="shared" si="78"/>
        <v>0</v>
      </c>
      <c r="AL55" s="120">
        <f t="shared" si="78"/>
        <v>0</v>
      </c>
      <c r="AM55" s="111">
        <f t="shared" si="75"/>
        <v>0</v>
      </c>
    </row>
    <row r="56" spans="1:39" x14ac:dyDescent="0.2">
      <c r="C56" s="285"/>
      <c r="D56" s="107" t="s">
        <v>205</v>
      </c>
      <c r="E56" s="118">
        <f t="shared" si="76"/>
        <v>0</v>
      </c>
      <c r="F56" s="119">
        <f t="shared" si="76"/>
        <v>0</v>
      </c>
      <c r="G56" s="119">
        <f t="shared" si="76"/>
        <v>0</v>
      </c>
      <c r="H56" s="119">
        <f t="shared" si="76"/>
        <v>0</v>
      </c>
      <c r="I56" s="119">
        <f t="shared" si="76"/>
        <v>0</v>
      </c>
      <c r="J56" s="119">
        <f t="shared" si="76"/>
        <v>0</v>
      </c>
      <c r="K56" s="119">
        <f t="shared" si="76"/>
        <v>0</v>
      </c>
      <c r="L56" s="119">
        <f t="shared" si="76"/>
        <v>0</v>
      </c>
      <c r="M56" s="119">
        <f t="shared" si="76"/>
        <v>0</v>
      </c>
      <c r="N56" s="119">
        <f t="shared" si="76"/>
        <v>0</v>
      </c>
      <c r="O56" s="119">
        <f t="shared" si="77"/>
        <v>0</v>
      </c>
      <c r="P56" s="119">
        <f t="shared" si="77"/>
        <v>0</v>
      </c>
      <c r="Q56" s="119">
        <f t="shared" si="77"/>
        <v>0</v>
      </c>
      <c r="R56" s="119">
        <f t="shared" si="77"/>
        <v>0</v>
      </c>
      <c r="S56" s="119">
        <f t="shared" si="77"/>
        <v>0</v>
      </c>
      <c r="T56" s="119">
        <f t="shared" si="77"/>
        <v>0</v>
      </c>
      <c r="U56" s="119">
        <f t="shared" si="77"/>
        <v>0</v>
      </c>
      <c r="V56" s="119">
        <f t="shared" si="77"/>
        <v>0</v>
      </c>
      <c r="W56" s="119">
        <f t="shared" si="77"/>
        <v>0</v>
      </c>
      <c r="X56" s="119">
        <f t="shared" si="77"/>
        <v>0</v>
      </c>
      <c r="Y56" s="119">
        <f t="shared" si="78"/>
        <v>0</v>
      </c>
      <c r="Z56" s="119">
        <f t="shared" si="78"/>
        <v>0</v>
      </c>
      <c r="AA56" s="119">
        <f t="shared" si="78"/>
        <v>0</v>
      </c>
      <c r="AB56" s="119">
        <f t="shared" si="78"/>
        <v>0</v>
      </c>
      <c r="AC56" s="119">
        <f t="shared" si="78"/>
        <v>0</v>
      </c>
      <c r="AD56" s="119">
        <f t="shared" si="78"/>
        <v>0</v>
      </c>
      <c r="AE56" s="119">
        <f t="shared" si="78"/>
        <v>0</v>
      </c>
      <c r="AF56" s="119">
        <f t="shared" si="78"/>
        <v>0</v>
      </c>
      <c r="AG56" s="119">
        <f t="shared" si="78"/>
        <v>0</v>
      </c>
      <c r="AH56" s="119">
        <f t="shared" si="78"/>
        <v>0</v>
      </c>
      <c r="AI56" s="119">
        <f t="shared" si="78"/>
        <v>0</v>
      </c>
      <c r="AJ56" s="119">
        <f t="shared" si="78"/>
        <v>0</v>
      </c>
      <c r="AK56" s="119">
        <f t="shared" si="78"/>
        <v>0</v>
      </c>
      <c r="AL56" s="120">
        <f t="shared" si="78"/>
        <v>0</v>
      </c>
      <c r="AM56" s="111">
        <f t="shared" si="75"/>
        <v>0</v>
      </c>
    </row>
    <row r="57" spans="1:39" x14ac:dyDescent="0.2">
      <c r="C57" s="285"/>
      <c r="D57" s="107" t="s">
        <v>206</v>
      </c>
      <c r="E57" s="118">
        <f t="shared" si="76"/>
        <v>0</v>
      </c>
      <c r="F57" s="119">
        <f t="shared" si="76"/>
        <v>0</v>
      </c>
      <c r="G57" s="119">
        <f t="shared" si="76"/>
        <v>0</v>
      </c>
      <c r="H57" s="119">
        <f t="shared" si="76"/>
        <v>0</v>
      </c>
      <c r="I57" s="119">
        <f t="shared" si="76"/>
        <v>0</v>
      </c>
      <c r="J57" s="119">
        <f t="shared" si="76"/>
        <v>0</v>
      </c>
      <c r="K57" s="119">
        <f t="shared" si="76"/>
        <v>0</v>
      </c>
      <c r="L57" s="119">
        <f t="shared" si="76"/>
        <v>0</v>
      </c>
      <c r="M57" s="119">
        <f t="shared" si="76"/>
        <v>0</v>
      </c>
      <c r="N57" s="119">
        <f t="shared" si="76"/>
        <v>0</v>
      </c>
      <c r="O57" s="119">
        <f t="shared" si="77"/>
        <v>0</v>
      </c>
      <c r="P57" s="119">
        <f t="shared" si="77"/>
        <v>0</v>
      </c>
      <c r="Q57" s="119">
        <f t="shared" si="77"/>
        <v>0</v>
      </c>
      <c r="R57" s="119">
        <f t="shared" si="77"/>
        <v>0</v>
      </c>
      <c r="S57" s="119">
        <f t="shared" si="77"/>
        <v>0</v>
      </c>
      <c r="T57" s="119">
        <f t="shared" si="77"/>
        <v>0</v>
      </c>
      <c r="U57" s="119">
        <f t="shared" si="77"/>
        <v>0</v>
      </c>
      <c r="V57" s="119">
        <f t="shared" si="77"/>
        <v>0</v>
      </c>
      <c r="W57" s="119">
        <f t="shared" si="77"/>
        <v>0</v>
      </c>
      <c r="X57" s="119">
        <f t="shared" si="77"/>
        <v>0</v>
      </c>
      <c r="Y57" s="119">
        <f t="shared" si="78"/>
        <v>0</v>
      </c>
      <c r="Z57" s="119">
        <f t="shared" si="78"/>
        <v>0</v>
      </c>
      <c r="AA57" s="119">
        <f t="shared" si="78"/>
        <v>0</v>
      </c>
      <c r="AB57" s="119">
        <f t="shared" si="78"/>
        <v>0</v>
      </c>
      <c r="AC57" s="119">
        <f t="shared" si="78"/>
        <v>0</v>
      </c>
      <c r="AD57" s="119">
        <f t="shared" si="78"/>
        <v>0</v>
      </c>
      <c r="AE57" s="119">
        <f t="shared" si="78"/>
        <v>0</v>
      </c>
      <c r="AF57" s="119">
        <f t="shared" si="78"/>
        <v>0</v>
      </c>
      <c r="AG57" s="119">
        <f t="shared" si="78"/>
        <v>0</v>
      </c>
      <c r="AH57" s="119">
        <f t="shared" si="78"/>
        <v>0</v>
      </c>
      <c r="AI57" s="119">
        <f t="shared" si="78"/>
        <v>0</v>
      </c>
      <c r="AJ57" s="119">
        <f t="shared" si="78"/>
        <v>0</v>
      </c>
      <c r="AK57" s="119">
        <f t="shared" si="78"/>
        <v>0</v>
      </c>
      <c r="AL57" s="120">
        <f t="shared" si="78"/>
        <v>0</v>
      </c>
      <c r="AM57" s="111">
        <f t="shared" si="75"/>
        <v>0</v>
      </c>
    </row>
    <row r="58" spans="1:39" x14ac:dyDescent="0.2">
      <c r="C58" s="285"/>
      <c r="D58" s="107" t="s">
        <v>207</v>
      </c>
      <c r="E58" s="118">
        <f t="shared" si="76"/>
        <v>0</v>
      </c>
      <c r="F58" s="119">
        <f t="shared" si="76"/>
        <v>0</v>
      </c>
      <c r="G58" s="119">
        <f t="shared" si="76"/>
        <v>0</v>
      </c>
      <c r="H58" s="119">
        <f t="shared" si="76"/>
        <v>0</v>
      </c>
      <c r="I58" s="119">
        <f t="shared" si="76"/>
        <v>0</v>
      </c>
      <c r="J58" s="119">
        <f t="shared" si="76"/>
        <v>0</v>
      </c>
      <c r="K58" s="119">
        <f t="shared" si="76"/>
        <v>0</v>
      </c>
      <c r="L58" s="119">
        <f t="shared" si="76"/>
        <v>0</v>
      </c>
      <c r="M58" s="119">
        <f t="shared" si="76"/>
        <v>0</v>
      </c>
      <c r="N58" s="119">
        <f t="shared" si="76"/>
        <v>0</v>
      </c>
      <c r="O58" s="119">
        <f t="shared" si="77"/>
        <v>0</v>
      </c>
      <c r="P58" s="119">
        <f t="shared" si="77"/>
        <v>0</v>
      </c>
      <c r="Q58" s="119">
        <f t="shared" si="77"/>
        <v>0</v>
      </c>
      <c r="R58" s="119">
        <f t="shared" si="77"/>
        <v>0</v>
      </c>
      <c r="S58" s="119">
        <f t="shared" si="77"/>
        <v>0</v>
      </c>
      <c r="T58" s="119">
        <f t="shared" si="77"/>
        <v>0</v>
      </c>
      <c r="U58" s="119">
        <f t="shared" si="77"/>
        <v>0</v>
      </c>
      <c r="V58" s="119">
        <f t="shared" si="77"/>
        <v>0</v>
      </c>
      <c r="W58" s="119">
        <f t="shared" si="77"/>
        <v>0</v>
      </c>
      <c r="X58" s="119">
        <f t="shared" si="77"/>
        <v>0</v>
      </c>
      <c r="Y58" s="119">
        <f t="shared" si="78"/>
        <v>0</v>
      </c>
      <c r="Z58" s="119">
        <f t="shared" si="78"/>
        <v>0</v>
      </c>
      <c r="AA58" s="119">
        <f t="shared" si="78"/>
        <v>0</v>
      </c>
      <c r="AB58" s="119">
        <f t="shared" si="78"/>
        <v>0</v>
      </c>
      <c r="AC58" s="119">
        <f t="shared" si="78"/>
        <v>0</v>
      </c>
      <c r="AD58" s="119">
        <f t="shared" si="78"/>
        <v>0</v>
      </c>
      <c r="AE58" s="119">
        <f t="shared" si="78"/>
        <v>0</v>
      </c>
      <c r="AF58" s="119">
        <f t="shared" si="78"/>
        <v>0</v>
      </c>
      <c r="AG58" s="119">
        <f t="shared" si="78"/>
        <v>0</v>
      </c>
      <c r="AH58" s="119">
        <f t="shared" si="78"/>
        <v>0</v>
      </c>
      <c r="AI58" s="119">
        <f t="shared" si="78"/>
        <v>0</v>
      </c>
      <c r="AJ58" s="119">
        <f t="shared" si="78"/>
        <v>0</v>
      </c>
      <c r="AK58" s="119">
        <f t="shared" si="78"/>
        <v>0</v>
      </c>
      <c r="AL58" s="120">
        <f t="shared" si="78"/>
        <v>0</v>
      </c>
      <c r="AM58" s="111">
        <f t="shared" si="75"/>
        <v>0</v>
      </c>
    </row>
    <row r="59" spans="1:39" x14ac:dyDescent="0.2">
      <c r="C59" s="285"/>
      <c r="D59" s="107" t="s">
        <v>208</v>
      </c>
      <c r="E59" s="118">
        <f t="shared" si="76"/>
        <v>0</v>
      </c>
      <c r="F59" s="119">
        <f t="shared" si="76"/>
        <v>0</v>
      </c>
      <c r="G59" s="119">
        <f t="shared" si="76"/>
        <v>0</v>
      </c>
      <c r="H59" s="119">
        <f t="shared" si="76"/>
        <v>0</v>
      </c>
      <c r="I59" s="119">
        <f t="shared" si="76"/>
        <v>0</v>
      </c>
      <c r="J59" s="119">
        <f t="shared" si="76"/>
        <v>0</v>
      </c>
      <c r="K59" s="119">
        <f t="shared" si="76"/>
        <v>0</v>
      </c>
      <c r="L59" s="119">
        <f t="shared" si="76"/>
        <v>0</v>
      </c>
      <c r="M59" s="119">
        <f t="shared" si="76"/>
        <v>0</v>
      </c>
      <c r="N59" s="119">
        <f t="shared" si="76"/>
        <v>0</v>
      </c>
      <c r="O59" s="119">
        <f t="shared" si="77"/>
        <v>0</v>
      </c>
      <c r="P59" s="119">
        <f t="shared" si="77"/>
        <v>0</v>
      </c>
      <c r="Q59" s="119">
        <f t="shared" si="77"/>
        <v>0</v>
      </c>
      <c r="R59" s="119">
        <f t="shared" si="77"/>
        <v>0</v>
      </c>
      <c r="S59" s="119">
        <f t="shared" si="77"/>
        <v>0</v>
      </c>
      <c r="T59" s="119">
        <f t="shared" si="77"/>
        <v>0</v>
      </c>
      <c r="U59" s="119">
        <f t="shared" si="77"/>
        <v>0</v>
      </c>
      <c r="V59" s="119">
        <f t="shared" si="77"/>
        <v>0</v>
      </c>
      <c r="W59" s="119">
        <f t="shared" si="77"/>
        <v>0</v>
      </c>
      <c r="X59" s="119">
        <f t="shared" si="77"/>
        <v>0</v>
      </c>
      <c r="Y59" s="119">
        <f t="shared" si="78"/>
        <v>0</v>
      </c>
      <c r="Z59" s="119">
        <f t="shared" si="78"/>
        <v>0</v>
      </c>
      <c r="AA59" s="119">
        <f t="shared" si="78"/>
        <v>0</v>
      </c>
      <c r="AB59" s="119">
        <f t="shared" si="78"/>
        <v>0</v>
      </c>
      <c r="AC59" s="119">
        <f t="shared" si="78"/>
        <v>0</v>
      </c>
      <c r="AD59" s="119">
        <f t="shared" si="78"/>
        <v>0</v>
      </c>
      <c r="AE59" s="119">
        <f t="shared" si="78"/>
        <v>0</v>
      </c>
      <c r="AF59" s="119">
        <f t="shared" si="78"/>
        <v>0</v>
      </c>
      <c r="AG59" s="119">
        <f t="shared" si="78"/>
        <v>0</v>
      </c>
      <c r="AH59" s="119">
        <f t="shared" si="78"/>
        <v>0</v>
      </c>
      <c r="AI59" s="119">
        <f t="shared" si="78"/>
        <v>0</v>
      </c>
      <c r="AJ59" s="119">
        <f t="shared" si="78"/>
        <v>0</v>
      </c>
      <c r="AK59" s="119">
        <f t="shared" si="78"/>
        <v>0</v>
      </c>
      <c r="AL59" s="120">
        <f t="shared" si="78"/>
        <v>0</v>
      </c>
      <c r="AM59" s="111">
        <f t="shared" si="75"/>
        <v>0</v>
      </c>
    </row>
    <row r="60" spans="1:39" x14ac:dyDescent="0.2">
      <c r="C60" s="285"/>
      <c r="D60" s="107" t="s">
        <v>209</v>
      </c>
      <c r="E60" s="118">
        <f t="shared" si="76"/>
        <v>0</v>
      </c>
      <c r="F60" s="119">
        <f t="shared" si="76"/>
        <v>0</v>
      </c>
      <c r="G60" s="119">
        <f t="shared" si="76"/>
        <v>0</v>
      </c>
      <c r="H60" s="119">
        <f t="shared" si="76"/>
        <v>0</v>
      </c>
      <c r="I60" s="119">
        <f t="shared" si="76"/>
        <v>0</v>
      </c>
      <c r="J60" s="119">
        <f t="shared" si="76"/>
        <v>0</v>
      </c>
      <c r="K60" s="119">
        <f t="shared" si="76"/>
        <v>0</v>
      </c>
      <c r="L60" s="119">
        <f t="shared" si="76"/>
        <v>0</v>
      </c>
      <c r="M60" s="119">
        <f t="shared" si="76"/>
        <v>0</v>
      </c>
      <c r="N60" s="119">
        <f t="shared" si="76"/>
        <v>0</v>
      </c>
      <c r="O60" s="119">
        <f t="shared" si="77"/>
        <v>0</v>
      </c>
      <c r="P60" s="119">
        <f t="shared" si="77"/>
        <v>0</v>
      </c>
      <c r="Q60" s="119">
        <f t="shared" si="77"/>
        <v>0</v>
      </c>
      <c r="R60" s="119">
        <f t="shared" si="77"/>
        <v>0</v>
      </c>
      <c r="S60" s="119">
        <f t="shared" si="77"/>
        <v>0</v>
      </c>
      <c r="T60" s="119">
        <f t="shared" si="77"/>
        <v>0</v>
      </c>
      <c r="U60" s="119">
        <f t="shared" si="77"/>
        <v>0</v>
      </c>
      <c r="V60" s="119">
        <f t="shared" si="77"/>
        <v>0</v>
      </c>
      <c r="W60" s="119">
        <f t="shared" si="77"/>
        <v>0</v>
      </c>
      <c r="X60" s="119">
        <f t="shared" si="77"/>
        <v>0</v>
      </c>
      <c r="Y60" s="119">
        <f t="shared" si="78"/>
        <v>0</v>
      </c>
      <c r="Z60" s="119">
        <f t="shared" si="78"/>
        <v>0</v>
      </c>
      <c r="AA60" s="119">
        <f t="shared" si="78"/>
        <v>0</v>
      </c>
      <c r="AB60" s="119">
        <f t="shared" si="78"/>
        <v>0</v>
      </c>
      <c r="AC60" s="119">
        <f t="shared" si="78"/>
        <v>0</v>
      </c>
      <c r="AD60" s="119">
        <f t="shared" si="78"/>
        <v>0</v>
      </c>
      <c r="AE60" s="119">
        <f t="shared" si="78"/>
        <v>0</v>
      </c>
      <c r="AF60" s="119">
        <f t="shared" si="78"/>
        <v>0</v>
      </c>
      <c r="AG60" s="119">
        <f t="shared" si="78"/>
        <v>0</v>
      </c>
      <c r="AH60" s="119">
        <f t="shared" si="78"/>
        <v>0</v>
      </c>
      <c r="AI60" s="119">
        <f t="shared" si="78"/>
        <v>0</v>
      </c>
      <c r="AJ60" s="119">
        <f t="shared" si="78"/>
        <v>0</v>
      </c>
      <c r="AK60" s="119">
        <f t="shared" si="78"/>
        <v>0</v>
      </c>
      <c r="AL60" s="120">
        <f t="shared" si="78"/>
        <v>0</v>
      </c>
      <c r="AM60" s="111">
        <f t="shared" si="75"/>
        <v>0</v>
      </c>
    </row>
    <row r="61" spans="1:39" x14ac:dyDescent="0.2">
      <c r="C61" s="285"/>
      <c r="D61" s="107" t="s">
        <v>210</v>
      </c>
      <c r="E61" s="118">
        <f t="shared" si="76"/>
        <v>0</v>
      </c>
      <c r="F61" s="119">
        <f t="shared" si="76"/>
        <v>0</v>
      </c>
      <c r="G61" s="119">
        <f t="shared" si="76"/>
        <v>0</v>
      </c>
      <c r="H61" s="119">
        <f t="shared" si="76"/>
        <v>0</v>
      </c>
      <c r="I61" s="119">
        <f t="shared" si="76"/>
        <v>0</v>
      </c>
      <c r="J61" s="119">
        <f t="shared" si="76"/>
        <v>0</v>
      </c>
      <c r="K61" s="119">
        <f t="shared" si="76"/>
        <v>0</v>
      </c>
      <c r="L61" s="119">
        <f t="shared" si="76"/>
        <v>0</v>
      </c>
      <c r="M61" s="119">
        <f t="shared" si="76"/>
        <v>0</v>
      </c>
      <c r="N61" s="119">
        <f t="shared" si="76"/>
        <v>0</v>
      </c>
      <c r="O61" s="119">
        <f t="shared" si="77"/>
        <v>0</v>
      </c>
      <c r="P61" s="119">
        <f t="shared" si="77"/>
        <v>0</v>
      </c>
      <c r="Q61" s="119">
        <f t="shared" si="77"/>
        <v>0</v>
      </c>
      <c r="R61" s="119">
        <f t="shared" si="77"/>
        <v>0</v>
      </c>
      <c r="S61" s="119">
        <f t="shared" si="77"/>
        <v>0</v>
      </c>
      <c r="T61" s="119">
        <f t="shared" si="77"/>
        <v>0</v>
      </c>
      <c r="U61" s="119">
        <f t="shared" si="77"/>
        <v>0</v>
      </c>
      <c r="V61" s="119">
        <f t="shared" si="77"/>
        <v>0</v>
      </c>
      <c r="W61" s="119">
        <f t="shared" si="77"/>
        <v>0</v>
      </c>
      <c r="X61" s="119">
        <f t="shared" si="77"/>
        <v>0</v>
      </c>
      <c r="Y61" s="119">
        <f t="shared" si="78"/>
        <v>0</v>
      </c>
      <c r="Z61" s="119">
        <f t="shared" si="78"/>
        <v>0</v>
      </c>
      <c r="AA61" s="119">
        <f t="shared" si="78"/>
        <v>0</v>
      </c>
      <c r="AB61" s="119">
        <f t="shared" si="78"/>
        <v>0</v>
      </c>
      <c r="AC61" s="119">
        <f t="shared" si="78"/>
        <v>0</v>
      </c>
      <c r="AD61" s="119">
        <f t="shared" si="78"/>
        <v>0</v>
      </c>
      <c r="AE61" s="119">
        <f t="shared" si="78"/>
        <v>0</v>
      </c>
      <c r="AF61" s="119">
        <f t="shared" si="78"/>
        <v>0</v>
      </c>
      <c r="AG61" s="119">
        <f t="shared" si="78"/>
        <v>0</v>
      </c>
      <c r="AH61" s="119">
        <f t="shared" si="78"/>
        <v>0</v>
      </c>
      <c r="AI61" s="119">
        <f t="shared" si="78"/>
        <v>0</v>
      </c>
      <c r="AJ61" s="119">
        <f t="shared" si="78"/>
        <v>0</v>
      </c>
      <c r="AK61" s="119">
        <f t="shared" si="78"/>
        <v>0</v>
      </c>
      <c r="AL61" s="120">
        <f t="shared" si="78"/>
        <v>0</v>
      </c>
      <c r="AM61" s="111">
        <f t="shared" si="75"/>
        <v>0</v>
      </c>
    </row>
    <row r="62" spans="1:39" x14ac:dyDescent="0.2">
      <c r="C62" s="285"/>
      <c r="D62" s="107" t="s">
        <v>197</v>
      </c>
      <c r="E62" s="118">
        <f t="shared" si="76"/>
        <v>0</v>
      </c>
      <c r="F62" s="119">
        <f t="shared" si="76"/>
        <v>0</v>
      </c>
      <c r="G62" s="119">
        <f t="shared" si="76"/>
        <v>0</v>
      </c>
      <c r="H62" s="119">
        <f t="shared" si="76"/>
        <v>0</v>
      </c>
      <c r="I62" s="119">
        <f t="shared" si="76"/>
        <v>0</v>
      </c>
      <c r="J62" s="119">
        <f t="shared" si="76"/>
        <v>0</v>
      </c>
      <c r="K62" s="119">
        <f t="shared" si="76"/>
        <v>0</v>
      </c>
      <c r="L62" s="119">
        <f t="shared" si="76"/>
        <v>0</v>
      </c>
      <c r="M62" s="119">
        <f t="shared" si="76"/>
        <v>0</v>
      </c>
      <c r="N62" s="119">
        <f t="shared" si="76"/>
        <v>0</v>
      </c>
      <c r="O62" s="119">
        <f t="shared" si="77"/>
        <v>0</v>
      </c>
      <c r="P62" s="119">
        <f t="shared" si="77"/>
        <v>0</v>
      </c>
      <c r="Q62" s="119">
        <f t="shared" si="77"/>
        <v>0</v>
      </c>
      <c r="R62" s="119">
        <f t="shared" si="77"/>
        <v>0</v>
      </c>
      <c r="S62" s="119">
        <f t="shared" si="77"/>
        <v>0</v>
      </c>
      <c r="T62" s="119">
        <f t="shared" si="77"/>
        <v>0</v>
      </c>
      <c r="U62" s="119">
        <f t="shared" si="77"/>
        <v>0</v>
      </c>
      <c r="V62" s="119">
        <f t="shared" si="77"/>
        <v>0</v>
      </c>
      <c r="W62" s="119">
        <f t="shared" si="77"/>
        <v>0</v>
      </c>
      <c r="X62" s="119">
        <f t="shared" si="77"/>
        <v>0</v>
      </c>
      <c r="Y62" s="119">
        <f t="shared" si="78"/>
        <v>0</v>
      </c>
      <c r="Z62" s="119">
        <f t="shared" si="78"/>
        <v>0</v>
      </c>
      <c r="AA62" s="119">
        <f t="shared" si="78"/>
        <v>0</v>
      </c>
      <c r="AB62" s="119">
        <f t="shared" si="78"/>
        <v>0</v>
      </c>
      <c r="AC62" s="119">
        <f t="shared" si="78"/>
        <v>0</v>
      </c>
      <c r="AD62" s="119">
        <f t="shared" si="78"/>
        <v>0</v>
      </c>
      <c r="AE62" s="119">
        <f t="shared" si="78"/>
        <v>0</v>
      </c>
      <c r="AF62" s="119">
        <f t="shared" si="78"/>
        <v>0</v>
      </c>
      <c r="AG62" s="119">
        <f t="shared" si="78"/>
        <v>0</v>
      </c>
      <c r="AH62" s="119">
        <f t="shared" si="78"/>
        <v>0</v>
      </c>
      <c r="AI62" s="119">
        <f t="shared" si="78"/>
        <v>0</v>
      </c>
      <c r="AJ62" s="119">
        <f t="shared" si="78"/>
        <v>0</v>
      </c>
      <c r="AK62" s="119">
        <f t="shared" si="78"/>
        <v>0</v>
      </c>
      <c r="AL62" s="120">
        <f t="shared" si="78"/>
        <v>0</v>
      </c>
      <c r="AM62" s="111">
        <f t="shared" si="75"/>
        <v>0</v>
      </c>
    </row>
    <row r="63" spans="1:39" x14ac:dyDescent="0.2">
      <c r="C63" s="285"/>
      <c r="D63" s="107" t="s">
        <v>212</v>
      </c>
      <c r="E63" s="118">
        <f t="shared" si="76"/>
        <v>0</v>
      </c>
      <c r="F63" s="119">
        <f t="shared" si="76"/>
        <v>0</v>
      </c>
      <c r="G63" s="119">
        <f t="shared" si="76"/>
        <v>0</v>
      </c>
      <c r="H63" s="119">
        <f t="shared" si="76"/>
        <v>0</v>
      </c>
      <c r="I63" s="119">
        <f t="shared" si="76"/>
        <v>0</v>
      </c>
      <c r="J63" s="119">
        <f t="shared" si="76"/>
        <v>0</v>
      </c>
      <c r="K63" s="119">
        <f t="shared" si="76"/>
        <v>0</v>
      </c>
      <c r="L63" s="119">
        <f t="shared" si="76"/>
        <v>0</v>
      </c>
      <c r="M63" s="119">
        <f t="shared" si="76"/>
        <v>0</v>
      </c>
      <c r="N63" s="119">
        <f t="shared" si="76"/>
        <v>0</v>
      </c>
      <c r="O63" s="119">
        <f t="shared" si="77"/>
        <v>0</v>
      </c>
      <c r="P63" s="119">
        <f t="shared" si="77"/>
        <v>0</v>
      </c>
      <c r="Q63" s="119">
        <f t="shared" si="77"/>
        <v>0</v>
      </c>
      <c r="R63" s="119">
        <f t="shared" si="77"/>
        <v>0</v>
      </c>
      <c r="S63" s="119">
        <f t="shared" si="77"/>
        <v>0</v>
      </c>
      <c r="T63" s="119">
        <f t="shared" si="77"/>
        <v>0</v>
      </c>
      <c r="U63" s="119">
        <f t="shared" si="77"/>
        <v>0</v>
      </c>
      <c r="V63" s="119">
        <f t="shared" si="77"/>
        <v>0</v>
      </c>
      <c r="W63" s="119">
        <f t="shared" si="77"/>
        <v>0</v>
      </c>
      <c r="X63" s="119">
        <f t="shared" si="77"/>
        <v>0</v>
      </c>
      <c r="Y63" s="119">
        <f t="shared" si="78"/>
        <v>0</v>
      </c>
      <c r="Z63" s="119">
        <f t="shared" si="78"/>
        <v>0</v>
      </c>
      <c r="AA63" s="119">
        <f t="shared" si="78"/>
        <v>0</v>
      </c>
      <c r="AB63" s="119">
        <f t="shared" si="78"/>
        <v>0</v>
      </c>
      <c r="AC63" s="119">
        <f t="shared" si="78"/>
        <v>0</v>
      </c>
      <c r="AD63" s="119">
        <f t="shared" si="78"/>
        <v>0</v>
      </c>
      <c r="AE63" s="119">
        <f t="shared" si="78"/>
        <v>0</v>
      </c>
      <c r="AF63" s="119">
        <f t="shared" si="78"/>
        <v>0</v>
      </c>
      <c r="AG63" s="119">
        <f t="shared" si="78"/>
        <v>0</v>
      </c>
      <c r="AH63" s="119">
        <f t="shared" si="78"/>
        <v>0</v>
      </c>
      <c r="AI63" s="119">
        <f t="shared" si="78"/>
        <v>0</v>
      </c>
      <c r="AJ63" s="119">
        <f t="shared" si="78"/>
        <v>0</v>
      </c>
      <c r="AK63" s="119">
        <f t="shared" si="78"/>
        <v>0</v>
      </c>
      <c r="AL63" s="120">
        <f t="shared" si="78"/>
        <v>0</v>
      </c>
      <c r="AM63" s="111">
        <f t="shared" si="75"/>
        <v>0</v>
      </c>
    </row>
    <row r="64" spans="1:39" x14ac:dyDescent="0.2">
      <c r="C64" s="285"/>
      <c r="D64" s="107" t="s">
        <v>211</v>
      </c>
      <c r="E64" s="118">
        <f t="shared" ref="E64:N77" si="79">IFERROR(VLOOKUP(CONCATENATE($A$51,"-",$A$48, "-", $D64, "-", E$43, "-", $A$45),model_trn_tours, 7,FALSE),0)</f>
        <v>0</v>
      </c>
      <c r="F64" s="119">
        <f t="shared" si="79"/>
        <v>0</v>
      </c>
      <c r="G64" s="119">
        <f t="shared" si="79"/>
        <v>0</v>
      </c>
      <c r="H64" s="119">
        <f t="shared" si="79"/>
        <v>0</v>
      </c>
      <c r="I64" s="119">
        <f t="shared" si="79"/>
        <v>0</v>
      </c>
      <c r="J64" s="119">
        <f t="shared" si="79"/>
        <v>0</v>
      </c>
      <c r="K64" s="119">
        <f t="shared" si="79"/>
        <v>0</v>
      </c>
      <c r="L64" s="119">
        <f t="shared" si="79"/>
        <v>0</v>
      </c>
      <c r="M64" s="119">
        <f t="shared" si="79"/>
        <v>0</v>
      </c>
      <c r="N64" s="119">
        <f t="shared" si="79"/>
        <v>0</v>
      </c>
      <c r="O64" s="119">
        <f t="shared" ref="O64:X77" si="80">IFERROR(VLOOKUP(CONCATENATE($A$51,"-",$A$48, "-", $D64, "-", O$43, "-", $A$45),model_trn_tours, 7,FALSE),0)</f>
        <v>0</v>
      </c>
      <c r="P64" s="119">
        <f t="shared" si="80"/>
        <v>0</v>
      </c>
      <c r="Q64" s="119">
        <f t="shared" si="80"/>
        <v>0</v>
      </c>
      <c r="R64" s="119">
        <f t="shared" si="80"/>
        <v>0</v>
      </c>
      <c r="S64" s="119">
        <f t="shared" si="80"/>
        <v>0</v>
      </c>
      <c r="T64" s="119">
        <f t="shared" si="80"/>
        <v>0</v>
      </c>
      <c r="U64" s="119">
        <f t="shared" si="80"/>
        <v>0</v>
      </c>
      <c r="V64" s="119">
        <f t="shared" si="80"/>
        <v>0</v>
      </c>
      <c r="W64" s="119">
        <f t="shared" si="80"/>
        <v>0</v>
      </c>
      <c r="X64" s="119">
        <f t="shared" si="80"/>
        <v>0</v>
      </c>
      <c r="Y64" s="119">
        <f t="shared" ref="Y64:AL77" si="81">IFERROR(VLOOKUP(CONCATENATE($A$51,"-",$A$48, "-", $D64, "-", Y$43, "-", $A$45),model_trn_tours, 7,FALSE),0)</f>
        <v>0</v>
      </c>
      <c r="Z64" s="119">
        <f t="shared" si="81"/>
        <v>0</v>
      </c>
      <c r="AA64" s="119">
        <f t="shared" si="81"/>
        <v>0</v>
      </c>
      <c r="AB64" s="119">
        <f t="shared" si="81"/>
        <v>0</v>
      </c>
      <c r="AC64" s="119">
        <f t="shared" si="81"/>
        <v>0</v>
      </c>
      <c r="AD64" s="119">
        <f t="shared" si="81"/>
        <v>0</v>
      </c>
      <c r="AE64" s="119">
        <f t="shared" si="81"/>
        <v>0</v>
      </c>
      <c r="AF64" s="119">
        <f t="shared" si="81"/>
        <v>0</v>
      </c>
      <c r="AG64" s="119">
        <f t="shared" si="81"/>
        <v>0</v>
      </c>
      <c r="AH64" s="119">
        <f t="shared" si="81"/>
        <v>0</v>
      </c>
      <c r="AI64" s="119">
        <f t="shared" si="81"/>
        <v>0</v>
      </c>
      <c r="AJ64" s="119">
        <f t="shared" si="81"/>
        <v>0</v>
      </c>
      <c r="AK64" s="119">
        <f t="shared" si="81"/>
        <v>0</v>
      </c>
      <c r="AL64" s="120">
        <f t="shared" si="81"/>
        <v>0</v>
      </c>
      <c r="AM64" s="111">
        <f t="shared" si="75"/>
        <v>0</v>
      </c>
    </row>
    <row r="65" spans="3:39" x14ac:dyDescent="0.2">
      <c r="C65" s="285"/>
      <c r="D65" s="107" t="s">
        <v>213</v>
      </c>
      <c r="E65" s="118">
        <f t="shared" si="79"/>
        <v>0</v>
      </c>
      <c r="F65" s="119">
        <f t="shared" si="79"/>
        <v>0</v>
      </c>
      <c r="G65" s="119">
        <f t="shared" si="79"/>
        <v>0</v>
      </c>
      <c r="H65" s="119">
        <f t="shared" si="79"/>
        <v>0</v>
      </c>
      <c r="I65" s="119">
        <f t="shared" si="79"/>
        <v>0</v>
      </c>
      <c r="J65" s="119">
        <f t="shared" si="79"/>
        <v>0</v>
      </c>
      <c r="K65" s="119">
        <f t="shared" si="79"/>
        <v>0</v>
      </c>
      <c r="L65" s="119">
        <f t="shared" si="79"/>
        <v>0</v>
      </c>
      <c r="M65" s="119">
        <f t="shared" si="79"/>
        <v>0</v>
      </c>
      <c r="N65" s="119">
        <f t="shared" si="79"/>
        <v>0</v>
      </c>
      <c r="O65" s="119">
        <f t="shared" si="80"/>
        <v>0</v>
      </c>
      <c r="P65" s="119">
        <f t="shared" si="80"/>
        <v>0</v>
      </c>
      <c r="Q65" s="119">
        <f t="shared" si="80"/>
        <v>0</v>
      </c>
      <c r="R65" s="119">
        <f t="shared" si="80"/>
        <v>0</v>
      </c>
      <c r="S65" s="119">
        <f t="shared" si="80"/>
        <v>0</v>
      </c>
      <c r="T65" s="119">
        <f t="shared" si="80"/>
        <v>0</v>
      </c>
      <c r="U65" s="119">
        <f t="shared" si="80"/>
        <v>0</v>
      </c>
      <c r="V65" s="119">
        <f t="shared" si="80"/>
        <v>0</v>
      </c>
      <c r="W65" s="119">
        <f t="shared" si="80"/>
        <v>0</v>
      </c>
      <c r="X65" s="119">
        <f t="shared" si="80"/>
        <v>0</v>
      </c>
      <c r="Y65" s="119">
        <f t="shared" si="81"/>
        <v>0</v>
      </c>
      <c r="Z65" s="119">
        <f t="shared" si="81"/>
        <v>0</v>
      </c>
      <c r="AA65" s="119">
        <f t="shared" si="81"/>
        <v>0</v>
      </c>
      <c r="AB65" s="119">
        <f t="shared" si="81"/>
        <v>0</v>
      </c>
      <c r="AC65" s="119">
        <f t="shared" si="81"/>
        <v>0</v>
      </c>
      <c r="AD65" s="119">
        <f t="shared" si="81"/>
        <v>0</v>
      </c>
      <c r="AE65" s="119">
        <f t="shared" si="81"/>
        <v>0</v>
      </c>
      <c r="AF65" s="119">
        <f t="shared" si="81"/>
        <v>0</v>
      </c>
      <c r="AG65" s="119">
        <f t="shared" si="81"/>
        <v>0</v>
      </c>
      <c r="AH65" s="119">
        <f t="shared" si="81"/>
        <v>0</v>
      </c>
      <c r="AI65" s="119">
        <f t="shared" si="81"/>
        <v>0</v>
      </c>
      <c r="AJ65" s="119">
        <f t="shared" si="81"/>
        <v>0</v>
      </c>
      <c r="AK65" s="119">
        <f t="shared" si="81"/>
        <v>0</v>
      </c>
      <c r="AL65" s="120">
        <f t="shared" si="81"/>
        <v>0</v>
      </c>
      <c r="AM65" s="111">
        <f t="shared" si="75"/>
        <v>0</v>
      </c>
    </row>
    <row r="66" spans="3:39" x14ac:dyDescent="0.2">
      <c r="C66" s="285"/>
      <c r="D66" s="107" t="s">
        <v>214</v>
      </c>
      <c r="E66" s="118">
        <f t="shared" si="79"/>
        <v>0</v>
      </c>
      <c r="F66" s="119">
        <f t="shared" si="79"/>
        <v>0</v>
      </c>
      <c r="G66" s="119">
        <f t="shared" si="79"/>
        <v>0</v>
      </c>
      <c r="H66" s="119">
        <f t="shared" si="79"/>
        <v>0</v>
      </c>
      <c r="I66" s="119">
        <f t="shared" si="79"/>
        <v>0</v>
      </c>
      <c r="J66" s="119">
        <f t="shared" si="79"/>
        <v>0</v>
      </c>
      <c r="K66" s="119">
        <f t="shared" si="79"/>
        <v>0</v>
      </c>
      <c r="L66" s="119">
        <f t="shared" si="79"/>
        <v>0</v>
      </c>
      <c r="M66" s="119">
        <f t="shared" si="79"/>
        <v>0</v>
      </c>
      <c r="N66" s="119">
        <f t="shared" si="79"/>
        <v>0</v>
      </c>
      <c r="O66" s="119">
        <f t="shared" si="80"/>
        <v>0</v>
      </c>
      <c r="P66" s="119">
        <f t="shared" si="80"/>
        <v>0</v>
      </c>
      <c r="Q66" s="119">
        <f t="shared" si="80"/>
        <v>0</v>
      </c>
      <c r="R66" s="119">
        <f t="shared" si="80"/>
        <v>0</v>
      </c>
      <c r="S66" s="119">
        <f t="shared" si="80"/>
        <v>0</v>
      </c>
      <c r="T66" s="119">
        <f t="shared" si="80"/>
        <v>0</v>
      </c>
      <c r="U66" s="119">
        <f t="shared" si="80"/>
        <v>0</v>
      </c>
      <c r="V66" s="119">
        <f t="shared" si="80"/>
        <v>0</v>
      </c>
      <c r="W66" s="119">
        <f t="shared" si="80"/>
        <v>0</v>
      </c>
      <c r="X66" s="119">
        <f t="shared" si="80"/>
        <v>0</v>
      </c>
      <c r="Y66" s="119">
        <f t="shared" si="81"/>
        <v>0</v>
      </c>
      <c r="Z66" s="119">
        <f t="shared" si="81"/>
        <v>0</v>
      </c>
      <c r="AA66" s="119">
        <f t="shared" si="81"/>
        <v>0</v>
      </c>
      <c r="AB66" s="119">
        <f t="shared" si="81"/>
        <v>0</v>
      </c>
      <c r="AC66" s="119">
        <f t="shared" si="81"/>
        <v>0</v>
      </c>
      <c r="AD66" s="119">
        <f t="shared" si="81"/>
        <v>0</v>
      </c>
      <c r="AE66" s="119">
        <f t="shared" si="81"/>
        <v>0</v>
      </c>
      <c r="AF66" s="119">
        <f t="shared" si="81"/>
        <v>0</v>
      </c>
      <c r="AG66" s="119">
        <f t="shared" si="81"/>
        <v>0</v>
      </c>
      <c r="AH66" s="119">
        <f t="shared" si="81"/>
        <v>0</v>
      </c>
      <c r="AI66" s="119">
        <f t="shared" si="81"/>
        <v>0</v>
      </c>
      <c r="AJ66" s="119">
        <f t="shared" si="81"/>
        <v>0</v>
      </c>
      <c r="AK66" s="119">
        <f t="shared" si="81"/>
        <v>0</v>
      </c>
      <c r="AL66" s="120">
        <f t="shared" si="81"/>
        <v>0</v>
      </c>
      <c r="AM66" s="111">
        <f t="shared" si="75"/>
        <v>0</v>
      </c>
    </row>
    <row r="67" spans="3:39" x14ac:dyDescent="0.2">
      <c r="C67" s="285"/>
      <c r="D67" s="107" t="s">
        <v>179</v>
      </c>
      <c r="E67" s="118">
        <f t="shared" si="79"/>
        <v>0</v>
      </c>
      <c r="F67" s="119">
        <f t="shared" si="79"/>
        <v>0</v>
      </c>
      <c r="G67" s="119">
        <f t="shared" si="79"/>
        <v>0</v>
      </c>
      <c r="H67" s="119">
        <f t="shared" si="79"/>
        <v>0</v>
      </c>
      <c r="I67" s="119">
        <f t="shared" si="79"/>
        <v>0</v>
      </c>
      <c r="J67" s="119">
        <f t="shared" si="79"/>
        <v>0</v>
      </c>
      <c r="K67" s="119">
        <f t="shared" si="79"/>
        <v>0</v>
      </c>
      <c r="L67" s="119">
        <f t="shared" si="79"/>
        <v>0</v>
      </c>
      <c r="M67" s="119">
        <f t="shared" si="79"/>
        <v>0</v>
      </c>
      <c r="N67" s="119">
        <f t="shared" si="79"/>
        <v>0</v>
      </c>
      <c r="O67" s="119">
        <f t="shared" si="80"/>
        <v>0</v>
      </c>
      <c r="P67" s="119">
        <f t="shared" si="80"/>
        <v>0</v>
      </c>
      <c r="Q67" s="119">
        <f t="shared" si="80"/>
        <v>0</v>
      </c>
      <c r="R67" s="119">
        <f t="shared" si="80"/>
        <v>0</v>
      </c>
      <c r="S67" s="119">
        <f t="shared" si="80"/>
        <v>0</v>
      </c>
      <c r="T67" s="119">
        <f t="shared" si="80"/>
        <v>0</v>
      </c>
      <c r="U67" s="119">
        <f t="shared" si="80"/>
        <v>0</v>
      </c>
      <c r="V67" s="119">
        <f t="shared" si="80"/>
        <v>0</v>
      </c>
      <c r="W67" s="119">
        <f t="shared" si="80"/>
        <v>0</v>
      </c>
      <c r="X67" s="119">
        <f t="shared" si="80"/>
        <v>0</v>
      </c>
      <c r="Y67" s="119">
        <f t="shared" si="81"/>
        <v>0</v>
      </c>
      <c r="Z67" s="119">
        <f t="shared" si="81"/>
        <v>0</v>
      </c>
      <c r="AA67" s="119">
        <f t="shared" si="81"/>
        <v>0</v>
      </c>
      <c r="AB67" s="119">
        <f t="shared" si="81"/>
        <v>0</v>
      </c>
      <c r="AC67" s="119">
        <f t="shared" si="81"/>
        <v>0</v>
      </c>
      <c r="AD67" s="119">
        <f t="shared" si="81"/>
        <v>0</v>
      </c>
      <c r="AE67" s="119">
        <f t="shared" si="81"/>
        <v>0</v>
      </c>
      <c r="AF67" s="119">
        <f t="shared" si="81"/>
        <v>0</v>
      </c>
      <c r="AG67" s="119">
        <f t="shared" si="81"/>
        <v>0</v>
      </c>
      <c r="AH67" s="119">
        <f t="shared" si="81"/>
        <v>0</v>
      </c>
      <c r="AI67" s="119">
        <f t="shared" si="81"/>
        <v>0</v>
      </c>
      <c r="AJ67" s="119">
        <f t="shared" si="81"/>
        <v>0</v>
      </c>
      <c r="AK67" s="119">
        <f t="shared" si="81"/>
        <v>0</v>
      </c>
      <c r="AL67" s="120">
        <f t="shared" si="81"/>
        <v>0</v>
      </c>
      <c r="AM67" s="111">
        <f t="shared" si="75"/>
        <v>0</v>
      </c>
    </row>
    <row r="68" spans="3:39" x14ac:dyDescent="0.2">
      <c r="C68" s="285"/>
      <c r="D68" s="107" t="s">
        <v>215</v>
      </c>
      <c r="E68" s="118">
        <f t="shared" si="79"/>
        <v>0</v>
      </c>
      <c r="F68" s="119">
        <f t="shared" si="79"/>
        <v>0</v>
      </c>
      <c r="G68" s="119">
        <f t="shared" si="79"/>
        <v>0</v>
      </c>
      <c r="H68" s="119">
        <f t="shared" si="79"/>
        <v>0</v>
      </c>
      <c r="I68" s="119">
        <f t="shared" si="79"/>
        <v>0</v>
      </c>
      <c r="J68" s="119">
        <f t="shared" si="79"/>
        <v>0</v>
      </c>
      <c r="K68" s="119">
        <f t="shared" si="79"/>
        <v>0</v>
      </c>
      <c r="L68" s="119">
        <f t="shared" si="79"/>
        <v>0</v>
      </c>
      <c r="M68" s="119">
        <f t="shared" si="79"/>
        <v>0</v>
      </c>
      <c r="N68" s="119">
        <f t="shared" si="79"/>
        <v>0</v>
      </c>
      <c r="O68" s="119">
        <f t="shared" si="80"/>
        <v>0</v>
      </c>
      <c r="P68" s="119">
        <f t="shared" si="80"/>
        <v>0</v>
      </c>
      <c r="Q68" s="119">
        <f t="shared" si="80"/>
        <v>0</v>
      </c>
      <c r="R68" s="119">
        <f t="shared" si="80"/>
        <v>0</v>
      </c>
      <c r="S68" s="119">
        <f t="shared" si="80"/>
        <v>0</v>
      </c>
      <c r="T68" s="119">
        <f t="shared" si="80"/>
        <v>0</v>
      </c>
      <c r="U68" s="119">
        <f t="shared" si="80"/>
        <v>0</v>
      </c>
      <c r="V68" s="119">
        <f t="shared" si="80"/>
        <v>0</v>
      </c>
      <c r="W68" s="119">
        <f t="shared" si="80"/>
        <v>0</v>
      </c>
      <c r="X68" s="119">
        <f t="shared" si="80"/>
        <v>0</v>
      </c>
      <c r="Y68" s="119">
        <f t="shared" si="81"/>
        <v>0</v>
      </c>
      <c r="Z68" s="119">
        <f t="shared" si="81"/>
        <v>0</v>
      </c>
      <c r="AA68" s="119">
        <f t="shared" si="81"/>
        <v>0</v>
      </c>
      <c r="AB68" s="119">
        <f t="shared" si="81"/>
        <v>0</v>
      </c>
      <c r="AC68" s="119">
        <f t="shared" si="81"/>
        <v>0</v>
      </c>
      <c r="AD68" s="119">
        <f t="shared" si="81"/>
        <v>0</v>
      </c>
      <c r="AE68" s="119">
        <f t="shared" si="81"/>
        <v>0</v>
      </c>
      <c r="AF68" s="119">
        <f t="shared" si="81"/>
        <v>0</v>
      </c>
      <c r="AG68" s="119">
        <f t="shared" si="81"/>
        <v>0</v>
      </c>
      <c r="AH68" s="119">
        <f t="shared" si="81"/>
        <v>0</v>
      </c>
      <c r="AI68" s="119">
        <f t="shared" si="81"/>
        <v>0</v>
      </c>
      <c r="AJ68" s="119">
        <f t="shared" si="81"/>
        <v>0</v>
      </c>
      <c r="AK68" s="119">
        <f t="shared" si="81"/>
        <v>0</v>
      </c>
      <c r="AL68" s="120">
        <f t="shared" si="81"/>
        <v>0</v>
      </c>
      <c r="AM68" s="111">
        <f t="shared" si="75"/>
        <v>0</v>
      </c>
    </row>
    <row r="69" spans="3:39" x14ac:dyDescent="0.2">
      <c r="C69" s="285"/>
      <c r="D69" s="107" t="s">
        <v>216</v>
      </c>
      <c r="E69" s="118">
        <f t="shared" si="79"/>
        <v>0</v>
      </c>
      <c r="F69" s="119">
        <f t="shared" si="79"/>
        <v>0</v>
      </c>
      <c r="G69" s="119">
        <f t="shared" si="79"/>
        <v>0</v>
      </c>
      <c r="H69" s="119">
        <f t="shared" si="79"/>
        <v>0</v>
      </c>
      <c r="I69" s="119">
        <f t="shared" si="79"/>
        <v>0</v>
      </c>
      <c r="J69" s="119">
        <f t="shared" si="79"/>
        <v>0</v>
      </c>
      <c r="K69" s="119">
        <f t="shared" si="79"/>
        <v>0</v>
      </c>
      <c r="L69" s="119">
        <f t="shared" si="79"/>
        <v>0</v>
      </c>
      <c r="M69" s="119">
        <f t="shared" si="79"/>
        <v>0</v>
      </c>
      <c r="N69" s="119">
        <f t="shared" si="79"/>
        <v>0</v>
      </c>
      <c r="O69" s="119">
        <f t="shared" si="80"/>
        <v>0</v>
      </c>
      <c r="P69" s="119">
        <f t="shared" si="80"/>
        <v>0</v>
      </c>
      <c r="Q69" s="119">
        <f t="shared" si="80"/>
        <v>0</v>
      </c>
      <c r="R69" s="119">
        <f t="shared" si="80"/>
        <v>0</v>
      </c>
      <c r="S69" s="119">
        <f t="shared" si="80"/>
        <v>0</v>
      </c>
      <c r="T69" s="119">
        <f t="shared" si="80"/>
        <v>0</v>
      </c>
      <c r="U69" s="119">
        <f t="shared" si="80"/>
        <v>0</v>
      </c>
      <c r="V69" s="119">
        <f t="shared" si="80"/>
        <v>0</v>
      </c>
      <c r="W69" s="119">
        <f t="shared" si="80"/>
        <v>0</v>
      </c>
      <c r="X69" s="119">
        <f t="shared" si="80"/>
        <v>0</v>
      </c>
      <c r="Y69" s="119">
        <f t="shared" si="81"/>
        <v>0</v>
      </c>
      <c r="Z69" s="119">
        <f t="shared" si="81"/>
        <v>0</v>
      </c>
      <c r="AA69" s="119">
        <f t="shared" si="81"/>
        <v>0</v>
      </c>
      <c r="AB69" s="119">
        <f t="shared" si="81"/>
        <v>0</v>
      </c>
      <c r="AC69" s="119">
        <f t="shared" si="81"/>
        <v>0</v>
      </c>
      <c r="AD69" s="119">
        <f t="shared" si="81"/>
        <v>0</v>
      </c>
      <c r="AE69" s="119">
        <f t="shared" si="81"/>
        <v>0</v>
      </c>
      <c r="AF69" s="119">
        <f t="shared" si="81"/>
        <v>0</v>
      </c>
      <c r="AG69" s="119">
        <f t="shared" si="81"/>
        <v>0</v>
      </c>
      <c r="AH69" s="119">
        <f t="shared" si="81"/>
        <v>0</v>
      </c>
      <c r="AI69" s="119">
        <f t="shared" si="81"/>
        <v>0</v>
      </c>
      <c r="AJ69" s="119">
        <f t="shared" si="81"/>
        <v>0</v>
      </c>
      <c r="AK69" s="119">
        <f t="shared" si="81"/>
        <v>0</v>
      </c>
      <c r="AL69" s="120">
        <f t="shared" si="81"/>
        <v>0</v>
      </c>
      <c r="AM69" s="111">
        <f t="shared" si="75"/>
        <v>0</v>
      </c>
    </row>
    <row r="70" spans="3:39" x14ac:dyDescent="0.2">
      <c r="C70" s="285"/>
      <c r="D70" s="107" t="s">
        <v>217</v>
      </c>
      <c r="E70" s="118">
        <f t="shared" si="79"/>
        <v>0</v>
      </c>
      <c r="F70" s="119">
        <f t="shared" si="79"/>
        <v>0</v>
      </c>
      <c r="G70" s="119">
        <f t="shared" si="79"/>
        <v>0</v>
      </c>
      <c r="H70" s="119">
        <f t="shared" si="79"/>
        <v>0</v>
      </c>
      <c r="I70" s="119">
        <f t="shared" si="79"/>
        <v>0</v>
      </c>
      <c r="J70" s="119">
        <f t="shared" si="79"/>
        <v>0</v>
      </c>
      <c r="K70" s="119">
        <f t="shared" si="79"/>
        <v>0</v>
      </c>
      <c r="L70" s="119">
        <f t="shared" si="79"/>
        <v>0</v>
      </c>
      <c r="M70" s="119">
        <f t="shared" si="79"/>
        <v>0</v>
      </c>
      <c r="N70" s="119">
        <f t="shared" si="79"/>
        <v>0</v>
      </c>
      <c r="O70" s="119">
        <f t="shared" si="80"/>
        <v>0</v>
      </c>
      <c r="P70" s="119">
        <f t="shared" si="80"/>
        <v>0</v>
      </c>
      <c r="Q70" s="119">
        <f t="shared" si="80"/>
        <v>0</v>
      </c>
      <c r="R70" s="119">
        <f t="shared" si="80"/>
        <v>0</v>
      </c>
      <c r="S70" s="119">
        <f t="shared" si="80"/>
        <v>0</v>
      </c>
      <c r="T70" s="119">
        <f t="shared" si="80"/>
        <v>0</v>
      </c>
      <c r="U70" s="119">
        <f t="shared" si="80"/>
        <v>0</v>
      </c>
      <c r="V70" s="119">
        <f t="shared" si="80"/>
        <v>0</v>
      </c>
      <c r="W70" s="119">
        <f t="shared" si="80"/>
        <v>0</v>
      </c>
      <c r="X70" s="119">
        <f t="shared" si="80"/>
        <v>0</v>
      </c>
      <c r="Y70" s="119">
        <f t="shared" si="81"/>
        <v>0</v>
      </c>
      <c r="Z70" s="119">
        <f t="shared" si="81"/>
        <v>0</v>
      </c>
      <c r="AA70" s="119">
        <f t="shared" si="81"/>
        <v>0</v>
      </c>
      <c r="AB70" s="119">
        <f t="shared" si="81"/>
        <v>0</v>
      </c>
      <c r="AC70" s="119">
        <f t="shared" si="81"/>
        <v>0</v>
      </c>
      <c r="AD70" s="119">
        <f t="shared" si="81"/>
        <v>0</v>
      </c>
      <c r="AE70" s="119">
        <f t="shared" si="81"/>
        <v>0</v>
      </c>
      <c r="AF70" s="119">
        <f t="shared" si="81"/>
        <v>0</v>
      </c>
      <c r="AG70" s="119">
        <f t="shared" si="81"/>
        <v>0</v>
      </c>
      <c r="AH70" s="119">
        <f t="shared" si="81"/>
        <v>0</v>
      </c>
      <c r="AI70" s="119">
        <f t="shared" si="81"/>
        <v>0</v>
      </c>
      <c r="AJ70" s="119">
        <f t="shared" si="81"/>
        <v>0</v>
      </c>
      <c r="AK70" s="119">
        <f t="shared" si="81"/>
        <v>0</v>
      </c>
      <c r="AL70" s="120">
        <f t="shared" si="81"/>
        <v>0</v>
      </c>
      <c r="AM70" s="111">
        <f t="shared" si="75"/>
        <v>0</v>
      </c>
    </row>
    <row r="71" spans="3:39" x14ac:dyDescent="0.2">
      <c r="C71" s="285"/>
      <c r="D71" s="107" t="s">
        <v>218</v>
      </c>
      <c r="E71" s="118">
        <f t="shared" si="79"/>
        <v>0</v>
      </c>
      <c r="F71" s="119">
        <f t="shared" si="79"/>
        <v>0</v>
      </c>
      <c r="G71" s="119">
        <f t="shared" si="79"/>
        <v>0</v>
      </c>
      <c r="H71" s="119">
        <f t="shared" si="79"/>
        <v>0</v>
      </c>
      <c r="I71" s="119">
        <f t="shared" si="79"/>
        <v>0</v>
      </c>
      <c r="J71" s="119">
        <f t="shared" si="79"/>
        <v>0</v>
      </c>
      <c r="K71" s="119">
        <f t="shared" si="79"/>
        <v>0</v>
      </c>
      <c r="L71" s="119">
        <f t="shared" si="79"/>
        <v>0</v>
      </c>
      <c r="M71" s="119">
        <f t="shared" si="79"/>
        <v>0</v>
      </c>
      <c r="N71" s="119">
        <f t="shared" si="79"/>
        <v>0</v>
      </c>
      <c r="O71" s="119">
        <f t="shared" si="80"/>
        <v>0</v>
      </c>
      <c r="P71" s="119">
        <f t="shared" si="80"/>
        <v>0</v>
      </c>
      <c r="Q71" s="119">
        <f t="shared" si="80"/>
        <v>0</v>
      </c>
      <c r="R71" s="119">
        <f t="shared" si="80"/>
        <v>0</v>
      </c>
      <c r="S71" s="119">
        <f t="shared" si="80"/>
        <v>0</v>
      </c>
      <c r="T71" s="119">
        <f t="shared" si="80"/>
        <v>0</v>
      </c>
      <c r="U71" s="119">
        <f t="shared" si="80"/>
        <v>0</v>
      </c>
      <c r="V71" s="119">
        <f t="shared" si="80"/>
        <v>0</v>
      </c>
      <c r="W71" s="119">
        <f t="shared" si="80"/>
        <v>0</v>
      </c>
      <c r="X71" s="119">
        <f t="shared" si="80"/>
        <v>0</v>
      </c>
      <c r="Y71" s="119">
        <f t="shared" si="81"/>
        <v>0</v>
      </c>
      <c r="Z71" s="119">
        <f t="shared" si="81"/>
        <v>0</v>
      </c>
      <c r="AA71" s="119">
        <f t="shared" si="81"/>
        <v>0</v>
      </c>
      <c r="AB71" s="119">
        <f t="shared" si="81"/>
        <v>0</v>
      </c>
      <c r="AC71" s="119">
        <f t="shared" si="81"/>
        <v>0</v>
      </c>
      <c r="AD71" s="119">
        <f t="shared" si="81"/>
        <v>0</v>
      </c>
      <c r="AE71" s="119">
        <f t="shared" si="81"/>
        <v>0</v>
      </c>
      <c r="AF71" s="119">
        <f t="shared" si="81"/>
        <v>0</v>
      </c>
      <c r="AG71" s="119">
        <f t="shared" si="81"/>
        <v>0</v>
      </c>
      <c r="AH71" s="119">
        <f t="shared" si="81"/>
        <v>0</v>
      </c>
      <c r="AI71" s="119">
        <f t="shared" si="81"/>
        <v>0</v>
      </c>
      <c r="AJ71" s="119">
        <f t="shared" si="81"/>
        <v>0</v>
      </c>
      <c r="AK71" s="119">
        <f t="shared" si="81"/>
        <v>0</v>
      </c>
      <c r="AL71" s="120">
        <f t="shared" si="81"/>
        <v>0</v>
      </c>
      <c r="AM71" s="111">
        <f t="shared" si="75"/>
        <v>0</v>
      </c>
    </row>
    <row r="72" spans="3:39" x14ac:dyDescent="0.2">
      <c r="C72" s="285"/>
      <c r="D72" s="107" t="s">
        <v>219</v>
      </c>
      <c r="E72" s="118">
        <f t="shared" si="79"/>
        <v>0</v>
      </c>
      <c r="F72" s="119">
        <f t="shared" si="79"/>
        <v>0</v>
      </c>
      <c r="G72" s="119">
        <f t="shared" si="79"/>
        <v>0</v>
      </c>
      <c r="H72" s="119">
        <f t="shared" si="79"/>
        <v>0</v>
      </c>
      <c r="I72" s="119">
        <f t="shared" si="79"/>
        <v>0</v>
      </c>
      <c r="J72" s="119">
        <f t="shared" si="79"/>
        <v>0</v>
      </c>
      <c r="K72" s="119">
        <f t="shared" si="79"/>
        <v>0</v>
      </c>
      <c r="L72" s="119">
        <f t="shared" si="79"/>
        <v>0</v>
      </c>
      <c r="M72" s="119">
        <f t="shared" si="79"/>
        <v>0</v>
      </c>
      <c r="N72" s="119">
        <f t="shared" si="79"/>
        <v>0</v>
      </c>
      <c r="O72" s="119">
        <f t="shared" si="80"/>
        <v>0</v>
      </c>
      <c r="P72" s="119">
        <f t="shared" si="80"/>
        <v>0</v>
      </c>
      <c r="Q72" s="119">
        <f t="shared" si="80"/>
        <v>0</v>
      </c>
      <c r="R72" s="119">
        <f t="shared" si="80"/>
        <v>0</v>
      </c>
      <c r="S72" s="119">
        <f t="shared" si="80"/>
        <v>0</v>
      </c>
      <c r="T72" s="119">
        <f t="shared" si="80"/>
        <v>0</v>
      </c>
      <c r="U72" s="119">
        <f t="shared" si="80"/>
        <v>0</v>
      </c>
      <c r="V72" s="119">
        <f t="shared" si="80"/>
        <v>0</v>
      </c>
      <c r="W72" s="119">
        <f t="shared" si="80"/>
        <v>0</v>
      </c>
      <c r="X72" s="119">
        <f t="shared" si="80"/>
        <v>0</v>
      </c>
      <c r="Y72" s="119">
        <f t="shared" si="81"/>
        <v>0</v>
      </c>
      <c r="Z72" s="119">
        <f t="shared" si="81"/>
        <v>0</v>
      </c>
      <c r="AA72" s="119">
        <f t="shared" si="81"/>
        <v>0</v>
      </c>
      <c r="AB72" s="119">
        <f t="shared" si="81"/>
        <v>0</v>
      </c>
      <c r="AC72" s="119">
        <f t="shared" si="81"/>
        <v>0</v>
      </c>
      <c r="AD72" s="119">
        <f t="shared" si="81"/>
        <v>0</v>
      </c>
      <c r="AE72" s="119">
        <f t="shared" si="81"/>
        <v>0</v>
      </c>
      <c r="AF72" s="119">
        <f t="shared" si="81"/>
        <v>0</v>
      </c>
      <c r="AG72" s="119">
        <f t="shared" si="81"/>
        <v>0</v>
      </c>
      <c r="AH72" s="119">
        <f t="shared" si="81"/>
        <v>0</v>
      </c>
      <c r="AI72" s="119">
        <f t="shared" si="81"/>
        <v>0</v>
      </c>
      <c r="AJ72" s="119">
        <f t="shared" si="81"/>
        <v>0</v>
      </c>
      <c r="AK72" s="119">
        <f t="shared" si="81"/>
        <v>0</v>
      </c>
      <c r="AL72" s="120">
        <f t="shared" si="81"/>
        <v>0</v>
      </c>
      <c r="AM72" s="111">
        <f t="shared" si="75"/>
        <v>0</v>
      </c>
    </row>
    <row r="73" spans="3:39" x14ac:dyDescent="0.2">
      <c r="C73" s="285"/>
      <c r="D73" s="107" t="s">
        <v>220</v>
      </c>
      <c r="E73" s="118">
        <f t="shared" si="79"/>
        <v>0</v>
      </c>
      <c r="F73" s="119">
        <f t="shared" si="79"/>
        <v>0</v>
      </c>
      <c r="G73" s="119">
        <f t="shared" si="79"/>
        <v>0</v>
      </c>
      <c r="H73" s="119">
        <f t="shared" si="79"/>
        <v>0</v>
      </c>
      <c r="I73" s="119">
        <f t="shared" si="79"/>
        <v>0</v>
      </c>
      <c r="J73" s="119">
        <f t="shared" si="79"/>
        <v>0</v>
      </c>
      <c r="K73" s="119">
        <f t="shared" si="79"/>
        <v>0</v>
      </c>
      <c r="L73" s="119">
        <f t="shared" si="79"/>
        <v>0</v>
      </c>
      <c r="M73" s="119">
        <f t="shared" si="79"/>
        <v>0</v>
      </c>
      <c r="N73" s="119">
        <f t="shared" si="79"/>
        <v>0</v>
      </c>
      <c r="O73" s="119">
        <f t="shared" si="80"/>
        <v>0</v>
      </c>
      <c r="P73" s="119">
        <f t="shared" si="80"/>
        <v>0</v>
      </c>
      <c r="Q73" s="119">
        <f t="shared" si="80"/>
        <v>0</v>
      </c>
      <c r="R73" s="119">
        <f t="shared" si="80"/>
        <v>0</v>
      </c>
      <c r="S73" s="119">
        <f t="shared" si="80"/>
        <v>0</v>
      </c>
      <c r="T73" s="119">
        <f t="shared" si="80"/>
        <v>0</v>
      </c>
      <c r="U73" s="119">
        <f t="shared" si="80"/>
        <v>0</v>
      </c>
      <c r="V73" s="119">
        <f t="shared" si="80"/>
        <v>0</v>
      </c>
      <c r="W73" s="119">
        <f t="shared" si="80"/>
        <v>0</v>
      </c>
      <c r="X73" s="119">
        <f t="shared" si="80"/>
        <v>0</v>
      </c>
      <c r="Y73" s="119">
        <f t="shared" si="81"/>
        <v>0</v>
      </c>
      <c r="Z73" s="119">
        <f t="shared" si="81"/>
        <v>0</v>
      </c>
      <c r="AA73" s="119">
        <f t="shared" si="81"/>
        <v>0</v>
      </c>
      <c r="AB73" s="119">
        <f t="shared" si="81"/>
        <v>0</v>
      </c>
      <c r="AC73" s="119">
        <f t="shared" si="81"/>
        <v>0</v>
      </c>
      <c r="AD73" s="119">
        <f t="shared" si="81"/>
        <v>0</v>
      </c>
      <c r="AE73" s="119">
        <f t="shared" si="81"/>
        <v>0</v>
      </c>
      <c r="AF73" s="119">
        <f t="shared" si="81"/>
        <v>0</v>
      </c>
      <c r="AG73" s="119">
        <f t="shared" si="81"/>
        <v>0</v>
      </c>
      <c r="AH73" s="119">
        <f t="shared" si="81"/>
        <v>0</v>
      </c>
      <c r="AI73" s="119">
        <f t="shared" si="81"/>
        <v>0</v>
      </c>
      <c r="AJ73" s="119">
        <f t="shared" si="81"/>
        <v>0</v>
      </c>
      <c r="AK73" s="119">
        <f t="shared" si="81"/>
        <v>0</v>
      </c>
      <c r="AL73" s="120">
        <f t="shared" si="81"/>
        <v>0</v>
      </c>
      <c r="AM73" s="111">
        <f t="shared" si="75"/>
        <v>0</v>
      </c>
    </row>
    <row r="74" spans="3:39" x14ac:dyDescent="0.2">
      <c r="C74" s="285"/>
      <c r="D74" s="107" t="s">
        <v>221</v>
      </c>
      <c r="E74" s="118">
        <f t="shared" si="79"/>
        <v>0</v>
      </c>
      <c r="F74" s="119">
        <f t="shared" si="79"/>
        <v>0</v>
      </c>
      <c r="G74" s="119">
        <f t="shared" si="79"/>
        <v>0</v>
      </c>
      <c r="H74" s="119">
        <f t="shared" si="79"/>
        <v>0</v>
      </c>
      <c r="I74" s="119">
        <f t="shared" si="79"/>
        <v>0</v>
      </c>
      <c r="J74" s="119">
        <f t="shared" si="79"/>
        <v>0</v>
      </c>
      <c r="K74" s="119">
        <f t="shared" si="79"/>
        <v>0</v>
      </c>
      <c r="L74" s="119">
        <f t="shared" si="79"/>
        <v>0</v>
      </c>
      <c r="M74" s="119">
        <f t="shared" si="79"/>
        <v>0</v>
      </c>
      <c r="N74" s="119">
        <f t="shared" si="79"/>
        <v>0</v>
      </c>
      <c r="O74" s="119">
        <f t="shared" si="80"/>
        <v>0</v>
      </c>
      <c r="P74" s="119">
        <f t="shared" si="80"/>
        <v>0</v>
      </c>
      <c r="Q74" s="119">
        <f t="shared" si="80"/>
        <v>0</v>
      </c>
      <c r="R74" s="119">
        <f t="shared" si="80"/>
        <v>0</v>
      </c>
      <c r="S74" s="119">
        <f t="shared" si="80"/>
        <v>0</v>
      </c>
      <c r="T74" s="119">
        <f t="shared" si="80"/>
        <v>0</v>
      </c>
      <c r="U74" s="119">
        <f t="shared" si="80"/>
        <v>0</v>
      </c>
      <c r="V74" s="119">
        <f t="shared" si="80"/>
        <v>0</v>
      </c>
      <c r="W74" s="119">
        <f t="shared" si="80"/>
        <v>0</v>
      </c>
      <c r="X74" s="119">
        <f t="shared" si="80"/>
        <v>0</v>
      </c>
      <c r="Y74" s="119">
        <f t="shared" si="81"/>
        <v>0</v>
      </c>
      <c r="Z74" s="119">
        <f t="shared" si="81"/>
        <v>0</v>
      </c>
      <c r="AA74" s="119">
        <f t="shared" si="81"/>
        <v>0</v>
      </c>
      <c r="AB74" s="119">
        <f t="shared" si="81"/>
        <v>0</v>
      </c>
      <c r="AC74" s="119">
        <f t="shared" si="81"/>
        <v>0</v>
      </c>
      <c r="AD74" s="119">
        <f t="shared" si="81"/>
        <v>0</v>
      </c>
      <c r="AE74" s="119">
        <f t="shared" si="81"/>
        <v>0</v>
      </c>
      <c r="AF74" s="119">
        <f t="shared" si="81"/>
        <v>0</v>
      </c>
      <c r="AG74" s="119">
        <f t="shared" si="81"/>
        <v>0</v>
      </c>
      <c r="AH74" s="119">
        <f t="shared" si="81"/>
        <v>0</v>
      </c>
      <c r="AI74" s="119">
        <f t="shared" si="81"/>
        <v>0</v>
      </c>
      <c r="AJ74" s="119">
        <f t="shared" si="81"/>
        <v>0</v>
      </c>
      <c r="AK74" s="119">
        <f t="shared" si="81"/>
        <v>0</v>
      </c>
      <c r="AL74" s="120">
        <f t="shared" si="81"/>
        <v>0</v>
      </c>
      <c r="AM74" s="111">
        <f t="shared" si="75"/>
        <v>0</v>
      </c>
    </row>
    <row r="75" spans="3:39" x14ac:dyDescent="0.2">
      <c r="C75" s="285"/>
      <c r="D75" s="107" t="s">
        <v>222</v>
      </c>
      <c r="E75" s="118">
        <f t="shared" si="79"/>
        <v>0</v>
      </c>
      <c r="F75" s="119">
        <f t="shared" si="79"/>
        <v>0</v>
      </c>
      <c r="G75" s="119">
        <f t="shared" si="79"/>
        <v>0</v>
      </c>
      <c r="H75" s="119">
        <f t="shared" si="79"/>
        <v>0</v>
      </c>
      <c r="I75" s="119">
        <f t="shared" si="79"/>
        <v>0</v>
      </c>
      <c r="J75" s="119">
        <f t="shared" si="79"/>
        <v>0</v>
      </c>
      <c r="K75" s="119">
        <f t="shared" si="79"/>
        <v>0</v>
      </c>
      <c r="L75" s="119">
        <f t="shared" si="79"/>
        <v>0</v>
      </c>
      <c r="M75" s="119">
        <f t="shared" si="79"/>
        <v>0</v>
      </c>
      <c r="N75" s="119">
        <f t="shared" si="79"/>
        <v>0</v>
      </c>
      <c r="O75" s="119">
        <f t="shared" si="80"/>
        <v>0</v>
      </c>
      <c r="P75" s="119">
        <f t="shared" si="80"/>
        <v>0</v>
      </c>
      <c r="Q75" s="119">
        <f t="shared" si="80"/>
        <v>0</v>
      </c>
      <c r="R75" s="119">
        <f t="shared" si="80"/>
        <v>0</v>
      </c>
      <c r="S75" s="119">
        <f t="shared" si="80"/>
        <v>0</v>
      </c>
      <c r="T75" s="119">
        <f t="shared" si="80"/>
        <v>0</v>
      </c>
      <c r="U75" s="119">
        <f t="shared" si="80"/>
        <v>0</v>
      </c>
      <c r="V75" s="119">
        <f t="shared" si="80"/>
        <v>0</v>
      </c>
      <c r="W75" s="119">
        <f t="shared" si="80"/>
        <v>0</v>
      </c>
      <c r="X75" s="119">
        <f t="shared" si="80"/>
        <v>0</v>
      </c>
      <c r="Y75" s="119">
        <f t="shared" si="81"/>
        <v>0</v>
      </c>
      <c r="Z75" s="119">
        <f t="shared" si="81"/>
        <v>0</v>
      </c>
      <c r="AA75" s="119">
        <f t="shared" si="81"/>
        <v>0</v>
      </c>
      <c r="AB75" s="119">
        <f t="shared" si="81"/>
        <v>0</v>
      </c>
      <c r="AC75" s="119">
        <f t="shared" si="81"/>
        <v>0</v>
      </c>
      <c r="AD75" s="119">
        <f t="shared" si="81"/>
        <v>0</v>
      </c>
      <c r="AE75" s="119">
        <f t="shared" si="81"/>
        <v>0</v>
      </c>
      <c r="AF75" s="119">
        <f t="shared" si="81"/>
        <v>0</v>
      </c>
      <c r="AG75" s="119">
        <f t="shared" si="81"/>
        <v>0</v>
      </c>
      <c r="AH75" s="119">
        <f t="shared" si="81"/>
        <v>0</v>
      </c>
      <c r="AI75" s="119">
        <f t="shared" si="81"/>
        <v>0</v>
      </c>
      <c r="AJ75" s="119">
        <f t="shared" si="81"/>
        <v>0</v>
      </c>
      <c r="AK75" s="119">
        <f t="shared" si="81"/>
        <v>0</v>
      </c>
      <c r="AL75" s="120">
        <f t="shared" si="81"/>
        <v>0</v>
      </c>
      <c r="AM75" s="111">
        <f t="shared" si="75"/>
        <v>0</v>
      </c>
    </row>
    <row r="76" spans="3:39" x14ac:dyDescent="0.2">
      <c r="C76" s="285"/>
      <c r="D76" s="107" t="s">
        <v>223</v>
      </c>
      <c r="E76" s="118">
        <f t="shared" si="79"/>
        <v>0</v>
      </c>
      <c r="F76" s="119">
        <f t="shared" si="79"/>
        <v>0</v>
      </c>
      <c r="G76" s="119">
        <f t="shared" si="79"/>
        <v>0</v>
      </c>
      <c r="H76" s="119">
        <f t="shared" si="79"/>
        <v>0</v>
      </c>
      <c r="I76" s="119">
        <f t="shared" si="79"/>
        <v>0</v>
      </c>
      <c r="J76" s="119">
        <f t="shared" si="79"/>
        <v>0</v>
      </c>
      <c r="K76" s="119">
        <f t="shared" si="79"/>
        <v>0</v>
      </c>
      <c r="L76" s="119">
        <f t="shared" si="79"/>
        <v>0</v>
      </c>
      <c r="M76" s="119">
        <f t="shared" si="79"/>
        <v>0</v>
      </c>
      <c r="N76" s="119">
        <f t="shared" si="79"/>
        <v>0</v>
      </c>
      <c r="O76" s="119">
        <f t="shared" si="80"/>
        <v>0</v>
      </c>
      <c r="P76" s="119">
        <f t="shared" si="80"/>
        <v>0</v>
      </c>
      <c r="Q76" s="119">
        <f t="shared" si="80"/>
        <v>0</v>
      </c>
      <c r="R76" s="119">
        <f t="shared" si="80"/>
        <v>0</v>
      </c>
      <c r="S76" s="119">
        <f t="shared" si="80"/>
        <v>0</v>
      </c>
      <c r="T76" s="119">
        <f t="shared" si="80"/>
        <v>0</v>
      </c>
      <c r="U76" s="119">
        <f t="shared" si="80"/>
        <v>0</v>
      </c>
      <c r="V76" s="119">
        <f t="shared" si="80"/>
        <v>0</v>
      </c>
      <c r="W76" s="119">
        <f t="shared" si="80"/>
        <v>0</v>
      </c>
      <c r="X76" s="119">
        <f t="shared" si="80"/>
        <v>0</v>
      </c>
      <c r="Y76" s="119">
        <f t="shared" si="81"/>
        <v>0</v>
      </c>
      <c r="Z76" s="119">
        <f t="shared" si="81"/>
        <v>0</v>
      </c>
      <c r="AA76" s="119">
        <f t="shared" si="81"/>
        <v>0</v>
      </c>
      <c r="AB76" s="119">
        <f t="shared" si="81"/>
        <v>0</v>
      </c>
      <c r="AC76" s="119">
        <f t="shared" si="81"/>
        <v>0</v>
      </c>
      <c r="AD76" s="119">
        <f t="shared" si="81"/>
        <v>0</v>
      </c>
      <c r="AE76" s="119">
        <f t="shared" si="81"/>
        <v>0</v>
      </c>
      <c r="AF76" s="119">
        <f t="shared" si="81"/>
        <v>0</v>
      </c>
      <c r="AG76" s="119">
        <f t="shared" si="81"/>
        <v>0</v>
      </c>
      <c r="AH76" s="119">
        <f t="shared" si="81"/>
        <v>0</v>
      </c>
      <c r="AI76" s="119">
        <f t="shared" si="81"/>
        <v>0</v>
      </c>
      <c r="AJ76" s="119">
        <f t="shared" si="81"/>
        <v>0</v>
      </c>
      <c r="AK76" s="119">
        <f t="shared" si="81"/>
        <v>0</v>
      </c>
      <c r="AL76" s="120">
        <f t="shared" si="81"/>
        <v>0</v>
      </c>
      <c r="AM76" s="111">
        <f t="shared" si="75"/>
        <v>0</v>
      </c>
    </row>
    <row r="77" spans="3:39" ht="12" thickBot="1" x14ac:dyDescent="0.25">
      <c r="C77" s="285"/>
      <c r="D77" s="107" t="s">
        <v>224</v>
      </c>
      <c r="E77" s="131">
        <f t="shared" si="79"/>
        <v>0</v>
      </c>
      <c r="F77" s="132">
        <f t="shared" si="79"/>
        <v>0</v>
      </c>
      <c r="G77" s="132">
        <f t="shared" si="79"/>
        <v>0</v>
      </c>
      <c r="H77" s="132">
        <f t="shared" si="79"/>
        <v>0</v>
      </c>
      <c r="I77" s="132">
        <f t="shared" si="79"/>
        <v>0</v>
      </c>
      <c r="J77" s="132">
        <f t="shared" si="79"/>
        <v>0</v>
      </c>
      <c r="K77" s="132">
        <f t="shared" si="79"/>
        <v>0</v>
      </c>
      <c r="L77" s="132">
        <f t="shared" si="79"/>
        <v>0</v>
      </c>
      <c r="M77" s="132">
        <f t="shared" si="79"/>
        <v>0</v>
      </c>
      <c r="N77" s="132">
        <f t="shared" si="79"/>
        <v>0</v>
      </c>
      <c r="O77" s="132">
        <f t="shared" si="80"/>
        <v>0</v>
      </c>
      <c r="P77" s="132">
        <f t="shared" si="80"/>
        <v>0</v>
      </c>
      <c r="Q77" s="132">
        <f t="shared" si="80"/>
        <v>0</v>
      </c>
      <c r="R77" s="132">
        <f t="shared" si="80"/>
        <v>0</v>
      </c>
      <c r="S77" s="132">
        <f t="shared" si="80"/>
        <v>0</v>
      </c>
      <c r="T77" s="132">
        <f t="shared" si="80"/>
        <v>0</v>
      </c>
      <c r="U77" s="132">
        <f t="shared" si="80"/>
        <v>0</v>
      </c>
      <c r="V77" s="132">
        <f t="shared" si="80"/>
        <v>0</v>
      </c>
      <c r="W77" s="132">
        <f t="shared" si="80"/>
        <v>0</v>
      </c>
      <c r="X77" s="132">
        <f t="shared" si="80"/>
        <v>0</v>
      </c>
      <c r="Y77" s="132">
        <f t="shared" si="81"/>
        <v>0</v>
      </c>
      <c r="Z77" s="132">
        <f t="shared" si="81"/>
        <v>0</v>
      </c>
      <c r="AA77" s="132">
        <f t="shared" si="81"/>
        <v>0</v>
      </c>
      <c r="AB77" s="132">
        <f t="shared" si="81"/>
        <v>0</v>
      </c>
      <c r="AC77" s="132">
        <f t="shared" si="81"/>
        <v>0</v>
      </c>
      <c r="AD77" s="132">
        <f t="shared" si="81"/>
        <v>0</v>
      </c>
      <c r="AE77" s="132">
        <f t="shared" si="81"/>
        <v>0</v>
      </c>
      <c r="AF77" s="132">
        <f t="shared" si="81"/>
        <v>0</v>
      </c>
      <c r="AG77" s="132">
        <f t="shared" si="81"/>
        <v>0</v>
      </c>
      <c r="AH77" s="132">
        <f t="shared" si="81"/>
        <v>0</v>
      </c>
      <c r="AI77" s="132">
        <f t="shared" si="81"/>
        <v>0</v>
      </c>
      <c r="AJ77" s="132">
        <f t="shared" si="81"/>
        <v>0</v>
      </c>
      <c r="AK77" s="132">
        <f t="shared" si="81"/>
        <v>0</v>
      </c>
      <c r="AL77" s="133">
        <f t="shared" si="81"/>
        <v>0</v>
      </c>
      <c r="AM77" s="111">
        <f t="shared" si="75"/>
        <v>0</v>
      </c>
    </row>
    <row r="78" spans="3:39" x14ac:dyDescent="0.2">
      <c r="C78" s="285"/>
      <c r="D78" s="137" t="s">
        <v>1</v>
      </c>
      <c r="E78" s="111">
        <f t="shared" ref="E78:AM78" si="82">SUM(E44:E77)</f>
        <v>0</v>
      </c>
      <c r="F78" s="111">
        <f t="shared" si="82"/>
        <v>0</v>
      </c>
      <c r="G78" s="111">
        <f t="shared" si="82"/>
        <v>0</v>
      </c>
      <c r="H78" s="111">
        <f t="shared" si="82"/>
        <v>0</v>
      </c>
      <c r="I78" s="111">
        <f t="shared" si="82"/>
        <v>0</v>
      </c>
      <c r="J78" s="111">
        <f t="shared" si="82"/>
        <v>0</v>
      </c>
      <c r="K78" s="111">
        <f t="shared" si="82"/>
        <v>0</v>
      </c>
      <c r="L78" s="111">
        <f t="shared" si="82"/>
        <v>0</v>
      </c>
      <c r="M78" s="111">
        <f t="shared" si="82"/>
        <v>0</v>
      </c>
      <c r="N78" s="111">
        <f t="shared" si="82"/>
        <v>0</v>
      </c>
      <c r="O78" s="111">
        <f t="shared" si="82"/>
        <v>0</v>
      </c>
      <c r="P78" s="111">
        <f t="shared" si="82"/>
        <v>0</v>
      </c>
      <c r="Q78" s="111">
        <f t="shared" si="82"/>
        <v>0</v>
      </c>
      <c r="R78" s="111">
        <f t="shared" si="82"/>
        <v>0</v>
      </c>
      <c r="S78" s="111">
        <f t="shared" si="82"/>
        <v>0</v>
      </c>
      <c r="T78" s="111">
        <f t="shared" si="82"/>
        <v>0</v>
      </c>
      <c r="U78" s="111">
        <f t="shared" si="82"/>
        <v>0</v>
      </c>
      <c r="V78" s="111">
        <f t="shared" si="82"/>
        <v>0</v>
      </c>
      <c r="W78" s="111">
        <f t="shared" si="82"/>
        <v>0</v>
      </c>
      <c r="X78" s="111">
        <f t="shared" si="82"/>
        <v>0</v>
      </c>
      <c r="Y78" s="111">
        <f t="shared" si="82"/>
        <v>0</v>
      </c>
      <c r="Z78" s="111">
        <f t="shared" si="82"/>
        <v>0</v>
      </c>
      <c r="AA78" s="111">
        <f t="shared" si="82"/>
        <v>0</v>
      </c>
      <c r="AB78" s="111">
        <f t="shared" si="82"/>
        <v>0</v>
      </c>
      <c r="AC78" s="111">
        <f t="shared" si="82"/>
        <v>0</v>
      </c>
      <c r="AD78" s="111">
        <f t="shared" si="82"/>
        <v>0</v>
      </c>
      <c r="AE78" s="111">
        <f t="shared" si="82"/>
        <v>0</v>
      </c>
      <c r="AF78" s="111">
        <f t="shared" si="82"/>
        <v>0</v>
      </c>
      <c r="AG78" s="111">
        <f t="shared" si="82"/>
        <v>0</v>
      </c>
      <c r="AH78" s="111">
        <f t="shared" si="82"/>
        <v>0</v>
      </c>
      <c r="AI78" s="111">
        <f t="shared" si="82"/>
        <v>0</v>
      </c>
      <c r="AJ78" s="111">
        <f t="shared" si="82"/>
        <v>0</v>
      </c>
      <c r="AK78" s="111">
        <f t="shared" si="82"/>
        <v>0</v>
      </c>
      <c r="AL78" s="111">
        <f t="shared" si="82"/>
        <v>0</v>
      </c>
      <c r="AM78" s="111">
        <f t="shared" si="82"/>
        <v>0</v>
      </c>
    </row>
    <row r="81" spans="1:39" ht="12.75" x14ac:dyDescent="0.2">
      <c r="A81" s="138"/>
      <c r="B81" s="138"/>
      <c r="C81" s="138"/>
      <c r="D81" s="20" t="s">
        <v>258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  <c r="AM81" s="138"/>
    </row>
    <row r="82" spans="1:39" x14ac:dyDescent="0.2">
      <c r="E82" s="284" t="s">
        <v>238</v>
      </c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  <c r="AK82" s="284"/>
      <c r="AL82" s="284"/>
      <c r="AM82" s="284"/>
    </row>
    <row r="83" spans="1:39" ht="45.75" thickBot="1" x14ac:dyDescent="0.25">
      <c r="E83" s="105" t="s">
        <v>180</v>
      </c>
      <c r="F83" s="105" t="s">
        <v>183</v>
      </c>
      <c r="G83" s="105" t="s">
        <v>186</v>
      </c>
      <c r="H83" s="105" t="s">
        <v>189</v>
      </c>
      <c r="I83" s="105" t="s">
        <v>192</v>
      </c>
      <c r="J83" s="105" t="s">
        <v>195</v>
      </c>
      <c r="K83" s="105" t="s">
        <v>198</v>
      </c>
      <c r="L83" s="105" t="s">
        <v>199</v>
      </c>
      <c r="M83" s="105" t="s">
        <v>200</v>
      </c>
      <c r="N83" s="105" t="s">
        <v>201</v>
      </c>
      <c r="O83" s="105" t="s">
        <v>203</v>
      </c>
      <c r="P83" s="105" t="s">
        <v>204</v>
      </c>
      <c r="Q83" s="105" t="s">
        <v>205</v>
      </c>
      <c r="R83" s="105" t="s">
        <v>206</v>
      </c>
      <c r="S83" s="105" t="s">
        <v>207</v>
      </c>
      <c r="T83" s="105" t="s">
        <v>208</v>
      </c>
      <c r="U83" s="105" t="s">
        <v>209</v>
      </c>
      <c r="V83" s="105" t="s">
        <v>210</v>
      </c>
      <c r="W83" s="105" t="s">
        <v>197</v>
      </c>
      <c r="X83" s="105" t="s">
        <v>212</v>
      </c>
      <c r="Y83" s="105" t="s">
        <v>211</v>
      </c>
      <c r="Z83" s="105" t="s">
        <v>213</v>
      </c>
      <c r="AA83" s="105" t="s">
        <v>214</v>
      </c>
      <c r="AB83" s="105" t="s">
        <v>179</v>
      </c>
      <c r="AC83" s="105" t="s">
        <v>215</v>
      </c>
      <c r="AD83" s="105" t="s">
        <v>216</v>
      </c>
      <c r="AE83" s="105" t="s">
        <v>217</v>
      </c>
      <c r="AF83" s="105" t="s">
        <v>218</v>
      </c>
      <c r="AG83" s="105" t="s">
        <v>219</v>
      </c>
      <c r="AH83" s="105" t="s">
        <v>220</v>
      </c>
      <c r="AI83" s="105" t="s">
        <v>221</v>
      </c>
      <c r="AJ83" s="105" t="s">
        <v>222</v>
      </c>
      <c r="AK83" s="105" t="s">
        <v>223</v>
      </c>
      <c r="AL83" s="105" t="s">
        <v>224</v>
      </c>
      <c r="AM83" s="106" t="s">
        <v>1</v>
      </c>
    </row>
    <row r="84" spans="1:39" x14ac:dyDescent="0.2">
      <c r="C84" s="285" t="s">
        <v>236</v>
      </c>
      <c r="D84" s="107" t="s">
        <v>180</v>
      </c>
      <c r="E84" s="149">
        <f>E44-E4</f>
        <v>0</v>
      </c>
      <c r="F84" s="150">
        <f t="shared" ref="F84:AM84" si="83">F44-F4</f>
        <v>0</v>
      </c>
      <c r="G84" s="150">
        <f t="shared" si="83"/>
        <v>0</v>
      </c>
      <c r="H84" s="150">
        <f t="shared" si="83"/>
        <v>0</v>
      </c>
      <c r="I84" s="150">
        <f t="shared" si="83"/>
        <v>0</v>
      </c>
      <c r="J84" s="150">
        <f t="shared" si="83"/>
        <v>0</v>
      </c>
      <c r="K84" s="150">
        <f t="shared" si="83"/>
        <v>0</v>
      </c>
      <c r="L84" s="150">
        <f t="shared" si="83"/>
        <v>0</v>
      </c>
      <c r="M84" s="150">
        <f t="shared" si="83"/>
        <v>0</v>
      </c>
      <c r="N84" s="150">
        <f t="shared" si="83"/>
        <v>0</v>
      </c>
      <c r="O84" s="150">
        <f t="shared" si="83"/>
        <v>0</v>
      </c>
      <c r="P84" s="150">
        <f t="shared" si="83"/>
        <v>0</v>
      </c>
      <c r="Q84" s="150">
        <f t="shared" si="83"/>
        <v>0</v>
      </c>
      <c r="R84" s="150">
        <f t="shared" si="83"/>
        <v>0</v>
      </c>
      <c r="S84" s="150">
        <f t="shared" si="83"/>
        <v>0</v>
      </c>
      <c r="T84" s="150">
        <f t="shared" si="83"/>
        <v>0</v>
      </c>
      <c r="U84" s="150">
        <f t="shared" si="83"/>
        <v>0</v>
      </c>
      <c r="V84" s="150">
        <f t="shared" si="83"/>
        <v>0</v>
      </c>
      <c r="W84" s="150">
        <f t="shared" si="83"/>
        <v>0</v>
      </c>
      <c r="X84" s="150">
        <f t="shared" si="83"/>
        <v>0</v>
      </c>
      <c r="Y84" s="150">
        <f t="shared" si="83"/>
        <v>0</v>
      </c>
      <c r="Z84" s="150">
        <f t="shared" si="83"/>
        <v>0</v>
      </c>
      <c r="AA84" s="150">
        <f t="shared" si="83"/>
        <v>0</v>
      </c>
      <c r="AB84" s="150">
        <f t="shared" si="83"/>
        <v>0</v>
      </c>
      <c r="AC84" s="150">
        <f t="shared" si="83"/>
        <v>0</v>
      </c>
      <c r="AD84" s="150">
        <f t="shared" si="83"/>
        <v>0</v>
      </c>
      <c r="AE84" s="150">
        <f t="shared" si="83"/>
        <v>0</v>
      </c>
      <c r="AF84" s="150">
        <f t="shared" si="83"/>
        <v>0</v>
      </c>
      <c r="AG84" s="150">
        <f t="shared" si="83"/>
        <v>0</v>
      </c>
      <c r="AH84" s="150">
        <f t="shared" si="83"/>
        <v>0</v>
      </c>
      <c r="AI84" s="150">
        <f t="shared" si="83"/>
        <v>0</v>
      </c>
      <c r="AJ84" s="150">
        <f t="shared" si="83"/>
        <v>0</v>
      </c>
      <c r="AK84" s="150">
        <f t="shared" si="83"/>
        <v>0</v>
      </c>
      <c r="AL84" s="151">
        <f t="shared" si="83"/>
        <v>0</v>
      </c>
      <c r="AM84" s="152">
        <f t="shared" si="83"/>
        <v>0</v>
      </c>
    </row>
    <row r="85" spans="1:39" x14ac:dyDescent="0.2">
      <c r="A85" s="127"/>
      <c r="C85" s="285"/>
      <c r="D85" s="107" t="s">
        <v>183</v>
      </c>
      <c r="E85" s="153">
        <f t="shared" ref="E85:AM92" si="84">E45-E5</f>
        <v>0</v>
      </c>
      <c r="F85" s="154">
        <f t="shared" si="84"/>
        <v>0</v>
      </c>
      <c r="G85" s="154">
        <f t="shared" si="84"/>
        <v>0</v>
      </c>
      <c r="H85" s="154">
        <f t="shared" si="84"/>
        <v>0</v>
      </c>
      <c r="I85" s="154">
        <f t="shared" si="84"/>
        <v>0</v>
      </c>
      <c r="J85" s="154">
        <f t="shared" si="84"/>
        <v>0</v>
      </c>
      <c r="K85" s="154">
        <f t="shared" si="84"/>
        <v>0</v>
      </c>
      <c r="L85" s="154">
        <f t="shared" si="84"/>
        <v>0</v>
      </c>
      <c r="M85" s="154">
        <f t="shared" si="84"/>
        <v>0</v>
      </c>
      <c r="N85" s="154">
        <f t="shared" si="84"/>
        <v>0</v>
      </c>
      <c r="O85" s="154">
        <f t="shared" si="84"/>
        <v>0</v>
      </c>
      <c r="P85" s="154">
        <f t="shared" si="84"/>
        <v>0</v>
      </c>
      <c r="Q85" s="154">
        <f t="shared" si="84"/>
        <v>0</v>
      </c>
      <c r="R85" s="154">
        <f t="shared" si="84"/>
        <v>0</v>
      </c>
      <c r="S85" s="154">
        <f t="shared" si="84"/>
        <v>0</v>
      </c>
      <c r="T85" s="154">
        <f t="shared" si="84"/>
        <v>0</v>
      </c>
      <c r="U85" s="154">
        <f t="shared" si="84"/>
        <v>0</v>
      </c>
      <c r="V85" s="154">
        <f t="shared" si="84"/>
        <v>0</v>
      </c>
      <c r="W85" s="154">
        <f t="shared" si="84"/>
        <v>0</v>
      </c>
      <c r="X85" s="154">
        <f t="shared" si="84"/>
        <v>0</v>
      </c>
      <c r="Y85" s="154">
        <f t="shared" si="84"/>
        <v>0</v>
      </c>
      <c r="Z85" s="154">
        <f t="shared" si="84"/>
        <v>0</v>
      </c>
      <c r="AA85" s="154">
        <f t="shared" si="84"/>
        <v>0</v>
      </c>
      <c r="AB85" s="154">
        <f t="shared" si="84"/>
        <v>0</v>
      </c>
      <c r="AC85" s="154">
        <f t="shared" si="84"/>
        <v>0</v>
      </c>
      <c r="AD85" s="154">
        <f t="shared" si="84"/>
        <v>0</v>
      </c>
      <c r="AE85" s="154">
        <f t="shared" si="84"/>
        <v>0</v>
      </c>
      <c r="AF85" s="154">
        <f t="shared" si="84"/>
        <v>0</v>
      </c>
      <c r="AG85" s="154">
        <f t="shared" si="84"/>
        <v>0</v>
      </c>
      <c r="AH85" s="154">
        <f t="shared" si="84"/>
        <v>0</v>
      </c>
      <c r="AI85" s="154">
        <f t="shared" si="84"/>
        <v>0</v>
      </c>
      <c r="AJ85" s="154">
        <f t="shared" si="84"/>
        <v>0</v>
      </c>
      <c r="AK85" s="154">
        <f t="shared" si="84"/>
        <v>0</v>
      </c>
      <c r="AL85" s="155">
        <f t="shared" si="84"/>
        <v>0</v>
      </c>
      <c r="AM85" s="152">
        <f t="shared" si="84"/>
        <v>0</v>
      </c>
    </row>
    <row r="86" spans="1:39" x14ac:dyDescent="0.2">
      <c r="C86" s="285"/>
      <c r="D86" s="107" t="s">
        <v>186</v>
      </c>
      <c r="E86" s="153">
        <f t="shared" si="84"/>
        <v>0</v>
      </c>
      <c r="F86" s="154">
        <f t="shared" si="84"/>
        <v>0</v>
      </c>
      <c r="G86" s="154">
        <f t="shared" si="84"/>
        <v>0</v>
      </c>
      <c r="H86" s="154">
        <f t="shared" si="84"/>
        <v>0</v>
      </c>
      <c r="I86" s="154">
        <f t="shared" si="84"/>
        <v>0</v>
      </c>
      <c r="J86" s="154">
        <f t="shared" si="84"/>
        <v>0</v>
      </c>
      <c r="K86" s="154">
        <f t="shared" si="84"/>
        <v>0</v>
      </c>
      <c r="L86" s="154">
        <f t="shared" si="84"/>
        <v>0</v>
      </c>
      <c r="M86" s="154">
        <f t="shared" si="84"/>
        <v>0</v>
      </c>
      <c r="N86" s="154">
        <f t="shared" si="84"/>
        <v>0</v>
      </c>
      <c r="O86" s="154">
        <f t="shared" si="84"/>
        <v>0</v>
      </c>
      <c r="P86" s="154">
        <f t="shared" si="84"/>
        <v>0</v>
      </c>
      <c r="Q86" s="154">
        <f t="shared" si="84"/>
        <v>0</v>
      </c>
      <c r="R86" s="154">
        <f t="shared" si="84"/>
        <v>0</v>
      </c>
      <c r="S86" s="154">
        <f t="shared" si="84"/>
        <v>0</v>
      </c>
      <c r="T86" s="154">
        <f t="shared" si="84"/>
        <v>0</v>
      </c>
      <c r="U86" s="154">
        <f t="shared" si="84"/>
        <v>0</v>
      </c>
      <c r="V86" s="154">
        <f t="shared" si="84"/>
        <v>0</v>
      </c>
      <c r="W86" s="154">
        <f t="shared" si="84"/>
        <v>0</v>
      </c>
      <c r="X86" s="154">
        <f t="shared" si="84"/>
        <v>0</v>
      </c>
      <c r="Y86" s="154">
        <f t="shared" si="84"/>
        <v>0</v>
      </c>
      <c r="Z86" s="154">
        <f t="shared" si="84"/>
        <v>0</v>
      </c>
      <c r="AA86" s="154">
        <f t="shared" si="84"/>
        <v>0</v>
      </c>
      <c r="AB86" s="154">
        <f t="shared" si="84"/>
        <v>0</v>
      </c>
      <c r="AC86" s="154">
        <f t="shared" si="84"/>
        <v>0</v>
      </c>
      <c r="AD86" s="154">
        <f t="shared" si="84"/>
        <v>0</v>
      </c>
      <c r="AE86" s="154">
        <f t="shared" si="84"/>
        <v>0</v>
      </c>
      <c r="AF86" s="154">
        <f t="shared" si="84"/>
        <v>0</v>
      </c>
      <c r="AG86" s="154">
        <f t="shared" si="84"/>
        <v>0</v>
      </c>
      <c r="AH86" s="154">
        <f t="shared" si="84"/>
        <v>0</v>
      </c>
      <c r="AI86" s="154">
        <f t="shared" si="84"/>
        <v>0</v>
      </c>
      <c r="AJ86" s="154">
        <f t="shared" si="84"/>
        <v>0</v>
      </c>
      <c r="AK86" s="154">
        <f t="shared" si="84"/>
        <v>0</v>
      </c>
      <c r="AL86" s="155">
        <f t="shared" si="84"/>
        <v>0</v>
      </c>
      <c r="AM86" s="152">
        <f t="shared" si="84"/>
        <v>0</v>
      </c>
    </row>
    <row r="87" spans="1:39" x14ac:dyDescent="0.2">
      <c r="C87" s="285"/>
      <c r="D87" s="107" t="s">
        <v>189</v>
      </c>
      <c r="E87" s="153">
        <f t="shared" si="84"/>
        <v>0</v>
      </c>
      <c r="F87" s="154">
        <f t="shared" si="84"/>
        <v>0</v>
      </c>
      <c r="G87" s="154">
        <f t="shared" si="84"/>
        <v>0</v>
      </c>
      <c r="H87" s="154">
        <f t="shared" si="84"/>
        <v>0</v>
      </c>
      <c r="I87" s="154">
        <f t="shared" si="84"/>
        <v>0</v>
      </c>
      <c r="J87" s="154">
        <f t="shared" si="84"/>
        <v>0</v>
      </c>
      <c r="K87" s="154">
        <f t="shared" si="84"/>
        <v>0</v>
      </c>
      <c r="L87" s="154">
        <f t="shared" si="84"/>
        <v>0</v>
      </c>
      <c r="M87" s="154">
        <f t="shared" si="84"/>
        <v>0</v>
      </c>
      <c r="N87" s="154">
        <f t="shared" si="84"/>
        <v>0</v>
      </c>
      <c r="O87" s="154">
        <f t="shared" si="84"/>
        <v>0</v>
      </c>
      <c r="P87" s="154">
        <f t="shared" si="84"/>
        <v>0</v>
      </c>
      <c r="Q87" s="154">
        <f t="shared" si="84"/>
        <v>0</v>
      </c>
      <c r="R87" s="154">
        <f t="shared" si="84"/>
        <v>0</v>
      </c>
      <c r="S87" s="154">
        <f t="shared" si="84"/>
        <v>0</v>
      </c>
      <c r="T87" s="154">
        <f t="shared" si="84"/>
        <v>0</v>
      </c>
      <c r="U87" s="154">
        <f t="shared" si="84"/>
        <v>0</v>
      </c>
      <c r="V87" s="154">
        <f t="shared" si="84"/>
        <v>0</v>
      </c>
      <c r="W87" s="154">
        <f t="shared" si="84"/>
        <v>0</v>
      </c>
      <c r="X87" s="154">
        <f t="shared" si="84"/>
        <v>0</v>
      </c>
      <c r="Y87" s="154">
        <f t="shared" si="84"/>
        <v>0</v>
      </c>
      <c r="Z87" s="154">
        <f t="shared" si="84"/>
        <v>0</v>
      </c>
      <c r="AA87" s="154">
        <f t="shared" si="84"/>
        <v>0</v>
      </c>
      <c r="AB87" s="154">
        <f t="shared" si="84"/>
        <v>0</v>
      </c>
      <c r="AC87" s="154">
        <f t="shared" si="84"/>
        <v>0</v>
      </c>
      <c r="AD87" s="154">
        <f t="shared" si="84"/>
        <v>0</v>
      </c>
      <c r="AE87" s="154">
        <f t="shared" si="84"/>
        <v>0</v>
      </c>
      <c r="AF87" s="154">
        <f t="shared" si="84"/>
        <v>0</v>
      </c>
      <c r="AG87" s="154">
        <f t="shared" si="84"/>
        <v>0</v>
      </c>
      <c r="AH87" s="154">
        <f t="shared" si="84"/>
        <v>0</v>
      </c>
      <c r="AI87" s="154">
        <f t="shared" si="84"/>
        <v>0</v>
      </c>
      <c r="AJ87" s="154">
        <f t="shared" si="84"/>
        <v>0</v>
      </c>
      <c r="AK87" s="154">
        <f t="shared" si="84"/>
        <v>0</v>
      </c>
      <c r="AL87" s="155">
        <f t="shared" si="84"/>
        <v>0</v>
      </c>
      <c r="AM87" s="152">
        <f t="shared" si="84"/>
        <v>0</v>
      </c>
    </row>
    <row r="88" spans="1:39" x14ac:dyDescent="0.2">
      <c r="A88" s="127"/>
      <c r="C88" s="285"/>
      <c r="D88" s="107" t="s">
        <v>192</v>
      </c>
      <c r="E88" s="153">
        <f t="shared" si="84"/>
        <v>0</v>
      </c>
      <c r="F88" s="154">
        <f t="shared" si="84"/>
        <v>0</v>
      </c>
      <c r="G88" s="154">
        <f t="shared" si="84"/>
        <v>0</v>
      </c>
      <c r="H88" s="154">
        <f t="shared" si="84"/>
        <v>0</v>
      </c>
      <c r="I88" s="154">
        <f t="shared" si="84"/>
        <v>0</v>
      </c>
      <c r="J88" s="154">
        <f t="shared" si="84"/>
        <v>0</v>
      </c>
      <c r="K88" s="154">
        <f t="shared" si="84"/>
        <v>0</v>
      </c>
      <c r="L88" s="154">
        <f t="shared" si="84"/>
        <v>0</v>
      </c>
      <c r="M88" s="154">
        <f t="shared" si="84"/>
        <v>0</v>
      </c>
      <c r="N88" s="154">
        <f t="shared" si="84"/>
        <v>0</v>
      </c>
      <c r="O88" s="154">
        <f t="shared" si="84"/>
        <v>0</v>
      </c>
      <c r="P88" s="154">
        <f t="shared" si="84"/>
        <v>0</v>
      </c>
      <c r="Q88" s="154">
        <f t="shared" si="84"/>
        <v>0</v>
      </c>
      <c r="R88" s="154">
        <f t="shared" si="84"/>
        <v>0</v>
      </c>
      <c r="S88" s="154">
        <f t="shared" si="84"/>
        <v>0</v>
      </c>
      <c r="T88" s="154">
        <f t="shared" si="84"/>
        <v>0</v>
      </c>
      <c r="U88" s="154">
        <f t="shared" si="84"/>
        <v>0</v>
      </c>
      <c r="V88" s="154">
        <f t="shared" si="84"/>
        <v>0</v>
      </c>
      <c r="W88" s="154">
        <f t="shared" si="84"/>
        <v>0</v>
      </c>
      <c r="X88" s="154">
        <f t="shared" si="84"/>
        <v>0</v>
      </c>
      <c r="Y88" s="154">
        <f t="shared" si="84"/>
        <v>0</v>
      </c>
      <c r="Z88" s="154">
        <f t="shared" si="84"/>
        <v>0</v>
      </c>
      <c r="AA88" s="154">
        <f t="shared" si="84"/>
        <v>0</v>
      </c>
      <c r="AB88" s="154">
        <f t="shared" si="84"/>
        <v>0</v>
      </c>
      <c r="AC88" s="154">
        <f t="shared" si="84"/>
        <v>0</v>
      </c>
      <c r="AD88" s="154">
        <f t="shared" si="84"/>
        <v>0</v>
      </c>
      <c r="AE88" s="154">
        <f t="shared" si="84"/>
        <v>0</v>
      </c>
      <c r="AF88" s="154">
        <f t="shared" si="84"/>
        <v>0</v>
      </c>
      <c r="AG88" s="154">
        <f t="shared" si="84"/>
        <v>0</v>
      </c>
      <c r="AH88" s="154">
        <f t="shared" si="84"/>
        <v>0</v>
      </c>
      <c r="AI88" s="154">
        <f t="shared" si="84"/>
        <v>0</v>
      </c>
      <c r="AJ88" s="154">
        <f t="shared" si="84"/>
        <v>0</v>
      </c>
      <c r="AK88" s="154">
        <f t="shared" si="84"/>
        <v>0</v>
      </c>
      <c r="AL88" s="155">
        <f t="shared" si="84"/>
        <v>0</v>
      </c>
      <c r="AM88" s="152">
        <f t="shared" si="84"/>
        <v>0</v>
      </c>
    </row>
    <row r="89" spans="1:39" x14ac:dyDescent="0.2">
      <c r="C89" s="285"/>
      <c r="D89" s="107" t="s">
        <v>195</v>
      </c>
      <c r="E89" s="153">
        <f t="shared" si="84"/>
        <v>0</v>
      </c>
      <c r="F89" s="154">
        <f t="shared" si="84"/>
        <v>0</v>
      </c>
      <c r="G89" s="154">
        <f t="shared" si="84"/>
        <v>0</v>
      </c>
      <c r="H89" s="154">
        <f t="shared" si="84"/>
        <v>0</v>
      </c>
      <c r="I89" s="154">
        <f t="shared" si="84"/>
        <v>0</v>
      </c>
      <c r="J89" s="154">
        <f t="shared" si="84"/>
        <v>0</v>
      </c>
      <c r="K89" s="154">
        <f t="shared" si="84"/>
        <v>0</v>
      </c>
      <c r="L89" s="154">
        <f t="shared" si="84"/>
        <v>0</v>
      </c>
      <c r="M89" s="154">
        <f t="shared" si="84"/>
        <v>0</v>
      </c>
      <c r="N89" s="154">
        <f t="shared" si="84"/>
        <v>0</v>
      </c>
      <c r="O89" s="154">
        <f t="shared" si="84"/>
        <v>0</v>
      </c>
      <c r="P89" s="154">
        <f t="shared" si="84"/>
        <v>0</v>
      </c>
      <c r="Q89" s="154">
        <f t="shared" si="84"/>
        <v>0</v>
      </c>
      <c r="R89" s="154">
        <f t="shared" si="84"/>
        <v>0</v>
      </c>
      <c r="S89" s="154">
        <f t="shared" si="84"/>
        <v>0</v>
      </c>
      <c r="T89" s="154">
        <f t="shared" si="84"/>
        <v>0</v>
      </c>
      <c r="U89" s="154">
        <f t="shared" si="84"/>
        <v>0</v>
      </c>
      <c r="V89" s="154">
        <f t="shared" si="84"/>
        <v>0</v>
      </c>
      <c r="W89" s="154">
        <f t="shared" si="84"/>
        <v>0</v>
      </c>
      <c r="X89" s="154">
        <f t="shared" si="84"/>
        <v>0</v>
      </c>
      <c r="Y89" s="154">
        <f t="shared" si="84"/>
        <v>0</v>
      </c>
      <c r="Z89" s="154">
        <f t="shared" si="84"/>
        <v>0</v>
      </c>
      <c r="AA89" s="154">
        <f t="shared" si="84"/>
        <v>0</v>
      </c>
      <c r="AB89" s="154">
        <f t="shared" si="84"/>
        <v>0</v>
      </c>
      <c r="AC89" s="154">
        <f t="shared" si="84"/>
        <v>0</v>
      </c>
      <c r="AD89" s="154">
        <f t="shared" si="84"/>
        <v>0</v>
      </c>
      <c r="AE89" s="154">
        <f t="shared" si="84"/>
        <v>0</v>
      </c>
      <c r="AF89" s="154">
        <f t="shared" si="84"/>
        <v>0</v>
      </c>
      <c r="AG89" s="154">
        <f t="shared" si="84"/>
        <v>0</v>
      </c>
      <c r="AH89" s="154">
        <f t="shared" si="84"/>
        <v>0</v>
      </c>
      <c r="AI89" s="154">
        <f t="shared" si="84"/>
        <v>0</v>
      </c>
      <c r="AJ89" s="154">
        <f t="shared" si="84"/>
        <v>0</v>
      </c>
      <c r="AK89" s="154">
        <f t="shared" si="84"/>
        <v>0</v>
      </c>
      <c r="AL89" s="155">
        <f t="shared" si="84"/>
        <v>0</v>
      </c>
      <c r="AM89" s="152">
        <f t="shared" si="84"/>
        <v>0</v>
      </c>
    </row>
    <row r="90" spans="1:39" x14ac:dyDescent="0.2">
      <c r="C90" s="285"/>
      <c r="D90" s="107" t="s">
        <v>198</v>
      </c>
      <c r="E90" s="153">
        <f t="shared" si="84"/>
        <v>0</v>
      </c>
      <c r="F90" s="154">
        <f t="shared" si="84"/>
        <v>0</v>
      </c>
      <c r="G90" s="154">
        <f t="shared" si="84"/>
        <v>0</v>
      </c>
      <c r="H90" s="154">
        <f t="shared" si="84"/>
        <v>0</v>
      </c>
      <c r="I90" s="154">
        <f t="shared" si="84"/>
        <v>0</v>
      </c>
      <c r="J90" s="154">
        <f t="shared" si="84"/>
        <v>0</v>
      </c>
      <c r="K90" s="154">
        <f t="shared" si="84"/>
        <v>0</v>
      </c>
      <c r="L90" s="154">
        <f t="shared" si="84"/>
        <v>0</v>
      </c>
      <c r="M90" s="154">
        <f t="shared" si="84"/>
        <v>0</v>
      </c>
      <c r="N90" s="154">
        <f t="shared" si="84"/>
        <v>0</v>
      </c>
      <c r="O90" s="154">
        <f t="shared" si="84"/>
        <v>0</v>
      </c>
      <c r="P90" s="154">
        <f t="shared" si="84"/>
        <v>0</v>
      </c>
      <c r="Q90" s="154">
        <f t="shared" si="84"/>
        <v>0</v>
      </c>
      <c r="R90" s="154">
        <f t="shared" si="84"/>
        <v>0</v>
      </c>
      <c r="S90" s="154">
        <f t="shared" si="84"/>
        <v>0</v>
      </c>
      <c r="T90" s="154">
        <f t="shared" si="84"/>
        <v>0</v>
      </c>
      <c r="U90" s="154">
        <f t="shared" si="84"/>
        <v>0</v>
      </c>
      <c r="V90" s="154">
        <f t="shared" si="84"/>
        <v>0</v>
      </c>
      <c r="W90" s="154">
        <f t="shared" si="84"/>
        <v>0</v>
      </c>
      <c r="X90" s="154">
        <f t="shared" si="84"/>
        <v>0</v>
      </c>
      <c r="Y90" s="154">
        <f t="shared" si="84"/>
        <v>0</v>
      </c>
      <c r="Z90" s="154">
        <f t="shared" si="84"/>
        <v>0</v>
      </c>
      <c r="AA90" s="154">
        <f t="shared" si="84"/>
        <v>0</v>
      </c>
      <c r="AB90" s="154">
        <f t="shared" si="84"/>
        <v>0</v>
      </c>
      <c r="AC90" s="154">
        <f t="shared" si="84"/>
        <v>0</v>
      </c>
      <c r="AD90" s="154">
        <f t="shared" si="84"/>
        <v>0</v>
      </c>
      <c r="AE90" s="154">
        <f t="shared" si="84"/>
        <v>0</v>
      </c>
      <c r="AF90" s="154">
        <f t="shared" si="84"/>
        <v>0</v>
      </c>
      <c r="AG90" s="154">
        <f t="shared" si="84"/>
        <v>0</v>
      </c>
      <c r="AH90" s="154">
        <f t="shared" si="84"/>
        <v>0</v>
      </c>
      <c r="AI90" s="154">
        <f t="shared" si="84"/>
        <v>0</v>
      </c>
      <c r="AJ90" s="154">
        <f t="shared" si="84"/>
        <v>0</v>
      </c>
      <c r="AK90" s="154">
        <f t="shared" si="84"/>
        <v>0</v>
      </c>
      <c r="AL90" s="155">
        <f t="shared" si="84"/>
        <v>0</v>
      </c>
      <c r="AM90" s="152">
        <f t="shared" si="84"/>
        <v>0</v>
      </c>
    </row>
    <row r="91" spans="1:39" x14ac:dyDescent="0.2">
      <c r="C91" s="285"/>
      <c r="D91" s="107" t="s">
        <v>199</v>
      </c>
      <c r="E91" s="153">
        <f t="shared" si="84"/>
        <v>0</v>
      </c>
      <c r="F91" s="154">
        <f t="shared" si="84"/>
        <v>0</v>
      </c>
      <c r="G91" s="154">
        <f t="shared" si="84"/>
        <v>0</v>
      </c>
      <c r="H91" s="154">
        <f t="shared" si="84"/>
        <v>0</v>
      </c>
      <c r="I91" s="154">
        <f t="shared" si="84"/>
        <v>0</v>
      </c>
      <c r="J91" s="154">
        <f t="shared" si="84"/>
        <v>0</v>
      </c>
      <c r="K91" s="154">
        <f t="shared" si="84"/>
        <v>0</v>
      </c>
      <c r="L91" s="154">
        <f t="shared" si="84"/>
        <v>0</v>
      </c>
      <c r="M91" s="154">
        <f t="shared" si="84"/>
        <v>0</v>
      </c>
      <c r="N91" s="154">
        <f t="shared" si="84"/>
        <v>0</v>
      </c>
      <c r="O91" s="154">
        <f t="shared" si="84"/>
        <v>0</v>
      </c>
      <c r="P91" s="154">
        <f t="shared" si="84"/>
        <v>0</v>
      </c>
      <c r="Q91" s="154">
        <f t="shared" si="84"/>
        <v>0</v>
      </c>
      <c r="R91" s="154">
        <f t="shared" si="84"/>
        <v>0</v>
      </c>
      <c r="S91" s="154">
        <f t="shared" si="84"/>
        <v>0</v>
      </c>
      <c r="T91" s="154">
        <f t="shared" si="84"/>
        <v>0</v>
      </c>
      <c r="U91" s="154">
        <f t="shared" si="84"/>
        <v>0</v>
      </c>
      <c r="V91" s="154">
        <f t="shared" si="84"/>
        <v>0</v>
      </c>
      <c r="W91" s="154">
        <f t="shared" si="84"/>
        <v>0</v>
      </c>
      <c r="X91" s="154">
        <f t="shared" si="84"/>
        <v>0</v>
      </c>
      <c r="Y91" s="154">
        <f t="shared" si="84"/>
        <v>0</v>
      </c>
      <c r="Z91" s="154">
        <f t="shared" si="84"/>
        <v>0</v>
      </c>
      <c r="AA91" s="154">
        <f t="shared" si="84"/>
        <v>0</v>
      </c>
      <c r="AB91" s="154">
        <f t="shared" si="84"/>
        <v>0</v>
      </c>
      <c r="AC91" s="154">
        <f t="shared" si="84"/>
        <v>0</v>
      </c>
      <c r="AD91" s="154">
        <f t="shared" si="84"/>
        <v>0</v>
      </c>
      <c r="AE91" s="154">
        <f t="shared" si="84"/>
        <v>0</v>
      </c>
      <c r="AF91" s="154">
        <f t="shared" si="84"/>
        <v>0</v>
      </c>
      <c r="AG91" s="154">
        <f t="shared" si="84"/>
        <v>0</v>
      </c>
      <c r="AH91" s="154">
        <f t="shared" si="84"/>
        <v>0</v>
      </c>
      <c r="AI91" s="154">
        <f t="shared" si="84"/>
        <v>0</v>
      </c>
      <c r="AJ91" s="154">
        <f t="shared" si="84"/>
        <v>0</v>
      </c>
      <c r="AK91" s="154">
        <f t="shared" si="84"/>
        <v>0</v>
      </c>
      <c r="AL91" s="155">
        <f t="shared" si="84"/>
        <v>0</v>
      </c>
      <c r="AM91" s="152">
        <f t="shared" si="84"/>
        <v>0</v>
      </c>
    </row>
    <row r="92" spans="1:39" x14ac:dyDescent="0.2">
      <c r="A92" s="129"/>
      <c r="C92" s="285"/>
      <c r="D92" s="107" t="s">
        <v>200</v>
      </c>
      <c r="E92" s="153">
        <f t="shared" si="84"/>
        <v>0</v>
      </c>
      <c r="F92" s="154">
        <f t="shared" si="84"/>
        <v>0</v>
      </c>
      <c r="G92" s="154">
        <f t="shared" si="84"/>
        <v>0</v>
      </c>
      <c r="H92" s="154">
        <f t="shared" si="84"/>
        <v>0</v>
      </c>
      <c r="I92" s="154">
        <f t="shared" si="84"/>
        <v>0</v>
      </c>
      <c r="J92" s="154">
        <f t="shared" si="84"/>
        <v>0</v>
      </c>
      <c r="K92" s="154">
        <f t="shared" si="84"/>
        <v>0</v>
      </c>
      <c r="L92" s="154">
        <f t="shared" si="84"/>
        <v>0</v>
      </c>
      <c r="M92" s="154">
        <f t="shared" si="84"/>
        <v>0</v>
      </c>
      <c r="N92" s="154">
        <f t="shared" si="84"/>
        <v>0</v>
      </c>
      <c r="O92" s="154">
        <f t="shared" ref="O92:AM92" si="85">O52-O12</f>
        <v>0</v>
      </c>
      <c r="P92" s="154">
        <f t="shared" si="85"/>
        <v>0</v>
      </c>
      <c r="Q92" s="154">
        <f t="shared" si="85"/>
        <v>0</v>
      </c>
      <c r="R92" s="154">
        <f t="shared" si="85"/>
        <v>0</v>
      </c>
      <c r="S92" s="154">
        <f t="shared" si="85"/>
        <v>0</v>
      </c>
      <c r="T92" s="154">
        <f t="shared" si="85"/>
        <v>0</v>
      </c>
      <c r="U92" s="154">
        <f t="shared" si="85"/>
        <v>0</v>
      </c>
      <c r="V92" s="154">
        <f t="shared" si="85"/>
        <v>0</v>
      </c>
      <c r="W92" s="154">
        <f t="shared" si="85"/>
        <v>0</v>
      </c>
      <c r="X92" s="154">
        <f t="shared" si="85"/>
        <v>0</v>
      </c>
      <c r="Y92" s="154">
        <f t="shared" si="85"/>
        <v>0</v>
      </c>
      <c r="Z92" s="154">
        <f t="shared" si="85"/>
        <v>0</v>
      </c>
      <c r="AA92" s="154">
        <f t="shared" si="85"/>
        <v>0</v>
      </c>
      <c r="AB92" s="154">
        <f t="shared" si="85"/>
        <v>0</v>
      </c>
      <c r="AC92" s="154">
        <f t="shared" si="85"/>
        <v>0</v>
      </c>
      <c r="AD92" s="154">
        <f t="shared" si="85"/>
        <v>0</v>
      </c>
      <c r="AE92" s="154">
        <f t="shared" si="85"/>
        <v>0</v>
      </c>
      <c r="AF92" s="154">
        <f t="shared" si="85"/>
        <v>0</v>
      </c>
      <c r="AG92" s="154">
        <f t="shared" si="85"/>
        <v>0</v>
      </c>
      <c r="AH92" s="154">
        <f t="shared" si="85"/>
        <v>0</v>
      </c>
      <c r="AI92" s="154">
        <f t="shared" si="85"/>
        <v>0</v>
      </c>
      <c r="AJ92" s="154">
        <f t="shared" si="85"/>
        <v>0</v>
      </c>
      <c r="AK92" s="154">
        <f t="shared" si="85"/>
        <v>0</v>
      </c>
      <c r="AL92" s="155">
        <f t="shared" si="85"/>
        <v>0</v>
      </c>
      <c r="AM92" s="152">
        <f t="shared" si="85"/>
        <v>0</v>
      </c>
    </row>
    <row r="93" spans="1:39" x14ac:dyDescent="0.2">
      <c r="C93" s="285"/>
      <c r="D93" s="107" t="s">
        <v>201</v>
      </c>
      <c r="E93" s="153">
        <f t="shared" ref="E93:AM100" si="86">E53-E13</f>
        <v>0</v>
      </c>
      <c r="F93" s="154">
        <f t="shared" si="86"/>
        <v>0</v>
      </c>
      <c r="G93" s="154">
        <f t="shared" si="86"/>
        <v>0</v>
      </c>
      <c r="H93" s="154">
        <f t="shared" si="86"/>
        <v>0</v>
      </c>
      <c r="I93" s="154">
        <f t="shared" si="86"/>
        <v>0</v>
      </c>
      <c r="J93" s="154">
        <f t="shared" si="86"/>
        <v>0</v>
      </c>
      <c r="K93" s="154">
        <f t="shared" si="86"/>
        <v>0</v>
      </c>
      <c r="L93" s="154">
        <f t="shared" si="86"/>
        <v>0</v>
      </c>
      <c r="M93" s="154">
        <f t="shared" si="86"/>
        <v>0</v>
      </c>
      <c r="N93" s="154">
        <f t="shared" si="86"/>
        <v>0</v>
      </c>
      <c r="O93" s="154">
        <f t="shared" si="86"/>
        <v>0</v>
      </c>
      <c r="P93" s="154">
        <f t="shared" si="86"/>
        <v>0</v>
      </c>
      <c r="Q93" s="154">
        <f t="shared" si="86"/>
        <v>0</v>
      </c>
      <c r="R93" s="154">
        <f t="shared" si="86"/>
        <v>0</v>
      </c>
      <c r="S93" s="154">
        <f t="shared" si="86"/>
        <v>0</v>
      </c>
      <c r="T93" s="154">
        <f t="shared" si="86"/>
        <v>0</v>
      </c>
      <c r="U93" s="154">
        <f t="shared" si="86"/>
        <v>0</v>
      </c>
      <c r="V93" s="154">
        <f t="shared" si="86"/>
        <v>0</v>
      </c>
      <c r="W93" s="154">
        <f t="shared" si="86"/>
        <v>0</v>
      </c>
      <c r="X93" s="154">
        <f t="shared" si="86"/>
        <v>0</v>
      </c>
      <c r="Y93" s="154">
        <f t="shared" si="86"/>
        <v>0</v>
      </c>
      <c r="Z93" s="154">
        <f t="shared" si="86"/>
        <v>0</v>
      </c>
      <c r="AA93" s="154">
        <f t="shared" si="86"/>
        <v>0</v>
      </c>
      <c r="AB93" s="154">
        <f t="shared" si="86"/>
        <v>0</v>
      </c>
      <c r="AC93" s="154">
        <f t="shared" si="86"/>
        <v>0</v>
      </c>
      <c r="AD93" s="154">
        <f t="shared" si="86"/>
        <v>0</v>
      </c>
      <c r="AE93" s="154">
        <f t="shared" si="86"/>
        <v>0</v>
      </c>
      <c r="AF93" s="154">
        <f t="shared" si="86"/>
        <v>0</v>
      </c>
      <c r="AG93" s="154">
        <f t="shared" si="86"/>
        <v>0</v>
      </c>
      <c r="AH93" s="154">
        <f t="shared" si="86"/>
        <v>0</v>
      </c>
      <c r="AI93" s="154">
        <f t="shared" si="86"/>
        <v>0</v>
      </c>
      <c r="AJ93" s="154">
        <f t="shared" si="86"/>
        <v>0</v>
      </c>
      <c r="AK93" s="154">
        <f t="shared" si="86"/>
        <v>0</v>
      </c>
      <c r="AL93" s="155">
        <f t="shared" si="86"/>
        <v>0</v>
      </c>
      <c r="AM93" s="152">
        <f t="shared" si="86"/>
        <v>0</v>
      </c>
    </row>
    <row r="94" spans="1:39" x14ac:dyDescent="0.2">
      <c r="C94" s="285"/>
      <c r="D94" s="107" t="s">
        <v>203</v>
      </c>
      <c r="E94" s="153">
        <f t="shared" si="86"/>
        <v>0</v>
      </c>
      <c r="F94" s="154">
        <f t="shared" si="86"/>
        <v>0</v>
      </c>
      <c r="G94" s="154">
        <f t="shared" si="86"/>
        <v>0</v>
      </c>
      <c r="H94" s="154">
        <f t="shared" si="86"/>
        <v>0</v>
      </c>
      <c r="I94" s="154">
        <f t="shared" si="86"/>
        <v>0</v>
      </c>
      <c r="J94" s="154">
        <f t="shared" si="86"/>
        <v>0</v>
      </c>
      <c r="K94" s="154">
        <f t="shared" si="86"/>
        <v>0</v>
      </c>
      <c r="L94" s="154">
        <f t="shared" si="86"/>
        <v>0</v>
      </c>
      <c r="M94" s="154">
        <f t="shared" si="86"/>
        <v>0</v>
      </c>
      <c r="N94" s="154">
        <f t="shared" si="86"/>
        <v>0</v>
      </c>
      <c r="O94" s="154">
        <f t="shared" si="86"/>
        <v>0</v>
      </c>
      <c r="P94" s="154">
        <f t="shared" si="86"/>
        <v>0</v>
      </c>
      <c r="Q94" s="154">
        <f t="shared" si="86"/>
        <v>0</v>
      </c>
      <c r="R94" s="154">
        <f t="shared" si="86"/>
        <v>0</v>
      </c>
      <c r="S94" s="154">
        <f t="shared" si="86"/>
        <v>0</v>
      </c>
      <c r="T94" s="154">
        <f t="shared" si="86"/>
        <v>0</v>
      </c>
      <c r="U94" s="154">
        <f t="shared" si="86"/>
        <v>0</v>
      </c>
      <c r="V94" s="154">
        <f t="shared" si="86"/>
        <v>0</v>
      </c>
      <c r="W94" s="154">
        <f t="shared" si="86"/>
        <v>0</v>
      </c>
      <c r="X94" s="154">
        <f t="shared" si="86"/>
        <v>0</v>
      </c>
      <c r="Y94" s="154">
        <f t="shared" si="86"/>
        <v>0</v>
      </c>
      <c r="Z94" s="154">
        <f t="shared" si="86"/>
        <v>0</v>
      </c>
      <c r="AA94" s="154">
        <f t="shared" si="86"/>
        <v>0</v>
      </c>
      <c r="AB94" s="154">
        <f t="shared" si="86"/>
        <v>0</v>
      </c>
      <c r="AC94" s="154">
        <f t="shared" si="86"/>
        <v>0</v>
      </c>
      <c r="AD94" s="154">
        <f t="shared" si="86"/>
        <v>0</v>
      </c>
      <c r="AE94" s="154">
        <f t="shared" si="86"/>
        <v>0</v>
      </c>
      <c r="AF94" s="154">
        <f t="shared" si="86"/>
        <v>0</v>
      </c>
      <c r="AG94" s="154">
        <f t="shared" si="86"/>
        <v>0</v>
      </c>
      <c r="AH94" s="154">
        <f t="shared" si="86"/>
        <v>0</v>
      </c>
      <c r="AI94" s="154">
        <f t="shared" si="86"/>
        <v>0</v>
      </c>
      <c r="AJ94" s="154">
        <f t="shared" si="86"/>
        <v>0</v>
      </c>
      <c r="AK94" s="154">
        <f t="shared" si="86"/>
        <v>0</v>
      </c>
      <c r="AL94" s="155">
        <f t="shared" si="86"/>
        <v>0</v>
      </c>
      <c r="AM94" s="152">
        <f t="shared" si="86"/>
        <v>0</v>
      </c>
    </row>
    <row r="95" spans="1:39" x14ac:dyDescent="0.2">
      <c r="C95" s="285"/>
      <c r="D95" s="107" t="s">
        <v>204</v>
      </c>
      <c r="E95" s="153">
        <f t="shared" si="86"/>
        <v>0</v>
      </c>
      <c r="F95" s="154">
        <f t="shared" si="86"/>
        <v>0</v>
      </c>
      <c r="G95" s="154">
        <f t="shared" si="86"/>
        <v>0</v>
      </c>
      <c r="H95" s="154">
        <f t="shared" si="86"/>
        <v>0</v>
      </c>
      <c r="I95" s="154">
        <f t="shared" si="86"/>
        <v>0</v>
      </c>
      <c r="J95" s="154">
        <f t="shared" si="86"/>
        <v>0</v>
      </c>
      <c r="K95" s="154">
        <f t="shared" si="86"/>
        <v>0</v>
      </c>
      <c r="L95" s="154">
        <f t="shared" si="86"/>
        <v>0</v>
      </c>
      <c r="M95" s="154">
        <f t="shared" si="86"/>
        <v>0</v>
      </c>
      <c r="N95" s="154">
        <f t="shared" si="86"/>
        <v>0</v>
      </c>
      <c r="O95" s="154">
        <f t="shared" si="86"/>
        <v>0</v>
      </c>
      <c r="P95" s="154">
        <f t="shared" si="86"/>
        <v>0</v>
      </c>
      <c r="Q95" s="154">
        <f t="shared" si="86"/>
        <v>0</v>
      </c>
      <c r="R95" s="154">
        <f t="shared" si="86"/>
        <v>0</v>
      </c>
      <c r="S95" s="154">
        <f t="shared" si="86"/>
        <v>0</v>
      </c>
      <c r="T95" s="154">
        <f t="shared" si="86"/>
        <v>0</v>
      </c>
      <c r="U95" s="154">
        <f t="shared" si="86"/>
        <v>0</v>
      </c>
      <c r="V95" s="154">
        <f t="shared" si="86"/>
        <v>0</v>
      </c>
      <c r="W95" s="154">
        <f t="shared" si="86"/>
        <v>0</v>
      </c>
      <c r="X95" s="154">
        <f t="shared" si="86"/>
        <v>0</v>
      </c>
      <c r="Y95" s="154">
        <f t="shared" si="86"/>
        <v>0</v>
      </c>
      <c r="Z95" s="154">
        <f t="shared" si="86"/>
        <v>0</v>
      </c>
      <c r="AA95" s="154">
        <f t="shared" si="86"/>
        <v>0</v>
      </c>
      <c r="AB95" s="154">
        <f t="shared" si="86"/>
        <v>0</v>
      </c>
      <c r="AC95" s="154">
        <f t="shared" si="86"/>
        <v>0</v>
      </c>
      <c r="AD95" s="154">
        <f t="shared" si="86"/>
        <v>0</v>
      </c>
      <c r="AE95" s="154">
        <f t="shared" si="86"/>
        <v>0</v>
      </c>
      <c r="AF95" s="154">
        <f t="shared" si="86"/>
        <v>0</v>
      </c>
      <c r="AG95" s="154">
        <f t="shared" si="86"/>
        <v>0</v>
      </c>
      <c r="AH95" s="154">
        <f t="shared" si="86"/>
        <v>0</v>
      </c>
      <c r="AI95" s="154">
        <f t="shared" si="86"/>
        <v>0</v>
      </c>
      <c r="AJ95" s="154">
        <f t="shared" si="86"/>
        <v>0</v>
      </c>
      <c r="AK95" s="154">
        <f t="shared" si="86"/>
        <v>0</v>
      </c>
      <c r="AL95" s="155">
        <f t="shared" si="86"/>
        <v>0</v>
      </c>
      <c r="AM95" s="152">
        <f t="shared" si="86"/>
        <v>0</v>
      </c>
    </row>
    <row r="96" spans="1:39" x14ac:dyDescent="0.2">
      <c r="C96" s="285"/>
      <c r="D96" s="107" t="s">
        <v>205</v>
      </c>
      <c r="E96" s="153">
        <f t="shared" si="86"/>
        <v>0</v>
      </c>
      <c r="F96" s="154">
        <f t="shared" si="86"/>
        <v>0</v>
      </c>
      <c r="G96" s="154">
        <f t="shared" si="86"/>
        <v>0</v>
      </c>
      <c r="H96" s="154">
        <f t="shared" si="86"/>
        <v>0</v>
      </c>
      <c r="I96" s="154">
        <f t="shared" si="86"/>
        <v>0</v>
      </c>
      <c r="J96" s="154">
        <f t="shared" si="86"/>
        <v>0</v>
      </c>
      <c r="K96" s="154">
        <f t="shared" si="86"/>
        <v>0</v>
      </c>
      <c r="L96" s="154">
        <f t="shared" si="86"/>
        <v>0</v>
      </c>
      <c r="M96" s="154">
        <f t="shared" si="86"/>
        <v>0</v>
      </c>
      <c r="N96" s="154">
        <f t="shared" si="86"/>
        <v>0</v>
      </c>
      <c r="O96" s="154">
        <f t="shared" si="86"/>
        <v>0</v>
      </c>
      <c r="P96" s="154">
        <f t="shared" si="86"/>
        <v>0</v>
      </c>
      <c r="Q96" s="154">
        <f t="shared" si="86"/>
        <v>0</v>
      </c>
      <c r="R96" s="154">
        <f t="shared" si="86"/>
        <v>0</v>
      </c>
      <c r="S96" s="154">
        <f t="shared" si="86"/>
        <v>0</v>
      </c>
      <c r="T96" s="154">
        <f t="shared" si="86"/>
        <v>0</v>
      </c>
      <c r="U96" s="154">
        <f t="shared" si="86"/>
        <v>0</v>
      </c>
      <c r="V96" s="154">
        <f t="shared" si="86"/>
        <v>0</v>
      </c>
      <c r="W96" s="154">
        <f t="shared" si="86"/>
        <v>0</v>
      </c>
      <c r="X96" s="154">
        <f t="shared" si="86"/>
        <v>0</v>
      </c>
      <c r="Y96" s="154">
        <f t="shared" si="86"/>
        <v>0</v>
      </c>
      <c r="Z96" s="154">
        <f t="shared" si="86"/>
        <v>0</v>
      </c>
      <c r="AA96" s="154">
        <f t="shared" si="86"/>
        <v>0</v>
      </c>
      <c r="AB96" s="154">
        <f t="shared" si="86"/>
        <v>0</v>
      </c>
      <c r="AC96" s="154">
        <f t="shared" si="86"/>
        <v>0</v>
      </c>
      <c r="AD96" s="154">
        <f t="shared" si="86"/>
        <v>0</v>
      </c>
      <c r="AE96" s="154">
        <f t="shared" si="86"/>
        <v>0</v>
      </c>
      <c r="AF96" s="154">
        <f t="shared" si="86"/>
        <v>0</v>
      </c>
      <c r="AG96" s="154">
        <f t="shared" si="86"/>
        <v>0</v>
      </c>
      <c r="AH96" s="154">
        <f t="shared" si="86"/>
        <v>0</v>
      </c>
      <c r="AI96" s="154">
        <f t="shared" si="86"/>
        <v>0</v>
      </c>
      <c r="AJ96" s="154">
        <f t="shared" si="86"/>
        <v>0</v>
      </c>
      <c r="AK96" s="154">
        <f t="shared" si="86"/>
        <v>0</v>
      </c>
      <c r="AL96" s="155">
        <f t="shared" si="86"/>
        <v>0</v>
      </c>
      <c r="AM96" s="152">
        <f t="shared" si="86"/>
        <v>0</v>
      </c>
    </row>
    <row r="97" spans="3:39" x14ac:dyDescent="0.2">
      <c r="C97" s="285"/>
      <c r="D97" s="107" t="s">
        <v>206</v>
      </c>
      <c r="E97" s="153">
        <f t="shared" si="86"/>
        <v>0</v>
      </c>
      <c r="F97" s="154">
        <f t="shared" si="86"/>
        <v>0</v>
      </c>
      <c r="G97" s="154">
        <f t="shared" si="86"/>
        <v>0</v>
      </c>
      <c r="H97" s="154">
        <f t="shared" si="86"/>
        <v>0</v>
      </c>
      <c r="I97" s="154">
        <f t="shared" si="86"/>
        <v>0</v>
      </c>
      <c r="J97" s="154">
        <f t="shared" si="86"/>
        <v>0</v>
      </c>
      <c r="K97" s="154">
        <f t="shared" si="86"/>
        <v>0</v>
      </c>
      <c r="L97" s="154">
        <f t="shared" si="86"/>
        <v>0</v>
      </c>
      <c r="M97" s="154">
        <f t="shared" si="86"/>
        <v>0</v>
      </c>
      <c r="N97" s="154">
        <f t="shared" si="86"/>
        <v>0</v>
      </c>
      <c r="O97" s="154">
        <f t="shared" si="86"/>
        <v>0</v>
      </c>
      <c r="P97" s="154">
        <f t="shared" si="86"/>
        <v>0</v>
      </c>
      <c r="Q97" s="154">
        <f t="shared" si="86"/>
        <v>0</v>
      </c>
      <c r="R97" s="154">
        <f t="shared" si="86"/>
        <v>0</v>
      </c>
      <c r="S97" s="154">
        <f t="shared" si="86"/>
        <v>0</v>
      </c>
      <c r="T97" s="154">
        <f t="shared" si="86"/>
        <v>0</v>
      </c>
      <c r="U97" s="154">
        <f t="shared" si="86"/>
        <v>0</v>
      </c>
      <c r="V97" s="154">
        <f t="shared" si="86"/>
        <v>0</v>
      </c>
      <c r="W97" s="154">
        <f t="shared" si="86"/>
        <v>0</v>
      </c>
      <c r="X97" s="154">
        <f t="shared" si="86"/>
        <v>0</v>
      </c>
      <c r="Y97" s="154">
        <f t="shared" si="86"/>
        <v>0</v>
      </c>
      <c r="Z97" s="154">
        <f t="shared" si="86"/>
        <v>0</v>
      </c>
      <c r="AA97" s="154">
        <f t="shared" si="86"/>
        <v>0</v>
      </c>
      <c r="AB97" s="154">
        <f t="shared" si="86"/>
        <v>0</v>
      </c>
      <c r="AC97" s="154">
        <f t="shared" si="86"/>
        <v>0</v>
      </c>
      <c r="AD97" s="154">
        <f t="shared" si="86"/>
        <v>0</v>
      </c>
      <c r="AE97" s="154">
        <f t="shared" si="86"/>
        <v>0</v>
      </c>
      <c r="AF97" s="154">
        <f t="shared" si="86"/>
        <v>0</v>
      </c>
      <c r="AG97" s="154">
        <f t="shared" si="86"/>
        <v>0</v>
      </c>
      <c r="AH97" s="154">
        <f t="shared" si="86"/>
        <v>0</v>
      </c>
      <c r="AI97" s="154">
        <f t="shared" si="86"/>
        <v>0</v>
      </c>
      <c r="AJ97" s="154">
        <f t="shared" si="86"/>
        <v>0</v>
      </c>
      <c r="AK97" s="154">
        <f t="shared" si="86"/>
        <v>0</v>
      </c>
      <c r="AL97" s="155">
        <f t="shared" si="86"/>
        <v>0</v>
      </c>
      <c r="AM97" s="152">
        <f t="shared" si="86"/>
        <v>0</v>
      </c>
    </row>
    <row r="98" spans="3:39" x14ac:dyDescent="0.2">
      <c r="C98" s="285"/>
      <c r="D98" s="107" t="s">
        <v>207</v>
      </c>
      <c r="E98" s="153">
        <f t="shared" si="86"/>
        <v>0</v>
      </c>
      <c r="F98" s="154">
        <f t="shared" si="86"/>
        <v>0</v>
      </c>
      <c r="G98" s="154">
        <f t="shared" si="86"/>
        <v>0</v>
      </c>
      <c r="H98" s="154">
        <f t="shared" si="86"/>
        <v>0</v>
      </c>
      <c r="I98" s="154">
        <f t="shared" si="86"/>
        <v>0</v>
      </c>
      <c r="J98" s="154">
        <f t="shared" si="86"/>
        <v>0</v>
      </c>
      <c r="K98" s="154">
        <f t="shared" si="86"/>
        <v>0</v>
      </c>
      <c r="L98" s="154">
        <f t="shared" si="86"/>
        <v>0</v>
      </c>
      <c r="M98" s="154">
        <f t="shared" si="86"/>
        <v>0</v>
      </c>
      <c r="N98" s="154">
        <f t="shared" si="86"/>
        <v>0</v>
      </c>
      <c r="O98" s="154">
        <f t="shared" si="86"/>
        <v>0</v>
      </c>
      <c r="P98" s="154">
        <f t="shared" si="86"/>
        <v>0</v>
      </c>
      <c r="Q98" s="154">
        <f t="shared" si="86"/>
        <v>0</v>
      </c>
      <c r="R98" s="154">
        <f t="shared" si="86"/>
        <v>0</v>
      </c>
      <c r="S98" s="154">
        <f t="shared" si="86"/>
        <v>0</v>
      </c>
      <c r="T98" s="154">
        <f t="shared" si="86"/>
        <v>0</v>
      </c>
      <c r="U98" s="154">
        <f t="shared" si="86"/>
        <v>0</v>
      </c>
      <c r="V98" s="154">
        <f t="shared" si="86"/>
        <v>0</v>
      </c>
      <c r="W98" s="154">
        <f t="shared" si="86"/>
        <v>0</v>
      </c>
      <c r="X98" s="154">
        <f t="shared" si="86"/>
        <v>0</v>
      </c>
      <c r="Y98" s="154">
        <f t="shared" si="86"/>
        <v>0</v>
      </c>
      <c r="Z98" s="154">
        <f t="shared" si="86"/>
        <v>0</v>
      </c>
      <c r="AA98" s="154">
        <f t="shared" si="86"/>
        <v>0</v>
      </c>
      <c r="AB98" s="154">
        <f t="shared" si="86"/>
        <v>0</v>
      </c>
      <c r="AC98" s="154">
        <f t="shared" si="86"/>
        <v>0</v>
      </c>
      <c r="AD98" s="154">
        <f t="shared" si="86"/>
        <v>0</v>
      </c>
      <c r="AE98" s="154">
        <f t="shared" si="86"/>
        <v>0</v>
      </c>
      <c r="AF98" s="154">
        <f t="shared" si="86"/>
        <v>0</v>
      </c>
      <c r="AG98" s="154">
        <f t="shared" si="86"/>
        <v>0</v>
      </c>
      <c r="AH98" s="154">
        <f t="shared" si="86"/>
        <v>0</v>
      </c>
      <c r="AI98" s="154">
        <f t="shared" si="86"/>
        <v>0</v>
      </c>
      <c r="AJ98" s="154">
        <f t="shared" si="86"/>
        <v>0</v>
      </c>
      <c r="AK98" s="154">
        <f t="shared" si="86"/>
        <v>0</v>
      </c>
      <c r="AL98" s="155">
        <f t="shared" si="86"/>
        <v>0</v>
      </c>
      <c r="AM98" s="152">
        <f t="shared" si="86"/>
        <v>0</v>
      </c>
    </row>
    <row r="99" spans="3:39" x14ac:dyDescent="0.2">
      <c r="C99" s="285"/>
      <c r="D99" s="107" t="s">
        <v>208</v>
      </c>
      <c r="E99" s="153">
        <f t="shared" si="86"/>
        <v>0</v>
      </c>
      <c r="F99" s="154">
        <f t="shared" si="86"/>
        <v>0</v>
      </c>
      <c r="G99" s="154">
        <f t="shared" si="86"/>
        <v>0</v>
      </c>
      <c r="H99" s="154">
        <f t="shared" si="86"/>
        <v>0</v>
      </c>
      <c r="I99" s="154">
        <f t="shared" si="86"/>
        <v>0</v>
      </c>
      <c r="J99" s="154">
        <f t="shared" si="86"/>
        <v>0</v>
      </c>
      <c r="K99" s="154">
        <f t="shared" si="86"/>
        <v>0</v>
      </c>
      <c r="L99" s="154">
        <f t="shared" si="86"/>
        <v>0</v>
      </c>
      <c r="M99" s="154">
        <f t="shared" si="86"/>
        <v>0</v>
      </c>
      <c r="N99" s="154">
        <f t="shared" si="86"/>
        <v>0</v>
      </c>
      <c r="O99" s="154">
        <f t="shared" si="86"/>
        <v>0</v>
      </c>
      <c r="P99" s="154">
        <f t="shared" si="86"/>
        <v>0</v>
      </c>
      <c r="Q99" s="154">
        <f t="shared" si="86"/>
        <v>0</v>
      </c>
      <c r="R99" s="154">
        <f t="shared" si="86"/>
        <v>0</v>
      </c>
      <c r="S99" s="154">
        <f t="shared" si="86"/>
        <v>0</v>
      </c>
      <c r="T99" s="154">
        <f t="shared" si="86"/>
        <v>0</v>
      </c>
      <c r="U99" s="154">
        <f t="shared" si="86"/>
        <v>0</v>
      </c>
      <c r="V99" s="154">
        <f t="shared" si="86"/>
        <v>0</v>
      </c>
      <c r="W99" s="154">
        <f t="shared" si="86"/>
        <v>0</v>
      </c>
      <c r="X99" s="154">
        <f t="shared" si="86"/>
        <v>0</v>
      </c>
      <c r="Y99" s="154">
        <f t="shared" si="86"/>
        <v>0</v>
      </c>
      <c r="Z99" s="154">
        <f t="shared" si="86"/>
        <v>0</v>
      </c>
      <c r="AA99" s="154">
        <f t="shared" si="86"/>
        <v>0</v>
      </c>
      <c r="AB99" s="154">
        <f t="shared" si="86"/>
        <v>0</v>
      </c>
      <c r="AC99" s="154">
        <f t="shared" si="86"/>
        <v>0</v>
      </c>
      <c r="AD99" s="154">
        <f t="shared" si="86"/>
        <v>0</v>
      </c>
      <c r="AE99" s="154">
        <f t="shared" si="86"/>
        <v>0</v>
      </c>
      <c r="AF99" s="154">
        <f t="shared" si="86"/>
        <v>0</v>
      </c>
      <c r="AG99" s="154">
        <f t="shared" si="86"/>
        <v>0</v>
      </c>
      <c r="AH99" s="154">
        <f t="shared" si="86"/>
        <v>0</v>
      </c>
      <c r="AI99" s="154">
        <f t="shared" si="86"/>
        <v>0</v>
      </c>
      <c r="AJ99" s="154">
        <f t="shared" si="86"/>
        <v>0</v>
      </c>
      <c r="AK99" s="154">
        <f t="shared" si="86"/>
        <v>0</v>
      </c>
      <c r="AL99" s="155">
        <f t="shared" si="86"/>
        <v>0</v>
      </c>
      <c r="AM99" s="152">
        <f t="shared" si="86"/>
        <v>0</v>
      </c>
    </row>
    <row r="100" spans="3:39" x14ac:dyDescent="0.2">
      <c r="C100" s="285"/>
      <c r="D100" s="107" t="s">
        <v>209</v>
      </c>
      <c r="E100" s="153">
        <f t="shared" si="86"/>
        <v>0</v>
      </c>
      <c r="F100" s="154">
        <f t="shared" si="86"/>
        <v>0</v>
      </c>
      <c r="G100" s="154">
        <f t="shared" si="86"/>
        <v>0</v>
      </c>
      <c r="H100" s="154">
        <f t="shared" si="86"/>
        <v>0</v>
      </c>
      <c r="I100" s="154">
        <f t="shared" si="86"/>
        <v>0</v>
      </c>
      <c r="J100" s="154">
        <f t="shared" si="86"/>
        <v>0</v>
      </c>
      <c r="K100" s="154">
        <f t="shared" si="86"/>
        <v>0</v>
      </c>
      <c r="L100" s="154">
        <f t="shared" si="86"/>
        <v>0</v>
      </c>
      <c r="M100" s="154">
        <f t="shared" si="86"/>
        <v>0</v>
      </c>
      <c r="N100" s="154">
        <f t="shared" si="86"/>
        <v>0</v>
      </c>
      <c r="O100" s="154">
        <f t="shared" ref="O100:AM100" si="87">O60-O20</f>
        <v>0</v>
      </c>
      <c r="P100" s="154">
        <f t="shared" si="87"/>
        <v>0</v>
      </c>
      <c r="Q100" s="154">
        <f t="shared" si="87"/>
        <v>0</v>
      </c>
      <c r="R100" s="154">
        <f t="shared" si="87"/>
        <v>0</v>
      </c>
      <c r="S100" s="154">
        <f t="shared" si="87"/>
        <v>0</v>
      </c>
      <c r="T100" s="154">
        <f t="shared" si="87"/>
        <v>0</v>
      </c>
      <c r="U100" s="154">
        <f t="shared" si="87"/>
        <v>0</v>
      </c>
      <c r="V100" s="154">
        <f t="shared" si="87"/>
        <v>0</v>
      </c>
      <c r="W100" s="154">
        <f t="shared" si="87"/>
        <v>0</v>
      </c>
      <c r="X100" s="154">
        <f t="shared" si="87"/>
        <v>0</v>
      </c>
      <c r="Y100" s="154">
        <f t="shared" si="87"/>
        <v>0</v>
      </c>
      <c r="Z100" s="154">
        <f t="shared" si="87"/>
        <v>0</v>
      </c>
      <c r="AA100" s="154">
        <f t="shared" si="87"/>
        <v>0</v>
      </c>
      <c r="AB100" s="154">
        <f t="shared" si="87"/>
        <v>0</v>
      </c>
      <c r="AC100" s="154">
        <f t="shared" si="87"/>
        <v>0</v>
      </c>
      <c r="AD100" s="154">
        <f t="shared" si="87"/>
        <v>0</v>
      </c>
      <c r="AE100" s="154">
        <f t="shared" si="87"/>
        <v>0</v>
      </c>
      <c r="AF100" s="154">
        <f t="shared" si="87"/>
        <v>0</v>
      </c>
      <c r="AG100" s="154">
        <f t="shared" si="87"/>
        <v>0</v>
      </c>
      <c r="AH100" s="154">
        <f t="shared" si="87"/>
        <v>0</v>
      </c>
      <c r="AI100" s="154">
        <f t="shared" si="87"/>
        <v>0</v>
      </c>
      <c r="AJ100" s="154">
        <f t="shared" si="87"/>
        <v>0</v>
      </c>
      <c r="AK100" s="154">
        <f t="shared" si="87"/>
        <v>0</v>
      </c>
      <c r="AL100" s="155">
        <f t="shared" si="87"/>
        <v>0</v>
      </c>
      <c r="AM100" s="152">
        <f t="shared" si="87"/>
        <v>0</v>
      </c>
    </row>
    <row r="101" spans="3:39" x14ac:dyDescent="0.2">
      <c r="C101" s="285"/>
      <c r="D101" s="107" t="s">
        <v>210</v>
      </c>
      <c r="E101" s="153">
        <f t="shared" ref="E101:AM108" si="88">E61-E21</f>
        <v>0</v>
      </c>
      <c r="F101" s="154">
        <f t="shared" si="88"/>
        <v>0</v>
      </c>
      <c r="G101" s="154">
        <f t="shared" si="88"/>
        <v>0</v>
      </c>
      <c r="H101" s="154">
        <f t="shared" si="88"/>
        <v>0</v>
      </c>
      <c r="I101" s="154">
        <f t="shared" si="88"/>
        <v>0</v>
      </c>
      <c r="J101" s="154">
        <f t="shared" si="88"/>
        <v>0</v>
      </c>
      <c r="K101" s="154">
        <f t="shared" si="88"/>
        <v>0</v>
      </c>
      <c r="L101" s="154">
        <f t="shared" si="88"/>
        <v>0</v>
      </c>
      <c r="M101" s="154">
        <f t="shared" si="88"/>
        <v>0</v>
      </c>
      <c r="N101" s="154">
        <f t="shared" si="88"/>
        <v>0</v>
      </c>
      <c r="O101" s="154">
        <f t="shared" si="88"/>
        <v>0</v>
      </c>
      <c r="P101" s="154">
        <f t="shared" si="88"/>
        <v>0</v>
      </c>
      <c r="Q101" s="154">
        <f t="shared" si="88"/>
        <v>0</v>
      </c>
      <c r="R101" s="154">
        <f t="shared" si="88"/>
        <v>0</v>
      </c>
      <c r="S101" s="154">
        <f t="shared" si="88"/>
        <v>0</v>
      </c>
      <c r="T101" s="154">
        <f t="shared" si="88"/>
        <v>0</v>
      </c>
      <c r="U101" s="154">
        <f t="shared" si="88"/>
        <v>0</v>
      </c>
      <c r="V101" s="154">
        <f t="shared" si="88"/>
        <v>0</v>
      </c>
      <c r="W101" s="154">
        <f t="shared" si="88"/>
        <v>0</v>
      </c>
      <c r="X101" s="154">
        <f t="shared" si="88"/>
        <v>0</v>
      </c>
      <c r="Y101" s="154">
        <f t="shared" si="88"/>
        <v>0</v>
      </c>
      <c r="Z101" s="154">
        <f t="shared" si="88"/>
        <v>0</v>
      </c>
      <c r="AA101" s="154">
        <f t="shared" si="88"/>
        <v>0</v>
      </c>
      <c r="AB101" s="154">
        <f t="shared" si="88"/>
        <v>0</v>
      </c>
      <c r="AC101" s="154">
        <f t="shared" si="88"/>
        <v>0</v>
      </c>
      <c r="AD101" s="154">
        <f t="shared" si="88"/>
        <v>0</v>
      </c>
      <c r="AE101" s="154">
        <f t="shared" si="88"/>
        <v>0</v>
      </c>
      <c r="AF101" s="154">
        <f t="shared" si="88"/>
        <v>0</v>
      </c>
      <c r="AG101" s="154">
        <f t="shared" si="88"/>
        <v>0</v>
      </c>
      <c r="AH101" s="154">
        <f t="shared" si="88"/>
        <v>0</v>
      </c>
      <c r="AI101" s="154">
        <f t="shared" si="88"/>
        <v>0</v>
      </c>
      <c r="AJ101" s="154">
        <f t="shared" si="88"/>
        <v>0</v>
      </c>
      <c r="AK101" s="154">
        <f t="shared" si="88"/>
        <v>0</v>
      </c>
      <c r="AL101" s="155">
        <f t="shared" si="88"/>
        <v>0</v>
      </c>
      <c r="AM101" s="152">
        <f t="shared" si="88"/>
        <v>0</v>
      </c>
    </row>
    <row r="102" spans="3:39" x14ac:dyDescent="0.2">
      <c r="C102" s="285"/>
      <c r="D102" s="107" t="s">
        <v>197</v>
      </c>
      <c r="E102" s="153">
        <f t="shared" si="88"/>
        <v>0</v>
      </c>
      <c r="F102" s="154">
        <f t="shared" si="88"/>
        <v>0</v>
      </c>
      <c r="G102" s="154">
        <f t="shared" si="88"/>
        <v>0</v>
      </c>
      <c r="H102" s="154">
        <f t="shared" si="88"/>
        <v>0</v>
      </c>
      <c r="I102" s="154">
        <f t="shared" si="88"/>
        <v>0</v>
      </c>
      <c r="J102" s="154">
        <f t="shared" si="88"/>
        <v>0</v>
      </c>
      <c r="K102" s="154">
        <f t="shared" si="88"/>
        <v>0</v>
      </c>
      <c r="L102" s="154">
        <f t="shared" si="88"/>
        <v>0</v>
      </c>
      <c r="M102" s="154">
        <f t="shared" si="88"/>
        <v>0</v>
      </c>
      <c r="N102" s="154">
        <f t="shared" si="88"/>
        <v>0</v>
      </c>
      <c r="O102" s="154">
        <f t="shared" si="88"/>
        <v>0</v>
      </c>
      <c r="P102" s="154">
        <f t="shared" si="88"/>
        <v>0</v>
      </c>
      <c r="Q102" s="154">
        <f t="shared" si="88"/>
        <v>0</v>
      </c>
      <c r="R102" s="154">
        <f t="shared" si="88"/>
        <v>0</v>
      </c>
      <c r="S102" s="154">
        <f t="shared" si="88"/>
        <v>0</v>
      </c>
      <c r="T102" s="154">
        <f t="shared" si="88"/>
        <v>0</v>
      </c>
      <c r="U102" s="154">
        <f t="shared" si="88"/>
        <v>0</v>
      </c>
      <c r="V102" s="154">
        <f t="shared" si="88"/>
        <v>0</v>
      </c>
      <c r="W102" s="154">
        <f t="shared" si="88"/>
        <v>0</v>
      </c>
      <c r="X102" s="154">
        <f t="shared" si="88"/>
        <v>0</v>
      </c>
      <c r="Y102" s="154">
        <f t="shared" si="88"/>
        <v>0</v>
      </c>
      <c r="Z102" s="154">
        <f t="shared" si="88"/>
        <v>0</v>
      </c>
      <c r="AA102" s="154">
        <f t="shared" si="88"/>
        <v>0</v>
      </c>
      <c r="AB102" s="154">
        <f t="shared" si="88"/>
        <v>0</v>
      </c>
      <c r="AC102" s="154">
        <f t="shared" si="88"/>
        <v>0</v>
      </c>
      <c r="AD102" s="154">
        <f t="shared" si="88"/>
        <v>0</v>
      </c>
      <c r="AE102" s="154">
        <f t="shared" si="88"/>
        <v>0</v>
      </c>
      <c r="AF102" s="154">
        <f t="shared" si="88"/>
        <v>0</v>
      </c>
      <c r="AG102" s="154">
        <f t="shared" si="88"/>
        <v>0</v>
      </c>
      <c r="AH102" s="154">
        <f t="shared" si="88"/>
        <v>0</v>
      </c>
      <c r="AI102" s="154">
        <f t="shared" si="88"/>
        <v>0</v>
      </c>
      <c r="AJ102" s="154">
        <f t="shared" si="88"/>
        <v>0</v>
      </c>
      <c r="AK102" s="154">
        <f t="shared" si="88"/>
        <v>0</v>
      </c>
      <c r="AL102" s="155">
        <f t="shared" si="88"/>
        <v>0</v>
      </c>
      <c r="AM102" s="152">
        <f t="shared" si="88"/>
        <v>0</v>
      </c>
    </row>
    <row r="103" spans="3:39" x14ac:dyDescent="0.2">
      <c r="C103" s="285"/>
      <c r="D103" s="107" t="s">
        <v>212</v>
      </c>
      <c r="E103" s="153">
        <f t="shared" si="88"/>
        <v>0</v>
      </c>
      <c r="F103" s="154">
        <f t="shared" si="88"/>
        <v>0</v>
      </c>
      <c r="G103" s="154">
        <f t="shared" si="88"/>
        <v>0</v>
      </c>
      <c r="H103" s="154">
        <f t="shared" si="88"/>
        <v>0</v>
      </c>
      <c r="I103" s="154">
        <f t="shared" si="88"/>
        <v>0</v>
      </c>
      <c r="J103" s="154">
        <f t="shared" si="88"/>
        <v>0</v>
      </c>
      <c r="K103" s="154">
        <f t="shared" si="88"/>
        <v>0</v>
      </c>
      <c r="L103" s="154">
        <f t="shared" si="88"/>
        <v>0</v>
      </c>
      <c r="M103" s="154">
        <f t="shared" si="88"/>
        <v>0</v>
      </c>
      <c r="N103" s="154">
        <f t="shared" si="88"/>
        <v>0</v>
      </c>
      <c r="O103" s="154">
        <f t="shared" si="88"/>
        <v>0</v>
      </c>
      <c r="P103" s="154">
        <f t="shared" si="88"/>
        <v>0</v>
      </c>
      <c r="Q103" s="154">
        <f t="shared" si="88"/>
        <v>0</v>
      </c>
      <c r="R103" s="154">
        <f t="shared" si="88"/>
        <v>0</v>
      </c>
      <c r="S103" s="154">
        <f t="shared" si="88"/>
        <v>0</v>
      </c>
      <c r="T103" s="154">
        <f t="shared" si="88"/>
        <v>0</v>
      </c>
      <c r="U103" s="154">
        <f t="shared" si="88"/>
        <v>0</v>
      </c>
      <c r="V103" s="154">
        <f t="shared" si="88"/>
        <v>0</v>
      </c>
      <c r="W103" s="154">
        <f t="shared" si="88"/>
        <v>0</v>
      </c>
      <c r="X103" s="154">
        <f t="shared" si="88"/>
        <v>0</v>
      </c>
      <c r="Y103" s="154">
        <f t="shared" si="88"/>
        <v>0</v>
      </c>
      <c r="Z103" s="154">
        <f t="shared" si="88"/>
        <v>0</v>
      </c>
      <c r="AA103" s="154">
        <f t="shared" si="88"/>
        <v>0</v>
      </c>
      <c r="AB103" s="154">
        <f t="shared" si="88"/>
        <v>0</v>
      </c>
      <c r="AC103" s="154">
        <f t="shared" si="88"/>
        <v>0</v>
      </c>
      <c r="AD103" s="154">
        <f t="shared" si="88"/>
        <v>0</v>
      </c>
      <c r="AE103" s="154">
        <f t="shared" si="88"/>
        <v>0</v>
      </c>
      <c r="AF103" s="154">
        <f t="shared" si="88"/>
        <v>0</v>
      </c>
      <c r="AG103" s="154">
        <f t="shared" si="88"/>
        <v>0</v>
      </c>
      <c r="AH103" s="154">
        <f t="shared" si="88"/>
        <v>0</v>
      </c>
      <c r="AI103" s="154">
        <f t="shared" si="88"/>
        <v>0</v>
      </c>
      <c r="AJ103" s="154">
        <f t="shared" si="88"/>
        <v>0</v>
      </c>
      <c r="AK103" s="154">
        <f t="shared" si="88"/>
        <v>0</v>
      </c>
      <c r="AL103" s="155">
        <f t="shared" si="88"/>
        <v>0</v>
      </c>
      <c r="AM103" s="152">
        <f t="shared" si="88"/>
        <v>0</v>
      </c>
    </row>
    <row r="104" spans="3:39" x14ac:dyDescent="0.2">
      <c r="C104" s="285"/>
      <c r="D104" s="107" t="s">
        <v>211</v>
      </c>
      <c r="E104" s="153">
        <f t="shared" si="88"/>
        <v>0</v>
      </c>
      <c r="F104" s="154">
        <f t="shared" si="88"/>
        <v>0</v>
      </c>
      <c r="G104" s="154">
        <f t="shared" si="88"/>
        <v>0</v>
      </c>
      <c r="H104" s="154">
        <f t="shared" si="88"/>
        <v>0</v>
      </c>
      <c r="I104" s="154">
        <f t="shared" si="88"/>
        <v>0</v>
      </c>
      <c r="J104" s="154">
        <f t="shared" si="88"/>
        <v>0</v>
      </c>
      <c r="K104" s="154">
        <f t="shared" si="88"/>
        <v>0</v>
      </c>
      <c r="L104" s="154">
        <f t="shared" si="88"/>
        <v>0</v>
      </c>
      <c r="M104" s="154">
        <f t="shared" si="88"/>
        <v>0</v>
      </c>
      <c r="N104" s="154">
        <f t="shared" si="88"/>
        <v>0</v>
      </c>
      <c r="O104" s="154">
        <f t="shared" si="88"/>
        <v>0</v>
      </c>
      <c r="P104" s="154">
        <f t="shared" si="88"/>
        <v>0</v>
      </c>
      <c r="Q104" s="154">
        <f t="shared" si="88"/>
        <v>0</v>
      </c>
      <c r="R104" s="154">
        <f t="shared" si="88"/>
        <v>0</v>
      </c>
      <c r="S104" s="154">
        <f t="shared" si="88"/>
        <v>0</v>
      </c>
      <c r="T104" s="154">
        <f t="shared" si="88"/>
        <v>0</v>
      </c>
      <c r="U104" s="154">
        <f t="shared" si="88"/>
        <v>0</v>
      </c>
      <c r="V104" s="154">
        <f t="shared" si="88"/>
        <v>0</v>
      </c>
      <c r="W104" s="154">
        <f t="shared" si="88"/>
        <v>0</v>
      </c>
      <c r="X104" s="154">
        <f t="shared" si="88"/>
        <v>0</v>
      </c>
      <c r="Y104" s="154">
        <f t="shared" si="88"/>
        <v>0</v>
      </c>
      <c r="Z104" s="154">
        <f t="shared" si="88"/>
        <v>0</v>
      </c>
      <c r="AA104" s="154">
        <f t="shared" si="88"/>
        <v>0</v>
      </c>
      <c r="AB104" s="154">
        <f t="shared" si="88"/>
        <v>0</v>
      </c>
      <c r="AC104" s="154">
        <f t="shared" si="88"/>
        <v>0</v>
      </c>
      <c r="AD104" s="154">
        <f t="shared" si="88"/>
        <v>0</v>
      </c>
      <c r="AE104" s="154">
        <f t="shared" si="88"/>
        <v>0</v>
      </c>
      <c r="AF104" s="154">
        <f t="shared" si="88"/>
        <v>0</v>
      </c>
      <c r="AG104" s="154">
        <f t="shared" si="88"/>
        <v>0</v>
      </c>
      <c r="AH104" s="154">
        <f t="shared" si="88"/>
        <v>0</v>
      </c>
      <c r="AI104" s="154">
        <f t="shared" si="88"/>
        <v>0</v>
      </c>
      <c r="AJ104" s="154">
        <f t="shared" si="88"/>
        <v>0</v>
      </c>
      <c r="AK104" s="154">
        <f t="shared" si="88"/>
        <v>0</v>
      </c>
      <c r="AL104" s="155">
        <f t="shared" si="88"/>
        <v>0</v>
      </c>
      <c r="AM104" s="152">
        <f t="shared" si="88"/>
        <v>0</v>
      </c>
    </row>
    <row r="105" spans="3:39" x14ac:dyDescent="0.2">
      <c r="C105" s="285"/>
      <c r="D105" s="107" t="s">
        <v>213</v>
      </c>
      <c r="E105" s="153">
        <f t="shared" si="88"/>
        <v>0</v>
      </c>
      <c r="F105" s="154">
        <f t="shared" si="88"/>
        <v>0</v>
      </c>
      <c r="G105" s="154">
        <f t="shared" si="88"/>
        <v>0</v>
      </c>
      <c r="H105" s="154">
        <f t="shared" si="88"/>
        <v>0</v>
      </c>
      <c r="I105" s="154">
        <f t="shared" si="88"/>
        <v>0</v>
      </c>
      <c r="J105" s="154">
        <f t="shared" si="88"/>
        <v>0</v>
      </c>
      <c r="K105" s="154">
        <f t="shared" si="88"/>
        <v>0</v>
      </c>
      <c r="L105" s="154">
        <f t="shared" si="88"/>
        <v>0</v>
      </c>
      <c r="M105" s="154">
        <f t="shared" si="88"/>
        <v>0</v>
      </c>
      <c r="N105" s="154">
        <f t="shared" si="88"/>
        <v>0</v>
      </c>
      <c r="O105" s="154">
        <f t="shared" si="88"/>
        <v>0</v>
      </c>
      <c r="P105" s="154">
        <f t="shared" si="88"/>
        <v>0</v>
      </c>
      <c r="Q105" s="154">
        <f t="shared" si="88"/>
        <v>0</v>
      </c>
      <c r="R105" s="154">
        <f t="shared" si="88"/>
        <v>0</v>
      </c>
      <c r="S105" s="154">
        <f t="shared" si="88"/>
        <v>0</v>
      </c>
      <c r="T105" s="154">
        <f t="shared" si="88"/>
        <v>0</v>
      </c>
      <c r="U105" s="154">
        <f t="shared" si="88"/>
        <v>0</v>
      </c>
      <c r="V105" s="154">
        <f t="shared" si="88"/>
        <v>0</v>
      </c>
      <c r="W105" s="154">
        <f t="shared" si="88"/>
        <v>0</v>
      </c>
      <c r="X105" s="154">
        <f t="shared" si="88"/>
        <v>0</v>
      </c>
      <c r="Y105" s="154">
        <f t="shared" si="88"/>
        <v>0</v>
      </c>
      <c r="Z105" s="154">
        <f t="shared" si="88"/>
        <v>0</v>
      </c>
      <c r="AA105" s="154">
        <f t="shared" si="88"/>
        <v>0</v>
      </c>
      <c r="AB105" s="154">
        <f t="shared" si="88"/>
        <v>0</v>
      </c>
      <c r="AC105" s="154">
        <f t="shared" si="88"/>
        <v>0</v>
      </c>
      <c r="AD105" s="154">
        <f t="shared" si="88"/>
        <v>0</v>
      </c>
      <c r="AE105" s="154">
        <f t="shared" si="88"/>
        <v>0</v>
      </c>
      <c r="AF105" s="154">
        <f t="shared" si="88"/>
        <v>0</v>
      </c>
      <c r="AG105" s="154">
        <f t="shared" si="88"/>
        <v>0</v>
      </c>
      <c r="AH105" s="154">
        <f t="shared" si="88"/>
        <v>0</v>
      </c>
      <c r="AI105" s="154">
        <f t="shared" si="88"/>
        <v>0</v>
      </c>
      <c r="AJ105" s="154">
        <f t="shared" si="88"/>
        <v>0</v>
      </c>
      <c r="AK105" s="154">
        <f t="shared" si="88"/>
        <v>0</v>
      </c>
      <c r="AL105" s="155">
        <f t="shared" si="88"/>
        <v>0</v>
      </c>
      <c r="AM105" s="152">
        <f t="shared" si="88"/>
        <v>0</v>
      </c>
    </row>
    <row r="106" spans="3:39" x14ac:dyDescent="0.2">
      <c r="C106" s="285"/>
      <c r="D106" s="107" t="s">
        <v>214</v>
      </c>
      <c r="E106" s="153">
        <f t="shared" si="88"/>
        <v>0</v>
      </c>
      <c r="F106" s="154">
        <f t="shared" si="88"/>
        <v>0</v>
      </c>
      <c r="G106" s="154">
        <f t="shared" si="88"/>
        <v>0</v>
      </c>
      <c r="H106" s="154">
        <f t="shared" si="88"/>
        <v>0</v>
      </c>
      <c r="I106" s="154">
        <f t="shared" si="88"/>
        <v>0</v>
      </c>
      <c r="J106" s="154">
        <f t="shared" si="88"/>
        <v>0</v>
      </c>
      <c r="K106" s="154">
        <f t="shared" si="88"/>
        <v>0</v>
      </c>
      <c r="L106" s="154">
        <f t="shared" si="88"/>
        <v>0</v>
      </c>
      <c r="M106" s="154">
        <f t="shared" si="88"/>
        <v>0</v>
      </c>
      <c r="N106" s="154">
        <f t="shared" si="88"/>
        <v>0</v>
      </c>
      <c r="O106" s="154">
        <f t="shared" si="88"/>
        <v>0</v>
      </c>
      <c r="P106" s="154">
        <f t="shared" si="88"/>
        <v>0</v>
      </c>
      <c r="Q106" s="154">
        <f t="shared" si="88"/>
        <v>0</v>
      </c>
      <c r="R106" s="154">
        <f t="shared" si="88"/>
        <v>0</v>
      </c>
      <c r="S106" s="154">
        <f t="shared" si="88"/>
        <v>0</v>
      </c>
      <c r="T106" s="154">
        <f t="shared" si="88"/>
        <v>0</v>
      </c>
      <c r="U106" s="154">
        <f t="shared" si="88"/>
        <v>0</v>
      </c>
      <c r="V106" s="154">
        <f t="shared" si="88"/>
        <v>0</v>
      </c>
      <c r="W106" s="154">
        <f t="shared" si="88"/>
        <v>0</v>
      </c>
      <c r="X106" s="154">
        <f t="shared" si="88"/>
        <v>0</v>
      </c>
      <c r="Y106" s="154">
        <f t="shared" si="88"/>
        <v>0</v>
      </c>
      <c r="Z106" s="154">
        <f t="shared" si="88"/>
        <v>0</v>
      </c>
      <c r="AA106" s="154">
        <f t="shared" si="88"/>
        <v>0</v>
      </c>
      <c r="AB106" s="154">
        <f t="shared" si="88"/>
        <v>0</v>
      </c>
      <c r="AC106" s="154">
        <f t="shared" si="88"/>
        <v>0</v>
      </c>
      <c r="AD106" s="154">
        <f t="shared" si="88"/>
        <v>0</v>
      </c>
      <c r="AE106" s="154">
        <f t="shared" si="88"/>
        <v>0</v>
      </c>
      <c r="AF106" s="154">
        <f t="shared" si="88"/>
        <v>0</v>
      </c>
      <c r="AG106" s="154">
        <f t="shared" si="88"/>
        <v>0</v>
      </c>
      <c r="AH106" s="154">
        <f t="shared" si="88"/>
        <v>0</v>
      </c>
      <c r="AI106" s="154">
        <f t="shared" si="88"/>
        <v>0</v>
      </c>
      <c r="AJ106" s="154">
        <f t="shared" si="88"/>
        <v>0</v>
      </c>
      <c r="AK106" s="154">
        <f t="shared" si="88"/>
        <v>0</v>
      </c>
      <c r="AL106" s="155">
        <f t="shared" si="88"/>
        <v>0</v>
      </c>
      <c r="AM106" s="152">
        <f t="shared" si="88"/>
        <v>0</v>
      </c>
    </row>
    <row r="107" spans="3:39" x14ac:dyDescent="0.2">
      <c r="C107" s="285"/>
      <c r="D107" s="107" t="s">
        <v>179</v>
      </c>
      <c r="E107" s="153">
        <f t="shared" si="88"/>
        <v>0</v>
      </c>
      <c r="F107" s="154">
        <f t="shared" si="88"/>
        <v>0</v>
      </c>
      <c r="G107" s="154">
        <f t="shared" si="88"/>
        <v>0</v>
      </c>
      <c r="H107" s="154">
        <f t="shared" si="88"/>
        <v>0</v>
      </c>
      <c r="I107" s="154">
        <f t="shared" si="88"/>
        <v>0</v>
      </c>
      <c r="J107" s="154">
        <f t="shared" si="88"/>
        <v>0</v>
      </c>
      <c r="K107" s="154">
        <f t="shared" si="88"/>
        <v>0</v>
      </c>
      <c r="L107" s="154">
        <f t="shared" si="88"/>
        <v>0</v>
      </c>
      <c r="M107" s="154">
        <f t="shared" si="88"/>
        <v>0</v>
      </c>
      <c r="N107" s="154">
        <f t="shared" si="88"/>
        <v>0</v>
      </c>
      <c r="O107" s="154">
        <f t="shared" si="88"/>
        <v>0</v>
      </c>
      <c r="P107" s="154">
        <f t="shared" si="88"/>
        <v>0</v>
      </c>
      <c r="Q107" s="154">
        <f t="shared" si="88"/>
        <v>0</v>
      </c>
      <c r="R107" s="154">
        <f t="shared" si="88"/>
        <v>0</v>
      </c>
      <c r="S107" s="154">
        <f t="shared" si="88"/>
        <v>0</v>
      </c>
      <c r="T107" s="154">
        <f t="shared" si="88"/>
        <v>0</v>
      </c>
      <c r="U107" s="154">
        <f t="shared" si="88"/>
        <v>0</v>
      </c>
      <c r="V107" s="154">
        <f t="shared" si="88"/>
        <v>0</v>
      </c>
      <c r="W107" s="154">
        <f t="shared" si="88"/>
        <v>0</v>
      </c>
      <c r="X107" s="154">
        <f t="shared" si="88"/>
        <v>0</v>
      </c>
      <c r="Y107" s="154">
        <f t="shared" si="88"/>
        <v>0</v>
      </c>
      <c r="Z107" s="154">
        <f t="shared" si="88"/>
        <v>0</v>
      </c>
      <c r="AA107" s="154">
        <f t="shared" si="88"/>
        <v>0</v>
      </c>
      <c r="AB107" s="154">
        <f t="shared" si="88"/>
        <v>0</v>
      </c>
      <c r="AC107" s="154">
        <f t="shared" si="88"/>
        <v>0</v>
      </c>
      <c r="AD107" s="154">
        <f t="shared" si="88"/>
        <v>0</v>
      </c>
      <c r="AE107" s="154">
        <f t="shared" si="88"/>
        <v>0</v>
      </c>
      <c r="AF107" s="154">
        <f t="shared" si="88"/>
        <v>0</v>
      </c>
      <c r="AG107" s="154">
        <f t="shared" si="88"/>
        <v>0</v>
      </c>
      <c r="AH107" s="154">
        <f t="shared" si="88"/>
        <v>0</v>
      </c>
      <c r="AI107" s="154">
        <f t="shared" si="88"/>
        <v>0</v>
      </c>
      <c r="AJ107" s="154">
        <f t="shared" si="88"/>
        <v>0</v>
      </c>
      <c r="AK107" s="154">
        <f t="shared" si="88"/>
        <v>0</v>
      </c>
      <c r="AL107" s="155">
        <f t="shared" si="88"/>
        <v>0</v>
      </c>
      <c r="AM107" s="152">
        <f t="shared" si="88"/>
        <v>0</v>
      </c>
    </row>
    <row r="108" spans="3:39" x14ac:dyDescent="0.2">
      <c r="C108" s="285"/>
      <c r="D108" s="107" t="s">
        <v>215</v>
      </c>
      <c r="E108" s="153">
        <f t="shared" si="88"/>
        <v>0</v>
      </c>
      <c r="F108" s="154">
        <f t="shared" si="88"/>
        <v>0</v>
      </c>
      <c r="G108" s="154">
        <f t="shared" si="88"/>
        <v>0</v>
      </c>
      <c r="H108" s="154">
        <f t="shared" si="88"/>
        <v>0</v>
      </c>
      <c r="I108" s="154">
        <f t="shared" si="88"/>
        <v>0</v>
      </c>
      <c r="J108" s="154">
        <f t="shared" si="88"/>
        <v>0</v>
      </c>
      <c r="K108" s="154">
        <f t="shared" si="88"/>
        <v>0</v>
      </c>
      <c r="L108" s="154">
        <f t="shared" si="88"/>
        <v>0</v>
      </c>
      <c r="M108" s="154">
        <f t="shared" si="88"/>
        <v>0</v>
      </c>
      <c r="N108" s="154">
        <f t="shared" si="88"/>
        <v>0</v>
      </c>
      <c r="O108" s="154">
        <f t="shared" ref="O108:AM108" si="89">O68-O28</f>
        <v>0</v>
      </c>
      <c r="P108" s="154">
        <f t="shared" si="89"/>
        <v>0</v>
      </c>
      <c r="Q108" s="154">
        <f t="shared" si="89"/>
        <v>0</v>
      </c>
      <c r="R108" s="154">
        <f t="shared" si="89"/>
        <v>0</v>
      </c>
      <c r="S108" s="154">
        <f t="shared" si="89"/>
        <v>0</v>
      </c>
      <c r="T108" s="154">
        <f t="shared" si="89"/>
        <v>0</v>
      </c>
      <c r="U108" s="154">
        <f t="shared" si="89"/>
        <v>0</v>
      </c>
      <c r="V108" s="154">
        <f t="shared" si="89"/>
        <v>0</v>
      </c>
      <c r="W108" s="154">
        <f t="shared" si="89"/>
        <v>0</v>
      </c>
      <c r="X108" s="154">
        <f t="shared" si="89"/>
        <v>0</v>
      </c>
      <c r="Y108" s="154">
        <f t="shared" si="89"/>
        <v>0</v>
      </c>
      <c r="Z108" s="154">
        <f t="shared" si="89"/>
        <v>0</v>
      </c>
      <c r="AA108" s="154">
        <f t="shared" si="89"/>
        <v>0</v>
      </c>
      <c r="AB108" s="154">
        <f t="shared" si="89"/>
        <v>0</v>
      </c>
      <c r="AC108" s="154">
        <f t="shared" si="89"/>
        <v>0</v>
      </c>
      <c r="AD108" s="154">
        <f t="shared" si="89"/>
        <v>0</v>
      </c>
      <c r="AE108" s="154">
        <f t="shared" si="89"/>
        <v>0</v>
      </c>
      <c r="AF108" s="154">
        <f t="shared" si="89"/>
        <v>0</v>
      </c>
      <c r="AG108" s="154">
        <f t="shared" si="89"/>
        <v>0</v>
      </c>
      <c r="AH108" s="154">
        <f t="shared" si="89"/>
        <v>0</v>
      </c>
      <c r="AI108" s="154">
        <f t="shared" si="89"/>
        <v>0</v>
      </c>
      <c r="AJ108" s="154">
        <f t="shared" si="89"/>
        <v>0</v>
      </c>
      <c r="AK108" s="154">
        <f t="shared" si="89"/>
        <v>0</v>
      </c>
      <c r="AL108" s="155">
        <f t="shared" si="89"/>
        <v>0</v>
      </c>
      <c r="AM108" s="152">
        <f t="shared" si="89"/>
        <v>0</v>
      </c>
    </row>
    <row r="109" spans="3:39" x14ac:dyDescent="0.2">
      <c r="C109" s="285"/>
      <c r="D109" s="107" t="s">
        <v>216</v>
      </c>
      <c r="E109" s="153">
        <f t="shared" ref="E109:AM116" si="90">E69-E29</f>
        <v>0</v>
      </c>
      <c r="F109" s="154">
        <f t="shared" si="90"/>
        <v>0</v>
      </c>
      <c r="G109" s="154">
        <f t="shared" si="90"/>
        <v>0</v>
      </c>
      <c r="H109" s="154">
        <f t="shared" si="90"/>
        <v>0</v>
      </c>
      <c r="I109" s="154">
        <f t="shared" si="90"/>
        <v>0</v>
      </c>
      <c r="J109" s="154">
        <f t="shared" si="90"/>
        <v>0</v>
      </c>
      <c r="K109" s="154">
        <f t="shared" si="90"/>
        <v>0</v>
      </c>
      <c r="L109" s="154">
        <f t="shared" si="90"/>
        <v>0</v>
      </c>
      <c r="M109" s="154">
        <f t="shared" si="90"/>
        <v>0</v>
      </c>
      <c r="N109" s="154">
        <f t="shared" si="90"/>
        <v>0</v>
      </c>
      <c r="O109" s="154">
        <f t="shared" si="90"/>
        <v>0</v>
      </c>
      <c r="P109" s="154">
        <f t="shared" si="90"/>
        <v>0</v>
      </c>
      <c r="Q109" s="154">
        <f t="shared" si="90"/>
        <v>0</v>
      </c>
      <c r="R109" s="154">
        <f t="shared" si="90"/>
        <v>0</v>
      </c>
      <c r="S109" s="154">
        <f t="shared" si="90"/>
        <v>0</v>
      </c>
      <c r="T109" s="154">
        <f t="shared" si="90"/>
        <v>0</v>
      </c>
      <c r="U109" s="154">
        <f t="shared" si="90"/>
        <v>0</v>
      </c>
      <c r="V109" s="154">
        <f t="shared" si="90"/>
        <v>0</v>
      </c>
      <c r="W109" s="154">
        <f t="shared" si="90"/>
        <v>0</v>
      </c>
      <c r="X109" s="154">
        <f t="shared" si="90"/>
        <v>0</v>
      </c>
      <c r="Y109" s="154">
        <f t="shared" si="90"/>
        <v>0</v>
      </c>
      <c r="Z109" s="154">
        <f t="shared" si="90"/>
        <v>0</v>
      </c>
      <c r="AA109" s="154">
        <f t="shared" si="90"/>
        <v>0</v>
      </c>
      <c r="AB109" s="154">
        <f t="shared" si="90"/>
        <v>0</v>
      </c>
      <c r="AC109" s="154">
        <f t="shared" si="90"/>
        <v>0</v>
      </c>
      <c r="AD109" s="154">
        <f t="shared" si="90"/>
        <v>0</v>
      </c>
      <c r="AE109" s="154">
        <f t="shared" si="90"/>
        <v>0</v>
      </c>
      <c r="AF109" s="154">
        <f t="shared" si="90"/>
        <v>0</v>
      </c>
      <c r="AG109" s="154">
        <f t="shared" si="90"/>
        <v>0</v>
      </c>
      <c r="AH109" s="154">
        <f t="shared" si="90"/>
        <v>0</v>
      </c>
      <c r="AI109" s="154">
        <f t="shared" si="90"/>
        <v>0</v>
      </c>
      <c r="AJ109" s="154">
        <f t="shared" si="90"/>
        <v>0</v>
      </c>
      <c r="AK109" s="154">
        <f t="shared" si="90"/>
        <v>0</v>
      </c>
      <c r="AL109" s="155">
        <f t="shared" si="90"/>
        <v>0</v>
      </c>
      <c r="AM109" s="152">
        <f t="shared" si="90"/>
        <v>0</v>
      </c>
    </row>
    <row r="110" spans="3:39" x14ac:dyDescent="0.2">
      <c r="C110" s="285"/>
      <c r="D110" s="107" t="s">
        <v>217</v>
      </c>
      <c r="E110" s="153">
        <f t="shared" si="90"/>
        <v>0</v>
      </c>
      <c r="F110" s="154">
        <f t="shared" si="90"/>
        <v>0</v>
      </c>
      <c r="G110" s="154">
        <f t="shared" si="90"/>
        <v>0</v>
      </c>
      <c r="H110" s="154">
        <f t="shared" si="90"/>
        <v>0</v>
      </c>
      <c r="I110" s="154">
        <f t="shared" si="90"/>
        <v>0</v>
      </c>
      <c r="J110" s="154">
        <f t="shared" si="90"/>
        <v>0</v>
      </c>
      <c r="K110" s="154">
        <f t="shared" si="90"/>
        <v>0</v>
      </c>
      <c r="L110" s="154">
        <f t="shared" si="90"/>
        <v>0</v>
      </c>
      <c r="M110" s="154">
        <f t="shared" si="90"/>
        <v>0</v>
      </c>
      <c r="N110" s="154">
        <f t="shared" si="90"/>
        <v>0</v>
      </c>
      <c r="O110" s="154">
        <f t="shared" si="90"/>
        <v>0</v>
      </c>
      <c r="P110" s="154">
        <f t="shared" si="90"/>
        <v>0</v>
      </c>
      <c r="Q110" s="154">
        <f t="shared" si="90"/>
        <v>0</v>
      </c>
      <c r="R110" s="154">
        <f t="shared" si="90"/>
        <v>0</v>
      </c>
      <c r="S110" s="154">
        <f t="shared" si="90"/>
        <v>0</v>
      </c>
      <c r="T110" s="154">
        <f t="shared" si="90"/>
        <v>0</v>
      </c>
      <c r="U110" s="154">
        <f t="shared" si="90"/>
        <v>0</v>
      </c>
      <c r="V110" s="154">
        <f t="shared" si="90"/>
        <v>0</v>
      </c>
      <c r="W110" s="154">
        <f t="shared" si="90"/>
        <v>0</v>
      </c>
      <c r="X110" s="154">
        <f t="shared" si="90"/>
        <v>0</v>
      </c>
      <c r="Y110" s="154">
        <f t="shared" si="90"/>
        <v>0</v>
      </c>
      <c r="Z110" s="154">
        <f t="shared" si="90"/>
        <v>0</v>
      </c>
      <c r="AA110" s="154">
        <f t="shared" si="90"/>
        <v>0</v>
      </c>
      <c r="AB110" s="154">
        <f t="shared" si="90"/>
        <v>0</v>
      </c>
      <c r="AC110" s="154">
        <f t="shared" si="90"/>
        <v>0</v>
      </c>
      <c r="AD110" s="154">
        <f t="shared" si="90"/>
        <v>0</v>
      </c>
      <c r="AE110" s="154">
        <f t="shared" si="90"/>
        <v>0</v>
      </c>
      <c r="AF110" s="154">
        <f t="shared" si="90"/>
        <v>0</v>
      </c>
      <c r="AG110" s="154">
        <f t="shared" si="90"/>
        <v>0</v>
      </c>
      <c r="AH110" s="154">
        <f t="shared" si="90"/>
        <v>0</v>
      </c>
      <c r="AI110" s="154">
        <f t="shared" si="90"/>
        <v>0</v>
      </c>
      <c r="AJ110" s="154">
        <f t="shared" si="90"/>
        <v>0</v>
      </c>
      <c r="AK110" s="154">
        <f t="shared" si="90"/>
        <v>0</v>
      </c>
      <c r="AL110" s="155">
        <f t="shared" si="90"/>
        <v>0</v>
      </c>
      <c r="AM110" s="152">
        <f t="shared" si="90"/>
        <v>0</v>
      </c>
    </row>
    <row r="111" spans="3:39" x14ac:dyDescent="0.2">
      <c r="C111" s="285"/>
      <c r="D111" s="107" t="s">
        <v>218</v>
      </c>
      <c r="E111" s="153">
        <f t="shared" si="90"/>
        <v>0</v>
      </c>
      <c r="F111" s="154">
        <f t="shared" si="90"/>
        <v>0</v>
      </c>
      <c r="G111" s="154">
        <f t="shared" si="90"/>
        <v>0</v>
      </c>
      <c r="H111" s="154">
        <f t="shared" si="90"/>
        <v>0</v>
      </c>
      <c r="I111" s="154">
        <f t="shared" si="90"/>
        <v>0</v>
      </c>
      <c r="J111" s="154">
        <f t="shared" si="90"/>
        <v>0</v>
      </c>
      <c r="K111" s="154">
        <f t="shared" si="90"/>
        <v>0</v>
      </c>
      <c r="L111" s="154">
        <f t="shared" si="90"/>
        <v>0</v>
      </c>
      <c r="M111" s="154">
        <f t="shared" si="90"/>
        <v>0</v>
      </c>
      <c r="N111" s="154">
        <f t="shared" si="90"/>
        <v>0</v>
      </c>
      <c r="O111" s="154">
        <f t="shared" si="90"/>
        <v>0</v>
      </c>
      <c r="P111" s="154">
        <f t="shared" si="90"/>
        <v>0</v>
      </c>
      <c r="Q111" s="154">
        <f t="shared" si="90"/>
        <v>0</v>
      </c>
      <c r="R111" s="154">
        <f t="shared" si="90"/>
        <v>0</v>
      </c>
      <c r="S111" s="154">
        <f t="shared" si="90"/>
        <v>0</v>
      </c>
      <c r="T111" s="154">
        <f t="shared" si="90"/>
        <v>0</v>
      </c>
      <c r="U111" s="154">
        <f t="shared" si="90"/>
        <v>0</v>
      </c>
      <c r="V111" s="154">
        <f t="shared" si="90"/>
        <v>0</v>
      </c>
      <c r="W111" s="154">
        <f t="shared" si="90"/>
        <v>0</v>
      </c>
      <c r="X111" s="154">
        <f t="shared" si="90"/>
        <v>0</v>
      </c>
      <c r="Y111" s="154">
        <f t="shared" si="90"/>
        <v>0</v>
      </c>
      <c r="Z111" s="154">
        <f t="shared" si="90"/>
        <v>0</v>
      </c>
      <c r="AA111" s="154">
        <f t="shared" si="90"/>
        <v>0</v>
      </c>
      <c r="AB111" s="154">
        <f t="shared" si="90"/>
        <v>0</v>
      </c>
      <c r="AC111" s="154">
        <f t="shared" si="90"/>
        <v>0</v>
      </c>
      <c r="AD111" s="154">
        <f t="shared" si="90"/>
        <v>0</v>
      </c>
      <c r="AE111" s="154">
        <f t="shared" si="90"/>
        <v>0</v>
      </c>
      <c r="AF111" s="154">
        <f t="shared" si="90"/>
        <v>0</v>
      </c>
      <c r="AG111" s="154">
        <f t="shared" si="90"/>
        <v>0</v>
      </c>
      <c r="AH111" s="154">
        <f t="shared" si="90"/>
        <v>0</v>
      </c>
      <c r="AI111" s="154">
        <f t="shared" si="90"/>
        <v>0</v>
      </c>
      <c r="AJ111" s="154">
        <f t="shared" si="90"/>
        <v>0</v>
      </c>
      <c r="AK111" s="154">
        <f t="shared" si="90"/>
        <v>0</v>
      </c>
      <c r="AL111" s="155">
        <f t="shared" si="90"/>
        <v>0</v>
      </c>
      <c r="AM111" s="152">
        <f t="shared" si="90"/>
        <v>0</v>
      </c>
    </row>
    <row r="112" spans="3:39" x14ac:dyDescent="0.2">
      <c r="C112" s="285"/>
      <c r="D112" s="107" t="s">
        <v>219</v>
      </c>
      <c r="E112" s="153">
        <f t="shared" si="90"/>
        <v>0</v>
      </c>
      <c r="F112" s="154">
        <f t="shared" si="90"/>
        <v>0</v>
      </c>
      <c r="G112" s="154">
        <f t="shared" si="90"/>
        <v>0</v>
      </c>
      <c r="H112" s="154">
        <f t="shared" si="90"/>
        <v>0</v>
      </c>
      <c r="I112" s="154">
        <f t="shared" si="90"/>
        <v>0</v>
      </c>
      <c r="J112" s="154">
        <f t="shared" si="90"/>
        <v>0</v>
      </c>
      <c r="K112" s="154">
        <f t="shared" si="90"/>
        <v>0</v>
      </c>
      <c r="L112" s="154">
        <f t="shared" si="90"/>
        <v>0</v>
      </c>
      <c r="M112" s="154">
        <f t="shared" si="90"/>
        <v>0</v>
      </c>
      <c r="N112" s="154">
        <f t="shared" si="90"/>
        <v>0</v>
      </c>
      <c r="O112" s="154">
        <f t="shared" si="90"/>
        <v>0</v>
      </c>
      <c r="P112" s="154">
        <f t="shared" si="90"/>
        <v>0</v>
      </c>
      <c r="Q112" s="154">
        <f t="shared" si="90"/>
        <v>0</v>
      </c>
      <c r="R112" s="154">
        <f t="shared" si="90"/>
        <v>0</v>
      </c>
      <c r="S112" s="154">
        <f t="shared" si="90"/>
        <v>0</v>
      </c>
      <c r="T112" s="154">
        <f t="shared" si="90"/>
        <v>0</v>
      </c>
      <c r="U112" s="154">
        <f t="shared" si="90"/>
        <v>0</v>
      </c>
      <c r="V112" s="154">
        <f t="shared" si="90"/>
        <v>0</v>
      </c>
      <c r="W112" s="154">
        <f t="shared" si="90"/>
        <v>0</v>
      </c>
      <c r="X112" s="154">
        <f t="shared" si="90"/>
        <v>0</v>
      </c>
      <c r="Y112" s="154">
        <f t="shared" si="90"/>
        <v>0</v>
      </c>
      <c r="Z112" s="154">
        <f t="shared" si="90"/>
        <v>0</v>
      </c>
      <c r="AA112" s="154">
        <f t="shared" si="90"/>
        <v>0</v>
      </c>
      <c r="AB112" s="154">
        <f t="shared" si="90"/>
        <v>0</v>
      </c>
      <c r="AC112" s="154">
        <f t="shared" si="90"/>
        <v>0</v>
      </c>
      <c r="AD112" s="154">
        <f t="shared" si="90"/>
        <v>0</v>
      </c>
      <c r="AE112" s="154">
        <f t="shared" si="90"/>
        <v>0</v>
      </c>
      <c r="AF112" s="154">
        <f t="shared" si="90"/>
        <v>0</v>
      </c>
      <c r="AG112" s="154">
        <f t="shared" si="90"/>
        <v>0</v>
      </c>
      <c r="AH112" s="154">
        <f t="shared" si="90"/>
        <v>0</v>
      </c>
      <c r="AI112" s="154">
        <f t="shared" si="90"/>
        <v>0</v>
      </c>
      <c r="AJ112" s="154">
        <f t="shared" si="90"/>
        <v>0</v>
      </c>
      <c r="AK112" s="154">
        <f t="shared" si="90"/>
        <v>0</v>
      </c>
      <c r="AL112" s="155">
        <f t="shared" si="90"/>
        <v>0</v>
      </c>
      <c r="AM112" s="152">
        <f t="shared" si="90"/>
        <v>0</v>
      </c>
    </row>
    <row r="113" spans="1:39" x14ac:dyDescent="0.2">
      <c r="C113" s="285"/>
      <c r="D113" s="107" t="s">
        <v>220</v>
      </c>
      <c r="E113" s="153">
        <f t="shared" si="90"/>
        <v>0</v>
      </c>
      <c r="F113" s="154">
        <f t="shared" si="90"/>
        <v>0</v>
      </c>
      <c r="G113" s="154">
        <f t="shared" si="90"/>
        <v>0</v>
      </c>
      <c r="H113" s="154">
        <f t="shared" si="90"/>
        <v>0</v>
      </c>
      <c r="I113" s="154">
        <f t="shared" si="90"/>
        <v>0</v>
      </c>
      <c r="J113" s="154">
        <f t="shared" si="90"/>
        <v>0</v>
      </c>
      <c r="K113" s="154">
        <f t="shared" si="90"/>
        <v>0</v>
      </c>
      <c r="L113" s="154">
        <f t="shared" si="90"/>
        <v>0</v>
      </c>
      <c r="M113" s="154">
        <f t="shared" si="90"/>
        <v>0</v>
      </c>
      <c r="N113" s="154">
        <f t="shared" si="90"/>
        <v>0</v>
      </c>
      <c r="O113" s="154">
        <f t="shared" si="90"/>
        <v>0</v>
      </c>
      <c r="P113" s="154">
        <f t="shared" si="90"/>
        <v>0</v>
      </c>
      <c r="Q113" s="154">
        <f t="shared" si="90"/>
        <v>0</v>
      </c>
      <c r="R113" s="154">
        <f t="shared" si="90"/>
        <v>0</v>
      </c>
      <c r="S113" s="154">
        <f t="shared" si="90"/>
        <v>0</v>
      </c>
      <c r="T113" s="154">
        <f t="shared" si="90"/>
        <v>0</v>
      </c>
      <c r="U113" s="154">
        <f t="shared" si="90"/>
        <v>0</v>
      </c>
      <c r="V113" s="154">
        <f t="shared" si="90"/>
        <v>0</v>
      </c>
      <c r="W113" s="154">
        <f t="shared" si="90"/>
        <v>0</v>
      </c>
      <c r="X113" s="154">
        <f t="shared" si="90"/>
        <v>0</v>
      </c>
      <c r="Y113" s="154">
        <f t="shared" si="90"/>
        <v>0</v>
      </c>
      <c r="Z113" s="154">
        <f t="shared" si="90"/>
        <v>0</v>
      </c>
      <c r="AA113" s="154">
        <f t="shared" si="90"/>
        <v>0</v>
      </c>
      <c r="AB113" s="154">
        <f t="shared" si="90"/>
        <v>0</v>
      </c>
      <c r="AC113" s="154">
        <f t="shared" si="90"/>
        <v>0</v>
      </c>
      <c r="AD113" s="154">
        <f t="shared" si="90"/>
        <v>0</v>
      </c>
      <c r="AE113" s="154">
        <f t="shared" si="90"/>
        <v>0</v>
      </c>
      <c r="AF113" s="154">
        <f t="shared" si="90"/>
        <v>0</v>
      </c>
      <c r="AG113" s="154">
        <f t="shared" si="90"/>
        <v>0</v>
      </c>
      <c r="AH113" s="154">
        <f t="shared" si="90"/>
        <v>0</v>
      </c>
      <c r="AI113" s="154">
        <f t="shared" si="90"/>
        <v>0</v>
      </c>
      <c r="AJ113" s="154">
        <f t="shared" si="90"/>
        <v>0</v>
      </c>
      <c r="AK113" s="154">
        <f t="shared" si="90"/>
        <v>0</v>
      </c>
      <c r="AL113" s="155">
        <f t="shared" si="90"/>
        <v>0</v>
      </c>
      <c r="AM113" s="152">
        <f t="shared" si="90"/>
        <v>0</v>
      </c>
    </row>
    <row r="114" spans="1:39" x14ac:dyDescent="0.2">
      <c r="C114" s="285"/>
      <c r="D114" s="107" t="s">
        <v>221</v>
      </c>
      <c r="E114" s="153">
        <f t="shared" si="90"/>
        <v>0</v>
      </c>
      <c r="F114" s="154">
        <f t="shared" si="90"/>
        <v>0</v>
      </c>
      <c r="G114" s="154">
        <f t="shared" si="90"/>
        <v>0</v>
      </c>
      <c r="H114" s="154">
        <f t="shared" si="90"/>
        <v>0</v>
      </c>
      <c r="I114" s="154">
        <f t="shared" si="90"/>
        <v>0</v>
      </c>
      <c r="J114" s="154">
        <f t="shared" si="90"/>
        <v>0</v>
      </c>
      <c r="K114" s="154">
        <f t="shared" si="90"/>
        <v>0</v>
      </c>
      <c r="L114" s="154">
        <f t="shared" si="90"/>
        <v>0</v>
      </c>
      <c r="M114" s="154">
        <f t="shared" si="90"/>
        <v>0</v>
      </c>
      <c r="N114" s="154">
        <f t="shared" si="90"/>
        <v>0</v>
      </c>
      <c r="O114" s="154">
        <f t="shared" si="90"/>
        <v>0</v>
      </c>
      <c r="P114" s="154">
        <f t="shared" si="90"/>
        <v>0</v>
      </c>
      <c r="Q114" s="154">
        <f t="shared" si="90"/>
        <v>0</v>
      </c>
      <c r="R114" s="154">
        <f t="shared" si="90"/>
        <v>0</v>
      </c>
      <c r="S114" s="154">
        <f t="shared" si="90"/>
        <v>0</v>
      </c>
      <c r="T114" s="154">
        <f t="shared" si="90"/>
        <v>0</v>
      </c>
      <c r="U114" s="154">
        <f t="shared" si="90"/>
        <v>0</v>
      </c>
      <c r="V114" s="154">
        <f t="shared" si="90"/>
        <v>0</v>
      </c>
      <c r="W114" s="154">
        <f t="shared" si="90"/>
        <v>0</v>
      </c>
      <c r="X114" s="154">
        <f t="shared" si="90"/>
        <v>0</v>
      </c>
      <c r="Y114" s="154">
        <f t="shared" si="90"/>
        <v>0</v>
      </c>
      <c r="Z114" s="154">
        <f t="shared" si="90"/>
        <v>0</v>
      </c>
      <c r="AA114" s="154">
        <f t="shared" si="90"/>
        <v>0</v>
      </c>
      <c r="AB114" s="154">
        <f t="shared" si="90"/>
        <v>0</v>
      </c>
      <c r="AC114" s="154">
        <f t="shared" si="90"/>
        <v>0</v>
      </c>
      <c r="AD114" s="154">
        <f t="shared" si="90"/>
        <v>0</v>
      </c>
      <c r="AE114" s="154">
        <f t="shared" si="90"/>
        <v>0</v>
      </c>
      <c r="AF114" s="154">
        <f t="shared" si="90"/>
        <v>0</v>
      </c>
      <c r="AG114" s="154">
        <f t="shared" si="90"/>
        <v>0</v>
      </c>
      <c r="AH114" s="154">
        <f t="shared" si="90"/>
        <v>0</v>
      </c>
      <c r="AI114" s="154">
        <f t="shared" si="90"/>
        <v>0</v>
      </c>
      <c r="AJ114" s="154">
        <f t="shared" si="90"/>
        <v>0</v>
      </c>
      <c r="AK114" s="154">
        <f t="shared" si="90"/>
        <v>0</v>
      </c>
      <c r="AL114" s="155">
        <f t="shared" si="90"/>
        <v>0</v>
      </c>
      <c r="AM114" s="152">
        <f t="shared" si="90"/>
        <v>0</v>
      </c>
    </row>
    <row r="115" spans="1:39" x14ac:dyDescent="0.2">
      <c r="C115" s="285"/>
      <c r="D115" s="107" t="s">
        <v>222</v>
      </c>
      <c r="E115" s="153">
        <f t="shared" si="90"/>
        <v>0</v>
      </c>
      <c r="F115" s="154">
        <f t="shared" si="90"/>
        <v>0</v>
      </c>
      <c r="G115" s="154">
        <f t="shared" si="90"/>
        <v>0</v>
      </c>
      <c r="H115" s="154">
        <f t="shared" si="90"/>
        <v>0</v>
      </c>
      <c r="I115" s="154">
        <f t="shared" si="90"/>
        <v>0</v>
      </c>
      <c r="J115" s="154">
        <f t="shared" si="90"/>
        <v>0</v>
      </c>
      <c r="K115" s="154">
        <f t="shared" si="90"/>
        <v>0</v>
      </c>
      <c r="L115" s="154">
        <f t="shared" si="90"/>
        <v>0</v>
      </c>
      <c r="M115" s="154">
        <f t="shared" si="90"/>
        <v>0</v>
      </c>
      <c r="N115" s="154">
        <f t="shared" si="90"/>
        <v>0</v>
      </c>
      <c r="O115" s="154">
        <f t="shared" si="90"/>
        <v>0</v>
      </c>
      <c r="P115" s="154">
        <f t="shared" si="90"/>
        <v>0</v>
      </c>
      <c r="Q115" s="154">
        <f t="shared" si="90"/>
        <v>0</v>
      </c>
      <c r="R115" s="154">
        <f t="shared" si="90"/>
        <v>0</v>
      </c>
      <c r="S115" s="154">
        <f t="shared" si="90"/>
        <v>0</v>
      </c>
      <c r="T115" s="154">
        <f t="shared" si="90"/>
        <v>0</v>
      </c>
      <c r="U115" s="154">
        <f t="shared" si="90"/>
        <v>0</v>
      </c>
      <c r="V115" s="154">
        <f t="shared" si="90"/>
        <v>0</v>
      </c>
      <c r="W115" s="154">
        <f t="shared" si="90"/>
        <v>0</v>
      </c>
      <c r="X115" s="154">
        <f t="shared" si="90"/>
        <v>0</v>
      </c>
      <c r="Y115" s="154">
        <f t="shared" si="90"/>
        <v>0</v>
      </c>
      <c r="Z115" s="154">
        <f t="shared" si="90"/>
        <v>0</v>
      </c>
      <c r="AA115" s="154">
        <f t="shared" si="90"/>
        <v>0</v>
      </c>
      <c r="AB115" s="154">
        <f t="shared" si="90"/>
        <v>0</v>
      </c>
      <c r="AC115" s="154">
        <f t="shared" si="90"/>
        <v>0</v>
      </c>
      <c r="AD115" s="154">
        <f t="shared" si="90"/>
        <v>0</v>
      </c>
      <c r="AE115" s="154">
        <f t="shared" si="90"/>
        <v>0</v>
      </c>
      <c r="AF115" s="154">
        <f t="shared" si="90"/>
        <v>0</v>
      </c>
      <c r="AG115" s="154">
        <f t="shared" si="90"/>
        <v>0</v>
      </c>
      <c r="AH115" s="154">
        <f t="shared" si="90"/>
        <v>0</v>
      </c>
      <c r="AI115" s="154">
        <f t="shared" si="90"/>
        <v>0</v>
      </c>
      <c r="AJ115" s="154">
        <f t="shared" si="90"/>
        <v>0</v>
      </c>
      <c r="AK115" s="154">
        <f t="shared" si="90"/>
        <v>0</v>
      </c>
      <c r="AL115" s="155">
        <f t="shared" si="90"/>
        <v>0</v>
      </c>
      <c r="AM115" s="152">
        <f t="shared" si="90"/>
        <v>0</v>
      </c>
    </row>
    <row r="116" spans="1:39" x14ac:dyDescent="0.2">
      <c r="C116" s="285"/>
      <c r="D116" s="107" t="s">
        <v>223</v>
      </c>
      <c r="E116" s="153">
        <f t="shared" si="90"/>
        <v>0</v>
      </c>
      <c r="F116" s="154">
        <f t="shared" si="90"/>
        <v>0</v>
      </c>
      <c r="G116" s="154">
        <f t="shared" si="90"/>
        <v>0</v>
      </c>
      <c r="H116" s="154">
        <f t="shared" si="90"/>
        <v>0</v>
      </c>
      <c r="I116" s="154">
        <f t="shared" si="90"/>
        <v>0</v>
      </c>
      <c r="J116" s="154">
        <f t="shared" si="90"/>
        <v>0</v>
      </c>
      <c r="K116" s="154">
        <f t="shared" si="90"/>
        <v>0</v>
      </c>
      <c r="L116" s="154">
        <f t="shared" si="90"/>
        <v>0</v>
      </c>
      <c r="M116" s="154">
        <f t="shared" si="90"/>
        <v>0</v>
      </c>
      <c r="N116" s="154">
        <f t="shared" si="90"/>
        <v>0</v>
      </c>
      <c r="O116" s="154">
        <f t="shared" ref="O116:AM116" si="91">O76-O36</f>
        <v>0</v>
      </c>
      <c r="P116" s="154">
        <f t="shared" si="91"/>
        <v>0</v>
      </c>
      <c r="Q116" s="154">
        <f t="shared" si="91"/>
        <v>0</v>
      </c>
      <c r="R116" s="154">
        <f t="shared" si="91"/>
        <v>0</v>
      </c>
      <c r="S116" s="154">
        <f t="shared" si="91"/>
        <v>0</v>
      </c>
      <c r="T116" s="154">
        <f t="shared" si="91"/>
        <v>0</v>
      </c>
      <c r="U116" s="154">
        <f t="shared" si="91"/>
        <v>0</v>
      </c>
      <c r="V116" s="154">
        <f t="shared" si="91"/>
        <v>0</v>
      </c>
      <c r="W116" s="154">
        <f t="shared" si="91"/>
        <v>0</v>
      </c>
      <c r="X116" s="154">
        <f t="shared" si="91"/>
        <v>0</v>
      </c>
      <c r="Y116" s="154">
        <f t="shared" si="91"/>
        <v>0</v>
      </c>
      <c r="Z116" s="154">
        <f t="shared" si="91"/>
        <v>0</v>
      </c>
      <c r="AA116" s="154">
        <f t="shared" si="91"/>
        <v>0</v>
      </c>
      <c r="AB116" s="154">
        <f t="shared" si="91"/>
        <v>0</v>
      </c>
      <c r="AC116" s="154">
        <f t="shared" si="91"/>
        <v>0</v>
      </c>
      <c r="AD116" s="154">
        <f t="shared" si="91"/>
        <v>0</v>
      </c>
      <c r="AE116" s="154">
        <f t="shared" si="91"/>
        <v>0</v>
      </c>
      <c r="AF116" s="154">
        <f t="shared" si="91"/>
        <v>0</v>
      </c>
      <c r="AG116" s="154">
        <f t="shared" si="91"/>
        <v>0</v>
      </c>
      <c r="AH116" s="154">
        <f t="shared" si="91"/>
        <v>0</v>
      </c>
      <c r="AI116" s="154">
        <f t="shared" si="91"/>
        <v>0</v>
      </c>
      <c r="AJ116" s="154">
        <f t="shared" si="91"/>
        <v>0</v>
      </c>
      <c r="AK116" s="154">
        <f t="shared" si="91"/>
        <v>0</v>
      </c>
      <c r="AL116" s="155">
        <f t="shared" si="91"/>
        <v>0</v>
      </c>
      <c r="AM116" s="152">
        <f t="shared" si="91"/>
        <v>0</v>
      </c>
    </row>
    <row r="117" spans="1:39" ht="12" thickBot="1" x14ac:dyDescent="0.25">
      <c r="C117" s="285"/>
      <c r="D117" s="107" t="s">
        <v>224</v>
      </c>
      <c r="E117" s="156">
        <f t="shared" ref="E117:AM118" si="92">E77-E37</f>
        <v>0</v>
      </c>
      <c r="F117" s="157">
        <f t="shared" si="92"/>
        <v>0</v>
      </c>
      <c r="G117" s="157">
        <f t="shared" si="92"/>
        <v>0</v>
      </c>
      <c r="H117" s="157">
        <f t="shared" si="92"/>
        <v>0</v>
      </c>
      <c r="I117" s="157">
        <f t="shared" si="92"/>
        <v>0</v>
      </c>
      <c r="J117" s="157">
        <f t="shared" si="92"/>
        <v>0</v>
      </c>
      <c r="K117" s="157">
        <f t="shared" si="92"/>
        <v>0</v>
      </c>
      <c r="L117" s="157">
        <f t="shared" si="92"/>
        <v>0</v>
      </c>
      <c r="M117" s="157">
        <f t="shared" si="92"/>
        <v>0</v>
      </c>
      <c r="N117" s="157">
        <f t="shared" si="92"/>
        <v>0</v>
      </c>
      <c r="O117" s="157">
        <f t="shared" si="92"/>
        <v>0</v>
      </c>
      <c r="P117" s="157">
        <f t="shared" si="92"/>
        <v>0</v>
      </c>
      <c r="Q117" s="157">
        <f t="shared" si="92"/>
        <v>0</v>
      </c>
      <c r="R117" s="157">
        <f t="shared" si="92"/>
        <v>0</v>
      </c>
      <c r="S117" s="157">
        <f t="shared" si="92"/>
        <v>0</v>
      </c>
      <c r="T117" s="157">
        <f t="shared" si="92"/>
        <v>0</v>
      </c>
      <c r="U117" s="157">
        <f t="shared" si="92"/>
        <v>0</v>
      </c>
      <c r="V117" s="157">
        <f t="shared" si="92"/>
        <v>0</v>
      </c>
      <c r="W117" s="157">
        <f t="shared" si="92"/>
        <v>0</v>
      </c>
      <c r="X117" s="157">
        <f t="shared" si="92"/>
        <v>0</v>
      </c>
      <c r="Y117" s="157">
        <f t="shared" si="92"/>
        <v>0</v>
      </c>
      <c r="Z117" s="157">
        <f t="shared" si="92"/>
        <v>0</v>
      </c>
      <c r="AA117" s="157">
        <f t="shared" si="92"/>
        <v>0</v>
      </c>
      <c r="AB117" s="157">
        <f t="shared" si="92"/>
        <v>0</v>
      </c>
      <c r="AC117" s="157">
        <f t="shared" si="92"/>
        <v>0</v>
      </c>
      <c r="AD117" s="157">
        <f t="shared" si="92"/>
        <v>0</v>
      </c>
      <c r="AE117" s="157">
        <f t="shared" si="92"/>
        <v>0</v>
      </c>
      <c r="AF117" s="157">
        <f t="shared" si="92"/>
        <v>0</v>
      </c>
      <c r="AG117" s="157">
        <f t="shared" si="92"/>
        <v>0</v>
      </c>
      <c r="AH117" s="157">
        <f t="shared" si="92"/>
        <v>0</v>
      </c>
      <c r="AI117" s="157">
        <f t="shared" si="92"/>
        <v>0</v>
      </c>
      <c r="AJ117" s="157">
        <f t="shared" si="92"/>
        <v>0</v>
      </c>
      <c r="AK117" s="157">
        <f t="shared" si="92"/>
        <v>0</v>
      </c>
      <c r="AL117" s="158">
        <f t="shared" si="92"/>
        <v>0</v>
      </c>
      <c r="AM117" s="152">
        <f t="shared" si="92"/>
        <v>0</v>
      </c>
    </row>
    <row r="118" spans="1:39" x14ac:dyDescent="0.2">
      <c r="C118" s="285"/>
      <c r="D118" s="137" t="s">
        <v>1</v>
      </c>
      <c r="E118" s="152">
        <f t="shared" si="92"/>
        <v>0</v>
      </c>
      <c r="F118" s="152">
        <f t="shared" si="92"/>
        <v>0</v>
      </c>
      <c r="G118" s="152">
        <f t="shared" si="92"/>
        <v>0</v>
      </c>
      <c r="H118" s="152">
        <f t="shared" si="92"/>
        <v>0</v>
      </c>
      <c r="I118" s="152">
        <f t="shared" si="92"/>
        <v>0</v>
      </c>
      <c r="J118" s="152">
        <f t="shared" si="92"/>
        <v>0</v>
      </c>
      <c r="K118" s="152">
        <f t="shared" si="92"/>
        <v>0</v>
      </c>
      <c r="L118" s="152">
        <f t="shared" si="92"/>
        <v>0</v>
      </c>
      <c r="M118" s="152">
        <f t="shared" si="92"/>
        <v>0</v>
      </c>
      <c r="N118" s="152">
        <f t="shared" si="92"/>
        <v>0</v>
      </c>
      <c r="O118" s="152">
        <f t="shared" si="92"/>
        <v>0</v>
      </c>
      <c r="P118" s="152">
        <f t="shared" si="92"/>
        <v>0</v>
      </c>
      <c r="Q118" s="152">
        <f t="shared" si="92"/>
        <v>0</v>
      </c>
      <c r="R118" s="152">
        <f t="shared" si="92"/>
        <v>0</v>
      </c>
      <c r="S118" s="152">
        <f t="shared" si="92"/>
        <v>0</v>
      </c>
      <c r="T118" s="152">
        <f t="shared" si="92"/>
        <v>0</v>
      </c>
      <c r="U118" s="152">
        <f t="shared" si="92"/>
        <v>0</v>
      </c>
      <c r="V118" s="152">
        <f t="shared" si="92"/>
        <v>0</v>
      </c>
      <c r="W118" s="152">
        <f t="shared" si="92"/>
        <v>0</v>
      </c>
      <c r="X118" s="152">
        <f t="shared" si="92"/>
        <v>0</v>
      </c>
      <c r="Y118" s="152">
        <f t="shared" si="92"/>
        <v>0</v>
      </c>
      <c r="Z118" s="152">
        <f t="shared" si="92"/>
        <v>0</v>
      </c>
      <c r="AA118" s="152">
        <f t="shared" si="92"/>
        <v>0</v>
      </c>
      <c r="AB118" s="152">
        <f t="shared" si="92"/>
        <v>0</v>
      </c>
      <c r="AC118" s="152">
        <f t="shared" si="92"/>
        <v>0</v>
      </c>
      <c r="AD118" s="152">
        <f t="shared" si="92"/>
        <v>0</v>
      </c>
      <c r="AE118" s="152">
        <f t="shared" si="92"/>
        <v>0</v>
      </c>
      <c r="AF118" s="152">
        <f t="shared" si="92"/>
        <v>0</v>
      </c>
      <c r="AG118" s="152">
        <f t="shared" si="92"/>
        <v>0</v>
      </c>
      <c r="AH118" s="152">
        <f t="shared" si="92"/>
        <v>0</v>
      </c>
      <c r="AI118" s="152">
        <f t="shared" si="92"/>
        <v>0</v>
      </c>
      <c r="AJ118" s="152">
        <f t="shared" si="92"/>
        <v>0</v>
      </c>
      <c r="AK118" s="152">
        <f t="shared" si="92"/>
        <v>0</v>
      </c>
      <c r="AL118" s="152">
        <f t="shared" si="92"/>
        <v>0</v>
      </c>
      <c r="AM118" s="152">
        <f t="shared" si="92"/>
        <v>0</v>
      </c>
    </row>
    <row r="121" spans="1:39" ht="12.75" x14ac:dyDescent="0.2">
      <c r="A121" s="138"/>
      <c r="B121" s="138"/>
      <c r="C121" s="138"/>
      <c r="D121" s="20" t="s">
        <v>257</v>
      </c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</row>
    <row r="122" spans="1:39" x14ac:dyDescent="0.2">
      <c r="E122" s="284" t="s">
        <v>238</v>
      </c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  <c r="AK122" s="284"/>
      <c r="AL122" s="284"/>
      <c r="AM122" s="284"/>
    </row>
    <row r="123" spans="1:39" ht="45.75" thickBot="1" x14ac:dyDescent="0.25">
      <c r="E123" s="105" t="s">
        <v>180</v>
      </c>
      <c r="F123" s="105" t="s">
        <v>183</v>
      </c>
      <c r="G123" s="105" t="s">
        <v>186</v>
      </c>
      <c r="H123" s="105" t="s">
        <v>189</v>
      </c>
      <c r="I123" s="105" t="s">
        <v>192</v>
      </c>
      <c r="J123" s="105" t="s">
        <v>195</v>
      </c>
      <c r="K123" s="105" t="s">
        <v>198</v>
      </c>
      <c r="L123" s="105" t="s">
        <v>199</v>
      </c>
      <c r="M123" s="105" t="s">
        <v>200</v>
      </c>
      <c r="N123" s="105" t="s">
        <v>201</v>
      </c>
      <c r="O123" s="105" t="s">
        <v>203</v>
      </c>
      <c r="P123" s="105" t="s">
        <v>204</v>
      </c>
      <c r="Q123" s="105" t="s">
        <v>205</v>
      </c>
      <c r="R123" s="105" t="s">
        <v>206</v>
      </c>
      <c r="S123" s="105" t="s">
        <v>207</v>
      </c>
      <c r="T123" s="105" t="s">
        <v>208</v>
      </c>
      <c r="U123" s="105" t="s">
        <v>209</v>
      </c>
      <c r="V123" s="105" t="s">
        <v>210</v>
      </c>
      <c r="W123" s="105" t="s">
        <v>197</v>
      </c>
      <c r="X123" s="105" t="s">
        <v>212</v>
      </c>
      <c r="Y123" s="105" t="s">
        <v>211</v>
      </c>
      <c r="Z123" s="105" t="s">
        <v>213</v>
      </c>
      <c r="AA123" s="105" t="s">
        <v>214</v>
      </c>
      <c r="AB123" s="105" t="s">
        <v>179</v>
      </c>
      <c r="AC123" s="105" t="s">
        <v>215</v>
      </c>
      <c r="AD123" s="105" t="s">
        <v>216</v>
      </c>
      <c r="AE123" s="105" t="s">
        <v>217</v>
      </c>
      <c r="AF123" s="105" t="s">
        <v>218</v>
      </c>
      <c r="AG123" s="105" t="s">
        <v>219</v>
      </c>
      <c r="AH123" s="105" t="s">
        <v>220</v>
      </c>
      <c r="AI123" s="105" t="s">
        <v>221</v>
      </c>
      <c r="AJ123" s="105" t="s">
        <v>222</v>
      </c>
      <c r="AK123" s="105" t="s">
        <v>223</v>
      </c>
      <c r="AL123" s="105" t="s">
        <v>224</v>
      </c>
      <c r="AM123" s="106" t="s">
        <v>1</v>
      </c>
    </row>
    <row r="124" spans="1:39" x14ac:dyDescent="0.2">
      <c r="C124" s="285" t="s">
        <v>236</v>
      </c>
      <c r="D124" s="107" t="s">
        <v>180</v>
      </c>
      <c r="E124" s="140">
        <f>IF(ABS(E4)&gt;100,E84/E4,0)</f>
        <v>0</v>
      </c>
      <c r="F124" s="141">
        <f t="shared" ref="F124:AM124" si="93">IF(ABS(F4)&gt;100,F84/F4,0)</f>
        <v>0</v>
      </c>
      <c r="G124" s="141">
        <f t="shared" si="93"/>
        <v>0</v>
      </c>
      <c r="H124" s="141">
        <f t="shared" si="93"/>
        <v>0</v>
      </c>
      <c r="I124" s="141">
        <f t="shared" si="93"/>
        <v>0</v>
      </c>
      <c r="J124" s="141">
        <f t="shared" si="93"/>
        <v>0</v>
      </c>
      <c r="K124" s="141">
        <f t="shared" si="93"/>
        <v>0</v>
      </c>
      <c r="L124" s="141">
        <f t="shared" si="93"/>
        <v>0</v>
      </c>
      <c r="M124" s="141">
        <f t="shared" si="93"/>
        <v>0</v>
      </c>
      <c r="N124" s="141">
        <f t="shared" si="93"/>
        <v>0</v>
      </c>
      <c r="O124" s="141">
        <f t="shared" si="93"/>
        <v>0</v>
      </c>
      <c r="P124" s="141">
        <f t="shared" si="93"/>
        <v>0</v>
      </c>
      <c r="Q124" s="141">
        <f t="shared" si="93"/>
        <v>0</v>
      </c>
      <c r="R124" s="141">
        <f t="shared" si="93"/>
        <v>0</v>
      </c>
      <c r="S124" s="141">
        <f t="shared" si="93"/>
        <v>0</v>
      </c>
      <c r="T124" s="141">
        <f t="shared" si="93"/>
        <v>0</v>
      </c>
      <c r="U124" s="141">
        <f t="shared" si="93"/>
        <v>0</v>
      </c>
      <c r="V124" s="141">
        <f t="shared" si="93"/>
        <v>0</v>
      </c>
      <c r="W124" s="141">
        <f t="shared" si="93"/>
        <v>0</v>
      </c>
      <c r="X124" s="141">
        <f t="shared" si="93"/>
        <v>0</v>
      </c>
      <c r="Y124" s="141">
        <f t="shared" si="93"/>
        <v>0</v>
      </c>
      <c r="Z124" s="141">
        <f t="shared" si="93"/>
        <v>0</v>
      </c>
      <c r="AA124" s="141">
        <f t="shared" si="93"/>
        <v>0</v>
      </c>
      <c r="AB124" s="141">
        <f t="shared" si="93"/>
        <v>0</v>
      </c>
      <c r="AC124" s="141">
        <f t="shared" si="93"/>
        <v>0</v>
      </c>
      <c r="AD124" s="141">
        <f t="shared" si="93"/>
        <v>0</v>
      </c>
      <c r="AE124" s="141">
        <f t="shared" si="93"/>
        <v>0</v>
      </c>
      <c r="AF124" s="141">
        <f t="shared" si="93"/>
        <v>0</v>
      </c>
      <c r="AG124" s="141">
        <f t="shared" si="93"/>
        <v>0</v>
      </c>
      <c r="AH124" s="141">
        <f t="shared" si="93"/>
        <v>0</v>
      </c>
      <c r="AI124" s="141">
        <f t="shared" si="93"/>
        <v>0</v>
      </c>
      <c r="AJ124" s="141">
        <f t="shared" si="93"/>
        <v>0</v>
      </c>
      <c r="AK124" s="141">
        <f t="shared" si="93"/>
        <v>0</v>
      </c>
      <c r="AL124" s="142">
        <f t="shared" si="93"/>
        <v>0</v>
      </c>
      <c r="AM124" s="143">
        <f t="shared" si="93"/>
        <v>0</v>
      </c>
    </row>
    <row r="125" spans="1:39" x14ac:dyDescent="0.2">
      <c r="C125" s="285"/>
      <c r="D125" s="107" t="s">
        <v>183</v>
      </c>
      <c r="E125" s="144">
        <f t="shared" ref="E125:AM125" si="94">IF(ABS(E5)&gt;100,E85/E5,0)</f>
        <v>0</v>
      </c>
      <c r="F125" s="143">
        <f t="shared" si="94"/>
        <v>0</v>
      </c>
      <c r="G125" s="143">
        <f t="shared" si="94"/>
        <v>0</v>
      </c>
      <c r="H125" s="143">
        <f t="shared" si="94"/>
        <v>0</v>
      </c>
      <c r="I125" s="143">
        <f t="shared" si="94"/>
        <v>0</v>
      </c>
      <c r="J125" s="143">
        <f t="shared" si="94"/>
        <v>0</v>
      </c>
      <c r="K125" s="143">
        <f t="shared" si="94"/>
        <v>0</v>
      </c>
      <c r="L125" s="143">
        <f t="shared" si="94"/>
        <v>0</v>
      </c>
      <c r="M125" s="143">
        <f t="shared" si="94"/>
        <v>0</v>
      </c>
      <c r="N125" s="143">
        <f t="shared" si="94"/>
        <v>0</v>
      </c>
      <c r="O125" s="143">
        <f t="shared" si="94"/>
        <v>0</v>
      </c>
      <c r="P125" s="143">
        <f t="shared" si="94"/>
        <v>0</v>
      </c>
      <c r="Q125" s="143">
        <f t="shared" si="94"/>
        <v>0</v>
      </c>
      <c r="R125" s="143">
        <f t="shared" si="94"/>
        <v>0</v>
      </c>
      <c r="S125" s="143">
        <f t="shared" si="94"/>
        <v>0</v>
      </c>
      <c r="T125" s="143">
        <f t="shared" si="94"/>
        <v>0</v>
      </c>
      <c r="U125" s="143">
        <f t="shared" si="94"/>
        <v>0</v>
      </c>
      <c r="V125" s="143">
        <f t="shared" si="94"/>
        <v>0</v>
      </c>
      <c r="W125" s="143">
        <f t="shared" si="94"/>
        <v>0</v>
      </c>
      <c r="X125" s="143">
        <f t="shared" si="94"/>
        <v>0</v>
      </c>
      <c r="Y125" s="143">
        <f t="shared" si="94"/>
        <v>0</v>
      </c>
      <c r="Z125" s="143">
        <f t="shared" si="94"/>
        <v>0</v>
      </c>
      <c r="AA125" s="143">
        <f t="shared" si="94"/>
        <v>0</v>
      </c>
      <c r="AB125" s="143">
        <f t="shared" si="94"/>
        <v>0</v>
      </c>
      <c r="AC125" s="143">
        <f t="shared" si="94"/>
        <v>0</v>
      </c>
      <c r="AD125" s="143">
        <f t="shared" si="94"/>
        <v>0</v>
      </c>
      <c r="AE125" s="143">
        <f t="shared" si="94"/>
        <v>0</v>
      </c>
      <c r="AF125" s="143">
        <f t="shared" si="94"/>
        <v>0</v>
      </c>
      <c r="AG125" s="143">
        <f t="shared" si="94"/>
        <v>0</v>
      </c>
      <c r="AH125" s="143">
        <f t="shared" si="94"/>
        <v>0</v>
      </c>
      <c r="AI125" s="143">
        <f t="shared" si="94"/>
        <v>0</v>
      </c>
      <c r="AJ125" s="143">
        <f t="shared" si="94"/>
        <v>0</v>
      </c>
      <c r="AK125" s="143">
        <f t="shared" si="94"/>
        <v>0</v>
      </c>
      <c r="AL125" s="145">
        <f t="shared" si="94"/>
        <v>0</v>
      </c>
      <c r="AM125" s="143">
        <f t="shared" si="94"/>
        <v>0</v>
      </c>
    </row>
    <row r="126" spans="1:39" x14ac:dyDescent="0.2">
      <c r="C126" s="285"/>
      <c r="D126" s="107" t="s">
        <v>186</v>
      </c>
      <c r="E126" s="144">
        <f t="shared" ref="E126:AM126" si="95">IF(ABS(E6)&gt;100,E86/E6,0)</f>
        <v>0</v>
      </c>
      <c r="F126" s="143">
        <f t="shared" si="95"/>
        <v>0</v>
      </c>
      <c r="G126" s="143">
        <f t="shared" si="95"/>
        <v>0</v>
      </c>
      <c r="H126" s="143">
        <f t="shared" si="95"/>
        <v>0</v>
      </c>
      <c r="I126" s="143">
        <f t="shared" si="95"/>
        <v>0</v>
      </c>
      <c r="J126" s="143">
        <f t="shared" si="95"/>
        <v>0</v>
      </c>
      <c r="K126" s="143">
        <f t="shared" si="95"/>
        <v>0</v>
      </c>
      <c r="L126" s="143">
        <f t="shared" si="95"/>
        <v>0</v>
      </c>
      <c r="M126" s="143">
        <f t="shared" si="95"/>
        <v>0</v>
      </c>
      <c r="N126" s="143">
        <f t="shared" si="95"/>
        <v>0</v>
      </c>
      <c r="O126" s="143">
        <f t="shared" si="95"/>
        <v>0</v>
      </c>
      <c r="P126" s="143">
        <f t="shared" si="95"/>
        <v>0</v>
      </c>
      <c r="Q126" s="143">
        <f t="shared" si="95"/>
        <v>0</v>
      </c>
      <c r="R126" s="143">
        <f t="shared" si="95"/>
        <v>0</v>
      </c>
      <c r="S126" s="143">
        <f t="shared" si="95"/>
        <v>0</v>
      </c>
      <c r="T126" s="143">
        <f t="shared" si="95"/>
        <v>0</v>
      </c>
      <c r="U126" s="143">
        <f t="shared" si="95"/>
        <v>0</v>
      </c>
      <c r="V126" s="143">
        <f t="shared" si="95"/>
        <v>0</v>
      </c>
      <c r="W126" s="143">
        <f t="shared" si="95"/>
        <v>0</v>
      </c>
      <c r="X126" s="143">
        <f t="shared" si="95"/>
        <v>0</v>
      </c>
      <c r="Y126" s="143">
        <f t="shared" si="95"/>
        <v>0</v>
      </c>
      <c r="Z126" s="143">
        <f t="shared" si="95"/>
        <v>0</v>
      </c>
      <c r="AA126" s="143">
        <f t="shared" si="95"/>
        <v>0</v>
      </c>
      <c r="AB126" s="143">
        <f t="shared" si="95"/>
        <v>0</v>
      </c>
      <c r="AC126" s="143">
        <f t="shared" si="95"/>
        <v>0</v>
      </c>
      <c r="AD126" s="143">
        <f t="shared" si="95"/>
        <v>0</v>
      </c>
      <c r="AE126" s="143">
        <f t="shared" si="95"/>
        <v>0</v>
      </c>
      <c r="AF126" s="143">
        <f t="shared" si="95"/>
        <v>0</v>
      </c>
      <c r="AG126" s="143">
        <f t="shared" si="95"/>
        <v>0</v>
      </c>
      <c r="AH126" s="143">
        <f t="shared" si="95"/>
        <v>0</v>
      </c>
      <c r="AI126" s="143">
        <f t="shared" si="95"/>
        <v>0</v>
      </c>
      <c r="AJ126" s="143">
        <f t="shared" si="95"/>
        <v>0</v>
      </c>
      <c r="AK126" s="143">
        <f t="shared" si="95"/>
        <v>0</v>
      </c>
      <c r="AL126" s="145">
        <f t="shared" si="95"/>
        <v>0</v>
      </c>
      <c r="AM126" s="143">
        <f t="shared" si="95"/>
        <v>0</v>
      </c>
    </row>
    <row r="127" spans="1:39" x14ac:dyDescent="0.2">
      <c r="C127" s="285"/>
      <c r="D127" s="107" t="s">
        <v>189</v>
      </c>
      <c r="E127" s="144">
        <f t="shared" ref="E127:AM127" si="96">IF(ABS(E7)&gt;100,E87/E7,0)</f>
        <v>0</v>
      </c>
      <c r="F127" s="143">
        <f t="shared" si="96"/>
        <v>0</v>
      </c>
      <c r="G127" s="143">
        <f t="shared" si="96"/>
        <v>0</v>
      </c>
      <c r="H127" s="143">
        <f t="shared" si="96"/>
        <v>0</v>
      </c>
      <c r="I127" s="143">
        <f t="shared" si="96"/>
        <v>0</v>
      </c>
      <c r="J127" s="143">
        <f t="shared" si="96"/>
        <v>0</v>
      </c>
      <c r="K127" s="143">
        <f t="shared" si="96"/>
        <v>0</v>
      </c>
      <c r="L127" s="143">
        <f t="shared" si="96"/>
        <v>0</v>
      </c>
      <c r="M127" s="143">
        <f t="shared" si="96"/>
        <v>0</v>
      </c>
      <c r="N127" s="143">
        <f t="shared" si="96"/>
        <v>0</v>
      </c>
      <c r="O127" s="143">
        <f t="shared" si="96"/>
        <v>0</v>
      </c>
      <c r="P127" s="143">
        <f t="shared" si="96"/>
        <v>0</v>
      </c>
      <c r="Q127" s="143">
        <f t="shared" si="96"/>
        <v>0</v>
      </c>
      <c r="R127" s="143">
        <f t="shared" si="96"/>
        <v>0</v>
      </c>
      <c r="S127" s="143">
        <f t="shared" si="96"/>
        <v>0</v>
      </c>
      <c r="T127" s="143">
        <f t="shared" si="96"/>
        <v>0</v>
      </c>
      <c r="U127" s="143">
        <f t="shared" si="96"/>
        <v>0</v>
      </c>
      <c r="V127" s="143">
        <f t="shared" si="96"/>
        <v>0</v>
      </c>
      <c r="W127" s="143">
        <f t="shared" si="96"/>
        <v>0</v>
      </c>
      <c r="X127" s="143">
        <f t="shared" si="96"/>
        <v>0</v>
      </c>
      <c r="Y127" s="143">
        <f t="shared" si="96"/>
        <v>0</v>
      </c>
      <c r="Z127" s="143">
        <f t="shared" si="96"/>
        <v>0</v>
      </c>
      <c r="AA127" s="143">
        <f t="shared" si="96"/>
        <v>0</v>
      </c>
      <c r="AB127" s="143">
        <f t="shared" si="96"/>
        <v>0</v>
      </c>
      <c r="AC127" s="143">
        <f t="shared" si="96"/>
        <v>0</v>
      </c>
      <c r="AD127" s="143">
        <f t="shared" si="96"/>
        <v>0</v>
      </c>
      <c r="AE127" s="143">
        <f t="shared" si="96"/>
        <v>0</v>
      </c>
      <c r="AF127" s="143">
        <f t="shared" si="96"/>
        <v>0</v>
      </c>
      <c r="AG127" s="143">
        <f t="shared" si="96"/>
        <v>0</v>
      </c>
      <c r="AH127" s="143">
        <f t="shared" si="96"/>
        <v>0</v>
      </c>
      <c r="AI127" s="143">
        <f t="shared" si="96"/>
        <v>0</v>
      </c>
      <c r="AJ127" s="143">
        <f t="shared" si="96"/>
        <v>0</v>
      </c>
      <c r="AK127" s="143">
        <f t="shared" si="96"/>
        <v>0</v>
      </c>
      <c r="AL127" s="145">
        <f t="shared" si="96"/>
        <v>0</v>
      </c>
      <c r="AM127" s="143">
        <f t="shared" si="96"/>
        <v>0</v>
      </c>
    </row>
    <row r="128" spans="1:39" x14ac:dyDescent="0.2">
      <c r="C128" s="285"/>
      <c r="D128" s="107" t="s">
        <v>192</v>
      </c>
      <c r="E128" s="144">
        <f t="shared" ref="E128:AM128" si="97">IF(ABS(E8)&gt;100,E88/E8,0)</f>
        <v>0</v>
      </c>
      <c r="F128" s="143">
        <f t="shared" si="97"/>
        <v>0</v>
      </c>
      <c r="G128" s="143">
        <f t="shared" si="97"/>
        <v>0</v>
      </c>
      <c r="H128" s="143">
        <f t="shared" si="97"/>
        <v>0</v>
      </c>
      <c r="I128" s="143">
        <f t="shared" si="97"/>
        <v>0</v>
      </c>
      <c r="J128" s="143">
        <f t="shared" si="97"/>
        <v>0</v>
      </c>
      <c r="K128" s="143">
        <f t="shared" si="97"/>
        <v>0</v>
      </c>
      <c r="L128" s="143">
        <f t="shared" si="97"/>
        <v>0</v>
      </c>
      <c r="M128" s="143">
        <f t="shared" si="97"/>
        <v>0</v>
      </c>
      <c r="N128" s="143">
        <f t="shared" si="97"/>
        <v>0</v>
      </c>
      <c r="O128" s="143">
        <f t="shared" si="97"/>
        <v>0</v>
      </c>
      <c r="P128" s="143">
        <f t="shared" si="97"/>
        <v>0</v>
      </c>
      <c r="Q128" s="143">
        <f t="shared" si="97"/>
        <v>0</v>
      </c>
      <c r="R128" s="143">
        <f t="shared" si="97"/>
        <v>0</v>
      </c>
      <c r="S128" s="143">
        <f t="shared" si="97"/>
        <v>0</v>
      </c>
      <c r="T128" s="143">
        <f t="shared" si="97"/>
        <v>0</v>
      </c>
      <c r="U128" s="143">
        <f t="shared" si="97"/>
        <v>0</v>
      </c>
      <c r="V128" s="143">
        <f t="shared" si="97"/>
        <v>0</v>
      </c>
      <c r="W128" s="143">
        <f t="shared" si="97"/>
        <v>0</v>
      </c>
      <c r="X128" s="143">
        <f t="shared" si="97"/>
        <v>0</v>
      </c>
      <c r="Y128" s="143">
        <f t="shared" si="97"/>
        <v>0</v>
      </c>
      <c r="Z128" s="143">
        <f t="shared" si="97"/>
        <v>0</v>
      </c>
      <c r="AA128" s="143">
        <f t="shared" si="97"/>
        <v>0</v>
      </c>
      <c r="AB128" s="143">
        <f t="shared" si="97"/>
        <v>0</v>
      </c>
      <c r="AC128" s="143">
        <f t="shared" si="97"/>
        <v>0</v>
      </c>
      <c r="AD128" s="143">
        <f t="shared" si="97"/>
        <v>0</v>
      </c>
      <c r="AE128" s="143">
        <f t="shared" si="97"/>
        <v>0</v>
      </c>
      <c r="AF128" s="143">
        <f t="shared" si="97"/>
        <v>0</v>
      </c>
      <c r="AG128" s="143">
        <f t="shared" si="97"/>
        <v>0</v>
      </c>
      <c r="AH128" s="143">
        <f t="shared" si="97"/>
        <v>0</v>
      </c>
      <c r="AI128" s="143">
        <f t="shared" si="97"/>
        <v>0</v>
      </c>
      <c r="AJ128" s="143">
        <f t="shared" si="97"/>
        <v>0</v>
      </c>
      <c r="AK128" s="143">
        <f t="shared" si="97"/>
        <v>0</v>
      </c>
      <c r="AL128" s="145">
        <f t="shared" si="97"/>
        <v>0</v>
      </c>
      <c r="AM128" s="143">
        <f t="shared" si="97"/>
        <v>0</v>
      </c>
    </row>
    <row r="129" spans="3:39" x14ac:dyDescent="0.2">
      <c r="C129" s="285"/>
      <c r="D129" s="107" t="s">
        <v>195</v>
      </c>
      <c r="E129" s="144">
        <f t="shared" ref="E129:AM129" si="98">IF(ABS(E9)&gt;100,E89/E9,0)</f>
        <v>0</v>
      </c>
      <c r="F129" s="143">
        <f t="shared" si="98"/>
        <v>0</v>
      </c>
      <c r="G129" s="143">
        <f t="shared" si="98"/>
        <v>0</v>
      </c>
      <c r="H129" s="143">
        <f t="shared" si="98"/>
        <v>0</v>
      </c>
      <c r="I129" s="143">
        <f t="shared" si="98"/>
        <v>0</v>
      </c>
      <c r="J129" s="143">
        <f t="shared" si="98"/>
        <v>0</v>
      </c>
      <c r="K129" s="143">
        <f t="shared" si="98"/>
        <v>0</v>
      </c>
      <c r="L129" s="143">
        <f t="shared" si="98"/>
        <v>0</v>
      </c>
      <c r="M129" s="143">
        <f t="shared" si="98"/>
        <v>0</v>
      </c>
      <c r="N129" s="143">
        <f t="shared" si="98"/>
        <v>0</v>
      </c>
      <c r="O129" s="143">
        <f t="shared" si="98"/>
        <v>0</v>
      </c>
      <c r="P129" s="143">
        <f t="shared" si="98"/>
        <v>0</v>
      </c>
      <c r="Q129" s="143">
        <f t="shared" si="98"/>
        <v>0</v>
      </c>
      <c r="R129" s="143">
        <f t="shared" si="98"/>
        <v>0</v>
      </c>
      <c r="S129" s="143">
        <f t="shared" si="98"/>
        <v>0</v>
      </c>
      <c r="T129" s="143">
        <f t="shared" si="98"/>
        <v>0</v>
      </c>
      <c r="U129" s="143">
        <f t="shared" si="98"/>
        <v>0</v>
      </c>
      <c r="V129" s="143">
        <f t="shared" si="98"/>
        <v>0</v>
      </c>
      <c r="W129" s="143">
        <f t="shared" si="98"/>
        <v>0</v>
      </c>
      <c r="X129" s="143">
        <f t="shared" si="98"/>
        <v>0</v>
      </c>
      <c r="Y129" s="143">
        <f t="shared" si="98"/>
        <v>0</v>
      </c>
      <c r="Z129" s="143">
        <f t="shared" si="98"/>
        <v>0</v>
      </c>
      <c r="AA129" s="143">
        <f t="shared" si="98"/>
        <v>0</v>
      </c>
      <c r="AB129" s="143">
        <f t="shared" si="98"/>
        <v>0</v>
      </c>
      <c r="AC129" s="143">
        <f t="shared" si="98"/>
        <v>0</v>
      </c>
      <c r="AD129" s="143">
        <f t="shared" si="98"/>
        <v>0</v>
      </c>
      <c r="AE129" s="143">
        <f t="shared" si="98"/>
        <v>0</v>
      </c>
      <c r="AF129" s="143">
        <f t="shared" si="98"/>
        <v>0</v>
      </c>
      <c r="AG129" s="143">
        <f t="shared" si="98"/>
        <v>0</v>
      </c>
      <c r="AH129" s="143">
        <f t="shared" si="98"/>
        <v>0</v>
      </c>
      <c r="AI129" s="143">
        <f t="shared" si="98"/>
        <v>0</v>
      </c>
      <c r="AJ129" s="143">
        <f t="shared" si="98"/>
        <v>0</v>
      </c>
      <c r="AK129" s="143">
        <f t="shared" si="98"/>
        <v>0</v>
      </c>
      <c r="AL129" s="145">
        <f t="shared" si="98"/>
        <v>0</v>
      </c>
      <c r="AM129" s="143">
        <f t="shared" si="98"/>
        <v>0</v>
      </c>
    </row>
    <row r="130" spans="3:39" x14ac:dyDescent="0.2">
      <c r="C130" s="285"/>
      <c r="D130" s="107" t="s">
        <v>198</v>
      </c>
      <c r="E130" s="144">
        <f t="shared" ref="E130:AM130" si="99">IF(ABS(E10)&gt;100,E90/E10,0)</f>
        <v>0</v>
      </c>
      <c r="F130" s="143">
        <f t="shared" si="99"/>
        <v>0</v>
      </c>
      <c r="G130" s="143">
        <f t="shared" si="99"/>
        <v>0</v>
      </c>
      <c r="H130" s="143">
        <f t="shared" si="99"/>
        <v>0</v>
      </c>
      <c r="I130" s="143">
        <f t="shared" si="99"/>
        <v>0</v>
      </c>
      <c r="J130" s="143">
        <f t="shared" si="99"/>
        <v>0</v>
      </c>
      <c r="K130" s="143">
        <f t="shared" si="99"/>
        <v>0</v>
      </c>
      <c r="L130" s="143">
        <f t="shared" si="99"/>
        <v>0</v>
      </c>
      <c r="M130" s="143">
        <f t="shared" si="99"/>
        <v>0</v>
      </c>
      <c r="N130" s="143">
        <f t="shared" si="99"/>
        <v>0</v>
      </c>
      <c r="O130" s="143">
        <f t="shared" si="99"/>
        <v>0</v>
      </c>
      <c r="P130" s="143">
        <f t="shared" si="99"/>
        <v>0</v>
      </c>
      <c r="Q130" s="143">
        <f t="shared" si="99"/>
        <v>0</v>
      </c>
      <c r="R130" s="143">
        <f t="shared" si="99"/>
        <v>0</v>
      </c>
      <c r="S130" s="143">
        <f t="shared" si="99"/>
        <v>0</v>
      </c>
      <c r="T130" s="143">
        <f t="shared" si="99"/>
        <v>0</v>
      </c>
      <c r="U130" s="143">
        <f t="shared" si="99"/>
        <v>0</v>
      </c>
      <c r="V130" s="143">
        <f t="shared" si="99"/>
        <v>0</v>
      </c>
      <c r="W130" s="143">
        <f t="shared" si="99"/>
        <v>0</v>
      </c>
      <c r="X130" s="143">
        <f t="shared" si="99"/>
        <v>0</v>
      </c>
      <c r="Y130" s="143">
        <f t="shared" si="99"/>
        <v>0</v>
      </c>
      <c r="Z130" s="143">
        <f t="shared" si="99"/>
        <v>0</v>
      </c>
      <c r="AA130" s="143">
        <f t="shared" si="99"/>
        <v>0</v>
      </c>
      <c r="AB130" s="143">
        <f t="shared" si="99"/>
        <v>0</v>
      </c>
      <c r="AC130" s="143">
        <f t="shared" si="99"/>
        <v>0</v>
      </c>
      <c r="AD130" s="143">
        <f t="shared" si="99"/>
        <v>0</v>
      </c>
      <c r="AE130" s="143">
        <f t="shared" si="99"/>
        <v>0</v>
      </c>
      <c r="AF130" s="143">
        <f t="shared" si="99"/>
        <v>0</v>
      </c>
      <c r="AG130" s="143">
        <f t="shared" si="99"/>
        <v>0</v>
      </c>
      <c r="AH130" s="143">
        <f t="shared" si="99"/>
        <v>0</v>
      </c>
      <c r="AI130" s="143">
        <f t="shared" si="99"/>
        <v>0</v>
      </c>
      <c r="AJ130" s="143">
        <f t="shared" si="99"/>
        <v>0</v>
      </c>
      <c r="AK130" s="143">
        <f t="shared" si="99"/>
        <v>0</v>
      </c>
      <c r="AL130" s="145">
        <f t="shared" si="99"/>
        <v>0</v>
      </c>
      <c r="AM130" s="143">
        <f t="shared" si="99"/>
        <v>0</v>
      </c>
    </row>
    <row r="131" spans="3:39" x14ac:dyDescent="0.2">
      <c r="C131" s="285"/>
      <c r="D131" s="107" t="s">
        <v>199</v>
      </c>
      <c r="E131" s="144">
        <f t="shared" ref="E131:AM131" si="100">IF(ABS(E11)&gt;100,E91/E11,0)</f>
        <v>0</v>
      </c>
      <c r="F131" s="143">
        <f t="shared" si="100"/>
        <v>0</v>
      </c>
      <c r="G131" s="143">
        <f t="shared" si="100"/>
        <v>0</v>
      </c>
      <c r="H131" s="143">
        <f t="shared" si="100"/>
        <v>0</v>
      </c>
      <c r="I131" s="143">
        <f t="shared" si="100"/>
        <v>0</v>
      </c>
      <c r="J131" s="143">
        <f t="shared" si="100"/>
        <v>0</v>
      </c>
      <c r="K131" s="143">
        <f t="shared" si="100"/>
        <v>0</v>
      </c>
      <c r="L131" s="143">
        <f t="shared" si="100"/>
        <v>0</v>
      </c>
      <c r="M131" s="143">
        <f t="shared" si="100"/>
        <v>0</v>
      </c>
      <c r="N131" s="143">
        <f t="shared" si="100"/>
        <v>0</v>
      </c>
      <c r="O131" s="143">
        <f t="shared" si="100"/>
        <v>0</v>
      </c>
      <c r="P131" s="143">
        <f t="shared" si="100"/>
        <v>0</v>
      </c>
      <c r="Q131" s="143">
        <f t="shared" si="100"/>
        <v>0</v>
      </c>
      <c r="R131" s="143">
        <f t="shared" si="100"/>
        <v>0</v>
      </c>
      <c r="S131" s="143">
        <f t="shared" si="100"/>
        <v>0</v>
      </c>
      <c r="T131" s="143">
        <f t="shared" si="100"/>
        <v>0</v>
      </c>
      <c r="U131" s="143">
        <f t="shared" si="100"/>
        <v>0</v>
      </c>
      <c r="V131" s="143">
        <f t="shared" si="100"/>
        <v>0</v>
      </c>
      <c r="W131" s="143">
        <f t="shared" si="100"/>
        <v>0</v>
      </c>
      <c r="X131" s="143">
        <f t="shared" si="100"/>
        <v>0</v>
      </c>
      <c r="Y131" s="143">
        <f t="shared" si="100"/>
        <v>0</v>
      </c>
      <c r="Z131" s="143">
        <f t="shared" si="100"/>
        <v>0</v>
      </c>
      <c r="AA131" s="143">
        <f t="shared" si="100"/>
        <v>0</v>
      </c>
      <c r="AB131" s="143">
        <f t="shared" si="100"/>
        <v>0</v>
      </c>
      <c r="AC131" s="143">
        <f t="shared" si="100"/>
        <v>0</v>
      </c>
      <c r="AD131" s="143">
        <f t="shared" si="100"/>
        <v>0</v>
      </c>
      <c r="AE131" s="143">
        <f t="shared" si="100"/>
        <v>0</v>
      </c>
      <c r="AF131" s="143">
        <f t="shared" si="100"/>
        <v>0</v>
      </c>
      <c r="AG131" s="143">
        <f t="shared" si="100"/>
        <v>0</v>
      </c>
      <c r="AH131" s="143">
        <f t="shared" si="100"/>
        <v>0</v>
      </c>
      <c r="AI131" s="143">
        <f t="shared" si="100"/>
        <v>0</v>
      </c>
      <c r="AJ131" s="143">
        <f t="shared" si="100"/>
        <v>0</v>
      </c>
      <c r="AK131" s="143">
        <f t="shared" si="100"/>
        <v>0</v>
      </c>
      <c r="AL131" s="145">
        <f t="shared" si="100"/>
        <v>0</v>
      </c>
      <c r="AM131" s="143">
        <f t="shared" si="100"/>
        <v>0</v>
      </c>
    </row>
    <row r="132" spans="3:39" x14ac:dyDescent="0.2">
      <c r="C132" s="285"/>
      <c r="D132" s="107" t="s">
        <v>200</v>
      </c>
      <c r="E132" s="144">
        <f t="shared" ref="E132:AM132" si="101">IF(ABS(E12)&gt;100,E92/E12,0)</f>
        <v>0</v>
      </c>
      <c r="F132" s="143">
        <f t="shared" si="101"/>
        <v>0</v>
      </c>
      <c r="G132" s="143">
        <f t="shared" si="101"/>
        <v>0</v>
      </c>
      <c r="H132" s="143">
        <f t="shared" si="101"/>
        <v>0</v>
      </c>
      <c r="I132" s="143">
        <f t="shared" si="101"/>
        <v>0</v>
      </c>
      <c r="J132" s="143">
        <f t="shared" si="101"/>
        <v>0</v>
      </c>
      <c r="K132" s="143">
        <f t="shared" si="101"/>
        <v>0</v>
      </c>
      <c r="L132" s="143">
        <f t="shared" si="101"/>
        <v>0</v>
      </c>
      <c r="M132" s="143">
        <f t="shared" si="101"/>
        <v>0</v>
      </c>
      <c r="N132" s="143">
        <f t="shared" si="101"/>
        <v>0</v>
      </c>
      <c r="O132" s="143">
        <f t="shared" si="101"/>
        <v>0</v>
      </c>
      <c r="P132" s="143">
        <f t="shared" si="101"/>
        <v>0</v>
      </c>
      <c r="Q132" s="143">
        <f t="shared" si="101"/>
        <v>0</v>
      </c>
      <c r="R132" s="143">
        <f t="shared" si="101"/>
        <v>0</v>
      </c>
      <c r="S132" s="143">
        <f t="shared" si="101"/>
        <v>0</v>
      </c>
      <c r="T132" s="143">
        <f t="shared" si="101"/>
        <v>0</v>
      </c>
      <c r="U132" s="143">
        <f t="shared" si="101"/>
        <v>0</v>
      </c>
      <c r="V132" s="143">
        <f t="shared" si="101"/>
        <v>0</v>
      </c>
      <c r="W132" s="143">
        <f t="shared" si="101"/>
        <v>0</v>
      </c>
      <c r="X132" s="143">
        <f t="shared" si="101"/>
        <v>0</v>
      </c>
      <c r="Y132" s="143">
        <f t="shared" si="101"/>
        <v>0</v>
      </c>
      <c r="Z132" s="143">
        <f t="shared" si="101"/>
        <v>0</v>
      </c>
      <c r="AA132" s="143">
        <f t="shared" si="101"/>
        <v>0</v>
      </c>
      <c r="AB132" s="143">
        <f t="shared" si="101"/>
        <v>0</v>
      </c>
      <c r="AC132" s="143">
        <f t="shared" si="101"/>
        <v>0</v>
      </c>
      <c r="AD132" s="143">
        <f t="shared" si="101"/>
        <v>0</v>
      </c>
      <c r="AE132" s="143">
        <f t="shared" si="101"/>
        <v>0</v>
      </c>
      <c r="AF132" s="143">
        <f t="shared" si="101"/>
        <v>0</v>
      </c>
      <c r="AG132" s="143">
        <f t="shared" si="101"/>
        <v>0</v>
      </c>
      <c r="AH132" s="143">
        <f t="shared" si="101"/>
        <v>0</v>
      </c>
      <c r="AI132" s="143">
        <f t="shared" si="101"/>
        <v>0</v>
      </c>
      <c r="AJ132" s="143">
        <f t="shared" si="101"/>
        <v>0</v>
      </c>
      <c r="AK132" s="143">
        <f t="shared" si="101"/>
        <v>0</v>
      </c>
      <c r="AL132" s="145">
        <f t="shared" si="101"/>
        <v>0</v>
      </c>
      <c r="AM132" s="143">
        <f t="shared" si="101"/>
        <v>0</v>
      </c>
    </row>
    <row r="133" spans="3:39" x14ac:dyDescent="0.2">
      <c r="C133" s="285"/>
      <c r="D133" s="107" t="s">
        <v>201</v>
      </c>
      <c r="E133" s="144">
        <f t="shared" ref="E133:AM133" si="102">IF(ABS(E13)&gt;100,E93/E13,0)</f>
        <v>0</v>
      </c>
      <c r="F133" s="143">
        <f t="shared" si="102"/>
        <v>0</v>
      </c>
      <c r="G133" s="143">
        <f t="shared" si="102"/>
        <v>0</v>
      </c>
      <c r="H133" s="143">
        <f t="shared" si="102"/>
        <v>0</v>
      </c>
      <c r="I133" s="143">
        <f t="shared" si="102"/>
        <v>0</v>
      </c>
      <c r="J133" s="143">
        <f t="shared" si="102"/>
        <v>0</v>
      </c>
      <c r="K133" s="143">
        <f t="shared" si="102"/>
        <v>0</v>
      </c>
      <c r="L133" s="143">
        <f t="shared" si="102"/>
        <v>0</v>
      </c>
      <c r="M133" s="143">
        <f t="shared" si="102"/>
        <v>0</v>
      </c>
      <c r="N133" s="143">
        <f t="shared" si="102"/>
        <v>0</v>
      </c>
      <c r="O133" s="143">
        <f t="shared" si="102"/>
        <v>0</v>
      </c>
      <c r="P133" s="143">
        <f t="shared" si="102"/>
        <v>0</v>
      </c>
      <c r="Q133" s="143">
        <f t="shared" si="102"/>
        <v>0</v>
      </c>
      <c r="R133" s="143">
        <f t="shared" si="102"/>
        <v>0</v>
      </c>
      <c r="S133" s="143">
        <f t="shared" si="102"/>
        <v>0</v>
      </c>
      <c r="T133" s="143">
        <f t="shared" si="102"/>
        <v>0</v>
      </c>
      <c r="U133" s="143">
        <f t="shared" si="102"/>
        <v>0</v>
      </c>
      <c r="V133" s="143">
        <f t="shared" si="102"/>
        <v>0</v>
      </c>
      <c r="W133" s="143">
        <f t="shared" si="102"/>
        <v>0</v>
      </c>
      <c r="X133" s="143">
        <f t="shared" si="102"/>
        <v>0</v>
      </c>
      <c r="Y133" s="143">
        <f t="shared" si="102"/>
        <v>0</v>
      </c>
      <c r="Z133" s="143">
        <f t="shared" si="102"/>
        <v>0</v>
      </c>
      <c r="AA133" s="143">
        <f t="shared" si="102"/>
        <v>0</v>
      </c>
      <c r="AB133" s="143">
        <f t="shared" si="102"/>
        <v>0</v>
      </c>
      <c r="AC133" s="143">
        <f t="shared" si="102"/>
        <v>0</v>
      </c>
      <c r="AD133" s="143">
        <f t="shared" si="102"/>
        <v>0</v>
      </c>
      <c r="AE133" s="143">
        <f t="shared" si="102"/>
        <v>0</v>
      </c>
      <c r="AF133" s="143">
        <f t="shared" si="102"/>
        <v>0</v>
      </c>
      <c r="AG133" s="143">
        <f t="shared" si="102"/>
        <v>0</v>
      </c>
      <c r="AH133" s="143">
        <f t="shared" si="102"/>
        <v>0</v>
      </c>
      <c r="AI133" s="143">
        <f t="shared" si="102"/>
        <v>0</v>
      </c>
      <c r="AJ133" s="143">
        <f t="shared" si="102"/>
        <v>0</v>
      </c>
      <c r="AK133" s="143">
        <f t="shared" si="102"/>
        <v>0</v>
      </c>
      <c r="AL133" s="145">
        <f t="shared" si="102"/>
        <v>0</v>
      </c>
      <c r="AM133" s="143">
        <f t="shared" si="102"/>
        <v>0</v>
      </c>
    </row>
    <row r="134" spans="3:39" x14ac:dyDescent="0.2">
      <c r="C134" s="285"/>
      <c r="D134" s="107" t="s">
        <v>203</v>
      </c>
      <c r="E134" s="144">
        <f t="shared" ref="E134:AM134" si="103">IF(ABS(E14)&gt;100,E94/E14,0)</f>
        <v>0</v>
      </c>
      <c r="F134" s="143">
        <f t="shared" si="103"/>
        <v>0</v>
      </c>
      <c r="G134" s="143">
        <f t="shared" si="103"/>
        <v>0</v>
      </c>
      <c r="H134" s="143">
        <f t="shared" si="103"/>
        <v>0</v>
      </c>
      <c r="I134" s="143">
        <f t="shared" si="103"/>
        <v>0</v>
      </c>
      <c r="J134" s="143">
        <f t="shared" si="103"/>
        <v>0</v>
      </c>
      <c r="K134" s="143">
        <f t="shared" si="103"/>
        <v>0</v>
      </c>
      <c r="L134" s="143">
        <f t="shared" si="103"/>
        <v>0</v>
      </c>
      <c r="M134" s="143">
        <f t="shared" si="103"/>
        <v>0</v>
      </c>
      <c r="N134" s="143">
        <f t="shared" si="103"/>
        <v>0</v>
      </c>
      <c r="O134" s="143">
        <f t="shared" si="103"/>
        <v>0</v>
      </c>
      <c r="P134" s="143">
        <f t="shared" si="103"/>
        <v>0</v>
      </c>
      <c r="Q134" s="143">
        <f t="shared" si="103"/>
        <v>0</v>
      </c>
      <c r="R134" s="143">
        <f t="shared" si="103"/>
        <v>0</v>
      </c>
      <c r="S134" s="143">
        <f t="shared" si="103"/>
        <v>0</v>
      </c>
      <c r="T134" s="143">
        <f t="shared" si="103"/>
        <v>0</v>
      </c>
      <c r="U134" s="143">
        <f t="shared" si="103"/>
        <v>0</v>
      </c>
      <c r="V134" s="143">
        <f t="shared" si="103"/>
        <v>0</v>
      </c>
      <c r="W134" s="143">
        <f t="shared" si="103"/>
        <v>0</v>
      </c>
      <c r="X134" s="143">
        <f t="shared" si="103"/>
        <v>0</v>
      </c>
      <c r="Y134" s="143">
        <f t="shared" si="103"/>
        <v>0</v>
      </c>
      <c r="Z134" s="143">
        <f t="shared" si="103"/>
        <v>0</v>
      </c>
      <c r="AA134" s="143">
        <f t="shared" si="103"/>
        <v>0</v>
      </c>
      <c r="AB134" s="143">
        <f t="shared" si="103"/>
        <v>0</v>
      </c>
      <c r="AC134" s="143">
        <f t="shared" si="103"/>
        <v>0</v>
      </c>
      <c r="AD134" s="143">
        <f t="shared" si="103"/>
        <v>0</v>
      </c>
      <c r="AE134" s="143">
        <f t="shared" si="103"/>
        <v>0</v>
      </c>
      <c r="AF134" s="143">
        <f t="shared" si="103"/>
        <v>0</v>
      </c>
      <c r="AG134" s="143">
        <f t="shared" si="103"/>
        <v>0</v>
      </c>
      <c r="AH134" s="143">
        <f t="shared" si="103"/>
        <v>0</v>
      </c>
      <c r="AI134" s="143">
        <f t="shared" si="103"/>
        <v>0</v>
      </c>
      <c r="AJ134" s="143">
        <f t="shared" si="103"/>
        <v>0</v>
      </c>
      <c r="AK134" s="143">
        <f t="shared" si="103"/>
        <v>0</v>
      </c>
      <c r="AL134" s="145">
        <f t="shared" si="103"/>
        <v>0</v>
      </c>
      <c r="AM134" s="143">
        <f t="shared" si="103"/>
        <v>0</v>
      </c>
    </row>
    <row r="135" spans="3:39" x14ac:dyDescent="0.2">
      <c r="C135" s="285"/>
      <c r="D135" s="107" t="s">
        <v>204</v>
      </c>
      <c r="E135" s="144">
        <f t="shared" ref="E135:AM135" si="104">IF(ABS(E15)&gt;100,E95/E15,0)</f>
        <v>0</v>
      </c>
      <c r="F135" s="143">
        <f t="shared" si="104"/>
        <v>0</v>
      </c>
      <c r="G135" s="143">
        <f t="shared" si="104"/>
        <v>0</v>
      </c>
      <c r="H135" s="143">
        <f t="shared" si="104"/>
        <v>0</v>
      </c>
      <c r="I135" s="143">
        <f t="shared" si="104"/>
        <v>0</v>
      </c>
      <c r="J135" s="143">
        <f t="shared" si="104"/>
        <v>0</v>
      </c>
      <c r="K135" s="143">
        <f t="shared" si="104"/>
        <v>0</v>
      </c>
      <c r="L135" s="143">
        <f t="shared" si="104"/>
        <v>0</v>
      </c>
      <c r="M135" s="143">
        <f t="shared" si="104"/>
        <v>0</v>
      </c>
      <c r="N135" s="143">
        <f t="shared" si="104"/>
        <v>0</v>
      </c>
      <c r="O135" s="143">
        <f t="shared" si="104"/>
        <v>0</v>
      </c>
      <c r="P135" s="143">
        <f t="shared" si="104"/>
        <v>0</v>
      </c>
      <c r="Q135" s="143">
        <f t="shared" si="104"/>
        <v>0</v>
      </c>
      <c r="R135" s="143">
        <f t="shared" si="104"/>
        <v>0</v>
      </c>
      <c r="S135" s="143">
        <f t="shared" si="104"/>
        <v>0</v>
      </c>
      <c r="T135" s="143">
        <f t="shared" si="104"/>
        <v>0</v>
      </c>
      <c r="U135" s="143">
        <f t="shared" si="104"/>
        <v>0</v>
      </c>
      <c r="V135" s="143">
        <f t="shared" si="104"/>
        <v>0</v>
      </c>
      <c r="W135" s="143">
        <f t="shared" si="104"/>
        <v>0</v>
      </c>
      <c r="X135" s="143">
        <f t="shared" si="104"/>
        <v>0</v>
      </c>
      <c r="Y135" s="143">
        <f t="shared" si="104"/>
        <v>0</v>
      </c>
      <c r="Z135" s="143">
        <f t="shared" si="104"/>
        <v>0</v>
      </c>
      <c r="AA135" s="143">
        <f t="shared" si="104"/>
        <v>0</v>
      </c>
      <c r="AB135" s="143">
        <f t="shared" si="104"/>
        <v>0</v>
      </c>
      <c r="AC135" s="143">
        <f t="shared" si="104"/>
        <v>0</v>
      </c>
      <c r="AD135" s="143">
        <f t="shared" si="104"/>
        <v>0</v>
      </c>
      <c r="AE135" s="143">
        <f t="shared" si="104"/>
        <v>0</v>
      </c>
      <c r="AF135" s="143">
        <f t="shared" si="104"/>
        <v>0</v>
      </c>
      <c r="AG135" s="143">
        <f t="shared" si="104"/>
        <v>0</v>
      </c>
      <c r="AH135" s="143">
        <f t="shared" si="104"/>
        <v>0</v>
      </c>
      <c r="AI135" s="143">
        <f t="shared" si="104"/>
        <v>0</v>
      </c>
      <c r="AJ135" s="143">
        <f t="shared" si="104"/>
        <v>0</v>
      </c>
      <c r="AK135" s="143">
        <f t="shared" si="104"/>
        <v>0</v>
      </c>
      <c r="AL135" s="145">
        <f t="shared" si="104"/>
        <v>0</v>
      </c>
      <c r="AM135" s="143">
        <f t="shared" si="104"/>
        <v>0</v>
      </c>
    </row>
    <row r="136" spans="3:39" x14ac:dyDescent="0.2">
      <c r="C136" s="285"/>
      <c r="D136" s="107" t="s">
        <v>205</v>
      </c>
      <c r="E136" s="144">
        <f t="shared" ref="E136:AM136" si="105">IF(ABS(E16)&gt;100,E96/E16,0)</f>
        <v>0</v>
      </c>
      <c r="F136" s="143">
        <f t="shared" si="105"/>
        <v>0</v>
      </c>
      <c r="G136" s="143">
        <f t="shared" si="105"/>
        <v>0</v>
      </c>
      <c r="H136" s="143">
        <f t="shared" si="105"/>
        <v>0</v>
      </c>
      <c r="I136" s="143">
        <f t="shared" si="105"/>
        <v>0</v>
      </c>
      <c r="J136" s="143">
        <f t="shared" si="105"/>
        <v>0</v>
      </c>
      <c r="K136" s="143">
        <f t="shared" si="105"/>
        <v>0</v>
      </c>
      <c r="L136" s="143">
        <f t="shared" si="105"/>
        <v>0</v>
      </c>
      <c r="M136" s="143">
        <f t="shared" si="105"/>
        <v>0</v>
      </c>
      <c r="N136" s="143">
        <f t="shared" si="105"/>
        <v>0</v>
      </c>
      <c r="O136" s="143">
        <f t="shared" si="105"/>
        <v>0</v>
      </c>
      <c r="P136" s="143">
        <f t="shared" si="105"/>
        <v>0</v>
      </c>
      <c r="Q136" s="143">
        <f t="shared" si="105"/>
        <v>0</v>
      </c>
      <c r="R136" s="143">
        <f t="shared" si="105"/>
        <v>0</v>
      </c>
      <c r="S136" s="143">
        <f t="shared" si="105"/>
        <v>0</v>
      </c>
      <c r="T136" s="143">
        <f t="shared" si="105"/>
        <v>0</v>
      </c>
      <c r="U136" s="143">
        <f t="shared" si="105"/>
        <v>0</v>
      </c>
      <c r="V136" s="143">
        <f t="shared" si="105"/>
        <v>0</v>
      </c>
      <c r="W136" s="143">
        <f t="shared" si="105"/>
        <v>0</v>
      </c>
      <c r="X136" s="143">
        <f t="shared" si="105"/>
        <v>0</v>
      </c>
      <c r="Y136" s="143">
        <f t="shared" si="105"/>
        <v>0</v>
      </c>
      <c r="Z136" s="143">
        <f t="shared" si="105"/>
        <v>0</v>
      </c>
      <c r="AA136" s="143">
        <f t="shared" si="105"/>
        <v>0</v>
      </c>
      <c r="AB136" s="143">
        <f t="shared" si="105"/>
        <v>0</v>
      </c>
      <c r="AC136" s="143">
        <f t="shared" si="105"/>
        <v>0</v>
      </c>
      <c r="AD136" s="143">
        <f t="shared" si="105"/>
        <v>0</v>
      </c>
      <c r="AE136" s="143">
        <f t="shared" si="105"/>
        <v>0</v>
      </c>
      <c r="AF136" s="143">
        <f t="shared" si="105"/>
        <v>0</v>
      </c>
      <c r="AG136" s="143">
        <f t="shared" si="105"/>
        <v>0</v>
      </c>
      <c r="AH136" s="143">
        <f t="shared" si="105"/>
        <v>0</v>
      </c>
      <c r="AI136" s="143">
        <f t="shared" si="105"/>
        <v>0</v>
      </c>
      <c r="AJ136" s="143">
        <f t="shared" si="105"/>
        <v>0</v>
      </c>
      <c r="AK136" s="143">
        <f t="shared" si="105"/>
        <v>0</v>
      </c>
      <c r="AL136" s="145">
        <f t="shared" si="105"/>
        <v>0</v>
      </c>
      <c r="AM136" s="143">
        <f t="shared" si="105"/>
        <v>0</v>
      </c>
    </row>
    <row r="137" spans="3:39" x14ac:dyDescent="0.2">
      <c r="C137" s="285"/>
      <c r="D137" s="107" t="s">
        <v>206</v>
      </c>
      <c r="E137" s="144">
        <f t="shared" ref="E137:AM137" si="106">IF(ABS(E17)&gt;100,E97/E17,0)</f>
        <v>0</v>
      </c>
      <c r="F137" s="143">
        <f t="shared" si="106"/>
        <v>0</v>
      </c>
      <c r="G137" s="143">
        <f t="shared" si="106"/>
        <v>0</v>
      </c>
      <c r="H137" s="143">
        <f t="shared" si="106"/>
        <v>0</v>
      </c>
      <c r="I137" s="143">
        <f t="shared" si="106"/>
        <v>0</v>
      </c>
      <c r="J137" s="143">
        <f t="shared" si="106"/>
        <v>0</v>
      </c>
      <c r="K137" s="143">
        <f t="shared" si="106"/>
        <v>0</v>
      </c>
      <c r="L137" s="143">
        <f t="shared" si="106"/>
        <v>0</v>
      </c>
      <c r="M137" s="143">
        <f t="shared" si="106"/>
        <v>0</v>
      </c>
      <c r="N137" s="143">
        <f t="shared" si="106"/>
        <v>0</v>
      </c>
      <c r="O137" s="143">
        <f t="shared" si="106"/>
        <v>0</v>
      </c>
      <c r="P137" s="143">
        <f t="shared" si="106"/>
        <v>0</v>
      </c>
      <c r="Q137" s="143">
        <f t="shared" si="106"/>
        <v>0</v>
      </c>
      <c r="R137" s="143">
        <f t="shared" si="106"/>
        <v>0</v>
      </c>
      <c r="S137" s="143">
        <f t="shared" si="106"/>
        <v>0</v>
      </c>
      <c r="T137" s="143">
        <f t="shared" si="106"/>
        <v>0</v>
      </c>
      <c r="U137" s="143">
        <f t="shared" si="106"/>
        <v>0</v>
      </c>
      <c r="V137" s="143">
        <f t="shared" si="106"/>
        <v>0</v>
      </c>
      <c r="W137" s="143">
        <f t="shared" si="106"/>
        <v>0</v>
      </c>
      <c r="X137" s="143">
        <f t="shared" si="106"/>
        <v>0</v>
      </c>
      <c r="Y137" s="143">
        <f t="shared" si="106"/>
        <v>0</v>
      </c>
      <c r="Z137" s="143">
        <f t="shared" si="106"/>
        <v>0</v>
      </c>
      <c r="AA137" s="143">
        <f t="shared" si="106"/>
        <v>0</v>
      </c>
      <c r="AB137" s="143">
        <f t="shared" si="106"/>
        <v>0</v>
      </c>
      <c r="AC137" s="143">
        <f t="shared" si="106"/>
        <v>0</v>
      </c>
      <c r="AD137" s="143">
        <f t="shared" si="106"/>
        <v>0</v>
      </c>
      <c r="AE137" s="143">
        <f t="shared" si="106"/>
        <v>0</v>
      </c>
      <c r="AF137" s="143">
        <f t="shared" si="106"/>
        <v>0</v>
      </c>
      <c r="AG137" s="143">
        <f t="shared" si="106"/>
        <v>0</v>
      </c>
      <c r="AH137" s="143">
        <f t="shared" si="106"/>
        <v>0</v>
      </c>
      <c r="AI137" s="143">
        <f t="shared" si="106"/>
        <v>0</v>
      </c>
      <c r="AJ137" s="143">
        <f t="shared" si="106"/>
        <v>0</v>
      </c>
      <c r="AK137" s="143">
        <f t="shared" si="106"/>
        <v>0</v>
      </c>
      <c r="AL137" s="145">
        <f t="shared" si="106"/>
        <v>0</v>
      </c>
      <c r="AM137" s="143">
        <f t="shared" si="106"/>
        <v>0</v>
      </c>
    </row>
    <row r="138" spans="3:39" x14ac:dyDescent="0.2">
      <c r="C138" s="285"/>
      <c r="D138" s="107" t="s">
        <v>207</v>
      </c>
      <c r="E138" s="144">
        <f t="shared" ref="E138:AM138" si="107">IF(ABS(E18)&gt;100,E98/E18,0)</f>
        <v>0</v>
      </c>
      <c r="F138" s="143">
        <f t="shared" si="107"/>
        <v>0</v>
      </c>
      <c r="G138" s="143">
        <f t="shared" si="107"/>
        <v>0</v>
      </c>
      <c r="H138" s="143">
        <f t="shared" si="107"/>
        <v>0</v>
      </c>
      <c r="I138" s="143">
        <f t="shared" si="107"/>
        <v>0</v>
      </c>
      <c r="J138" s="143">
        <f t="shared" si="107"/>
        <v>0</v>
      </c>
      <c r="K138" s="143">
        <f t="shared" si="107"/>
        <v>0</v>
      </c>
      <c r="L138" s="143">
        <f t="shared" si="107"/>
        <v>0</v>
      </c>
      <c r="M138" s="143">
        <f t="shared" si="107"/>
        <v>0</v>
      </c>
      <c r="N138" s="143">
        <f t="shared" si="107"/>
        <v>0</v>
      </c>
      <c r="O138" s="143">
        <f t="shared" si="107"/>
        <v>0</v>
      </c>
      <c r="P138" s="143">
        <f t="shared" si="107"/>
        <v>0</v>
      </c>
      <c r="Q138" s="143">
        <f t="shared" si="107"/>
        <v>0</v>
      </c>
      <c r="R138" s="143">
        <f t="shared" si="107"/>
        <v>0</v>
      </c>
      <c r="S138" s="143">
        <f t="shared" si="107"/>
        <v>0</v>
      </c>
      <c r="T138" s="143">
        <f t="shared" si="107"/>
        <v>0</v>
      </c>
      <c r="U138" s="143">
        <f t="shared" si="107"/>
        <v>0</v>
      </c>
      <c r="V138" s="143">
        <f t="shared" si="107"/>
        <v>0</v>
      </c>
      <c r="W138" s="143">
        <f t="shared" si="107"/>
        <v>0</v>
      </c>
      <c r="X138" s="143">
        <f t="shared" si="107"/>
        <v>0</v>
      </c>
      <c r="Y138" s="143">
        <f t="shared" si="107"/>
        <v>0</v>
      </c>
      <c r="Z138" s="143">
        <f t="shared" si="107"/>
        <v>0</v>
      </c>
      <c r="AA138" s="143">
        <f t="shared" si="107"/>
        <v>0</v>
      </c>
      <c r="AB138" s="143">
        <f t="shared" si="107"/>
        <v>0</v>
      </c>
      <c r="AC138" s="143">
        <f t="shared" si="107"/>
        <v>0</v>
      </c>
      <c r="AD138" s="143">
        <f t="shared" si="107"/>
        <v>0</v>
      </c>
      <c r="AE138" s="143">
        <f t="shared" si="107"/>
        <v>0</v>
      </c>
      <c r="AF138" s="143">
        <f t="shared" si="107"/>
        <v>0</v>
      </c>
      <c r="AG138" s="143">
        <f t="shared" si="107"/>
        <v>0</v>
      </c>
      <c r="AH138" s="143">
        <f t="shared" si="107"/>
        <v>0</v>
      </c>
      <c r="AI138" s="143">
        <f t="shared" si="107"/>
        <v>0</v>
      </c>
      <c r="AJ138" s="143">
        <f t="shared" si="107"/>
        <v>0</v>
      </c>
      <c r="AK138" s="143">
        <f t="shared" si="107"/>
        <v>0</v>
      </c>
      <c r="AL138" s="145">
        <f t="shared" si="107"/>
        <v>0</v>
      </c>
      <c r="AM138" s="143">
        <f t="shared" si="107"/>
        <v>0</v>
      </c>
    </row>
    <row r="139" spans="3:39" x14ac:dyDescent="0.2">
      <c r="C139" s="285"/>
      <c r="D139" s="107" t="s">
        <v>208</v>
      </c>
      <c r="E139" s="144">
        <f t="shared" ref="E139:AM139" si="108">IF(ABS(E19)&gt;100,E99/E19,0)</f>
        <v>0</v>
      </c>
      <c r="F139" s="143">
        <f t="shared" si="108"/>
        <v>0</v>
      </c>
      <c r="G139" s="143">
        <f t="shared" si="108"/>
        <v>0</v>
      </c>
      <c r="H139" s="143">
        <f t="shared" si="108"/>
        <v>0</v>
      </c>
      <c r="I139" s="143">
        <f t="shared" si="108"/>
        <v>0</v>
      </c>
      <c r="J139" s="143">
        <f t="shared" si="108"/>
        <v>0</v>
      </c>
      <c r="K139" s="143">
        <f t="shared" si="108"/>
        <v>0</v>
      </c>
      <c r="L139" s="143">
        <f t="shared" si="108"/>
        <v>0</v>
      </c>
      <c r="M139" s="143">
        <f t="shared" si="108"/>
        <v>0</v>
      </c>
      <c r="N139" s="143">
        <f t="shared" si="108"/>
        <v>0</v>
      </c>
      <c r="O139" s="143">
        <f t="shared" si="108"/>
        <v>0</v>
      </c>
      <c r="P139" s="143">
        <f t="shared" si="108"/>
        <v>0</v>
      </c>
      <c r="Q139" s="143">
        <f t="shared" si="108"/>
        <v>0</v>
      </c>
      <c r="R139" s="143">
        <f t="shared" si="108"/>
        <v>0</v>
      </c>
      <c r="S139" s="143">
        <f t="shared" si="108"/>
        <v>0</v>
      </c>
      <c r="T139" s="143">
        <f t="shared" si="108"/>
        <v>0</v>
      </c>
      <c r="U139" s="143">
        <f t="shared" si="108"/>
        <v>0</v>
      </c>
      <c r="V139" s="143">
        <f t="shared" si="108"/>
        <v>0</v>
      </c>
      <c r="W139" s="143">
        <f t="shared" si="108"/>
        <v>0</v>
      </c>
      <c r="X139" s="143">
        <f t="shared" si="108"/>
        <v>0</v>
      </c>
      <c r="Y139" s="143">
        <f t="shared" si="108"/>
        <v>0</v>
      </c>
      <c r="Z139" s="143">
        <f t="shared" si="108"/>
        <v>0</v>
      </c>
      <c r="AA139" s="143">
        <f t="shared" si="108"/>
        <v>0</v>
      </c>
      <c r="AB139" s="143">
        <f t="shared" si="108"/>
        <v>0</v>
      </c>
      <c r="AC139" s="143">
        <f t="shared" si="108"/>
        <v>0</v>
      </c>
      <c r="AD139" s="143">
        <f t="shared" si="108"/>
        <v>0</v>
      </c>
      <c r="AE139" s="143">
        <f t="shared" si="108"/>
        <v>0</v>
      </c>
      <c r="AF139" s="143">
        <f t="shared" si="108"/>
        <v>0</v>
      </c>
      <c r="AG139" s="143">
        <f t="shared" si="108"/>
        <v>0</v>
      </c>
      <c r="AH139" s="143">
        <f t="shared" si="108"/>
        <v>0</v>
      </c>
      <c r="AI139" s="143">
        <f t="shared" si="108"/>
        <v>0</v>
      </c>
      <c r="AJ139" s="143">
        <f t="shared" si="108"/>
        <v>0</v>
      </c>
      <c r="AK139" s="143">
        <f t="shared" si="108"/>
        <v>0</v>
      </c>
      <c r="AL139" s="145">
        <f t="shared" si="108"/>
        <v>0</v>
      </c>
      <c r="AM139" s="143">
        <f t="shared" si="108"/>
        <v>0</v>
      </c>
    </row>
    <row r="140" spans="3:39" x14ac:dyDescent="0.2">
      <c r="C140" s="285"/>
      <c r="D140" s="107" t="s">
        <v>209</v>
      </c>
      <c r="E140" s="144">
        <f t="shared" ref="E140:AM140" si="109">IF(ABS(E20)&gt;100,E100/E20,0)</f>
        <v>0</v>
      </c>
      <c r="F140" s="143">
        <f t="shared" si="109"/>
        <v>0</v>
      </c>
      <c r="G140" s="143">
        <f t="shared" si="109"/>
        <v>0</v>
      </c>
      <c r="H140" s="143">
        <f t="shared" si="109"/>
        <v>0</v>
      </c>
      <c r="I140" s="143">
        <f t="shared" si="109"/>
        <v>0</v>
      </c>
      <c r="J140" s="143">
        <f t="shared" si="109"/>
        <v>0</v>
      </c>
      <c r="K140" s="143">
        <f t="shared" si="109"/>
        <v>0</v>
      </c>
      <c r="L140" s="143">
        <f t="shared" si="109"/>
        <v>0</v>
      </c>
      <c r="M140" s="143">
        <f t="shared" si="109"/>
        <v>0</v>
      </c>
      <c r="N140" s="143">
        <f t="shared" si="109"/>
        <v>0</v>
      </c>
      <c r="O140" s="143">
        <f t="shared" si="109"/>
        <v>0</v>
      </c>
      <c r="P140" s="143">
        <f t="shared" si="109"/>
        <v>0</v>
      </c>
      <c r="Q140" s="143">
        <f t="shared" si="109"/>
        <v>0</v>
      </c>
      <c r="R140" s="143">
        <f t="shared" si="109"/>
        <v>0</v>
      </c>
      <c r="S140" s="143">
        <f t="shared" si="109"/>
        <v>0</v>
      </c>
      <c r="T140" s="143">
        <f t="shared" si="109"/>
        <v>0</v>
      </c>
      <c r="U140" s="143">
        <f t="shared" si="109"/>
        <v>0</v>
      </c>
      <c r="V140" s="143">
        <f t="shared" si="109"/>
        <v>0</v>
      </c>
      <c r="W140" s="143">
        <f t="shared" si="109"/>
        <v>0</v>
      </c>
      <c r="X140" s="143">
        <f t="shared" si="109"/>
        <v>0</v>
      </c>
      <c r="Y140" s="143">
        <f t="shared" si="109"/>
        <v>0</v>
      </c>
      <c r="Z140" s="143">
        <f t="shared" si="109"/>
        <v>0</v>
      </c>
      <c r="AA140" s="143">
        <f t="shared" si="109"/>
        <v>0</v>
      </c>
      <c r="AB140" s="143">
        <f t="shared" si="109"/>
        <v>0</v>
      </c>
      <c r="AC140" s="143">
        <f t="shared" si="109"/>
        <v>0</v>
      </c>
      <c r="AD140" s="143">
        <f t="shared" si="109"/>
        <v>0</v>
      </c>
      <c r="AE140" s="143">
        <f t="shared" si="109"/>
        <v>0</v>
      </c>
      <c r="AF140" s="143">
        <f t="shared" si="109"/>
        <v>0</v>
      </c>
      <c r="AG140" s="143">
        <f t="shared" si="109"/>
        <v>0</v>
      </c>
      <c r="AH140" s="143">
        <f t="shared" si="109"/>
        <v>0</v>
      </c>
      <c r="AI140" s="143">
        <f t="shared" si="109"/>
        <v>0</v>
      </c>
      <c r="AJ140" s="143">
        <f t="shared" si="109"/>
        <v>0</v>
      </c>
      <c r="AK140" s="143">
        <f t="shared" si="109"/>
        <v>0</v>
      </c>
      <c r="AL140" s="145">
        <f t="shared" si="109"/>
        <v>0</v>
      </c>
      <c r="AM140" s="143">
        <f t="shared" si="109"/>
        <v>0</v>
      </c>
    </row>
    <row r="141" spans="3:39" x14ac:dyDescent="0.2">
      <c r="C141" s="285"/>
      <c r="D141" s="107" t="s">
        <v>210</v>
      </c>
      <c r="E141" s="144">
        <f t="shared" ref="E141:AM141" si="110">IF(ABS(E21)&gt;100,E101/E21,0)</f>
        <v>0</v>
      </c>
      <c r="F141" s="143">
        <f t="shared" si="110"/>
        <v>0</v>
      </c>
      <c r="G141" s="143">
        <f t="shared" si="110"/>
        <v>0</v>
      </c>
      <c r="H141" s="143">
        <f t="shared" si="110"/>
        <v>0</v>
      </c>
      <c r="I141" s="143">
        <f t="shared" si="110"/>
        <v>0</v>
      </c>
      <c r="J141" s="143">
        <f t="shared" si="110"/>
        <v>0</v>
      </c>
      <c r="K141" s="143">
        <f t="shared" si="110"/>
        <v>0</v>
      </c>
      <c r="L141" s="143">
        <f t="shared" si="110"/>
        <v>0</v>
      </c>
      <c r="M141" s="143">
        <f t="shared" si="110"/>
        <v>0</v>
      </c>
      <c r="N141" s="143">
        <f t="shared" si="110"/>
        <v>0</v>
      </c>
      <c r="O141" s="143">
        <f t="shared" si="110"/>
        <v>0</v>
      </c>
      <c r="P141" s="143">
        <f t="shared" si="110"/>
        <v>0</v>
      </c>
      <c r="Q141" s="143">
        <f t="shared" si="110"/>
        <v>0</v>
      </c>
      <c r="R141" s="143">
        <f t="shared" si="110"/>
        <v>0</v>
      </c>
      <c r="S141" s="143">
        <f t="shared" si="110"/>
        <v>0</v>
      </c>
      <c r="T141" s="143">
        <f t="shared" si="110"/>
        <v>0</v>
      </c>
      <c r="U141" s="143">
        <f t="shared" si="110"/>
        <v>0</v>
      </c>
      <c r="V141" s="143">
        <f t="shared" si="110"/>
        <v>0</v>
      </c>
      <c r="W141" s="143">
        <f t="shared" si="110"/>
        <v>0</v>
      </c>
      <c r="X141" s="143">
        <f t="shared" si="110"/>
        <v>0</v>
      </c>
      <c r="Y141" s="143">
        <f t="shared" si="110"/>
        <v>0</v>
      </c>
      <c r="Z141" s="143">
        <f t="shared" si="110"/>
        <v>0</v>
      </c>
      <c r="AA141" s="143">
        <f t="shared" si="110"/>
        <v>0</v>
      </c>
      <c r="AB141" s="143">
        <f t="shared" si="110"/>
        <v>0</v>
      </c>
      <c r="AC141" s="143">
        <f t="shared" si="110"/>
        <v>0</v>
      </c>
      <c r="AD141" s="143">
        <f t="shared" si="110"/>
        <v>0</v>
      </c>
      <c r="AE141" s="143">
        <f t="shared" si="110"/>
        <v>0</v>
      </c>
      <c r="AF141" s="143">
        <f t="shared" si="110"/>
        <v>0</v>
      </c>
      <c r="AG141" s="143">
        <f t="shared" si="110"/>
        <v>0</v>
      </c>
      <c r="AH141" s="143">
        <f t="shared" si="110"/>
        <v>0</v>
      </c>
      <c r="AI141" s="143">
        <f t="shared" si="110"/>
        <v>0</v>
      </c>
      <c r="AJ141" s="143">
        <f t="shared" si="110"/>
        <v>0</v>
      </c>
      <c r="AK141" s="143">
        <f t="shared" si="110"/>
        <v>0</v>
      </c>
      <c r="AL141" s="145">
        <f t="shared" si="110"/>
        <v>0</v>
      </c>
      <c r="AM141" s="143">
        <f t="shared" si="110"/>
        <v>0</v>
      </c>
    </row>
    <row r="142" spans="3:39" x14ac:dyDescent="0.2">
      <c r="C142" s="285"/>
      <c r="D142" s="107" t="s">
        <v>197</v>
      </c>
      <c r="E142" s="144">
        <f t="shared" ref="E142:AM142" si="111">IF(ABS(E22)&gt;100,E102/E22,0)</f>
        <v>0</v>
      </c>
      <c r="F142" s="143">
        <f t="shared" si="111"/>
        <v>0</v>
      </c>
      <c r="G142" s="143">
        <f t="shared" si="111"/>
        <v>0</v>
      </c>
      <c r="H142" s="143">
        <f t="shared" si="111"/>
        <v>0</v>
      </c>
      <c r="I142" s="143">
        <f t="shared" si="111"/>
        <v>0</v>
      </c>
      <c r="J142" s="143">
        <f t="shared" si="111"/>
        <v>0</v>
      </c>
      <c r="K142" s="143">
        <f t="shared" si="111"/>
        <v>0</v>
      </c>
      <c r="L142" s="143">
        <f t="shared" si="111"/>
        <v>0</v>
      </c>
      <c r="M142" s="143">
        <f t="shared" si="111"/>
        <v>0</v>
      </c>
      <c r="N142" s="143">
        <f t="shared" si="111"/>
        <v>0</v>
      </c>
      <c r="O142" s="143">
        <f t="shared" si="111"/>
        <v>0</v>
      </c>
      <c r="P142" s="143">
        <f t="shared" si="111"/>
        <v>0</v>
      </c>
      <c r="Q142" s="143">
        <f t="shared" si="111"/>
        <v>0</v>
      </c>
      <c r="R142" s="143">
        <f t="shared" si="111"/>
        <v>0</v>
      </c>
      <c r="S142" s="143">
        <f t="shared" si="111"/>
        <v>0</v>
      </c>
      <c r="T142" s="143">
        <f t="shared" si="111"/>
        <v>0</v>
      </c>
      <c r="U142" s="143">
        <f t="shared" si="111"/>
        <v>0</v>
      </c>
      <c r="V142" s="143">
        <f t="shared" si="111"/>
        <v>0</v>
      </c>
      <c r="W142" s="143">
        <f t="shared" si="111"/>
        <v>0</v>
      </c>
      <c r="X142" s="143">
        <f t="shared" si="111"/>
        <v>0</v>
      </c>
      <c r="Y142" s="143">
        <f t="shared" si="111"/>
        <v>0</v>
      </c>
      <c r="Z142" s="143">
        <f t="shared" si="111"/>
        <v>0</v>
      </c>
      <c r="AA142" s="143">
        <f t="shared" si="111"/>
        <v>0</v>
      </c>
      <c r="AB142" s="143">
        <f t="shared" si="111"/>
        <v>0</v>
      </c>
      <c r="AC142" s="143">
        <f t="shared" si="111"/>
        <v>0</v>
      </c>
      <c r="AD142" s="143">
        <f t="shared" si="111"/>
        <v>0</v>
      </c>
      <c r="AE142" s="143">
        <f t="shared" si="111"/>
        <v>0</v>
      </c>
      <c r="AF142" s="143">
        <f t="shared" si="111"/>
        <v>0</v>
      </c>
      <c r="AG142" s="143">
        <f t="shared" si="111"/>
        <v>0</v>
      </c>
      <c r="AH142" s="143">
        <f t="shared" si="111"/>
        <v>0</v>
      </c>
      <c r="AI142" s="143">
        <f t="shared" si="111"/>
        <v>0</v>
      </c>
      <c r="AJ142" s="143">
        <f t="shared" si="111"/>
        <v>0</v>
      </c>
      <c r="AK142" s="143">
        <f t="shared" si="111"/>
        <v>0</v>
      </c>
      <c r="AL142" s="145">
        <f t="shared" si="111"/>
        <v>0</v>
      </c>
      <c r="AM142" s="143">
        <f t="shared" si="111"/>
        <v>0</v>
      </c>
    </row>
    <row r="143" spans="3:39" x14ac:dyDescent="0.2">
      <c r="C143" s="285"/>
      <c r="D143" s="107" t="s">
        <v>212</v>
      </c>
      <c r="E143" s="144">
        <f t="shared" ref="E143:AM143" si="112">IF(ABS(E23)&gt;100,E103/E23,0)</f>
        <v>0</v>
      </c>
      <c r="F143" s="143">
        <f t="shared" si="112"/>
        <v>0</v>
      </c>
      <c r="G143" s="143">
        <f t="shared" si="112"/>
        <v>0</v>
      </c>
      <c r="H143" s="143">
        <f t="shared" si="112"/>
        <v>0</v>
      </c>
      <c r="I143" s="143">
        <f t="shared" si="112"/>
        <v>0</v>
      </c>
      <c r="J143" s="143">
        <f t="shared" si="112"/>
        <v>0</v>
      </c>
      <c r="K143" s="143">
        <f t="shared" si="112"/>
        <v>0</v>
      </c>
      <c r="L143" s="143">
        <f t="shared" si="112"/>
        <v>0</v>
      </c>
      <c r="M143" s="143">
        <f t="shared" si="112"/>
        <v>0</v>
      </c>
      <c r="N143" s="143">
        <f t="shared" si="112"/>
        <v>0</v>
      </c>
      <c r="O143" s="143">
        <f t="shared" si="112"/>
        <v>0</v>
      </c>
      <c r="P143" s="143">
        <f t="shared" si="112"/>
        <v>0</v>
      </c>
      <c r="Q143" s="143">
        <f t="shared" si="112"/>
        <v>0</v>
      </c>
      <c r="R143" s="143">
        <f t="shared" si="112"/>
        <v>0</v>
      </c>
      <c r="S143" s="143">
        <f t="shared" si="112"/>
        <v>0</v>
      </c>
      <c r="T143" s="143">
        <f t="shared" si="112"/>
        <v>0</v>
      </c>
      <c r="U143" s="143">
        <f t="shared" si="112"/>
        <v>0</v>
      </c>
      <c r="V143" s="143">
        <f t="shared" si="112"/>
        <v>0</v>
      </c>
      <c r="W143" s="143">
        <f t="shared" si="112"/>
        <v>0</v>
      </c>
      <c r="X143" s="143">
        <f t="shared" si="112"/>
        <v>0</v>
      </c>
      <c r="Y143" s="143">
        <f t="shared" si="112"/>
        <v>0</v>
      </c>
      <c r="Z143" s="143">
        <f t="shared" si="112"/>
        <v>0</v>
      </c>
      <c r="AA143" s="143">
        <f t="shared" si="112"/>
        <v>0</v>
      </c>
      <c r="AB143" s="143">
        <f t="shared" si="112"/>
        <v>0</v>
      </c>
      <c r="AC143" s="143">
        <f t="shared" si="112"/>
        <v>0</v>
      </c>
      <c r="AD143" s="143">
        <f t="shared" si="112"/>
        <v>0</v>
      </c>
      <c r="AE143" s="143">
        <f t="shared" si="112"/>
        <v>0</v>
      </c>
      <c r="AF143" s="143">
        <f t="shared" si="112"/>
        <v>0</v>
      </c>
      <c r="AG143" s="143">
        <f t="shared" si="112"/>
        <v>0</v>
      </c>
      <c r="AH143" s="143">
        <f t="shared" si="112"/>
        <v>0</v>
      </c>
      <c r="AI143" s="143">
        <f t="shared" si="112"/>
        <v>0</v>
      </c>
      <c r="AJ143" s="143">
        <f t="shared" si="112"/>
        <v>0</v>
      </c>
      <c r="AK143" s="143">
        <f t="shared" si="112"/>
        <v>0</v>
      </c>
      <c r="AL143" s="145">
        <f t="shared" si="112"/>
        <v>0</v>
      </c>
      <c r="AM143" s="143">
        <f t="shared" si="112"/>
        <v>0</v>
      </c>
    </row>
    <row r="144" spans="3:39" x14ac:dyDescent="0.2">
      <c r="C144" s="285"/>
      <c r="D144" s="107" t="s">
        <v>211</v>
      </c>
      <c r="E144" s="144">
        <f t="shared" ref="E144:AM144" si="113">IF(ABS(E24)&gt;100,E104/E24,0)</f>
        <v>0</v>
      </c>
      <c r="F144" s="143">
        <f t="shared" si="113"/>
        <v>0</v>
      </c>
      <c r="G144" s="143">
        <f t="shared" si="113"/>
        <v>0</v>
      </c>
      <c r="H144" s="143">
        <f t="shared" si="113"/>
        <v>0</v>
      </c>
      <c r="I144" s="143">
        <f t="shared" si="113"/>
        <v>0</v>
      </c>
      <c r="J144" s="143">
        <f t="shared" si="113"/>
        <v>0</v>
      </c>
      <c r="K144" s="143">
        <f t="shared" si="113"/>
        <v>0</v>
      </c>
      <c r="L144" s="143">
        <f t="shared" si="113"/>
        <v>0</v>
      </c>
      <c r="M144" s="143">
        <f t="shared" si="113"/>
        <v>0</v>
      </c>
      <c r="N144" s="143">
        <f t="shared" si="113"/>
        <v>0</v>
      </c>
      <c r="O144" s="143">
        <f t="shared" si="113"/>
        <v>0</v>
      </c>
      <c r="P144" s="143">
        <f t="shared" si="113"/>
        <v>0</v>
      </c>
      <c r="Q144" s="143">
        <f t="shared" si="113"/>
        <v>0</v>
      </c>
      <c r="R144" s="143">
        <f t="shared" si="113"/>
        <v>0</v>
      </c>
      <c r="S144" s="143">
        <f t="shared" si="113"/>
        <v>0</v>
      </c>
      <c r="T144" s="143">
        <f t="shared" si="113"/>
        <v>0</v>
      </c>
      <c r="U144" s="143">
        <f t="shared" si="113"/>
        <v>0</v>
      </c>
      <c r="V144" s="143">
        <f t="shared" si="113"/>
        <v>0</v>
      </c>
      <c r="W144" s="143">
        <f t="shared" si="113"/>
        <v>0</v>
      </c>
      <c r="X144" s="143">
        <f t="shared" si="113"/>
        <v>0</v>
      </c>
      <c r="Y144" s="143">
        <f t="shared" si="113"/>
        <v>0</v>
      </c>
      <c r="Z144" s="143">
        <f t="shared" si="113"/>
        <v>0</v>
      </c>
      <c r="AA144" s="143">
        <f t="shared" si="113"/>
        <v>0</v>
      </c>
      <c r="AB144" s="143">
        <f t="shared" si="113"/>
        <v>0</v>
      </c>
      <c r="AC144" s="143">
        <f t="shared" si="113"/>
        <v>0</v>
      </c>
      <c r="AD144" s="143">
        <f t="shared" si="113"/>
        <v>0</v>
      </c>
      <c r="AE144" s="143">
        <f t="shared" si="113"/>
        <v>0</v>
      </c>
      <c r="AF144" s="143">
        <f t="shared" si="113"/>
        <v>0</v>
      </c>
      <c r="AG144" s="143">
        <f t="shared" si="113"/>
        <v>0</v>
      </c>
      <c r="AH144" s="143">
        <f t="shared" si="113"/>
        <v>0</v>
      </c>
      <c r="AI144" s="143">
        <f t="shared" si="113"/>
        <v>0</v>
      </c>
      <c r="AJ144" s="143">
        <f t="shared" si="113"/>
        <v>0</v>
      </c>
      <c r="AK144" s="143">
        <f t="shared" si="113"/>
        <v>0</v>
      </c>
      <c r="AL144" s="145">
        <f t="shared" si="113"/>
        <v>0</v>
      </c>
      <c r="AM144" s="143">
        <f t="shared" si="113"/>
        <v>0</v>
      </c>
    </row>
    <row r="145" spans="3:39" x14ac:dyDescent="0.2">
      <c r="C145" s="285"/>
      <c r="D145" s="107" t="s">
        <v>213</v>
      </c>
      <c r="E145" s="144">
        <f t="shared" ref="E145:AM145" si="114">IF(ABS(E25)&gt;100,E105/E25,0)</f>
        <v>0</v>
      </c>
      <c r="F145" s="143">
        <f t="shared" si="114"/>
        <v>0</v>
      </c>
      <c r="G145" s="143">
        <f t="shared" si="114"/>
        <v>0</v>
      </c>
      <c r="H145" s="143">
        <f t="shared" si="114"/>
        <v>0</v>
      </c>
      <c r="I145" s="143">
        <f t="shared" si="114"/>
        <v>0</v>
      </c>
      <c r="J145" s="143">
        <f t="shared" si="114"/>
        <v>0</v>
      </c>
      <c r="K145" s="143">
        <f t="shared" si="114"/>
        <v>0</v>
      </c>
      <c r="L145" s="143">
        <f t="shared" si="114"/>
        <v>0</v>
      </c>
      <c r="M145" s="143">
        <f t="shared" si="114"/>
        <v>0</v>
      </c>
      <c r="N145" s="143">
        <f t="shared" si="114"/>
        <v>0</v>
      </c>
      <c r="O145" s="143">
        <f t="shared" si="114"/>
        <v>0</v>
      </c>
      <c r="P145" s="143">
        <f t="shared" si="114"/>
        <v>0</v>
      </c>
      <c r="Q145" s="143">
        <f t="shared" si="114"/>
        <v>0</v>
      </c>
      <c r="R145" s="143">
        <f t="shared" si="114"/>
        <v>0</v>
      </c>
      <c r="S145" s="143">
        <f t="shared" si="114"/>
        <v>0</v>
      </c>
      <c r="T145" s="143">
        <f t="shared" si="114"/>
        <v>0</v>
      </c>
      <c r="U145" s="143">
        <f t="shared" si="114"/>
        <v>0</v>
      </c>
      <c r="V145" s="143">
        <f t="shared" si="114"/>
        <v>0</v>
      </c>
      <c r="W145" s="143">
        <f t="shared" si="114"/>
        <v>0</v>
      </c>
      <c r="X145" s="143">
        <f t="shared" si="114"/>
        <v>0</v>
      </c>
      <c r="Y145" s="143">
        <f t="shared" si="114"/>
        <v>0</v>
      </c>
      <c r="Z145" s="143">
        <f t="shared" si="114"/>
        <v>0</v>
      </c>
      <c r="AA145" s="143">
        <f t="shared" si="114"/>
        <v>0</v>
      </c>
      <c r="AB145" s="143">
        <f t="shared" si="114"/>
        <v>0</v>
      </c>
      <c r="AC145" s="143">
        <f t="shared" si="114"/>
        <v>0</v>
      </c>
      <c r="AD145" s="143">
        <f t="shared" si="114"/>
        <v>0</v>
      </c>
      <c r="AE145" s="143">
        <f t="shared" si="114"/>
        <v>0</v>
      </c>
      <c r="AF145" s="143">
        <f t="shared" si="114"/>
        <v>0</v>
      </c>
      <c r="AG145" s="143">
        <f t="shared" si="114"/>
        <v>0</v>
      </c>
      <c r="AH145" s="143">
        <f t="shared" si="114"/>
        <v>0</v>
      </c>
      <c r="AI145" s="143">
        <f t="shared" si="114"/>
        <v>0</v>
      </c>
      <c r="AJ145" s="143">
        <f t="shared" si="114"/>
        <v>0</v>
      </c>
      <c r="AK145" s="143">
        <f t="shared" si="114"/>
        <v>0</v>
      </c>
      <c r="AL145" s="145">
        <f t="shared" si="114"/>
        <v>0</v>
      </c>
      <c r="AM145" s="143">
        <f t="shared" si="114"/>
        <v>0</v>
      </c>
    </row>
    <row r="146" spans="3:39" x14ac:dyDescent="0.2">
      <c r="C146" s="285"/>
      <c r="D146" s="107" t="s">
        <v>214</v>
      </c>
      <c r="E146" s="144">
        <f t="shared" ref="E146:AM146" si="115">IF(ABS(E26)&gt;100,E106/E26,0)</f>
        <v>0</v>
      </c>
      <c r="F146" s="143">
        <f t="shared" si="115"/>
        <v>0</v>
      </c>
      <c r="G146" s="143">
        <f t="shared" si="115"/>
        <v>0</v>
      </c>
      <c r="H146" s="143">
        <f t="shared" si="115"/>
        <v>0</v>
      </c>
      <c r="I146" s="143">
        <f t="shared" si="115"/>
        <v>0</v>
      </c>
      <c r="J146" s="143">
        <f t="shared" si="115"/>
        <v>0</v>
      </c>
      <c r="K146" s="143">
        <f t="shared" si="115"/>
        <v>0</v>
      </c>
      <c r="L146" s="143">
        <f t="shared" si="115"/>
        <v>0</v>
      </c>
      <c r="M146" s="143">
        <f t="shared" si="115"/>
        <v>0</v>
      </c>
      <c r="N146" s="143">
        <f t="shared" si="115"/>
        <v>0</v>
      </c>
      <c r="O146" s="143">
        <f t="shared" si="115"/>
        <v>0</v>
      </c>
      <c r="P146" s="143">
        <f t="shared" si="115"/>
        <v>0</v>
      </c>
      <c r="Q146" s="143">
        <f t="shared" si="115"/>
        <v>0</v>
      </c>
      <c r="R146" s="143">
        <f t="shared" si="115"/>
        <v>0</v>
      </c>
      <c r="S146" s="143">
        <f t="shared" si="115"/>
        <v>0</v>
      </c>
      <c r="T146" s="143">
        <f t="shared" si="115"/>
        <v>0</v>
      </c>
      <c r="U146" s="143">
        <f t="shared" si="115"/>
        <v>0</v>
      </c>
      <c r="V146" s="143">
        <f t="shared" si="115"/>
        <v>0</v>
      </c>
      <c r="W146" s="143">
        <f t="shared" si="115"/>
        <v>0</v>
      </c>
      <c r="X146" s="143">
        <f t="shared" si="115"/>
        <v>0</v>
      </c>
      <c r="Y146" s="143">
        <f t="shared" si="115"/>
        <v>0</v>
      </c>
      <c r="Z146" s="143">
        <f t="shared" si="115"/>
        <v>0</v>
      </c>
      <c r="AA146" s="143">
        <f t="shared" si="115"/>
        <v>0</v>
      </c>
      <c r="AB146" s="143">
        <f t="shared" si="115"/>
        <v>0</v>
      </c>
      <c r="AC146" s="143">
        <f t="shared" si="115"/>
        <v>0</v>
      </c>
      <c r="AD146" s="143">
        <f t="shared" si="115"/>
        <v>0</v>
      </c>
      <c r="AE146" s="143">
        <f t="shared" si="115"/>
        <v>0</v>
      </c>
      <c r="AF146" s="143">
        <f t="shared" si="115"/>
        <v>0</v>
      </c>
      <c r="AG146" s="143">
        <f t="shared" si="115"/>
        <v>0</v>
      </c>
      <c r="AH146" s="143">
        <f t="shared" si="115"/>
        <v>0</v>
      </c>
      <c r="AI146" s="143">
        <f t="shared" si="115"/>
        <v>0</v>
      </c>
      <c r="AJ146" s="143">
        <f t="shared" si="115"/>
        <v>0</v>
      </c>
      <c r="AK146" s="143">
        <f t="shared" si="115"/>
        <v>0</v>
      </c>
      <c r="AL146" s="145">
        <f t="shared" si="115"/>
        <v>0</v>
      </c>
      <c r="AM146" s="143">
        <f t="shared" si="115"/>
        <v>0</v>
      </c>
    </row>
    <row r="147" spans="3:39" x14ac:dyDescent="0.2">
      <c r="C147" s="285"/>
      <c r="D147" s="107" t="s">
        <v>179</v>
      </c>
      <c r="E147" s="144">
        <f t="shared" ref="E147:AM147" si="116">IF(ABS(E27)&gt;100,E107/E27,0)</f>
        <v>0</v>
      </c>
      <c r="F147" s="143">
        <f t="shared" si="116"/>
        <v>0</v>
      </c>
      <c r="G147" s="143">
        <f t="shared" si="116"/>
        <v>0</v>
      </c>
      <c r="H147" s="143">
        <f t="shared" si="116"/>
        <v>0</v>
      </c>
      <c r="I147" s="143">
        <f t="shared" si="116"/>
        <v>0</v>
      </c>
      <c r="J147" s="143">
        <f t="shared" si="116"/>
        <v>0</v>
      </c>
      <c r="K147" s="143">
        <f t="shared" si="116"/>
        <v>0</v>
      </c>
      <c r="L147" s="143">
        <f t="shared" si="116"/>
        <v>0</v>
      </c>
      <c r="M147" s="143">
        <f t="shared" si="116"/>
        <v>0</v>
      </c>
      <c r="N147" s="143">
        <f t="shared" si="116"/>
        <v>0</v>
      </c>
      <c r="O147" s="143">
        <f t="shared" si="116"/>
        <v>0</v>
      </c>
      <c r="P147" s="143">
        <f t="shared" si="116"/>
        <v>0</v>
      </c>
      <c r="Q147" s="143">
        <f t="shared" si="116"/>
        <v>0</v>
      </c>
      <c r="R147" s="143">
        <f t="shared" si="116"/>
        <v>0</v>
      </c>
      <c r="S147" s="143">
        <f t="shared" si="116"/>
        <v>0</v>
      </c>
      <c r="T147" s="143">
        <f t="shared" si="116"/>
        <v>0</v>
      </c>
      <c r="U147" s="143">
        <f t="shared" si="116"/>
        <v>0</v>
      </c>
      <c r="V147" s="143">
        <f t="shared" si="116"/>
        <v>0</v>
      </c>
      <c r="W147" s="143">
        <f t="shared" si="116"/>
        <v>0</v>
      </c>
      <c r="X147" s="143">
        <f t="shared" si="116"/>
        <v>0</v>
      </c>
      <c r="Y147" s="143">
        <f t="shared" si="116"/>
        <v>0</v>
      </c>
      <c r="Z147" s="143">
        <f t="shared" si="116"/>
        <v>0</v>
      </c>
      <c r="AA147" s="143">
        <f t="shared" si="116"/>
        <v>0</v>
      </c>
      <c r="AB147" s="143">
        <f t="shared" si="116"/>
        <v>0</v>
      </c>
      <c r="AC147" s="143">
        <f t="shared" si="116"/>
        <v>0</v>
      </c>
      <c r="AD147" s="143">
        <f t="shared" si="116"/>
        <v>0</v>
      </c>
      <c r="AE147" s="143">
        <f t="shared" si="116"/>
        <v>0</v>
      </c>
      <c r="AF147" s="143">
        <f t="shared" si="116"/>
        <v>0</v>
      </c>
      <c r="AG147" s="143">
        <f t="shared" si="116"/>
        <v>0</v>
      </c>
      <c r="AH147" s="143">
        <f t="shared" si="116"/>
        <v>0</v>
      </c>
      <c r="AI147" s="143">
        <f t="shared" si="116"/>
        <v>0</v>
      </c>
      <c r="AJ147" s="143">
        <f t="shared" si="116"/>
        <v>0</v>
      </c>
      <c r="AK147" s="143">
        <f t="shared" si="116"/>
        <v>0</v>
      </c>
      <c r="AL147" s="145">
        <f t="shared" si="116"/>
        <v>0</v>
      </c>
      <c r="AM147" s="143">
        <f t="shared" si="116"/>
        <v>0</v>
      </c>
    </row>
    <row r="148" spans="3:39" x14ac:dyDescent="0.2">
      <c r="C148" s="285"/>
      <c r="D148" s="107" t="s">
        <v>215</v>
      </c>
      <c r="E148" s="144">
        <f t="shared" ref="E148:AM148" si="117">IF(ABS(E28)&gt;100,E108/E28,0)</f>
        <v>0</v>
      </c>
      <c r="F148" s="143">
        <f t="shared" si="117"/>
        <v>0</v>
      </c>
      <c r="G148" s="143">
        <f t="shared" si="117"/>
        <v>0</v>
      </c>
      <c r="H148" s="143">
        <f t="shared" si="117"/>
        <v>0</v>
      </c>
      <c r="I148" s="143">
        <f t="shared" si="117"/>
        <v>0</v>
      </c>
      <c r="J148" s="143">
        <f t="shared" si="117"/>
        <v>0</v>
      </c>
      <c r="K148" s="143">
        <f t="shared" si="117"/>
        <v>0</v>
      </c>
      <c r="L148" s="143">
        <f t="shared" si="117"/>
        <v>0</v>
      </c>
      <c r="M148" s="143">
        <f t="shared" si="117"/>
        <v>0</v>
      </c>
      <c r="N148" s="143">
        <f t="shared" si="117"/>
        <v>0</v>
      </c>
      <c r="O148" s="143">
        <f t="shared" si="117"/>
        <v>0</v>
      </c>
      <c r="P148" s="143">
        <f t="shared" si="117"/>
        <v>0</v>
      </c>
      <c r="Q148" s="143">
        <f t="shared" si="117"/>
        <v>0</v>
      </c>
      <c r="R148" s="143">
        <f t="shared" si="117"/>
        <v>0</v>
      </c>
      <c r="S148" s="143">
        <f t="shared" si="117"/>
        <v>0</v>
      </c>
      <c r="T148" s="143">
        <f t="shared" si="117"/>
        <v>0</v>
      </c>
      <c r="U148" s="143">
        <f t="shared" si="117"/>
        <v>0</v>
      </c>
      <c r="V148" s="143">
        <f t="shared" si="117"/>
        <v>0</v>
      </c>
      <c r="W148" s="143">
        <f t="shared" si="117"/>
        <v>0</v>
      </c>
      <c r="X148" s="143">
        <f t="shared" si="117"/>
        <v>0</v>
      </c>
      <c r="Y148" s="143">
        <f t="shared" si="117"/>
        <v>0</v>
      </c>
      <c r="Z148" s="143">
        <f t="shared" si="117"/>
        <v>0</v>
      </c>
      <c r="AA148" s="143">
        <f t="shared" si="117"/>
        <v>0</v>
      </c>
      <c r="AB148" s="143">
        <f t="shared" si="117"/>
        <v>0</v>
      </c>
      <c r="AC148" s="143">
        <f t="shared" si="117"/>
        <v>0</v>
      </c>
      <c r="AD148" s="143">
        <f t="shared" si="117"/>
        <v>0</v>
      </c>
      <c r="AE148" s="143">
        <f t="shared" si="117"/>
        <v>0</v>
      </c>
      <c r="AF148" s="143">
        <f t="shared" si="117"/>
        <v>0</v>
      </c>
      <c r="AG148" s="143">
        <f t="shared" si="117"/>
        <v>0</v>
      </c>
      <c r="AH148" s="143">
        <f t="shared" si="117"/>
        <v>0</v>
      </c>
      <c r="AI148" s="143">
        <f t="shared" si="117"/>
        <v>0</v>
      </c>
      <c r="AJ148" s="143">
        <f t="shared" si="117"/>
        <v>0</v>
      </c>
      <c r="AK148" s="143">
        <f t="shared" si="117"/>
        <v>0</v>
      </c>
      <c r="AL148" s="145">
        <f t="shared" si="117"/>
        <v>0</v>
      </c>
      <c r="AM148" s="143">
        <f t="shared" si="117"/>
        <v>0</v>
      </c>
    </row>
    <row r="149" spans="3:39" x14ac:dyDescent="0.2">
      <c r="C149" s="285"/>
      <c r="D149" s="107" t="s">
        <v>216</v>
      </c>
      <c r="E149" s="144">
        <f t="shared" ref="E149:AM149" si="118">IF(ABS(E29)&gt;100,E109/E29,0)</f>
        <v>0</v>
      </c>
      <c r="F149" s="143">
        <f t="shared" si="118"/>
        <v>0</v>
      </c>
      <c r="G149" s="143">
        <f t="shared" si="118"/>
        <v>0</v>
      </c>
      <c r="H149" s="143">
        <f t="shared" si="118"/>
        <v>0</v>
      </c>
      <c r="I149" s="143">
        <f t="shared" si="118"/>
        <v>0</v>
      </c>
      <c r="J149" s="143">
        <f t="shared" si="118"/>
        <v>0</v>
      </c>
      <c r="K149" s="143">
        <f t="shared" si="118"/>
        <v>0</v>
      </c>
      <c r="L149" s="143">
        <f t="shared" si="118"/>
        <v>0</v>
      </c>
      <c r="M149" s="143">
        <f t="shared" si="118"/>
        <v>0</v>
      </c>
      <c r="N149" s="143">
        <f t="shared" si="118"/>
        <v>0</v>
      </c>
      <c r="O149" s="143">
        <f t="shared" si="118"/>
        <v>0</v>
      </c>
      <c r="P149" s="143">
        <f t="shared" si="118"/>
        <v>0</v>
      </c>
      <c r="Q149" s="143">
        <f t="shared" si="118"/>
        <v>0</v>
      </c>
      <c r="R149" s="143">
        <f t="shared" si="118"/>
        <v>0</v>
      </c>
      <c r="S149" s="143">
        <f t="shared" si="118"/>
        <v>0</v>
      </c>
      <c r="T149" s="143">
        <f t="shared" si="118"/>
        <v>0</v>
      </c>
      <c r="U149" s="143">
        <f t="shared" si="118"/>
        <v>0</v>
      </c>
      <c r="V149" s="143">
        <f t="shared" si="118"/>
        <v>0</v>
      </c>
      <c r="W149" s="143">
        <f t="shared" si="118"/>
        <v>0</v>
      </c>
      <c r="X149" s="143">
        <f t="shared" si="118"/>
        <v>0</v>
      </c>
      <c r="Y149" s="143">
        <f t="shared" si="118"/>
        <v>0</v>
      </c>
      <c r="Z149" s="143">
        <f t="shared" si="118"/>
        <v>0</v>
      </c>
      <c r="AA149" s="143">
        <f t="shared" si="118"/>
        <v>0</v>
      </c>
      <c r="AB149" s="143">
        <f t="shared" si="118"/>
        <v>0</v>
      </c>
      <c r="AC149" s="143">
        <f t="shared" si="118"/>
        <v>0</v>
      </c>
      <c r="AD149" s="143">
        <f t="shared" si="118"/>
        <v>0</v>
      </c>
      <c r="AE149" s="143">
        <f t="shared" si="118"/>
        <v>0</v>
      </c>
      <c r="AF149" s="143">
        <f t="shared" si="118"/>
        <v>0</v>
      </c>
      <c r="AG149" s="143">
        <f t="shared" si="118"/>
        <v>0</v>
      </c>
      <c r="AH149" s="143">
        <f t="shared" si="118"/>
        <v>0</v>
      </c>
      <c r="AI149" s="143">
        <f t="shared" si="118"/>
        <v>0</v>
      </c>
      <c r="AJ149" s="143">
        <f t="shared" si="118"/>
        <v>0</v>
      </c>
      <c r="AK149" s="143">
        <f t="shared" si="118"/>
        <v>0</v>
      </c>
      <c r="AL149" s="145">
        <f t="shared" si="118"/>
        <v>0</v>
      </c>
      <c r="AM149" s="143">
        <f t="shared" si="118"/>
        <v>0</v>
      </c>
    </row>
    <row r="150" spans="3:39" x14ac:dyDescent="0.2">
      <c r="C150" s="285"/>
      <c r="D150" s="107" t="s">
        <v>217</v>
      </c>
      <c r="E150" s="144">
        <f t="shared" ref="E150:AM150" si="119">IF(ABS(E30)&gt;100,E110/E30,0)</f>
        <v>0</v>
      </c>
      <c r="F150" s="143">
        <f t="shared" si="119"/>
        <v>0</v>
      </c>
      <c r="G150" s="143">
        <f t="shared" si="119"/>
        <v>0</v>
      </c>
      <c r="H150" s="143">
        <f t="shared" si="119"/>
        <v>0</v>
      </c>
      <c r="I150" s="143">
        <f t="shared" si="119"/>
        <v>0</v>
      </c>
      <c r="J150" s="143">
        <f t="shared" si="119"/>
        <v>0</v>
      </c>
      <c r="K150" s="143">
        <f t="shared" si="119"/>
        <v>0</v>
      </c>
      <c r="L150" s="143">
        <f t="shared" si="119"/>
        <v>0</v>
      </c>
      <c r="M150" s="143">
        <f t="shared" si="119"/>
        <v>0</v>
      </c>
      <c r="N150" s="143">
        <f t="shared" si="119"/>
        <v>0</v>
      </c>
      <c r="O150" s="143">
        <f t="shared" si="119"/>
        <v>0</v>
      </c>
      <c r="P150" s="143">
        <f t="shared" si="119"/>
        <v>0</v>
      </c>
      <c r="Q150" s="143">
        <f t="shared" si="119"/>
        <v>0</v>
      </c>
      <c r="R150" s="143">
        <f t="shared" si="119"/>
        <v>0</v>
      </c>
      <c r="S150" s="143">
        <f t="shared" si="119"/>
        <v>0</v>
      </c>
      <c r="T150" s="143">
        <f t="shared" si="119"/>
        <v>0</v>
      </c>
      <c r="U150" s="143">
        <f t="shared" si="119"/>
        <v>0</v>
      </c>
      <c r="V150" s="143">
        <f t="shared" si="119"/>
        <v>0</v>
      </c>
      <c r="W150" s="143">
        <f t="shared" si="119"/>
        <v>0</v>
      </c>
      <c r="X150" s="143">
        <f t="shared" si="119"/>
        <v>0</v>
      </c>
      <c r="Y150" s="143">
        <f t="shared" si="119"/>
        <v>0</v>
      </c>
      <c r="Z150" s="143">
        <f t="shared" si="119"/>
        <v>0</v>
      </c>
      <c r="AA150" s="143">
        <f t="shared" si="119"/>
        <v>0</v>
      </c>
      <c r="AB150" s="143">
        <f t="shared" si="119"/>
        <v>0</v>
      </c>
      <c r="AC150" s="143">
        <f t="shared" si="119"/>
        <v>0</v>
      </c>
      <c r="AD150" s="143">
        <f t="shared" si="119"/>
        <v>0</v>
      </c>
      <c r="AE150" s="143">
        <f t="shared" si="119"/>
        <v>0</v>
      </c>
      <c r="AF150" s="143">
        <f t="shared" si="119"/>
        <v>0</v>
      </c>
      <c r="AG150" s="143">
        <f t="shared" si="119"/>
        <v>0</v>
      </c>
      <c r="AH150" s="143">
        <f t="shared" si="119"/>
        <v>0</v>
      </c>
      <c r="AI150" s="143">
        <f t="shared" si="119"/>
        <v>0</v>
      </c>
      <c r="AJ150" s="143">
        <f t="shared" si="119"/>
        <v>0</v>
      </c>
      <c r="AK150" s="143">
        <f t="shared" si="119"/>
        <v>0</v>
      </c>
      <c r="AL150" s="145">
        <f t="shared" si="119"/>
        <v>0</v>
      </c>
      <c r="AM150" s="143">
        <f t="shared" si="119"/>
        <v>0</v>
      </c>
    </row>
    <row r="151" spans="3:39" x14ac:dyDescent="0.2">
      <c r="C151" s="285"/>
      <c r="D151" s="107" t="s">
        <v>218</v>
      </c>
      <c r="E151" s="144">
        <f t="shared" ref="E151:AM151" si="120">IF(ABS(E31)&gt;100,E111/E31,0)</f>
        <v>0</v>
      </c>
      <c r="F151" s="143">
        <f t="shared" si="120"/>
        <v>0</v>
      </c>
      <c r="G151" s="143">
        <f t="shared" si="120"/>
        <v>0</v>
      </c>
      <c r="H151" s="143">
        <f t="shared" si="120"/>
        <v>0</v>
      </c>
      <c r="I151" s="143">
        <f t="shared" si="120"/>
        <v>0</v>
      </c>
      <c r="J151" s="143">
        <f t="shared" si="120"/>
        <v>0</v>
      </c>
      <c r="K151" s="143">
        <f t="shared" si="120"/>
        <v>0</v>
      </c>
      <c r="L151" s="143">
        <f t="shared" si="120"/>
        <v>0</v>
      </c>
      <c r="M151" s="143">
        <f t="shared" si="120"/>
        <v>0</v>
      </c>
      <c r="N151" s="143">
        <f t="shared" si="120"/>
        <v>0</v>
      </c>
      <c r="O151" s="143">
        <f t="shared" si="120"/>
        <v>0</v>
      </c>
      <c r="P151" s="143">
        <f t="shared" si="120"/>
        <v>0</v>
      </c>
      <c r="Q151" s="143">
        <f t="shared" si="120"/>
        <v>0</v>
      </c>
      <c r="R151" s="143">
        <f t="shared" si="120"/>
        <v>0</v>
      </c>
      <c r="S151" s="143">
        <f t="shared" si="120"/>
        <v>0</v>
      </c>
      <c r="T151" s="143">
        <f t="shared" si="120"/>
        <v>0</v>
      </c>
      <c r="U151" s="143">
        <f t="shared" si="120"/>
        <v>0</v>
      </c>
      <c r="V151" s="143">
        <f t="shared" si="120"/>
        <v>0</v>
      </c>
      <c r="W151" s="143">
        <f t="shared" si="120"/>
        <v>0</v>
      </c>
      <c r="X151" s="143">
        <f t="shared" si="120"/>
        <v>0</v>
      </c>
      <c r="Y151" s="143">
        <f t="shared" si="120"/>
        <v>0</v>
      </c>
      <c r="Z151" s="143">
        <f t="shared" si="120"/>
        <v>0</v>
      </c>
      <c r="AA151" s="143">
        <f t="shared" si="120"/>
        <v>0</v>
      </c>
      <c r="AB151" s="143">
        <f t="shared" si="120"/>
        <v>0</v>
      </c>
      <c r="AC151" s="143">
        <f t="shared" si="120"/>
        <v>0</v>
      </c>
      <c r="AD151" s="143">
        <f t="shared" si="120"/>
        <v>0</v>
      </c>
      <c r="AE151" s="143">
        <f t="shared" si="120"/>
        <v>0</v>
      </c>
      <c r="AF151" s="143">
        <f t="shared" si="120"/>
        <v>0</v>
      </c>
      <c r="AG151" s="143">
        <f t="shared" si="120"/>
        <v>0</v>
      </c>
      <c r="AH151" s="143">
        <f t="shared" si="120"/>
        <v>0</v>
      </c>
      <c r="AI151" s="143">
        <f t="shared" si="120"/>
        <v>0</v>
      </c>
      <c r="AJ151" s="143">
        <f t="shared" si="120"/>
        <v>0</v>
      </c>
      <c r="AK151" s="143">
        <f t="shared" si="120"/>
        <v>0</v>
      </c>
      <c r="AL151" s="145">
        <f t="shared" si="120"/>
        <v>0</v>
      </c>
      <c r="AM151" s="143">
        <f t="shared" si="120"/>
        <v>0</v>
      </c>
    </row>
    <row r="152" spans="3:39" x14ac:dyDescent="0.2">
      <c r="C152" s="285"/>
      <c r="D152" s="107" t="s">
        <v>219</v>
      </c>
      <c r="E152" s="144">
        <f t="shared" ref="E152:AM152" si="121">IF(ABS(E32)&gt;100,E112/E32,0)</f>
        <v>0</v>
      </c>
      <c r="F152" s="143">
        <f t="shared" si="121"/>
        <v>0</v>
      </c>
      <c r="G152" s="143">
        <f t="shared" si="121"/>
        <v>0</v>
      </c>
      <c r="H152" s="143">
        <f t="shared" si="121"/>
        <v>0</v>
      </c>
      <c r="I152" s="143">
        <f t="shared" si="121"/>
        <v>0</v>
      </c>
      <c r="J152" s="143">
        <f t="shared" si="121"/>
        <v>0</v>
      </c>
      <c r="K152" s="143">
        <f t="shared" si="121"/>
        <v>0</v>
      </c>
      <c r="L152" s="143">
        <f t="shared" si="121"/>
        <v>0</v>
      </c>
      <c r="M152" s="143">
        <f t="shared" si="121"/>
        <v>0</v>
      </c>
      <c r="N152" s="143">
        <f t="shared" si="121"/>
        <v>0</v>
      </c>
      <c r="O152" s="143">
        <f t="shared" si="121"/>
        <v>0</v>
      </c>
      <c r="P152" s="143">
        <f t="shared" si="121"/>
        <v>0</v>
      </c>
      <c r="Q152" s="143">
        <f t="shared" si="121"/>
        <v>0</v>
      </c>
      <c r="R152" s="143">
        <f t="shared" si="121"/>
        <v>0</v>
      </c>
      <c r="S152" s="143">
        <f t="shared" si="121"/>
        <v>0</v>
      </c>
      <c r="T152" s="143">
        <f t="shared" si="121"/>
        <v>0</v>
      </c>
      <c r="U152" s="143">
        <f t="shared" si="121"/>
        <v>0</v>
      </c>
      <c r="V152" s="143">
        <f t="shared" si="121"/>
        <v>0</v>
      </c>
      <c r="W152" s="143">
        <f t="shared" si="121"/>
        <v>0</v>
      </c>
      <c r="X152" s="143">
        <f t="shared" si="121"/>
        <v>0</v>
      </c>
      <c r="Y152" s="143">
        <f t="shared" si="121"/>
        <v>0</v>
      </c>
      <c r="Z152" s="143">
        <f t="shared" si="121"/>
        <v>0</v>
      </c>
      <c r="AA152" s="143">
        <f t="shared" si="121"/>
        <v>0</v>
      </c>
      <c r="AB152" s="143">
        <f t="shared" si="121"/>
        <v>0</v>
      </c>
      <c r="AC152" s="143">
        <f t="shared" si="121"/>
        <v>0</v>
      </c>
      <c r="AD152" s="143">
        <f t="shared" si="121"/>
        <v>0</v>
      </c>
      <c r="AE152" s="143">
        <f t="shared" si="121"/>
        <v>0</v>
      </c>
      <c r="AF152" s="143">
        <f t="shared" si="121"/>
        <v>0</v>
      </c>
      <c r="AG152" s="143">
        <f t="shared" si="121"/>
        <v>0</v>
      </c>
      <c r="AH152" s="143">
        <f t="shared" si="121"/>
        <v>0</v>
      </c>
      <c r="AI152" s="143">
        <f t="shared" si="121"/>
        <v>0</v>
      </c>
      <c r="AJ152" s="143">
        <f t="shared" si="121"/>
        <v>0</v>
      </c>
      <c r="AK152" s="143">
        <f t="shared" si="121"/>
        <v>0</v>
      </c>
      <c r="AL152" s="145">
        <f t="shared" si="121"/>
        <v>0</v>
      </c>
      <c r="AM152" s="143">
        <f t="shared" si="121"/>
        <v>0</v>
      </c>
    </row>
    <row r="153" spans="3:39" x14ac:dyDescent="0.2">
      <c r="C153" s="285"/>
      <c r="D153" s="107" t="s">
        <v>220</v>
      </c>
      <c r="E153" s="144">
        <f t="shared" ref="E153:AM153" si="122">IF(ABS(E33)&gt;100,E113/E33,0)</f>
        <v>0</v>
      </c>
      <c r="F153" s="143">
        <f t="shared" si="122"/>
        <v>0</v>
      </c>
      <c r="G153" s="143">
        <f t="shared" si="122"/>
        <v>0</v>
      </c>
      <c r="H153" s="143">
        <f t="shared" si="122"/>
        <v>0</v>
      </c>
      <c r="I153" s="143">
        <f t="shared" si="122"/>
        <v>0</v>
      </c>
      <c r="J153" s="143">
        <f t="shared" si="122"/>
        <v>0</v>
      </c>
      <c r="K153" s="143">
        <f t="shared" si="122"/>
        <v>0</v>
      </c>
      <c r="L153" s="143">
        <f t="shared" si="122"/>
        <v>0</v>
      </c>
      <c r="M153" s="143">
        <f t="shared" si="122"/>
        <v>0</v>
      </c>
      <c r="N153" s="143">
        <f t="shared" si="122"/>
        <v>0</v>
      </c>
      <c r="O153" s="143">
        <f t="shared" si="122"/>
        <v>0</v>
      </c>
      <c r="P153" s="143">
        <f t="shared" si="122"/>
        <v>0</v>
      </c>
      <c r="Q153" s="143">
        <f t="shared" si="122"/>
        <v>0</v>
      </c>
      <c r="R153" s="143">
        <f t="shared" si="122"/>
        <v>0</v>
      </c>
      <c r="S153" s="143">
        <f t="shared" si="122"/>
        <v>0</v>
      </c>
      <c r="T153" s="143">
        <f t="shared" si="122"/>
        <v>0</v>
      </c>
      <c r="U153" s="143">
        <f t="shared" si="122"/>
        <v>0</v>
      </c>
      <c r="V153" s="143">
        <f t="shared" si="122"/>
        <v>0</v>
      </c>
      <c r="W153" s="143">
        <f t="shared" si="122"/>
        <v>0</v>
      </c>
      <c r="X153" s="143">
        <f t="shared" si="122"/>
        <v>0</v>
      </c>
      <c r="Y153" s="143">
        <f t="shared" si="122"/>
        <v>0</v>
      </c>
      <c r="Z153" s="143">
        <f t="shared" si="122"/>
        <v>0</v>
      </c>
      <c r="AA153" s="143">
        <f t="shared" si="122"/>
        <v>0</v>
      </c>
      <c r="AB153" s="143">
        <f t="shared" si="122"/>
        <v>0</v>
      </c>
      <c r="AC153" s="143">
        <f t="shared" si="122"/>
        <v>0</v>
      </c>
      <c r="AD153" s="143">
        <f t="shared" si="122"/>
        <v>0</v>
      </c>
      <c r="AE153" s="143">
        <f t="shared" si="122"/>
        <v>0</v>
      </c>
      <c r="AF153" s="143">
        <f t="shared" si="122"/>
        <v>0</v>
      </c>
      <c r="AG153" s="143">
        <f t="shared" si="122"/>
        <v>0</v>
      </c>
      <c r="AH153" s="143">
        <f t="shared" si="122"/>
        <v>0</v>
      </c>
      <c r="AI153" s="143">
        <f t="shared" si="122"/>
        <v>0</v>
      </c>
      <c r="AJ153" s="143">
        <f t="shared" si="122"/>
        <v>0</v>
      </c>
      <c r="AK153" s="143">
        <f t="shared" si="122"/>
        <v>0</v>
      </c>
      <c r="AL153" s="145">
        <f t="shared" si="122"/>
        <v>0</v>
      </c>
      <c r="AM153" s="143">
        <f t="shared" si="122"/>
        <v>0</v>
      </c>
    </row>
    <row r="154" spans="3:39" x14ac:dyDescent="0.2">
      <c r="C154" s="285"/>
      <c r="D154" s="107" t="s">
        <v>221</v>
      </c>
      <c r="E154" s="144">
        <f t="shared" ref="E154:AM154" si="123">IF(ABS(E34)&gt;100,E114/E34,0)</f>
        <v>0</v>
      </c>
      <c r="F154" s="143">
        <f t="shared" si="123"/>
        <v>0</v>
      </c>
      <c r="G154" s="143">
        <f t="shared" si="123"/>
        <v>0</v>
      </c>
      <c r="H154" s="143">
        <f t="shared" si="123"/>
        <v>0</v>
      </c>
      <c r="I154" s="143">
        <f t="shared" si="123"/>
        <v>0</v>
      </c>
      <c r="J154" s="143">
        <f t="shared" si="123"/>
        <v>0</v>
      </c>
      <c r="K154" s="143">
        <f t="shared" si="123"/>
        <v>0</v>
      </c>
      <c r="L154" s="143">
        <f t="shared" si="123"/>
        <v>0</v>
      </c>
      <c r="M154" s="143">
        <f t="shared" si="123"/>
        <v>0</v>
      </c>
      <c r="N154" s="143">
        <f t="shared" si="123"/>
        <v>0</v>
      </c>
      <c r="O154" s="143">
        <f t="shared" si="123"/>
        <v>0</v>
      </c>
      <c r="P154" s="143">
        <f t="shared" si="123"/>
        <v>0</v>
      </c>
      <c r="Q154" s="143">
        <f t="shared" si="123"/>
        <v>0</v>
      </c>
      <c r="R154" s="143">
        <f t="shared" si="123"/>
        <v>0</v>
      </c>
      <c r="S154" s="143">
        <f t="shared" si="123"/>
        <v>0</v>
      </c>
      <c r="T154" s="143">
        <f t="shared" si="123"/>
        <v>0</v>
      </c>
      <c r="U154" s="143">
        <f t="shared" si="123"/>
        <v>0</v>
      </c>
      <c r="V154" s="143">
        <f t="shared" si="123"/>
        <v>0</v>
      </c>
      <c r="W154" s="143">
        <f t="shared" si="123"/>
        <v>0</v>
      </c>
      <c r="X154" s="143">
        <f t="shared" si="123"/>
        <v>0</v>
      </c>
      <c r="Y154" s="143">
        <f t="shared" si="123"/>
        <v>0</v>
      </c>
      <c r="Z154" s="143">
        <f t="shared" si="123"/>
        <v>0</v>
      </c>
      <c r="AA154" s="143">
        <f t="shared" si="123"/>
        <v>0</v>
      </c>
      <c r="AB154" s="143">
        <f t="shared" si="123"/>
        <v>0</v>
      </c>
      <c r="AC154" s="143">
        <f t="shared" si="123"/>
        <v>0</v>
      </c>
      <c r="AD154" s="143">
        <f t="shared" si="123"/>
        <v>0</v>
      </c>
      <c r="AE154" s="143">
        <f t="shared" si="123"/>
        <v>0</v>
      </c>
      <c r="AF154" s="143">
        <f t="shared" si="123"/>
        <v>0</v>
      </c>
      <c r="AG154" s="143">
        <f t="shared" si="123"/>
        <v>0</v>
      </c>
      <c r="AH154" s="143">
        <f t="shared" si="123"/>
        <v>0</v>
      </c>
      <c r="AI154" s="143">
        <f t="shared" si="123"/>
        <v>0</v>
      </c>
      <c r="AJ154" s="143">
        <f t="shared" si="123"/>
        <v>0</v>
      </c>
      <c r="AK154" s="143">
        <f t="shared" si="123"/>
        <v>0</v>
      </c>
      <c r="AL154" s="145">
        <f t="shared" si="123"/>
        <v>0</v>
      </c>
      <c r="AM154" s="143">
        <f t="shared" si="123"/>
        <v>0</v>
      </c>
    </row>
    <row r="155" spans="3:39" x14ac:dyDescent="0.2">
      <c r="C155" s="285"/>
      <c r="D155" s="107" t="s">
        <v>222</v>
      </c>
      <c r="E155" s="144">
        <f t="shared" ref="E155:AM155" si="124">IF(ABS(E35)&gt;100,E115/E35,0)</f>
        <v>0</v>
      </c>
      <c r="F155" s="143">
        <f t="shared" si="124"/>
        <v>0</v>
      </c>
      <c r="G155" s="143">
        <f t="shared" si="124"/>
        <v>0</v>
      </c>
      <c r="H155" s="143">
        <f t="shared" si="124"/>
        <v>0</v>
      </c>
      <c r="I155" s="143">
        <f t="shared" si="124"/>
        <v>0</v>
      </c>
      <c r="J155" s="143">
        <f t="shared" si="124"/>
        <v>0</v>
      </c>
      <c r="K155" s="143">
        <f t="shared" si="124"/>
        <v>0</v>
      </c>
      <c r="L155" s="143">
        <f t="shared" si="124"/>
        <v>0</v>
      </c>
      <c r="M155" s="143">
        <f t="shared" si="124"/>
        <v>0</v>
      </c>
      <c r="N155" s="143">
        <f t="shared" si="124"/>
        <v>0</v>
      </c>
      <c r="O155" s="143">
        <f t="shared" si="124"/>
        <v>0</v>
      </c>
      <c r="P155" s="143">
        <f t="shared" si="124"/>
        <v>0</v>
      </c>
      <c r="Q155" s="143">
        <f t="shared" si="124"/>
        <v>0</v>
      </c>
      <c r="R155" s="143">
        <f t="shared" si="124"/>
        <v>0</v>
      </c>
      <c r="S155" s="143">
        <f t="shared" si="124"/>
        <v>0</v>
      </c>
      <c r="T155" s="143">
        <f t="shared" si="124"/>
        <v>0</v>
      </c>
      <c r="U155" s="143">
        <f t="shared" si="124"/>
        <v>0</v>
      </c>
      <c r="V155" s="143">
        <f t="shared" si="124"/>
        <v>0</v>
      </c>
      <c r="W155" s="143">
        <f t="shared" si="124"/>
        <v>0</v>
      </c>
      <c r="X155" s="143">
        <f t="shared" si="124"/>
        <v>0</v>
      </c>
      <c r="Y155" s="143">
        <f t="shared" si="124"/>
        <v>0</v>
      </c>
      <c r="Z155" s="143">
        <f t="shared" si="124"/>
        <v>0</v>
      </c>
      <c r="AA155" s="143">
        <f t="shared" si="124"/>
        <v>0</v>
      </c>
      <c r="AB155" s="143">
        <f t="shared" si="124"/>
        <v>0</v>
      </c>
      <c r="AC155" s="143">
        <f t="shared" si="124"/>
        <v>0</v>
      </c>
      <c r="AD155" s="143">
        <f t="shared" si="124"/>
        <v>0</v>
      </c>
      <c r="AE155" s="143">
        <f t="shared" si="124"/>
        <v>0</v>
      </c>
      <c r="AF155" s="143">
        <f t="shared" si="124"/>
        <v>0</v>
      </c>
      <c r="AG155" s="143">
        <f t="shared" si="124"/>
        <v>0</v>
      </c>
      <c r="AH155" s="143">
        <f t="shared" si="124"/>
        <v>0</v>
      </c>
      <c r="AI155" s="143">
        <f t="shared" si="124"/>
        <v>0</v>
      </c>
      <c r="AJ155" s="143">
        <f t="shared" si="124"/>
        <v>0</v>
      </c>
      <c r="AK155" s="143">
        <f t="shared" si="124"/>
        <v>0</v>
      </c>
      <c r="AL155" s="145">
        <f t="shared" si="124"/>
        <v>0</v>
      </c>
      <c r="AM155" s="143">
        <f t="shared" si="124"/>
        <v>0</v>
      </c>
    </row>
    <row r="156" spans="3:39" x14ac:dyDescent="0.2">
      <c r="C156" s="285"/>
      <c r="D156" s="107" t="s">
        <v>223</v>
      </c>
      <c r="E156" s="144">
        <f t="shared" ref="E156:AM156" si="125">IF(ABS(E36)&gt;100,E116/E36,0)</f>
        <v>0</v>
      </c>
      <c r="F156" s="143">
        <f t="shared" si="125"/>
        <v>0</v>
      </c>
      <c r="G156" s="143">
        <f t="shared" si="125"/>
        <v>0</v>
      </c>
      <c r="H156" s="143">
        <f t="shared" si="125"/>
        <v>0</v>
      </c>
      <c r="I156" s="143">
        <f t="shared" si="125"/>
        <v>0</v>
      </c>
      <c r="J156" s="143">
        <f t="shared" si="125"/>
        <v>0</v>
      </c>
      <c r="K156" s="143">
        <f t="shared" si="125"/>
        <v>0</v>
      </c>
      <c r="L156" s="143">
        <f t="shared" si="125"/>
        <v>0</v>
      </c>
      <c r="M156" s="143">
        <f t="shared" si="125"/>
        <v>0</v>
      </c>
      <c r="N156" s="143">
        <f t="shared" si="125"/>
        <v>0</v>
      </c>
      <c r="O156" s="143">
        <f t="shared" si="125"/>
        <v>0</v>
      </c>
      <c r="P156" s="143">
        <f t="shared" si="125"/>
        <v>0</v>
      </c>
      <c r="Q156" s="143">
        <f t="shared" si="125"/>
        <v>0</v>
      </c>
      <c r="R156" s="143">
        <f t="shared" si="125"/>
        <v>0</v>
      </c>
      <c r="S156" s="143">
        <f t="shared" si="125"/>
        <v>0</v>
      </c>
      <c r="T156" s="143">
        <f t="shared" si="125"/>
        <v>0</v>
      </c>
      <c r="U156" s="143">
        <f t="shared" si="125"/>
        <v>0</v>
      </c>
      <c r="V156" s="143">
        <f t="shared" si="125"/>
        <v>0</v>
      </c>
      <c r="W156" s="143">
        <f t="shared" si="125"/>
        <v>0</v>
      </c>
      <c r="X156" s="143">
        <f t="shared" si="125"/>
        <v>0</v>
      </c>
      <c r="Y156" s="143">
        <f t="shared" si="125"/>
        <v>0</v>
      </c>
      <c r="Z156" s="143">
        <f t="shared" si="125"/>
        <v>0</v>
      </c>
      <c r="AA156" s="143">
        <f t="shared" si="125"/>
        <v>0</v>
      </c>
      <c r="AB156" s="143">
        <f t="shared" si="125"/>
        <v>0</v>
      </c>
      <c r="AC156" s="143">
        <f t="shared" si="125"/>
        <v>0</v>
      </c>
      <c r="AD156" s="143">
        <f t="shared" si="125"/>
        <v>0</v>
      </c>
      <c r="AE156" s="143">
        <f t="shared" si="125"/>
        <v>0</v>
      </c>
      <c r="AF156" s="143">
        <f t="shared" si="125"/>
        <v>0</v>
      </c>
      <c r="AG156" s="143">
        <f t="shared" si="125"/>
        <v>0</v>
      </c>
      <c r="AH156" s="143">
        <f t="shared" si="125"/>
        <v>0</v>
      </c>
      <c r="AI156" s="143">
        <f t="shared" si="125"/>
        <v>0</v>
      </c>
      <c r="AJ156" s="143">
        <f t="shared" si="125"/>
        <v>0</v>
      </c>
      <c r="AK156" s="143">
        <f t="shared" si="125"/>
        <v>0</v>
      </c>
      <c r="AL156" s="145">
        <f t="shared" si="125"/>
        <v>0</v>
      </c>
      <c r="AM156" s="143">
        <f t="shared" si="125"/>
        <v>0</v>
      </c>
    </row>
    <row r="157" spans="3:39" ht="12" thickBot="1" x14ac:dyDescent="0.25">
      <c r="C157" s="285"/>
      <c r="D157" s="107" t="s">
        <v>224</v>
      </c>
      <c r="E157" s="146">
        <f t="shared" ref="E157:AM157" si="126">IF(ABS(E37)&gt;100,E117/E37,0)</f>
        <v>0</v>
      </c>
      <c r="F157" s="147">
        <f t="shared" si="126"/>
        <v>0</v>
      </c>
      <c r="G157" s="147">
        <f t="shared" si="126"/>
        <v>0</v>
      </c>
      <c r="H157" s="147">
        <f t="shared" si="126"/>
        <v>0</v>
      </c>
      <c r="I157" s="147">
        <f t="shared" si="126"/>
        <v>0</v>
      </c>
      <c r="J157" s="147">
        <f t="shared" si="126"/>
        <v>0</v>
      </c>
      <c r="K157" s="147">
        <f t="shared" si="126"/>
        <v>0</v>
      </c>
      <c r="L157" s="147">
        <f t="shared" si="126"/>
        <v>0</v>
      </c>
      <c r="M157" s="147">
        <f t="shared" si="126"/>
        <v>0</v>
      </c>
      <c r="N157" s="147">
        <f t="shared" si="126"/>
        <v>0</v>
      </c>
      <c r="O157" s="147">
        <f t="shared" si="126"/>
        <v>0</v>
      </c>
      <c r="P157" s="147">
        <f t="shared" si="126"/>
        <v>0</v>
      </c>
      <c r="Q157" s="147">
        <f t="shared" si="126"/>
        <v>0</v>
      </c>
      <c r="R157" s="147">
        <f t="shared" si="126"/>
        <v>0</v>
      </c>
      <c r="S157" s="147">
        <f t="shared" si="126"/>
        <v>0</v>
      </c>
      <c r="T157" s="147">
        <f t="shared" si="126"/>
        <v>0</v>
      </c>
      <c r="U157" s="147">
        <f t="shared" si="126"/>
        <v>0</v>
      </c>
      <c r="V157" s="147">
        <f t="shared" si="126"/>
        <v>0</v>
      </c>
      <c r="W157" s="147">
        <f t="shared" si="126"/>
        <v>0</v>
      </c>
      <c r="X157" s="147">
        <f t="shared" si="126"/>
        <v>0</v>
      </c>
      <c r="Y157" s="147">
        <f t="shared" si="126"/>
        <v>0</v>
      </c>
      <c r="Z157" s="147">
        <f t="shared" si="126"/>
        <v>0</v>
      </c>
      <c r="AA157" s="147">
        <f t="shared" si="126"/>
        <v>0</v>
      </c>
      <c r="AB157" s="147">
        <f t="shared" si="126"/>
        <v>0</v>
      </c>
      <c r="AC157" s="147">
        <f t="shared" si="126"/>
        <v>0</v>
      </c>
      <c r="AD157" s="147">
        <f t="shared" si="126"/>
        <v>0</v>
      </c>
      <c r="AE157" s="147">
        <f t="shared" si="126"/>
        <v>0</v>
      </c>
      <c r="AF157" s="147">
        <f t="shared" si="126"/>
        <v>0</v>
      </c>
      <c r="AG157" s="147">
        <f t="shared" si="126"/>
        <v>0</v>
      </c>
      <c r="AH157" s="147">
        <f t="shared" si="126"/>
        <v>0</v>
      </c>
      <c r="AI157" s="147">
        <f t="shared" si="126"/>
        <v>0</v>
      </c>
      <c r="AJ157" s="147">
        <f t="shared" si="126"/>
        <v>0</v>
      </c>
      <c r="AK157" s="147">
        <f t="shared" si="126"/>
        <v>0</v>
      </c>
      <c r="AL157" s="148">
        <f t="shared" si="126"/>
        <v>0</v>
      </c>
      <c r="AM157" s="143">
        <f t="shared" si="126"/>
        <v>0</v>
      </c>
    </row>
    <row r="158" spans="3:39" x14ac:dyDescent="0.2">
      <c r="C158" s="285"/>
      <c r="D158" s="137" t="s">
        <v>1</v>
      </c>
      <c r="E158" s="143">
        <f t="shared" ref="E158:AM158" si="127">IF(ABS(E38)&gt;100,E118/E38,0)</f>
        <v>0</v>
      </c>
      <c r="F158" s="143">
        <f t="shared" si="127"/>
        <v>0</v>
      </c>
      <c r="G158" s="143">
        <f t="shared" si="127"/>
        <v>0</v>
      </c>
      <c r="H158" s="143">
        <f t="shared" si="127"/>
        <v>0</v>
      </c>
      <c r="I158" s="143">
        <f t="shared" si="127"/>
        <v>0</v>
      </c>
      <c r="J158" s="143">
        <f t="shared" si="127"/>
        <v>0</v>
      </c>
      <c r="K158" s="143">
        <f t="shared" si="127"/>
        <v>0</v>
      </c>
      <c r="L158" s="143">
        <f t="shared" si="127"/>
        <v>0</v>
      </c>
      <c r="M158" s="143">
        <f t="shared" si="127"/>
        <v>0</v>
      </c>
      <c r="N158" s="143">
        <f t="shared" si="127"/>
        <v>0</v>
      </c>
      <c r="O158" s="143">
        <f t="shared" si="127"/>
        <v>0</v>
      </c>
      <c r="P158" s="143">
        <f t="shared" si="127"/>
        <v>0</v>
      </c>
      <c r="Q158" s="143">
        <f t="shared" si="127"/>
        <v>0</v>
      </c>
      <c r="R158" s="143">
        <f t="shared" si="127"/>
        <v>0</v>
      </c>
      <c r="S158" s="143">
        <f t="shared" si="127"/>
        <v>0</v>
      </c>
      <c r="T158" s="143">
        <f t="shared" si="127"/>
        <v>0</v>
      </c>
      <c r="U158" s="143">
        <f t="shared" si="127"/>
        <v>0</v>
      </c>
      <c r="V158" s="143">
        <f t="shared" si="127"/>
        <v>0</v>
      </c>
      <c r="W158" s="143">
        <f t="shared" si="127"/>
        <v>0</v>
      </c>
      <c r="X158" s="143">
        <f t="shared" si="127"/>
        <v>0</v>
      </c>
      <c r="Y158" s="143">
        <f t="shared" si="127"/>
        <v>0</v>
      </c>
      <c r="Z158" s="143">
        <f t="shared" si="127"/>
        <v>0</v>
      </c>
      <c r="AA158" s="143">
        <f t="shared" si="127"/>
        <v>0</v>
      </c>
      <c r="AB158" s="143">
        <f t="shared" si="127"/>
        <v>0</v>
      </c>
      <c r="AC158" s="143">
        <f t="shared" si="127"/>
        <v>0</v>
      </c>
      <c r="AD158" s="143">
        <f t="shared" si="127"/>
        <v>0</v>
      </c>
      <c r="AE158" s="143">
        <f t="shared" si="127"/>
        <v>0</v>
      </c>
      <c r="AF158" s="143">
        <f t="shared" si="127"/>
        <v>0</v>
      </c>
      <c r="AG158" s="143">
        <f t="shared" si="127"/>
        <v>0</v>
      </c>
      <c r="AH158" s="143">
        <f t="shared" si="127"/>
        <v>0</v>
      </c>
      <c r="AI158" s="143">
        <f t="shared" si="127"/>
        <v>0</v>
      </c>
      <c r="AJ158" s="143">
        <f t="shared" si="127"/>
        <v>0</v>
      </c>
      <c r="AK158" s="143">
        <f t="shared" si="127"/>
        <v>0</v>
      </c>
      <c r="AL158" s="143">
        <f t="shared" si="127"/>
        <v>0</v>
      </c>
      <c r="AM158" s="143">
        <f t="shared" si="127"/>
        <v>0</v>
      </c>
    </row>
  </sheetData>
  <mergeCells count="12">
    <mergeCell ref="C124:C158"/>
    <mergeCell ref="E42:AM42"/>
    <mergeCell ref="C44:C78"/>
    <mergeCell ref="E82:AM82"/>
    <mergeCell ref="C84:C118"/>
    <mergeCell ref="E122:AM122"/>
    <mergeCell ref="E2:AM2"/>
    <mergeCell ref="AQ2:BY2"/>
    <mergeCell ref="CC2:DK2"/>
    <mergeCell ref="C4:C38"/>
    <mergeCell ref="AO4:AO38"/>
    <mergeCell ref="CA4:CA38"/>
  </mergeCells>
  <conditionalFormatting sqref="E4:AL37">
    <cfRule type="colorScale" priority="86">
      <colorScale>
        <cfvo type="min"/>
        <cfvo type="max"/>
        <color rgb="FFFCFCFF"/>
        <color rgb="FF63BE7B"/>
      </colorScale>
    </cfRule>
  </conditionalFormatting>
  <conditionalFormatting sqref="E38:AL38">
    <cfRule type="colorScale" priority="85">
      <colorScale>
        <cfvo type="min"/>
        <cfvo type="max"/>
        <color rgb="FFFCFCFF"/>
        <color rgb="FF63BE7B"/>
      </colorScale>
    </cfRule>
  </conditionalFormatting>
  <conditionalFormatting sqref="E44:AL77">
    <cfRule type="colorScale" priority="13">
      <colorScale>
        <cfvo type="min"/>
        <cfvo type="max"/>
        <color rgb="FFFCFCFF"/>
        <color rgb="FF63BE7B"/>
      </colorScale>
    </cfRule>
  </conditionalFormatting>
  <conditionalFormatting sqref="E78:AL78">
    <cfRule type="colorScale" priority="12">
      <colorScale>
        <cfvo type="min"/>
        <cfvo type="max"/>
        <color rgb="FFFCFCFF"/>
        <color rgb="FF63BE7B"/>
      </colorScale>
    </cfRule>
  </conditionalFormatting>
  <conditionalFormatting sqref="E124:AL157">
    <cfRule type="colorScale" priority="10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E84:AM118">
    <cfRule type="colorScale" priority="1">
      <colorScale>
        <cfvo type="num" val="-15000"/>
        <cfvo type="num" val="0"/>
        <cfvo type="num" val="15000"/>
        <color rgb="FFF8696B"/>
        <color rgb="FFFCFCFF"/>
        <color rgb="FF63BE7B"/>
      </colorScale>
    </cfRule>
  </conditionalFormatting>
  <conditionalFormatting sqref="E158:AM158">
    <cfRule type="colorScale" priority="9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AM4:AM37">
    <cfRule type="colorScale" priority="84">
      <colorScale>
        <cfvo type="min"/>
        <cfvo type="max"/>
        <color rgb="FFFCFCFF"/>
        <color rgb="FF63BE7B"/>
      </colorScale>
    </cfRule>
  </conditionalFormatting>
  <conditionalFormatting sqref="AM44:AM77">
    <cfRule type="colorScale" priority="11">
      <colorScale>
        <cfvo type="min"/>
        <cfvo type="max"/>
        <color rgb="FFFCFCFF"/>
        <color rgb="FF63BE7B"/>
      </colorScale>
    </cfRule>
  </conditionalFormatting>
  <conditionalFormatting sqref="AM124:AM157">
    <cfRule type="colorScale" priority="8">
      <colorScale>
        <cfvo type="num" val="-20000"/>
        <cfvo type="num" val="0"/>
        <cfvo type="num" val="20000"/>
        <color rgb="FFFF0000"/>
        <color theme="0"/>
        <color rgb="FF00B050"/>
      </colorScale>
    </cfRule>
  </conditionalFormatting>
  <conditionalFormatting sqref="AQ4:BX4">
    <cfRule type="colorScale" priority="83">
      <colorScale>
        <cfvo type="min"/>
        <cfvo type="max"/>
        <color rgb="FFFCFCFF"/>
        <color rgb="FF63BE7B"/>
      </colorScale>
    </cfRule>
  </conditionalFormatting>
  <conditionalFormatting sqref="AQ5:BX5">
    <cfRule type="colorScale" priority="82">
      <colorScale>
        <cfvo type="min"/>
        <cfvo type="max"/>
        <color rgb="FFFCFCFF"/>
        <color rgb="FF63BE7B"/>
      </colorScale>
    </cfRule>
  </conditionalFormatting>
  <conditionalFormatting sqref="AQ6:BX6">
    <cfRule type="colorScale" priority="81">
      <colorScale>
        <cfvo type="min"/>
        <cfvo type="max"/>
        <color rgb="FFFCFCFF"/>
        <color rgb="FF63BE7B"/>
      </colorScale>
    </cfRule>
  </conditionalFormatting>
  <conditionalFormatting sqref="AQ7:BX7">
    <cfRule type="colorScale" priority="80">
      <colorScale>
        <cfvo type="min"/>
        <cfvo type="max"/>
        <color rgb="FFFCFCFF"/>
        <color rgb="FF63BE7B"/>
      </colorScale>
    </cfRule>
  </conditionalFormatting>
  <conditionalFormatting sqref="AQ8:BX8">
    <cfRule type="colorScale" priority="79">
      <colorScale>
        <cfvo type="min"/>
        <cfvo type="max"/>
        <color rgb="FFFCFCFF"/>
        <color rgb="FF63BE7B"/>
      </colorScale>
    </cfRule>
  </conditionalFormatting>
  <conditionalFormatting sqref="AQ9:BX9">
    <cfRule type="colorScale" priority="78">
      <colorScale>
        <cfvo type="min"/>
        <cfvo type="max"/>
        <color rgb="FFFCFCFF"/>
        <color rgb="FF63BE7B"/>
      </colorScale>
    </cfRule>
  </conditionalFormatting>
  <conditionalFormatting sqref="AQ10:BX10">
    <cfRule type="colorScale" priority="77">
      <colorScale>
        <cfvo type="min"/>
        <cfvo type="max"/>
        <color rgb="FFFCFCFF"/>
        <color rgb="FF63BE7B"/>
      </colorScale>
    </cfRule>
  </conditionalFormatting>
  <conditionalFormatting sqref="AQ11:BX11">
    <cfRule type="colorScale" priority="76">
      <colorScale>
        <cfvo type="min"/>
        <cfvo type="max"/>
        <color rgb="FFFCFCFF"/>
        <color rgb="FF63BE7B"/>
      </colorScale>
    </cfRule>
  </conditionalFormatting>
  <conditionalFormatting sqref="AQ12:BX12">
    <cfRule type="colorScale" priority="75">
      <colorScale>
        <cfvo type="min"/>
        <cfvo type="max"/>
        <color rgb="FFFCFCFF"/>
        <color rgb="FF63BE7B"/>
      </colorScale>
    </cfRule>
  </conditionalFormatting>
  <conditionalFormatting sqref="AQ13:BX13">
    <cfRule type="colorScale" priority="74">
      <colorScale>
        <cfvo type="min"/>
        <cfvo type="max"/>
        <color rgb="FFFCFCFF"/>
        <color rgb="FF63BE7B"/>
      </colorScale>
    </cfRule>
  </conditionalFormatting>
  <conditionalFormatting sqref="AQ14:BX14">
    <cfRule type="colorScale" priority="73">
      <colorScale>
        <cfvo type="min"/>
        <cfvo type="max"/>
        <color rgb="FFFCFCFF"/>
        <color rgb="FF63BE7B"/>
      </colorScale>
    </cfRule>
  </conditionalFormatting>
  <conditionalFormatting sqref="AQ15:BX15">
    <cfRule type="colorScale" priority="72">
      <colorScale>
        <cfvo type="min"/>
        <cfvo type="max"/>
        <color rgb="FFFCFCFF"/>
        <color rgb="FF63BE7B"/>
      </colorScale>
    </cfRule>
  </conditionalFormatting>
  <conditionalFormatting sqref="AQ16:BX16">
    <cfRule type="colorScale" priority="71">
      <colorScale>
        <cfvo type="min"/>
        <cfvo type="max"/>
        <color rgb="FFFCFCFF"/>
        <color rgb="FF63BE7B"/>
      </colorScale>
    </cfRule>
  </conditionalFormatting>
  <conditionalFormatting sqref="AQ17:BX17">
    <cfRule type="colorScale" priority="70">
      <colorScale>
        <cfvo type="min"/>
        <cfvo type="max"/>
        <color rgb="FFFCFCFF"/>
        <color rgb="FF63BE7B"/>
      </colorScale>
    </cfRule>
  </conditionalFormatting>
  <conditionalFormatting sqref="AQ18:BX18">
    <cfRule type="colorScale" priority="69">
      <colorScale>
        <cfvo type="min"/>
        <cfvo type="max"/>
        <color rgb="FFFCFCFF"/>
        <color rgb="FF63BE7B"/>
      </colorScale>
    </cfRule>
  </conditionalFormatting>
  <conditionalFormatting sqref="AQ19:BX19">
    <cfRule type="colorScale" priority="68">
      <colorScale>
        <cfvo type="min"/>
        <cfvo type="max"/>
        <color rgb="FFFCFCFF"/>
        <color rgb="FF63BE7B"/>
      </colorScale>
    </cfRule>
  </conditionalFormatting>
  <conditionalFormatting sqref="AQ20:BX20">
    <cfRule type="colorScale" priority="67">
      <colorScale>
        <cfvo type="min"/>
        <cfvo type="max"/>
        <color rgb="FFFCFCFF"/>
        <color rgb="FF63BE7B"/>
      </colorScale>
    </cfRule>
  </conditionalFormatting>
  <conditionalFormatting sqref="AQ21:BX21">
    <cfRule type="colorScale" priority="66">
      <colorScale>
        <cfvo type="min"/>
        <cfvo type="max"/>
        <color rgb="FFFCFCFF"/>
        <color rgb="FF63BE7B"/>
      </colorScale>
    </cfRule>
  </conditionalFormatting>
  <conditionalFormatting sqref="AQ22:BX22">
    <cfRule type="colorScale" priority="65">
      <colorScale>
        <cfvo type="min"/>
        <cfvo type="max"/>
        <color rgb="FFFCFCFF"/>
        <color rgb="FF63BE7B"/>
      </colorScale>
    </cfRule>
  </conditionalFormatting>
  <conditionalFormatting sqref="AQ23:BX23">
    <cfRule type="colorScale" priority="64">
      <colorScale>
        <cfvo type="min"/>
        <cfvo type="max"/>
        <color rgb="FFFCFCFF"/>
        <color rgb="FF63BE7B"/>
      </colorScale>
    </cfRule>
  </conditionalFormatting>
  <conditionalFormatting sqref="AQ24:BX24">
    <cfRule type="colorScale" priority="63">
      <colorScale>
        <cfvo type="min"/>
        <cfvo type="max"/>
        <color rgb="FFFCFCFF"/>
        <color rgb="FF63BE7B"/>
      </colorScale>
    </cfRule>
  </conditionalFormatting>
  <conditionalFormatting sqref="AQ25:BX25">
    <cfRule type="colorScale" priority="62">
      <colorScale>
        <cfvo type="min"/>
        <cfvo type="max"/>
        <color rgb="FFFCFCFF"/>
        <color rgb="FF63BE7B"/>
      </colorScale>
    </cfRule>
  </conditionalFormatting>
  <conditionalFormatting sqref="AQ26:BX26">
    <cfRule type="colorScale" priority="61">
      <colorScale>
        <cfvo type="min"/>
        <cfvo type="max"/>
        <color rgb="FFFCFCFF"/>
        <color rgb="FF63BE7B"/>
      </colorScale>
    </cfRule>
  </conditionalFormatting>
  <conditionalFormatting sqref="AQ27:BX27">
    <cfRule type="colorScale" priority="60">
      <colorScale>
        <cfvo type="min"/>
        <cfvo type="max"/>
        <color rgb="FFFCFCFF"/>
        <color rgb="FF63BE7B"/>
      </colorScale>
    </cfRule>
  </conditionalFormatting>
  <conditionalFormatting sqref="AQ28:BX28">
    <cfRule type="colorScale" priority="59">
      <colorScale>
        <cfvo type="min"/>
        <cfvo type="max"/>
        <color rgb="FFFCFCFF"/>
        <color rgb="FF63BE7B"/>
      </colorScale>
    </cfRule>
  </conditionalFormatting>
  <conditionalFormatting sqref="AQ29:BX29">
    <cfRule type="colorScale" priority="58">
      <colorScale>
        <cfvo type="min"/>
        <cfvo type="max"/>
        <color rgb="FFFCFCFF"/>
        <color rgb="FF63BE7B"/>
      </colorScale>
    </cfRule>
  </conditionalFormatting>
  <conditionalFormatting sqref="AQ30:BX3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Q31:BX31">
    <cfRule type="colorScale" priority="56">
      <colorScale>
        <cfvo type="min"/>
        <cfvo type="max"/>
        <color rgb="FFFCFCFF"/>
        <color rgb="FF63BE7B"/>
      </colorScale>
    </cfRule>
  </conditionalFormatting>
  <conditionalFormatting sqref="AQ32:BX32">
    <cfRule type="colorScale" priority="55">
      <colorScale>
        <cfvo type="min"/>
        <cfvo type="max"/>
        <color rgb="FFFCFCFF"/>
        <color rgb="FF63BE7B"/>
      </colorScale>
    </cfRule>
  </conditionalFormatting>
  <conditionalFormatting sqref="AQ33:BX33">
    <cfRule type="colorScale" priority="54">
      <colorScale>
        <cfvo type="min"/>
        <cfvo type="max"/>
        <color rgb="FFFCFCFF"/>
        <color rgb="FF63BE7B"/>
      </colorScale>
    </cfRule>
  </conditionalFormatting>
  <conditionalFormatting sqref="AQ34:BX34">
    <cfRule type="colorScale" priority="53">
      <colorScale>
        <cfvo type="min"/>
        <cfvo type="max"/>
        <color rgb="FFFCFCFF"/>
        <color rgb="FF63BE7B"/>
      </colorScale>
    </cfRule>
  </conditionalFormatting>
  <conditionalFormatting sqref="AQ35:BX35">
    <cfRule type="colorScale" priority="52">
      <colorScale>
        <cfvo type="min"/>
        <cfvo type="max"/>
        <color rgb="FFFCFCFF"/>
        <color rgb="FF63BE7B"/>
      </colorScale>
    </cfRule>
  </conditionalFormatting>
  <conditionalFormatting sqref="AQ36:BX36">
    <cfRule type="colorScale" priority="51">
      <colorScale>
        <cfvo type="min"/>
        <cfvo type="max"/>
        <color rgb="FFFCFCFF"/>
        <color rgb="FF63BE7B"/>
      </colorScale>
    </cfRule>
  </conditionalFormatting>
  <conditionalFormatting sqref="AQ37:BX37">
    <cfRule type="colorScale" priority="50">
      <colorScale>
        <cfvo type="min"/>
        <cfvo type="max"/>
        <color rgb="FFFCFCFF"/>
        <color rgb="FF63BE7B"/>
      </colorScale>
    </cfRule>
  </conditionalFormatting>
  <conditionalFormatting sqref="AQ38:BX38">
    <cfRule type="colorScale" priority="49">
      <colorScale>
        <cfvo type="min"/>
        <cfvo type="max"/>
        <color rgb="FFFCFCFF"/>
        <color rgb="FF63BE7B"/>
      </colorScale>
    </cfRule>
  </conditionalFormatting>
  <conditionalFormatting sqref="CC4:CC37">
    <cfRule type="colorScale" priority="48">
      <colorScale>
        <cfvo type="min"/>
        <cfvo type="max"/>
        <color rgb="FFFCFCFF"/>
        <color rgb="FF63BE7B"/>
      </colorScale>
    </cfRule>
  </conditionalFormatting>
  <conditionalFormatting sqref="CD4:CD37">
    <cfRule type="colorScale" priority="47">
      <colorScale>
        <cfvo type="min"/>
        <cfvo type="max"/>
        <color rgb="FFFCFCFF"/>
        <color rgb="FF63BE7B"/>
      </colorScale>
    </cfRule>
  </conditionalFormatting>
  <conditionalFormatting sqref="CE4:CE37">
    <cfRule type="colorScale" priority="46">
      <colorScale>
        <cfvo type="min"/>
        <cfvo type="max"/>
        <color rgb="FFFCFCFF"/>
        <color rgb="FF63BE7B"/>
      </colorScale>
    </cfRule>
  </conditionalFormatting>
  <conditionalFormatting sqref="CF4:CF37">
    <cfRule type="colorScale" priority="45">
      <colorScale>
        <cfvo type="min"/>
        <cfvo type="max"/>
        <color rgb="FFFCFCFF"/>
        <color rgb="FF63BE7B"/>
      </colorScale>
    </cfRule>
  </conditionalFormatting>
  <conditionalFormatting sqref="CG4:CG37">
    <cfRule type="colorScale" priority="44">
      <colorScale>
        <cfvo type="min"/>
        <cfvo type="max"/>
        <color rgb="FFFCFCFF"/>
        <color rgb="FF63BE7B"/>
      </colorScale>
    </cfRule>
  </conditionalFormatting>
  <conditionalFormatting sqref="CH4:CH37">
    <cfRule type="colorScale" priority="43">
      <colorScale>
        <cfvo type="min"/>
        <cfvo type="max"/>
        <color rgb="FFFCFCFF"/>
        <color rgb="FF63BE7B"/>
      </colorScale>
    </cfRule>
  </conditionalFormatting>
  <conditionalFormatting sqref="CI4:CI37">
    <cfRule type="colorScale" priority="42">
      <colorScale>
        <cfvo type="min"/>
        <cfvo type="max"/>
        <color rgb="FFFCFCFF"/>
        <color rgb="FF63BE7B"/>
      </colorScale>
    </cfRule>
  </conditionalFormatting>
  <conditionalFormatting sqref="CJ4:CJ37">
    <cfRule type="colorScale" priority="41">
      <colorScale>
        <cfvo type="min"/>
        <cfvo type="max"/>
        <color rgb="FFFCFCFF"/>
        <color rgb="FF63BE7B"/>
      </colorScale>
    </cfRule>
  </conditionalFormatting>
  <conditionalFormatting sqref="CK4:CK37">
    <cfRule type="colorScale" priority="40">
      <colorScale>
        <cfvo type="min"/>
        <cfvo type="max"/>
        <color rgb="FFFCFCFF"/>
        <color rgb="FF63BE7B"/>
      </colorScale>
    </cfRule>
  </conditionalFormatting>
  <conditionalFormatting sqref="CL4:CL37">
    <cfRule type="colorScale" priority="39">
      <colorScale>
        <cfvo type="min"/>
        <cfvo type="max"/>
        <color rgb="FFFCFCFF"/>
        <color rgb="FF63BE7B"/>
      </colorScale>
    </cfRule>
  </conditionalFormatting>
  <conditionalFormatting sqref="CM4:CM37">
    <cfRule type="colorScale" priority="38">
      <colorScale>
        <cfvo type="min"/>
        <cfvo type="max"/>
        <color rgb="FFFCFCFF"/>
        <color rgb="FF63BE7B"/>
      </colorScale>
    </cfRule>
  </conditionalFormatting>
  <conditionalFormatting sqref="CN4:CN37">
    <cfRule type="colorScale" priority="37">
      <colorScale>
        <cfvo type="min"/>
        <cfvo type="max"/>
        <color rgb="FFFCFCFF"/>
        <color rgb="FF63BE7B"/>
      </colorScale>
    </cfRule>
  </conditionalFormatting>
  <conditionalFormatting sqref="CO4:CO37">
    <cfRule type="colorScale" priority="36">
      <colorScale>
        <cfvo type="min"/>
        <cfvo type="max"/>
        <color rgb="FFFCFCFF"/>
        <color rgb="FF63BE7B"/>
      </colorScale>
    </cfRule>
  </conditionalFormatting>
  <conditionalFormatting sqref="CP4:CP37">
    <cfRule type="colorScale" priority="35">
      <colorScale>
        <cfvo type="min"/>
        <cfvo type="max"/>
        <color rgb="FFFCFCFF"/>
        <color rgb="FF63BE7B"/>
      </colorScale>
    </cfRule>
  </conditionalFormatting>
  <conditionalFormatting sqref="CQ4:CQ37">
    <cfRule type="colorScale" priority="34">
      <colorScale>
        <cfvo type="min"/>
        <cfvo type="max"/>
        <color rgb="FFFCFCFF"/>
        <color rgb="FF63BE7B"/>
      </colorScale>
    </cfRule>
  </conditionalFormatting>
  <conditionalFormatting sqref="CR4:CR37">
    <cfRule type="colorScale" priority="33">
      <colorScale>
        <cfvo type="min"/>
        <cfvo type="max"/>
        <color rgb="FFFCFCFF"/>
        <color rgb="FF63BE7B"/>
      </colorScale>
    </cfRule>
  </conditionalFormatting>
  <conditionalFormatting sqref="CS4:CS37">
    <cfRule type="colorScale" priority="32">
      <colorScale>
        <cfvo type="min"/>
        <cfvo type="max"/>
        <color rgb="FFFCFCFF"/>
        <color rgb="FF63BE7B"/>
      </colorScale>
    </cfRule>
  </conditionalFormatting>
  <conditionalFormatting sqref="CT4:CT37">
    <cfRule type="colorScale" priority="31">
      <colorScale>
        <cfvo type="min"/>
        <cfvo type="max"/>
        <color rgb="FFFCFCFF"/>
        <color rgb="FF63BE7B"/>
      </colorScale>
    </cfRule>
  </conditionalFormatting>
  <conditionalFormatting sqref="CU4:CU37">
    <cfRule type="colorScale" priority="30">
      <colorScale>
        <cfvo type="min"/>
        <cfvo type="max"/>
        <color rgb="FFFCFCFF"/>
        <color rgb="FF63BE7B"/>
      </colorScale>
    </cfRule>
  </conditionalFormatting>
  <conditionalFormatting sqref="CV4:CV37">
    <cfRule type="colorScale" priority="29">
      <colorScale>
        <cfvo type="min"/>
        <cfvo type="max"/>
        <color rgb="FFFCFCFF"/>
        <color rgb="FF63BE7B"/>
      </colorScale>
    </cfRule>
  </conditionalFormatting>
  <conditionalFormatting sqref="CW4:CW37">
    <cfRule type="colorScale" priority="28">
      <colorScale>
        <cfvo type="min"/>
        <cfvo type="max"/>
        <color rgb="FFFCFCFF"/>
        <color rgb="FF63BE7B"/>
      </colorScale>
    </cfRule>
  </conditionalFormatting>
  <conditionalFormatting sqref="CX4:CX37">
    <cfRule type="colorScale" priority="27">
      <colorScale>
        <cfvo type="min"/>
        <cfvo type="max"/>
        <color rgb="FFFCFCFF"/>
        <color rgb="FF63BE7B"/>
      </colorScale>
    </cfRule>
  </conditionalFormatting>
  <conditionalFormatting sqref="CY4:CY37">
    <cfRule type="colorScale" priority="26">
      <colorScale>
        <cfvo type="min"/>
        <cfvo type="max"/>
        <color rgb="FFFCFCFF"/>
        <color rgb="FF63BE7B"/>
      </colorScale>
    </cfRule>
  </conditionalFormatting>
  <conditionalFormatting sqref="CZ4:CZ37">
    <cfRule type="colorScale" priority="25">
      <colorScale>
        <cfvo type="min"/>
        <cfvo type="max"/>
        <color rgb="FFFCFCFF"/>
        <color rgb="FF63BE7B"/>
      </colorScale>
    </cfRule>
  </conditionalFormatting>
  <conditionalFormatting sqref="DA4:DA37">
    <cfRule type="colorScale" priority="24">
      <colorScale>
        <cfvo type="min"/>
        <cfvo type="max"/>
        <color rgb="FFFCFCFF"/>
        <color rgb="FF63BE7B"/>
      </colorScale>
    </cfRule>
  </conditionalFormatting>
  <conditionalFormatting sqref="DB4:DB37">
    <cfRule type="colorScale" priority="23">
      <colorScale>
        <cfvo type="min"/>
        <cfvo type="max"/>
        <color rgb="FFFCFCFF"/>
        <color rgb="FF63BE7B"/>
      </colorScale>
    </cfRule>
  </conditionalFormatting>
  <conditionalFormatting sqref="DC4:DC37">
    <cfRule type="colorScale" priority="22">
      <colorScale>
        <cfvo type="min"/>
        <cfvo type="max"/>
        <color rgb="FFFCFCFF"/>
        <color rgb="FF63BE7B"/>
      </colorScale>
    </cfRule>
  </conditionalFormatting>
  <conditionalFormatting sqref="DD4:DD37">
    <cfRule type="colorScale" priority="21">
      <colorScale>
        <cfvo type="min"/>
        <cfvo type="max"/>
        <color rgb="FFFCFCFF"/>
        <color rgb="FF63BE7B"/>
      </colorScale>
    </cfRule>
  </conditionalFormatting>
  <conditionalFormatting sqref="DE4:DE37">
    <cfRule type="colorScale" priority="20">
      <colorScale>
        <cfvo type="min"/>
        <cfvo type="max"/>
        <color rgb="FFFCFCFF"/>
        <color rgb="FF63BE7B"/>
      </colorScale>
    </cfRule>
  </conditionalFormatting>
  <conditionalFormatting sqref="DF4:DF37">
    <cfRule type="colorScale" priority="19">
      <colorScale>
        <cfvo type="min"/>
        <cfvo type="max"/>
        <color rgb="FFFCFCFF"/>
        <color rgb="FF63BE7B"/>
      </colorScale>
    </cfRule>
  </conditionalFormatting>
  <conditionalFormatting sqref="DG4:DG37">
    <cfRule type="colorScale" priority="18">
      <colorScale>
        <cfvo type="min"/>
        <cfvo type="max"/>
        <color rgb="FFFCFCFF"/>
        <color rgb="FF63BE7B"/>
      </colorScale>
    </cfRule>
  </conditionalFormatting>
  <conditionalFormatting sqref="DH4:DH37">
    <cfRule type="colorScale" priority="17">
      <colorScale>
        <cfvo type="min"/>
        <cfvo type="max"/>
        <color rgb="FFFCFCFF"/>
        <color rgb="FF63BE7B"/>
      </colorScale>
    </cfRule>
  </conditionalFormatting>
  <conditionalFormatting sqref="DI4:DI37">
    <cfRule type="colorScale" priority="16">
      <colorScale>
        <cfvo type="min"/>
        <cfvo type="max"/>
        <color rgb="FFFCFCFF"/>
        <color rgb="FF63BE7B"/>
      </colorScale>
    </cfRule>
  </conditionalFormatting>
  <conditionalFormatting sqref="DJ4:DJ37">
    <cfRule type="colorScale" priority="15">
      <colorScale>
        <cfvo type="min"/>
        <cfvo type="max"/>
        <color rgb="FFFCFCFF"/>
        <color rgb="FF63BE7B"/>
      </colorScale>
    </cfRule>
  </conditionalFormatting>
  <conditionalFormatting sqref="DK4:DK37">
    <cfRule type="colorScale" priority="14">
      <colorScale>
        <cfvo type="min"/>
        <cfvo type="max"/>
        <color rgb="FFFCFCFF"/>
        <color rgb="FF63BE7B"/>
      </colorScale>
    </cfRule>
  </conditionalFormatting>
  <hyperlinks>
    <hyperlink ref="A21" location="DistrictTransitTourFlows!D1" display="Counts" xr:uid="{98AAD91B-DFBE-4F55-B013-FA6CC198650C}"/>
    <hyperlink ref="A22" location="DistrictTransitTourFlows!AP1" display="Row Percent" xr:uid="{138A9830-B5EE-4DDC-B153-0AF1F1A7FC31}"/>
    <hyperlink ref="A23" location="DistrictTransitTourFlows!CB1" display="Column Percent" xr:uid="{1F3B8EFF-7D53-46D6-8073-657DB6D05EB3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6B5F175-AA43-444C-B135-D04454A8269F}">
          <x14:formula1>
            <xm:f>OBS_District_Flows!$V$14:$V$20</xm:f>
          </x14:formula1>
          <xm:sqref>A12</xm:sqref>
        </x14:dataValidation>
        <x14:dataValidation type="list" allowBlank="1" showInputMessage="1" showErrorMessage="1" xr:uid="{6EEAA7A3-830F-475E-B711-89BD0610AC3A}">
          <x14:formula1>
            <xm:f>OBS_District_Flows!$V$23:$V$25</xm:f>
          </x14:formula1>
          <xm:sqref>A15</xm:sqref>
        </x14:dataValidation>
        <x14:dataValidation type="list" allowBlank="1" showInputMessage="1" showErrorMessage="1" xr:uid="{82AF8E0B-4C4B-4EB1-BCB5-5CEA008E21D5}">
          <x14:formula1>
            <xm:f>OBS_District_Flows!$W$2:$W$11</xm:f>
          </x14:formula1>
          <xm:sqref>A6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B0FD-3613-494D-B4B8-341B48973E27}">
  <sheetPr>
    <tabColor theme="1"/>
  </sheetPr>
  <dimension ref="A1:AF60"/>
  <sheetViews>
    <sheetView topLeftCell="A34" workbookViewId="0">
      <selection activeCell="V60" sqref="V60"/>
    </sheetView>
  </sheetViews>
  <sheetFormatPr defaultRowHeight="12.75" x14ac:dyDescent="0.2"/>
  <cols>
    <col min="1" max="1" width="9.140625" style="1"/>
    <col min="2" max="2" width="12" style="1" customWidth="1"/>
    <col min="3" max="3" width="9.140625" style="1"/>
    <col min="4" max="4" width="35.42578125" style="1" customWidth="1"/>
    <col min="5" max="5" width="9.140625" style="1"/>
    <col min="6" max="6" width="9.5703125" style="1" customWidth="1"/>
    <col min="7" max="10" width="9.140625" style="1"/>
    <col min="11" max="11" width="2" style="1" customWidth="1"/>
    <col min="12" max="14" width="10.5703125" style="1" customWidth="1"/>
    <col min="15" max="17" width="9.140625" style="1"/>
    <col min="18" max="18" width="3" style="1" customWidth="1"/>
    <col min="19" max="19" width="9.140625" style="1"/>
    <col min="20" max="20" width="22.28515625" style="1" bestFit="1" customWidth="1"/>
    <col min="21" max="16384" width="9.140625" style="1"/>
  </cols>
  <sheetData>
    <row r="1" spans="1:32" ht="35.25" customHeight="1" x14ac:dyDescent="0.25">
      <c r="C1" s="160" t="s">
        <v>271</v>
      </c>
      <c r="E1" s="161" t="s">
        <v>343</v>
      </c>
      <c r="G1" s="161" t="s">
        <v>344</v>
      </c>
      <c r="I1" s="161"/>
      <c r="L1" s="287" t="s">
        <v>287</v>
      </c>
      <c r="M1" s="287"/>
      <c r="N1" s="287"/>
      <c r="O1" s="287"/>
      <c r="P1" s="287"/>
      <c r="Q1" s="287"/>
      <c r="S1" s="288" t="s">
        <v>341</v>
      </c>
      <c r="T1" s="289"/>
      <c r="U1" s="289"/>
      <c r="V1" s="289"/>
      <c r="W1" s="289"/>
      <c r="X1" s="289"/>
      <c r="Y1" s="289"/>
    </row>
    <row r="2" spans="1:32" s="162" customFormat="1" ht="28.5" customHeight="1" x14ac:dyDescent="0.2">
      <c r="E2" s="179" t="s">
        <v>272</v>
      </c>
      <c r="F2" s="43" t="s">
        <v>273</v>
      </c>
      <c r="G2" s="179" t="s">
        <v>112</v>
      </c>
      <c r="H2" s="180" t="s">
        <v>273</v>
      </c>
      <c r="I2" s="181" t="s">
        <v>117</v>
      </c>
      <c r="J2" s="180" t="s">
        <v>273</v>
      </c>
      <c r="L2" s="162" t="s">
        <v>333</v>
      </c>
      <c r="M2" s="162" t="s">
        <v>274</v>
      </c>
      <c r="N2" s="162" t="s">
        <v>369</v>
      </c>
      <c r="O2" s="162" t="s">
        <v>275</v>
      </c>
      <c r="P2" s="162" t="s">
        <v>276</v>
      </c>
      <c r="Q2" s="162" t="s">
        <v>277</v>
      </c>
      <c r="U2" s="162" t="s">
        <v>333</v>
      </c>
      <c r="V2" s="162" t="s">
        <v>274</v>
      </c>
      <c r="W2" s="162" t="s">
        <v>275</v>
      </c>
      <c r="X2" s="162" t="s">
        <v>276</v>
      </c>
      <c r="Y2" s="162" t="s">
        <v>277</v>
      </c>
    </row>
    <row r="3" spans="1:32" x14ac:dyDescent="0.2">
      <c r="A3" s="163">
        <v>1</v>
      </c>
      <c r="B3" s="163" t="s">
        <v>249</v>
      </c>
      <c r="C3" s="19" t="s">
        <v>30</v>
      </c>
      <c r="D3" s="195" t="s">
        <v>281</v>
      </c>
      <c r="E3" s="164">
        <v>0.26800000000000002</v>
      </c>
      <c r="F3" s="165">
        <f>-1*E3/[0]!work_c_ivt</f>
        <v>20</v>
      </c>
      <c r="G3" s="164">
        <v>0</v>
      </c>
      <c r="H3" s="175">
        <f>-1*G3/[0]!work_c_ivt</f>
        <v>0</v>
      </c>
      <c r="I3" s="164">
        <f>J3*[0]!work_c_ivt*-1</f>
        <v>0</v>
      </c>
      <c r="J3" s="177">
        <f>H3</f>
        <v>0</v>
      </c>
      <c r="L3" s="166">
        <v>121507.95120380378</v>
      </c>
      <c r="M3" s="167" cm="1">
        <f t="array" ref="M3">SUM(IF((OBS_District_Flows!$E:$E="Greater Downtown San Francisco")*(OBS_District_Flows!$G:$G=$A3),OBS_District_Flows!$K:$K,0))</f>
        <v>77218.694077067863</v>
      </c>
      <c r="N3" s="167">
        <f>M3*OBS_Adjustments!$AB$12</f>
        <v>33055.270704999202</v>
      </c>
      <c r="O3" s="167">
        <f t="array" ref="O3">SUM(IF((modeldata!$T:$T="walk")*(modeldata!$U:$U="Total")*(modeldata!$W:$W="Greater Downtown San Francisco")*(modeldata!$X:$X=$B3),modeldata!$Y:$Y,0))</f>
        <v>0</v>
      </c>
      <c r="P3" s="84">
        <f t="shared" ref="P3:P50" si="0">O3-M3</f>
        <v>-77218.694077067863</v>
      </c>
      <c r="Q3" s="34">
        <f>P3/M3</f>
        <v>-1</v>
      </c>
      <c r="S3" s="19" t="s">
        <v>30</v>
      </c>
      <c r="T3" s="244" t="s">
        <v>336</v>
      </c>
      <c r="U3" s="7">
        <f>SUM(L3:L4)</f>
        <v>188896.58450730261</v>
      </c>
      <c r="V3" s="7">
        <f>SUM(N3:N4)</f>
        <v>33055.270704999202</v>
      </c>
      <c r="W3" s="7">
        <f>SUM(O3:O4)</f>
        <v>0</v>
      </c>
      <c r="X3" s="84">
        <f>W3-V3</f>
        <v>-33055.270704999202</v>
      </c>
      <c r="Y3" s="34">
        <f t="shared" ref="Y3" si="1">X3/V3</f>
        <v>-1</v>
      </c>
      <c r="AA3" s="288" t="s">
        <v>288</v>
      </c>
      <c r="AB3" s="288"/>
      <c r="AC3" s="288"/>
      <c r="AD3" s="288"/>
      <c r="AE3" s="288"/>
      <c r="AF3" s="288"/>
    </row>
    <row r="4" spans="1:32" x14ac:dyDescent="0.2">
      <c r="A4" s="163">
        <v>1</v>
      </c>
      <c r="B4" s="163" t="s">
        <v>249</v>
      </c>
      <c r="D4" s="196" t="s">
        <v>282</v>
      </c>
      <c r="E4" s="168">
        <v>0.60299999999999998</v>
      </c>
      <c r="F4" s="169">
        <f>-1*E4/[0]!work_c_ivt</f>
        <v>45</v>
      </c>
      <c r="G4" s="168">
        <v>0</v>
      </c>
      <c r="H4" s="176">
        <f>-1*G4/[0]!work_c_ivt</f>
        <v>0</v>
      </c>
      <c r="I4" s="168">
        <f>J4*[0]!work_c_ivt*-1</f>
        <v>0</v>
      </c>
      <c r="J4" s="178">
        <f t="shared" ref="J4:J43" si="2">H4</f>
        <v>0</v>
      </c>
      <c r="L4" s="170">
        <v>67388.633303498849</v>
      </c>
      <c r="M4" s="194"/>
      <c r="N4" s="194">
        <f>M4*OBS_Adjustments!$AB$12</f>
        <v>0</v>
      </c>
      <c r="O4" s="171">
        <f t="array" ref="O4">SUM(IF((modeldata!$T:$T="drive")*(modeldata!$U:$U="Total")*(modeldata!$W:$W="Greater Downtown San Francisco")*(modeldata!$X:$X=$B4),modeldata!$Y:$Y,0))</f>
        <v>0</v>
      </c>
      <c r="P4" s="73">
        <f t="shared" si="0"/>
        <v>0</v>
      </c>
      <c r="Q4" s="36" t="e">
        <f t="shared" ref="Q4:Q50" si="3">P4/M4</f>
        <v>#DIV/0!</v>
      </c>
      <c r="T4" s="245"/>
      <c r="Y4" s="245"/>
      <c r="AA4" s="288"/>
      <c r="AB4" s="288"/>
      <c r="AC4" s="288"/>
      <c r="AD4" s="288"/>
      <c r="AE4" s="288"/>
      <c r="AF4" s="288"/>
    </row>
    <row r="5" spans="1:32" x14ac:dyDescent="0.2">
      <c r="A5" s="163">
        <v>1</v>
      </c>
      <c r="B5" s="163" t="s">
        <v>249</v>
      </c>
      <c r="D5" s="196" t="s">
        <v>283</v>
      </c>
      <c r="E5" s="168">
        <v>1.206</v>
      </c>
      <c r="F5" s="169">
        <f>-1*E5/[0]!work_c_ivt</f>
        <v>90</v>
      </c>
      <c r="G5" s="168">
        <v>0</v>
      </c>
      <c r="H5" s="176">
        <f>-1*G5/[0]!work_c_ivt</f>
        <v>0</v>
      </c>
      <c r="I5" s="168">
        <f>J5*[0]!work_c_ivt*-1</f>
        <v>0</v>
      </c>
      <c r="J5" s="178">
        <f t="shared" si="2"/>
        <v>0</v>
      </c>
      <c r="L5" s="170">
        <v>199807.86177507092</v>
      </c>
      <c r="M5" s="194" cm="1">
        <f t="array" ref="M5">SUM(IF((IFERROR(FIND("San Francisco",OBS_District_Flows!$E:$E),-1)&gt;=0)*(OBS_District_Flows!$G:$G=$A3),OBS_District_Flows!$K:$K,0))</f>
        <v>213819.91197051608</v>
      </c>
      <c r="N5" s="194">
        <f>M5*OBS_Adjustments!$AB$12</f>
        <v>91530.62165555972</v>
      </c>
      <c r="O5" s="171">
        <f t="array" ref="O5">SUM(IF((modeldata!$T:$T="walk")*(modeldata!$U:$U="Total")*(IFERROR(FIND("San Francisco",modeldata!$W:$W),-1)&gt;=0)*(modeldata!$X:$X=$B5),modeldata!$Y:$Y,0))</f>
        <v>0</v>
      </c>
      <c r="P5" s="73">
        <f t="shared" si="0"/>
        <v>-213819.91197051608</v>
      </c>
      <c r="Q5" s="36">
        <f t="shared" si="3"/>
        <v>-1</v>
      </c>
      <c r="T5" s="245" t="s">
        <v>337</v>
      </c>
      <c r="U5" s="5">
        <f>SUM(L5:L6)</f>
        <v>282067.56030519586</v>
      </c>
      <c r="V5" s="5">
        <f>SUM(N5:N6)</f>
        <v>91530.62165555972</v>
      </c>
      <c r="W5" s="5">
        <f>SUM(O5:O6)</f>
        <v>0</v>
      </c>
      <c r="X5" s="73">
        <f>W5-V5</f>
        <v>-91530.62165555972</v>
      </c>
      <c r="Y5" s="36">
        <f t="shared" ref="Y5" si="4">X5/V5</f>
        <v>-1</v>
      </c>
      <c r="AA5" s="288"/>
      <c r="AB5" s="288"/>
      <c r="AC5" s="288"/>
      <c r="AD5" s="288"/>
      <c r="AE5" s="288"/>
      <c r="AF5" s="288"/>
    </row>
    <row r="6" spans="1:32" x14ac:dyDescent="0.2">
      <c r="A6" s="163">
        <v>1</v>
      </c>
      <c r="B6" s="163" t="s">
        <v>249</v>
      </c>
      <c r="D6" s="196" t="s">
        <v>284</v>
      </c>
      <c r="E6" s="168">
        <v>1.206</v>
      </c>
      <c r="F6" s="169">
        <f>-1*E6/[0]!work_c_ivt</f>
        <v>90</v>
      </c>
      <c r="G6" s="168">
        <v>0</v>
      </c>
      <c r="H6" s="176">
        <f>-1*G6/[0]!work_c_ivt</f>
        <v>0</v>
      </c>
      <c r="I6" s="168">
        <f>J6*[0]!work_c_ivt*-1</f>
        <v>0</v>
      </c>
      <c r="J6" s="178">
        <f t="shared" si="2"/>
        <v>0</v>
      </c>
      <c r="L6" s="170">
        <v>82259.698530124922</v>
      </c>
      <c r="M6" s="194"/>
      <c r="N6" s="194">
        <f>M6*OBS_Adjustments!$AB$12</f>
        <v>0</v>
      </c>
      <c r="O6" s="171">
        <f t="array" ref="O6">SUM(IF((modeldata!$T:$T="drive")*(modeldata!$U:$U="Total")*(IFERROR(FIND("San Francisco",modeldata!$W:$W),-1)&gt;=0)*(modeldata!$X:$X=$B6),modeldata!$Y:$Y,0))</f>
        <v>0</v>
      </c>
      <c r="P6" s="73">
        <f t="shared" si="0"/>
        <v>0</v>
      </c>
      <c r="Q6" s="36" t="e">
        <f t="shared" si="3"/>
        <v>#DIV/0!</v>
      </c>
      <c r="T6" s="245"/>
      <c r="Y6" s="245"/>
    </row>
    <row r="7" spans="1:32" x14ac:dyDescent="0.2">
      <c r="A7" s="163">
        <v>1</v>
      </c>
      <c r="B7" s="163" t="s">
        <v>249</v>
      </c>
      <c r="D7" s="203" t="s">
        <v>279</v>
      </c>
      <c r="E7" s="198">
        <v>1.0050000000000001</v>
      </c>
      <c r="F7" s="199">
        <f>-1*E7/[0]!work_c_ivt</f>
        <v>75</v>
      </c>
      <c r="G7" s="198">
        <v>0</v>
      </c>
      <c r="H7" s="204">
        <f>-1*G7/[0]!work_c_ivt</f>
        <v>0</v>
      </c>
      <c r="I7" s="198">
        <f>J7*[0]!work_c_ivt*-1</f>
        <v>0</v>
      </c>
      <c r="J7" s="200">
        <f t="shared" ref="J7:J8" si="5">H7</f>
        <v>0</v>
      </c>
      <c r="K7" s="205"/>
      <c r="L7" s="201">
        <v>158573.30610341893</v>
      </c>
      <c r="M7" s="206" cm="1">
        <f t="array" ref="M7">SUM(IF((IFERROR(FIND("San Francisco",OBS_District_Flows!$E:$E),-1)&gt;=0)*(IFERROR(FIND("San Francisco",OBS_District_Flows!$C:$C),-1)&gt;=0)*(OBS_District_Flows!$G:$G=$A7),OBS_District_Flows!$K:$K,0))</f>
        <v>168369.7347579753</v>
      </c>
      <c r="N7" s="206">
        <f>M7*OBS_Adjustments!$AB$12</f>
        <v>72074.608713262496</v>
      </c>
      <c r="O7" s="206">
        <f t="array" ref="O7">SUM(IF((modeldata!$T:$T="walk")*(modeldata!$U:$U="Total")*(IFERROR(FIND("San Francisco",modeldata!$W:$W),-1)&gt;=0)*(IFERROR(FIND("San Francisco",modeldata!$V:$V),-1)&gt;=0)*(modeldata!$X:$X=$B7),modeldata!$Y:$Y,0))</f>
        <v>0</v>
      </c>
      <c r="P7" s="207">
        <f t="shared" si="0"/>
        <v>-168369.7347579753</v>
      </c>
      <c r="Q7" s="202">
        <f t="shared" si="3"/>
        <v>-1</v>
      </c>
      <c r="T7" s="246" t="s">
        <v>338</v>
      </c>
      <c r="U7" s="243">
        <f>SUM(L7:L8)</f>
        <v>166703.18842911834</v>
      </c>
      <c r="V7" s="243">
        <f>SUM(N7:N8)</f>
        <v>72074.608713262496</v>
      </c>
      <c r="W7" s="243">
        <f>SUM(O7:O8)</f>
        <v>0</v>
      </c>
      <c r="X7" s="207">
        <f>W7-V7</f>
        <v>-72074.608713262496</v>
      </c>
      <c r="Y7" s="202">
        <f t="shared" ref="Y7" si="6">X7/V7</f>
        <v>-1</v>
      </c>
    </row>
    <row r="8" spans="1:32" x14ac:dyDescent="0.2">
      <c r="A8" s="163">
        <v>1</v>
      </c>
      <c r="B8" s="163" t="s">
        <v>249</v>
      </c>
      <c r="D8" s="203" t="s">
        <v>280</v>
      </c>
      <c r="E8" s="198">
        <v>1.206</v>
      </c>
      <c r="F8" s="199">
        <f>-1*E8/[0]!work_c_ivt</f>
        <v>90</v>
      </c>
      <c r="G8" s="198">
        <v>0</v>
      </c>
      <c r="H8" s="204">
        <f>-1*G8/[0]!work_c_ivt</f>
        <v>0</v>
      </c>
      <c r="I8" s="198">
        <f>J8*[0]!work_c_ivt*-1</f>
        <v>0</v>
      </c>
      <c r="J8" s="200">
        <f t="shared" si="5"/>
        <v>0</v>
      </c>
      <c r="K8" s="205"/>
      <c r="L8" s="201">
        <v>8129.8823256993983</v>
      </c>
      <c r="M8" s="206"/>
      <c r="N8" s="206">
        <f>M8*OBS_Adjustments!$AB$12</f>
        <v>0</v>
      </c>
      <c r="O8" s="206">
        <f t="array" ref="O8">SUM(IF((modeldata!$T:$T="drive")*(modeldata!$U:$U="Total")*(IFERROR(FIND("San Francisco",modeldata!$W:$W),-1)&gt;=0)*(IFERROR(FIND("San Francisco",modeldata!$V:$V),-1)&gt;=0)*(modeldata!$X:$X=$B8),modeldata!$Y:$Y,0))</f>
        <v>0</v>
      </c>
      <c r="P8" s="207">
        <f t="shared" si="0"/>
        <v>0</v>
      </c>
      <c r="Q8" s="202" t="e">
        <f t="shared" si="3"/>
        <v>#DIV/0!</v>
      </c>
      <c r="T8" s="245"/>
      <c r="Y8" s="245"/>
    </row>
    <row r="9" spans="1:32" x14ac:dyDescent="0.2">
      <c r="A9" s="163">
        <v>1</v>
      </c>
      <c r="B9" s="163" t="s">
        <v>249</v>
      </c>
      <c r="D9" s="196" t="s">
        <v>285</v>
      </c>
      <c r="E9" s="168">
        <v>0.20100000000000001</v>
      </c>
      <c r="F9" s="169">
        <f>-1*E9/[0]!work_c_ivt</f>
        <v>15</v>
      </c>
      <c r="G9" s="168">
        <v>0</v>
      </c>
      <c r="H9" s="176">
        <f>-1*G9/[0]!work_c_ivt</f>
        <v>0</v>
      </c>
      <c r="I9" s="168">
        <f>J9*[0]!work_c_ivt*-1</f>
        <v>0</v>
      </c>
      <c r="J9" s="178">
        <f t="shared" ref="J9:J10" si="7">H9</f>
        <v>0</v>
      </c>
      <c r="L9" s="170">
        <v>171555.78803653148</v>
      </c>
      <c r="M9" s="194" cm="1">
        <f t="array" ref="M9">SUM(IF((IFERROR(FIND("San Francisco",OBS_District_Flows!$C:$C),-1)&gt;=0)*(OBS_District_Flows!$G:$G=$A9),OBS_District_Flows!$K:$K,0))</f>
        <v>201752.68372860347</v>
      </c>
      <c r="N9" s="194">
        <f>M9*OBS_Adjustments!$AB$12</f>
        <v>86364.961954071798</v>
      </c>
      <c r="O9" s="171" cm="1">
        <f t="array" ref="O9">SUM(IF((modeldata!$T:$T="walk")*(modeldata!$U:$U="Total")*(IFERROR(FIND("San Francisco",modeldata!$V:$V),-1)&gt;=0)*(modeldata!$X:$X=$B9),modeldata!$Y:$Y,0))</f>
        <v>0</v>
      </c>
      <c r="P9" s="73">
        <f t="shared" si="0"/>
        <v>-201752.68372860347</v>
      </c>
      <c r="Q9" s="36">
        <f t="shared" si="3"/>
        <v>-1</v>
      </c>
      <c r="T9" s="245" t="s">
        <v>339</v>
      </c>
      <c r="U9" s="5">
        <f>SUM(L9:L10)</f>
        <v>186841.39797377004</v>
      </c>
      <c r="V9" s="5">
        <f>SUM(N9:N10)</f>
        <v>86364.961954071798</v>
      </c>
      <c r="W9" s="5">
        <f>SUM(O9:O10)</f>
        <v>0</v>
      </c>
      <c r="X9" s="73">
        <f>W9-V9</f>
        <v>-86364.961954071798</v>
      </c>
      <c r="Y9" s="36">
        <f t="shared" ref="Y9" si="8">X9/V9</f>
        <v>-1</v>
      </c>
    </row>
    <row r="10" spans="1:32" x14ac:dyDescent="0.2">
      <c r="A10" s="163">
        <v>1</v>
      </c>
      <c r="B10" s="163" t="s">
        <v>249</v>
      </c>
      <c r="D10" s="197" t="s">
        <v>286</v>
      </c>
      <c r="E10" s="168">
        <v>0.80400000000000005</v>
      </c>
      <c r="F10" s="169">
        <f>-1*E10/[0]!work_c_ivt</f>
        <v>60</v>
      </c>
      <c r="G10" s="168">
        <v>0</v>
      </c>
      <c r="H10" s="176">
        <f>-1*G10/[0]!work_c_ivt</f>
        <v>0</v>
      </c>
      <c r="I10" s="168">
        <f>J10*[0]!work_c_ivt*-1</f>
        <v>0</v>
      </c>
      <c r="J10" s="178">
        <f t="shared" si="7"/>
        <v>0</v>
      </c>
      <c r="L10" s="170">
        <v>15285.609937238571</v>
      </c>
      <c r="M10" s="194"/>
      <c r="N10" s="194">
        <f>M10*OBS_Adjustments!$AB$12</f>
        <v>0</v>
      </c>
      <c r="O10" s="171" cm="1">
        <f t="array" ref="O10">SUM(IF((modeldata!$T:$T="drive")*(modeldata!$U:$U="Total")*(IFERROR(FIND("San Francisco",modeldata!$V:$V),-1)&gt;=0)*(modeldata!$X:$X=$B10),modeldata!$Y:$Y,0))</f>
        <v>0</v>
      </c>
      <c r="P10" s="73">
        <f t="shared" si="0"/>
        <v>0</v>
      </c>
      <c r="Q10" s="36" t="e">
        <f t="shared" si="3"/>
        <v>#DIV/0!</v>
      </c>
      <c r="S10" s="12"/>
      <c r="T10" s="12"/>
      <c r="U10" s="248"/>
      <c r="V10" s="18"/>
      <c r="W10" s="18"/>
      <c r="X10" s="18"/>
      <c r="Y10" s="18"/>
      <c r="Z10" s="161"/>
    </row>
    <row r="11" spans="1:32" x14ac:dyDescent="0.2">
      <c r="A11" s="163">
        <v>2</v>
      </c>
      <c r="B11" s="163" t="s">
        <v>23</v>
      </c>
      <c r="C11" s="19" t="s">
        <v>39</v>
      </c>
      <c r="D11" s="195" t="s">
        <v>281</v>
      </c>
      <c r="E11" s="164">
        <v>1.5680000000000001</v>
      </c>
      <c r="F11" s="165">
        <f>-1*E11/[0]!university_c_ivt</f>
        <v>70</v>
      </c>
      <c r="G11" s="164">
        <v>0</v>
      </c>
      <c r="H11" s="175">
        <f>-1*G11/[0]!university_c_ivt</f>
        <v>0</v>
      </c>
      <c r="I11" s="164">
        <f>J11*[0]!university_c_ivt*-1</f>
        <v>0</v>
      </c>
      <c r="J11" s="177">
        <f t="shared" si="2"/>
        <v>0</v>
      </c>
      <c r="L11" s="166">
        <v>7335.846571909733</v>
      </c>
      <c r="M11" s="167" cm="1">
        <f t="array" ref="M11">SUM(IF((OBS_District_Flows!$E:$E="Greater Downtown San Francisco")*(OBS_District_Flows!$G:$G=$A11),OBS_District_Flows!$K:$K,0))</f>
        <v>0</v>
      </c>
      <c r="N11" s="167"/>
      <c r="O11" s="167">
        <f t="array" ref="O11">SUM(IF((modeldata!$T:$T="walk")*(modeldata!$U:$U="Total")*(modeldata!$W:$W="Greater Downtown San Francisco")*(modeldata!$X:$X=$B11),modeldata!$Y:$Y,0))</f>
        <v>0</v>
      </c>
      <c r="P11" s="84">
        <f t="shared" si="0"/>
        <v>0</v>
      </c>
      <c r="Q11" s="34" t="e">
        <f t="shared" si="3"/>
        <v>#DIV/0!</v>
      </c>
      <c r="S11" s="19" t="s">
        <v>340</v>
      </c>
      <c r="T11" s="244" t="s">
        <v>336</v>
      </c>
      <c r="U11" s="7">
        <f>SUM(L11:L12)+SUM(L19:L20)</f>
        <v>11749.03023837026</v>
      </c>
      <c r="V11" s="7">
        <f>SUM(N11:N12)+SUM(N19:N20)</f>
        <v>5794.2591403077868</v>
      </c>
      <c r="W11" s="7">
        <f>SUM(O11:O12)+SUM(O19:O20)</f>
        <v>0</v>
      </c>
      <c r="X11" s="84">
        <f>W11-V11</f>
        <v>-5794.2591403077868</v>
      </c>
      <c r="Y11" s="34">
        <f t="shared" ref="Y11" si="9">X11/V11</f>
        <v>-1</v>
      </c>
    </row>
    <row r="12" spans="1:32" x14ac:dyDescent="0.2">
      <c r="A12" s="163">
        <v>2</v>
      </c>
      <c r="B12" s="163" t="s">
        <v>23</v>
      </c>
      <c r="D12" s="196" t="s">
        <v>282</v>
      </c>
      <c r="E12" s="168">
        <v>1.5680000000000001</v>
      </c>
      <c r="F12" s="169">
        <f>-1*E12/[0]!university_c_ivt</f>
        <v>70</v>
      </c>
      <c r="G12" s="168">
        <v>0</v>
      </c>
      <c r="H12" s="176">
        <f>-1*G12/[0]!university_c_ivt</f>
        <v>0</v>
      </c>
      <c r="I12" s="168">
        <f>J12*[0]!university_c_ivt*-1</f>
        <v>0</v>
      </c>
      <c r="J12" s="178">
        <f t="shared" ref="J12:J16" si="10">H12</f>
        <v>0</v>
      </c>
      <c r="L12" s="170">
        <v>3018.3412734037024</v>
      </c>
      <c r="M12" s="194"/>
      <c r="N12" s="194"/>
      <c r="O12" s="171">
        <f t="array" ref="O12">SUM(IF((modeldata!$T:$T="drive")*(modeldata!$U:$U="Total")*(modeldata!$W:$W="Greater Downtown San Francisco")*(modeldata!$X:$X=$B12),modeldata!$Y:$Y,0))</f>
        <v>0</v>
      </c>
      <c r="P12" s="73">
        <f t="shared" si="0"/>
        <v>0</v>
      </c>
      <c r="Q12" s="36" t="e">
        <f t="shared" si="3"/>
        <v>#DIV/0!</v>
      </c>
      <c r="T12" s="245"/>
      <c r="Y12" s="245"/>
    </row>
    <row r="13" spans="1:32" x14ac:dyDescent="0.2">
      <c r="A13" s="163">
        <v>2</v>
      </c>
      <c r="B13" s="163" t="s">
        <v>23</v>
      </c>
      <c r="D13" s="196" t="s">
        <v>283</v>
      </c>
      <c r="E13" s="168">
        <v>2.2399999999999998</v>
      </c>
      <c r="F13" s="169">
        <f>-1*E13/[0]!university_c_ivt</f>
        <v>99.999999999999986</v>
      </c>
      <c r="G13" s="168">
        <v>0</v>
      </c>
      <c r="H13" s="176">
        <f>-1*G13/[0]!university_c_ivt</f>
        <v>0</v>
      </c>
      <c r="I13" s="168">
        <f>J13*[0]!university_c_ivt*-1</f>
        <v>0</v>
      </c>
      <c r="J13" s="178">
        <f t="shared" si="10"/>
        <v>0</v>
      </c>
      <c r="L13" s="170">
        <v>25531.183973360836</v>
      </c>
      <c r="M13" s="194" cm="1">
        <f t="array" ref="M13">SUM(IF((IFERROR(FIND("San Francisco",OBS_District_Flows!$E:$E),-1)&gt;=0)*(OBS_District_Flows!$G:$G=$A11),OBS_District_Flows!$K:$K,0))</f>
        <v>0</v>
      </c>
      <c r="N13" s="194"/>
      <c r="O13" s="171">
        <f t="array" ref="O13">SUM(IF((modeldata!$T:$T="walk")*(modeldata!$U:$U="Total")*(IFERROR(FIND("San Francisco",modeldata!$W:$W),-1)&gt;=0)*(modeldata!$X:$X=$B13),modeldata!$Y:$Y,0))</f>
        <v>0</v>
      </c>
      <c r="P13" s="73">
        <f t="shared" si="0"/>
        <v>0</v>
      </c>
      <c r="Q13" s="36" t="e">
        <f t="shared" si="3"/>
        <v>#DIV/0!</v>
      </c>
      <c r="T13" s="245" t="s">
        <v>337</v>
      </c>
      <c r="U13" s="5">
        <f>SUM(L13:L14)+SUM(L21:L22)</f>
        <v>37767.76402523974</v>
      </c>
      <c r="V13" s="5">
        <f>SUM(N13:N14)+SUM(N21:N22)</f>
        <v>26271.857443975838</v>
      </c>
      <c r="W13" s="5">
        <f t="shared" ref="W13" si="11">SUM(O13:O14)+SUM(O21:O22)</f>
        <v>0</v>
      </c>
      <c r="X13" s="73">
        <f>W13-V13</f>
        <v>-26271.857443975838</v>
      </c>
      <c r="Y13" s="36">
        <f t="shared" ref="Y13" si="12">X13/V13</f>
        <v>-1</v>
      </c>
    </row>
    <row r="14" spans="1:32" x14ac:dyDescent="0.2">
      <c r="A14" s="163">
        <v>2</v>
      </c>
      <c r="B14" s="163" t="s">
        <v>23</v>
      </c>
      <c r="D14" s="196" t="s">
        <v>284</v>
      </c>
      <c r="E14" s="168">
        <v>2.2399999999999998</v>
      </c>
      <c r="F14" s="169">
        <f>-1*E14/[0]!university_c_ivt</f>
        <v>99.999999999999986</v>
      </c>
      <c r="G14" s="168">
        <v>0</v>
      </c>
      <c r="H14" s="176">
        <f>-1*G14/[0]!university_c_ivt</f>
        <v>0</v>
      </c>
      <c r="I14" s="168">
        <f>J14*[0]!university_c_ivt*-1</f>
        <v>0</v>
      </c>
      <c r="J14" s="178">
        <f t="shared" si="10"/>
        <v>0</v>
      </c>
      <c r="L14" s="170">
        <v>5255.2653722312152</v>
      </c>
      <c r="M14" s="194"/>
      <c r="N14" s="194"/>
      <c r="O14" s="171">
        <f t="array" ref="O14">SUM(IF((modeldata!$T:$T="drive")*(modeldata!$U:$U="Total")*(IFERROR(FIND("San Francisco",modeldata!$W:$W),-1)&gt;=0)*(modeldata!$X:$X=$B14),modeldata!$Y:$Y,0))</f>
        <v>0</v>
      </c>
      <c r="P14" s="73">
        <f t="shared" si="0"/>
        <v>0</v>
      </c>
      <c r="Q14" s="36" t="e">
        <f t="shared" si="3"/>
        <v>#DIV/0!</v>
      </c>
      <c r="T14" s="245"/>
      <c r="Y14" s="245"/>
    </row>
    <row r="15" spans="1:32" x14ac:dyDescent="0.2">
      <c r="A15" s="163">
        <v>2</v>
      </c>
      <c r="B15" s="163" t="s">
        <v>23</v>
      </c>
      <c r="D15" s="203" t="s">
        <v>279</v>
      </c>
      <c r="E15" s="198">
        <v>0.55999999999999994</v>
      </c>
      <c r="F15" s="199">
        <f>-1*E15/[0]!university_c_ivt</f>
        <v>24.999999999999996</v>
      </c>
      <c r="G15" s="198">
        <v>0</v>
      </c>
      <c r="H15" s="204">
        <f>-1*G15/[0]!university_c_ivt</f>
        <v>0</v>
      </c>
      <c r="I15" s="198">
        <f>J15*[0]!university_c_ivt*-1</f>
        <v>0</v>
      </c>
      <c r="J15" s="200">
        <f t="shared" si="10"/>
        <v>0</v>
      </c>
      <c r="K15" s="205"/>
      <c r="L15" s="201">
        <v>20771.555677882112</v>
      </c>
      <c r="M15" s="206" cm="1">
        <f t="array" ref="M15">SUM(IF((IFERROR(FIND("San Francisco",OBS_District_Flows!$E:$E),-1)&gt;=0)*(IFERROR(FIND("San Francisco",OBS_District_Flows!$C:$C),-1)&gt;=0)*(OBS_District_Flows!$G:$G=$A15),OBS_District_Flows!$K:$K,0))</f>
        <v>0</v>
      </c>
      <c r="N15" s="206"/>
      <c r="O15" s="206">
        <f t="array" ref="O15">SUM(IF((modeldata!$T:$T="walk")*(modeldata!$U:$U="Total")*(IFERROR(FIND("San Francisco",modeldata!$W:$W),-1)&gt;=0)*(IFERROR(FIND("San Francisco",modeldata!$V:$V),-1)&gt;=0)*(modeldata!$X:$X=$B15),modeldata!$Y:$Y,0))</f>
        <v>0</v>
      </c>
      <c r="P15" s="207">
        <f t="shared" si="0"/>
        <v>0</v>
      </c>
      <c r="Q15" s="202" t="e">
        <f t="shared" si="3"/>
        <v>#DIV/0!</v>
      </c>
      <c r="T15" s="246" t="s">
        <v>338</v>
      </c>
      <c r="U15" s="243">
        <f>SUM(L15:L16)+SUM(L23:L24)</f>
        <v>27739.809860426707</v>
      </c>
      <c r="V15" s="243">
        <f>SUM(N15:N16)+SUM(N23:N24)</f>
        <v>22684.993174235678</v>
      </c>
      <c r="W15" s="243">
        <f>SUM(O15:O16)+SUM(O23:O24)</f>
        <v>0</v>
      </c>
      <c r="X15" s="207">
        <f>W15-V15</f>
        <v>-22684.993174235678</v>
      </c>
      <c r="Y15" s="202">
        <f t="shared" ref="Y15" si="13">X15/V15</f>
        <v>-1</v>
      </c>
    </row>
    <row r="16" spans="1:32" x14ac:dyDescent="0.2">
      <c r="A16" s="163">
        <v>2</v>
      </c>
      <c r="B16" s="163" t="s">
        <v>23</v>
      </c>
      <c r="D16" s="203" t="s">
        <v>280</v>
      </c>
      <c r="E16" s="198">
        <v>0.67200000000000004</v>
      </c>
      <c r="F16" s="199">
        <f>-1*E16/[0]!university_c_ivt</f>
        <v>30.000000000000004</v>
      </c>
      <c r="G16" s="198">
        <v>0</v>
      </c>
      <c r="H16" s="204">
        <f>-1*G16/[0]!university_c_ivt</f>
        <v>0</v>
      </c>
      <c r="I16" s="198">
        <f>J16*[0]!university_c_ivt*-1</f>
        <v>0</v>
      </c>
      <c r="J16" s="200">
        <f t="shared" si="10"/>
        <v>0</v>
      </c>
      <c r="K16" s="205"/>
      <c r="L16" s="201">
        <v>841.0145359747205</v>
      </c>
      <c r="M16" s="206"/>
      <c r="N16" s="206"/>
      <c r="O16" s="206">
        <f t="array" ref="O16">SUM(IF((modeldata!$T:$T="drive")*(modeldata!$U:$U="Total")*(IFERROR(FIND("San Francisco",modeldata!$W:$W),-1)&gt;=0)*(IFERROR(FIND("San Francisco",modeldata!$V:$V),-1)&gt;=0)*(modeldata!$X:$X=$B16),modeldata!$Y:$Y,0))</f>
        <v>0</v>
      </c>
      <c r="P16" s="207">
        <f t="shared" si="0"/>
        <v>0</v>
      </c>
      <c r="Q16" s="202" t="e">
        <f t="shared" si="3"/>
        <v>#DIV/0!</v>
      </c>
      <c r="T16" s="245"/>
      <c r="Y16" s="245"/>
    </row>
    <row r="17" spans="1:26" x14ac:dyDescent="0.2">
      <c r="A17" s="163">
        <v>2</v>
      </c>
      <c r="B17" s="163" t="s">
        <v>23</v>
      </c>
      <c r="D17" s="196" t="s">
        <v>285</v>
      </c>
      <c r="E17" s="168">
        <v>0.224</v>
      </c>
      <c r="F17" s="169">
        <f>-1*E17/[0]!university_c_ivt</f>
        <v>10</v>
      </c>
      <c r="G17" s="168">
        <v>0</v>
      </c>
      <c r="H17" s="176">
        <f>-1*G17/[0]!university_c_ivt</f>
        <v>0</v>
      </c>
      <c r="I17" s="168">
        <f>J17*[0]!university_c_ivt*-1</f>
        <v>0</v>
      </c>
      <c r="J17" s="178">
        <f t="shared" ref="J17:J18" si="14">H17</f>
        <v>0</v>
      </c>
      <c r="L17" s="170">
        <v>22166.990151030179</v>
      </c>
      <c r="M17" s="194" cm="1">
        <f t="array" ref="M17">SUM(IF((IFERROR(FIND("San Francisco",OBS_District_Flows!$C:$C),-1)&gt;=0)*(OBS_District_Flows!$G:$G=$A17),OBS_District_Flows!$K:$K,0))</f>
        <v>0</v>
      </c>
      <c r="N17" s="194"/>
      <c r="O17" s="171" cm="1">
        <f t="array" ref="O17">SUM(IF((modeldata!$T:$T="walk")*(modeldata!$U:$U="Total")*(IFERROR(FIND("San Francisco",modeldata!$V:$V),-1)&gt;=0)*(modeldata!$X:$X=$B17),modeldata!$Y:$Y,0))</f>
        <v>0</v>
      </c>
      <c r="P17" s="73">
        <f t="shared" si="0"/>
        <v>0</v>
      </c>
      <c r="Q17" s="36" t="e">
        <f t="shared" si="3"/>
        <v>#DIV/0!</v>
      </c>
      <c r="T17" s="245" t="s">
        <v>339</v>
      </c>
      <c r="U17" s="5">
        <f>SUM(L17:L18)+SUM(L25:L26)</f>
        <v>29872.204488490988</v>
      </c>
      <c r="V17" s="5">
        <f>SUM(N17:N18)+SUM(N25:N26)</f>
        <v>25020.812522150933</v>
      </c>
      <c r="W17" s="5">
        <f t="shared" ref="W17" si="15">SUM(O17:O18)+SUM(O25:O26)</f>
        <v>0</v>
      </c>
      <c r="X17" s="73">
        <f>W17-V17</f>
        <v>-25020.812522150933</v>
      </c>
      <c r="Y17" s="36">
        <f t="shared" ref="Y17" si="16">X17/V17</f>
        <v>-1</v>
      </c>
    </row>
    <row r="18" spans="1:26" x14ac:dyDescent="0.2">
      <c r="A18" s="163">
        <v>2</v>
      </c>
      <c r="B18" s="163" t="s">
        <v>23</v>
      </c>
      <c r="D18" s="197" t="s">
        <v>286</v>
      </c>
      <c r="E18" s="168">
        <v>1.3440000000000001</v>
      </c>
      <c r="F18" s="169">
        <f>-1*E18/[0]!university_c_ivt</f>
        <v>60.000000000000007</v>
      </c>
      <c r="G18" s="168">
        <v>0</v>
      </c>
      <c r="H18" s="176">
        <f>-1*G18/[0]!university_c_ivt</f>
        <v>0</v>
      </c>
      <c r="I18" s="168">
        <f>J18*[0]!university_c_ivt*-1</f>
        <v>0</v>
      </c>
      <c r="J18" s="178">
        <f t="shared" si="14"/>
        <v>0</v>
      </c>
      <c r="L18" s="170">
        <v>1376.7038416121591</v>
      </c>
      <c r="M18" s="194"/>
      <c r="N18" s="194"/>
      <c r="O18" s="171" cm="1">
        <f t="array" ref="O18">SUM(IF((modeldata!$T:$T="drive")*(modeldata!$U:$U="Total")*(IFERROR(FIND("San Francisco",modeldata!$V:$V),-1)&gt;=0)*(modeldata!$X:$X=$B18),modeldata!$Y:$Y,0))</f>
        <v>0</v>
      </c>
      <c r="P18" s="73">
        <f t="shared" si="0"/>
        <v>0</v>
      </c>
      <c r="Q18" s="36" t="e">
        <f t="shared" si="3"/>
        <v>#DIV/0!</v>
      </c>
      <c r="S18" s="12"/>
      <c r="T18" s="12"/>
      <c r="U18" s="248"/>
      <c r="V18" s="18"/>
      <c r="W18" s="18"/>
      <c r="X18" s="18"/>
      <c r="Y18" s="18"/>
      <c r="Z18" s="161"/>
    </row>
    <row r="19" spans="1:26" x14ac:dyDescent="0.2">
      <c r="A19" s="163">
        <v>3</v>
      </c>
      <c r="B19" s="163" t="s">
        <v>248</v>
      </c>
      <c r="C19" s="19" t="s">
        <v>40</v>
      </c>
      <c r="D19" s="195" t="s">
        <v>281</v>
      </c>
      <c r="E19" s="164">
        <v>0</v>
      </c>
      <c r="F19" s="165">
        <f>-1*E19/[0]!school_c_ivt</f>
        <v>0</v>
      </c>
      <c r="G19" s="164">
        <v>0</v>
      </c>
      <c r="H19" s="175">
        <f>-1*G19/[0]!school_c_ivt</f>
        <v>0</v>
      </c>
      <c r="I19" s="164">
        <f>J19*[0]!school_c_ivt*-1</f>
        <v>0</v>
      </c>
      <c r="J19" s="177">
        <f t="shared" si="2"/>
        <v>0</v>
      </c>
      <c r="L19" s="166">
        <v>1175.1509861304535</v>
      </c>
      <c r="M19" s="167" cm="1">
        <f t="array" ref="M19">SUM(IF((OBS_District_Flows!$E:$E="Greater Downtown San Francisco")*(OBS_District_Flows!$G:$G=$A19),OBS_District_Flows!$K:$K,0))</f>
        <v>12094.2679205533</v>
      </c>
      <c r="N19" s="167">
        <f>M19*OBS_Adjustments!$AB$67</f>
        <v>5794.2591403077868</v>
      </c>
      <c r="O19" s="167">
        <f t="array" ref="O19">SUM(IF((modeldata!$T:$T="walk")*(modeldata!$U:$U="Total")*(modeldata!$W:$W="Greater Downtown San Francisco")*(modeldata!$X:$X=$B19),modeldata!$Y:$Y,0))</f>
        <v>0</v>
      </c>
      <c r="P19" s="84">
        <f t="shared" si="0"/>
        <v>-12094.2679205533</v>
      </c>
      <c r="Q19" s="34">
        <f t="shared" si="3"/>
        <v>-1</v>
      </c>
      <c r="S19" s="19"/>
      <c r="T19" s="244"/>
      <c r="U19" s="7"/>
      <c r="V19" s="7"/>
      <c r="W19" s="7"/>
      <c r="X19" s="84"/>
      <c r="Y19" s="34"/>
    </row>
    <row r="20" spans="1:26" x14ac:dyDescent="0.2">
      <c r="A20" s="163">
        <v>3</v>
      </c>
      <c r="B20" s="163" t="s">
        <v>248</v>
      </c>
      <c r="D20" s="196" t="s">
        <v>282</v>
      </c>
      <c r="E20" s="168">
        <v>0</v>
      </c>
      <c r="F20" s="169">
        <f>-1*E20/[0]!school_c_ivt</f>
        <v>0</v>
      </c>
      <c r="G20" s="168">
        <v>0</v>
      </c>
      <c r="H20" s="176">
        <f>-1*G20/[0]!school_c_ivt</f>
        <v>0</v>
      </c>
      <c r="I20" s="168">
        <f>J20*[0]!school_c_ivt*-1</f>
        <v>0</v>
      </c>
      <c r="J20" s="178">
        <f t="shared" ref="J20:J24" si="17">H20</f>
        <v>0</v>
      </c>
      <c r="L20" s="170">
        <v>219.69140692637012</v>
      </c>
      <c r="M20" s="194"/>
      <c r="N20" s="194"/>
      <c r="O20" s="171">
        <f t="array" ref="O20">SUM(IF((modeldata!$T:$T="drive")*(modeldata!$U:$U="Total")*(modeldata!$W:$W="Greater Downtown San Francisco")*(modeldata!$X:$X=$B20),modeldata!$Y:$Y,0))</f>
        <v>0</v>
      </c>
      <c r="P20" s="73">
        <f t="shared" si="0"/>
        <v>0</v>
      </c>
      <c r="Q20" s="36" t="e">
        <f t="shared" si="3"/>
        <v>#DIV/0!</v>
      </c>
      <c r="T20" s="245"/>
      <c r="Y20" s="245"/>
    </row>
    <row r="21" spans="1:26" x14ac:dyDescent="0.2">
      <c r="A21" s="163">
        <v>3</v>
      </c>
      <c r="B21" s="163" t="s">
        <v>248</v>
      </c>
      <c r="D21" s="196" t="s">
        <v>283</v>
      </c>
      <c r="E21" s="168">
        <v>0.67200000000000004</v>
      </c>
      <c r="F21" s="169">
        <f>-1*E21/[0]!school_c_ivt</f>
        <v>30.000000000000004</v>
      </c>
      <c r="G21" s="168">
        <v>0</v>
      </c>
      <c r="H21" s="176">
        <f>-1*G21/[0]!school_c_ivt</f>
        <v>0</v>
      </c>
      <c r="I21" s="168">
        <f>J21*[0]!school_c_ivt*-1</f>
        <v>0</v>
      </c>
      <c r="J21" s="178">
        <f t="shared" si="17"/>
        <v>0</v>
      </c>
      <c r="L21" s="170">
        <v>6377.8686746747608</v>
      </c>
      <c r="M21" s="194" cm="1">
        <f t="array" ref="M21">SUM(IF((IFERROR(FIND("San Francisco",OBS_District_Flows!$E:$E),-1)&gt;=0)*(OBS_District_Flows!$G:$G=$A19),OBS_District_Flows!$K:$K,0))</f>
        <v>54836.843676471872</v>
      </c>
      <c r="N21" s="194">
        <f>M21*OBS_Adjustments!$AB$67</f>
        <v>26271.857443975838</v>
      </c>
      <c r="O21" s="171">
        <f t="array" ref="O21">SUM(IF((modeldata!$T:$T="walk")*(modeldata!$U:$U="Total")*(IFERROR(FIND("San Francisco",modeldata!$W:$W),-1)&gt;=0)*(modeldata!$X:$X=$B21),modeldata!$Y:$Y,0))</f>
        <v>0</v>
      </c>
      <c r="P21" s="73">
        <f t="shared" si="0"/>
        <v>-54836.843676471872</v>
      </c>
      <c r="Q21" s="36">
        <f t="shared" si="3"/>
        <v>-1</v>
      </c>
      <c r="T21" s="245"/>
      <c r="U21" s="5"/>
      <c r="V21" s="5"/>
      <c r="W21" s="5"/>
      <c r="X21" s="73"/>
      <c r="Y21" s="36"/>
    </row>
    <row r="22" spans="1:26" x14ac:dyDescent="0.2">
      <c r="A22" s="163">
        <v>3</v>
      </c>
      <c r="B22" s="163" t="s">
        <v>248</v>
      </c>
      <c r="D22" s="196" t="s">
        <v>284</v>
      </c>
      <c r="E22" s="168">
        <v>0.33600000000000002</v>
      </c>
      <c r="F22" s="169">
        <f>-1*E22/[0]!school_c_ivt</f>
        <v>15.000000000000002</v>
      </c>
      <c r="G22" s="168">
        <v>0</v>
      </c>
      <c r="H22" s="176">
        <f>-1*G22/[0]!school_c_ivt</f>
        <v>0</v>
      </c>
      <c r="I22" s="168">
        <f>J22*[0]!school_c_ivt*-1</f>
        <v>0</v>
      </c>
      <c r="J22" s="178">
        <f t="shared" si="17"/>
        <v>0</v>
      </c>
      <c r="L22" s="170">
        <v>603.44600497292572</v>
      </c>
      <c r="M22" s="194"/>
      <c r="N22" s="194"/>
      <c r="O22" s="171">
        <f t="array" ref="O22">SUM(IF((modeldata!$T:$T="drive")*(modeldata!$U:$U="Total")*(IFERROR(FIND("San Francisco",modeldata!$W:$W),-1)&gt;=0)*(modeldata!$X:$X=$B22),modeldata!$Y:$Y,0))</f>
        <v>0</v>
      </c>
      <c r="P22" s="73">
        <f t="shared" si="0"/>
        <v>0</v>
      </c>
      <c r="Q22" s="36" t="e">
        <f t="shared" si="3"/>
        <v>#DIV/0!</v>
      </c>
      <c r="T22" s="245"/>
      <c r="Y22" s="245"/>
    </row>
    <row r="23" spans="1:26" x14ac:dyDescent="0.2">
      <c r="A23" s="163">
        <v>3</v>
      </c>
      <c r="B23" s="163" t="s">
        <v>248</v>
      </c>
      <c r="D23" s="203" t="s">
        <v>279</v>
      </c>
      <c r="E23" s="198">
        <v>0</v>
      </c>
      <c r="F23" s="199">
        <f>-1*E23/[0]!school_c_ivt</f>
        <v>0</v>
      </c>
      <c r="G23" s="198">
        <v>0</v>
      </c>
      <c r="H23" s="204">
        <f>-1*G23/[0]!school_c_ivt</f>
        <v>0</v>
      </c>
      <c r="I23" s="198">
        <f>J23*[0]!school_c_ivt*-1</f>
        <v>0</v>
      </c>
      <c r="J23" s="200">
        <f t="shared" si="17"/>
        <v>0</v>
      </c>
      <c r="K23" s="205"/>
      <c r="L23" s="201">
        <v>5973.0973082926739</v>
      </c>
      <c r="M23" s="206" cm="1">
        <f t="array" ref="M23">SUM(IF((IFERROR(FIND("San Francisco",OBS_District_Flows!$E:$E),-1)&gt;=0)*(IFERROR(FIND("San Francisco",OBS_District_Flows!$C:$C),-1)&gt;=0)*(OBS_District_Flows!$G:$G=$A23),OBS_District_Flows!$K:$K,0))</f>
        <v>47350.037093880383</v>
      </c>
      <c r="N23" s="206">
        <f>M23*OBS_Adjustments!$AB$67</f>
        <v>22684.993174235678</v>
      </c>
      <c r="O23" s="206">
        <f t="array" ref="O23">SUM(IF((modeldata!$T:$T="walk")*(modeldata!$U:$U="Total")*(IFERROR(FIND("San Francisco",modeldata!$W:$W),-1)&gt;=0)*(IFERROR(FIND("San Francisco",modeldata!$V:$V),-1)&gt;=0)*(modeldata!$X:$X=$B23),modeldata!$Y:$Y,0))</f>
        <v>0</v>
      </c>
      <c r="P23" s="207">
        <f t="shared" si="0"/>
        <v>-47350.037093880383</v>
      </c>
      <c r="Q23" s="202">
        <f t="shared" si="3"/>
        <v>-1</v>
      </c>
      <c r="T23" s="246"/>
      <c r="U23" s="243"/>
      <c r="V23" s="243"/>
      <c r="W23" s="243"/>
      <c r="X23" s="207"/>
      <c r="Y23" s="202"/>
    </row>
    <row r="24" spans="1:26" x14ac:dyDescent="0.2">
      <c r="A24" s="163">
        <v>3</v>
      </c>
      <c r="B24" s="163" t="s">
        <v>248</v>
      </c>
      <c r="D24" s="203" t="s">
        <v>280</v>
      </c>
      <c r="E24" s="198">
        <v>0</v>
      </c>
      <c r="F24" s="199">
        <f>-1*E24/[0]!school_c_ivt</f>
        <v>0</v>
      </c>
      <c r="G24" s="198">
        <v>0</v>
      </c>
      <c r="H24" s="204">
        <f>-1*G24/[0]!school_c_ivt</f>
        <v>0</v>
      </c>
      <c r="I24" s="198">
        <f>J24*[0]!school_c_ivt*-1</f>
        <v>0</v>
      </c>
      <c r="J24" s="200">
        <f t="shared" si="17"/>
        <v>0</v>
      </c>
      <c r="K24" s="205"/>
      <c r="L24" s="201">
        <v>154.14233827720048</v>
      </c>
      <c r="M24" s="206"/>
      <c r="N24" s="206"/>
      <c r="O24" s="206">
        <f t="array" ref="O24">SUM(IF((modeldata!$T:$T="drive")*(modeldata!$U:$U="Total")*(IFERROR(FIND("San Francisco",modeldata!$W:$W),-1)&gt;=0)*(IFERROR(FIND("San Francisco",modeldata!$V:$V),-1)&gt;=0)*(modeldata!$X:$X=$B24),modeldata!$Y:$Y,0))</f>
        <v>0</v>
      </c>
      <c r="P24" s="207">
        <f t="shared" si="0"/>
        <v>0</v>
      </c>
      <c r="Q24" s="202" t="e">
        <f t="shared" si="3"/>
        <v>#DIV/0!</v>
      </c>
      <c r="T24" s="245"/>
      <c r="Y24" s="245"/>
    </row>
    <row r="25" spans="1:26" x14ac:dyDescent="0.2">
      <c r="A25" s="163">
        <v>3</v>
      </c>
      <c r="B25" s="163" t="s">
        <v>248</v>
      </c>
      <c r="D25" s="196" t="s">
        <v>285</v>
      </c>
      <c r="E25" s="168">
        <v>0</v>
      </c>
      <c r="F25" s="169">
        <f>-1*E25/[0]!school_c_ivt</f>
        <v>0</v>
      </c>
      <c r="G25" s="168">
        <v>0</v>
      </c>
      <c r="H25" s="176">
        <f>-1*G25/[0]!school_c_ivt</f>
        <v>0</v>
      </c>
      <c r="I25" s="168">
        <f>J25*[0]!school_c_ivt*-1</f>
        <v>0</v>
      </c>
      <c r="J25" s="178">
        <f t="shared" ref="J25:J26" si="18">H25</f>
        <v>0</v>
      </c>
      <c r="L25" s="170">
        <v>6121.4809807519687</v>
      </c>
      <c r="M25" s="194" cm="1">
        <f t="array" ref="M25">SUM(IF((IFERROR(FIND("San Francisco",OBS_District_Flows!$C:$C),-1)&gt;=0)*(OBS_District_Flows!$G:$G=$A25),OBS_District_Flows!$K:$K,0))</f>
        <v>52225.556866749663</v>
      </c>
      <c r="N25" s="194">
        <f>M25*OBS_Adjustments!$AB$67</f>
        <v>25020.812522150933</v>
      </c>
      <c r="O25" s="171" cm="1">
        <f t="array" ref="O25">SUM(IF((modeldata!$T:$T="walk")*(modeldata!$U:$U="Total")*(IFERROR(FIND("San Francisco",modeldata!$V:$V),-1)&gt;=0)*(modeldata!$X:$X=$B25),modeldata!$Y:$Y,0))</f>
        <v>0</v>
      </c>
      <c r="P25" s="73">
        <f t="shared" si="0"/>
        <v>-52225.556866749663</v>
      </c>
      <c r="Q25" s="36">
        <f t="shared" si="3"/>
        <v>-1</v>
      </c>
      <c r="T25" s="245"/>
      <c r="U25" s="5"/>
      <c r="V25" s="5"/>
      <c r="W25" s="5"/>
      <c r="X25" s="73"/>
      <c r="Y25" s="36"/>
    </row>
    <row r="26" spans="1:26" x14ac:dyDescent="0.2">
      <c r="A26" s="163">
        <v>3</v>
      </c>
      <c r="B26" s="163" t="s">
        <v>248</v>
      </c>
      <c r="D26" s="197" t="s">
        <v>286</v>
      </c>
      <c r="E26" s="168">
        <v>0</v>
      </c>
      <c r="F26" s="169">
        <f>-1*E26/[0]!school_c_ivt</f>
        <v>0</v>
      </c>
      <c r="G26" s="168">
        <v>0</v>
      </c>
      <c r="H26" s="176">
        <f>-1*G26/[0]!school_c_ivt</f>
        <v>0</v>
      </c>
      <c r="I26" s="168">
        <f>J26*[0]!school_c_ivt*-1</f>
        <v>0</v>
      </c>
      <c r="J26" s="178">
        <f t="shared" si="18"/>
        <v>0</v>
      </c>
      <c r="L26" s="170">
        <v>207.02951509668262</v>
      </c>
      <c r="M26" s="194"/>
      <c r="N26" s="194"/>
      <c r="O26" s="171" cm="1">
        <f t="array" ref="O26">SUM(IF((modeldata!$T:$T="drive")*(modeldata!$U:$U="Total")*(IFERROR(FIND("San Francisco",modeldata!$V:$V),-1)&gt;=0)*(modeldata!$X:$X=$B26),modeldata!$Y:$Y,0))</f>
        <v>0</v>
      </c>
      <c r="P26" s="73">
        <f t="shared" si="0"/>
        <v>0</v>
      </c>
      <c r="Q26" s="36" t="e">
        <f t="shared" si="3"/>
        <v>#DIV/0!</v>
      </c>
      <c r="S26" s="12"/>
      <c r="T26" s="12"/>
      <c r="U26" s="248"/>
      <c r="V26" s="18"/>
      <c r="W26" s="18"/>
      <c r="X26" s="18"/>
      <c r="Y26" s="18"/>
      <c r="Z26" s="161"/>
    </row>
    <row r="27" spans="1:26" x14ac:dyDescent="0.2">
      <c r="A27" s="163">
        <v>4</v>
      </c>
      <c r="B27" s="163" t="s">
        <v>247</v>
      </c>
      <c r="C27" s="19" t="s">
        <v>105</v>
      </c>
      <c r="D27" s="195" t="s">
        <v>281</v>
      </c>
      <c r="E27" s="164">
        <v>0</v>
      </c>
      <c r="F27" s="165">
        <f>-1*E27/[0]!escort_c_ivt</f>
        <v>0</v>
      </c>
      <c r="G27" s="164">
        <v>0</v>
      </c>
      <c r="H27" s="175">
        <f>-1*G27/[0]!escort_c_ivt</f>
        <v>0</v>
      </c>
      <c r="I27" s="164">
        <f>J27*[0]!escort_c_ivt*-1</f>
        <v>0</v>
      </c>
      <c r="J27" s="177">
        <f t="shared" si="2"/>
        <v>0</v>
      </c>
      <c r="L27" s="166">
        <v>28940.340535290634</v>
      </c>
      <c r="M27" s="167" cm="1">
        <f t="array" ref="M27">SUM(IF((OBS_District_Flows!$E:$E="Greater Downtown San Francisco")*(OBS_District_Flows!$G:$G=$A27),OBS_District_Flows!$K:$K,0))</f>
        <v>43937.790958451245</v>
      </c>
      <c r="N27" s="167">
        <f>M27*OBS_Adjustments!$AB$94</f>
        <v>20244.920080706608</v>
      </c>
      <c r="O27" s="167">
        <f t="array" ref="O27">SUM(IF((modeldata!$T:$T="walk")*(modeldata!$U:$U="Total")*(modeldata!$W:$W="Greater Downtown San Francisco")*(modeldata!$X:$X=$B27),modeldata!$Y:$Y,0))</f>
        <v>0</v>
      </c>
      <c r="P27" s="84">
        <f t="shared" si="0"/>
        <v>-43937.790958451245</v>
      </c>
      <c r="Q27" s="34">
        <f t="shared" si="3"/>
        <v>-1</v>
      </c>
      <c r="S27" s="19" t="s">
        <v>105</v>
      </c>
      <c r="T27" s="244" t="s">
        <v>336</v>
      </c>
      <c r="U27" s="7">
        <f>SUM(L27:L28)</f>
        <v>32851.415365092311</v>
      </c>
      <c r="V27" s="7">
        <f>SUM(N27:N28)</f>
        <v>20244.920080706608</v>
      </c>
      <c r="W27" s="7">
        <f>SUM(O27:O28)</f>
        <v>0</v>
      </c>
      <c r="X27" s="84">
        <f>W27-V27</f>
        <v>-20244.920080706608</v>
      </c>
      <c r="Y27" s="34">
        <f t="shared" ref="Y27" si="19">X27/V27</f>
        <v>-1</v>
      </c>
    </row>
    <row r="28" spans="1:26" x14ac:dyDescent="0.2">
      <c r="A28" s="163">
        <v>4</v>
      </c>
      <c r="B28" s="163" t="s">
        <v>247</v>
      </c>
      <c r="C28" s="1" t="s">
        <v>106</v>
      </c>
      <c r="D28" s="196" t="s">
        <v>282</v>
      </c>
      <c r="E28" s="168">
        <v>0</v>
      </c>
      <c r="F28" s="169">
        <f>-1*E28/[0]!escort_c_ivt</f>
        <v>0</v>
      </c>
      <c r="G28" s="168">
        <v>0</v>
      </c>
      <c r="H28" s="176">
        <f>-1*G28/[0]!escort_c_ivt</f>
        <v>0</v>
      </c>
      <c r="I28" s="168">
        <f>J28*[0]!escort_c_ivt*-1</f>
        <v>0</v>
      </c>
      <c r="J28" s="178">
        <f t="shared" ref="J28:J32" si="20">H28</f>
        <v>0</v>
      </c>
      <c r="L28" s="170">
        <v>3911.0748298016765</v>
      </c>
      <c r="M28" s="194"/>
      <c r="N28" s="194"/>
      <c r="O28" s="171">
        <f t="array" ref="O28">SUM(IF((modeldata!$T:$T="drive")*(modeldata!$U:$U="Total")*(modeldata!$W:$W="Greater Downtown San Francisco")*(modeldata!$X:$X=$B28),modeldata!$Y:$Y,0))</f>
        <v>0</v>
      </c>
      <c r="P28" s="73">
        <f t="shared" si="0"/>
        <v>0</v>
      </c>
      <c r="Q28" s="36" t="e">
        <f t="shared" si="3"/>
        <v>#DIV/0!</v>
      </c>
      <c r="S28" s="1" t="s">
        <v>106</v>
      </c>
      <c r="T28" s="245"/>
      <c r="Y28" s="245"/>
    </row>
    <row r="29" spans="1:26" x14ac:dyDescent="0.2">
      <c r="A29" s="163">
        <v>4</v>
      </c>
      <c r="B29" s="163" t="s">
        <v>247</v>
      </c>
      <c r="C29" s="1" t="s">
        <v>108</v>
      </c>
      <c r="D29" s="196" t="s">
        <v>283</v>
      </c>
      <c r="E29" s="168">
        <v>1.2250000000000001</v>
      </c>
      <c r="F29" s="169">
        <f>-1*E29/[0]!escort_c_ivt</f>
        <v>70</v>
      </c>
      <c r="G29" s="168">
        <v>0</v>
      </c>
      <c r="H29" s="176">
        <f>-1*G29/[0]!escort_c_ivt</f>
        <v>0</v>
      </c>
      <c r="I29" s="168">
        <f>J29*[0]!escort_c_ivt*-1</f>
        <v>0</v>
      </c>
      <c r="J29" s="178">
        <f t="shared" si="20"/>
        <v>0</v>
      </c>
      <c r="L29" s="170">
        <v>66977.799442443516</v>
      </c>
      <c r="M29" s="194" cm="1">
        <f t="array" ref="M29">SUM(IF((IFERROR(FIND("San Francisco",OBS_District_Flows!$E:$E),-1)&gt;=0)*(OBS_District_Flows!$G:$G=$A27),OBS_District_Flows!$K:$K,0))</f>
        <v>119108.79263512876</v>
      </c>
      <c r="N29" s="194">
        <f>M29*OBS_Adjustments!$AB$94</f>
        <v>54880.956352308945</v>
      </c>
      <c r="O29" s="171">
        <f t="array" ref="O29">SUM(IF((modeldata!$T:$T="walk")*(modeldata!$U:$U="Total")*(IFERROR(FIND("San Francisco",modeldata!$W:$W),-1)&gt;=0)*(modeldata!$X:$X=$B29),modeldata!$Y:$Y,0))</f>
        <v>0</v>
      </c>
      <c r="P29" s="73">
        <f t="shared" si="0"/>
        <v>-119108.79263512876</v>
      </c>
      <c r="Q29" s="36">
        <f t="shared" si="3"/>
        <v>-1</v>
      </c>
      <c r="S29" s="1" t="s">
        <v>108</v>
      </c>
      <c r="T29" s="245" t="s">
        <v>337</v>
      </c>
      <c r="U29" s="5">
        <f>SUM(L29:L30)</f>
        <v>73006.615178738051</v>
      </c>
      <c r="V29" s="5">
        <f>SUM(N29:N30)</f>
        <v>54880.956352308945</v>
      </c>
      <c r="W29" s="5">
        <f>SUM(O29:O30)</f>
        <v>0</v>
      </c>
      <c r="X29" s="73">
        <f>W29-V29</f>
        <v>-54880.956352308945</v>
      </c>
      <c r="Y29" s="36">
        <f t="shared" ref="Y29" si="21">X29/V29</f>
        <v>-1</v>
      </c>
    </row>
    <row r="30" spans="1:26" x14ac:dyDescent="0.2">
      <c r="A30" s="163">
        <v>4</v>
      </c>
      <c r="B30" s="163" t="s">
        <v>247</v>
      </c>
      <c r="D30" s="196" t="s">
        <v>284</v>
      </c>
      <c r="E30" s="168">
        <v>1.05</v>
      </c>
      <c r="F30" s="169">
        <f>-1*E30/[0]!escort_c_ivt</f>
        <v>60</v>
      </c>
      <c r="G30" s="168">
        <v>0</v>
      </c>
      <c r="H30" s="176">
        <f>-1*G30/[0]!escort_c_ivt</f>
        <v>0</v>
      </c>
      <c r="I30" s="168">
        <f>J30*[0]!escort_c_ivt*-1</f>
        <v>0</v>
      </c>
      <c r="J30" s="178">
        <f t="shared" si="20"/>
        <v>0</v>
      </c>
      <c r="L30" s="170">
        <v>6028.8157362945385</v>
      </c>
      <c r="M30" s="194"/>
      <c r="N30" s="194"/>
      <c r="O30" s="171">
        <f t="array" ref="O30">SUM(IF((modeldata!$T:$T="drive")*(modeldata!$U:$U="Total")*(IFERROR(FIND("San Francisco",modeldata!$W:$W),-1)&gt;=0)*(modeldata!$X:$X=$B30),modeldata!$Y:$Y,0))</f>
        <v>0</v>
      </c>
      <c r="P30" s="73">
        <f t="shared" si="0"/>
        <v>0</v>
      </c>
      <c r="Q30" s="36" t="e">
        <f t="shared" si="3"/>
        <v>#DIV/0!</v>
      </c>
      <c r="T30" s="245"/>
      <c r="Y30" s="245"/>
    </row>
    <row r="31" spans="1:26" x14ac:dyDescent="0.2">
      <c r="A31" s="163">
        <v>4</v>
      </c>
      <c r="B31" s="163" t="s">
        <v>247</v>
      </c>
      <c r="D31" s="203" t="s">
        <v>279</v>
      </c>
      <c r="E31" s="198">
        <v>0.35000000000000003</v>
      </c>
      <c r="F31" s="199">
        <f>-1*E31/[0]!escort_c_ivt</f>
        <v>20</v>
      </c>
      <c r="G31" s="198">
        <v>0</v>
      </c>
      <c r="H31" s="204">
        <f>-1*G31/[0]!escort_c_ivt</f>
        <v>0</v>
      </c>
      <c r="I31" s="198">
        <f>J31*[0]!escort_c_ivt*-1</f>
        <v>0</v>
      </c>
      <c r="J31" s="200">
        <f t="shared" si="20"/>
        <v>0</v>
      </c>
      <c r="K31" s="205"/>
      <c r="L31" s="201">
        <v>61685.463852488298</v>
      </c>
      <c r="M31" s="206" cm="1">
        <f t="array" ref="M31">SUM(IF((IFERROR(FIND("San Francisco",OBS_District_Flows!$E:$E),-1)&gt;=0)*(IFERROR(FIND("San Francisco",OBS_District_Flows!$C:$C),-1)&gt;=0)*(OBS_District_Flows!$G:$G=$A31),OBS_District_Flows!$K:$K,0))</f>
        <v>108323.98779355796</v>
      </c>
      <c r="N31" s="206">
        <f>M31*OBS_Adjustments!$AB$94</f>
        <v>49911.714445949015</v>
      </c>
      <c r="O31" s="206">
        <f t="array" ref="O31">SUM(IF((modeldata!$T:$T="walk")*(modeldata!$U:$U="Total")*(IFERROR(FIND("San Francisco",modeldata!$W:$W),-1)&gt;=0)*(IFERROR(FIND("San Francisco",modeldata!$V:$V),-1)&gt;=0)*(modeldata!$X:$X=$B31),modeldata!$Y:$Y,0))</f>
        <v>0</v>
      </c>
      <c r="P31" s="207">
        <f t="shared" si="0"/>
        <v>-108323.98779355796</v>
      </c>
      <c r="Q31" s="202">
        <f t="shared" si="3"/>
        <v>-1</v>
      </c>
      <c r="T31" s="246" t="s">
        <v>338</v>
      </c>
      <c r="U31" s="243">
        <f>SUM(L31:L32)</f>
        <v>63118.404181997066</v>
      </c>
      <c r="V31" s="243">
        <f>SUM(N31:N32)</f>
        <v>49911.714445949015</v>
      </c>
      <c r="W31" s="243">
        <f>SUM(O31:O32)</f>
        <v>0</v>
      </c>
      <c r="X31" s="207">
        <f>W31-V31</f>
        <v>-49911.714445949015</v>
      </c>
      <c r="Y31" s="202">
        <f t="shared" ref="Y31" si="22">X31/V31</f>
        <v>-1</v>
      </c>
    </row>
    <row r="32" spans="1:26" x14ac:dyDescent="0.2">
      <c r="A32" s="163">
        <v>4</v>
      </c>
      <c r="B32" s="163" t="s">
        <v>247</v>
      </c>
      <c r="D32" s="203" t="s">
        <v>280</v>
      </c>
      <c r="E32" s="198">
        <v>0.35000000000000003</v>
      </c>
      <c r="F32" s="199">
        <f>-1*E32/[0]!escort_c_ivt</f>
        <v>20</v>
      </c>
      <c r="G32" s="198">
        <v>0</v>
      </c>
      <c r="H32" s="204">
        <f>-1*G32/[0]!escort_c_ivt</f>
        <v>0</v>
      </c>
      <c r="I32" s="198">
        <f>J32*[0]!escort_c_ivt*-1</f>
        <v>0</v>
      </c>
      <c r="J32" s="200">
        <f t="shared" si="20"/>
        <v>0</v>
      </c>
      <c r="K32" s="205"/>
      <c r="L32" s="201">
        <v>1432.9403295087707</v>
      </c>
      <c r="M32" s="206"/>
      <c r="N32" s="206"/>
      <c r="O32" s="206">
        <f t="array" ref="O32">SUM(IF((modeldata!$T:$T="drive")*(modeldata!$U:$U="Total")*(IFERROR(FIND("San Francisco",modeldata!$W:$W),-1)&gt;=0)*(IFERROR(FIND("San Francisco",modeldata!$V:$V),-1)&gt;=0)*(modeldata!$X:$X=$B32),modeldata!$Y:$Y,0))</f>
        <v>0</v>
      </c>
      <c r="P32" s="207">
        <f t="shared" si="0"/>
        <v>0</v>
      </c>
      <c r="Q32" s="202" t="e">
        <f t="shared" si="3"/>
        <v>#DIV/0!</v>
      </c>
      <c r="T32" s="245"/>
      <c r="Y32" s="245"/>
    </row>
    <row r="33" spans="1:26" x14ac:dyDescent="0.2">
      <c r="A33" s="163">
        <v>4</v>
      </c>
      <c r="B33" s="163" t="s">
        <v>247</v>
      </c>
      <c r="D33" s="196" t="s">
        <v>285</v>
      </c>
      <c r="E33" s="168">
        <v>8.7500000000000008E-2</v>
      </c>
      <c r="F33" s="169">
        <f>-1*E33/[0]!escort_c_ivt</f>
        <v>5</v>
      </c>
      <c r="G33" s="168">
        <v>0</v>
      </c>
      <c r="H33" s="176">
        <f>-1*G33/[0]!escort_c_ivt</f>
        <v>0</v>
      </c>
      <c r="I33" s="168">
        <f>J33*[0]!escort_c_ivt*-1</f>
        <v>0</v>
      </c>
      <c r="J33" s="178">
        <f t="shared" ref="J33:J34" si="23">H33</f>
        <v>0</v>
      </c>
      <c r="L33" s="170">
        <v>64660.705373194949</v>
      </c>
      <c r="M33" s="194" cm="1">
        <f t="array" ref="M33">SUM(IF((IFERROR(FIND("San Francisco",OBS_District_Flows!$C:$C),-1)&gt;=0)*(OBS_District_Flows!$G:$G=$A33),OBS_District_Flows!$K:$K,0))</f>
        <v>115866.19256586468</v>
      </c>
      <c r="N33" s="194">
        <f>M33*OBS_Adjustments!$AB$94</f>
        <v>53386.885352744546</v>
      </c>
      <c r="O33" s="171" cm="1">
        <f t="array" ref="O33">SUM(IF((modeldata!$T:$T="walk")*(modeldata!$U:$U="Total")*(IFERROR(FIND("San Francisco",modeldata!$V:$V),-1)&gt;=0)*(modeldata!$X:$X=$B33),modeldata!$Y:$Y,0))</f>
        <v>0</v>
      </c>
      <c r="P33" s="73">
        <f t="shared" si="0"/>
        <v>-115866.19256586468</v>
      </c>
      <c r="Q33" s="36">
        <f t="shared" si="3"/>
        <v>-1</v>
      </c>
      <c r="T33" s="245" t="s">
        <v>339</v>
      </c>
      <c r="U33" s="5">
        <f>SUM(L33:L34)</f>
        <v>67214.523495100148</v>
      </c>
      <c r="V33" s="5">
        <f>SUM(N33:N34)</f>
        <v>53386.885352744546</v>
      </c>
      <c r="W33" s="5">
        <f>SUM(O33:O34)</f>
        <v>0</v>
      </c>
      <c r="X33" s="73">
        <f>W33-V33</f>
        <v>-53386.885352744546</v>
      </c>
      <c r="Y33" s="36">
        <f t="shared" ref="Y33" si="24">X33/V33</f>
        <v>-1</v>
      </c>
    </row>
    <row r="34" spans="1:26" x14ac:dyDescent="0.2">
      <c r="A34" s="163">
        <v>4</v>
      </c>
      <c r="B34" s="163" t="s">
        <v>247</v>
      </c>
      <c r="D34" s="197" t="s">
        <v>286</v>
      </c>
      <c r="E34" s="168">
        <v>1.2250000000000001</v>
      </c>
      <c r="F34" s="169">
        <f>-1*E34/[0]!escort_c_ivt</f>
        <v>70</v>
      </c>
      <c r="G34" s="168">
        <v>0</v>
      </c>
      <c r="H34" s="176">
        <f>-1*G34/[0]!escort_c_ivt</f>
        <v>0</v>
      </c>
      <c r="I34" s="168">
        <f>J34*[0]!escort_c_ivt*-1</f>
        <v>0</v>
      </c>
      <c r="J34" s="178">
        <f t="shared" si="23"/>
        <v>0</v>
      </c>
      <c r="L34" s="170">
        <v>2553.8181219052058</v>
      </c>
      <c r="M34" s="194"/>
      <c r="N34" s="194"/>
      <c r="O34" s="171" cm="1">
        <f t="array" ref="O34">SUM(IF((modeldata!$T:$T="drive")*(modeldata!$U:$U="Total")*(IFERROR(FIND("San Francisco",modeldata!$V:$V),-1)&gt;=0)*(modeldata!$X:$X=$B34),modeldata!$Y:$Y,0))</f>
        <v>0</v>
      </c>
      <c r="P34" s="73">
        <f t="shared" si="0"/>
        <v>0</v>
      </c>
      <c r="Q34" s="36" t="e">
        <f t="shared" si="3"/>
        <v>#DIV/0!</v>
      </c>
      <c r="S34" s="12"/>
      <c r="T34" s="12"/>
      <c r="U34" s="248"/>
      <c r="V34" s="18"/>
      <c r="W34" s="18"/>
      <c r="X34" s="18"/>
      <c r="Y34" s="247"/>
    </row>
    <row r="35" spans="1:26" x14ac:dyDescent="0.2">
      <c r="A35" s="163">
        <v>5</v>
      </c>
      <c r="B35" s="163" t="s">
        <v>246</v>
      </c>
      <c r="C35" s="19" t="s">
        <v>107</v>
      </c>
      <c r="D35" s="195" t="s">
        <v>281</v>
      </c>
      <c r="E35" s="164">
        <v>0</v>
      </c>
      <c r="F35" s="165">
        <f>-1*E35/[0]!eatout_c_ivt</f>
        <v>0</v>
      </c>
      <c r="G35" s="164">
        <v>0</v>
      </c>
      <c r="H35" s="175">
        <f>-1*G35/[0]!eatout_c_ivt</f>
        <v>0</v>
      </c>
      <c r="I35" s="164">
        <f>J35*[0]!eatout_c_ivt*-1</f>
        <v>0</v>
      </c>
      <c r="J35" s="177">
        <f t="shared" si="2"/>
        <v>0</v>
      </c>
      <c r="L35" s="166">
        <v>34714.540430870533</v>
      </c>
      <c r="M35" s="167" cm="1">
        <f t="array" ref="M35">SUM(IF((OBS_District_Flows!$E:$E="Greater Downtown San Francisco")*(OBS_District_Flows!$G:$G=$A35),OBS_District_Flows!$K:$K,0))</f>
        <v>71118.70599174274</v>
      </c>
      <c r="N35" s="167">
        <f>M35*OBS_Adjustments!$AB$121</f>
        <v>22751.046137121739</v>
      </c>
      <c r="O35" s="167">
        <f t="array" ref="O35">SUM(IF((modeldata!$T:$T="walk")*(modeldata!$U:$U="Total")*(modeldata!$W:$W="Greater Downtown San Francisco")*(modeldata!$X:$X=$B35),modeldata!$Y:$Y,0))</f>
        <v>0</v>
      </c>
      <c r="P35" s="84">
        <f t="shared" si="0"/>
        <v>-71118.70599174274</v>
      </c>
      <c r="Q35" s="34">
        <f t="shared" si="3"/>
        <v>-1</v>
      </c>
      <c r="S35" s="19" t="s">
        <v>107</v>
      </c>
      <c r="T35" s="244" t="s">
        <v>336</v>
      </c>
      <c r="U35" s="7">
        <f>SUM(L35:L36)</f>
        <v>40628.123922215636</v>
      </c>
      <c r="V35" s="7">
        <f>SUM(N35:N36)</f>
        <v>22751.046137121739</v>
      </c>
      <c r="W35" s="7">
        <f>SUM(O35:O36)</f>
        <v>0</v>
      </c>
      <c r="X35" s="84">
        <f>W35-V35</f>
        <v>-22751.046137121739</v>
      </c>
      <c r="Y35" s="34">
        <f t="shared" ref="Y35" si="25">X35/V35</f>
        <v>-1</v>
      </c>
    </row>
    <row r="36" spans="1:26" x14ac:dyDescent="0.2">
      <c r="A36" s="163">
        <v>5</v>
      </c>
      <c r="B36" s="163" t="s">
        <v>246</v>
      </c>
      <c r="C36" s="1" t="s">
        <v>109</v>
      </c>
      <c r="D36" s="196" t="s">
        <v>282</v>
      </c>
      <c r="E36" s="168">
        <v>0</v>
      </c>
      <c r="F36" s="169">
        <f>-1*E36/[0]!eatout_c_ivt</f>
        <v>0</v>
      </c>
      <c r="G36" s="168">
        <v>0</v>
      </c>
      <c r="H36" s="176">
        <f>-1*G36/[0]!eatout_c_ivt</f>
        <v>0</v>
      </c>
      <c r="I36" s="168">
        <f>J36*[0]!eatout_c_ivt*-1</f>
        <v>0</v>
      </c>
      <c r="J36" s="178">
        <f t="shared" ref="J36:J40" si="26">H36</f>
        <v>0</v>
      </c>
      <c r="L36" s="170">
        <v>5913.5834913451026</v>
      </c>
      <c r="M36" s="194"/>
      <c r="N36" s="194">
        <f>M36*OBS_Adjustments!$AB$121</f>
        <v>0</v>
      </c>
      <c r="O36" s="171">
        <f t="array" ref="O36">SUM(IF((modeldata!$T:$T="drive")*(modeldata!$U:$U="Total")*(modeldata!$W:$W="Greater Downtown San Francisco")*(modeldata!$X:$X=$B36),modeldata!$Y:$Y,0))</f>
        <v>0</v>
      </c>
      <c r="P36" s="73">
        <f t="shared" si="0"/>
        <v>0</v>
      </c>
      <c r="Q36" s="36" t="e">
        <f t="shared" si="3"/>
        <v>#DIV/0!</v>
      </c>
      <c r="S36" s="1" t="s">
        <v>109</v>
      </c>
      <c r="T36" s="245"/>
      <c r="Y36" s="245"/>
    </row>
    <row r="37" spans="1:26" x14ac:dyDescent="0.2">
      <c r="A37" s="163">
        <v>5</v>
      </c>
      <c r="B37" s="163" t="s">
        <v>246</v>
      </c>
      <c r="C37" s="1" t="s">
        <v>110</v>
      </c>
      <c r="D37" s="196" t="s">
        <v>283</v>
      </c>
      <c r="E37" s="168">
        <v>1.05</v>
      </c>
      <c r="F37" s="169">
        <f>-1*E37/[0]!eatout_c_ivt</f>
        <v>60</v>
      </c>
      <c r="G37" s="168">
        <v>0</v>
      </c>
      <c r="H37" s="176">
        <f>-1*G37/[0]!eatout_c_ivt</f>
        <v>0</v>
      </c>
      <c r="I37" s="168">
        <f>J37*[0]!eatout_c_ivt*-1</f>
        <v>0</v>
      </c>
      <c r="J37" s="178">
        <f t="shared" si="26"/>
        <v>0</v>
      </c>
      <c r="L37" s="170">
        <v>64570.153736701388</v>
      </c>
      <c r="M37" s="194" cm="1">
        <f t="array" ref="M37">SUM(IF((IFERROR(FIND("San Francisco",OBS_District_Flows!$E:$E),-1)&gt;=0)*(OBS_District_Flows!$G:$G=$A35),OBS_District_Flows!$K:$K,0))</f>
        <v>179531.79888993379</v>
      </c>
      <c r="N37" s="194">
        <f>M37*OBS_Adjustments!$AB$121</f>
        <v>57432.656889167549</v>
      </c>
      <c r="O37" s="171">
        <f t="array" ref="O37">SUM(IF((modeldata!$T:$T="walk")*(modeldata!$U:$U="Total")*(IFERROR(FIND("San Francisco",modeldata!$W:$W),-1)&gt;=0)*(modeldata!$X:$X=$B37),modeldata!$Y:$Y,0))</f>
        <v>0</v>
      </c>
      <c r="P37" s="73">
        <f t="shared" si="0"/>
        <v>-179531.79888993379</v>
      </c>
      <c r="Q37" s="36">
        <f t="shared" si="3"/>
        <v>-1</v>
      </c>
      <c r="S37" s="1" t="s">
        <v>110</v>
      </c>
      <c r="T37" s="245" t="s">
        <v>337</v>
      </c>
      <c r="U37" s="5">
        <f>SUM(L37:L38)</f>
        <v>73066.808982096656</v>
      </c>
      <c r="V37" s="5">
        <f>SUM(N37:N38)</f>
        <v>57432.656889167549</v>
      </c>
      <c r="W37" s="5">
        <f>SUM(O37:O38)</f>
        <v>0</v>
      </c>
      <c r="X37" s="73">
        <f>W37-V37</f>
        <v>-57432.656889167549</v>
      </c>
      <c r="Y37" s="36">
        <f t="shared" ref="Y37" si="27">X37/V37</f>
        <v>-1</v>
      </c>
    </row>
    <row r="38" spans="1:26" x14ac:dyDescent="0.2">
      <c r="A38" s="163">
        <v>5</v>
      </c>
      <c r="B38" s="163" t="s">
        <v>246</v>
      </c>
      <c r="D38" s="196" t="s">
        <v>284</v>
      </c>
      <c r="E38" s="168">
        <v>0.35000000000000003</v>
      </c>
      <c r="F38" s="169">
        <f>-1*E38/[0]!eatout_c_ivt</f>
        <v>20</v>
      </c>
      <c r="G38" s="168">
        <v>0</v>
      </c>
      <c r="H38" s="176">
        <f>-1*G38/[0]!eatout_c_ivt</f>
        <v>0</v>
      </c>
      <c r="I38" s="168">
        <f>J38*[0]!eatout_c_ivt*-1</f>
        <v>0</v>
      </c>
      <c r="J38" s="178">
        <f t="shared" si="26"/>
        <v>0</v>
      </c>
      <c r="L38" s="170">
        <v>8496.6552453952736</v>
      </c>
      <c r="M38" s="194"/>
      <c r="N38" s="194">
        <f>M38*OBS_Adjustments!$AB$121</f>
        <v>0</v>
      </c>
      <c r="O38" s="171">
        <f t="array" ref="O38">SUM(IF((modeldata!$T:$T="drive")*(modeldata!$U:$U="Total")*(IFERROR(FIND("San Francisco",modeldata!$W:$W),-1)&gt;=0)*(modeldata!$X:$X=$B38),modeldata!$Y:$Y,0))</f>
        <v>0</v>
      </c>
      <c r="P38" s="73">
        <f t="shared" si="0"/>
        <v>0</v>
      </c>
      <c r="Q38" s="36" t="e">
        <f t="shared" si="3"/>
        <v>#DIV/0!</v>
      </c>
      <c r="T38" s="245"/>
      <c r="Y38" s="245"/>
    </row>
    <row r="39" spans="1:26" x14ac:dyDescent="0.2">
      <c r="A39" s="163">
        <v>5</v>
      </c>
      <c r="B39" s="163" t="s">
        <v>246</v>
      </c>
      <c r="D39" s="203" t="s">
        <v>279</v>
      </c>
      <c r="E39" s="198">
        <v>0.52500000000000002</v>
      </c>
      <c r="F39" s="199">
        <f>-1*E39/[0]!eatout_c_ivt</f>
        <v>30</v>
      </c>
      <c r="G39" s="198">
        <v>0</v>
      </c>
      <c r="H39" s="204">
        <f>-1*G39/[0]!eatout_c_ivt</f>
        <v>0</v>
      </c>
      <c r="I39" s="198">
        <f>J39*[0]!eatout_c_ivt*-1</f>
        <v>0</v>
      </c>
      <c r="J39" s="200">
        <f t="shared" si="26"/>
        <v>0</v>
      </c>
      <c r="K39" s="205"/>
      <c r="L39" s="201">
        <v>57240.629894197526</v>
      </c>
      <c r="M39" s="206" cm="1">
        <f t="array" ref="M39">SUM(IF((IFERROR(FIND("San Francisco",OBS_District_Flows!$E:$E),-1)&gt;=0)*(IFERROR(FIND("San Francisco",OBS_District_Flows!$C:$C),-1)&gt;=0)*(OBS_District_Flows!$G:$G=$A39),OBS_District_Flows!$K:$K,0))</f>
        <v>143380.4494715168</v>
      </c>
      <c r="N39" s="206">
        <f>M39*OBS_Adjustments!$AB$121</f>
        <v>45867.752732543711</v>
      </c>
      <c r="O39" s="206">
        <f t="array" ref="O39">SUM(IF((modeldata!$T:$T="walk")*(modeldata!$U:$U="Total")*(IFERROR(FIND("San Francisco",modeldata!$W:$W),-1)&gt;=0)*(IFERROR(FIND("San Francisco",modeldata!$V:$V),-1)&gt;=0)*(modeldata!$X:$X=$B39),modeldata!$Y:$Y,0))</f>
        <v>0</v>
      </c>
      <c r="P39" s="207">
        <f t="shared" si="0"/>
        <v>-143380.4494715168</v>
      </c>
      <c r="Q39" s="202">
        <f t="shared" si="3"/>
        <v>-1</v>
      </c>
      <c r="T39" s="246" t="s">
        <v>338</v>
      </c>
      <c r="U39" s="243">
        <f>SUM(L39:L40)</f>
        <v>58704.125598201099</v>
      </c>
      <c r="V39" s="243">
        <f>SUM(N39:N40)</f>
        <v>45867.752732543711</v>
      </c>
      <c r="W39" s="243">
        <f>SUM(O39:O40)</f>
        <v>0</v>
      </c>
      <c r="X39" s="207">
        <f>W39-V39</f>
        <v>-45867.752732543711</v>
      </c>
      <c r="Y39" s="202">
        <f t="shared" ref="Y39" si="28">X39/V39</f>
        <v>-1</v>
      </c>
    </row>
    <row r="40" spans="1:26" x14ac:dyDescent="0.2">
      <c r="A40" s="163">
        <v>5</v>
      </c>
      <c r="B40" s="163" t="s">
        <v>246</v>
      </c>
      <c r="D40" s="203" t="s">
        <v>280</v>
      </c>
      <c r="E40" s="198">
        <v>0.87500000000000011</v>
      </c>
      <c r="F40" s="199">
        <f>-1*E40/[0]!eatout_c_ivt</f>
        <v>50</v>
      </c>
      <c r="G40" s="198">
        <v>0</v>
      </c>
      <c r="H40" s="204">
        <f>-1*G40/[0]!eatout_c_ivt</f>
        <v>0</v>
      </c>
      <c r="I40" s="198">
        <f>J40*[0]!eatout_c_ivt*-1</f>
        <v>0</v>
      </c>
      <c r="J40" s="200">
        <f t="shared" si="26"/>
        <v>0</v>
      </c>
      <c r="K40" s="205"/>
      <c r="L40" s="201">
        <v>1463.4957040035704</v>
      </c>
      <c r="M40" s="206"/>
      <c r="N40" s="206">
        <f>M40*OBS_Adjustments!$AB$121</f>
        <v>0</v>
      </c>
      <c r="O40" s="206">
        <f t="array" ref="O40">SUM(IF((modeldata!$T:$T="drive")*(modeldata!$U:$U="Total")*(IFERROR(FIND("San Francisco",modeldata!$W:$W),-1)&gt;=0)*(IFERROR(FIND("San Francisco",modeldata!$V:$V),-1)&gt;=0)*(modeldata!$X:$X=$B40),modeldata!$Y:$Y,0))</f>
        <v>0</v>
      </c>
      <c r="P40" s="207">
        <f t="shared" si="0"/>
        <v>0</v>
      </c>
      <c r="Q40" s="202" t="e">
        <f t="shared" si="3"/>
        <v>#DIV/0!</v>
      </c>
      <c r="T40" s="245"/>
      <c r="Y40" s="245"/>
    </row>
    <row r="41" spans="1:26" x14ac:dyDescent="0.2">
      <c r="A41" s="163">
        <v>5</v>
      </c>
      <c r="B41" s="163" t="s">
        <v>246</v>
      </c>
      <c r="D41" s="196" t="s">
        <v>285</v>
      </c>
      <c r="E41" s="168">
        <v>0.35000000000000003</v>
      </c>
      <c r="F41" s="169">
        <f>-1*E41/[0]!eatout_c_ivt</f>
        <v>20</v>
      </c>
      <c r="G41" s="168">
        <v>0</v>
      </c>
      <c r="H41" s="176">
        <f>-1*G41/[0]!eatout_c_ivt</f>
        <v>0</v>
      </c>
      <c r="I41" s="168">
        <f>J41*[0]!eatout_c_ivt*-1</f>
        <v>0</v>
      </c>
      <c r="J41" s="178">
        <f t="shared" ref="J41:J42" si="29">H41</f>
        <v>0</v>
      </c>
      <c r="L41" s="170">
        <v>62569.330465525985</v>
      </c>
      <c r="M41" s="194" cm="1">
        <f t="array" ref="M41">SUM(IF((IFERROR(FIND("San Francisco",OBS_District_Flows!$C:$C),-1)&gt;=0)*(OBS_District_Flows!$G:$G=$A41),OBS_District_Flows!$K:$K,0))</f>
        <v>155915.16265713738</v>
      </c>
      <c r="N41" s="194">
        <f>M41*OBS_Adjustments!$AB$121</f>
        <v>49877.637811650078</v>
      </c>
      <c r="O41" s="171" cm="1">
        <f t="array" ref="O41">SUM(IF((modeldata!$T:$T="walk")*(modeldata!$U:$U="Total")*(IFERROR(FIND("San Francisco",modeldata!$V:$V),-1)&gt;=0)*(modeldata!$X:$X=$B41),modeldata!$Y:$Y,0))</f>
        <v>0</v>
      </c>
      <c r="P41" s="73">
        <f t="shared" si="0"/>
        <v>-155915.16265713738</v>
      </c>
      <c r="Q41" s="36">
        <f t="shared" si="3"/>
        <v>-1</v>
      </c>
      <c r="T41" s="245" t="s">
        <v>339</v>
      </c>
      <c r="U41" s="5">
        <f>SUM(L41:L42)</f>
        <v>66665.540863678223</v>
      </c>
      <c r="V41" s="5">
        <f>SUM(N41:N42)</f>
        <v>49877.637811650078</v>
      </c>
      <c r="W41" s="5">
        <f>SUM(O41:O42)</f>
        <v>0</v>
      </c>
      <c r="X41" s="73">
        <f>W41-V41</f>
        <v>-49877.637811650078</v>
      </c>
      <c r="Y41" s="36">
        <f t="shared" ref="Y41" si="30">X41/V41</f>
        <v>-1</v>
      </c>
    </row>
    <row r="42" spans="1:26" x14ac:dyDescent="0.2">
      <c r="A42" s="163">
        <v>5</v>
      </c>
      <c r="B42" s="163" t="s">
        <v>246</v>
      </c>
      <c r="D42" s="197" t="s">
        <v>286</v>
      </c>
      <c r="E42" s="168">
        <v>1.3125000000000002</v>
      </c>
      <c r="F42" s="169">
        <f>-1*E42/[0]!eatout_c_ivt</f>
        <v>75</v>
      </c>
      <c r="G42" s="168">
        <v>0</v>
      </c>
      <c r="H42" s="176">
        <f>-1*G42/[0]!eatout_c_ivt</f>
        <v>0</v>
      </c>
      <c r="I42" s="168">
        <f>J42*[0]!eatout_c_ivt*-1</f>
        <v>0</v>
      </c>
      <c r="J42" s="178">
        <f t="shared" si="29"/>
        <v>0</v>
      </c>
      <c r="L42" s="170">
        <v>4096.2103981522414</v>
      </c>
      <c r="M42" s="194"/>
      <c r="N42" s="194">
        <f>M42*OBS_Adjustments!$AB$121</f>
        <v>0</v>
      </c>
      <c r="O42" s="171" cm="1">
        <f t="array" ref="O42">SUM(IF((modeldata!$T:$T="drive")*(modeldata!$U:$U="Total")*(IFERROR(FIND("San Francisco",modeldata!$V:$V),-1)&gt;=0)*(modeldata!$X:$X=$B42),modeldata!$Y:$Y,0))</f>
        <v>0</v>
      </c>
      <c r="P42" s="73">
        <f t="shared" si="0"/>
        <v>0</v>
      </c>
      <c r="Q42" s="36" t="e">
        <f t="shared" si="3"/>
        <v>#DIV/0!</v>
      </c>
      <c r="S42" s="12"/>
      <c r="T42" s="12"/>
      <c r="U42" s="248"/>
      <c r="V42" s="18"/>
      <c r="W42" s="18"/>
      <c r="X42" s="18"/>
      <c r="Y42" s="18"/>
      <c r="Z42" s="161"/>
    </row>
    <row r="43" spans="1:26" x14ac:dyDescent="0.2">
      <c r="A43" s="163">
        <v>6</v>
      </c>
      <c r="B43" s="163" t="s">
        <v>244</v>
      </c>
      <c r="C43" s="19" t="s">
        <v>111</v>
      </c>
      <c r="D43" s="195" t="s">
        <v>281</v>
      </c>
      <c r="E43" s="164">
        <v>0.28200000000000003</v>
      </c>
      <c r="F43" s="165">
        <f>-1*E43/[0]!workbased_c_ivt</f>
        <v>15.000000000000002</v>
      </c>
      <c r="G43" s="164">
        <v>0</v>
      </c>
      <c r="H43" s="175">
        <f>-1*G43/[0]!workbased_c_ivt</f>
        <v>0</v>
      </c>
      <c r="I43" s="164">
        <f>J43*[0]!workbased_c_ivt*-1</f>
        <v>0</v>
      </c>
      <c r="J43" s="177">
        <f t="shared" si="2"/>
        <v>0</v>
      </c>
      <c r="L43" s="166">
        <v>4371.3845417068533</v>
      </c>
      <c r="M43" s="167" cm="1">
        <f t="array" ref="M43">SUM(IF((OBS_District_Flows!$E:$E="Greater Downtown San Francisco")*(OBS_District_Flows!$G:$G=$A43),OBS_District_Flows!$K:$K,0))</f>
        <v>0</v>
      </c>
      <c r="N43" s="167"/>
      <c r="O43" s="167">
        <f t="array" ref="O43">SUM(IF((modeldata!$T:$T="walk")*(modeldata!$U:$U="Total")*(modeldata!$W:$W="Greater Downtown San Francisco")*(modeldata!$X:$X=$B43),modeldata!$Y:$Y,0))</f>
        <v>0</v>
      </c>
      <c r="P43" s="84">
        <f t="shared" si="0"/>
        <v>0</v>
      </c>
      <c r="Q43" s="34" t="e">
        <f t="shared" si="3"/>
        <v>#DIV/0!</v>
      </c>
      <c r="S43" s="1" t="s">
        <v>111</v>
      </c>
      <c r="T43" s="244" t="s">
        <v>336</v>
      </c>
      <c r="Y43" s="244"/>
    </row>
    <row r="44" spans="1:26" x14ac:dyDescent="0.2">
      <c r="A44" s="163">
        <v>6</v>
      </c>
      <c r="B44" s="163" t="s">
        <v>244</v>
      </c>
      <c r="D44" s="196" t="s">
        <v>282</v>
      </c>
      <c r="E44" s="168">
        <v>0</v>
      </c>
      <c r="F44" s="169">
        <f>-1*E44/[0]!workbased_c_ivt</f>
        <v>0</v>
      </c>
      <c r="G44" s="168">
        <v>0</v>
      </c>
      <c r="H44" s="176">
        <f>-1*G44/[0]!workbased_c_ivt</f>
        <v>0</v>
      </c>
      <c r="I44" s="168">
        <f>J44*[0]!workbased_c_ivt*-1</f>
        <v>0</v>
      </c>
      <c r="J44" s="178">
        <f t="shared" ref="J44:J48" si="31">H44</f>
        <v>0</v>
      </c>
      <c r="L44" s="170">
        <v>0</v>
      </c>
      <c r="M44" s="194"/>
      <c r="N44" s="194"/>
      <c r="O44" s="194">
        <f t="array" ref="O44">SUM(IF((modeldata!$T:$T="drive")*(modeldata!$U:$U="Total")*(modeldata!$W:$W="Greater Downtown San Francisco")*(modeldata!$X:$X=$B44),modeldata!$Y:$Y,0))</f>
        <v>0</v>
      </c>
      <c r="P44" s="73">
        <f t="shared" si="0"/>
        <v>0</v>
      </c>
      <c r="Q44" s="36" t="e">
        <f t="shared" si="3"/>
        <v>#DIV/0!</v>
      </c>
      <c r="T44" s="245"/>
      <c r="Y44" s="245"/>
    </row>
    <row r="45" spans="1:26" x14ac:dyDescent="0.2">
      <c r="A45" s="163">
        <v>6</v>
      </c>
      <c r="B45" s="163" t="s">
        <v>244</v>
      </c>
      <c r="D45" s="196" t="s">
        <v>283</v>
      </c>
      <c r="E45" s="168">
        <v>1.4100000000000001</v>
      </c>
      <c r="F45" s="169">
        <f>-1*E45/[0]!workbased_c_ivt</f>
        <v>75</v>
      </c>
      <c r="G45" s="168">
        <v>0</v>
      </c>
      <c r="H45" s="176">
        <f>-1*G45/[0]!workbased_c_ivt</f>
        <v>0</v>
      </c>
      <c r="I45" s="168">
        <f>J45*[0]!workbased_c_ivt*-1</f>
        <v>0</v>
      </c>
      <c r="J45" s="178">
        <f t="shared" si="31"/>
        <v>0</v>
      </c>
      <c r="L45" s="170">
        <v>6813.2561652270888</v>
      </c>
      <c r="M45" s="194" cm="1">
        <f t="array" ref="M45">SUM(IF((IFERROR(FIND("San Francisco",OBS_District_Flows!$E:$E),-1)&gt;=0)*(OBS_District_Flows!$G:$G=$A43),OBS_District_Flows!$K:$K,0))</f>
        <v>0</v>
      </c>
      <c r="N45" s="194"/>
      <c r="O45" s="194">
        <f t="array" ref="O45">SUM(IF((modeldata!$T:$T="walk")*(modeldata!$U:$U="Total")*(IFERROR(FIND("San Francisco",modeldata!$W:$W),-1)&gt;=0)*(modeldata!$X:$X=$B45),modeldata!$Y:$Y,0))</f>
        <v>0</v>
      </c>
      <c r="P45" s="73">
        <f t="shared" si="0"/>
        <v>0</v>
      </c>
      <c r="Q45" s="36" t="e">
        <f t="shared" si="3"/>
        <v>#DIV/0!</v>
      </c>
      <c r="T45" s="245" t="s">
        <v>337</v>
      </c>
      <c r="Y45" s="245"/>
    </row>
    <row r="46" spans="1:26" x14ac:dyDescent="0.2">
      <c r="A46" s="163">
        <v>6</v>
      </c>
      <c r="B46" s="163" t="s">
        <v>244</v>
      </c>
      <c r="D46" s="196" t="s">
        <v>284</v>
      </c>
      <c r="E46" s="168">
        <v>0</v>
      </c>
      <c r="F46" s="169">
        <f>-1*E46/[0]!workbased_c_ivt</f>
        <v>0</v>
      </c>
      <c r="G46" s="168">
        <v>0</v>
      </c>
      <c r="H46" s="176">
        <f>-1*G46/[0]!workbased_c_ivt</f>
        <v>0</v>
      </c>
      <c r="I46" s="168">
        <f>J46*[0]!workbased_c_ivt*-1</f>
        <v>0</v>
      </c>
      <c r="J46" s="178">
        <f t="shared" si="31"/>
        <v>0</v>
      </c>
      <c r="L46" s="170">
        <v>0</v>
      </c>
      <c r="M46" s="194"/>
      <c r="N46" s="194"/>
      <c r="O46" s="194">
        <f t="array" ref="O46">SUM(IF((modeldata!$T:$T="drive")*(modeldata!$U:$U="Total")*(IFERROR(FIND("San Francisco",modeldata!$W:$W),-1)&gt;=0)*(modeldata!$X:$X=$B46),modeldata!$Y:$Y,0))</f>
        <v>0</v>
      </c>
      <c r="P46" s="73">
        <f t="shared" si="0"/>
        <v>0</v>
      </c>
      <c r="Q46" s="36" t="e">
        <f t="shared" si="3"/>
        <v>#DIV/0!</v>
      </c>
      <c r="T46" s="245"/>
      <c r="Y46" s="245"/>
    </row>
    <row r="47" spans="1:26" x14ac:dyDescent="0.2">
      <c r="A47" s="163">
        <v>6</v>
      </c>
      <c r="B47" s="163" t="s">
        <v>244</v>
      </c>
      <c r="D47" s="203" t="s">
        <v>279</v>
      </c>
      <c r="E47" s="198">
        <v>0</v>
      </c>
      <c r="F47" s="199">
        <f>-1*E47/[0]!workbased_c_ivt</f>
        <v>0</v>
      </c>
      <c r="G47" s="198">
        <v>0</v>
      </c>
      <c r="H47" s="204">
        <f>-1*G47/[0]!workbased_c_ivt</f>
        <v>0</v>
      </c>
      <c r="I47" s="198">
        <f>J47*[0]!workbased_c_ivt*-1</f>
        <v>0</v>
      </c>
      <c r="J47" s="200">
        <f t="shared" si="31"/>
        <v>0</v>
      </c>
      <c r="K47" s="205"/>
      <c r="L47" s="201">
        <v>6229.8342016753513</v>
      </c>
      <c r="M47" s="206" cm="1">
        <f t="array" ref="M47">SUM(IF((IFERROR(FIND("San Francisco",OBS_District_Flows!$E:$E),-1)&gt;=0)*(IFERROR(FIND("San Francisco",OBS_District_Flows!$C:$C),-1)&gt;=0)*(OBS_District_Flows!$G:$G=$A47),OBS_District_Flows!$K:$K,0))</f>
        <v>0</v>
      </c>
      <c r="N47" s="206"/>
      <c r="O47" s="206">
        <f t="array" ref="O47">SUM(IF((modeldata!$T:$T="walk")*(modeldata!$U:$U="Total")*(IFERROR(FIND("San Francisco",modeldata!$W:$W),-1)&gt;=0)*(IFERROR(FIND("San Francisco",modeldata!$V:$V),-1)&gt;=0)*(modeldata!$X:$X=$B47),modeldata!$Y:$Y,0))</f>
        <v>0</v>
      </c>
      <c r="P47" s="207">
        <f t="shared" si="0"/>
        <v>0</v>
      </c>
      <c r="Q47" s="202" t="e">
        <f t="shared" si="3"/>
        <v>#DIV/0!</v>
      </c>
      <c r="T47" s="246" t="s">
        <v>338</v>
      </c>
      <c r="Y47" s="245"/>
    </row>
    <row r="48" spans="1:26" x14ac:dyDescent="0.2">
      <c r="A48" s="163">
        <v>6</v>
      </c>
      <c r="B48" s="163" t="s">
        <v>244</v>
      </c>
      <c r="D48" s="203" t="s">
        <v>280</v>
      </c>
      <c r="E48" s="198">
        <v>0</v>
      </c>
      <c r="F48" s="199">
        <f>-1*E48/[0]!workbased_c_ivt</f>
        <v>0</v>
      </c>
      <c r="G48" s="198">
        <v>0</v>
      </c>
      <c r="H48" s="204">
        <f>-1*G48/[0]!workbased_c_ivt</f>
        <v>0</v>
      </c>
      <c r="I48" s="198">
        <f>J48*[0]!workbased_c_ivt*-1</f>
        <v>0</v>
      </c>
      <c r="J48" s="200">
        <f t="shared" si="31"/>
        <v>0</v>
      </c>
      <c r="K48" s="205"/>
      <c r="L48" s="201">
        <v>0</v>
      </c>
      <c r="M48" s="206"/>
      <c r="N48" s="206"/>
      <c r="O48" s="206">
        <f t="array" ref="O48">SUM(IF((modeldata!$T:$T="drive")*(modeldata!$U:$U="Total")*(IFERROR(FIND("San Francisco",modeldata!$W:$W),-1)&gt;=0)*(IFERROR(FIND("San Francisco",modeldata!$V:$V),-1)&gt;=0)*(modeldata!$X:$X=$B48),modeldata!$Y:$Y,0))</f>
        <v>0</v>
      </c>
      <c r="P48" s="207">
        <f t="shared" si="0"/>
        <v>0</v>
      </c>
      <c r="Q48" s="202" t="e">
        <f t="shared" si="3"/>
        <v>#DIV/0!</v>
      </c>
      <c r="T48" s="245"/>
      <c r="Y48" s="245"/>
    </row>
    <row r="49" spans="1:26" x14ac:dyDescent="0.2">
      <c r="A49" s="163">
        <v>6</v>
      </c>
      <c r="B49" s="163" t="s">
        <v>244</v>
      </c>
      <c r="D49" s="196" t="s">
        <v>285</v>
      </c>
      <c r="E49" s="168">
        <v>0.188</v>
      </c>
      <c r="F49" s="169">
        <v>0</v>
      </c>
      <c r="G49" s="168">
        <v>0</v>
      </c>
      <c r="H49" s="176">
        <f>-1*G49/[0]!workbased_c_ivt</f>
        <v>0</v>
      </c>
      <c r="I49" s="168">
        <f>J49*[0]!workbased_c_ivt*-1</f>
        <v>0</v>
      </c>
      <c r="J49" s="178">
        <f t="shared" ref="J49:J50" si="32">H49</f>
        <v>0</v>
      </c>
      <c r="L49" s="170">
        <v>6751.1339807669119</v>
      </c>
      <c r="M49" s="194" cm="1">
        <f t="array" ref="M49">SUM(IF((IFERROR(FIND("San Francisco",OBS_District_Flows!$C:$C),-1)&gt;=0)*(OBS_District_Flows!$G:$G=$A49),OBS_District_Flows!$K:$K,0))</f>
        <v>0</v>
      </c>
      <c r="N49" s="194"/>
      <c r="O49" s="194" cm="1">
        <f t="array" ref="O49">SUM(IF((modeldata!$T:$T="walk")*(modeldata!$U:$U="Total")*(IFERROR(FIND("San Francisco",modeldata!$V:$V),-1)&gt;=0)*(modeldata!$X:$X=$B49),modeldata!$Y:$Y,0))</f>
        <v>0</v>
      </c>
      <c r="P49" s="73">
        <f t="shared" si="0"/>
        <v>0</v>
      </c>
      <c r="Q49" s="36" t="e">
        <f t="shared" si="3"/>
        <v>#DIV/0!</v>
      </c>
      <c r="T49" s="245" t="s">
        <v>339</v>
      </c>
      <c r="Y49" s="245"/>
    </row>
    <row r="50" spans="1:26" x14ac:dyDescent="0.2">
      <c r="A50" s="163">
        <v>6</v>
      </c>
      <c r="B50" s="163" t="s">
        <v>244</v>
      </c>
      <c r="C50" s="18"/>
      <c r="D50" s="197" t="s">
        <v>286</v>
      </c>
      <c r="E50" s="172">
        <v>0</v>
      </c>
      <c r="F50" s="208">
        <v>0</v>
      </c>
      <c r="G50" s="172">
        <v>0</v>
      </c>
      <c r="H50" s="209">
        <f>-1*G50/[0]!workbased_c_ivt</f>
        <v>0</v>
      </c>
      <c r="I50" s="172">
        <f>J50*[0]!workbased_c_ivt*-1</f>
        <v>0</v>
      </c>
      <c r="J50" s="210">
        <f t="shared" si="32"/>
        <v>0</v>
      </c>
      <c r="L50" s="173">
        <v>0</v>
      </c>
      <c r="M50" s="174"/>
      <c r="N50" s="174"/>
      <c r="O50" s="174" cm="1">
        <f t="array" ref="O50">SUM(IF((modeldata!$T:$T="drive")*(modeldata!$U:$U="Total")*(IFERROR(FIND("San Francisco",modeldata!$V:$V),-1)&gt;=0)*(modeldata!$X:$X=$B50),modeldata!$Y:$Y,0))</f>
        <v>0</v>
      </c>
      <c r="P50" s="73">
        <f t="shared" si="0"/>
        <v>0</v>
      </c>
      <c r="Q50" s="36" t="e">
        <f t="shared" si="3"/>
        <v>#DIV/0!</v>
      </c>
      <c r="S50" s="18"/>
      <c r="T50" s="12"/>
      <c r="U50" s="248"/>
      <c r="V50" s="18"/>
      <c r="W50" s="18"/>
      <c r="X50" s="18"/>
      <c r="Y50" s="247"/>
    </row>
    <row r="51" spans="1:26" x14ac:dyDescent="0.2">
      <c r="C51" s="182" t="s">
        <v>278</v>
      </c>
      <c r="D51" s="211" t="s">
        <v>281</v>
      </c>
    </row>
    <row r="52" spans="1:26" x14ac:dyDescent="0.2">
      <c r="D52" s="212" t="s">
        <v>282</v>
      </c>
      <c r="J52" s="5"/>
      <c r="L52" s="166">
        <f t="shared" ref="L52:O59" si="33">SUM(L3,L11,L19,L27,L35,L43)</f>
        <v>198045.21426971196</v>
      </c>
      <c r="M52" s="167">
        <f t="shared" ref="M52:N52" si="34">SUM(M3,M11,M19,M27,M35,M43)</f>
        <v>204369.45894781518</v>
      </c>
      <c r="N52" s="167">
        <f t="shared" si="34"/>
        <v>81845.496063135331</v>
      </c>
      <c r="O52" s="167">
        <f t="shared" si="33"/>
        <v>0</v>
      </c>
      <c r="P52" s="84">
        <f t="shared" ref="P52:P59" si="35">O52-M52</f>
        <v>-204369.45894781518</v>
      </c>
      <c r="Q52" s="34">
        <f t="shared" ref="Q52:Q59" si="36">P52/M52</f>
        <v>-1</v>
      </c>
      <c r="S52" s="19" t="s">
        <v>342</v>
      </c>
      <c r="T52" s="244" t="s">
        <v>336</v>
      </c>
      <c r="U52" s="7">
        <f>SUM(L52:L53)</f>
        <v>278496.53857468767</v>
      </c>
      <c r="V52" s="7">
        <f>SUM(N52:N53)</f>
        <v>81845.496063135331</v>
      </c>
      <c r="W52" s="7">
        <f>SUM(O52:O53)</f>
        <v>0</v>
      </c>
      <c r="X52" s="84">
        <f>W52-V52</f>
        <v>-81845.496063135331</v>
      </c>
      <c r="Y52" s="34">
        <f t="shared" ref="Y52" si="37">X52/V52</f>
        <v>-1</v>
      </c>
    </row>
    <row r="53" spans="1:26" x14ac:dyDescent="0.2">
      <c r="D53" s="212" t="s">
        <v>283</v>
      </c>
      <c r="L53" s="170">
        <f t="shared" si="33"/>
        <v>80451.324304975686</v>
      </c>
      <c r="M53" s="194">
        <f t="shared" ref="M53:N53" si="38">SUM(M4,M12,M20,M28,M36,M44)</f>
        <v>0</v>
      </c>
      <c r="N53" s="194">
        <f t="shared" si="38"/>
        <v>0</v>
      </c>
      <c r="O53" s="171">
        <f t="shared" si="33"/>
        <v>0</v>
      </c>
      <c r="P53" s="73">
        <f t="shared" si="35"/>
        <v>0</v>
      </c>
      <c r="Q53" s="36" t="e">
        <f t="shared" si="36"/>
        <v>#DIV/0!</v>
      </c>
      <c r="T53" s="245"/>
      <c r="Y53" s="245"/>
    </row>
    <row r="54" spans="1:26" x14ac:dyDescent="0.2">
      <c r="D54" s="212" t="s">
        <v>284</v>
      </c>
      <c r="J54" s="5"/>
      <c r="L54" s="170">
        <f t="shared" si="33"/>
        <v>370078.12376747857</v>
      </c>
      <c r="M54" s="194">
        <f t="shared" ref="M54:N54" si="39">SUM(M5,M13,M21,M29,M37,M45)</f>
        <v>567297.3471720505</v>
      </c>
      <c r="N54" s="194">
        <f t="shared" si="39"/>
        <v>230116.09234101206</v>
      </c>
      <c r="O54" s="171">
        <f t="shared" si="33"/>
        <v>0</v>
      </c>
      <c r="P54" s="73">
        <f t="shared" si="35"/>
        <v>-567297.3471720505</v>
      </c>
      <c r="Q54" s="36">
        <f t="shared" si="36"/>
        <v>-1</v>
      </c>
      <c r="T54" s="245" t="s">
        <v>337</v>
      </c>
      <c r="U54" s="5">
        <f>SUM(L54:L55)</f>
        <v>472722.00465649745</v>
      </c>
      <c r="V54" s="5">
        <f>SUM(N54:N55)</f>
        <v>230116.09234101206</v>
      </c>
      <c r="W54" s="5">
        <f>SUM(O54:O55)</f>
        <v>0</v>
      </c>
      <c r="X54" s="73">
        <f>W54-V54</f>
        <v>-230116.09234101206</v>
      </c>
      <c r="Y54" s="36">
        <f t="shared" ref="Y54" si="40">X54/V54</f>
        <v>-1</v>
      </c>
    </row>
    <row r="55" spans="1:26" x14ac:dyDescent="0.2">
      <c r="D55" s="213" t="s">
        <v>279</v>
      </c>
      <c r="L55" s="170">
        <f t="shared" si="33"/>
        <v>102643.88088901887</v>
      </c>
      <c r="M55" s="194">
        <f t="shared" ref="M55:N55" si="41">SUM(M6,M14,M22,M30,M38,M46)</f>
        <v>0</v>
      </c>
      <c r="N55" s="194">
        <f t="shared" si="41"/>
        <v>0</v>
      </c>
      <c r="O55" s="171">
        <f t="shared" si="33"/>
        <v>0</v>
      </c>
      <c r="P55" s="73">
        <f t="shared" si="35"/>
        <v>0</v>
      </c>
      <c r="Q55" s="36" t="e">
        <f t="shared" si="36"/>
        <v>#DIV/0!</v>
      </c>
      <c r="T55" s="245"/>
      <c r="Y55" s="245"/>
    </row>
    <row r="56" spans="1:26" x14ac:dyDescent="0.2">
      <c r="D56" s="213" t="s">
        <v>280</v>
      </c>
      <c r="J56" s="5"/>
      <c r="L56" s="201">
        <f t="shared" si="33"/>
        <v>310473.88703795488</v>
      </c>
      <c r="M56" s="206">
        <f t="shared" ref="M56:N56" si="42">SUM(M7,M15,M23,M31,M39,M47)</f>
        <v>467424.20911693037</v>
      </c>
      <c r="N56" s="206">
        <f t="shared" si="42"/>
        <v>190539.06906599089</v>
      </c>
      <c r="O56" s="206">
        <f t="shared" si="33"/>
        <v>0</v>
      </c>
      <c r="P56" s="207">
        <f t="shared" si="35"/>
        <v>-467424.20911693037</v>
      </c>
      <c r="Q56" s="202">
        <f t="shared" si="36"/>
        <v>-1</v>
      </c>
      <c r="T56" s="246" t="s">
        <v>338</v>
      </c>
      <c r="U56" s="243">
        <f>SUM(L56:L57)</f>
        <v>322495.36227141856</v>
      </c>
      <c r="V56" s="243">
        <f>SUM(N56:N57)</f>
        <v>190539.06906599089</v>
      </c>
      <c r="W56" s="243">
        <f>SUM(O56:O57)</f>
        <v>0</v>
      </c>
      <c r="X56" s="207">
        <f>W56-V56</f>
        <v>-190539.06906599089</v>
      </c>
      <c r="Y56" s="202">
        <f t="shared" ref="Y56" si="43">X56/V56</f>
        <v>-1</v>
      </c>
    </row>
    <row r="57" spans="1:26" x14ac:dyDescent="0.2">
      <c r="D57" s="212" t="s">
        <v>285</v>
      </c>
      <c r="L57" s="201">
        <f t="shared" si="33"/>
        <v>12021.47523346366</v>
      </c>
      <c r="M57" s="206">
        <f t="shared" ref="M57:N57" si="44">SUM(M8,M16,M24,M32,M40,M48)</f>
        <v>0</v>
      </c>
      <c r="N57" s="206">
        <f t="shared" si="44"/>
        <v>0</v>
      </c>
      <c r="O57" s="206">
        <f t="shared" si="33"/>
        <v>0</v>
      </c>
      <c r="P57" s="207">
        <f t="shared" si="35"/>
        <v>0</v>
      </c>
      <c r="Q57" s="202" t="e">
        <f t="shared" si="36"/>
        <v>#DIV/0!</v>
      </c>
      <c r="T57" s="245"/>
      <c r="Y57" s="245"/>
    </row>
    <row r="58" spans="1:26" x14ac:dyDescent="0.2">
      <c r="C58" s="18"/>
      <c r="D58" s="214" t="s">
        <v>286</v>
      </c>
      <c r="J58" s="5"/>
      <c r="L58" s="170">
        <f t="shared" si="33"/>
        <v>333825.42898780148</v>
      </c>
      <c r="M58" s="194">
        <f t="shared" ref="M58:N58" si="45">SUM(M9,M17,M25,M33,M41,M49)</f>
        <v>525759.59581835521</v>
      </c>
      <c r="N58" s="194">
        <f t="shared" si="45"/>
        <v>214650.29764061735</v>
      </c>
      <c r="O58" s="194">
        <f t="shared" si="33"/>
        <v>0</v>
      </c>
      <c r="P58" s="73">
        <f t="shared" si="35"/>
        <v>-525759.59581835521</v>
      </c>
      <c r="Q58" s="36">
        <f t="shared" si="36"/>
        <v>-1</v>
      </c>
      <c r="T58" s="245" t="s">
        <v>339</v>
      </c>
      <c r="U58" s="5">
        <f>SUM(L58:L59)</f>
        <v>357344.80080180633</v>
      </c>
      <c r="V58" s="5">
        <f>SUM(N58:N59)</f>
        <v>214650.29764061735</v>
      </c>
      <c r="W58" s="5">
        <f>SUM(O58:O59)</f>
        <v>0</v>
      </c>
      <c r="X58" s="73">
        <f>W58-V58</f>
        <v>-214650.29764061735</v>
      </c>
      <c r="Y58" s="36">
        <f t="shared" ref="Y58" si="46">X58/V58</f>
        <v>-1</v>
      </c>
    </row>
    <row r="59" spans="1:26" x14ac:dyDescent="0.2">
      <c r="L59" s="173">
        <f t="shared" si="33"/>
        <v>23519.371814004859</v>
      </c>
      <c r="M59" s="174">
        <f t="shared" ref="M59:N59" si="47">SUM(M10,M18,M26,M34,M42,M50)</f>
        <v>0</v>
      </c>
      <c r="N59" s="174">
        <f t="shared" si="47"/>
        <v>0</v>
      </c>
      <c r="O59" s="174">
        <f t="shared" si="33"/>
        <v>0</v>
      </c>
      <c r="P59" s="72">
        <f t="shared" si="35"/>
        <v>0</v>
      </c>
      <c r="Q59" s="39" t="e">
        <f t="shared" si="36"/>
        <v>#DIV/0!</v>
      </c>
      <c r="S59" s="18"/>
      <c r="T59" s="12"/>
      <c r="U59" s="248"/>
      <c r="V59" s="18"/>
      <c r="W59" s="18"/>
      <c r="X59" s="18"/>
      <c r="Y59" s="18"/>
      <c r="Z59" s="161"/>
    </row>
    <row r="60" spans="1:26" x14ac:dyDescent="0.2">
      <c r="L60" s="5">
        <f>SUM(L52:L59)</f>
        <v>1431058.70630441</v>
      </c>
      <c r="M60" s="5">
        <f>SUM(M52:M59)</f>
        <v>1764850.6110551513</v>
      </c>
      <c r="N60" s="5">
        <f>SUM(N52:N59)</f>
        <v>717150.95511075563</v>
      </c>
    </row>
  </sheetData>
  <mergeCells count="3">
    <mergeCell ref="L1:Q1"/>
    <mergeCell ref="AA3:AF5"/>
    <mergeCell ref="S1:Y1"/>
  </mergeCells>
  <pageMargins left="0.7" right="0.7" top="0.75" bottom="0.75" header="0.3" footer="0.3"/>
  <pageSetup orientation="portrait" r:id="rId1"/>
  <ignoredErrors>
    <ignoredError sqref="F44:F46 F4:F6 F12:F14 F20:F22 F28:F30 F36:F38 F3 F11 F19 F27 F35 F43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A1:BO125"/>
  <sheetViews>
    <sheetView zoomScaleNormal="100" workbookViewId="0">
      <pane ySplit="1" topLeftCell="A41" activePane="bottomLeft" state="frozen"/>
      <selection activeCell="M1" sqref="M1"/>
      <selection pane="bottomLeft" activeCell="B101" sqref="B101"/>
    </sheetView>
  </sheetViews>
  <sheetFormatPr defaultRowHeight="12.75" x14ac:dyDescent="0.2"/>
  <cols>
    <col min="1" max="1" width="11.42578125" style="1" customWidth="1"/>
    <col min="2" max="6" width="8.7109375" style="1" customWidth="1"/>
    <col min="7" max="7" width="4.7109375" style="1" customWidth="1"/>
    <col min="8" max="8" width="11.42578125" style="1" customWidth="1"/>
    <col min="9" max="11" width="8.7109375" style="1" customWidth="1"/>
    <col min="12" max="12" width="9.5703125" style="1" customWidth="1"/>
    <col min="13" max="13" width="9.7109375" style="1" customWidth="1"/>
    <col min="14" max="14" width="12.140625" style="1" customWidth="1"/>
    <col min="15" max="18" width="8.7109375" style="1" customWidth="1"/>
    <col min="19" max="19" width="4.7109375" style="1" customWidth="1"/>
    <col min="20" max="20" width="11.140625" style="1" customWidth="1"/>
    <col min="21" max="24" width="8.7109375" style="1" customWidth="1"/>
    <col min="25" max="25" width="4.42578125" style="1" customWidth="1"/>
    <col min="26" max="26" width="11.140625" style="1" customWidth="1"/>
    <col min="27" max="30" width="8.7109375" style="1" customWidth="1"/>
    <col min="31" max="31" width="4.7109375" style="1" customWidth="1"/>
    <col min="32" max="32" width="11.140625" style="1" customWidth="1"/>
    <col min="33" max="36" width="8.7109375" style="1" customWidth="1"/>
    <col min="37" max="37" width="5.42578125" style="1" customWidth="1"/>
    <col min="38" max="38" width="11.140625" style="1" customWidth="1"/>
    <col min="39" max="41" width="8.7109375" style="1" customWidth="1"/>
    <col min="42" max="42" width="7.5703125" style="1" customWidth="1"/>
    <col min="43" max="43" width="5.7109375" style="1" customWidth="1"/>
    <col min="44" max="44" width="12.7109375" style="1" customWidth="1"/>
    <col min="45" max="47" width="8.7109375" style="1" customWidth="1"/>
    <col min="48" max="48" width="5.28515625" style="1" customWidth="1"/>
    <col min="49" max="49" width="11.140625" style="1" customWidth="1"/>
    <col min="50" max="52" width="8.7109375" style="1" customWidth="1"/>
    <col min="53" max="53" width="3.140625" style="1" customWidth="1"/>
    <col min="54" max="54" width="12.42578125" style="1" customWidth="1"/>
    <col min="55" max="57" width="8.7109375" style="1" customWidth="1"/>
    <col min="58" max="58" width="3.7109375" style="1" customWidth="1"/>
    <col min="59" max="59" width="13" style="1" customWidth="1"/>
    <col min="60" max="67" width="7.28515625" style="60" customWidth="1"/>
    <col min="68" max="16384" width="9.140625" style="1"/>
  </cols>
  <sheetData>
    <row r="1" spans="1:67" s="21" customFormat="1" ht="13.5" customHeight="1" x14ac:dyDescent="0.2">
      <c r="A1" s="20" t="s">
        <v>29</v>
      </c>
      <c r="H1" s="20" t="s">
        <v>170</v>
      </c>
      <c r="N1" s="20" t="s">
        <v>59</v>
      </c>
      <c r="T1" s="20" t="s">
        <v>167</v>
      </c>
      <c r="Z1" s="20" t="s">
        <v>168</v>
      </c>
      <c r="AF1" s="20" t="s">
        <v>169</v>
      </c>
      <c r="AL1" s="20" t="s">
        <v>166</v>
      </c>
      <c r="AR1" s="20" t="s">
        <v>112</v>
      </c>
      <c r="AW1" s="20" t="s">
        <v>116</v>
      </c>
      <c r="BB1" s="20" t="s">
        <v>117</v>
      </c>
      <c r="BG1" s="20" t="s">
        <v>146</v>
      </c>
      <c r="BH1" s="215"/>
      <c r="BI1" s="215"/>
      <c r="BJ1" s="215"/>
      <c r="BK1" s="215"/>
      <c r="BL1" s="215"/>
      <c r="BM1" s="215"/>
      <c r="BN1" s="215"/>
      <c r="BO1" s="215"/>
    </row>
    <row r="2" spans="1:67" s="16" customFormat="1" x14ac:dyDescent="0.2">
      <c r="A2" s="15" t="s">
        <v>30</v>
      </c>
      <c r="H2" s="15" t="s">
        <v>30</v>
      </c>
      <c r="N2" s="15" t="s">
        <v>30</v>
      </c>
      <c r="T2" s="15" t="s">
        <v>30</v>
      </c>
      <c r="Z2" s="15" t="s">
        <v>30</v>
      </c>
      <c r="AF2" s="15" t="s">
        <v>30</v>
      </c>
      <c r="AL2" s="15" t="s">
        <v>30</v>
      </c>
      <c r="AR2" s="15" t="s">
        <v>30</v>
      </c>
      <c r="AW2" s="15" t="s">
        <v>30</v>
      </c>
      <c r="BB2" s="15" t="s">
        <v>30</v>
      </c>
      <c r="BG2" s="15" t="s">
        <v>30</v>
      </c>
      <c r="BH2" s="216" t="s">
        <v>139</v>
      </c>
      <c r="BI2" s="217" t="s">
        <v>140</v>
      </c>
      <c r="BJ2" s="217" t="s">
        <v>139</v>
      </c>
      <c r="BK2" s="217" t="s">
        <v>140</v>
      </c>
      <c r="BL2" s="217" t="s">
        <v>139</v>
      </c>
      <c r="BM2" s="217" t="s">
        <v>140</v>
      </c>
      <c r="BN2" s="217" t="s">
        <v>139</v>
      </c>
      <c r="BO2" s="217" t="s">
        <v>140</v>
      </c>
    </row>
    <row r="3" spans="1:67" ht="38.25" x14ac:dyDescent="0.2">
      <c r="B3" s="14" t="s">
        <v>38</v>
      </c>
      <c r="C3" s="14" t="s">
        <v>37</v>
      </c>
      <c r="D3" s="14" t="s">
        <v>0</v>
      </c>
      <c r="E3" s="17" t="s">
        <v>1</v>
      </c>
      <c r="F3" s="17"/>
      <c r="G3" s="17"/>
      <c r="I3" s="14" t="s">
        <v>38</v>
      </c>
      <c r="J3" s="14" t="s">
        <v>37</v>
      </c>
      <c r="K3" s="14" t="s">
        <v>0</v>
      </c>
      <c r="L3" s="17" t="s">
        <v>1</v>
      </c>
      <c r="O3" s="14" t="s">
        <v>38</v>
      </c>
      <c r="P3" s="14" t="s">
        <v>37</v>
      </c>
      <c r="Q3" s="14" t="s">
        <v>0</v>
      </c>
      <c r="R3" s="17" t="s">
        <v>1</v>
      </c>
      <c r="T3" s="56"/>
      <c r="U3" s="14" t="s">
        <v>38</v>
      </c>
      <c r="V3" s="14" t="s">
        <v>37</v>
      </c>
      <c r="W3" s="14" t="s">
        <v>0</v>
      </c>
      <c r="X3" s="17" t="s">
        <v>1</v>
      </c>
      <c r="Z3" s="56"/>
      <c r="AA3" s="14" t="s">
        <v>38</v>
      </c>
      <c r="AB3" s="14" t="s">
        <v>37</v>
      </c>
      <c r="AC3" s="14" t="s">
        <v>0</v>
      </c>
      <c r="AD3" s="17" t="s">
        <v>1</v>
      </c>
      <c r="AG3" s="14" t="s">
        <v>38</v>
      </c>
      <c r="AH3" s="14" t="s">
        <v>37</v>
      </c>
      <c r="AI3" s="14" t="s">
        <v>0</v>
      </c>
      <c r="AJ3" s="17" t="s">
        <v>1</v>
      </c>
      <c r="AM3" s="14" t="s">
        <v>38</v>
      </c>
      <c r="AN3" s="14" t="s">
        <v>37</v>
      </c>
      <c r="AO3" s="14" t="s">
        <v>0</v>
      </c>
      <c r="AP3" s="17" t="s">
        <v>1</v>
      </c>
      <c r="AS3" s="14" t="s">
        <v>38</v>
      </c>
      <c r="AT3" s="14" t="s">
        <v>37</v>
      </c>
      <c r="AU3" s="14" t="s">
        <v>0</v>
      </c>
      <c r="AV3" s="17"/>
      <c r="AW3" s="53">
        <v>0</v>
      </c>
      <c r="AX3" s="14" t="s">
        <v>38</v>
      </c>
      <c r="AY3" s="14" t="s">
        <v>37</v>
      </c>
      <c r="AZ3" s="14" t="s">
        <v>0</v>
      </c>
      <c r="BC3" s="14" t="s">
        <v>118</v>
      </c>
      <c r="BD3" s="14" t="s">
        <v>119</v>
      </c>
      <c r="BE3" s="14" t="s">
        <v>0</v>
      </c>
      <c r="BH3" s="218" t="s">
        <v>142</v>
      </c>
      <c r="BI3" s="218" t="s">
        <v>142</v>
      </c>
      <c r="BJ3" s="218" t="s">
        <v>143</v>
      </c>
      <c r="BK3" s="218" t="s">
        <v>143</v>
      </c>
      <c r="BL3" s="218" t="s">
        <v>144</v>
      </c>
      <c r="BM3" s="218" t="s">
        <v>145</v>
      </c>
      <c r="BN3" s="219" t="s">
        <v>141</v>
      </c>
      <c r="BO3" s="219" t="s">
        <v>141</v>
      </c>
    </row>
    <row r="4" spans="1:67" x14ac:dyDescent="0.2">
      <c r="A4" s="1" t="s">
        <v>2</v>
      </c>
      <c r="B4" s="6">
        <f>targets!O9</f>
        <v>27952.067790031557</v>
      </c>
      <c r="C4" s="7">
        <f>targets!P9</f>
        <v>5601.3280652345202</v>
      </c>
      <c r="D4" s="8">
        <f>targets!Q9</f>
        <v>53429.223215084799</v>
      </c>
      <c r="E4" s="5">
        <f>SUM(B4:D4)</f>
        <v>86982.619070350876</v>
      </c>
      <c r="F4" s="5"/>
      <c r="G4" s="5"/>
      <c r="H4" s="1" t="s">
        <v>2</v>
      </c>
      <c r="I4" s="6">
        <f>B4*(($O$14)/($B$14))</f>
        <v>0</v>
      </c>
      <c r="J4" s="7">
        <f>C4*($P$14/$C$14)</f>
        <v>0</v>
      </c>
      <c r="K4" s="8">
        <f>D4*($Q$14/$D$14)</f>
        <v>0</v>
      </c>
      <c r="L4" s="5">
        <f>SUM(I4:K4)</f>
        <v>0</v>
      </c>
      <c r="N4" s="1" t="s">
        <v>2</v>
      </c>
      <c r="O4" s="6">
        <f t="array" ref="O4">SUM(IF((modeldata!$I:$I=$N$2)*(modeldata!$H:$H=calibration_simplemodes!$N4),modeldata!D:D,0))</f>
        <v>0</v>
      </c>
      <c r="P4" s="7">
        <f t="array" ref="P4">SUM(IF((modeldata!$I:$I=$N$2)*(modeldata!$H:$H=calibration_simplemodes!$N4),modeldata!E:E,0))</f>
        <v>0</v>
      </c>
      <c r="Q4" s="8">
        <f t="array" ref="Q4">SUM(IF((modeldata!$I:$I=$N$2)*(modeldata!$H:$H=calibration_simplemodes!$N4),modeldata!F:F,0))</f>
        <v>0</v>
      </c>
      <c r="R4" s="5">
        <f>SUM(O4:Q4)</f>
        <v>0</v>
      </c>
      <c r="S4" s="60"/>
      <c r="T4" s="1" t="s">
        <v>2</v>
      </c>
      <c r="U4" s="22" t="e">
        <f>I4/I14</f>
        <v>#DIV/0!</v>
      </c>
      <c r="V4" s="26" t="e">
        <f>J4/J14</f>
        <v>#DIV/0!</v>
      </c>
      <c r="W4" s="27" t="e">
        <f>K4/K14</f>
        <v>#DIV/0!</v>
      </c>
      <c r="X4" s="25" t="e">
        <f>L4/L14</f>
        <v>#DIV/0!</v>
      </c>
      <c r="Z4" s="1" t="s">
        <v>2</v>
      </c>
      <c r="AA4" s="57" t="e">
        <f>O4/O14</f>
        <v>#DIV/0!</v>
      </c>
      <c r="AB4" s="58" t="e">
        <f>P4/P14</f>
        <v>#DIV/0!</v>
      </c>
      <c r="AC4" s="59" t="e">
        <f>Q4/Q14</f>
        <v>#DIV/0!</v>
      </c>
      <c r="AD4" s="60" t="e">
        <f>R4/R14</f>
        <v>#DIV/0!</v>
      </c>
      <c r="AF4" s="1" t="s">
        <v>2</v>
      </c>
      <c r="AG4" s="83">
        <f>O4-I4</f>
        <v>0</v>
      </c>
      <c r="AH4" s="84">
        <f t="shared" ref="AH4:AH14" si="0">P4-J4</f>
        <v>0</v>
      </c>
      <c r="AI4" s="85">
        <f t="shared" ref="AI4:AI14" si="1">Q4-K4</f>
        <v>0</v>
      </c>
      <c r="AJ4" s="73">
        <f t="shared" ref="AJ4:AJ14" si="2">R4-L4</f>
        <v>0</v>
      </c>
      <c r="AL4" s="1" t="s">
        <v>2</v>
      </c>
      <c r="AM4" s="31" t="e">
        <f>AA4-U4</f>
        <v>#DIV/0!</v>
      </c>
      <c r="AN4" s="33" t="e">
        <f t="shared" ref="AN4:AN14" si="3">AB4-V4</f>
        <v>#DIV/0!</v>
      </c>
      <c r="AO4" s="34" t="e">
        <f t="shared" ref="AO4:AO14" si="4">AC4-W4</f>
        <v>#DIV/0!</v>
      </c>
      <c r="AP4" s="32" t="e">
        <f t="shared" ref="AP4:AP14" si="5">AD4-X4</f>
        <v>#DIV/0!</v>
      </c>
      <c r="AR4" s="1" t="s">
        <v>2</v>
      </c>
      <c r="AS4" s="44">
        <f ca="1">OFFSET(work_existing,0,0)</f>
        <v>6.166821093201861</v>
      </c>
      <c r="AT4" s="45">
        <f ca="1">OFFSET(work_existing,1,0)</f>
        <v>3.1036383775144252</v>
      </c>
      <c r="AU4" s="46">
        <f ca="1">OFFSET(work_existing,2,0)</f>
        <v>-0.23375440911945508</v>
      </c>
      <c r="AV4" s="32"/>
      <c r="AW4" s="1" t="s">
        <v>2</v>
      </c>
      <c r="AX4" s="44" t="e">
        <f t="shared" ref="AX4:AZ10" si="6">IF(AND(U4&gt;0, AA4&gt;0),work_damp*LN(U4/AA4),0)</f>
        <v>#DIV/0!</v>
      </c>
      <c r="AY4" s="45" t="e">
        <f t="shared" si="6"/>
        <v>#DIV/0!</v>
      </c>
      <c r="AZ4" s="46" t="e">
        <f t="shared" si="6"/>
        <v>#DIV/0!</v>
      </c>
      <c r="BB4" s="1" t="s">
        <v>2</v>
      </c>
      <c r="BC4" s="44" t="e">
        <f ca="1">AS4+AX4-AX6</f>
        <v>#DIV/0!</v>
      </c>
      <c r="BD4" s="45" t="e">
        <f ca="1">AT4+AY4-AY6</f>
        <v>#DIV/0!</v>
      </c>
      <c r="BE4" s="46" t="e">
        <f ca="1">AU4+AZ4-AZ6</f>
        <v>#DIV/0!</v>
      </c>
      <c r="BG4" s="1" t="s">
        <v>2</v>
      </c>
      <c r="BH4" s="57" t="e">
        <f>U4</f>
        <v>#DIV/0!</v>
      </c>
      <c r="BI4" s="59" t="e">
        <f>AA4</f>
        <v>#DIV/0!</v>
      </c>
      <c r="BJ4" s="57" t="e">
        <f>V4</f>
        <v>#DIV/0!</v>
      </c>
      <c r="BK4" s="59" t="e">
        <f>AB4</f>
        <v>#DIV/0!</v>
      </c>
      <c r="BL4" s="57" t="e">
        <f>W4</f>
        <v>#DIV/0!</v>
      </c>
      <c r="BM4" s="59" t="e">
        <f>AC4</f>
        <v>#DIV/0!</v>
      </c>
      <c r="BN4" s="58" t="e">
        <f>X4</f>
        <v>#DIV/0!</v>
      </c>
      <c r="BO4" s="59" t="e">
        <f>AD4</f>
        <v>#DIV/0!</v>
      </c>
    </row>
    <row r="5" spans="1:67" x14ac:dyDescent="0.2">
      <c r="A5" s="1" t="s">
        <v>31</v>
      </c>
      <c r="B5" s="9">
        <f>targets!O10</f>
        <v>12039.232524182757</v>
      </c>
      <c r="C5" s="5">
        <f>targets!P10</f>
        <v>14287.117913934562</v>
      </c>
      <c r="D5" s="10">
        <f>targets!Q10</f>
        <v>29180.860161217795</v>
      </c>
      <c r="E5" s="5">
        <f t="shared" ref="E5:E13" si="7">SUM(B5:D5)</f>
        <v>55507.210599335114</v>
      </c>
      <c r="F5" s="5"/>
      <c r="G5" s="5"/>
      <c r="H5" s="1" t="s">
        <v>31</v>
      </c>
      <c r="I5" s="9">
        <f t="shared" ref="I5:I13" si="8">B5*(($O$14)/($B$14))</f>
        <v>0</v>
      </c>
      <c r="J5" s="5">
        <f t="shared" ref="J5:J13" si="9">C5*($P$14/$C$14)</f>
        <v>0</v>
      </c>
      <c r="K5" s="10">
        <f t="shared" ref="K5:K13" si="10">D5*($Q$14/$D$14)</f>
        <v>0</v>
      </c>
      <c r="L5" s="5">
        <f t="shared" ref="L5:L11" si="11">SUM(I5:K5)</f>
        <v>0</v>
      </c>
      <c r="N5" s="1" t="s">
        <v>31</v>
      </c>
      <c r="O5" s="9">
        <f t="array" ref="O5">SUM(IF((modeldata!$I:$I=$N$2)*(modeldata!$H:$H=calibration_simplemodes!$N5),modeldata!D:D,0))</f>
        <v>0</v>
      </c>
      <c r="P5" s="5">
        <f t="array" ref="P5">SUM(IF((modeldata!$I:$I=$N$2)*(modeldata!$H:$H=calibration_simplemodes!$N5),modeldata!E:E,0))</f>
        <v>0</v>
      </c>
      <c r="Q5" s="10">
        <f t="array" ref="Q5">SUM(IF((modeldata!$I:$I=$N$2)*(modeldata!$H:$H=calibration_simplemodes!$N5),modeldata!F:F,0))</f>
        <v>0</v>
      </c>
      <c r="R5" s="5">
        <f t="shared" ref="R5:R14" si="12">SUM(O5:Q5)</f>
        <v>0</v>
      </c>
      <c r="S5" s="60"/>
      <c r="T5" s="1" t="s">
        <v>31</v>
      </c>
      <c r="U5" s="23" t="e">
        <f>I5/I14</f>
        <v>#DIV/0!</v>
      </c>
      <c r="V5" s="25" t="e">
        <f>J5/J14</f>
        <v>#DIV/0!</v>
      </c>
      <c r="W5" s="28" t="e">
        <f>K5/K14</f>
        <v>#DIV/0!</v>
      </c>
      <c r="X5" s="25" t="e">
        <f>L5/L14</f>
        <v>#DIV/0!</v>
      </c>
      <c r="Z5" s="1" t="s">
        <v>31</v>
      </c>
      <c r="AA5" s="61" t="e">
        <f>O5/O14</f>
        <v>#DIV/0!</v>
      </c>
      <c r="AB5" s="60" t="e">
        <f>P5/P14</f>
        <v>#DIV/0!</v>
      </c>
      <c r="AC5" s="62" t="e">
        <f>Q5/Q14</f>
        <v>#DIV/0!</v>
      </c>
      <c r="AD5" s="60" t="e">
        <f>R5/R14</f>
        <v>#DIV/0!</v>
      </c>
      <c r="AF5" s="1" t="s">
        <v>31</v>
      </c>
      <c r="AG5" s="86">
        <f t="shared" ref="AG5:AG14" si="13">O5-I5</f>
        <v>0</v>
      </c>
      <c r="AH5" s="73">
        <f t="shared" si="0"/>
        <v>0</v>
      </c>
      <c r="AI5" s="87">
        <f t="shared" si="1"/>
        <v>0</v>
      </c>
      <c r="AJ5" s="73">
        <f t="shared" si="2"/>
        <v>0</v>
      </c>
      <c r="AL5" s="1" t="s">
        <v>31</v>
      </c>
      <c r="AM5" s="35" t="e">
        <f t="shared" ref="AM5:AM14" si="14">AA5-U5</f>
        <v>#DIV/0!</v>
      </c>
      <c r="AN5" s="32" t="e">
        <f t="shared" si="3"/>
        <v>#DIV/0!</v>
      </c>
      <c r="AO5" s="36" t="e">
        <f t="shared" si="4"/>
        <v>#DIV/0!</v>
      </c>
      <c r="AP5" s="32" t="e">
        <f t="shared" si="5"/>
        <v>#DIV/0!</v>
      </c>
      <c r="AR5" s="1" t="s">
        <v>31</v>
      </c>
      <c r="AS5" s="47">
        <f ca="1">OFFSET(work_existing,3,0)</f>
        <v>5.0031301237750112</v>
      </c>
      <c r="AT5" s="48">
        <f ca="1">OFFSET(work_existing,4,0)</f>
        <v>1.4103832165105781</v>
      </c>
      <c r="AU5" s="49">
        <f ca="1">OFFSET(work_existing,5,0)</f>
        <v>-0.92826848365333126</v>
      </c>
      <c r="AV5" s="32"/>
      <c r="AW5" s="1" t="s">
        <v>31</v>
      </c>
      <c r="AX5" s="47" t="e">
        <f t="shared" si="6"/>
        <v>#DIV/0!</v>
      </c>
      <c r="AY5" s="48" t="e">
        <f t="shared" si="6"/>
        <v>#DIV/0!</v>
      </c>
      <c r="AZ5" s="49" t="e">
        <f t="shared" si="6"/>
        <v>#DIV/0!</v>
      </c>
      <c r="BB5" s="1" t="s">
        <v>31</v>
      </c>
      <c r="BC5" s="47" t="e">
        <f ca="1">AS5+AX5-AX6</f>
        <v>#DIV/0!</v>
      </c>
      <c r="BD5" s="48" t="e">
        <f ca="1">AT5+AY5-AY6</f>
        <v>#DIV/0!</v>
      </c>
      <c r="BE5" s="49" t="e">
        <f ca="1">AU5+AZ5-AZ6</f>
        <v>#DIV/0!</v>
      </c>
      <c r="BG5" s="1" t="s">
        <v>31</v>
      </c>
      <c r="BH5" s="61" t="e">
        <f t="shared" ref="BH5:BH11" si="15">U5</f>
        <v>#DIV/0!</v>
      </c>
      <c r="BI5" s="62" t="e">
        <f t="shared" ref="BI5:BI11" si="16">AA5</f>
        <v>#DIV/0!</v>
      </c>
      <c r="BJ5" s="61" t="e">
        <f t="shared" ref="BJ5:BJ11" si="17">V5</f>
        <v>#DIV/0!</v>
      </c>
      <c r="BK5" s="62" t="e">
        <f t="shared" ref="BK5:BK11" si="18">AB5</f>
        <v>#DIV/0!</v>
      </c>
      <c r="BL5" s="61" t="e">
        <f t="shared" ref="BL5:BL11" si="19">W5</f>
        <v>#DIV/0!</v>
      </c>
      <c r="BM5" s="62" t="e">
        <f t="shared" ref="BM5:BM11" si="20">AC5</f>
        <v>#DIV/0!</v>
      </c>
      <c r="BN5" s="60" t="e">
        <f t="shared" ref="BN5:BN11" si="21">X5</f>
        <v>#DIV/0!</v>
      </c>
      <c r="BO5" s="62" t="e">
        <f t="shared" ref="BO5:BO11" si="22">AD5</f>
        <v>#DIV/0!</v>
      </c>
    </row>
    <row r="6" spans="1:67" x14ac:dyDescent="0.2">
      <c r="A6" s="1" t="s">
        <v>32</v>
      </c>
      <c r="B6" s="9">
        <f>targets!O6</f>
        <v>0</v>
      </c>
      <c r="C6" s="5">
        <f>targets!P6</f>
        <v>72457.185875433643</v>
      </c>
      <c r="D6" s="10">
        <f>targets!Q6</f>
        <v>1049945.8093882001</v>
      </c>
      <c r="E6" s="5">
        <f t="shared" si="7"/>
        <v>1122402.9952636338</v>
      </c>
      <c r="F6" s="5"/>
      <c r="G6" s="5"/>
      <c r="H6" s="1" t="s">
        <v>32</v>
      </c>
      <c r="I6" s="9">
        <f t="shared" si="8"/>
        <v>0</v>
      </c>
      <c r="J6" s="5">
        <f t="shared" si="9"/>
        <v>0</v>
      </c>
      <c r="K6" s="10">
        <f t="shared" si="10"/>
        <v>0</v>
      </c>
      <c r="L6" s="5">
        <f t="shared" si="11"/>
        <v>0</v>
      </c>
      <c r="N6" s="1" t="s">
        <v>32</v>
      </c>
      <c r="O6" s="9">
        <f t="array" ref="O6">SUM(IF((modeldata!$I:$I=$N$2)*(modeldata!$H:$H=calibration_simplemodes!$N6),modeldata!D:D,0))</f>
        <v>0</v>
      </c>
      <c r="P6" s="5">
        <f t="array" ref="P6">SUM(IF((modeldata!$I:$I=$N$2)*(modeldata!$H:$H=calibration_simplemodes!$N6),modeldata!E:E,0))</f>
        <v>0</v>
      </c>
      <c r="Q6" s="10">
        <f t="array" ref="Q6">SUM(IF((modeldata!$I:$I=$N$2)*(modeldata!$H:$H=calibration_simplemodes!$N6),modeldata!F:F,0))</f>
        <v>0</v>
      </c>
      <c r="R6" s="5">
        <f t="shared" si="12"/>
        <v>0</v>
      </c>
      <c r="S6" s="60"/>
      <c r="T6" s="1" t="s">
        <v>32</v>
      </c>
      <c r="U6" s="23" t="e">
        <f>I6/I14</f>
        <v>#DIV/0!</v>
      </c>
      <c r="V6" s="25" t="e">
        <f>J6/J14</f>
        <v>#DIV/0!</v>
      </c>
      <c r="W6" s="28" t="e">
        <f>K6/K14</f>
        <v>#DIV/0!</v>
      </c>
      <c r="X6" s="25" t="e">
        <f>L6/L14</f>
        <v>#DIV/0!</v>
      </c>
      <c r="Z6" s="1" t="s">
        <v>32</v>
      </c>
      <c r="AA6" s="61" t="e">
        <f>O6/O14</f>
        <v>#DIV/0!</v>
      </c>
      <c r="AB6" s="60" t="e">
        <f>P6/P14</f>
        <v>#DIV/0!</v>
      </c>
      <c r="AC6" s="62" t="e">
        <f>Q6/Q14</f>
        <v>#DIV/0!</v>
      </c>
      <c r="AD6" s="60" t="e">
        <f>R6/R14</f>
        <v>#DIV/0!</v>
      </c>
      <c r="AF6" s="1" t="s">
        <v>32</v>
      </c>
      <c r="AG6" s="86">
        <f t="shared" si="13"/>
        <v>0</v>
      </c>
      <c r="AH6" s="73">
        <f t="shared" si="0"/>
        <v>0</v>
      </c>
      <c r="AI6" s="87">
        <f t="shared" si="1"/>
        <v>0</v>
      </c>
      <c r="AJ6" s="73">
        <f t="shared" si="2"/>
        <v>0</v>
      </c>
      <c r="AL6" s="1" t="s">
        <v>32</v>
      </c>
      <c r="AM6" s="35" t="e">
        <f t="shared" si="14"/>
        <v>#DIV/0!</v>
      </c>
      <c r="AN6" s="32" t="e">
        <f t="shared" si="3"/>
        <v>#DIV/0!</v>
      </c>
      <c r="AO6" s="36" t="e">
        <f t="shared" si="4"/>
        <v>#DIV/0!</v>
      </c>
      <c r="AP6" s="32" t="e">
        <f t="shared" si="5"/>
        <v>#DIV/0!</v>
      </c>
      <c r="AR6" s="1" t="s">
        <v>32</v>
      </c>
      <c r="AS6" s="47">
        <v>0</v>
      </c>
      <c r="AT6" s="48">
        <v>0</v>
      </c>
      <c r="AU6" s="49">
        <v>0</v>
      </c>
      <c r="AV6" s="32"/>
      <c r="AW6" s="1" t="s">
        <v>32</v>
      </c>
      <c r="AX6" s="47" t="e">
        <f t="shared" si="6"/>
        <v>#DIV/0!</v>
      </c>
      <c r="AY6" s="48" t="e">
        <f t="shared" si="6"/>
        <v>#DIV/0!</v>
      </c>
      <c r="AZ6" s="49" t="e">
        <f t="shared" si="6"/>
        <v>#DIV/0!</v>
      </c>
      <c r="BB6" s="1" t="s">
        <v>32</v>
      </c>
      <c r="BC6" s="47" t="e">
        <f>AS6+AX6-AX6</f>
        <v>#DIV/0!</v>
      </c>
      <c r="BD6" s="48" t="e">
        <f>AT6+AY6-AY6</f>
        <v>#DIV/0!</v>
      </c>
      <c r="BE6" s="49" t="e">
        <f>AU6+AZ6-AZ6</f>
        <v>#DIV/0!</v>
      </c>
      <c r="BG6" s="1" t="s">
        <v>32</v>
      </c>
      <c r="BH6" s="61" t="e">
        <f t="shared" si="15"/>
        <v>#DIV/0!</v>
      </c>
      <c r="BI6" s="62" t="e">
        <f t="shared" si="16"/>
        <v>#DIV/0!</v>
      </c>
      <c r="BJ6" s="61" t="e">
        <f t="shared" si="17"/>
        <v>#DIV/0!</v>
      </c>
      <c r="BK6" s="62" t="e">
        <f t="shared" si="18"/>
        <v>#DIV/0!</v>
      </c>
      <c r="BL6" s="61" t="e">
        <f t="shared" si="19"/>
        <v>#DIV/0!</v>
      </c>
      <c r="BM6" s="62" t="e">
        <f t="shared" si="20"/>
        <v>#DIV/0!</v>
      </c>
      <c r="BN6" s="60" t="e">
        <f t="shared" si="21"/>
        <v>#DIV/0!</v>
      </c>
      <c r="BO6" s="62" t="e">
        <f t="shared" si="22"/>
        <v>#DIV/0!</v>
      </c>
    </row>
    <row r="7" spans="1:67" x14ac:dyDescent="0.2">
      <c r="A7" s="1" t="s">
        <v>33</v>
      </c>
      <c r="B7" s="9">
        <f>targets!O7</f>
        <v>5259.0990964169914</v>
      </c>
      <c r="C7" s="5">
        <f>targets!P7</f>
        <v>55985.316365278515</v>
      </c>
      <c r="D7" s="10">
        <f>targets!Q7</f>
        <v>251536.52216623956</v>
      </c>
      <c r="E7" s="5">
        <f t="shared" si="7"/>
        <v>312780.93762793508</v>
      </c>
      <c r="F7" s="5"/>
      <c r="G7" s="5"/>
      <c r="H7" s="1" t="s">
        <v>33</v>
      </c>
      <c r="I7" s="9">
        <f t="shared" si="8"/>
        <v>0</v>
      </c>
      <c r="J7" s="5">
        <f t="shared" si="9"/>
        <v>0</v>
      </c>
      <c r="K7" s="10">
        <f t="shared" si="10"/>
        <v>0</v>
      </c>
      <c r="L7" s="5">
        <f t="shared" si="11"/>
        <v>0</v>
      </c>
      <c r="N7" s="1" t="s">
        <v>33</v>
      </c>
      <c r="O7" s="9">
        <f t="array" ref="O7">SUM(IF((modeldata!$I:$I=$N$2)*(modeldata!$H:$H=calibration_simplemodes!$N7),modeldata!D:D,0))</f>
        <v>0</v>
      </c>
      <c r="P7" s="5">
        <f t="array" ref="P7">SUM(IF((modeldata!$I:$I=$N$2)*(modeldata!$H:$H=calibration_simplemodes!$N7),modeldata!E:E,0))</f>
        <v>0</v>
      </c>
      <c r="Q7" s="10">
        <f t="array" ref="Q7">SUM(IF((modeldata!$I:$I=$N$2)*(modeldata!$H:$H=calibration_simplemodes!$N7),modeldata!F:F,0))</f>
        <v>0</v>
      </c>
      <c r="R7" s="5">
        <f t="shared" si="12"/>
        <v>0</v>
      </c>
      <c r="S7" s="60"/>
      <c r="T7" s="1" t="s">
        <v>33</v>
      </c>
      <c r="U7" s="23" t="e">
        <f>I7/I14</f>
        <v>#DIV/0!</v>
      </c>
      <c r="V7" s="25" t="e">
        <f>J7/J14</f>
        <v>#DIV/0!</v>
      </c>
      <c r="W7" s="28" t="e">
        <f>K7/K14</f>
        <v>#DIV/0!</v>
      </c>
      <c r="X7" s="25" t="e">
        <f>L7/L14</f>
        <v>#DIV/0!</v>
      </c>
      <c r="Z7" s="1" t="s">
        <v>33</v>
      </c>
      <c r="AA7" s="61" t="e">
        <f>O7/O14</f>
        <v>#DIV/0!</v>
      </c>
      <c r="AB7" s="60" t="e">
        <f>P7/P14</f>
        <v>#DIV/0!</v>
      </c>
      <c r="AC7" s="62" t="e">
        <f>Q7/Q14</f>
        <v>#DIV/0!</v>
      </c>
      <c r="AD7" s="60" t="e">
        <f>R7/R14</f>
        <v>#DIV/0!</v>
      </c>
      <c r="AF7" s="1" t="s">
        <v>33</v>
      </c>
      <c r="AG7" s="86">
        <f t="shared" si="13"/>
        <v>0</v>
      </c>
      <c r="AH7" s="73">
        <f t="shared" si="0"/>
        <v>0</v>
      </c>
      <c r="AI7" s="87">
        <f t="shared" si="1"/>
        <v>0</v>
      </c>
      <c r="AJ7" s="73">
        <f t="shared" si="2"/>
        <v>0</v>
      </c>
      <c r="AL7" s="1" t="s">
        <v>33</v>
      </c>
      <c r="AM7" s="35" t="e">
        <f t="shared" si="14"/>
        <v>#DIV/0!</v>
      </c>
      <c r="AN7" s="32" t="e">
        <f t="shared" si="3"/>
        <v>#DIV/0!</v>
      </c>
      <c r="AO7" s="36" t="e">
        <f t="shared" si="4"/>
        <v>#DIV/0!</v>
      </c>
      <c r="AP7" s="32" t="e">
        <f t="shared" si="5"/>
        <v>#DIV/0!</v>
      </c>
      <c r="AR7" s="1" t="s">
        <v>33</v>
      </c>
      <c r="AS7" s="47">
        <f ca="1">OFFSET(work_existing,6,0)</f>
        <v>-2.1775822246739822</v>
      </c>
      <c r="AT7" s="48">
        <f ca="1">OFFSET(work_existing,7,0)</f>
        <v>-0.36815560129565073</v>
      </c>
      <c r="AU7" s="49">
        <f ca="1">OFFSET(work_existing,8,0)</f>
        <v>-1.0856352245199332</v>
      </c>
      <c r="AV7" s="32"/>
      <c r="AW7" s="1" t="s">
        <v>33</v>
      </c>
      <c r="AX7" s="47" t="e">
        <f t="shared" si="6"/>
        <v>#DIV/0!</v>
      </c>
      <c r="AY7" s="48" t="e">
        <f t="shared" si="6"/>
        <v>#DIV/0!</v>
      </c>
      <c r="AZ7" s="49" t="e">
        <f t="shared" si="6"/>
        <v>#DIV/0!</v>
      </c>
      <c r="BB7" s="1" t="s">
        <v>120</v>
      </c>
      <c r="BC7" s="47" t="e">
        <f ca="1">AS7+AX7-AX6</f>
        <v>#DIV/0!</v>
      </c>
      <c r="BD7" s="48" t="e">
        <f ca="1">AT7+AY7-AY6</f>
        <v>#DIV/0!</v>
      </c>
      <c r="BE7" s="49" t="e">
        <f ca="1">AU7+AZ7-AZ6</f>
        <v>#DIV/0!</v>
      </c>
      <c r="BG7" s="1" t="s">
        <v>120</v>
      </c>
      <c r="BH7" s="61" t="e">
        <f t="shared" si="15"/>
        <v>#DIV/0!</v>
      </c>
      <c r="BI7" s="62" t="e">
        <f t="shared" si="16"/>
        <v>#DIV/0!</v>
      </c>
      <c r="BJ7" s="61" t="e">
        <f t="shared" si="17"/>
        <v>#DIV/0!</v>
      </c>
      <c r="BK7" s="62" t="e">
        <f t="shared" si="18"/>
        <v>#DIV/0!</v>
      </c>
      <c r="BL7" s="61" t="e">
        <f t="shared" si="19"/>
        <v>#DIV/0!</v>
      </c>
      <c r="BM7" s="62" t="e">
        <f t="shared" si="20"/>
        <v>#DIV/0!</v>
      </c>
      <c r="BN7" s="60" t="e">
        <f t="shared" si="21"/>
        <v>#DIV/0!</v>
      </c>
      <c r="BO7" s="62" t="e">
        <f t="shared" si="22"/>
        <v>#DIV/0!</v>
      </c>
    </row>
    <row r="8" spans="1:67" x14ac:dyDescent="0.2">
      <c r="A8" s="1" t="s">
        <v>34</v>
      </c>
      <c r="B8" s="9">
        <f>targets!O8</f>
        <v>4444.2867184301622</v>
      </c>
      <c r="C8" s="5">
        <f>targets!P8</f>
        <v>21933.31146225394</v>
      </c>
      <c r="D8" s="10">
        <f>targets!Q8</f>
        <v>132407.19001567585</v>
      </c>
      <c r="E8" s="5">
        <f t="shared" si="7"/>
        <v>158784.78819635994</v>
      </c>
      <c r="F8" s="5"/>
      <c r="G8" s="5"/>
      <c r="H8" s="1" t="s">
        <v>34</v>
      </c>
      <c r="I8" s="9">
        <f t="shared" si="8"/>
        <v>0</v>
      </c>
      <c r="J8" s="5">
        <f t="shared" si="9"/>
        <v>0</v>
      </c>
      <c r="K8" s="10">
        <f t="shared" si="10"/>
        <v>0</v>
      </c>
      <c r="L8" s="5">
        <f t="shared" si="11"/>
        <v>0</v>
      </c>
      <c r="N8" s="1" t="s">
        <v>34</v>
      </c>
      <c r="O8" s="9">
        <f t="array" ref="O8">SUM(IF((modeldata!$I:$I=$N$2)*(modeldata!$H:$H=calibration_simplemodes!$N8),modeldata!D:D,0))</f>
        <v>0</v>
      </c>
      <c r="P8" s="5">
        <f t="array" ref="P8">SUM(IF((modeldata!$I:$I=$N$2)*(modeldata!$H:$H=calibration_simplemodes!$N8),modeldata!E:E,0))</f>
        <v>0</v>
      </c>
      <c r="Q8" s="10">
        <f t="array" ref="Q8">SUM(IF((modeldata!$I:$I=$N$2)*(modeldata!$H:$H=calibration_simplemodes!$N8),modeldata!F:F,0))</f>
        <v>0</v>
      </c>
      <c r="R8" s="5">
        <f t="shared" si="12"/>
        <v>0</v>
      </c>
      <c r="S8" s="60"/>
      <c r="T8" s="1" t="s">
        <v>34</v>
      </c>
      <c r="U8" s="23" t="e">
        <f>I8/I14</f>
        <v>#DIV/0!</v>
      </c>
      <c r="V8" s="25" t="e">
        <f>J8/J14</f>
        <v>#DIV/0!</v>
      </c>
      <c r="W8" s="28" t="e">
        <f>K8/K14</f>
        <v>#DIV/0!</v>
      </c>
      <c r="X8" s="25" t="e">
        <f>L8/L14</f>
        <v>#DIV/0!</v>
      </c>
      <c r="Z8" s="1" t="s">
        <v>34</v>
      </c>
      <c r="AA8" s="61" t="e">
        <f>O8/O14</f>
        <v>#DIV/0!</v>
      </c>
      <c r="AB8" s="60" t="e">
        <f>P8/P14</f>
        <v>#DIV/0!</v>
      </c>
      <c r="AC8" s="62" t="e">
        <f>Q8/Q14</f>
        <v>#DIV/0!</v>
      </c>
      <c r="AD8" s="60" t="e">
        <f>R8/R14</f>
        <v>#DIV/0!</v>
      </c>
      <c r="AF8" s="1" t="s">
        <v>34</v>
      </c>
      <c r="AG8" s="86">
        <f t="shared" si="13"/>
        <v>0</v>
      </c>
      <c r="AH8" s="73">
        <f t="shared" si="0"/>
        <v>0</v>
      </c>
      <c r="AI8" s="87">
        <f t="shared" si="1"/>
        <v>0</v>
      </c>
      <c r="AJ8" s="73">
        <f t="shared" si="2"/>
        <v>0</v>
      </c>
      <c r="AL8" s="1" t="s">
        <v>34</v>
      </c>
      <c r="AM8" s="35" t="e">
        <f t="shared" si="14"/>
        <v>#DIV/0!</v>
      </c>
      <c r="AN8" s="32" t="e">
        <f t="shared" si="3"/>
        <v>#DIV/0!</v>
      </c>
      <c r="AO8" s="36" t="e">
        <f t="shared" si="4"/>
        <v>#DIV/0!</v>
      </c>
      <c r="AP8" s="32" t="e">
        <f t="shared" si="5"/>
        <v>#DIV/0!</v>
      </c>
      <c r="AR8" s="1" t="s">
        <v>34</v>
      </c>
      <c r="AS8" s="47">
        <f ca="1">OFFSET(work_existing,9,0)</f>
        <v>-6.014344845339167</v>
      </c>
      <c r="AT8" s="48">
        <f ca="1">OFFSET(work_existing,10,0)</f>
        <v>-1.1894915544221669</v>
      </c>
      <c r="AU8" s="49">
        <f ca="1">OFFSET(work_existing,11,0)</f>
        <v>-1.5610327696718005</v>
      </c>
      <c r="AV8" s="32"/>
      <c r="AW8" s="1" t="s">
        <v>34</v>
      </c>
      <c r="AX8" s="47" t="e">
        <f t="shared" si="6"/>
        <v>#DIV/0!</v>
      </c>
      <c r="AY8" s="48" t="e">
        <f t="shared" si="6"/>
        <v>#DIV/0!</v>
      </c>
      <c r="AZ8" s="49" t="e">
        <f t="shared" si="6"/>
        <v>#DIV/0!</v>
      </c>
      <c r="BB8" s="1" t="s">
        <v>121</v>
      </c>
      <c r="BC8" s="47" t="e">
        <f ca="1">AS8+AX8-AX6</f>
        <v>#DIV/0!</v>
      </c>
      <c r="BD8" s="48" t="e">
        <f ca="1">AT8+AY8-AY6</f>
        <v>#DIV/0!</v>
      </c>
      <c r="BE8" s="49" t="e">
        <f ca="1">AU8+AZ8-AZ6</f>
        <v>#DIV/0!</v>
      </c>
      <c r="BG8" s="1" t="s">
        <v>121</v>
      </c>
      <c r="BH8" s="61" t="e">
        <f t="shared" si="15"/>
        <v>#DIV/0!</v>
      </c>
      <c r="BI8" s="62" t="e">
        <f t="shared" si="16"/>
        <v>#DIV/0!</v>
      </c>
      <c r="BJ8" s="61" t="e">
        <f t="shared" si="17"/>
        <v>#DIV/0!</v>
      </c>
      <c r="BK8" s="62" t="e">
        <f t="shared" si="18"/>
        <v>#DIV/0!</v>
      </c>
      <c r="BL8" s="61" t="e">
        <f t="shared" si="19"/>
        <v>#DIV/0!</v>
      </c>
      <c r="BM8" s="62" t="e">
        <f t="shared" si="20"/>
        <v>#DIV/0!</v>
      </c>
      <c r="BN8" s="60" t="e">
        <f t="shared" si="21"/>
        <v>#DIV/0!</v>
      </c>
      <c r="BO8" s="62" t="e">
        <f t="shared" si="22"/>
        <v>#DIV/0!</v>
      </c>
    </row>
    <row r="9" spans="1:67" x14ac:dyDescent="0.2">
      <c r="A9" s="1" t="s">
        <v>3</v>
      </c>
      <c r="B9" s="9">
        <f>SUM(targets!O11:O16)</f>
        <v>82846.216626836846</v>
      </c>
      <c r="C9" s="5">
        <f>SUM(targets!P11:P16)</f>
        <v>53233.430963195155</v>
      </c>
      <c r="D9" s="10">
        <f>SUM(targets!Q11:Q16)</f>
        <v>95723.419090680487</v>
      </c>
      <c r="E9" s="5">
        <f t="shared" si="7"/>
        <v>231803.06668071248</v>
      </c>
      <c r="F9" s="5"/>
      <c r="G9" s="5"/>
      <c r="H9" s="1" t="s">
        <v>3</v>
      </c>
      <c r="I9" s="9">
        <f t="shared" si="8"/>
        <v>0</v>
      </c>
      <c r="J9" s="5">
        <f t="shared" si="9"/>
        <v>0</v>
      </c>
      <c r="K9" s="10">
        <f t="shared" si="10"/>
        <v>0</v>
      </c>
      <c r="L9" s="5">
        <f t="shared" si="11"/>
        <v>0</v>
      </c>
      <c r="N9" s="1" t="s">
        <v>3</v>
      </c>
      <c r="O9" s="9">
        <f t="array" ref="O9">SUM(IF((modeldata!$I:$I=$N$2)*(modeldata!$H:$H=calibration_simplemodes!$N9),modeldata!D:D,0))</f>
        <v>0</v>
      </c>
      <c r="P9" s="5">
        <f t="array" ref="P9">SUM(IF((modeldata!$I:$I=$N$2)*(modeldata!$H:$H=calibration_simplemodes!$N9),modeldata!E:E,0))</f>
        <v>0</v>
      </c>
      <c r="Q9" s="10">
        <f t="array" ref="Q9">SUM(IF((modeldata!$I:$I=$N$2)*(modeldata!$H:$H=calibration_simplemodes!$N9),modeldata!F:F,0))</f>
        <v>0</v>
      </c>
      <c r="R9" s="5">
        <f t="shared" si="12"/>
        <v>0</v>
      </c>
      <c r="S9" s="60"/>
      <c r="T9" s="1" t="s">
        <v>3</v>
      </c>
      <c r="U9" s="23" t="e">
        <f>I9/I14</f>
        <v>#DIV/0!</v>
      </c>
      <c r="V9" s="25" t="e">
        <f>J9/J14</f>
        <v>#DIV/0!</v>
      </c>
      <c r="W9" s="28" t="e">
        <f>K9/K14</f>
        <v>#DIV/0!</v>
      </c>
      <c r="X9" s="25" t="e">
        <f>L9/L14</f>
        <v>#DIV/0!</v>
      </c>
      <c r="Z9" s="1" t="s">
        <v>3</v>
      </c>
      <c r="AA9" s="61" t="e">
        <f>O9/O14</f>
        <v>#DIV/0!</v>
      </c>
      <c r="AB9" s="60" t="e">
        <f>P9/P14</f>
        <v>#DIV/0!</v>
      </c>
      <c r="AC9" s="62" t="e">
        <f>Q9/Q14</f>
        <v>#DIV/0!</v>
      </c>
      <c r="AD9" s="60" t="e">
        <f>R9/R14</f>
        <v>#DIV/0!</v>
      </c>
      <c r="AF9" s="1" t="s">
        <v>3</v>
      </c>
      <c r="AG9" s="86">
        <f t="shared" si="13"/>
        <v>0</v>
      </c>
      <c r="AH9" s="73">
        <f t="shared" si="0"/>
        <v>0</v>
      </c>
      <c r="AI9" s="87">
        <f t="shared" si="1"/>
        <v>0</v>
      </c>
      <c r="AJ9" s="73">
        <f t="shared" si="2"/>
        <v>0</v>
      </c>
      <c r="AL9" s="1" t="s">
        <v>3</v>
      </c>
      <c r="AM9" s="35" t="e">
        <f t="shared" si="14"/>
        <v>#DIV/0!</v>
      </c>
      <c r="AN9" s="32" t="e">
        <f t="shared" si="3"/>
        <v>#DIV/0!</v>
      </c>
      <c r="AO9" s="36" t="e">
        <f t="shared" si="4"/>
        <v>#DIV/0!</v>
      </c>
      <c r="AP9" s="32" t="e">
        <f t="shared" si="5"/>
        <v>#DIV/0!</v>
      </c>
      <c r="AR9" s="1" t="s">
        <v>3</v>
      </c>
      <c r="AS9" s="47">
        <f ca="1">OFFSET(work_existing,12,0)</f>
        <v>7.1105802177749338</v>
      </c>
      <c r="AT9" s="48">
        <f ca="1">OFFSET(work_existing,13,0)</f>
        <v>1.3661161278544285</v>
      </c>
      <c r="AU9" s="49">
        <f ca="1">OFFSET(work_existing,14,0)</f>
        <v>-2.1584516018567892</v>
      </c>
      <c r="AV9" s="32"/>
      <c r="AW9" s="1" t="s">
        <v>3</v>
      </c>
      <c r="AX9" s="47" t="e">
        <f t="shared" si="6"/>
        <v>#DIV/0!</v>
      </c>
      <c r="AY9" s="48" t="e">
        <f t="shared" si="6"/>
        <v>#DIV/0!</v>
      </c>
      <c r="AZ9" s="49" t="e">
        <f t="shared" si="6"/>
        <v>#DIV/0!</v>
      </c>
      <c r="BB9" s="1" t="s">
        <v>3</v>
      </c>
      <c r="BC9" s="47" t="e">
        <f ca="1">AS9+AX9-AX6</f>
        <v>#DIV/0!</v>
      </c>
      <c r="BD9" s="48" t="e">
        <f ca="1">AT9+AY9-AY6</f>
        <v>#DIV/0!</v>
      </c>
      <c r="BE9" s="49" t="e">
        <f ca="1">AU9+AZ9-AZ6</f>
        <v>#DIV/0!</v>
      </c>
      <c r="BG9" s="1" t="s">
        <v>3</v>
      </c>
      <c r="BH9" s="61" t="e">
        <f t="shared" si="15"/>
        <v>#DIV/0!</v>
      </c>
      <c r="BI9" s="62" t="e">
        <f t="shared" si="16"/>
        <v>#DIV/0!</v>
      </c>
      <c r="BJ9" s="61" t="e">
        <f t="shared" si="17"/>
        <v>#DIV/0!</v>
      </c>
      <c r="BK9" s="62" t="e">
        <f t="shared" si="18"/>
        <v>#DIV/0!</v>
      </c>
      <c r="BL9" s="61" t="e">
        <f t="shared" si="19"/>
        <v>#DIV/0!</v>
      </c>
      <c r="BM9" s="62" t="e">
        <f t="shared" si="20"/>
        <v>#DIV/0!</v>
      </c>
      <c r="BN9" s="60" t="e">
        <f t="shared" si="21"/>
        <v>#DIV/0!</v>
      </c>
      <c r="BO9" s="62" t="e">
        <f t="shared" si="22"/>
        <v>#DIV/0!</v>
      </c>
    </row>
    <row r="10" spans="1:67" x14ac:dyDescent="0.2">
      <c r="A10" s="1" t="s">
        <v>35</v>
      </c>
      <c r="B10" s="9">
        <f>SUM(targets!O17:O22)</f>
        <v>0</v>
      </c>
      <c r="C10" s="5">
        <f>SUM(targets!P17:P22)</f>
        <v>17527.139314909662</v>
      </c>
      <c r="D10" s="10">
        <f>SUM(targets!Q17:Q22)</f>
        <v>52461.58780620998</v>
      </c>
      <c r="E10" s="5">
        <f t="shared" si="7"/>
        <v>69988.727121119649</v>
      </c>
      <c r="F10" s="5"/>
      <c r="G10" s="5"/>
      <c r="H10" s="1" t="s">
        <v>35</v>
      </c>
      <c r="I10" s="9">
        <f t="shared" si="8"/>
        <v>0</v>
      </c>
      <c r="J10" s="5">
        <f t="shared" si="9"/>
        <v>0</v>
      </c>
      <c r="K10" s="10">
        <f t="shared" si="10"/>
        <v>0</v>
      </c>
      <c r="L10" s="5">
        <f t="shared" si="11"/>
        <v>0</v>
      </c>
      <c r="N10" s="1" t="s">
        <v>35</v>
      </c>
      <c r="O10" s="9">
        <f t="array" ref="O10">SUM(IF((modeldata!$I:$I=$N$2)*(modeldata!$H:$H=calibration_simplemodes!$N10),modeldata!D:D,0))</f>
        <v>0</v>
      </c>
      <c r="P10" s="5">
        <f t="array" ref="P10">SUM(IF((modeldata!$I:$I=$N$2)*(modeldata!$H:$H=calibration_simplemodes!$N10),modeldata!E:E,0))</f>
        <v>0</v>
      </c>
      <c r="Q10" s="10">
        <f t="array" ref="Q10">SUM(IF((modeldata!$I:$I=$N$2)*(modeldata!$H:$H=calibration_simplemodes!$N10),modeldata!F:F,0))</f>
        <v>0</v>
      </c>
      <c r="R10" s="5">
        <f t="shared" si="12"/>
        <v>0</v>
      </c>
      <c r="S10" s="60"/>
      <c r="T10" s="1" t="s">
        <v>35</v>
      </c>
      <c r="U10" s="23" t="e">
        <f>I10/I14</f>
        <v>#DIV/0!</v>
      </c>
      <c r="V10" s="25" t="e">
        <f>J10/J14</f>
        <v>#DIV/0!</v>
      </c>
      <c r="W10" s="28" t="e">
        <f>K10/K14</f>
        <v>#DIV/0!</v>
      </c>
      <c r="X10" s="25" t="e">
        <f>L10/L14</f>
        <v>#DIV/0!</v>
      </c>
      <c r="Z10" s="1" t="s">
        <v>35</v>
      </c>
      <c r="AA10" s="61" t="e">
        <f>O10/O14</f>
        <v>#DIV/0!</v>
      </c>
      <c r="AB10" s="60" t="e">
        <f>P10/P14</f>
        <v>#DIV/0!</v>
      </c>
      <c r="AC10" s="62" t="e">
        <f>Q10/Q14</f>
        <v>#DIV/0!</v>
      </c>
      <c r="AD10" s="60" t="e">
        <f>R10/R14</f>
        <v>#DIV/0!</v>
      </c>
      <c r="AF10" s="1" t="s">
        <v>35</v>
      </c>
      <c r="AG10" s="86">
        <f t="shared" si="13"/>
        <v>0</v>
      </c>
      <c r="AH10" s="73">
        <f t="shared" si="0"/>
        <v>0</v>
      </c>
      <c r="AI10" s="87">
        <f t="shared" si="1"/>
        <v>0</v>
      </c>
      <c r="AJ10" s="73">
        <f t="shared" si="2"/>
        <v>0</v>
      </c>
      <c r="AL10" s="1" t="s">
        <v>35</v>
      </c>
      <c r="AM10" s="35" t="e">
        <f t="shared" si="14"/>
        <v>#DIV/0!</v>
      </c>
      <c r="AN10" s="32" t="e">
        <f t="shared" si="3"/>
        <v>#DIV/0!</v>
      </c>
      <c r="AO10" s="36" t="e">
        <f t="shared" si="4"/>
        <v>#DIV/0!</v>
      </c>
      <c r="AP10" s="32" t="e">
        <f t="shared" si="5"/>
        <v>#DIV/0!</v>
      </c>
      <c r="AR10" s="1" t="s">
        <v>35</v>
      </c>
      <c r="AS10" s="47">
        <f ca="1">OFFSET(work_existing,15,0)</f>
        <v>0</v>
      </c>
      <c r="AT10" s="48">
        <f ca="1">OFFSET(work_existing,16,0)</f>
        <v>0.65577867711211824</v>
      </c>
      <c r="AU10" s="49">
        <f ca="1">OFFSET(work_existing,17,0)</f>
        <v>-2.4114705490352404</v>
      </c>
      <c r="AV10" s="32"/>
      <c r="AW10" s="1" t="s">
        <v>35</v>
      </c>
      <c r="AX10" s="47" t="e">
        <f t="shared" si="6"/>
        <v>#DIV/0!</v>
      </c>
      <c r="AY10" s="48" t="e">
        <f t="shared" si="6"/>
        <v>#DIV/0!</v>
      </c>
      <c r="AZ10" s="49" t="e">
        <f t="shared" si="6"/>
        <v>#DIV/0!</v>
      </c>
      <c r="BB10" s="1" t="s">
        <v>35</v>
      </c>
      <c r="BC10" s="47" t="e">
        <f ca="1">AS10+AX10-AX6</f>
        <v>#DIV/0!</v>
      </c>
      <c r="BD10" s="48" t="e">
        <f ca="1">AT10+AY10-AY6</f>
        <v>#DIV/0!</v>
      </c>
      <c r="BE10" s="49" t="e">
        <f ca="1">AU10+AZ10-AZ6</f>
        <v>#DIV/0!</v>
      </c>
      <c r="BG10" s="1" t="s">
        <v>35</v>
      </c>
      <c r="BH10" s="61" t="e">
        <f t="shared" si="15"/>
        <v>#DIV/0!</v>
      </c>
      <c r="BI10" s="62" t="e">
        <f t="shared" si="16"/>
        <v>#DIV/0!</v>
      </c>
      <c r="BJ10" s="61" t="e">
        <f t="shared" si="17"/>
        <v>#DIV/0!</v>
      </c>
      <c r="BK10" s="62" t="e">
        <f t="shared" si="18"/>
        <v>#DIV/0!</v>
      </c>
      <c r="BL10" s="61" t="e">
        <f t="shared" si="19"/>
        <v>#DIV/0!</v>
      </c>
      <c r="BM10" s="62" t="e">
        <f t="shared" si="20"/>
        <v>#DIV/0!</v>
      </c>
      <c r="BN10" s="60" t="e">
        <f t="shared" si="21"/>
        <v>#DIV/0!</v>
      </c>
      <c r="BO10" s="62" t="e">
        <f t="shared" si="22"/>
        <v>#DIV/0!</v>
      </c>
    </row>
    <row r="11" spans="1:67" x14ac:dyDescent="0.2">
      <c r="A11" s="1" t="s">
        <v>36</v>
      </c>
      <c r="B11" s="221">
        <f>targets!O23</f>
        <v>95.345009500938488</v>
      </c>
      <c r="C11" s="240">
        <f>targets!P23</f>
        <v>64.330406956205863</v>
      </c>
      <c r="D11" s="222">
        <f>targets!Q23</f>
        <v>838.53739471154029</v>
      </c>
      <c r="E11" s="5">
        <f t="shared" si="7"/>
        <v>998.21281116868465</v>
      </c>
      <c r="F11" s="5"/>
      <c r="G11" s="5"/>
      <c r="H11" s="1" t="s">
        <v>36</v>
      </c>
      <c r="I11" s="9">
        <f t="shared" si="8"/>
        <v>0</v>
      </c>
      <c r="J11" s="5">
        <f t="shared" si="9"/>
        <v>0</v>
      </c>
      <c r="K11" s="10">
        <f t="shared" si="10"/>
        <v>0</v>
      </c>
      <c r="L11" s="5">
        <f t="shared" si="11"/>
        <v>0</v>
      </c>
      <c r="N11" s="1" t="s">
        <v>36</v>
      </c>
      <c r="O11" s="9">
        <f t="array" ref="O11">SUM(IF((modeldata!$I:$I=$N$2)*(modeldata!$H:$H=calibration_simplemodes!$N11),modeldata!D:D,0))</f>
        <v>0</v>
      </c>
      <c r="P11" s="5">
        <f t="array" ref="P11">SUM(IF((modeldata!$I:$I=$N$2)*(modeldata!$H:$H=calibration_simplemodes!$N11),modeldata!E:E,0))</f>
        <v>0</v>
      </c>
      <c r="Q11" s="10">
        <f t="array" ref="Q11">SUM(IF((modeldata!$I:$I=$N$2)*(modeldata!$H:$H=calibration_simplemodes!$N11),modeldata!F:F,0))</f>
        <v>0</v>
      </c>
      <c r="R11" s="5">
        <f t="shared" si="12"/>
        <v>0</v>
      </c>
      <c r="S11" s="60"/>
      <c r="T11" s="1" t="s">
        <v>36</v>
      </c>
      <c r="U11" s="23" t="e">
        <f>I11/I14</f>
        <v>#DIV/0!</v>
      </c>
      <c r="V11" s="25" t="e">
        <f>J11/J14</f>
        <v>#DIV/0!</v>
      </c>
      <c r="W11" s="28" t="e">
        <f>K11/K14</f>
        <v>#DIV/0!</v>
      </c>
      <c r="X11" s="25" t="e">
        <f>L11/L14</f>
        <v>#DIV/0!</v>
      </c>
      <c r="Z11" s="1" t="s">
        <v>36</v>
      </c>
      <c r="AA11" s="61" t="e">
        <f>MAX(O11/O14,0.0001)</f>
        <v>#DIV/0!</v>
      </c>
      <c r="AB11" s="60" t="e">
        <f>P11/P14</f>
        <v>#DIV/0!</v>
      </c>
      <c r="AC11" s="62" t="e">
        <f>Q11/Q14</f>
        <v>#DIV/0!</v>
      </c>
      <c r="AD11" s="60" t="e">
        <f>R11/R14</f>
        <v>#DIV/0!</v>
      </c>
      <c r="AF11" s="1" t="s">
        <v>36</v>
      </c>
      <c r="AG11" s="86">
        <f t="shared" si="13"/>
        <v>0</v>
      </c>
      <c r="AH11" s="73">
        <f t="shared" si="0"/>
        <v>0</v>
      </c>
      <c r="AI11" s="87">
        <f t="shared" si="1"/>
        <v>0</v>
      </c>
      <c r="AJ11" s="73">
        <f t="shared" si="2"/>
        <v>0</v>
      </c>
      <c r="AL11" s="1" t="s">
        <v>36</v>
      </c>
      <c r="AM11" s="35" t="e">
        <f t="shared" si="14"/>
        <v>#DIV/0!</v>
      </c>
      <c r="AN11" s="32" t="e">
        <f t="shared" si="3"/>
        <v>#DIV/0!</v>
      </c>
      <c r="AO11" s="36" t="e">
        <f t="shared" si="4"/>
        <v>#DIV/0!</v>
      </c>
      <c r="AP11" s="32" t="e">
        <f t="shared" si="5"/>
        <v>#DIV/0!</v>
      </c>
      <c r="AR11" s="1" t="s">
        <v>36</v>
      </c>
      <c r="AS11" s="47">
        <f ca="1">OFFSET(work_existing,18,0)</f>
        <v>6.5933202564827722</v>
      </c>
      <c r="AT11" s="48">
        <f ca="1">OFFSET(work_existing,19,0)</f>
        <v>2.1487276046681307</v>
      </c>
      <c r="AU11" s="49">
        <f ca="1">OFFSET(work_existing,20,0)</f>
        <v>-3.4263257019588114</v>
      </c>
      <c r="AV11" s="32"/>
      <c r="AW11" s="1" t="s">
        <v>36</v>
      </c>
      <c r="AX11" s="47" t="e">
        <f t="shared" ref="AX11:AX13" si="23">IF(AND(U11&gt;0, AA11&gt;0),work_damp*LN(U11/AA11),0)</f>
        <v>#DIV/0!</v>
      </c>
      <c r="AY11" s="48" t="e">
        <f t="shared" ref="AY11:AY13" si="24">IF(AND(V11&gt;0, AB11&gt;0),work_damp*LN(V11/AB11),0)</f>
        <v>#DIV/0!</v>
      </c>
      <c r="AZ11" s="49" t="e">
        <f t="shared" ref="AZ11:AZ13" si="25">IF(AND(W11&gt;0, AC11&gt;0),work_damp*LN(W11/AC11),0)</f>
        <v>#DIV/0!</v>
      </c>
      <c r="BB11" s="1" t="s">
        <v>36</v>
      </c>
      <c r="BC11" s="47" t="e">
        <f ca="1">IF(AND(AS11=0,AX11=0),0,AS11+AX11-AX6)</f>
        <v>#DIV/0!</v>
      </c>
      <c r="BD11" s="48" t="e">
        <f t="shared" ref="BD11:BE11" ca="1" si="26">IF(AND(AT11=0,AY11=0),0,AT11+AY11-AY6)</f>
        <v>#DIV/0!</v>
      </c>
      <c r="BE11" s="49" t="e">
        <f t="shared" ca="1" si="26"/>
        <v>#DIV/0!</v>
      </c>
      <c r="BG11" s="1" t="s">
        <v>36</v>
      </c>
      <c r="BH11" s="61" t="e">
        <f t="shared" si="15"/>
        <v>#DIV/0!</v>
      </c>
      <c r="BI11" s="62" t="e">
        <f t="shared" si="16"/>
        <v>#DIV/0!</v>
      </c>
      <c r="BJ11" s="61" t="e">
        <f t="shared" si="17"/>
        <v>#DIV/0!</v>
      </c>
      <c r="BK11" s="62" t="e">
        <f t="shared" si="18"/>
        <v>#DIV/0!</v>
      </c>
      <c r="BL11" s="61" t="e">
        <f t="shared" si="19"/>
        <v>#DIV/0!</v>
      </c>
      <c r="BM11" s="62" t="e">
        <f t="shared" si="20"/>
        <v>#DIV/0!</v>
      </c>
      <c r="BN11" s="60" t="e">
        <f t="shared" si="21"/>
        <v>#DIV/0!</v>
      </c>
      <c r="BO11" s="62" t="e">
        <f t="shared" si="22"/>
        <v>#DIV/0!</v>
      </c>
    </row>
    <row r="12" spans="1:67" x14ac:dyDescent="0.2">
      <c r="A12" s="1" t="s">
        <v>55</v>
      </c>
      <c r="B12" s="221">
        <f>targets!O24</f>
        <v>4429.5332020937713</v>
      </c>
      <c r="C12" s="240">
        <f>targets!P24</f>
        <v>1518.6086245394881</v>
      </c>
      <c r="D12" s="222">
        <f>targets!Q24</f>
        <v>8199.0449003755275</v>
      </c>
      <c r="E12" s="5">
        <f t="shared" si="7"/>
        <v>14147.186727008786</v>
      </c>
      <c r="F12" s="5"/>
      <c r="G12" s="5"/>
      <c r="H12" s="1" t="s">
        <v>55</v>
      </c>
      <c r="I12" s="9">
        <f t="shared" si="8"/>
        <v>0</v>
      </c>
      <c r="J12" s="5">
        <f t="shared" si="9"/>
        <v>0</v>
      </c>
      <c r="K12" s="10">
        <f t="shared" si="10"/>
        <v>0</v>
      </c>
      <c r="L12" s="5">
        <f t="shared" ref="L12:L13" si="27">SUM(I12:K12)</f>
        <v>0</v>
      </c>
      <c r="N12" s="1" t="s">
        <v>55</v>
      </c>
      <c r="O12" s="9">
        <f t="array" ref="O12">SUM(IF((modeldata!$I:$I=$N$2)*(modeldata!$H:$H=calibration_simplemodes!$N12),modeldata!D:D,0))</f>
        <v>0</v>
      </c>
      <c r="P12" s="5">
        <f t="array" ref="P12">SUM(IF((modeldata!$I:$I=$N$2)*(modeldata!$H:$H=calibration_simplemodes!$N12),modeldata!E:E,0))</f>
        <v>0</v>
      </c>
      <c r="Q12" s="10">
        <f t="array" ref="Q12">SUM(IF((modeldata!$I:$I=$N$2)*(modeldata!$H:$H=calibration_simplemodes!$N12),modeldata!F:F,0))</f>
        <v>0</v>
      </c>
      <c r="R12" s="5">
        <f t="shared" ref="R12:R13" si="28">SUM(O12:Q12)</f>
        <v>0</v>
      </c>
      <c r="S12" s="60"/>
      <c r="T12" s="1" t="s">
        <v>55</v>
      </c>
      <c r="U12" s="23" t="e">
        <f>I12/I14</f>
        <v>#DIV/0!</v>
      </c>
      <c r="V12" s="25" t="e">
        <f t="shared" ref="V12:X12" si="29">J12/J14</f>
        <v>#DIV/0!</v>
      </c>
      <c r="W12" s="28" t="e">
        <f t="shared" si="29"/>
        <v>#DIV/0!</v>
      </c>
      <c r="X12" s="25" t="e">
        <f t="shared" si="29"/>
        <v>#DIV/0!</v>
      </c>
      <c r="Z12" s="1" t="s">
        <v>55</v>
      </c>
      <c r="AA12" s="61" t="e">
        <f>O12/O14</f>
        <v>#DIV/0!</v>
      </c>
      <c r="AB12" s="60" t="e">
        <f t="shared" ref="AB12:AC12" si="30">P12/P14</f>
        <v>#DIV/0!</v>
      </c>
      <c r="AC12" s="62" t="e">
        <f t="shared" si="30"/>
        <v>#DIV/0!</v>
      </c>
      <c r="AD12" s="60" t="e">
        <f>R12/R14</f>
        <v>#DIV/0!</v>
      </c>
      <c r="AF12" s="1" t="s">
        <v>55</v>
      </c>
      <c r="AG12" s="86">
        <f t="shared" si="13"/>
        <v>0</v>
      </c>
      <c r="AH12" s="73">
        <f t="shared" si="0"/>
        <v>0</v>
      </c>
      <c r="AI12" s="87">
        <f t="shared" si="1"/>
        <v>0</v>
      </c>
      <c r="AJ12" s="73">
        <f t="shared" si="2"/>
        <v>0</v>
      </c>
      <c r="AL12" s="1" t="s">
        <v>55</v>
      </c>
      <c r="AM12" s="35" t="e">
        <f t="shared" ref="AM12:AM13" si="31">AA12-U12</f>
        <v>#DIV/0!</v>
      </c>
      <c r="AN12" s="32" t="e">
        <f t="shared" ref="AN12:AN13" si="32">AB12-V12</f>
        <v>#DIV/0!</v>
      </c>
      <c r="AO12" s="36" t="e">
        <f t="shared" ref="AO12:AO13" si="33">AC12-W12</f>
        <v>#DIV/0!</v>
      </c>
      <c r="AP12" s="32" t="e">
        <f t="shared" ref="AP12:AP13" si="34">AD12-X12</f>
        <v>#DIV/0!</v>
      </c>
      <c r="AR12" s="1" t="s">
        <v>55</v>
      </c>
      <c r="AS12" s="47">
        <f ca="1">OFFSET(work_existing,21,0)</f>
        <v>6.2258428032793161</v>
      </c>
      <c r="AT12" s="48">
        <f ca="1">OFFSET(work_existing,22,0)</f>
        <v>0.24808697360853438</v>
      </c>
      <c r="AU12" s="49">
        <f ca="1">OFFSET(work_existing,23,0)</f>
        <v>-3.1443867415880868</v>
      </c>
      <c r="AV12" s="32"/>
      <c r="AW12" s="1" t="s">
        <v>55</v>
      </c>
      <c r="AX12" s="47" t="e">
        <f t="shared" si="23"/>
        <v>#DIV/0!</v>
      </c>
      <c r="AY12" s="48" t="e">
        <f t="shared" si="24"/>
        <v>#DIV/0!</v>
      </c>
      <c r="AZ12" s="49" t="e">
        <f t="shared" si="25"/>
        <v>#DIV/0!</v>
      </c>
      <c r="BB12" s="1" t="s">
        <v>55</v>
      </c>
      <c r="BC12" s="47" t="e">
        <f t="shared" ref="BC12:BC13" ca="1" si="35">IF(AND(AS12=0,AX12=0),0,AS12+AX12-AX7)</f>
        <v>#DIV/0!</v>
      </c>
      <c r="BD12" s="48" t="e">
        <f t="shared" ref="BD12:BD13" ca="1" si="36">IF(AND(AT12=0,AY12=0),0,AT12+AY12-AY7)</f>
        <v>#DIV/0!</v>
      </c>
      <c r="BE12" s="49" t="e">
        <f t="shared" ref="BE12:BE13" ca="1" si="37">IF(AND(AU12=0,AZ12=0),0,AU12+AZ12-AZ7)</f>
        <v>#DIV/0!</v>
      </c>
      <c r="BG12" s="1" t="s">
        <v>55</v>
      </c>
      <c r="BH12" s="61" t="e">
        <f t="shared" ref="BH12:BH13" si="38">U12</f>
        <v>#DIV/0!</v>
      </c>
      <c r="BI12" s="62" t="e">
        <f t="shared" ref="BI12:BI13" si="39">AA12</f>
        <v>#DIV/0!</v>
      </c>
      <c r="BJ12" s="61" t="e">
        <f t="shared" ref="BJ12:BJ13" si="40">V12</f>
        <v>#DIV/0!</v>
      </c>
      <c r="BK12" s="62" t="e">
        <f t="shared" ref="BK12:BK13" si="41">AB12</f>
        <v>#DIV/0!</v>
      </c>
      <c r="BL12" s="61" t="e">
        <f t="shared" ref="BL12:BL13" si="42">W12</f>
        <v>#DIV/0!</v>
      </c>
      <c r="BM12" s="62" t="e">
        <f t="shared" ref="BM12:BM13" si="43">AC12</f>
        <v>#DIV/0!</v>
      </c>
      <c r="BN12" s="60" t="e">
        <f t="shared" ref="BN12:BN13" si="44">X12</f>
        <v>#DIV/0!</v>
      </c>
      <c r="BO12" s="62" t="e">
        <f t="shared" ref="BO12:BO13" si="45">AD12</f>
        <v>#DIV/0!</v>
      </c>
    </row>
    <row r="13" spans="1:67" x14ac:dyDescent="0.2">
      <c r="A13" s="1" t="s">
        <v>56</v>
      </c>
      <c r="B13" s="223">
        <f>targets!O25</f>
        <v>955.70299401868158</v>
      </c>
      <c r="C13" s="224">
        <f>targets!P25</f>
        <v>201.44461835462724</v>
      </c>
      <c r="D13" s="225">
        <f>targets!Q25</f>
        <v>400.96007362974626</v>
      </c>
      <c r="E13" s="5">
        <f t="shared" si="7"/>
        <v>1558.1076860030553</v>
      </c>
      <c r="F13" s="5"/>
      <c r="G13" s="5"/>
      <c r="H13" s="1" t="s">
        <v>56</v>
      </c>
      <c r="I13" s="11">
        <f t="shared" si="8"/>
        <v>0</v>
      </c>
      <c r="J13" s="12">
        <f t="shared" si="9"/>
        <v>0</v>
      </c>
      <c r="K13" s="13">
        <f t="shared" si="10"/>
        <v>0</v>
      </c>
      <c r="L13" s="5">
        <f t="shared" si="27"/>
        <v>0</v>
      </c>
      <c r="N13" s="1" t="s">
        <v>56</v>
      </c>
      <c r="O13" s="11">
        <f t="array" ref="O13">SUM(IF((modeldata!$I:$I=$N$2)*(modeldata!$H:$H=calibration_simplemodes!$N13),modeldata!D:D,0))</f>
        <v>0</v>
      </c>
      <c r="P13" s="12">
        <f t="array" ref="P13">SUM(IF((modeldata!$I:$I=$N$2)*(modeldata!$H:$H=calibration_simplemodes!$N13),modeldata!E:E,0))</f>
        <v>0</v>
      </c>
      <c r="Q13" s="13">
        <f t="array" ref="Q13">SUM(IF((modeldata!$I:$I=$N$2)*(modeldata!$H:$H=calibration_simplemodes!$N13),modeldata!F:F,0))</f>
        <v>0</v>
      </c>
      <c r="R13" s="5">
        <f t="shared" si="28"/>
        <v>0</v>
      </c>
      <c r="S13" s="60"/>
      <c r="T13" s="1" t="s">
        <v>56</v>
      </c>
      <c r="U13" s="24" t="e">
        <f>I13/I14</f>
        <v>#DIV/0!</v>
      </c>
      <c r="V13" s="29" t="e">
        <f t="shared" ref="V13:X13" si="46">J13/J14</f>
        <v>#DIV/0!</v>
      </c>
      <c r="W13" s="30" t="e">
        <f t="shared" si="46"/>
        <v>#DIV/0!</v>
      </c>
      <c r="X13" s="25" t="e">
        <f t="shared" si="46"/>
        <v>#DIV/0!</v>
      </c>
      <c r="Z13" s="1" t="s">
        <v>56</v>
      </c>
      <c r="AA13" s="63" t="e">
        <f>O13/O14</f>
        <v>#DIV/0!</v>
      </c>
      <c r="AB13" s="64" t="e">
        <f t="shared" ref="AB13:AC13" si="47">P13/P14</f>
        <v>#DIV/0!</v>
      </c>
      <c r="AC13" s="65" t="e">
        <f t="shared" si="47"/>
        <v>#DIV/0!</v>
      </c>
      <c r="AD13" s="60" t="e">
        <f>R13/R14</f>
        <v>#DIV/0!</v>
      </c>
      <c r="AF13" s="1" t="s">
        <v>56</v>
      </c>
      <c r="AG13" s="88">
        <f t="shared" si="13"/>
        <v>0</v>
      </c>
      <c r="AH13" s="72">
        <f t="shared" si="0"/>
        <v>0</v>
      </c>
      <c r="AI13" s="89">
        <f t="shared" si="1"/>
        <v>0</v>
      </c>
      <c r="AJ13" s="73">
        <f t="shared" si="2"/>
        <v>0</v>
      </c>
      <c r="AL13" s="1" t="s">
        <v>56</v>
      </c>
      <c r="AM13" s="37" t="e">
        <f t="shared" si="31"/>
        <v>#DIV/0!</v>
      </c>
      <c r="AN13" s="38" t="e">
        <f t="shared" si="32"/>
        <v>#DIV/0!</v>
      </c>
      <c r="AO13" s="39" t="e">
        <f t="shared" si="33"/>
        <v>#DIV/0!</v>
      </c>
      <c r="AP13" s="32" t="e">
        <f t="shared" si="34"/>
        <v>#DIV/0!</v>
      </c>
      <c r="AR13" s="1" t="s">
        <v>56</v>
      </c>
      <c r="AS13" s="50">
        <f ca="1">OFFSET(work_existing,24,0)</f>
        <v>3.9968598925704333</v>
      </c>
      <c r="AT13" s="51">
        <f ca="1">OFFSET(work_existing,25,0)</f>
        <v>-0.25532669982229961</v>
      </c>
      <c r="AU13" s="52">
        <f ca="1">OFFSET(work_existing,26,0)</f>
        <v>-4.1112134108957266</v>
      </c>
      <c r="AV13" s="32"/>
      <c r="AW13" s="1" t="s">
        <v>56</v>
      </c>
      <c r="AX13" s="50" t="e">
        <f t="shared" si="23"/>
        <v>#DIV/0!</v>
      </c>
      <c r="AY13" s="51" t="e">
        <f t="shared" si="24"/>
        <v>#DIV/0!</v>
      </c>
      <c r="AZ13" s="52" t="e">
        <f t="shared" si="25"/>
        <v>#DIV/0!</v>
      </c>
      <c r="BB13" s="1" t="s">
        <v>56</v>
      </c>
      <c r="BC13" s="50" t="e">
        <f t="shared" ca="1" si="35"/>
        <v>#DIV/0!</v>
      </c>
      <c r="BD13" s="51" t="e">
        <f t="shared" ca="1" si="36"/>
        <v>#DIV/0!</v>
      </c>
      <c r="BE13" s="52" t="e">
        <f t="shared" ca="1" si="37"/>
        <v>#DIV/0!</v>
      </c>
      <c r="BG13" s="1" t="s">
        <v>56</v>
      </c>
      <c r="BH13" s="63" t="e">
        <f t="shared" si="38"/>
        <v>#DIV/0!</v>
      </c>
      <c r="BI13" s="65" t="e">
        <f t="shared" si="39"/>
        <v>#DIV/0!</v>
      </c>
      <c r="BJ13" s="63" t="e">
        <f t="shared" si="40"/>
        <v>#DIV/0!</v>
      </c>
      <c r="BK13" s="65" t="e">
        <f t="shared" si="41"/>
        <v>#DIV/0!</v>
      </c>
      <c r="BL13" s="63" t="e">
        <f t="shared" si="42"/>
        <v>#DIV/0!</v>
      </c>
      <c r="BM13" s="65" t="e">
        <f t="shared" si="43"/>
        <v>#DIV/0!</v>
      </c>
      <c r="BN13" s="64" t="e">
        <f t="shared" si="44"/>
        <v>#DIV/0!</v>
      </c>
      <c r="BO13" s="65" t="e">
        <f t="shared" si="45"/>
        <v>#DIV/0!</v>
      </c>
    </row>
    <row r="14" spans="1:67" x14ac:dyDescent="0.2">
      <c r="A14" s="1" t="s">
        <v>1</v>
      </c>
      <c r="B14" s="5">
        <f>SUM(B4:B13)</f>
        <v>138021.48396151169</v>
      </c>
      <c r="C14" s="5">
        <f>SUM(C4:C13)</f>
        <v>242809.21361009032</v>
      </c>
      <c r="D14" s="5">
        <f>SUM(D4:D13)</f>
        <v>1674123.1542120255</v>
      </c>
      <c r="E14" s="5">
        <f>SUM(B14:D14)</f>
        <v>2054953.8517836274</v>
      </c>
      <c r="F14" s="5"/>
      <c r="G14" s="5"/>
      <c r="H14" s="1" t="s">
        <v>1</v>
      </c>
      <c r="I14" s="5">
        <f>SUM(I4:I13)</f>
        <v>0</v>
      </c>
      <c r="J14" s="5">
        <f t="shared" ref="J14:K14" si="48">SUM(J4:J13)</f>
        <v>0</v>
      </c>
      <c r="K14" s="5">
        <f t="shared" si="48"/>
        <v>0</v>
      </c>
      <c r="L14" s="5">
        <f>SUM(I14:K14)</f>
        <v>0</v>
      </c>
      <c r="N14" s="1" t="s">
        <v>1</v>
      </c>
      <c r="O14" s="5">
        <f t="array" ref="O14">SUM(IF(modeldata!$I:$I=$N$2,modeldata!D:D,0))</f>
        <v>0</v>
      </c>
      <c r="P14" s="5">
        <f t="array" ref="P14">SUM(IF(modeldata!$I:$I=$N$2,modeldata!E:E,0))</f>
        <v>0</v>
      </c>
      <c r="Q14" s="5">
        <f t="array" ref="Q14">SUM(IF(modeldata!$I:$I=$N$2,modeldata!F:F,0))</f>
        <v>0</v>
      </c>
      <c r="R14" s="5">
        <f t="shared" si="12"/>
        <v>0</v>
      </c>
      <c r="S14" s="5"/>
      <c r="T14" s="1" t="s">
        <v>1</v>
      </c>
      <c r="U14" s="25" t="e">
        <f>SUM(U4:U13)</f>
        <v>#DIV/0!</v>
      </c>
      <c r="V14" s="25" t="e">
        <f t="shared" ref="V14:X14" si="49">SUM(V4:V13)</f>
        <v>#DIV/0!</v>
      </c>
      <c r="W14" s="25" t="e">
        <f t="shared" si="49"/>
        <v>#DIV/0!</v>
      </c>
      <c r="X14" s="25" t="e">
        <f t="shared" si="49"/>
        <v>#DIV/0!</v>
      </c>
      <c r="Z14" s="1" t="s">
        <v>1</v>
      </c>
      <c r="AA14" s="60" t="e">
        <f>SUM(AA4:AA13)</f>
        <v>#DIV/0!</v>
      </c>
      <c r="AB14" s="60" t="e">
        <f t="shared" ref="AB14:AC14" si="50">SUM(AB4:AB13)</f>
        <v>#DIV/0!</v>
      </c>
      <c r="AC14" s="60" t="e">
        <f t="shared" si="50"/>
        <v>#DIV/0!</v>
      </c>
      <c r="AD14" s="60" t="e">
        <f>SUM(AD4:AD11)</f>
        <v>#DIV/0!</v>
      </c>
      <c r="AF14" s="1" t="s">
        <v>1</v>
      </c>
      <c r="AG14" s="5">
        <f t="shared" si="13"/>
        <v>0</v>
      </c>
      <c r="AH14" s="5">
        <f t="shared" si="0"/>
        <v>0</v>
      </c>
      <c r="AI14" s="5">
        <f t="shared" si="1"/>
        <v>0</v>
      </c>
      <c r="AJ14" s="73">
        <f t="shared" si="2"/>
        <v>0</v>
      </c>
      <c r="AL14" s="1" t="s">
        <v>1</v>
      </c>
      <c r="AM14" s="32" t="e">
        <f t="shared" si="14"/>
        <v>#DIV/0!</v>
      </c>
      <c r="AN14" s="32" t="e">
        <f t="shared" si="3"/>
        <v>#DIV/0!</v>
      </c>
      <c r="AO14" s="32" t="e">
        <f t="shared" si="4"/>
        <v>#DIV/0!</v>
      </c>
      <c r="AP14" s="32" t="e">
        <f t="shared" si="5"/>
        <v>#DIV/0!</v>
      </c>
      <c r="AS14" s="32"/>
      <c r="AT14" s="32"/>
      <c r="AU14" s="32"/>
      <c r="AV14" s="32"/>
      <c r="BG14" s="1" t="s">
        <v>1</v>
      </c>
      <c r="BH14" s="60" t="e">
        <f>SUM(BH4:BH13)</f>
        <v>#DIV/0!</v>
      </c>
      <c r="BI14" s="60" t="e">
        <f t="shared" ref="BI14:BO14" si="51">SUM(BI4:BI13)</f>
        <v>#DIV/0!</v>
      </c>
      <c r="BJ14" s="60" t="e">
        <f t="shared" si="51"/>
        <v>#DIV/0!</v>
      </c>
      <c r="BK14" s="60" t="e">
        <f t="shared" si="51"/>
        <v>#DIV/0!</v>
      </c>
      <c r="BL14" s="60" t="e">
        <f t="shared" si="51"/>
        <v>#DIV/0!</v>
      </c>
      <c r="BM14" s="60" t="e">
        <f t="shared" si="51"/>
        <v>#DIV/0!</v>
      </c>
      <c r="BN14" s="60" t="e">
        <f t="shared" si="51"/>
        <v>#DIV/0!</v>
      </c>
      <c r="BO14" s="60" t="e">
        <f t="shared" si="51"/>
        <v>#DIV/0!</v>
      </c>
    </row>
    <row r="17" spans="1:67" s="16" customFormat="1" x14ac:dyDescent="0.2">
      <c r="A17" s="15" t="s">
        <v>39</v>
      </c>
      <c r="H17" s="15" t="s">
        <v>39</v>
      </c>
      <c r="N17" s="15" t="s">
        <v>39</v>
      </c>
      <c r="T17" s="15" t="s">
        <v>39</v>
      </c>
      <c r="Z17" s="15" t="s">
        <v>39</v>
      </c>
      <c r="AF17" s="15" t="s">
        <v>39</v>
      </c>
      <c r="AL17" s="15" t="s">
        <v>39</v>
      </c>
      <c r="AR17" s="15" t="s">
        <v>39</v>
      </c>
      <c r="AW17" s="15" t="s">
        <v>39</v>
      </c>
      <c r="BB17" s="15" t="s">
        <v>39</v>
      </c>
      <c r="BG17" s="15" t="s">
        <v>39</v>
      </c>
      <c r="BH17" s="216" t="s">
        <v>139</v>
      </c>
      <c r="BI17" s="217" t="s">
        <v>140</v>
      </c>
      <c r="BJ17" s="217" t="s">
        <v>139</v>
      </c>
      <c r="BK17" s="217" t="s">
        <v>140</v>
      </c>
      <c r="BL17" s="217" t="s">
        <v>139</v>
      </c>
      <c r="BM17" s="217" t="s">
        <v>140</v>
      </c>
      <c r="BN17" s="217" t="s">
        <v>139</v>
      </c>
      <c r="BO17" s="217" t="s">
        <v>140</v>
      </c>
    </row>
    <row r="18" spans="1:67" ht="38.25" x14ac:dyDescent="0.2">
      <c r="B18" s="14" t="s">
        <v>38</v>
      </c>
      <c r="C18" s="14" t="s">
        <v>37</v>
      </c>
      <c r="D18" s="14" t="s">
        <v>0</v>
      </c>
      <c r="E18" s="17" t="s">
        <v>1</v>
      </c>
      <c r="F18" s="17"/>
      <c r="G18" s="17"/>
      <c r="I18" s="14" t="s">
        <v>38</v>
      </c>
      <c r="J18" s="14" t="s">
        <v>37</v>
      </c>
      <c r="K18" s="14" t="s">
        <v>0</v>
      </c>
      <c r="L18" s="17" t="s">
        <v>1</v>
      </c>
      <c r="O18" s="14" t="s">
        <v>38</v>
      </c>
      <c r="P18" s="14" t="s">
        <v>37</v>
      </c>
      <c r="Q18" s="14" t="s">
        <v>0</v>
      </c>
      <c r="R18" s="17" t="s">
        <v>1</v>
      </c>
      <c r="U18" s="14" t="s">
        <v>38</v>
      </c>
      <c r="V18" s="14" t="s">
        <v>37</v>
      </c>
      <c r="W18" s="14" t="s">
        <v>0</v>
      </c>
      <c r="X18" s="17" t="s">
        <v>1</v>
      </c>
      <c r="AA18" s="14" t="s">
        <v>38</v>
      </c>
      <c r="AB18" s="14" t="s">
        <v>37</v>
      </c>
      <c r="AC18" s="14" t="s">
        <v>0</v>
      </c>
      <c r="AD18" s="17" t="s">
        <v>1</v>
      </c>
      <c r="AG18" s="14" t="s">
        <v>38</v>
      </c>
      <c r="AH18" s="14" t="s">
        <v>37</v>
      </c>
      <c r="AI18" s="14" t="s">
        <v>0</v>
      </c>
      <c r="AJ18" s="17" t="s">
        <v>1</v>
      </c>
      <c r="AM18" s="14" t="s">
        <v>38</v>
      </c>
      <c r="AN18" s="14" t="s">
        <v>37</v>
      </c>
      <c r="AO18" s="14" t="s">
        <v>0</v>
      </c>
      <c r="AP18" s="17" t="s">
        <v>1</v>
      </c>
      <c r="AS18" s="14" t="s">
        <v>38</v>
      </c>
      <c r="AT18" s="14" t="s">
        <v>37</v>
      </c>
      <c r="AU18" s="14" t="s">
        <v>0</v>
      </c>
      <c r="AW18" s="53">
        <v>0</v>
      </c>
      <c r="AX18" s="14" t="s">
        <v>38</v>
      </c>
      <c r="AY18" s="14" t="s">
        <v>37</v>
      </c>
      <c r="AZ18" s="14" t="s">
        <v>0</v>
      </c>
      <c r="BC18" s="14" t="s">
        <v>118</v>
      </c>
      <c r="BD18" s="14" t="s">
        <v>119</v>
      </c>
      <c r="BE18" s="14" t="s">
        <v>0</v>
      </c>
      <c r="BH18" s="218" t="s">
        <v>142</v>
      </c>
      <c r="BI18" s="218" t="s">
        <v>142</v>
      </c>
      <c r="BJ18" s="218" t="s">
        <v>143</v>
      </c>
      <c r="BK18" s="218" t="s">
        <v>143</v>
      </c>
      <c r="BL18" s="218" t="s">
        <v>144</v>
      </c>
      <c r="BM18" s="218" t="s">
        <v>145</v>
      </c>
      <c r="BN18" s="219" t="s">
        <v>141</v>
      </c>
      <c r="BO18" s="219" t="s">
        <v>141</v>
      </c>
    </row>
    <row r="19" spans="1:67" x14ac:dyDescent="0.2">
      <c r="A19" s="1" t="s">
        <v>2</v>
      </c>
      <c r="B19" s="6">
        <f>targets!C33</f>
        <v>19</v>
      </c>
      <c r="C19" s="7">
        <f>targets!P33</f>
        <v>25.786701350257353</v>
      </c>
      <c r="D19" s="8">
        <f>targets!Q33</f>
        <v>9993.6471504788969</v>
      </c>
      <c r="E19" s="5">
        <f>SUM(B19:D19)</f>
        <v>10038.433851829155</v>
      </c>
      <c r="F19" s="5"/>
      <c r="G19" s="5"/>
      <c r="H19" s="1" t="s">
        <v>2</v>
      </c>
      <c r="I19" s="6">
        <f>B19*((O$29/(B$29)))</f>
        <v>0</v>
      </c>
      <c r="J19" s="7">
        <f>C19*((P$29/(C$29)))</f>
        <v>0</v>
      </c>
      <c r="K19" s="8">
        <f>D19*((Q$29/(D$29)))</f>
        <v>0</v>
      </c>
      <c r="L19" s="5">
        <f>SUM(I19:K19)</f>
        <v>0</v>
      </c>
      <c r="N19" s="1" t="s">
        <v>2</v>
      </c>
      <c r="O19" s="6">
        <f t="array" ref="O19">SUM(IF((modeldata!$I:$I=$N$17)*(modeldata!$H:$H=calibration_simplemodes!$N19),modeldata!D:D,0))</f>
        <v>0</v>
      </c>
      <c r="P19" s="7">
        <f t="array" ref="P19">SUM(IF((modeldata!$I:$I=$N$17)*(modeldata!$H:$H=calibration_simplemodes!$N19),modeldata!E:E,0))</f>
        <v>0</v>
      </c>
      <c r="Q19" s="8">
        <f t="array" ref="Q19">SUM(IF((modeldata!$I:$I=$N$17)*(modeldata!$H:$H=calibration_simplemodes!$N19),modeldata!F:F,0))</f>
        <v>0</v>
      </c>
      <c r="R19" s="5">
        <f>SUM(O19:Q19)</f>
        <v>0</v>
      </c>
      <c r="T19" s="1" t="s">
        <v>2</v>
      </c>
      <c r="U19" s="22" t="e">
        <f>I19/I29</f>
        <v>#DIV/0!</v>
      </c>
      <c r="V19" s="26" t="e">
        <f>J19/J29</f>
        <v>#DIV/0!</v>
      </c>
      <c r="W19" s="27" t="e">
        <f>K19/K29</f>
        <v>#DIV/0!</v>
      </c>
      <c r="X19" s="25" t="e">
        <f>L19/L29</f>
        <v>#DIV/0!</v>
      </c>
      <c r="Z19" s="1" t="s">
        <v>2</v>
      </c>
      <c r="AA19" s="22" t="e">
        <f>O19/O29</f>
        <v>#DIV/0!</v>
      </c>
      <c r="AB19" s="26" t="e">
        <f>P19/P29</f>
        <v>#DIV/0!</v>
      </c>
      <c r="AC19" s="27" t="e">
        <f>Q19/Q29</f>
        <v>#DIV/0!</v>
      </c>
      <c r="AD19" s="25" t="e">
        <f>R19/R29</f>
        <v>#DIV/0!</v>
      </c>
      <c r="AF19" s="1" t="s">
        <v>2</v>
      </c>
      <c r="AG19" s="83">
        <f>O19-I19</f>
        <v>0</v>
      </c>
      <c r="AH19" s="84">
        <f t="shared" ref="AH19:AH29" si="52">P19-J19</f>
        <v>0</v>
      </c>
      <c r="AI19" s="85">
        <f t="shared" ref="AI19:AI29" si="53">Q19-K19</f>
        <v>0</v>
      </c>
      <c r="AJ19" s="73">
        <f t="shared" ref="AJ19:AJ29" si="54">R19-L19</f>
        <v>0</v>
      </c>
      <c r="AL19" s="1" t="s">
        <v>2</v>
      </c>
      <c r="AM19" s="31" t="e">
        <f>AA19-U19</f>
        <v>#DIV/0!</v>
      </c>
      <c r="AN19" s="33" t="e">
        <f t="shared" ref="AN19:AN29" si="55">AB19-V19</f>
        <v>#DIV/0!</v>
      </c>
      <c r="AO19" s="34" t="e">
        <f t="shared" ref="AO19:AO29" si="56">AC19-W19</f>
        <v>#DIV/0!</v>
      </c>
      <c r="AP19" s="32" t="e">
        <f t="shared" ref="AP19:AP29" si="57">AD19-X19</f>
        <v>#DIV/0!</v>
      </c>
      <c r="AR19" s="1" t="s">
        <v>2</v>
      </c>
      <c r="AS19" s="44">
        <f ca="1">OFFSET(university_existing,0,0)</f>
        <v>1.2344145889526736</v>
      </c>
      <c r="AT19" s="45">
        <f ca="1">OFFSET(university_existing,1,0)</f>
        <v>2.0305284328803408</v>
      </c>
      <c r="AU19" s="46">
        <f ca="1">OFFSET(university_existing,2,0)</f>
        <v>0.77901000122149044</v>
      </c>
      <c r="AW19" s="1" t="s">
        <v>2</v>
      </c>
      <c r="AX19" s="44" t="e">
        <f t="shared" ref="AX19:AX25" si="58">IF(AND(U19&gt;0, AA19&gt;0),university_damp*LN(U19/AA19),0)</f>
        <v>#DIV/0!</v>
      </c>
      <c r="AY19" s="45" t="e">
        <f t="shared" ref="AY19:AY25" si="59">IF(AND(V19&gt;0, AB19&gt;0),university_damp*LN(V19/AB19),0)</f>
        <v>#DIV/0!</v>
      </c>
      <c r="AZ19" s="46" t="e">
        <f t="shared" ref="AZ19:AZ25" si="60">IF(AND(W19&gt;0, AC19&gt;0),university_damp*LN(W19/AC19),0)</f>
        <v>#DIV/0!</v>
      </c>
      <c r="BB19" s="1" t="s">
        <v>2</v>
      </c>
      <c r="BC19" s="44" t="e">
        <f ca="1">AS19+AX19-AX21</f>
        <v>#DIV/0!</v>
      </c>
      <c r="BD19" s="45" t="e">
        <f ca="1">AT19+AY19-AY21</f>
        <v>#DIV/0!</v>
      </c>
      <c r="BE19" s="46" t="e">
        <f ca="1">AU19+AZ19-AZ21</f>
        <v>#DIV/0!</v>
      </c>
      <c r="BG19" s="1" t="s">
        <v>2</v>
      </c>
      <c r="BH19" s="57" t="e">
        <f>U19</f>
        <v>#DIV/0!</v>
      </c>
      <c r="BI19" s="59" t="e">
        <f>AA19</f>
        <v>#DIV/0!</v>
      </c>
      <c r="BJ19" s="57" t="e">
        <f>V19</f>
        <v>#DIV/0!</v>
      </c>
      <c r="BK19" s="59" t="e">
        <f>AB19</f>
        <v>#DIV/0!</v>
      </c>
      <c r="BL19" s="57" t="e">
        <f>W19</f>
        <v>#DIV/0!</v>
      </c>
      <c r="BM19" s="59" t="e">
        <f>AC19</f>
        <v>#DIV/0!</v>
      </c>
      <c r="BN19" s="58" t="e">
        <f>X19</f>
        <v>#DIV/0!</v>
      </c>
      <c r="BO19" s="59" t="e">
        <f>AD19</f>
        <v>#DIV/0!</v>
      </c>
    </row>
    <row r="20" spans="1:67" x14ac:dyDescent="0.2">
      <c r="A20" s="1" t="s">
        <v>31</v>
      </c>
      <c r="B20" s="9">
        <f>targets!O34</f>
        <v>5269.3449363871441</v>
      </c>
      <c r="C20" s="5">
        <f>targets!P34</f>
        <v>50.364003006180766</v>
      </c>
      <c r="D20" s="10">
        <f>targets!Q34</f>
        <v>599.44660139686948</v>
      </c>
      <c r="E20" s="5">
        <f t="shared" ref="E20:E26" si="61">SUM(B20:D20)</f>
        <v>5919.1555407901942</v>
      </c>
      <c r="F20" s="5"/>
      <c r="G20" s="5"/>
      <c r="H20" s="1" t="s">
        <v>31</v>
      </c>
      <c r="I20" s="9">
        <f>B20*((O$29/(B$29)))</f>
        <v>0</v>
      </c>
      <c r="J20" s="5">
        <f t="shared" ref="J20:J28" si="62">C20*((P$29/(C$29)))</f>
        <v>0</v>
      </c>
      <c r="K20" s="10">
        <f t="shared" ref="K20:K28" si="63">D20*((Q$29/(D$29)))</f>
        <v>0</v>
      </c>
      <c r="L20" s="5">
        <f t="shared" ref="L20:L28" si="64">SUM(I20:K20)</f>
        <v>0</v>
      </c>
      <c r="N20" s="1" t="s">
        <v>31</v>
      </c>
      <c r="O20" s="9">
        <f t="array" ref="O20">SUM(IF((modeldata!$I:$I=$N$17)*(modeldata!$H:$H=calibration_simplemodes!$N20),modeldata!D:D,0))</f>
        <v>0</v>
      </c>
      <c r="P20" s="5">
        <f t="array" ref="P20">SUM(IF((modeldata!$I:$I=$N$17)*(modeldata!$H:$H=calibration_simplemodes!$N20),modeldata!E:E,0))</f>
        <v>0</v>
      </c>
      <c r="Q20" s="10">
        <f t="array" ref="Q20">SUM(IF((modeldata!$I:$I=$N$17)*(modeldata!$H:$H=calibration_simplemodes!$N20),modeldata!F:F,0))</f>
        <v>0</v>
      </c>
      <c r="R20" s="5">
        <f t="shared" ref="R20:R28" si="65">SUM(O20:Q20)</f>
        <v>0</v>
      </c>
      <c r="T20" s="1" t="s">
        <v>31</v>
      </c>
      <c r="U20" s="23" t="e">
        <f>MAX(I20/I29,0.0001)</f>
        <v>#DIV/0!</v>
      </c>
      <c r="V20" s="25" t="e">
        <f>J20/J29</f>
        <v>#DIV/0!</v>
      </c>
      <c r="W20" s="28" t="e">
        <f>K20/K29</f>
        <v>#DIV/0!</v>
      </c>
      <c r="X20" s="25" t="e">
        <f>L20/L29</f>
        <v>#DIV/0!</v>
      </c>
      <c r="Z20" s="1" t="s">
        <v>31</v>
      </c>
      <c r="AA20" s="23" t="e">
        <f>O20/O29</f>
        <v>#DIV/0!</v>
      </c>
      <c r="AB20" s="25" t="e">
        <f>P20/P29</f>
        <v>#DIV/0!</v>
      </c>
      <c r="AC20" s="28" t="e">
        <f>Q20/Q29</f>
        <v>#DIV/0!</v>
      </c>
      <c r="AD20" s="25" t="e">
        <f>R20/R29</f>
        <v>#DIV/0!</v>
      </c>
      <c r="AF20" s="1" t="s">
        <v>31</v>
      </c>
      <c r="AG20" s="86">
        <f t="shared" ref="AG20:AG29" si="66">O20-I20</f>
        <v>0</v>
      </c>
      <c r="AH20" s="73">
        <f t="shared" si="52"/>
        <v>0</v>
      </c>
      <c r="AI20" s="87">
        <f t="shared" si="53"/>
        <v>0</v>
      </c>
      <c r="AJ20" s="73">
        <f t="shared" si="54"/>
        <v>0</v>
      </c>
      <c r="AL20" s="1" t="s">
        <v>31</v>
      </c>
      <c r="AM20" s="35" t="e">
        <f t="shared" ref="AM20:AM29" si="67">AA20-U20</f>
        <v>#DIV/0!</v>
      </c>
      <c r="AN20" s="32" t="e">
        <f t="shared" si="55"/>
        <v>#DIV/0!</v>
      </c>
      <c r="AO20" s="36" t="e">
        <f t="shared" si="56"/>
        <v>#DIV/0!</v>
      </c>
      <c r="AP20" s="32" t="e">
        <f t="shared" si="57"/>
        <v>#DIV/0!</v>
      </c>
      <c r="AR20" s="1" t="s">
        <v>31</v>
      </c>
      <c r="AS20" s="47">
        <f ca="1">OFFSET(university_existing,3,0)</f>
        <v>-29.968666756966783</v>
      </c>
      <c r="AT20" s="48">
        <f ca="1">OFFSET(university_existing,4,0)</f>
        <v>4.1967269557219566</v>
      </c>
      <c r="AU20" s="49">
        <f ca="1">OFFSET(university_existing,5,0)</f>
        <v>-8.8613700728153888E-2</v>
      </c>
      <c r="AW20" s="1" t="s">
        <v>31</v>
      </c>
      <c r="AX20" s="47" t="e">
        <f t="shared" si="58"/>
        <v>#DIV/0!</v>
      </c>
      <c r="AY20" s="48" t="e">
        <f t="shared" si="59"/>
        <v>#DIV/0!</v>
      </c>
      <c r="AZ20" s="49" t="e">
        <f t="shared" si="60"/>
        <v>#DIV/0!</v>
      </c>
      <c r="BB20" s="1" t="s">
        <v>31</v>
      </c>
      <c r="BC20" s="47" t="e">
        <f ca="1">AS20+AX20-AX21</f>
        <v>#DIV/0!</v>
      </c>
      <c r="BD20" s="48" t="e">
        <f ca="1">AT20+AY20-AY21</f>
        <v>#DIV/0!</v>
      </c>
      <c r="BE20" s="49" t="e">
        <f ca="1">AU20+AZ20-AZ21</f>
        <v>#DIV/0!</v>
      </c>
      <c r="BG20" s="1" t="s">
        <v>31</v>
      </c>
      <c r="BH20" s="61" t="e">
        <f t="shared" ref="BH20:BH28" si="68">U20</f>
        <v>#DIV/0!</v>
      </c>
      <c r="BI20" s="62" t="e">
        <f t="shared" ref="BI20:BI28" si="69">AA20</f>
        <v>#DIV/0!</v>
      </c>
      <c r="BJ20" s="61" t="e">
        <f t="shared" ref="BJ20:BJ28" si="70">V20</f>
        <v>#DIV/0!</v>
      </c>
      <c r="BK20" s="62" t="e">
        <f t="shared" ref="BK20:BK28" si="71">AB20</f>
        <v>#DIV/0!</v>
      </c>
      <c r="BL20" s="61" t="e">
        <f t="shared" ref="BL20:BL28" si="72">W20</f>
        <v>#DIV/0!</v>
      </c>
      <c r="BM20" s="62" t="e">
        <f t="shared" ref="BM20:BM28" si="73">AC20</f>
        <v>#DIV/0!</v>
      </c>
      <c r="BN20" s="60" t="e">
        <f t="shared" ref="BN20:BN28" si="74">X20</f>
        <v>#DIV/0!</v>
      </c>
      <c r="BO20" s="62" t="e">
        <f t="shared" ref="BO20:BO28" si="75">AD20</f>
        <v>#DIV/0!</v>
      </c>
    </row>
    <row r="21" spans="1:67" x14ac:dyDescent="0.2">
      <c r="A21" s="1" t="s">
        <v>32</v>
      </c>
      <c r="B21" s="9">
        <f>targets!O30</f>
        <v>0</v>
      </c>
      <c r="C21" s="5">
        <f>targets!P30</f>
        <v>60.234171354933565</v>
      </c>
      <c r="D21" s="10">
        <f>targets!Q30</f>
        <v>10502.686726097469</v>
      </c>
      <c r="E21" s="5">
        <f t="shared" si="61"/>
        <v>10562.920897452403</v>
      </c>
      <c r="F21" s="5"/>
      <c r="G21" s="5"/>
      <c r="H21" s="1" t="s">
        <v>32</v>
      </c>
      <c r="I21" s="9">
        <f t="shared" ref="I21:I28" si="76">B21*((O$29/(B$29)))</f>
        <v>0</v>
      </c>
      <c r="J21" s="5">
        <f t="shared" si="62"/>
        <v>0</v>
      </c>
      <c r="K21" s="10">
        <f t="shared" si="63"/>
        <v>0</v>
      </c>
      <c r="L21" s="5">
        <f t="shared" si="64"/>
        <v>0</v>
      </c>
      <c r="N21" s="1" t="s">
        <v>32</v>
      </c>
      <c r="O21" s="9">
        <f t="array" ref="O21">SUM(IF((modeldata!$I:$I=$N$17)*(modeldata!$H:$H=calibration_simplemodes!$N21),modeldata!D:D,0))</f>
        <v>0</v>
      </c>
      <c r="P21" s="5">
        <f t="array" ref="P21">SUM(IF((modeldata!$I:$I=$N$17)*(modeldata!$H:$H=calibration_simplemodes!$N21),modeldata!E:E,0))</f>
        <v>0</v>
      </c>
      <c r="Q21" s="10">
        <f t="array" ref="Q21">SUM(IF((modeldata!$I:$I=$N$17)*(modeldata!$H:$H=calibration_simplemodes!$N21),modeldata!F:F,0))</f>
        <v>0</v>
      </c>
      <c r="R21" s="5">
        <f t="shared" si="65"/>
        <v>0</v>
      </c>
      <c r="T21" s="1" t="s">
        <v>32</v>
      </c>
      <c r="U21" s="23" t="e">
        <f>I21/I29</f>
        <v>#DIV/0!</v>
      </c>
      <c r="V21" s="25" t="e">
        <f>J21/J29</f>
        <v>#DIV/0!</v>
      </c>
      <c r="W21" s="28" t="e">
        <f>K21/K29</f>
        <v>#DIV/0!</v>
      </c>
      <c r="X21" s="25" t="e">
        <f>L21/L29</f>
        <v>#DIV/0!</v>
      </c>
      <c r="Z21" s="1" t="s">
        <v>32</v>
      </c>
      <c r="AA21" s="23" t="e">
        <f>O21/O29</f>
        <v>#DIV/0!</v>
      </c>
      <c r="AB21" s="25" t="e">
        <f>P21/P29</f>
        <v>#DIV/0!</v>
      </c>
      <c r="AC21" s="28" t="e">
        <f>Q21/Q29</f>
        <v>#DIV/0!</v>
      </c>
      <c r="AD21" s="25" t="e">
        <f>R21/R29</f>
        <v>#DIV/0!</v>
      </c>
      <c r="AF21" s="1" t="s">
        <v>32</v>
      </c>
      <c r="AG21" s="86">
        <f t="shared" si="66"/>
        <v>0</v>
      </c>
      <c r="AH21" s="73">
        <f t="shared" si="52"/>
        <v>0</v>
      </c>
      <c r="AI21" s="87">
        <f t="shared" si="53"/>
        <v>0</v>
      </c>
      <c r="AJ21" s="73">
        <f t="shared" si="54"/>
        <v>0</v>
      </c>
      <c r="AL21" s="1" t="s">
        <v>32</v>
      </c>
      <c r="AM21" s="35" t="e">
        <f t="shared" si="67"/>
        <v>#DIV/0!</v>
      </c>
      <c r="AN21" s="32" t="e">
        <f t="shared" si="55"/>
        <v>#DIV/0!</v>
      </c>
      <c r="AO21" s="36" t="e">
        <f t="shared" si="56"/>
        <v>#DIV/0!</v>
      </c>
      <c r="AP21" s="32" t="e">
        <f t="shared" si="57"/>
        <v>#DIV/0!</v>
      </c>
      <c r="AR21" s="1" t="s">
        <v>32</v>
      </c>
      <c r="AS21" s="47">
        <v>0</v>
      </c>
      <c r="AT21" s="48">
        <v>0</v>
      </c>
      <c r="AU21" s="49">
        <v>0</v>
      </c>
      <c r="AW21" s="1" t="s">
        <v>32</v>
      </c>
      <c r="AX21" s="47" t="e">
        <f t="shared" si="58"/>
        <v>#DIV/0!</v>
      </c>
      <c r="AY21" s="48" t="e">
        <f t="shared" si="59"/>
        <v>#DIV/0!</v>
      </c>
      <c r="AZ21" s="49" t="e">
        <f t="shared" si="60"/>
        <v>#DIV/0!</v>
      </c>
      <c r="BB21" s="1" t="s">
        <v>32</v>
      </c>
      <c r="BC21" s="47" t="e">
        <f>AS21+AX21-AX21</f>
        <v>#DIV/0!</v>
      </c>
      <c r="BD21" s="48" t="e">
        <f>AT21+AY21-AY21</f>
        <v>#DIV/0!</v>
      </c>
      <c r="BE21" s="49" t="e">
        <f>AU21+AZ21-AZ21</f>
        <v>#DIV/0!</v>
      </c>
      <c r="BG21" s="1" t="s">
        <v>32</v>
      </c>
      <c r="BH21" s="61" t="e">
        <f t="shared" si="68"/>
        <v>#DIV/0!</v>
      </c>
      <c r="BI21" s="62" t="e">
        <f t="shared" si="69"/>
        <v>#DIV/0!</v>
      </c>
      <c r="BJ21" s="61" t="e">
        <f t="shared" si="70"/>
        <v>#DIV/0!</v>
      </c>
      <c r="BK21" s="62" t="e">
        <f t="shared" si="71"/>
        <v>#DIV/0!</v>
      </c>
      <c r="BL21" s="61" t="e">
        <f t="shared" si="72"/>
        <v>#DIV/0!</v>
      </c>
      <c r="BM21" s="62" t="e">
        <f t="shared" si="73"/>
        <v>#DIV/0!</v>
      </c>
      <c r="BN21" s="60" t="e">
        <f t="shared" si="74"/>
        <v>#DIV/0!</v>
      </c>
      <c r="BO21" s="62" t="e">
        <f t="shared" si="75"/>
        <v>#DIV/0!</v>
      </c>
    </row>
    <row r="22" spans="1:67" x14ac:dyDescent="0.2">
      <c r="A22" s="1" t="s">
        <v>33</v>
      </c>
      <c r="B22" s="9">
        <f>targets!O31</f>
        <v>121.98963728760847</v>
      </c>
      <c r="C22" s="5">
        <f>targets!P31</f>
        <v>0</v>
      </c>
      <c r="D22" s="10">
        <f>targets!Q31</f>
        <v>1593.970217207906</v>
      </c>
      <c r="E22" s="5">
        <f t="shared" si="61"/>
        <v>1715.9598544955145</v>
      </c>
      <c r="F22" s="5"/>
      <c r="G22" s="5"/>
      <c r="H22" s="1" t="s">
        <v>33</v>
      </c>
      <c r="I22" s="9">
        <f t="shared" si="76"/>
        <v>0</v>
      </c>
      <c r="J22" s="5">
        <f t="shared" si="62"/>
        <v>0</v>
      </c>
      <c r="K22" s="10">
        <f t="shared" si="63"/>
        <v>0</v>
      </c>
      <c r="L22" s="5">
        <f t="shared" si="64"/>
        <v>0</v>
      </c>
      <c r="N22" s="1" t="s">
        <v>33</v>
      </c>
      <c r="O22" s="9">
        <f t="array" ref="O22">SUM(IF((modeldata!$I:$I=$N$17)*(modeldata!$H:$H=calibration_simplemodes!$N22),modeldata!D:D,0))</f>
        <v>0</v>
      </c>
      <c r="P22" s="5">
        <f t="array" ref="P22">SUM(IF((modeldata!$I:$I=$N$17)*(modeldata!$H:$H=calibration_simplemodes!$N22),modeldata!E:E,0))</f>
        <v>0</v>
      </c>
      <c r="Q22" s="10">
        <f t="array" ref="Q22">SUM(IF((modeldata!$I:$I=$N$17)*(modeldata!$H:$H=calibration_simplemodes!$N22),modeldata!F:F,0))</f>
        <v>0</v>
      </c>
      <c r="R22" s="5">
        <f t="shared" si="65"/>
        <v>0</v>
      </c>
      <c r="T22" s="1" t="s">
        <v>33</v>
      </c>
      <c r="U22" s="23" t="e">
        <f>MAX(I22/I29,0.0001)</f>
        <v>#DIV/0!</v>
      </c>
      <c r="V22" s="25" t="e">
        <f>J22/J29</f>
        <v>#DIV/0!</v>
      </c>
      <c r="W22" s="28" t="e">
        <f>K22/K29</f>
        <v>#DIV/0!</v>
      </c>
      <c r="X22" s="25" t="e">
        <f>L22/L29</f>
        <v>#DIV/0!</v>
      </c>
      <c r="Z22" s="1" t="s">
        <v>33</v>
      </c>
      <c r="AA22" s="23" t="e">
        <f>O22/O29</f>
        <v>#DIV/0!</v>
      </c>
      <c r="AB22" s="25" t="e">
        <f>P22/P29</f>
        <v>#DIV/0!</v>
      </c>
      <c r="AC22" s="28" t="e">
        <f>Q22/Q29</f>
        <v>#DIV/0!</v>
      </c>
      <c r="AD22" s="25" t="e">
        <f>R22/R29</f>
        <v>#DIV/0!</v>
      </c>
      <c r="AF22" s="1" t="s">
        <v>33</v>
      </c>
      <c r="AG22" s="86">
        <f t="shared" si="66"/>
        <v>0</v>
      </c>
      <c r="AH22" s="73">
        <f t="shared" si="52"/>
        <v>0</v>
      </c>
      <c r="AI22" s="87">
        <f t="shared" si="53"/>
        <v>0</v>
      </c>
      <c r="AJ22" s="73">
        <f t="shared" si="54"/>
        <v>0</v>
      </c>
      <c r="AL22" s="1" t="s">
        <v>33</v>
      </c>
      <c r="AM22" s="35" t="e">
        <f t="shared" si="67"/>
        <v>#DIV/0!</v>
      </c>
      <c r="AN22" s="32" t="e">
        <f t="shared" si="55"/>
        <v>#DIV/0!</v>
      </c>
      <c r="AO22" s="36" t="e">
        <f t="shared" si="56"/>
        <v>#DIV/0!</v>
      </c>
      <c r="AP22" s="32" t="e">
        <f t="shared" si="57"/>
        <v>#DIV/0!</v>
      </c>
      <c r="AR22" s="1" t="s">
        <v>33</v>
      </c>
      <c r="AS22" s="47">
        <f ca="1">OFFSET(university_existing,6,0)</f>
        <v>-40.453128407981588</v>
      </c>
      <c r="AT22" s="48">
        <f ca="1">OFFSET(university_existing,7,0)</f>
        <v>0.60047947978238914</v>
      </c>
      <c r="AU22" s="49">
        <f ca="1">OFFSET(university_existing,8,0)</f>
        <v>-0.49265961402021302</v>
      </c>
      <c r="AW22" s="1" t="s">
        <v>33</v>
      </c>
      <c r="AX22" s="47" t="e">
        <f t="shared" si="58"/>
        <v>#DIV/0!</v>
      </c>
      <c r="AY22" s="48" t="e">
        <f t="shared" si="59"/>
        <v>#DIV/0!</v>
      </c>
      <c r="AZ22" s="49" t="e">
        <f t="shared" si="60"/>
        <v>#DIV/0!</v>
      </c>
      <c r="BB22" s="1" t="s">
        <v>120</v>
      </c>
      <c r="BC22" s="47" t="e">
        <f ca="1">AS22+AX22-AX21</f>
        <v>#DIV/0!</v>
      </c>
      <c r="BD22" s="48" t="e">
        <f ca="1">AT22+AY22-AY21</f>
        <v>#DIV/0!</v>
      </c>
      <c r="BE22" s="49" t="e">
        <f ca="1">AU22+AZ22-AZ21</f>
        <v>#DIV/0!</v>
      </c>
      <c r="BG22" s="1" t="s">
        <v>120</v>
      </c>
      <c r="BH22" s="61" t="e">
        <f t="shared" si="68"/>
        <v>#DIV/0!</v>
      </c>
      <c r="BI22" s="62" t="e">
        <f t="shared" si="69"/>
        <v>#DIV/0!</v>
      </c>
      <c r="BJ22" s="61" t="e">
        <f t="shared" si="70"/>
        <v>#DIV/0!</v>
      </c>
      <c r="BK22" s="62" t="e">
        <f t="shared" si="71"/>
        <v>#DIV/0!</v>
      </c>
      <c r="BL22" s="61" t="e">
        <f t="shared" si="72"/>
        <v>#DIV/0!</v>
      </c>
      <c r="BM22" s="62" t="e">
        <f t="shared" si="73"/>
        <v>#DIV/0!</v>
      </c>
      <c r="BN22" s="60" t="e">
        <f t="shared" si="74"/>
        <v>#DIV/0!</v>
      </c>
      <c r="BO22" s="62" t="e">
        <f t="shared" si="75"/>
        <v>#DIV/0!</v>
      </c>
    </row>
    <row r="23" spans="1:67" x14ac:dyDescent="0.2">
      <c r="A23" s="1" t="s">
        <v>34</v>
      </c>
      <c r="B23" s="9">
        <f>targets!O32</f>
        <v>754.50957076032296</v>
      </c>
      <c r="C23" s="5">
        <f>targets!P32</f>
        <v>0</v>
      </c>
      <c r="D23" s="10">
        <f>targets!Q32</f>
        <v>378.24446577588253</v>
      </c>
      <c r="E23" s="5">
        <f t="shared" si="61"/>
        <v>1132.7540365362056</v>
      </c>
      <c r="F23" s="5"/>
      <c r="G23" s="5"/>
      <c r="H23" s="1" t="s">
        <v>34</v>
      </c>
      <c r="I23" s="9">
        <f t="shared" si="76"/>
        <v>0</v>
      </c>
      <c r="J23" s="5">
        <f t="shared" si="62"/>
        <v>0</v>
      </c>
      <c r="K23" s="10">
        <f t="shared" si="63"/>
        <v>0</v>
      </c>
      <c r="L23" s="5">
        <f t="shared" si="64"/>
        <v>0</v>
      </c>
      <c r="N23" s="1" t="s">
        <v>34</v>
      </c>
      <c r="O23" s="9">
        <f t="array" ref="O23">SUM(IF((modeldata!$I:$I=$N$17)*(modeldata!$H:$H=calibration_simplemodes!$N23),modeldata!D:D,0))</f>
        <v>0</v>
      </c>
      <c r="P23" s="5">
        <f t="array" ref="P23">SUM(IF((modeldata!$I:$I=$N$17)*(modeldata!$H:$H=calibration_simplemodes!$N23),modeldata!E:E,0))</f>
        <v>0</v>
      </c>
      <c r="Q23" s="10">
        <f t="array" ref="Q23">SUM(IF((modeldata!$I:$I=$N$17)*(modeldata!$H:$H=calibration_simplemodes!$N23),modeldata!F:F,0))</f>
        <v>0</v>
      </c>
      <c r="R23" s="5">
        <f t="shared" si="65"/>
        <v>0</v>
      </c>
      <c r="T23" s="1" t="s">
        <v>34</v>
      </c>
      <c r="U23" s="23" t="e">
        <f>MAX(I23/I29,0.0001)</f>
        <v>#DIV/0!</v>
      </c>
      <c r="V23" s="25" t="e">
        <f>J23/J29</f>
        <v>#DIV/0!</v>
      </c>
      <c r="W23" s="28" t="e">
        <f>K23/K29</f>
        <v>#DIV/0!</v>
      </c>
      <c r="X23" s="25" t="e">
        <f>L23/L29</f>
        <v>#DIV/0!</v>
      </c>
      <c r="Z23" s="1" t="s">
        <v>34</v>
      </c>
      <c r="AA23" s="23" t="e">
        <f>O23/O29</f>
        <v>#DIV/0!</v>
      </c>
      <c r="AB23" s="25" t="e">
        <f>P23/P29</f>
        <v>#DIV/0!</v>
      </c>
      <c r="AC23" s="28" t="e">
        <f>Q23/Q29</f>
        <v>#DIV/0!</v>
      </c>
      <c r="AD23" s="25" t="e">
        <f>R23/R29</f>
        <v>#DIV/0!</v>
      </c>
      <c r="AF23" s="1" t="s">
        <v>34</v>
      </c>
      <c r="AG23" s="86">
        <f t="shared" si="66"/>
        <v>0</v>
      </c>
      <c r="AH23" s="73">
        <f t="shared" si="52"/>
        <v>0</v>
      </c>
      <c r="AI23" s="87">
        <f t="shared" si="53"/>
        <v>0</v>
      </c>
      <c r="AJ23" s="73">
        <f t="shared" si="54"/>
        <v>0</v>
      </c>
      <c r="AL23" s="1" t="s">
        <v>34</v>
      </c>
      <c r="AM23" s="35" t="e">
        <f t="shared" si="67"/>
        <v>#DIV/0!</v>
      </c>
      <c r="AN23" s="32" t="e">
        <f t="shared" si="55"/>
        <v>#DIV/0!</v>
      </c>
      <c r="AO23" s="36" t="e">
        <f t="shared" si="56"/>
        <v>#DIV/0!</v>
      </c>
      <c r="AP23" s="32" t="e">
        <f t="shared" si="57"/>
        <v>#DIV/0!</v>
      </c>
      <c r="AR23" s="1" t="s">
        <v>34</v>
      </c>
      <c r="AS23" s="47">
        <f ca="1">OFFSET(university_existing,9,0)</f>
        <v>-40.148514606624495</v>
      </c>
      <c r="AT23" s="48">
        <f ca="1">OFFSET(university_existing,10,0)</f>
        <v>-0.60527791769083006</v>
      </c>
      <c r="AU23" s="49">
        <f ca="1">OFFSET(university_existing,11,0)</f>
        <v>-1.6222210151259882</v>
      </c>
      <c r="AW23" s="1" t="s">
        <v>34</v>
      </c>
      <c r="AX23" s="47" t="e">
        <f t="shared" si="58"/>
        <v>#DIV/0!</v>
      </c>
      <c r="AY23" s="48" t="e">
        <f t="shared" si="59"/>
        <v>#DIV/0!</v>
      </c>
      <c r="AZ23" s="49" t="e">
        <f t="shared" si="60"/>
        <v>#DIV/0!</v>
      </c>
      <c r="BB23" s="1" t="s">
        <v>121</v>
      </c>
      <c r="BC23" s="47" t="e">
        <f ca="1">AS23+AX23-AX21</f>
        <v>#DIV/0!</v>
      </c>
      <c r="BD23" s="48" t="e">
        <f ca="1">AT23+AY23-AY21</f>
        <v>#DIV/0!</v>
      </c>
      <c r="BE23" s="49" t="e">
        <f ca="1">AU23+AZ23-AZ21</f>
        <v>#DIV/0!</v>
      </c>
      <c r="BG23" s="1" t="s">
        <v>121</v>
      </c>
      <c r="BH23" s="61" t="e">
        <f t="shared" si="68"/>
        <v>#DIV/0!</v>
      </c>
      <c r="BI23" s="62" t="e">
        <f t="shared" si="69"/>
        <v>#DIV/0!</v>
      </c>
      <c r="BJ23" s="61" t="e">
        <f t="shared" si="70"/>
        <v>#DIV/0!</v>
      </c>
      <c r="BK23" s="62" t="e">
        <f t="shared" si="71"/>
        <v>#DIV/0!</v>
      </c>
      <c r="BL23" s="61" t="e">
        <f t="shared" si="72"/>
        <v>#DIV/0!</v>
      </c>
      <c r="BM23" s="62" t="e">
        <f t="shared" si="73"/>
        <v>#DIV/0!</v>
      </c>
      <c r="BN23" s="60" t="e">
        <f t="shared" si="74"/>
        <v>#DIV/0!</v>
      </c>
      <c r="BO23" s="62" t="e">
        <f t="shared" si="75"/>
        <v>#DIV/0!</v>
      </c>
    </row>
    <row r="24" spans="1:67" x14ac:dyDescent="0.2">
      <c r="A24" s="90" t="s">
        <v>3</v>
      </c>
      <c r="B24" s="9">
        <f>SUM(targets!O35:O40)</f>
        <v>19465.735645853081</v>
      </c>
      <c r="C24" s="5">
        <f>SUM(targets!P35:P40)</f>
        <v>3669.7488197170183</v>
      </c>
      <c r="D24" s="10">
        <f>SUM(targets!Q35:Q40)</f>
        <v>817.23973096755822</v>
      </c>
      <c r="E24" s="92">
        <f t="shared" si="61"/>
        <v>23952.724196537656</v>
      </c>
      <c r="F24" s="92"/>
      <c r="G24" s="5"/>
      <c r="H24" s="1" t="s">
        <v>3</v>
      </c>
      <c r="I24" s="9">
        <f t="shared" si="76"/>
        <v>0</v>
      </c>
      <c r="J24" s="5">
        <f t="shared" si="62"/>
        <v>0</v>
      </c>
      <c r="K24" s="10">
        <f t="shared" si="63"/>
        <v>0</v>
      </c>
      <c r="L24" s="5">
        <f t="shared" si="64"/>
        <v>0</v>
      </c>
      <c r="N24" s="1" t="s">
        <v>3</v>
      </c>
      <c r="O24" s="9">
        <f t="array" ref="O24">SUM(IF((modeldata!$I:$I=$N$17)*(modeldata!$H:$H=calibration_simplemodes!$N24),modeldata!D:D,0))</f>
        <v>0</v>
      </c>
      <c r="P24" s="5">
        <f t="array" ref="P24">SUM(IF((modeldata!$I:$I=$N$17)*(modeldata!$H:$H=calibration_simplemodes!$N24),modeldata!E:E,0))</f>
        <v>0</v>
      </c>
      <c r="Q24" s="10">
        <f t="array" ref="Q24">SUM(IF((modeldata!$I:$I=$N$17)*(modeldata!$H:$H=calibration_simplemodes!$N24),modeldata!F:F,0))</f>
        <v>0</v>
      </c>
      <c r="R24" s="5">
        <f t="shared" si="65"/>
        <v>0</v>
      </c>
      <c r="T24" s="1" t="s">
        <v>3</v>
      </c>
      <c r="U24" s="23" t="e">
        <f>I24/I29</f>
        <v>#DIV/0!</v>
      </c>
      <c r="V24" s="25" t="e">
        <f>J24/J29</f>
        <v>#DIV/0!</v>
      </c>
      <c r="W24" s="28" t="e">
        <f>K24/K29</f>
        <v>#DIV/0!</v>
      </c>
      <c r="X24" s="25" t="e">
        <f>L24/L29</f>
        <v>#DIV/0!</v>
      </c>
      <c r="Z24" s="1" t="s">
        <v>3</v>
      </c>
      <c r="AA24" s="23" t="e">
        <f>O24/O29</f>
        <v>#DIV/0!</v>
      </c>
      <c r="AB24" s="25" t="e">
        <f>P24/P29</f>
        <v>#DIV/0!</v>
      </c>
      <c r="AC24" s="28" t="e">
        <f>Q24/Q29</f>
        <v>#DIV/0!</v>
      </c>
      <c r="AD24" s="25" t="e">
        <f>R24/R29</f>
        <v>#DIV/0!</v>
      </c>
      <c r="AF24" s="1" t="s">
        <v>3</v>
      </c>
      <c r="AG24" s="86">
        <f t="shared" si="66"/>
        <v>0</v>
      </c>
      <c r="AH24" s="73">
        <f t="shared" si="52"/>
        <v>0</v>
      </c>
      <c r="AI24" s="87">
        <f t="shared" si="53"/>
        <v>0</v>
      </c>
      <c r="AJ24" s="73">
        <f t="shared" si="54"/>
        <v>0</v>
      </c>
      <c r="AL24" s="1" t="s">
        <v>3</v>
      </c>
      <c r="AM24" s="35" t="e">
        <f t="shared" si="67"/>
        <v>#DIV/0!</v>
      </c>
      <c r="AN24" s="32" t="e">
        <f t="shared" si="55"/>
        <v>#DIV/0!</v>
      </c>
      <c r="AO24" s="36" t="e">
        <f t="shared" si="56"/>
        <v>#DIV/0!</v>
      </c>
      <c r="AP24" s="32" t="e">
        <f t="shared" si="57"/>
        <v>#DIV/0!</v>
      </c>
      <c r="AR24" s="1" t="s">
        <v>3</v>
      </c>
      <c r="AS24" s="47">
        <f ca="1">OFFSET(university_existing,12,0)</f>
        <v>3.2403367107369023</v>
      </c>
      <c r="AT24" s="48">
        <f ca="1">OFFSET(university_existing,13,0)</f>
        <v>9.8646021894660887</v>
      </c>
      <c r="AU24" s="49">
        <f ca="1">OFFSET(university_existing,14,0)</f>
        <v>0.27716887960604059</v>
      </c>
      <c r="AW24" s="1" t="s">
        <v>3</v>
      </c>
      <c r="AX24" s="47" t="e">
        <f t="shared" si="58"/>
        <v>#DIV/0!</v>
      </c>
      <c r="AY24" s="48" t="e">
        <f t="shared" si="59"/>
        <v>#DIV/0!</v>
      </c>
      <c r="AZ24" s="49" t="e">
        <f t="shared" si="60"/>
        <v>#DIV/0!</v>
      </c>
      <c r="BB24" s="1" t="s">
        <v>3</v>
      </c>
      <c r="BC24" s="47" t="e">
        <f ca="1">AS24+AX24-AX21</f>
        <v>#DIV/0!</v>
      </c>
      <c r="BD24" s="48" t="e">
        <f ca="1">AT24+AY24-AY21</f>
        <v>#DIV/0!</v>
      </c>
      <c r="BE24" s="49" t="e">
        <f ca="1">AU24+AZ24-AZ21</f>
        <v>#DIV/0!</v>
      </c>
      <c r="BG24" s="1" t="s">
        <v>3</v>
      </c>
      <c r="BH24" s="61" t="e">
        <f t="shared" si="68"/>
        <v>#DIV/0!</v>
      </c>
      <c r="BI24" s="62" t="e">
        <f t="shared" si="69"/>
        <v>#DIV/0!</v>
      </c>
      <c r="BJ24" s="61" t="e">
        <f t="shared" si="70"/>
        <v>#DIV/0!</v>
      </c>
      <c r="BK24" s="62" t="e">
        <f t="shared" si="71"/>
        <v>#DIV/0!</v>
      </c>
      <c r="BL24" s="61" t="e">
        <f t="shared" si="72"/>
        <v>#DIV/0!</v>
      </c>
      <c r="BM24" s="62" t="e">
        <f t="shared" si="73"/>
        <v>#DIV/0!</v>
      </c>
      <c r="BN24" s="60" t="e">
        <f t="shared" si="74"/>
        <v>#DIV/0!</v>
      </c>
      <c r="BO24" s="62" t="e">
        <f t="shared" si="75"/>
        <v>#DIV/0!</v>
      </c>
    </row>
    <row r="25" spans="1:67" x14ac:dyDescent="0.2">
      <c r="A25" s="90" t="s">
        <v>35</v>
      </c>
      <c r="B25" s="9">
        <f>SUM(targets!O41:O46)</f>
        <v>0</v>
      </c>
      <c r="C25" s="5">
        <f>SUM(targets!P41:P46)</f>
        <v>0</v>
      </c>
      <c r="D25" s="10">
        <f>SUM(targets!Q41:Q46)</f>
        <v>31.705986171159939</v>
      </c>
      <c r="E25" s="92">
        <f t="shared" si="61"/>
        <v>31.705986171159939</v>
      </c>
      <c r="F25" s="92"/>
      <c r="G25" s="5"/>
      <c r="H25" s="1" t="s">
        <v>35</v>
      </c>
      <c r="I25" s="9">
        <f t="shared" si="76"/>
        <v>0</v>
      </c>
      <c r="J25" s="5">
        <f t="shared" si="62"/>
        <v>0</v>
      </c>
      <c r="K25" s="10">
        <f t="shared" si="63"/>
        <v>0</v>
      </c>
      <c r="L25" s="5">
        <f t="shared" si="64"/>
        <v>0</v>
      </c>
      <c r="N25" s="1" t="s">
        <v>35</v>
      </c>
      <c r="O25" s="9">
        <f t="array" ref="O25">SUM(IF((modeldata!$I:$I=$N$17)*(modeldata!$H:$H=calibration_simplemodes!$N25),modeldata!D:D,0))</f>
        <v>0</v>
      </c>
      <c r="P25" s="5">
        <f t="array" ref="P25">SUM(IF((modeldata!$I:$I=$N$17)*(modeldata!$H:$H=calibration_simplemodes!$N25),modeldata!E:E,0))</f>
        <v>0</v>
      </c>
      <c r="Q25" s="10">
        <f t="array" ref="Q25">SUM(IF((modeldata!$I:$I=$N$17)*(modeldata!$H:$H=calibration_simplemodes!$N25),modeldata!F:F,0))</f>
        <v>0</v>
      </c>
      <c r="R25" s="5">
        <f t="shared" si="65"/>
        <v>0</v>
      </c>
      <c r="T25" s="1" t="s">
        <v>35</v>
      </c>
      <c r="U25" s="23" t="e">
        <f>MAX(I25/I29,0.0001)</f>
        <v>#DIV/0!</v>
      </c>
      <c r="V25" s="25" t="e">
        <f>J25/J29</f>
        <v>#DIV/0!</v>
      </c>
      <c r="W25" s="28" t="e">
        <f>K25/K29</f>
        <v>#DIV/0!</v>
      </c>
      <c r="X25" s="25" t="e">
        <f>L25/L29</f>
        <v>#DIV/0!</v>
      </c>
      <c r="Z25" s="1" t="s">
        <v>35</v>
      </c>
      <c r="AA25" s="23" t="e">
        <f>O25/O29</f>
        <v>#DIV/0!</v>
      </c>
      <c r="AB25" s="25" t="e">
        <f>P25/P29</f>
        <v>#DIV/0!</v>
      </c>
      <c r="AC25" s="28" t="e">
        <f>Q25/Q29</f>
        <v>#DIV/0!</v>
      </c>
      <c r="AD25" s="25" t="e">
        <f>R25/R29</f>
        <v>#DIV/0!</v>
      </c>
      <c r="AF25" s="1" t="s">
        <v>35</v>
      </c>
      <c r="AG25" s="86">
        <f t="shared" si="66"/>
        <v>0</v>
      </c>
      <c r="AH25" s="73">
        <f t="shared" si="52"/>
        <v>0</v>
      </c>
      <c r="AI25" s="87">
        <f t="shared" si="53"/>
        <v>0</v>
      </c>
      <c r="AJ25" s="73">
        <f t="shared" si="54"/>
        <v>0</v>
      </c>
      <c r="AL25" s="1" t="s">
        <v>35</v>
      </c>
      <c r="AM25" s="35" t="e">
        <f t="shared" si="67"/>
        <v>#DIV/0!</v>
      </c>
      <c r="AN25" s="32" t="e">
        <f t="shared" si="55"/>
        <v>#DIV/0!</v>
      </c>
      <c r="AO25" s="36" t="e">
        <f t="shared" si="56"/>
        <v>#DIV/0!</v>
      </c>
      <c r="AP25" s="32" t="e">
        <f t="shared" si="57"/>
        <v>#DIV/0!</v>
      </c>
      <c r="AR25" s="1" t="s">
        <v>35</v>
      </c>
      <c r="AS25" s="47">
        <f ca="1">OFFSET(university_existing,15,0)</f>
        <v>0</v>
      </c>
      <c r="AT25" s="48">
        <f ca="1">OFFSET(university_existing,16,0)</f>
        <v>9.5010314888844718</v>
      </c>
      <c r="AU25" s="49">
        <f ca="1">OFFSET(university_existing,17,0)</f>
        <v>-0.72310673781542345</v>
      </c>
      <c r="AW25" s="1" t="s">
        <v>35</v>
      </c>
      <c r="AX25" s="47" t="e">
        <f t="shared" si="58"/>
        <v>#DIV/0!</v>
      </c>
      <c r="AY25" s="48" t="e">
        <f t="shared" si="59"/>
        <v>#DIV/0!</v>
      </c>
      <c r="AZ25" s="49" t="e">
        <f t="shared" si="60"/>
        <v>#DIV/0!</v>
      </c>
      <c r="BB25" s="1" t="s">
        <v>35</v>
      </c>
      <c r="BC25" s="47" t="e">
        <f ca="1">AS25+AX25-AX21</f>
        <v>#DIV/0!</v>
      </c>
      <c r="BD25" s="48" t="e">
        <f ca="1">AT25+AY25-AY21</f>
        <v>#DIV/0!</v>
      </c>
      <c r="BE25" s="49" t="e">
        <f ca="1">AU25+AZ25-AZ21</f>
        <v>#DIV/0!</v>
      </c>
      <c r="BG25" s="1" t="s">
        <v>35</v>
      </c>
      <c r="BH25" s="61" t="e">
        <f t="shared" si="68"/>
        <v>#DIV/0!</v>
      </c>
      <c r="BI25" s="62" t="e">
        <f t="shared" si="69"/>
        <v>#DIV/0!</v>
      </c>
      <c r="BJ25" s="61" t="e">
        <f t="shared" si="70"/>
        <v>#DIV/0!</v>
      </c>
      <c r="BK25" s="62" t="e">
        <f t="shared" si="71"/>
        <v>#DIV/0!</v>
      </c>
      <c r="BL25" s="61" t="e">
        <f t="shared" si="72"/>
        <v>#DIV/0!</v>
      </c>
      <c r="BM25" s="62" t="e">
        <f t="shared" si="73"/>
        <v>#DIV/0!</v>
      </c>
      <c r="BN25" s="60" t="e">
        <f t="shared" si="74"/>
        <v>#DIV/0!</v>
      </c>
      <c r="BO25" s="62" t="e">
        <f t="shared" si="75"/>
        <v>#DIV/0!</v>
      </c>
    </row>
    <row r="26" spans="1:67" x14ac:dyDescent="0.2">
      <c r="A26" s="1" t="s">
        <v>36</v>
      </c>
      <c r="B26" s="221">
        <f>targets!O47</f>
        <v>0</v>
      </c>
      <c r="C26" s="240">
        <f>targets!P47</f>
        <v>0</v>
      </c>
      <c r="D26" s="222">
        <f>targets!Q47</f>
        <v>0</v>
      </c>
      <c r="E26" s="5">
        <f t="shared" si="61"/>
        <v>0</v>
      </c>
      <c r="F26" s="5"/>
      <c r="G26" s="5"/>
      <c r="H26" s="1" t="s">
        <v>36</v>
      </c>
      <c r="I26" s="9">
        <f t="shared" si="76"/>
        <v>0</v>
      </c>
      <c r="J26" s="5">
        <f t="shared" si="62"/>
        <v>0</v>
      </c>
      <c r="K26" s="10">
        <f t="shared" si="63"/>
        <v>0</v>
      </c>
      <c r="L26" s="5">
        <f t="shared" si="64"/>
        <v>0</v>
      </c>
      <c r="N26" s="1" t="s">
        <v>36</v>
      </c>
      <c r="O26" s="9">
        <f t="array" ref="O26">SUM(IF((modeldata!$I:$I=$N$17)*(modeldata!$H:$H=calibration_simplemodes!$N26),modeldata!D:D,0))</f>
        <v>0</v>
      </c>
      <c r="P26" s="5">
        <f t="array" ref="P26">SUM(IF((modeldata!$I:$I=$N$17)*(modeldata!$H:$H=calibration_simplemodes!$N26),modeldata!E:E,0))</f>
        <v>0</v>
      </c>
      <c r="Q26" s="10">
        <f t="array" ref="Q26">SUM(IF((modeldata!$I:$I=$N$17)*(modeldata!$H:$H=calibration_simplemodes!$N26),modeldata!F:F,0))</f>
        <v>0</v>
      </c>
      <c r="R26" s="5">
        <f t="shared" si="65"/>
        <v>0</v>
      </c>
      <c r="T26" s="1" t="s">
        <v>36</v>
      </c>
      <c r="U26" s="23" t="e">
        <f>I26/I29</f>
        <v>#DIV/0!</v>
      </c>
      <c r="V26" s="25" t="e">
        <f>J26/J29</f>
        <v>#DIV/0!</v>
      </c>
      <c r="W26" s="28" t="e">
        <f>K26/K29</f>
        <v>#DIV/0!</v>
      </c>
      <c r="X26" s="25" t="e">
        <f>L26/L29</f>
        <v>#DIV/0!</v>
      </c>
      <c r="Z26" s="1" t="s">
        <v>36</v>
      </c>
      <c r="AA26" s="23" t="e">
        <f>O26/O29</f>
        <v>#DIV/0!</v>
      </c>
      <c r="AB26" s="25" t="e">
        <f>P26/P29</f>
        <v>#DIV/0!</v>
      </c>
      <c r="AC26" s="28" t="e">
        <f>Q26/Q29</f>
        <v>#DIV/0!</v>
      </c>
      <c r="AD26" s="25" t="e">
        <f>R26/R29</f>
        <v>#DIV/0!</v>
      </c>
      <c r="AF26" s="1" t="s">
        <v>36</v>
      </c>
      <c r="AG26" s="86">
        <f t="shared" si="66"/>
        <v>0</v>
      </c>
      <c r="AH26" s="73">
        <f t="shared" si="52"/>
        <v>0</v>
      </c>
      <c r="AI26" s="87">
        <f t="shared" si="53"/>
        <v>0</v>
      </c>
      <c r="AJ26" s="73">
        <f t="shared" si="54"/>
        <v>0</v>
      </c>
      <c r="AL26" s="1" t="s">
        <v>36</v>
      </c>
      <c r="AM26" s="35" t="e">
        <f t="shared" si="67"/>
        <v>#DIV/0!</v>
      </c>
      <c r="AN26" s="32" t="e">
        <f t="shared" si="55"/>
        <v>#DIV/0!</v>
      </c>
      <c r="AO26" s="36" t="e">
        <f t="shared" si="56"/>
        <v>#DIV/0!</v>
      </c>
      <c r="AP26" s="32" t="e">
        <f t="shared" si="57"/>
        <v>#DIV/0!</v>
      </c>
      <c r="AR26" s="1" t="s">
        <v>36</v>
      </c>
      <c r="AS26" s="47">
        <f ca="1">OFFSET(university_existing,18,0)</f>
        <v>-14.413390978433416</v>
      </c>
      <c r="AT26" s="48">
        <f ca="1">OFFSET(university_existing,19,0)</f>
        <v>6.7745387844835925</v>
      </c>
      <c r="AU26" s="49">
        <f ca="1">OFFSET(university_existing,20,0)</f>
        <v>1.2947270672734077</v>
      </c>
      <c r="AW26" s="1" t="s">
        <v>36</v>
      </c>
      <c r="AX26" s="47" t="e">
        <f t="shared" ref="AX26:AX28" si="77">IF(AND(U26&gt;0, AA26&gt;0),university_damp*LN(U26/AA26),0)</f>
        <v>#DIV/0!</v>
      </c>
      <c r="AY26" s="48" t="e">
        <f t="shared" ref="AY26:AY28" si="78">IF(AND(V26&gt;0, AB26&gt;0),university_damp*LN(V26/AB26),0)</f>
        <v>#DIV/0!</v>
      </c>
      <c r="AZ26" s="49" t="e">
        <f t="shared" ref="AZ26:AZ28" si="79">IF(AND(W26&gt;0, AC26&gt;0),university_damp*LN(W26/AC26),0)</f>
        <v>#DIV/0!</v>
      </c>
      <c r="BB26" s="1" t="s">
        <v>36</v>
      </c>
      <c r="BC26" s="47" t="e">
        <f ca="1">IF(AND(AS26=0,AX26=0),0,AS26+AX26-AX21)</f>
        <v>#DIV/0!</v>
      </c>
      <c r="BD26" s="48" t="e">
        <f t="shared" ref="BD26:BD28" ca="1" si="80">IF(AND(AT26=0,AY26=0),0,AT26+AY26-AY21)</f>
        <v>#DIV/0!</v>
      </c>
      <c r="BE26" s="49" t="e">
        <f t="shared" ref="BE26:BE28" ca="1" si="81">IF(AND(AU26=0,AZ26=0),0,AU26+AZ26-AZ21)</f>
        <v>#DIV/0!</v>
      </c>
      <c r="BG26" s="1" t="s">
        <v>36</v>
      </c>
      <c r="BH26" s="61" t="e">
        <f t="shared" si="68"/>
        <v>#DIV/0!</v>
      </c>
      <c r="BI26" s="62" t="e">
        <f t="shared" si="69"/>
        <v>#DIV/0!</v>
      </c>
      <c r="BJ26" s="61" t="e">
        <f t="shared" si="70"/>
        <v>#DIV/0!</v>
      </c>
      <c r="BK26" s="62" t="e">
        <f t="shared" si="71"/>
        <v>#DIV/0!</v>
      </c>
      <c r="BL26" s="61" t="e">
        <f t="shared" si="72"/>
        <v>#DIV/0!</v>
      </c>
      <c r="BM26" s="62" t="e">
        <f t="shared" si="73"/>
        <v>#DIV/0!</v>
      </c>
      <c r="BN26" s="60" t="e">
        <f t="shared" si="74"/>
        <v>#DIV/0!</v>
      </c>
      <c r="BO26" s="62" t="e">
        <f t="shared" si="75"/>
        <v>#DIV/0!</v>
      </c>
    </row>
    <row r="27" spans="1:67" x14ac:dyDescent="0.2">
      <c r="A27" s="1" t="s">
        <v>55</v>
      </c>
      <c r="B27" s="221">
        <f>targets!O48</f>
        <v>0</v>
      </c>
      <c r="C27" s="240">
        <f>targets!P48</f>
        <v>0</v>
      </c>
      <c r="D27" s="222">
        <f>targets!Q48</f>
        <v>0</v>
      </c>
      <c r="E27" s="5">
        <f t="shared" ref="E27:E28" si="82">SUM(B27:D27)</f>
        <v>0</v>
      </c>
      <c r="F27" s="5"/>
      <c r="G27" s="5"/>
      <c r="H27" s="1" t="s">
        <v>55</v>
      </c>
      <c r="I27" s="9">
        <f t="shared" si="76"/>
        <v>0</v>
      </c>
      <c r="J27" s="5">
        <f t="shared" si="62"/>
        <v>0</v>
      </c>
      <c r="K27" s="10">
        <f t="shared" si="63"/>
        <v>0</v>
      </c>
      <c r="L27" s="5">
        <f t="shared" si="64"/>
        <v>0</v>
      </c>
      <c r="N27" s="1" t="s">
        <v>55</v>
      </c>
      <c r="O27" s="9">
        <f t="array" ref="O27">SUM(IF((modeldata!$I:$I=$N$17)*(modeldata!$H:$H=calibration_simplemodes!$N27),modeldata!D:D,0))</f>
        <v>0</v>
      </c>
      <c r="P27" s="5">
        <f t="array" ref="P27">SUM(IF((modeldata!$I:$I=$N$17)*(modeldata!$H:$H=calibration_simplemodes!$N27),modeldata!E:E,0))</f>
        <v>0</v>
      </c>
      <c r="Q27" s="10">
        <f t="array" ref="Q27">SUM(IF((modeldata!$I:$I=$N$17)*(modeldata!$H:$H=calibration_simplemodes!$N27),modeldata!F:F,0))</f>
        <v>0</v>
      </c>
      <c r="R27" s="5">
        <f t="shared" si="65"/>
        <v>0</v>
      </c>
      <c r="T27" s="1" t="s">
        <v>55</v>
      </c>
      <c r="U27" s="23" t="e">
        <f>I27/I29</f>
        <v>#DIV/0!</v>
      </c>
      <c r="V27" s="25" t="e">
        <f t="shared" ref="V27" si="83">J27/J29</f>
        <v>#DIV/0!</v>
      </c>
      <c r="W27" s="28" t="e">
        <f t="shared" ref="W27" si="84">K27/K29</f>
        <v>#DIV/0!</v>
      </c>
      <c r="X27" s="25" t="e">
        <f t="shared" ref="X27" si="85">L27/L29</f>
        <v>#DIV/0!</v>
      </c>
      <c r="Z27" s="1" t="s">
        <v>55</v>
      </c>
      <c r="AA27" s="23" t="e">
        <f>O27/O29</f>
        <v>#DIV/0!</v>
      </c>
      <c r="AB27" s="25" t="e">
        <f>P27/P29</f>
        <v>#DIV/0!</v>
      </c>
      <c r="AC27" s="28" t="e">
        <f>Q27/Q29</f>
        <v>#DIV/0!</v>
      </c>
      <c r="AD27" s="25" t="e">
        <f>R27/R29</f>
        <v>#DIV/0!</v>
      </c>
      <c r="AF27" s="1" t="s">
        <v>55</v>
      </c>
      <c r="AG27" s="86">
        <f t="shared" si="66"/>
        <v>0</v>
      </c>
      <c r="AH27" s="73">
        <f t="shared" si="52"/>
        <v>0</v>
      </c>
      <c r="AI27" s="87">
        <f t="shared" si="53"/>
        <v>0</v>
      </c>
      <c r="AJ27" s="73">
        <f t="shared" si="54"/>
        <v>0</v>
      </c>
      <c r="AL27" s="1" t="s">
        <v>55</v>
      </c>
      <c r="AM27" s="35" t="e">
        <f t="shared" ref="AM27:AM28" si="86">AA27-U27</f>
        <v>#DIV/0!</v>
      </c>
      <c r="AN27" s="32" t="e">
        <f t="shared" ref="AN27:AN28" si="87">AB27-V27</f>
        <v>#DIV/0!</v>
      </c>
      <c r="AO27" s="36" t="e">
        <f t="shared" ref="AO27:AO28" si="88">AC27-W27</f>
        <v>#DIV/0!</v>
      </c>
      <c r="AP27" s="32" t="e">
        <f t="shared" ref="AP27:AP28" si="89">AD27-X27</f>
        <v>#DIV/0!</v>
      </c>
      <c r="AR27" s="1" t="s">
        <v>55</v>
      </c>
      <c r="AS27" s="47">
        <f ca="1">OFFSET(university_existing,21,0)</f>
        <v>-13.96354352588383</v>
      </c>
      <c r="AT27" s="48">
        <f ca="1">OFFSET(university_existing,22,0)</f>
        <v>7.2289885853822087</v>
      </c>
      <c r="AU27" s="49">
        <f ca="1">OFFSET(university_existing,23,0)</f>
        <v>1.6280289671840444</v>
      </c>
      <c r="AW27" s="1" t="s">
        <v>55</v>
      </c>
      <c r="AX27" s="47" t="e">
        <f t="shared" si="77"/>
        <v>#DIV/0!</v>
      </c>
      <c r="AY27" s="48" t="e">
        <f t="shared" si="78"/>
        <v>#DIV/0!</v>
      </c>
      <c r="AZ27" s="49" t="e">
        <f t="shared" si="79"/>
        <v>#DIV/0!</v>
      </c>
      <c r="BB27" s="1" t="s">
        <v>55</v>
      </c>
      <c r="BC27" s="47" t="e">
        <f t="shared" ref="BC27:BC28" ca="1" si="90">IF(AND(AS27=0,AX27=0),0,AS27+AX27-AX22)</f>
        <v>#DIV/0!</v>
      </c>
      <c r="BD27" s="48" t="e">
        <f t="shared" ca="1" si="80"/>
        <v>#DIV/0!</v>
      </c>
      <c r="BE27" s="49" t="e">
        <f t="shared" ca="1" si="81"/>
        <v>#DIV/0!</v>
      </c>
      <c r="BG27" s="1" t="s">
        <v>55</v>
      </c>
      <c r="BH27" s="61" t="e">
        <f t="shared" si="68"/>
        <v>#DIV/0!</v>
      </c>
      <c r="BI27" s="62" t="e">
        <f t="shared" si="69"/>
        <v>#DIV/0!</v>
      </c>
      <c r="BJ27" s="61" t="e">
        <f t="shared" si="70"/>
        <v>#DIV/0!</v>
      </c>
      <c r="BK27" s="62" t="e">
        <f t="shared" si="71"/>
        <v>#DIV/0!</v>
      </c>
      <c r="BL27" s="61" t="e">
        <f t="shared" si="72"/>
        <v>#DIV/0!</v>
      </c>
      <c r="BM27" s="62" t="e">
        <f t="shared" si="73"/>
        <v>#DIV/0!</v>
      </c>
      <c r="BN27" s="60" t="e">
        <f t="shared" si="74"/>
        <v>#DIV/0!</v>
      </c>
      <c r="BO27" s="62" t="e">
        <f t="shared" si="75"/>
        <v>#DIV/0!</v>
      </c>
    </row>
    <row r="28" spans="1:67" x14ac:dyDescent="0.2">
      <c r="A28" s="1" t="s">
        <v>56</v>
      </c>
      <c r="B28" s="223">
        <f>targets!O49</f>
        <v>0</v>
      </c>
      <c r="C28" s="224">
        <f>targets!P49</f>
        <v>0</v>
      </c>
      <c r="D28" s="225">
        <f>targets!Q49</f>
        <v>0</v>
      </c>
      <c r="E28" s="5">
        <f t="shared" si="82"/>
        <v>0</v>
      </c>
      <c r="F28" s="5"/>
      <c r="G28" s="5"/>
      <c r="H28" s="1" t="s">
        <v>56</v>
      </c>
      <c r="I28" s="11">
        <f t="shared" si="76"/>
        <v>0</v>
      </c>
      <c r="J28" s="12">
        <f t="shared" si="62"/>
        <v>0</v>
      </c>
      <c r="K28" s="13">
        <f t="shared" si="63"/>
        <v>0</v>
      </c>
      <c r="L28" s="5">
        <f t="shared" si="64"/>
        <v>0</v>
      </c>
      <c r="N28" s="1" t="s">
        <v>56</v>
      </c>
      <c r="O28" s="11">
        <f t="array" ref="O28">SUM(IF((modeldata!$I:$I=$N$17)*(modeldata!$H:$H=calibration_simplemodes!$N28),modeldata!D:D,0))</f>
        <v>0</v>
      </c>
      <c r="P28" s="12">
        <f t="array" ref="P28">SUM(IF((modeldata!$I:$I=$N$17)*(modeldata!$H:$H=calibration_simplemodes!$N28),modeldata!E:E,0))</f>
        <v>0</v>
      </c>
      <c r="Q28" s="13">
        <f t="array" ref="Q28">SUM(IF((modeldata!$I:$I=$N$17)*(modeldata!$H:$H=calibration_simplemodes!$N28),modeldata!F:F,0))</f>
        <v>0</v>
      </c>
      <c r="R28" s="5">
        <f t="shared" si="65"/>
        <v>0</v>
      </c>
      <c r="T28" s="1" t="s">
        <v>56</v>
      </c>
      <c r="U28" s="24" t="e">
        <f>I28/I29</f>
        <v>#DIV/0!</v>
      </c>
      <c r="V28" s="29" t="e">
        <f t="shared" ref="V28" si="91">J28/J29</f>
        <v>#DIV/0!</v>
      </c>
      <c r="W28" s="30" t="e">
        <f t="shared" ref="W28" si="92">K28/K29</f>
        <v>#DIV/0!</v>
      </c>
      <c r="X28" s="25" t="e">
        <f t="shared" ref="X28" si="93">L28/L29</f>
        <v>#DIV/0!</v>
      </c>
      <c r="Z28" s="1" t="s">
        <v>56</v>
      </c>
      <c r="AA28" s="24" t="e">
        <f>O28/O29</f>
        <v>#DIV/0!</v>
      </c>
      <c r="AB28" s="29" t="e">
        <f>P28/P29</f>
        <v>#DIV/0!</v>
      </c>
      <c r="AC28" s="30" t="e">
        <f>Q28/Q29</f>
        <v>#DIV/0!</v>
      </c>
      <c r="AD28" s="25" t="e">
        <f>R28/R29</f>
        <v>#DIV/0!</v>
      </c>
      <c r="AF28" s="1" t="s">
        <v>56</v>
      </c>
      <c r="AG28" s="88">
        <f t="shared" si="66"/>
        <v>0</v>
      </c>
      <c r="AH28" s="72">
        <f t="shared" si="52"/>
        <v>0</v>
      </c>
      <c r="AI28" s="89">
        <f t="shared" si="53"/>
        <v>0</v>
      </c>
      <c r="AJ28" s="73">
        <f t="shared" si="54"/>
        <v>0</v>
      </c>
      <c r="AL28" s="1" t="s">
        <v>56</v>
      </c>
      <c r="AM28" s="37" t="e">
        <f t="shared" si="86"/>
        <v>#DIV/0!</v>
      </c>
      <c r="AN28" s="38" t="e">
        <f t="shared" si="87"/>
        <v>#DIV/0!</v>
      </c>
      <c r="AO28" s="39" t="e">
        <f t="shared" si="88"/>
        <v>#DIV/0!</v>
      </c>
      <c r="AP28" s="32" t="e">
        <f t="shared" si="89"/>
        <v>#DIV/0!</v>
      </c>
      <c r="AR28" s="1" t="s">
        <v>56</v>
      </c>
      <c r="AS28" s="50">
        <f ca="1">OFFSET(university_existing,24,0)</f>
        <v>-17.206312355165117</v>
      </c>
      <c r="AT28" s="51">
        <f ca="1">OFFSET(university_existing,25,0)</f>
        <v>5.401777450854647</v>
      </c>
      <c r="AU28" s="52">
        <f ca="1">OFFSET(university_existing,26,0)</f>
        <v>0.43055313598834039</v>
      </c>
      <c r="AW28" s="1" t="s">
        <v>56</v>
      </c>
      <c r="AX28" s="50" t="e">
        <f t="shared" si="77"/>
        <v>#DIV/0!</v>
      </c>
      <c r="AY28" s="51" t="e">
        <f t="shared" si="78"/>
        <v>#DIV/0!</v>
      </c>
      <c r="AZ28" s="52" t="e">
        <f t="shared" si="79"/>
        <v>#DIV/0!</v>
      </c>
      <c r="BB28" s="1" t="s">
        <v>56</v>
      </c>
      <c r="BC28" s="50" t="e">
        <f t="shared" ca="1" si="90"/>
        <v>#DIV/0!</v>
      </c>
      <c r="BD28" s="51" t="e">
        <f t="shared" ca="1" si="80"/>
        <v>#DIV/0!</v>
      </c>
      <c r="BE28" s="52" t="e">
        <f t="shared" ca="1" si="81"/>
        <v>#DIV/0!</v>
      </c>
      <c r="BG28" s="1" t="s">
        <v>56</v>
      </c>
      <c r="BH28" s="63" t="e">
        <f t="shared" si="68"/>
        <v>#DIV/0!</v>
      </c>
      <c r="BI28" s="65" t="e">
        <f t="shared" si="69"/>
        <v>#DIV/0!</v>
      </c>
      <c r="BJ28" s="63" t="e">
        <f t="shared" si="70"/>
        <v>#DIV/0!</v>
      </c>
      <c r="BK28" s="65" t="e">
        <f t="shared" si="71"/>
        <v>#DIV/0!</v>
      </c>
      <c r="BL28" s="63" t="e">
        <f t="shared" si="72"/>
        <v>#DIV/0!</v>
      </c>
      <c r="BM28" s="65" t="e">
        <f t="shared" si="73"/>
        <v>#DIV/0!</v>
      </c>
      <c r="BN28" s="64" t="e">
        <f t="shared" si="74"/>
        <v>#DIV/0!</v>
      </c>
      <c r="BO28" s="65" t="e">
        <f t="shared" si="75"/>
        <v>#DIV/0!</v>
      </c>
    </row>
    <row r="29" spans="1:67" x14ac:dyDescent="0.2">
      <c r="A29" s="1" t="s">
        <v>1</v>
      </c>
      <c r="B29" s="5">
        <f>SUM(B19:B28)</f>
        <v>25630.579790288157</v>
      </c>
      <c r="C29" s="5">
        <f>SUM(C19:C28)</f>
        <v>3806.1336954283897</v>
      </c>
      <c r="D29" s="5">
        <f>SUM(D19:D28)</f>
        <v>23916.940878095742</v>
      </c>
      <c r="E29" s="5">
        <f>SUM(B29:D29)</f>
        <v>53353.654363812289</v>
      </c>
      <c r="F29" s="5"/>
      <c r="G29" s="5"/>
      <c r="H29" s="1" t="s">
        <v>1</v>
      </c>
      <c r="I29" s="5">
        <f>SUM(I19:I28)</f>
        <v>0</v>
      </c>
      <c r="J29" s="5">
        <f t="shared" ref="J29" si="94">SUM(J19:J28)</f>
        <v>0</v>
      </c>
      <c r="K29" s="5">
        <f t="shared" ref="K29" si="95">SUM(K19:K28)</f>
        <v>0</v>
      </c>
      <c r="L29" s="5">
        <f>SUM(I29:K29)</f>
        <v>0</v>
      </c>
      <c r="N29" s="1" t="s">
        <v>1</v>
      </c>
      <c r="O29" s="5">
        <f t="array" ref="O29">SUM(IF(modeldata!$I:$I=$N$17,modeldata!D:D,0))</f>
        <v>0</v>
      </c>
      <c r="P29" s="5">
        <f t="array" ref="P29">SUM(IF(modeldata!$I:$I=$N$17,modeldata!E:E,0))</f>
        <v>0</v>
      </c>
      <c r="Q29" s="5">
        <f t="array" ref="Q29">SUM(IF(modeldata!$I:$I=$N$17,modeldata!F:F,0))</f>
        <v>0</v>
      </c>
      <c r="R29" s="5">
        <f t="shared" ref="R29" si="96">SUM(O29:Q29)</f>
        <v>0</v>
      </c>
      <c r="S29" s="5"/>
      <c r="T29" s="1" t="s">
        <v>1</v>
      </c>
      <c r="U29" s="25" t="e">
        <f>SUM(U19:U28)</f>
        <v>#DIV/0!</v>
      </c>
      <c r="V29" s="25" t="e">
        <f t="shared" ref="V29" si="97">SUM(V19:V28)</f>
        <v>#DIV/0!</v>
      </c>
      <c r="W29" s="25" t="e">
        <f t="shared" ref="W29" si="98">SUM(W19:W28)</f>
        <v>#DIV/0!</v>
      </c>
      <c r="X29" s="25" t="e">
        <f t="shared" ref="X29" si="99">SUM(X19:X28)</f>
        <v>#DIV/0!</v>
      </c>
      <c r="Z29" s="1" t="s">
        <v>1</v>
      </c>
      <c r="AA29" s="60" t="e">
        <f>SUM(AA19:AA28)</f>
        <v>#DIV/0!</v>
      </c>
      <c r="AB29" s="60" t="e">
        <f t="shared" ref="AB29" si="100">SUM(AB19:AB28)</f>
        <v>#DIV/0!</v>
      </c>
      <c r="AC29" s="60" t="e">
        <f t="shared" ref="AC29" si="101">SUM(AC19:AC28)</f>
        <v>#DIV/0!</v>
      </c>
      <c r="AD29" s="25" t="e">
        <f>SUM(AD19:AD26)</f>
        <v>#DIV/0!</v>
      </c>
      <c r="AF29" s="1" t="s">
        <v>1</v>
      </c>
      <c r="AG29" s="5">
        <f t="shared" si="66"/>
        <v>0</v>
      </c>
      <c r="AH29" s="5">
        <f t="shared" si="52"/>
        <v>0</v>
      </c>
      <c r="AI29" s="5">
        <f t="shared" si="53"/>
        <v>0</v>
      </c>
      <c r="AJ29" s="73">
        <f t="shared" si="54"/>
        <v>0</v>
      </c>
      <c r="AL29" s="1" t="s">
        <v>1</v>
      </c>
      <c r="AM29" s="32" t="e">
        <f t="shared" si="67"/>
        <v>#DIV/0!</v>
      </c>
      <c r="AN29" s="32" t="e">
        <f t="shared" si="55"/>
        <v>#DIV/0!</v>
      </c>
      <c r="AO29" s="32" t="e">
        <f t="shared" si="56"/>
        <v>#DIV/0!</v>
      </c>
      <c r="AP29" s="32" t="e">
        <f t="shared" si="57"/>
        <v>#DIV/0!</v>
      </c>
      <c r="BG29" s="1" t="s">
        <v>1</v>
      </c>
      <c r="BH29" s="60" t="e">
        <f>SUM(BH19:BH28)</f>
        <v>#DIV/0!</v>
      </c>
      <c r="BI29" s="60" t="e">
        <f t="shared" ref="BI29" si="102">SUM(BI19:BI28)</f>
        <v>#DIV/0!</v>
      </c>
      <c r="BJ29" s="60" t="e">
        <f t="shared" ref="BJ29" si="103">SUM(BJ19:BJ28)</f>
        <v>#DIV/0!</v>
      </c>
      <c r="BK29" s="60" t="e">
        <f t="shared" ref="BK29" si="104">SUM(BK19:BK28)</f>
        <v>#DIV/0!</v>
      </c>
      <c r="BL29" s="60" t="e">
        <f t="shared" ref="BL29" si="105">SUM(BL19:BL28)</f>
        <v>#DIV/0!</v>
      </c>
      <c r="BM29" s="60" t="e">
        <f t="shared" ref="BM29" si="106">SUM(BM19:BM28)</f>
        <v>#DIV/0!</v>
      </c>
      <c r="BN29" s="60" t="e">
        <f t="shared" ref="BN29" si="107">SUM(BN19:BN28)</f>
        <v>#DIV/0!</v>
      </c>
      <c r="BO29" s="60" t="e">
        <f t="shared" ref="BO29" si="108">SUM(BO19:BO28)</f>
        <v>#DIV/0!</v>
      </c>
    </row>
    <row r="32" spans="1:67" s="16" customFormat="1" x14ac:dyDescent="0.2">
      <c r="A32" s="15" t="s">
        <v>40</v>
      </c>
      <c r="H32" s="15" t="s">
        <v>40</v>
      </c>
      <c r="N32" s="15" t="s">
        <v>40</v>
      </c>
      <c r="T32" s="15" t="s">
        <v>40</v>
      </c>
      <c r="Z32" s="15" t="s">
        <v>40</v>
      </c>
      <c r="AF32" s="15" t="s">
        <v>40</v>
      </c>
      <c r="AL32" s="15" t="s">
        <v>40</v>
      </c>
      <c r="AR32" s="15" t="s">
        <v>40</v>
      </c>
      <c r="AW32" s="15" t="s">
        <v>40</v>
      </c>
      <c r="BB32" s="15" t="s">
        <v>40</v>
      </c>
      <c r="BG32" s="15" t="s">
        <v>40</v>
      </c>
      <c r="BH32" s="216" t="s">
        <v>139</v>
      </c>
      <c r="BI32" s="217" t="s">
        <v>140</v>
      </c>
      <c r="BJ32" s="217" t="s">
        <v>139</v>
      </c>
      <c r="BK32" s="217" t="s">
        <v>140</v>
      </c>
      <c r="BL32" s="217" t="s">
        <v>139</v>
      </c>
      <c r="BM32" s="217" t="s">
        <v>140</v>
      </c>
      <c r="BN32" s="217" t="s">
        <v>139</v>
      </c>
      <c r="BO32" s="217" t="s">
        <v>140</v>
      </c>
    </row>
    <row r="33" spans="1:67" ht="38.25" x14ac:dyDescent="0.2">
      <c r="B33" s="14" t="s">
        <v>38</v>
      </c>
      <c r="C33" s="14" t="s">
        <v>37</v>
      </c>
      <c r="D33" s="14" t="s">
        <v>0</v>
      </c>
      <c r="E33" s="17" t="s">
        <v>1</v>
      </c>
      <c r="F33" s="17"/>
      <c r="G33" s="17"/>
      <c r="I33" s="14" t="s">
        <v>38</v>
      </c>
      <c r="J33" s="14" t="s">
        <v>37</v>
      </c>
      <c r="K33" s="14" t="s">
        <v>0</v>
      </c>
      <c r="L33" s="17" t="s">
        <v>1</v>
      </c>
      <c r="O33" s="14" t="s">
        <v>38</v>
      </c>
      <c r="P33" s="14" t="s">
        <v>37</v>
      </c>
      <c r="Q33" s="14" t="s">
        <v>0</v>
      </c>
      <c r="R33" s="17" t="s">
        <v>1</v>
      </c>
      <c r="U33" s="14" t="s">
        <v>38</v>
      </c>
      <c r="V33" s="14" t="s">
        <v>37</v>
      </c>
      <c r="W33" s="14" t="s">
        <v>0</v>
      </c>
      <c r="X33" s="17" t="s">
        <v>1</v>
      </c>
      <c r="AA33" s="14" t="s">
        <v>38</v>
      </c>
      <c r="AB33" s="14" t="s">
        <v>37</v>
      </c>
      <c r="AC33" s="14" t="s">
        <v>0</v>
      </c>
      <c r="AD33" s="17" t="s">
        <v>1</v>
      </c>
      <c r="AG33" s="14" t="s">
        <v>38</v>
      </c>
      <c r="AH33" s="14" t="s">
        <v>37</v>
      </c>
      <c r="AI33" s="14" t="s">
        <v>0</v>
      </c>
      <c r="AJ33" s="17" t="s">
        <v>1</v>
      </c>
      <c r="AM33" s="14" t="s">
        <v>38</v>
      </c>
      <c r="AN33" s="14" t="s">
        <v>37</v>
      </c>
      <c r="AO33" s="14" t="s">
        <v>0</v>
      </c>
      <c r="AP33" s="17" t="s">
        <v>1</v>
      </c>
      <c r="AS33" s="14" t="s">
        <v>38</v>
      </c>
      <c r="AT33" s="14" t="s">
        <v>37</v>
      </c>
      <c r="AU33" s="14" t="s">
        <v>0</v>
      </c>
      <c r="AW33" s="53">
        <v>0</v>
      </c>
      <c r="AX33" s="14" t="s">
        <v>38</v>
      </c>
      <c r="AY33" s="14" t="s">
        <v>37</v>
      </c>
      <c r="AZ33" s="14" t="s">
        <v>0</v>
      </c>
      <c r="BC33" s="14" t="s">
        <v>118</v>
      </c>
      <c r="BD33" s="14" t="s">
        <v>119</v>
      </c>
      <c r="BE33" s="14" t="s">
        <v>0</v>
      </c>
      <c r="BH33" s="218" t="s">
        <v>142</v>
      </c>
      <c r="BI33" s="218" t="s">
        <v>142</v>
      </c>
      <c r="BJ33" s="218" t="s">
        <v>143</v>
      </c>
      <c r="BK33" s="218" t="s">
        <v>143</v>
      </c>
      <c r="BL33" s="218" t="s">
        <v>144</v>
      </c>
      <c r="BM33" s="218" t="s">
        <v>145</v>
      </c>
      <c r="BN33" s="219" t="s">
        <v>141</v>
      </c>
      <c r="BO33" s="219" t="s">
        <v>141</v>
      </c>
    </row>
    <row r="34" spans="1:67" x14ac:dyDescent="0.2">
      <c r="A34" s="1" t="s">
        <v>2</v>
      </c>
      <c r="B34" s="6">
        <f>targets!O57</f>
        <v>7781.3601598456626</v>
      </c>
      <c r="C34" s="7">
        <f>targets!P57</f>
        <v>7759.8909414593627</v>
      </c>
      <c r="D34" s="8">
        <f>targets!Q57</f>
        <v>29919.488448885561</v>
      </c>
      <c r="E34" s="5">
        <f>SUM(B34:D34)</f>
        <v>45460.739550190585</v>
      </c>
      <c r="F34" s="5"/>
      <c r="G34" s="5"/>
      <c r="H34" s="1" t="s">
        <v>2</v>
      </c>
      <c r="I34" s="6">
        <f t="shared" ref="I34:K35" si="109">B34*((O$44)/(B$44))</f>
        <v>0</v>
      </c>
      <c r="J34" s="7">
        <f t="shared" si="109"/>
        <v>0</v>
      </c>
      <c r="K34" s="8">
        <f t="shared" si="109"/>
        <v>0</v>
      </c>
      <c r="L34" s="5">
        <f>SUM(I34:K34)</f>
        <v>0</v>
      </c>
      <c r="N34" s="1" t="s">
        <v>2</v>
      </c>
      <c r="O34" s="6">
        <f t="array" ref="O34">SUM(IF((modeldata!$I:$I=$N$32)*(modeldata!$H:$H=calibration_simplemodes!$N34),modeldata!D:D,0))</f>
        <v>0</v>
      </c>
      <c r="P34" s="7">
        <f t="array" ref="P34">SUM(IF((modeldata!$I:$I=$N$32)*(modeldata!$H:$H=calibration_simplemodes!$N34),modeldata!E:E,0))</f>
        <v>0</v>
      </c>
      <c r="Q34" s="8">
        <f t="array" ref="Q34">SUM(IF((modeldata!$I:$I=$N$32)*(modeldata!$H:$H=calibration_simplemodes!$N34),modeldata!F:F,0))</f>
        <v>0</v>
      </c>
      <c r="R34" s="5">
        <f>SUM(O34:Q34)</f>
        <v>0</v>
      </c>
      <c r="T34" s="1" t="s">
        <v>2</v>
      </c>
      <c r="U34" s="22" t="e">
        <f>I34/I44</f>
        <v>#DIV/0!</v>
      </c>
      <c r="V34" s="26" t="e">
        <f>J34/J44</f>
        <v>#DIV/0!</v>
      </c>
      <c r="W34" s="27" t="e">
        <f>K34/K44</f>
        <v>#DIV/0!</v>
      </c>
      <c r="X34" s="25" t="e">
        <f>L34/L44</f>
        <v>#DIV/0!</v>
      </c>
      <c r="Z34" s="1" t="s">
        <v>2</v>
      </c>
      <c r="AA34" s="22" t="e">
        <f>O34/O44</f>
        <v>#DIV/0!</v>
      </c>
      <c r="AB34" s="26" t="e">
        <f>P34/P44</f>
        <v>#DIV/0!</v>
      </c>
      <c r="AC34" s="27" t="e">
        <f>Q34/Q44</f>
        <v>#DIV/0!</v>
      </c>
      <c r="AD34" s="25" t="e">
        <f>R34/R44</f>
        <v>#DIV/0!</v>
      </c>
      <c r="AF34" s="1" t="s">
        <v>2</v>
      </c>
      <c r="AG34" s="83">
        <f>O34-I34</f>
        <v>0</v>
      </c>
      <c r="AH34" s="84">
        <f t="shared" ref="AH34:AH44" si="110">P34-J34</f>
        <v>0</v>
      </c>
      <c r="AI34" s="85">
        <f t="shared" ref="AI34:AI44" si="111">Q34-K34</f>
        <v>0</v>
      </c>
      <c r="AJ34" s="73">
        <f t="shared" ref="AJ34:AJ44" si="112">R34-L34</f>
        <v>0</v>
      </c>
      <c r="AL34" s="1" t="s">
        <v>2</v>
      </c>
      <c r="AM34" s="31" t="e">
        <f>AA34-U34</f>
        <v>#DIV/0!</v>
      </c>
      <c r="AN34" s="33" t="e">
        <f t="shared" ref="AN34:AN44" si="113">AB34-V34</f>
        <v>#DIV/0!</v>
      </c>
      <c r="AO34" s="34" t="e">
        <f t="shared" ref="AO34:AO44" si="114">AC34-W34</f>
        <v>#DIV/0!</v>
      </c>
      <c r="AP34" s="32" t="e">
        <f t="shared" ref="AP34:AP44" si="115">AD34-X34</f>
        <v>#DIV/0!</v>
      </c>
      <c r="AR34" s="1" t="s">
        <v>2</v>
      </c>
      <c r="AS34" s="44">
        <f ca="1">OFFSET(school_existing,0,0)</f>
        <v>6.3479069761768967</v>
      </c>
      <c r="AT34" s="45">
        <f ca="1">OFFSET(school_existing,1,0)</f>
        <v>1.9971685029483144</v>
      </c>
      <c r="AU34" s="46">
        <f ca="1">OFFSET(school_existing,2,0)</f>
        <v>0.42707637069141169</v>
      </c>
      <c r="AW34" s="1" t="s">
        <v>2</v>
      </c>
      <c r="AX34" s="44" t="e">
        <f t="shared" ref="AX34:AX40" si="116">IF(AND(U34&gt;0, AA34&gt;0),school_damp*LN(U34/AA34),0)</f>
        <v>#DIV/0!</v>
      </c>
      <c r="AY34" s="45" t="e">
        <f t="shared" ref="AY34:AY40" si="117">IF(AND(V34&gt;0, AB34&gt;0),school_damp*LN(V34/AB34),0)</f>
        <v>#DIV/0!</v>
      </c>
      <c r="AZ34" s="46" t="e">
        <f t="shared" ref="AZ34:AZ40" si="118">IF(AND(W34&gt;0, AC34&gt;0),school_damp*LN(W34/AC34),0)</f>
        <v>#DIV/0!</v>
      </c>
      <c r="BB34" s="1" t="s">
        <v>2</v>
      </c>
      <c r="BC34" s="44" t="e">
        <f ca="1">AS34+AX34-AX36</f>
        <v>#DIV/0!</v>
      </c>
      <c r="BD34" s="45" t="e">
        <f ca="1">AT34+AY34-AY36</f>
        <v>#DIV/0!</v>
      </c>
      <c r="BE34" s="46" t="e">
        <f ca="1">AU34+AZ34-AZ36</f>
        <v>#DIV/0!</v>
      </c>
      <c r="BG34" s="1" t="s">
        <v>2</v>
      </c>
      <c r="BH34" s="57" t="e">
        <f>U34</f>
        <v>#DIV/0!</v>
      </c>
      <c r="BI34" s="59" t="e">
        <f>AA34</f>
        <v>#DIV/0!</v>
      </c>
      <c r="BJ34" s="57" t="e">
        <f>V34</f>
        <v>#DIV/0!</v>
      </c>
      <c r="BK34" s="59" t="e">
        <f>AB34</f>
        <v>#DIV/0!</v>
      </c>
      <c r="BL34" s="57" t="e">
        <f>W34</f>
        <v>#DIV/0!</v>
      </c>
      <c r="BM34" s="59" t="e">
        <f>AC34</f>
        <v>#DIV/0!</v>
      </c>
      <c r="BN34" s="58" t="e">
        <f>X34</f>
        <v>#DIV/0!</v>
      </c>
      <c r="BO34" s="59" t="e">
        <f>AD34</f>
        <v>#DIV/0!</v>
      </c>
    </row>
    <row r="35" spans="1:67" x14ac:dyDescent="0.2">
      <c r="A35" s="1" t="s">
        <v>31</v>
      </c>
      <c r="B35" s="9">
        <f>targets!O58</f>
        <v>698.39651153799582</v>
      </c>
      <c r="C35" s="5">
        <f>targets!P58</f>
        <v>5603.2330761682424</v>
      </c>
      <c r="D35" s="10">
        <f>targets!Q58</f>
        <v>5364.5117837813505</v>
      </c>
      <c r="E35" s="5">
        <f t="shared" ref="E35:E41" si="119">SUM(B35:D35)</f>
        <v>11666.141371487589</v>
      </c>
      <c r="F35" s="5"/>
      <c r="G35" s="5"/>
      <c r="H35" s="1" t="s">
        <v>31</v>
      </c>
      <c r="I35" s="9">
        <f t="shared" si="109"/>
        <v>0</v>
      </c>
      <c r="J35" s="5">
        <f t="shared" si="109"/>
        <v>0</v>
      </c>
      <c r="K35" s="10">
        <f t="shared" si="109"/>
        <v>0</v>
      </c>
      <c r="L35" s="5">
        <f t="shared" ref="L35:L43" si="120">SUM(I35:K35)</f>
        <v>0</v>
      </c>
      <c r="N35" s="1" t="s">
        <v>31</v>
      </c>
      <c r="O35" s="9">
        <f t="array" ref="O35">SUM(IF((modeldata!$I:$I=$N$32)*(modeldata!$H:$H=calibration_simplemodes!$N35),modeldata!D:D,0))</f>
        <v>0</v>
      </c>
      <c r="P35" s="5">
        <f t="array" ref="P35">SUM(IF((modeldata!$I:$I=$N$32)*(modeldata!$H:$H=calibration_simplemodes!$N35),modeldata!E:E,0))</f>
        <v>0</v>
      </c>
      <c r="Q35" s="10">
        <f t="array" ref="Q35">SUM(IF((modeldata!$I:$I=$N$32)*(modeldata!$H:$H=calibration_simplemodes!$N35),modeldata!F:F,0))</f>
        <v>0</v>
      </c>
      <c r="R35" s="5">
        <f t="shared" ref="R35:R41" si="121">SUM(O35:Q35)</f>
        <v>0</v>
      </c>
      <c r="T35" s="1" t="s">
        <v>31</v>
      </c>
      <c r="U35" s="23" t="e">
        <f>I35/I44</f>
        <v>#DIV/0!</v>
      </c>
      <c r="V35" s="25" t="e">
        <f>J35/J44</f>
        <v>#DIV/0!</v>
      </c>
      <c r="W35" s="28" t="e">
        <f>K35/K44</f>
        <v>#DIV/0!</v>
      </c>
      <c r="X35" s="25" t="e">
        <f>L35/L44</f>
        <v>#DIV/0!</v>
      </c>
      <c r="Z35" s="1" t="s">
        <v>31</v>
      </c>
      <c r="AA35" s="23" t="e">
        <f>O35/O44</f>
        <v>#DIV/0!</v>
      </c>
      <c r="AB35" s="25" t="e">
        <f>P35/P44</f>
        <v>#DIV/0!</v>
      </c>
      <c r="AC35" s="28" t="e">
        <f>Q35/Q44</f>
        <v>#DIV/0!</v>
      </c>
      <c r="AD35" s="25" t="e">
        <f>R35/R44</f>
        <v>#DIV/0!</v>
      </c>
      <c r="AF35" s="1" t="s">
        <v>31</v>
      </c>
      <c r="AG35" s="86">
        <f t="shared" ref="AG35:AG44" si="122">O35-I35</f>
        <v>0</v>
      </c>
      <c r="AH35" s="73">
        <f t="shared" si="110"/>
        <v>0</v>
      </c>
      <c r="AI35" s="87">
        <f t="shared" si="111"/>
        <v>0</v>
      </c>
      <c r="AJ35" s="73">
        <f t="shared" si="112"/>
        <v>0</v>
      </c>
      <c r="AL35" s="1" t="s">
        <v>31</v>
      </c>
      <c r="AM35" s="35" t="e">
        <f t="shared" ref="AM35:AM44" si="123">AA35-U35</f>
        <v>#DIV/0!</v>
      </c>
      <c r="AN35" s="32" t="e">
        <f t="shared" si="113"/>
        <v>#DIV/0!</v>
      </c>
      <c r="AO35" s="36" t="e">
        <f t="shared" si="114"/>
        <v>#DIV/0!</v>
      </c>
      <c r="AP35" s="32" t="e">
        <f t="shared" si="115"/>
        <v>#DIV/0!</v>
      </c>
      <c r="AR35" s="1" t="s">
        <v>31</v>
      </c>
      <c r="AS35" s="47">
        <f ca="1">OFFSET(school_existing,3,0)</f>
        <v>9.8734445243454871E-2</v>
      </c>
      <c r="AT35" s="48">
        <f ca="1">OFFSET(school_existing,4,0)</f>
        <v>0.39491095188586745</v>
      </c>
      <c r="AU35" s="49">
        <f ca="1">OFFSET(school_existing,5,0)</f>
        <v>-1.2306433251773359</v>
      </c>
      <c r="AW35" s="1" t="s">
        <v>31</v>
      </c>
      <c r="AX35" s="47" t="e">
        <f t="shared" si="116"/>
        <v>#DIV/0!</v>
      </c>
      <c r="AY35" s="48" t="e">
        <f t="shared" si="117"/>
        <v>#DIV/0!</v>
      </c>
      <c r="AZ35" s="49" t="e">
        <f t="shared" si="118"/>
        <v>#DIV/0!</v>
      </c>
      <c r="BB35" s="1" t="s">
        <v>31</v>
      </c>
      <c r="BC35" s="47" t="e">
        <f ca="1">AS35+AX35-AX36</f>
        <v>#DIV/0!</v>
      </c>
      <c r="BD35" s="48" t="e">
        <f ca="1">AT35+AY35-AY36</f>
        <v>#DIV/0!</v>
      </c>
      <c r="BE35" s="49" t="e">
        <f ca="1">AU35+AZ35-AZ36</f>
        <v>#DIV/0!</v>
      </c>
      <c r="BG35" s="1" t="s">
        <v>31</v>
      </c>
      <c r="BH35" s="61" t="e">
        <f t="shared" ref="BH35:BH41" si="124">U35</f>
        <v>#DIV/0!</v>
      </c>
      <c r="BI35" s="62" t="e">
        <f t="shared" ref="BI35:BI41" si="125">AA35</f>
        <v>#DIV/0!</v>
      </c>
      <c r="BJ35" s="61" t="e">
        <f t="shared" ref="BJ35:BJ41" si="126">V35</f>
        <v>#DIV/0!</v>
      </c>
      <c r="BK35" s="62" t="e">
        <f t="shared" ref="BK35:BK41" si="127">AB35</f>
        <v>#DIV/0!</v>
      </c>
      <c r="BL35" s="61" t="e">
        <f t="shared" ref="BL35:BL41" si="128">W35</f>
        <v>#DIV/0!</v>
      </c>
      <c r="BM35" s="62" t="e">
        <f t="shared" ref="BM35:BM41" si="129">AC35</f>
        <v>#DIV/0!</v>
      </c>
      <c r="BN35" s="60" t="e">
        <f t="shared" ref="BN35:BN41" si="130">X35</f>
        <v>#DIV/0!</v>
      </c>
      <c r="BO35" s="62" t="e">
        <f t="shared" ref="BO35:BO41" si="131">AD35</f>
        <v>#DIV/0!</v>
      </c>
    </row>
    <row r="36" spans="1:67" x14ac:dyDescent="0.2">
      <c r="A36" s="1" t="s">
        <v>32</v>
      </c>
      <c r="B36" s="9">
        <f>targets!O54</f>
        <v>0</v>
      </c>
      <c r="C36" s="5">
        <f>targets!P54</f>
        <v>0</v>
      </c>
      <c r="D36" s="10">
        <f>targets!Q54</f>
        <v>23182.324659259903</v>
      </c>
      <c r="E36" s="5">
        <f t="shared" si="119"/>
        <v>23182.324659259903</v>
      </c>
      <c r="F36" s="5"/>
      <c r="G36" s="5"/>
      <c r="H36" s="1" t="s">
        <v>32</v>
      </c>
      <c r="I36" s="9">
        <f t="shared" ref="I36:I43" si="132">B36*((O$44)/(B$44))</f>
        <v>0</v>
      </c>
      <c r="J36" s="5">
        <f t="shared" ref="J36:J42" si="133">C36*((P$44)/(C$44))</f>
        <v>0</v>
      </c>
      <c r="K36" s="10">
        <f t="shared" ref="K36:K43" si="134">D36*((Q$44)/(D$44))</f>
        <v>0</v>
      </c>
      <c r="L36" s="5">
        <f t="shared" si="120"/>
        <v>0</v>
      </c>
      <c r="N36" s="1" t="s">
        <v>32</v>
      </c>
      <c r="O36" s="9">
        <f t="array" ref="O36">SUM(IF((modeldata!$I:$I=$N$32)*(modeldata!$H:$H=calibration_simplemodes!$N36),modeldata!D:D,0))</f>
        <v>0</v>
      </c>
      <c r="P36" s="5">
        <f t="array" ref="P36">SUM(IF((modeldata!$I:$I=$N$32)*(modeldata!$H:$H=calibration_simplemodes!$N36),modeldata!E:E,0))</f>
        <v>0</v>
      </c>
      <c r="Q36" s="10">
        <f t="array" ref="Q36">SUM(IF((modeldata!$I:$I=$N$32)*(modeldata!$H:$H=calibration_simplemodes!$N36),modeldata!F:F,0))</f>
        <v>0</v>
      </c>
      <c r="R36" s="5">
        <f t="shared" si="121"/>
        <v>0</v>
      </c>
      <c r="T36" s="1" t="s">
        <v>32</v>
      </c>
      <c r="U36" s="23" t="e">
        <f>I36/I44</f>
        <v>#DIV/0!</v>
      </c>
      <c r="V36" s="25" t="e">
        <f>J36/J44</f>
        <v>#DIV/0!</v>
      </c>
      <c r="W36" s="28" t="e">
        <f>K36/K44</f>
        <v>#DIV/0!</v>
      </c>
      <c r="X36" s="25" t="e">
        <f>L36/L44</f>
        <v>#DIV/0!</v>
      </c>
      <c r="Z36" s="1" t="s">
        <v>32</v>
      </c>
      <c r="AA36" s="23" t="e">
        <f>O36/O44</f>
        <v>#DIV/0!</v>
      </c>
      <c r="AB36" s="25" t="e">
        <f>P36/P44</f>
        <v>#DIV/0!</v>
      </c>
      <c r="AC36" s="28" t="e">
        <f>Q36/Q44</f>
        <v>#DIV/0!</v>
      </c>
      <c r="AD36" s="25" t="e">
        <f>R36/R44</f>
        <v>#DIV/0!</v>
      </c>
      <c r="AF36" s="1" t="s">
        <v>32</v>
      </c>
      <c r="AG36" s="86">
        <f t="shared" si="122"/>
        <v>0</v>
      </c>
      <c r="AH36" s="73">
        <f t="shared" si="110"/>
        <v>0</v>
      </c>
      <c r="AI36" s="87">
        <f t="shared" si="111"/>
        <v>0</v>
      </c>
      <c r="AJ36" s="73">
        <f t="shared" si="112"/>
        <v>0</v>
      </c>
      <c r="AL36" s="1" t="s">
        <v>32</v>
      </c>
      <c r="AM36" s="35" t="e">
        <f t="shared" si="123"/>
        <v>#DIV/0!</v>
      </c>
      <c r="AN36" s="32" t="e">
        <f t="shared" si="113"/>
        <v>#DIV/0!</v>
      </c>
      <c r="AO36" s="36" t="e">
        <f t="shared" si="114"/>
        <v>#DIV/0!</v>
      </c>
      <c r="AP36" s="32" t="e">
        <f t="shared" si="115"/>
        <v>#DIV/0!</v>
      </c>
      <c r="AR36" s="1" t="s">
        <v>32</v>
      </c>
      <c r="AS36" s="47">
        <v>0</v>
      </c>
      <c r="AT36" s="48">
        <v>0</v>
      </c>
      <c r="AU36" s="49">
        <v>0</v>
      </c>
      <c r="AW36" s="1" t="s">
        <v>32</v>
      </c>
      <c r="AX36" s="47" t="e">
        <f t="shared" si="116"/>
        <v>#DIV/0!</v>
      </c>
      <c r="AY36" s="48" t="e">
        <f t="shared" si="117"/>
        <v>#DIV/0!</v>
      </c>
      <c r="AZ36" s="49" t="e">
        <f t="shared" si="118"/>
        <v>#DIV/0!</v>
      </c>
      <c r="BB36" s="1" t="s">
        <v>32</v>
      </c>
      <c r="BC36" s="47" t="e">
        <f>AS36+AX36-AX36</f>
        <v>#DIV/0!</v>
      </c>
      <c r="BD36" s="48" t="e">
        <f>AT36+AY36-AY36</f>
        <v>#DIV/0!</v>
      </c>
      <c r="BE36" s="49" t="e">
        <f>AU36+AZ36-AZ36</f>
        <v>#DIV/0!</v>
      </c>
      <c r="BG36" s="1" t="s">
        <v>32</v>
      </c>
      <c r="BH36" s="61" t="e">
        <f t="shared" si="124"/>
        <v>#DIV/0!</v>
      </c>
      <c r="BI36" s="62" t="e">
        <f t="shared" si="125"/>
        <v>#DIV/0!</v>
      </c>
      <c r="BJ36" s="61" t="e">
        <f t="shared" si="126"/>
        <v>#DIV/0!</v>
      </c>
      <c r="BK36" s="62" t="e">
        <f t="shared" si="127"/>
        <v>#DIV/0!</v>
      </c>
      <c r="BL36" s="61" t="e">
        <f t="shared" si="128"/>
        <v>#DIV/0!</v>
      </c>
      <c r="BM36" s="62" t="e">
        <f t="shared" si="129"/>
        <v>#DIV/0!</v>
      </c>
      <c r="BN36" s="60" t="e">
        <f t="shared" si="130"/>
        <v>#DIV/0!</v>
      </c>
      <c r="BO36" s="62" t="e">
        <f t="shared" si="131"/>
        <v>#DIV/0!</v>
      </c>
    </row>
    <row r="37" spans="1:67" x14ac:dyDescent="0.2">
      <c r="A37" s="1" t="s">
        <v>33</v>
      </c>
      <c r="B37" s="9">
        <f>targets!O55</f>
        <v>0</v>
      </c>
      <c r="C37" s="5">
        <f>targets!P55</f>
        <v>5622.437958165533</v>
      </c>
      <c r="D37" s="10">
        <f>targets!Q55</f>
        <v>62985.183479964486</v>
      </c>
      <c r="E37" s="5">
        <f t="shared" si="119"/>
        <v>68607.621438130023</v>
      </c>
      <c r="F37" s="5"/>
      <c r="G37" s="5"/>
      <c r="H37" s="1" t="s">
        <v>33</v>
      </c>
      <c r="I37" s="9">
        <f t="shared" si="132"/>
        <v>0</v>
      </c>
      <c r="J37" s="5">
        <f t="shared" si="133"/>
        <v>0</v>
      </c>
      <c r="K37" s="10">
        <f t="shared" si="134"/>
        <v>0</v>
      </c>
      <c r="L37" s="5">
        <f t="shared" si="120"/>
        <v>0</v>
      </c>
      <c r="N37" s="1" t="s">
        <v>33</v>
      </c>
      <c r="O37" s="9">
        <f t="array" ref="O37">SUM(IF((modeldata!$I:$I=$N$32)*(modeldata!$H:$H=calibration_simplemodes!$N37),modeldata!D:D,0))</f>
        <v>0</v>
      </c>
      <c r="P37" s="5">
        <f t="array" ref="P37">SUM(IF((modeldata!$I:$I=$N$32)*(modeldata!$H:$H=calibration_simplemodes!$N37),modeldata!E:E,0))</f>
        <v>0</v>
      </c>
      <c r="Q37" s="10">
        <f t="array" ref="Q37">SUM(IF((modeldata!$I:$I=$N$32)*(modeldata!$H:$H=calibration_simplemodes!$N37),modeldata!F:F,0))</f>
        <v>0</v>
      </c>
      <c r="R37" s="5">
        <f t="shared" si="121"/>
        <v>0</v>
      </c>
      <c r="T37" s="1" t="s">
        <v>33</v>
      </c>
      <c r="U37" s="23" t="e">
        <f>I37/I44</f>
        <v>#DIV/0!</v>
      </c>
      <c r="V37" s="25" t="e">
        <f>J37/J44</f>
        <v>#DIV/0!</v>
      </c>
      <c r="W37" s="28" t="e">
        <f>K37/K44</f>
        <v>#DIV/0!</v>
      </c>
      <c r="X37" s="25" t="e">
        <f>L37/L44</f>
        <v>#DIV/0!</v>
      </c>
      <c r="Z37" s="1" t="s">
        <v>33</v>
      </c>
      <c r="AA37" s="23" t="e">
        <f>O37/O44</f>
        <v>#DIV/0!</v>
      </c>
      <c r="AB37" s="25" t="e">
        <f>P37/P44</f>
        <v>#DIV/0!</v>
      </c>
      <c r="AC37" s="28" t="e">
        <f>Q37/Q44</f>
        <v>#DIV/0!</v>
      </c>
      <c r="AD37" s="25" t="e">
        <f>R37/R44</f>
        <v>#DIV/0!</v>
      </c>
      <c r="AF37" s="1" t="s">
        <v>33</v>
      </c>
      <c r="AG37" s="86">
        <f t="shared" si="122"/>
        <v>0</v>
      </c>
      <c r="AH37" s="73">
        <f t="shared" si="110"/>
        <v>0</v>
      </c>
      <c r="AI37" s="87">
        <f t="shared" si="111"/>
        <v>0</v>
      </c>
      <c r="AJ37" s="73">
        <f t="shared" si="112"/>
        <v>0</v>
      </c>
      <c r="AL37" s="1" t="s">
        <v>33</v>
      </c>
      <c r="AM37" s="35" t="e">
        <f t="shared" si="123"/>
        <v>#DIV/0!</v>
      </c>
      <c r="AN37" s="32" t="e">
        <f t="shared" si="113"/>
        <v>#DIV/0!</v>
      </c>
      <c r="AO37" s="36" t="e">
        <f t="shared" si="114"/>
        <v>#DIV/0!</v>
      </c>
      <c r="AP37" s="32" t="e">
        <f t="shared" si="115"/>
        <v>#DIV/0!</v>
      </c>
      <c r="AR37" s="1" t="s">
        <v>33</v>
      </c>
      <c r="AS37" s="47">
        <f ca="1">OFFSET(school_existing,6,0)</f>
        <v>1.7719402463060021</v>
      </c>
      <c r="AT37" s="48">
        <f ca="1">OFFSET(school_existing,7,0)</f>
        <v>0.30734712010672066</v>
      </c>
      <c r="AU37" s="49">
        <f ca="1">OFFSET(school_existing,8,0)</f>
        <v>-1.2119877648935298</v>
      </c>
      <c r="AW37" s="1" t="s">
        <v>33</v>
      </c>
      <c r="AX37" s="47" t="e">
        <f t="shared" si="116"/>
        <v>#DIV/0!</v>
      </c>
      <c r="AY37" s="48" t="e">
        <f t="shared" si="117"/>
        <v>#DIV/0!</v>
      </c>
      <c r="AZ37" s="49" t="e">
        <f t="shared" si="118"/>
        <v>#DIV/0!</v>
      </c>
      <c r="BB37" s="1" t="s">
        <v>120</v>
      </c>
      <c r="BC37" s="47" t="e">
        <f ca="1">AS37+AX37-AX36</f>
        <v>#DIV/0!</v>
      </c>
      <c r="BD37" s="48" t="e">
        <f ca="1">AT37+AY37-AY36</f>
        <v>#DIV/0!</v>
      </c>
      <c r="BE37" s="49" t="e">
        <f ca="1">AU37+AZ37-AZ36</f>
        <v>#DIV/0!</v>
      </c>
      <c r="BG37" s="1" t="s">
        <v>120</v>
      </c>
      <c r="BH37" s="61" t="e">
        <f t="shared" si="124"/>
        <v>#DIV/0!</v>
      </c>
      <c r="BI37" s="62" t="e">
        <f t="shared" si="125"/>
        <v>#DIV/0!</v>
      </c>
      <c r="BJ37" s="61" t="e">
        <f t="shared" si="126"/>
        <v>#DIV/0!</v>
      </c>
      <c r="BK37" s="62" t="e">
        <f t="shared" si="127"/>
        <v>#DIV/0!</v>
      </c>
      <c r="BL37" s="61" t="e">
        <f t="shared" si="128"/>
        <v>#DIV/0!</v>
      </c>
      <c r="BM37" s="62" t="e">
        <f t="shared" si="129"/>
        <v>#DIV/0!</v>
      </c>
      <c r="BN37" s="60" t="e">
        <f t="shared" si="130"/>
        <v>#DIV/0!</v>
      </c>
      <c r="BO37" s="62" t="e">
        <f t="shared" si="131"/>
        <v>#DIV/0!</v>
      </c>
    </row>
    <row r="38" spans="1:67" x14ac:dyDescent="0.2">
      <c r="A38" s="1" t="s">
        <v>34</v>
      </c>
      <c r="B38" s="9">
        <f>targets!O56</f>
        <v>270.29733491500031</v>
      </c>
      <c r="C38" s="5">
        <f>targets!P56</f>
        <v>9735.0556556860611</v>
      </c>
      <c r="D38" s="10">
        <f>targets!Q56</f>
        <v>122706.94665404069</v>
      </c>
      <c r="E38" s="5">
        <f t="shared" si="119"/>
        <v>132712.29964464175</v>
      </c>
      <c r="F38" s="5"/>
      <c r="G38" s="5"/>
      <c r="H38" s="1" t="s">
        <v>34</v>
      </c>
      <c r="I38" s="9">
        <f t="shared" si="132"/>
        <v>0</v>
      </c>
      <c r="J38" s="5">
        <f t="shared" si="133"/>
        <v>0</v>
      </c>
      <c r="K38" s="10">
        <f t="shared" si="134"/>
        <v>0</v>
      </c>
      <c r="L38" s="5">
        <f t="shared" si="120"/>
        <v>0</v>
      </c>
      <c r="N38" s="1" t="s">
        <v>34</v>
      </c>
      <c r="O38" s="9">
        <f t="array" ref="O38">SUM(IF((modeldata!$I:$I=$N$32)*(modeldata!$H:$H=calibration_simplemodes!$N38),modeldata!D:D,0))</f>
        <v>0</v>
      </c>
      <c r="P38" s="5">
        <f t="array" ref="P38">SUM(IF((modeldata!$I:$I=$N$32)*(modeldata!$H:$H=calibration_simplemodes!$N38),modeldata!E:E,0))</f>
        <v>0</v>
      </c>
      <c r="Q38" s="10">
        <f t="array" ref="Q38">SUM(IF((modeldata!$I:$I=$N$32)*(modeldata!$H:$H=calibration_simplemodes!$N38),modeldata!F:F,0))</f>
        <v>0</v>
      </c>
      <c r="R38" s="5">
        <f t="shared" si="121"/>
        <v>0</v>
      </c>
      <c r="T38" s="1" t="s">
        <v>34</v>
      </c>
      <c r="U38" s="23" t="e">
        <f>I38/I44</f>
        <v>#DIV/0!</v>
      </c>
      <c r="V38" s="25" t="e">
        <f>J38/J44</f>
        <v>#DIV/0!</v>
      </c>
      <c r="W38" s="28" t="e">
        <f>K38/K44</f>
        <v>#DIV/0!</v>
      </c>
      <c r="X38" s="25" t="e">
        <f>L38/L44</f>
        <v>#DIV/0!</v>
      </c>
      <c r="Z38" s="1" t="s">
        <v>34</v>
      </c>
      <c r="AA38" s="23" t="e">
        <f>MAX(O38/O44,0.0001)</f>
        <v>#DIV/0!</v>
      </c>
      <c r="AB38" s="25" t="e">
        <f>P38/P44</f>
        <v>#DIV/0!</v>
      </c>
      <c r="AC38" s="28" t="e">
        <f>Q38/Q44</f>
        <v>#DIV/0!</v>
      </c>
      <c r="AD38" s="25" t="e">
        <f>R38/R44</f>
        <v>#DIV/0!</v>
      </c>
      <c r="AF38" s="1" t="s">
        <v>34</v>
      </c>
      <c r="AG38" s="86">
        <f t="shared" si="122"/>
        <v>0</v>
      </c>
      <c r="AH38" s="73">
        <f t="shared" si="110"/>
        <v>0</v>
      </c>
      <c r="AI38" s="87">
        <f t="shared" si="111"/>
        <v>0</v>
      </c>
      <c r="AJ38" s="73">
        <f t="shared" si="112"/>
        <v>0</v>
      </c>
      <c r="AL38" s="1" t="s">
        <v>34</v>
      </c>
      <c r="AM38" s="35" t="e">
        <f t="shared" si="123"/>
        <v>#DIV/0!</v>
      </c>
      <c r="AN38" s="32" t="e">
        <f t="shared" si="113"/>
        <v>#DIV/0!</v>
      </c>
      <c r="AO38" s="36" t="e">
        <f t="shared" si="114"/>
        <v>#DIV/0!</v>
      </c>
      <c r="AP38" s="32" t="e">
        <f t="shared" si="115"/>
        <v>#DIV/0!</v>
      </c>
      <c r="AR38" s="1" t="s">
        <v>34</v>
      </c>
      <c r="AS38" s="47">
        <f ca="1">OFFSET(school_existing,9,0)</f>
        <v>2.7086434161891142</v>
      </c>
      <c r="AT38" s="48">
        <f ca="1">OFFSET(school_existing,10,0)</f>
        <v>1.4081140163000663</v>
      </c>
      <c r="AU38" s="49">
        <f ca="1">OFFSET(school_existing,11,0)</f>
        <v>-0.43764837537568624</v>
      </c>
      <c r="AW38" s="1" t="s">
        <v>34</v>
      </c>
      <c r="AX38" s="47" t="e">
        <f t="shared" si="116"/>
        <v>#DIV/0!</v>
      </c>
      <c r="AY38" s="48" t="e">
        <f t="shared" si="117"/>
        <v>#DIV/0!</v>
      </c>
      <c r="AZ38" s="49" t="e">
        <f t="shared" si="118"/>
        <v>#DIV/0!</v>
      </c>
      <c r="BB38" s="1" t="s">
        <v>121</v>
      </c>
      <c r="BC38" s="47" t="e">
        <f ca="1">AS38+AX38-AX36</f>
        <v>#DIV/0!</v>
      </c>
      <c r="BD38" s="48" t="e">
        <f ca="1">AT38+AY38-AY36</f>
        <v>#DIV/0!</v>
      </c>
      <c r="BE38" s="49" t="e">
        <f ca="1">AU38+AZ38-AZ36</f>
        <v>#DIV/0!</v>
      </c>
      <c r="BG38" s="1" t="s">
        <v>121</v>
      </c>
      <c r="BH38" s="61" t="e">
        <f t="shared" si="124"/>
        <v>#DIV/0!</v>
      </c>
      <c r="BI38" s="62" t="e">
        <f t="shared" si="125"/>
        <v>#DIV/0!</v>
      </c>
      <c r="BJ38" s="61" t="e">
        <f t="shared" si="126"/>
        <v>#DIV/0!</v>
      </c>
      <c r="BK38" s="62" t="e">
        <f t="shared" si="127"/>
        <v>#DIV/0!</v>
      </c>
      <c r="BL38" s="61" t="e">
        <f t="shared" si="128"/>
        <v>#DIV/0!</v>
      </c>
      <c r="BM38" s="62" t="e">
        <f t="shared" si="129"/>
        <v>#DIV/0!</v>
      </c>
      <c r="BN38" s="60" t="e">
        <f t="shared" si="130"/>
        <v>#DIV/0!</v>
      </c>
      <c r="BO38" s="62" t="e">
        <f t="shared" si="131"/>
        <v>#DIV/0!</v>
      </c>
    </row>
    <row r="39" spans="1:67" x14ac:dyDescent="0.2">
      <c r="A39" s="90" t="s">
        <v>3</v>
      </c>
      <c r="B39" s="9">
        <f>SUM(targets!O59:O64)</f>
        <v>553.58368625628816</v>
      </c>
      <c r="C39" s="5">
        <f>SUM(targets!P59:P64)</f>
        <v>5300.979749257086</v>
      </c>
      <c r="D39" s="10">
        <f>SUM(targets!Q59:Q64)</f>
        <v>7219.1350421475918</v>
      </c>
      <c r="E39" s="92">
        <f t="shared" si="119"/>
        <v>13073.698477660966</v>
      </c>
      <c r="F39" s="92"/>
      <c r="G39" s="5"/>
      <c r="H39" s="1" t="s">
        <v>3</v>
      </c>
      <c r="I39" s="9">
        <f t="shared" si="132"/>
        <v>0</v>
      </c>
      <c r="J39" s="5">
        <f t="shared" si="133"/>
        <v>0</v>
      </c>
      <c r="K39" s="10">
        <f t="shared" si="134"/>
        <v>0</v>
      </c>
      <c r="L39" s="5">
        <f t="shared" si="120"/>
        <v>0</v>
      </c>
      <c r="N39" s="1" t="s">
        <v>3</v>
      </c>
      <c r="O39" s="9">
        <f t="array" ref="O39">SUM(IF((modeldata!$I:$I=$N$32)*(modeldata!$H:$H=calibration_simplemodes!$N39),modeldata!D:D,0))</f>
        <v>0</v>
      </c>
      <c r="P39" s="5">
        <f t="array" ref="P39">SUM(IF((modeldata!$I:$I=$N$32)*(modeldata!$H:$H=calibration_simplemodes!$N39),modeldata!E:E,0))</f>
        <v>0</v>
      </c>
      <c r="Q39" s="10">
        <f t="array" ref="Q39">SUM(IF((modeldata!$I:$I=$N$32)*(modeldata!$H:$H=calibration_simplemodes!$N39),modeldata!F:F,0))</f>
        <v>0</v>
      </c>
      <c r="R39" s="5">
        <f t="shared" si="121"/>
        <v>0</v>
      </c>
      <c r="T39" s="1" t="s">
        <v>3</v>
      </c>
      <c r="U39" s="23" t="e">
        <f>I39/I44</f>
        <v>#DIV/0!</v>
      </c>
      <c r="V39" s="25" t="e">
        <f>J39/J44</f>
        <v>#DIV/0!</v>
      </c>
      <c r="W39" s="28" t="e">
        <f>K39/K44</f>
        <v>#DIV/0!</v>
      </c>
      <c r="X39" s="25" t="e">
        <f>L39/L44</f>
        <v>#DIV/0!</v>
      </c>
      <c r="Z39" s="1" t="s">
        <v>3</v>
      </c>
      <c r="AA39" s="23" t="e">
        <f>O39/O44</f>
        <v>#DIV/0!</v>
      </c>
      <c r="AB39" s="25" t="e">
        <f>P39/P44</f>
        <v>#DIV/0!</v>
      </c>
      <c r="AC39" s="28" t="e">
        <f>Q39/Q44</f>
        <v>#DIV/0!</v>
      </c>
      <c r="AD39" s="25" t="e">
        <f>R39/R44</f>
        <v>#DIV/0!</v>
      </c>
      <c r="AF39" s="1" t="s">
        <v>3</v>
      </c>
      <c r="AG39" s="86">
        <f t="shared" si="122"/>
        <v>0</v>
      </c>
      <c r="AH39" s="73">
        <f t="shared" si="110"/>
        <v>0</v>
      </c>
      <c r="AI39" s="87">
        <f t="shared" si="111"/>
        <v>0</v>
      </c>
      <c r="AJ39" s="73">
        <f t="shared" si="112"/>
        <v>0</v>
      </c>
      <c r="AL39" s="1" t="s">
        <v>3</v>
      </c>
      <c r="AM39" s="35" t="e">
        <f t="shared" si="123"/>
        <v>#DIV/0!</v>
      </c>
      <c r="AN39" s="32" t="e">
        <f t="shared" si="113"/>
        <v>#DIV/0!</v>
      </c>
      <c r="AO39" s="36" t="e">
        <f t="shared" si="114"/>
        <v>#DIV/0!</v>
      </c>
      <c r="AP39" s="32" t="e">
        <f t="shared" si="115"/>
        <v>#DIV/0!</v>
      </c>
      <c r="AR39" s="1" t="s">
        <v>3</v>
      </c>
      <c r="AS39" s="47">
        <f ca="1">OFFSET(school_existing,12,0)</f>
        <v>6.3804233460626865</v>
      </c>
      <c r="AT39" s="48">
        <f ca="1">OFFSET(school_existing,13,0)</f>
        <v>2.8370573031288306</v>
      </c>
      <c r="AU39" s="49">
        <f ca="1">OFFSET(school_existing,14,0)</f>
        <v>-0.21447880324559515</v>
      </c>
      <c r="AW39" s="1" t="s">
        <v>3</v>
      </c>
      <c r="AX39" s="47" t="e">
        <f t="shared" si="116"/>
        <v>#DIV/0!</v>
      </c>
      <c r="AY39" s="48" t="e">
        <f t="shared" si="117"/>
        <v>#DIV/0!</v>
      </c>
      <c r="AZ39" s="49" t="e">
        <f t="shared" si="118"/>
        <v>#DIV/0!</v>
      </c>
      <c r="BB39" s="1" t="s">
        <v>3</v>
      </c>
      <c r="BC39" s="47" t="e">
        <f ca="1">AS39+AX39-AX36</f>
        <v>#DIV/0!</v>
      </c>
      <c r="BD39" s="48" t="e">
        <f ca="1">AT39+AY39-AY36</f>
        <v>#DIV/0!</v>
      </c>
      <c r="BE39" s="49" t="e">
        <f ca="1">AU39+AZ39-AZ36</f>
        <v>#DIV/0!</v>
      </c>
      <c r="BG39" s="1" t="s">
        <v>3</v>
      </c>
      <c r="BH39" s="61" t="e">
        <f t="shared" si="124"/>
        <v>#DIV/0!</v>
      </c>
      <c r="BI39" s="62" t="e">
        <f t="shared" si="125"/>
        <v>#DIV/0!</v>
      </c>
      <c r="BJ39" s="61" t="e">
        <f t="shared" si="126"/>
        <v>#DIV/0!</v>
      </c>
      <c r="BK39" s="62" t="e">
        <f t="shared" si="127"/>
        <v>#DIV/0!</v>
      </c>
      <c r="BL39" s="61" t="e">
        <f t="shared" si="128"/>
        <v>#DIV/0!</v>
      </c>
      <c r="BM39" s="62" t="e">
        <f t="shared" si="129"/>
        <v>#DIV/0!</v>
      </c>
      <c r="BN39" s="60" t="e">
        <f t="shared" si="130"/>
        <v>#DIV/0!</v>
      </c>
      <c r="BO39" s="62" t="e">
        <f t="shared" si="131"/>
        <v>#DIV/0!</v>
      </c>
    </row>
    <row r="40" spans="1:67" x14ac:dyDescent="0.2">
      <c r="A40" s="90" t="s">
        <v>35</v>
      </c>
      <c r="B40" s="9">
        <f>SUM(targets!O65:O70)</f>
        <v>0</v>
      </c>
      <c r="C40" s="5">
        <f>SUM(targets!P65:P70)</f>
        <v>3660.4146948909047</v>
      </c>
      <c r="D40" s="10">
        <f>SUM(targets!Q65:Q70)</f>
        <v>2046.4580682951364</v>
      </c>
      <c r="E40" s="92">
        <f t="shared" si="119"/>
        <v>5706.8727631860411</v>
      </c>
      <c r="F40" s="92"/>
      <c r="G40" s="5"/>
      <c r="H40" s="1" t="s">
        <v>35</v>
      </c>
      <c r="I40" s="9">
        <f t="shared" si="132"/>
        <v>0</v>
      </c>
      <c r="J40" s="5">
        <f t="shared" si="133"/>
        <v>0</v>
      </c>
      <c r="K40" s="10">
        <f t="shared" si="134"/>
        <v>0</v>
      </c>
      <c r="L40" s="5">
        <f t="shared" si="120"/>
        <v>0</v>
      </c>
      <c r="N40" s="1" t="s">
        <v>35</v>
      </c>
      <c r="O40" s="9">
        <f t="array" ref="O40">SUM(IF((modeldata!$I:$I=$N$32)*(modeldata!$H:$H=calibration_simplemodes!$N40),modeldata!D:D,0))</f>
        <v>0</v>
      </c>
      <c r="P40" s="5">
        <f t="array" ref="P40">SUM(IF((modeldata!$I:$I=$N$32)*(modeldata!$H:$H=calibration_simplemodes!$N40),modeldata!E:E,0))</f>
        <v>0</v>
      </c>
      <c r="Q40" s="10">
        <f t="array" ref="Q40">SUM(IF((modeldata!$I:$I=$N$32)*(modeldata!$H:$H=calibration_simplemodes!$N40),modeldata!F:F,0))</f>
        <v>0</v>
      </c>
      <c r="R40" s="5">
        <f t="shared" si="121"/>
        <v>0</v>
      </c>
      <c r="T40" s="1" t="s">
        <v>35</v>
      </c>
      <c r="U40" s="23" t="e">
        <f>I40/I44</f>
        <v>#DIV/0!</v>
      </c>
      <c r="V40" s="25" t="e">
        <f>J40/J44</f>
        <v>#DIV/0!</v>
      </c>
      <c r="W40" s="28" t="e">
        <f>K40/K44</f>
        <v>#DIV/0!</v>
      </c>
      <c r="X40" s="25" t="e">
        <f>L40/L44</f>
        <v>#DIV/0!</v>
      </c>
      <c r="Z40" s="1" t="s">
        <v>35</v>
      </c>
      <c r="AA40" s="23" t="e">
        <f>O40/O44</f>
        <v>#DIV/0!</v>
      </c>
      <c r="AB40" s="25" t="e">
        <f>P40/P44</f>
        <v>#DIV/0!</v>
      </c>
      <c r="AC40" s="28" t="e">
        <f>Q40/Q44</f>
        <v>#DIV/0!</v>
      </c>
      <c r="AD40" s="25" t="e">
        <f>R40/R44</f>
        <v>#DIV/0!</v>
      </c>
      <c r="AF40" s="1" t="s">
        <v>35</v>
      </c>
      <c r="AG40" s="86">
        <f t="shared" si="122"/>
        <v>0</v>
      </c>
      <c r="AH40" s="73">
        <f t="shared" si="110"/>
        <v>0</v>
      </c>
      <c r="AI40" s="87">
        <f t="shared" si="111"/>
        <v>0</v>
      </c>
      <c r="AJ40" s="73">
        <f t="shared" si="112"/>
        <v>0</v>
      </c>
      <c r="AL40" s="1" t="s">
        <v>35</v>
      </c>
      <c r="AM40" s="35" t="e">
        <f t="shared" si="123"/>
        <v>#DIV/0!</v>
      </c>
      <c r="AN40" s="32" t="e">
        <f t="shared" si="113"/>
        <v>#DIV/0!</v>
      </c>
      <c r="AO40" s="36" t="e">
        <f t="shared" si="114"/>
        <v>#DIV/0!</v>
      </c>
      <c r="AP40" s="32" t="e">
        <f t="shared" si="115"/>
        <v>#DIV/0!</v>
      </c>
      <c r="AR40" s="1" t="s">
        <v>35</v>
      </c>
      <c r="AS40" s="47">
        <f ca="1">OFFSET(school_existing,15,0)</f>
        <v>0</v>
      </c>
      <c r="AT40" s="48">
        <f ca="1">OFFSET(school_existing,16,0)</f>
        <v>4.8187968492688995</v>
      </c>
      <c r="AU40" s="49">
        <f ca="1">OFFSET(school_existing,17,0)</f>
        <v>1.5963172704126067</v>
      </c>
      <c r="AW40" s="1" t="s">
        <v>35</v>
      </c>
      <c r="AX40" s="47" t="e">
        <f t="shared" si="116"/>
        <v>#DIV/0!</v>
      </c>
      <c r="AY40" s="48" t="e">
        <f t="shared" si="117"/>
        <v>#DIV/0!</v>
      </c>
      <c r="AZ40" s="49" t="e">
        <f t="shared" si="118"/>
        <v>#DIV/0!</v>
      </c>
      <c r="BB40" s="1" t="s">
        <v>35</v>
      </c>
      <c r="BC40" s="47" t="e">
        <f ca="1">AS40+AX40-AX36</f>
        <v>#DIV/0!</v>
      </c>
      <c r="BD40" s="48" t="e">
        <f ca="1">AT40+AY40-AY36</f>
        <v>#DIV/0!</v>
      </c>
      <c r="BE40" s="49" t="e">
        <f ca="1">AU40+AZ40-AZ36</f>
        <v>#DIV/0!</v>
      </c>
      <c r="BG40" s="1" t="s">
        <v>35</v>
      </c>
      <c r="BH40" s="61" t="e">
        <f t="shared" si="124"/>
        <v>#DIV/0!</v>
      </c>
      <c r="BI40" s="62" t="e">
        <f t="shared" si="125"/>
        <v>#DIV/0!</v>
      </c>
      <c r="BJ40" s="61" t="e">
        <f t="shared" si="126"/>
        <v>#DIV/0!</v>
      </c>
      <c r="BK40" s="62" t="e">
        <f t="shared" si="127"/>
        <v>#DIV/0!</v>
      </c>
      <c r="BL40" s="61" t="e">
        <f t="shared" si="128"/>
        <v>#DIV/0!</v>
      </c>
      <c r="BM40" s="62" t="e">
        <f t="shared" si="129"/>
        <v>#DIV/0!</v>
      </c>
      <c r="BN40" s="60" t="e">
        <f t="shared" si="130"/>
        <v>#DIV/0!</v>
      </c>
      <c r="BO40" s="62" t="e">
        <f t="shared" si="131"/>
        <v>#DIV/0!</v>
      </c>
    </row>
    <row r="41" spans="1:67" x14ac:dyDescent="0.2">
      <c r="A41" s="1" t="s">
        <v>36</v>
      </c>
      <c r="B41" s="221">
        <f>targets!O71</f>
        <v>0</v>
      </c>
      <c r="C41" s="240">
        <f>targets!P71</f>
        <v>0</v>
      </c>
      <c r="D41" s="222">
        <f>targets!Q71</f>
        <v>0</v>
      </c>
      <c r="E41" s="5">
        <f t="shared" si="119"/>
        <v>0</v>
      </c>
      <c r="F41" s="5"/>
      <c r="G41" s="5"/>
      <c r="H41" s="1" t="s">
        <v>36</v>
      </c>
      <c r="I41" s="9">
        <f t="shared" si="132"/>
        <v>0</v>
      </c>
      <c r="J41" s="5">
        <f t="shared" si="133"/>
        <v>0</v>
      </c>
      <c r="K41" s="10">
        <f t="shared" si="134"/>
        <v>0</v>
      </c>
      <c r="L41" s="5">
        <f t="shared" si="120"/>
        <v>0</v>
      </c>
      <c r="N41" s="1" t="s">
        <v>36</v>
      </c>
      <c r="O41" s="9">
        <f t="array" ref="O41">SUM(IF((modeldata!$I:$I=$N$32)*(modeldata!$H:$H=calibration_simplemodes!$N41),modeldata!D:D,0))</f>
        <v>0</v>
      </c>
      <c r="P41" s="5">
        <f t="array" ref="P41">SUM(IF((modeldata!$I:$I=$N$32)*(modeldata!$H:$H=calibration_simplemodes!$N41),modeldata!E:E,0))</f>
        <v>0</v>
      </c>
      <c r="Q41" s="10">
        <f t="array" ref="Q41">SUM(IF((modeldata!$I:$I=$N$32)*(modeldata!$H:$H=calibration_simplemodes!$N41),modeldata!F:F,0))</f>
        <v>0</v>
      </c>
      <c r="R41" s="5">
        <f t="shared" si="121"/>
        <v>0</v>
      </c>
      <c r="T41" s="1" t="s">
        <v>36</v>
      </c>
      <c r="U41" s="23" t="e">
        <f>I41/I44</f>
        <v>#DIV/0!</v>
      </c>
      <c r="V41" s="25" t="e">
        <f>J41/J44</f>
        <v>#DIV/0!</v>
      </c>
      <c r="W41" s="28" t="e">
        <f>K41/K44</f>
        <v>#DIV/0!</v>
      </c>
      <c r="X41" s="25" t="e">
        <f>L41/L44</f>
        <v>#DIV/0!</v>
      </c>
      <c r="Z41" s="1" t="s">
        <v>36</v>
      </c>
      <c r="AA41" s="23" t="e">
        <f>O41/O44</f>
        <v>#DIV/0!</v>
      </c>
      <c r="AB41" s="25" t="e">
        <f>P41/P44</f>
        <v>#DIV/0!</v>
      </c>
      <c r="AC41" s="28" t="e">
        <f>Q41/Q44</f>
        <v>#DIV/0!</v>
      </c>
      <c r="AD41" s="25" t="e">
        <f>R41/R44</f>
        <v>#DIV/0!</v>
      </c>
      <c r="AF41" s="1" t="s">
        <v>36</v>
      </c>
      <c r="AG41" s="86">
        <f t="shared" si="122"/>
        <v>0</v>
      </c>
      <c r="AH41" s="73">
        <f t="shared" si="110"/>
        <v>0</v>
      </c>
      <c r="AI41" s="87">
        <f t="shared" si="111"/>
        <v>0</v>
      </c>
      <c r="AJ41" s="73">
        <f t="shared" si="112"/>
        <v>0</v>
      </c>
      <c r="AL41" s="1" t="s">
        <v>36</v>
      </c>
      <c r="AM41" s="35" t="e">
        <f t="shared" si="123"/>
        <v>#DIV/0!</v>
      </c>
      <c r="AN41" s="32" t="e">
        <f t="shared" si="113"/>
        <v>#DIV/0!</v>
      </c>
      <c r="AO41" s="36" t="e">
        <f t="shared" si="114"/>
        <v>#DIV/0!</v>
      </c>
      <c r="AP41" s="32" t="e">
        <f t="shared" si="115"/>
        <v>#DIV/0!</v>
      </c>
      <c r="AR41" s="1" t="s">
        <v>36</v>
      </c>
      <c r="AS41" s="47">
        <f ca="1">OFFSET(school_existing,18,0)</f>
        <v>-7</v>
      </c>
      <c r="AT41" s="48">
        <f ca="1">OFFSET(school_existing,19,0)</f>
        <v>1.0403043240006329</v>
      </c>
      <c r="AU41" s="49">
        <f ca="1">OFFSET(school_existing,20,0)</f>
        <v>-1.8616392449916963</v>
      </c>
      <c r="AW41" s="1" t="s">
        <v>36</v>
      </c>
      <c r="AX41" s="47" t="e">
        <f t="shared" ref="AX41:AX43" si="135">IF(AND(U41&gt;0, AA41&gt;0),school_damp*LN(U41/AA41),0)</f>
        <v>#DIV/0!</v>
      </c>
      <c r="AY41" s="48" t="e">
        <f t="shared" ref="AY41:AY43" si="136">IF(AND(V41&gt;0, AB41&gt;0),school_damp*LN(V41/AB41),0)</f>
        <v>#DIV/0!</v>
      </c>
      <c r="AZ41" s="49" t="e">
        <f t="shared" ref="AZ41:AZ43" si="137">IF(AND(W41&gt;0, AC41&gt;0),school_damp*LN(W41/AC41),0)</f>
        <v>#DIV/0!</v>
      </c>
      <c r="BB41" s="1" t="s">
        <v>36</v>
      </c>
      <c r="BC41" s="47" t="e">
        <f ca="1">IF(AND(AS41=0,AX41=0),0,AS41+AX41-AX36)</f>
        <v>#DIV/0!</v>
      </c>
      <c r="BD41" s="48" t="e">
        <f t="shared" ref="BD41" ca="1" si="138">IF(AND(AT41=0,AY41=0),0,AT41+AY41-AY36)</f>
        <v>#DIV/0!</v>
      </c>
      <c r="BE41" s="49" t="e">
        <f t="shared" ref="BE41" ca="1" si="139">IF(AND(AU41=0,AZ41=0),0,AU41+AZ41-AZ36)</f>
        <v>#DIV/0!</v>
      </c>
      <c r="BG41" s="1" t="s">
        <v>36</v>
      </c>
      <c r="BH41" s="61" t="e">
        <f t="shared" si="124"/>
        <v>#DIV/0!</v>
      </c>
      <c r="BI41" s="62" t="e">
        <f t="shared" si="125"/>
        <v>#DIV/0!</v>
      </c>
      <c r="BJ41" s="61" t="e">
        <f t="shared" si="126"/>
        <v>#DIV/0!</v>
      </c>
      <c r="BK41" s="62" t="e">
        <f t="shared" si="127"/>
        <v>#DIV/0!</v>
      </c>
      <c r="BL41" s="61" t="e">
        <f t="shared" si="128"/>
        <v>#DIV/0!</v>
      </c>
      <c r="BM41" s="62" t="e">
        <f t="shared" si="129"/>
        <v>#DIV/0!</v>
      </c>
      <c r="BN41" s="60" t="e">
        <f t="shared" si="130"/>
        <v>#DIV/0!</v>
      </c>
      <c r="BO41" s="62" t="e">
        <f t="shared" si="131"/>
        <v>#DIV/0!</v>
      </c>
    </row>
    <row r="42" spans="1:67" x14ac:dyDescent="0.2">
      <c r="A42" s="1" t="s">
        <v>55</v>
      </c>
      <c r="B42" s="221">
        <f>targets!O72</f>
        <v>749.02954311744952</v>
      </c>
      <c r="C42" s="240">
        <f>targets!P72</f>
        <v>0</v>
      </c>
      <c r="D42" s="222">
        <f>targets!Q72</f>
        <v>0</v>
      </c>
      <c r="E42" s="5">
        <f t="shared" ref="E42:E43" si="140">SUM(B42:D42)</f>
        <v>749.02954311744952</v>
      </c>
      <c r="F42" s="5"/>
      <c r="G42" s="5"/>
      <c r="H42" s="1" t="s">
        <v>55</v>
      </c>
      <c r="I42" s="9">
        <f t="shared" si="132"/>
        <v>0</v>
      </c>
      <c r="J42" s="5">
        <f t="shared" si="133"/>
        <v>0</v>
      </c>
      <c r="K42" s="10">
        <f t="shared" si="134"/>
        <v>0</v>
      </c>
      <c r="L42" s="5">
        <f t="shared" si="120"/>
        <v>0</v>
      </c>
      <c r="N42" s="1" t="s">
        <v>55</v>
      </c>
      <c r="O42" s="9">
        <f t="array" ref="O42">SUM(IF((modeldata!$I:$I=$N$32)*(modeldata!$H:$H=calibration_simplemodes!$N42),modeldata!D:D,0))</f>
        <v>0</v>
      </c>
      <c r="P42" s="5">
        <f t="array" ref="P42">SUM(IF((modeldata!$I:$I=$N$32)*(modeldata!$H:$H=calibration_simplemodes!$N42),modeldata!E:E,0))</f>
        <v>0</v>
      </c>
      <c r="Q42" s="10">
        <f t="array" ref="Q42">SUM(IF((modeldata!$I:$I=$N$32)*(modeldata!$H:$H=calibration_simplemodes!$N42),modeldata!F:F,0))</f>
        <v>0</v>
      </c>
      <c r="R42" s="5">
        <f t="shared" ref="R42:R43" si="141">SUM(O42:Q42)</f>
        <v>0</v>
      </c>
      <c r="T42" s="1" t="s">
        <v>55</v>
      </c>
      <c r="U42" s="23" t="e">
        <f>I42/I44</f>
        <v>#DIV/0!</v>
      </c>
      <c r="V42" s="25" t="e">
        <f t="shared" ref="V42" si="142">J42/J44</f>
        <v>#DIV/0!</v>
      </c>
      <c r="W42" s="28" t="e">
        <f t="shared" ref="W42" si="143">K42/K44</f>
        <v>#DIV/0!</v>
      </c>
      <c r="X42" s="25" t="e">
        <f t="shared" ref="X42" si="144">L42/L44</f>
        <v>#DIV/0!</v>
      </c>
      <c r="Z42" s="1" t="s">
        <v>55</v>
      </c>
      <c r="AA42" s="23" t="e">
        <f>O42/O44</f>
        <v>#DIV/0!</v>
      </c>
      <c r="AB42" s="25" t="e">
        <f>P42/P44</f>
        <v>#DIV/0!</v>
      </c>
      <c r="AC42" s="28" t="e">
        <f>Q42/Q44</f>
        <v>#DIV/0!</v>
      </c>
      <c r="AD42" s="25" t="e">
        <f>R42/R44</f>
        <v>#DIV/0!</v>
      </c>
      <c r="AF42" s="1" t="s">
        <v>55</v>
      </c>
      <c r="AG42" s="86">
        <f t="shared" si="122"/>
        <v>0</v>
      </c>
      <c r="AH42" s="73">
        <f t="shared" si="110"/>
        <v>0</v>
      </c>
      <c r="AI42" s="87">
        <f t="shared" si="111"/>
        <v>0</v>
      </c>
      <c r="AJ42" s="73">
        <f t="shared" si="112"/>
        <v>0</v>
      </c>
      <c r="AL42" s="1" t="s">
        <v>55</v>
      </c>
      <c r="AM42" s="35" t="e">
        <f t="shared" si="123"/>
        <v>#DIV/0!</v>
      </c>
      <c r="AN42" s="32" t="e">
        <f t="shared" si="113"/>
        <v>#DIV/0!</v>
      </c>
      <c r="AO42" s="36" t="e">
        <f t="shared" si="114"/>
        <v>#DIV/0!</v>
      </c>
      <c r="AP42" s="32" t="e">
        <f t="shared" si="115"/>
        <v>#DIV/0!</v>
      </c>
      <c r="AR42" s="1" t="s">
        <v>55</v>
      </c>
      <c r="AS42" s="47">
        <f ca="1">OFFSET(school_existing,21,0)</f>
        <v>-6.982041207453344</v>
      </c>
      <c r="AT42" s="48">
        <f ca="1">OFFSET(school_existing,22,0)</f>
        <v>1.5153716762814526</v>
      </c>
      <c r="AU42" s="49">
        <f ca="1">OFFSET(school_existing,23,0)</f>
        <v>-1.3850387162089937</v>
      </c>
      <c r="AW42" s="1" t="s">
        <v>55</v>
      </c>
      <c r="AX42" s="47" t="e">
        <f t="shared" si="135"/>
        <v>#DIV/0!</v>
      </c>
      <c r="AY42" s="48" t="e">
        <f t="shared" si="136"/>
        <v>#DIV/0!</v>
      </c>
      <c r="AZ42" s="49" t="e">
        <f t="shared" si="137"/>
        <v>#DIV/0!</v>
      </c>
      <c r="BB42" s="1" t="s">
        <v>55</v>
      </c>
      <c r="BC42" s="47" t="e">
        <f t="shared" ref="BC42:BC43" ca="1" si="145">IF(AND(AS42=0,AX42=0),0,AS42+AX42-AX37)</f>
        <v>#DIV/0!</v>
      </c>
      <c r="BD42" s="48" t="e">
        <f t="shared" ref="BD42:BD43" ca="1" si="146">IF(AND(AT42=0,AY42=0),0,AT42+AY42-AY37)</f>
        <v>#DIV/0!</v>
      </c>
      <c r="BE42" s="49" t="e">
        <f t="shared" ref="BE42:BE43" ca="1" si="147">IF(AND(AU42=0,AZ42=0),0,AU42+AZ42-AZ37)</f>
        <v>#DIV/0!</v>
      </c>
      <c r="BG42" s="1" t="s">
        <v>55</v>
      </c>
      <c r="BH42" s="61" t="e">
        <f t="shared" ref="BH42:BH43" si="148">U42</f>
        <v>#DIV/0!</v>
      </c>
      <c r="BI42" s="62" t="e">
        <f t="shared" ref="BI42:BI43" si="149">AA42</f>
        <v>#DIV/0!</v>
      </c>
      <c r="BJ42" s="61" t="e">
        <f t="shared" ref="BJ42:BJ43" si="150">V42</f>
        <v>#DIV/0!</v>
      </c>
      <c r="BK42" s="62" t="e">
        <f t="shared" ref="BK42:BK43" si="151">AB42</f>
        <v>#DIV/0!</v>
      </c>
      <c r="BL42" s="61" t="e">
        <f t="shared" ref="BL42:BL43" si="152">W42</f>
        <v>#DIV/0!</v>
      </c>
      <c r="BM42" s="62" t="e">
        <f t="shared" ref="BM42:BM43" si="153">AC42</f>
        <v>#DIV/0!</v>
      </c>
      <c r="BN42" s="60" t="e">
        <f t="shared" ref="BN42:BN43" si="154">X42</f>
        <v>#DIV/0!</v>
      </c>
      <c r="BO42" s="62" t="e">
        <f t="shared" ref="BO42:BO43" si="155">AD42</f>
        <v>#DIV/0!</v>
      </c>
    </row>
    <row r="43" spans="1:67" x14ac:dyDescent="0.2">
      <c r="A43" s="1" t="s">
        <v>56</v>
      </c>
      <c r="B43" s="223">
        <f>targets!O73</f>
        <v>0</v>
      </c>
      <c r="C43" s="224">
        <f>targets!P73</f>
        <v>0</v>
      </c>
      <c r="D43" s="225">
        <f>targets!Q73</f>
        <v>0</v>
      </c>
      <c r="E43" s="5">
        <f t="shared" si="140"/>
        <v>0</v>
      </c>
      <c r="F43" s="5"/>
      <c r="G43" s="5"/>
      <c r="H43" s="1" t="s">
        <v>56</v>
      </c>
      <c r="I43" s="11">
        <f t="shared" si="132"/>
        <v>0</v>
      </c>
      <c r="J43" s="12">
        <f>C43*((P$44)/(C$44))</f>
        <v>0</v>
      </c>
      <c r="K43" s="13">
        <f t="shared" si="134"/>
        <v>0</v>
      </c>
      <c r="L43" s="5">
        <f t="shared" si="120"/>
        <v>0</v>
      </c>
      <c r="N43" s="1" t="s">
        <v>56</v>
      </c>
      <c r="O43" s="11">
        <f t="array" ref="O43">SUM(IF((modeldata!$I:$I=$N$32)*(modeldata!$H:$H=calibration_simplemodes!$N43),modeldata!D:D,0))</f>
        <v>0</v>
      </c>
      <c r="P43" s="12">
        <f t="array" ref="P43">SUM(IF((modeldata!$I:$I=$N$32)*(modeldata!$H:$H=calibration_simplemodes!$N43),modeldata!E:E,0))</f>
        <v>0</v>
      </c>
      <c r="Q43" s="13">
        <f t="array" ref="Q43">SUM(IF((modeldata!$I:$I=$N$32)*(modeldata!$H:$H=calibration_simplemodes!$N43),modeldata!F:F,0))</f>
        <v>0</v>
      </c>
      <c r="R43" s="5">
        <f t="shared" si="141"/>
        <v>0</v>
      </c>
      <c r="T43" s="1" t="s">
        <v>56</v>
      </c>
      <c r="U43" s="24" t="e">
        <f>I43/I44</f>
        <v>#DIV/0!</v>
      </c>
      <c r="V43" s="29" t="e">
        <f t="shared" ref="V43" si="156">J43/J44</f>
        <v>#DIV/0!</v>
      </c>
      <c r="W43" s="30" t="e">
        <f t="shared" ref="W43" si="157">K43/K44</f>
        <v>#DIV/0!</v>
      </c>
      <c r="X43" s="25" t="e">
        <f t="shared" ref="X43" si="158">L43/L44</f>
        <v>#DIV/0!</v>
      </c>
      <c r="Z43" s="1" t="s">
        <v>56</v>
      </c>
      <c r="AA43" s="24" t="e">
        <f>O43/O44</f>
        <v>#DIV/0!</v>
      </c>
      <c r="AB43" s="29" t="e">
        <f>P43/P44</f>
        <v>#DIV/0!</v>
      </c>
      <c r="AC43" s="30" t="e">
        <f>Q43/Q44</f>
        <v>#DIV/0!</v>
      </c>
      <c r="AD43" s="25" t="e">
        <f>R43/R44</f>
        <v>#DIV/0!</v>
      </c>
      <c r="AF43" s="1" t="s">
        <v>56</v>
      </c>
      <c r="AG43" s="88">
        <f t="shared" si="122"/>
        <v>0</v>
      </c>
      <c r="AH43" s="72">
        <f t="shared" si="110"/>
        <v>0</v>
      </c>
      <c r="AI43" s="89">
        <f t="shared" si="111"/>
        <v>0</v>
      </c>
      <c r="AJ43" s="73">
        <f t="shared" si="112"/>
        <v>0</v>
      </c>
      <c r="AL43" s="1" t="s">
        <v>56</v>
      </c>
      <c r="AM43" s="37" t="e">
        <f t="shared" si="123"/>
        <v>#DIV/0!</v>
      </c>
      <c r="AN43" s="38" t="e">
        <f t="shared" si="113"/>
        <v>#DIV/0!</v>
      </c>
      <c r="AO43" s="39" t="e">
        <f t="shared" si="114"/>
        <v>#DIV/0!</v>
      </c>
      <c r="AP43" s="32" t="e">
        <f t="shared" si="115"/>
        <v>#DIV/0!</v>
      </c>
      <c r="AR43" s="1" t="s">
        <v>56</v>
      </c>
      <c r="AS43" s="50">
        <f ca="1">OFFSET(school_existing,24,0)</f>
        <v>-6.9648716174727205</v>
      </c>
      <c r="AT43" s="51">
        <f ca="1">OFFSET(school_existing,25,0)</f>
        <v>0.66752081234139138</v>
      </c>
      <c r="AU43" s="52">
        <f ca="1">OFFSET(school_existing,26,0)</f>
        <v>-2.1992222710368536</v>
      </c>
      <c r="AW43" s="1" t="s">
        <v>56</v>
      </c>
      <c r="AX43" s="50" t="e">
        <f t="shared" si="135"/>
        <v>#DIV/0!</v>
      </c>
      <c r="AY43" s="51" t="e">
        <f t="shared" si="136"/>
        <v>#DIV/0!</v>
      </c>
      <c r="AZ43" s="52" t="e">
        <f t="shared" si="137"/>
        <v>#DIV/0!</v>
      </c>
      <c r="BB43" s="1" t="s">
        <v>56</v>
      </c>
      <c r="BC43" s="50" t="e">
        <f t="shared" ca="1" si="145"/>
        <v>#DIV/0!</v>
      </c>
      <c r="BD43" s="51" t="e">
        <f t="shared" ca="1" si="146"/>
        <v>#DIV/0!</v>
      </c>
      <c r="BE43" s="52" t="e">
        <f t="shared" ca="1" si="147"/>
        <v>#DIV/0!</v>
      </c>
      <c r="BG43" s="1" t="s">
        <v>56</v>
      </c>
      <c r="BH43" s="63" t="e">
        <f t="shared" si="148"/>
        <v>#DIV/0!</v>
      </c>
      <c r="BI43" s="65" t="e">
        <f t="shared" si="149"/>
        <v>#DIV/0!</v>
      </c>
      <c r="BJ43" s="63" t="e">
        <f t="shared" si="150"/>
        <v>#DIV/0!</v>
      </c>
      <c r="BK43" s="65" t="e">
        <f t="shared" si="151"/>
        <v>#DIV/0!</v>
      </c>
      <c r="BL43" s="63" t="e">
        <f t="shared" si="152"/>
        <v>#DIV/0!</v>
      </c>
      <c r="BM43" s="65" t="e">
        <f t="shared" si="153"/>
        <v>#DIV/0!</v>
      </c>
      <c r="BN43" s="64" t="e">
        <f t="shared" si="154"/>
        <v>#DIV/0!</v>
      </c>
      <c r="BO43" s="65" t="e">
        <f t="shared" si="155"/>
        <v>#DIV/0!</v>
      </c>
    </row>
    <row r="44" spans="1:67" x14ac:dyDescent="0.2">
      <c r="A44" s="1" t="s">
        <v>1</v>
      </c>
      <c r="B44" s="5">
        <f>SUM(B34:B43)</f>
        <v>10052.667235672396</v>
      </c>
      <c r="C44" s="5">
        <f>SUM(C34:C43)</f>
        <v>37682.012075627186</v>
      </c>
      <c r="D44" s="5">
        <f>SUM(D34:D43)</f>
        <v>253424.04813637474</v>
      </c>
      <c r="E44" s="5">
        <f>SUM(B44:D44)</f>
        <v>301158.72744767432</v>
      </c>
      <c r="F44" s="5"/>
      <c r="G44" s="5"/>
      <c r="H44" s="1" t="s">
        <v>1</v>
      </c>
      <c r="I44" s="5">
        <f>SUM(I34:I43)</f>
        <v>0</v>
      </c>
      <c r="J44" s="5">
        <f t="shared" ref="J44" si="159">SUM(J34:J43)</f>
        <v>0</v>
      </c>
      <c r="K44" s="5">
        <f t="shared" ref="K44" si="160">SUM(K34:K43)</f>
        <v>0</v>
      </c>
      <c r="L44" s="5">
        <f>SUM(I44:K44)</f>
        <v>0</v>
      </c>
      <c r="N44" s="1" t="s">
        <v>1</v>
      </c>
      <c r="O44" s="5">
        <f t="array" ref="O44">SUM(IF(modeldata!$I:$I=$N$32,modeldata!D:D,0))</f>
        <v>0</v>
      </c>
      <c r="P44" s="5">
        <f t="array" ref="P44">SUM(IF(modeldata!$I:$I=$N$32,modeldata!E:E,0))</f>
        <v>0</v>
      </c>
      <c r="Q44" s="5">
        <f t="array" ref="Q44">SUM(IF(modeldata!$I:$I=$N$32,modeldata!F:F,0))</f>
        <v>0</v>
      </c>
      <c r="R44" s="5">
        <f t="shared" ref="R44" si="161">SUM(O44:Q44)</f>
        <v>0</v>
      </c>
      <c r="S44" s="5"/>
      <c r="T44" s="1" t="s">
        <v>1</v>
      </c>
      <c r="U44" s="25" t="e">
        <f>SUM(U34:U43)</f>
        <v>#DIV/0!</v>
      </c>
      <c r="V44" s="25" t="e">
        <f t="shared" ref="V44" si="162">SUM(V34:V43)</f>
        <v>#DIV/0!</v>
      </c>
      <c r="W44" s="25" t="e">
        <f t="shared" ref="W44" si="163">SUM(W34:W43)</f>
        <v>#DIV/0!</v>
      </c>
      <c r="X44" s="25" t="e">
        <f t="shared" ref="X44" si="164">SUM(X34:X43)</f>
        <v>#DIV/0!</v>
      </c>
      <c r="Z44" s="1" t="s">
        <v>1</v>
      </c>
      <c r="AA44" s="60" t="e">
        <f>SUM(AA34:AA43)</f>
        <v>#DIV/0!</v>
      </c>
      <c r="AB44" s="60" t="e">
        <f t="shared" ref="AB44" si="165">SUM(AB34:AB43)</f>
        <v>#DIV/0!</v>
      </c>
      <c r="AC44" s="60" t="e">
        <f t="shared" ref="AC44" si="166">SUM(AC34:AC43)</f>
        <v>#DIV/0!</v>
      </c>
      <c r="AD44" s="25" t="e">
        <f>SUM(AD34:AD41)</f>
        <v>#DIV/0!</v>
      </c>
      <c r="AF44" s="1" t="s">
        <v>1</v>
      </c>
      <c r="AG44" s="5">
        <f t="shared" si="122"/>
        <v>0</v>
      </c>
      <c r="AH44" s="5">
        <f t="shared" si="110"/>
        <v>0</v>
      </c>
      <c r="AI44" s="5">
        <f t="shared" si="111"/>
        <v>0</v>
      </c>
      <c r="AJ44" s="73">
        <f t="shared" si="112"/>
        <v>0</v>
      </c>
      <c r="AL44" s="1" t="s">
        <v>1</v>
      </c>
      <c r="AM44" s="32" t="e">
        <f t="shared" si="123"/>
        <v>#DIV/0!</v>
      </c>
      <c r="AN44" s="32" t="e">
        <f t="shared" si="113"/>
        <v>#DIV/0!</v>
      </c>
      <c r="AO44" s="32" t="e">
        <f t="shared" si="114"/>
        <v>#DIV/0!</v>
      </c>
      <c r="AP44" s="32" t="e">
        <f t="shared" si="115"/>
        <v>#DIV/0!</v>
      </c>
      <c r="BG44" s="1" t="s">
        <v>1</v>
      </c>
      <c r="BH44" s="60" t="e">
        <f>SUM(BH34:BH43)</f>
        <v>#DIV/0!</v>
      </c>
      <c r="BI44" s="60" t="e">
        <f t="shared" ref="BI44" si="167">SUM(BI34:BI43)</f>
        <v>#DIV/0!</v>
      </c>
      <c r="BJ44" s="60" t="e">
        <f t="shared" ref="BJ44" si="168">SUM(BJ34:BJ43)</f>
        <v>#DIV/0!</v>
      </c>
      <c r="BK44" s="60" t="e">
        <f t="shared" ref="BK44" si="169">SUM(BK34:BK43)</f>
        <v>#DIV/0!</v>
      </c>
      <c r="BL44" s="60" t="e">
        <f t="shared" ref="BL44" si="170">SUM(BL34:BL43)</f>
        <v>#DIV/0!</v>
      </c>
      <c r="BM44" s="60" t="e">
        <f t="shared" ref="BM44" si="171">SUM(BM34:BM43)</f>
        <v>#DIV/0!</v>
      </c>
      <c r="BN44" s="60" t="e">
        <f t="shared" ref="BN44" si="172">SUM(BN34:BN43)</f>
        <v>#DIV/0!</v>
      </c>
      <c r="BO44" s="60" t="e">
        <f t="shared" ref="BO44" si="173">SUM(BO34:BO43)</f>
        <v>#DIV/0!</v>
      </c>
    </row>
    <row r="47" spans="1:67" s="16" customFormat="1" x14ac:dyDescent="0.2">
      <c r="A47" s="15" t="s">
        <v>41</v>
      </c>
      <c r="H47" s="15" t="s">
        <v>41</v>
      </c>
      <c r="N47" s="15" t="s">
        <v>41</v>
      </c>
      <c r="T47" s="15" t="s">
        <v>41</v>
      </c>
      <c r="Z47" s="15" t="s">
        <v>41</v>
      </c>
      <c r="AF47" s="15" t="s">
        <v>41</v>
      </c>
      <c r="AL47" s="15" t="s">
        <v>41</v>
      </c>
      <c r="AR47" s="15" t="s">
        <v>113</v>
      </c>
      <c r="AW47" s="15" t="s">
        <v>113</v>
      </c>
      <c r="BB47" s="15" t="s">
        <v>113</v>
      </c>
      <c r="BG47" s="15" t="s">
        <v>113</v>
      </c>
      <c r="BH47" s="216" t="s">
        <v>139</v>
      </c>
      <c r="BI47" s="217" t="s">
        <v>140</v>
      </c>
      <c r="BJ47" s="217" t="s">
        <v>139</v>
      </c>
      <c r="BK47" s="217" t="s">
        <v>140</v>
      </c>
      <c r="BL47" s="217" t="s">
        <v>139</v>
      </c>
      <c r="BM47" s="217" t="s">
        <v>140</v>
      </c>
      <c r="BN47" s="217" t="s">
        <v>139</v>
      </c>
      <c r="BO47" s="217" t="s">
        <v>140</v>
      </c>
    </row>
    <row r="48" spans="1:67" ht="38.25" x14ac:dyDescent="0.2">
      <c r="B48" s="14" t="s">
        <v>38</v>
      </c>
      <c r="C48" s="14" t="s">
        <v>37</v>
      </c>
      <c r="D48" s="14" t="s">
        <v>0</v>
      </c>
      <c r="E48" s="17" t="s">
        <v>1</v>
      </c>
      <c r="F48" s="17"/>
      <c r="G48" s="17"/>
      <c r="I48" s="14" t="s">
        <v>38</v>
      </c>
      <c r="J48" s="14" t="s">
        <v>37</v>
      </c>
      <c r="K48" s="14" t="s">
        <v>0</v>
      </c>
      <c r="L48" s="17" t="s">
        <v>1</v>
      </c>
      <c r="O48" s="14" t="s">
        <v>38</v>
      </c>
      <c r="P48" s="14" t="s">
        <v>37</v>
      </c>
      <c r="Q48" s="14" t="s">
        <v>0</v>
      </c>
      <c r="R48" s="17" t="s">
        <v>1</v>
      </c>
      <c r="U48" s="14" t="s">
        <v>38</v>
      </c>
      <c r="V48" s="14" t="s">
        <v>37</v>
      </c>
      <c r="W48" s="14" t="s">
        <v>0</v>
      </c>
      <c r="X48" s="17" t="s">
        <v>1</v>
      </c>
      <c r="AA48" s="14" t="s">
        <v>38</v>
      </c>
      <c r="AB48" s="14" t="s">
        <v>37</v>
      </c>
      <c r="AC48" s="14" t="s">
        <v>0</v>
      </c>
      <c r="AD48" s="17" t="s">
        <v>1</v>
      </c>
      <c r="AG48" s="14" t="s">
        <v>38</v>
      </c>
      <c r="AH48" s="14" t="s">
        <v>37</v>
      </c>
      <c r="AI48" s="14" t="s">
        <v>0</v>
      </c>
      <c r="AJ48" s="17" t="s">
        <v>1</v>
      </c>
      <c r="AM48" s="14" t="s">
        <v>38</v>
      </c>
      <c r="AN48" s="14" t="s">
        <v>37</v>
      </c>
      <c r="AO48" s="14" t="s">
        <v>0</v>
      </c>
      <c r="AP48" s="17" t="s">
        <v>1</v>
      </c>
      <c r="AS48" s="14" t="s">
        <v>38</v>
      </c>
      <c r="AT48" s="14" t="s">
        <v>37</v>
      </c>
      <c r="AU48" s="14" t="s">
        <v>0</v>
      </c>
      <c r="AW48" s="53">
        <v>0</v>
      </c>
      <c r="AX48" s="14" t="s">
        <v>38</v>
      </c>
      <c r="AY48" s="14" t="s">
        <v>37</v>
      </c>
      <c r="AZ48" s="14" t="s">
        <v>0</v>
      </c>
      <c r="BC48" s="14" t="s">
        <v>118</v>
      </c>
      <c r="BD48" s="14" t="s">
        <v>119</v>
      </c>
      <c r="BE48" s="14" t="s">
        <v>0</v>
      </c>
      <c r="BH48" s="218" t="s">
        <v>142</v>
      </c>
      <c r="BI48" s="218" t="s">
        <v>142</v>
      </c>
      <c r="BJ48" s="218" t="s">
        <v>143</v>
      </c>
      <c r="BK48" s="218" t="s">
        <v>143</v>
      </c>
      <c r="BL48" s="218" t="s">
        <v>144</v>
      </c>
      <c r="BM48" s="218" t="s">
        <v>145</v>
      </c>
      <c r="BN48" s="219" t="s">
        <v>141</v>
      </c>
      <c r="BO48" s="219" t="s">
        <v>141</v>
      </c>
    </row>
    <row r="49" spans="1:67" x14ac:dyDescent="0.2">
      <c r="A49" s="1" t="s">
        <v>2</v>
      </c>
      <c r="B49" s="6">
        <f>targets!O81</f>
        <v>72775.530377456118</v>
      </c>
      <c r="C49" s="7">
        <f>targets!P81</f>
        <v>24198.348658444003</v>
      </c>
      <c r="D49" s="8">
        <f>targets!Q81</f>
        <v>152865.16155539692</v>
      </c>
      <c r="E49" s="5">
        <f>SUM(B49:D49)</f>
        <v>249839.04059129703</v>
      </c>
      <c r="F49" s="5"/>
      <c r="G49" s="5"/>
      <c r="H49" s="1" t="s">
        <v>2</v>
      </c>
      <c r="I49" s="6">
        <f>B49*((O$59)/(B$59))</f>
        <v>0</v>
      </c>
      <c r="J49" s="7">
        <f t="shared" ref="J49:K49" si="174">C49*((P$59)/(C$59))</f>
        <v>0</v>
      </c>
      <c r="K49" s="8">
        <f t="shared" si="174"/>
        <v>0</v>
      </c>
      <c r="L49" s="5">
        <f>SUM(I49:K49)</f>
        <v>0</v>
      </c>
      <c r="N49" s="1" t="s">
        <v>2</v>
      </c>
      <c r="O49" s="6">
        <f t="array" ref="O49">SUM(IF((modeldata!$I:$I=$N$47)*(modeldata!$H:$H=calibration_simplemodes!$N49),modeldata!D:D,0))</f>
        <v>0</v>
      </c>
      <c r="P49" s="7">
        <f t="array" ref="P49">SUM(IF((modeldata!$I:$I=$N$47)*(modeldata!$H:$H=calibration_simplemodes!$N49),modeldata!E:E,0))</f>
        <v>0</v>
      </c>
      <c r="Q49" s="8">
        <f t="array" ref="Q49">SUM(IF((modeldata!$I:$I=$N$47)*(modeldata!$H:$H=calibration_simplemodes!$N49),modeldata!F:F,0))</f>
        <v>0</v>
      </c>
      <c r="R49" s="5">
        <f>SUM(O49:Q49)</f>
        <v>0</v>
      </c>
      <c r="T49" s="1" t="s">
        <v>2</v>
      </c>
      <c r="U49" s="22" t="e">
        <f>I49/I59</f>
        <v>#DIV/0!</v>
      </c>
      <c r="V49" s="26" t="e">
        <f>J49/J59</f>
        <v>#DIV/0!</v>
      </c>
      <c r="W49" s="27" t="e">
        <f>K49/K59</f>
        <v>#DIV/0!</v>
      </c>
      <c r="X49" s="25" t="e">
        <f>L49/L59</f>
        <v>#DIV/0!</v>
      </c>
      <c r="Z49" s="1" t="s">
        <v>2</v>
      </c>
      <c r="AA49" s="22" t="e">
        <f>O49/O59</f>
        <v>#DIV/0!</v>
      </c>
      <c r="AB49" s="26" t="e">
        <f>P49/P59</f>
        <v>#DIV/0!</v>
      </c>
      <c r="AC49" s="27" t="e">
        <f>Q49/Q59</f>
        <v>#DIV/0!</v>
      </c>
      <c r="AD49" s="25" t="e">
        <f>R49/R59</f>
        <v>#DIV/0!</v>
      </c>
      <c r="AF49" s="1" t="s">
        <v>2</v>
      </c>
      <c r="AG49" s="83">
        <f>O49-I49</f>
        <v>0</v>
      </c>
      <c r="AH49" s="84">
        <f t="shared" ref="AH49:AH59" si="175">P49-J49</f>
        <v>0</v>
      </c>
      <c r="AI49" s="85">
        <f t="shared" ref="AI49:AI59" si="176">Q49-K49</f>
        <v>0</v>
      </c>
      <c r="AJ49" s="73">
        <f t="shared" ref="AJ49:AJ59" si="177">R49-L49</f>
        <v>0</v>
      </c>
      <c r="AL49" s="1" t="s">
        <v>2</v>
      </c>
      <c r="AM49" s="31" t="e">
        <f>AA49-U49</f>
        <v>#DIV/0!</v>
      </c>
      <c r="AN49" s="33" t="e">
        <f t="shared" ref="AN49:AN59" si="178">AB49-V49</f>
        <v>#DIV/0!</v>
      </c>
      <c r="AO49" s="34" t="e">
        <f t="shared" ref="AO49:AO59" si="179">AC49-W49</f>
        <v>#DIV/0!</v>
      </c>
      <c r="AP49" s="32" t="e">
        <f t="shared" ref="AP49:AP59" si="180">AD49-X49</f>
        <v>#DIV/0!</v>
      </c>
      <c r="AR49" s="1" t="s">
        <v>2</v>
      </c>
      <c r="AS49" s="44">
        <f ca="1">OFFSET(shopping_existing,0,0)</f>
        <v>1.4168515952875929</v>
      </c>
      <c r="AT49" s="45">
        <f ca="1">OFFSET(shopping_existing,1,0)</f>
        <v>2.5378038269417806</v>
      </c>
      <c r="AU49" s="46">
        <f ca="1">OFFSET(shopping_existing,2,0)</f>
        <v>1.9403786646010408</v>
      </c>
      <c r="AW49" s="1" t="s">
        <v>2</v>
      </c>
      <c r="AX49" s="44" t="e">
        <f t="shared" ref="AX49:AX55" si="181">IF(AND(U49&gt;0, AA49&gt;0),indivmaint_damp*LN(U49/AA49),0)</f>
        <v>#DIV/0!</v>
      </c>
      <c r="AY49" s="45" t="e">
        <f t="shared" ref="AY49:AY55" si="182">IF(AND(V49&gt;0, AB49&gt;0),indivmaint_damp*LN(V49/AB49),0)</f>
        <v>#DIV/0!</v>
      </c>
      <c r="AZ49" s="46" t="e">
        <f t="shared" ref="AZ49:AZ55" si="183">IF(AND(W49&gt;0, AC49&gt;0),indivmaint_damp*LN(W49/AC49),0)</f>
        <v>#DIV/0!</v>
      </c>
      <c r="BB49" s="1" t="s">
        <v>2</v>
      </c>
      <c r="BC49" s="44" t="e">
        <f ca="1">AS49+AX49-AX51</f>
        <v>#DIV/0!</v>
      </c>
      <c r="BD49" s="45" t="e">
        <f ca="1">AT49+AY49-AY51</f>
        <v>#DIV/0!</v>
      </c>
      <c r="BE49" s="46" t="e">
        <f ca="1">AU49+AZ49-AZ51</f>
        <v>#DIV/0!</v>
      </c>
      <c r="BG49" s="1" t="s">
        <v>2</v>
      </c>
      <c r="BH49" s="57" t="e">
        <f>U49</f>
        <v>#DIV/0!</v>
      </c>
      <c r="BI49" s="59" t="e">
        <f>AA49</f>
        <v>#DIV/0!</v>
      </c>
      <c r="BJ49" s="57" t="e">
        <f>V49</f>
        <v>#DIV/0!</v>
      </c>
      <c r="BK49" s="59" t="e">
        <f>AB49</f>
        <v>#DIV/0!</v>
      </c>
      <c r="BL49" s="57" t="e">
        <f>W49</f>
        <v>#DIV/0!</v>
      </c>
      <c r="BM49" s="59" t="e">
        <f>AC49</f>
        <v>#DIV/0!</v>
      </c>
      <c r="BN49" s="58" t="e">
        <f>X49</f>
        <v>#DIV/0!</v>
      </c>
      <c r="BO49" s="59" t="e">
        <f>AD49</f>
        <v>#DIV/0!</v>
      </c>
    </row>
    <row r="50" spans="1:67" x14ac:dyDescent="0.2">
      <c r="A50" s="1" t="s">
        <v>31</v>
      </c>
      <c r="B50" s="9">
        <f>targets!O82</f>
        <v>23841.619305483142</v>
      </c>
      <c r="C50" s="5">
        <f>targets!P82</f>
        <v>8925.7942560311149</v>
      </c>
      <c r="D50" s="10">
        <f>targets!Q82</f>
        <v>56489.645445291651</v>
      </c>
      <c r="E50" s="5">
        <f t="shared" ref="E50:E56" si="184">SUM(B50:D50)</f>
        <v>89257.05900680591</v>
      </c>
      <c r="F50" s="5"/>
      <c r="G50" s="5"/>
      <c r="H50" s="1" t="s">
        <v>31</v>
      </c>
      <c r="I50" s="9">
        <f t="shared" ref="I50:I58" si="185">B50*((O$59)/(B$59))</f>
        <v>0</v>
      </c>
      <c r="J50" s="5">
        <f t="shared" ref="J50:J58" si="186">C50*((P$59)/(C$59))</f>
        <v>0</v>
      </c>
      <c r="K50" s="10">
        <f t="shared" ref="K50:K58" si="187">D50*((Q$59)/(D$59))</f>
        <v>0</v>
      </c>
      <c r="L50" s="5">
        <f t="shared" ref="L50:L58" si="188">SUM(I50:K50)</f>
        <v>0</v>
      </c>
      <c r="N50" s="1" t="s">
        <v>31</v>
      </c>
      <c r="O50" s="9">
        <f t="array" ref="O50">SUM(IF((modeldata!$I:$I=$N$47)*(modeldata!$H:$H=calibration_simplemodes!$N50),modeldata!D:D,0))</f>
        <v>0</v>
      </c>
      <c r="P50" s="5">
        <f t="array" ref="P50">SUM(IF((modeldata!$I:$I=$N$47)*(modeldata!$H:$H=calibration_simplemodes!$N50),modeldata!E:E,0))</f>
        <v>0</v>
      </c>
      <c r="Q50" s="10">
        <f t="array" ref="Q50">SUM(IF((modeldata!$I:$I=$N$47)*(modeldata!$H:$H=calibration_simplemodes!$N50),modeldata!F:F,0))</f>
        <v>0</v>
      </c>
      <c r="R50" s="5">
        <f t="shared" ref="R50:R56" si="189">SUM(O50:Q50)</f>
        <v>0</v>
      </c>
      <c r="T50" s="1" t="s">
        <v>31</v>
      </c>
      <c r="U50" s="23" t="e">
        <f>I50/I59</f>
        <v>#DIV/0!</v>
      </c>
      <c r="V50" s="25" t="e">
        <f>J50/J59</f>
        <v>#DIV/0!</v>
      </c>
      <c r="W50" s="28" t="e">
        <f>K50/K59</f>
        <v>#DIV/0!</v>
      </c>
      <c r="X50" s="25" t="e">
        <f>L50/L59</f>
        <v>#DIV/0!</v>
      </c>
      <c r="Z50" s="1" t="s">
        <v>31</v>
      </c>
      <c r="AA50" s="23" t="e">
        <f>O50/O59</f>
        <v>#DIV/0!</v>
      </c>
      <c r="AB50" s="25" t="e">
        <f>P50/P59</f>
        <v>#DIV/0!</v>
      </c>
      <c r="AC50" s="28" t="e">
        <f>Q50/Q59</f>
        <v>#DIV/0!</v>
      </c>
      <c r="AD50" s="25" t="e">
        <f>R50/R59</f>
        <v>#DIV/0!</v>
      </c>
      <c r="AF50" s="1" t="s">
        <v>31</v>
      </c>
      <c r="AG50" s="86">
        <f t="shared" ref="AG50:AG59" si="190">O50-I50</f>
        <v>0</v>
      </c>
      <c r="AH50" s="73">
        <f t="shared" si="175"/>
        <v>0</v>
      </c>
      <c r="AI50" s="87">
        <f t="shared" si="176"/>
        <v>0</v>
      </c>
      <c r="AJ50" s="73">
        <f t="shared" si="177"/>
        <v>0</v>
      </c>
      <c r="AL50" s="1" t="s">
        <v>31</v>
      </c>
      <c r="AM50" s="35" t="e">
        <f t="shared" ref="AM50:AM59" si="191">AA50-U50</f>
        <v>#DIV/0!</v>
      </c>
      <c r="AN50" s="32" t="e">
        <f t="shared" si="178"/>
        <v>#DIV/0!</v>
      </c>
      <c r="AO50" s="36" t="e">
        <f t="shared" si="179"/>
        <v>#DIV/0!</v>
      </c>
      <c r="AP50" s="32" t="e">
        <f t="shared" si="180"/>
        <v>#DIV/0!</v>
      </c>
      <c r="AR50" s="1" t="s">
        <v>31</v>
      </c>
      <c r="AS50" s="47">
        <f ca="1">OFFSET(shopping_existing,3,0)</f>
        <v>-0.18211045905382711</v>
      </c>
      <c r="AT50" s="48">
        <f ca="1">OFFSET(shopping_existing,4,0)</f>
        <v>8.8447474867492451E-2</v>
      </c>
      <c r="AU50" s="49">
        <f ca="1">OFFSET(shopping_existing,5,0)</f>
        <v>-1.481798026386129</v>
      </c>
      <c r="AW50" s="1" t="s">
        <v>31</v>
      </c>
      <c r="AX50" s="47" t="e">
        <f t="shared" si="181"/>
        <v>#DIV/0!</v>
      </c>
      <c r="AY50" s="48" t="e">
        <f t="shared" si="182"/>
        <v>#DIV/0!</v>
      </c>
      <c r="AZ50" s="49" t="e">
        <f t="shared" si="183"/>
        <v>#DIV/0!</v>
      </c>
      <c r="BB50" s="1" t="s">
        <v>31</v>
      </c>
      <c r="BC50" s="47" t="e">
        <f ca="1">AS50+AX50-AX51</f>
        <v>#DIV/0!</v>
      </c>
      <c r="BD50" s="48" t="e">
        <f ca="1">AT50+AY50-AY51</f>
        <v>#DIV/0!</v>
      </c>
      <c r="BE50" s="49" t="e">
        <f ca="1">AU50+AZ50-AZ51</f>
        <v>#DIV/0!</v>
      </c>
      <c r="BG50" s="1" t="s">
        <v>31</v>
      </c>
      <c r="BH50" s="61" t="e">
        <f t="shared" ref="BH50:BH56" si="192">U50</f>
        <v>#DIV/0!</v>
      </c>
      <c r="BI50" s="62" t="e">
        <f t="shared" ref="BI50:BI56" si="193">AA50</f>
        <v>#DIV/0!</v>
      </c>
      <c r="BJ50" s="61" t="e">
        <f t="shared" ref="BJ50:BJ56" si="194">V50</f>
        <v>#DIV/0!</v>
      </c>
      <c r="BK50" s="62" t="e">
        <f t="shared" ref="BK50:BK56" si="195">AB50</f>
        <v>#DIV/0!</v>
      </c>
      <c r="BL50" s="61" t="e">
        <f t="shared" ref="BL50:BL56" si="196">W50</f>
        <v>#DIV/0!</v>
      </c>
      <c r="BM50" s="62" t="e">
        <f t="shared" ref="BM50:BM56" si="197">AC50</f>
        <v>#DIV/0!</v>
      </c>
      <c r="BN50" s="60" t="e">
        <f t="shared" ref="BN50:BN56" si="198">X50</f>
        <v>#DIV/0!</v>
      </c>
      <c r="BO50" s="62" t="e">
        <f t="shared" ref="BO50:BO56" si="199">AD50</f>
        <v>#DIV/0!</v>
      </c>
    </row>
    <row r="51" spans="1:67" x14ac:dyDescent="0.2">
      <c r="A51" s="1" t="s">
        <v>32</v>
      </c>
      <c r="B51" s="9">
        <f>targets!O78</f>
        <v>0</v>
      </c>
      <c r="C51" s="5">
        <f>targets!P78</f>
        <v>41803.130079267139</v>
      </c>
      <c r="D51" s="10">
        <f>targets!Q78</f>
        <v>871021.60739246616</v>
      </c>
      <c r="E51" s="5">
        <f t="shared" si="184"/>
        <v>912824.73747173324</v>
      </c>
      <c r="F51" s="5"/>
      <c r="G51" s="5"/>
      <c r="H51" s="1" t="s">
        <v>32</v>
      </c>
      <c r="I51" s="9">
        <f t="shared" si="185"/>
        <v>0</v>
      </c>
      <c r="J51" s="5">
        <f t="shared" si="186"/>
        <v>0</v>
      </c>
      <c r="K51" s="10">
        <f t="shared" si="187"/>
        <v>0</v>
      </c>
      <c r="L51" s="5">
        <f t="shared" si="188"/>
        <v>0</v>
      </c>
      <c r="N51" s="1" t="s">
        <v>32</v>
      </c>
      <c r="O51" s="9">
        <f t="array" ref="O51">SUM(IF((modeldata!$I:$I=$N$47)*(modeldata!$H:$H=calibration_simplemodes!$N51),modeldata!D:D,0))</f>
        <v>0</v>
      </c>
      <c r="P51" s="5">
        <f t="array" ref="P51">SUM(IF((modeldata!$I:$I=$N$47)*(modeldata!$H:$H=calibration_simplemodes!$N51),modeldata!E:E,0))</f>
        <v>0</v>
      </c>
      <c r="Q51" s="10">
        <f t="array" ref="Q51">SUM(IF((modeldata!$I:$I=$N$47)*(modeldata!$H:$H=calibration_simplemodes!$N51),modeldata!F:F,0))</f>
        <v>0</v>
      </c>
      <c r="R51" s="5">
        <f t="shared" si="189"/>
        <v>0</v>
      </c>
      <c r="T51" s="1" t="s">
        <v>32</v>
      </c>
      <c r="U51" s="23" t="e">
        <f>I51/I59</f>
        <v>#DIV/0!</v>
      </c>
      <c r="V51" s="25" t="e">
        <f>J51/J59</f>
        <v>#DIV/0!</v>
      </c>
      <c r="W51" s="28" t="e">
        <f>K51/K59</f>
        <v>#DIV/0!</v>
      </c>
      <c r="X51" s="25" t="e">
        <f>L51/L59</f>
        <v>#DIV/0!</v>
      </c>
      <c r="Z51" s="1" t="s">
        <v>32</v>
      </c>
      <c r="AA51" s="23" t="e">
        <f>O51/O59</f>
        <v>#DIV/0!</v>
      </c>
      <c r="AB51" s="25" t="e">
        <f>P51/P59</f>
        <v>#DIV/0!</v>
      </c>
      <c r="AC51" s="28" t="e">
        <f>Q51/Q59</f>
        <v>#DIV/0!</v>
      </c>
      <c r="AD51" s="25" t="e">
        <f>R51/R59</f>
        <v>#DIV/0!</v>
      </c>
      <c r="AF51" s="1" t="s">
        <v>32</v>
      </c>
      <c r="AG51" s="86">
        <f t="shared" si="190"/>
        <v>0</v>
      </c>
      <c r="AH51" s="73">
        <f t="shared" si="175"/>
        <v>0</v>
      </c>
      <c r="AI51" s="87">
        <f t="shared" si="176"/>
        <v>0</v>
      </c>
      <c r="AJ51" s="73">
        <f t="shared" si="177"/>
        <v>0</v>
      </c>
      <c r="AL51" s="1" t="s">
        <v>32</v>
      </c>
      <c r="AM51" s="35" t="e">
        <f t="shared" si="191"/>
        <v>#DIV/0!</v>
      </c>
      <c r="AN51" s="32" t="e">
        <f t="shared" si="178"/>
        <v>#DIV/0!</v>
      </c>
      <c r="AO51" s="36" t="e">
        <f t="shared" si="179"/>
        <v>#DIV/0!</v>
      </c>
      <c r="AP51" s="32" t="e">
        <f t="shared" si="180"/>
        <v>#DIV/0!</v>
      </c>
      <c r="AR51" s="1" t="s">
        <v>32</v>
      </c>
      <c r="AS51" s="47">
        <v>0</v>
      </c>
      <c r="AT51" s="48">
        <v>0</v>
      </c>
      <c r="AU51" s="49">
        <v>0</v>
      </c>
      <c r="AW51" s="1" t="s">
        <v>32</v>
      </c>
      <c r="AX51" s="47" t="e">
        <f t="shared" si="181"/>
        <v>#DIV/0!</v>
      </c>
      <c r="AY51" s="48" t="e">
        <f t="shared" si="182"/>
        <v>#DIV/0!</v>
      </c>
      <c r="AZ51" s="49" t="e">
        <f t="shared" si="183"/>
        <v>#DIV/0!</v>
      </c>
      <c r="BB51" s="1" t="s">
        <v>32</v>
      </c>
      <c r="BC51" s="47" t="e">
        <f>AS51+AX51-AX51</f>
        <v>#DIV/0!</v>
      </c>
      <c r="BD51" s="48" t="e">
        <f>AT51+AY51-AY51</f>
        <v>#DIV/0!</v>
      </c>
      <c r="BE51" s="49" t="e">
        <f>AU51+AZ51-AZ51</f>
        <v>#DIV/0!</v>
      </c>
      <c r="BG51" s="1" t="s">
        <v>32</v>
      </c>
      <c r="BH51" s="61" t="e">
        <f t="shared" si="192"/>
        <v>#DIV/0!</v>
      </c>
      <c r="BI51" s="62" t="e">
        <f t="shared" si="193"/>
        <v>#DIV/0!</v>
      </c>
      <c r="BJ51" s="61" t="e">
        <f t="shared" si="194"/>
        <v>#DIV/0!</v>
      </c>
      <c r="BK51" s="62" t="e">
        <f t="shared" si="195"/>
        <v>#DIV/0!</v>
      </c>
      <c r="BL51" s="61" t="e">
        <f t="shared" si="196"/>
        <v>#DIV/0!</v>
      </c>
      <c r="BM51" s="62" t="e">
        <f t="shared" si="197"/>
        <v>#DIV/0!</v>
      </c>
      <c r="BN51" s="60" t="e">
        <f t="shared" si="198"/>
        <v>#DIV/0!</v>
      </c>
      <c r="BO51" s="62" t="e">
        <f t="shared" si="199"/>
        <v>#DIV/0!</v>
      </c>
    </row>
    <row r="52" spans="1:67" x14ac:dyDescent="0.2">
      <c r="A52" s="1" t="s">
        <v>33</v>
      </c>
      <c r="B52" s="9">
        <f>targets!O79</f>
        <v>9731.4582981100775</v>
      </c>
      <c r="C52" s="5">
        <f>targets!P79</f>
        <v>67157.422273349715</v>
      </c>
      <c r="D52" s="10">
        <f>targets!Q79</f>
        <v>920225.11270559207</v>
      </c>
      <c r="E52" s="5">
        <f t="shared" si="184"/>
        <v>997113.99327705184</v>
      </c>
      <c r="F52" s="5"/>
      <c r="G52" s="5"/>
      <c r="H52" s="1" t="s">
        <v>33</v>
      </c>
      <c r="I52" s="9">
        <f t="shared" si="185"/>
        <v>0</v>
      </c>
      <c r="J52" s="5">
        <f t="shared" si="186"/>
        <v>0</v>
      </c>
      <c r="K52" s="10">
        <f t="shared" si="187"/>
        <v>0</v>
      </c>
      <c r="L52" s="5">
        <f t="shared" si="188"/>
        <v>0</v>
      </c>
      <c r="N52" s="1" t="s">
        <v>33</v>
      </c>
      <c r="O52" s="9">
        <f t="array" ref="O52">SUM(IF((modeldata!$I:$I=$N$47)*(modeldata!$H:$H=calibration_simplemodes!$N52),modeldata!D:D,0))</f>
        <v>0</v>
      </c>
      <c r="P52" s="5">
        <f t="array" ref="P52">SUM(IF((modeldata!$I:$I=$N$47)*(modeldata!$H:$H=calibration_simplemodes!$N52),modeldata!E:E,0))</f>
        <v>0</v>
      </c>
      <c r="Q52" s="10">
        <f t="array" ref="Q52">SUM(IF((modeldata!$I:$I=$N$47)*(modeldata!$H:$H=calibration_simplemodes!$N52),modeldata!F:F,0))</f>
        <v>0</v>
      </c>
      <c r="R52" s="5">
        <f t="shared" si="189"/>
        <v>0</v>
      </c>
      <c r="T52" s="1" t="s">
        <v>33</v>
      </c>
      <c r="U52" s="23" t="e">
        <f>I52/I59</f>
        <v>#DIV/0!</v>
      </c>
      <c r="V52" s="25" t="e">
        <f>J52/J59</f>
        <v>#DIV/0!</v>
      </c>
      <c r="W52" s="28" t="e">
        <f>K52/K59</f>
        <v>#DIV/0!</v>
      </c>
      <c r="X52" s="25" t="e">
        <f>L52/L59</f>
        <v>#DIV/0!</v>
      </c>
      <c r="Z52" s="1" t="s">
        <v>33</v>
      </c>
      <c r="AA52" s="23" t="e">
        <f>O52/O59</f>
        <v>#DIV/0!</v>
      </c>
      <c r="AB52" s="25" t="e">
        <f>P52/P59</f>
        <v>#DIV/0!</v>
      </c>
      <c r="AC52" s="28" t="e">
        <f>Q52/Q59</f>
        <v>#DIV/0!</v>
      </c>
      <c r="AD52" s="25" t="e">
        <f>R52/R59</f>
        <v>#DIV/0!</v>
      </c>
      <c r="AF52" s="1" t="s">
        <v>33</v>
      </c>
      <c r="AG52" s="86">
        <f t="shared" si="190"/>
        <v>0</v>
      </c>
      <c r="AH52" s="73">
        <f t="shared" si="175"/>
        <v>0</v>
      </c>
      <c r="AI52" s="87">
        <f t="shared" si="176"/>
        <v>0</v>
      </c>
      <c r="AJ52" s="73">
        <f t="shared" si="177"/>
        <v>0</v>
      </c>
      <c r="AL52" s="1" t="s">
        <v>33</v>
      </c>
      <c r="AM52" s="35" t="e">
        <f t="shared" si="191"/>
        <v>#DIV/0!</v>
      </c>
      <c r="AN52" s="32" t="e">
        <f t="shared" si="178"/>
        <v>#DIV/0!</v>
      </c>
      <c r="AO52" s="36" t="e">
        <f t="shared" si="179"/>
        <v>#DIV/0!</v>
      </c>
      <c r="AP52" s="32" t="e">
        <f t="shared" si="180"/>
        <v>#DIV/0!</v>
      </c>
      <c r="AR52" s="1" t="s">
        <v>33</v>
      </c>
      <c r="AS52" s="47">
        <f ca="1">OFFSET(shopping_existing,6,0)</f>
        <v>-1.6118491295443853</v>
      </c>
      <c r="AT52" s="48">
        <f ca="1">OFFSET(shopping_existing,7,0)</f>
        <v>0.89103306002598126</v>
      </c>
      <c r="AU52" s="49">
        <f ca="1">OFFSET(shopping_existing,8,0)</f>
        <v>0.70656308679893387</v>
      </c>
      <c r="AW52" s="1" t="s">
        <v>33</v>
      </c>
      <c r="AX52" s="47" t="e">
        <f t="shared" si="181"/>
        <v>#DIV/0!</v>
      </c>
      <c r="AY52" s="48" t="e">
        <f t="shared" si="182"/>
        <v>#DIV/0!</v>
      </c>
      <c r="AZ52" s="49" t="e">
        <f t="shared" si="183"/>
        <v>#DIV/0!</v>
      </c>
      <c r="BB52" s="1" t="s">
        <v>120</v>
      </c>
      <c r="BC52" s="47" t="e">
        <f ca="1">AS52+AX52-AX51</f>
        <v>#DIV/0!</v>
      </c>
      <c r="BD52" s="48" t="e">
        <f ca="1">AT52+AY52-AY51</f>
        <v>#DIV/0!</v>
      </c>
      <c r="BE52" s="49" t="e">
        <f ca="1">AU52+AZ52-AZ51</f>
        <v>#DIV/0!</v>
      </c>
      <c r="BG52" s="1" t="s">
        <v>120</v>
      </c>
      <c r="BH52" s="61" t="e">
        <f t="shared" si="192"/>
        <v>#DIV/0!</v>
      </c>
      <c r="BI52" s="62" t="e">
        <f t="shared" si="193"/>
        <v>#DIV/0!</v>
      </c>
      <c r="BJ52" s="61" t="e">
        <f t="shared" si="194"/>
        <v>#DIV/0!</v>
      </c>
      <c r="BK52" s="62" t="e">
        <f t="shared" si="195"/>
        <v>#DIV/0!</v>
      </c>
      <c r="BL52" s="61" t="e">
        <f t="shared" si="196"/>
        <v>#DIV/0!</v>
      </c>
      <c r="BM52" s="62" t="e">
        <f t="shared" si="197"/>
        <v>#DIV/0!</v>
      </c>
      <c r="BN52" s="60" t="e">
        <f t="shared" si="198"/>
        <v>#DIV/0!</v>
      </c>
      <c r="BO52" s="62" t="e">
        <f t="shared" si="199"/>
        <v>#DIV/0!</v>
      </c>
    </row>
    <row r="53" spans="1:67" x14ac:dyDescent="0.2">
      <c r="A53" s="1" t="s">
        <v>34</v>
      </c>
      <c r="B53" s="9">
        <f>targets!O80</f>
        <v>2397.7288430221161</v>
      </c>
      <c r="C53" s="5">
        <f>targets!P80</f>
        <v>69376.812796205675</v>
      </c>
      <c r="D53" s="10">
        <f>targets!Q80</f>
        <v>577878.73592970811</v>
      </c>
      <c r="E53" s="5">
        <f t="shared" si="184"/>
        <v>649653.27756893588</v>
      </c>
      <c r="F53" s="5"/>
      <c r="G53" s="5"/>
      <c r="H53" s="1" t="s">
        <v>34</v>
      </c>
      <c r="I53" s="9">
        <f t="shared" si="185"/>
        <v>0</v>
      </c>
      <c r="J53" s="5">
        <f t="shared" si="186"/>
        <v>0</v>
      </c>
      <c r="K53" s="10">
        <f t="shared" si="187"/>
        <v>0</v>
      </c>
      <c r="L53" s="5">
        <f t="shared" si="188"/>
        <v>0</v>
      </c>
      <c r="N53" s="1" t="s">
        <v>34</v>
      </c>
      <c r="O53" s="9">
        <f t="array" ref="O53">SUM(IF((modeldata!$I:$I=$N$47)*(modeldata!$H:$H=calibration_simplemodes!$N53),modeldata!D:D,0))</f>
        <v>0</v>
      </c>
      <c r="P53" s="5">
        <f t="array" ref="P53">SUM(IF((modeldata!$I:$I=$N$47)*(modeldata!$H:$H=calibration_simplemodes!$N53),modeldata!E:E,0))</f>
        <v>0</v>
      </c>
      <c r="Q53" s="10">
        <f t="array" ref="Q53">SUM(IF((modeldata!$I:$I=$N$47)*(modeldata!$H:$H=calibration_simplemodes!$N53),modeldata!F:F,0))</f>
        <v>0</v>
      </c>
      <c r="R53" s="5">
        <f t="shared" si="189"/>
        <v>0</v>
      </c>
      <c r="T53" s="1" t="s">
        <v>34</v>
      </c>
      <c r="U53" s="23" t="e">
        <f>I53/I59</f>
        <v>#DIV/0!</v>
      </c>
      <c r="V53" s="25" t="e">
        <f>J53/J59</f>
        <v>#DIV/0!</v>
      </c>
      <c r="W53" s="28" t="e">
        <f>K53/K59</f>
        <v>#DIV/0!</v>
      </c>
      <c r="X53" s="25" t="e">
        <f>L53/L59</f>
        <v>#DIV/0!</v>
      </c>
      <c r="Z53" s="1" t="s">
        <v>34</v>
      </c>
      <c r="AA53" s="23" t="e">
        <f>O53/O59</f>
        <v>#DIV/0!</v>
      </c>
      <c r="AB53" s="25" t="e">
        <f>P53/P59</f>
        <v>#DIV/0!</v>
      </c>
      <c r="AC53" s="28" t="e">
        <f>Q53/Q59</f>
        <v>#DIV/0!</v>
      </c>
      <c r="AD53" s="25" t="e">
        <f>R53/R59</f>
        <v>#DIV/0!</v>
      </c>
      <c r="AF53" s="1" t="s">
        <v>34</v>
      </c>
      <c r="AG53" s="86">
        <f t="shared" si="190"/>
        <v>0</v>
      </c>
      <c r="AH53" s="73">
        <f t="shared" si="175"/>
        <v>0</v>
      </c>
      <c r="AI53" s="87">
        <f t="shared" si="176"/>
        <v>0</v>
      </c>
      <c r="AJ53" s="73">
        <f t="shared" si="177"/>
        <v>0</v>
      </c>
      <c r="AL53" s="1" t="s">
        <v>34</v>
      </c>
      <c r="AM53" s="35" t="e">
        <f t="shared" si="191"/>
        <v>#DIV/0!</v>
      </c>
      <c r="AN53" s="32" t="e">
        <f t="shared" si="178"/>
        <v>#DIV/0!</v>
      </c>
      <c r="AO53" s="36" t="e">
        <f t="shared" si="179"/>
        <v>#DIV/0!</v>
      </c>
      <c r="AP53" s="32" t="e">
        <f t="shared" si="180"/>
        <v>#DIV/0!</v>
      </c>
      <c r="AR53" s="1" t="s">
        <v>34</v>
      </c>
      <c r="AS53" s="47">
        <f ca="1">OFFSET(shopping_existing,9,0)</f>
        <v>-1.8573153197099912</v>
      </c>
      <c r="AT53" s="48">
        <f ca="1">OFFSET(shopping_existing,10,0)</f>
        <v>1.0710585647793112</v>
      </c>
      <c r="AU53" s="49">
        <f ca="1">OFFSET(shopping_existing,11,0)</f>
        <v>0.57120318515580049</v>
      </c>
      <c r="AW53" s="1" t="s">
        <v>34</v>
      </c>
      <c r="AX53" s="47" t="e">
        <f t="shared" si="181"/>
        <v>#DIV/0!</v>
      </c>
      <c r="AY53" s="48" t="e">
        <f t="shared" si="182"/>
        <v>#DIV/0!</v>
      </c>
      <c r="AZ53" s="49" t="e">
        <f t="shared" si="183"/>
        <v>#DIV/0!</v>
      </c>
      <c r="BB53" s="1" t="s">
        <v>121</v>
      </c>
      <c r="BC53" s="47" t="e">
        <f ca="1">AS53+AX53-AX51</f>
        <v>#DIV/0!</v>
      </c>
      <c r="BD53" s="48" t="e">
        <f ca="1">AT53+AY53-AY51</f>
        <v>#DIV/0!</v>
      </c>
      <c r="BE53" s="49" t="e">
        <f ca="1">AU53+AZ53-AZ51</f>
        <v>#DIV/0!</v>
      </c>
      <c r="BG53" s="1" t="s">
        <v>121</v>
      </c>
      <c r="BH53" s="61" t="e">
        <f t="shared" si="192"/>
        <v>#DIV/0!</v>
      </c>
      <c r="BI53" s="62" t="e">
        <f t="shared" si="193"/>
        <v>#DIV/0!</v>
      </c>
      <c r="BJ53" s="61" t="e">
        <f t="shared" si="194"/>
        <v>#DIV/0!</v>
      </c>
      <c r="BK53" s="62" t="e">
        <f t="shared" si="195"/>
        <v>#DIV/0!</v>
      </c>
      <c r="BL53" s="61" t="e">
        <f t="shared" si="196"/>
        <v>#DIV/0!</v>
      </c>
      <c r="BM53" s="62" t="e">
        <f t="shared" si="197"/>
        <v>#DIV/0!</v>
      </c>
      <c r="BN53" s="60" t="e">
        <f t="shared" si="198"/>
        <v>#DIV/0!</v>
      </c>
      <c r="BO53" s="62" t="e">
        <f t="shared" si="199"/>
        <v>#DIV/0!</v>
      </c>
    </row>
    <row r="54" spans="1:67" x14ac:dyDescent="0.2">
      <c r="A54" s="90" t="s">
        <v>3</v>
      </c>
      <c r="B54" s="9">
        <f>SUM(targets!O83:O88)</f>
        <v>42147.804670789686</v>
      </c>
      <c r="C54" s="5">
        <f>SUM(targets!P83:P88)</f>
        <v>7976.4198369060787</v>
      </c>
      <c r="D54" s="10">
        <f>SUM(targets!Q83:Q88)</f>
        <v>54812.997423385779</v>
      </c>
      <c r="E54" s="92">
        <f t="shared" si="184"/>
        <v>104937.22193108154</v>
      </c>
      <c r="F54" s="92"/>
      <c r="G54" s="5"/>
      <c r="H54" s="1" t="s">
        <v>3</v>
      </c>
      <c r="I54" s="9">
        <f t="shared" si="185"/>
        <v>0</v>
      </c>
      <c r="J54" s="5">
        <f t="shared" si="186"/>
        <v>0</v>
      </c>
      <c r="K54" s="10">
        <f t="shared" si="187"/>
        <v>0</v>
      </c>
      <c r="L54" s="5">
        <f t="shared" si="188"/>
        <v>0</v>
      </c>
      <c r="N54" s="1" t="s">
        <v>3</v>
      </c>
      <c r="O54" s="9">
        <f t="array" ref="O54">SUM(IF((modeldata!$I:$I=$N$47)*(modeldata!$H:$H=calibration_simplemodes!$N54),modeldata!D:D,0))</f>
        <v>0</v>
      </c>
      <c r="P54" s="5">
        <f t="array" ref="P54">SUM(IF((modeldata!$I:$I=$N$47)*(modeldata!$H:$H=calibration_simplemodes!$N54),modeldata!E:E,0))</f>
        <v>0</v>
      </c>
      <c r="Q54" s="10">
        <f t="array" ref="Q54">SUM(IF((modeldata!$I:$I=$N$47)*(modeldata!$H:$H=calibration_simplemodes!$N54),modeldata!F:F,0))</f>
        <v>0</v>
      </c>
      <c r="R54" s="5">
        <f t="shared" si="189"/>
        <v>0</v>
      </c>
      <c r="T54" s="1" t="s">
        <v>3</v>
      </c>
      <c r="U54" s="23" t="e">
        <f>I54/I59</f>
        <v>#DIV/0!</v>
      </c>
      <c r="V54" s="25" t="e">
        <f>J54/J59</f>
        <v>#DIV/0!</v>
      </c>
      <c r="W54" s="28" t="e">
        <f>K54/K59</f>
        <v>#DIV/0!</v>
      </c>
      <c r="X54" s="25" t="e">
        <f>L54/L59</f>
        <v>#DIV/0!</v>
      </c>
      <c r="Z54" s="1" t="s">
        <v>3</v>
      </c>
      <c r="AA54" s="23" t="e">
        <f>O54/O59</f>
        <v>#DIV/0!</v>
      </c>
      <c r="AB54" s="25" t="e">
        <f>P54/P59</f>
        <v>#DIV/0!</v>
      </c>
      <c r="AC54" s="28" t="e">
        <f>Q54/Q59</f>
        <v>#DIV/0!</v>
      </c>
      <c r="AD54" s="25" t="e">
        <f>R54/R59</f>
        <v>#DIV/0!</v>
      </c>
      <c r="AF54" s="1" t="s">
        <v>3</v>
      </c>
      <c r="AG54" s="86">
        <f t="shared" si="190"/>
        <v>0</v>
      </c>
      <c r="AH54" s="73">
        <f t="shared" si="175"/>
        <v>0</v>
      </c>
      <c r="AI54" s="87">
        <f t="shared" si="176"/>
        <v>0</v>
      </c>
      <c r="AJ54" s="73">
        <f t="shared" si="177"/>
        <v>0</v>
      </c>
      <c r="AL54" s="1" t="s">
        <v>3</v>
      </c>
      <c r="AM54" s="35" t="e">
        <f t="shared" si="191"/>
        <v>#DIV/0!</v>
      </c>
      <c r="AN54" s="32" t="e">
        <f t="shared" si="178"/>
        <v>#DIV/0!</v>
      </c>
      <c r="AO54" s="36" t="e">
        <f t="shared" si="179"/>
        <v>#DIV/0!</v>
      </c>
      <c r="AP54" s="32" t="e">
        <f t="shared" si="180"/>
        <v>#DIV/0!</v>
      </c>
      <c r="AR54" s="1" t="s">
        <v>3</v>
      </c>
      <c r="AS54" s="47">
        <f ca="1">OFFSET(shopping_existing,12,0)</f>
        <v>3.5995973639730958</v>
      </c>
      <c r="AT54" s="48">
        <f ca="1">OFFSET(shopping_existing,13,0)</f>
        <v>0.34346745528911504</v>
      </c>
      <c r="AU54" s="49">
        <f ca="1">OFFSET(shopping_existing,14,0)</f>
        <v>-1.5994644887843372</v>
      </c>
      <c r="AW54" s="1" t="s">
        <v>3</v>
      </c>
      <c r="AX54" s="47" t="e">
        <f t="shared" si="181"/>
        <v>#DIV/0!</v>
      </c>
      <c r="AY54" s="48" t="e">
        <f t="shared" si="182"/>
        <v>#DIV/0!</v>
      </c>
      <c r="AZ54" s="49" t="e">
        <f t="shared" si="183"/>
        <v>#DIV/0!</v>
      </c>
      <c r="BB54" s="1" t="s">
        <v>3</v>
      </c>
      <c r="BC54" s="47" t="e">
        <f ca="1">AS54+AX54-AX51</f>
        <v>#DIV/0!</v>
      </c>
      <c r="BD54" s="48" t="e">
        <f ca="1">AT54+AY54-AY51</f>
        <v>#DIV/0!</v>
      </c>
      <c r="BE54" s="49" t="e">
        <f ca="1">AU54+AZ54-AZ51</f>
        <v>#DIV/0!</v>
      </c>
      <c r="BG54" s="1" t="s">
        <v>3</v>
      </c>
      <c r="BH54" s="61" t="e">
        <f t="shared" si="192"/>
        <v>#DIV/0!</v>
      </c>
      <c r="BI54" s="62" t="e">
        <f t="shared" si="193"/>
        <v>#DIV/0!</v>
      </c>
      <c r="BJ54" s="61" t="e">
        <f t="shared" si="194"/>
        <v>#DIV/0!</v>
      </c>
      <c r="BK54" s="62" t="e">
        <f t="shared" si="195"/>
        <v>#DIV/0!</v>
      </c>
      <c r="BL54" s="61" t="e">
        <f t="shared" si="196"/>
        <v>#DIV/0!</v>
      </c>
      <c r="BM54" s="62" t="e">
        <f t="shared" si="197"/>
        <v>#DIV/0!</v>
      </c>
      <c r="BN54" s="60" t="e">
        <f t="shared" si="198"/>
        <v>#DIV/0!</v>
      </c>
      <c r="BO54" s="62" t="e">
        <f t="shared" si="199"/>
        <v>#DIV/0!</v>
      </c>
    </row>
    <row r="55" spans="1:67" x14ac:dyDescent="0.2">
      <c r="A55" s="90" t="s">
        <v>35</v>
      </c>
      <c r="B55" s="9">
        <f>SUM(targets!O89:O94)</f>
        <v>0</v>
      </c>
      <c r="C55" s="5">
        <f>SUM(targets!P89:P94)</f>
        <v>556.4742234590301</v>
      </c>
      <c r="D55" s="10">
        <f>SUM(targets!Q89:Q94)</f>
        <v>1996.2048305269859</v>
      </c>
      <c r="E55" s="92">
        <f t="shared" si="184"/>
        <v>2552.6790539860158</v>
      </c>
      <c r="F55" s="92"/>
      <c r="G55" s="5"/>
      <c r="H55" s="1" t="s">
        <v>35</v>
      </c>
      <c r="I55" s="9">
        <f t="shared" si="185"/>
        <v>0</v>
      </c>
      <c r="J55" s="5">
        <f t="shared" si="186"/>
        <v>0</v>
      </c>
      <c r="K55" s="10">
        <f t="shared" si="187"/>
        <v>0</v>
      </c>
      <c r="L55" s="5">
        <f t="shared" si="188"/>
        <v>0</v>
      </c>
      <c r="N55" s="1" t="s">
        <v>35</v>
      </c>
      <c r="O55" s="9">
        <f t="array" ref="O55">SUM(IF((modeldata!$I:$I=$N$47)*(modeldata!$H:$H=calibration_simplemodes!$N55),modeldata!D:D,0))</f>
        <v>0</v>
      </c>
      <c r="P55" s="5">
        <f t="array" ref="P55">SUM(IF((modeldata!$I:$I=$N$47)*(modeldata!$H:$H=calibration_simplemodes!$N55),modeldata!E:E,0))</f>
        <v>0</v>
      </c>
      <c r="Q55" s="10">
        <f t="array" ref="Q55">SUM(IF((modeldata!$I:$I=$N$47)*(modeldata!$H:$H=calibration_simplemodes!$N55),modeldata!F:F,0))</f>
        <v>0</v>
      </c>
      <c r="R55" s="5">
        <f t="shared" si="189"/>
        <v>0</v>
      </c>
      <c r="T55" s="1" t="s">
        <v>35</v>
      </c>
      <c r="U55" s="23" t="e">
        <f>I55/I59</f>
        <v>#DIV/0!</v>
      </c>
      <c r="V55" s="25" t="e">
        <f>J55/J59</f>
        <v>#DIV/0!</v>
      </c>
      <c r="W55" s="28" t="e">
        <f>K55/K59</f>
        <v>#DIV/0!</v>
      </c>
      <c r="X55" s="25" t="e">
        <f>L55/L59</f>
        <v>#DIV/0!</v>
      </c>
      <c r="Z55" s="1" t="s">
        <v>35</v>
      </c>
      <c r="AA55" s="23" t="e">
        <f>O55/O59</f>
        <v>#DIV/0!</v>
      </c>
      <c r="AB55" s="25" t="e">
        <f>P55/P59</f>
        <v>#DIV/0!</v>
      </c>
      <c r="AC55" s="28" t="e">
        <f>Q55/Q59</f>
        <v>#DIV/0!</v>
      </c>
      <c r="AD55" s="25" t="e">
        <f>R55/R59</f>
        <v>#DIV/0!</v>
      </c>
      <c r="AF55" s="1" t="s">
        <v>35</v>
      </c>
      <c r="AG55" s="86">
        <f t="shared" si="190"/>
        <v>0</v>
      </c>
      <c r="AH55" s="73">
        <f t="shared" si="175"/>
        <v>0</v>
      </c>
      <c r="AI55" s="87">
        <f t="shared" si="176"/>
        <v>0</v>
      </c>
      <c r="AJ55" s="73">
        <f t="shared" si="177"/>
        <v>0</v>
      </c>
      <c r="AL55" s="1" t="s">
        <v>35</v>
      </c>
      <c r="AM55" s="35" t="e">
        <f t="shared" si="191"/>
        <v>#DIV/0!</v>
      </c>
      <c r="AN55" s="32" t="e">
        <f t="shared" si="178"/>
        <v>#DIV/0!</v>
      </c>
      <c r="AO55" s="36" t="e">
        <f t="shared" si="179"/>
        <v>#DIV/0!</v>
      </c>
      <c r="AP55" s="32" t="e">
        <f t="shared" si="180"/>
        <v>#DIV/0!</v>
      </c>
      <c r="AR55" s="1" t="s">
        <v>35</v>
      </c>
      <c r="AS55" s="47">
        <f ca="1">OFFSET(shopping_existing,15,0)</f>
        <v>0</v>
      </c>
      <c r="AT55" s="48">
        <f ca="1">OFFSET(shopping_existing,16,0)</f>
        <v>0.56044160163320422</v>
      </c>
      <c r="AU55" s="49">
        <f ca="1">OFFSET(shopping_existing,17,0)</f>
        <v>-1.9604864025399809</v>
      </c>
      <c r="AW55" s="1" t="s">
        <v>35</v>
      </c>
      <c r="AX55" s="47" t="e">
        <f t="shared" si="181"/>
        <v>#DIV/0!</v>
      </c>
      <c r="AY55" s="48" t="e">
        <f t="shared" si="182"/>
        <v>#DIV/0!</v>
      </c>
      <c r="AZ55" s="49" t="e">
        <f t="shared" si="183"/>
        <v>#DIV/0!</v>
      </c>
      <c r="BB55" s="1" t="s">
        <v>35</v>
      </c>
      <c r="BC55" s="47" t="e">
        <f ca="1">AS55+AX55-AX51</f>
        <v>#DIV/0!</v>
      </c>
      <c r="BD55" s="48" t="e">
        <f ca="1">AT55+AY55-AY51</f>
        <v>#DIV/0!</v>
      </c>
      <c r="BE55" s="49" t="e">
        <f ca="1">AU55+AZ55-AZ51</f>
        <v>#DIV/0!</v>
      </c>
      <c r="BG55" s="1" t="s">
        <v>35</v>
      </c>
      <c r="BH55" s="61" t="e">
        <f t="shared" si="192"/>
        <v>#DIV/0!</v>
      </c>
      <c r="BI55" s="62" t="e">
        <f t="shared" si="193"/>
        <v>#DIV/0!</v>
      </c>
      <c r="BJ55" s="61" t="e">
        <f t="shared" si="194"/>
        <v>#DIV/0!</v>
      </c>
      <c r="BK55" s="62" t="e">
        <f t="shared" si="195"/>
        <v>#DIV/0!</v>
      </c>
      <c r="BL55" s="61" t="e">
        <f t="shared" si="196"/>
        <v>#DIV/0!</v>
      </c>
      <c r="BM55" s="62" t="e">
        <f t="shared" si="197"/>
        <v>#DIV/0!</v>
      </c>
      <c r="BN55" s="60" t="e">
        <f t="shared" si="198"/>
        <v>#DIV/0!</v>
      </c>
      <c r="BO55" s="62" t="e">
        <f t="shared" si="199"/>
        <v>#DIV/0!</v>
      </c>
    </row>
    <row r="56" spans="1:67" x14ac:dyDescent="0.2">
      <c r="A56" s="1" t="s">
        <v>36</v>
      </c>
      <c r="B56" s="221">
        <f>targets!O95</f>
        <v>364.48025120884915</v>
      </c>
      <c r="C56" s="240">
        <f>targets!P95</f>
        <v>0</v>
      </c>
      <c r="D56" s="222">
        <f>targets!Q95</f>
        <v>380.5165200099616</v>
      </c>
      <c r="E56" s="5">
        <f t="shared" si="184"/>
        <v>744.99677121881075</v>
      </c>
      <c r="F56" s="5"/>
      <c r="G56" s="5"/>
      <c r="H56" s="1" t="s">
        <v>36</v>
      </c>
      <c r="I56" s="9">
        <f t="shared" si="185"/>
        <v>0</v>
      </c>
      <c r="J56" s="5">
        <f t="shared" si="186"/>
        <v>0</v>
      </c>
      <c r="K56" s="10">
        <f t="shared" si="187"/>
        <v>0</v>
      </c>
      <c r="L56" s="5">
        <f t="shared" si="188"/>
        <v>0</v>
      </c>
      <c r="N56" s="1" t="s">
        <v>36</v>
      </c>
      <c r="O56" s="9">
        <f t="array" ref="O56">SUM(IF((modeldata!$I:$I=$N$47)*(modeldata!$H:$H=calibration_simplemodes!$N56),modeldata!D:D,0))</f>
        <v>0</v>
      </c>
      <c r="P56" s="5">
        <f t="array" ref="P56">SUM(IF((modeldata!$I:$I=$N$47)*(modeldata!$H:$H=calibration_simplemodes!$N56),modeldata!E:E,0))</f>
        <v>0</v>
      </c>
      <c r="Q56" s="10">
        <f t="array" ref="Q56">SUM(IF((modeldata!$I:$I=$N$47)*(modeldata!$H:$H=calibration_simplemodes!$N56),modeldata!F:F,0))</f>
        <v>0</v>
      </c>
      <c r="R56" s="5">
        <f t="shared" si="189"/>
        <v>0</v>
      </c>
      <c r="T56" s="1" t="s">
        <v>36</v>
      </c>
      <c r="U56" s="23" t="e">
        <f>I56/I59</f>
        <v>#DIV/0!</v>
      </c>
      <c r="V56" s="25" t="e">
        <f>J56/J59</f>
        <v>#DIV/0!</v>
      </c>
      <c r="W56" s="28" t="e">
        <f>K56/K59</f>
        <v>#DIV/0!</v>
      </c>
      <c r="X56" s="25" t="e">
        <f>L56/L59</f>
        <v>#DIV/0!</v>
      </c>
      <c r="Z56" s="1" t="s">
        <v>36</v>
      </c>
      <c r="AA56" s="23" t="e">
        <f>O56/O59</f>
        <v>#DIV/0!</v>
      </c>
      <c r="AB56" s="25" t="e">
        <f>P56/P59</f>
        <v>#DIV/0!</v>
      </c>
      <c r="AC56" s="28" t="e">
        <f>Q56/Q59</f>
        <v>#DIV/0!</v>
      </c>
      <c r="AD56" s="25" t="e">
        <f>R56/R59</f>
        <v>#DIV/0!</v>
      </c>
      <c r="AF56" s="1" t="s">
        <v>36</v>
      </c>
      <c r="AG56" s="86">
        <f t="shared" si="190"/>
        <v>0</v>
      </c>
      <c r="AH56" s="73">
        <f t="shared" si="175"/>
        <v>0</v>
      </c>
      <c r="AI56" s="87">
        <f t="shared" si="176"/>
        <v>0</v>
      </c>
      <c r="AJ56" s="73">
        <f t="shared" si="177"/>
        <v>0</v>
      </c>
      <c r="AL56" s="1" t="s">
        <v>36</v>
      </c>
      <c r="AM56" s="35" t="e">
        <f t="shared" si="191"/>
        <v>#DIV/0!</v>
      </c>
      <c r="AN56" s="32" t="e">
        <f t="shared" si="178"/>
        <v>#DIV/0!</v>
      </c>
      <c r="AO56" s="36" t="e">
        <f t="shared" si="179"/>
        <v>#DIV/0!</v>
      </c>
      <c r="AP56" s="32" t="e">
        <f t="shared" si="180"/>
        <v>#DIV/0!</v>
      </c>
      <c r="AR56" s="1" t="s">
        <v>36</v>
      </c>
      <c r="AS56" s="47">
        <f ca="1">OFFSET(shopping_existing,18,0)</f>
        <v>2.2138516699775987</v>
      </c>
      <c r="AT56" s="48">
        <f ca="1">OFFSET(shopping_existing,19,0)</f>
        <v>0.89089456505769793</v>
      </c>
      <c r="AU56" s="49">
        <f ca="1">OFFSET(shopping_existing,20,0)</f>
        <v>-1.295389740422666</v>
      </c>
      <c r="AW56" s="1" t="s">
        <v>36</v>
      </c>
      <c r="AX56" s="47" t="e">
        <f t="shared" ref="AX56:AX58" si="200">IF(AND(U56&gt;0, AA56&gt;0),indivmaint_damp*LN(U56/AA56),0)</f>
        <v>#DIV/0!</v>
      </c>
      <c r="AY56" s="48" t="e">
        <f t="shared" ref="AY56:AY58" si="201">IF(AND(V56&gt;0, AB56&gt;0),indivmaint_damp*LN(V56/AB56),0)</f>
        <v>#DIV/0!</v>
      </c>
      <c r="AZ56" s="49" t="e">
        <f t="shared" ref="AZ56:AZ58" si="202">IF(AND(W56&gt;0, AC56&gt;0),indivmaint_damp*LN(W56/AC56),0)</f>
        <v>#DIV/0!</v>
      </c>
      <c r="BB56" s="1" t="s">
        <v>36</v>
      </c>
      <c r="BC56" s="47" t="e">
        <f ca="1">IF(AND(AS56=0,AX56=0),0,AS56+AX56-AX51)</f>
        <v>#DIV/0!</v>
      </c>
      <c r="BD56" s="48" t="e">
        <f t="shared" ref="BD56" ca="1" si="203">IF(AND(AT56=0,AY56=0),0,AT56+AY56-AY51)</f>
        <v>#DIV/0!</v>
      </c>
      <c r="BE56" s="49" t="e">
        <f t="shared" ref="BE56" ca="1" si="204">IF(AND(AU56=0,AZ56=0),0,AU56+AZ56-AZ51)</f>
        <v>#DIV/0!</v>
      </c>
      <c r="BG56" s="1" t="s">
        <v>36</v>
      </c>
      <c r="BH56" s="61" t="e">
        <f t="shared" si="192"/>
        <v>#DIV/0!</v>
      </c>
      <c r="BI56" s="62" t="e">
        <f t="shared" si="193"/>
        <v>#DIV/0!</v>
      </c>
      <c r="BJ56" s="61" t="e">
        <f t="shared" si="194"/>
        <v>#DIV/0!</v>
      </c>
      <c r="BK56" s="62" t="e">
        <f t="shared" si="195"/>
        <v>#DIV/0!</v>
      </c>
      <c r="BL56" s="61" t="e">
        <f t="shared" si="196"/>
        <v>#DIV/0!</v>
      </c>
      <c r="BM56" s="62" t="e">
        <f t="shared" si="197"/>
        <v>#DIV/0!</v>
      </c>
      <c r="BN56" s="60" t="e">
        <f t="shared" si="198"/>
        <v>#DIV/0!</v>
      </c>
      <c r="BO56" s="62" t="e">
        <f t="shared" si="199"/>
        <v>#DIV/0!</v>
      </c>
    </row>
    <row r="57" spans="1:67" x14ac:dyDescent="0.2">
      <c r="A57" s="1" t="s">
        <v>55</v>
      </c>
      <c r="B57" s="221">
        <f>targets!O96</f>
        <v>5859.8830893171798</v>
      </c>
      <c r="C57" s="240">
        <f>targets!P96</f>
        <v>6749.0997714719451</v>
      </c>
      <c r="D57" s="222">
        <f>targets!Q96</f>
        <v>11452.484403427048</v>
      </c>
      <c r="E57" s="5">
        <f t="shared" ref="E57:E58" si="205">SUM(B57:D57)</f>
        <v>24061.467264216175</v>
      </c>
      <c r="F57" s="5"/>
      <c r="G57" s="5"/>
      <c r="H57" s="1" t="s">
        <v>55</v>
      </c>
      <c r="I57" s="9">
        <f t="shared" si="185"/>
        <v>0</v>
      </c>
      <c r="J57" s="5">
        <f t="shared" si="186"/>
        <v>0</v>
      </c>
      <c r="K57" s="10">
        <f t="shared" si="187"/>
        <v>0</v>
      </c>
      <c r="L57" s="5">
        <f t="shared" si="188"/>
        <v>0</v>
      </c>
      <c r="N57" s="1" t="s">
        <v>55</v>
      </c>
      <c r="O57" s="9">
        <f t="array" ref="O57">SUM(IF((modeldata!$I:$I=$N$47)*(modeldata!$H:$H=calibration_simplemodes!$N57),modeldata!D:D,0))</f>
        <v>0</v>
      </c>
      <c r="P57" s="5">
        <f t="array" ref="P57">SUM(IF((modeldata!$I:$I=$N$47)*(modeldata!$H:$H=calibration_simplemodes!$N57),modeldata!E:E,0))</f>
        <v>0</v>
      </c>
      <c r="Q57" s="10">
        <f t="array" ref="Q57">SUM(IF((modeldata!$I:$I=$N$47)*(modeldata!$H:$H=calibration_simplemodes!$N57),modeldata!F:F,0))</f>
        <v>0</v>
      </c>
      <c r="R57" s="5">
        <f t="shared" ref="R57:R58" si="206">SUM(O57:Q57)</f>
        <v>0</v>
      </c>
      <c r="T57" s="1" t="s">
        <v>55</v>
      </c>
      <c r="U57" s="23" t="e">
        <f>I57/I59</f>
        <v>#DIV/0!</v>
      </c>
      <c r="V57" s="25" t="e">
        <f t="shared" ref="V57" si="207">J57/J59</f>
        <v>#DIV/0!</v>
      </c>
      <c r="W57" s="28" t="e">
        <f t="shared" ref="W57" si="208">K57/K59</f>
        <v>#DIV/0!</v>
      </c>
      <c r="X57" s="25" t="e">
        <f t="shared" ref="X57" si="209">L57/L59</f>
        <v>#DIV/0!</v>
      </c>
      <c r="Z57" s="1" t="s">
        <v>55</v>
      </c>
      <c r="AA57" s="23" t="e">
        <f>O57/O59</f>
        <v>#DIV/0!</v>
      </c>
      <c r="AB57" s="25" t="e">
        <f>P57/P59</f>
        <v>#DIV/0!</v>
      </c>
      <c r="AC57" s="28" t="e">
        <f>Q57/Q59</f>
        <v>#DIV/0!</v>
      </c>
      <c r="AD57" s="25" t="e">
        <f>R57/R59</f>
        <v>#DIV/0!</v>
      </c>
      <c r="AF57" s="1" t="s">
        <v>55</v>
      </c>
      <c r="AG57" s="86">
        <f t="shared" si="190"/>
        <v>0</v>
      </c>
      <c r="AH57" s="73">
        <f t="shared" si="175"/>
        <v>0</v>
      </c>
      <c r="AI57" s="87">
        <f t="shared" si="176"/>
        <v>0</v>
      </c>
      <c r="AJ57" s="73">
        <f t="shared" si="177"/>
        <v>0</v>
      </c>
      <c r="AL57" s="1" t="s">
        <v>55</v>
      </c>
      <c r="AM57" s="35" t="e">
        <f t="shared" si="191"/>
        <v>#DIV/0!</v>
      </c>
      <c r="AN57" s="32" t="e">
        <f t="shared" si="178"/>
        <v>#DIV/0!</v>
      </c>
      <c r="AO57" s="36" t="e">
        <f t="shared" si="179"/>
        <v>#DIV/0!</v>
      </c>
      <c r="AP57" s="32" t="e">
        <f t="shared" si="180"/>
        <v>#DIV/0!</v>
      </c>
      <c r="AR57" s="1" t="s">
        <v>55</v>
      </c>
      <c r="AS57" s="47">
        <f ca="1">OFFSET(shopping_existing,21,0)</f>
        <v>2.0037099795157784</v>
      </c>
      <c r="AT57" s="48">
        <f ca="1">OFFSET(shopping_existing,22,0)</f>
        <v>1.3090931315479235</v>
      </c>
      <c r="AU57" s="49">
        <f ca="1">OFFSET(shopping_existing,23,0)</f>
        <v>-0.86041087078342071</v>
      </c>
      <c r="AW57" s="1" t="s">
        <v>55</v>
      </c>
      <c r="AX57" s="47" t="e">
        <f t="shared" si="200"/>
        <v>#DIV/0!</v>
      </c>
      <c r="AY57" s="48" t="e">
        <f t="shared" si="201"/>
        <v>#DIV/0!</v>
      </c>
      <c r="AZ57" s="49" t="e">
        <f t="shared" si="202"/>
        <v>#DIV/0!</v>
      </c>
      <c r="BB57" s="1" t="s">
        <v>55</v>
      </c>
      <c r="BC57" s="47" t="e">
        <f t="shared" ref="BC57:BC58" ca="1" si="210">IF(AND(AS57=0,AX57=0),0,AS57+AX57-AX52)</f>
        <v>#DIV/0!</v>
      </c>
      <c r="BD57" s="48" t="e">
        <f t="shared" ref="BD57:BD58" ca="1" si="211">IF(AND(AT57=0,AY57=0),0,AT57+AY57-AY52)</f>
        <v>#DIV/0!</v>
      </c>
      <c r="BE57" s="49" t="e">
        <f t="shared" ref="BE57:BE58" ca="1" si="212">IF(AND(AU57=0,AZ57=0),0,AU57+AZ57-AZ52)</f>
        <v>#DIV/0!</v>
      </c>
      <c r="BG57" s="1" t="s">
        <v>55</v>
      </c>
      <c r="BH57" s="61" t="e">
        <f t="shared" ref="BH57:BH58" si="213">U57</f>
        <v>#DIV/0!</v>
      </c>
      <c r="BI57" s="62" t="e">
        <f t="shared" ref="BI57:BI58" si="214">AA57</f>
        <v>#DIV/0!</v>
      </c>
      <c r="BJ57" s="61" t="e">
        <f t="shared" ref="BJ57:BJ58" si="215">V57</f>
        <v>#DIV/0!</v>
      </c>
      <c r="BK57" s="62" t="e">
        <f t="shared" ref="BK57:BK58" si="216">AB57</f>
        <v>#DIV/0!</v>
      </c>
      <c r="BL57" s="61" t="e">
        <f t="shared" ref="BL57:BL58" si="217">W57</f>
        <v>#DIV/0!</v>
      </c>
      <c r="BM57" s="62" t="e">
        <f t="shared" ref="BM57:BM58" si="218">AC57</f>
        <v>#DIV/0!</v>
      </c>
      <c r="BN57" s="60" t="e">
        <f t="shared" ref="BN57:BN58" si="219">X57</f>
        <v>#DIV/0!</v>
      </c>
      <c r="BO57" s="62" t="e">
        <f t="shared" ref="BO57:BO58" si="220">AD57</f>
        <v>#DIV/0!</v>
      </c>
    </row>
    <row r="58" spans="1:67" x14ac:dyDescent="0.2">
      <c r="A58" s="1" t="s">
        <v>56</v>
      </c>
      <c r="B58" s="223">
        <f>targets!O97</f>
        <v>19.460105202643724</v>
      </c>
      <c r="C58" s="224">
        <f>targets!P97</f>
        <v>0</v>
      </c>
      <c r="D58" s="225">
        <f>targets!Q97</f>
        <v>158.58798642963697</v>
      </c>
      <c r="E58" s="5">
        <f t="shared" si="205"/>
        <v>178.04809163228069</v>
      </c>
      <c r="F58" s="5"/>
      <c r="G58" s="5"/>
      <c r="H58" s="1" t="s">
        <v>56</v>
      </c>
      <c r="I58" s="11">
        <f t="shared" si="185"/>
        <v>0</v>
      </c>
      <c r="J58" s="12">
        <f t="shared" si="186"/>
        <v>0</v>
      </c>
      <c r="K58" s="13">
        <f t="shared" si="187"/>
        <v>0</v>
      </c>
      <c r="L58" s="5">
        <f t="shared" si="188"/>
        <v>0</v>
      </c>
      <c r="N58" s="1" t="s">
        <v>56</v>
      </c>
      <c r="O58" s="11">
        <f t="array" ref="O58">SUM(IF((modeldata!$I:$I=$N$47)*(modeldata!$H:$H=calibration_simplemodes!$N58),modeldata!D:D,0))</f>
        <v>0</v>
      </c>
      <c r="P58" s="12">
        <f t="array" ref="P58">SUM(IF((modeldata!$I:$I=$N$47)*(modeldata!$H:$H=calibration_simplemodes!$N58),modeldata!E:E,0))</f>
        <v>0</v>
      </c>
      <c r="Q58" s="13">
        <f t="array" ref="Q58">SUM(IF((modeldata!$I:$I=$N$47)*(modeldata!$H:$H=calibration_simplemodes!$N58),modeldata!F:F,0))</f>
        <v>0</v>
      </c>
      <c r="R58" s="5">
        <f t="shared" si="206"/>
        <v>0</v>
      </c>
      <c r="T58" s="1" t="s">
        <v>56</v>
      </c>
      <c r="U58" s="24" t="e">
        <f>I58/I59</f>
        <v>#DIV/0!</v>
      </c>
      <c r="V58" s="29" t="e">
        <f t="shared" ref="V58" si="221">J58/J59</f>
        <v>#DIV/0!</v>
      </c>
      <c r="W58" s="30" t="e">
        <f t="shared" ref="W58" si="222">K58/K59</f>
        <v>#DIV/0!</v>
      </c>
      <c r="X58" s="25" t="e">
        <f t="shared" ref="X58" si="223">L58/L59</f>
        <v>#DIV/0!</v>
      </c>
      <c r="Z58" s="1" t="s">
        <v>56</v>
      </c>
      <c r="AA58" s="24" t="e">
        <f>O58/O59</f>
        <v>#DIV/0!</v>
      </c>
      <c r="AB58" s="29" t="e">
        <f>P58/P59</f>
        <v>#DIV/0!</v>
      </c>
      <c r="AC58" s="30" t="e">
        <f>Q58/Q59</f>
        <v>#DIV/0!</v>
      </c>
      <c r="AD58" s="25" t="e">
        <f>R58/R59</f>
        <v>#DIV/0!</v>
      </c>
      <c r="AF58" s="1" t="s">
        <v>56</v>
      </c>
      <c r="AG58" s="88">
        <f t="shared" si="190"/>
        <v>0</v>
      </c>
      <c r="AH58" s="72">
        <f t="shared" si="175"/>
        <v>0</v>
      </c>
      <c r="AI58" s="89">
        <f t="shared" si="176"/>
        <v>0</v>
      </c>
      <c r="AJ58" s="73">
        <f t="shared" si="177"/>
        <v>0</v>
      </c>
      <c r="AL58" s="1" t="s">
        <v>56</v>
      </c>
      <c r="AM58" s="37" t="e">
        <f t="shared" si="191"/>
        <v>#DIV/0!</v>
      </c>
      <c r="AN58" s="38" t="e">
        <f t="shared" si="178"/>
        <v>#DIV/0!</v>
      </c>
      <c r="AO58" s="39" t="e">
        <f t="shared" si="179"/>
        <v>#DIV/0!</v>
      </c>
      <c r="AP58" s="32" t="e">
        <f t="shared" si="180"/>
        <v>#DIV/0!</v>
      </c>
      <c r="AR58" s="1" t="s">
        <v>56</v>
      </c>
      <c r="AS58" s="50">
        <f ca="1">OFFSET(shopping_existing,24,0)</f>
        <v>1.1517611156113243</v>
      </c>
      <c r="AT58" s="51">
        <f ca="1">OFFSET(shopping_existing,25,0)</f>
        <v>0.3082880035690394</v>
      </c>
      <c r="AU58" s="52">
        <f ca="1">OFFSET(shopping_existing,26,0)</f>
        <v>-1.8404322374992144</v>
      </c>
      <c r="AW58" s="1" t="s">
        <v>56</v>
      </c>
      <c r="AX58" s="50" t="e">
        <f t="shared" si="200"/>
        <v>#DIV/0!</v>
      </c>
      <c r="AY58" s="51" t="e">
        <f t="shared" si="201"/>
        <v>#DIV/0!</v>
      </c>
      <c r="AZ58" s="52" t="e">
        <f t="shared" si="202"/>
        <v>#DIV/0!</v>
      </c>
      <c r="BB58" s="1" t="s">
        <v>56</v>
      </c>
      <c r="BC58" s="50" t="e">
        <f t="shared" ca="1" si="210"/>
        <v>#DIV/0!</v>
      </c>
      <c r="BD58" s="51" t="e">
        <f t="shared" ca="1" si="211"/>
        <v>#DIV/0!</v>
      </c>
      <c r="BE58" s="52" t="e">
        <f t="shared" ca="1" si="212"/>
        <v>#DIV/0!</v>
      </c>
      <c r="BG58" s="1" t="s">
        <v>56</v>
      </c>
      <c r="BH58" s="63" t="e">
        <f t="shared" si="213"/>
        <v>#DIV/0!</v>
      </c>
      <c r="BI58" s="65" t="e">
        <f t="shared" si="214"/>
        <v>#DIV/0!</v>
      </c>
      <c r="BJ58" s="63" t="e">
        <f t="shared" si="215"/>
        <v>#DIV/0!</v>
      </c>
      <c r="BK58" s="65" t="e">
        <f t="shared" si="216"/>
        <v>#DIV/0!</v>
      </c>
      <c r="BL58" s="63" t="e">
        <f t="shared" si="217"/>
        <v>#DIV/0!</v>
      </c>
      <c r="BM58" s="65" t="e">
        <f t="shared" si="218"/>
        <v>#DIV/0!</v>
      </c>
      <c r="BN58" s="64" t="e">
        <f t="shared" si="219"/>
        <v>#DIV/0!</v>
      </c>
      <c r="BO58" s="65" t="e">
        <f t="shared" si="220"/>
        <v>#DIV/0!</v>
      </c>
    </row>
    <row r="59" spans="1:67" x14ac:dyDescent="0.2">
      <c r="A59" s="1" t="s">
        <v>1</v>
      </c>
      <c r="B59" s="5">
        <f>SUM(B49:B58)</f>
        <v>157137.96494058982</v>
      </c>
      <c r="C59" s="5">
        <f>SUM(C49:C58)</f>
        <v>226743.50189513472</v>
      </c>
      <c r="D59" s="5">
        <f>SUM(D49:D58)</f>
        <v>2647281.0541922343</v>
      </c>
      <c r="E59" s="5">
        <f>SUM(B59:D59)</f>
        <v>3031162.521027959</v>
      </c>
      <c r="F59" s="5"/>
      <c r="G59" s="5"/>
      <c r="H59" s="1" t="s">
        <v>1</v>
      </c>
      <c r="I59" s="5">
        <f>SUM(I49:I58)</f>
        <v>0</v>
      </c>
      <c r="J59" s="5">
        <f t="shared" ref="J59" si="224">SUM(J49:J58)</f>
        <v>0</v>
      </c>
      <c r="K59" s="5">
        <f t="shared" ref="K59" si="225">SUM(K49:K58)</f>
        <v>0</v>
      </c>
      <c r="L59" s="5">
        <f>SUM(I59:K59)</f>
        <v>0</v>
      </c>
      <c r="N59" s="1" t="s">
        <v>1</v>
      </c>
      <c r="O59" s="5">
        <f t="array" ref="O59">SUM(IF(modeldata!$I:$I=$N$47,modeldata!D:D,0))</f>
        <v>0</v>
      </c>
      <c r="P59" s="5">
        <f t="array" ref="P59">SUM(IF(modeldata!$I:$I=$N$47,modeldata!E:E,0))</f>
        <v>0</v>
      </c>
      <c r="Q59" s="5">
        <f t="array" ref="Q59">SUM(IF(modeldata!$I:$I=$N$47,modeldata!F:F,0))</f>
        <v>0</v>
      </c>
      <c r="R59" s="5">
        <f t="shared" ref="R59" si="226">SUM(O59:Q59)</f>
        <v>0</v>
      </c>
      <c r="S59" s="5"/>
      <c r="T59" s="1" t="s">
        <v>1</v>
      </c>
      <c r="U59" s="25" t="e">
        <f>SUM(U49:U58)</f>
        <v>#DIV/0!</v>
      </c>
      <c r="V59" s="25" t="e">
        <f t="shared" ref="V59" si="227">SUM(V49:V58)</f>
        <v>#DIV/0!</v>
      </c>
      <c r="W59" s="25" t="e">
        <f t="shared" ref="W59" si="228">SUM(W49:W58)</f>
        <v>#DIV/0!</v>
      </c>
      <c r="X59" s="25" t="e">
        <f t="shared" ref="X59" si="229">SUM(X49:X58)</f>
        <v>#DIV/0!</v>
      </c>
      <c r="Z59" s="1" t="s">
        <v>1</v>
      </c>
      <c r="AA59" s="60" t="e">
        <f>SUM(AA49:AA58)</f>
        <v>#DIV/0!</v>
      </c>
      <c r="AB59" s="60" t="e">
        <f t="shared" ref="AB59" si="230">SUM(AB49:AB58)</f>
        <v>#DIV/0!</v>
      </c>
      <c r="AC59" s="60" t="e">
        <f t="shared" ref="AC59" si="231">SUM(AC49:AC58)</f>
        <v>#DIV/0!</v>
      </c>
      <c r="AD59" s="25" t="e">
        <f>SUM(AD49:AD56)</f>
        <v>#DIV/0!</v>
      </c>
      <c r="AF59" s="1" t="s">
        <v>1</v>
      </c>
      <c r="AG59" s="5">
        <f t="shared" si="190"/>
        <v>0</v>
      </c>
      <c r="AH59" s="5">
        <f t="shared" si="175"/>
        <v>0</v>
      </c>
      <c r="AI59" s="5">
        <f t="shared" si="176"/>
        <v>0</v>
      </c>
      <c r="AJ59" s="73">
        <f t="shared" si="177"/>
        <v>0</v>
      </c>
      <c r="AL59" s="1" t="s">
        <v>1</v>
      </c>
      <c r="AM59" s="32" t="e">
        <f t="shared" si="191"/>
        <v>#DIV/0!</v>
      </c>
      <c r="AN59" s="32" t="e">
        <f t="shared" si="178"/>
        <v>#DIV/0!</v>
      </c>
      <c r="AO59" s="32" t="e">
        <f t="shared" si="179"/>
        <v>#DIV/0!</v>
      </c>
      <c r="AP59" s="32" t="e">
        <f t="shared" si="180"/>
        <v>#DIV/0!</v>
      </c>
      <c r="BG59" s="1" t="s">
        <v>1</v>
      </c>
      <c r="BH59" s="60" t="e">
        <f>SUM(BH49:BH58)</f>
        <v>#DIV/0!</v>
      </c>
      <c r="BI59" s="60" t="e">
        <f t="shared" ref="BI59" si="232">SUM(BI49:BI58)</f>
        <v>#DIV/0!</v>
      </c>
      <c r="BJ59" s="60" t="e">
        <f t="shared" ref="BJ59" si="233">SUM(BJ49:BJ58)</f>
        <v>#DIV/0!</v>
      </c>
      <c r="BK59" s="60" t="e">
        <f t="shared" ref="BK59" si="234">SUM(BK49:BK58)</f>
        <v>#DIV/0!</v>
      </c>
      <c r="BL59" s="60" t="e">
        <f t="shared" ref="BL59" si="235">SUM(BL49:BL58)</f>
        <v>#DIV/0!</v>
      </c>
      <c r="BM59" s="60" t="e">
        <f t="shared" ref="BM59" si="236">SUM(BM49:BM58)</f>
        <v>#DIV/0!</v>
      </c>
      <c r="BN59" s="60" t="e">
        <f t="shared" ref="BN59" si="237">SUM(BN49:BN58)</f>
        <v>#DIV/0!</v>
      </c>
      <c r="BO59" s="60" t="e">
        <f t="shared" ref="BO59" si="238">SUM(BO49:BO58)</f>
        <v>#DIV/0!</v>
      </c>
    </row>
    <row r="62" spans="1:67" s="16" customFormat="1" x14ac:dyDescent="0.2">
      <c r="A62" s="15" t="s">
        <v>42</v>
      </c>
      <c r="H62" s="15" t="s">
        <v>42</v>
      </c>
      <c r="N62" s="15" t="s">
        <v>42</v>
      </c>
      <c r="T62" s="15" t="s">
        <v>42</v>
      </c>
      <c r="Z62" s="15" t="s">
        <v>42</v>
      </c>
      <c r="AG62" s="15" t="s">
        <v>42</v>
      </c>
      <c r="AL62" s="15" t="s">
        <v>42</v>
      </c>
      <c r="AR62" s="15" t="s">
        <v>114</v>
      </c>
      <c r="AW62" s="15" t="s">
        <v>114</v>
      </c>
      <c r="BB62" s="15" t="s">
        <v>114</v>
      </c>
      <c r="BG62" s="15" t="s">
        <v>114</v>
      </c>
      <c r="BH62" s="216" t="s">
        <v>139</v>
      </c>
      <c r="BI62" s="217" t="s">
        <v>140</v>
      </c>
      <c r="BJ62" s="217" t="s">
        <v>139</v>
      </c>
      <c r="BK62" s="217" t="s">
        <v>140</v>
      </c>
      <c r="BL62" s="217" t="s">
        <v>139</v>
      </c>
      <c r="BM62" s="217" t="s">
        <v>140</v>
      </c>
      <c r="BN62" s="217" t="s">
        <v>139</v>
      </c>
      <c r="BO62" s="217" t="s">
        <v>140</v>
      </c>
    </row>
    <row r="63" spans="1:67" ht="38.25" x14ac:dyDescent="0.2">
      <c r="B63" s="14" t="s">
        <v>38</v>
      </c>
      <c r="C63" s="14" t="s">
        <v>37</v>
      </c>
      <c r="D63" s="14" t="s">
        <v>0</v>
      </c>
      <c r="E63" s="17" t="s">
        <v>1</v>
      </c>
      <c r="F63" s="17"/>
      <c r="G63" s="17"/>
      <c r="I63" s="14" t="s">
        <v>38</v>
      </c>
      <c r="J63" s="14" t="s">
        <v>37</v>
      </c>
      <c r="K63" s="14" t="s">
        <v>0</v>
      </c>
      <c r="L63" s="17" t="s">
        <v>1</v>
      </c>
      <c r="O63" s="14" t="s">
        <v>38</v>
      </c>
      <c r="P63" s="14" t="s">
        <v>37</v>
      </c>
      <c r="Q63" s="14" t="s">
        <v>0</v>
      </c>
      <c r="R63" s="17" t="s">
        <v>1</v>
      </c>
      <c r="U63" s="14" t="s">
        <v>38</v>
      </c>
      <c r="V63" s="14" t="s">
        <v>37</v>
      </c>
      <c r="W63" s="14" t="s">
        <v>0</v>
      </c>
      <c r="X63" s="17" t="s">
        <v>1</v>
      </c>
      <c r="AA63" s="14" t="s">
        <v>38</v>
      </c>
      <c r="AB63" s="14" t="s">
        <v>37</v>
      </c>
      <c r="AC63" s="14" t="s">
        <v>0</v>
      </c>
      <c r="AD63" s="17" t="s">
        <v>1</v>
      </c>
      <c r="AG63" s="14" t="s">
        <v>38</v>
      </c>
      <c r="AH63" s="14" t="s">
        <v>37</v>
      </c>
      <c r="AI63" s="14" t="s">
        <v>0</v>
      </c>
      <c r="AJ63" s="17" t="s">
        <v>1</v>
      </c>
      <c r="AM63" s="14" t="s">
        <v>38</v>
      </c>
      <c r="AN63" s="14" t="s">
        <v>37</v>
      </c>
      <c r="AO63" s="14" t="s">
        <v>0</v>
      </c>
      <c r="AP63" s="17" t="s">
        <v>1</v>
      </c>
      <c r="AS63" s="14" t="s">
        <v>38</v>
      </c>
      <c r="AT63" s="14" t="s">
        <v>37</v>
      </c>
      <c r="AU63" s="14" t="s">
        <v>0</v>
      </c>
      <c r="AW63" s="53">
        <v>0</v>
      </c>
      <c r="AX63" s="14" t="s">
        <v>38</v>
      </c>
      <c r="AY63" s="14" t="s">
        <v>37</v>
      </c>
      <c r="AZ63" s="14" t="s">
        <v>0</v>
      </c>
      <c r="BC63" s="14" t="s">
        <v>118</v>
      </c>
      <c r="BD63" s="14" t="s">
        <v>119</v>
      </c>
      <c r="BE63" s="14" t="s">
        <v>0</v>
      </c>
      <c r="BH63" s="218" t="s">
        <v>142</v>
      </c>
      <c r="BI63" s="218" t="s">
        <v>142</v>
      </c>
      <c r="BJ63" s="218" t="s">
        <v>143</v>
      </c>
      <c r="BK63" s="218" t="s">
        <v>143</v>
      </c>
      <c r="BL63" s="218" t="s">
        <v>144</v>
      </c>
      <c r="BM63" s="218" t="s">
        <v>145</v>
      </c>
      <c r="BN63" s="219" t="s">
        <v>141</v>
      </c>
      <c r="BO63" s="219" t="s">
        <v>141</v>
      </c>
    </row>
    <row r="64" spans="1:67" x14ac:dyDescent="0.2">
      <c r="A64" s="1" t="s">
        <v>2</v>
      </c>
      <c r="B64" s="6">
        <f>targets!O105</f>
        <v>131177.63741324679</v>
      </c>
      <c r="C64" s="7">
        <f>targets!P105</f>
        <v>93259.774646855556</v>
      </c>
      <c r="D64" s="8">
        <f>targets!Q105</f>
        <v>693897.32813811605</v>
      </c>
      <c r="E64" s="5">
        <f>SUM(B64:D64)</f>
        <v>918334.74019821838</v>
      </c>
      <c r="F64" s="5"/>
      <c r="G64" s="5"/>
      <c r="H64" s="1" t="s">
        <v>2</v>
      </c>
      <c r="I64" s="6">
        <f>B64*(O$74/(B$74))</f>
        <v>0</v>
      </c>
      <c r="J64" s="7">
        <f t="shared" ref="J64:K64" si="239">C64*(P$74/(C$74))</f>
        <v>0</v>
      </c>
      <c r="K64" s="8">
        <f t="shared" si="239"/>
        <v>0</v>
      </c>
      <c r="L64" s="5">
        <f>SUM(I64:K64)</f>
        <v>0</v>
      </c>
      <c r="N64" s="1" t="s">
        <v>2</v>
      </c>
      <c r="O64" s="6">
        <f t="array" ref="O64">SUM(IF((modeldata!$I:$I=$N$62)*(modeldata!$H:$H=calibration_simplemodes!$N64),modeldata!D:D,0))</f>
        <v>0</v>
      </c>
      <c r="P64" s="7">
        <f t="array" ref="P64">SUM(IF((modeldata!$I:$I=$N$62)*(modeldata!$H:$H=calibration_simplemodes!$N64),modeldata!E:E,0))</f>
        <v>0</v>
      </c>
      <c r="Q64" s="8">
        <f t="array" ref="Q64">SUM(IF((modeldata!$I:$I=$N$62)*(modeldata!$H:$H=calibration_simplemodes!$N64),modeldata!F:F,0))</f>
        <v>0</v>
      </c>
      <c r="R64" s="5">
        <f>SUM(O64:Q64)</f>
        <v>0</v>
      </c>
      <c r="T64" s="1" t="s">
        <v>2</v>
      </c>
      <c r="U64" s="22" t="e">
        <f>I64/I74</f>
        <v>#DIV/0!</v>
      </c>
      <c r="V64" s="26" t="e">
        <f>J64/J74</f>
        <v>#DIV/0!</v>
      </c>
      <c r="W64" s="27" t="e">
        <f>K64/K74</f>
        <v>#DIV/0!</v>
      </c>
      <c r="X64" s="25" t="e">
        <f>L64/L74</f>
        <v>#DIV/0!</v>
      </c>
      <c r="Z64" s="1" t="s">
        <v>2</v>
      </c>
      <c r="AA64" s="22" t="e">
        <f>O64/O74</f>
        <v>#DIV/0!</v>
      </c>
      <c r="AB64" s="26" t="e">
        <f>P64/P74</f>
        <v>#DIV/0!</v>
      </c>
      <c r="AC64" s="27" t="e">
        <f>Q64/Q74</f>
        <v>#DIV/0!</v>
      </c>
      <c r="AD64" s="25" t="e">
        <f>R64/R74</f>
        <v>#DIV/0!</v>
      </c>
      <c r="AF64" s="1" t="s">
        <v>2</v>
      </c>
      <c r="AG64" s="83">
        <f>O64-I64</f>
        <v>0</v>
      </c>
      <c r="AH64" s="84">
        <f t="shared" ref="AH64:AH74" si="240">P64-J64</f>
        <v>0</v>
      </c>
      <c r="AI64" s="85">
        <f t="shared" ref="AI64:AI74" si="241">Q64-K64</f>
        <v>0</v>
      </c>
      <c r="AJ64" s="73">
        <f t="shared" ref="AJ64:AJ74" si="242">R64-L64</f>
        <v>0</v>
      </c>
      <c r="AL64" s="1" t="s">
        <v>2</v>
      </c>
      <c r="AM64" s="31" t="e">
        <f>AA64-U64</f>
        <v>#DIV/0!</v>
      </c>
      <c r="AN64" s="33" t="e">
        <f t="shared" ref="AN64:AN74" si="243">AB64-V64</f>
        <v>#DIV/0!</v>
      </c>
      <c r="AO64" s="34" t="e">
        <f t="shared" ref="AO64:AO74" si="244">AC64-W64</f>
        <v>#DIV/0!</v>
      </c>
      <c r="AP64" s="32" t="e">
        <f t="shared" ref="AP64:AP74" si="245">AD64-X64</f>
        <v>#DIV/0!</v>
      </c>
      <c r="AR64" s="1" t="s">
        <v>2</v>
      </c>
      <c r="AS64" s="44">
        <f ca="1">OFFSET(othdisc_existing,0,0)</f>
        <v>1.9734120957939418</v>
      </c>
      <c r="AT64" s="45">
        <f ca="1">OFFSET(othdisc_existing,1,0)</f>
        <v>3.1770054210318968</v>
      </c>
      <c r="AU64" s="46">
        <f ca="1">OFFSET(othdisc_existing,2,0)</f>
        <v>3.4179843736867594</v>
      </c>
      <c r="AW64" s="1" t="s">
        <v>2</v>
      </c>
      <c r="AX64" s="44" t="e">
        <f t="shared" ref="AX64:AX70" si="246">IF(AND(U64&gt;0, AA64&gt;0),indivdisc_damp*LN(U64/AA64),0)</f>
        <v>#DIV/0!</v>
      </c>
      <c r="AY64" s="45" t="e">
        <f t="shared" ref="AY64:AY70" si="247">IF(AND(V64&gt;0, AB64&gt;0),indivdisc_damp*LN(V64/AB64),0)</f>
        <v>#DIV/0!</v>
      </c>
      <c r="AZ64" s="46" t="e">
        <f t="shared" ref="AZ64:AZ70" si="248">IF(AND(W64&gt;0, AC64&gt;0),indivdisc_damp*LN(W64/AC64),0)</f>
        <v>#DIV/0!</v>
      </c>
      <c r="BB64" s="1" t="s">
        <v>2</v>
      </c>
      <c r="BC64" s="44" t="e">
        <f ca="1">AS64+AX64-AX66</f>
        <v>#DIV/0!</v>
      </c>
      <c r="BD64" s="45" t="e">
        <f ca="1">AT64+AY64-AY66</f>
        <v>#DIV/0!</v>
      </c>
      <c r="BE64" s="46" t="e">
        <f ca="1">AU64+AZ64-AZ66</f>
        <v>#DIV/0!</v>
      </c>
      <c r="BG64" s="1" t="s">
        <v>2</v>
      </c>
      <c r="BH64" s="57" t="e">
        <f>U64</f>
        <v>#DIV/0!</v>
      </c>
      <c r="BI64" s="59" t="e">
        <f>AA64</f>
        <v>#DIV/0!</v>
      </c>
      <c r="BJ64" s="57" t="e">
        <f>V64</f>
        <v>#DIV/0!</v>
      </c>
      <c r="BK64" s="59" t="e">
        <f>AB64</f>
        <v>#DIV/0!</v>
      </c>
      <c r="BL64" s="57" t="e">
        <f>W64</f>
        <v>#DIV/0!</v>
      </c>
      <c r="BM64" s="59" t="e">
        <f>AC64</f>
        <v>#DIV/0!</v>
      </c>
      <c r="BN64" s="58" t="e">
        <f>X64</f>
        <v>#DIV/0!</v>
      </c>
      <c r="BO64" s="59" t="e">
        <f>AD64</f>
        <v>#DIV/0!</v>
      </c>
    </row>
    <row r="65" spans="1:67" x14ac:dyDescent="0.2">
      <c r="A65" s="1" t="s">
        <v>31</v>
      </c>
      <c r="B65" s="9">
        <f>targets!O106</f>
        <v>34074.388507393072</v>
      </c>
      <c r="C65" s="5">
        <f>targets!P106</f>
        <v>6230.7715216048118</v>
      </c>
      <c r="D65" s="10">
        <f>targets!Q106</f>
        <v>41699.306034701418</v>
      </c>
      <c r="E65" s="5">
        <f t="shared" ref="E65:E71" si="249">SUM(B65:D65)</f>
        <v>82004.466063699307</v>
      </c>
      <c r="F65" s="5"/>
      <c r="G65" s="5"/>
      <c r="H65" s="1" t="s">
        <v>31</v>
      </c>
      <c r="I65" s="9">
        <f t="shared" ref="I65:I73" si="250">B65*(O$74/(B$74))</f>
        <v>0</v>
      </c>
      <c r="J65" s="5">
        <f t="shared" ref="J65:J73" si="251">C65*(P$74/(C$74))</f>
        <v>0</v>
      </c>
      <c r="K65" s="10">
        <f t="shared" ref="K65:K73" si="252">D65*(Q$74/(D$74))</f>
        <v>0</v>
      </c>
      <c r="L65" s="5">
        <f t="shared" ref="L65:L73" si="253">SUM(I65:K65)</f>
        <v>0</v>
      </c>
      <c r="N65" s="1" t="s">
        <v>31</v>
      </c>
      <c r="O65" s="9">
        <f t="array" ref="O65">SUM(IF((modeldata!$I:$I=$N$62)*(modeldata!$H:$H=calibration_simplemodes!$N65),modeldata!D:D,0))</f>
        <v>0</v>
      </c>
      <c r="P65" s="5">
        <f t="array" ref="P65">SUM(IF((modeldata!$I:$I=$N$62)*(modeldata!$H:$H=calibration_simplemodes!$N65),modeldata!E:E,0))</f>
        <v>0</v>
      </c>
      <c r="Q65" s="10">
        <f t="array" ref="Q65">SUM(IF((modeldata!$I:$I=$N$62)*(modeldata!$H:$H=calibration_simplemodes!$N65),modeldata!F:F,0))</f>
        <v>0</v>
      </c>
      <c r="R65" s="5">
        <f t="shared" ref="R65:R71" si="254">SUM(O65:Q65)</f>
        <v>0</v>
      </c>
      <c r="T65" s="1" t="s">
        <v>31</v>
      </c>
      <c r="U65" s="23" t="e">
        <f>I65/I74</f>
        <v>#DIV/0!</v>
      </c>
      <c r="V65" s="25" t="e">
        <f>J65/J74</f>
        <v>#DIV/0!</v>
      </c>
      <c r="W65" s="28" t="e">
        <f>K65/K74</f>
        <v>#DIV/0!</v>
      </c>
      <c r="X65" s="25" t="e">
        <f>L65/L74</f>
        <v>#DIV/0!</v>
      </c>
      <c r="Z65" s="1" t="s">
        <v>31</v>
      </c>
      <c r="AA65" s="23" t="e">
        <f>O65/O74</f>
        <v>#DIV/0!</v>
      </c>
      <c r="AB65" s="25" t="e">
        <f>P65/P74</f>
        <v>#DIV/0!</v>
      </c>
      <c r="AC65" s="28" t="e">
        <f>Q65/Q74</f>
        <v>#DIV/0!</v>
      </c>
      <c r="AD65" s="25" t="e">
        <f>R65/R74</f>
        <v>#DIV/0!</v>
      </c>
      <c r="AF65" s="1" t="s">
        <v>31</v>
      </c>
      <c r="AG65" s="86">
        <f t="shared" ref="AG65:AG74" si="255">O65-I65</f>
        <v>0</v>
      </c>
      <c r="AH65" s="73">
        <f t="shared" si="240"/>
        <v>0</v>
      </c>
      <c r="AI65" s="87">
        <f t="shared" si="241"/>
        <v>0</v>
      </c>
      <c r="AJ65" s="73">
        <f t="shared" si="242"/>
        <v>0</v>
      </c>
      <c r="AL65" s="1" t="s">
        <v>31</v>
      </c>
      <c r="AM65" s="35" t="e">
        <f t="shared" ref="AM65:AM74" si="256">AA65-U65</f>
        <v>#DIV/0!</v>
      </c>
      <c r="AN65" s="32" t="e">
        <f t="shared" si="243"/>
        <v>#DIV/0!</v>
      </c>
      <c r="AO65" s="36" t="e">
        <f t="shared" si="244"/>
        <v>#DIV/0!</v>
      </c>
      <c r="AP65" s="32" t="e">
        <f t="shared" si="245"/>
        <v>#DIV/0!</v>
      </c>
      <c r="AR65" s="1" t="s">
        <v>31</v>
      </c>
      <c r="AS65" s="47">
        <f ca="1">OFFSET(othdisc_existing,3,0)</f>
        <v>0.41130004744666782</v>
      </c>
      <c r="AT65" s="48">
        <f ca="1">OFFSET(othdisc_existing,4,0)</f>
        <v>1.2398303317459609</v>
      </c>
      <c r="AU65" s="49">
        <f ca="1">OFFSET(othdisc_existing,5,0)</f>
        <v>0.13631788507929379</v>
      </c>
      <c r="AW65" s="1" t="s">
        <v>31</v>
      </c>
      <c r="AX65" s="47" t="e">
        <f t="shared" si="246"/>
        <v>#DIV/0!</v>
      </c>
      <c r="AY65" s="48" t="e">
        <f t="shared" si="247"/>
        <v>#DIV/0!</v>
      </c>
      <c r="AZ65" s="49" t="e">
        <f t="shared" si="248"/>
        <v>#DIV/0!</v>
      </c>
      <c r="BB65" s="1" t="s">
        <v>31</v>
      </c>
      <c r="BC65" s="47" t="e">
        <f ca="1">AS65+AX65-AX66</f>
        <v>#DIV/0!</v>
      </c>
      <c r="BD65" s="48" t="e">
        <f ca="1">AT65+AY65-AY66</f>
        <v>#DIV/0!</v>
      </c>
      <c r="BE65" s="49" t="e">
        <f ca="1">AU65+AZ65-AZ66</f>
        <v>#DIV/0!</v>
      </c>
      <c r="BG65" s="1" t="s">
        <v>31</v>
      </c>
      <c r="BH65" s="61" t="e">
        <f t="shared" ref="BH65:BH71" si="257">U65</f>
        <v>#DIV/0!</v>
      </c>
      <c r="BI65" s="62" t="e">
        <f t="shared" ref="BI65:BI71" si="258">AA65</f>
        <v>#DIV/0!</v>
      </c>
      <c r="BJ65" s="61" t="e">
        <f t="shared" ref="BJ65:BJ71" si="259">V65</f>
        <v>#DIV/0!</v>
      </c>
      <c r="BK65" s="62" t="e">
        <f t="shared" ref="BK65:BK71" si="260">AB65</f>
        <v>#DIV/0!</v>
      </c>
      <c r="BL65" s="61" t="e">
        <f t="shared" ref="BL65:BL71" si="261">W65</f>
        <v>#DIV/0!</v>
      </c>
      <c r="BM65" s="62" t="e">
        <f t="shared" ref="BM65:BM71" si="262">AC65</f>
        <v>#DIV/0!</v>
      </c>
      <c r="BN65" s="60" t="e">
        <f t="shared" ref="BN65:BN71" si="263">X65</f>
        <v>#DIV/0!</v>
      </c>
      <c r="BO65" s="62" t="e">
        <f t="shared" ref="BO65:BO71" si="264">AD65</f>
        <v>#DIV/0!</v>
      </c>
    </row>
    <row r="66" spans="1:67" x14ac:dyDescent="0.2">
      <c r="A66" s="1" t="s">
        <v>32</v>
      </c>
      <c r="B66" s="9">
        <f>targets!O102</f>
        <v>0</v>
      </c>
      <c r="C66" s="5">
        <f>targets!P102</f>
        <v>33444.620132591335</v>
      </c>
      <c r="D66" s="10">
        <f>targets!Q102</f>
        <v>701340.9635934236</v>
      </c>
      <c r="E66" s="5">
        <f t="shared" si="249"/>
        <v>734785.58372601494</v>
      </c>
      <c r="F66" s="5"/>
      <c r="G66" s="5"/>
      <c r="H66" s="1" t="s">
        <v>32</v>
      </c>
      <c r="I66" s="9">
        <f t="shared" si="250"/>
        <v>0</v>
      </c>
      <c r="J66" s="5">
        <f t="shared" si="251"/>
        <v>0</v>
      </c>
      <c r="K66" s="10">
        <f t="shared" si="252"/>
        <v>0</v>
      </c>
      <c r="L66" s="5">
        <f t="shared" si="253"/>
        <v>0</v>
      </c>
      <c r="N66" s="1" t="s">
        <v>32</v>
      </c>
      <c r="O66" s="9">
        <f t="array" ref="O66">SUM(IF((modeldata!$I:$I=$N$62)*(modeldata!$H:$H=calibration_simplemodes!$N66),modeldata!D:D,0))</f>
        <v>0</v>
      </c>
      <c r="P66" s="5">
        <f t="array" ref="P66">SUM(IF((modeldata!$I:$I=$N$62)*(modeldata!$H:$H=calibration_simplemodes!$N66),modeldata!E:E,0))</f>
        <v>0</v>
      </c>
      <c r="Q66" s="10">
        <f t="array" ref="Q66">SUM(IF((modeldata!$I:$I=$N$62)*(modeldata!$H:$H=calibration_simplemodes!$N66),modeldata!F:F,0))</f>
        <v>0</v>
      </c>
      <c r="R66" s="5">
        <f t="shared" si="254"/>
        <v>0</v>
      </c>
      <c r="T66" s="1" t="s">
        <v>32</v>
      </c>
      <c r="U66" s="23" t="e">
        <f>I66/I74</f>
        <v>#DIV/0!</v>
      </c>
      <c r="V66" s="25" t="e">
        <f>J66/J74</f>
        <v>#DIV/0!</v>
      </c>
      <c r="W66" s="28" t="e">
        <f>K66/K74</f>
        <v>#DIV/0!</v>
      </c>
      <c r="X66" s="25" t="e">
        <f>L66/L74</f>
        <v>#DIV/0!</v>
      </c>
      <c r="Z66" s="1" t="s">
        <v>32</v>
      </c>
      <c r="AA66" s="23" t="e">
        <f>O66/O74</f>
        <v>#DIV/0!</v>
      </c>
      <c r="AB66" s="25" t="e">
        <f>P66/P74</f>
        <v>#DIV/0!</v>
      </c>
      <c r="AC66" s="28" t="e">
        <f>Q66/Q74</f>
        <v>#DIV/0!</v>
      </c>
      <c r="AD66" s="25" t="e">
        <f>R66/R74</f>
        <v>#DIV/0!</v>
      </c>
      <c r="AF66" s="1" t="s">
        <v>32</v>
      </c>
      <c r="AG66" s="86">
        <f t="shared" si="255"/>
        <v>0</v>
      </c>
      <c r="AH66" s="73">
        <f t="shared" si="240"/>
        <v>0</v>
      </c>
      <c r="AI66" s="87">
        <f t="shared" si="241"/>
        <v>0</v>
      </c>
      <c r="AJ66" s="73">
        <f t="shared" si="242"/>
        <v>0</v>
      </c>
      <c r="AL66" s="1" t="s">
        <v>32</v>
      </c>
      <c r="AM66" s="35" t="e">
        <f t="shared" si="256"/>
        <v>#DIV/0!</v>
      </c>
      <c r="AN66" s="32" t="e">
        <f t="shared" si="243"/>
        <v>#DIV/0!</v>
      </c>
      <c r="AO66" s="36" t="e">
        <f t="shared" si="244"/>
        <v>#DIV/0!</v>
      </c>
      <c r="AP66" s="32" t="e">
        <f t="shared" si="245"/>
        <v>#DIV/0!</v>
      </c>
      <c r="AR66" s="1" t="s">
        <v>32</v>
      </c>
      <c r="AS66" s="47">
        <v>0</v>
      </c>
      <c r="AT66" s="48">
        <v>0</v>
      </c>
      <c r="AU66" s="49">
        <v>0</v>
      </c>
      <c r="AW66" s="1" t="s">
        <v>32</v>
      </c>
      <c r="AX66" s="47" t="e">
        <f t="shared" si="246"/>
        <v>#DIV/0!</v>
      </c>
      <c r="AY66" s="48" t="e">
        <f t="shared" si="247"/>
        <v>#DIV/0!</v>
      </c>
      <c r="AZ66" s="49" t="e">
        <f t="shared" si="248"/>
        <v>#DIV/0!</v>
      </c>
      <c r="BB66" s="1" t="s">
        <v>32</v>
      </c>
      <c r="BC66" s="47" t="e">
        <f>AS66+AX66-AX66</f>
        <v>#DIV/0!</v>
      </c>
      <c r="BD66" s="48" t="e">
        <f>AT66+AY66-AY66</f>
        <v>#DIV/0!</v>
      </c>
      <c r="BE66" s="49" t="e">
        <f>AU66+AZ66-AZ66</f>
        <v>#DIV/0!</v>
      </c>
      <c r="BG66" s="1" t="s">
        <v>32</v>
      </c>
      <c r="BH66" s="61" t="e">
        <f t="shared" si="257"/>
        <v>#DIV/0!</v>
      </c>
      <c r="BI66" s="62" t="e">
        <f t="shared" si="258"/>
        <v>#DIV/0!</v>
      </c>
      <c r="BJ66" s="61" t="e">
        <f t="shared" si="259"/>
        <v>#DIV/0!</v>
      </c>
      <c r="BK66" s="62" t="e">
        <f t="shared" si="260"/>
        <v>#DIV/0!</v>
      </c>
      <c r="BL66" s="61" t="e">
        <f t="shared" si="261"/>
        <v>#DIV/0!</v>
      </c>
      <c r="BM66" s="62" t="e">
        <f t="shared" si="262"/>
        <v>#DIV/0!</v>
      </c>
      <c r="BN66" s="60" t="e">
        <f t="shared" si="263"/>
        <v>#DIV/0!</v>
      </c>
      <c r="BO66" s="62" t="e">
        <f t="shared" si="264"/>
        <v>#DIV/0!</v>
      </c>
    </row>
    <row r="67" spans="1:67" x14ac:dyDescent="0.2">
      <c r="A67" s="1" t="s">
        <v>33</v>
      </c>
      <c r="B67" s="9">
        <f>targets!O103</f>
        <v>10130.904868215201</v>
      </c>
      <c r="C67" s="5">
        <f>targets!P103</f>
        <v>26724.48093009874</v>
      </c>
      <c r="D67" s="10">
        <f>targets!Q103</f>
        <v>432521.98673234583</v>
      </c>
      <c r="E67" s="5">
        <f t="shared" si="249"/>
        <v>469377.37253065978</v>
      </c>
      <c r="F67" s="5"/>
      <c r="G67" s="5"/>
      <c r="H67" s="1" t="s">
        <v>33</v>
      </c>
      <c r="I67" s="9">
        <f t="shared" si="250"/>
        <v>0</v>
      </c>
      <c r="J67" s="5">
        <f t="shared" si="251"/>
        <v>0</v>
      </c>
      <c r="K67" s="10">
        <f t="shared" si="252"/>
        <v>0</v>
      </c>
      <c r="L67" s="5">
        <f t="shared" si="253"/>
        <v>0</v>
      </c>
      <c r="N67" s="1" t="s">
        <v>33</v>
      </c>
      <c r="O67" s="9">
        <f t="array" ref="O67">SUM(IF((modeldata!$I:$I=$N$62)*(modeldata!$H:$H=calibration_simplemodes!$N67),modeldata!D:D,0))</f>
        <v>0</v>
      </c>
      <c r="P67" s="5">
        <f t="array" ref="P67">SUM(IF((modeldata!$I:$I=$N$62)*(modeldata!$H:$H=calibration_simplemodes!$N67),modeldata!E:E,0))</f>
        <v>0</v>
      </c>
      <c r="Q67" s="10">
        <f t="array" ref="Q67">SUM(IF((modeldata!$I:$I=$N$62)*(modeldata!$H:$H=calibration_simplemodes!$N67),modeldata!F:F,0))</f>
        <v>0</v>
      </c>
      <c r="R67" s="5">
        <f t="shared" si="254"/>
        <v>0</v>
      </c>
      <c r="T67" s="1" t="s">
        <v>33</v>
      </c>
      <c r="U67" s="23" t="e">
        <f>I67/I74</f>
        <v>#DIV/0!</v>
      </c>
      <c r="V67" s="25" t="e">
        <f>J67/J74</f>
        <v>#DIV/0!</v>
      </c>
      <c r="W67" s="28" t="e">
        <f>K67/K74</f>
        <v>#DIV/0!</v>
      </c>
      <c r="X67" s="25" t="e">
        <f>L67/L74</f>
        <v>#DIV/0!</v>
      </c>
      <c r="Z67" s="1" t="s">
        <v>33</v>
      </c>
      <c r="AA67" s="23" t="e">
        <f>O67/O74</f>
        <v>#DIV/0!</v>
      </c>
      <c r="AB67" s="25" t="e">
        <f>P67/P74</f>
        <v>#DIV/0!</v>
      </c>
      <c r="AC67" s="28" t="e">
        <f>Q67/Q74</f>
        <v>#DIV/0!</v>
      </c>
      <c r="AD67" s="25" t="e">
        <f>R67/R74</f>
        <v>#DIV/0!</v>
      </c>
      <c r="AF67" s="1" t="s">
        <v>33</v>
      </c>
      <c r="AG67" s="86">
        <f t="shared" si="255"/>
        <v>0</v>
      </c>
      <c r="AH67" s="73">
        <f t="shared" si="240"/>
        <v>0</v>
      </c>
      <c r="AI67" s="87">
        <f t="shared" si="241"/>
        <v>0</v>
      </c>
      <c r="AJ67" s="73">
        <f t="shared" si="242"/>
        <v>0</v>
      </c>
      <c r="AL67" s="1" t="s">
        <v>33</v>
      </c>
      <c r="AM67" s="35" t="e">
        <f t="shared" si="256"/>
        <v>#DIV/0!</v>
      </c>
      <c r="AN67" s="32" t="e">
        <f t="shared" si="243"/>
        <v>#DIV/0!</v>
      </c>
      <c r="AO67" s="36" t="e">
        <f t="shared" si="244"/>
        <v>#DIV/0!</v>
      </c>
      <c r="AP67" s="32" t="e">
        <f t="shared" si="245"/>
        <v>#DIV/0!</v>
      </c>
      <c r="AR67" s="1" t="s">
        <v>33</v>
      </c>
      <c r="AS67" s="47">
        <f ca="1">OFFSET(othdisc_existing,6,0)</f>
        <v>0.75729595706682873</v>
      </c>
      <c r="AT67" s="48">
        <f ca="1">OFFSET(othdisc_existing,7,0)</f>
        <v>0.11008789959488734</v>
      </c>
      <c r="AU67" s="49">
        <f ca="1">OFFSET(othdisc_existing,8,0)</f>
        <v>0.42293691678523676</v>
      </c>
      <c r="AW67" s="1" t="s">
        <v>33</v>
      </c>
      <c r="AX67" s="47" t="e">
        <f t="shared" si="246"/>
        <v>#DIV/0!</v>
      </c>
      <c r="AY67" s="48" t="e">
        <f t="shared" si="247"/>
        <v>#DIV/0!</v>
      </c>
      <c r="AZ67" s="49" t="e">
        <f t="shared" si="248"/>
        <v>#DIV/0!</v>
      </c>
      <c r="BB67" s="1" t="s">
        <v>120</v>
      </c>
      <c r="BC67" s="47" t="e">
        <f ca="1">AS67+AX67-AX66</f>
        <v>#DIV/0!</v>
      </c>
      <c r="BD67" s="48" t="e">
        <f ca="1">AT67+AY67-AY66</f>
        <v>#DIV/0!</v>
      </c>
      <c r="BE67" s="49" t="e">
        <f ca="1">AU67+AZ67-AZ66</f>
        <v>#DIV/0!</v>
      </c>
      <c r="BG67" s="1" t="s">
        <v>120</v>
      </c>
      <c r="BH67" s="61" t="e">
        <f t="shared" si="257"/>
        <v>#DIV/0!</v>
      </c>
      <c r="BI67" s="62" t="e">
        <f t="shared" si="258"/>
        <v>#DIV/0!</v>
      </c>
      <c r="BJ67" s="61" t="e">
        <f t="shared" si="259"/>
        <v>#DIV/0!</v>
      </c>
      <c r="BK67" s="62" t="e">
        <f t="shared" si="260"/>
        <v>#DIV/0!</v>
      </c>
      <c r="BL67" s="61" t="e">
        <f t="shared" si="261"/>
        <v>#DIV/0!</v>
      </c>
      <c r="BM67" s="62" t="e">
        <f t="shared" si="262"/>
        <v>#DIV/0!</v>
      </c>
      <c r="BN67" s="60" t="e">
        <f t="shared" si="263"/>
        <v>#DIV/0!</v>
      </c>
      <c r="BO67" s="62" t="e">
        <f t="shared" si="264"/>
        <v>#DIV/0!</v>
      </c>
    </row>
    <row r="68" spans="1:67" x14ac:dyDescent="0.2">
      <c r="A68" s="1" t="s">
        <v>34</v>
      </c>
      <c r="B68" s="9">
        <f>targets!O104</f>
        <v>2552.4320472831055</v>
      </c>
      <c r="C68" s="5">
        <f>targets!P104</f>
        <v>18558.664343463461</v>
      </c>
      <c r="D68" s="10">
        <f>targets!Q104</f>
        <v>250480.83183999587</v>
      </c>
      <c r="E68" s="5">
        <f t="shared" si="249"/>
        <v>271591.92823074246</v>
      </c>
      <c r="F68" s="5"/>
      <c r="G68" s="5"/>
      <c r="H68" s="1" t="s">
        <v>34</v>
      </c>
      <c r="I68" s="9">
        <f t="shared" si="250"/>
        <v>0</v>
      </c>
      <c r="J68" s="5">
        <f t="shared" si="251"/>
        <v>0</v>
      </c>
      <c r="K68" s="10">
        <f t="shared" si="252"/>
        <v>0</v>
      </c>
      <c r="L68" s="5">
        <f t="shared" si="253"/>
        <v>0</v>
      </c>
      <c r="N68" s="1" t="s">
        <v>34</v>
      </c>
      <c r="O68" s="9">
        <f t="array" ref="O68">SUM(IF((modeldata!$I:$I=$N$62)*(modeldata!$H:$H=calibration_simplemodes!$N68),modeldata!D:D,0))</f>
        <v>0</v>
      </c>
      <c r="P68" s="5">
        <f t="array" ref="P68">SUM(IF((modeldata!$I:$I=$N$62)*(modeldata!$H:$H=calibration_simplemodes!$N68),modeldata!E:E,0))</f>
        <v>0</v>
      </c>
      <c r="Q68" s="10">
        <f t="array" ref="Q68">SUM(IF((modeldata!$I:$I=$N$62)*(modeldata!$H:$H=calibration_simplemodes!$N68),modeldata!F:F,0))</f>
        <v>0</v>
      </c>
      <c r="R68" s="5">
        <f t="shared" si="254"/>
        <v>0</v>
      </c>
      <c r="T68" s="1" t="s">
        <v>34</v>
      </c>
      <c r="U68" s="23" t="e">
        <f>I68/I74</f>
        <v>#DIV/0!</v>
      </c>
      <c r="V68" s="25" t="e">
        <f>J68/J74</f>
        <v>#DIV/0!</v>
      </c>
      <c r="W68" s="28" t="e">
        <f>K68/K74</f>
        <v>#DIV/0!</v>
      </c>
      <c r="X68" s="25" t="e">
        <f>L68/L74</f>
        <v>#DIV/0!</v>
      </c>
      <c r="Z68" s="1" t="s">
        <v>34</v>
      </c>
      <c r="AA68" s="23" t="e">
        <f>O68/O74</f>
        <v>#DIV/0!</v>
      </c>
      <c r="AB68" s="25" t="e">
        <f>P68/P74</f>
        <v>#DIV/0!</v>
      </c>
      <c r="AC68" s="28" t="e">
        <f>Q68/Q74</f>
        <v>#DIV/0!</v>
      </c>
      <c r="AD68" s="25" t="e">
        <f>R68/R74</f>
        <v>#DIV/0!</v>
      </c>
      <c r="AF68" s="1" t="s">
        <v>34</v>
      </c>
      <c r="AG68" s="86">
        <f t="shared" si="255"/>
        <v>0</v>
      </c>
      <c r="AH68" s="73">
        <f t="shared" si="240"/>
        <v>0</v>
      </c>
      <c r="AI68" s="87">
        <f t="shared" si="241"/>
        <v>0</v>
      </c>
      <c r="AJ68" s="73">
        <f t="shared" si="242"/>
        <v>0</v>
      </c>
      <c r="AL68" s="1" t="s">
        <v>34</v>
      </c>
      <c r="AM68" s="35" t="e">
        <f t="shared" si="256"/>
        <v>#DIV/0!</v>
      </c>
      <c r="AN68" s="32" t="e">
        <f t="shared" si="243"/>
        <v>#DIV/0!</v>
      </c>
      <c r="AO68" s="36" t="e">
        <f t="shared" si="244"/>
        <v>#DIV/0!</v>
      </c>
      <c r="AP68" s="32" t="e">
        <f t="shared" si="245"/>
        <v>#DIV/0!</v>
      </c>
      <c r="AR68" s="1" t="s">
        <v>34</v>
      </c>
      <c r="AS68" s="47">
        <f ca="1">OFFSET(othdisc_existing,9,0)</f>
        <v>-4.3582849562341947E-3</v>
      </c>
      <c r="AT68" s="48">
        <f ca="1">OFFSET(othdisc_existing,10,0)</f>
        <v>0.24721473192238075</v>
      </c>
      <c r="AU68" s="49">
        <f ca="1">OFFSET(othdisc_existing,11,0)</f>
        <v>0.20738923702841278</v>
      </c>
      <c r="AW68" s="1" t="s">
        <v>34</v>
      </c>
      <c r="AX68" s="47" t="e">
        <f t="shared" si="246"/>
        <v>#DIV/0!</v>
      </c>
      <c r="AY68" s="48" t="e">
        <f t="shared" si="247"/>
        <v>#DIV/0!</v>
      </c>
      <c r="AZ68" s="49" t="e">
        <f t="shared" si="248"/>
        <v>#DIV/0!</v>
      </c>
      <c r="BB68" s="1" t="s">
        <v>121</v>
      </c>
      <c r="BC68" s="47" t="e">
        <f ca="1">AS68+AX68-AX66</f>
        <v>#DIV/0!</v>
      </c>
      <c r="BD68" s="48" t="e">
        <f ca="1">AT68+AY68-AY66</f>
        <v>#DIV/0!</v>
      </c>
      <c r="BE68" s="49" t="e">
        <f ca="1">AU68+AZ68-AZ66</f>
        <v>#DIV/0!</v>
      </c>
      <c r="BG68" s="1" t="s">
        <v>121</v>
      </c>
      <c r="BH68" s="61" t="e">
        <f t="shared" si="257"/>
        <v>#DIV/0!</v>
      </c>
      <c r="BI68" s="62" t="e">
        <f t="shared" si="258"/>
        <v>#DIV/0!</v>
      </c>
      <c r="BJ68" s="61" t="e">
        <f t="shared" si="259"/>
        <v>#DIV/0!</v>
      </c>
      <c r="BK68" s="62" t="e">
        <f t="shared" si="260"/>
        <v>#DIV/0!</v>
      </c>
      <c r="BL68" s="61" t="e">
        <f t="shared" si="261"/>
        <v>#DIV/0!</v>
      </c>
      <c r="BM68" s="62" t="e">
        <f t="shared" si="262"/>
        <v>#DIV/0!</v>
      </c>
      <c r="BN68" s="60" t="e">
        <f t="shared" si="263"/>
        <v>#DIV/0!</v>
      </c>
      <c r="BO68" s="62" t="e">
        <f t="shared" si="264"/>
        <v>#DIV/0!</v>
      </c>
    </row>
    <row r="69" spans="1:67" x14ac:dyDescent="0.2">
      <c r="A69" s="90" t="s">
        <v>3</v>
      </c>
      <c r="B69" s="9">
        <f>SUM(targets!O107:O112)</f>
        <v>43898.700936337707</v>
      </c>
      <c r="C69" s="5">
        <f>SUM(targets!P107:P112)</f>
        <v>12073.715884356732</v>
      </c>
      <c r="D69" s="10">
        <f>SUM(targets!Q107:Q112)</f>
        <v>51979.722757371244</v>
      </c>
      <c r="E69" s="92">
        <f t="shared" si="249"/>
        <v>107952.13957806569</v>
      </c>
      <c r="F69" s="92"/>
      <c r="G69" s="5"/>
      <c r="H69" s="1" t="s">
        <v>3</v>
      </c>
      <c r="I69" s="9">
        <f t="shared" si="250"/>
        <v>0</v>
      </c>
      <c r="J69" s="5">
        <f t="shared" si="251"/>
        <v>0</v>
      </c>
      <c r="K69" s="10">
        <f t="shared" si="252"/>
        <v>0</v>
      </c>
      <c r="L69" s="5">
        <f t="shared" si="253"/>
        <v>0</v>
      </c>
      <c r="N69" s="1" t="s">
        <v>3</v>
      </c>
      <c r="O69" s="9">
        <f t="array" ref="O69">SUM(IF((modeldata!$I:$I=$N$62)*(modeldata!$H:$H=calibration_simplemodes!$N69),modeldata!D:D,0))</f>
        <v>0</v>
      </c>
      <c r="P69" s="5">
        <f t="array" ref="P69">SUM(IF((modeldata!$I:$I=$N$62)*(modeldata!$H:$H=calibration_simplemodes!$N69),modeldata!E:E,0))</f>
        <v>0</v>
      </c>
      <c r="Q69" s="10">
        <f t="array" ref="Q69">SUM(IF((modeldata!$I:$I=$N$62)*(modeldata!$H:$H=calibration_simplemodes!$N69),modeldata!F:F,0))</f>
        <v>0</v>
      </c>
      <c r="R69" s="5">
        <f t="shared" si="254"/>
        <v>0</v>
      </c>
      <c r="T69" s="1" t="s">
        <v>3</v>
      </c>
      <c r="U69" s="23" t="e">
        <f>I69/I74</f>
        <v>#DIV/0!</v>
      </c>
      <c r="V69" s="25" t="e">
        <f>J69/J74</f>
        <v>#DIV/0!</v>
      </c>
      <c r="W69" s="28" t="e">
        <f>K69/K74</f>
        <v>#DIV/0!</v>
      </c>
      <c r="X69" s="25" t="e">
        <f>L69/L74</f>
        <v>#DIV/0!</v>
      </c>
      <c r="Z69" s="1" t="s">
        <v>3</v>
      </c>
      <c r="AA69" s="23" t="e">
        <f>O69/O74</f>
        <v>#DIV/0!</v>
      </c>
      <c r="AB69" s="25" t="e">
        <f>P69/P74</f>
        <v>#DIV/0!</v>
      </c>
      <c r="AC69" s="28" t="e">
        <f>Q69/Q74</f>
        <v>#DIV/0!</v>
      </c>
      <c r="AD69" s="25" t="e">
        <f>R69/R74</f>
        <v>#DIV/0!</v>
      </c>
      <c r="AF69" s="1" t="s">
        <v>3</v>
      </c>
      <c r="AG69" s="86">
        <f t="shared" si="255"/>
        <v>0</v>
      </c>
      <c r="AH69" s="73">
        <f t="shared" si="240"/>
        <v>0</v>
      </c>
      <c r="AI69" s="87">
        <f t="shared" si="241"/>
        <v>0</v>
      </c>
      <c r="AJ69" s="73">
        <f t="shared" si="242"/>
        <v>0</v>
      </c>
      <c r="AL69" s="1" t="s">
        <v>3</v>
      </c>
      <c r="AM69" s="35" t="e">
        <f t="shared" si="256"/>
        <v>#DIV/0!</v>
      </c>
      <c r="AN69" s="32" t="e">
        <f t="shared" si="243"/>
        <v>#DIV/0!</v>
      </c>
      <c r="AO69" s="36" t="e">
        <f t="shared" si="244"/>
        <v>#DIV/0!</v>
      </c>
      <c r="AP69" s="32" t="e">
        <f t="shared" si="245"/>
        <v>#DIV/0!</v>
      </c>
      <c r="AR69" s="1" t="s">
        <v>3</v>
      </c>
      <c r="AS69" s="47">
        <f ca="1">OFFSET(othdisc_existing,12,0)</f>
        <v>3.2687951593544211</v>
      </c>
      <c r="AT69" s="48">
        <f ca="1">OFFSET(othdisc_existing,13,0)</f>
        <v>0.76489851264789344</v>
      </c>
      <c r="AU69" s="49">
        <f ca="1">OFFSET(othdisc_existing,14,0)</f>
        <v>-0.78789916201269705</v>
      </c>
      <c r="AW69" s="1" t="s">
        <v>3</v>
      </c>
      <c r="AX69" s="47" t="e">
        <f t="shared" si="246"/>
        <v>#DIV/0!</v>
      </c>
      <c r="AY69" s="48" t="e">
        <f t="shared" si="247"/>
        <v>#DIV/0!</v>
      </c>
      <c r="AZ69" s="49" t="e">
        <f t="shared" si="248"/>
        <v>#DIV/0!</v>
      </c>
      <c r="BB69" s="1" t="s">
        <v>3</v>
      </c>
      <c r="BC69" s="47" t="e">
        <f ca="1">AS69+AX69-AX66</f>
        <v>#DIV/0!</v>
      </c>
      <c r="BD69" s="48" t="e">
        <f ca="1">AT69+AY69-AY66</f>
        <v>#DIV/0!</v>
      </c>
      <c r="BE69" s="49" t="e">
        <f ca="1">AU69+AZ69-AZ66</f>
        <v>#DIV/0!</v>
      </c>
      <c r="BG69" s="1" t="s">
        <v>3</v>
      </c>
      <c r="BH69" s="61" t="e">
        <f t="shared" si="257"/>
        <v>#DIV/0!</v>
      </c>
      <c r="BI69" s="62" t="e">
        <f t="shared" si="258"/>
        <v>#DIV/0!</v>
      </c>
      <c r="BJ69" s="61" t="e">
        <f t="shared" si="259"/>
        <v>#DIV/0!</v>
      </c>
      <c r="BK69" s="62" t="e">
        <f t="shared" si="260"/>
        <v>#DIV/0!</v>
      </c>
      <c r="BL69" s="61" t="e">
        <f t="shared" si="261"/>
        <v>#DIV/0!</v>
      </c>
      <c r="BM69" s="62" t="e">
        <f t="shared" si="262"/>
        <v>#DIV/0!</v>
      </c>
      <c r="BN69" s="60" t="e">
        <f t="shared" si="263"/>
        <v>#DIV/0!</v>
      </c>
      <c r="BO69" s="62" t="e">
        <f t="shared" si="264"/>
        <v>#DIV/0!</v>
      </c>
    </row>
    <row r="70" spans="1:67" x14ac:dyDescent="0.2">
      <c r="A70" s="90" t="s">
        <v>35</v>
      </c>
      <c r="B70" s="9">
        <f>SUM(targets!O113:O118)</f>
        <v>0</v>
      </c>
      <c r="C70" s="5">
        <f>SUM(targets!P113:P118)</f>
        <v>531.79533316055858</v>
      </c>
      <c r="D70" s="10">
        <f>SUM(targets!Q113:Q118)</f>
        <v>7166.4047462539293</v>
      </c>
      <c r="E70" s="92">
        <f t="shared" si="249"/>
        <v>7698.2000794144878</v>
      </c>
      <c r="F70" s="92"/>
      <c r="G70" s="5"/>
      <c r="H70" s="1" t="s">
        <v>35</v>
      </c>
      <c r="I70" s="9">
        <f t="shared" si="250"/>
        <v>0</v>
      </c>
      <c r="J70" s="5">
        <f t="shared" si="251"/>
        <v>0</v>
      </c>
      <c r="K70" s="10">
        <f t="shared" si="252"/>
        <v>0</v>
      </c>
      <c r="L70" s="5">
        <f t="shared" si="253"/>
        <v>0</v>
      </c>
      <c r="N70" s="1" t="s">
        <v>35</v>
      </c>
      <c r="O70" s="9">
        <f t="array" ref="O70">SUM(IF((modeldata!$I:$I=$N$62)*(modeldata!$H:$H=calibration_simplemodes!$N70),modeldata!D:D,0))</f>
        <v>0</v>
      </c>
      <c r="P70" s="5">
        <f t="array" ref="P70">SUM(IF((modeldata!$I:$I=$N$62)*(modeldata!$H:$H=calibration_simplemodes!$N70),modeldata!E:E,0))</f>
        <v>0</v>
      </c>
      <c r="Q70" s="10">
        <f t="array" ref="Q70">SUM(IF((modeldata!$I:$I=$N$62)*(modeldata!$H:$H=calibration_simplemodes!$N70),modeldata!F:F,0))</f>
        <v>0</v>
      </c>
      <c r="R70" s="5">
        <f t="shared" si="254"/>
        <v>0</v>
      </c>
      <c r="T70" s="1" t="s">
        <v>35</v>
      </c>
      <c r="U70" s="23" t="e">
        <f>I70/I74</f>
        <v>#DIV/0!</v>
      </c>
      <c r="V70" s="25" t="e">
        <f>J70/J74</f>
        <v>#DIV/0!</v>
      </c>
      <c r="W70" s="28" t="e">
        <f>K70/K74</f>
        <v>#DIV/0!</v>
      </c>
      <c r="X70" s="25" t="e">
        <f>L70/L74</f>
        <v>#DIV/0!</v>
      </c>
      <c r="Z70" s="1" t="s">
        <v>35</v>
      </c>
      <c r="AA70" s="23" t="e">
        <f>O70/O74</f>
        <v>#DIV/0!</v>
      </c>
      <c r="AB70" s="25" t="e">
        <f>P70/P74</f>
        <v>#DIV/0!</v>
      </c>
      <c r="AC70" s="28" t="e">
        <f>Q70/Q74</f>
        <v>#DIV/0!</v>
      </c>
      <c r="AD70" s="25" t="e">
        <f>R70/R74</f>
        <v>#DIV/0!</v>
      </c>
      <c r="AF70" s="1" t="s">
        <v>35</v>
      </c>
      <c r="AG70" s="86">
        <f t="shared" si="255"/>
        <v>0</v>
      </c>
      <c r="AH70" s="73">
        <f t="shared" si="240"/>
        <v>0</v>
      </c>
      <c r="AI70" s="87">
        <f t="shared" si="241"/>
        <v>0</v>
      </c>
      <c r="AJ70" s="73">
        <f t="shared" si="242"/>
        <v>0</v>
      </c>
      <c r="AL70" s="1" t="s">
        <v>35</v>
      </c>
      <c r="AM70" s="35" t="e">
        <f t="shared" si="256"/>
        <v>#DIV/0!</v>
      </c>
      <c r="AN70" s="32" t="e">
        <f t="shared" si="243"/>
        <v>#DIV/0!</v>
      </c>
      <c r="AO70" s="36" t="e">
        <f t="shared" si="244"/>
        <v>#DIV/0!</v>
      </c>
      <c r="AP70" s="32" t="e">
        <f t="shared" si="245"/>
        <v>#DIV/0!</v>
      </c>
      <c r="AR70" s="1" t="s">
        <v>35</v>
      </c>
      <c r="AS70" s="47">
        <f ca="1">OFFSET(othdisc_existing,15,0)</f>
        <v>0</v>
      </c>
      <c r="AT70" s="48">
        <f ca="1">OFFSET(othdisc_existing,16,0)</f>
        <v>1.5957627284935656</v>
      </c>
      <c r="AU70" s="49">
        <f ca="1">OFFSET(othdisc_existing,17,0)</f>
        <v>-0.73182338816790138</v>
      </c>
      <c r="AW70" s="1" t="s">
        <v>35</v>
      </c>
      <c r="AX70" s="47" t="e">
        <f t="shared" si="246"/>
        <v>#DIV/0!</v>
      </c>
      <c r="AY70" s="48" t="e">
        <f t="shared" si="247"/>
        <v>#DIV/0!</v>
      </c>
      <c r="AZ70" s="49" t="e">
        <f t="shared" si="248"/>
        <v>#DIV/0!</v>
      </c>
      <c r="BB70" s="1" t="s">
        <v>35</v>
      </c>
      <c r="BC70" s="47" t="e">
        <f ca="1">AS70+AX70-AX66</f>
        <v>#DIV/0!</v>
      </c>
      <c r="BD70" s="48" t="e">
        <f ca="1">AT70+AY70-AY66</f>
        <v>#DIV/0!</v>
      </c>
      <c r="BE70" s="49" t="e">
        <f ca="1">AU70+AZ70-AZ66</f>
        <v>#DIV/0!</v>
      </c>
      <c r="BG70" s="1" t="s">
        <v>35</v>
      </c>
      <c r="BH70" s="61" t="e">
        <f t="shared" si="257"/>
        <v>#DIV/0!</v>
      </c>
      <c r="BI70" s="62" t="e">
        <f t="shared" si="258"/>
        <v>#DIV/0!</v>
      </c>
      <c r="BJ70" s="61" t="e">
        <f t="shared" si="259"/>
        <v>#DIV/0!</v>
      </c>
      <c r="BK70" s="62" t="e">
        <f t="shared" si="260"/>
        <v>#DIV/0!</v>
      </c>
      <c r="BL70" s="61" t="e">
        <f t="shared" si="261"/>
        <v>#DIV/0!</v>
      </c>
      <c r="BM70" s="62" t="e">
        <f t="shared" si="262"/>
        <v>#DIV/0!</v>
      </c>
      <c r="BN70" s="60" t="e">
        <f t="shared" si="263"/>
        <v>#DIV/0!</v>
      </c>
      <c r="BO70" s="62" t="e">
        <f t="shared" si="264"/>
        <v>#DIV/0!</v>
      </c>
    </row>
    <row r="71" spans="1:67" x14ac:dyDescent="0.2">
      <c r="A71" s="1" t="s">
        <v>36</v>
      </c>
      <c r="B71" s="221">
        <f>targets!O119</f>
        <v>0</v>
      </c>
      <c r="C71" s="240">
        <f>targets!P119</f>
        <v>823.85052294169554</v>
      </c>
      <c r="D71" s="222">
        <f>targets!Q119</f>
        <v>288.55258996861289</v>
      </c>
      <c r="E71" s="5">
        <f t="shared" si="249"/>
        <v>1112.4031129103084</v>
      </c>
      <c r="F71" s="5"/>
      <c r="G71" s="5"/>
      <c r="H71" s="1" t="s">
        <v>36</v>
      </c>
      <c r="I71" s="9">
        <f t="shared" si="250"/>
        <v>0</v>
      </c>
      <c r="J71" s="5">
        <f t="shared" si="251"/>
        <v>0</v>
      </c>
      <c r="K71" s="10">
        <f t="shared" si="252"/>
        <v>0</v>
      </c>
      <c r="L71" s="5">
        <f t="shared" si="253"/>
        <v>0</v>
      </c>
      <c r="N71" s="1" t="s">
        <v>36</v>
      </c>
      <c r="O71" s="9">
        <f t="array" ref="O71">SUM(IF((modeldata!$I:$I=$N$62)*(modeldata!$H:$H=calibration_simplemodes!$N71),modeldata!D:D,0))</f>
        <v>0</v>
      </c>
      <c r="P71" s="5">
        <f t="array" ref="P71">SUM(IF((modeldata!$I:$I=$N$62)*(modeldata!$H:$H=calibration_simplemodes!$N71),modeldata!E:E,0))</f>
        <v>0</v>
      </c>
      <c r="Q71" s="10">
        <f t="array" ref="Q71">SUM(IF((modeldata!$I:$I=$N$62)*(modeldata!$H:$H=calibration_simplemodes!$N71),modeldata!F:F,0))</f>
        <v>0</v>
      </c>
      <c r="R71" s="5">
        <f t="shared" si="254"/>
        <v>0</v>
      </c>
      <c r="T71" s="1" t="s">
        <v>36</v>
      </c>
      <c r="U71" s="23" t="e">
        <f>I71/I74</f>
        <v>#DIV/0!</v>
      </c>
      <c r="V71" s="25" t="e">
        <f>J71/J74</f>
        <v>#DIV/0!</v>
      </c>
      <c r="W71" s="28" t="e">
        <f>K71/K74</f>
        <v>#DIV/0!</v>
      </c>
      <c r="X71" s="25" t="e">
        <f>L71/L74</f>
        <v>#DIV/0!</v>
      </c>
      <c r="Z71" s="1" t="s">
        <v>36</v>
      </c>
      <c r="AA71" s="23" t="e">
        <f>O71/O74</f>
        <v>#DIV/0!</v>
      </c>
      <c r="AB71" s="25" t="e">
        <f>P71/P74</f>
        <v>#DIV/0!</v>
      </c>
      <c r="AC71" s="28" t="e">
        <f>Q71/Q74</f>
        <v>#DIV/0!</v>
      </c>
      <c r="AD71" s="25" t="e">
        <f>R71/R74</f>
        <v>#DIV/0!</v>
      </c>
      <c r="AF71" s="1" t="s">
        <v>36</v>
      </c>
      <c r="AG71" s="86">
        <f t="shared" si="255"/>
        <v>0</v>
      </c>
      <c r="AH71" s="73">
        <f t="shared" si="240"/>
        <v>0</v>
      </c>
      <c r="AI71" s="87">
        <f t="shared" si="241"/>
        <v>0</v>
      </c>
      <c r="AJ71" s="73">
        <f t="shared" si="242"/>
        <v>0</v>
      </c>
      <c r="AL71" s="1" t="s">
        <v>36</v>
      </c>
      <c r="AM71" s="35" t="e">
        <f t="shared" si="256"/>
        <v>#DIV/0!</v>
      </c>
      <c r="AN71" s="32" t="e">
        <f t="shared" si="243"/>
        <v>#DIV/0!</v>
      </c>
      <c r="AO71" s="36" t="e">
        <f t="shared" si="244"/>
        <v>#DIV/0!</v>
      </c>
      <c r="AP71" s="32" t="e">
        <f t="shared" si="245"/>
        <v>#DIV/0!</v>
      </c>
      <c r="AR71" s="1" t="s">
        <v>36</v>
      </c>
      <c r="AS71" s="47">
        <f ca="1">OFFSET(othdisc_existing,18,0)</f>
        <v>2.4882592478731649</v>
      </c>
      <c r="AT71" s="48">
        <f ca="1">OFFSET(othdisc_existing,19,0)</f>
        <v>-2.6431325169015345</v>
      </c>
      <c r="AU71" s="49">
        <f ca="1">OFFSET(othdisc_existing,20,0)</f>
        <v>-1.8596233885735838</v>
      </c>
      <c r="AW71" s="1" t="s">
        <v>36</v>
      </c>
      <c r="AX71" s="47" t="e">
        <f t="shared" ref="AX71:AX73" si="265">IF(AND(U71&gt;0, AA71&gt;0),indivdisc_damp*LN(U71/AA71),0)</f>
        <v>#DIV/0!</v>
      </c>
      <c r="AY71" s="48" t="e">
        <f t="shared" ref="AY71:AY73" si="266">IF(AND(V71&gt;0, AB71&gt;0),indivdisc_damp*LN(V71/AB71),0)</f>
        <v>#DIV/0!</v>
      </c>
      <c r="AZ71" s="49" t="e">
        <f t="shared" ref="AZ71:AZ73" si="267">IF(AND(W71&gt;0, AC71&gt;0),indivdisc_damp*LN(W71/AC71),0)</f>
        <v>#DIV/0!</v>
      </c>
      <c r="BB71" s="1" t="s">
        <v>36</v>
      </c>
      <c r="BC71" s="47" t="e">
        <f ca="1">IF(AND(AS71=0,AX71=0),0,AS71+AX71-AX66)</f>
        <v>#DIV/0!</v>
      </c>
      <c r="BD71" s="48" t="e">
        <f t="shared" ref="BD71" ca="1" si="268">IF(AND(AT71=0,AY71=0),0,AT71+AY71-AY66)</f>
        <v>#DIV/0!</v>
      </c>
      <c r="BE71" s="49" t="e">
        <f t="shared" ref="BE71" ca="1" si="269">IF(AND(AU71=0,AZ71=0),0,AU71+AZ71-AZ66)</f>
        <v>#DIV/0!</v>
      </c>
      <c r="BG71" s="1" t="s">
        <v>36</v>
      </c>
      <c r="BH71" s="61" t="e">
        <f t="shared" si="257"/>
        <v>#DIV/0!</v>
      </c>
      <c r="BI71" s="62" t="e">
        <f t="shared" si="258"/>
        <v>#DIV/0!</v>
      </c>
      <c r="BJ71" s="61" t="e">
        <f t="shared" si="259"/>
        <v>#DIV/0!</v>
      </c>
      <c r="BK71" s="62" t="e">
        <f t="shared" si="260"/>
        <v>#DIV/0!</v>
      </c>
      <c r="BL71" s="61" t="e">
        <f t="shared" si="261"/>
        <v>#DIV/0!</v>
      </c>
      <c r="BM71" s="62" t="e">
        <f t="shared" si="262"/>
        <v>#DIV/0!</v>
      </c>
      <c r="BN71" s="60" t="e">
        <f t="shared" si="263"/>
        <v>#DIV/0!</v>
      </c>
      <c r="BO71" s="62" t="e">
        <f t="shared" si="264"/>
        <v>#DIV/0!</v>
      </c>
    </row>
    <row r="72" spans="1:67" x14ac:dyDescent="0.2">
      <c r="A72" s="1" t="s">
        <v>55</v>
      </c>
      <c r="B72" s="221">
        <f>targets!O120</f>
        <v>2875.1855718271609</v>
      </c>
      <c r="C72" s="240">
        <f>targets!P120</f>
        <v>648.89823554201155</v>
      </c>
      <c r="D72" s="222">
        <f>targets!Q120</f>
        <v>6727.1449658797992</v>
      </c>
      <c r="E72" s="5">
        <f t="shared" ref="E72:E73" si="270">SUM(B72:D72)</f>
        <v>10251.228773248971</v>
      </c>
      <c r="F72" s="5"/>
      <c r="G72" s="5"/>
      <c r="H72" s="1" t="s">
        <v>55</v>
      </c>
      <c r="I72" s="9">
        <f t="shared" si="250"/>
        <v>0</v>
      </c>
      <c r="J72" s="5">
        <f t="shared" si="251"/>
        <v>0</v>
      </c>
      <c r="K72" s="10">
        <f t="shared" si="252"/>
        <v>0</v>
      </c>
      <c r="L72" s="5">
        <f t="shared" si="253"/>
        <v>0</v>
      </c>
      <c r="N72" s="1" t="s">
        <v>55</v>
      </c>
      <c r="O72" s="9">
        <f t="array" ref="O72">SUM(IF((modeldata!$I:$I=$N$62)*(modeldata!$H:$H=calibration_simplemodes!$N72),modeldata!D:D,0))</f>
        <v>0</v>
      </c>
      <c r="P72" s="5">
        <f t="array" ref="P72">SUM(IF((modeldata!$I:$I=$N$62)*(modeldata!$H:$H=calibration_simplemodes!$N72),modeldata!E:E,0))</f>
        <v>0</v>
      </c>
      <c r="Q72" s="10">
        <f t="array" ref="Q72">SUM(IF((modeldata!$I:$I=$N$62)*(modeldata!$H:$H=calibration_simplemodes!$N72),modeldata!F:F,0))</f>
        <v>0</v>
      </c>
      <c r="R72" s="5">
        <f t="shared" ref="R72:R73" si="271">SUM(O72:Q72)</f>
        <v>0</v>
      </c>
      <c r="T72" s="1" t="s">
        <v>55</v>
      </c>
      <c r="U72" s="23" t="e">
        <f>I72/I74</f>
        <v>#DIV/0!</v>
      </c>
      <c r="V72" s="25" t="e">
        <f t="shared" ref="V72" si="272">J72/J74</f>
        <v>#DIV/0!</v>
      </c>
      <c r="W72" s="28" t="e">
        <f t="shared" ref="W72" si="273">K72/K74</f>
        <v>#DIV/0!</v>
      </c>
      <c r="X72" s="25" t="e">
        <f t="shared" ref="X72" si="274">L72/L74</f>
        <v>#DIV/0!</v>
      </c>
      <c r="Z72" s="1" t="s">
        <v>55</v>
      </c>
      <c r="AA72" s="23" t="e">
        <f>O72/O74</f>
        <v>#DIV/0!</v>
      </c>
      <c r="AB72" s="25" t="e">
        <f>P72/P74</f>
        <v>#DIV/0!</v>
      </c>
      <c r="AC72" s="28" t="e">
        <f>Q72/Q74</f>
        <v>#DIV/0!</v>
      </c>
      <c r="AD72" s="25" t="e">
        <f>R72/R74</f>
        <v>#DIV/0!</v>
      </c>
      <c r="AF72" s="1" t="s">
        <v>55</v>
      </c>
      <c r="AG72" s="86">
        <f t="shared" si="255"/>
        <v>0</v>
      </c>
      <c r="AH72" s="73">
        <f t="shared" si="240"/>
        <v>0</v>
      </c>
      <c r="AI72" s="87">
        <f t="shared" si="241"/>
        <v>0</v>
      </c>
      <c r="AJ72" s="73">
        <f t="shared" si="242"/>
        <v>0</v>
      </c>
      <c r="AL72" s="1" t="s">
        <v>55</v>
      </c>
      <c r="AM72" s="35" t="e">
        <f t="shared" si="256"/>
        <v>#DIV/0!</v>
      </c>
      <c r="AN72" s="32" t="e">
        <f t="shared" si="243"/>
        <v>#DIV/0!</v>
      </c>
      <c r="AO72" s="36" t="e">
        <f t="shared" si="244"/>
        <v>#DIV/0!</v>
      </c>
      <c r="AP72" s="32" t="e">
        <f t="shared" si="245"/>
        <v>#DIV/0!</v>
      </c>
      <c r="AR72" s="1" t="s">
        <v>55</v>
      </c>
      <c r="AS72" s="47">
        <f ca="1">OFFSET(othdisc_existing,21,0)</f>
        <v>2.9150751716764773</v>
      </c>
      <c r="AT72" s="48">
        <f ca="1">OFFSET(othdisc_existing,22,0)</f>
        <v>-1.8227974803759781</v>
      </c>
      <c r="AU72" s="49">
        <f ca="1">OFFSET(othdisc_existing,23,0)</f>
        <v>-1.4651281973364874</v>
      </c>
      <c r="AW72" s="1" t="s">
        <v>55</v>
      </c>
      <c r="AX72" s="47" t="e">
        <f t="shared" si="265"/>
        <v>#DIV/0!</v>
      </c>
      <c r="AY72" s="48" t="e">
        <f t="shared" si="266"/>
        <v>#DIV/0!</v>
      </c>
      <c r="AZ72" s="49" t="e">
        <f t="shared" si="267"/>
        <v>#DIV/0!</v>
      </c>
      <c r="BB72" s="1" t="s">
        <v>55</v>
      </c>
      <c r="BC72" s="47" t="e">
        <f t="shared" ref="BC72:BC73" ca="1" si="275">IF(AND(AS72=0,AX72=0),0,AS72+AX72-AX67)</f>
        <v>#DIV/0!</v>
      </c>
      <c r="BD72" s="48" t="e">
        <f t="shared" ref="BD72:BD73" ca="1" si="276">IF(AND(AT72=0,AY72=0),0,AT72+AY72-AY67)</f>
        <v>#DIV/0!</v>
      </c>
      <c r="BE72" s="49" t="e">
        <f t="shared" ref="BE72:BE73" ca="1" si="277">IF(AND(AU72=0,AZ72=0),0,AU72+AZ72-AZ67)</f>
        <v>#DIV/0!</v>
      </c>
      <c r="BG72" s="1" t="s">
        <v>55</v>
      </c>
      <c r="BH72" s="61" t="e">
        <f t="shared" ref="BH72:BH73" si="278">U72</f>
        <v>#DIV/0!</v>
      </c>
      <c r="BI72" s="62" t="e">
        <f t="shared" ref="BI72:BI73" si="279">AA72</f>
        <v>#DIV/0!</v>
      </c>
      <c r="BJ72" s="61" t="e">
        <f t="shared" ref="BJ72:BJ73" si="280">V72</f>
        <v>#DIV/0!</v>
      </c>
      <c r="BK72" s="62" t="e">
        <f t="shared" ref="BK72:BK73" si="281">AB72</f>
        <v>#DIV/0!</v>
      </c>
      <c r="BL72" s="61" t="e">
        <f t="shared" ref="BL72:BL73" si="282">W72</f>
        <v>#DIV/0!</v>
      </c>
      <c r="BM72" s="62" t="e">
        <f t="shared" ref="BM72:BM73" si="283">AC72</f>
        <v>#DIV/0!</v>
      </c>
      <c r="BN72" s="60" t="e">
        <f t="shared" ref="BN72:BN73" si="284">X72</f>
        <v>#DIV/0!</v>
      </c>
      <c r="BO72" s="62" t="e">
        <f t="shared" ref="BO72:BO73" si="285">AD72</f>
        <v>#DIV/0!</v>
      </c>
    </row>
    <row r="73" spans="1:67" x14ac:dyDescent="0.2">
      <c r="A73" s="1" t="s">
        <v>56</v>
      </c>
      <c r="B73" s="223">
        <f>targets!O121</f>
        <v>133.73836094489994</v>
      </c>
      <c r="C73" s="224">
        <f>targets!P121</f>
        <v>0</v>
      </c>
      <c r="D73" s="225">
        <f>targets!Q121</f>
        <v>989.51717945966811</v>
      </c>
      <c r="E73" s="5">
        <f t="shared" si="270"/>
        <v>1123.2555404045681</v>
      </c>
      <c r="F73" s="5"/>
      <c r="G73" s="5"/>
      <c r="H73" s="1" t="s">
        <v>56</v>
      </c>
      <c r="I73" s="11">
        <f t="shared" si="250"/>
        <v>0</v>
      </c>
      <c r="J73" s="12">
        <f t="shared" si="251"/>
        <v>0</v>
      </c>
      <c r="K73" s="13">
        <f t="shared" si="252"/>
        <v>0</v>
      </c>
      <c r="L73" s="5">
        <f t="shared" si="253"/>
        <v>0</v>
      </c>
      <c r="N73" s="1" t="s">
        <v>56</v>
      </c>
      <c r="O73" s="11">
        <f t="array" ref="O73">SUM(IF((modeldata!$I:$I=$N$62)*(modeldata!$H:$H=calibration_simplemodes!$N73),modeldata!D:D,0))</f>
        <v>0</v>
      </c>
      <c r="P73" s="12">
        <f t="array" ref="P73">SUM(IF((modeldata!$I:$I=$N$62)*(modeldata!$H:$H=calibration_simplemodes!$N73),modeldata!E:E,0))</f>
        <v>0</v>
      </c>
      <c r="Q73" s="13">
        <f t="array" ref="Q73">SUM(IF((modeldata!$I:$I=$N$62)*(modeldata!$H:$H=calibration_simplemodes!$N73),modeldata!F:F,0))</f>
        <v>0</v>
      </c>
      <c r="R73" s="5">
        <f t="shared" si="271"/>
        <v>0</v>
      </c>
      <c r="T73" s="1" t="s">
        <v>56</v>
      </c>
      <c r="U73" s="24" t="e">
        <f>I73/I74</f>
        <v>#DIV/0!</v>
      </c>
      <c r="V73" s="29" t="e">
        <f t="shared" ref="V73" si="286">J73/J74</f>
        <v>#DIV/0!</v>
      </c>
      <c r="W73" s="30" t="e">
        <f t="shared" ref="W73" si="287">K73/K74</f>
        <v>#DIV/0!</v>
      </c>
      <c r="X73" s="25" t="e">
        <f t="shared" ref="X73" si="288">L73/L74</f>
        <v>#DIV/0!</v>
      </c>
      <c r="Z73" s="1" t="s">
        <v>56</v>
      </c>
      <c r="AA73" s="24" t="e">
        <f>O73/O74</f>
        <v>#DIV/0!</v>
      </c>
      <c r="AB73" s="29" t="e">
        <f>P73/P74</f>
        <v>#DIV/0!</v>
      </c>
      <c r="AC73" s="30" t="e">
        <f>Q73/Q74</f>
        <v>#DIV/0!</v>
      </c>
      <c r="AD73" s="25" t="e">
        <f>R73/R74</f>
        <v>#DIV/0!</v>
      </c>
      <c r="AF73" s="1" t="s">
        <v>56</v>
      </c>
      <c r="AG73" s="88">
        <f t="shared" si="255"/>
        <v>0</v>
      </c>
      <c r="AH73" s="72">
        <f t="shared" si="240"/>
        <v>0</v>
      </c>
      <c r="AI73" s="89">
        <f t="shared" si="241"/>
        <v>0</v>
      </c>
      <c r="AJ73" s="73">
        <f t="shared" si="242"/>
        <v>0</v>
      </c>
      <c r="AL73" s="1" t="s">
        <v>56</v>
      </c>
      <c r="AM73" s="37" t="e">
        <f t="shared" si="256"/>
        <v>#DIV/0!</v>
      </c>
      <c r="AN73" s="38" t="e">
        <f t="shared" si="243"/>
        <v>#DIV/0!</v>
      </c>
      <c r="AO73" s="39" t="e">
        <f t="shared" si="244"/>
        <v>#DIV/0!</v>
      </c>
      <c r="AP73" s="32" t="e">
        <f t="shared" si="245"/>
        <v>#DIV/0!</v>
      </c>
      <c r="AR73" s="1" t="s">
        <v>56</v>
      </c>
      <c r="AS73" s="50">
        <f ca="1">OFFSET(othdisc_existing,24,0)</f>
        <v>1.9672374477481704</v>
      </c>
      <c r="AT73" s="51">
        <f ca="1">OFFSET(othdisc_existing,25,0)</f>
        <v>-3.0458146379072693</v>
      </c>
      <c r="AU73" s="52">
        <f ca="1">OFFSET(othdisc_existing,26,0)</f>
        <v>-2.5605178509078965</v>
      </c>
      <c r="AW73" s="1" t="s">
        <v>56</v>
      </c>
      <c r="AX73" s="50" t="e">
        <f t="shared" si="265"/>
        <v>#DIV/0!</v>
      </c>
      <c r="AY73" s="51" t="e">
        <f t="shared" si="266"/>
        <v>#DIV/0!</v>
      </c>
      <c r="AZ73" s="52" t="e">
        <f t="shared" si="267"/>
        <v>#DIV/0!</v>
      </c>
      <c r="BB73" s="1" t="s">
        <v>56</v>
      </c>
      <c r="BC73" s="50" t="e">
        <f t="shared" ca="1" si="275"/>
        <v>#DIV/0!</v>
      </c>
      <c r="BD73" s="51" t="e">
        <f t="shared" ca="1" si="276"/>
        <v>#DIV/0!</v>
      </c>
      <c r="BE73" s="52" t="e">
        <f t="shared" ca="1" si="277"/>
        <v>#DIV/0!</v>
      </c>
      <c r="BG73" s="1" t="s">
        <v>56</v>
      </c>
      <c r="BH73" s="63" t="e">
        <f t="shared" si="278"/>
        <v>#DIV/0!</v>
      </c>
      <c r="BI73" s="65" t="e">
        <f t="shared" si="279"/>
        <v>#DIV/0!</v>
      </c>
      <c r="BJ73" s="63" t="e">
        <f t="shared" si="280"/>
        <v>#DIV/0!</v>
      </c>
      <c r="BK73" s="65" t="e">
        <f t="shared" si="281"/>
        <v>#DIV/0!</v>
      </c>
      <c r="BL73" s="63" t="e">
        <f t="shared" si="282"/>
        <v>#DIV/0!</v>
      </c>
      <c r="BM73" s="65" t="e">
        <f t="shared" si="283"/>
        <v>#DIV/0!</v>
      </c>
      <c r="BN73" s="64" t="e">
        <f t="shared" si="284"/>
        <v>#DIV/0!</v>
      </c>
      <c r="BO73" s="65" t="e">
        <f t="shared" si="285"/>
        <v>#DIV/0!</v>
      </c>
    </row>
    <row r="74" spans="1:67" x14ac:dyDescent="0.2">
      <c r="A74" s="1" t="s">
        <v>1</v>
      </c>
      <c r="B74" s="5">
        <f>SUM(B64:B73)</f>
        <v>224842.98770524794</v>
      </c>
      <c r="C74" s="5">
        <f>SUM(C64:C73)</f>
        <v>192296.5715506149</v>
      </c>
      <c r="D74" s="5">
        <f>SUM(D64:D73)</f>
        <v>2187091.7585775158</v>
      </c>
      <c r="E74" s="5">
        <f>SUM(B74:D74)</f>
        <v>2604231.3178333789</v>
      </c>
      <c r="F74" s="5"/>
      <c r="G74" s="5"/>
      <c r="H74" s="1" t="s">
        <v>1</v>
      </c>
      <c r="I74" s="5">
        <f>SUM(I64:I73)</f>
        <v>0</v>
      </c>
      <c r="J74" s="5">
        <f t="shared" ref="J74" si="289">SUM(J64:J73)</f>
        <v>0</v>
      </c>
      <c r="K74" s="5">
        <f t="shared" ref="K74" si="290">SUM(K64:K73)</f>
        <v>0</v>
      </c>
      <c r="L74" s="5">
        <f>SUM(I74:K74)</f>
        <v>0</v>
      </c>
      <c r="N74" s="1" t="s">
        <v>1</v>
      </c>
      <c r="O74" s="5">
        <f t="array" ref="O74">SUM(IF(modeldata!$I:$I=$N$62,modeldata!D:D,0))</f>
        <v>0</v>
      </c>
      <c r="P74" s="5">
        <f t="array" ref="P74">SUM(IF(modeldata!$I:$I=$N$62,modeldata!E:E,0))</f>
        <v>0</v>
      </c>
      <c r="Q74" s="5">
        <f t="array" ref="Q74">SUM(IF(modeldata!$I:$I=$N$62,modeldata!F:F,0))</f>
        <v>0</v>
      </c>
      <c r="R74" s="5">
        <f t="shared" ref="R74" si="291">SUM(O74:Q74)</f>
        <v>0</v>
      </c>
      <c r="S74" s="5"/>
      <c r="T74" s="1" t="s">
        <v>1</v>
      </c>
      <c r="U74" s="25" t="e">
        <f>SUM(U64:U73)</f>
        <v>#DIV/0!</v>
      </c>
      <c r="V74" s="25" t="e">
        <f t="shared" ref="V74" si="292">SUM(V64:V73)</f>
        <v>#DIV/0!</v>
      </c>
      <c r="W74" s="25" t="e">
        <f t="shared" ref="W74" si="293">SUM(W64:W73)</f>
        <v>#DIV/0!</v>
      </c>
      <c r="X74" s="25" t="e">
        <f t="shared" ref="X74" si="294">SUM(X64:X73)</f>
        <v>#DIV/0!</v>
      </c>
      <c r="Z74" s="1" t="s">
        <v>1</v>
      </c>
      <c r="AA74" s="60" t="e">
        <f>SUM(AA64:AA73)</f>
        <v>#DIV/0!</v>
      </c>
      <c r="AB74" s="60" t="e">
        <f t="shared" ref="AB74" si="295">SUM(AB64:AB73)</f>
        <v>#DIV/0!</v>
      </c>
      <c r="AC74" s="60" t="e">
        <f t="shared" ref="AC74" si="296">SUM(AC64:AC73)</f>
        <v>#DIV/0!</v>
      </c>
      <c r="AD74" s="25" t="e">
        <f>SUM(AD64:AD71)</f>
        <v>#DIV/0!</v>
      </c>
      <c r="AF74" s="1" t="s">
        <v>1</v>
      </c>
      <c r="AG74" s="5">
        <f t="shared" si="255"/>
        <v>0</v>
      </c>
      <c r="AH74" s="5">
        <f t="shared" si="240"/>
        <v>0</v>
      </c>
      <c r="AI74" s="5">
        <f t="shared" si="241"/>
        <v>0</v>
      </c>
      <c r="AJ74" s="73">
        <f t="shared" si="242"/>
        <v>0</v>
      </c>
      <c r="AL74" s="1" t="s">
        <v>1</v>
      </c>
      <c r="AM74" s="32" t="e">
        <f t="shared" si="256"/>
        <v>#DIV/0!</v>
      </c>
      <c r="AN74" s="32" t="e">
        <f t="shared" si="243"/>
        <v>#DIV/0!</v>
      </c>
      <c r="AO74" s="32" t="e">
        <f t="shared" si="244"/>
        <v>#DIV/0!</v>
      </c>
      <c r="AP74" s="32" t="e">
        <f t="shared" si="245"/>
        <v>#DIV/0!</v>
      </c>
      <c r="BG74" s="1" t="s">
        <v>1</v>
      </c>
      <c r="BH74" s="60" t="e">
        <f>SUM(BH64:BH73)</f>
        <v>#DIV/0!</v>
      </c>
      <c r="BI74" s="60" t="e">
        <f t="shared" ref="BI74" si="297">SUM(BI64:BI73)</f>
        <v>#DIV/0!</v>
      </c>
      <c r="BJ74" s="60" t="e">
        <f t="shared" ref="BJ74" si="298">SUM(BJ64:BJ73)</f>
        <v>#DIV/0!</v>
      </c>
      <c r="BK74" s="60" t="e">
        <f t="shared" ref="BK74" si="299">SUM(BK64:BK73)</f>
        <v>#DIV/0!</v>
      </c>
      <c r="BL74" s="60" t="e">
        <f t="shared" ref="BL74" si="300">SUM(BL64:BL73)</f>
        <v>#DIV/0!</v>
      </c>
      <c r="BM74" s="60" t="e">
        <f t="shared" ref="BM74" si="301">SUM(BM64:BM73)</f>
        <v>#DIV/0!</v>
      </c>
      <c r="BN74" s="60" t="e">
        <f t="shared" ref="BN74" si="302">SUM(BN64:BN73)</f>
        <v>#DIV/0!</v>
      </c>
      <c r="BO74" s="60" t="e">
        <f t="shared" ref="BO74" si="303">SUM(BO64:BO73)</f>
        <v>#DIV/0!</v>
      </c>
    </row>
    <row r="77" spans="1:67" s="16" customFormat="1" x14ac:dyDescent="0.2">
      <c r="A77" s="15" t="s">
        <v>43</v>
      </c>
      <c r="H77" s="15" t="s">
        <v>43</v>
      </c>
      <c r="N77" s="15" t="s">
        <v>43</v>
      </c>
      <c r="T77" s="15" t="s">
        <v>43</v>
      </c>
      <c r="Z77" s="15" t="s">
        <v>43</v>
      </c>
      <c r="AF77" s="15" t="s">
        <v>43</v>
      </c>
      <c r="AL77" s="15" t="s">
        <v>43</v>
      </c>
      <c r="AR77" s="15" t="s">
        <v>115</v>
      </c>
      <c r="AW77" s="15" t="s">
        <v>115</v>
      </c>
      <c r="BB77" s="15" t="s">
        <v>115</v>
      </c>
      <c r="BG77" s="15" t="s">
        <v>115</v>
      </c>
      <c r="BH77" s="216" t="s">
        <v>139</v>
      </c>
      <c r="BI77" s="217" t="s">
        <v>140</v>
      </c>
      <c r="BJ77" s="217" t="s">
        <v>139</v>
      </c>
      <c r="BK77" s="217" t="s">
        <v>140</v>
      </c>
      <c r="BL77" s="217" t="s">
        <v>139</v>
      </c>
      <c r="BM77" s="217" t="s">
        <v>140</v>
      </c>
      <c r="BN77" s="217" t="s">
        <v>139</v>
      </c>
      <c r="BO77" s="217" t="s">
        <v>140</v>
      </c>
    </row>
    <row r="78" spans="1:67" ht="38.25" x14ac:dyDescent="0.2">
      <c r="B78" s="14" t="s">
        <v>38</v>
      </c>
      <c r="C78" s="14" t="s">
        <v>37</v>
      </c>
      <c r="D78" s="14" t="s">
        <v>0</v>
      </c>
      <c r="E78" s="17" t="s">
        <v>1</v>
      </c>
      <c r="F78" s="17"/>
      <c r="G78" s="17"/>
      <c r="I78" s="14" t="s">
        <v>38</v>
      </c>
      <c r="J78" s="14" t="s">
        <v>37</v>
      </c>
      <c r="K78" s="14" t="s">
        <v>0</v>
      </c>
      <c r="L78" s="17" t="s">
        <v>1</v>
      </c>
      <c r="O78" s="14" t="s">
        <v>38</v>
      </c>
      <c r="P78" s="14" t="s">
        <v>37</v>
      </c>
      <c r="Q78" s="14" t="s">
        <v>0</v>
      </c>
      <c r="R78" s="17" t="s">
        <v>1</v>
      </c>
      <c r="U78" s="14" t="s">
        <v>38</v>
      </c>
      <c r="V78" s="14" t="s">
        <v>37</v>
      </c>
      <c r="W78" s="14" t="s">
        <v>0</v>
      </c>
      <c r="X78" s="17" t="s">
        <v>1</v>
      </c>
      <c r="AA78" s="14" t="s">
        <v>38</v>
      </c>
      <c r="AB78" s="14" t="s">
        <v>37</v>
      </c>
      <c r="AC78" s="14" t="s">
        <v>0</v>
      </c>
      <c r="AD78" s="17" t="s">
        <v>1</v>
      </c>
      <c r="AG78" s="14" t="s">
        <v>38</v>
      </c>
      <c r="AH78" s="14" t="s">
        <v>37</v>
      </c>
      <c r="AI78" s="14" t="s">
        <v>0</v>
      </c>
      <c r="AJ78" s="17" t="s">
        <v>1</v>
      </c>
      <c r="AM78" s="14" t="s">
        <v>38</v>
      </c>
      <c r="AN78" s="14" t="s">
        <v>37</v>
      </c>
      <c r="AO78" s="14" t="s">
        <v>0</v>
      </c>
      <c r="AP78" s="17" t="s">
        <v>1</v>
      </c>
      <c r="AS78" s="14" t="s">
        <v>38</v>
      </c>
      <c r="AT78" s="14" t="s">
        <v>37</v>
      </c>
      <c r="AU78" s="14" t="s">
        <v>0</v>
      </c>
      <c r="AW78" s="53">
        <v>0</v>
      </c>
      <c r="AX78" s="14" t="s">
        <v>38</v>
      </c>
      <c r="AY78" s="14" t="s">
        <v>37</v>
      </c>
      <c r="AZ78" s="14" t="s">
        <v>0</v>
      </c>
      <c r="BC78" s="14" t="s">
        <v>118</v>
      </c>
      <c r="BD78" s="14" t="s">
        <v>119</v>
      </c>
      <c r="BE78" s="14" t="s">
        <v>0</v>
      </c>
      <c r="BH78" s="218" t="s">
        <v>142</v>
      </c>
      <c r="BI78" s="218" t="s">
        <v>142</v>
      </c>
      <c r="BJ78" s="218" t="s">
        <v>143</v>
      </c>
      <c r="BK78" s="218" t="s">
        <v>143</v>
      </c>
      <c r="BL78" s="218" t="s">
        <v>144</v>
      </c>
      <c r="BM78" s="218" t="s">
        <v>145</v>
      </c>
      <c r="BN78" s="219" t="s">
        <v>141</v>
      </c>
      <c r="BO78" s="219" t="s">
        <v>141</v>
      </c>
    </row>
    <row r="79" spans="1:67" x14ac:dyDescent="0.2">
      <c r="A79" s="1" t="s">
        <v>2</v>
      </c>
      <c r="B79" s="6">
        <f>targets!O129</f>
        <v>25044.400515548634</v>
      </c>
      <c r="C79" s="7">
        <f>targets!P129</f>
        <v>18566.32925813783</v>
      </c>
      <c r="D79" s="8">
        <f>targets!Q129</f>
        <v>74569.525613438687</v>
      </c>
      <c r="E79" s="5">
        <f>SUM(B79:D79)</f>
        <v>118180.25538712516</v>
      </c>
      <c r="F79" s="5"/>
      <c r="G79" s="5"/>
      <c r="H79" s="1" t="s">
        <v>2</v>
      </c>
      <c r="I79" s="6">
        <f>B79*((O$89)/(B$89))</f>
        <v>0</v>
      </c>
      <c r="J79" s="7">
        <f t="shared" ref="J79:K79" si="304">C79*((P$89)/(C$89))</f>
        <v>0</v>
      </c>
      <c r="K79" s="8">
        <f t="shared" si="304"/>
        <v>0</v>
      </c>
      <c r="L79" s="5">
        <f>SUM(I79:K79)</f>
        <v>0</v>
      </c>
      <c r="N79" s="1" t="s">
        <v>2</v>
      </c>
      <c r="O79" s="6">
        <f t="array" ref="O79">SUM(IF((modeldata!$I:$I=$N$77)*(modeldata!$H:$H=calibration_simplemodes!$N79),modeldata!D:D,0))</f>
        <v>0</v>
      </c>
      <c r="P79" s="7">
        <f t="array" ref="P79">SUM(IF((modeldata!$I:$I=$N$77)*(modeldata!$H:$H=calibration_simplemodes!$N79),modeldata!E:E,0))</f>
        <v>0</v>
      </c>
      <c r="Q79" s="8">
        <f t="array" ref="Q79">SUM(IF((modeldata!$I:$I=$N$77)*(modeldata!$H:$H=calibration_simplemodes!$N79),modeldata!F:F,0))</f>
        <v>0</v>
      </c>
      <c r="R79" s="5">
        <f>SUM(O79:Q79)</f>
        <v>0</v>
      </c>
      <c r="T79" s="1" t="s">
        <v>2</v>
      </c>
      <c r="U79" s="22" t="e">
        <f>I79/I89</f>
        <v>#DIV/0!</v>
      </c>
      <c r="V79" s="26" t="e">
        <f>J79/J89</f>
        <v>#DIV/0!</v>
      </c>
      <c r="W79" s="27" t="e">
        <f>K79/K89</f>
        <v>#DIV/0!</v>
      </c>
      <c r="X79" s="25" t="e">
        <f>L79/L89</f>
        <v>#DIV/0!</v>
      </c>
      <c r="Z79" s="1" t="s">
        <v>2</v>
      </c>
      <c r="AA79" s="22" t="e">
        <f>O79/O89</f>
        <v>#DIV/0!</v>
      </c>
      <c r="AB79" s="26" t="e">
        <f>P79/P89</f>
        <v>#DIV/0!</v>
      </c>
      <c r="AC79" s="27" t="e">
        <f>Q79/Q89</f>
        <v>#DIV/0!</v>
      </c>
      <c r="AD79" s="25" t="e">
        <f>R79/R89</f>
        <v>#DIV/0!</v>
      </c>
      <c r="AF79" s="1" t="s">
        <v>2</v>
      </c>
      <c r="AG79" s="83">
        <f>O79-I79</f>
        <v>0</v>
      </c>
      <c r="AH79" s="84">
        <f t="shared" ref="AH79:AH89" si="305">P79-J79</f>
        <v>0</v>
      </c>
      <c r="AI79" s="85">
        <f t="shared" ref="AI79:AI89" si="306">Q79-K79</f>
        <v>0</v>
      </c>
      <c r="AJ79" s="73">
        <f t="shared" ref="AJ79:AJ89" si="307">R79-L79</f>
        <v>0</v>
      </c>
      <c r="AL79" s="1" t="s">
        <v>2</v>
      </c>
      <c r="AM79" s="31" t="e">
        <f>AA79-U79</f>
        <v>#DIV/0!</v>
      </c>
      <c r="AN79" s="33" t="e">
        <f t="shared" ref="AN79:AN89" si="308">AB79-V79</f>
        <v>#DIV/0!</v>
      </c>
      <c r="AO79" s="34" t="e">
        <f t="shared" ref="AO79:AO89" si="309">AC79-W79</f>
        <v>#DIV/0!</v>
      </c>
      <c r="AP79" s="32" t="e">
        <f t="shared" ref="AP79:AP89" si="310">AD79-X79</f>
        <v>#DIV/0!</v>
      </c>
      <c r="AR79" s="1" t="s">
        <v>2</v>
      </c>
      <c r="AS79" s="44">
        <f ca="1">OFFSET(workbased_existing,0,0)</f>
        <v>6.9155808800838923</v>
      </c>
      <c r="AT79" s="45">
        <f ca="1">OFFSET(workbased_existing,1,0)</f>
        <v>1.29019093625246</v>
      </c>
      <c r="AU79" s="46">
        <f ca="1">OFFSET(workbased_existing,2,0)</f>
        <v>1.3469980966817354</v>
      </c>
      <c r="AW79" s="1" t="s">
        <v>2</v>
      </c>
      <c r="AX79" s="44" t="e">
        <f t="shared" ref="AX79:AX85" si="311">IF(AND(U79&gt;0, AA79&gt;0),atwork_damp*LN(U79/AA79),0)</f>
        <v>#DIV/0!</v>
      </c>
      <c r="AY79" s="45" t="e">
        <f t="shared" ref="AY79:AY85" si="312">IF(AND(V79&gt;0, AB79&gt;0),atwork_damp*LN(V79/AB79),0)</f>
        <v>#DIV/0!</v>
      </c>
      <c r="AZ79" s="46" t="e">
        <f t="shared" ref="AZ79:AZ85" si="313">IF(AND(W79&gt;0, AC79&gt;0),atwork_damp*LN(W79/AC79),0)</f>
        <v>#DIV/0!</v>
      </c>
      <c r="BB79" s="1" t="s">
        <v>2</v>
      </c>
      <c r="BC79" s="44" t="e">
        <f ca="1">AS79+AX79-AX81</f>
        <v>#DIV/0!</v>
      </c>
      <c r="BD79" s="45" t="e">
        <f ca="1">AT79+AY79-AY81</f>
        <v>#DIV/0!</v>
      </c>
      <c r="BE79" s="46" t="e">
        <f ca="1">AU79+AZ79-AZ81</f>
        <v>#DIV/0!</v>
      </c>
      <c r="BG79" s="1" t="s">
        <v>2</v>
      </c>
      <c r="BH79" s="57" t="e">
        <f>U79</f>
        <v>#DIV/0!</v>
      </c>
      <c r="BI79" s="59" t="e">
        <f>AA79</f>
        <v>#DIV/0!</v>
      </c>
      <c r="BJ79" s="57" t="e">
        <f>V79</f>
        <v>#DIV/0!</v>
      </c>
      <c r="BK79" s="59" t="e">
        <f>AB79</f>
        <v>#DIV/0!</v>
      </c>
      <c r="BL79" s="57" t="e">
        <f>W79</f>
        <v>#DIV/0!</v>
      </c>
      <c r="BM79" s="59" t="e">
        <f>AC79</f>
        <v>#DIV/0!</v>
      </c>
      <c r="BN79" s="58" t="e">
        <f>X79</f>
        <v>#DIV/0!</v>
      </c>
      <c r="BO79" s="59" t="e">
        <f>AD79</f>
        <v>#DIV/0!</v>
      </c>
    </row>
    <row r="80" spans="1:67" x14ac:dyDescent="0.2">
      <c r="A80" s="1" t="s">
        <v>31</v>
      </c>
      <c r="B80" s="9">
        <f>targets!O130</f>
        <v>394.94256840576429</v>
      </c>
      <c r="C80" s="5">
        <f>targets!P130</f>
        <v>94.79822830205174</v>
      </c>
      <c r="D80" s="10">
        <f>targets!Q130</f>
        <v>10771.98052760376</v>
      </c>
      <c r="E80" s="5">
        <f t="shared" ref="E80:E86" si="314">SUM(B80:D80)</f>
        <v>11261.721324311577</v>
      </c>
      <c r="F80" s="5"/>
      <c r="G80" s="5"/>
      <c r="H80" s="1" t="s">
        <v>31</v>
      </c>
      <c r="I80" s="9">
        <f t="shared" ref="I80:I88" si="315">B80*((O$89)/(B$89))</f>
        <v>0</v>
      </c>
      <c r="J80" s="5">
        <f t="shared" ref="J80:J88" si="316">C80*((P$89)/(C$89))</f>
        <v>0</v>
      </c>
      <c r="K80" s="10">
        <f t="shared" ref="K80:K88" si="317">D80*((Q$89)/(D$89))</f>
        <v>0</v>
      </c>
      <c r="L80" s="5">
        <f t="shared" ref="L80:L88" si="318">SUM(I80:K80)</f>
        <v>0</v>
      </c>
      <c r="N80" s="1" t="s">
        <v>31</v>
      </c>
      <c r="O80" s="9">
        <f t="array" ref="O80">SUM(IF((modeldata!$I:$I=$N$77)*(modeldata!$H:$H=calibration_simplemodes!$N80),modeldata!D:D,0))</f>
        <v>0</v>
      </c>
      <c r="P80" s="5">
        <f t="array" ref="P80">SUM(IF((modeldata!$I:$I=$N$77)*(modeldata!$H:$H=calibration_simplemodes!$N80),modeldata!E:E,0))</f>
        <v>0</v>
      </c>
      <c r="Q80" s="10">
        <f t="array" ref="Q80">SUM(IF((modeldata!$I:$I=$N$77)*(modeldata!$H:$H=calibration_simplemodes!$N80),modeldata!F:F,0))</f>
        <v>0</v>
      </c>
      <c r="R80" s="5">
        <f t="shared" ref="R80:R86" si="319">SUM(O80:Q80)</f>
        <v>0</v>
      </c>
      <c r="T80" s="1" t="s">
        <v>31</v>
      </c>
      <c r="U80" s="23" t="e">
        <f>I80/I89</f>
        <v>#DIV/0!</v>
      </c>
      <c r="V80" s="25" t="e">
        <f>J80/J89</f>
        <v>#DIV/0!</v>
      </c>
      <c r="W80" s="28" t="e">
        <f>K80/K89</f>
        <v>#DIV/0!</v>
      </c>
      <c r="X80" s="25" t="e">
        <f>L80/L89</f>
        <v>#DIV/0!</v>
      </c>
      <c r="Z80" s="1" t="s">
        <v>31</v>
      </c>
      <c r="AA80" s="23" t="e">
        <f>O80/O89</f>
        <v>#DIV/0!</v>
      </c>
      <c r="AB80" s="25" t="e">
        <f>P80/P89</f>
        <v>#DIV/0!</v>
      </c>
      <c r="AC80" s="28" t="e">
        <f>Q80/Q89</f>
        <v>#DIV/0!</v>
      </c>
      <c r="AD80" s="25" t="e">
        <f>R80/R89</f>
        <v>#DIV/0!</v>
      </c>
      <c r="AF80" s="1" t="s">
        <v>31</v>
      </c>
      <c r="AG80" s="86">
        <f t="shared" ref="AG80:AG89" si="320">O80-I80</f>
        <v>0</v>
      </c>
      <c r="AH80" s="73">
        <f t="shared" si="305"/>
        <v>0</v>
      </c>
      <c r="AI80" s="87">
        <f t="shared" si="306"/>
        <v>0</v>
      </c>
      <c r="AJ80" s="73">
        <f t="shared" si="307"/>
        <v>0</v>
      </c>
      <c r="AL80" s="1" t="s">
        <v>31</v>
      </c>
      <c r="AM80" s="35" t="e">
        <f t="shared" ref="AM80:AM89" si="321">AA80-U80</f>
        <v>#DIV/0!</v>
      </c>
      <c r="AN80" s="32" t="e">
        <f t="shared" si="308"/>
        <v>#DIV/0!</v>
      </c>
      <c r="AO80" s="36" t="e">
        <f t="shared" si="309"/>
        <v>#DIV/0!</v>
      </c>
      <c r="AP80" s="32" t="e">
        <f t="shared" si="310"/>
        <v>#DIV/0!</v>
      </c>
      <c r="AR80" s="1" t="s">
        <v>31</v>
      </c>
      <c r="AS80" s="47">
        <f ca="1">OFFSET(workbased_existing,3,0)</f>
        <v>8.1812234173041034</v>
      </c>
      <c r="AT80" s="48">
        <f ca="1">OFFSET(workbased_existing,4,0)</f>
        <v>1.841757571145942</v>
      </c>
      <c r="AU80" s="49">
        <f ca="1">OFFSET(workbased_existing,5,0)</f>
        <v>17.169088474390101</v>
      </c>
      <c r="AW80" s="1" t="s">
        <v>31</v>
      </c>
      <c r="AX80" s="47" t="e">
        <f t="shared" si="311"/>
        <v>#DIV/0!</v>
      </c>
      <c r="AY80" s="48" t="e">
        <f t="shared" si="312"/>
        <v>#DIV/0!</v>
      </c>
      <c r="AZ80" s="49" t="e">
        <f t="shared" si="313"/>
        <v>#DIV/0!</v>
      </c>
      <c r="BB80" s="1" t="s">
        <v>31</v>
      </c>
      <c r="BC80" s="47" t="e">
        <f ca="1">AS80+AX80-AX81</f>
        <v>#DIV/0!</v>
      </c>
      <c r="BD80" s="48" t="e">
        <f ca="1">AT80+AY80-AY81</f>
        <v>#DIV/0!</v>
      </c>
      <c r="BE80" s="49" t="e">
        <f ca="1">AU80+AZ80-AZ81</f>
        <v>#DIV/0!</v>
      </c>
      <c r="BG80" s="1" t="s">
        <v>31</v>
      </c>
      <c r="BH80" s="61" t="e">
        <f t="shared" ref="BH80:BH86" si="322">U80</f>
        <v>#DIV/0!</v>
      </c>
      <c r="BI80" s="62" t="e">
        <f t="shared" ref="BI80:BI86" si="323">AA80</f>
        <v>#DIV/0!</v>
      </c>
      <c r="BJ80" s="61" t="e">
        <f t="shared" ref="BJ80:BJ86" si="324">V80</f>
        <v>#DIV/0!</v>
      </c>
      <c r="BK80" s="62" t="e">
        <f t="shared" ref="BK80:BK86" si="325">AB80</f>
        <v>#DIV/0!</v>
      </c>
      <c r="BL80" s="61" t="e">
        <f t="shared" ref="BL80:BL86" si="326">W80</f>
        <v>#DIV/0!</v>
      </c>
      <c r="BM80" s="62" t="e">
        <f t="shared" ref="BM80:BM86" si="327">AC80</f>
        <v>#DIV/0!</v>
      </c>
      <c r="BN80" s="60" t="e">
        <f t="shared" ref="BN80:BN86" si="328">X80</f>
        <v>#DIV/0!</v>
      </c>
      <c r="BO80" s="62" t="e">
        <f t="shared" ref="BO80:BO86" si="329">AD80</f>
        <v>#DIV/0!</v>
      </c>
    </row>
    <row r="81" spans="1:67" x14ac:dyDescent="0.2">
      <c r="A81" s="1" t="s">
        <v>32</v>
      </c>
      <c r="B81" s="9">
        <f>targets!O126</f>
        <v>0</v>
      </c>
      <c r="C81" s="5">
        <f>targets!P126</f>
        <v>9341.7566141809766</v>
      </c>
      <c r="D81" s="10">
        <f>targets!Q126</f>
        <v>110308.9532098458</v>
      </c>
      <c r="E81" s="5">
        <f t="shared" si="314"/>
        <v>119650.70982402678</v>
      </c>
      <c r="F81" s="5"/>
      <c r="G81" s="5"/>
      <c r="H81" s="1" t="s">
        <v>32</v>
      </c>
      <c r="I81" s="9">
        <f t="shared" si="315"/>
        <v>0</v>
      </c>
      <c r="J81" s="5">
        <f t="shared" si="316"/>
        <v>0</v>
      </c>
      <c r="K81" s="10">
        <f t="shared" si="317"/>
        <v>0</v>
      </c>
      <c r="L81" s="5">
        <f t="shared" si="318"/>
        <v>0</v>
      </c>
      <c r="N81" s="1" t="s">
        <v>32</v>
      </c>
      <c r="O81" s="9">
        <f t="array" ref="O81">SUM(IF((modeldata!$I:$I=$N$77)*(modeldata!$H:$H=calibration_simplemodes!$N81),modeldata!D:D,0))</f>
        <v>0</v>
      </c>
      <c r="P81" s="5">
        <f t="array" ref="P81">SUM(IF((modeldata!$I:$I=$N$77)*(modeldata!$H:$H=calibration_simplemodes!$N81),modeldata!E:E,0))</f>
        <v>0</v>
      </c>
      <c r="Q81" s="10">
        <f t="array" ref="Q81">SUM(IF((modeldata!$I:$I=$N$77)*(modeldata!$H:$H=calibration_simplemodes!$N81),modeldata!F:F,0))</f>
        <v>0</v>
      </c>
      <c r="R81" s="5">
        <f t="shared" si="319"/>
        <v>0</v>
      </c>
      <c r="T81" s="1" t="s">
        <v>32</v>
      </c>
      <c r="U81" s="23" t="e">
        <f>I81/I89</f>
        <v>#DIV/0!</v>
      </c>
      <c r="V81" s="25" t="e">
        <f>J81/J89</f>
        <v>#DIV/0!</v>
      </c>
      <c r="W81" s="28" t="e">
        <f>K81/K89</f>
        <v>#DIV/0!</v>
      </c>
      <c r="X81" s="25" t="e">
        <f>L81/L89</f>
        <v>#DIV/0!</v>
      </c>
      <c r="Z81" s="1" t="s">
        <v>32</v>
      </c>
      <c r="AA81" s="23" t="e">
        <f>O81/O89</f>
        <v>#DIV/0!</v>
      </c>
      <c r="AB81" s="25" t="e">
        <f>P81/P89</f>
        <v>#DIV/0!</v>
      </c>
      <c r="AC81" s="28" t="e">
        <f>Q81/Q89</f>
        <v>#DIV/0!</v>
      </c>
      <c r="AD81" s="25" t="e">
        <f>R81/R89</f>
        <v>#DIV/0!</v>
      </c>
      <c r="AF81" s="1" t="s">
        <v>32</v>
      </c>
      <c r="AG81" s="86">
        <f t="shared" si="320"/>
        <v>0</v>
      </c>
      <c r="AH81" s="73">
        <f t="shared" si="305"/>
        <v>0</v>
      </c>
      <c r="AI81" s="87">
        <f t="shared" si="306"/>
        <v>0</v>
      </c>
      <c r="AJ81" s="73">
        <f t="shared" si="307"/>
        <v>0</v>
      </c>
      <c r="AL81" s="1" t="s">
        <v>32</v>
      </c>
      <c r="AM81" s="35" t="e">
        <f t="shared" si="321"/>
        <v>#DIV/0!</v>
      </c>
      <c r="AN81" s="32" t="e">
        <f t="shared" si="308"/>
        <v>#DIV/0!</v>
      </c>
      <c r="AO81" s="36" t="e">
        <f t="shared" si="309"/>
        <v>#DIV/0!</v>
      </c>
      <c r="AP81" s="32" t="e">
        <f t="shared" si="310"/>
        <v>#DIV/0!</v>
      </c>
      <c r="AR81" s="1" t="s">
        <v>32</v>
      </c>
      <c r="AS81" s="47">
        <v>0</v>
      </c>
      <c r="AT81" s="48">
        <v>0</v>
      </c>
      <c r="AU81" s="49">
        <v>0</v>
      </c>
      <c r="AW81" s="1" t="s">
        <v>32</v>
      </c>
      <c r="AX81" s="47" t="e">
        <f t="shared" si="311"/>
        <v>#DIV/0!</v>
      </c>
      <c r="AY81" s="48" t="e">
        <f t="shared" si="312"/>
        <v>#DIV/0!</v>
      </c>
      <c r="AZ81" s="49" t="e">
        <f t="shared" si="313"/>
        <v>#DIV/0!</v>
      </c>
      <c r="BB81" s="1" t="s">
        <v>32</v>
      </c>
      <c r="BC81" s="47" t="e">
        <f>AS81+AX81-AX81</f>
        <v>#DIV/0!</v>
      </c>
      <c r="BD81" s="48" t="e">
        <f>AT81+AY81-AY81</f>
        <v>#DIV/0!</v>
      </c>
      <c r="BE81" s="49" t="e">
        <f>AU81+AZ81-AZ81</f>
        <v>#DIV/0!</v>
      </c>
      <c r="BG81" s="1" t="s">
        <v>32</v>
      </c>
      <c r="BH81" s="61" t="e">
        <f t="shared" si="322"/>
        <v>#DIV/0!</v>
      </c>
      <c r="BI81" s="62" t="e">
        <f t="shared" si="323"/>
        <v>#DIV/0!</v>
      </c>
      <c r="BJ81" s="61" t="e">
        <f t="shared" si="324"/>
        <v>#DIV/0!</v>
      </c>
      <c r="BK81" s="62" t="e">
        <f t="shared" si="325"/>
        <v>#DIV/0!</v>
      </c>
      <c r="BL81" s="61" t="e">
        <f t="shared" si="326"/>
        <v>#DIV/0!</v>
      </c>
      <c r="BM81" s="62" t="e">
        <f t="shared" si="327"/>
        <v>#DIV/0!</v>
      </c>
      <c r="BN81" s="60" t="e">
        <f t="shared" si="328"/>
        <v>#DIV/0!</v>
      </c>
      <c r="BO81" s="62" t="e">
        <f t="shared" si="329"/>
        <v>#DIV/0!</v>
      </c>
    </row>
    <row r="82" spans="1:67" x14ac:dyDescent="0.2">
      <c r="A82" s="1" t="s">
        <v>33</v>
      </c>
      <c r="B82" s="9">
        <f>targets!O127</f>
        <v>727.77831043381684</v>
      </c>
      <c r="C82" s="5">
        <f>targets!P127</f>
        <v>5659.2095319123518</v>
      </c>
      <c r="D82" s="10">
        <f>targets!Q127</f>
        <v>61881.346768318064</v>
      </c>
      <c r="E82" s="5">
        <f t="shared" si="314"/>
        <v>68268.334610664228</v>
      </c>
      <c r="F82" s="5"/>
      <c r="G82" s="5"/>
      <c r="H82" s="1" t="s">
        <v>33</v>
      </c>
      <c r="I82" s="9">
        <f t="shared" si="315"/>
        <v>0</v>
      </c>
      <c r="J82" s="5">
        <f t="shared" si="316"/>
        <v>0</v>
      </c>
      <c r="K82" s="10">
        <f t="shared" si="317"/>
        <v>0</v>
      </c>
      <c r="L82" s="5">
        <f t="shared" si="318"/>
        <v>0</v>
      </c>
      <c r="N82" s="1" t="s">
        <v>33</v>
      </c>
      <c r="O82" s="9">
        <f t="array" ref="O82">SUM(IF((modeldata!$I:$I=$N$77)*(modeldata!$H:$H=calibration_simplemodes!$N82),modeldata!D:D,0))</f>
        <v>0</v>
      </c>
      <c r="P82" s="5">
        <f t="array" ref="P82">SUM(IF((modeldata!$I:$I=$N$77)*(modeldata!$H:$H=calibration_simplemodes!$N82),modeldata!E:E,0))</f>
        <v>0</v>
      </c>
      <c r="Q82" s="10">
        <f t="array" ref="Q82">SUM(IF((modeldata!$I:$I=$N$77)*(modeldata!$H:$H=calibration_simplemodes!$N82),modeldata!F:F,0))</f>
        <v>0</v>
      </c>
      <c r="R82" s="5">
        <f t="shared" si="319"/>
        <v>0</v>
      </c>
      <c r="T82" s="1" t="s">
        <v>33</v>
      </c>
      <c r="U82" s="23" t="e">
        <f>I82/I89</f>
        <v>#DIV/0!</v>
      </c>
      <c r="V82" s="25" t="e">
        <f>J82/J89</f>
        <v>#DIV/0!</v>
      </c>
      <c r="W82" s="28" t="e">
        <f>K82/K89</f>
        <v>#DIV/0!</v>
      </c>
      <c r="X82" s="25" t="e">
        <f>L82/L89</f>
        <v>#DIV/0!</v>
      </c>
      <c r="Z82" s="1" t="s">
        <v>33</v>
      </c>
      <c r="AA82" s="23" t="e">
        <f>O82/O89</f>
        <v>#DIV/0!</v>
      </c>
      <c r="AB82" s="25" t="e">
        <f>P82/P89</f>
        <v>#DIV/0!</v>
      </c>
      <c r="AC82" s="28" t="e">
        <f>Q82/Q89</f>
        <v>#DIV/0!</v>
      </c>
      <c r="AD82" s="25" t="e">
        <f>R82/R89</f>
        <v>#DIV/0!</v>
      </c>
      <c r="AF82" s="1" t="s">
        <v>33</v>
      </c>
      <c r="AG82" s="86">
        <f t="shared" si="320"/>
        <v>0</v>
      </c>
      <c r="AH82" s="73">
        <f t="shared" si="305"/>
        <v>0</v>
      </c>
      <c r="AI82" s="87">
        <f t="shared" si="306"/>
        <v>0</v>
      </c>
      <c r="AJ82" s="73">
        <f t="shared" si="307"/>
        <v>0</v>
      </c>
      <c r="AL82" s="1" t="s">
        <v>33</v>
      </c>
      <c r="AM82" s="35" t="e">
        <f t="shared" si="321"/>
        <v>#DIV/0!</v>
      </c>
      <c r="AN82" s="32" t="e">
        <f t="shared" si="308"/>
        <v>#DIV/0!</v>
      </c>
      <c r="AO82" s="36" t="e">
        <f t="shared" si="309"/>
        <v>#DIV/0!</v>
      </c>
      <c r="AP82" s="32" t="e">
        <f t="shared" si="310"/>
        <v>#DIV/0!</v>
      </c>
      <c r="AR82" s="1" t="s">
        <v>33</v>
      </c>
      <c r="AS82" s="47">
        <f ca="1">OFFSET(workbased_existing,6,0)</f>
        <v>0</v>
      </c>
      <c r="AT82" s="48">
        <f ca="1">OFFSET(workbased_existing,7,0)</f>
        <v>-2.2236107421935327</v>
      </c>
      <c r="AU82" s="49">
        <f ca="1">OFFSET(workbased_existing,8,0)</f>
        <v>-1.6268485914679052</v>
      </c>
      <c r="AW82" s="1" t="s">
        <v>33</v>
      </c>
      <c r="AX82" s="47" t="e">
        <f t="shared" si="311"/>
        <v>#DIV/0!</v>
      </c>
      <c r="AY82" s="48" t="e">
        <f t="shared" si="312"/>
        <v>#DIV/0!</v>
      </c>
      <c r="AZ82" s="49" t="e">
        <f t="shared" si="313"/>
        <v>#DIV/0!</v>
      </c>
      <c r="BB82" s="1" t="s">
        <v>120</v>
      </c>
      <c r="BC82" s="47" t="e">
        <f ca="1">AS82+AX82-AX81</f>
        <v>#DIV/0!</v>
      </c>
      <c r="BD82" s="48" t="e">
        <f ca="1">AT82+AY82-AY81</f>
        <v>#DIV/0!</v>
      </c>
      <c r="BE82" s="49" t="e">
        <f ca="1">AU82+AZ82-AZ81</f>
        <v>#DIV/0!</v>
      </c>
      <c r="BG82" s="1" t="s">
        <v>120</v>
      </c>
      <c r="BH82" s="61" t="e">
        <f t="shared" si="322"/>
        <v>#DIV/0!</v>
      </c>
      <c r="BI82" s="62" t="e">
        <f t="shared" si="323"/>
        <v>#DIV/0!</v>
      </c>
      <c r="BJ82" s="61" t="e">
        <f t="shared" si="324"/>
        <v>#DIV/0!</v>
      </c>
      <c r="BK82" s="62" t="e">
        <f t="shared" si="325"/>
        <v>#DIV/0!</v>
      </c>
      <c r="BL82" s="61" t="e">
        <f t="shared" si="326"/>
        <v>#DIV/0!</v>
      </c>
      <c r="BM82" s="62" t="e">
        <f t="shared" si="327"/>
        <v>#DIV/0!</v>
      </c>
      <c r="BN82" s="60" t="e">
        <f t="shared" si="328"/>
        <v>#DIV/0!</v>
      </c>
      <c r="BO82" s="62" t="e">
        <f t="shared" si="329"/>
        <v>#DIV/0!</v>
      </c>
    </row>
    <row r="83" spans="1:67" x14ac:dyDescent="0.2">
      <c r="A83" s="1" t="s">
        <v>34</v>
      </c>
      <c r="B83" s="9">
        <f>targets!O128</f>
        <v>126.91781016616298</v>
      </c>
      <c r="C83" s="5">
        <f>targets!P128</f>
        <v>1202.4125434776774</v>
      </c>
      <c r="D83" s="10">
        <f>targets!Q128</f>
        <v>26065.792610582241</v>
      </c>
      <c r="E83" s="5">
        <f t="shared" si="314"/>
        <v>27395.122964226081</v>
      </c>
      <c r="F83" s="5"/>
      <c r="G83" s="5"/>
      <c r="H83" s="1" t="s">
        <v>34</v>
      </c>
      <c r="I83" s="9">
        <f t="shared" si="315"/>
        <v>0</v>
      </c>
      <c r="J83" s="5">
        <f t="shared" si="316"/>
        <v>0</v>
      </c>
      <c r="K83" s="10">
        <f t="shared" si="317"/>
        <v>0</v>
      </c>
      <c r="L83" s="5">
        <f t="shared" si="318"/>
        <v>0</v>
      </c>
      <c r="N83" s="1" t="s">
        <v>34</v>
      </c>
      <c r="O83" s="9">
        <f t="array" ref="O83">SUM(IF((modeldata!$I:$I=$N$77)*(modeldata!$H:$H=calibration_simplemodes!$N83),modeldata!D:D,0))</f>
        <v>0</v>
      </c>
      <c r="P83" s="5">
        <f t="array" ref="P83">SUM(IF((modeldata!$I:$I=$N$77)*(modeldata!$H:$H=calibration_simplemodes!$N83),modeldata!E:E,0))</f>
        <v>0</v>
      </c>
      <c r="Q83" s="10">
        <f t="array" ref="Q83">SUM(IF((modeldata!$I:$I=$N$77)*(modeldata!$H:$H=calibration_simplemodes!$N83),modeldata!F:F,0))</f>
        <v>0</v>
      </c>
      <c r="R83" s="5">
        <f t="shared" si="319"/>
        <v>0</v>
      </c>
      <c r="T83" s="1" t="s">
        <v>34</v>
      </c>
      <c r="U83" s="23" t="e">
        <f>I83/I89</f>
        <v>#DIV/0!</v>
      </c>
      <c r="V83" s="25" t="e">
        <f>J83/J89</f>
        <v>#DIV/0!</v>
      </c>
      <c r="W83" s="28" t="e">
        <f>K83/K89</f>
        <v>#DIV/0!</v>
      </c>
      <c r="X83" s="25" t="e">
        <f>L83/L89</f>
        <v>#DIV/0!</v>
      </c>
      <c r="Z83" s="1" t="s">
        <v>34</v>
      </c>
      <c r="AA83" s="23" t="e">
        <f>O83/O89</f>
        <v>#DIV/0!</v>
      </c>
      <c r="AB83" s="25" t="e">
        <f>P83/P89</f>
        <v>#DIV/0!</v>
      </c>
      <c r="AC83" s="28" t="e">
        <f>Q83/Q89</f>
        <v>#DIV/0!</v>
      </c>
      <c r="AD83" s="25" t="e">
        <f>R83/R89</f>
        <v>#DIV/0!</v>
      </c>
      <c r="AF83" s="1" t="s">
        <v>34</v>
      </c>
      <c r="AG83" s="86">
        <f t="shared" si="320"/>
        <v>0</v>
      </c>
      <c r="AH83" s="73">
        <f t="shared" si="305"/>
        <v>0</v>
      </c>
      <c r="AI83" s="87">
        <f t="shared" si="306"/>
        <v>0</v>
      </c>
      <c r="AJ83" s="73">
        <f t="shared" si="307"/>
        <v>0</v>
      </c>
      <c r="AL83" s="1" t="s">
        <v>34</v>
      </c>
      <c r="AM83" s="35" t="e">
        <f t="shared" si="321"/>
        <v>#DIV/0!</v>
      </c>
      <c r="AN83" s="32" t="e">
        <f t="shared" si="308"/>
        <v>#DIV/0!</v>
      </c>
      <c r="AO83" s="36" t="e">
        <f t="shared" si="309"/>
        <v>#DIV/0!</v>
      </c>
      <c r="AP83" s="32" t="e">
        <f t="shared" si="310"/>
        <v>#DIV/0!</v>
      </c>
      <c r="AR83" s="1" t="s">
        <v>34</v>
      </c>
      <c r="AS83" s="47">
        <f ca="1">OFFSET(workbased_existing,9,0)</f>
        <v>-9.1426836539394624E-2</v>
      </c>
      <c r="AT83" s="48">
        <f ca="1">OFFSET(workbased_existing,10,0)</f>
        <v>-3.4913495786520863</v>
      </c>
      <c r="AU83" s="49">
        <f ca="1">OFFSET(workbased_existing,11,0)</f>
        <v>-2.0742819106962838</v>
      </c>
      <c r="AW83" s="1" t="s">
        <v>34</v>
      </c>
      <c r="AX83" s="47" t="e">
        <f t="shared" si="311"/>
        <v>#DIV/0!</v>
      </c>
      <c r="AY83" s="48" t="e">
        <f t="shared" si="312"/>
        <v>#DIV/0!</v>
      </c>
      <c r="AZ83" s="49" t="e">
        <f t="shared" si="313"/>
        <v>#DIV/0!</v>
      </c>
      <c r="BB83" s="1" t="s">
        <v>121</v>
      </c>
      <c r="BC83" s="47" t="e">
        <f ca="1">AS83+AX83-AX81</f>
        <v>#DIV/0!</v>
      </c>
      <c r="BD83" s="48" t="e">
        <f ca="1">AT83+AY83-AY81</f>
        <v>#DIV/0!</v>
      </c>
      <c r="BE83" s="49" t="e">
        <f ca="1">AU83+AZ83-AZ81</f>
        <v>#DIV/0!</v>
      </c>
      <c r="BG83" s="1" t="s">
        <v>121</v>
      </c>
      <c r="BH83" s="61" t="e">
        <f t="shared" si="322"/>
        <v>#DIV/0!</v>
      </c>
      <c r="BI83" s="62" t="e">
        <f t="shared" si="323"/>
        <v>#DIV/0!</v>
      </c>
      <c r="BJ83" s="61" t="e">
        <f t="shared" si="324"/>
        <v>#DIV/0!</v>
      </c>
      <c r="BK83" s="62" t="e">
        <f t="shared" si="325"/>
        <v>#DIV/0!</v>
      </c>
      <c r="BL83" s="61" t="e">
        <f t="shared" si="326"/>
        <v>#DIV/0!</v>
      </c>
      <c r="BM83" s="62" t="e">
        <f t="shared" si="327"/>
        <v>#DIV/0!</v>
      </c>
      <c r="BN83" s="60" t="e">
        <f t="shared" si="328"/>
        <v>#DIV/0!</v>
      </c>
      <c r="BO83" s="62" t="e">
        <f t="shared" si="329"/>
        <v>#DIV/0!</v>
      </c>
    </row>
    <row r="84" spans="1:67" x14ac:dyDescent="0.2">
      <c r="A84" s="90" t="s">
        <v>3</v>
      </c>
      <c r="B84" s="9">
        <f>SUM(targets!O131:O136)</f>
        <v>379.50096556442622</v>
      </c>
      <c r="C84" s="5">
        <f>SUM(targets!P131:P136)</f>
        <v>2228.3037131000096</v>
      </c>
      <c r="D84" s="10">
        <f>SUM(targets!Q131:Q136)</f>
        <v>2982.6374083989485</v>
      </c>
      <c r="E84" s="92">
        <f t="shared" si="314"/>
        <v>5590.442087063384</v>
      </c>
      <c r="F84" s="92"/>
      <c r="G84" s="5"/>
      <c r="H84" s="1" t="s">
        <v>3</v>
      </c>
      <c r="I84" s="9">
        <f t="shared" si="315"/>
        <v>0</v>
      </c>
      <c r="J84" s="5">
        <f t="shared" si="316"/>
        <v>0</v>
      </c>
      <c r="K84" s="10">
        <f t="shared" si="317"/>
        <v>0</v>
      </c>
      <c r="L84" s="5">
        <f t="shared" si="318"/>
        <v>0</v>
      </c>
      <c r="N84" s="1" t="s">
        <v>3</v>
      </c>
      <c r="O84" s="9">
        <f t="array" ref="O84">SUM(IF((modeldata!$I:$I=$N$77)*(modeldata!$H:$H=calibration_simplemodes!$N84),modeldata!D:D,0))</f>
        <v>0</v>
      </c>
      <c r="P84" s="5">
        <f t="array" ref="P84">SUM(IF((modeldata!$I:$I=$N$77)*(modeldata!$H:$H=calibration_simplemodes!$N84),modeldata!E:E,0))</f>
        <v>0</v>
      </c>
      <c r="Q84" s="10">
        <f t="array" ref="Q84">SUM(IF((modeldata!$I:$I=$N$77)*(modeldata!$H:$H=calibration_simplemodes!$N84),modeldata!F:F,0))</f>
        <v>0</v>
      </c>
      <c r="R84" s="5">
        <f t="shared" si="319"/>
        <v>0</v>
      </c>
      <c r="T84" s="1" t="s">
        <v>3</v>
      </c>
      <c r="U84" s="23" t="e">
        <f>I84/I89</f>
        <v>#DIV/0!</v>
      </c>
      <c r="V84" s="25" t="e">
        <f>J84/J89</f>
        <v>#DIV/0!</v>
      </c>
      <c r="W84" s="28" t="e">
        <f>K84/K89</f>
        <v>#DIV/0!</v>
      </c>
      <c r="X84" s="25" t="e">
        <f>L84/L89</f>
        <v>#DIV/0!</v>
      </c>
      <c r="Z84" s="1" t="s">
        <v>3</v>
      </c>
      <c r="AA84" s="23" t="e">
        <f>O84/O89</f>
        <v>#DIV/0!</v>
      </c>
      <c r="AB84" s="25" t="e">
        <f>P84/P89</f>
        <v>#DIV/0!</v>
      </c>
      <c r="AC84" s="28" t="e">
        <f>Q84/Q89</f>
        <v>#DIV/0!</v>
      </c>
      <c r="AD84" s="25" t="e">
        <f>R84/R89</f>
        <v>#DIV/0!</v>
      </c>
      <c r="AF84" s="1" t="s">
        <v>3</v>
      </c>
      <c r="AG84" s="86">
        <f t="shared" si="320"/>
        <v>0</v>
      </c>
      <c r="AH84" s="73">
        <f t="shared" si="305"/>
        <v>0</v>
      </c>
      <c r="AI84" s="87">
        <f t="shared" si="306"/>
        <v>0</v>
      </c>
      <c r="AJ84" s="73">
        <f t="shared" si="307"/>
        <v>0</v>
      </c>
      <c r="AL84" s="1" t="s">
        <v>3</v>
      </c>
      <c r="AM84" s="35" t="e">
        <f t="shared" si="321"/>
        <v>#DIV/0!</v>
      </c>
      <c r="AN84" s="32" t="e">
        <f t="shared" si="308"/>
        <v>#DIV/0!</v>
      </c>
      <c r="AO84" s="36" t="e">
        <f t="shared" si="309"/>
        <v>#DIV/0!</v>
      </c>
      <c r="AP84" s="32" t="e">
        <f t="shared" si="310"/>
        <v>#DIV/0!</v>
      </c>
      <c r="AR84" s="1" t="s">
        <v>3</v>
      </c>
      <c r="AS84" s="47">
        <f ca="1">OFFSET(workbased_existing,12,0)</f>
        <v>3.1450127825160732</v>
      </c>
      <c r="AT84" s="48">
        <f ca="1">OFFSET(workbased_existing,13,0)</f>
        <v>-3.4136434690204598</v>
      </c>
      <c r="AU84" s="49">
        <f ca="1">OFFSET(workbased_existing,14,0)</f>
        <v>-4.2096340712934692</v>
      </c>
      <c r="AW84" s="1" t="s">
        <v>3</v>
      </c>
      <c r="AX84" s="47" t="e">
        <f t="shared" si="311"/>
        <v>#DIV/0!</v>
      </c>
      <c r="AY84" s="48" t="e">
        <f t="shared" si="312"/>
        <v>#DIV/0!</v>
      </c>
      <c r="AZ84" s="49" t="e">
        <f t="shared" si="313"/>
        <v>#DIV/0!</v>
      </c>
      <c r="BB84" s="1" t="s">
        <v>3</v>
      </c>
      <c r="BC84" s="47" t="e">
        <f ca="1">AS84+AX84-AX81</f>
        <v>#DIV/0!</v>
      </c>
      <c r="BD84" s="48" t="e">
        <f ca="1">AT84+AY84-AY81</f>
        <v>#DIV/0!</v>
      </c>
      <c r="BE84" s="49" t="e">
        <f ca="1">AU84+AZ84-AZ81</f>
        <v>#DIV/0!</v>
      </c>
      <c r="BG84" s="1" t="s">
        <v>3</v>
      </c>
      <c r="BH84" s="61" t="e">
        <f t="shared" si="322"/>
        <v>#DIV/0!</v>
      </c>
      <c r="BI84" s="62" t="e">
        <f t="shared" si="323"/>
        <v>#DIV/0!</v>
      </c>
      <c r="BJ84" s="61" t="e">
        <f t="shared" si="324"/>
        <v>#DIV/0!</v>
      </c>
      <c r="BK84" s="62" t="e">
        <f t="shared" si="325"/>
        <v>#DIV/0!</v>
      </c>
      <c r="BL84" s="61" t="e">
        <f t="shared" si="326"/>
        <v>#DIV/0!</v>
      </c>
      <c r="BM84" s="62" t="e">
        <f t="shared" si="327"/>
        <v>#DIV/0!</v>
      </c>
      <c r="BN84" s="60" t="e">
        <f t="shared" si="328"/>
        <v>#DIV/0!</v>
      </c>
      <c r="BO84" s="62" t="e">
        <f t="shared" si="329"/>
        <v>#DIV/0!</v>
      </c>
    </row>
    <row r="85" spans="1:67" x14ac:dyDescent="0.2">
      <c r="A85" s="90" t="s">
        <v>35</v>
      </c>
      <c r="B85" s="9">
        <f>SUM(targets!O137:O142)</f>
        <v>0</v>
      </c>
      <c r="C85" s="5">
        <f>SUM(targets!P137:P142)</f>
        <v>0</v>
      </c>
      <c r="D85" s="10">
        <f>SUM(targets!Q137:Q142)</f>
        <v>1783.8439313692013</v>
      </c>
      <c r="E85" s="92">
        <f t="shared" si="314"/>
        <v>1783.8439313692013</v>
      </c>
      <c r="F85" s="92"/>
      <c r="G85" s="5"/>
      <c r="H85" s="1" t="s">
        <v>35</v>
      </c>
      <c r="I85" s="9">
        <f t="shared" si="315"/>
        <v>0</v>
      </c>
      <c r="J85" s="5">
        <f t="shared" si="316"/>
        <v>0</v>
      </c>
      <c r="K85" s="10">
        <f t="shared" si="317"/>
        <v>0</v>
      </c>
      <c r="L85" s="5">
        <f t="shared" si="318"/>
        <v>0</v>
      </c>
      <c r="N85" s="1" t="s">
        <v>35</v>
      </c>
      <c r="O85" s="9">
        <f t="array" ref="O85">SUM(IF((modeldata!$I:$I=$N$77)*(modeldata!$H:$H=calibration_simplemodes!$N85),modeldata!D:D,0))</f>
        <v>0</v>
      </c>
      <c r="P85" s="5">
        <f t="array" ref="P85">SUM(IF((modeldata!$I:$I=$N$77)*(modeldata!$H:$H=calibration_simplemodes!$N85),modeldata!E:E,0))</f>
        <v>0</v>
      </c>
      <c r="Q85" s="10">
        <f t="array" ref="Q85">SUM(IF((modeldata!$I:$I=$N$77)*(modeldata!$H:$H=calibration_simplemodes!$N85),modeldata!F:F,0))</f>
        <v>0</v>
      </c>
      <c r="R85" s="5">
        <f t="shared" si="319"/>
        <v>0</v>
      </c>
      <c r="T85" s="1" t="s">
        <v>35</v>
      </c>
      <c r="U85" s="23" t="e">
        <f>I85/I89</f>
        <v>#DIV/0!</v>
      </c>
      <c r="V85" s="25" t="e">
        <f>J85/J89</f>
        <v>#DIV/0!</v>
      </c>
      <c r="W85" s="28" t="e">
        <f>K85/K89</f>
        <v>#DIV/0!</v>
      </c>
      <c r="X85" s="25" t="e">
        <f>L85/L89</f>
        <v>#DIV/0!</v>
      </c>
      <c r="Z85" s="1" t="s">
        <v>35</v>
      </c>
      <c r="AA85" s="23" t="e">
        <f>O85/O89</f>
        <v>#DIV/0!</v>
      </c>
      <c r="AB85" s="25" t="e">
        <f>P85/P89</f>
        <v>#DIV/0!</v>
      </c>
      <c r="AC85" s="28" t="e">
        <f>Q85/Q89</f>
        <v>#DIV/0!</v>
      </c>
      <c r="AD85" s="25" t="e">
        <f>R85/R89</f>
        <v>#DIV/0!</v>
      </c>
      <c r="AF85" s="1" t="s">
        <v>35</v>
      </c>
      <c r="AG85" s="86">
        <f t="shared" si="320"/>
        <v>0</v>
      </c>
      <c r="AH85" s="73">
        <f t="shared" si="305"/>
        <v>0</v>
      </c>
      <c r="AI85" s="87">
        <f t="shared" si="306"/>
        <v>0</v>
      </c>
      <c r="AJ85" s="73">
        <f t="shared" si="307"/>
        <v>0</v>
      </c>
      <c r="AL85" s="1" t="s">
        <v>35</v>
      </c>
      <c r="AM85" s="35" t="e">
        <f t="shared" si="321"/>
        <v>#DIV/0!</v>
      </c>
      <c r="AN85" s="32" t="e">
        <f t="shared" si="308"/>
        <v>#DIV/0!</v>
      </c>
      <c r="AO85" s="36" t="e">
        <f t="shared" si="309"/>
        <v>#DIV/0!</v>
      </c>
      <c r="AP85" s="32" t="e">
        <f t="shared" si="310"/>
        <v>#DIV/0!</v>
      </c>
      <c r="AR85" s="1" t="s">
        <v>35</v>
      </c>
      <c r="AS85" s="47">
        <f ca="1">OFFSET(workbased_existing,15,0)</f>
        <v>0</v>
      </c>
      <c r="AT85" s="48">
        <f ca="1">OFFSET(workbased_existing,16,0)</f>
        <v>-999</v>
      </c>
      <c r="AU85" s="49">
        <f ca="1">OFFSET(workbased_existing,17,0)</f>
        <v>-999</v>
      </c>
      <c r="AW85" s="1" t="s">
        <v>35</v>
      </c>
      <c r="AX85" s="47" t="e">
        <f t="shared" si="311"/>
        <v>#DIV/0!</v>
      </c>
      <c r="AY85" s="48" t="e">
        <f t="shared" si="312"/>
        <v>#DIV/0!</v>
      </c>
      <c r="AZ85" s="49" t="e">
        <f t="shared" si="313"/>
        <v>#DIV/0!</v>
      </c>
      <c r="BB85" s="1" t="s">
        <v>35</v>
      </c>
      <c r="BC85" s="47" t="e">
        <f ca="1">AS85+AX85-AX81</f>
        <v>#DIV/0!</v>
      </c>
      <c r="BD85" s="48">
        <v>-999</v>
      </c>
      <c r="BE85" s="49">
        <v>-999</v>
      </c>
      <c r="BG85" s="1" t="s">
        <v>35</v>
      </c>
      <c r="BH85" s="61" t="e">
        <f t="shared" si="322"/>
        <v>#DIV/0!</v>
      </c>
      <c r="BI85" s="62" t="e">
        <f t="shared" si="323"/>
        <v>#DIV/0!</v>
      </c>
      <c r="BJ85" s="61" t="e">
        <f t="shared" si="324"/>
        <v>#DIV/0!</v>
      </c>
      <c r="BK85" s="62" t="e">
        <f t="shared" si="325"/>
        <v>#DIV/0!</v>
      </c>
      <c r="BL85" s="61" t="e">
        <f t="shared" si="326"/>
        <v>#DIV/0!</v>
      </c>
      <c r="BM85" s="62" t="e">
        <f t="shared" si="327"/>
        <v>#DIV/0!</v>
      </c>
      <c r="BN85" s="60" t="e">
        <f t="shared" si="328"/>
        <v>#DIV/0!</v>
      </c>
      <c r="BO85" s="62" t="e">
        <f t="shared" si="329"/>
        <v>#DIV/0!</v>
      </c>
    </row>
    <row r="86" spans="1:67" x14ac:dyDescent="0.2">
      <c r="A86" s="1" t="s">
        <v>36</v>
      </c>
      <c r="B86" s="221">
        <f>targets!O143</f>
        <v>0</v>
      </c>
      <c r="C86" s="240">
        <f>targets!P143</f>
        <v>0</v>
      </c>
      <c r="D86" s="222">
        <f>targets!Q143</f>
        <v>82.25609554882675</v>
      </c>
      <c r="E86" s="5">
        <f t="shared" si="314"/>
        <v>82.25609554882675</v>
      </c>
      <c r="F86" s="5"/>
      <c r="G86" s="5"/>
      <c r="H86" s="1" t="s">
        <v>36</v>
      </c>
      <c r="I86" s="9">
        <f t="shared" si="315"/>
        <v>0</v>
      </c>
      <c r="J86" s="5">
        <f t="shared" si="316"/>
        <v>0</v>
      </c>
      <c r="K86" s="10">
        <f t="shared" si="317"/>
        <v>0</v>
      </c>
      <c r="L86" s="5">
        <f t="shared" si="318"/>
        <v>0</v>
      </c>
      <c r="N86" s="1" t="s">
        <v>36</v>
      </c>
      <c r="O86" s="9">
        <f t="array" ref="O86">SUM(IF((modeldata!$I:$I=$N$77)*(modeldata!$H:$H=calibration_simplemodes!$N86),modeldata!D:D,0))</f>
        <v>0</v>
      </c>
      <c r="P86" s="5">
        <f t="array" ref="P86">SUM(IF((modeldata!$I:$I=$N$77)*(modeldata!$H:$H=calibration_simplemodes!$N86),modeldata!E:E,0))</f>
        <v>0</v>
      </c>
      <c r="Q86" s="10">
        <f t="array" ref="Q86">SUM(IF((modeldata!$I:$I=$N$77)*(modeldata!$H:$H=calibration_simplemodes!$N86),modeldata!F:F,0))</f>
        <v>0</v>
      </c>
      <c r="R86" s="5">
        <f t="shared" si="319"/>
        <v>0</v>
      </c>
      <c r="T86" s="1" t="s">
        <v>36</v>
      </c>
      <c r="U86" s="23" t="e">
        <f>I86/I89</f>
        <v>#DIV/0!</v>
      </c>
      <c r="V86" s="25" t="e">
        <f>J86/J89</f>
        <v>#DIV/0!</v>
      </c>
      <c r="W86" s="28" t="e">
        <f>K86/K89</f>
        <v>#DIV/0!</v>
      </c>
      <c r="X86" s="25" t="e">
        <f>L86/L89</f>
        <v>#DIV/0!</v>
      </c>
      <c r="Z86" s="1" t="s">
        <v>36</v>
      </c>
      <c r="AA86" s="23" t="e">
        <f>O86/O89</f>
        <v>#DIV/0!</v>
      </c>
      <c r="AB86" s="25" t="e">
        <f>P86/P89</f>
        <v>#DIV/0!</v>
      </c>
      <c r="AC86" s="28" t="e">
        <f>Q86/Q89</f>
        <v>#DIV/0!</v>
      </c>
      <c r="AD86" s="25" t="e">
        <f>R86/R89</f>
        <v>#DIV/0!</v>
      </c>
      <c r="AF86" s="1" t="s">
        <v>36</v>
      </c>
      <c r="AG86" s="86">
        <f t="shared" si="320"/>
        <v>0</v>
      </c>
      <c r="AH86" s="73">
        <f t="shared" si="305"/>
        <v>0</v>
      </c>
      <c r="AI86" s="87">
        <f t="shared" si="306"/>
        <v>0</v>
      </c>
      <c r="AJ86" s="73">
        <f t="shared" si="307"/>
        <v>0</v>
      </c>
      <c r="AL86" s="1" t="s">
        <v>36</v>
      </c>
      <c r="AM86" s="35" t="e">
        <f t="shared" si="321"/>
        <v>#DIV/0!</v>
      </c>
      <c r="AN86" s="32" t="e">
        <f t="shared" si="308"/>
        <v>#DIV/0!</v>
      </c>
      <c r="AO86" s="36" t="e">
        <f t="shared" si="309"/>
        <v>#DIV/0!</v>
      </c>
      <c r="AP86" s="32" t="e">
        <f t="shared" si="310"/>
        <v>#DIV/0!</v>
      </c>
      <c r="AR86" s="1" t="s">
        <v>36</v>
      </c>
      <c r="AS86" s="47">
        <f ca="1">OFFSET(workbased_existing,18,0)</f>
        <v>4.8420209089230175</v>
      </c>
      <c r="AT86" s="48">
        <f ca="1">OFFSET(workbased_existing,19,0)</f>
        <v>-3.3772121132837474</v>
      </c>
      <c r="AU86" s="49">
        <f ca="1">OFFSET(workbased_existing,20,0)</f>
        <v>-3.022133117479147</v>
      </c>
      <c r="AW86" s="1" t="s">
        <v>36</v>
      </c>
      <c r="AX86" s="47" t="e">
        <f t="shared" ref="AX86:AX88" si="330">IF(AND(U86&gt;0, AA86&gt;0),atwork_damp*LN(U86/AA86),0)</f>
        <v>#DIV/0!</v>
      </c>
      <c r="AY86" s="48" t="e">
        <f t="shared" ref="AY86:AY88" si="331">IF(AND(V86&gt;0, AB86&gt;0),atwork_damp*LN(V86/AB86),0)</f>
        <v>#DIV/0!</v>
      </c>
      <c r="AZ86" s="49" t="e">
        <f t="shared" ref="AZ86:AZ88" si="332">IF(AND(W86&gt;0, AC86&gt;0),atwork_damp*LN(W86/AC86),0)</f>
        <v>#DIV/0!</v>
      </c>
      <c r="BB86" s="1" t="s">
        <v>36</v>
      </c>
      <c r="BC86" s="47" t="e">
        <f ca="1">IF(AND(AS86=0,AX86=0),0,AS86+AX86-AX81)</f>
        <v>#DIV/0!</v>
      </c>
      <c r="BD86" s="48" t="e">
        <f t="shared" ref="BD86" ca="1" si="333">IF(AND(AT86=0,AY86=0),0,AT86+AY86-AY81)</f>
        <v>#DIV/0!</v>
      </c>
      <c r="BE86" s="49" t="e">
        <f t="shared" ref="BE86" ca="1" si="334">IF(AND(AU86=0,AZ86=0),0,AU86+AZ86-AZ81)</f>
        <v>#DIV/0!</v>
      </c>
      <c r="BG86" s="1" t="s">
        <v>36</v>
      </c>
      <c r="BH86" s="61" t="e">
        <f t="shared" si="322"/>
        <v>#DIV/0!</v>
      </c>
      <c r="BI86" s="62" t="e">
        <f t="shared" si="323"/>
        <v>#DIV/0!</v>
      </c>
      <c r="BJ86" s="61" t="e">
        <f t="shared" si="324"/>
        <v>#DIV/0!</v>
      </c>
      <c r="BK86" s="62" t="e">
        <f t="shared" si="325"/>
        <v>#DIV/0!</v>
      </c>
      <c r="BL86" s="61" t="e">
        <f t="shared" si="326"/>
        <v>#DIV/0!</v>
      </c>
      <c r="BM86" s="62" t="e">
        <f t="shared" si="327"/>
        <v>#DIV/0!</v>
      </c>
      <c r="BN86" s="60" t="e">
        <f t="shared" si="328"/>
        <v>#DIV/0!</v>
      </c>
      <c r="BO86" s="62" t="e">
        <f t="shared" si="329"/>
        <v>#DIV/0!</v>
      </c>
    </row>
    <row r="87" spans="1:67" x14ac:dyDescent="0.2">
      <c r="A87" s="1" t="s">
        <v>55</v>
      </c>
      <c r="B87" s="221">
        <f>targets!O144</f>
        <v>0</v>
      </c>
      <c r="C87" s="240">
        <f>targets!P144</f>
        <v>1854.3809722822045</v>
      </c>
      <c r="D87" s="222">
        <f>targets!Q144</f>
        <v>216.68422457084858</v>
      </c>
      <c r="E87" s="5">
        <f t="shared" ref="E87:E88" si="335">SUM(B87:D87)</f>
        <v>2071.0651968530533</v>
      </c>
      <c r="F87" s="5"/>
      <c r="G87" s="5"/>
      <c r="H87" s="1" t="s">
        <v>55</v>
      </c>
      <c r="I87" s="9">
        <f t="shared" si="315"/>
        <v>0</v>
      </c>
      <c r="J87" s="5">
        <f t="shared" si="316"/>
        <v>0</v>
      </c>
      <c r="K87" s="10">
        <f t="shared" si="317"/>
        <v>0</v>
      </c>
      <c r="L87" s="5">
        <f t="shared" si="318"/>
        <v>0</v>
      </c>
      <c r="N87" s="1" t="s">
        <v>55</v>
      </c>
      <c r="O87" s="9">
        <f t="array" ref="O87">SUM(IF((modeldata!$I:$I=$N$77)*(modeldata!$H:$H=calibration_simplemodes!$N87),modeldata!D:D,0))</f>
        <v>0</v>
      </c>
      <c r="P87" s="5">
        <f t="array" ref="P87">SUM(IF((modeldata!$I:$I=$N$77)*(modeldata!$H:$H=calibration_simplemodes!$N87),modeldata!E:E,0))</f>
        <v>0</v>
      </c>
      <c r="Q87" s="10">
        <f t="array" ref="Q87">SUM(IF((modeldata!$I:$I=$N$77)*(modeldata!$H:$H=calibration_simplemodes!$N87),modeldata!F:F,0))</f>
        <v>0</v>
      </c>
      <c r="R87" s="5">
        <f t="shared" ref="R87:R88" si="336">SUM(O87:Q87)</f>
        <v>0</v>
      </c>
      <c r="T87" s="1" t="s">
        <v>55</v>
      </c>
      <c r="U87" s="23" t="e">
        <f>I87/I89</f>
        <v>#DIV/0!</v>
      </c>
      <c r="V87" s="25" t="e">
        <f t="shared" ref="V87" si="337">J87/J89</f>
        <v>#DIV/0!</v>
      </c>
      <c r="W87" s="28" t="e">
        <f t="shared" ref="W87" si="338">K87/K89</f>
        <v>#DIV/0!</v>
      </c>
      <c r="X87" s="25" t="e">
        <f t="shared" ref="X87" si="339">L87/L89</f>
        <v>#DIV/0!</v>
      </c>
      <c r="Z87" s="1" t="s">
        <v>55</v>
      </c>
      <c r="AA87" s="23" t="e">
        <f>O87/O89</f>
        <v>#DIV/0!</v>
      </c>
      <c r="AB87" s="25" t="e">
        <f>P87/P89</f>
        <v>#DIV/0!</v>
      </c>
      <c r="AC87" s="28" t="e">
        <f>Q87/Q89</f>
        <v>#DIV/0!</v>
      </c>
      <c r="AD87" s="25" t="e">
        <f>R87/R89</f>
        <v>#DIV/0!</v>
      </c>
      <c r="AF87" s="1" t="s">
        <v>55</v>
      </c>
      <c r="AG87" s="86">
        <f t="shared" si="320"/>
        <v>0</v>
      </c>
      <c r="AH87" s="73">
        <f t="shared" si="305"/>
        <v>0</v>
      </c>
      <c r="AI87" s="87">
        <f t="shared" si="306"/>
        <v>0</v>
      </c>
      <c r="AJ87" s="73">
        <f t="shared" si="307"/>
        <v>0</v>
      </c>
      <c r="AL87" s="1" t="s">
        <v>55</v>
      </c>
      <c r="AM87" s="35" t="e">
        <f t="shared" si="321"/>
        <v>#DIV/0!</v>
      </c>
      <c r="AN87" s="32" t="e">
        <f t="shared" si="308"/>
        <v>#DIV/0!</v>
      </c>
      <c r="AO87" s="36" t="e">
        <f t="shared" si="309"/>
        <v>#DIV/0!</v>
      </c>
      <c r="AP87" s="32" t="e">
        <f t="shared" si="310"/>
        <v>#DIV/0!</v>
      </c>
      <c r="AR87" s="1" t="s">
        <v>55</v>
      </c>
      <c r="AS87" s="47">
        <f ca="1">OFFSET(workbased_existing,21,0)</f>
        <v>5.5085260908188074</v>
      </c>
      <c r="AT87" s="48">
        <f ca="1">OFFSET(workbased_existing,22,0)</f>
        <v>-3.1699375887121133</v>
      </c>
      <c r="AU87" s="49">
        <f ca="1">OFFSET(workbased_existing,23,0)</f>
        <v>-2.3541348228571715</v>
      </c>
      <c r="AW87" s="1" t="s">
        <v>55</v>
      </c>
      <c r="AX87" s="47" t="e">
        <f t="shared" si="330"/>
        <v>#DIV/0!</v>
      </c>
      <c r="AY87" s="48" t="e">
        <f t="shared" si="331"/>
        <v>#DIV/0!</v>
      </c>
      <c r="AZ87" s="49" t="e">
        <f t="shared" si="332"/>
        <v>#DIV/0!</v>
      </c>
      <c r="BB87" s="1" t="s">
        <v>55</v>
      </c>
      <c r="BC87" s="47" t="e">
        <f t="shared" ref="BC87:BC88" ca="1" si="340">IF(AND(AS87=0,AX87=0),0,AS87+AX87-AX82)</f>
        <v>#DIV/0!</v>
      </c>
      <c r="BD87" s="48" t="e">
        <f t="shared" ref="BD87:BD88" ca="1" si="341">IF(AND(AT87=0,AY87=0),0,AT87+AY87-AY82)</f>
        <v>#DIV/0!</v>
      </c>
      <c r="BE87" s="49" t="e">
        <f t="shared" ref="BE87:BE88" ca="1" si="342">IF(AND(AU87=0,AZ87=0),0,AU87+AZ87-AZ82)</f>
        <v>#DIV/0!</v>
      </c>
      <c r="BG87" s="1" t="s">
        <v>55</v>
      </c>
      <c r="BH87" s="61" t="e">
        <f t="shared" ref="BH87:BH88" si="343">U87</f>
        <v>#DIV/0!</v>
      </c>
      <c r="BI87" s="62" t="e">
        <f t="shared" ref="BI87:BI88" si="344">AA87</f>
        <v>#DIV/0!</v>
      </c>
      <c r="BJ87" s="61" t="e">
        <f t="shared" ref="BJ87:BJ88" si="345">V87</f>
        <v>#DIV/0!</v>
      </c>
      <c r="BK87" s="62" t="e">
        <f t="shared" ref="BK87:BK88" si="346">AB87</f>
        <v>#DIV/0!</v>
      </c>
      <c r="BL87" s="61" t="e">
        <f t="shared" ref="BL87:BL88" si="347">W87</f>
        <v>#DIV/0!</v>
      </c>
      <c r="BM87" s="62" t="e">
        <f t="shared" ref="BM87:BM88" si="348">AC87</f>
        <v>#DIV/0!</v>
      </c>
      <c r="BN87" s="60" t="e">
        <f t="shared" ref="BN87:BN88" si="349">X87</f>
        <v>#DIV/0!</v>
      </c>
      <c r="BO87" s="62" t="e">
        <f t="shared" ref="BO87:BO88" si="350">AD87</f>
        <v>#DIV/0!</v>
      </c>
    </row>
    <row r="88" spans="1:67" x14ac:dyDescent="0.2">
      <c r="A88" s="1" t="s">
        <v>56</v>
      </c>
      <c r="B88" s="223">
        <f>targets!O145</f>
        <v>0</v>
      </c>
      <c r="C88" s="224">
        <f>targets!P145</f>
        <v>0</v>
      </c>
      <c r="D88" s="225">
        <f>targets!Q145</f>
        <v>134.60894610574448</v>
      </c>
      <c r="E88" s="5">
        <f t="shared" si="335"/>
        <v>134.60894610574448</v>
      </c>
      <c r="F88" s="5"/>
      <c r="G88" s="5"/>
      <c r="H88" s="1" t="s">
        <v>56</v>
      </c>
      <c r="I88" s="11">
        <f t="shared" si="315"/>
        <v>0</v>
      </c>
      <c r="J88" s="12">
        <f t="shared" si="316"/>
        <v>0</v>
      </c>
      <c r="K88" s="13">
        <f t="shared" si="317"/>
        <v>0</v>
      </c>
      <c r="L88" s="5">
        <f t="shared" si="318"/>
        <v>0</v>
      </c>
      <c r="N88" s="1" t="s">
        <v>56</v>
      </c>
      <c r="O88" s="11">
        <f t="array" ref="O88">SUM(IF((modeldata!$I:$I=$N$77)*(modeldata!$H:$H=calibration_simplemodes!$N88),modeldata!D:D,0))</f>
        <v>0</v>
      </c>
      <c r="P88" s="12">
        <f t="array" ref="P88">SUM(IF((modeldata!$I:$I=$N$77)*(modeldata!$H:$H=calibration_simplemodes!$N88),modeldata!E:E,0))</f>
        <v>0</v>
      </c>
      <c r="Q88" s="13">
        <f t="array" ref="Q88">SUM(IF((modeldata!$I:$I=$N$77)*(modeldata!$H:$H=calibration_simplemodes!$N88),modeldata!F:F,0))</f>
        <v>0</v>
      </c>
      <c r="R88" s="5">
        <f t="shared" si="336"/>
        <v>0</v>
      </c>
      <c r="T88" s="1" t="s">
        <v>56</v>
      </c>
      <c r="U88" s="24" t="e">
        <f>I88/I89</f>
        <v>#DIV/0!</v>
      </c>
      <c r="V88" s="29" t="e">
        <f t="shared" ref="V88" si="351">J88/J89</f>
        <v>#DIV/0!</v>
      </c>
      <c r="W88" s="30" t="e">
        <f t="shared" ref="W88" si="352">K88/K89</f>
        <v>#DIV/0!</v>
      </c>
      <c r="X88" s="25" t="e">
        <f t="shared" ref="X88" si="353">L88/L89</f>
        <v>#DIV/0!</v>
      </c>
      <c r="Z88" s="1" t="s">
        <v>56</v>
      </c>
      <c r="AA88" s="24" t="e">
        <f>O88/O89</f>
        <v>#DIV/0!</v>
      </c>
      <c r="AB88" s="29" t="e">
        <f>P88/P89</f>
        <v>#DIV/0!</v>
      </c>
      <c r="AC88" s="30" t="e">
        <f>Q88/Q89</f>
        <v>#DIV/0!</v>
      </c>
      <c r="AD88" s="25" t="e">
        <f>R88/R89</f>
        <v>#DIV/0!</v>
      </c>
      <c r="AF88" s="1" t="s">
        <v>56</v>
      </c>
      <c r="AG88" s="88">
        <f t="shared" si="320"/>
        <v>0</v>
      </c>
      <c r="AH88" s="72">
        <f t="shared" si="305"/>
        <v>0</v>
      </c>
      <c r="AI88" s="89">
        <f t="shared" si="306"/>
        <v>0</v>
      </c>
      <c r="AJ88" s="73">
        <f t="shared" si="307"/>
        <v>0</v>
      </c>
      <c r="AL88" s="1" t="s">
        <v>56</v>
      </c>
      <c r="AM88" s="37" t="e">
        <f t="shared" si="321"/>
        <v>#DIV/0!</v>
      </c>
      <c r="AN88" s="38" t="e">
        <f t="shared" si="308"/>
        <v>#DIV/0!</v>
      </c>
      <c r="AO88" s="39" t="e">
        <f t="shared" si="309"/>
        <v>#DIV/0!</v>
      </c>
      <c r="AP88" s="32" t="e">
        <f t="shared" si="310"/>
        <v>#DIV/0!</v>
      </c>
      <c r="AR88" s="1" t="s">
        <v>56</v>
      </c>
      <c r="AS88" s="50">
        <f ca="1">OFFSET(workbased_existing,24,0)</f>
        <v>4.2713065622243782</v>
      </c>
      <c r="AT88" s="51">
        <f ca="1">OFFSET(workbased_existing,25,0)</f>
        <v>-3.7791628617553497</v>
      </c>
      <c r="AU88" s="52">
        <f ca="1">OFFSET(workbased_existing,26,0)</f>
        <v>-3.2430867960569971</v>
      </c>
      <c r="AW88" s="1" t="s">
        <v>56</v>
      </c>
      <c r="AX88" s="50" t="e">
        <f t="shared" si="330"/>
        <v>#DIV/0!</v>
      </c>
      <c r="AY88" s="51" t="e">
        <f t="shared" si="331"/>
        <v>#DIV/0!</v>
      </c>
      <c r="AZ88" s="52" t="e">
        <f t="shared" si="332"/>
        <v>#DIV/0!</v>
      </c>
      <c r="BB88" s="1" t="s">
        <v>56</v>
      </c>
      <c r="BC88" s="50" t="e">
        <f t="shared" ca="1" si="340"/>
        <v>#DIV/0!</v>
      </c>
      <c r="BD88" s="51" t="e">
        <f t="shared" ca="1" si="341"/>
        <v>#DIV/0!</v>
      </c>
      <c r="BE88" s="52" t="e">
        <f t="shared" ca="1" si="342"/>
        <v>#DIV/0!</v>
      </c>
      <c r="BG88" s="1" t="s">
        <v>56</v>
      </c>
      <c r="BH88" s="63" t="e">
        <f t="shared" si="343"/>
        <v>#DIV/0!</v>
      </c>
      <c r="BI88" s="65" t="e">
        <f t="shared" si="344"/>
        <v>#DIV/0!</v>
      </c>
      <c r="BJ88" s="63" t="e">
        <f t="shared" si="345"/>
        <v>#DIV/0!</v>
      </c>
      <c r="BK88" s="65" t="e">
        <f t="shared" si="346"/>
        <v>#DIV/0!</v>
      </c>
      <c r="BL88" s="63" t="e">
        <f t="shared" si="347"/>
        <v>#DIV/0!</v>
      </c>
      <c r="BM88" s="65" t="e">
        <f t="shared" si="348"/>
        <v>#DIV/0!</v>
      </c>
      <c r="BN88" s="64" t="e">
        <f t="shared" si="349"/>
        <v>#DIV/0!</v>
      </c>
      <c r="BO88" s="65" t="e">
        <f t="shared" si="350"/>
        <v>#DIV/0!</v>
      </c>
    </row>
    <row r="89" spans="1:67" x14ac:dyDescent="0.2">
      <c r="A89" s="1" t="s">
        <v>1</v>
      </c>
      <c r="B89" s="5">
        <f>SUM(B79:B88)</f>
        <v>26673.540170118802</v>
      </c>
      <c r="C89" s="5">
        <f>SUM(C79:C88)</f>
        <v>38947.190861393101</v>
      </c>
      <c r="D89" s="5">
        <f>SUM(D79:D88)</f>
        <v>288797.62933578214</v>
      </c>
      <c r="E89" s="5">
        <f>SUM(B89:D89)</f>
        <v>354418.36036729405</v>
      </c>
      <c r="F89" s="5"/>
      <c r="G89" s="5"/>
      <c r="H89" s="1" t="s">
        <v>1</v>
      </c>
      <c r="I89" s="5">
        <f>SUM(I79:I88)</f>
        <v>0</v>
      </c>
      <c r="J89" s="5">
        <f t="shared" ref="J89" si="354">SUM(J79:J88)</f>
        <v>0</v>
      </c>
      <c r="K89" s="5">
        <f t="shared" ref="K89" si="355">SUM(K79:K88)</f>
        <v>0</v>
      </c>
      <c r="L89" s="5">
        <f>SUM(I89:K89)</f>
        <v>0</v>
      </c>
      <c r="N89" s="1" t="s">
        <v>1</v>
      </c>
      <c r="O89" s="5">
        <f t="array" ref="O89">SUM(IF(modeldata!$I:$I=$N$77,modeldata!D:D,0))</f>
        <v>0</v>
      </c>
      <c r="P89" s="5">
        <f t="array" ref="P89">SUM(IF(modeldata!$I:$I=$N$77,modeldata!E:E,0))</f>
        <v>0</v>
      </c>
      <c r="Q89" s="5">
        <f t="array" ref="Q89">SUM(IF(modeldata!$I:$I=$N$77,modeldata!F:F,0))</f>
        <v>0</v>
      </c>
      <c r="R89" s="5">
        <f t="shared" ref="R89" si="356">SUM(O89:Q89)</f>
        <v>0</v>
      </c>
      <c r="S89" s="5"/>
      <c r="T89" s="1" t="s">
        <v>1</v>
      </c>
      <c r="U89" s="25" t="e">
        <f>SUM(U79:U88)</f>
        <v>#DIV/0!</v>
      </c>
      <c r="V89" s="25" t="e">
        <f t="shared" ref="V89" si="357">SUM(V79:V88)</f>
        <v>#DIV/0!</v>
      </c>
      <c r="W89" s="25" t="e">
        <f t="shared" ref="W89" si="358">SUM(W79:W88)</f>
        <v>#DIV/0!</v>
      </c>
      <c r="X89" s="25" t="e">
        <f t="shared" ref="X89" si="359">SUM(X79:X88)</f>
        <v>#DIV/0!</v>
      </c>
      <c r="Z89" s="1" t="s">
        <v>1</v>
      </c>
      <c r="AA89" s="60" t="e">
        <f>SUM(AA79:AA88)</f>
        <v>#DIV/0!</v>
      </c>
      <c r="AB89" s="60" t="e">
        <f t="shared" ref="AB89" si="360">SUM(AB79:AB88)</f>
        <v>#DIV/0!</v>
      </c>
      <c r="AC89" s="60" t="e">
        <f t="shared" ref="AC89" si="361">SUM(AC79:AC88)</f>
        <v>#DIV/0!</v>
      </c>
      <c r="AD89" s="25" t="e">
        <f>SUM(AD79:AD86)</f>
        <v>#DIV/0!</v>
      </c>
      <c r="AF89" s="1" t="s">
        <v>1</v>
      </c>
      <c r="AG89" s="5">
        <f t="shared" si="320"/>
        <v>0</v>
      </c>
      <c r="AH89" s="5">
        <f t="shared" si="305"/>
        <v>0</v>
      </c>
      <c r="AI89" s="5">
        <f t="shared" si="306"/>
        <v>0</v>
      </c>
      <c r="AJ89" s="73">
        <f t="shared" si="307"/>
        <v>0</v>
      </c>
      <c r="AL89" s="1" t="s">
        <v>1</v>
      </c>
      <c r="AM89" s="32" t="e">
        <f t="shared" si="321"/>
        <v>#DIV/0!</v>
      </c>
      <c r="AN89" s="32" t="e">
        <f t="shared" si="308"/>
        <v>#DIV/0!</v>
      </c>
      <c r="AO89" s="32" t="e">
        <f t="shared" si="309"/>
        <v>#DIV/0!</v>
      </c>
      <c r="AP89" s="32" t="e">
        <f t="shared" si="310"/>
        <v>#DIV/0!</v>
      </c>
      <c r="BG89" s="1" t="s">
        <v>1</v>
      </c>
      <c r="BH89" s="60" t="e">
        <f>SUM(BH79:BH88)</f>
        <v>#DIV/0!</v>
      </c>
      <c r="BI89" s="60" t="e">
        <f t="shared" ref="BI89" si="362">SUM(BI79:BI88)</f>
        <v>#DIV/0!</v>
      </c>
      <c r="BJ89" s="60" t="e">
        <f t="shared" ref="BJ89" si="363">SUM(BJ79:BJ88)</f>
        <v>#DIV/0!</v>
      </c>
      <c r="BK89" s="60" t="e">
        <f t="shared" ref="BK89" si="364">SUM(BK79:BK88)</f>
        <v>#DIV/0!</v>
      </c>
      <c r="BL89" s="60" t="e">
        <f t="shared" ref="BL89" si="365">SUM(BL79:BL88)</f>
        <v>#DIV/0!</v>
      </c>
      <c r="BM89" s="60" t="e">
        <f t="shared" ref="BM89" si="366">SUM(BM79:BM88)</f>
        <v>#DIV/0!</v>
      </c>
      <c r="BN89" s="60" t="e">
        <f t="shared" ref="BN89" si="367">SUM(BN79:BN88)</f>
        <v>#DIV/0!</v>
      </c>
      <c r="BO89" s="60" t="e">
        <f t="shared" ref="BO89" si="368">SUM(BO79:BO88)</f>
        <v>#DIV/0!</v>
      </c>
    </row>
    <row r="92" spans="1:67" s="16" customFormat="1" x14ac:dyDescent="0.2">
      <c r="A92" s="15" t="s">
        <v>60</v>
      </c>
      <c r="H92" s="15" t="s">
        <v>60</v>
      </c>
      <c r="N92" s="15" t="s">
        <v>60</v>
      </c>
      <c r="T92" s="15" t="s">
        <v>60</v>
      </c>
      <c r="Z92" s="15" t="s">
        <v>60</v>
      </c>
      <c r="AF92" s="15" t="s">
        <v>60</v>
      </c>
      <c r="AL92" s="15" t="s">
        <v>60</v>
      </c>
      <c r="AR92" s="15" t="s">
        <v>60</v>
      </c>
      <c r="AW92" s="15" t="s">
        <v>60</v>
      </c>
      <c r="BB92" s="15" t="s">
        <v>60</v>
      </c>
      <c r="BG92" s="15" t="s">
        <v>60</v>
      </c>
      <c r="BH92" s="216" t="s">
        <v>139</v>
      </c>
      <c r="BI92" s="217" t="s">
        <v>140</v>
      </c>
      <c r="BJ92" s="217" t="s">
        <v>139</v>
      </c>
      <c r="BK92" s="217" t="s">
        <v>140</v>
      </c>
      <c r="BL92" s="217" t="s">
        <v>139</v>
      </c>
      <c r="BM92" s="217" t="s">
        <v>140</v>
      </c>
      <c r="BN92" s="217" t="s">
        <v>139</v>
      </c>
      <c r="BO92" s="217" t="s">
        <v>140</v>
      </c>
    </row>
    <row r="93" spans="1:67" ht="38.25" x14ac:dyDescent="0.2">
      <c r="B93" s="14" t="s">
        <v>38</v>
      </c>
      <c r="C93" s="14" t="s">
        <v>37</v>
      </c>
      <c r="D93" s="14" t="s">
        <v>0</v>
      </c>
      <c r="E93" s="17" t="s">
        <v>1</v>
      </c>
      <c r="F93" s="17"/>
      <c r="G93" s="17"/>
      <c r="I93" s="14" t="s">
        <v>38</v>
      </c>
      <c r="J93" s="14" t="s">
        <v>37</v>
      </c>
      <c r="K93" s="14" t="s">
        <v>0</v>
      </c>
      <c r="L93" s="17" t="s">
        <v>1</v>
      </c>
      <c r="O93" s="14" t="s">
        <v>38</v>
      </c>
      <c r="P93" s="14" t="s">
        <v>37</v>
      </c>
      <c r="Q93" s="14" t="s">
        <v>0</v>
      </c>
      <c r="R93" s="17" t="s">
        <v>1</v>
      </c>
      <c r="U93" s="14" t="s">
        <v>38</v>
      </c>
      <c r="V93" s="14" t="s">
        <v>37</v>
      </c>
      <c r="W93" s="14" t="s">
        <v>0</v>
      </c>
      <c r="X93" s="17" t="s">
        <v>1</v>
      </c>
      <c r="AA93" s="14" t="s">
        <v>38</v>
      </c>
      <c r="AB93" s="14" t="s">
        <v>37</v>
      </c>
      <c r="AC93" s="14" t="s">
        <v>0</v>
      </c>
      <c r="AD93" s="17" t="s">
        <v>1</v>
      </c>
      <c r="AG93" s="14" t="s">
        <v>38</v>
      </c>
      <c r="AH93" s="14" t="s">
        <v>37</v>
      </c>
      <c r="AI93" s="14" t="s">
        <v>0</v>
      </c>
      <c r="AJ93" s="17" t="s">
        <v>1</v>
      </c>
      <c r="AM93" s="14" t="s">
        <v>38</v>
      </c>
      <c r="AN93" s="14" t="s">
        <v>37</v>
      </c>
      <c r="AO93" s="14" t="s">
        <v>0</v>
      </c>
      <c r="AP93" s="17" t="s">
        <v>1</v>
      </c>
      <c r="AS93" s="14" t="s">
        <v>38</v>
      </c>
      <c r="AT93" s="14" t="s">
        <v>37</v>
      </c>
      <c r="AU93" s="14" t="s">
        <v>0</v>
      </c>
      <c r="AW93" s="53">
        <v>0</v>
      </c>
      <c r="AX93" s="14" t="s">
        <v>38</v>
      </c>
      <c r="AY93" s="14" t="s">
        <v>37</v>
      </c>
      <c r="AZ93" s="14" t="s">
        <v>0</v>
      </c>
      <c r="BC93" s="14" t="s">
        <v>118</v>
      </c>
      <c r="BD93" s="14" t="s">
        <v>119</v>
      </c>
      <c r="BE93" s="14" t="s">
        <v>0</v>
      </c>
      <c r="BH93" s="218" t="s">
        <v>142</v>
      </c>
      <c r="BI93" s="218" t="s">
        <v>142</v>
      </c>
      <c r="BJ93" s="218" t="s">
        <v>143</v>
      </c>
      <c r="BK93" s="218" t="s">
        <v>143</v>
      </c>
      <c r="BL93" s="218" t="s">
        <v>144</v>
      </c>
      <c r="BM93" s="218" t="s">
        <v>145</v>
      </c>
      <c r="BN93" s="219" t="s">
        <v>141</v>
      </c>
      <c r="BO93" s="219" t="s">
        <v>141</v>
      </c>
    </row>
    <row r="94" spans="1:67" x14ac:dyDescent="0.2">
      <c r="A94" s="1" t="s">
        <v>2</v>
      </c>
      <c r="B94" s="6">
        <f>targets!O153</f>
        <v>9781.6975906934076</v>
      </c>
      <c r="C94" s="7">
        <f>targets!P153</f>
        <v>12889.278189078326</v>
      </c>
      <c r="D94" s="8">
        <f>targets!Q153</f>
        <v>129511.0953371381</v>
      </c>
      <c r="E94" s="5">
        <f>SUM(B94:D94)</f>
        <v>152182.07111690985</v>
      </c>
      <c r="F94" s="5"/>
      <c r="G94" s="5"/>
      <c r="H94" s="1" t="s">
        <v>2</v>
      </c>
      <c r="I94" s="6">
        <f>B94*((O$104)/(B$104))</f>
        <v>0</v>
      </c>
      <c r="J94" s="7">
        <f t="shared" ref="J94:K94" si="369">C94*((P$104)/(C$104))</f>
        <v>0</v>
      </c>
      <c r="K94" s="8">
        <f t="shared" si="369"/>
        <v>0</v>
      </c>
      <c r="L94" s="5">
        <f>SUM(I94:K94)</f>
        <v>0</v>
      </c>
      <c r="N94" s="1" t="s">
        <v>2</v>
      </c>
      <c r="O94" s="6">
        <f t="array" ref="O94">SUM(IF((modeldata!$I:$I=$N$92)*(modeldata!$H:$H=calibration_simplemodes!$N94),modeldata!D:D,0))</f>
        <v>0</v>
      </c>
      <c r="P94" s="7">
        <f t="array" ref="P94">SUM(IF((modeldata!$I:$I=$N$92)*(modeldata!$H:$H=calibration_simplemodes!$N94),modeldata!E:E,0))</f>
        <v>0</v>
      </c>
      <c r="Q94" s="8">
        <f t="array" ref="Q94">SUM(IF((modeldata!$I:$I=$N$92)*(modeldata!$H:$H=calibration_simplemodes!$N94),modeldata!F:F,0))</f>
        <v>0</v>
      </c>
      <c r="R94" s="5">
        <f>SUM(O94:Q94)</f>
        <v>0</v>
      </c>
      <c r="T94" s="1" t="s">
        <v>2</v>
      </c>
      <c r="U94" s="22" t="e">
        <f>I94/I104</f>
        <v>#DIV/0!</v>
      </c>
      <c r="V94" s="26" t="e">
        <f>J94/J104</f>
        <v>#DIV/0!</v>
      </c>
      <c r="W94" s="27" t="e">
        <f>K94/K104</f>
        <v>#DIV/0!</v>
      </c>
      <c r="X94" s="25" t="e">
        <f>L94/L104</f>
        <v>#DIV/0!</v>
      </c>
      <c r="Z94" s="1" t="s">
        <v>2</v>
      </c>
      <c r="AA94" s="22" t="e">
        <f>O94/O104</f>
        <v>#DIV/0!</v>
      </c>
      <c r="AB94" s="26" t="e">
        <f>P94/P104</f>
        <v>#DIV/0!</v>
      </c>
      <c r="AC94" s="27" t="e">
        <f>Q94/Q104</f>
        <v>#DIV/0!</v>
      </c>
      <c r="AD94" s="25" t="e">
        <f>R94/R104</f>
        <v>#DIV/0!</v>
      </c>
      <c r="AF94" s="1" t="s">
        <v>2</v>
      </c>
      <c r="AG94" s="83">
        <f>O94-I94</f>
        <v>0</v>
      </c>
      <c r="AH94" s="84">
        <f t="shared" ref="AH94:AH104" si="370">P94-J94</f>
        <v>0</v>
      </c>
      <c r="AI94" s="85">
        <f t="shared" ref="AI94:AI104" si="371">Q94-K94</f>
        <v>0</v>
      </c>
      <c r="AJ94" s="73">
        <f t="shared" ref="AJ94:AJ104" si="372">R94-L94</f>
        <v>0</v>
      </c>
      <c r="AL94" s="1" t="s">
        <v>2</v>
      </c>
      <c r="AM94" s="31" t="e">
        <f>AA94-U94</f>
        <v>#DIV/0!</v>
      </c>
      <c r="AN94" s="33" t="e">
        <f t="shared" ref="AN94:AN104" si="373">AB94-V94</f>
        <v>#DIV/0!</v>
      </c>
      <c r="AO94" s="34" t="e">
        <f t="shared" ref="AO94:AO104" si="374">AC94-W94</f>
        <v>#DIV/0!</v>
      </c>
      <c r="AP94" s="32" t="e">
        <f t="shared" ref="AP94:AP104" si="375">AD94-X94</f>
        <v>#DIV/0!</v>
      </c>
      <c r="AR94" s="1" t="s">
        <v>2</v>
      </c>
      <c r="AS94" s="44">
        <f ca="1">OFFSET(joint_existing,0,0)</f>
        <v>-2.3505204046613182</v>
      </c>
      <c r="AT94" s="45">
        <f ca="1">OFFSET(joint_existing,1,0)</f>
        <v>-5.6817039430815885</v>
      </c>
      <c r="AU94" s="46">
        <f ca="1">OFFSET(joint_existing,2,0)</f>
        <v>-7.787472888668602</v>
      </c>
      <c r="AW94" s="1" t="s">
        <v>2</v>
      </c>
      <c r="AX94" s="44" t="e">
        <f t="shared" ref="AX94:AX100" si="376">IF(AND(U94&gt;0, AA94&gt;0),joint_damp*LN(U94/AA94),0)</f>
        <v>#DIV/0!</v>
      </c>
      <c r="AY94" s="45" t="e">
        <f t="shared" ref="AY94:AY100" si="377">IF(AND(V94&gt;0, AB94&gt;0),joint_damp*LN(V94/AB94),0)</f>
        <v>#DIV/0!</v>
      </c>
      <c r="AZ94" s="46" t="e">
        <f t="shared" ref="AZ94:AZ100" si="378">IF(AND(W94&gt;0, AC94&gt;0),joint_damp*LN(W94/AC94),0)</f>
        <v>#DIV/0!</v>
      </c>
      <c r="BB94" s="1" t="s">
        <v>2</v>
      </c>
      <c r="BC94" s="44" t="e">
        <f ca="1">AS94+AX94-AX96</f>
        <v>#DIV/0!</v>
      </c>
      <c r="BD94" s="45" t="e">
        <f ca="1">AT94+AY94-AY96</f>
        <v>#DIV/0!</v>
      </c>
      <c r="BE94" s="46" t="e">
        <f ca="1">AU94+AZ94-AZ96</f>
        <v>#DIV/0!</v>
      </c>
      <c r="BG94" s="1" t="s">
        <v>2</v>
      </c>
      <c r="BH94" s="57" t="e">
        <f>U94</f>
        <v>#DIV/0!</v>
      </c>
      <c r="BI94" s="59" t="e">
        <f>AA94</f>
        <v>#DIV/0!</v>
      </c>
      <c r="BJ94" s="57" t="e">
        <f>V94</f>
        <v>#DIV/0!</v>
      </c>
      <c r="BK94" s="59" t="e">
        <f>AB94</f>
        <v>#DIV/0!</v>
      </c>
      <c r="BL94" s="57" t="e">
        <f>W94</f>
        <v>#DIV/0!</v>
      </c>
      <c r="BM94" s="59" t="e">
        <f>AC94</f>
        <v>#DIV/0!</v>
      </c>
      <c r="BN94" s="58" t="e">
        <f>X94</f>
        <v>#DIV/0!</v>
      </c>
      <c r="BO94" s="59" t="e">
        <f>AD94</f>
        <v>#DIV/0!</v>
      </c>
    </row>
    <row r="95" spans="1:67" x14ac:dyDescent="0.2">
      <c r="A95" s="1" t="s">
        <v>31</v>
      </c>
      <c r="B95" s="9">
        <f>targets!O154</f>
        <v>0</v>
      </c>
      <c r="C95" s="5">
        <f>targets!P154</f>
        <v>74.657418374461116</v>
      </c>
      <c r="D95" s="10">
        <f>targets!Q154</f>
        <v>2936.3659295487632</v>
      </c>
      <c r="E95" s="5">
        <f t="shared" ref="E95:E101" si="379">SUM(B95:D95)</f>
        <v>3011.0233479232243</v>
      </c>
      <c r="F95" s="5"/>
      <c r="G95" s="5"/>
      <c r="H95" s="1" t="s">
        <v>31</v>
      </c>
      <c r="I95" s="9">
        <f t="shared" ref="I95:I103" si="380">B95*((O$104)/(B$104))</f>
        <v>0</v>
      </c>
      <c r="J95" s="5">
        <f t="shared" ref="J95:J103" si="381">C95*((P$104)/(C$104))</f>
        <v>0</v>
      </c>
      <c r="K95" s="10">
        <f t="shared" ref="K95:K103" si="382">D95*((Q$104)/(D$104))</f>
        <v>0</v>
      </c>
      <c r="L95" s="5">
        <f t="shared" ref="L95:L103" si="383">SUM(I95:K95)</f>
        <v>0</v>
      </c>
      <c r="N95" s="1" t="s">
        <v>31</v>
      </c>
      <c r="O95" s="9">
        <f t="array" ref="O95">SUM(IF((modeldata!$I:$I=$N$92)*(modeldata!$H:$H=calibration_simplemodes!$N95),modeldata!D:D,0))</f>
        <v>0</v>
      </c>
      <c r="P95" s="5">
        <f t="array" ref="P95">SUM(IF((modeldata!$I:$I=$N$92)*(modeldata!$H:$H=calibration_simplemodes!$N95),modeldata!E:E,0))</f>
        <v>0</v>
      </c>
      <c r="Q95" s="10">
        <f t="array" ref="Q95">SUM(IF((modeldata!$I:$I=$N$92)*(modeldata!$H:$H=calibration_simplemodes!$N95),modeldata!F:F,0))</f>
        <v>0</v>
      </c>
      <c r="R95" s="5">
        <f t="shared" ref="R95:R101" si="384">SUM(O95:Q95)</f>
        <v>0</v>
      </c>
      <c r="T95" s="1" t="s">
        <v>31</v>
      </c>
      <c r="U95" s="23" t="e">
        <f>I95/I104</f>
        <v>#DIV/0!</v>
      </c>
      <c r="V95" s="25" t="e">
        <f>J95/J104</f>
        <v>#DIV/0!</v>
      </c>
      <c r="W95" s="28" t="e">
        <f>K95/K104</f>
        <v>#DIV/0!</v>
      </c>
      <c r="X95" s="25" t="e">
        <f>L95/L104</f>
        <v>#DIV/0!</v>
      </c>
      <c r="Z95" s="1" t="s">
        <v>31</v>
      </c>
      <c r="AA95" s="23" t="e">
        <f>O95/O104</f>
        <v>#DIV/0!</v>
      </c>
      <c r="AB95" s="25" t="e">
        <f>P95/P104</f>
        <v>#DIV/0!</v>
      </c>
      <c r="AC95" s="28" t="e">
        <f>Q95/Q104</f>
        <v>#DIV/0!</v>
      </c>
      <c r="AD95" s="25" t="e">
        <f>R95/R104</f>
        <v>#DIV/0!</v>
      </c>
      <c r="AF95" s="1" t="s">
        <v>31</v>
      </c>
      <c r="AG95" s="86">
        <f t="shared" ref="AG95:AG104" si="385">O95-I95</f>
        <v>0</v>
      </c>
      <c r="AH95" s="73">
        <f t="shared" si="370"/>
        <v>0</v>
      </c>
      <c r="AI95" s="87">
        <f t="shared" si="371"/>
        <v>0</v>
      </c>
      <c r="AJ95" s="73">
        <f t="shared" si="372"/>
        <v>0</v>
      </c>
      <c r="AL95" s="1" t="s">
        <v>31</v>
      </c>
      <c r="AM95" s="35" t="e">
        <f t="shared" ref="AM95:AM104" si="386">AA95-U95</f>
        <v>#DIV/0!</v>
      </c>
      <c r="AN95" s="32" t="e">
        <f t="shared" si="373"/>
        <v>#DIV/0!</v>
      </c>
      <c r="AO95" s="36" t="e">
        <f t="shared" si="374"/>
        <v>#DIV/0!</v>
      </c>
      <c r="AP95" s="32" t="e">
        <f t="shared" si="375"/>
        <v>#DIV/0!</v>
      </c>
      <c r="AR95" s="1" t="s">
        <v>31</v>
      </c>
      <c r="AS95" s="47">
        <f ca="1">OFFSET(joint_existing,3,0)</f>
        <v>-4.4556271225409212</v>
      </c>
      <c r="AT95" s="48">
        <f ca="1">OFFSET(joint_existing,4,0)</f>
        <v>-8.0967498335842354</v>
      </c>
      <c r="AU95" s="49">
        <f ca="1">OFFSET(joint_existing,5,0)</f>
        <v>-7.4818583426191125</v>
      </c>
      <c r="AW95" s="1" t="s">
        <v>31</v>
      </c>
      <c r="AX95" s="47" t="e">
        <f t="shared" si="376"/>
        <v>#DIV/0!</v>
      </c>
      <c r="AY95" s="48" t="e">
        <f t="shared" si="377"/>
        <v>#DIV/0!</v>
      </c>
      <c r="AZ95" s="49" t="e">
        <f t="shared" si="378"/>
        <v>#DIV/0!</v>
      </c>
      <c r="BB95" s="1" t="s">
        <v>31</v>
      </c>
      <c r="BC95" s="47" t="e">
        <f ca="1">AS95+AX95-AX96</f>
        <v>#DIV/0!</v>
      </c>
      <c r="BD95" s="48" t="e">
        <f ca="1">AT95+AY95-AY96</f>
        <v>#DIV/0!</v>
      </c>
      <c r="BE95" s="49" t="e">
        <f ca="1">AU95+AZ95-AZ96</f>
        <v>#DIV/0!</v>
      </c>
      <c r="BG95" s="1" t="s">
        <v>31</v>
      </c>
      <c r="BH95" s="61" t="e">
        <f t="shared" ref="BH95:BH101" si="387">U95</f>
        <v>#DIV/0!</v>
      </c>
      <c r="BI95" s="62" t="e">
        <f t="shared" ref="BI95:BI101" si="388">AA95</f>
        <v>#DIV/0!</v>
      </c>
      <c r="BJ95" s="61" t="e">
        <f t="shared" ref="BJ95:BJ101" si="389">V95</f>
        <v>#DIV/0!</v>
      </c>
      <c r="BK95" s="62" t="e">
        <f t="shared" ref="BK95:BK101" si="390">AB95</f>
        <v>#DIV/0!</v>
      </c>
      <c r="BL95" s="61" t="e">
        <f t="shared" ref="BL95:BL101" si="391">W95</f>
        <v>#DIV/0!</v>
      </c>
      <c r="BM95" s="62" t="e">
        <f t="shared" ref="BM95:BM101" si="392">AC95</f>
        <v>#DIV/0!</v>
      </c>
      <c r="BN95" s="60" t="e">
        <f t="shared" ref="BN95:BN101" si="393">X95</f>
        <v>#DIV/0!</v>
      </c>
      <c r="BO95" s="62" t="e">
        <f t="shared" ref="BO95:BO101" si="394">AD95</f>
        <v>#DIV/0!</v>
      </c>
    </row>
    <row r="96" spans="1:67" x14ac:dyDescent="0.2">
      <c r="A96" s="1" t="s">
        <v>32</v>
      </c>
      <c r="B96" s="9">
        <f>targets!O150</f>
        <v>0</v>
      </c>
      <c r="C96" s="5">
        <f>targets!P150</f>
        <v>83.237282756700438</v>
      </c>
      <c r="D96" s="10">
        <f>targets!Q150</f>
        <v>341.87404802104356</v>
      </c>
      <c r="E96" s="5">
        <f t="shared" si="379"/>
        <v>425.111330777744</v>
      </c>
      <c r="F96" s="5"/>
      <c r="G96" s="5"/>
      <c r="H96" s="1" t="s">
        <v>32</v>
      </c>
      <c r="I96" s="9">
        <f t="shared" si="380"/>
        <v>0</v>
      </c>
      <c r="J96" s="5">
        <f t="shared" si="381"/>
        <v>0</v>
      </c>
      <c r="K96" s="10">
        <f t="shared" si="382"/>
        <v>0</v>
      </c>
      <c r="L96" s="5">
        <f t="shared" si="383"/>
        <v>0</v>
      </c>
      <c r="N96" s="1" t="s">
        <v>32</v>
      </c>
      <c r="O96" s="9">
        <f t="array" ref="O96">SUM(IF((modeldata!$I:$I=$N$92)*(modeldata!$H:$H=calibration_simplemodes!$N96),modeldata!D:D,0))</f>
        <v>0</v>
      </c>
      <c r="P96" s="5">
        <f t="array" ref="P96">SUM(IF((modeldata!$I:$I=$N$92)*(modeldata!$H:$H=calibration_simplemodes!$N96),modeldata!E:E,0))</f>
        <v>0</v>
      </c>
      <c r="Q96" s="10">
        <f t="array" ref="Q96">SUM(IF((modeldata!$I:$I=$N$92)*(modeldata!$H:$H=calibration_simplemodes!$N96),modeldata!F:F,0))</f>
        <v>0</v>
      </c>
      <c r="R96" s="5">
        <f t="shared" si="384"/>
        <v>0</v>
      </c>
      <c r="T96" s="1" t="s">
        <v>32</v>
      </c>
      <c r="U96" s="23" t="e">
        <f>I96/I104</f>
        <v>#DIV/0!</v>
      </c>
      <c r="V96" s="25" t="e">
        <f>J96/J104</f>
        <v>#DIV/0!</v>
      </c>
      <c r="W96" s="28" t="e">
        <f>K96/K104</f>
        <v>#DIV/0!</v>
      </c>
      <c r="X96" s="25" t="e">
        <f>L96/L104</f>
        <v>#DIV/0!</v>
      </c>
      <c r="Z96" s="1" t="s">
        <v>32</v>
      </c>
      <c r="AA96" s="23" t="e">
        <f>O96/O104</f>
        <v>#DIV/0!</v>
      </c>
      <c r="AB96" s="25" t="e">
        <f>P96/P104</f>
        <v>#DIV/0!</v>
      </c>
      <c r="AC96" s="28" t="e">
        <f>Q96/Q104</f>
        <v>#DIV/0!</v>
      </c>
      <c r="AD96" s="25" t="e">
        <f>R96/R104</f>
        <v>#DIV/0!</v>
      </c>
      <c r="AF96" s="1" t="s">
        <v>32</v>
      </c>
      <c r="AG96" s="86">
        <f t="shared" si="385"/>
        <v>0</v>
      </c>
      <c r="AH96" s="73">
        <f t="shared" si="370"/>
        <v>0</v>
      </c>
      <c r="AI96" s="87">
        <f t="shared" si="371"/>
        <v>0</v>
      </c>
      <c r="AJ96" s="73">
        <f t="shared" si="372"/>
        <v>0</v>
      </c>
      <c r="AL96" s="1" t="s">
        <v>32</v>
      </c>
      <c r="AM96" s="35" t="e">
        <f t="shared" si="386"/>
        <v>#DIV/0!</v>
      </c>
      <c r="AN96" s="32" t="e">
        <f t="shared" si="373"/>
        <v>#DIV/0!</v>
      </c>
      <c r="AO96" s="36" t="e">
        <f t="shared" si="374"/>
        <v>#DIV/0!</v>
      </c>
      <c r="AP96" s="32" t="e">
        <f t="shared" si="375"/>
        <v>#DIV/0!</v>
      </c>
      <c r="AR96" s="1" t="s">
        <v>32</v>
      </c>
      <c r="AS96" s="47">
        <v>0</v>
      </c>
      <c r="AT96" s="48">
        <v>0</v>
      </c>
      <c r="AU96" s="49">
        <v>0</v>
      </c>
      <c r="AW96" s="1" t="s">
        <v>32</v>
      </c>
      <c r="AX96" s="47" t="e">
        <f t="shared" si="376"/>
        <v>#DIV/0!</v>
      </c>
      <c r="AY96" s="48" t="e">
        <f t="shared" si="377"/>
        <v>#DIV/0!</v>
      </c>
      <c r="AZ96" s="49" t="e">
        <f t="shared" si="378"/>
        <v>#DIV/0!</v>
      </c>
      <c r="BB96" s="1" t="s">
        <v>32</v>
      </c>
      <c r="BC96" s="47" t="e">
        <f>AS96+AX96-AX96</f>
        <v>#DIV/0!</v>
      </c>
      <c r="BD96" s="48" t="e">
        <f>AT96+AY96-AY96</f>
        <v>#DIV/0!</v>
      </c>
      <c r="BE96" s="49" t="e">
        <f>AU96+AZ96-AZ96</f>
        <v>#DIV/0!</v>
      </c>
      <c r="BG96" s="1" t="s">
        <v>32</v>
      </c>
      <c r="BH96" s="61" t="e">
        <f t="shared" si="387"/>
        <v>#DIV/0!</v>
      </c>
      <c r="BI96" s="62" t="e">
        <f t="shared" si="388"/>
        <v>#DIV/0!</v>
      </c>
      <c r="BJ96" s="61" t="e">
        <f t="shared" si="389"/>
        <v>#DIV/0!</v>
      </c>
      <c r="BK96" s="62" t="e">
        <f t="shared" si="390"/>
        <v>#DIV/0!</v>
      </c>
      <c r="BL96" s="61" t="e">
        <f t="shared" si="391"/>
        <v>#DIV/0!</v>
      </c>
      <c r="BM96" s="62" t="e">
        <f t="shared" si="392"/>
        <v>#DIV/0!</v>
      </c>
      <c r="BN96" s="60" t="e">
        <f t="shared" si="393"/>
        <v>#DIV/0!</v>
      </c>
      <c r="BO96" s="62" t="e">
        <f t="shared" si="394"/>
        <v>#DIV/0!</v>
      </c>
    </row>
    <row r="97" spans="1:67" x14ac:dyDescent="0.2">
      <c r="A97" s="1" t="s">
        <v>33</v>
      </c>
      <c r="B97" s="9">
        <f>targets!O151</f>
        <v>671.99846428419482</v>
      </c>
      <c r="C97" s="5">
        <f>targets!P151</f>
        <v>19612.091405753075</v>
      </c>
      <c r="D97" s="10">
        <f>targets!Q151</f>
        <v>280571.64109590149</v>
      </c>
      <c r="E97" s="5">
        <f t="shared" si="379"/>
        <v>300855.73096593877</v>
      </c>
      <c r="F97" s="5"/>
      <c r="G97" s="5"/>
      <c r="H97" s="1" t="s">
        <v>33</v>
      </c>
      <c r="I97" s="9">
        <f t="shared" si="380"/>
        <v>0</v>
      </c>
      <c r="J97" s="5">
        <f t="shared" si="381"/>
        <v>0</v>
      </c>
      <c r="K97" s="10">
        <f t="shared" si="382"/>
        <v>0</v>
      </c>
      <c r="L97" s="5">
        <f t="shared" si="383"/>
        <v>0</v>
      </c>
      <c r="N97" s="1" t="s">
        <v>33</v>
      </c>
      <c r="O97" s="9">
        <f t="array" ref="O97">SUM(IF((modeldata!$I:$I=$N$92)*(modeldata!$H:$H=calibration_simplemodes!$N97),modeldata!D:D,0))</f>
        <v>0</v>
      </c>
      <c r="P97" s="5">
        <f t="array" ref="P97">SUM(IF((modeldata!$I:$I=$N$92)*(modeldata!$H:$H=calibration_simplemodes!$N97),modeldata!E:E,0))</f>
        <v>0</v>
      </c>
      <c r="Q97" s="10">
        <f t="array" ref="Q97">SUM(IF((modeldata!$I:$I=$N$92)*(modeldata!$H:$H=calibration_simplemodes!$N97),modeldata!F:F,0))</f>
        <v>0</v>
      </c>
      <c r="R97" s="5">
        <f t="shared" si="384"/>
        <v>0</v>
      </c>
      <c r="T97" s="1" t="s">
        <v>33</v>
      </c>
      <c r="U97" s="23" t="e">
        <f>I97/I104</f>
        <v>#DIV/0!</v>
      </c>
      <c r="V97" s="25" t="e">
        <f>J97/J104</f>
        <v>#DIV/0!</v>
      </c>
      <c r="W97" s="28" t="e">
        <f>K97/K104</f>
        <v>#DIV/0!</v>
      </c>
      <c r="X97" s="25" t="e">
        <f>L97/L104</f>
        <v>#DIV/0!</v>
      </c>
      <c r="Z97" s="1" t="s">
        <v>33</v>
      </c>
      <c r="AA97" s="23" t="e">
        <f>O97/O104</f>
        <v>#DIV/0!</v>
      </c>
      <c r="AB97" s="25" t="e">
        <f>P97/P104</f>
        <v>#DIV/0!</v>
      </c>
      <c r="AC97" s="28" t="e">
        <f>Q97/Q104</f>
        <v>#DIV/0!</v>
      </c>
      <c r="AD97" s="25" t="e">
        <f>R97/R104</f>
        <v>#DIV/0!</v>
      </c>
      <c r="AF97" s="1" t="s">
        <v>33</v>
      </c>
      <c r="AG97" s="86">
        <f t="shared" si="385"/>
        <v>0</v>
      </c>
      <c r="AH97" s="73">
        <f t="shared" si="370"/>
        <v>0</v>
      </c>
      <c r="AI97" s="87">
        <f t="shared" si="371"/>
        <v>0</v>
      </c>
      <c r="AJ97" s="73">
        <f t="shared" si="372"/>
        <v>0</v>
      </c>
      <c r="AL97" s="1" t="s">
        <v>33</v>
      </c>
      <c r="AM97" s="35" t="e">
        <f t="shared" si="386"/>
        <v>#DIV/0!</v>
      </c>
      <c r="AN97" s="32" t="e">
        <f t="shared" si="373"/>
        <v>#DIV/0!</v>
      </c>
      <c r="AO97" s="36" t="e">
        <f t="shared" si="374"/>
        <v>#DIV/0!</v>
      </c>
      <c r="AP97" s="32" t="e">
        <f t="shared" si="375"/>
        <v>#DIV/0!</v>
      </c>
      <c r="AR97" s="1" t="s">
        <v>33</v>
      </c>
      <c r="AS97" s="47">
        <f ca="1">OFFSET(joint_existing,6,0)</f>
        <v>1.1919004955884664</v>
      </c>
      <c r="AT97" s="48">
        <f ca="1">OFFSET(joint_existing,7,0)</f>
        <v>1.7189539687424977</v>
      </c>
      <c r="AU97" s="49">
        <f ca="1">OFFSET(joint_existing,8,0)</f>
        <v>0.35551676923551639</v>
      </c>
      <c r="AW97" s="1" t="s">
        <v>33</v>
      </c>
      <c r="AX97" s="47" t="e">
        <f t="shared" si="376"/>
        <v>#DIV/0!</v>
      </c>
      <c r="AY97" s="48" t="e">
        <f t="shared" si="377"/>
        <v>#DIV/0!</v>
      </c>
      <c r="AZ97" s="49" t="e">
        <f t="shared" si="378"/>
        <v>#DIV/0!</v>
      </c>
      <c r="BB97" s="1" t="s">
        <v>120</v>
      </c>
      <c r="BC97" s="47" t="e">
        <f ca="1">AS97+AX97-AX96</f>
        <v>#DIV/0!</v>
      </c>
      <c r="BD97" s="48" t="e">
        <f ca="1">AT97+AY97-AY96</f>
        <v>#DIV/0!</v>
      </c>
      <c r="BE97" s="49" t="e">
        <f ca="1">AU97+AZ97-AZ96</f>
        <v>#DIV/0!</v>
      </c>
      <c r="BG97" s="1" t="s">
        <v>120</v>
      </c>
      <c r="BH97" s="61" t="e">
        <f t="shared" si="387"/>
        <v>#DIV/0!</v>
      </c>
      <c r="BI97" s="62" t="e">
        <f t="shared" si="388"/>
        <v>#DIV/0!</v>
      </c>
      <c r="BJ97" s="61" t="e">
        <f t="shared" si="389"/>
        <v>#DIV/0!</v>
      </c>
      <c r="BK97" s="62" t="e">
        <f t="shared" si="390"/>
        <v>#DIV/0!</v>
      </c>
      <c r="BL97" s="61" t="e">
        <f t="shared" si="391"/>
        <v>#DIV/0!</v>
      </c>
      <c r="BM97" s="62" t="e">
        <f t="shared" si="392"/>
        <v>#DIV/0!</v>
      </c>
      <c r="BN97" s="60" t="e">
        <f t="shared" si="393"/>
        <v>#DIV/0!</v>
      </c>
      <c r="BO97" s="62" t="e">
        <f t="shared" si="394"/>
        <v>#DIV/0!</v>
      </c>
    </row>
    <row r="98" spans="1:67" x14ac:dyDescent="0.2">
      <c r="A98" s="1" t="s">
        <v>34</v>
      </c>
      <c r="B98" s="9">
        <f>targets!O152</f>
        <v>42385.494333131704</v>
      </c>
      <c r="C98" s="5">
        <f>targets!P152</f>
        <v>36716.391828631953</v>
      </c>
      <c r="D98" s="10">
        <f>targets!Q152</f>
        <v>435382.26596715499</v>
      </c>
      <c r="E98" s="5">
        <f t="shared" si="379"/>
        <v>514484.15212891868</v>
      </c>
      <c r="F98" s="5"/>
      <c r="G98" s="5"/>
      <c r="H98" s="1" t="s">
        <v>34</v>
      </c>
      <c r="I98" s="9">
        <f t="shared" si="380"/>
        <v>0</v>
      </c>
      <c r="J98" s="5">
        <f t="shared" si="381"/>
        <v>0</v>
      </c>
      <c r="K98" s="10">
        <f t="shared" si="382"/>
        <v>0</v>
      </c>
      <c r="L98" s="5">
        <f t="shared" si="383"/>
        <v>0</v>
      </c>
      <c r="N98" s="1" t="s">
        <v>34</v>
      </c>
      <c r="O98" s="9">
        <f t="array" ref="O98">SUM(IF((modeldata!$I:$I=$N$92)*(modeldata!$H:$H=calibration_simplemodes!$N98),modeldata!D:D,0))</f>
        <v>0</v>
      </c>
      <c r="P98" s="5">
        <f t="array" ref="P98">SUM(IF((modeldata!$I:$I=$N$92)*(modeldata!$H:$H=calibration_simplemodes!$N98),modeldata!E:E,0))</f>
        <v>0</v>
      </c>
      <c r="Q98" s="10">
        <f t="array" ref="Q98">SUM(IF((modeldata!$I:$I=$N$92)*(modeldata!$H:$H=calibration_simplemodes!$N98),modeldata!F:F,0))</f>
        <v>0</v>
      </c>
      <c r="R98" s="5">
        <f t="shared" si="384"/>
        <v>0</v>
      </c>
      <c r="T98" s="1" t="s">
        <v>34</v>
      </c>
      <c r="U98" s="23" t="e">
        <f>I98/I104</f>
        <v>#DIV/0!</v>
      </c>
      <c r="V98" s="25" t="e">
        <f>J98/J104</f>
        <v>#DIV/0!</v>
      </c>
      <c r="W98" s="28" t="e">
        <f>K98/K104</f>
        <v>#DIV/0!</v>
      </c>
      <c r="X98" s="25" t="e">
        <f>L98/L104</f>
        <v>#DIV/0!</v>
      </c>
      <c r="Z98" s="1" t="s">
        <v>34</v>
      </c>
      <c r="AA98" s="23" t="e">
        <f>O98/O104</f>
        <v>#DIV/0!</v>
      </c>
      <c r="AB98" s="25" t="e">
        <f>P98/P104</f>
        <v>#DIV/0!</v>
      </c>
      <c r="AC98" s="28" t="e">
        <f>Q98/Q104</f>
        <v>#DIV/0!</v>
      </c>
      <c r="AD98" s="25" t="e">
        <f>R98/R104</f>
        <v>#DIV/0!</v>
      </c>
      <c r="AF98" s="1" t="s">
        <v>34</v>
      </c>
      <c r="AG98" s="86">
        <f t="shared" si="385"/>
        <v>0</v>
      </c>
      <c r="AH98" s="73">
        <f t="shared" si="370"/>
        <v>0</v>
      </c>
      <c r="AI98" s="87">
        <f t="shared" si="371"/>
        <v>0</v>
      </c>
      <c r="AJ98" s="73">
        <f t="shared" si="372"/>
        <v>0</v>
      </c>
      <c r="AL98" s="1" t="s">
        <v>34</v>
      </c>
      <c r="AM98" s="35" t="e">
        <f t="shared" si="386"/>
        <v>#DIV/0!</v>
      </c>
      <c r="AN98" s="32" t="e">
        <f t="shared" si="373"/>
        <v>#DIV/0!</v>
      </c>
      <c r="AO98" s="36" t="e">
        <f t="shared" si="374"/>
        <v>#DIV/0!</v>
      </c>
      <c r="AP98" s="32" t="e">
        <f t="shared" si="375"/>
        <v>#DIV/0!</v>
      </c>
      <c r="AR98" s="1" t="s">
        <v>34</v>
      </c>
      <c r="AS98" s="47">
        <f ca="1">OFFSET(joint_existing,9,0)</f>
        <v>1.3219805715627733</v>
      </c>
      <c r="AT98" s="48">
        <f ca="1">OFFSET(joint_existing,10,0)</f>
        <v>-2.3872107207716851</v>
      </c>
      <c r="AU98" s="49">
        <f ca="1">OFFSET(joint_existing,11,0)</f>
        <v>-2.2960717494713565</v>
      </c>
      <c r="AW98" s="1" t="s">
        <v>34</v>
      </c>
      <c r="AX98" s="47" t="e">
        <f t="shared" si="376"/>
        <v>#DIV/0!</v>
      </c>
      <c r="AY98" s="48" t="e">
        <f t="shared" si="377"/>
        <v>#DIV/0!</v>
      </c>
      <c r="AZ98" s="49" t="e">
        <f t="shared" si="378"/>
        <v>#DIV/0!</v>
      </c>
      <c r="BB98" s="1" t="s">
        <v>121</v>
      </c>
      <c r="BC98" s="47" t="e">
        <f ca="1">AS98+AX98-AX96</f>
        <v>#DIV/0!</v>
      </c>
      <c r="BD98" s="48" t="e">
        <f ca="1">AT98+AY98-AY96</f>
        <v>#DIV/0!</v>
      </c>
      <c r="BE98" s="49" t="e">
        <f ca="1">AU98+AZ98-AZ96</f>
        <v>#DIV/0!</v>
      </c>
      <c r="BG98" s="1" t="s">
        <v>121</v>
      </c>
      <c r="BH98" s="61" t="e">
        <f t="shared" si="387"/>
        <v>#DIV/0!</v>
      </c>
      <c r="BI98" s="62" t="e">
        <f t="shared" si="388"/>
        <v>#DIV/0!</v>
      </c>
      <c r="BJ98" s="61" t="e">
        <f t="shared" si="389"/>
        <v>#DIV/0!</v>
      </c>
      <c r="BK98" s="62" t="e">
        <f t="shared" si="390"/>
        <v>#DIV/0!</v>
      </c>
      <c r="BL98" s="61" t="e">
        <f t="shared" si="391"/>
        <v>#DIV/0!</v>
      </c>
      <c r="BM98" s="62" t="e">
        <f t="shared" si="392"/>
        <v>#DIV/0!</v>
      </c>
      <c r="BN98" s="60" t="e">
        <f t="shared" si="393"/>
        <v>#DIV/0!</v>
      </c>
      <c r="BO98" s="62" t="e">
        <f t="shared" si="394"/>
        <v>#DIV/0!</v>
      </c>
    </row>
    <row r="99" spans="1:67" x14ac:dyDescent="0.2">
      <c r="A99" s="90" t="s">
        <v>3</v>
      </c>
      <c r="B99" s="91">
        <f>SUM(targets!O155:O160)</f>
        <v>1454.2033448530565</v>
      </c>
      <c r="C99" s="92">
        <f>SUM(targets!P155:P160)</f>
        <v>244.93444399015669</v>
      </c>
      <c r="D99" s="93">
        <f>SUM(targets!Q155:Q160)</f>
        <v>1807.1435452987246</v>
      </c>
      <c r="E99" s="92">
        <f t="shared" si="379"/>
        <v>3506.2813341419378</v>
      </c>
      <c r="F99" s="92"/>
      <c r="G99" s="5"/>
      <c r="H99" s="1" t="s">
        <v>3</v>
      </c>
      <c r="I99" s="9">
        <f t="shared" si="380"/>
        <v>0</v>
      </c>
      <c r="J99" s="5">
        <f t="shared" si="381"/>
        <v>0</v>
      </c>
      <c r="K99" s="10">
        <f t="shared" si="382"/>
        <v>0</v>
      </c>
      <c r="L99" s="5">
        <f t="shared" si="383"/>
        <v>0</v>
      </c>
      <c r="N99" s="1" t="s">
        <v>3</v>
      </c>
      <c r="O99" s="9">
        <f t="array" ref="O99">SUM(IF((modeldata!$I:$I=$N$92)*(modeldata!$H:$H=calibration_simplemodes!$N99),modeldata!D:D,0))</f>
        <v>0</v>
      </c>
      <c r="P99" s="5">
        <f t="array" ref="P99">SUM(IF((modeldata!$I:$I=$N$92)*(modeldata!$H:$H=calibration_simplemodes!$N99),modeldata!E:E,0))</f>
        <v>0</v>
      </c>
      <c r="Q99" s="10">
        <f t="array" ref="Q99">SUM(IF((modeldata!$I:$I=$N$92)*(modeldata!$H:$H=calibration_simplemodes!$N99),modeldata!F:F,0))</f>
        <v>0</v>
      </c>
      <c r="R99" s="5">
        <f t="shared" si="384"/>
        <v>0</v>
      </c>
      <c r="T99" s="1" t="s">
        <v>3</v>
      </c>
      <c r="U99" s="23" t="e">
        <f>I99/I104</f>
        <v>#DIV/0!</v>
      </c>
      <c r="V99" s="25" t="e">
        <f>J99/J104</f>
        <v>#DIV/0!</v>
      </c>
      <c r="W99" s="28" t="e">
        <f>K99/K104</f>
        <v>#DIV/0!</v>
      </c>
      <c r="X99" s="25" t="e">
        <f>L99/L104</f>
        <v>#DIV/0!</v>
      </c>
      <c r="Z99" s="1" t="s">
        <v>3</v>
      </c>
      <c r="AA99" s="23" t="e">
        <f>O99/O104</f>
        <v>#DIV/0!</v>
      </c>
      <c r="AB99" s="25" t="e">
        <f>P99/P104</f>
        <v>#DIV/0!</v>
      </c>
      <c r="AC99" s="28" t="e">
        <f>Q99/Q104</f>
        <v>#DIV/0!</v>
      </c>
      <c r="AD99" s="25" t="e">
        <f>R99/R104</f>
        <v>#DIV/0!</v>
      </c>
      <c r="AF99" s="1" t="s">
        <v>3</v>
      </c>
      <c r="AG99" s="86">
        <f t="shared" si="385"/>
        <v>0</v>
      </c>
      <c r="AH99" s="73">
        <f t="shared" si="370"/>
        <v>0</v>
      </c>
      <c r="AI99" s="87">
        <f t="shared" si="371"/>
        <v>0</v>
      </c>
      <c r="AJ99" s="73">
        <f t="shared" si="372"/>
        <v>0</v>
      </c>
      <c r="AL99" s="1" t="s">
        <v>3</v>
      </c>
      <c r="AM99" s="35" t="e">
        <f t="shared" si="386"/>
        <v>#DIV/0!</v>
      </c>
      <c r="AN99" s="32" t="e">
        <f t="shared" si="373"/>
        <v>#DIV/0!</v>
      </c>
      <c r="AO99" s="36" t="e">
        <f t="shared" si="374"/>
        <v>#DIV/0!</v>
      </c>
      <c r="AP99" s="32" t="e">
        <f t="shared" si="375"/>
        <v>#DIV/0!</v>
      </c>
      <c r="AR99" s="1" t="s">
        <v>3</v>
      </c>
      <c r="AS99" s="47">
        <f ca="1">OFFSET(joint_existing,12,0)</f>
        <v>-1.8519971833468032</v>
      </c>
      <c r="AT99" s="48">
        <f ca="1">OFFSET(joint_existing,13,0)</f>
        <v>-6.6733333178652172</v>
      </c>
      <c r="AU99" s="49">
        <f ca="1">OFFSET(joint_existing,14,0)</f>
        <v>-7.484376309459793</v>
      </c>
      <c r="AW99" s="1" t="s">
        <v>3</v>
      </c>
      <c r="AX99" s="47" t="e">
        <f t="shared" si="376"/>
        <v>#DIV/0!</v>
      </c>
      <c r="AY99" s="48" t="e">
        <f t="shared" si="377"/>
        <v>#DIV/0!</v>
      </c>
      <c r="AZ99" s="49" t="e">
        <f t="shared" si="378"/>
        <v>#DIV/0!</v>
      </c>
      <c r="BB99" s="1" t="s">
        <v>3</v>
      </c>
      <c r="BC99" s="47" t="e">
        <f ca="1">AS99+AX99-AX96</f>
        <v>#DIV/0!</v>
      </c>
      <c r="BD99" s="48" t="e">
        <f ca="1">AT99+AY99-AY96</f>
        <v>#DIV/0!</v>
      </c>
      <c r="BE99" s="49" t="e">
        <f ca="1">AU99+AZ99-AZ96</f>
        <v>#DIV/0!</v>
      </c>
      <c r="BG99" s="1" t="s">
        <v>3</v>
      </c>
      <c r="BH99" s="61" t="e">
        <f t="shared" si="387"/>
        <v>#DIV/0!</v>
      </c>
      <c r="BI99" s="62" t="e">
        <f t="shared" si="388"/>
        <v>#DIV/0!</v>
      </c>
      <c r="BJ99" s="61" t="e">
        <f t="shared" si="389"/>
        <v>#DIV/0!</v>
      </c>
      <c r="BK99" s="62" t="e">
        <f t="shared" si="390"/>
        <v>#DIV/0!</v>
      </c>
      <c r="BL99" s="61" t="e">
        <f t="shared" si="391"/>
        <v>#DIV/0!</v>
      </c>
      <c r="BM99" s="62" t="e">
        <f t="shared" si="392"/>
        <v>#DIV/0!</v>
      </c>
      <c r="BN99" s="60" t="e">
        <f t="shared" si="393"/>
        <v>#DIV/0!</v>
      </c>
      <c r="BO99" s="62" t="e">
        <f t="shared" si="394"/>
        <v>#DIV/0!</v>
      </c>
    </row>
    <row r="100" spans="1:67" x14ac:dyDescent="0.2">
      <c r="A100" s="90" t="s">
        <v>35</v>
      </c>
      <c r="B100" s="91">
        <f>SUM(targets!O161:O166)</f>
        <v>0</v>
      </c>
      <c r="C100" s="92">
        <f>SUM(targets!P161:P166)</f>
        <v>0</v>
      </c>
      <c r="D100" s="93">
        <f>SUM(targets!Q161:Q166)</f>
        <v>1704.60949359403</v>
      </c>
      <c r="E100" s="92">
        <f t="shared" si="379"/>
        <v>1704.60949359403</v>
      </c>
      <c r="F100" s="92"/>
      <c r="G100" s="5"/>
      <c r="H100" s="1" t="s">
        <v>35</v>
      </c>
      <c r="I100" s="9">
        <f t="shared" si="380"/>
        <v>0</v>
      </c>
      <c r="J100" s="5">
        <f t="shared" si="381"/>
        <v>0</v>
      </c>
      <c r="K100" s="10">
        <f t="shared" si="382"/>
        <v>0</v>
      </c>
      <c r="L100" s="5">
        <f t="shared" si="383"/>
        <v>0</v>
      </c>
      <c r="N100" s="1" t="s">
        <v>35</v>
      </c>
      <c r="O100" s="9">
        <f t="array" ref="O100">SUM(IF((modeldata!$I:$I=$N$92)*(modeldata!$H:$H=calibration_simplemodes!$N100),modeldata!D:D,0))</f>
        <v>0</v>
      </c>
      <c r="P100" s="5">
        <f t="array" ref="P100">SUM(IF((modeldata!$I:$I=$N$92)*(modeldata!$H:$H=calibration_simplemodes!$N100),modeldata!E:E,0))</f>
        <v>0</v>
      </c>
      <c r="Q100" s="10">
        <f t="array" ref="Q100">SUM(IF((modeldata!$I:$I=$N$92)*(modeldata!$H:$H=calibration_simplemodes!$N100),modeldata!F:F,0))</f>
        <v>0</v>
      </c>
      <c r="R100" s="5">
        <f t="shared" si="384"/>
        <v>0</v>
      </c>
      <c r="T100" s="1" t="s">
        <v>35</v>
      </c>
      <c r="U100" s="23" t="e">
        <f>I100/I104</f>
        <v>#DIV/0!</v>
      </c>
      <c r="V100" s="25" t="e">
        <f>J100/J104</f>
        <v>#DIV/0!</v>
      </c>
      <c r="W100" s="28" t="e">
        <f>K100/K104</f>
        <v>#DIV/0!</v>
      </c>
      <c r="X100" s="25" t="e">
        <f>L100/L104</f>
        <v>#DIV/0!</v>
      </c>
      <c r="Z100" s="1" t="s">
        <v>35</v>
      </c>
      <c r="AA100" s="23" t="e">
        <f>O100/O104</f>
        <v>#DIV/0!</v>
      </c>
      <c r="AB100" s="25" t="e">
        <f>P100/P104</f>
        <v>#DIV/0!</v>
      </c>
      <c r="AC100" s="28" t="e">
        <f>Q100/Q104</f>
        <v>#DIV/0!</v>
      </c>
      <c r="AD100" s="25" t="e">
        <f>R100/R104</f>
        <v>#DIV/0!</v>
      </c>
      <c r="AF100" s="1" t="s">
        <v>35</v>
      </c>
      <c r="AG100" s="86">
        <f t="shared" si="385"/>
        <v>0</v>
      </c>
      <c r="AH100" s="73">
        <f t="shared" si="370"/>
        <v>0</v>
      </c>
      <c r="AI100" s="87">
        <f t="shared" si="371"/>
        <v>0</v>
      </c>
      <c r="AJ100" s="73">
        <f t="shared" si="372"/>
        <v>0</v>
      </c>
      <c r="AL100" s="1" t="s">
        <v>35</v>
      </c>
      <c r="AM100" s="35" t="e">
        <f t="shared" si="386"/>
        <v>#DIV/0!</v>
      </c>
      <c r="AN100" s="32" t="e">
        <f t="shared" si="373"/>
        <v>#DIV/0!</v>
      </c>
      <c r="AO100" s="36" t="e">
        <f t="shared" si="374"/>
        <v>#DIV/0!</v>
      </c>
      <c r="AP100" s="32" t="e">
        <f t="shared" si="375"/>
        <v>#DIV/0!</v>
      </c>
      <c r="AR100" s="1" t="s">
        <v>35</v>
      </c>
      <c r="AS100" s="47">
        <f ca="1">OFFSET(joint_existing,15,0)</f>
        <v>0</v>
      </c>
      <c r="AT100" s="48">
        <f ca="1">OFFSET(joint_existing,16,0)</f>
        <v>-4.5729706194667621</v>
      </c>
      <c r="AU100" s="49">
        <f ca="1">OFFSET(joint_existing,17,0)</f>
        <v>-7.0831524149992582</v>
      </c>
      <c r="AW100" s="1" t="s">
        <v>35</v>
      </c>
      <c r="AX100" s="47" t="e">
        <f t="shared" si="376"/>
        <v>#DIV/0!</v>
      </c>
      <c r="AY100" s="48" t="e">
        <f t="shared" si="377"/>
        <v>#DIV/0!</v>
      </c>
      <c r="AZ100" s="49" t="e">
        <f t="shared" si="378"/>
        <v>#DIV/0!</v>
      </c>
      <c r="BB100" s="1" t="s">
        <v>35</v>
      </c>
      <c r="BC100" s="47" t="e">
        <f ca="1">AS100+AX100-AX96</f>
        <v>#DIV/0!</v>
      </c>
      <c r="BD100" s="48" t="e">
        <f ca="1">AT100+AY100-AY96</f>
        <v>#DIV/0!</v>
      </c>
      <c r="BE100" s="49" t="e">
        <f ca="1">AU100+AZ100-AZ96</f>
        <v>#DIV/0!</v>
      </c>
      <c r="BG100" s="1" t="s">
        <v>35</v>
      </c>
      <c r="BH100" s="61" t="e">
        <f t="shared" si="387"/>
        <v>#DIV/0!</v>
      </c>
      <c r="BI100" s="62" t="e">
        <f t="shared" si="388"/>
        <v>#DIV/0!</v>
      </c>
      <c r="BJ100" s="61" t="e">
        <f t="shared" si="389"/>
        <v>#DIV/0!</v>
      </c>
      <c r="BK100" s="62" t="e">
        <f t="shared" si="390"/>
        <v>#DIV/0!</v>
      </c>
      <c r="BL100" s="61" t="e">
        <f t="shared" si="391"/>
        <v>#DIV/0!</v>
      </c>
      <c r="BM100" s="62" t="e">
        <f t="shared" si="392"/>
        <v>#DIV/0!</v>
      </c>
      <c r="BN100" s="60" t="e">
        <f t="shared" si="393"/>
        <v>#DIV/0!</v>
      </c>
      <c r="BO100" s="62" t="e">
        <f t="shared" si="394"/>
        <v>#DIV/0!</v>
      </c>
    </row>
    <row r="101" spans="1:67" x14ac:dyDescent="0.2">
      <c r="A101" s="1" t="s">
        <v>36</v>
      </c>
      <c r="B101" s="9">
        <f>targets!O167</f>
        <v>0</v>
      </c>
      <c r="C101" s="5">
        <f>targets!P167</f>
        <v>0</v>
      </c>
      <c r="D101" s="10">
        <f>targets!Q167</f>
        <v>639.26927822680489</v>
      </c>
      <c r="E101" s="5">
        <f t="shared" si="379"/>
        <v>639.26927822680489</v>
      </c>
      <c r="F101" s="5"/>
      <c r="G101" s="5"/>
      <c r="H101" s="1" t="s">
        <v>36</v>
      </c>
      <c r="I101" s="9">
        <f t="shared" si="380"/>
        <v>0</v>
      </c>
      <c r="J101" s="5">
        <f t="shared" si="381"/>
        <v>0</v>
      </c>
      <c r="K101" s="10">
        <f t="shared" si="382"/>
        <v>0</v>
      </c>
      <c r="L101" s="5">
        <f t="shared" si="383"/>
        <v>0</v>
      </c>
      <c r="N101" s="1" t="s">
        <v>36</v>
      </c>
      <c r="O101" s="9">
        <f t="array" ref="O101">SUM(IF((modeldata!$I:$I=$N$92)*(modeldata!$H:$H=calibration_simplemodes!$N101),modeldata!D:D,0))</f>
        <v>0</v>
      </c>
      <c r="P101" s="5">
        <f t="array" ref="P101">SUM(IF((modeldata!$I:$I=$N$92)*(modeldata!$H:$H=calibration_simplemodes!$N101),modeldata!E:E,0))</f>
        <v>0</v>
      </c>
      <c r="Q101" s="10">
        <f t="array" ref="Q101">SUM(IF((modeldata!$I:$I=$N$92)*(modeldata!$H:$H=calibration_simplemodes!$N101),modeldata!F:F,0))</f>
        <v>0</v>
      </c>
      <c r="R101" s="5">
        <f t="shared" si="384"/>
        <v>0</v>
      </c>
      <c r="T101" s="1" t="s">
        <v>36</v>
      </c>
      <c r="U101" s="23" t="e">
        <f>I101/I104</f>
        <v>#DIV/0!</v>
      </c>
      <c r="V101" s="25" t="e">
        <f>J101/J104</f>
        <v>#DIV/0!</v>
      </c>
      <c r="W101" s="28" t="e">
        <f>K101/K104</f>
        <v>#DIV/0!</v>
      </c>
      <c r="X101" s="25" t="e">
        <f>L101/L104</f>
        <v>#DIV/0!</v>
      </c>
      <c r="Z101" s="1" t="s">
        <v>36</v>
      </c>
      <c r="AA101" s="23" t="e">
        <f>O101/O104</f>
        <v>#DIV/0!</v>
      </c>
      <c r="AB101" s="25" t="e">
        <f>P101/P104</f>
        <v>#DIV/0!</v>
      </c>
      <c r="AC101" s="28" t="e">
        <f>Q101/Q104</f>
        <v>#DIV/0!</v>
      </c>
      <c r="AD101" s="25" t="e">
        <f>R101/R104</f>
        <v>#DIV/0!</v>
      </c>
      <c r="AF101" s="1" t="s">
        <v>36</v>
      </c>
      <c r="AG101" s="86">
        <f t="shared" si="385"/>
        <v>0</v>
      </c>
      <c r="AH101" s="73">
        <f t="shared" si="370"/>
        <v>0</v>
      </c>
      <c r="AI101" s="87">
        <f t="shared" si="371"/>
        <v>0</v>
      </c>
      <c r="AJ101" s="73">
        <f t="shared" si="372"/>
        <v>0</v>
      </c>
      <c r="AL101" s="1" t="s">
        <v>36</v>
      </c>
      <c r="AM101" s="35" t="e">
        <f t="shared" si="386"/>
        <v>#DIV/0!</v>
      </c>
      <c r="AN101" s="32" t="e">
        <f t="shared" si="373"/>
        <v>#DIV/0!</v>
      </c>
      <c r="AO101" s="36" t="e">
        <f t="shared" si="374"/>
        <v>#DIV/0!</v>
      </c>
      <c r="AP101" s="32" t="e">
        <f t="shared" si="375"/>
        <v>#DIV/0!</v>
      </c>
      <c r="AR101" s="1" t="s">
        <v>36</v>
      </c>
      <c r="AS101" s="47">
        <f ca="1">OFFSET(joint_existing,18,0)</f>
        <v>-4.5792091796996726</v>
      </c>
      <c r="AT101" s="48">
        <f ca="1">OFFSET(joint_existing,19,0)</f>
        <v>-9.8157175798197525</v>
      </c>
      <c r="AU101" s="49">
        <f ca="1">OFFSET(joint_existing,20,0)</f>
        <v>-11.709876913156872</v>
      </c>
      <c r="AW101" s="1" t="s">
        <v>36</v>
      </c>
      <c r="AX101" s="47" t="e">
        <f t="shared" ref="AX101:AX103" si="395">IF(AND(U101&gt;0, AA101&gt;0),joint_damp*LN(U101/AA101),0)</f>
        <v>#DIV/0!</v>
      </c>
      <c r="AY101" s="48" t="e">
        <f t="shared" ref="AY101:AY103" si="396">IF(AND(V101&gt;0, AB101&gt;0),joint_damp*LN(V101/AB101),0)</f>
        <v>#DIV/0!</v>
      </c>
      <c r="AZ101" s="49" t="e">
        <f t="shared" ref="AZ101:AZ103" si="397">IF(AND(W101&gt;0, AC101&gt;0),joint_damp*LN(W101/AC101),0)</f>
        <v>#DIV/0!</v>
      </c>
      <c r="BB101" s="1" t="s">
        <v>36</v>
      </c>
      <c r="BC101" s="47" t="e">
        <f ca="1">IF(AND(AS101=0,AX101=0),0,AS101+AX101-AX96)</f>
        <v>#DIV/0!</v>
      </c>
      <c r="BD101" s="48" t="e">
        <f t="shared" ref="BD101" ca="1" si="398">IF(AND(AT101=0,AY101=0),0,AT101+AY101-AY96)</f>
        <v>#DIV/0!</v>
      </c>
      <c r="BE101" s="49" t="e">
        <f t="shared" ref="BE101" ca="1" si="399">IF(AND(AU101=0,AZ101=0),0,AU101+AZ101-AZ96)</f>
        <v>#DIV/0!</v>
      </c>
      <c r="BG101" s="1" t="s">
        <v>36</v>
      </c>
      <c r="BH101" s="61" t="e">
        <f t="shared" si="387"/>
        <v>#DIV/0!</v>
      </c>
      <c r="BI101" s="62" t="e">
        <f t="shared" si="388"/>
        <v>#DIV/0!</v>
      </c>
      <c r="BJ101" s="61" t="e">
        <f t="shared" si="389"/>
        <v>#DIV/0!</v>
      </c>
      <c r="BK101" s="62" t="e">
        <f t="shared" si="390"/>
        <v>#DIV/0!</v>
      </c>
      <c r="BL101" s="61" t="e">
        <f t="shared" si="391"/>
        <v>#DIV/0!</v>
      </c>
      <c r="BM101" s="62" t="e">
        <f t="shared" si="392"/>
        <v>#DIV/0!</v>
      </c>
      <c r="BN101" s="60" t="e">
        <f t="shared" si="393"/>
        <v>#DIV/0!</v>
      </c>
      <c r="BO101" s="62" t="e">
        <f t="shared" si="394"/>
        <v>#DIV/0!</v>
      </c>
    </row>
    <row r="102" spans="1:67" x14ac:dyDescent="0.2">
      <c r="A102" s="1" t="s">
        <v>55</v>
      </c>
      <c r="B102" s="186">
        <f>targets!O168</f>
        <v>1795.1151372029492</v>
      </c>
      <c r="C102" s="185">
        <f>targets!P168</f>
        <v>859.59790559907447</v>
      </c>
      <c r="D102" s="187">
        <f>targets!Q168</f>
        <v>4449.4985508222562</v>
      </c>
      <c r="E102" s="5">
        <f t="shared" ref="E102:E103" si="400">SUM(B102:D102)</f>
        <v>7104.2115936242799</v>
      </c>
      <c r="F102" s="5"/>
      <c r="G102" s="5"/>
      <c r="H102" s="1" t="s">
        <v>55</v>
      </c>
      <c r="I102" s="9">
        <f t="shared" si="380"/>
        <v>0</v>
      </c>
      <c r="J102" s="5">
        <f t="shared" si="381"/>
        <v>0</v>
      </c>
      <c r="K102" s="10">
        <f t="shared" si="382"/>
        <v>0</v>
      </c>
      <c r="L102" s="5">
        <f t="shared" si="383"/>
        <v>0</v>
      </c>
      <c r="N102" s="1" t="s">
        <v>55</v>
      </c>
      <c r="O102" s="9">
        <f t="array" ref="O102">SUM(IF((modeldata!$I:$I=$N$92)*(modeldata!$H:$H=calibration_simplemodes!$N102),modeldata!D:D,0))</f>
        <v>0</v>
      </c>
      <c r="P102" s="5">
        <f t="array" ref="P102">SUM(IF((modeldata!$I:$I=$N$92)*(modeldata!$H:$H=calibration_simplemodes!$N102),modeldata!E:E,0))</f>
        <v>0</v>
      </c>
      <c r="Q102" s="10">
        <f t="array" ref="Q102">SUM(IF((modeldata!$I:$I=$N$92)*(modeldata!$H:$H=calibration_simplemodes!$N102),modeldata!F:F,0))</f>
        <v>0</v>
      </c>
      <c r="R102" s="5">
        <f t="shared" ref="R102:R103" si="401">SUM(O102:Q102)</f>
        <v>0</v>
      </c>
      <c r="T102" s="1" t="s">
        <v>55</v>
      </c>
      <c r="U102" s="23" t="e">
        <f>I102/I104</f>
        <v>#DIV/0!</v>
      </c>
      <c r="V102" s="25" t="e">
        <f t="shared" ref="V102" si="402">J102/J104</f>
        <v>#DIV/0!</v>
      </c>
      <c r="W102" s="28" t="e">
        <f t="shared" ref="W102" si="403">K102/K104</f>
        <v>#DIV/0!</v>
      </c>
      <c r="X102" s="25" t="e">
        <f t="shared" ref="X102" si="404">L102/L104</f>
        <v>#DIV/0!</v>
      </c>
      <c r="Z102" s="1" t="s">
        <v>55</v>
      </c>
      <c r="AA102" s="23" t="e">
        <f>O102/O104</f>
        <v>#DIV/0!</v>
      </c>
      <c r="AB102" s="25" t="e">
        <f>P102/P104</f>
        <v>#DIV/0!</v>
      </c>
      <c r="AC102" s="28" t="e">
        <f>Q102/Q104</f>
        <v>#DIV/0!</v>
      </c>
      <c r="AD102" s="25" t="e">
        <f>R102/R104</f>
        <v>#DIV/0!</v>
      </c>
      <c r="AF102" s="1" t="s">
        <v>55</v>
      </c>
      <c r="AG102" s="86">
        <f t="shared" si="385"/>
        <v>0</v>
      </c>
      <c r="AH102" s="73">
        <f t="shared" si="370"/>
        <v>0</v>
      </c>
      <c r="AI102" s="87">
        <f t="shared" si="371"/>
        <v>0</v>
      </c>
      <c r="AJ102" s="73">
        <f t="shared" si="372"/>
        <v>0</v>
      </c>
      <c r="AL102" s="1" t="s">
        <v>55</v>
      </c>
      <c r="AM102" s="35" t="e">
        <f t="shared" si="386"/>
        <v>#DIV/0!</v>
      </c>
      <c r="AN102" s="32" t="e">
        <f t="shared" si="373"/>
        <v>#DIV/0!</v>
      </c>
      <c r="AO102" s="36" t="e">
        <f t="shared" si="374"/>
        <v>#DIV/0!</v>
      </c>
      <c r="AP102" s="32" t="e">
        <f t="shared" si="375"/>
        <v>#DIV/0!</v>
      </c>
      <c r="AR102" s="1" t="s">
        <v>55</v>
      </c>
      <c r="AS102" s="47">
        <f ca="1">OFFSET(joint_existing,21,0)</f>
        <v>-4.4774223828813682</v>
      </c>
      <c r="AT102" s="48">
        <f ca="1">OFFSET(joint_existing,22,0)</f>
        <v>-9.9419122971357758</v>
      </c>
      <c r="AU102" s="49">
        <f ca="1">OFFSET(joint_existing,23,0)</f>
        <v>-14.025754796662577</v>
      </c>
      <c r="AW102" s="1" t="s">
        <v>55</v>
      </c>
      <c r="AX102" s="47" t="e">
        <f t="shared" si="395"/>
        <v>#DIV/0!</v>
      </c>
      <c r="AY102" s="48" t="e">
        <f t="shared" si="396"/>
        <v>#DIV/0!</v>
      </c>
      <c r="AZ102" s="49" t="e">
        <f t="shared" si="397"/>
        <v>#DIV/0!</v>
      </c>
      <c r="BB102" s="1" t="s">
        <v>55</v>
      </c>
      <c r="BC102" s="47" t="e">
        <f t="shared" ref="BC102:BC103" ca="1" si="405">IF(AND(AS102=0,AX102=0),0,AS102+AX102-AX97)</f>
        <v>#DIV/0!</v>
      </c>
      <c r="BD102" s="48" t="e">
        <f t="shared" ref="BD102:BD103" ca="1" si="406">IF(AND(AT102=0,AY102=0),0,AT102+AY102-AY97)</f>
        <v>#DIV/0!</v>
      </c>
      <c r="BE102" s="49" t="e">
        <f t="shared" ref="BE102:BE103" ca="1" si="407">IF(AND(AU102=0,AZ102=0),0,AU102+AZ102-AZ97)</f>
        <v>#DIV/0!</v>
      </c>
      <c r="BG102" s="1" t="s">
        <v>55</v>
      </c>
      <c r="BH102" s="61" t="e">
        <f t="shared" ref="BH102:BH103" si="408">U102</f>
        <v>#DIV/0!</v>
      </c>
      <c r="BI102" s="62" t="e">
        <f t="shared" ref="BI102:BI103" si="409">AA102</f>
        <v>#DIV/0!</v>
      </c>
      <c r="BJ102" s="61" t="e">
        <f t="shared" ref="BJ102:BJ103" si="410">V102</f>
        <v>#DIV/0!</v>
      </c>
      <c r="BK102" s="62" t="e">
        <f t="shared" ref="BK102:BK103" si="411">AB102</f>
        <v>#DIV/0!</v>
      </c>
      <c r="BL102" s="61" t="e">
        <f t="shared" ref="BL102:BL103" si="412">W102</f>
        <v>#DIV/0!</v>
      </c>
      <c r="BM102" s="62" t="e">
        <f t="shared" ref="BM102:BM103" si="413">AC102</f>
        <v>#DIV/0!</v>
      </c>
      <c r="BN102" s="60" t="e">
        <f t="shared" ref="BN102:BN103" si="414">X102</f>
        <v>#DIV/0!</v>
      </c>
      <c r="BO102" s="62" t="e">
        <f t="shared" ref="BO102:BO103" si="415">AD102</f>
        <v>#DIV/0!</v>
      </c>
    </row>
    <row r="103" spans="1:67" x14ac:dyDescent="0.2">
      <c r="A103" s="1" t="s">
        <v>56</v>
      </c>
      <c r="B103" s="188">
        <f>targets!O169</f>
        <v>0</v>
      </c>
      <c r="C103" s="189">
        <f>targets!P169</f>
        <v>0</v>
      </c>
      <c r="D103" s="190">
        <f>targets!Q169</f>
        <v>0</v>
      </c>
      <c r="E103" s="5">
        <f t="shared" si="400"/>
        <v>0</v>
      </c>
      <c r="F103" s="5"/>
      <c r="G103" s="5"/>
      <c r="H103" s="1" t="s">
        <v>56</v>
      </c>
      <c r="I103" s="11">
        <f t="shared" si="380"/>
        <v>0</v>
      </c>
      <c r="J103" s="12">
        <f t="shared" si="381"/>
        <v>0</v>
      </c>
      <c r="K103" s="13">
        <f t="shared" si="382"/>
        <v>0</v>
      </c>
      <c r="L103" s="5">
        <f t="shared" si="383"/>
        <v>0</v>
      </c>
      <c r="N103" s="1" t="s">
        <v>56</v>
      </c>
      <c r="O103" s="11">
        <f t="array" ref="O103">SUM(IF((modeldata!$I:$I=$N$92)*(modeldata!$H:$H=calibration_simplemodes!$N103),modeldata!D:D,0))</f>
        <v>0</v>
      </c>
      <c r="P103" s="12">
        <f t="array" ref="P103">SUM(IF((modeldata!$I:$I=$N$92)*(modeldata!$H:$H=calibration_simplemodes!$N103),modeldata!E:E,0))</f>
        <v>0</v>
      </c>
      <c r="Q103" s="13">
        <f t="array" ref="Q103">SUM(IF((modeldata!$I:$I=$N$92)*(modeldata!$H:$H=calibration_simplemodes!$N103),modeldata!F:F,0))</f>
        <v>0</v>
      </c>
      <c r="R103" s="5">
        <f t="shared" si="401"/>
        <v>0</v>
      </c>
      <c r="T103" s="1" t="s">
        <v>56</v>
      </c>
      <c r="U103" s="24" t="e">
        <f>I103/I104</f>
        <v>#DIV/0!</v>
      </c>
      <c r="V103" s="29" t="e">
        <f t="shared" ref="V103" si="416">J103/J104</f>
        <v>#DIV/0!</v>
      </c>
      <c r="W103" s="30" t="e">
        <f t="shared" ref="W103" si="417">K103/K104</f>
        <v>#DIV/0!</v>
      </c>
      <c r="X103" s="25" t="e">
        <f t="shared" ref="X103" si="418">L103/L104</f>
        <v>#DIV/0!</v>
      </c>
      <c r="Z103" s="1" t="s">
        <v>56</v>
      </c>
      <c r="AA103" s="24" t="e">
        <f>O103/O104</f>
        <v>#DIV/0!</v>
      </c>
      <c r="AB103" s="29" t="e">
        <f>P103/P104</f>
        <v>#DIV/0!</v>
      </c>
      <c r="AC103" s="30" t="e">
        <f>Q103/Q104</f>
        <v>#DIV/0!</v>
      </c>
      <c r="AD103" s="25" t="e">
        <f>R103/R104</f>
        <v>#DIV/0!</v>
      </c>
      <c r="AF103" s="1" t="s">
        <v>56</v>
      </c>
      <c r="AG103" s="88">
        <f t="shared" si="385"/>
        <v>0</v>
      </c>
      <c r="AH103" s="72">
        <f t="shared" si="370"/>
        <v>0</v>
      </c>
      <c r="AI103" s="89">
        <f t="shared" si="371"/>
        <v>0</v>
      </c>
      <c r="AJ103" s="73">
        <f t="shared" si="372"/>
        <v>0</v>
      </c>
      <c r="AL103" s="1" t="s">
        <v>56</v>
      </c>
      <c r="AM103" s="37" t="e">
        <f t="shared" si="386"/>
        <v>#DIV/0!</v>
      </c>
      <c r="AN103" s="38" t="e">
        <f t="shared" si="373"/>
        <v>#DIV/0!</v>
      </c>
      <c r="AO103" s="39" t="e">
        <f t="shared" si="374"/>
        <v>#DIV/0!</v>
      </c>
      <c r="AP103" s="32" t="e">
        <f t="shared" si="375"/>
        <v>#DIV/0!</v>
      </c>
      <c r="AR103" s="1" t="s">
        <v>56</v>
      </c>
      <c r="AS103" s="50">
        <f ca="1">OFFSET(joint_existing,24,0)</f>
        <v>-4.2917212345243021</v>
      </c>
      <c r="AT103" s="51">
        <f ca="1">OFFSET(joint_existing,25,0)</f>
        <v>-11.088069328455756</v>
      </c>
      <c r="AU103" s="52">
        <f ca="1">OFFSET(joint_existing,26,0)</f>
        <v>-13.188333681106254</v>
      </c>
      <c r="AW103" s="1" t="s">
        <v>56</v>
      </c>
      <c r="AX103" s="50" t="e">
        <f t="shared" si="395"/>
        <v>#DIV/0!</v>
      </c>
      <c r="AY103" s="51" t="e">
        <f t="shared" si="396"/>
        <v>#DIV/0!</v>
      </c>
      <c r="AZ103" s="52" t="e">
        <f t="shared" si="397"/>
        <v>#DIV/0!</v>
      </c>
      <c r="BB103" s="1" t="s">
        <v>56</v>
      </c>
      <c r="BC103" s="50" t="e">
        <f t="shared" ca="1" si="405"/>
        <v>#DIV/0!</v>
      </c>
      <c r="BD103" s="51" t="e">
        <f t="shared" ca="1" si="406"/>
        <v>#DIV/0!</v>
      </c>
      <c r="BE103" s="52" t="e">
        <f t="shared" ca="1" si="407"/>
        <v>#DIV/0!</v>
      </c>
      <c r="BG103" s="1" t="s">
        <v>56</v>
      </c>
      <c r="BH103" s="63" t="e">
        <f t="shared" si="408"/>
        <v>#DIV/0!</v>
      </c>
      <c r="BI103" s="65" t="e">
        <f t="shared" si="409"/>
        <v>#DIV/0!</v>
      </c>
      <c r="BJ103" s="63" t="e">
        <f t="shared" si="410"/>
        <v>#DIV/0!</v>
      </c>
      <c r="BK103" s="65" t="e">
        <f t="shared" si="411"/>
        <v>#DIV/0!</v>
      </c>
      <c r="BL103" s="63" t="e">
        <f t="shared" si="412"/>
        <v>#DIV/0!</v>
      </c>
      <c r="BM103" s="65" t="e">
        <f t="shared" si="413"/>
        <v>#DIV/0!</v>
      </c>
      <c r="BN103" s="64" t="e">
        <f t="shared" si="414"/>
        <v>#DIV/0!</v>
      </c>
      <c r="BO103" s="65" t="e">
        <f t="shared" si="415"/>
        <v>#DIV/0!</v>
      </c>
    </row>
    <row r="104" spans="1:67" x14ac:dyDescent="0.2">
      <c r="A104" s="1" t="s">
        <v>1</v>
      </c>
      <c r="B104" s="5">
        <f>SUM(B94:B103)</f>
        <v>56088.508870165315</v>
      </c>
      <c r="C104" s="5">
        <f>SUM(C94:C103)</f>
        <v>70480.188474183757</v>
      </c>
      <c r="D104" s="5">
        <f>SUM(D94:D103)</f>
        <v>857343.76324570621</v>
      </c>
      <c r="E104" s="5">
        <f>SUM(B104:D104)</f>
        <v>983912.46059005533</v>
      </c>
      <c r="F104" s="5"/>
      <c r="G104" s="5"/>
      <c r="H104" s="1" t="s">
        <v>1</v>
      </c>
      <c r="I104" s="5">
        <f>SUM(I94:I103)</f>
        <v>0</v>
      </c>
      <c r="J104" s="5">
        <f t="shared" ref="J104" si="419">SUM(J94:J103)</f>
        <v>0</v>
      </c>
      <c r="K104" s="5">
        <f t="shared" ref="K104" si="420">SUM(K94:K103)</f>
        <v>0</v>
      </c>
      <c r="L104" s="5">
        <f>SUM(I104:K104)</f>
        <v>0</v>
      </c>
      <c r="N104" s="1" t="s">
        <v>1</v>
      </c>
      <c r="O104" s="5">
        <f t="array" ref="O104">SUM(IF(modeldata!$I:$I=$N$92,modeldata!D:D,0))</f>
        <v>0</v>
      </c>
      <c r="P104" s="5">
        <f t="array" ref="P104">SUM(IF(modeldata!$I:$I=$N$92,modeldata!E:E,0))</f>
        <v>0</v>
      </c>
      <c r="Q104" s="5">
        <f t="array" ref="Q104">SUM(IF(modeldata!$I:$I=$N$92,modeldata!F:F,0))</f>
        <v>0</v>
      </c>
      <c r="R104" s="5">
        <f t="shared" ref="R104" si="421">SUM(O104:Q104)</f>
        <v>0</v>
      </c>
      <c r="S104" s="5"/>
      <c r="T104" s="1" t="s">
        <v>1</v>
      </c>
      <c r="U104" s="25" t="e">
        <f>SUM(U94:U103)</f>
        <v>#DIV/0!</v>
      </c>
      <c r="V104" s="25" t="e">
        <f t="shared" ref="V104" si="422">SUM(V94:V103)</f>
        <v>#DIV/0!</v>
      </c>
      <c r="W104" s="25" t="e">
        <f t="shared" ref="W104" si="423">SUM(W94:W103)</f>
        <v>#DIV/0!</v>
      </c>
      <c r="X104" s="25" t="e">
        <f t="shared" ref="X104" si="424">SUM(X94:X103)</f>
        <v>#DIV/0!</v>
      </c>
      <c r="Z104" s="1" t="s">
        <v>1</v>
      </c>
      <c r="AA104" s="60" t="e">
        <f>SUM(AA94:AA103)</f>
        <v>#DIV/0!</v>
      </c>
      <c r="AB104" s="60" t="e">
        <f t="shared" ref="AB104" si="425">SUM(AB94:AB103)</f>
        <v>#DIV/0!</v>
      </c>
      <c r="AC104" s="60" t="e">
        <f t="shared" ref="AC104" si="426">SUM(AC94:AC103)</f>
        <v>#DIV/0!</v>
      </c>
      <c r="AD104" s="25" t="e">
        <f>SUM(AD94:AD101)</f>
        <v>#DIV/0!</v>
      </c>
      <c r="AF104" s="1" t="s">
        <v>1</v>
      </c>
      <c r="AG104" s="5">
        <f t="shared" si="385"/>
        <v>0</v>
      </c>
      <c r="AH104" s="5">
        <f t="shared" si="370"/>
        <v>0</v>
      </c>
      <c r="AI104" s="5">
        <f t="shared" si="371"/>
        <v>0</v>
      </c>
      <c r="AJ104" s="73">
        <f t="shared" si="372"/>
        <v>0</v>
      </c>
      <c r="AL104" s="1" t="s">
        <v>1</v>
      </c>
      <c r="AM104" s="32" t="e">
        <f t="shared" si="386"/>
        <v>#DIV/0!</v>
      </c>
      <c r="AN104" s="32" t="e">
        <f t="shared" si="373"/>
        <v>#DIV/0!</v>
      </c>
      <c r="AO104" s="32" t="e">
        <f t="shared" si="374"/>
        <v>#DIV/0!</v>
      </c>
      <c r="AP104" s="32" t="e">
        <f t="shared" si="375"/>
        <v>#DIV/0!</v>
      </c>
      <c r="BG104" s="1" t="s">
        <v>1</v>
      </c>
      <c r="BH104" s="60" t="e">
        <f>SUM(BH94:BH103)</f>
        <v>#DIV/0!</v>
      </c>
      <c r="BI104" s="60" t="e">
        <f t="shared" ref="BI104" si="427">SUM(BI94:BI103)</f>
        <v>#DIV/0!</v>
      </c>
      <c r="BJ104" s="60" t="e">
        <f t="shared" ref="BJ104" si="428">SUM(BJ94:BJ103)</f>
        <v>#DIV/0!</v>
      </c>
      <c r="BK104" s="60" t="e">
        <f t="shared" ref="BK104" si="429">SUM(BK94:BK103)</f>
        <v>#DIV/0!</v>
      </c>
      <c r="BL104" s="60" t="e">
        <f t="shared" ref="BL104" si="430">SUM(BL94:BL103)</f>
        <v>#DIV/0!</v>
      </c>
      <c r="BM104" s="60" t="e">
        <f t="shared" ref="BM104" si="431">SUM(BM94:BM103)</f>
        <v>#DIV/0!</v>
      </c>
      <c r="BN104" s="60" t="e">
        <f t="shared" ref="BN104" si="432">SUM(BN94:BN103)</f>
        <v>#DIV/0!</v>
      </c>
      <c r="BO104" s="60" t="e">
        <f t="shared" ref="BO104" si="433">SUM(BO94:BO103)</f>
        <v>#DIV/0!</v>
      </c>
    </row>
    <row r="107" spans="1:67" s="16" customFormat="1" x14ac:dyDescent="0.2">
      <c r="A107" s="15" t="s">
        <v>171</v>
      </c>
      <c r="H107" s="15" t="s">
        <v>171</v>
      </c>
      <c r="N107" s="15" t="s">
        <v>171</v>
      </c>
      <c r="T107" s="15" t="s">
        <v>171</v>
      </c>
      <c r="Z107" s="15" t="s">
        <v>171</v>
      </c>
      <c r="AF107" s="15" t="s">
        <v>171</v>
      </c>
      <c r="AL107" s="15" t="s">
        <v>171</v>
      </c>
      <c r="AR107" s="15" t="s">
        <v>171</v>
      </c>
      <c r="AW107" s="15"/>
      <c r="BB107" s="15"/>
      <c r="BG107" s="15" t="s">
        <v>171</v>
      </c>
      <c r="BH107" s="216" t="s">
        <v>139</v>
      </c>
      <c r="BI107" s="217" t="s">
        <v>140</v>
      </c>
      <c r="BJ107" s="217" t="s">
        <v>139</v>
      </c>
      <c r="BK107" s="217" t="s">
        <v>140</v>
      </c>
      <c r="BL107" s="217" t="s">
        <v>139</v>
      </c>
      <c r="BM107" s="217" t="s">
        <v>140</v>
      </c>
      <c r="BN107" s="217" t="s">
        <v>139</v>
      </c>
      <c r="BO107" s="217" t="s">
        <v>140</v>
      </c>
    </row>
    <row r="108" spans="1:67" ht="25.5" x14ac:dyDescent="0.2">
      <c r="B108" s="14" t="s">
        <v>38</v>
      </c>
      <c r="C108" s="14" t="s">
        <v>37</v>
      </c>
      <c r="D108" s="14" t="s">
        <v>0</v>
      </c>
      <c r="E108" s="17" t="s">
        <v>1</v>
      </c>
      <c r="F108" s="17"/>
      <c r="G108" s="17"/>
      <c r="I108" s="14" t="s">
        <v>38</v>
      </c>
      <c r="J108" s="14" t="s">
        <v>37</v>
      </c>
      <c r="K108" s="14" t="s">
        <v>0</v>
      </c>
      <c r="L108" s="17" t="s">
        <v>1</v>
      </c>
      <c r="O108" s="14" t="s">
        <v>38</v>
      </c>
      <c r="P108" s="14" t="s">
        <v>37</v>
      </c>
      <c r="Q108" s="14" t="s">
        <v>0</v>
      </c>
      <c r="R108" s="17" t="s">
        <v>1</v>
      </c>
      <c r="U108" s="14" t="s">
        <v>38</v>
      </c>
      <c r="V108" s="14" t="s">
        <v>37</v>
      </c>
      <c r="W108" s="14" t="s">
        <v>0</v>
      </c>
      <c r="X108" s="17" t="s">
        <v>1</v>
      </c>
      <c r="AA108" s="14" t="s">
        <v>38</v>
      </c>
      <c r="AB108" s="14" t="s">
        <v>37</v>
      </c>
      <c r="AC108" s="14" t="s">
        <v>0</v>
      </c>
      <c r="AD108" s="17" t="s">
        <v>1</v>
      </c>
      <c r="AG108" s="14" t="s">
        <v>38</v>
      </c>
      <c r="AH108" s="14" t="s">
        <v>37</v>
      </c>
      <c r="AI108" s="14" t="s">
        <v>0</v>
      </c>
      <c r="AJ108" s="17" t="s">
        <v>1</v>
      </c>
      <c r="AM108" s="14" t="s">
        <v>38</v>
      </c>
      <c r="AN108" s="14" t="s">
        <v>37</v>
      </c>
      <c r="AO108" s="14" t="s">
        <v>0</v>
      </c>
      <c r="AP108" s="17" t="s">
        <v>1</v>
      </c>
      <c r="AS108" s="14" t="s">
        <v>38</v>
      </c>
      <c r="AT108" s="14" t="s">
        <v>37</v>
      </c>
      <c r="AU108" s="14" t="s">
        <v>0</v>
      </c>
      <c r="AW108" s="94"/>
      <c r="AX108" s="14"/>
      <c r="AY108" s="14"/>
      <c r="AZ108" s="14"/>
      <c r="BC108" s="14"/>
      <c r="BD108" s="14"/>
      <c r="BE108" s="14"/>
      <c r="BH108" s="218" t="s">
        <v>142</v>
      </c>
      <c r="BI108" s="218" t="s">
        <v>142</v>
      </c>
      <c r="BJ108" s="218" t="s">
        <v>143</v>
      </c>
      <c r="BK108" s="218" t="s">
        <v>143</v>
      </c>
      <c r="BL108" s="218" t="s">
        <v>144</v>
      </c>
      <c r="BM108" s="218" t="s">
        <v>145</v>
      </c>
      <c r="BN108" s="219" t="s">
        <v>141</v>
      </c>
      <c r="BO108" s="219" t="s">
        <v>141</v>
      </c>
    </row>
    <row r="109" spans="1:67" x14ac:dyDescent="0.2">
      <c r="A109" s="1" t="s">
        <v>2</v>
      </c>
      <c r="B109" s="6">
        <f>SUM(B4,B19,B34,B49,B64,B79,B94)</f>
        <v>274531.69384682219</v>
      </c>
      <c r="C109" s="7">
        <f t="shared" ref="C109:D109" si="434">SUM(C4,C19,C34,C49,C64,C79,C94)</f>
        <v>162300.73646055986</v>
      </c>
      <c r="D109" s="8">
        <f t="shared" si="434"/>
        <v>1144185.469458539</v>
      </c>
      <c r="E109" s="5">
        <f>SUM(B109:D109)</f>
        <v>1581017.8997659211</v>
      </c>
      <c r="F109" s="183">
        <f t="shared" ref="F109:F113" si="435">E109/E$119</f>
        <v>0.16849469628457209</v>
      </c>
      <c r="G109" s="5"/>
      <c r="H109" s="1" t="s">
        <v>2</v>
      </c>
      <c r="I109" s="6">
        <f>SUM(I4,I19,I34,I49,I64,I79,I94)</f>
        <v>0</v>
      </c>
      <c r="J109" s="7">
        <f t="shared" ref="J109:K109" si="436">SUM(J4,J19,J34,J49,J64,J79,J94)</f>
        <v>0</v>
      </c>
      <c r="K109" s="8">
        <f t="shared" si="436"/>
        <v>0</v>
      </c>
      <c r="L109" s="5">
        <f>SUM(I109:K109)</f>
        <v>0</v>
      </c>
      <c r="M109" s="192" t="e">
        <f t="shared" ref="M109:M113" si="437">L109/L$119</f>
        <v>#DIV/0!</v>
      </c>
      <c r="N109" s="1" t="s">
        <v>2</v>
      </c>
      <c r="O109" s="6">
        <f>SUM(O4,O19,O34,O49,O64,O79,O94)</f>
        <v>0</v>
      </c>
      <c r="P109" s="7">
        <f t="shared" ref="P109:Q109" si="438">SUM(P4,P19,P34,P49,P64,P79,P94)</f>
        <v>0</v>
      </c>
      <c r="Q109" s="8">
        <f t="shared" si="438"/>
        <v>0</v>
      </c>
      <c r="R109" s="5">
        <f>SUM(O109:Q109)</f>
        <v>0</v>
      </c>
      <c r="T109" s="1" t="s">
        <v>2</v>
      </c>
      <c r="U109" s="22" t="e">
        <f>I109/I119</f>
        <v>#DIV/0!</v>
      </c>
      <c r="V109" s="26" t="e">
        <f>J109/J119</f>
        <v>#DIV/0!</v>
      </c>
      <c r="W109" s="27" t="e">
        <f>K109/K119</f>
        <v>#DIV/0!</v>
      </c>
      <c r="X109" s="25" t="e">
        <f>L109/L119</f>
        <v>#DIV/0!</v>
      </c>
      <c r="Z109" s="1" t="s">
        <v>2</v>
      </c>
      <c r="AA109" s="22" t="e">
        <f>O109/O119</f>
        <v>#DIV/0!</v>
      </c>
      <c r="AB109" s="26" t="e">
        <f>P109/P119</f>
        <v>#DIV/0!</v>
      </c>
      <c r="AC109" s="27" t="e">
        <f>Q109/Q119</f>
        <v>#DIV/0!</v>
      </c>
      <c r="AD109" s="25" t="e">
        <f>R109/R119</f>
        <v>#DIV/0!</v>
      </c>
      <c r="AF109" s="1" t="s">
        <v>2</v>
      </c>
      <c r="AG109" s="83">
        <f>O109-I109</f>
        <v>0</v>
      </c>
      <c r="AH109" s="84">
        <f t="shared" ref="AH109:AH119" si="439">P109-J109</f>
        <v>0</v>
      </c>
      <c r="AI109" s="85">
        <f t="shared" ref="AI109:AI119" si="440">Q109-K109</f>
        <v>0</v>
      </c>
      <c r="AJ109" s="73">
        <f t="shared" ref="AJ109:AJ119" si="441">R109-L109</f>
        <v>0</v>
      </c>
      <c r="AL109" s="1" t="s">
        <v>2</v>
      </c>
      <c r="AM109" s="31" t="e">
        <f>AA109-U109</f>
        <v>#DIV/0!</v>
      </c>
      <c r="AN109" s="33" t="e">
        <f t="shared" ref="AN109:AN119" si="442">AB109-V109</f>
        <v>#DIV/0!</v>
      </c>
      <c r="AO109" s="34" t="e">
        <f t="shared" ref="AO109:AO119" si="443">AC109-W109</f>
        <v>#DIV/0!</v>
      </c>
      <c r="AP109" s="32" t="e">
        <f t="shared" ref="AP109:AP119" si="444">AD109-X109</f>
        <v>#DIV/0!</v>
      </c>
      <c r="AR109" s="1" t="s">
        <v>2</v>
      </c>
      <c r="AS109" s="44">
        <f ca="1">OFFSET(workbased_existing,0,0)</f>
        <v>6.9155808800838923</v>
      </c>
      <c r="AT109" s="45">
        <f ca="1">OFFSET(workbased_existing,1,0)</f>
        <v>1.29019093625246</v>
      </c>
      <c r="AU109" s="46">
        <f ca="1">OFFSET(workbased_existing,2,0)</f>
        <v>1.3469980966817354</v>
      </c>
      <c r="AX109" s="48"/>
      <c r="AY109" s="48"/>
      <c r="AZ109" s="48"/>
      <c r="BC109" s="48"/>
      <c r="BD109" s="48"/>
      <c r="BE109" s="48"/>
      <c r="BG109" s="1" t="s">
        <v>2</v>
      </c>
      <c r="BH109" s="57" t="e">
        <f>U109</f>
        <v>#DIV/0!</v>
      </c>
      <c r="BI109" s="59" t="e">
        <f>AA109</f>
        <v>#DIV/0!</v>
      </c>
      <c r="BJ109" s="57" t="e">
        <f>V109</f>
        <v>#DIV/0!</v>
      </c>
      <c r="BK109" s="59" t="e">
        <f>AB109</f>
        <v>#DIV/0!</v>
      </c>
      <c r="BL109" s="57" t="e">
        <f>W109</f>
        <v>#DIV/0!</v>
      </c>
      <c r="BM109" s="59" t="e">
        <f>AC109</f>
        <v>#DIV/0!</v>
      </c>
      <c r="BN109" s="58" t="e">
        <f>X109</f>
        <v>#DIV/0!</v>
      </c>
      <c r="BO109" s="59" t="e">
        <f>AD109</f>
        <v>#DIV/0!</v>
      </c>
    </row>
    <row r="110" spans="1:67" x14ac:dyDescent="0.2">
      <c r="A110" s="1" t="s">
        <v>31</v>
      </c>
      <c r="B110" s="9">
        <f t="shared" ref="B110:D110" si="445">SUM(B5,B20,B35,B50,B65,B80,B95)</f>
        <v>76317.92435338987</v>
      </c>
      <c r="C110" s="5">
        <f t="shared" si="445"/>
        <v>35266.736417421424</v>
      </c>
      <c r="D110" s="10">
        <f t="shared" si="445"/>
        <v>147042.11648354161</v>
      </c>
      <c r="E110" s="5">
        <f t="shared" ref="E110:E116" si="446">SUM(B110:D110)</f>
        <v>258626.7772543529</v>
      </c>
      <c r="F110" s="183">
        <f t="shared" si="435"/>
        <v>2.7562774773759194E-2</v>
      </c>
      <c r="G110" s="5"/>
      <c r="H110" s="1" t="s">
        <v>31</v>
      </c>
      <c r="I110" s="9">
        <f t="shared" ref="I110:K110" si="447">SUM(I5,I20,I35,I50,I65,I80,I95)</f>
        <v>0</v>
      </c>
      <c r="J110" s="5">
        <f t="shared" si="447"/>
        <v>0</v>
      </c>
      <c r="K110" s="10">
        <f t="shared" si="447"/>
        <v>0</v>
      </c>
      <c r="L110" s="5">
        <f t="shared" ref="L110:L116" si="448">SUM(I110:K110)</f>
        <v>0</v>
      </c>
      <c r="M110" s="192" t="e">
        <f t="shared" si="437"/>
        <v>#DIV/0!</v>
      </c>
      <c r="N110" s="1" t="s">
        <v>31</v>
      </c>
      <c r="O110" s="9">
        <f t="shared" ref="O110:Q110" si="449">SUM(O5,O20,O35,O50,O65,O80,O95)</f>
        <v>0</v>
      </c>
      <c r="P110" s="5">
        <f t="shared" si="449"/>
        <v>0</v>
      </c>
      <c r="Q110" s="10">
        <f t="shared" si="449"/>
        <v>0</v>
      </c>
      <c r="R110" s="5">
        <f t="shared" ref="R110:R119" si="450">SUM(O110:Q110)</f>
        <v>0</v>
      </c>
      <c r="T110" s="1" t="s">
        <v>31</v>
      </c>
      <c r="U110" s="23" t="e">
        <f>I110/I119</f>
        <v>#DIV/0!</v>
      </c>
      <c r="V110" s="25" t="e">
        <f>J110/J119</f>
        <v>#DIV/0!</v>
      </c>
      <c r="W110" s="28" t="e">
        <f>K110/K119</f>
        <v>#DIV/0!</v>
      </c>
      <c r="X110" s="25" t="e">
        <f>L110/L119</f>
        <v>#DIV/0!</v>
      </c>
      <c r="Z110" s="1" t="s">
        <v>31</v>
      </c>
      <c r="AA110" s="23" t="e">
        <f>O110/O119</f>
        <v>#DIV/0!</v>
      </c>
      <c r="AB110" s="25" t="e">
        <f>P110/P119</f>
        <v>#DIV/0!</v>
      </c>
      <c r="AC110" s="28" t="e">
        <f>Q110/Q119</f>
        <v>#DIV/0!</v>
      </c>
      <c r="AD110" s="25" t="e">
        <f>R110/R119</f>
        <v>#DIV/0!</v>
      </c>
      <c r="AF110" s="1" t="s">
        <v>31</v>
      </c>
      <c r="AG110" s="86">
        <f t="shared" ref="AG110:AG119" si="451">O110-I110</f>
        <v>0</v>
      </c>
      <c r="AH110" s="73">
        <f t="shared" si="439"/>
        <v>0</v>
      </c>
      <c r="AI110" s="87">
        <f t="shared" si="440"/>
        <v>0</v>
      </c>
      <c r="AJ110" s="73">
        <f t="shared" si="441"/>
        <v>0</v>
      </c>
      <c r="AL110" s="1" t="s">
        <v>31</v>
      </c>
      <c r="AM110" s="35" t="e">
        <f t="shared" ref="AM110:AM119" si="452">AA110-U110</f>
        <v>#DIV/0!</v>
      </c>
      <c r="AN110" s="32" t="e">
        <f t="shared" si="442"/>
        <v>#DIV/0!</v>
      </c>
      <c r="AO110" s="36" t="e">
        <f t="shared" si="443"/>
        <v>#DIV/0!</v>
      </c>
      <c r="AP110" s="32" t="e">
        <f t="shared" si="444"/>
        <v>#DIV/0!</v>
      </c>
      <c r="AR110" s="1" t="s">
        <v>31</v>
      </c>
      <c r="AS110" s="47">
        <f ca="1">OFFSET(workbased_existing,3,0)</f>
        <v>8.1812234173041034</v>
      </c>
      <c r="AT110" s="48">
        <f ca="1">OFFSET(workbased_existing,4,0)</f>
        <v>1.841757571145942</v>
      </c>
      <c r="AU110" s="49">
        <f ca="1">OFFSET(workbased_existing,5,0)</f>
        <v>17.169088474390101</v>
      </c>
      <c r="AX110" s="48"/>
      <c r="AY110" s="48"/>
      <c r="AZ110" s="48"/>
      <c r="BC110" s="48"/>
      <c r="BD110" s="48"/>
      <c r="BE110" s="48"/>
      <c r="BG110" s="1" t="s">
        <v>31</v>
      </c>
      <c r="BH110" s="61" t="e">
        <f t="shared" ref="BH110:BH118" si="453">U110</f>
        <v>#DIV/0!</v>
      </c>
      <c r="BI110" s="62" t="e">
        <f t="shared" ref="BI110:BI118" si="454">AA110</f>
        <v>#DIV/0!</v>
      </c>
      <c r="BJ110" s="61" t="e">
        <f t="shared" ref="BJ110:BJ118" si="455">V110</f>
        <v>#DIV/0!</v>
      </c>
      <c r="BK110" s="62" t="e">
        <f t="shared" ref="BK110:BK118" si="456">AB110</f>
        <v>#DIV/0!</v>
      </c>
      <c r="BL110" s="61" t="e">
        <f t="shared" ref="BL110:BL118" si="457">W110</f>
        <v>#DIV/0!</v>
      </c>
      <c r="BM110" s="62" t="e">
        <f t="shared" ref="BM110:BM118" si="458">AC110</f>
        <v>#DIV/0!</v>
      </c>
      <c r="BN110" s="60" t="e">
        <f t="shared" ref="BN110:BN118" si="459">X110</f>
        <v>#DIV/0!</v>
      </c>
      <c r="BO110" s="62" t="e">
        <f t="shared" ref="BO110:BO118" si="460">AD110</f>
        <v>#DIV/0!</v>
      </c>
    </row>
    <row r="111" spans="1:67" x14ac:dyDescent="0.2">
      <c r="A111" s="1" t="s">
        <v>32</v>
      </c>
      <c r="B111" s="9">
        <f t="shared" ref="B111:D111" si="461">SUM(B6,B21,B36,B51,B66,B81,B96)</f>
        <v>0</v>
      </c>
      <c r="C111" s="5">
        <f t="shared" si="461"/>
        <v>157190.16415558473</v>
      </c>
      <c r="D111" s="10">
        <f t="shared" si="461"/>
        <v>2766644.2190173143</v>
      </c>
      <c r="E111" s="5">
        <f t="shared" si="446"/>
        <v>2923834.383172899</v>
      </c>
      <c r="F111" s="183">
        <f t="shared" si="435"/>
        <v>0.31160342109475586</v>
      </c>
      <c r="G111" s="5"/>
      <c r="H111" s="1" t="s">
        <v>32</v>
      </c>
      <c r="I111" s="9">
        <f t="shared" ref="I111:K111" si="462">SUM(I6,I21,I36,I51,I66,I81,I96)</f>
        <v>0</v>
      </c>
      <c r="J111" s="5">
        <f t="shared" si="462"/>
        <v>0</v>
      </c>
      <c r="K111" s="10">
        <f t="shared" si="462"/>
        <v>0</v>
      </c>
      <c r="L111" s="5">
        <f t="shared" si="448"/>
        <v>0</v>
      </c>
      <c r="M111" s="192" t="e">
        <f t="shared" si="437"/>
        <v>#DIV/0!</v>
      </c>
      <c r="N111" s="1" t="s">
        <v>32</v>
      </c>
      <c r="O111" s="9">
        <f t="shared" ref="O111:Q111" si="463">SUM(O6,O21,O36,O51,O66,O81,O96)</f>
        <v>0</v>
      </c>
      <c r="P111" s="5">
        <f t="shared" si="463"/>
        <v>0</v>
      </c>
      <c r="Q111" s="10">
        <f t="shared" si="463"/>
        <v>0</v>
      </c>
      <c r="R111" s="5">
        <f t="shared" si="450"/>
        <v>0</v>
      </c>
      <c r="T111" s="1" t="s">
        <v>32</v>
      </c>
      <c r="U111" s="23" t="e">
        <f>I111/I119</f>
        <v>#DIV/0!</v>
      </c>
      <c r="V111" s="25" t="e">
        <f>J111/J119</f>
        <v>#DIV/0!</v>
      </c>
      <c r="W111" s="28" t="e">
        <f>K111/K119</f>
        <v>#DIV/0!</v>
      </c>
      <c r="X111" s="25" t="e">
        <f>L111/L119</f>
        <v>#DIV/0!</v>
      </c>
      <c r="Z111" s="1" t="s">
        <v>32</v>
      </c>
      <c r="AA111" s="23" t="e">
        <f>O111/O119</f>
        <v>#DIV/0!</v>
      </c>
      <c r="AB111" s="25" t="e">
        <f>P111/P119</f>
        <v>#DIV/0!</v>
      </c>
      <c r="AC111" s="28" t="e">
        <f>Q111/Q119</f>
        <v>#DIV/0!</v>
      </c>
      <c r="AD111" s="25" t="e">
        <f>R111/R119</f>
        <v>#DIV/0!</v>
      </c>
      <c r="AF111" s="1" t="s">
        <v>32</v>
      </c>
      <c r="AG111" s="86">
        <f t="shared" si="451"/>
        <v>0</v>
      </c>
      <c r="AH111" s="73">
        <f t="shared" si="439"/>
        <v>0</v>
      </c>
      <c r="AI111" s="87">
        <f t="shared" si="440"/>
        <v>0</v>
      </c>
      <c r="AJ111" s="73">
        <f t="shared" si="441"/>
        <v>0</v>
      </c>
      <c r="AL111" s="1" t="s">
        <v>32</v>
      </c>
      <c r="AM111" s="35" t="e">
        <f t="shared" si="452"/>
        <v>#DIV/0!</v>
      </c>
      <c r="AN111" s="32" t="e">
        <f t="shared" si="442"/>
        <v>#DIV/0!</v>
      </c>
      <c r="AO111" s="36" t="e">
        <f t="shared" si="443"/>
        <v>#DIV/0!</v>
      </c>
      <c r="AP111" s="32" t="e">
        <f t="shared" si="444"/>
        <v>#DIV/0!</v>
      </c>
      <c r="AR111" s="1" t="s">
        <v>32</v>
      </c>
      <c r="AS111" s="47">
        <v>0</v>
      </c>
      <c r="AT111" s="48">
        <v>0</v>
      </c>
      <c r="AU111" s="49">
        <v>0</v>
      </c>
      <c r="AX111" s="48"/>
      <c r="AY111" s="48"/>
      <c r="AZ111" s="48"/>
      <c r="BC111" s="48"/>
      <c r="BD111" s="48"/>
      <c r="BE111" s="48"/>
      <c r="BG111" s="1" t="s">
        <v>32</v>
      </c>
      <c r="BH111" s="61" t="e">
        <f t="shared" si="453"/>
        <v>#DIV/0!</v>
      </c>
      <c r="BI111" s="62" t="e">
        <f t="shared" si="454"/>
        <v>#DIV/0!</v>
      </c>
      <c r="BJ111" s="61" t="e">
        <f t="shared" si="455"/>
        <v>#DIV/0!</v>
      </c>
      <c r="BK111" s="62" t="e">
        <f t="shared" si="456"/>
        <v>#DIV/0!</v>
      </c>
      <c r="BL111" s="61" t="e">
        <f t="shared" si="457"/>
        <v>#DIV/0!</v>
      </c>
      <c r="BM111" s="62" t="e">
        <f t="shared" si="458"/>
        <v>#DIV/0!</v>
      </c>
      <c r="BN111" s="60" t="e">
        <f t="shared" si="459"/>
        <v>#DIV/0!</v>
      </c>
      <c r="BO111" s="62" t="e">
        <f t="shared" si="460"/>
        <v>#DIV/0!</v>
      </c>
    </row>
    <row r="112" spans="1:67" x14ac:dyDescent="0.2">
      <c r="A112" s="1" t="s">
        <v>33</v>
      </c>
      <c r="B112" s="9">
        <f t="shared" ref="B112:D112" si="464">SUM(B7,B22,B37,B52,B67,B82,B97)</f>
        <v>26643.228674747887</v>
      </c>
      <c r="C112" s="5">
        <f t="shared" si="464"/>
        <v>180760.95846455792</v>
      </c>
      <c r="D112" s="10">
        <f t="shared" si="464"/>
        <v>2011315.7631655694</v>
      </c>
      <c r="E112" s="5">
        <f t="shared" si="446"/>
        <v>2218719.9503048752</v>
      </c>
      <c r="F112" s="183">
        <f t="shared" si="435"/>
        <v>0.23645687011038294</v>
      </c>
      <c r="G112" s="5"/>
      <c r="H112" s="1" t="s">
        <v>33</v>
      </c>
      <c r="I112" s="9">
        <f t="shared" ref="I112:K112" si="465">SUM(I7,I22,I37,I52,I67,I82,I97)</f>
        <v>0</v>
      </c>
      <c r="J112" s="5">
        <f t="shared" si="465"/>
        <v>0</v>
      </c>
      <c r="K112" s="10">
        <f t="shared" si="465"/>
        <v>0</v>
      </c>
      <c r="L112" s="5">
        <f t="shared" si="448"/>
        <v>0</v>
      </c>
      <c r="M112" s="192" t="e">
        <f t="shared" si="437"/>
        <v>#DIV/0!</v>
      </c>
      <c r="N112" s="1" t="s">
        <v>33</v>
      </c>
      <c r="O112" s="9">
        <f t="shared" ref="O112:Q112" si="466">SUM(O7,O22,O37,O52,O67,O82,O97)</f>
        <v>0</v>
      </c>
      <c r="P112" s="5">
        <f t="shared" si="466"/>
        <v>0</v>
      </c>
      <c r="Q112" s="10">
        <f t="shared" si="466"/>
        <v>0</v>
      </c>
      <c r="R112" s="5">
        <f t="shared" si="450"/>
        <v>0</v>
      </c>
      <c r="T112" s="1" t="s">
        <v>33</v>
      </c>
      <c r="U112" s="23" t="e">
        <f>I112/I119</f>
        <v>#DIV/0!</v>
      </c>
      <c r="V112" s="25" t="e">
        <f>J112/J119</f>
        <v>#DIV/0!</v>
      </c>
      <c r="W112" s="28" t="e">
        <f>K112/K119</f>
        <v>#DIV/0!</v>
      </c>
      <c r="X112" s="25" t="e">
        <f>L112/L119</f>
        <v>#DIV/0!</v>
      </c>
      <c r="Z112" s="1" t="s">
        <v>33</v>
      </c>
      <c r="AA112" s="23" t="e">
        <f>O112/O119</f>
        <v>#DIV/0!</v>
      </c>
      <c r="AB112" s="25" t="e">
        <f>P112/P119</f>
        <v>#DIV/0!</v>
      </c>
      <c r="AC112" s="28" t="e">
        <f>Q112/Q119</f>
        <v>#DIV/0!</v>
      </c>
      <c r="AD112" s="25" t="e">
        <f>R112/R119</f>
        <v>#DIV/0!</v>
      </c>
      <c r="AF112" s="1" t="s">
        <v>33</v>
      </c>
      <c r="AG112" s="86">
        <f t="shared" si="451"/>
        <v>0</v>
      </c>
      <c r="AH112" s="73">
        <f t="shared" si="439"/>
        <v>0</v>
      </c>
      <c r="AI112" s="87">
        <f t="shared" si="440"/>
        <v>0</v>
      </c>
      <c r="AJ112" s="73">
        <f t="shared" si="441"/>
        <v>0</v>
      </c>
      <c r="AL112" s="1" t="s">
        <v>33</v>
      </c>
      <c r="AM112" s="35" t="e">
        <f t="shared" si="452"/>
        <v>#DIV/0!</v>
      </c>
      <c r="AN112" s="32" t="e">
        <f t="shared" si="442"/>
        <v>#DIV/0!</v>
      </c>
      <c r="AO112" s="36" t="e">
        <f t="shared" si="443"/>
        <v>#DIV/0!</v>
      </c>
      <c r="AP112" s="32" t="e">
        <f t="shared" si="444"/>
        <v>#DIV/0!</v>
      </c>
      <c r="AR112" s="1" t="s">
        <v>33</v>
      </c>
      <c r="AS112" s="47">
        <f ca="1">OFFSET(workbased_existing,6,0)</f>
        <v>0</v>
      </c>
      <c r="AT112" s="48">
        <f ca="1">OFFSET(workbased_existing,7,0)</f>
        <v>-2.2236107421935327</v>
      </c>
      <c r="AU112" s="49">
        <f ca="1">OFFSET(workbased_existing,8,0)</f>
        <v>-1.6268485914679052</v>
      </c>
      <c r="AX112" s="48"/>
      <c r="AY112" s="48"/>
      <c r="AZ112" s="48"/>
      <c r="BC112" s="48"/>
      <c r="BD112" s="48"/>
      <c r="BE112" s="48"/>
      <c r="BG112" s="1" t="s">
        <v>120</v>
      </c>
      <c r="BH112" s="61" t="e">
        <f t="shared" si="453"/>
        <v>#DIV/0!</v>
      </c>
      <c r="BI112" s="62" t="e">
        <f t="shared" si="454"/>
        <v>#DIV/0!</v>
      </c>
      <c r="BJ112" s="61" t="e">
        <f t="shared" si="455"/>
        <v>#DIV/0!</v>
      </c>
      <c r="BK112" s="62" t="e">
        <f t="shared" si="456"/>
        <v>#DIV/0!</v>
      </c>
      <c r="BL112" s="61" t="e">
        <f t="shared" si="457"/>
        <v>#DIV/0!</v>
      </c>
      <c r="BM112" s="62" t="e">
        <f t="shared" si="458"/>
        <v>#DIV/0!</v>
      </c>
      <c r="BN112" s="60" t="e">
        <f t="shared" si="459"/>
        <v>#DIV/0!</v>
      </c>
      <c r="BO112" s="62" t="e">
        <f t="shared" si="460"/>
        <v>#DIV/0!</v>
      </c>
    </row>
    <row r="113" spans="1:67" x14ac:dyDescent="0.2">
      <c r="A113" s="1" t="s">
        <v>34</v>
      </c>
      <c r="B113" s="9">
        <f t="shared" ref="B113:D113" si="467">SUM(B8,B23,B38,B53,B68,B83,B98)</f>
        <v>52931.666657708578</v>
      </c>
      <c r="C113" s="5">
        <f t="shared" si="467"/>
        <v>157522.64862971875</v>
      </c>
      <c r="D113" s="10">
        <f t="shared" si="467"/>
        <v>1545300.0074829338</v>
      </c>
      <c r="E113" s="5">
        <f t="shared" si="446"/>
        <v>1755754.3227703611</v>
      </c>
      <c r="F113" s="183">
        <f t="shared" si="435"/>
        <v>0.18711697787186135</v>
      </c>
      <c r="G113" s="5"/>
      <c r="H113" s="1" t="s">
        <v>34</v>
      </c>
      <c r="I113" s="9">
        <f t="shared" ref="I113:K113" si="468">SUM(I8,I23,I38,I53,I68,I83,I98)</f>
        <v>0</v>
      </c>
      <c r="J113" s="5">
        <f t="shared" si="468"/>
        <v>0</v>
      </c>
      <c r="K113" s="10">
        <f t="shared" si="468"/>
        <v>0</v>
      </c>
      <c r="L113" s="5">
        <f t="shared" si="448"/>
        <v>0</v>
      </c>
      <c r="M113" s="192" t="e">
        <f t="shared" si="437"/>
        <v>#DIV/0!</v>
      </c>
      <c r="N113" s="1" t="s">
        <v>34</v>
      </c>
      <c r="O113" s="9">
        <f t="shared" ref="O113:Q113" si="469">SUM(O8,O23,O38,O53,O68,O83,O98)</f>
        <v>0</v>
      </c>
      <c r="P113" s="5">
        <f t="shared" si="469"/>
        <v>0</v>
      </c>
      <c r="Q113" s="10">
        <f t="shared" si="469"/>
        <v>0</v>
      </c>
      <c r="R113" s="5">
        <f t="shared" si="450"/>
        <v>0</v>
      </c>
      <c r="T113" s="1" t="s">
        <v>34</v>
      </c>
      <c r="U113" s="23" t="e">
        <f>I113/I119</f>
        <v>#DIV/0!</v>
      </c>
      <c r="V113" s="25" t="e">
        <f>J113/J119</f>
        <v>#DIV/0!</v>
      </c>
      <c r="W113" s="28" t="e">
        <f>K113/K119</f>
        <v>#DIV/0!</v>
      </c>
      <c r="X113" s="25" t="e">
        <f>L113/L119</f>
        <v>#DIV/0!</v>
      </c>
      <c r="Z113" s="1" t="s">
        <v>34</v>
      </c>
      <c r="AA113" s="23" t="e">
        <f>O113/O119</f>
        <v>#DIV/0!</v>
      </c>
      <c r="AB113" s="25" t="e">
        <f>P113/P119</f>
        <v>#DIV/0!</v>
      </c>
      <c r="AC113" s="28" t="e">
        <f>Q113/Q119</f>
        <v>#DIV/0!</v>
      </c>
      <c r="AD113" s="25" t="e">
        <f>R113/R119</f>
        <v>#DIV/0!</v>
      </c>
      <c r="AF113" s="1" t="s">
        <v>34</v>
      </c>
      <c r="AG113" s="86">
        <f t="shared" si="451"/>
        <v>0</v>
      </c>
      <c r="AH113" s="73">
        <f t="shared" si="439"/>
        <v>0</v>
      </c>
      <c r="AI113" s="87">
        <f t="shared" si="440"/>
        <v>0</v>
      </c>
      <c r="AJ113" s="73">
        <f t="shared" si="441"/>
        <v>0</v>
      </c>
      <c r="AL113" s="1" t="s">
        <v>34</v>
      </c>
      <c r="AM113" s="35" t="e">
        <f t="shared" si="452"/>
        <v>#DIV/0!</v>
      </c>
      <c r="AN113" s="32" t="e">
        <f t="shared" si="442"/>
        <v>#DIV/0!</v>
      </c>
      <c r="AO113" s="36" t="e">
        <f t="shared" si="443"/>
        <v>#DIV/0!</v>
      </c>
      <c r="AP113" s="32" t="e">
        <f t="shared" si="444"/>
        <v>#DIV/0!</v>
      </c>
      <c r="AR113" s="1" t="s">
        <v>34</v>
      </c>
      <c r="AS113" s="47">
        <f ca="1">OFFSET(workbased_existing,9,0)</f>
        <v>-9.1426836539394624E-2</v>
      </c>
      <c r="AT113" s="48">
        <f ca="1">OFFSET(workbased_existing,10,0)</f>
        <v>-3.4913495786520863</v>
      </c>
      <c r="AU113" s="49">
        <f ca="1">OFFSET(workbased_existing,11,0)</f>
        <v>-2.0742819106962838</v>
      </c>
      <c r="AX113" s="48"/>
      <c r="AY113" s="48"/>
      <c r="AZ113" s="48"/>
      <c r="BC113" s="48"/>
      <c r="BD113" s="48"/>
      <c r="BE113" s="48"/>
      <c r="BG113" s="1" t="s">
        <v>121</v>
      </c>
      <c r="BH113" s="61" t="e">
        <f t="shared" si="453"/>
        <v>#DIV/0!</v>
      </c>
      <c r="BI113" s="62" t="e">
        <f t="shared" si="454"/>
        <v>#DIV/0!</v>
      </c>
      <c r="BJ113" s="61" t="e">
        <f t="shared" si="455"/>
        <v>#DIV/0!</v>
      </c>
      <c r="BK113" s="62" t="e">
        <f t="shared" si="456"/>
        <v>#DIV/0!</v>
      </c>
      <c r="BL113" s="61" t="e">
        <f t="shared" si="457"/>
        <v>#DIV/0!</v>
      </c>
      <c r="BM113" s="62" t="e">
        <f t="shared" si="458"/>
        <v>#DIV/0!</v>
      </c>
      <c r="BN113" s="60" t="e">
        <f t="shared" si="459"/>
        <v>#DIV/0!</v>
      </c>
      <c r="BO113" s="62" t="e">
        <f t="shared" si="460"/>
        <v>#DIV/0!</v>
      </c>
    </row>
    <row r="114" spans="1:67" x14ac:dyDescent="0.2">
      <c r="A114" s="90" t="s">
        <v>3</v>
      </c>
      <c r="B114" s="91">
        <f t="shared" ref="B114:D114" si="470">SUM(B9,B24,B39,B54,B69,B84,B99)</f>
        <v>190745.74587649107</v>
      </c>
      <c r="C114" s="92">
        <f t="shared" si="470"/>
        <v>84727.533410522243</v>
      </c>
      <c r="D114" s="93">
        <f t="shared" si="470"/>
        <v>215342.29499825035</v>
      </c>
      <c r="E114" s="92">
        <f t="shared" si="446"/>
        <v>490815.57428526366</v>
      </c>
      <c r="F114" s="184">
        <f>E114/E$119</f>
        <v>5.230796003838889E-2</v>
      </c>
      <c r="G114" s="5"/>
      <c r="H114" s="1" t="s">
        <v>3</v>
      </c>
      <c r="I114" s="9">
        <f t="shared" ref="I114:K114" si="471">SUM(I9,I24,I39,I54,I69,I84,I99)</f>
        <v>0</v>
      </c>
      <c r="J114" s="5">
        <f t="shared" si="471"/>
        <v>0</v>
      </c>
      <c r="K114" s="10">
        <f t="shared" si="471"/>
        <v>0</v>
      </c>
      <c r="L114" s="5">
        <f t="shared" si="448"/>
        <v>0</v>
      </c>
      <c r="M114" s="193" t="e">
        <f>L114/L$119</f>
        <v>#DIV/0!</v>
      </c>
      <c r="N114" s="1" t="s">
        <v>3</v>
      </c>
      <c r="O114" s="9">
        <f t="shared" ref="O114:Q114" si="472">SUM(O9,O24,O39,O54,O69,O84,O99)</f>
        <v>0</v>
      </c>
      <c r="P114" s="5">
        <f t="shared" si="472"/>
        <v>0</v>
      </c>
      <c r="Q114" s="10">
        <f t="shared" si="472"/>
        <v>0</v>
      </c>
      <c r="R114" s="5">
        <f t="shared" si="450"/>
        <v>0</v>
      </c>
      <c r="T114" s="1" t="s">
        <v>3</v>
      </c>
      <c r="U114" s="23" t="e">
        <f>I114/I119</f>
        <v>#DIV/0!</v>
      </c>
      <c r="V114" s="25" t="e">
        <f>J114/J119</f>
        <v>#DIV/0!</v>
      </c>
      <c r="W114" s="28" t="e">
        <f>K114/K119</f>
        <v>#DIV/0!</v>
      </c>
      <c r="X114" s="25" t="e">
        <f>L114/L119</f>
        <v>#DIV/0!</v>
      </c>
      <c r="Z114" s="1" t="s">
        <v>3</v>
      </c>
      <c r="AA114" s="23" t="e">
        <f>O114/O119</f>
        <v>#DIV/0!</v>
      </c>
      <c r="AB114" s="25" t="e">
        <f>P114/P119</f>
        <v>#DIV/0!</v>
      </c>
      <c r="AC114" s="28" t="e">
        <f>Q114/Q119</f>
        <v>#DIV/0!</v>
      </c>
      <c r="AD114" s="25" t="e">
        <f>R114/R119</f>
        <v>#DIV/0!</v>
      </c>
      <c r="AF114" s="1" t="s">
        <v>3</v>
      </c>
      <c r="AG114" s="86">
        <f t="shared" si="451"/>
        <v>0</v>
      </c>
      <c r="AH114" s="73">
        <f t="shared" si="439"/>
        <v>0</v>
      </c>
      <c r="AI114" s="87">
        <f t="shared" si="440"/>
        <v>0</v>
      </c>
      <c r="AJ114" s="73">
        <f t="shared" si="441"/>
        <v>0</v>
      </c>
      <c r="AL114" s="1" t="s">
        <v>3</v>
      </c>
      <c r="AM114" s="35" t="e">
        <f t="shared" si="452"/>
        <v>#DIV/0!</v>
      </c>
      <c r="AN114" s="32" t="e">
        <f t="shared" si="442"/>
        <v>#DIV/0!</v>
      </c>
      <c r="AO114" s="36" t="e">
        <f t="shared" si="443"/>
        <v>#DIV/0!</v>
      </c>
      <c r="AP114" s="32" t="e">
        <f t="shared" si="444"/>
        <v>#DIV/0!</v>
      </c>
      <c r="AR114" s="1" t="s">
        <v>3</v>
      </c>
      <c r="AS114" s="47">
        <f ca="1">OFFSET(workbased_existing,12,0)</f>
        <v>3.1450127825160732</v>
      </c>
      <c r="AT114" s="48">
        <f ca="1">OFFSET(workbased_existing,13,0)</f>
        <v>-3.4136434690204598</v>
      </c>
      <c r="AU114" s="49">
        <f ca="1">OFFSET(workbased_existing,14,0)</f>
        <v>-4.2096340712934692</v>
      </c>
      <c r="AX114" s="48"/>
      <c r="AY114" s="48"/>
      <c r="AZ114" s="48"/>
      <c r="BC114" s="48"/>
      <c r="BD114" s="48"/>
      <c r="BE114" s="48"/>
      <c r="BG114" s="1" t="s">
        <v>3</v>
      </c>
      <c r="BH114" s="61" t="e">
        <f t="shared" si="453"/>
        <v>#DIV/0!</v>
      </c>
      <c r="BI114" s="62" t="e">
        <f t="shared" si="454"/>
        <v>#DIV/0!</v>
      </c>
      <c r="BJ114" s="61" t="e">
        <f t="shared" si="455"/>
        <v>#DIV/0!</v>
      </c>
      <c r="BK114" s="62" t="e">
        <f t="shared" si="456"/>
        <v>#DIV/0!</v>
      </c>
      <c r="BL114" s="61" t="e">
        <f t="shared" si="457"/>
        <v>#DIV/0!</v>
      </c>
      <c r="BM114" s="62" t="e">
        <f t="shared" si="458"/>
        <v>#DIV/0!</v>
      </c>
      <c r="BN114" s="60" t="e">
        <f t="shared" si="459"/>
        <v>#DIV/0!</v>
      </c>
      <c r="BO114" s="62" t="e">
        <f t="shared" si="460"/>
        <v>#DIV/0!</v>
      </c>
    </row>
    <row r="115" spans="1:67" x14ac:dyDescent="0.2">
      <c r="A115" s="90" t="s">
        <v>35</v>
      </c>
      <c r="B115" s="91">
        <f t="shared" ref="B115:D115" si="473">SUM(B10,B25,B40,B55,B70,B85,B100)</f>
        <v>0</v>
      </c>
      <c r="C115" s="92">
        <f t="shared" si="473"/>
        <v>22275.823566420157</v>
      </c>
      <c r="D115" s="93">
        <f t="shared" si="473"/>
        <v>67190.814862420419</v>
      </c>
      <c r="E115" s="92">
        <f t="shared" si="446"/>
        <v>89466.638428840582</v>
      </c>
      <c r="F115" s="184">
        <f t="shared" ref="F115:F118" si="474">E115/E$119</f>
        <v>9.5347776087171508E-3</v>
      </c>
      <c r="G115" s="5"/>
      <c r="H115" s="1" t="s">
        <v>35</v>
      </c>
      <c r="I115" s="9">
        <f t="shared" ref="I115:K115" si="475">SUM(I10,I25,I40,I55,I70,I85,I100)</f>
        <v>0</v>
      </c>
      <c r="J115" s="5">
        <f t="shared" si="475"/>
        <v>0</v>
      </c>
      <c r="K115" s="10">
        <f t="shared" si="475"/>
        <v>0</v>
      </c>
      <c r="L115" s="5">
        <f t="shared" si="448"/>
        <v>0</v>
      </c>
      <c r="M115" s="193" t="e">
        <f t="shared" ref="M115:M118" si="476">L115/L$119</f>
        <v>#DIV/0!</v>
      </c>
      <c r="N115" s="1" t="s">
        <v>35</v>
      </c>
      <c r="O115" s="9">
        <f t="shared" ref="O115:Q115" si="477">SUM(O10,O25,O40,O55,O70,O85,O100)</f>
        <v>0</v>
      </c>
      <c r="P115" s="5">
        <f t="shared" si="477"/>
        <v>0</v>
      </c>
      <c r="Q115" s="10">
        <f t="shared" si="477"/>
        <v>0</v>
      </c>
      <c r="R115" s="5">
        <f t="shared" si="450"/>
        <v>0</v>
      </c>
      <c r="T115" s="1" t="s">
        <v>35</v>
      </c>
      <c r="U115" s="23" t="e">
        <f>I115/I119</f>
        <v>#DIV/0!</v>
      </c>
      <c r="V115" s="25" t="e">
        <f>J115/J119</f>
        <v>#DIV/0!</v>
      </c>
      <c r="W115" s="28" t="e">
        <f>K115/K119</f>
        <v>#DIV/0!</v>
      </c>
      <c r="X115" s="25" t="e">
        <f>L115/L119</f>
        <v>#DIV/0!</v>
      </c>
      <c r="Z115" s="1" t="s">
        <v>35</v>
      </c>
      <c r="AA115" s="23" t="e">
        <f>O115/O119</f>
        <v>#DIV/0!</v>
      </c>
      <c r="AB115" s="25" t="e">
        <f>P115/P119</f>
        <v>#DIV/0!</v>
      </c>
      <c r="AC115" s="28" t="e">
        <f>Q115/Q119</f>
        <v>#DIV/0!</v>
      </c>
      <c r="AD115" s="25" t="e">
        <f>R115/R119</f>
        <v>#DIV/0!</v>
      </c>
      <c r="AF115" s="1" t="s">
        <v>35</v>
      </c>
      <c r="AG115" s="86">
        <f t="shared" si="451"/>
        <v>0</v>
      </c>
      <c r="AH115" s="73">
        <f t="shared" si="439"/>
        <v>0</v>
      </c>
      <c r="AI115" s="87">
        <f t="shared" si="440"/>
        <v>0</v>
      </c>
      <c r="AJ115" s="73">
        <f t="shared" si="441"/>
        <v>0</v>
      </c>
      <c r="AL115" s="1" t="s">
        <v>35</v>
      </c>
      <c r="AM115" s="35" t="e">
        <f t="shared" si="452"/>
        <v>#DIV/0!</v>
      </c>
      <c r="AN115" s="32" t="e">
        <f t="shared" si="442"/>
        <v>#DIV/0!</v>
      </c>
      <c r="AO115" s="36" t="e">
        <f t="shared" si="443"/>
        <v>#DIV/0!</v>
      </c>
      <c r="AP115" s="32" t="e">
        <f t="shared" si="444"/>
        <v>#DIV/0!</v>
      </c>
      <c r="AR115" s="1" t="s">
        <v>35</v>
      </c>
      <c r="AS115" s="47">
        <f ca="1">OFFSET(workbased_existing,15,0)</f>
        <v>0</v>
      </c>
      <c r="AT115" s="48">
        <f ca="1">OFFSET(workbased_existing,16,0)</f>
        <v>-999</v>
      </c>
      <c r="AU115" s="49">
        <f ca="1">OFFSET(workbased_existing,17,0)</f>
        <v>-999</v>
      </c>
      <c r="AX115" s="48"/>
      <c r="AY115" s="48"/>
      <c r="AZ115" s="48"/>
      <c r="BC115" s="48"/>
      <c r="BD115" s="48"/>
      <c r="BE115" s="48"/>
      <c r="BG115" s="1" t="s">
        <v>35</v>
      </c>
      <c r="BH115" s="61" t="e">
        <f t="shared" si="453"/>
        <v>#DIV/0!</v>
      </c>
      <c r="BI115" s="62" t="e">
        <f t="shared" si="454"/>
        <v>#DIV/0!</v>
      </c>
      <c r="BJ115" s="61" t="e">
        <f t="shared" si="455"/>
        <v>#DIV/0!</v>
      </c>
      <c r="BK115" s="62" t="e">
        <f t="shared" si="456"/>
        <v>#DIV/0!</v>
      </c>
      <c r="BL115" s="61" t="e">
        <f t="shared" si="457"/>
        <v>#DIV/0!</v>
      </c>
      <c r="BM115" s="62" t="e">
        <f t="shared" si="458"/>
        <v>#DIV/0!</v>
      </c>
      <c r="BN115" s="60" t="e">
        <f t="shared" si="459"/>
        <v>#DIV/0!</v>
      </c>
      <c r="BO115" s="62" t="e">
        <f t="shared" si="460"/>
        <v>#DIV/0!</v>
      </c>
    </row>
    <row r="116" spans="1:67" x14ac:dyDescent="0.2">
      <c r="A116" s="1" t="s">
        <v>36</v>
      </c>
      <c r="B116" s="9">
        <f t="shared" ref="B116:D116" si="478">SUM(B11,B26,B41,B56,B71,B86,B101)</f>
        <v>459.82526070978764</v>
      </c>
      <c r="C116" s="5">
        <f t="shared" si="478"/>
        <v>888.18092989790136</v>
      </c>
      <c r="D116" s="10">
        <f t="shared" si="478"/>
        <v>2229.1318784657465</v>
      </c>
      <c r="E116" s="5">
        <f t="shared" si="446"/>
        <v>3577.1380690734354</v>
      </c>
      <c r="F116" s="183">
        <f t="shared" si="474"/>
        <v>3.8122831664698213E-4</v>
      </c>
      <c r="G116" s="5"/>
      <c r="H116" s="1" t="s">
        <v>36</v>
      </c>
      <c r="I116" s="9">
        <f t="shared" ref="I116:K116" si="479">SUM(I11,I26,I41,I56,I71,I86,I101)</f>
        <v>0</v>
      </c>
      <c r="J116" s="5">
        <f t="shared" si="479"/>
        <v>0</v>
      </c>
      <c r="K116" s="10">
        <f t="shared" si="479"/>
        <v>0</v>
      </c>
      <c r="L116" s="5">
        <f t="shared" si="448"/>
        <v>0</v>
      </c>
      <c r="M116" s="192" t="e">
        <f t="shared" si="476"/>
        <v>#DIV/0!</v>
      </c>
      <c r="N116" s="1" t="s">
        <v>36</v>
      </c>
      <c r="O116" s="9">
        <f t="shared" ref="O116:Q116" si="480">SUM(O11,O26,O41,O56,O71,O86,O101)</f>
        <v>0</v>
      </c>
      <c r="P116" s="5">
        <f t="shared" si="480"/>
        <v>0</v>
      </c>
      <c r="Q116" s="10">
        <f t="shared" si="480"/>
        <v>0</v>
      </c>
      <c r="R116" s="5">
        <f t="shared" si="450"/>
        <v>0</v>
      </c>
      <c r="T116" s="1" t="s">
        <v>36</v>
      </c>
      <c r="U116" s="23" t="e">
        <f>I116/I119</f>
        <v>#DIV/0!</v>
      </c>
      <c r="V116" s="25" t="e">
        <f>J116/J119</f>
        <v>#DIV/0!</v>
      </c>
      <c r="W116" s="28" t="e">
        <f>K116/K119</f>
        <v>#DIV/0!</v>
      </c>
      <c r="X116" s="25" t="e">
        <f>L116/L119</f>
        <v>#DIV/0!</v>
      </c>
      <c r="Z116" s="1" t="s">
        <v>36</v>
      </c>
      <c r="AA116" s="23" t="e">
        <f>O116/O119</f>
        <v>#DIV/0!</v>
      </c>
      <c r="AB116" s="25" t="e">
        <f>P116/P119</f>
        <v>#DIV/0!</v>
      </c>
      <c r="AC116" s="28" t="e">
        <f>Q116/Q119</f>
        <v>#DIV/0!</v>
      </c>
      <c r="AD116" s="25" t="e">
        <f>R116/R119</f>
        <v>#DIV/0!</v>
      </c>
      <c r="AF116" s="1" t="s">
        <v>36</v>
      </c>
      <c r="AG116" s="86">
        <f t="shared" si="451"/>
        <v>0</v>
      </c>
      <c r="AH116" s="73">
        <f t="shared" si="439"/>
        <v>0</v>
      </c>
      <c r="AI116" s="87">
        <f t="shared" si="440"/>
        <v>0</v>
      </c>
      <c r="AJ116" s="73">
        <f t="shared" si="441"/>
        <v>0</v>
      </c>
      <c r="AL116" s="1" t="s">
        <v>36</v>
      </c>
      <c r="AM116" s="35" t="e">
        <f t="shared" si="452"/>
        <v>#DIV/0!</v>
      </c>
      <c r="AN116" s="32" t="e">
        <f t="shared" si="442"/>
        <v>#DIV/0!</v>
      </c>
      <c r="AO116" s="36" t="e">
        <f t="shared" si="443"/>
        <v>#DIV/0!</v>
      </c>
      <c r="AP116" s="32" t="e">
        <f t="shared" si="444"/>
        <v>#DIV/0!</v>
      </c>
      <c r="AR116" s="1" t="s">
        <v>36</v>
      </c>
      <c r="AS116" s="47">
        <f ca="1">OFFSET(workbased_existing,18,0)</f>
        <v>4.8420209089230175</v>
      </c>
      <c r="AT116" s="48">
        <f ca="1">OFFSET(workbased_existing,19,0)</f>
        <v>-3.3772121132837474</v>
      </c>
      <c r="AU116" s="49">
        <f ca="1">OFFSET(workbased_existing,20,0)</f>
        <v>-3.022133117479147</v>
      </c>
      <c r="AX116" s="48"/>
      <c r="AY116" s="48"/>
      <c r="AZ116" s="48"/>
      <c r="BC116" s="48"/>
      <c r="BD116" s="48"/>
      <c r="BE116" s="48"/>
      <c r="BG116" s="1" t="s">
        <v>36</v>
      </c>
      <c r="BH116" s="61" t="e">
        <f t="shared" si="453"/>
        <v>#DIV/0!</v>
      </c>
      <c r="BI116" s="62" t="e">
        <f t="shared" si="454"/>
        <v>#DIV/0!</v>
      </c>
      <c r="BJ116" s="61" t="e">
        <f t="shared" si="455"/>
        <v>#DIV/0!</v>
      </c>
      <c r="BK116" s="62" t="e">
        <f t="shared" si="456"/>
        <v>#DIV/0!</v>
      </c>
      <c r="BL116" s="61" t="e">
        <f t="shared" si="457"/>
        <v>#DIV/0!</v>
      </c>
      <c r="BM116" s="62" t="e">
        <f t="shared" si="458"/>
        <v>#DIV/0!</v>
      </c>
      <c r="BN116" s="60" t="e">
        <f t="shared" si="459"/>
        <v>#DIV/0!</v>
      </c>
      <c r="BO116" s="62" t="e">
        <f t="shared" si="460"/>
        <v>#DIV/0!</v>
      </c>
    </row>
    <row r="117" spans="1:67" x14ac:dyDescent="0.2">
      <c r="A117" s="1" t="s">
        <v>55</v>
      </c>
      <c r="B117" s="186">
        <f t="shared" ref="B117:D117" si="481">SUM(B12,B27,B42,B57,B72,B87,B102)</f>
        <v>15708.746543558511</v>
      </c>
      <c r="C117" s="185">
        <f t="shared" si="481"/>
        <v>11630.585509434723</v>
      </c>
      <c r="D117" s="187">
        <f t="shared" si="481"/>
        <v>31044.857045075485</v>
      </c>
      <c r="E117" s="5">
        <f t="shared" ref="E117:E118" si="482">SUM(B117:D117)</f>
        <v>58384.189098068717</v>
      </c>
      <c r="F117" s="183">
        <f t="shared" si="474"/>
        <v>6.2222105210552022E-3</v>
      </c>
      <c r="G117" s="5"/>
      <c r="H117" s="1" t="s">
        <v>55</v>
      </c>
      <c r="I117" s="9">
        <f t="shared" ref="I117:K117" si="483">SUM(I12,I27,I42,I57,I72,I87,I102)</f>
        <v>0</v>
      </c>
      <c r="J117" s="5">
        <f t="shared" si="483"/>
        <v>0</v>
      </c>
      <c r="K117" s="10">
        <f t="shared" si="483"/>
        <v>0</v>
      </c>
      <c r="L117" s="5">
        <f t="shared" ref="L117:L118" si="484">SUM(I117:K117)</f>
        <v>0</v>
      </c>
      <c r="M117" s="192" t="e">
        <f t="shared" si="476"/>
        <v>#DIV/0!</v>
      </c>
      <c r="N117" s="1" t="s">
        <v>55</v>
      </c>
      <c r="O117" s="9">
        <f t="shared" ref="O117:Q117" si="485">SUM(O12,O27,O42,O57,O72,O87,O102)</f>
        <v>0</v>
      </c>
      <c r="P117" s="5">
        <f t="shared" si="485"/>
        <v>0</v>
      </c>
      <c r="Q117" s="10">
        <f t="shared" si="485"/>
        <v>0</v>
      </c>
      <c r="R117" s="5">
        <f t="shared" si="450"/>
        <v>0</v>
      </c>
      <c r="T117" s="1" t="s">
        <v>55</v>
      </c>
      <c r="U117" s="23" t="e">
        <f>I117/I119</f>
        <v>#DIV/0!</v>
      </c>
      <c r="V117" s="25" t="e">
        <f t="shared" ref="V117" si="486">J117/J119</f>
        <v>#DIV/0!</v>
      </c>
      <c r="W117" s="28" t="e">
        <f t="shared" ref="W117" si="487">K117/K119</f>
        <v>#DIV/0!</v>
      </c>
      <c r="X117" s="25" t="e">
        <f t="shared" ref="X117" si="488">L117/L119</f>
        <v>#DIV/0!</v>
      </c>
      <c r="Z117" s="1" t="s">
        <v>55</v>
      </c>
      <c r="AA117" s="23" t="e">
        <f>O117/O119</f>
        <v>#DIV/0!</v>
      </c>
      <c r="AB117" s="25" t="e">
        <f>P117/P119</f>
        <v>#DIV/0!</v>
      </c>
      <c r="AC117" s="28" t="e">
        <f>Q117/Q119</f>
        <v>#DIV/0!</v>
      </c>
      <c r="AD117" s="25" t="e">
        <f>R117/R119</f>
        <v>#DIV/0!</v>
      </c>
      <c r="AF117" s="1" t="s">
        <v>55</v>
      </c>
      <c r="AG117" s="86">
        <f t="shared" si="451"/>
        <v>0</v>
      </c>
      <c r="AH117" s="73">
        <f t="shared" si="439"/>
        <v>0</v>
      </c>
      <c r="AI117" s="87">
        <f t="shared" si="440"/>
        <v>0</v>
      </c>
      <c r="AJ117" s="73">
        <f t="shared" si="441"/>
        <v>0</v>
      </c>
      <c r="AL117" s="1" t="s">
        <v>55</v>
      </c>
      <c r="AM117" s="35" t="e">
        <f t="shared" si="452"/>
        <v>#DIV/0!</v>
      </c>
      <c r="AN117" s="32" t="e">
        <f t="shared" si="442"/>
        <v>#DIV/0!</v>
      </c>
      <c r="AO117" s="36" t="e">
        <f t="shared" si="443"/>
        <v>#DIV/0!</v>
      </c>
      <c r="AP117" s="32" t="e">
        <f t="shared" si="444"/>
        <v>#DIV/0!</v>
      </c>
      <c r="AR117" s="1" t="s">
        <v>55</v>
      </c>
      <c r="AS117" s="47">
        <f ca="1">OFFSET(workbased_existing,21,0)</f>
        <v>5.5085260908188074</v>
      </c>
      <c r="AT117" s="48">
        <f ca="1">OFFSET(workbased_existing,22,0)</f>
        <v>-3.1699375887121133</v>
      </c>
      <c r="AU117" s="49">
        <f ca="1">OFFSET(workbased_existing,23,0)</f>
        <v>-2.3541348228571715</v>
      </c>
      <c r="AX117" s="48"/>
      <c r="AY117" s="48"/>
      <c r="AZ117" s="48"/>
      <c r="BC117" s="48"/>
      <c r="BD117" s="48"/>
      <c r="BE117" s="48"/>
      <c r="BG117" s="1" t="s">
        <v>55</v>
      </c>
      <c r="BH117" s="61" t="e">
        <f t="shared" si="453"/>
        <v>#DIV/0!</v>
      </c>
      <c r="BI117" s="62" t="e">
        <f t="shared" si="454"/>
        <v>#DIV/0!</v>
      </c>
      <c r="BJ117" s="61" t="e">
        <f t="shared" si="455"/>
        <v>#DIV/0!</v>
      </c>
      <c r="BK117" s="62" t="e">
        <f t="shared" si="456"/>
        <v>#DIV/0!</v>
      </c>
      <c r="BL117" s="61" t="e">
        <f t="shared" si="457"/>
        <v>#DIV/0!</v>
      </c>
      <c r="BM117" s="62" t="e">
        <f t="shared" si="458"/>
        <v>#DIV/0!</v>
      </c>
      <c r="BN117" s="60" t="e">
        <f t="shared" si="459"/>
        <v>#DIV/0!</v>
      </c>
      <c r="BO117" s="62" t="e">
        <f t="shared" si="460"/>
        <v>#DIV/0!</v>
      </c>
    </row>
    <row r="118" spans="1:67" x14ac:dyDescent="0.2">
      <c r="A118" s="1" t="s">
        <v>56</v>
      </c>
      <c r="B118" s="188">
        <f t="shared" ref="B118:D118" si="489">SUM(B13,B28,B43,B58,B73,B88,B103)</f>
        <v>1108.9014601662252</v>
      </c>
      <c r="C118" s="189">
        <f t="shared" si="489"/>
        <v>201.44461835462724</v>
      </c>
      <c r="D118" s="190">
        <f t="shared" si="489"/>
        <v>1683.6741856247959</v>
      </c>
      <c r="E118" s="5">
        <f t="shared" si="482"/>
        <v>2994.0202641456481</v>
      </c>
      <c r="F118" s="183">
        <f t="shared" si="474"/>
        <v>3.1908337986038361E-4</v>
      </c>
      <c r="G118" s="5"/>
      <c r="H118" s="1" t="s">
        <v>56</v>
      </c>
      <c r="I118" s="11">
        <f t="shared" ref="I118:K118" si="490">SUM(I13,I28,I43,I58,I73,I88,I103)</f>
        <v>0</v>
      </c>
      <c r="J118" s="12">
        <f t="shared" si="490"/>
        <v>0</v>
      </c>
      <c r="K118" s="13">
        <f t="shared" si="490"/>
        <v>0</v>
      </c>
      <c r="L118" s="5">
        <f t="shared" si="484"/>
        <v>0</v>
      </c>
      <c r="M118" s="192" t="e">
        <f t="shared" si="476"/>
        <v>#DIV/0!</v>
      </c>
      <c r="N118" s="1" t="s">
        <v>56</v>
      </c>
      <c r="O118" s="11">
        <f t="shared" ref="O118:Q119" si="491">SUM(O13,O28,O43,O58,O73,O88,O103)</f>
        <v>0</v>
      </c>
      <c r="P118" s="12">
        <f t="shared" si="491"/>
        <v>0</v>
      </c>
      <c r="Q118" s="13">
        <f t="shared" si="491"/>
        <v>0</v>
      </c>
      <c r="R118" s="5">
        <f t="shared" si="450"/>
        <v>0</v>
      </c>
      <c r="T118" s="1" t="s">
        <v>56</v>
      </c>
      <c r="U118" s="24" t="e">
        <f>I118/I119</f>
        <v>#DIV/0!</v>
      </c>
      <c r="V118" s="29" t="e">
        <f t="shared" ref="V118" si="492">J118/J119</f>
        <v>#DIV/0!</v>
      </c>
      <c r="W118" s="30" t="e">
        <f t="shared" ref="W118" si="493">K118/K119</f>
        <v>#DIV/0!</v>
      </c>
      <c r="X118" s="25" t="e">
        <f t="shared" ref="X118" si="494">L118/L119</f>
        <v>#DIV/0!</v>
      </c>
      <c r="Z118" s="1" t="s">
        <v>56</v>
      </c>
      <c r="AA118" s="24" t="e">
        <f>O118/O119</f>
        <v>#DIV/0!</v>
      </c>
      <c r="AB118" s="29" t="e">
        <f>P118/P119</f>
        <v>#DIV/0!</v>
      </c>
      <c r="AC118" s="30" t="e">
        <f>Q118/Q119</f>
        <v>#DIV/0!</v>
      </c>
      <c r="AD118" s="25" t="e">
        <f>R118/R119</f>
        <v>#DIV/0!</v>
      </c>
      <c r="AF118" s="1" t="s">
        <v>56</v>
      </c>
      <c r="AG118" s="88">
        <f t="shared" si="451"/>
        <v>0</v>
      </c>
      <c r="AH118" s="72">
        <f t="shared" si="439"/>
        <v>0</v>
      </c>
      <c r="AI118" s="89">
        <f t="shared" si="440"/>
        <v>0</v>
      </c>
      <c r="AJ118" s="73">
        <f t="shared" si="441"/>
        <v>0</v>
      </c>
      <c r="AL118" s="1" t="s">
        <v>56</v>
      </c>
      <c r="AM118" s="37" t="e">
        <f t="shared" si="452"/>
        <v>#DIV/0!</v>
      </c>
      <c r="AN118" s="38" t="e">
        <f t="shared" si="442"/>
        <v>#DIV/0!</v>
      </c>
      <c r="AO118" s="39" t="e">
        <f t="shared" si="443"/>
        <v>#DIV/0!</v>
      </c>
      <c r="AP118" s="32" t="e">
        <f t="shared" si="444"/>
        <v>#DIV/0!</v>
      </c>
      <c r="AR118" s="1" t="s">
        <v>56</v>
      </c>
      <c r="AS118" s="50">
        <f ca="1">OFFSET(workbased_existing,24,0)</f>
        <v>4.2713065622243782</v>
      </c>
      <c r="AT118" s="51">
        <f ca="1">OFFSET(workbased_existing,25,0)</f>
        <v>-3.7791628617553497</v>
      </c>
      <c r="AU118" s="52">
        <f ca="1">OFFSET(workbased_existing,26,0)</f>
        <v>-3.2430867960569971</v>
      </c>
      <c r="AX118" s="48"/>
      <c r="AY118" s="48"/>
      <c r="AZ118" s="48"/>
      <c r="BC118" s="48"/>
      <c r="BD118" s="48"/>
      <c r="BE118" s="48"/>
      <c r="BG118" s="1" t="s">
        <v>56</v>
      </c>
      <c r="BH118" s="63" t="e">
        <f t="shared" si="453"/>
        <v>#DIV/0!</v>
      </c>
      <c r="BI118" s="65" t="e">
        <f t="shared" si="454"/>
        <v>#DIV/0!</v>
      </c>
      <c r="BJ118" s="63" t="e">
        <f t="shared" si="455"/>
        <v>#DIV/0!</v>
      </c>
      <c r="BK118" s="65" t="e">
        <f t="shared" si="456"/>
        <v>#DIV/0!</v>
      </c>
      <c r="BL118" s="63" t="e">
        <f t="shared" si="457"/>
        <v>#DIV/0!</v>
      </c>
      <c r="BM118" s="65" t="e">
        <f t="shared" si="458"/>
        <v>#DIV/0!</v>
      </c>
      <c r="BN118" s="64" t="e">
        <f t="shared" si="459"/>
        <v>#DIV/0!</v>
      </c>
      <c r="BO118" s="65" t="e">
        <f t="shared" si="460"/>
        <v>#DIV/0!</v>
      </c>
    </row>
    <row r="119" spans="1:67" x14ac:dyDescent="0.2">
      <c r="A119" s="1" t="s">
        <v>1</v>
      </c>
      <c r="B119" s="5">
        <f>SUM(B109:B118)</f>
        <v>638447.73267359415</v>
      </c>
      <c r="C119" s="5">
        <f>SUM(C109:C118)</f>
        <v>812764.81216247228</v>
      </c>
      <c r="D119" s="5">
        <f>SUM(D109:D118)</f>
        <v>7931978.348577735</v>
      </c>
      <c r="E119" s="5">
        <f>SUM(B119:D119)</f>
        <v>9383190.8934138007</v>
      </c>
      <c r="F119" s="5"/>
      <c r="G119" s="5"/>
      <c r="H119" s="1" t="s">
        <v>1</v>
      </c>
      <c r="I119" s="5">
        <f>SUM(I109:I118)</f>
        <v>0</v>
      </c>
      <c r="J119" s="5">
        <f t="shared" ref="J119:K119" si="495">SUM(J109:J118)</f>
        <v>0</v>
      </c>
      <c r="K119" s="5">
        <f t="shared" si="495"/>
        <v>0</v>
      </c>
      <c r="L119" s="5">
        <f>SUM(I119:K119)</f>
        <v>0</v>
      </c>
      <c r="N119" s="1" t="s">
        <v>1</v>
      </c>
      <c r="O119" s="5">
        <f t="shared" si="491"/>
        <v>0</v>
      </c>
      <c r="P119" s="5">
        <f t="shared" si="491"/>
        <v>0</v>
      </c>
      <c r="Q119" s="5">
        <f t="shared" si="491"/>
        <v>0</v>
      </c>
      <c r="R119" s="5">
        <f t="shared" si="450"/>
        <v>0</v>
      </c>
      <c r="S119" s="5"/>
      <c r="T119" s="1" t="s">
        <v>1</v>
      </c>
      <c r="U119" s="25" t="e">
        <f>SUM(U109:U118)</f>
        <v>#DIV/0!</v>
      </c>
      <c r="V119" s="25" t="e">
        <f t="shared" ref="V119" si="496">SUM(V109:V118)</f>
        <v>#DIV/0!</v>
      </c>
      <c r="W119" s="25" t="e">
        <f t="shared" ref="W119" si="497">SUM(W109:W118)</f>
        <v>#DIV/0!</v>
      </c>
      <c r="X119" s="25" t="e">
        <f t="shared" ref="X119" si="498">SUM(X109:X118)</f>
        <v>#DIV/0!</v>
      </c>
      <c r="Z119" s="1" t="s">
        <v>1</v>
      </c>
      <c r="AA119" s="60" t="e">
        <f>SUM(AA109:AA118)</f>
        <v>#DIV/0!</v>
      </c>
      <c r="AB119" s="60" t="e">
        <f t="shared" ref="AB119" si="499">SUM(AB109:AB118)</f>
        <v>#DIV/0!</v>
      </c>
      <c r="AC119" s="60" t="e">
        <f t="shared" ref="AC119" si="500">SUM(AC109:AC118)</f>
        <v>#DIV/0!</v>
      </c>
      <c r="AD119" s="25" t="e">
        <f>SUM(AD109:AD116)</f>
        <v>#DIV/0!</v>
      </c>
      <c r="AF119" s="1" t="s">
        <v>1</v>
      </c>
      <c r="AG119" s="5">
        <f t="shared" si="451"/>
        <v>0</v>
      </c>
      <c r="AH119" s="5">
        <f t="shared" si="439"/>
        <v>0</v>
      </c>
      <c r="AI119" s="5">
        <f t="shared" si="440"/>
        <v>0</v>
      </c>
      <c r="AJ119" s="73">
        <f t="shared" si="441"/>
        <v>0</v>
      </c>
      <c r="AL119" s="1" t="s">
        <v>1</v>
      </c>
      <c r="AM119" s="32" t="e">
        <f t="shared" si="452"/>
        <v>#DIV/0!</v>
      </c>
      <c r="AN119" s="32" t="e">
        <f t="shared" si="442"/>
        <v>#DIV/0!</v>
      </c>
      <c r="AO119" s="32" t="e">
        <f t="shared" si="443"/>
        <v>#DIV/0!</v>
      </c>
      <c r="AP119" s="32" t="e">
        <f t="shared" si="444"/>
        <v>#DIV/0!</v>
      </c>
      <c r="BG119" s="1" t="s">
        <v>1</v>
      </c>
      <c r="BH119" s="60" t="e">
        <f>SUM(BH109:BH118)</f>
        <v>#DIV/0!</v>
      </c>
      <c r="BI119" s="60" t="e">
        <f t="shared" ref="BI119" si="501">SUM(BI109:BI118)</f>
        <v>#DIV/0!</v>
      </c>
      <c r="BJ119" s="60" t="e">
        <f t="shared" ref="BJ119" si="502">SUM(BJ109:BJ118)</f>
        <v>#DIV/0!</v>
      </c>
      <c r="BK119" s="60" t="e">
        <f t="shared" ref="BK119" si="503">SUM(BK109:BK118)</f>
        <v>#DIV/0!</v>
      </c>
      <c r="BL119" s="60" t="e">
        <f t="shared" ref="BL119" si="504">SUM(BL109:BL118)</f>
        <v>#DIV/0!</v>
      </c>
      <c r="BM119" s="60" t="e">
        <f t="shared" ref="BM119" si="505">SUM(BM109:BM118)</f>
        <v>#DIV/0!</v>
      </c>
      <c r="BN119" s="60" t="e">
        <f t="shared" ref="BN119" si="506">SUM(BN109:BN118)</f>
        <v>#DIV/0!</v>
      </c>
      <c r="BO119" s="60" t="e">
        <f t="shared" ref="BO119" si="507">SUM(BO109:BO118)</f>
        <v>#DIV/0!</v>
      </c>
    </row>
    <row r="122" spans="1:67" x14ac:dyDescent="0.2">
      <c r="C122" s="182"/>
      <c r="D122" s="183"/>
    </row>
    <row r="123" spans="1:67" x14ac:dyDescent="0.2">
      <c r="C123" s="182"/>
      <c r="D123" s="183"/>
    </row>
    <row r="124" spans="1:67" x14ac:dyDescent="0.2">
      <c r="C124" s="182"/>
      <c r="D124" s="183"/>
    </row>
    <row r="125" spans="1:67" x14ac:dyDescent="0.2">
      <c r="B125" s="191"/>
    </row>
  </sheetData>
  <pageMargins left="0.7" right="0.7" top="0.75" bottom="0.75" header="0.3" footer="0.3"/>
  <pageSetup paperSize="17" scale="3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A1:AX90"/>
  <sheetViews>
    <sheetView topLeftCell="S1" workbookViewId="0">
      <pane ySplit="1" topLeftCell="A71" activePane="bottomLeft" state="frozen"/>
      <selection activeCell="J1" sqref="J1"/>
      <selection pane="bottomLeft" activeCell="AK54" sqref="AK54"/>
    </sheetView>
  </sheetViews>
  <sheetFormatPr defaultRowHeight="12.75" x14ac:dyDescent="0.2"/>
  <cols>
    <col min="1" max="1" width="15.42578125" style="1" customWidth="1"/>
    <col min="2" max="5" width="9.140625" style="1"/>
    <col min="6" max="6" width="3.140625" style="1" customWidth="1"/>
    <col min="7" max="7" width="12.42578125" style="1" customWidth="1"/>
    <col min="8" max="11" width="9.140625" style="1"/>
    <col min="12" max="12" width="5.140625" style="1" customWidth="1"/>
    <col min="13" max="13" width="13.85546875" style="1" customWidth="1"/>
    <col min="14" max="17" width="8.7109375" style="1" customWidth="1"/>
    <col min="18" max="18" width="5.140625" style="1" customWidth="1"/>
    <col min="19" max="19" width="13" style="1" customWidth="1"/>
    <col min="20" max="23" width="8.7109375" style="1" customWidth="1"/>
    <col min="24" max="24" width="5.28515625" style="1" customWidth="1"/>
    <col min="25" max="25" width="13" style="1" customWidth="1"/>
    <col min="26" max="29" width="8.7109375" style="1" customWidth="1"/>
    <col min="30" max="30" width="4.42578125" style="1" customWidth="1"/>
    <col min="31" max="31" width="13" style="1" customWidth="1"/>
    <col min="32" max="35" width="8.7109375" style="1" customWidth="1"/>
    <col min="36" max="36" width="5.85546875" style="1" customWidth="1"/>
    <col min="37" max="37" width="14" style="1" customWidth="1"/>
    <col min="38" max="40" width="9.140625" style="1"/>
    <col min="41" max="41" width="3.42578125" style="1" customWidth="1"/>
    <col min="42" max="42" width="12.42578125" style="1" customWidth="1"/>
    <col min="43" max="50" width="7.28515625" style="60" customWidth="1"/>
    <col min="51" max="16384" width="9.140625" style="1"/>
  </cols>
  <sheetData>
    <row r="1" spans="1:50" s="21" customFormat="1" ht="13.5" customHeight="1" x14ac:dyDescent="0.2">
      <c r="A1" s="20" t="s">
        <v>29</v>
      </c>
      <c r="G1" s="20" t="s">
        <v>59</v>
      </c>
      <c r="M1" s="20" t="s">
        <v>167</v>
      </c>
      <c r="S1" s="20" t="s">
        <v>168</v>
      </c>
      <c r="Y1" s="20" t="s">
        <v>260</v>
      </c>
      <c r="AE1" s="20" t="s">
        <v>261</v>
      </c>
      <c r="AL1" s="55" t="s">
        <v>134</v>
      </c>
      <c r="AM1" s="55" t="s">
        <v>135</v>
      </c>
      <c r="AN1" s="55" t="s">
        <v>136</v>
      </c>
      <c r="AP1" s="20" t="s">
        <v>146</v>
      </c>
      <c r="AQ1" s="215"/>
      <c r="AR1" s="215"/>
      <c r="AS1" s="215"/>
      <c r="AT1" s="215"/>
      <c r="AU1" s="220"/>
      <c r="AV1" s="215"/>
      <c r="AW1" s="215"/>
      <c r="AX1" s="215"/>
    </row>
    <row r="2" spans="1:50" s="16" customFormat="1" x14ac:dyDescent="0.2">
      <c r="A2" s="15" t="s">
        <v>30</v>
      </c>
      <c r="G2" s="15" t="s">
        <v>30</v>
      </c>
      <c r="M2" s="15" t="s">
        <v>30</v>
      </c>
      <c r="S2" s="15" t="s">
        <v>30</v>
      </c>
      <c r="Y2" s="15" t="s">
        <v>30</v>
      </c>
      <c r="AE2" s="15" t="s">
        <v>30</v>
      </c>
      <c r="AK2" s="15" t="s">
        <v>30</v>
      </c>
      <c r="AP2" s="15" t="s">
        <v>30</v>
      </c>
      <c r="AQ2" s="216" t="s">
        <v>139</v>
      </c>
      <c r="AR2" s="217" t="s">
        <v>140</v>
      </c>
      <c r="AS2" s="217" t="s">
        <v>139</v>
      </c>
      <c r="AT2" s="217" t="s">
        <v>140</v>
      </c>
      <c r="AU2" s="217" t="s">
        <v>139</v>
      </c>
      <c r="AV2" s="217" t="s">
        <v>140</v>
      </c>
      <c r="AW2" s="217" t="s">
        <v>139</v>
      </c>
      <c r="AX2" s="217" t="s">
        <v>140</v>
      </c>
    </row>
    <row r="3" spans="1:50" ht="25.5" x14ac:dyDescent="0.2">
      <c r="B3" s="14" t="s">
        <v>38</v>
      </c>
      <c r="C3" s="14" t="s">
        <v>37</v>
      </c>
      <c r="D3" s="14" t="s">
        <v>0</v>
      </c>
      <c r="E3" s="17" t="s">
        <v>1</v>
      </c>
      <c r="H3" s="14" t="s">
        <v>38</v>
      </c>
      <c r="I3" s="14" t="s">
        <v>37</v>
      </c>
      <c r="J3" s="14" t="s">
        <v>0</v>
      </c>
      <c r="K3" s="17" t="s">
        <v>1</v>
      </c>
      <c r="N3" s="14" t="s">
        <v>38</v>
      </c>
      <c r="O3" s="14" t="s">
        <v>37</v>
      </c>
      <c r="P3" s="14" t="s">
        <v>0</v>
      </c>
      <c r="Q3" s="17" t="s">
        <v>1</v>
      </c>
      <c r="T3" s="14" t="s">
        <v>38</v>
      </c>
      <c r="U3" s="14" t="s">
        <v>37</v>
      </c>
      <c r="V3" s="14" t="s">
        <v>0</v>
      </c>
      <c r="W3" s="17" t="s">
        <v>1</v>
      </c>
      <c r="Z3" s="14" t="s">
        <v>38</v>
      </c>
      <c r="AA3" s="14" t="s">
        <v>37</v>
      </c>
      <c r="AB3" s="14" t="s">
        <v>0</v>
      </c>
      <c r="AC3" s="17" t="s">
        <v>1</v>
      </c>
      <c r="AF3" s="14" t="s">
        <v>38</v>
      </c>
      <c r="AG3" s="14" t="s">
        <v>37</v>
      </c>
      <c r="AH3" s="14" t="s">
        <v>0</v>
      </c>
      <c r="AI3" s="17" t="s">
        <v>1</v>
      </c>
      <c r="AK3" s="53">
        <v>0</v>
      </c>
      <c r="AL3" s="14"/>
      <c r="AM3" s="14"/>
      <c r="AN3" s="14"/>
      <c r="AO3" s="17"/>
      <c r="AQ3" s="218" t="s">
        <v>142</v>
      </c>
      <c r="AR3" s="218" t="s">
        <v>142</v>
      </c>
      <c r="AS3" s="218" t="s">
        <v>143</v>
      </c>
      <c r="AT3" s="218" t="s">
        <v>143</v>
      </c>
      <c r="AU3" s="218" t="s">
        <v>144</v>
      </c>
      <c r="AV3" s="218" t="s">
        <v>145</v>
      </c>
      <c r="AW3" s="219" t="s">
        <v>141</v>
      </c>
      <c r="AX3" s="219" t="s">
        <v>141</v>
      </c>
    </row>
    <row r="4" spans="1:50" x14ac:dyDescent="0.2">
      <c r="A4" s="1" t="s">
        <v>122</v>
      </c>
      <c r="B4" s="92">
        <f>targets!O11+targets!O17</f>
        <v>51708.969352784508</v>
      </c>
      <c r="C4" s="92">
        <f>targets!P11+targets!P17</f>
        <v>21986.461876880065</v>
      </c>
      <c r="D4" s="92">
        <f>targets!Q11+targets!Q17</f>
        <v>45775.464525244024</v>
      </c>
      <c r="E4" s="92">
        <f>SUM(B4:D4)</f>
        <v>119470.89575490859</v>
      </c>
      <c r="G4" s="1" t="s">
        <v>122</v>
      </c>
      <c r="H4" s="6" cm="1">
        <f t="array" ref="H4">SUM(IF((modeldata!$Q:$Q=$G$2)*(modeldata!$M:$M=$G4),modeldata!N:N,0))</f>
        <v>0</v>
      </c>
      <c r="I4" s="7">
        <f t="array" ref="I4">SUM(IF((modeldata!$Q:$Q=$G$2)*(modeldata!$M:$M=$G4),modeldata!O:O,0))</f>
        <v>0</v>
      </c>
      <c r="J4" s="8">
        <f t="array" ref="J4">SUM(IF((modeldata!$Q:$Q=$G$2)*(modeldata!$M:$M=$G4),modeldata!P:P,0))</f>
        <v>0</v>
      </c>
      <c r="K4" s="5">
        <f>SUM(H4:J4)</f>
        <v>0</v>
      </c>
      <c r="M4" s="1" t="s">
        <v>122</v>
      </c>
      <c r="N4" s="22">
        <f>B4/B12</f>
        <v>0.62415607444932042</v>
      </c>
      <c r="O4" s="26">
        <f>C4/C12</f>
        <v>0.31071629002519863</v>
      </c>
      <c r="P4" s="27">
        <f>D4/D12</f>
        <v>0.30890753041632163</v>
      </c>
      <c r="Q4" s="23">
        <f>E4/E12</f>
        <v>0.3958719163628342</v>
      </c>
      <c r="S4" s="1" t="s">
        <v>122</v>
      </c>
      <c r="T4" s="22" t="e">
        <f>H4/H12</f>
        <v>#DIV/0!</v>
      </c>
      <c r="U4" s="26" t="e">
        <f>I4/I12</f>
        <v>#DIV/0!</v>
      </c>
      <c r="V4" s="27" t="e">
        <f>J4/J12</f>
        <v>#DIV/0!</v>
      </c>
      <c r="W4" s="23" t="e">
        <f>K4/K12</f>
        <v>#DIV/0!</v>
      </c>
      <c r="Y4" s="1" t="s">
        <v>122</v>
      </c>
      <c r="Z4" s="83">
        <f>H4-B4</f>
        <v>-51708.969352784508</v>
      </c>
      <c r="AA4" s="84">
        <f t="shared" ref="AA4:AA12" si="0">I4-C4</f>
        <v>-21986.461876880065</v>
      </c>
      <c r="AB4" s="85">
        <f t="shared" ref="AB4:AB12" si="1">J4-D4</f>
        <v>-45775.464525244024</v>
      </c>
      <c r="AC4" s="73">
        <f t="shared" ref="AC4:AC12" si="2">K4-E4</f>
        <v>-119470.89575490859</v>
      </c>
      <c r="AE4" s="1" t="s">
        <v>122</v>
      </c>
      <c r="AF4" s="31" t="e">
        <f>T4-N4</f>
        <v>#DIV/0!</v>
      </c>
      <c r="AG4" s="33" t="e">
        <f t="shared" ref="AG4:AG12" si="3">U4-O4</f>
        <v>#DIV/0!</v>
      </c>
      <c r="AH4" s="34" t="e">
        <f t="shared" ref="AH4:AH12" si="4">V4-P4</f>
        <v>#DIV/0!</v>
      </c>
      <c r="AI4" s="32" t="e">
        <f t="shared" ref="AI4:AI12" si="5">W4-Q4</f>
        <v>#DIV/0!</v>
      </c>
      <c r="AK4" s="1" t="s">
        <v>122</v>
      </c>
      <c r="AL4" s="44">
        <f>constants!C57</f>
        <v>-0.24389292357870532</v>
      </c>
      <c r="AM4" s="45" t="e">
        <f>IF(AND(Q4&gt;0, W4&gt;0),sub_work_damp*LN(Q4/W4),0)</f>
        <v>#DIV/0!</v>
      </c>
      <c r="AN4" s="46" t="e">
        <f>AL4+AM4</f>
        <v>#DIV/0!</v>
      </c>
      <c r="AO4" s="32"/>
      <c r="AP4" s="1" t="s">
        <v>122</v>
      </c>
      <c r="AQ4" s="57">
        <f>N4</f>
        <v>0.62415607444932042</v>
      </c>
      <c r="AR4" s="58" t="e">
        <f>T4</f>
        <v>#DIV/0!</v>
      </c>
      <c r="AS4" s="57">
        <f>O4</f>
        <v>0.31071629002519863</v>
      </c>
      <c r="AT4" s="59" t="e">
        <f>U4</f>
        <v>#DIV/0!</v>
      </c>
      <c r="AU4" s="58">
        <f>P4</f>
        <v>0.30890753041632163</v>
      </c>
      <c r="AV4" s="58" t="e">
        <f>V4</f>
        <v>#DIV/0!</v>
      </c>
      <c r="AW4" s="57">
        <f>Q4</f>
        <v>0.3958719163628342</v>
      </c>
      <c r="AX4" s="59" t="e">
        <f>W4</f>
        <v>#DIV/0!</v>
      </c>
    </row>
    <row r="5" spans="1:50" x14ac:dyDescent="0.2">
      <c r="A5" s="1" t="s">
        <v>131</v>
      </c>
      <c r="B5" s="92">
        <f>targets!O12</f>
        <v>12940.161957477872</v>
      </c>
      <c r="C5" s="92">
        <f>targets!P12</f>
        <v>8403.0625911078969</v>
      </c>
      <c r="D5" s="92">
        <f>targets!Q12</f>
        <v>7295.932738406419</v>
      </c>
      <c r="E5" s="92">
        <f t="shared" ref="E5:E11" si="6">SUM(B5:D5)</f>
        <v>28639.157286992191</v>
      </c>
      <c r="G5" s="1" t="s">
        <v>131</v>
      </c>
      <c r="H5" s="9">
        <f t="array" ref="H5">SUM(IF((modeldata!$Q:$Q=$G$2)*(modeldata!$M:$M=$G5),modeldata!N:N,0))</f>
        <v>0</v>
      </c>
      <c r="I5" s="5">
        <f t="array" ref="I5">SUM(IF((modeldata!$Q:$Q=$G$2)*(modeldata!$M:$M=$G5),modeldata!O:O,0))</f>
        <v>0</v>
      </c>
      <c r="J5" s="10">
        <f t="array" ref="J5">SUM(IF((modeldata!$Q:$Q=$G$2)*(modeldata!$M:$M=$G5),modeldata!P:P,0))</f>
        <v>0</v>
      </c>
      <c r="K5" s="5">
        <f t="shared" ref="K5:K12" si="7">SUM(H5:J5)</f>
        <v>0</v>
      </c>
      <c r="M5" s="1" t="s">
        <v>131</v>
      </c>
      <c r="N5" s="23">
        <f>B5/B12</f>
        <v>0.1561949656164032</v>
      </c>
      <c r="O5" s="25">
        <f>C5/C12</f>
        <v>0.11875346055129272</v>
      </c>
      <c r="P5" s="28">
        <f>D5/D12</f>
        <v>4.923529641216029E-2</v>
      </c>
      <c r="Q5" s="23">
        <f>E5/E12</f>
        <v>9.4897071011141351E-2</v>
      </c>
      <c r="S5" s="1" t="s">
        <v>131</v>
      </c>
      <c r="T5" s="23" t="e">
        <f>H5/H12</f>
        <v>#DIV/0!</v>
      </c>
      <c r="U5" s="25" t="e">
        <f>I5/I12</f>
        <v>#DIV/0!</v>
      </c>
      <c r="V5" s="28" t="e">
        <f>J5/J12</f>
        <v>#DIV/0!</v>
      </c>
      <c r="W5" s="23" t="e">
        <f>K5/K12</f>
        <v>#DIV/0!</v>
      </c>
      <c r="Y5" s="1" t="s">
        <v>131</v>
      </c>
      <c r="Z5" s="86">
        <f t="shared" ref="Z5:Z12" si="8">H5-B5</f>
        <v>-12940.161957477872</v>
      </c>
      <c r="AA5" s="73">
        <f t="shared" si="0"/>
        <v>-8403.0625911078969</v>
      </c>
      <c r="AB5" s="87">
        <f t="shared" si="1"/>
        <v>-7295.932738406419</v>
      </c>
      <c r="AC5" s="73">
        <f t="shared" si="2"/>
        <v>-28639.157286992191</v>
      </c>
      <c r="AE5" s="1" t="s">
        <v>131</v>
      </c>
      <c r="AF5" s="35" t="e">
        <f t="shared" ref="AF5:AF12" si="9">T5-N5</f>
        <v>#DIV/0!</v>
      </c>
      <c r="AG5" s="32" t="e">
        <f t="shared" si="3"/>
        <v>#DIV/0!</v>
      </c>
      <c r="AH5" s="36" t="e">
        <f t="shared" si="4"/>
        <v>#DIV/0!</v>
      </c>
      <c r="AI5" s="32" t="e">
        <f t="shared" si="5"/>
        <v>#DIV/0!</v>
      </c>
      <c r="AK5" s="1" t="s">
        <v>131</v>
      </c>
      <c r="AL5" s="47">
        <f>constants!C58</f>
        <v>0.48872513809390233</v>
      </c>
      <c r="AM5" s="48" t="e">
        <f t="shared" ref="AM5:AM11" si="10">IF(AND(Q5&gt;0, W5&gt;0),sub_work_damp*LN(Q5/W5),0)</f>
        <v>#DIV/0!</v>
      </c>
      <c r="AN5" s="49" t="e">
        <f t="shared" ref="AN5:AN11" si="11">AL5+AM5</f>
        <v>#DIV/0!</v>
      </c>
      <c r="AO5" s="32"/>
      <c r="AP5" s="1" t="s">
        <v>131</v>
      </c>
      <c r="AQ5" s="61">
        <f t="shared" ref="AQ5:AQ11" si="12">N5</f>
        <v>0.1561949656164032</v>
      </c>
      <c r="AR5" s="60" t="e">
        <f t="shared" ref="AR5:AR11" si="13">T5</f>
        <v>#DIV/0!</v>
      </c>
      <c r="AS5" s="61">
        <f t="shared" ref="AS5:AS11" si="14">O5</f>
        <v>0.11875346055129272</v>
      </c>
      <c r="AT5" s="62" t="e">
        <f t="shared" ref="AT5:AT11" si="15">U5</f>
        <v>#DIV/0!</v>
      </c>
      <c r="AU5" s="60">
        <f t="shared" ref="AU5:AU11" si="16">P5</f>
        <v>4.923529641216029E-2</v>
      </c>
      <c r="AV5" s="60" t="e">
        <f t="shared" ref="AV5:AV11" si="17">V5</f>
        <v>#DIV/0!</v>
      </c>
      <c r="AW5" s="61">
        <f t="shared" ref="AW5:AW11" si="18">Q5</f>
        <v>9.4897071011141351E-2</v>
      </c>
      <c r="AX5" s="62" t="e">
        <f t="shared" ref="AX5:AX11" si="19">W5</f>
        <v>#DIV/0!</v>
      </c>
    </row>
    <row r="6" spans="1:50" x14ac:dyDescent="0.2">
      <c r="A6" s="1" t="s">
        <v>133</v>
      </c>
      <c r="B6" s="92">
        <f>targets!O18</f>
        <v>0</v>
      </c>
      <c r="C6" s="92">
        <f>targets!P18</f>
        <v>315.73645470059705</v>
      </c>
      <c r="D6" s="92">
        <f>targets!Q18</f>
        <v>741.18157101180668</v>
      </c>
      <c r="E6" s="92">
        <f t="shared" si="6"/>
        <v>1056.9180257124037</v>
      </c>
      <c r="G6" s="1" t="s">
        <v>133</v>
      </c>
      <c r="H6" s="9" cm="1">
        <f t="array" ref="H6">SUM(IF((modeldata!$Q:$Q=$G$2)*(modeldata!$M:$M=$G6),modeldata!N:N,0))</f>
        <v>0</v>
      </c>
      <c r="I6" s="5">
        <f t="array" ref="I6">SUM(IF((modeldata!$Q:$Q=$G$2)*(modeldata!$M:$M=$G6),modeldata!O:O,0))</f>
        <v>0</v>
      </c>
      <c r="J6" s="10">
        <f t="array" ref="J6">SUM(IF((modeldata!$Q:$Q=$G$2)*(modeldata!$M:$M=$G6),modeldata!P:P,0))</f>
        <v>0</v>
      </c>
      <c r="K6" s="5">
        <f t="shared" si="7"/>
        <v>0</v>
      </c>
      <c r="M6" s="1" t="s">
        <v>133</v>
      </c>
      <c r="N6" s="23">
        <f>B6/B12</f>
        <v>0</v>
      </c>
      <c r="O6" s="25">
        <f>C6/C12</f>
        <v>4.4620394304297206E-3</v>
      </c>
      <c r="P6" s="28">
        <f>D6/D12</f>
        <v>5.0017311908453254E-3</v>
      </c>
      <c r="Q6" s="23">
        <f>E6/E12</f>
        <v>3.5021430251559985E-3</v>
      </c>
      <c r="S6" s="1" t="s">
        <v>133</v>
      </c>
      <c r="T6" s="23" t="e">
        <f>H6/H$12</f>
        <v>#DIV/0!</v>
      </c>
      <c r="U6" s="25" t="e">
        <f>I6/I$12</f>
        <v>#DIV/0!</v>
      </c>
      <c r="V6" s="28" t="e">
        <f>J6/J$12</f>
        <v>#DIV/0!</v>
      </c>
      <c r="W6" s="23" t="e">
        <f>K6/K$12</f>
        <v>#DIV/0!</v>
      </c>
      <c r="Y6" s="1" t="s">
        <v>133</v>
      </c>
      <c r="Z6" s="86">
        <f t="shared" si="8"/>
        <v>0</v>
      </c>
      <c r="AA6" s="73">
        <f t="shared" si="0"/>
        <v>-315.73645470059705</v>
      </c>
      <c r="AB6" s="87">
        <f t="shared" si="1"/>
        <v>-741.18157101180668</v>
      </c>
      <c r="AC6" s="73">
        <f t="shared" si="2"/>
        <v>-1056.9180257124037</v>
      </c>
      <c r="AE6" s="1" t="s">
        <v>133</v>
      </c>
      <c r="AF6" s="35" t="e">
        <f t="shared" si="9"/>
        <v>#DIV/0!</v>
      </c>
      <c r="AG6" s="32" t="e">
        <f t="shared" si="3"/>
        <v>#DIV/0!</v>
      </c>
      <c r="AH6" s="36" t="e">
        <f t="shared" si="4"/>
        <v>#DIV/0!</v>
      </c>
      <c r="AI6" s="32" t="e">
        <f t="shared" si="5"/>
        <v>#DIV/0!</v>
      </c>
      <c r="AK6" s="1" t="s">
        <v>133</v>
      </c>
      <c r="AL6" s="47">
        <f>constants!C59</f>
        <v>1.2379410877827062</v>
      </c>
      <c r="AM6" s="48" t="e">
        <f t="shared" si="10"/>
        <v>#DIV/0!</v>
      </c>
      <c r="AN6" s="49" t="e">
        <f t="shared" si="11"/>
        <v>#DIV/0!</v>
      </c>
      <c r="AO6" s="32"/>
      <c r="AP6" s="1" t="s">
        <v>133</v>
      </c>
      <c r="AQ6" s="61">
        <f t="shared" si="12"/>
        <v>0</v>
      </c>
      <c r="AR6" s="60" t="e">
        <f t="shared" si="13"/>
        <v>#DIV/0!</v>
      </c>
      <c r="AS6" s="61">
        <f t="shared" si="14"/>
        <v>4.4620394304297206E-3</v>
      </c>
      <c r="AT6" s="62" t="e">
        <f t="shared" si="15"/>
        <v>#DIV/0!</v>
      </c>
      <c r="AU6" s="60">
        <f t="shared" si="16"/>
        <v>5.0017311908453254E-3</v>
      </c>
      <c r="AV6" s="60" t="e">
        <f t="shared" si="17"/>
        <v>#DIV/0!</v>
      </c>
      <c r="AW6" s="61">
        <f t="shared" si="18"/>
        <v>3.5021430251559985E-3</v>
      </c>
      <c r="AX6" s="62" t="e">
        <f t="shared" si="19"/>
        <v>#DIV/0!</v>
      </c>
    </row>
    <row r="7" spans="1:50" x14ac:dyDescent="0.2">
      <c r="A7" s="1" t="s">
        <v>129</v>
      </c>
      <c r="B7" s="92">
        <f>targets!O13</f>
        <v>27.264448434744551</v>
      </c>
      <c r="C7" s="92">
        <f>targets!P13</f>
        <v>0</v>
      </c>
      <c r="D7" s="92">
        <f>targets!Q13</f>
        <v>1061.3765631008355</v>
      </c>
      <c r="E7" s="92">
        <f t="shared" si="6"/>
        <v>1088.64101153558</v>
      </c>
      <c r="G7" s="1" t="s">
        <v>129</v>
      </c>
      <c r="H7" s="9" cm="1">
        <f t="array" ref="H7">SUM(IF((modeldata!$Q:$Q=$G$2)*(modeldata!$M:$M=$G7),modeldata!N:N,0))</f>
        <v>0</v>
      </c>
      <c r="I7" s="5">
        <f t="array" ref="I7">SUM(IF((modeldata!$Q:$Q=$G$2)*(modeldata!$M:$M=$G7),modeldata!O:O,0))</f>
        <v>0</v>
      </c>
      <c r="J7" s="10">
        <f t="array" ref="J7">SUM(IF((modeldata!$Q:$Q=$G$2)*(modeldata!$M:$M=$G7),modeldata!P:P,0))</f>
        <v>0</v>
      </c>
      <c r="K7" s="5">
        <f t="shared" si="7"/>
        <v>0</v>
      </c>
      <c r="M7" s="1" t="s">
        <v>129</v>
      </c>
      <c r="N7" s="23">
        <f t="shared" ref="N7:Q8" si="20">B7/B$12</f>
        <v>3.2909708547768036E-4</v>
      </c>
      <c r="O7" s="25">
        <f t="shared" si="20"/>
        <v>0</v>
      </c>
      <c r="P7" s="28">
        <f t="shared" si="20"/>
        <v>7.1625097931760301E-3</v>
      </c>
      <c r="Q7" s="23">
        <f t="shared" si="20"/>
        <v>3.6072584937495772E-3</v>
      </c>
      <c r="S7" s="1" t="s">
        <v>129</v>
      </c>
      <c r="T7" s="23" t="e">
        <f t="shared" ref="T7:T8" si="21">H7/H$12</f>
        <v>#DIV/0!</v>
      </c>
      <c r="U7" s="25" t="e">
        <f t="shared" ref="U7:U8" si="22">I7/I$12</f>
        <v>#DIV/0!</v>
      </c>
      <c r="V7" s="28" t="e">
        <f t="shared" ref="V7:V8" si="23">J7/J$12</f>
        <v>#DIV/0!</v>
      </c>
      <c r="W7" s="23" t="e">
        <f t="shared" ref="W7:W8" si="24">K7/K$12</f>
        <v>#DIV/0!</v>
      </c>
      <c r="Y7" s="1" t="s">
        <v>129</v>
      </c>
      <c r="Z7" s="86">
        <f t="shared" si="8"/>
        <v>-27.264448434744551</v>
      </c>
      <c r="AA7" s="73">
        <f t="shared" si="0"/>
        <v>0</v>
      </c>
      <c r="AB7" s="87">
        <f t="shared" ref="AB7:AB8" si="25">J7-D7</f>
        <v>-1061.3765631008355</v>
      </c>
      <c r="AC7" s="73">
        <f t="shared" ref="AC7:AC8" si="26">K7-E7</f>
        <v>-1088.64101153558</v>
      </c>
      <c r="AE7" s="1" t="s">
        <v>129</v>
      </c>
      <c r="AF7" s="35" t="e">
        <f t="shared" ref="AF7:AF8" si="27">T7-N7</f>
        <v>#DIV/0!</v>
      </c>
      <c r="AG7" s="32" t="e">
        <f t="shared" ref="AG7:AG8" si="28">U7-O7</f>
        <v>#DIV/0!</v>
      </c>
      <c r="AH7" s="36" t="e">
        <f t="shared" ref="AH7:AH8" si="29">V7-P7</f>
        <v>#DIV/0!</v>
      </c>
      <c r="AI7" s="32" t="e">
        <f t="shared" ref="AI7:AI8" si="30">W7-Q7</f>
        <v>#DIV/0!</v>
      </c>
      <c r="AK7" s="1" t="s">
        <v>129</v>
      </c>
      <c r="AL7" s="47">
        <f>constants!C60</f>
        <v>0.31090456149160672</v>
      </c>
      <c r="AM7" s="48" t="e">
        <f t="shared" si="10"/>
        <v>#DIV/0!</v>
      </c>
      <c r="AN7" s="49" t="e">
        <f t="shared" si="11"/>
        <v>#DIV/0!</v>
      </c>
      <c r="AO7" s="32"/>
      <c r="AP7" s="1" t="s">
        <v>129</v>
      </c>
      <c r="AQ7" s="61">
        <f t="shared" ref="AQ7:AQ8" si="31">N7</f>
        <v>3.2909708547768036E-4</v>
      </c>
      <c r="AR7" s="60" t="e">
        <f t="shared" ref="AR7:AR8" si="32">T7</f>
        <v>#DIV/0!</v>
      </c>
      <c r="AS7" s="61">
        <f t="shared" ref="AS7:AS8" si="33">O7</f>
        <v>0</v>
      </c>
      <c r="AT7" s="62" t="e">
        <f t="shared" ref="AT7:AT8" si="34">U7</f>
        <v>#DIV/0!</v>
      </c>
      <c r="AU7" s="60">
        <f t="shared" ref="AU7:AU8" si="35">P7</f>
        <v>7.1625097931760301E-3</v>
      </c>
      <c r="AV7" s="60" t="e">
        <f t="shared" ref="AV7:AV8" si="36">V7</f>
        <v>#DIV/0!</v>
      </c>
      <c r="AW7" s="61">
        <f t="shared" ref="AW7:AW8" si="37">Q7</f>
        <v>3.6072584937495772E-3</v>
      </c>
      <c r="AX7" s="62" t="e">
        <f t="shared" ref="AX7:AX8" si="38">W7</f>
        <v>#DIV/0!</v>
      </c>
    </row>
    <row r="8" spans="1:50" x14ac:dyDescent="0.2">
      <c r="A8" s="1" t="s">
        <v>132</v>
      </c>
      <c r="B8" s="92">
        <f>targets!O19</f>
        <v>0</v>
      </c>
      <c r="C8" s="92">
        <f>targets!P19</f>
        <v>0</v>
      </c>
      <c r="D8" s="92">
        <f>targets!Q19</f>
        <v>748.38024945909854</v>
      </c>
      <c r="E8" s="92">
        <f t="shared" si="6"/>
        <v>748.38024945909854</v>
      </c>
      <c r="G8" s="1" t="s">
        <v>132</v>
      </c>
      <c r="H8" s="9" cm="1">
        <f t="array" ref="H8">SUM(IF((modeldata!$Q:$Q=$G$2)*(modeldata!$M:$M=$G8),modeldata!N:N,0))</f>
        <v>0</v>
      </c>
      <c r="I8" s="5">
        <f t="array" ref="I8">SUM(IF((modeldata!$Q:$Q=$G$2)*(modeldata!$M:$M=$G8),modeldata!O:O,0))</f>
        <v>0</v>
      </c>
      <c r="J8" s="10">
        <f t="array" ref="J8">SUM(IF((modeldata!$Q:$Q=$G$2)*(modeldata!$M:$M=$G8),modeldata!P:P,0))</f>
        <v>0</v>
      </c>
      <c r="K8" s="5">
        <f t="shared" si="7"/>
        <v>0</v>
      </c>
      <c r="M8" s="1" t="s">
        <v>132</v>
      </c>
      <c r="N8" s="23">
        <f t="shared" si="20"/>
        <v>0</v>
      </c>
      <c r="O8" s="25">
        <f t="shared" si="20"/>
        <v>0</v>
      </c>
      <c r="P8" s="28">
        <f t="shared" si="20"/>
        <v>5.0503101840784319E-3</v>
      </c>
      <c r="Q8" s="23">
        <f t="shared" si="20"/>
        <v>2.4797899241439055E-3</v>
      </c>
      <c r="S8" s="1" t="s">
        <v>132</v>
      </c>
      <c r="T8" s="23" t="e">
        <f t="shared" si="21"/>
        <v>#DIV/0!</v>
      </c>
      <c r="U8" s="25" t="e">
        <f t="shared" si="22"/>
        <v>#DIV/0!</v>
      </c>
      <c r="V8" s="28" t="e">
        <f t="shared" si="23"/>
        <v>#DIV/0!</v>
      </c>
      <c r="W8" s="23" t="e">
        <f t="shared" si="24"/>
        <v>#DIV/0!</v>
      </c>
      <c r="Y8" s="1" t="s">
        <v>132</v>
      </c>
      <c r="Z8" s="86">
        <f t="shared" si="8"/>
        <v>0</v>
      </c>
      <c r="AA8" s="73">
        <f t="shared" si="0"/>
        <v>0</v>
      </c>
      <c r="AB8" s="87">
        <f t="shared" si="25"/>
        <v>-748.38024945909854</v>
      </c>
      <c r="AC8" s="73">
        <f t="shared" si="26"/>
        <v>-748.38024945909854</v>
      </c>
      <c r="AE8" s="1" t="s">
        <v>132</v>
      </c>
      <c r="AF8" s="35" t="e">
        <f t="shared" si="27"/>
        <v>#DIV/0!</v>
      </c>
      <c r="AG8" s="32" t="e">
        <f t="shared" si="28"/>
        <v>#DIV/0!</v>
      </c>
      <c r="AH8" s="36" t="e">
        <f t="shared" si="29"/>
        <v>#DIV/0!</v>
      </c>
      <c r="AI8" s="32" t="e">
        <f t="shared" si="30"/>
        <v>#DIV/0!</v>
      </c>
      <c r="AK8" s="1" t="s">
        <v>132</v>
      </c>
      <c r="AL8" s="47">
        <f>constants!C61</f>
        <v>0.93549281481212043</v>
      </c>
      <c r="AM8" s="48" t="e">
        <f t="shared" si="10"/>
        <v>#DIV/0!</v>
      </c>
      <c r="AN8" s="49" t="e">
        <f t="shared" si="11"/>
        <v>#DIV/0!</v>
      </c>
      <c r="AO8" s="32"/>
      <c r="AP8" s="1" t="s">
        <v>132</v>
      </c>
      <c r="AQ8" s="61">
        <f t="shared" si="31"/>
        <v>0</v>
      </c>
      <c r="AR8" s="60" t="e">
        <f t="shared" si="32"/>
        <v>#DIV/0!</v>
      </c>
      <c r="AS8" s="61">
        <f t="shared" si="33"/>
        <v>0</v>
      </c>
      <c r="AT8" s="62" t="e">
        <f t="shared" si="34"/>
        <v>#DIV/0!</v>
      </c>
      <c r="AU8" s="60">
        <f t="shared" si="35"/>
        <v>5.0503101840784319E-3</v>
      </c>
      <c r="AV8" s="60" t="e">
        <f t="shared" si="36"/>
        <v>#DIV/0!</v>
      </c>
      <c r="AW8" s="61">
        <f t="shared" si="37"/>
        <v>2.4797899241439055E-3</v>
      </c>
      <c r="AX8" s="62" t="e">
        <f t="shared" si="38"/>
        <v>#DIV/0!</v>
      </c>
    </row>
    <row r="9" spans="1:50" x14ac:dyDescent="0.2">
      <c r="A9" s="1" t="s">
        <v>123</v>
      </c>
      <c r="B9" s="92">
        <f>targets!O14+targets!O20</f>
        <v>1119.9781562173118</v>
      </c>
      <c r="C9" s="92">
        <f>targets!P14+targets!P20</f>
        <v>203.41316389315205</v>
      </c>
      <c r="D9" s="92">
        <f>targets!Q14+targets!Q20</f>
        <v>8258.7048021519877</v>
      </c>
      <c r="E9" s="92">
        <f t="shared" si="6"/>
        <v>9582.0961222624519</v>
      </c>
      <c r="G9" s="1" t="s">
        <v>128</v>
      </c>
      <c r="H9" s="9">
        <f t="array" ref="H9">SUM(IF((modeldata!$Q:$Q=$G$2)*(modeldata!$M:$M=$G9),modeldata!N:N,0))</f>
        <v>0</v>
      </c>
      <c r="I9" s="5">
        <f t="array" ref="I9">SUM(IF((modeldata!$Q:$Q=$G$2)*(modeldata!$M:$M=$G9),modeldata!O:O,0))</f>
        <v>0</v>
      </c>
      <c r="J9" s="10">
        <f t="array" ref="J9">SUM(IF((modeldata!$Q:$Q=$G$2)*(modeldata!$M:$M=$G9),modeldata!P:P,0))</f>
        <v>0</v>
      </c>
      <c r="K9" s="5">
        <f t="shared" si="7"/>
        <v>0</v>
      </c>
      <c r="M9" s="1" t="s">
        <v>123</v>
      </c>
      <c r="N9" s="23">
        <f>B9/B12</f>
        <v>1.3518760443364784E-2</v>
      </c>
      <c r="O9" s="25">
        <f>C9/C12</f>
        <v>2.8746682381684172E-3</v>
      </c>
      <c r="P9" s="28">
        <f>D9/D12</f>
        <v>5.5732391387601908E-2</v>
      </c>
      <c r="Q9" s="23">
        <f>E9/E12</f>
        <v>3.1750684806739371E-2</v>
      </c>
      <c r="S9" s="1" t="s">
        <v>123</v>
      </c>
      <c r="T9" s="23" t="e">
        <f>H9/H12</f>
        <v>#DIV/0!</v>
      </c>
      <c r="U9" s="25" t="e">
        <f>I9/I12</f>
        <v>#DIV/0!</v>
      </c>
      <c r="V9" s="28" t="e">
        <f>J9/J12</f>
        <v>#DIV/0!</v>
      </c>
      <c r="W9" s="23" t="e">
        <f>K9/K12</f>
        <v>#DIV/0!</v>
      </c>
      <c r="Y9" s="1" t="s">
        <v>123</v>
      </c>
      <c r="Z9" s="86">
        <f t="shared" si="8"/>
        <v>-1119.9781562173118</v>
      </c>
      <c r="AA9" s="73">
        <f t="shared" si="0"/>
        <v>-203.41316389315205</v>
      </c>
      <c r="AB9" s="87">
        <f t="shared" si="1"/>
        <v>-8258.7048021519877</v>
      </c>
      <c r="AC9" s="73">
        <f t="shared" si="2"/>
        <v>-9582.0961222624519</v>
      </c>
      <c r="AE9" s="1" t="s">
        <v>123</v>
      </c>
      <c r="AF9" s="35" t="e">
        <f t="shared" si="9"/>
        <v>#DIV/0!</v>
      </c>
      <c r="AG9" s="32" t="e">
        <f t="shared" si="3"/>
        <v>#DIV/0!</v>
      </c>
      <c r="AH9" s="36" t="e">
        <f t="shared" si="4"/>
        <v>#DIV/0!</v>
      </c>
      <c r="AI9" s="32" t="e">
        <f t="shared" si="5"/>
        <v>#DIV/0!</v>
      </c>
      <c r="AK9" s="1" t="s">
        <v>123</v>
      </c>
      <c r="AL9" s="47">
        <f>constants!C62</f>
        <v>-0.26404285159141472</v>
      </c>
      <c r="AM9" s="48" t="e">
        <f t="shared" si="10"/>
        <v>#DIV/0!</v>
      </c>
      <c r="AN9" s="49" t="e">
        <f t="shared" si="11"/>
        <v>#DIV/0!</v>
      </c>
      <c r="AO9" s="32"/>
      <c r="AP9" s="1" t="s">
        <v>123</v>
      </c>
      <c r="AQ9" s="61">
        <f t="shared" si="12"/>
        <v>1.3518760443364784E-2</v>
      </c>
      <c r="AR9" s="60" t="e">
        <f t="shared" si="13"/>
        <v>#DIV/0!</v>
      </c>
      <c r="AS9" s="61">
        <f t="shared" si="14"/>
        <v>2.8746682381684172E-3</v>
      </c>
      <c r="AT9" s="62" t="e">
        <f t="shared" si="15"/>
        <v>#DIV/0!</v>
      </c>
      <c r="AU9" s="60">
        <f t="shared" si="16"/>
        <v>5.5732391387601908E-2</v>
      </c>
      <c r="AV9" s="60" t="e">
        <f t="shared" si="17"/>
        <v>#DIV/0!</v>
      </c>
      <c r="AW9" s="61">
        <f t="shared" si="18"/>
        <v>3.1750684806739371E-2</v>
      </c>
      <c r="AX9" s="62" t="e">
        <f t="shared" si="19"/>
        <v>#DIV/0!</v>
      </c>
    </row>
    <row r="10" spans="1:50" x14ac:dyDescent="0.2">
      <c r="A10" s="1" t="s">
        <v>124</v>
      </c>
      <c r="B10" s="92">
        <f>targets!O15+targets!O21</f>
        <v>8653.375982139838</v>
      </c>
      <c r="C10" s="92">
        <f>targets!P15+targets!P21</f>
        <v>33756.265754923355</v>
      </c>
      <c r="D10" s="92">
        <f>targets!Q15+targets!Q21</f>
        <v>54541.477416493974</v>
      </c>
      <c r="E10" s="92">
        <f t="shared" si="6"/>
        <v>96951.119153557171</v>
      </c>
      <c r="G10" s="1" t="s">
        <v>130</v>
      </c>
      <c r="H10" s="9">
        <f t="array" ref="H10">SUM(IF((modeldata!$Q:$Q=$G$2)*(modeldata!$M:$M=$G10),modeldata!N:N,0))</f>
        <v>0</v>
      </c>
      <c r="I10" s="5">
        <f t="array" ref="I10">SUM(IF((modeldata!$Q:$Q=$G$2)*(modeldata!$M:$M=$G10),modeldata!O:O,0))</f>
        <v>0</v>
      </c>
      <c r="J10" s="10">
        <f t="array" ref="J10">SUM(IF((modeldata!$Q:$Q=$G$2)*(modeldata!$M:$M=$G10),modeldata!P:P,0))</f>
        <v>0</v>
      </c>
      <c r="K10" s="5">
        <f t="shared" si="7"/>
        <v>0</v>
      </c>
      <c r="M10" s="1" t="s">
        <v>124</v>
      </c>
      <c r="N10" s="23">
        <f>B10/B12</f>
        <v>0.10445107012088589</v>
      </c>
      <c r="O10" s="25">
        <f>C10/C12</f>
        <v>0.4770490913548846</v>
      </c>
      <c r="P10" s="28">
        <f>D10/D12</f>
        <v>0.3680633996558425</v>
      </c>
      <c r="Q10" s="23">
        <f>E10/E12</f>
        <v>0.32125167464698834</v>
      </c>
      <c r="S10" s="1" t="s">
        <v>124</v>
      </c>
      <c r="T10" s="23" t="e">
        <f>H10/H12</f>
        <v>#DIV/0!</v>
      </c>
      <c r="U10" s="25" t="e">
        <f>I10/I12</f>
        <v>#DIV/0!</v>
      </c>
      <c r="V10" s="28" t="e">
        <f>J10/J12</f>
        <v>#DIV/0!</v>
      </c>
      <c r="W10" s="23" t="e">
        <f>K10/K12</f>
        <v>#DIV/0!</v>
      </c>
      <c r="Y10" s="1" t="s">
        <v>124</v>
      </c>
      <c r="Z10" s="86">
        <f t="shared" si="8"/>
        <v>-8653.375982139838</v>
      </c>
      <c r="AA10" s="73">
        <f t="shared" si="0"/>
        <v>-33756.265754923355</v>
      </c>
      <c r="AB10" s="87">
        <f t="shared" si="1"/>
        <v>-54541.477416493974</v>
      </c>
      <c r="AC10" s="73">
        <f t="shared" si="2"/>
        <v>-96951.119153557171</v>
      </c>
      <c r="AE10" s="1" t="s">
        <v>124</v>
      </c>
      <c r="AF10" s="35" t="e">
        <f t="shared" si="9"/>
        <v>#DIV/0!</v>
      </c>
      <c r="AG10" s="32" t="e">
        <f t="shared" si="3"/>
        <v>#DIV/0!</v>
      </c>
      <c r="AH10" s="36" t="e">
        <f t="shared" si="4"/>
        <v>#DIV/0!</v>
      </c>
      <c r="AI10" s="32" t="e">
        <f t="shared" si="5"/>
        <v>#DIV/0!</v>
      </c>
      <c r="AK10" s="1" t="s">
        <v>124</v>
      </c>
      <c r="AL10" s="47">
        <f>constants!C63</f>
        <v>0.925496153086103</v>
      </c>
      <c r="AM10" s="48" t="e">
        <f t="shared" si="10"/>
        <v>#DIV/0!</v>
      </c>
      <c r="AN10" s="49" t="e">
        <f t="shared" si="11"/>
        <v>#DIV/0!</v>
      </c>
      <c r="AO10" s="32"/>
      <c r="AP10" s="1" t="s">
        <v>124</v>
      </c>
      <c r="AQ10" s="61">
        <f t="shared" si="12"/>
        <v>0.10445107012088589</v>
      </c>
      <c r="AR10" s="60" t="e">
        <f t="shared" si="13"/>
        <v>#DIV/0!</v>
      </c>
      <c r="AS10" s="61">
        <f t="shared" si="14"/>
        <v>0.4770490913548846</v>
      </c>
      <c r="AT10" s="62" t="e">
        <f t="shared" si="15"/>
        <v>#DIV/0!</v>
      </c>
      <c r="AU10" s="60">
        <f t="shared" si="16"/>
        <v>0.3680633996558425</v>
      </c>
      <c r="AV10" s="60" t="e">
        <f t="shared" si="17"/>
        <v>#DIV/0!</v>
      </c>
      <c r="AW10" s="61">
        <f t="shared" si="18"/>
        <v>0.32125167464698834</v>
      </c>
      <c r="AX10" s="62" t="e">
        <f t="shared" si="19"/>
        <v>#DIV/0!</v>
      </c>
    </row>
    <row r="11" spans="1:50" x14ac:dyDescent="0.2">
      <c r="A11" s="1" t="s">
        <v>125</v>
      </c>
      <c r="B11" s="92">
        <f>targets!O16+targets!O22</f>
        <v>8396.4667297825636</v>
      </c>
      <c r="C11" s="92">
        <f>targets!P16+targets!P22</f>
        <v>6095.6304365997512</v>
      </c>
      <c r="D11" s="92">
        <f>targets!Q16+targets!Q22</f>
        <v>29762.489031022327</v>
      </c>
      <c r="E11" s="92">
        <f t="shared" si="6"/>
        <v>44254.586197404642</v>
      </c>
      <c r="G11" s="1" t="s">
        <v>127</v>
      </c>
      <c r="H11" s="11">
        <f t="array" ref="H11">SUM(IF((modeldata!$Q:$Q=$G$2)*(modeldata!$M:$M=$G11),modeldata!N:N,0))</f>
        <v>0</v>
      </c>
      <c r="I11" s="12">
        <f t="array" ref="I11">SUM(IF((modeldata!$Q:$Q=$G$2)*(modeldata!$M:$M=$G11),modeldata!O:O,0))</f>
        <v>0</v>
      </c>
      <c r="J11" s="13">
        <f t="array" ref="J11">SUM(IF((modeldata!$Q:$Q=$G$2)*(modeldata!$M:$M=$G11),modeldata!P:P,0))</f>
        <v>0</v>
      </c>
      <c r="K11" s="5">
        <f t="shared" si="7"/>
        <v>0</v>
      </c>
      <c r="M11" s="1" t="s">
        <v>125</v>
      </c>
      <c r="N11" s="24">
        <f>B11/B12</f>
        <v>0.10135003228454791</v>
      </c>
      <c r="O11" s="29">
        <f>C11/C12</f>
        <v>8.6144450400025954E-2</v>
      </c>
      <c r="P11" s="30">
        <f>D11/D12</f>
        <v>0.20084683095997391</v>
      </c>
      <c r="Q11" s="23">
        <f>E11/E12</f>
        <v>0.14663946172924724</v>
      </c>
      <c r="S11" s="1" t="s">
        <v>125</v>
      </c>
      <c r="T11" s="24" t="e">
        <f>H11/H12</f>
        <v>#DIV/0!</v>
      </c>
      <c r="U11" s="29" t="e">
        <f>I11/I12</f>
        <v>#DIV/0!</v>
      </c>
      <c r="V11" s="30" t="e">
        <f>J11/J12</f>
        <v>#DIV/0!</v>
      </c>
      <c r="W11" s="23" t="e">
        <f>K11/K12</f>
        <v>#DIV/0!</v>
      </c>
      <c r="Y11" s="1" t="s">
        <v>125</v>
      </c>
      <c r="Z11" s="88">
        <f t="shared" si="8"/>
        <v>-8396.4667297825636</v>
      </c>
      <c r="AA11" s="72">
        <f t="shared" si="0"/>
        <v>-6095.6304365997512</v>
      </c>
      <c r="AB11" s="89">
        <f t="shared" si="1"/>
        <v>-29762.489031022327</v>
      </c>
      <c r="AC11" s="73">
        <f t="shared" si="2"/>
        <v>-44254.586197404642</v>
      </c>
      <c r="AE11" s="1" t="s">
        <v>125</v>
      </c>
      <c r="AF11" s="37" t="e">
        <f t="shared" si="9"/>
        <v>#DIV/0!</v>
      </c>
      <c r="AG11" s="38" t="e">
        <f t="shared" si="3"/>
        <v>#DIV/0!</v>
      </c>
      <c r="AH11" s="39" t="e">
        <f t="shared" si="4"/>
        <v>#DIV/0!</v>
      </c>
      <c r="AI11" s="32" t="e">
        <f t="shared" si="5"/>
        <v>#DIV/0!</v>
      </c>
      <c r="AK11" s="1" t="s">
        <v>125</v>
      </c>
      <c r="AL11" s="50">
        <f>constants!C64</f>
        <v>1.804157918501045</v>
      </c>
      <c r="AM11" s="51" t="e">
        <f t="shared" si="10"/>
        <v>#DIV/0!</v>
      </c>
      <c r="AN11" s="52" t="e">
        <f t="shared" si="11"/>
        <v>#DIV/0!</v>
      </c>
      <c r="AO11" s="32"/>
      <c r="AP11" s="1" t="s">
        <v>125</v>
      </c>
      <c r="AQ11" s="63">
        <f t="shared" si="12"/>
        <v>0.10135003228454791</v>
      </c>
      <c r="AR11" s="64" t="e">
        <f t="shared" si="13"/>
        <v>#DIV/0!</v>
      </c>
      <c r="AS11" s="63">
        <f t="shared" si="14"/>
        <v>8.6144450400025954E-2</v>
      </c>
      <c r="AT11" s="65" t="e">
        <f t="shared" si="15"/>
        <v>#DIV/0!</v>
      </c>
      <c r="AU11" s="64">
        <f t="shared" si="16"/>
        <v>0.20084683095997391</v>
      </c>
      <c r="AV11" s="64" t="e">
        <f t="shared" si="17"/>
        <v>#DIV/0!</v>
      </c>
      <c r="AW11" s="63">
        <f t="shared" si="18"/>
        <v>0.14663946172924724</v>
      </c>
      <c r="AX11" s="65" t="e">
        <f t="shared" si="19"/>
        <v>#DIV/0!</v>
      </c>
    </row>
    <row r="12" spans="1:50" x14ac:dyDescent="0.2">
      <c r="A12" s="1" t="s">
        <v>1</v>
      </c>
      <c r="B12" s="92">
        <f>SUM(B4:B11)</f>
        <v>82846.216626836846</v>
      </c>
      <c r="C12" s="92">
        <f>SUM(C4:C11)</f>
        <v>70760.570278104817</v>
      </c>
      <c r="D12" s="92">
        <f>SUM(D4:D11)</f>
        <v>148185.00689689047</v>
      </c>
      <c r="E12" s="92">
        <f>SUM(B12:D12)</f>
        <v>301791.79380183213</v>
      </c>
      <c r="G12" s="1" t="s">
        <v>1</v>
      </c>
      <c r="H12" s="5">
        <f>SUM(H4:H11)</f>
        <v>0</v>
      </c>
      <c r="I12" s="5">
        <f>SUM(I4:I11)</f>
        <v>0</v>
      </c>
      <c r="J12" s="5">
        <f>SUM(J4:J11)</f>
        <v>0</v>
      </c>
      <c r="K12" s="5">
        <f t="shared" si="7"/>
        <v>0</v>
      </c>
      <c r="M12" s="1" t="s">
        <v>1</v>
      </c>
      <c r="N12" s="25">
        <f>SUM(N4:N11)</f>
        <v>0.99999999999999989</v>
      </c>
      <c r="O12" s="25">
        <f>SUM(O4:O11)</f>
        <v>1</v>
      </c>
      <c r="P12" s="25">
        <f>SUM(P4:P11)</f>
        <v>1</v>
      </c>
      <c r="Q12" s="25">
        <f>SUM(Q4:Q11)</f>
        <v>1</v>
      </c>
      <c r="S12" s="1" t="s">
        <v>1</v>
      </c>
      <c r="T12" s="25" t="e">
        <f>SUM(T4:T11)</f>
        <v>#DIV/0!</v>
      </c>
      <c r="U12" s="25" t="e">
        <f>SUM(U4:U11)</f>
        <v>#DIV/0!</v>
      </c>
      <c r="V12" s="25" t="e">
        <f>SUM(V4:V11)</f>
        <v>#DIV/0!</v>
      </c>
      <c r="W12" s="25" t="e">
        <f>SUM(W4:W11)</f>
        <v>#DIV/0!</v>
      </c>
      <c r="Y12" s="1" t="s">
        <v>1</v>
      </c>
      <c r="Z12" s="73">
        <f t="shared" si="8"/>
        <v>-82846.216626836846</v>
      </c>
      <c r="AA12" s="73">
        <f t="shared" si="0"/>
        <v>-70760.570278104817</v>
      </c>
      <c r="AB12" s="73">
        <f t="shared" si="1"/>
        <v>-148185.00689689047</v>
      </c>
      <c r="AC12" s="73">
        <f t="shared" si="2"/>
        <v>-301791.79380183213</v>
      </c>
      <c r="AE12" s="1" t="s">
        <v>1</v>
      </c>
      <c r="AF12" s="32" t="e">
        <f t="shared" si="9"/>
        <v>#DIV/0!</v>
      </c>
      <c r="AG12" s="32" t="e">
        <f t="shared" si="3"/>
        <v>#DIV/0!</v>
      </c>
      <c r="AH12" s="32" t="e">
        <f t="shared" si="4"/>
        <v>#DIV/0!</v>
      </c>
      <c r="AI12" s="32" t="e">
        <f t="shared" si="5"/>
        <v>#DIV/0!</v>
      </c>
      <c r="AL12" s="32"/>
      <c r="AM12" s="32"/>
      <c r="AN12" s="32"/>
      <c r="AO12" s="32"/>
      <c r="AP12" s="1" t="s">
        <v>1</v>
      </c>
      <c r="AQ12" s="60">
        <f t="shared" ref="AQ12:AX12" si="39">SUM(AQ4:AQ11)</f>
        <v>0.99999999999999989</v>
      </c>
      <c r="AR12" s="60" t="e">
        <f t="shared" si="39"/>
        <v>#DIV/0!</v>
      </c>
      <c r="AS12" s="60">
        <f t="shared" si="39"/>
        <v>1</v>
      </c>
      <c r="AT12" s="60" t="e">
        <f t="shared" si="39"/>
        <v>#DIV/0!</v>
      </c>
      <c r="AU12" s="60">
        <f t="shared" si="39"/>
        <v>1</v>
      </c>
      <c r="AV12" s="60" t="e">
        <f t="shared" si="39"/>
        <v>#DIV/0!</v>
      </c>
      <c r="AW12" s="60">
        <f t="shared" si="39"/>
        <v>1</v>
      </c>
      <c r="AX12" s="60" t="e">
        <f t="shared" si="39"/>
        <v>#DIV/0!</v>
      </c>
    </row>
    <row r="13" spans="1:50" x14ac:dyDescent="0.2">
      <c r="N13" s="25"/>
      <c r="O13" s="25"/>
      <c r="P13" s="25"/>
      <c r="Q13" s="25"/>
    </row>
    <row r="14" spans="1:50" x14ac:dyDescent="0.2">
      <c r="N14" s="25"/>
      <c r="O14" s="25"/>
      <c r="P14" s="25"/>
      <c r="Q14" s="25"/>
    </row>
    <row r="15" spans="1:50" s="16" customFormat="1" x14ac:dyDescent="0.2">
      <c r="A15" s="15" t="s">
        <v>39</v>
      </c>
      <c r="G15" s="15" t="s">
        <v>39</v>
      </c>
      <c r="M15" s="15" t="s">
        <v>39</v>
      </c>
      <c r="S15" s="15" t="s">
        <v>39</v>
      </c>
      <c r="Y15" s="15" t="s">
        <v>39</v>
      </c>
      <c r="AE15" s="15" t="s">
        <v>39</v>
      </c>
      <c r="AK15" s="15" t="s">
        <v>39</v>
      </c>
      <c r="AP15" s="15" t="s">
        <v>39</v>
      </c>
      <c r="AQ15" s="216" t="s">
        <v>139</v>
      </c>
      <c r="AR15" s="217" t="s">
        <v>140</v>
      </c>
      <c r="AS15" s="217" t="s">
        <v>139</v>
      </c>
      <c r="AT15" s="217" t="s">
        <v>140</v>
      </c>
      <c r="AU15" s="217" t="s">
        <v>139</v>
      </c>
      <c r="AV15" s="217" t="s">
        <v>140</v>
      </c>
      <c r="AW15" s="217" t="s">
        <v>139</v>
      </c>
      <c r="AX15" s="217" t="s">
        <v>140</v>
      </c>
    </row>
    <row r="16" spans="1:50" ht="25.5" x14ac:dyDescent="0.2">
      <c r="B16" s="14" t="s">
        <v>38</v>
      </c>
      <c r="C16" s="14" t="s">
        <v>37</v>
      </c>
      <c r="D16" s="14" t="s">
        <v>0</v>
      </c>
      <c r="E16" s="17" t="s">
        <v>1</v>
      </c>
      <c r="H16" s="14" t="s">
        <v>38</v>
      </c>
      <c r="I16" s="14" t="s">
        <v>37</v>
      </c>
      <c r="J16" s="14" t="s">
        <v>0</v>
      </c>
      <c r="K16" s="17" t="s">
        <v>1</v>
      </c>
      <c r="N16" s="14" t="s">
        <v>38</v>
      </c>
      <c r="O16" s="14" t="s">
        <v>37</v>
      </c>
      <c r="P16" s="14" t="s">
        <v>0</v>
      </c>
      <c r="Q16" s="17" t="s">
        <v>1</v>
      </c>
      <c r="T16" s="14" t="s">
        <v>38</v>
      </c>
      <c r="U16" s="14" t="s">
        <v>37</v>
      </c>
      <c r="V16" s="14" t="s">
        <v>0</v>
      </c>
      <c r="W16" s="17" t="s">
        <v>1</v>
      </c>
      <c r="Z16" s="14" t="s">
        <v>38</v>
      </c>
      <c r="AA16" s="14" t="s">
        <v>37</v>
      </c>
      <c r="AB16" s="14" t="s">
        <v>0</v>
      </c>
      <c r="AC16" s="17" t="s">
        <v>1</v>
      </c>
      <c r="AF16" s="14" t="s">
        <v>38</v>
      </c>
      <c r="AG16" s="14" t="s">
        <v>37</v>
      </c>
      <c r="AH16" s="14" t="s">
        <v>0</v>
      </c>
      <c r="AI16" s="17" t="s">
        <v>1</v>
      </c>
      <c r="AK16" s="53">
        <v>0</v>
      </c>
      <c r="AL16" s="14"/>
      <c r="AM16" s="14"/>
      <c r="AN16" s="14"/>
      <c r="AO16" s="17"/>
      <c r="AQ16" s="218" t="s">
        <v>142</v>
      </c>
      <c r="AR16" s="218" t="s">
        <v>142</v>
      </c>
      <c r="AS16" s="218" t="s">
        <v>143</v>
      </c>
      <c r="AT16" s="218" t="s">
        <v>143</v>
      </c>
      <c r="AU16" s="218" t="s">
        <v>144</v>
      </c>
      <c r="AV16" s="218" t="s">
        <v>145</v>
      </c>
      <c r="AW16" s="219" t="s">
        <v>141</v>
      </c>
      <c r="AX16" s="219" t="s">
        <v>141</v>
      </c>
    </row>
    <row r="17" spans="1:50" x14ac:dyDescent="0.2">
      <c r="A17" s="1" t="s">
        <v>122</v>
      </c>
      <c r="B17" s="92">
        <f>targets!O35+targets!O41</f>
        <v>17567.429126230567</v>
      </c>
      <c r="C17" s="92">
        <f>targets!P35+targets!P41</f>
        <v>59.629490668732515</v>
      </c>
      <c r="D17" s="92">
        <f>targets!Q35+targets!Q41</f>
        <v>243.96357162541202</v>
      </c>
      <c r="E17" s="92">
        <f>SUM(B17:D17)</f>
        <v>17871.022188524712</v>
      </c>
      <c r="G17" s="1" t="s">
        <v>122</v>
      </c>
      <c r="H17" s="6">
        <f t="array" ref="H17">SUM(IF((modeldata!$Q:$Q=$G$15)*(modeldata!$M:$M=$G17),modeldata!N:N,0))</f>
        <v>0</v>
      </c>
      <c r="I17" s="7">
        <f t="array" ref="I17">SUM(IF((modeldata!$Q:$Q=$G$15)*(modeldata!$M:$M=$G17),modeldata!O:O,0))</f>
        <v>0</v>
      </c>
      <c r="J17" s="8">
        <f t="array" ref="J17">SUM(IF((modeldata!$Q:$Q=$G$15)*(modeldata!$M:$M=$G17),modeldata!P:P,0))</f>
        <v>0</v>
      </c>
      <c r="K17" s="5">
        <f>SUM(H17:J17)</f>
        <v>0</v>
      </c>
      <c r="M17" s="1" t="s">
        <v>122</v>
      </c>
      <c r="N17" s="22">
        <f>B17/B25</f>
        <v>0.9024795900777105</v>
      </c>
      <c r="O17" s="26">
        <f>C17/C25</f>
        <v>1.6248929721934119E-2</v>
      </c>
      <c r="P17" s="27">
        <f>D17/D25</f>
        <v>0.28737240403033709</v>
      </c>
      <c r="Q17" s="23">
        <f>E17/E25</f>
        <v>0.74510930851334267</v>
      </c>
      <c r="S17" s="1" t="s">
        <v>122</v>
      </c>
      <c r="T17" s="22" t="e">
        <f>H17/H25</f>
        <v>#DIV/0!</v>
      </c>
      <c r="U17" s="26" t="e">
        <f>I17/I25</f>
        <v>#DIV/0!</v>
      </c>
      <c r="V17" s="27" t="e">
        <f>J17/J25</f>
        <v>#DIV/0!</v>
      </c>
      <c r="W17" s="23" t="e">
        <f>K17/K25</f>
        <v>#DIV/0!</v>
      </c>
      <c r="Y17" s="1" t="s">
        <v>122</v>
      </c>
      <c r="Z17" s="83">
        <f>H17-B17</f>
        <v>-17567.429126230567</v>
      </c>
      <c r="AA17" s="84">
        <f t="shared" ref="AA17:AA25" si="40">I17-C17</f>
        <v>-59.629490668732515</v>
      </c>
      <c r="AB17" s="85">
        <f t="shared" ref="AB17:AB25" si="41">J17-D17</f>
        <v>-243.96357162541202</v>
      </c>
      <c r="AC17" s="73">
        <f t="shared" ref="AC17:AC25" si="42">K17-E17</f>
        <v>-17871.022188524712</v>
      </c>
      <c r="AE17" s="1" t="s">
        <v>122</v>
      </c>
      <c r="AF17" s="31" t="e">
        <f>T17-N17</f>
        <v>#DIV/0!</v>
      </c>
      <c r="AG17" s="33" t="e">
        <f t="shared" ref="AG17:AG25" si="43">U17-O17</f>
        <v>#DIV/0!</v>
      </c>
      <c r="AH17" s="34" t="e">
        <f t="shared" ref="AH17:AH25" si="44">V17-P17</f>
        <v>#DIV/0!</v>
      </c>
      <c r="AI17" s="32" t="e">
        <f t="shared" ref="AI17:AI25" si="45">W17-Q17</f>
        <v>#DIV/0!</v>
      </c>
      <c r="AK17" s="1" t="s">
        <v>122</v>
      </c>
      <c r="AL17" s="44">
        <f>constants!G57</f>
        <v>-0.92169645275697076</v>
      </c>
      <c r="AM17" s="45" t="e">
        <f t="shared" ref="AM17:AM24" si="46">IF(AND(Q17&gt;0, W17&gt;0),sub_university_damp*LN(Q17/W17),0)</f>
        <v>#DIV/0!</v>
      </c>
      <c r="AN17" s="46" t="e">
        <f>AL17+AM17</f>
        <v>#DIV/0!</v>
      </c>
      <c r="AO17" s="32"/>
      <c r="AP17" s="1" t="s">
        <v>122</v>
      </c>
      <c r="AQ17" s="57">
        <f>N17</f>
        <v>0.9024795900777105</v>
      </c>
      <c r="AR17" s="58" t="e">
        <f>T17</f>
        <v>#DIV/0!</v>
      </c>
      <c r="AS17" s="57">
        <f>O17</f>
        <v>1.6248929721934119E-2</v>
      </c>
      <c r="AT17" s="59" t="e">
        <f>U17</f>
        <v>#DIV/0!</v>
      </c>
      <c r="AU17" s="58">
        <f>P17</f>
        <v>0.28737240403033709</v>
      </c>
      <c r="AV17" s="58" t="e">
        <f>V17</f>
        <v>#DIV/0!</v>
      </c>
      <c r="AW17" s="57">
        <f>Q17</f>
        <v>0.74510930851334267</v>
      </c>
      <c r="AX17" s="59" t="e">
        <f>W17</f>
        <v>#DIV/0!</v>
      </c>
    </row>
    <row r="18" spans="1:50" x14ac:dyDescent="0.2">
      <c r="A18" s="1" t="s">
        <v>131</v>
      </c>
      <c r="B18" s="92">
        <f>targets!O36</f>
        <v>1383.3553171096059</v>
      </c>
      <c r="C18" s="92">
        <f>targets!P36</f>
        <v>75.09714962493419</v>
      </c>
      <c r="D18" s="92">
        <f>targets!Q36</f>
        <v>301.42144690111968</v>
      </c>
      <c r="E18" s="92">
        <f t="shared" ref="E18:E25" si="47">SUM(B18:D18)</f>
        <v>1759.8739136356598</v>
      </c>
      <c r="G18" s="1" t="s">
        <v>131</v>
      </c>
      <c r="H18" s="9">
        <f t="array" ref="H18">SUM(IF((modeldata!$Q:$Q=$G$15)*(modeldata!$M:$M=$G18),modeldata!N:N,0))</f>
        <v>0</v>
      </c>
      <c r="I18" s="5">
        <f t="array" ref="I18">SUM(IF((modeldata!$Q:$Q=$G$15)*(modeldata!$M:$M=$G18),modeldata!O:O,0))</f>
        <v>0</v>
      </c>
      <c r="J18" s="10">
        <f t="array" ref="J18">SUM(IF((modeldata!$Q:$Q=$G$15)*(modeldata!$M:$M=$G18),modeldata!P:P,0))</f>
        <v>0</v>
      </c>
      <c r="K18" s="5">
        <f t="shared" ref="K18:K25" si="48">SUM(H18:J18)</f>
        <v>0</v>
      </c>
      <c r="M18" s="1" t="s">
        <v>131</v>
      </c>
      <c r="N18" s="23">
        <f>B18/B25</f>
        <v>7.1066171979188034E-2</v>
      </c>
      <c r="O18" s="25">
        <f>C18/C25</f>
        <v>2.0463839165625806E-2</v>
      </c>
      <c r="P18" s="28">
        <f>D18/D25</f>
        <v>0.35505385187291927</v>
      </c>
      <c r="Q18" s="23">
        <f>E18/E25</f>
        <v>7.3375681649690064E-2</v>
      </c>
      <c r="S18" s="1" t="s">
        <v>131</v>
      </c>
      <c r="T18" s="23" t="e">
        <f>H18/H25</f>
        <v>#DIV/0!</v>
      </c>
      <c r="U18" s="25" t="e">
        <f>I18/I25</f>
        <v>#DIV/0!</v>
      </c>
      <c r="V18" s="28" t="e">
        <f>J18/J25</f>
        <v>#DIV/0!</v>
      </c>
      <c r="W18" s="23" t="e">
        <f>K18/K25</f>
        <v>#DIV/0!</v>
      </c>
      <c r="Y18" s="1" t="s">
        <v>131</v>
      </c>
      <c r="Z18" s="86">
        <f t="shared" ref="Z18:Z25" si="49">H18-B18</f>
        <v>-1383.3553171096059</v>
      </c>
      <c r="AA18" s="73">
        <f t="shared" si="40"/>
        <v>-75.09714962493419</v>
      </c>
      <c r="AB18" s="87">
        <f t="shared" si="41"/>
        <v>-301.42144690111968</v>
      </c>
      <c r="AC18" s="73">
        <f t="shared" si="42"/>
        <v>-1759.8739136356598</v>
      </c>
      <c r="AE18" s="1" t="s">
        <v>131</v>
      </c>
      <c r="AF18" s="35" t="e">
        <f t="shared" ref="AF18:AF25" si="50">T18-N18</f>
        <v>#DIV/0!</v>
      </c>
      <c r="AG18" s="32" t="e">
        <f t="shared" si="43"/>
        <v>#DIV/0!</v>
      </c>
      <c r="AH18" s="36" t="e">
        <f t="shared" si="44"/>
        <v>#DIV/0!</v>
      </c>
      <c r="AI18" s="32" t="e">
        <f t="shared" si="45"/>
        <v>#DIV/0!</v>
      </c>
      <c r="AK18" s="1" t="s">
        <v>131</v>
      </c>
      <c r="AL18" s="47">
        <f>constants!G58</f>
        <v>1.9890569046432705</v>
      </c>
      <c r="AM18" s="48" t="e">
        <f t="shared" si="46"/>
        <v>#DIV/0!</v>
      </c>
      <c r="AN18" s="49" t="e">
        <f t="shared" ref="AN18:AN24" si="51">AL18+AM18</f>
        <v>#DIV/0!</v>
      </c>
      <c r="AO18" s="32"/>
      <c r="AP18" s="1" t="s">
        <v>131</v>
      </c>
      <c r="AQ18" s="61">
        <f t="shared" ref="AQ18:AQ24" si="52">N18</f>
        <v>7.1066171979188034E-2</v>
      </c>
      <c r="AR18" s="60" t="e">
        <f t="shared" ref="AR18:AR24" si="53">T18</f>
        <v>#DIV/0!</v>
      </c>
      <c r="AS18" s="61">
        <f t="shared" ref="AS18:AS24" si="54">O18</f>
        <v>2.0463839165625806E-2</v>
      </c>
      <c r="AT18" s="62" t="e">
        <f t="shared" ref="AT18:AT24" si="55">U18</f>
        <v>#DIV/0!</v>
      </c>
      <c r="AU18" s="60">
        <f t="shared" ref="AU18:AU24" si="56">P18</f>
        <v>0.35505385187291927</v>
      </c>
      <c r="AV18" s="60" t="e">
        <f t="shared" ref="AV18:AV24" si="57">V18</f>
        <v>#DIV/0!</v>
      </c>
      <c r="AW18" s="61">
        <f t="shared" ref="AW18:AW24" si="58">Q18</f>
        <v>7.3375681649690064E-2</v>
      </c>
      <c r="AX18" s="62" t="e">
        <f t="shared" ref="AX18:AX24" si="59">W18</f>
        <v>#DIV/0!</v>
      </c>
    </row>
    <row r="19" spans="1:50" x14ac:dyDescent="0.2">
      <c r="A19" s="1" t="s">
        <v>133</v>
      </c>
      <c r="B19" s="92">
        <f>targets!O42</f>
        <v>0</v>
      </c>
      <c r="C19" s="92">
        <f>targets!P42</f>
        <v>0</v>
      </c>
      <c r="D19" s="92">
        <f>targets!Q42</f>
        <v>0</v>
      </c>
      <c r="E19" s="92">
        <f t="shared" si="47"/>
        <v>0</v>
      </c>
      <c r="G19" s="1" t="s">
        <v>133</v>
      </c>
      <c r="H19" s="9">
        <f t="array" ref="H19">SUM(IF((modeldata!$Q:$Q=$G$15)*(modeldata!$M:$M=$G19),modeldata!N:N,0))</f>
        <v>0</v>
      </c>
      <c r="I19" s="5">
        <f t="array" ref="I19">SUM(IF((modeldata!$Q:$Q=$G$15)*(modeldata!$M:$M=$G19),modeldata!O:O,0))</f>
        <v>0</v>
      </c>
      <c r="J19" s="10">
        <f t="array" ref="J19">SUM(IF((modeldata!$Q:$Q=$G$15)*(modeldata!$M:$M=$G19),modeldata!P:P,0))</f>
        <v>0</v>
      </c>
      <c r="K19" s="5">
        <f t="shared" si="48"/>
        <v>0</v>
      </c>
      <c r="M19" s="1" t="s">
        <v>133</v>
      </c>
      <c r="N19" s="23">
        <f>B19/B25</f>
        <v>0</v>
      </c>
      <c r="O19" s="25">
        <f>C19/C25</f>
        <v>0</v>
      </c>
      <c r="P19" s="28">
        <f>D19/D25</f>
        <v>0</v>
      </c>
      <c r="Q19" s="23">
        <f>E19/E25</f>
        <v>0</v>
      </c>
      <c r="S19" s="1" t="s">
        <v>133</v>
      </c>
      <c r="T19" s="23" t="e">
        <f>H19/H25</f>
        <v>#DIV/0!</v>
      </c>
      <c r="U19" s="25" t="e">
        <f>I19/I25</f>
        <v>#DIV/0!</v>
      </c>
      <c r="V19" s="28" t="e">
        <f>J19/J25</f>
        <v>#DIV/0!</v>
      </c>
      <c r="W19" s="23" t="e">
        <f>K19/K25</f>
        <v>#DIV/0!</v>
      </c>
      <c r="Y19" s="1" t="s">
        <v>133</v>
      </c>
      <c r="Z19" s="86">
        <f t="shared" si="49"/>
        <v>0</v>
      </c>
      <c r="AA19" s="73">
        <f t="shared" si="40"/>
        <v>0</v>
      </c>
      <c r="AB19" s="87">
        <f t="shared" si="41"/>
        <v>0</v>
      </c>
      <c r="AC19" s="73">
        <f t="shared" si="42"/>
        <v>0</v>
      </c>
      <c r="AE19" s="1" t="s">
        <v>133</v>
      </c>
      <c r="AF19" s="35" t="e">
        <f t="shared" si="50"/>
        <v>#DIV/0!</v>
      </c>
      <c r="AG19" s="32" t="e">
        <f t="shared" si="43"/>
        <v>#DIV/0!</v>
      </c>
      <c r="AH19" s="36" t="e">
        <f t="shared" si="44"/>
        <v>#DIV/0!</v>
      </c>
      <c r="AI19" s="32" t="e">
        <f t="shared" si="45"/>
        <v>#DIV/0!</v>
      </c>
      <c r="AK19" s="1" t="s">
        <v>133</v>
      </c>
      <c r="AL19" s="47">
        <f>constants!G59</f>
        <v>0.90980840668073981</v>
      </c>
      <c r="AM19" s="48" t="e">
        <f t="shared" si="46"/>
        <v>#DIV/0!</v>
      </c>
      <c r="AN19" s="49" t="e">
        <f t="shared" si="51"/>
        <v>#DIV/0!</v>
      </c>
      <c r="AO19" s="32"/>
      <c r="AP19" s="1" t="s">
        <v>133</v>
      </c>
      <c r="AQ19" s="61">
        <f t="shared" si="52"/>
        <v>0</v>
      </c>
      <c r="AR19" s="60" t="e">
        <f t="shared" si="53"/>
        <v>#DIV/0!</v>
      </c>
      <c r="AS19" s="61">
        <f t="shared" si="54"/>
        <v>0</v>
      </c>
      <c r="AT19" s="62" t="e">
        <f t="shared" si="55"/>
        <v>#DIV/0!</v>
      </c>
      <c r="AU19" s="60">
        <f t="shared" si="56"/>
        <v>0</v>
      </c>
      <c r="AV19" s="60" t="e">
        <f t="shared" si="57"/>
        <v>#DIV/0!</v>
      </c>
      <c r="AW19" s="61">
        <f t="shared" si="58"/>
        <v>0</v>
      </c>
      <c r="AX19" s="62" t="e">
        <f t="shared" si="59"/>
        <v>#DIV/0!</v>
      </c>
    </row>
    <row r="20" spans="1:50" x14ac:dyDescent="0.2">
      <c r="A20" s="1" t="s">
        <v>129</v>
      </c>
      <c r="B20" s="92">
        <f>targets!O37</f>
        <v>0</v>
      </c>
      <c r="C20" s="92">
        <f>targets!P37</f>
        <v>0</v>
      </c>
      <c r="D20" s="92">
        <f>targets!Q37</f>
        <v>0</v>
      </c>
      <c r="E20" s="92">
        <f t="shared" si="47"/>
        <v>0</v>
      </c>
      <c r="G20" s="1" t="s">
        <v>129</v>
      </c>
      <c r="H20" s="9">
        <f t="array" ref="H20">SUM(IF((modeldata!$Q:$Q=$G$15)*(modeldata!$M:$M=$G20),modeldata!N:N,0))</f>
        <v>0</v>
      </c>
      <c r="I20" s="5">
        <f t="array" ref="I20">SUM(IF((modeldata!$Q:$Q=$G$15)*(modeldata!$M:$M=$G20),modeldata!O:O,0))</f>
        <v>0</v>
      </c>
      <c r="J20" s="10">
        <f t="array" ref="J20">SUM(IF((modeldata!$Q:$Q=$G$15)*(modeldata!$M:$M=$G20),modeldata!P:P,0))</f>
        <v>0</v>
      </c>
      <c r="K20" s="5">
        <f t="shared" si="48"/>
        <v>0</v>
      </c>
      <c r="M20" s="1" t="s">
        <v>129</v>
      </c>
      <c r="N20" s="23">
        <f>B20/B25</f>
        <v>0</v>
      </c>
      <c r="O20" s="25">
        <f>C20/C25</f>
        <v>0</v>
      </c>
      <c r="P20" s="28">
        <f>D20/D25</f>
        <v>0</v>
      </c>
      <c r="Q20" s="23">
        <f>E20/E25</f>
        <v>0</v>
      </c>
      <c r="S20" s="1" t="s">
        <v>129</v>
      </c>
      <c r="T20" s="23" t="e">
        <f>H20/H25</f>
        <v>#DIV/0!</v>
      </c>
      <c r="U20" s="25" t="e">
        <f>I20/I25</f>
        <v>#DIV/0!</v>
      </c>
      <c r="V20" s="28" t="e">
        <f>J20/J25</f>
        <v>#DIV/0!</v>
      </c>
      <c r="W20" s="23" t="e">
        <f>K20/K25</f>
        <v>#DIV/0!</v>
      </c>
      <c r="Y20" s="1" t="s">
        <v>129</v>
      </c>
      <c r="Z20" s="86">
        <f t="shared" si="49"/>
        <v>0</v>
      </c>
      <c r="AA20" s="73">
        <f t="shared" si="40"/>
        <v>0</v>
      </c>
      <c r="AB20" s="87">
        <f t="shared" si="41"/>
        <v>0</v>
      </c>
      <c r="AC20" s="73">
        <f t="shared" si="42"/>
        <v>0</v>
      </c>
      <c r="AE20" s="1" t="s">
        <v>129</v>
      </c>
      <c r="AF20" s="35" t="e">
        <f t="shared" si="50"/>
        <v>#DIV/0!</v>
      </c>
      <c r="AG20" s="32" t="e">
        <f t="shared" si="43"/>
        <v>#DIV/0!</v>
      </c>
      <c r="AH20" s="36" t="e">
        <f t="shared" si="44"/>
        <v>#DIV/0!</v>
      </c>
      <c r="AI20" s="32" t="e">
        <f t="shared" si="45"/>
        <v>#DIV/0!</v>
      </c>
      <c r="AK20" s="1" t="s">
        <v>129</v>
      </c>
      <c r="AL20" s="47">
        <f>constants!G60</f>
        <v>0.92023167885195711</v>
      </c>
      <c r="AM20" s="48" t="e">
        <f t="shared" si="46"/>
        <v>#DIV/0!</v>
      </c>
      <c r="AN20" s="49" t="e">
        <f t="shared" si="51"/>
        <v>#DIV/0!</v>
      </c>
      <c r="AO20" s="32"/>
      <c r="AP20" s="1" t="s">
        <v>129</v>
      </c>
      <c r="AQ20" s="61">
        <f t="shared" si="52"/>
        <v>0</v>
      </c>
      <c r="AR20" s="60" t="e">
        <f t="shared" si="53"/>
        <v>#DIV/0!</v>
      </c>
      <c r="AS20" s="61">
        <f t="shared" si="54"/>
        <v>0</v>
      </c>
      <c r="AT20" s="62" t="e">
        <f t="shared" si="55"/>
        <v>#DIV/0!</v>
      </c>
      <c r="AU20" s="60">
        <f t="shared" si="56"/>
        <v>0</v>
      </c>
      <c r="AV20" s="60" t="e">
        <f t="shared" si="57"/>
        <v>#DIV/0!</v>
      </c>
      <c r="AW20" s="61">
        <f t="shared" si="58"/>
        <v>0</v>
      </c>
      <c r="AX20" s="62" t="e">
        <f t="shared" si="59"/>
        <v>#DIV/0!</v>
      </c>
    </row>
    <row r="21" spans="1:50" x14ac:dyDescent="0.2">
      <c r="A21" s="1" t="s">
        <v>132</v>
      </c>
      <c r="B21" s="92">
        <f>targets!O43</f>
        <v>0</v>
      </c>
      <c r="C21" s="92">
        <f>targets!P43</f>
        <v>0</v>
      </c>
      <c r="D21" s="92">
        <f>targets!Q43</f>
        <v>0</v>
      </c>
      <c r="E21" s="92">
        <f t="shared" si="47"/>
        <v>0</v>
      </c>
      <c r="G21" s="1" t="s">
        <v>132</v>
      </c>
      <c r="H21" s="9">
        <f t="array" ref="H21">SUM(IF((modeldata!$Q:$Q=$G$15)*(modeldata!$M:$M=$G21),modeldata!N:N,0))</f>
        <v>0</v>
      </c>
      <c r="I21" s="5">
        <f t="array" ref="I21">SUM(IF((modeldata!$Q:$Q=$G$15)*(modeldata!$M:$M=$G21),modeldata!O:O,0))</f>
        <v>0</v>
      </c>
      <c r="J21" s="10">
        <f t="array" ref="J21">SUM(IF((modeldata!$Q:$Q=$G$15)*(modeldata!$M:$M=$G21),modeldata!P:P,0))</f>
        <v>0</v>
      </c>
      <c r="K21" s="5">
        <f t="shared" si="48"/>
        <v>0</v>
      </c>
      <c r="M21" s="1" t="s">
        <v>132</v>
      </c>
      <c r="N21" s="23">
        <f>B21/B25</f>
        <v>0</v>
      </c>
      <c r="O21" s="25">
        <f>C21/C25</f>
        <v>0</v>
      </c>
      <c r="P21" s="28">
        <f>D21/D25</f>
        <v>0</v>
      </c>
      <c r="Q21" s="23">
        <f>E21/E25</f>
        <v>0</v>
      </c>
      <c r="S21" s="1" t="s">
        <v>132</v>
      </c>
      <c r="T21" s="23" t="e">
        <f>H21/H25</f>
        <v>#DIV/0!</v>
      </c>
      <c r="U21" s="25" t="e">
        <f>I21/I25</f>
        <v>#DIV/0!</v>
      </c>
      <c r="V21" s="28" t="e">
        <f>J21/J25</f>
        <v>#DIV/0!</v>
      </c>
      <c r="W21" s="23" t="e">
        <f>K21/K25</f>
        <v>#DIV/0!</v>
      </c>
      <c r="Y21" s="1" t="s">
        <v>132</v>
      </c>
      <c r="Z21" s="86">
        <f t="shared" si="49"/>
        <v>0</v>
      </c>
      <c r="AA21" s="73">
        <f t="shared" si="40"/>
        <v>0</v>
      </c>
      <c r="AB21" s="87">
        <f t="shared" si="41"/>
        <v>0</v>
      </c>
      <c r="AC21" s="73">
        <f t="shared" si="42"/>
        <v>0</v>
      </c>
      <c r="AE21" s="1" t="s">
        <v>132</v>
      </c>
      <c r="AF21" s="35" t="e">
        <f t="shared" si="50"/>
        <v>#DIV/0!</v>
      </c>
      <c r="AG21" s="32" t="e">
        <f t="shared" si="43"/>
        <v>#DIV/0!</v>
      </c>
      <c r="AH21" s="36" t="e">
        <f t="shared" si="44"/>
        <v>#DIV/0!</v>
      </c>
      <c r="AI21" s="32" t="e">
        <f t="shared" si="45"/>
        <v>#DIV/0!</v>
      </c>
      <c r="AK21" s="1" t="s">
        <v>132</v>
      </c>
      <c r="AL21" s="47">
        <f>constants!G61</f>
        <v>1.0512464977478317</v>
      </c>
      <c r="AM21" s="48" t="e">
        <f t="shared" si="46"/>
        <v>#DIV/0!</v>
      </c>
      <c r="AN21" s="49" t="e">
        <f t="shared" si="51"/>
        <v>#DIV/0!</v>
      </c>
      <c r="AO21" s="32"/>
      <c r="AP21" s="1" t="s">
        <v>132</v>
      </c>
      <c r="AQ21" s="61">
        <f t="shared" si="52"/>
        <v>0</v>
      </c>
      <c r="AR21" s="60" t="e">
        <f t="shared" si="53"/>
        <v>#DIV/0!</v>
      </c>
      <c r="AS21" s="61">
        <f t="shared" si="54"/>
        <v>0</v>
      </c>
      <c r="AT21" s="62" t="e">
        <f t="shared" si="55"/>
        <v>#DIV/0!</v>
      </c>
      <c r="AU21" s="60">
        <f t="shared" si="56"/>
        <v>0</v>
      </c>
      <c r="AV21" s="60" t="e">
        <f t="shared" si="57"/>
        <v>#DIV/0!</v>
      </c>
      <c r="AW21" s="61">
        <f t="shared" si="58"/>
        <v>0</v>
      </c>
      <c r="AX21" s="62" t="e">
        <f t="shared" si="59"/>
        <v>#DIV/0!</v>
      </c>
    </row>
    <row r="22" spans="1:50" x14ac:dyDescent="0.2">
      <c r="A22" s="1" t="s">
        <v>123</v>
      </c>
      <c r="B22" s="92">
        <f>targets!O38+targets!O44</f>
        <v>0</v>
      </c>
      <c r="C22" s="92">
        <f>targets!P38+targets!P44</f>
        <v>0</v>
      </c>
      <c r="D22" s="92">
        <f>targets!Q38+targets!Q44</f>
        <v>0</v>
      </c>
      <c r="E22" s="92">
        <f t="shared" si="47"/>
        <v>0</v>
      </c>
      <c r="G22" s="1" t="s">
        <v>128</v>
      </c>
      <c r="H22" s="9">
        <f t="array" ref="H22">SUM(IF((modeldata!$Q:$Q=$G$15)*(modeldata!$M:$M=$G22),modeldata!N:N,0))</f>
        <v>0</v>
      </c>
      <c r="I22" s="5">
        <f t="array" ref="I22">SUM(IF((modeldata!$Q:$Q=$G$15)*(modeldata!$M:$M=$G22),modeldata!O:O,0))</f>
        <v>0</v>
      </c>
      <c r="J22" s="10">
        <f t="array" ref="J22">SUM(IF((modeldata!$Q:$Q=$G$15)*(modeldata!$M:$M=$G22),modeldata!P:P,0))</f>
        <v>0</v>
      </c>
      <c r="K22" s="5">
        <f t="shared" si="48"/>
        <v>0</v>
      </c>
      <c r="M22" s="1" t="s">
        <v>123</v>
      </c>
      <c r="N22" s="23">
        <f>B22/B25</f>
        <v>0</v>
      </c>
      <c r="O22" s="25">
        <f>C22/C25</f>
        <v>0</v>
      </c>
      <c r="P22" s="28">
        <f>D22/D25</f>
        <v>0</v>
      </c>
      <c r="Q22" s="23">
        <f>E22/E25</f>
        <v>0</v>
      </c>
      <c r="S22" s="1" t="s">
        <v>123</v>
      </c>
      <c r="T22" s="23" t="e">
        <f>H22/H25</f>
        <v>#DIV/0!</v>
      </c>
      <c r="U22" s="25" t="e">
        <f>I22/I25</f>
        <v>#DIV/0!</v>
      </c>
      <c r="V22" s="28" t="e">
        <f>J22/J25</f>
        <v>#DIV/0!</v>
      </c>
      <c r="W22" s="23" t="e">
        <f>K22/K25</f>
        <v>#DIV/0!</v>
      </c>
      <c r="Y22" s="1" t="s">
        <v>123</v>
      </c>
      <c r="Z22" s="86">
        <f t="shared" si="49"/>
        <v>0</v>
      </c>
      <c r="AA22" s="73">
        <f t="shared" si="40"/>
        <v>0</v>
      </c>
      <c r="AB22" s="87">
        <f t="shared" si="41"/>
        <v>0</v>
      </c>
      <c r="AC22" s="73">
        <f t="shared" si="42"/>
        <v>0</v>
      </c>
      <c r="AE22" s="1" t="s">
        <v>123</v>
      </c>
      <c r="AF22" s="35" t="e">
        <f t="shared" si="50"/>
        <v>#DIV/0!</v>
      </c>
      <c r="AG22" s="32" t="e">
        <f t="shared" si="43"/>
        <v>#DIV/0!</v>
      </c>
      <c r="AH22" s="36" t="e">
        <f t="shared" si="44"/>
        <v>#DIV/0!</v>
      </c>
      <c r="AI22" s="32" t="e">
        <f t="shared" si="45"/>
        <v>#DIV/0!</v>
      </c>
      <c r="AK22" s="1" t="s">
        <v>123</v>
      </c>
      <c r="AL22" s="47">
        <f>constants!G62</f>
        <v>0.43995482787651691</v>
      </c>
      <c r="AM22" s="48" t="e">
        <f t="shared" si="46"/>
        <v>#DIV/0!</v>
      </c>
      <c r="AN22" s="49" t="e">
        <f t="shared" si="51"/>
        <v>#DIV/0!</v>
      </c>
      <c r="AO22" s="32"/>
      <c r="AP22" s="1" t="s">
        <v>123</v>
      </c>
      <c r="AQ22" s="61">
        <f t="shared" si="52"/>
        <v>0</v>
      </c>
      <c r="AR22" s="60" t="e">
        <f t="shared" si="53"/>
        <v>#DIV/0!</v>
      </c>
      <c r="AS22" s="61">
        <f t="shared" si="54"/>
        <v>0</v>
      </c>
      <c r="AT22" s="62" t="e">
        <f t="shared" si="55"/>
        <v>#DIV/0!</v>
      </c>
      <c r="AU22" s="60">
        <f t="shared" si="56"/>
        <v>0</v>
      </c>
      <c r="AV22" s="60" t="e">
        <f t="shared" si="57"/>
        <v>#DIV/0!</v>
      </c>
      <c r="AW22" s="61">
        <f t="shared" si="58"/>
        <v>0</v>
      </c>
      <c r="AX22" s="62" t="e">
        <f t="shared" si="59"/>
        <v>#DIV/0!</v>
      </c>
    </row>
    <row r="23" spans="1:50" x14ac:dyDescent="0.2">
      <c r="A23" s="1" t="s">
        <v>124</v>
      </c>
      <c r="B23" s="92">
        <f>targets!O39+targets!O45</f>
        <v>514.95120251290837</v>
      </c>
      <c r="C23" s="92">
        <f>targets!P39+targets!P45</f>
        <v>3128.7422552141898</v>
      </c>
      <c r="D23" s="92">
        <f>targets!Q39+targets!Q45</f>
        <v>218.19481742618106</v>
      </c>
      <c r="E23" s="92">
        <f t="shared" si="47"/>
        <v>3861.8882751532792</v>
      </c>
      <c r="G23" s="1" t="s">
        <v>130</v>
      </c>
      <c r="H23" s="9">
        <f t="array" ref="H23">SUM(IF((modeldata!$Q:$Q=$G$15)*(modeldata!$M:$M=$G23),modeldata!N:N,0))</f>
        <v>0</v>
      </c>
      <c r="I23" s="5">
        <f t="array" ref="I23">SUM(IF((modeldata!$Q:$Q=$G$15)*(modeldata!$M:$M=$G23),modeldata!O:O,0))</f>
        <v>0</v>
      </c>
      <c r="J23" s="10">
        <f t="array" ref="J23">SUM(IF((modeldata!$Q:$Q=$G$15)*(modeldata!$M:$M=$G23),modeldata!P:P,0))</f>
        <v>0</v>
      </c>
      <c r="K23" s="5">
        <f t="shared" si="48"/>
        <v>0</v>
      </c>
      <c r="M23" s="1" t="s">
        <v>124</v>
      </c>
      <c r="N23" s="23">
        <f>B23/B25</f>
        <v>2.6454237943101418E-2</v>
      </c>
      <c r="O23" s="25">
        <f>C23/C25</f>
        <v>0.85257667729298525</v>
      </c>
      <c r="P23" s="28">
        <f>D23/D25</f>
        <v>0.25701857376886666</v>
      </c>
      <c r="Q23" s="23">
        <f>E23/E25</f>
        <v>0.16101646967362371</v>
      </c>
      <c r="S23" s="1" t="s">
        <v>124</v>
      </c>
      <c r="T23" s="23" t="e">
        <f>H23/H25</f>
        <v>#DIV/0!</v>
      </c>
      <c r="U23" s="25" t="e">
        <f>I23/I25</f>
        <v>#DIV/0!</v>
      </c>
      <c r="V23" s="28" t="e">
        <f>J23/J25</f>
        <v>#DIV/0!</v>
      </c>
      <c r="W23" s="23" t="e">
        <f>K23/K25</f>
        <v>#DIV/0!</v>
      </c>
      <c r="Y23" s="1" t="s">
        <v>124</v>
      </c>
      <c r="Z23" s="86">
        <f t="shared" si="49"/>
        <v>-514.95120251290837</v>
      </c>
      <c r="AA23" s="73">
        <f t="shared" si="40"/>
        <v>-3128.7422552141898</v>
      </c>
      <c r="AB23" s="87">
        <f t="shared" si="41"/>
        <v>-218.19481742618106</v>
      </c>
      <c r="AC23" s="73">
        <f t="shared" si="42"/>
        <v>-3861.8882751532792</v>
      </c>
      <c r="AE23" s="1" t="s">
        <v>124</v>
      </c>
      <c r="AF23" s="35" t="e">
        <f t="shared" si="50"/>
        <v>#DIV/0!</v>
      </c>
      <c r="AG23" s="32" t="e">
        <f t="shared" si="43"/>
        <v>#DIV/0!</v>
      </c>
      <c r="AH23" s="36" t="e">
        <f t="shared" si="44"/>
        <v>#DIV/0!</v>
      </c>
      <c r="AI23" s="32" t="e">
        <f t="shared" si="45"/>
        <v>#DIV/0!</v>
      </c>
      <c r="AK23" s="1" t="s">
        <v>124</v>
      </c>
      <c r="AL23" s="47">
        <f>constants!G63</f>
        <v>2.3581337380913232</v>
      </c>
      <c r="AM23" s="48" t="e">
        <f t="shared" si="46"/>
        <v>#DIV/0!</v>
      </c>
      <c r="AN23" s="49" t="e">
        <f t="shared" si="51"/>
        <v>#DIV/0!</v>
      </c>
      <c r="AO23" s="32"/>
      <c r="AP23" s="1" t="s">
        <v>124</v>
      </c>
      <c r="AQ23" s="61">
        <f t="shared" si="52"/>
        <v>2.6454237943101418E-2</v>
      </c>
      <c r="AR23" s="60" t="e">
        <f t="shared" si="53"/>
        <v>#DIV/0!</v>
      </c>
      <c r="AS23" s="61">
        <f t="shared" si="54"/>
        <v>0.85257667729298525</v>
      </c>
      <c r="AT23" s="62" t="e">
        <f t="shared" si="55"/>
        <v>#DIV/0!</v>
      </c>
      <c r="AU23" s="60">
        <f t="shared" si="56"/>
        <v>0.25701857376886666</v>
      </c>
      <c r="AV23" s="60" t="e">
        <f t="shared" si="57"/>
        <v>#DIV/0!</v>
      </c>
      <c r="AW23" s="61">
        <f t="shared" si="58"/>
        <v>0.16101646967362371</v>
      </c>
      <c r="AX23" s="62" t="e">
        <f t="shared" si="59"/>
        <v>#DIV/0!</v>
      </c>
    </row>
    <row r="24" spans="1:50" x14ac:dyDescent="0.2">
      <c r="A24" s="1" t="s">
        <v>125</v>
      </c>
      <c r="B24" s="92">
        <f>targets!O40+targets!O46</f>
        <v>0</v>
      </c>
      <c r="C24" s="92">
        <f>targets!P40+targets!P46</f>
        <v>406.27992420916172</v>
      </c>
      <c r="D24" s="92">
        <f>targets!Q40+targets!Q46</f>
        <v>85.365881186005453</v>
      </c>
      <c r="E24" s="92">
        <f t="shared" si="47"/>
        <v>491.64580539516714</v>
      </c>
      <c r="G24" s="1" t="s">
        <v>127</v>
      </c>
      <c r="H24" s="11">
        <f t="array" ref="H24">SUM(IF((modeldata!$Q:$Q=$G$15)*(modeldata!$M:$M=$G24),modeldata!N:N,0))</f>
        <v>0</v>
      </c>
      <c r="I24" s="12">
        <f t="array" ref="I24">SUM(IF((modeldata!$Q:$Q=$G$15)*(modeldata!$M:$M=$G24),modeldata!O:O,0))</f>
        <v>0</v>
      </c>
      <c r="J24" s="13">
        <f t="array" ref="J24">SUM(IF((modeldata!$Q:$Q=$G$15)*(modeldata!$M:$M=$G24),modeldata!P:P,0))</f>
        <v>0</v>
      </c>
      <c r="K24" s="5">
        <f t="shared" si="48"/>
        <v>0</v>
      </c>
      <c r="M24" s="1" t="s">
        <v>125</v>
      </c>
      <c r="N24" s="24">
        <f>B24/B25</f>
        <v>0</v>
      </c>
      <c r="O24" s="29">
        <f>C24/C25</f>
        <v>0.11071055381945481</v>
      </c>
      <c r="P24" s="30">
        <f>D24/D25</f>
        <v>0.10055517032787695</v>
      </c>
      <c r="Q24" s="23">
        <f>E24/E25</f>
        <v>2.0498540163343598E-2</v>
      </c>
      <c r="S24" s="1" t="s">
        <v>125</v>
      </c>
      <c r="T24" s="24" t="e">
        <f>H24/H25</f>
        <v>#DIV/0!</v>
      </c>
      <c r="U24" s="29" t="e">
        <f>I24/I25</f>
        <v>#DIV/0!</v>
      </c>
      <c r="V24" s="30" t="e">
        <f>J24/J25</f>
        <v>#DIV/0!</v>
      </c>
      <c r="W24" s="23" t="e">
        <f>K24/K25</f>
        <v>#DIV/0!</v>
      </c>
      <c r="Y24" s="1" t="s">
        <v>125</v>
      </c>
      <c r="Z24" s="88">
        <f t="shared" si="49"/>
        <v>0</v>
      </c>
      <c r="AA24" s="72">
        <f t="shared" si="40"/>
        <v>-406.27992420916172</v>
      </c>
      <c r="AB24" s="89">
        <f t="shared" si="41"/>
        <v>-85.365881186005453</v>
      </c>
      <c r="AC24" s="73">
        <f t="shared" si="42"/>
        <v>-491.64580539516714</v>
      </c>
      <c r="AE24" s="1" t="s">
        <v>125</v>
      </c>
      <c r="AF24" s="37" t="e">
        <f t="shared" si="50"/>
        <v>#DIV/0!</v>
      </c>
      <c r="AG24" s="38" t="e">
        <f t="shared" si="43"/>
        <v>#DIV/0!</v>
      </c>
      <c r="AH24" s="39" t="e">
        <f t="shared" si="44"/>
        <v>#DIV/0!</v>
      </c>
      <c r="AI24" s="32" t="e">
        <f t="shared" si="45"/>
        <v>#DIV/0!</v>
      </c>
      <c r="AK24" s="1" t="s">
        <v>125</v>
      </c>
      <c r="AL24" s="50">
        <f>constants!G64</f>
        <v>3.605285675759121</v>
      </c>
      <c r="AM24" s="51" t="e">
        <f t="shared" si="46"/>
        <v>#DIV/0!</v>
      </c>
      <c r="AN24" s="52" t="e">
        <f t="shared" si="51"/>
        <v>#DIV/0!</v>
      </c>
      <c r="AO24" s="32"/>
      <c r="AP24" s="1" t="s">
        <v>125</v>
      </c>
      <c r="AQ24" s="63">
        <f t="shared" si="52"/>
        <v>0</v>
      </c>
      <c r="AR24" s="64" t="e">
        <f t="shared" si="53"/>
        <v>#DIV/0!</v>
      </c>
      <c r="AS24" s="63">
        <f t="shared" si="54"/>
        <v>0.11071055381945481</v>
      </c>
      <c r="AT24" s="65" t="e">
        <f t="shared" si="55"/>
        <v>#DIV/0!</v>
      </c>
      <c r="AU24" s="64">
        <f t="shared" si="56"/>
        <v>0.10055517032787695</v>
      </c>
      <c r="AV24" s="64" t="e">
        <f t="shared" si="57"/>
        <v>#DIV/0!</v>
      </c>
      <c r="AW24" s="63">
        <f t="shared" si="58"/>
        <v>2.0498540163343598E-2</v>
      </c>
      <c r="AX24" s="65" t="e">
        <f t="shared" si="59"/>
        <v>#DIV/0!</v>
      </c>
    </row>
    <row r="25" spans="1:50" x14ac:dyDescent="0.2">
      <c r="A25" s="1" t="s">
        <v>1</v>
      </c>
      <c r="B25" s="92">
        <f>SUM(B17:B24)</f>
        <v>19465.735645853081</v>
      </c>
      <c r="C25" s="92">
        <f>SUM(C17:C24)</f>
        <v>3669.7488197170183</v>
      </c>
      <c r="D25" s="92">
        <f>SUM(D17:D24)</f>
        <v>848.94571713871824</v>
      </c>
      <c r="E25" s="92">
        <f t="shared" si="47"/>
        <v>23984.430182708817</v>
      </c>
      <c r="G25" s="1" t="s">
        <v>1</v>
      </c>
      <c r="H25" s="5">
        <f>SUM(H17:H24)</f>
        <v>0</v>
      </c>
      <c r="I25" s="5">
        <f>SUM(I17:I24)</f>
        <v>0</v>
      </c>
      <c r="J25" s="5">
        <f>SUM(J17:J24)</f>
        <v>0</v>
      </c>
      <c r="K25" s="5">
        <f t="shared" si="48"/>
        <v>0</v>
      </c>
      <c r="M25" s="1" t="s">
        <v>1</v>
      </c>
      <c r="N25" s="25">
        <f>SUM(N17:N24)</f>
        <v>1</v>
      </c>
      <c r="O25" s="25">
        <f>SUM(O17:O24)</f>
        <v>1</v>
      </c>
      <c r="P25" s="25">
        <f>SUM(P17:P24)</f>
        <v>0.99999999999999989</v>
      </c>
      <c r="Q25" s="25">
        <f>SUM(Q17:Q24)</f>
        <v>1</v>
      </c>
      <c r="S25" s="1" t="s">
        <v>1</v>
      </c>
      <c r="T25" s="25" t="e">
        <f>SUM(T17:T24)</f>
        <v>#DIV/0!</v>
      </c>
      <c r="U25" s="25" t="e">
        <f>SUM(U17:U24)</f>
        <v>#DIV/0!</v>
      </c>
      <c r="V25" s="25" t="e">
        <f>SUM(V17:V24)</f>
        <v>#DIV/0!</v>
      </c>
      <c r="W25" s="25" t="e">
        <f>SUM(W17:W24)</f>
        <v>#DIV/0!</v>
      </c>
      <c r="Y25" s="1" t="s">
        <v>1</v>
      </c>
      <c r="Z25" s="73">
        <f t="shared" si="49"/>
        <v>-19465.735645853081</v>
      </c>
      <c r="AA25" s="73">
        <f t="shared" si="40"/>
        <v>-3669.7488197170183</v>
      </c>
      <c r="AB25" s="73">
        <f t="shared" si="41"/>
        <v>-848.94571713871824</v>
      </c>
      <c r="AC25" s="73">
        <f t="shared" si="42"/>
        <v>-23984.430182708817</v>
      </c>
      <c r="AE25" s="1" t="s">
        <v>1</v>
      </c>
      <c r="AF25" s="32" t="e">
        <f t="shared" si="50"/>
        <v>#DIV/0!</v>
      </c>
      <c r="AG25" s="32" t="e">
        <f t="shared" si="43"/>
        <v>#DIV/0!</v>
      </c>
      <c r="AH25" s="32" t="e">
        <f t="shared" si="44"/>
        <v>#DIV/0!</v>
      </c>
      <c r="AI25" s="32" t="e">
        <f t="shared" si="45"/>
        <v>#DIV/0!</v>
      </c>
      <c r="AL25" s="32"/>
      <c r="AM25" s="32"/>
      <c r="AN25" s="32"/>
      <c r="AO25" s="32"/>
      <c r="AP25" s="1" t="s">
        <v>1</v>
      </c>
      <c r="AQ25" s="60">
        <f t="shared" ref="AQ25:AX25" si="60">SUM(AQ17:AQ24)</f>
        <v>1</v>
      </c>
      <c r="AR25" s="60" t="e">
        <f t="shared" si="60"/>
        <v>#DIV/0!</v>
      </c>
      <c r="AS25" s="60">
        <f t="shared" si="60"/>
        <v>1</v>
      </c>
      <c r="AT25" s="60" t="e">
        <f t="shared" si="60"/>
        <v>#DIV/0!</v>
      </c>
      <c r="AU25" s="60">
        <f t="shared" si="60"/>
        <v>0.99999999999999989</v>
      </c>
      <c r="AV25" s="60" t="e">
        <f t="shared" si="60"/>
        <v>#DIV/0!</v>
      </c>
      <c r="AW25" s="60">
        <f t="shared" si="60"/>
        <v>1</v>
      </c>
      <c r="AX25" s="60" t="e">
        <f t="shared" si="60"/>
        <v>#DIV/0!</v>
      </c>
    </row>
    <row r="28" spans="1:50" s="16" customFormat="1" x14ac:dyDescent="0.2">
      <c r="A28" s="15" t="s">
        <v>40</v>
      </c>
      <c r="G28" s="15" t="s">
        <v>40</v>
      </c>
      <c r="M28" s="15" t="s">
        <v>40</v>
      </c>
      <c r="S28" s="15" t="s">
        <v>40</v>
      </c>
      <c r="Y28" s="15" t="s">
        <v>40</v>
      </c>
      <c r="AE28" s="15" t="s">
        <v>40</v>
      </c>
      <c r="AK28" s="15" t="s">
        <v>40</v>
      </c>
      <c r="AP28" s="15" t="s">
        <v>40</v>
      </c>
      <c r="AQ28" s="216" t="s">
        <v>139</v>
      </c>
      <c r="AR28" s="217" t="s">
        <v>140</v>
      </c>
      <c r="AS28" s="217" t="s">
        <v>139</v>
      </c>
      <c r="AT28" s="217" t="s">
        <v>140</v>
      </c>
      <c r="AU28" s="217" t="s">
        <v>139</v>
      </c>
      <c r="AV28" s="217" t="s">
        <v>140</v>
      </c>
      <c r="AW28" s="217" t="s">
        <v>139</v>
      </c>
      <c r="AX28" s="217" t="s">
        <v>140</v>
      </c>
    </row>
    <row r="29" spans="1:50" ht="25.5" x14ac:dyDescent="0.2">
      <c r="B29" s="14" t="s">
        <v>38</v>
      </c>
      <c r="C29" s="14" t="s">
        <v>37</v>
      </c>
      <c r="D29" s="14" t="s">
        <v>0</v>
      </c>
      <c r="E29" s="17" t="s">
        <v>1</v>
      </c>
      <c r="H29" s="14" t="s">
        <v>38</v>
      </c>
      <c r="I29" s="14" t="s">
        <v>37</v>
      </c>
      <c r="J29" s="14" t="s">
        <v>0</v>
      </c>
      <c r="K29" s="17" t="s">
        <v>1</v>
      </c>
      <c r="N29" s="14" t="s">
        <v>38</v>
      </c>
      <c r="O29" s="14" t="s">
        <v>37</v>
      </c>
      <c r="P29" s="14" t="s">
        <v>0</v>
      </c>
      <c r="Q29" s="17" t="s">
        <v>1</v>
      </c>
      <c r="T29" s="14" t="s">
        <v>38</v>
      </c>
      <c r="U29" s="14" t="s">
        <v>37</v>
      </c>
      <c r="V29" s="14" t="s">
        <v>0</v>
      </c>
      <c r="W29" s="17" t="s">
        <v>1</v>
      </c>
      <c r="Z29" s="14" t="s">
        <v>38</v>
      </c>
      <c r="AA29" s="14" t="s">
        <v>37</v>
      </c>
      <c r="AB29" s="14" t="s">
        <v>0</v>
      </c>
      <c r="AC29" s="17" t="s">
        <v>1</v>
      </c>
      <c r="AF29" s="14" t="s">
        <v>38</v>
      </c>
      <c r="AG29" s="14" t="s">
        <v>37</v>
      </c>
      <c r="AH29" s="14" t="s">
        <v>0</v>
      </c>
      <c r="AI29" s="17" t="s">
        <v>1</v>
      </c>
      <c r="AK29" s="53">
        <v>0</v>
      </c>
      <c r="AL29" s="14"/>
      <c r="AM29" s="14"/>
      <c r="AN29" s="14"/>
      <c r="AO29" s="17"/>
      <c r="AQ29" s="218" t="s">
        <v>142</v>
      </c>
      <c r="AR29" s="218" t="s">
        <v>142</v>
      </c>
      <c r="AS29" s="218" t="s">
        <v>143</v>
      </c>
      <c r="AT29" s="218" t="s">
        <v>143</v>
      </c>
      <c r="AU29" s="218" t="s">
        <v>144</v>
      </c>
      <c r="AV29" s="218" t="s">
        <v>145</v>
      </c>
      <c r="AW29" s="219" t="s">
        <v>141</v>
      </c>
      <c r="AX29" s="219" t="s">
        <v>141</v>
      </c>
    </row>
    <row r="30" spans="1:50" x14ac:dyDescent="0.2">
      <c r="A30" s="1" t="s">
        <v>122</v>
      </c>
      <c r="B30" s="92">
        <f>targets!O59+targets!O65</f>
        <v>446.01291695397242</v>
      </c>
      <c r="C30" s="92">
        <f>targets!P59+targets!P65</f>
        <v>8804.5699253762141</v>
      </c>
      <c r="D30" s="92">
        <f>targets!Q59+targets!Q65</f>
        <v>6628.6915891700437</v>
      </c>
      <c r="E30" s="92">
        <f>SUM(B30:D30)</f>
        <v>15879.274431500231</v>
      </c>
      <c r="G30" s="1" t="s">
        <v>122</v>
      </c>
      <c r="H30" s="6">
        <f t="array" ref="H30">SUM(IF((modeldata!$Q:$Q=$G$28)*(modeldata!$M:$M=$G30),modeldata!N:N,0))</f>
        <v>0</v>
      </c>
      <c r="I30" s="7">
        <f t="array" ref="I30">SUM(IF((modeldata!$Q:$Q=$G$28)*(modeldata!$M:$M=$G30),modeldata!O:O,0))</f>
        <v>0</v>
      </c>
      <c r="J30" s="8">
        <f t="array" ref="J30">SUM(IF((modeldata!$Q:$Q=$G$28)*(modeldata!$M:$M=$G30),modeldata!P:P,0))</f>
        <v>0</v>
      </c>
      <c r="K30" s="5">
        <f>SUM(H30:J30)</f>
        <v>0</v>
      </c>
      <c r="M30" s="1" t="s">
        <v>122</v>
      </c>
      <c r="N30" s="22">
        <f>B30/B38</f>
        <v>0.80568291303924988</v>
      </c>
      <c r="O30" s="26">
        <f>C30/C38</f>
        <v>0.98249998705567654</v>
      </c>
      <c r="P30" s="27">
        <f>D30/D38</f>
        <v>0.71540931164991672</v>
      </c>
      <c r="Q30" s="23">
        <f>E30/E38</f>
        <v>0.84551605102210248</v>
      </c>
      <c r="S30" s="1" t="s">
        <v>122</v>
      </c>
      <c r="T30" s="22" t="e">
        <f>H30/H38</f>
        <v>#DIV/0!</v>
      </c>
      <c r="U30" s="26" t="e">
        <f>I30/I38</f>
        <v>#DIV/0!</v>
      </c>
      <c r="V30" s="27" t="e">
        <f>J30/J38</f>
        <v>#DIV/0!</v>
      </c>
      <c r="W30" s="23" t="e">
        <f>K30/K38</f>
        <v>#DIV/0!</v>
      </c>
      <c r="Y30" s="1" t="s">
        <v>122</v>
      </c>
      <c r="Z30" s="83">
        <f>H30-B30</f>
        <v>-446.01291695397242</v>
      </c>
      <c r="AA30" s="84">
        <f t="shared" ref="AA30:AA38" si="61">I30-C30</f>
        <v>-8804.5699253762141</v>
      </c>
      <c r="AB30" s="85">
        <f t="shared" ref="AB30:AB38" si="62">J30-D30</f>
        <v>-6628.6915891700437</v>
      </c>
      <c r="AC30" s="73">
        <f t="shared" ref="AC30:AC38" si="63">K30-E30</f>
        <v>-15879.274431500231</v>
      </c>
      <c r="AE30" s="1" t="s">
        <v>122</v>
      </c>
      <c r="AF30" s="31" t="e">
        <f>T30-N30</f>
        <v>#DIV/0!</v>
      </c>
      <c r="AG30" s="33" t="e">
        <f t="shared" ref="AG30:AG38" si="64">U30-O30</f>
        <v>#DIV/0!</v>
      </c>
      <c r="AH30" s="34" t="e">
        <f t="shared" ref="AH30:AH38" si="65">V30-P30</f>
        <v>#DIV/0!</v>
      </c>
      <c r="AI30" s="32" t="e">
        <f t="shared" ref="AI30:AI38" si="66">W30-Q30</f>
        <v>#DIV/0!</v>
      </c>
      <c r="AK30" s="1" t="s">
        <v>122</v>
      </c>
      <c r="AL30" s="44">
        <f>constants!K57</f>
        <v>-2.9573837114887931E-2</v>
      </c>
      <c r="AM30" s="45" t="e">
        <f t="shared" ref="AM30:AM37" si="67">IF(AND(Q30&gt;0, W30&gt;0),sub_school_damp*LN(Q30/W30),0)</f>
        <v>#DIV/0!</v>
      </c>
      <c r="AN30" s="46" t="e">
        <f>AL30+AM30</f>
        <v>#DIV/0!</v>
      </c>
      <c r="AO30" s="32"/>
      <c r="AP30" s="1" t="s">
        <v>122</v>
      </c>
      <c r="AQ30" s="57">
        <f>N30</f>
        <v>0.80568291303924988</v>
      </c>
      <c r="AR30" s="58" t="e">
        <f>T30</f>
        <v>#DIV/0!</v>
      </c>
      <c r="AS30" s="57">
        <f>O30</f>
        <v>0.98249998705567654</v>
      </c>
      <c r="AT30" s="59" t="e">
        <f>U30</f>
        <v>#DIV/0!</v>
      </c>
      <c r="AU30" s="58">
        <f>P30</f>
        <v>0.71540931164991672</v>
      </c>
      <c r="AV30" s="58" t="e">
        <f>V30</f>
        <v>#DIV/0!</v>
      </c>
      <c r="AW30" s="57">
        <f>Q30</f>
        <v>0.84551605102210248</v>
      </c>
      <c r="AX30" s="59" t="e">
        <f>W30</f>
        <v>#DIV/0!</v>
      </c>
    </row>
    <row r="31" spans="1:50" x14ac:dyDescent="0.2">
      <c r="A31" s="1" t="s">
        <v>131</v>
      </c>
      <c r="B31" s="92">
        <f>targets!O60</f>
        <v>0</v>
      </c>
      <c r="C31" s="92">
        <f>targets!P60</f>
        <v>156.82451877177766</v>
      </c>
      <c r="D31" s="92">
        <f>targets!Q60</f>
        <v>312.5327730611225</v>
      </c>
      <c r="E31" s="92">
        <f>SUM(B31:D31)</f>
        <v>469.35729183290016</v>
      </c>
      <c r="G31" s="1" t="s">
        <v>131</v>
      </c>
      <c r="H31" s="9">
        <f t="array" ref="H31">SUM(IF((modeldata!$Q:$Q=$G$28)*(modeldata!$M:$M=$G31),modeldata!N:N,0))</f>
        <v>0</v>
      </c>
      <c r="I31" s="5">
        <f t="array" ref="I31">SUM(IF((modeldata!$Q:$Q=$G$28)*(modeldata!$M:$M=$G31),modeldata!O:O,0))</f>
        <v>0</v>
      </c>
      <c r="J31" s="10">
        <f t="array" ref="J31">SUM(IF((modeldata!$Q:$Q=$G$28)*(modeldata!$M:$M=$G31),modeldata!P:P,0))</f>
        <v>0</v>
      </c>
      <c r="K31" s="5">
        <f t="shared" ref="K31:K38" si="68">SUM(H31:J31)</f>
        <v>0</v>
      </c>
      <c r="M31" s="1" t="s">
        <v>131</v>
      </c>
      <c r="N31" s="23">
        <f>B31/B38</f>
        <v>0</v>
      </c>
      <c r="O31" s="25">
        <f>C31/C38</f>
        <v>1.75000129443234E-2</v>
      </c>
      <c r="P31" s="28">
        <f>D31/D38</f>
        <v>3.3730465965409635E-2</v>
      </c>
      <c r="Q31" s="23">
        <f>E31/E38</f>
        <v>2.4991640872566556E-2</v>
      </c>
      <c r="S31" s="1" t="s">
        <v>131</v>
      </c>
      <c r="T31" s="23" t="e">
        <f>H31/H38</f>
        <v>#DIV/0!</v>
      </c>
      <c r="U31" s="25" t="e">
        <f>I31/I38</f>
        <v>#DIV/0!</v>
      </c>
      <c r="V31" s="28" t="e">
        <f>J31/J38</f>
        <v>#DIV/0!</v>
      </c>
      <c r="W31" s="23" t="e">
        <f>K31/K38</f>
        <v>#DIV/0!</v>
      </c>
      <c r="Y31" s="1" t="s">
        <v>131</v>
      </c>
      <c r="Z31" s="86">
        <f t="shared" ref="Z31:Z38" si="69">H31-B31</f>
        <v>0</v>
      </c>
      <c r="AA31" s="73">
        <f t="shared" si="61"/>
        <v>-156.82451877177766</v>
      </c>
      <c r="AB31" s="87">
        <f t="shared" si="62"/>
        <v>-312.5327730611225</v>
      </c>
      <c r="AC31" s="73">
        <f t="shared" si="63"/>
        <v>-469.35729183290016</v>
      </c>
      <c r="AE31" s="1" t="s">
        <v>131</v>
      </c>
      <c r="AF31" s="35" t="e">
        <f t="shared" ref="AF31:AF38" si="70">T31-N31</f>
        <v>#DIV/0!</v>
      </c>
      <c r="AG31" s="32" t="e">
        <f t="shared" si="64"/>
        <v>#DIV/0!</v>
      </c>
      <c r="AH31" s="36" t="e">
        <f t="shared" si="65"/>
        <v>#DIV/0!</v>
      </c>
      <c r="AI31" s="32" t="e">
        <f t="shared" si="66"/>
        <v>#DIV/0!</v>
      </c>
      <c r="AK31" s="1" t="s">
        <v>131</v>
      </c>
      <c r="AL31" s="47">
        <f>constants!K58</f>
        <v>0.34140935900378533</v>
      </c>
      <c r="AM31" s="48" t="e">
        <f t="shared" si="67"/>
        <v>#DIV/0!</v>
      </c>
      <c r="AN31" s="49" t="e">
        <f t="shared" ref="AN31:AN37" si="71">AL31+AM31</f>
        <v>#DIV/0!</v>
      </c>
      <c r="AO31" s="32"/>
      <c r="AP31" s="1" t="s">
        <v>131</v>
      </c>
      <c r="AQ31" s="61">
        <f t="shared" ref="AQ31:AQ37" si="72">N31</f>
        <v>0</v>
      </c>
      <c r="AR31" s="60" t="e">
        <f t="shared" ref="AR31:AR37" si="73">T31</f>
        <v>#DIV/0!</v>
      </c>
      <c r="AS31" s="61">
        <f t="shared" ref="AS31:AS37" si="74">O31</f>
        <v>1.75000129443234E-2</v>
      </c>
      <c r="AT31" s="62" t="e">
        <f t="shared" ref="AT31:AT37" si="75">U31</f>
        <v>#DIV/0!</v>
      </c>
      <c r="AU31" s="60">
        <f t="shared" ref="AU31:AU37" si="76">P31</f>
        <v>3.3730465965409635E-2</v>
      </c>
      <c r="AV31" s="60" t="e">
        <f t="shared" ref="AV31:AV37" si="77">V31</f>
        <v>#DIV/0!</v>
      </c>
      <c r="AW31" s="61">
        <f t="shared" ref="AW31:AW37" si="78">Q31</f>
        <v>2.4991640872566556E-2</v>
      </c>
      <c r="AX31" s="62" t="e">
        <f t="shared" ref="AX31:AX37" si="79">W31</f>
        <v>#DIV/0!</v>
      </c>
    </row>
    <row r="32" spans="1:50" x14ac:dyDescent="0.2">
      <c r="A32" s="1" t="s">
        <v>133</v>
      </c>
      <c r="B32" s="92">
        <f>targets!O66</f>
        <v>0</v>
      </c>
      <c r="C32" s="92">
        <f>targets!P66</f>
        <v>0</v>
      </c>
      <c r="D32" s="92">
        <f>targets!Q66</f>
        <v>134.1050040902484</v>
      </c>
      <c r="E32" s="92">
        <f>SUM(B32:D32)</f>
        <v>134.1050040902484</v>
      </c>
      <c r="G32" s="1" t="s">
        <v>133</v>
      </c>
      <c r="H32" s="9">
        <f t="array" ref="H32">SUM(IF((modeldata!$Q:$Q=$G$28)*(modeldata!$M:$M=$G32),modeldata!N:N,0))</f>
        <v>0</v>
      </c>
      <c r="I32" s="5" cm="1">
        <f t="array" ref="I32">SUM(IF((modeldata!$Q:$Q=$G$28)*(modeldata!$M:$M=$G32),modeldata!O:O,0))</f>
        <v>0</v>
      </c>
      <c r="J32" s="10">
        <f t="array" ref="J32">SUM(IF((modeldata!$Q:$Q=$G$28)*(modeldata!$M:$M=$G32),modeldata!P:P,0))</f>
        <v>0</v>
      </c>
      <c r="K32" s="5">
        <f t="shared" si="68"/>
        <v>0</v>
      </c>
      <c r="M32" s="1" t="s">
        <v>133</v>
      </c>
      <c r="N32" s="23">
        <f>B32/B38</f>
        <v>0</v>
      </c>
      <c r="O32" s="25">
        <f>C32/C38</f>
        <v>0</v>
      </c>
      <c r="P32" s="28">
        <f>D32/D38</f>
        <v>1.447343979945614E-2</v>
      </c>
      <c r="Q32" s="23">
        <f>E32/E38</f>
        <v>7.1406243383361654E-3</v>
      </c>
      <c r="S32" s="1" t="s">
        <v>133</v>
      </c>
      <c r="T32" s="23" t="e">
        <f>H32/H38</f>
        <v>#DIV/0!</v>
      </c>
      <c r="U32" s="25" t="e">
        <f>I32/I38</f>
        <v>#DIV/0!</v>
      </c>
      <c r="V32" s="28" t="e">
        <f>J32/J38</f>
        <v>#DIV/0!</v>
      </c>
      <c r="W32" s="23" t="e">
        <f>K32/K38</f>
        <v>#DIV/0!</v>
      </c>
      <c r="Y32" s="1" t="s">
        <v>133</v>
      </c>
      <c r="Z32" s="86">
        <f t="shared" si="69"/>
        <v>0</v>
      </c>
      <c r="AA32" s="73">
        <f t="shared" si="61"/>
        <v>0</v>
      </c>
      <c r="AB32" s="87">
        <f t="shared" si="62"/>
        <v>-134.1050040902484</v>
      </c>
      <c r="AC32" s="73">
        <f t="shared" si="63"/>
        <v>-134.1050040902484</v>
      </c>
      <c r="AE32" s="1" t="s">
        <v>133</v>
      </c>
      <c r="AF32" s="35" t="e">
        <f t="shared" si="70"/>
        <v>#DIV/0!</v>
      </c>
      <c r="AG32" s="32" t="e">
        <f t="shared" si="64"/>
        <v>#DIV/0!</v>
      </c>
      <c r="AH32" s="36" t="e">
        <f t="shared" si="65"/>
        <v>#DIV/0!</v>
      </c>
      <c r="AI32" s="32" t="e">
        <f t="shared" si="66"/>
        <v>#DIV/0!</v>
      </c>
      <c r="AK32" s="1" t="s">
        <v>133</v>
      </c>
      <c r="AL32" s="47">
        <f>constants!K59</f>
        <v>0.59884295065236937</v>
      </c>
      <c r="AM32" s="48" t="e">
        <f t="shared" si="67"/>
        <v>#DIV/0!</v>
      </c>
      <c r="AN32" s="49" t="e">
        <f t="shared" si="71"/>
        <v>#DIV/0!</v>
      </c>
      <c r="AO32" s="32"/>
      <c r="AP32" s="1" t="s">
        <v>133</v>
      </c>
      <c r="AQ32" s="61">
        <f t="shared" si="72"/>
        <v>0</v>
      </c>
      <c r="AR32" s="60" t="e">
        <f t="shared" si="73"/>
        <v>#DIV/0!</v>
      </c>
      <c r="AS32" s="61">
        <f t="shared" si="74"/>
        <v>0</v>
      </c>
      <c r="AT32" s="62" t="e">
        <f t="shared" si="75"/>
        <v>#DIV/0!</v>
      </c>
      <c r="AU32" s="60">
        <f t="shared" si="76"/>
        <v>1.447343979945614E-2</v>
      </c>
      <c r="AV32" s="60" t="e">
        <f t="shared" si="77"/>
        <v>#DIV/0!</v>
      </c>
      <c r="AW32" s="61">
        <f t="shared" si="78"/>
        <v>7.1406243383361654E-3</v>
      </c>
      <c r="AX32" s="62" t="e">
        <f t="shared" si="79"/>
        <v>#DIV/0!</v>
      </c>
    </row>
    <row r="33" spans="1:50" x14ac:dyDescent="0.2">
      <c r="A33" s="1" t="s">
        <v>129</v>
      </c>
      <c r="B33" s="92">
        <f>targets!O61</f>
        <v>0</v>
      </c>
      <c r="C33" s="92">
        <f>targets!P61</f>
        <v>0</v>
      </c>
      <c r="D33" s="92">
        <f>targets!Q61</f>
        <v>0</v>
      </c>
      <c r="E33" s="92">
        <f>SUM(B33:D33)</f>
        <v>0</v>
      </c>
      <c r="G33" s="1" t="s">
        <v>129</v>
      </c>
      <c r="H33" s="9">
        <f t="array" ref="H33">SUM(IF((modeldata!$Q:$Q=$G$28)*(modeldata!$M:$M=$G33),modeldata!N:N,0))</f>
        <v>0</v>
      </c>
      <c r="I33" s="5">
        <f t="array" ref="I33">SUM(IF((modeldata!$Q:$Q=$G$28)*(modeldata!$M:$M=$G33),modeldata!O:O,0))</f>
        <v>0</v>
      </c>
      <c r="J33" s="10">
        <f t="array" ref="J33">SUM(IF((modeldata!$Q:$Q=$G$28)*(modeldata!$M:$M=$G33),modeldata!P:P,0))</f>
        <v>0</v>
      </c>
      <c r="K33" s="5">
        <f t="shared" si="68"/>
        <v>0</v>
      </c>
      <c r="M33" s="1" t="s">
        <v>129</v>
      </c>
      <c r="N33" s="23">
        <f>B33/B38</f>
        <v>0</v>
      </c>
      <c r="O33" s="25">
        <f>C33/C38</f>
        <v>0</v>
      </c>
      <c r="P33" s="28">
        <f>D33/D38</f>
        <v>0</v>
      </c>
      <c r="Q33" s="23">
        <f>E33/E38</f>
        <v>0</v>
      </c>
      <c r="S33" s="1" t="s">
        <v>129</v>
      </c>
      <c r="T33" s="23" t="e">
        <f>H33/H38</f>
        <v>#DIV/0!</v>
      </c>
      <c r="U33" s="25" t="e">
        <f>I33/I38</f>
        <v>#DIV/0!</v>
      </c>
      <c r="V33" s="28" t="e">
        <f>J33/J38</f>
        <v>#DIV/0!</v>
      </c>
      <c r="W33" s="23" t="e">
        <f>K33/K38</f>
        <v>#DIV/0!</v>
      </c>
      <c r="Y33" s="1" t="s">
        <v>129</v>
      </c>
      <c r="Z33" s="86">
        <f t="shared" si="69"/>
        <v>0</v>
      </c>
      <c r="AA33" s="73">
        <f t="shared" si="61"/>
        <v>0</v>
      </c>
      <c r="AB33" s="87">
        <f t="shared" si="62"/>
        <v>0</v>
      </c>
      <c r="AC33" s="73">
        <f t="shared" si="63"/>
        <v>0</v>
      </c>
      <c r="AE33" s="1" t="s">
        <v>129</v>
      </c>
      <c r="AF33" s="35" t="e">
        <f t="shared" si="70"/>
        <v>#DIV/0!</v>
      </c>
      <c r="AG33" s="32" t="e">
        <f t="shared" si="64"/>
        <v>#DIV/0!</v>
      </c>
      <c r="AH33" s="36" t="e">
        <f t="shared" si="65"/>
        <v>#DIV/0!</v>
      </c>
      <c r="AI33" s="32" t="e">
        <f t="shared" si="66"/>
        <v>#DIV/0!</v>
      </c>
      <c r="AK33" s="1" t="s">
        <v>129</v>
      </c>
      <c r="AL33" s="47">
        <f>constants!G73</f>
        <v>1.841928131608928</v>
      </c>
      <c r="AM33" s="48" t="e">
        <f t="shared" ref="AM33:AM34" si="80">IF(AND(Q33&gt;0, W33&gt;0),sub_university_damp*LN(Q33/W33),0)</f>
        <v>#DIV/0!</v>
      </c>
      <c r="AN33" s="49" t="e">
        <f t="shared" si="71"/>
        <v>#DIV/0!</v>
      </c>
      <c r="AO33" s="32"/>
      <c r="AP33" s="1" t="s">
        <v>129</v>
      </c>
      <c r="AQ33" s="61">
        <f t="shared" si="72"/>
        <v>0</v>
      </c>
      <c r="AR33" s="60" t="e">
        <f t="shared" si="73"/>
        <v>#DIV/0!</v>
      </c>
      <c r="AS33" s="61">
        <f t="shared" si="74"/>
        <v>0</v>
      </c>
      <c r="AT33" s="62" t="e">
        <f t="shared" si="75"/>
        <v>#DIV/0!</v>
      </c>
      <c r="AU33" s="60">
        <f t="shared" si="76"/>
        <v>0</v>
      </c>
      <c r="AV33" s="60" t="e">
        <f t="shared" si="77"/>
        <v>#DIV/0!</v>
      </c>
      <c r="AW33" s="61">
        <f t="shared" si="78"/>
        <v>0</v>
      </c>
      <c r="AX33" s="62" t="e">
        <f t="shared" si="79"/>
        <v>#DIV/0!</v>
      </c>
    </row>
    <row r="34" spans="1:50" x14ac:dyDescent="0.2">
      <c r="A34" s="1" t="s">
        <v>132</v>
      </c>
      <c r="B34" s="92">
        <f>targets!O67</f>
        <v>0</v>
      </c>
      <c r="C34" s="92">
        <f>targets!P67</f>
        <v>0</v>
      </c>
      <c r="D34" s="92">
        <f>targets!Q67</f>
        <v>0</v>
      </c>
      <c r="E34" s="92">
        <f>SUM(B34:D34)</f>
        <v>0</v>
      </c>
      <c r="G34" s="1" t="s">
        <v>132</v>
      </c>
      <c r="H34" s="9" cm="1">
        <f t="array" ref="H34">SUM(IF((modeldata!$Q:$Q=$G$28)*(modeldata!$M:$M=$G34),modeldata!N:N,0))</f>
        <v>0</v>
      </c>
      <c r="I34" s="5" cm="1">
        <f t="array" ref="I34">SUM(IF((modeldata!$Q:$Q=$G$28)*(modeldata!$M:$M=$G34),modeldata!O:O,0))</f>
        <v>0</v>
      </c>
      <c r="J34" s="10">
        <f t="array" ref="J34">SUM(IF((modeldata!$Q:$Q=$G$28)*(modeldata!$M:$M=$G34),modeldata!P:P,0))</f>
        <v>0</v>
      </c>
      <c r="K34" s="5">
        <f t="shared" si="68"/>
        <v>0</v>
      </c>
      <c r="M34" s="1" t="s">
        <v>132</v>
      </c>
      <c r="N34" s="23">
        <f>B34/B38</f>
        <v>0</v>
      </c>
      <c r="O34" s="25">
        <f>C34/C38</f>
        <v>0</v>
      </c>
      <c r="P34" s="28">
        <f>D34/D38</f>
        <v>0</v>
      </c>
      <c r="Q34" s="23">
        <f>E34/E38</f>
        <v>0</v>
      </c>
      <c r="S34" s="1" t="s">
        <v>132</v>
      </c>
      <c r="T34" s="23" t="e">
        <f>H34/H38</f>
        <v>#DIV/0!</v>
      </c>
      <c r="U34" s="25" t="e">
        <f>I34/I38</f>
        <v>#DIV/0!</v>
      </c>
      <c r="V34" s="28" t="e">
        <f>J34/J38</f>
        <v>#DIV/0!</v>
      </c>
      <c r="W34" s="23" t="e">
        <f>K34/K38</f>
        <v>#DIV/0!</v>
      </c>
      <c r="Y34" s="1" t="s">
        <v>132</v>
      </c>
      <c r="Z34" s="86">
        <f t="shared" si="69"/>
        <v>0</v>
      </c>
      <c r="AA34" s="73">
        <f t="shared" si="61"/>
        <v>0</v>
      </c>
      <c r="AB34" s="87">
        <f t="shared" si="62"/>
        <v>0</v>
      </c>
      <c r="AC34" s="73">
        <f t="shared" si="63"/>
        <v>0</v>
      </c>
      <c r="AE34" s="1" t="s">
        <v>132</v>
      </c>
      <c r="AF34" s="35" t="e">
        <f t="shared" si="70"/>
        <v>#DIV/0!</v>
      </c>
      <c r="AG34" s="32" t="e">
        <f t="shared" si="64"/>
        <v>#DIV/0!</v>
      </c>
      <c r="AH34" s="36" t="e">
        <f t="shared" si="65"/>
        <v>#DIV/0!</v>
      </c>
      <c r="AI34" s="32" t="e">
        <f t="shared" si="66"/>
        <v>#DIV/0!</v>
      </c>
      <c r="AK34" s="1" t="s">
        <v>132</v>
      </c>
      <c r="AL34" s="47">
        <f>constants!G74</f>
        <v>1.9729429505048026</v>
      </c>
      <c r="AM34" s="48" t="e">
        <f t="shared" si="80"/>
        <v>#DIV/0!</v>
      </c>
      <c r="AN34" s="49" t="e">
        <f t="shared" si="71"/>
        <v>#DIV/0!</v>
      </c>
      <c r="AO34" s="32"/>
      <c r="AP34" s="1" t="s">
        <v>132</v>
      </c>
      <c r="AQ34" s="61">
        <f t="shared" si="72"/>
        <v>0</v>
      </c>
      <c r="AR34" s="60" t="e">
        <f t="shared" si="73"/>
        <v>#DIV/0!</v>
      </c>
      <c r="AS34" s="61">
        <f t="shared" si="74"/>
        <v>0</v>
      </c>
      <c r="AT34" s="62" t="e">
        <f t="shared" si="75"/>
        <v>#DIV/0!</v>
      </c>
      <c r="AU34" s="60">
        <f t="shared" si="76"/>
        <v>0</v>
      </c>
      <c r="AV34" s="60" t="e">
        <f t="shared" si="77"/>
        <v>#DIV/0!</v>
      </c>
      <c r="AW34" s="61">
        <f t="shared" si="78"/>
        <v>0</v>
      </c>
      <c r="AX34" s="62" t="e">
        <f t="shared" si="79"/>
        <v>#DIV/0!</v>
      </c>
    </row>
    <row r="35" spans="1:50" x14ac:dyDescent="0.2">
      <c r="A35" s="1" t="s">
        <v>123</v>
      </c>
      <c r="B35" s="92">
        <f>targets!O68+targets!O62</f>
        <v>0</v>
      </c>
      <c r="C35" s="92">
        <f>targets!P68+targets!P62</f>
        <v>0</v>
      </c>
      <c r="D35" s="92">
        <f>targets!Q68+targets!Q62</f>
        <v>0</v>
      </c>
      <c r="E35" s="92">
        <f t="shared" ref="E35:E38" si="81">SUM(B35:D35)</f>
        <v>0</v>
      </c>
      <c r="G35" s="1" t="s">
        <v>128</v>
      </c>
      <c r="H35" s="9">
        <f t="array" ref="H35">SUM(IF((modeldata!$Q:$Q=$G$28)*(modeldata!$M:$M=$G35),modeldata!N:N,0))</f>
        <v>0</v>
      </c>
      <c r="I35" s="5">
        <f t="array" ref="I35">SUM(IF((modeldata!$Q:$Q=$G$28)*(modeldata!$M:$M=$G35),modeldata!O:O,0))</f>
        <v>0</v>
      </c>
      <c r="J35" s="10">
        <f t="array" ref="J35">SUM(IF((modeldata!$Q:$Q=$G$28)*(modeldata!$M:$M=$G35),modeldata!P:P,0))</f>
        <v>0</v>
      </c>
      <c r="K35" s="5">
        <f t="shared" si="68"/>
        <v>0</v>
      </c>
      <c r="M35" s="1" t="s">
        <v>123</v>
      </c>
      <c r="N35" s="23">
        <f>B35/B38</f>
        <v>0</v>
      </c>
      <c r="O35" s="25">
        <f>C35/C38</f>
        <v>0</v>
      </c>
      <c r="P35" s="28">
        <f>D35/D38</f>
        <v>0</v>
      </c>
      <c r="Q35" s="23">
        <f>E35/E38</f>
        <v>0</v>
      </c>
      <c r="S35" s="1" t="s">
        <v>123</v>
      </c>
      <c r="T35" s="23" t="e">
        <f>H35/H38</f>
        <v>#DIV/0!</v>
      </c>
      <c r="U35" s="25" t="e">
        <f>I35/I38</f>
        <v>#DIV/0!</v>
      </c>
      <c r="V35" s="28" t="e">
        <f>J35/J38</f>
        <v>#DIV/0!</v>
      </c>
      <c r="W35" s="23" t="e">
        <f>K35/K38</f>
        <v>#DIV/0!</v>
      </c>
      <c r="Y35" s="1" t="s">
        <v>123</v>
      </c>
      <c r="Z35" s="86">
        <f t="shared" si="69"/>
        <v>0</v>
      </c>
      <c r="AA35" s="73">
        <f t="shared" si="61"/>
        <v>0</v>
      </c>
      <c r="AB35" s="87">
        <f t="shared" si="62"/>
        <v>0</v>
      </c>
      <c r="AC35" s="73">
        <f t="shared" si="63"/>
        <v>0</v>
      </c>
      <c r="AE35" s="1" t="s">
        <v>123</v>
      </c>
      <c r="AF35" s="35" t="e">
        <f t="shared" si="70"/>
        <v>#DIV/0!</v>
      </c>
      <c r="AG35" s="32" t="e">
        <f t="shared" si="64"/>
        <v>#DIV/0!</v>
      </c>
      <c r="AH35" s="36" t="e">
        <f t="shared" si="65"/>
        <v>#DIV/0!</v>
      </c>
      <c r="AI35" s="32" t="e">
        <f t="shared" si="66"/>
        <v>#DIV/0!</v>
      </c>
      <c r="AK35" s="1" t="s">
        <v>123</v>
      </c>
      <c r="AL35" s="47">
        <f>constants!K62</f>
        <v>0.79278714218752167</v>
      </c>
      <c r="AM35" s="48" t="e">
        <f t="shared" si="67"/>
        <v>#DIV/0!</v>
      </c>
      <c r="AN35" s="49" t="e">
        <f t="shared" si="71"/>
        <v>#DIV/0!</v>
      </c>
      <c r="AO35" s="32"/>
      <c r="AP35" s="1" t="s">
        <v>123</v>
      </c>
      <c r="AQ35" s="61">
        <f t="shared" si="72"/>
        <v>0</v>
      </c>
      <c r="AR35" s="60" t="e">
        <f t="shared" si="73"/>
        <v>#DIV/0!</v>
      </c>
      <c r="AS35" s="61">
        <f t="shared" si="74"/>
        <v>0</v>
      </c>
      <c r="AT35" s="62" t="e">
        <f t="shared" si="75"/>
        <v>#DIV/0!</v>
      </c>
      <c r="AU35" s="60">
        <f t="shared" si="76"/>
        <v>0</v>
      </c>
      <c r="AV35" s="60" t="e">
        <f t="shared" si="77"/>
        <v>#DIV/0!</v>
      </c>
      <c r="AW35" s="61">
        <f t="shared" si="78"/>
        <v>0</v>
      </c>
      <c r="AX35" s="62" t="e">
        <f t="shared" si="79"/>
        <v>#DIV/0!</v>
      </c>
    </row>
    <row r="36" spans="1:50" x14ac:dyDescent="0.2">
      <c r="A36" s="1" t="s">
        <v>124</v>
      </c>
      <c r="B36" s="92">
        <f>targets!O63+targets!O69</f>
        <v>107.57076930231574</v>
      </c>
      <c r="C36" s="92">
        <f>targets!P63+targets!P69</f>
        <v>0</v>
      </c>
      <c r="D36" s="92">
        <f>targets!Q63+targets!Q69</f>
        <v>2032.77593729674</v>
      </c>
      <c r="E36" s="92">
        <f t="shared" si="81"/>
        <v>2140.3467065990558</v>
      </c>
      <c r="G36" s="1" t="s">
        <v>130</v>
      </c>
      <c r="H36" s="9">
        <f t="array" ref="H36">SUM(IF((modeldata!$Q:$Q=$G$28)*(modeldata!$M:$M=$G36),modeldata!N:N,0))</f>
        <v>0</v>
      </c>
      <c r="I36" s="5">
        <f t="array" ref="I36">SUM(IF((modeldata!$Q:$Q=$G$28)*(modeldata!$M:$M=$G36),modeldata!O:O,0))</f>
        <v>0</v>
      </c>
      <c r="J36" s="10">
        <f t="array" ref="J36">SUM(IF((modeldata!$Q:$Q=$G$28)*(modeldata!$M:$M=$G36),modeldata!P:P,0))</f>
        <v>0</v>
      </c>
      <c r="K36" s="5">
        <f t="shared" si="68"/>
        <v>0</v>
      </c>
      <c r="M36" s="1" t="s">
        <v>124</v>
      </c>
      <c r="N36" s="23">
        <f>B36/B38</f>
        <v>0.19431708696075009</v>
      </c>
      <c r="O36" s="25">
        <f>C36/C38</f>
        <v>0</v>
      </c>
      <c r="P36" s="28">
        <f>D36/D38</f>
        <v>0.21938972638521245</v>
      </c>
      <c r="Q36" s="23">
        <f>E36/E38</f>
        <v>0.11396600663263561</v>
      </c>
      <c r="S36" s="1" t="s">
        <v>124</v>
      </c>
      <c r="T36" s="23" t="e">
        <f>H36/H38</f>
        <v>#DIV/0!</v>
      </c>
      <c r="U36" s="25" t="e">
        <f>I36/I38</f>
        <v>#DIV/0!</v>
      </c>
      <c r="V36" s="28" t="e">
        <f>J36/J38</f>
        <v>#DIV/0!</v>
      </c>
      <c r="W36" s="23" t="e">
        <f>K36/K38</f>
        <v>#DIV/0!</v>
      </c>
      <c r="Y36" s="1" t="s">
        <v>124</v>
      </c>
      <c r="Z36" s="86">
        <f t="shared" si="69"/>
        <v>-107.57076930231574</v>
      </c>
      <c r="AA36" s="73">
        <f t="shared" si="61"/>
        <v>0</v>
      </c>
      <c r="AB36" s="87">
        <f t="shared" si="62"/>
        <v>-2032.77593729674</v>
      </c>
      <c r="AC36" s="73">
        <f t="shared" si="63"/>
        <v>-2140.3467065990558</v>
      </c>
      <c r="AE36" s="1" t="s">
        <v>124</v>
      </c>
      <c r="AF36" s="35" t="e">
        <f t="shared" si="70"/>
        <v>#DIV/0!</v>
      </c>
      <c r="AG36" s="32" t="e">
        <f t="shared" si="64"/>
        <v>#DIV/0!</v>
      </c>
      <c r="AH36" s="36" t="e">
        <f t="shared" si="65"/>
        <v>#DIV/0!</v>
      </c>
      <c r="AI36" s="32" t="e">
        <f t="shared" si="66"/>
        <v>#DIV/0!</v>
      </c>
      <c r="AK36" s="1" t="s">
        <v>124</v>
      </c>
      <c r="AL36" s="47">
        <f>constants!K63</f>
        <v>0.92762926719234562</v>
      </c>
      <c r="AM36" s="48" t="e">
        <f t="shared" si="67"/>
        <v>#DIV/0!</v>
      </c>
      <c r="AN36" s="49" t="e">
        <f t="shared" si="71"/>
        <v>#DIV/0!</v>
      </c>
      <c r="AO36" s="32"/>
      <c r="AP36" s="1" t="s">
        <v>124</v>
      </c>
      <c r="AQ36" s="61">
        <f t="shared" si="72"/>
        <v>0.19431708696075009</v>
      </c>
      <c r="AR36" s="60" t="e">
        <f t="shared" si="73"/>
        <v>#DIV/0!</v>
      </c>
      <c r="AS36" s="61">
        <f t="shared" si="74"/>
        <v>0</v>
      </c>
      <c r="AT36" s="62" t="e">
        <f t="shared" si="75"/>
        <v>#DIV/0!</v>
      </c>
      <c r="AU36" s="60">
        <f t="shared" si="76"/>
        <v>0.21938972638521245</v>
      </c>
      <c r="AV36" s="60" t="e">
        <f t="shared" si="77"/>
        <v>#DIV/0!</v>
      </c>
      <c r="AW36" s="61">
        <f t="shared" si="78"/>
        <v>0.11396600663263561</v>
      </c>
      <c r="AX36" s="62" t="e">
        <f t="shared" si="79"/>
        <v>#DIV/0!</v>
      </c>
    </row>
    <row r="37" spans="1:50" x14ac:dyDescent="0.2">
      <c r="A37" s="1" t="s">
        <v>125</v>
      </c>
      <c r="B37" s="92">
        <f>targets!O64+targets!O70</f>
        <v>0</v>
      </c>
      <c r="C37" s="92">
        <f>targets!P64+targets!P70</f>
        <v>0</v>
      </c>
      <c r="D37" s="92">
        <f>targets!Q64+targets!Q70</f>
        <v>157.48780682457382</v>
      </c>
      <c r="E37" s="92">
        <f t="shared" si="81"/>
        <v>157.48780682457382</v>
      </c>
      <c r="G37" s="1" t="s">
        <v>127</v>
      </c>
      <c r="H37" s="11">
        <f t="array" ref="H37">SUM(IF((modeldata!$Q:$Q=$G$28)*(modeldata!$M:$M=$G37),modeldata!N:N,0))</f>
        <v>0</v>
      </c>
      <c r="I37" s="12">
        <f t="array" ref="I37">SUM(IF((modeldata!$Q:$Q=$G$28)*(modeldata!$M:$M=$G37),modeldata!O:O,0))</f>
        <v>0</v>
      </c>
      <c r="J37" s="13">
        <f t="array" ref="J37">SUM(IF((modeldata!$Q:$Q=$G$28)*(modeldata!$M:$M=$G37),modeldata!P:P,0))</f>
        <v>0</v>
      </c>
      <c r="K37" s="5">
        <f t="shared" si="68"/>
        <v>0</v>
      </c>
      <c r="M37" s="1" t="s">
        <v>125</v>
      </c>
      <c r="N37" s="24">
        <f>B37/B38</f>
        <v>0</v>
      </c>
      <c r="O37" s="29">
        <f>C37/C38</f>
        <v>0</v>
      </c>
      <c r="P37" s="30">
        <f>D37/D38</f>
        <v>1.699705620000496E-2</v>
      </c>
      <c r="Q37" s="23">
        <f>E37/E38</f>
        <v>8.3856771343591499E-3</v>
      </c>
      <c r="S37" s="1" t="s">
        <v>125</v>
      </c>
      <c r="T37" s="24" t="e">
        <f>H37/H38</f>
        <v>#DIV/0!</v>
      </c>
      <c r="U37" s="29" t="e">
        <f>I37/I38</f>
        <v>#DIV/0!</v>
      </c>
      <c r="V37" s="30" t="e">
        <f>J37/J38</f>
        <v>#DIV/0!</v>
      </c>
      <c r="W37" s="23" t="e">
        <f>K37/K38</f>
        <v>#DIV/0!</v>
      </c>
      <c r="Y37" s="1" t="s">
        <v>125</v>
      </c>
      <c r="Z37" s="88">
        <f t="shared" si="69"/>
        <v>0</v>
      </c>
      <c r="AA37" s="72">
        <f t="shared" si="61"/>
        <v>0</v>
      </c>
      <c r="AB37" s="89">
        <f t="shared" si="62"/>
        <v>-157.48780682457382</v>
      </c>
      <c r="AC37" s="73">
        <f t="shared" si="63"/>
        <v>-157.48780682457382</v>
      </c>
      <c r="AE37" s="1" t="s">
        <v>125</v>
      </c>
      <c r="AF37" s="37" t="e">
        <f t="shared" si="70"/>
        <v>#DIV/0!</v>
      </c>
      <c r="AG37" s="38" t="e">
        <f t="shared" si="64"/>
        <v>#DIV/0!</v>
      </c>
      <c r="AH37" s="39" t="e">
        <f t="shared" si="65"/>
        <v>#DIV/0!</v>
      </c>
      <c r="AI37" s="32" t="e">
        <f t="shared" si="66"/>
        <v>#DIV/0!</v>
      </c>
      <c r="AK37" s="1" t="s">
        <v>125</v>
      </c>
      <c r="AL37" s="50">
        <f>constants!K64</f>
        <v>2.3103733917387013</v>
      </c>
      <c r="AM37" s="51" t="e">
        <f t="shared" si="67"/>
        <v>#DIV/0!</v>
      </c>
      <c r="AN37" s="52" t="e">
        <f t="shared" si="71"/>
        <v>#DIV/0!</v>
      </c>
      <c r="AO37" s="32"/>
      <c r="AP37" s="1" t="s">
        <v>125</v>
      </c>
      <c r="AQ37" s="63">
        <f t="shared" si="72"/>
        <v>0</v>
      </c>
      <c r="AR37" s="64" t="e">
        <f t="shared" si="73"/>
        <v>#DIV/0!</v>
      </c>
      <c r="AS37" s="63">
        <f t="shared" si="74"/>
        <v>0</v>
      </c>
      <c r="AT37" s="65" t="e">
        <f t="shared" si="75"/>
        <v>#DIV/0!</v>
      </c>
      <c r="AU37" s="64">
        <f t="shared" si="76"/>
        <v>1.699705620000496E-2</v>
      </c>
      <c r="AV37" s="64" t="e">
        <f t="shared" si="77"/>
        <v>#DIV/0!</v>
      </c>
      <c r="AW37" s="63">
        <f t="shared" si="78"/>
        <v>8.3856771343591499E-3</v>
      </c>
      <c r="AX37" s="65" t="e">
        <f t="shared" si="79"/>
        <v>#DIV/0!</v>
      </c>
    </row>
    <row r="38" spans="1:50" x14ac:dyDescent="0.2">
      <c r="A38" s="1" t="s">
        <v>1</v>
      </c>
      <c r="B38" s="92">
        <f>SUM(B30:B37)</f>
        <v>553.58368625628816</v>
      </c>
      <c r="C38" s="92">
        <f>SUM(C30:C37)</f>
        <v>8961.3944441479925</v>
      </c>
      <c r="D38" s="92">
        <f>SUM(D30:D37)</f>
        <v>9265.5931104427291</v>
      </c>
      <c r="E38" s="92">
        <f t="shared" si="81"/>
        <v>18780.57124084701</v>
      </c>
      <c r="G38" s="1" t="s">
        <v>1</v>
      </c>
      <c r="H38" s="5">
        <f>SUM(H30:H37)</f>
        <v>0</v>
      </c>
      <c r="I38" s="5">
        <f>SUM(I30:I37)</f>
        <v>0</v>
      </c>
      <c r="J38" s="5">
        <f>SUM(J30:J37)</f>
        <v>0</v>
      </c>
      <c r="K38" s="5">
        <f t="shared" si="68"/>
        <v>0</v>
      </c>
      <c r="M38" s="1" t="s">
        <v>1</v>
      </c>
      <c r="N38" s="25">
        <f>SUM(N30:N37)</f>
        <v>1</v>
      </c>
      <c r="O38" s="25">
        <f>SUM(O30:O37)</f>
        <v>0.99999999999999989</v>
      </c>
      <c r="P38" s="25">
        <f>SUM(P30:P37)</f>
        <v>0.99999999999999989</v>
      </c>
      <c r="Q38" s="25">
        <f>SUM(Q30:Q37)</f>
        <v>0.99999999999999989</v>
      </c>
      <c r="S38" s="1" t="s">
        <v>1</v>
      </c>
      <c r="T38" s="25" t="e">
        <f>SUM(T30:T37)</f>
        <v>#DIV/0!</v>
      </c>
      <c r="U38" s="25" t="e">
        <f>SUM(U30:U37)</f>
        <v>#DIV/0!</v>
      </c>
      <c r="V38" s="25" t="e">
        <f>SUM(V30:V37)</f>
        <v>#DIV/0!</v>
      </c>
      <c r="W38" s="25" t="e">
        <f>SUM(W30:W37)</f>
        <v>#DIV/0!</v>
      </c>
      <c r="Y38" s="1" t="s">
        <v>1</v>
      </c>
      <c r="Z38" s="73">
        <f t="shared" si="69"/>
        <v>-553.58368625628816</v>
      </c>
      <c r="AA38" s="73">
        <f t="shared" si="61"/>
        <v>-8961.3944441479925</v>
      </c>
      <c r="AB38" s="73">
        <f t="shared" si="62"/>
        <v>-9265.5931104427291</v>
      </c>
      <c r="AC38" s="73">
        <f t="shared" si="63"/>
        <v>-18780.57124084701</v>
      </c>
      <c r="AE38" s="1" t="s">
        <v>1</v>
      </c>
      <c r="AF38" s="32" t="e">
        <f t="shared" si="70"/>
        <v>#DIV/0!</v>
      </c>
      <c r="AG38" s="32" t="e">
        <f t="shared" si="64"/>
        <v>#DIV/0!</v>
      </c>
      <c r="AH38" s="32" t="e">
        <f t="shared" si="65"/>
        <v>#DIV/0!</v>
      </c>
      <c r="AI38" s="32" t="e">
        <f t="shared" si="66"/>
        <v>#DIV/0!</v>
      </c>
      <c r="AL38" s="32"/>
      <c r="AM38" s="32"/>
      <c r="AN38" s="32"/>
      <c r="AO38" s="32"/>
      <c r="AP38" s="1" t="s">
        <v>1</v>
      </c>
      <c r="AQ38" s="60">
        <f t="shared" ref="AQ38:AX38" si="82">SUM(AQ30:AQ37)</f>
        <v>1</v>
      </c>
      <c r="AR38" s="60" t="e">
        <f t="shared" si="82"/>
        <v>#DIV/0!</v>
      </c>
      <c r="AS38" s="60">
        <f t="shared" si="82"/>
        <v>0.99999999999999989</v>
      </c>
      <c r="AT38" s="60" t="e">
        <f t="shared" si="82"/>
        <v>#DIV/0!</v>
      </c>
      <c r="AU38" s="60">
        <f t="shared" si="82"/>
        <v>0.99999999999999989</v>
      </c>
      <c r="AV38" s="60" t="e">
        <f t="shared" si="82"/>
        <v>#DIV/0!</v>
      </c>
      <c r="AW38" s="60">
        <f t="shared" si="82"/>
        <v>0.99999999999999989</v>
      </c>
      <c r="AX38" s="60" t="e">
        <f t="shared" si="82"/>
        <v>#DIV/0!</v>
      </c>
    </row>
    <row r="41" spans="1:50" s="16" customFormat="1" x14ac:dyDescent="0.2">
      <c r="A41" s="15" t="s">
        <v>41</v>
      </c>
      <c r="G41" s="15" t="s">
        <v>41</v>
      </c>
      <c r="M41" s="15" t="s">
        <v>41</v>
      </c>
      <c r="S41" s="15" t="s">
        <v>41</v>
      </c>
      <c r="Y41" s="15" t="s">
        <v>41</v>
      </c>
      <c r="AE41" s="15" t="s">
        <v>41</v>
      </c>
      <c r="AK41" s="15" t="s">
        <v>41</v>
      </c>
      <c r="AP41" s="15" t="s">
        <v>41</v>
      </c>
      <c r="AQ41" s="216" t="s">
        <v>139</v>
      </c>
      <c r="AR41" s="217" t="s">
        <v>140</v>
      </c>
      <c r="AS41" s="217" t="s">
        <v>139</v>
      </c>
      <c r="AT41" s="217" t="s">
        <v>140</v>
      </c>
      <c r="AU41" s="217" t="s">
        <v>139</v>
      </c>
      <c r="AV41" s="217" t="s">
        <v>140</v>
      </c>
      <c r="AW41" s="217" t="s">
        <v>139</v>
      </c>
      <c r="AX41" s="217" t="s">
        <v>140</v>
      </c>
    </row>
    <row r="42" spans="1:50" ht="25.5" x14ac:dyDescent="0.2">
      <c r="B42" s="14" t="s">
        <v>38</v>
      </c>
      <c r="C42" s="14" t="s">
        <v>37</v>
      </c>
      <c r="D42" s="14" t="s">
        <v>0</v>
      </c>
      <c r="E42" s="17" t="s">
        <v>1</v>
      </c>
      <c r="H42" s="14" t="s">
        <v>38</v>
      </c>
      <c r="I42" s="14" t="s">
        <v>37</v>
      </c>
      <c r="J42" s="14" t="s">
        <v>0</v>
      </c>
      <c r="K42" s="17" t="s">
        <v>1</v>
      </c>
      <c r="N42" s="14" t="s">
        <v>38</v>
      </c>
      <c r="O42" s="14" t="s">
        <v>37</v>
      </c>
      <c r="P42" s="14" t="s">
        <v>0</v>
      </c>
      <c r="Q42" s="17" t="s">
        <v>1</v>
      </c>
      <c r="T42" s="14" t="s">
        <v>38</v>
      </c>
      <c r="U42" s="14" t="s">
        <v>37</v>
      </c>
      <c r="V42" s="14" t="s">
        <v>0</v>
      </c>
      <c r="W42" s="17" t="s">
        <v>1</v>
      </c>
      <c r="Z42" s="14" t="s">
        <v>38</v>
      </c>
      <c r="AA42" s="14" t="s">
        <v>37</v>
      </c>
      <c r="AB42" s="14" t="s">
        <v>0</v>
      </c>
      <c r="AC42" s="17" t="s">
        <v>1</v>
      </c>
      <c r="AF42" s="14" t="s">
        <v>38</v>
      </c>
      <c r="AG42" s="14" t="s">
        <v>37</v>
      </c>
      <c r="AH42" s="14" t="s">
        <v>0</v>
      </c>
      <c r="AI42" s="17" t="s">
        <v>1</v>
      </c>
      <c r="AK42" s="53">
        <v>0</v>
      </c>
      <c r="AL42" s="14"/>
      <c r="AM42" s="14"/>
      <c r="AN42" s="14"/>
      <c r="AO42" s="17"/>
      <c r="AQ42" s="218" t="s">
        <v>142</v>
      </c>
      <c r="AR42" s="218" t="s">
        <v>142</v>
      </c>
      <c r="AS42" s="218" t="s">
        <v>143</v>
      </c>
      <c r="AT42" s="218" t="s">
        <v>143</v>
      </c>
      <c r="AU42" s="218" t="s">
        <v>144</v>
      </c>
      <c r="AV42" s="218" t="s">
        <v>145</v>
      </c>
      <c r="AW42" s="219" t="s">
        <v>141</v>
      </c>
      <c r="AX42" s="219" t="s">
        <v>141</v>
      </c>
    </row>
    <row r="43" spans="1:50" x14ac:dyDescent="0.2">
      <c r="A43" s="1" t="s">
        <v>122</v>
      </c>
      <c r="B43" s="92">
        <f>targets!O83+targets!O89</f>
        <v>31575.77040388398</v>
      </c>
      <c r="C43" s="92">
        <f>targets!P83+targets!P89</f>
        <v>4969.6986588953969</v>
      </c>
      <c r="D43" s="92">
        <f>targets!Q83+targets!Q89</f>
        <v>40584.645104503586</v>
      </c>
      <c r="E43" s="92">
        <f>targets!L83+targets!L89</f>
        <v>77130.114167282954</v>
      </c>
      <c r="G43" s="1" t="s">
        <v>122</v>
      </c>
      <c r="H43" s="6">
        <f t="array" ref="H43">SUM(IF((modeldata!$Q:$Q=$G$41)*(modeldata!$M:$M=$G43),modeldata!N:N,0))</f>
        <v>0</v>
      </c>
      <c r="I43" s="7">
        <f t="array" ref="I43">SUM(IF((modeldata!$Q:$Q=$G$41)*(modeldata!$M:$M=$G43),modeldata!O:O,0))</f>
        <v>0</v>
      </c>
      <c r="J43" s="8">
        <f t="array" ref="J43">SUM(IF((modeldata!$Q:$Q=$G$41)*(modeldata!$M:$M=$G43),modeldata!P:P,0))</f>
        <v>0</v>
      </c>
      <c r="K43" s="5">
        <f>SUM(H43:J43)</f>
        <v>0</v>
      </c>
      <c r="M43" s="1" t="s">
        <v>122</v>
      </c>
      <c r="N43" s="22">
        <f>B43/B51</f>
        <v>0.74916761740066151</v>
      </c>
      <c r="O43" s="26">
        <f>C43/C51</f>
        <v>0.58241654282096544</v>
      </c>
      <c r="P43" s="27">
        <f>D43/D51</f>
        <v>0.71440265827194038</v>
      </c>
      <c r="Q43" s="23">
        <f>E43/E51</f>
        <v>0.71755684450763269</v>
      </c>
      <c r="S43" s="1" t="s">
        <v>122</v>
      </c>
      <c r="T43" s="22" t="e">
        <f>H43/H51</f>
        <v>#DIV/0!</v>
      </c>
      <c r="U43" s="26" t="e">
        <f>I43/I51</f>
        <v>#DIV/0!</v>
      </c>
      <c r="V43" s="27" t="e">
        <f>J43/J51</f>
        <v>#DIV/0!</v>
      </c>
      <c r="W43" s="23" t="e">
        <f>K43/K51</f>
        <v>#DIV/0!</v>
      </c>
      <c r="Y43" s="1" t="s">
        <v>122</v>
      </c>
      <c r="Z43" s="83">
        <f>H43-B43</f>
        <v>-31575.77040388398</v>
      </c>
      <c r="AA43" s="84">
        <f t="shared" ref="AA43:AA51" si="83">I43-C43</f>
        <v>-4969.6986588953969</v>
      </c>
      <c r="AB43" s="85">
        <f t="shared" ref="AB43:AB51" si="84">J43-D43</f>
        <v>-40584.645104503586</v>
      </c>
      <c r="AC43" s="73">
        <f t="shared" ref="AC43:AC51" si="85">K43-E43</f>
        <v>-77130.114167282954</v>
      </c>
      <c r="AE43" s="1" t="s">
        <v>122</v>
      </c>
      <c r="AF43" s="31" t="e">
        <f>T43-N43</f>
        <v>#DIV/0!</v>
      </c>
      <c r="AG43" s="33" t="e">
        <f t="shared" ref="AG43:AG51" si="86">U43-O43</f>
        <v>#DIV/0!</v>
      </c>
      <c r="AH43" s="34" t="e">
        <f t="shared" ref="AH43:AH51" si="87">V43-P43</f>
        <v>#DIV/0!</v>
      </c>
      <c r="AI43" s="32" t="e">
        <f t="shared" ref="AI43:AI51" si="88">W43-Q43</f>
        <v>#DIV/0!</v>
      </c>
      <c r="AK43" s="1" t="s">
        <v>122</v>
      </c>
      <c r="AL43" s="44">
        <f>constants!O57</f>
        <v>0.18003902175868816</v>
      </c>
      <c r="AM43" s="45" t="e">
        <f t="shared" ref="AM43:AM50" si="89">IF(AND(Q43&gt;0, W43&gt;0),sub_indivmaint_damp*LN(Q43/W43),0)</f>
        <v>#DIV/0!</v>
      </c>
      <c r="AN43" s="46" t="e">
        <f>AL43+AM43</f>
        <v>#DIV/0!</v>
      </c>
      <c r="AO43" s="32"/>
      <c r="AP43" s="1" t="s">
        <v>122</v>
      </c>
      <c r="AQ43" s="57">
        <f>N43</f>
        <v>0.74916761740066151</v>
      </c>
      <c r="AR43" s="58" t="e">
        <f>T43</f>
        <v>#DIV/0!</v>
      </c>
      <c r="AS43" s="57">
        <f>O43</f>
        <v>0.58241654282096544</v>
      </c>
      <c r="AT43" s="59" t="e">
        <f>U43</f>
        <v>#DIV/0!</v>
      </c>
      <c r="AU43" s="58">
        <f>P43</f>
        <v>0.71440265827194038</v>
      </c>
      <c r="AV43" s="58" t="e">
        <f>V43</f>
        <v>#DIV/0!</v>
      </c>
      <c r="AW43" s="57">
        <f>Q43</f>
        <v>0.71755684450763269</v>
      </c>
      <c r="AX43" s="59" t="e">
        <f>W43</f>
        <v>#DIV/0!</v>
      </c>
    </row>
    <row r="44" spans="1:50" x14ac:dyDescent="0.2">
      <c r="A44" s="1" t="s">
        <v>131</v>
      </c>
      <c r="B44" s="92">
        <f>targets!O84</f>
        <v>8114.7764690394615</v>
      </c>
      <c r="C44" s="92">
        <f>targets!P84</f>
        <v>1442.721424370015</v>
      </c>
      <c r="D44" s="92">
        <f>targets!Q84</f>
        <v>1991.2229217600511</v>
      </c>
      <c r="E44" s="92">
        <f>targets!L84</f>
        <v>11548.720815169527</v>
      </c>
      <c r="G44" s="1" t="s">
        <v>131</v>
      </c>
      <c r="H44" s="9">
        <f t="array" ref="H44">SUM(IF((modeldata!$Q:$Q=$G$41)*(modeldata!$M:$M=$G44),modeldata!N:N,0))</f>
        <v>0</v>
      </c>
      <c r="I44" s="5">
        <f t="array" ref="I44">SUM(IF((modeldata!$Q:$Q=$G$41)*(modeldata!$M:$M=$G44),modeldata!O:O,0))</f>
        <v>0</v>
      </c>
      <c r="J44" s="10">
        <f t="array" ref="J44">SUM(IF((modeldata!$Q:$Q=$G$41)*(modeldata!$M:$M=$G44),modeldata!P:P,0))</f>
        <v>0</v>
      </c>
      <c r="K44" s="5">
        <f t="shared" ref="K44:K51" si="90">SUM(H44:J44)</f>
        <v>0</v>
      </c>
      <c r="M44" s="1" t="s">
        <v>131</v>
      </c>
      <c r="N44" s="23">
        <f>B44/B51</f>
        <v>0.19253141492001277</v>
      </c>
      <c r="O44" s="25">
        <f>C44/C51</f>
        <v>0.16907762057792189</v>
      </c>
      <c r="P44" s="28">
        <f>D44/D51</f>
        <v>3.5051062904564986E-2</v>
      </c>
      <c r="Q44" s="23">
        <f>E44/E51</f>
        <v>0.10744005445473309</v>
      </c>
      <c r="S44" s="1" t="s">
        <v>131</v>
      </c>
      <c r="T44" s="23" t="e">
        <f>H44/H51</f>
        <v>#DIV/0!</v>
      </c>
      <c r="U44" s="25" t="e">
        <f>I44/I51</f>
        <v>#DIV/0!</v>
      </c>
      <c r="V44" s="28" t="e">
        <f>J44/J51</f>
        <v>#DIV/0!</v>
      </c>
      <c r="W44" s="23" t="e">
        <f>K44/K51</f>
        <v>#DIV/0!</v>
      </c>
      <c r="Y44" s="1" t="s">
        <v>131</v>
      </c>
      <c r="Z44" s="86">
        <f t="shared" ref="Z44:Z51" si="91">H44-B44</f>
        <v>-8114.7764690394615</v>
      </c>
      <c r="AA44" s="73">
        <f t="shared" si="83"/>
        <v>-1442.721424370015</v>
      </c>
      <c r="AB44" s="87">
        <f t="shared" si="84"/>
        <v>-1991.2229217600511</v>
      </c>
      <c r="AC44" s="73">
        <f t="shared" si="85"/>
        <v>-11548.720815169527</v>
      </c>
      <c r="AE44" s="1" t="s">
        <v>131</v>
      </c>
      <c r="AF44" s="35" t="e">
        <f t="shared" ref="AF44:AF51" si="92">T44-N44</f>
        <v>#DIV/0!</v>
      </c>
      <c r="AG44" s="32" t="e">
        <f t="shared" si="86"/>
        <v>#DIV/0!</v>
      </c>
      <c r="AH44" s="36" t="e">
        <f t="shared" si="87"/>
        <v>#DIV/0!</v>
      </c>
      <c r="AI44" s="32" t="e">
        <f t="shared" si="88"/>
        <v>#DIV/0!</v>
      </c>
      <c r="AK44" s="1" t="s">
        <v>131</v>
      </c>
      <c r="AL44" s="47">
        <f>constants!O58</f>
        <v>0.80117072032916292</v>
      </c>
      <c r="AM44" s="48" t="e">
        <f t="shared" si="89"/>
        <v>#DIV/0!</v>
      </c>
      <c r="AN44" s="49" t="e">
        <f t="shared" ref="AN44:AN50" si="93">AL44+AM44</f>
        <v>#DIV/0!</v>
      </c>
      <c r="AO44" s="32"/>
      <c r="AP44" s="1" t="s">
        <v>131</v>
      </c>
      <c r="AQ44" s="61">
        <f t="shared" ref="AQ44:AQ50" si="94">N44</f>
        <v>0.19253141492001277</v>
      </c>
      <c r="AR44" s="60" t="e">
        <f t="shared" ref="AR44:AR50" si="95">T44</f>
        <v>#DIV/0!</v>
      </c>
      <c r="AS44" s="61">
        <f t="shared" ref="AS44:AS50" si="96">O44</f>
        <v>0.16907762057792189</v>
      </c>
      <c r="AT44" s="62" t="e">
        <f t="shared" ref="AT44:AT50" si="97">U44</f>
        <v>#DIV/0!</v>
      </c>
      <c r="AU44" s="60">
        <f t="shared" ref="AU44:AU50" si="98">P44</f>
        <v>3.5051062904564986E-2</v>
      </c>
      <c r="AV44" s="60" t="e">
        <f t="shared" ref="AV44:AV50" si="99">V44</f>
        <v>#DIV/0!</v>
      </c>
      <c r="AW44" s="61">
        <f t="shared" ref="AW44:AW50" si="100">Q44</f>
        <v>0.10744005445473309</v>
      </c>
      <c r="AX44" s="62" t="e">
        <f t="shared" ref="AX44:AX50" si="101">W44</f>
        <v>#DIV/0!</v>
      </c>
    </row>
    <row r="45" spans="1:50" x14ac:dyDescent="0.2">
      <c r="A45" s="1" t="s">
        <v>133</v>
      </c>
      <c r="B45" s="92">
        <f>targets!O90</f>
        <v>0</v>
      </c>
      <c r="C45" s="92">
        <f>targets!P90</f>
        <v>150.19429924986838</v>
      </c>
      <c r="D45" s="92">
        <f>targets!Q90</f>
        <v>106.42834773318508</v>
      </c>
      <c r="E45" s="92">
        <f>targets!L90</f>
        <v>256.62264698305347</v>
      </c>
      <c r="G45" s="1" t="s">
        <v>133</v>
      </c>
      <c r="H45" s="9">
        <f t="array" ref="H45">SUM(IF((modeldata!$Q:$Q=$G$41)*(modeldata!$M:$M=$G45),modeldata!N:N,0))</f>
        <v>0</v>
      </c>
      <c r="I45" s="5">
        <f t="array" ref="I45">SUM(IF((modeldata!$Q:$Q=$G$41)*(modeldata!$M:$M=$G45),modeldata!O:O,0))</f>
        <v>0</v>
      </c>
      <c r="J45" s="10">
        <f t="array" ref="J45">SUM(IF((modeldata!$Q:$Q=$G$41)*(modeldata!$M:$M=$G45),modeldata!P:P,0))</f>
        <v>0</v>
      </c>
      <c r="K45" s="5">
        <f t="shared" si="90"/>
        <v>0</v>
      </c>
      <c r="M45" s="1" t="s">
        <v>133</v>
      </c>
      <c r="N45" s="23">
        <f>B45/B51</f>
        <v>0</v>
      </c>
      <c r="O45" s="25">
        <f>C45/C51</f>
        <v>1.7601800536527677E-2</v>
      </c>
      <c r="P45" s="28">
        <f>D45/D51</f>
        <v>1.8734349983915636E-3</v>
      </c>
      <c r="Q45" s="23">
        <f>E45/E51</f>
        <v>2.3874116975761595E-3</v>
      </c>
      <c r="S45" s="1" t="s">
        <v>133</v>
      </c>
      <c r="T45" s="23" t="e">
        <f>H45/H51</f>
        <v>#DIV/0!</v>
      </c>
      <c r="U45" s="25" t="e">
        <f>I45/I51</f>
        <v>#DIV/0!</v>
      </c>
      <c r="V45" s="28" t="e">
        <f>J45/J51</f>
        <v>#DIV/0!</v>
      </c>
      <c r="W45" s="23" t="e">
        <f>K45/K51</f>
        <v>#DIV/0!</v>
      </c>
      <c r="Y45" s="1" t="s">
        <v>133</v>
      </c>
      <c r="Z45" s="86">
        <f t="shared" si="91"/>
        <v>0</v>
      </c>
      <c r="AA45" s="73">
        <f t="shared" si="83"/>
        <v>-150.19429924986838</v>
      </c>
      <c r="AB45" s="87">
        <f t="shared" si="84"/>
        <v>-106.42834773318508</v>
      </c>
      <c r="AC45" s="73">
        <f t="shared" si="85"/>
        <v>-256.62264698305347</v>
      </c>
      <c r="AE45" s="1" t="s">
        <v>133</v>
      </c>
      <c r="AF45" s="35" t="e">
        <f t="shared" si="92"/>
        <v>#DIV/0!</v>
      </c>
      <c r="AG45" s="32" t="e">
        <f t="shared" si="86"/>
        <v>#DIV/0!</v>
      </c>
      <c r="AH45" s="36" t="e">
        <f t="shared" si="87"/>
        <v>#DIV/0!</v>
      </c>
      <c r="AI45" s="32" t="e">
        <f t="shared" si="88"/>
        <v>#DIV/0!</v>
      </c>
      <c r="AK45" s="1" t="s">
        <v>133</v>
      </c>
      <c r="AL45" s="47">
        <f>constants!O59</f>
        <v>1.7236794815626455E-2</v>
      </c>
      <c r="AM45" s="48" t="e">
        <f t="shared" si="89"/>
        <v>#DIV/0!</v>
      </c>
      <c r="AN45" s="49" t="e">
        <f t="shared" si="93"/>
        <v>#DIV/0!</v>
      </c>
      <c r="AO45" s="32"/>
      <c r="AP45" s="1" t="s">
        <v>133</v>
      </c>
      <c r="AQ45" s="61">
        <f t="shared" si="94"/>
        <v>0</v>
      </c>
      <c r="AR45" s="60" t="e">
        <f t="shared" si="95"/>
        <v>#DIV/0!</v>
      </c>
      <c r="AS45" s="61">
        <f t="shared" si="96"/>
        <v>1.7601800536527677E-2</v>
      </c>
      <c r="AT45" s="62" t="e">
        <f t="shared" si="97"/>
        <v>#DIV/0!</v>
      </c>
      <c r="AU45" s="60">
        <f t="shared" si="98"/>
        <v>1.8734349983915636E-3</v>
      </c>
      <c r="AV45" s="60" t="e">
        <f t="shared" si="99"/>
        <v>#DIV/0!</v>
      </c>
      <c r="AW45" s="61">
        <f t="shared" si="100"/>
        <v>2.3874116975761595E-3</v>
      </c>
      <c r="AX45" s="62" t="e">
        <f t="shared" si="101"/>
        <v>#DIV/0!</v>
      </c>
    </row>
    <row r="46" spans="1:50" x14ac:dyDescent="0.2">
      <c r="A46" s="1" t="s">
        <v>129</v>
      </c>
      <c r="B46" s="92">
        <f>targets!O85</f>
        <v>102.91349200709024</v>
      </c>
      <c r="C46" s="92">
        <f>targets!P85</f>
        <v>0</v>
      </c>
      <c r="D46" s="92">
        <f>targets!Q85</f>
        <v>0</v>
      </c>
      <c r="E46" s="92">
        <f>targets!L85</f>
        <v>102.91349200709024</v>
      </c>
      <c r="G46" s="1" t="s">
        <v>129</v>
      </c>
      <c r="H46" s="9">
        <f t="array" ref="H46">SUM(IF((modeldata!$Q:$Q=$G$41)*(modeldata!$M:$M=$G46),modeldata!N:N,0))</f>
        <v>0</v>
      </c>
      <c r="I46" s="5">
        <f t="array" ref="I46">SUM(IF((modeldata!$Q:$Q=$G$41)*(modeldata!$M:$M=$G46),modeldata!O:O,0))</f>
        <v>0</v>
      </c>
      <c r="J46" s="10">
        <f t="array" ref="J46">SUM(IF((modeldata!$Q:$Q=$G$41)*(modeldata!$M:$M=$G46),modeldata!P:P,0))</f>
        <v>0</v>
      </c>
      <c r="K46" s="5">
        <f t="shared" ref="K46:K47" si="102">SUM(H46:J46)</f>
        <v>0</v>
      </c>
      <c r="M46" s="1" t="s">
        <v>129</v>
      </c>
      <c r="N46" s="23">
        <f>B46/B51</f>
        <v>2.4417284081800325E-3</v>
      </c>
      <c r="O46" s="25">
        <f>C46/C51</f>
        <v>0</v>
      </c>
      <c r="P46" s="28">
        <f>D46/D51</f>
        <v>0</v>
      </c>
      <c r="Q46" s="23">
        <f>E46/E51</f>
        <v>9.5742475399048811E-4</v>
      </c>
      <c r="S46" s="1" t="s">
        <v>129</v>
      </c>
      <c r="T46" s="23" t="e">
        <f>H46/H51</f>
        <v>#DIV/0!</v>
      </c>
      <c r="U46" s="25" t="e">
        <f>I46/I51</f>
        <v>#DIV/0!</v>
      </c>
      <c r="V46" s="28" t="e">
        <f>J46/J51</f>
        <v>#DIV/0!</v>
      </c>
      <c r="W46" s="23" t="e">
        <f>K46/K51</f>
        <v>#DIV/0!</v>
      </c>
      <c r="Y46" s="1" t="s">
        <v>129</v>
      </c>
      <c r="Z46" s="86">
        <f t="shared" si="91"/>
        <v>-102.91349200709024</v>
      </c>
      <c r="AA46" s="73">
        <f t="shared" si="83"/>
        <v>0</v>
      </c>
      <c r="AB46" s="87">
        <f t="shared" si="84"/>
        <v>0</v>
      </c>
      <c r="AC46" s="73">
        <f t="shared" si="85"/>
        <v>-102.91349200709024</v>
      </c>
      <c r="AE46" s="1" t="s">
        <v>129</v>
      </c>
      <c r="AF46" s="35" t="e">
        <f t="shared" si="92"/>
        <v>#DIV/0!</v>
      </c>
      <c r="AG46" s="32" t="e">
        <f t="shared" si="86"/>
        <v>#DIV/0!</v>
      </c>
      <c r="AH46" s="36" t="e">
        <f t="shared" si="87"/>
        <v>#DIV/0!</v>
      </c>
      <c r="AI46" s="32" t="e">
        <f t="shared" si="88"/>
        <v>#DIV/0!</v>
      </c>
      <c r="AK46" s="1" t="s">
        <v>129</v>
      </c>
      <c r="AL46" s="47">
        <f>constants!G86</f>
        <v>0</v>
      </c>
      <c r="AM46" s="48" t="e">
        <f t="shared" ref="AM46:AM47" si="103">IF(AND(Q46&gt;0, W46&gt;0),sub_university_damp*LN(Q46/W46),0)</f>
        <v>#DIV/0!</v>
      </c>
      <c r="AN46" s="49" t="e">
        <f t="shared" si="93"/>
        <v>#DIV/0!</v>
      </c>
      <c r="AO46" s="32"/>
      <c r="AP46" s="1" t="s">
        <v>129</v>
      </c>
      <c r="AQ46" s="61">
        <f t="shared" si="94"/>
        <v>2.4417284081800325E-3</v>
      </c>
      <c r="AR46" s="60" t="e">
        <f t="shared" si="95"/>
        <v>#DIV/0!</v>
      </c>
      <c r="AS46" s="61">
        <f t="shared" si="96"/>
        <v>0</v>
      </c>
      <c r="AT46" s="62" t="e">
        <f t="shared" si="97"/>
        <v>#DIV/0!</v>
      </c>
      <c r="AU46" s="60">
        <f t="shared" si="98"/>
        <v>0</v>
      </c>
      <c r="AV46" s="60" t="e">
        <f t="shared" si="99"/>
        <v>#DIV/0!</v>
      </c>
      <c r="AW46" s="61">
        <f t="shared" si="100"/>
        <v>9.5742475399048811E-4</v>
      </c>
      <c r="AX46" s="62" t="e">
        <f t="shared" si="101"/>
        <v>#DIV/0!</v>
      </c>
    </row>
    <row r="47" spans="1:50" x14ac:dyDescent="0.2">
      <c r="A47" s="1" t="s">
        <v>132</v>
      </c>
      <c r="B47" s="92">
        <f>targets!O91</f>
        <v>0</v>
      </c>
      <c r="C47" s="92">
        <f>targets!P91</f>
        <v>0</v>
      </c>
      <c r="D47" s="92">
        <f>targets!Q91</f>
        <v>30.025018312656147</v>
      </c>
      <c r="E47" s="92">
        <f>targets!L91</f>
        <v>30.025018312656147</v>
      </c>
      <c r="G47" s="1" t="s">
        <v>132</v>
      </c>
      <c r="H47" s="9">
        <f t="array" ref="H47">SUM(IF((modeldata!$Q:$Q=$G$41)*(modeldata!$M:$M=$G47),modeldata!N:N,0))</f>
        <v>0</v>
      </c>
      <c r="I47" s="5">
        <f t="array" ref="I47">SUM(IF((modeldata!$Q:$Q=$G$41)*(modeldata!$M:$M=$G47),modeldata!O:O,0))</f>
        <v>0</v>
      </c>
      <c r="J47" s="10">
        <f t="array" ref="J47">SUM(IF((modeldata!$Q:$Q=$G$41)*(modeldata!$M:$M=$G47),modeldata!P:P,0))</f>
        <v>0</v>
      </c>
      <c r="K47" s="5">
        <f t="shared" si="102"/>
        <v>0</v>
      </c>
      <c r="M47" s="1" t="s">
        <v>132</v>
      </c>
      <c r="N47" s="23">
        <f>B47/B51</f>
        <v>0</v>
      </c>
      <c r="O47" s="25">
        <f>C47/C51</f>
        <v>0</v>
      </c>
      <c r="P47" s="28">
        <f>D47/D51</f>
        <v>5.2852385038707633E-4</v>
      </c>
      <c r="Q47" s="23">
        <f>E47/E51</f>
        <v>2.7932873728134895E-4</v>
      </c>
      <c r="S47" s="1" t="s">
        <v>132</v>
      </c>
      <c r="T47" s="23" t="e">
        <f>H47/H51</f>
        <v>#DIV/0!</v>
      </c>
      <c r="U47" s="25" t="e">
        <f>I47/I51</f>
        <v>#DIV/0!</v>
      </c>
      <c r="V47" s="28" t="e">
        <f>J47/J51</f>
        <v>#DIV/0!</v>
      </c>
      <c r="W47" s="23" t="e">
        <f>K47/K51</f>
        <v>#DIV/0!</v>
      </c>
      <c r="Y47" s="1" t="s">
        <v>132</v>
      </c>
      <c r="Z47" s="86">
        <f t="shared" si="91"/>
        <v>0</v>
      </c>
      <c r="AA47" s="73">
        <f t="shared" si="83"/>
        <v>0</v>
      </c>
      <c r="AB47" s="87">
        <f t="shared" si="84"/>
        <v>-30.025018312656147</v>
      </c>
      <c r="AC47" s="73">
        <f t="shared" si="85"/>
        <v>-30.025018312656147</v>
      </c>
      <c r="AE47" s="1" t="s">
        <v>132</v>
      </c>
      <c r="AF47" s="35" t="e">
        <f t="shared" si="92"/>
        <v>#DIV/0!</v>
      </c>
      <c r="AG47" s="32" t="e">
        <f t="shared" si="86"/>
        <v>#DIV/0!</v>
      </c>
      <c r="AH47" s="36" t="e">
        <f t="shared" si="87"/>
        <v>#DIV/0!</v>
      </c>
      <c r="AI47" s="32" t="e">
        <f t="shared" si="88"/>
        <v>#DIV/0!</v>
      </c>
      <c r="AK47" s="1" t="s">
        <v>132</v>
      </c>
      <c r="AL47" s="47">
        <f>constants!G87</f>
        <v>0</v>
      </c>
      <c r="AM47" s="48" t="e">
        <f t="shared" si="103"/>
        <v>#DIV/0!</v>
      </c>
      <c r="AN47" s="49" t="e">
        <f t="shared" si="93"/>
        <v>#DIV/0!</v>
      </c>
      <c r="AO47" s="32"/>
      <c r="AP47" s="1" t="s">
        <v>132</v>
      </c>
      <c r="AQ47" s="61">
        <f t="shared" si="94"/>
        <v>0</v>
      </c>
      <c r="AR47" s="60" t="e">
        <f t="shared" si="95"/>
        <v>#DIV/0!</v>
      </c>
      <c r="AS47" s="61">
        <f t="shared" si="96"/>
        <v>0</v>
      </c>
      <c r="AT47" s="62" t="e">
        <f t="shared" si="97"/>
        <v>#DIV/0!</v>
      </c>
      <c r="AU47" s="60">
        <f t="shared" si="98"/>
        <v>5.2852385038707633E-4</v>
      </c>
      <c r="AV47" s="60" t="e">
        <f t="shared" si="99"/>
        <v>#DIV/0!</v>
      </c>
      <c r="AW47" s="61">
        <f t="shared" si="100"/>
        <v>2.7932873728134895E-4</v>
      </c>
      <c r="AX47" s="62" t="e">
        <f t="shared" si="101"/>
        <v>#DIV/0!</v>
      </c>
    </row>
    <row r="48" spans="1:50" x14ac:dyDescent="0.2">
      <c r="A48" s="1" t="s">
        <v>123</v>
      </c>
      <c r="B48" s="92">
        <f>targets!O86+targets!O92</f>
        <v>460.21416157762394</v>
      </c>
      <c r="C48" s="92">
        <f>targets!P86+targets!P92</f>
        <v>126.66598943205842</v>
      </c>
      <c r="D48" s="92">
        <f>targets!Q86+targets!Q92</f>
        <v>795.99853212067876</v>
      </c>
      <c r="E48" s="92">
        <f>targets!L86+targets!L92</f>
        <v>1382.8786831303612</v>
      </c>
      <c r="G48" s="1" t="s">
        <v>123</v>
      </c>
      <c r="H48" s="9">
        <f t="array" ref="H48">SUM(IF((modeldata!$Q:$Q=$G$41)*(modeldata!$M:$M=$G48),modeldata!N:N,0))</f>
        <v>0</v>
      </c>
      <c r="I48" s="5">
        <f t="array" ref="I48">SUM(IF((modeldata!$Q:$Q=$G$41)*(modeldata!$M:$M=$G48),modeldata!O:O,0))</f>
        <v>0</v>
      </c>
      <c r="J48" s="10">
        <f t="array" ref="J48">SUM(IF((modeldata!$Q:$Q=$G$41)*(modeldata!$M:$M=$G48),modeldata!P:P,0))</f>
        <v>0</v>
      </c>
      <c r="K48" s="5">
        <f t="shared" si="90"/>
        <v>0</v>
      </c>
      <c r="M48" s="1" t="s">
        <v>123</v>
      </c>
      <c r="N48" s="23">
        <f>B48/B51</f>
        <v>1.0919054151747385E-2</v>
      </c>
      <c r="O48" s="25">
        <f>C48/C51</f>
        <v>1.4844434788006568E-2</v>
      </c>
      <c r="P48" s="28">
        <f>D48/D51</f>
        <v>1.4011788593032988E-2</v>
      </c>
      <c r="Q48" s="23">
        <f>E48/E51</f>
        <v>1.2865196362237508E-2</v>
      </c>
      <c r="S48" s="1" t="s">
        <v>123</v>
      </c>
      <c r="T48" s="23" t="e">
        <f>H48/H51</f>
        <v>#DIV/0!</v>
      </c>
      <c r="U48" s="25" t="e">
        <f>I48/I51</f>
        <v>#DIV/0!</v>
      </c>
      <c r="V48" s="28" t="e">
        <f>J48/J51</f>
        <v>#DIV/0!</v>
      </c>
      <c r="W48" s="23" t="e">
        <f>K48/K51</f>
        <v>#DIV/0!</v>
      </c>
      <c r="Y48" s="1" t="s">
        <v>123</v>
      </c>
      <c r="Z48" s="86">
        <f t="shared" si="91"/>
        <v>-460.21416157762394</v>
      </c>
      <c r="AA48" s="73">
        <f t="shared" si="83"/>
        <v>-126.66598943205842</v>
      </c>
      <c r="AB48" s="87">
        <f t="shared" si="84"/>
        <v>-795.99853212067876</v>
      </c>
      <c r="AC48" s="73">
        <f t="shared" si="85"/>
        <v>-1382.8786831303612</v>
      </c>
      <c r="AE48" s="1" t="s">
        <v>123</v>
      </c>
      <c r="AF48" s="35" t="e">
        <f t="shared" si="92"/>
        <v>#DIV/0!</v>
      </c>
      <c r="AG48" s="32" t="e">
        <f t="shared" si="86"/>
        <v>#DIV/0!</v>
      </c>
      <c r="AH48" s="36" t="e">
        <f t="shared" si="87"/>
        <v>#DIV/0!</v>
      </c>
      <c r="AI48" s="32" t="e">
        <f t="shared" si="88"/>
        <v>#DIV/0!</v>
      </c>
      <c r="AK48" s="1" t="s">
        <v>123</v>
      </c>
      <c r="AL48" s="47">
        <f>constants!O62</f>
        <v>-0.13719907168066101</v>
      </c>
      <c r="AM48" s="48" t="e">
        <f t="shared" si="89"/>
        <v>#DIV/0!</v>
      </c>
      <c r="AN48" s="49" t="e">
        <f t="shared" si="93"/>
        <v>#DIV/0!</v>
      </c>
      <c r="AO48" s="32"/>
      <c r="AP48" s="1" t="s">
        <v>123</v>
      </c>
      <c r="AQ48" s="61">
        <f t="shared" si="94"/>
        <v>1.0919054151747385E-2</v>
      </c>
      <c r="AR48" s="60" t="e">
        <f t="shared" si="95"/>
        <v>#DIV/0!</v>
      </c>
      <c r="AS48" s="61">
        <f t="shared" si="96"/>
        <v>1.4844434788006568E-2</v>
      </c>
      <c r="AT48" s="62" t="e">
        <f t="shared" si="97"/>
        <v>#DIV/0!</v>
      </c>
      <c r="AU48" s="60">
        <f t="shared" si="98"/>
        <v>1.4011788593032988E-2</v>
      </c>
      <c r="AV48" s="60" t="e">
        <f t="shared" si="99"/>
        <v>#DIV/0!</v>
      </c>
      <c r="AW48" s="61">
        <f t="shared" si="100"/>
        <v>1.2865196362237508E-2</v>
      </c>
      <c r="AX48" s="62" t="e">
        <f t="shared" si="101"/>
        <v>#DIV/0!</v>
      </c>
    </row>
    <row r="49" spans="1:50" x14ac:dyDescent="0.2">
      <c r="A49" s="1" t="s">
        <v>124</v>
      </c>
      <c r="B49" s="92">
        <f>targets!O87+targets!O93</f>
        <v>1685.8247930955779</v>
      </c>
      <c r="C49" s="92">
        <f>targets!P87+targets!P93</f>
        <v>1802.9559676505767</v>
      </c>
      <c r="D49" s="92">
        <f>targets!Q87+targets!Q93</f>
        <v>11649.757110050788</v>
      </c>
      <c r="E49" s="92">
        <f>targets!L87+targets!L93</f>
        <v>18974.386881971499</v>
      </c>
      <c r="G49" s="1" t="s">
        <v>124</v>
      </c>
      <c r="H49" s="9">
        <f t="array" ref="H49">SUM(IF((modeldata!$Q:$Q=$G$41)*(modeldata!$M:$M=$G49),modeldata!N:N,0))</f>
        <v>0</v>
      </c>
      <c r="I49" s="5">
        <f t="array" ref="I49">SUM(IF((modeldata!$Q:$Q=$G$41)*(modeldata!$M:$M=$G49),modeldata!O:O,0))</f>
        <v>0</v>
      </c>
      <c r="J49" s="10">
        <f t="array" ref="J49">SUM(IF((modeldata!$Q:$Q=$G$41)*(modeldata!$M:$M=$G49),modeldata!P:P,0))</f>
        <v>0</v>
      </c>
      <c r="K49" s="5">
        <f t="shared" si="90"/>
        <v>0</v>
      </c>
      <c r="M49" s="1" t="s">
        <v>124</v>
      </c>
      <c r="N49" s="23">
        <f>B49/B51</f>
        <v>3.9997926493759467E-2</v>
      </c>
      <c r="O49" s="25">
        <f>C49/C51</f>
        <v>0.21129477934400034</v>
      </c>
      <c r="P49" s="28">
        <f>D49/D51</f>
        <v>0.20506813417272385</v>
      </c>
      <c r="Q49" s="23">
        <f>E49/E51</f>
        <v>0.17652250777128736</v>
      </c>
      <c r="S49" s="1" t="s">
        <v>124</v>
      </c>
      <c r="T49" s="23" t="e">
        <f>H49/H51</f>
        <v>#DIV/0!</v>
      </c>
      <c r="U49" s="25" t="e">
        <f>I49/I51</f>
        <v>#DIV/0!</v>
      </c>
      <c r="V49" s="28" t="e">
        <f>J49/J51</f>
        <v>#DIV/0!</v>
      </c>
      <c r="W49" s="23" t="e">
        <f>K49/K51</f>
        <v>#DIV/0!</v>
      </c>
      <c r="Y49" s="1" t="s">
        <v>124</v>
      </c>
      <c r="Z49" s="86">
        <f t="shared" si="91"/>
        <v>-1685.8247930955779</v>
      </c>
      <c r="AA49" s="73">
        <f t="shared" si="83"/>
        <v>-1802.9559676505767</v>
      </c>
      <c r="AB49" s="87">
        <f t="shared" si="84"/>
        <v>-11649.757110050788</v>
      </c>
      <c r="AC49" s="73">
        <f t="shared" si="85"/>
        <v>-18974.386881971499</v>
      </c>
      <c r="AE49" s="1" t="s">
        <v>124</v>
      </c>
      <c r="AF49" s="35" t="e">
        <f t="shared" si="92"/>
        <v>#DIV/0!</v>
      </c>
      <c r="AG49" s="32" t="e">
        <f t="shared" si="86"/>
        <v>#DIV/0!</v>
      </c>
      <c r="AH49" s="36" t="e">
        <f t="shared" si="87"/>
        <v>#DIV/0!</v>
      </c>
      <c r="AI49" s="32" t="e">
        <f t="shared" si="88"/>
        <v>#DIV/0!</v>
      </c>
      <c r="AK49" s="1" t="s">
        <v>124</v>
      </c>
      <c r="AL49" s="47">
        <f>constants!O63</f>
        <v>0.29519201294031433</v>
      </c>
      <c r="AM49" s="48" t="e">
        <f t="shared" si="89"/>
        <v>#DIV/0!</v>
      </c>
      <c r="AN49" s="49" t="e">
        <f t="shared" si="93"/>
        <v>#DIV/0!</v>
      </c>
      <c r="AO49" s="32"/>
      <c r="AP49" s="1" t="s">
        <v>124</v>
      </c>
      <c r="AQ49" s="61">
        <f t="shared" si="94"/>
        <v>3.9997926493759467E-2</v>
      </c>
      <c r="AR49" s="60" t="e">
        <f t="shared" si="95"/>
        <v>#DIV/0!</v>
      </c>
      <c r="AS49" s="61">
        <f t="shared" si="96"/>
        <v>0.21129477934400034</v>
      </c>
      <c r="AT49" s="62" t="e">
        <f t="shared" si="97"/>
        <v>#DIV/0!</v>
      </c>
      <c r="AU49" s="60">
        <f t="shared" si="98"/>
        <v>0.20506813417272385</v>
      </c>
      <c r="AV49" s="60" t="e">
        <f t="shared" si="99"/>
        <v>#DIV/0!</v>
      </c>
      <c r="AW49" s="61">
        <f t="shared" si="100"/>
        <v>0.17652250777128736</v>
      </c>
      <c r="AX49" s="62" t="e">
        <f t="shared" si="101"/>
        <v>#DIV/0!</v>
      </c>
    </row>
    <row r="50" spans="1:50" x14ac:dyDescent="0.2">
      <c r="A50" s="1" t="s">
        <v>125</v>
      </c>
      <c r="B50" s="92">
        <f>targets!O88+targets!O94</f>
        <v>208.30535118594986</v>
      </c>
      <c r="C50" s="92">
        <f>targets!P88+targets!P94</f>
        <v>40.657720767193553</v>
      </c>
      <c r="D50" s="92">
        <f>targets!Q88+targets!Q94</f>
        <v>1651.1252194318213</v>
      </c>
      <c r="E50" s="92">
        <f>targets!L88+targets!L94</f>
        <v>1900.088291384965</v>
      </c>
      <c r="G50" s="1" t="s">
        <v>125</v>
      </c>
      <c r="H50" s="11">
        <f t="array" ref="H50">SUM(IF((modeldata!$Q:$Q=$G$41)*(modeldata!$M:$M=$G50),modeldata!N:N,0))</f>
        <v>0</v>
      </c>
      <c r="I50" s="12">
        <f t="array" ref="I50">SUM(IF((modeldata!$Q:$Q=$G$41)*(modeldata!$M:$M=$G50),modeldata!O:O,0))</f>
        <v>0</v>
      </c>
      <c r="J50" s="13">
        <f t="array" ref="J50">SUM(IF((modeldata!$Q:$Q=$G$41)*(modeldata!$M:$M=$G50),modeldata!P:P,0))</f>
        <v>0</v>
      </c>
      <c r="K50" s="5">
        <f t="shared" si="90"/>
        <v>0</v>
      </c>
      <c r="M50" s="1" t="s">
        <v>125</v>
      </c>
      <c r="N50" s="24">
        <f>B50/B51</f>
        <v>4.9422586256388052E-3</v>
      </c>
      <c r="O50" s="29">
        <f>C50/C51</f>
        <v>4.7648219325781569E-3</v>
      </c>
      <c r="P50" s="30">
        <f>D50/D51</f>
        <v>2.9064397208959206E-2</v>
      </c>
      <c r="Q50" s="23">
        <f>E50/E51</f>
        <v>1.7676900564350916E-2</v>
      </c>
      <c r="S50" s="1" t="s">
        <v>125</v>
      </c>
      <c r="T50" s="24" t="e">
        <f>H50/H51</f>
        <v>#DIV/0!</v>
      </c>
      <c r="U50" s="29" t="e">
        <f>I50/I51</f>
        <v>#DIV/0!</v>
      </c>
      <c r="V50" s="30" t="e">
        <f>J50/J51</f>
        <v>#DIV/0!</v>
      </c>
      <c r="W50" s="23" t="e">
        <f>K50/K51</f>
        <v>#DIV/0!</v>
      </c>
      <c r="Y50" s="1" t="s">
        <v>125</v>
      </c>
      <c r="Z50" s="88">
        <f t="shared" si="91"/>
        <v>-208.30535118594986</v>
      </c>
      <c r="AA50" s="72">
        <f t="shared" si="83"/>
        <v>-40.657720767193553</v>
      </c>
      <c r="AB50" s="89">
        <f t="shared" si="84"/>
        <v>-1651.1252194318213</v>
      </c>
      <c r="AC50" s="73">
        <f t="shared" si="85"/>
        <v>-1900.088291384965</v>
      </c>
      <c r="AE50" s="1" t="s">
        <v>125</v>
      </c>
      <c r="AF50" s="37" t="e">
        <f t="shared" si="92"/>
        <v>#DIV/0!</v>
      </c>
      <c r="AG50" s="38" t="e">
        <f t="shared" si="86"/>
        <v>#DIV/0!</v>
      </c>
      <c r="AH50" s="39" t="e">
        <f t="shared" si="87"/>
        <v>#DIV/0!</v>
      </c>
      <c r="AI50" s="32" t="e">
        <f t="shared" si="88"/>
        <v>#DIV/0!</v>
      </c>
      <c r="AK50" s="1" t="s">
        <v>125</v>
      </c>
      <c r="AL50" s="50">
        <f>constants!O64</f>
        <v>1.8429314921640141</v>
      </c>
      <c r="AM50" s="51" t="e">
        <f t="shared" si="89"/>
        <v>#DIV/0!</v>
      </c>
      <c r="AN50" s="52" t="e">
        <f t="shared" si="93"/>
        <v>#DIV/0!</v>
      </c>
      <c r="AO50" s="32"/>
      <c r="AP50" s="1" t="s">
        <v>125</v>
      </c>
      <c r="AQ50" s="63">
        <f t="shared" si="94"/>
        <v>4.9422586256388052E-3</v>
      </c>
      <c r="AR50" s="64" t="e">
        <f t="shared" si="95"/>
        <v>#DIV/0!</v>
      </c>
      <c r="AS50" s="63">
        <f t="shared" si="96"/>
        <v>4.7648219325781569E-3</v>
      </c>
      <c r="AT50" s="65" t="e">
        <f t="shared" si="97"/>
        <v>#DIV/0!</v>
      </c>
      <c r="AU50" s="64">
        <f t="shared" si="98"/>
        <v>2.9064397208959206E-2</v>
      </c>
      <c r="AV50" s="64" t="e">
        <f t="shared" si="99"/>
        <v>#DIV/0!</v>
      </c>
      <c r="AW50" s="63">
        <f t="shared" si="100"/>
        <v>1.7676900564350916E-2</v>
      </c>
      <c r="AX50" s="65" t="e">
        <f t="shared" si="101"/>
        <v>#DIV/0!</v>
      </c>
    </row>
    <row r="51" spans="1:50" x14ac:dyDescent="0.2">
      <c r="A51" s="1" t="s">
        <v>1</v>
      </c>
      <c r="B51" s="92">
        <f>SUM(B43:B50)</f>
        <v>42147.804670789686</v>
      </c>
      <c r="C51" s="92">
        <f>SUM(C43:C50)</f>
        <v>8532.8940603651081</v>
      </c>
      <c r="D51" s="92">
        <f>SUM(D43:D50)</f>
        <v>56809.202253912765</v>
      </c>
      <c r="E51" s="92">
        <f t="shared" ref="E51" si="104">SUM(B51:D51)</f>
        <v>107489.90098506756</v>
      </c>
      <c r="G51" s="1" t="s">
        <v>1</v>
      </c>
      <c r="H51" s="5">
        <f>SUM(H43:H50)</f>
        <v>0</v>
      </c>
      <c r="I51" s="5">
        <f>SUM(I43:I50)</f>
        <v>0</v>
      </c>
      <c r="J51" s="5">
        <f>SUM(J43:J50)</f>
        <v>0</v>
      </c>
      <c r="K51" s="5">
        <f t="shared" si="90"/>
        <v>0</v>
      </c>
      <c r="M51" s="1" t="s">
        <v>1</v>
      </c>
      <c r="N51" s="25">
        <f>SUM(N43:N50)</f>
        <v>1</v>
      </c>
      <c r="O51" s="25">
        <f>SUM(O43:O50)</f>
        <v>1</v>
      </c>
      <c r="P51" s="25">
        <f>SUM(P43:P50)</f>
        <v>1</v>
      </c>
      <c r="Q51" s="25">
        <f>SUM(Q43:Q50)</f>
        <v>1.0356856688490894</v>
      </c>
      <c r="S51" s="1" t="s">
        <v>1</v>
      </c>
      <c r="T51" s="25" t="e">
        <f>SUM(T43:T50)</f>
        <v>#DIV/0!</v>
      </c>
      <c r="U51" s="25" t="e">
        <f>SUM(U43:U50)</f>
        <v>#DIV/0!</v>
      </c>
      <c r="V51" s="25" t="e">
        <f>SUM(V43:V50)</f>
        <v>#DIV/0!</v>
      </c>
      <c r="W51" s="25" t="e">
        <f>SUM(W43:W50)</f>
        <v>#DIV/0!</v>
      </c>
      <c r="Y51" s="1" t="s">
        <v>1</v>
      </c>
      <c r="Z51" s="73">
        <f t="shared" si="91"/>
        <v>-42147.804670789686</v>
      </c>
      <c r="AA51" s="73">
        <f t="shared" si="83"/>
        <v>-8532.8940603651081</v>
      </c>
      <c r="AB51" s="73">
        <f t="shared" si="84"/>
        <v>-56809.202253912765</v>
      </c>
      <c r="AC51" s="73">
        <f t="shared" si="85"/>
        <v>-107489.90098506756</v>
      </c>
      <c r="AE51" s="1" t="s">
        <v>1</v>
      </c>
      <c r="AF51" s="32" t="e">
        <f t="shared" si="92"/>
        <v>#DIV/0!</v>
      </c>
      <c r="AG51" s="32" t="e">
        <f t="shared" si="86"/>
        <v>#DIV/0!</v>
      </c>
      <c r="AH51" s="32" t="e">
        <f t="shared" si="87"/>
        <v>#DIV/0!</v>
      </c>
      <c r="AI51" s="32" t="e">
        <f t="shared" si="88"/>
        <v>#DIV/0!</v>
      </c>
      <c r="AK51" s="1" t="s">
        <v>1</v>
      </c>
      <c r="AL51" s="32"/>
      <c r="AM51" s="32"/>
      <c r="AN51" s="32"/>
      <c r="AO51" s="32"/>
      <c r="AP51" s="1" t="s">
        <v>1</v>
      </c>
      <c r="AQ51" s="60">
        <f t="shared" ref="AQ51:AX51" si="105">SUM(AQ43:AQ50)</f>
        <v>1</v>
      </c>
      <c r="AR51" s="60" t="e">
        <f t="shared" si="105"/>
        <v>#DIV/0!</v>
      </c>
      <c r="AS51" s="60">
        <f t="shared" si="105"/>
        <v>1</v>
      </c>
      <c r="AT51" s="60" t="e">
        <f t="shared" si="105"/>
        <v>#DIV/0!</v>
      </c>
      <c r="AU51" s="60">
        <f t="shared" si="105"/>
        <v>1</v>
      </c>
      <c r="AV51" s="60" t="e">
        <f t="shared" si="105"/>
        <v>#DIV/0!</v>
      </c>
      <c r="AW51" s="60">
        <f t="shared" si="105"/>
        <v>1.0356856688490894</v>
      </c>
      <c r="AX51" s="60" t="e">
        <f t="shared" si="105"/>
        <v>#DIV/0!</v>
      </c>
    </row>
    <row r="54" spans="1:50" s="16" customFormat="1" x14ac:dyDescent="0.2">
      <c r="A54" s="15" t="s">
        <v>42</v>
      </c>
      <c r="G54" s="15" t="s">
        <v>42</v>
      </c>
      <c r="M54" s="15" t="s">
        <v>42</v>
      </c>
      <c r="S54" s="15" t="s">
        <v>42</v>
      </c>
      <c r="Y54" s="15" t="s">
        <v>42</v>
      </c>
      <c r="AE54" s="15" t="s">
        <v>42</v>
      </c>
      <c r="AK54" s="15" t="s">
        <v>42</v>
      </c>
      <c r="AP54" s="15" t="s">
        <v>42</v>
      </c>
      <c r="AQ54" s="216" t="s">
        <v>139</v>
      </c>
      <c r="AR54" s="217" t="s">
        <v>140</v>
      </c>
      <c r="AS54" s="217" t="s">
        <v>139</v>
      </c>
      <c r="AT54" s="217" t="s">
        <v>140</v>
      </c>
      <c r="AU54" s="217" t="s">
        <v>139</v>
      </c>
      <c r="AV54" s="217" t="s">
        <v>140</v>
      </c>
      <c r="AW54" s="217" t="s">
        <v>139</v>
      </c>
      <c r="AX54" s="217" t="s">
        <v>140</v>
      </c>
    </row>
    <row r="55" spans="1:50" ht="25.5" x14ac:dyDescent="0.2">
      <c r="B55" s="14" t="s">
        <v>38</v>
      </c>
      <c r="C55" s="14" t="s">
        <v>37</v>
      </c>
      <c r="D55" s="14" t="s">
        <v>0</v>
      </c>
      <c r="E55" s="17" t="s">
        <v>1</v>
      </c>
      <c r="H55" s="14" t="s">
        <v>38</v>
      </c>
      <c r="I55" s="14" t="s">
        <v>37</v>
      </c>
      <c r="J55" s="14" t="s">
        <v>0</v>
      </c>
      <c r="K55" s="17" t="s">
        <v>1</v>
      </c>
      <c r="N55" s="14" t="s">
        <v>38</v>
      </c>
      <c r="O55" s="14" t="s">
        <v>37</v>
      </c>
      <c r="P55" s="14" t="s">
        <v>0</v>
      </c>
      <c r="Q55" s="17" t="s">
        <v>1</v>
      </c>
      <c r="T55" s="14" t="s">
        <v>38</v>
      </c>
      <c r="U55" s="14" t="s">
        <v>37</v>
      </c>
      <c r="V55" s="14" t="s">
        <v>0</v>
      </c>
      <c r="W55" s="17" t="s">
        <v>1</v>
      </c>
      <c r="Z55" s="14" t="s">
        <v>38</v>
      </c>
      <c r="AA55" s="14" t="s">
        <v>37</v>
      </c>
      <c r="AB55" s="14" t="s">
        <v>0</v>
      </c>
      <c r="AC55" s="17" t="s">
        <v>1</v>
      </c>
      <c r="AF55" s="14" t="s">
        <v>38</v>
      </c>
      <c r="AG55" s="14" t="s">
        <v>37</v>
      </c>
      <c r="AH55" s="14" t="s">
        <v>0</v>
      </c>
      <c r="AI55" s="17" t="s">
        <v>1</v>
      </c>
      <c r="AK55" s="250">
        <v>0</v>
      </c>
      <c r="AL55" s="14"/>
      <c r="AM55" s="14"/>
      <c r="AN55" s="14"/>
      <c r="AO55" s="17"/>
      <c r="AQ55" s="218" t="s">
        <v>142</v>
      </c>
      <c r="AR55" s="218" t="s">
        <v>142</v>
      </c>
      <c r="AS55" s="218" t="s">
        <v>143</v>
      </c>
      <c r="AT55" s="218" t="s">
        <v>143</v>
      </c>
      <c r="AU55" s="218" t="s">
        <v>144</v>
      </c>
      <c r="AV55" s="218" t="s">
        <v>145</v>
      </c>
      <c r="AW55" s="219" t="s">
        <v>141</v>
      </c>
      <c r="AX55" s="219" t="s">
        <v>141</v>
      </c>
    </row>
    <row r="56" spans="1:50" x14ac:dyDescent="0.2">
      <c r="A56" s="1" t="s">
        <v>122</v>
      </c>
      <c r="B56" s="92">
        <f>targets!O107+targets!O113</f>
        <v>31128.373921638704</v>
      </c>
      <c r="C56" s="92">
        <f>targets!P107+targets!P113</f>
        <v>8479.8851178828227</v>
      </c>
      <c r="D56" s="92">
        <f>targets!Q107+targets!Q113</f>
        <v>33226.92112642563</v>
      </c>
      <c r="E56" s="92">
        <f>SUM(B56:D56)</f>
        <v>72835.180165947153</v>
      </c>
      <c r="G56" s="1" t="s">
        <v>122</v>
      </c>
      <c r="H56" s="6">
        <f t="array" ref="H56">SUM(IF((modeldata!$Q:$Q=$G$54)*(modeldata!$M:$M=$G56),modeldata!N:N,0))</f>
        <v>0</v>
      </c>
      <c r="I56" s="7">
        <f t="array" ref="I56">SUM(IF((modeldata!$Q:$Q=$G$54)*(modeldata!$M:$M=$G56),modeldata!O:O,0))</f>
        <v>0</v>
      </c>
      <c r="J56" s="8">
        <f t="array" ref="J56">SUM(IF((modeldata!$Q:$Q=$G$54)*(modeldata!$M:$M=$G56),modeldata!P:P,0))</f>
        <v>0</v>
      </c>
      <c r="K56" s="5">
        <f>SUM(H56:J56)</f>
        <v>0</v>
      </c>
      <c r="M56" s="1" t="s">
        <v>122</v>
      </c>
      <c r="N56" s="22">
        <f>B56/B64</f>
        <v>0.70909555995247675</v>
      </c>
      <c r="O56" s="26">
        <f>C56/C64</f>
        <v>0.67271251213506689</v>
      </c>
      <c r="P56" s="27">
        <f>D56/D64</f>
        <v>0.56177678114918161</v>
      </c>
      <c r="Q56" s="23">
        <f>E56/E64</f>
        <v>0.62978786211663518</v>
      </c>
      <c r="S56" s="1" t="s">
        <v>122</v>
      </c>
      <c r="T56" s="22" t="e">
        <f>H56/H64</f>
        <v>#DIV/0!</v>
      </c>
      <c r="U56" s="26" t="e">
        <f>I56/I64</f>
        <v>#DIV/0!</v>
      </c>
      <c r="V56" s="27" t="e">
        <f>J56/J64</f>
        <v>#DIV/0!</v>
      </c>
      <c r="W56" s="23" t="e">
        <f>K56/K64</f>
        <v>#DIV/0!</v>
      </c>
      <c r="Y56" s="1" t="s">
        <v>122</v>
      </c>
      <c r="Z56" s="83">
        <f>H56-B56</f>
        <v>-31128.373921638704</v>
      </c>
      <c r="AA56" s="84">
        <f t="shared" ref="AA56:AA64" si="106">I56-C56</f>
        <v>-8479.8851178828227</v>
      </c>
      <c r="AB56" s="85">
        <f t="shared" ref="AB56:AB64" si="107">J56-D56</f>
        <v>-33226.92112642563</v>
      </c>
      <c r="AC56" s="73">
        <f t="shared" ref="AC56:AC64" si="108">K56-E56</f>
        <v>-72835.180165947153</v>
      </c>
      <c r="AE56" s="1" t="s">
        <v>122</v>
      </c>
      <c r="AF56" s="31" t="e">
        <f>T56-N56</f>
        <v>#DIV/0!</v>
      </c>
      <c r="AG56" s="33" t="e">
        <f t="shared" ref="AG56:AG64" si="109">U56-O56</f>
        <v>#DIV/0!</v>
      </c>
      <c r="AH56" s="34" t="e">
        <f t="shared" ref="AH56:AH64" si="110">V56-P56</f>
        <v>#DIV/0!</v>
      </c>
      <c r="AI56" s="32" t="e">
        <f t="shared" ref="AI56:AI64" si="111">W56-Q56</f>
        <v>#DIV/0!</v>
      </c>
      <c r="AK56" s="1" t="s">
        <v>122</v>
      </c>
      <c r="AL56" s="44">
        <f>constants!W57</f>
        <v>-9.3323643613554483E-2</v>
      </c>
      <c r="AM56" s="45" t="e">
        <f t="shared" ref="AM56:AM63" si="112">IF(AND(Q56&gt;0, W56&gt;0),sub_indivdisc_damp*LN(Q56/W56),0)</f>
        <v>#DIV/0!</v>
      </c>
      <c r="AN56" s="46" t="e">
        <f>AL56+AM56</f>
        <v>#DIV/0!</v>
      </c>
      <c r="AO56" s="32"/>
      <c r="AP56" s="1" t="s">
        <v>122</v>
      </c>
      <c r="AQ56" s="57">
        <f>N56</f>
        <v>0.70909555995247675</v>
      </c>
      <c r="AR56" s="58" t="e">
        <f>T56</f>
        <v>#DIV/0!</v>
      </c>
      <c r="AS56" s="57">
        <f>O56</f>
        <v>0.67271251213506689</v>
      </c>
      <c r="AT56" s="59" t="e">
        <f>U56</f>
        <v>#DIV/0!</v>
      </c>
      <c r="AU56" s="58">
        <f>P56</f>
        <v>0.56177678114918161</v>
      </c>
      <c r="AV56" s="58" t="e">
        <f>V56</f>
        <v>#DIV/0!</v>
      </c>
      <c r="AW56" s="57">
        <f>Q56</f>
        <v>0.62978786211663518</v>
      </c>
      <c r="AX56" s="59" t="e">
        <f>W56</f>
        <v>#DIV/0!</v>
      </c>
    </row>
    <row r="57" spans="1:50" x14ac:dyDescent="0.2">
      <c r="A57" s="1" t="s">
        <v>131</v>
      </c>
      <c r="B57" s="92">
        <f>targets!O108</f>
        <v>5766.2773637606815</v>
      </c>
      <c r="C57" s="92">
        <f>targets!P108</f>
        <v>1323.0409622360712</v>
      </c>
      <c r="D57" s="92">
        <f>targets!Q108</f>
        <v>9146.5206163594812</v>
      </c>
      <c r="E57" s="92">
        <f t="shared" ref="E57:E64" si="113">SUM(B57:D57)</f>
        <v>16235.838942356233</v>
      </c>
      <c r="G57" s="1" t="s">
        <v>131</v>
      </c>
      <c r="H57" s="9">
        <f t="array" ref="H57">SUM(IF((modeldata!$Q:$Q=$G$54)*(modeldata!$M:$M=$G57),modeldata!N:N,0))</f>
        <v>0</v>
      </c>
      <c r="I57" s="5">
        <f t="array" ref="I57">SUM(IF((modeldata!$Q:$Q=$G$54)*(modeldata!$M:$M=$G57),modeldata!O:O,0))</f>
        <v>0</v>
      </c>
      <c r="J57" s="10">
        <f t="array" ref="J57">SUM(IF((modeldata!$Q:$Q=$G$54)*(modeldata!$M:$M=$G57),modeldata!P:P,0))</f>
        <v>0</v>
      </c>
      <c r="K57" s="5">
        <f t="shared" ref="K57:K64" si="114">SUM(H57:J57)</f>
        <v>0</v>
      </c>
      <c r="M57" s="1" t="s">
        <v>131</v>
      </c>
      <c r="N57" s="23">
        <f>B57/B64</f>
        <v>0.13135416859198154</v>
      </c>
      <c r="O57" s="25">
        <f>C57/C64</f>
        <v>0.10495734281664855</v>
      </c>
      <c r="P57" s="28">
        <f>D57/D64</f>
        <v>0.15464276365006102</v>
      </c>
      <c r="Q57" s="23">
        <f>E57/E64</f>
        <v>0.14038730011897646</v>
      </c>
      <c r="S57" s="1" t="s">
        <v>131</v>
      </c>
      <c r="T57" s="23" t="e">
        <f>H57/H64</f>
        <v>#DIV/0!</v>
      </c>
      <c r="U57" s="25" t="e">
        <f>I57/I64</f>
        <v>#DIV/0!</v>
      </c>
      <c r="V57" s="28" t="e">
        <f>J57/J64</f>
        <v>#DIV/0!</v>
      </c>
      <c r="W57" s="23" t="e">
        <f>K57/K64</f>
        <v>#DIV/0!</v>
      </c>
      <c r="Y57" s="1" t="s">
        <v>131</v>
      </c>
      <c r="Z57" s="86">
        <f t="shared" ref="Z57:Z64" si="115">H57-B57</f>
        <v>-5766.2773637606815</v>
      </c>
      <c r="AA57" s="73">
        <f t="shared" si="106"/>
        <v>-1323.0409622360712</v>
      </c>
      <c r="AB57" s="87">
        <f t="shared" si="107"/>
        <v>-9146.5206163594812</v>
      </c>
      <c r="AC57" s="73">
        <f t="shared" si="108"/>
        <v>-16235.838942356233</v>
      </c>
      <c r="AE57" s="1" t="s">
        <v>131</v>
      </c>
      <c r="AF57" s="35" t="e">
        <f t="shared" ref="AF57:AF64" si="116">T57-N57</f>
        <v>#DIV/0!</v>
      </c>
      <c r="AG57" s="32" t="e">
        <f t="shared" si="109"/>
        <v>#DIV/0!</v>
      </c>
      <c r="AH57" s="36" t="e">
        <f t="shared" si="110"/>
        <v>#DIV/0!</v>
      </c>
      <c r="AI57" s="32" t="e">
        <f t="shared" si="111"/>
        <v>#DIV/0!</v>
      </c>
      <c r="AK57" s="1" t="s">
        <v>131</v>
      </c>
      <c r="AL57" s="47">
        <f>constants!W58</f>
        <v>0.6019502344012182</v>
      </c>
      <c r="AM57" s="48" t="e">
        <f t="shared" si="112"/>
        <v>#DIV/0!</v>
      </c>
      <c r="AN57" s="49" t="e">
        <f t="shared" ref="AN57:AN63" si="117">AL57+AM57</f>
        <v>#DIV/0!</v>
      </c>
      <c r="AO57" s="32"/>
      <c r="AP57" s="1" t="s">
        <v>131</v>
      </c>
      <c r="AQ57" s="61">
        <f t="shared" ref="AQ57:AQ63" si="118">N57</f>
        <v>0.13135416859198154</v>
      </c>
      <c r="AR57" s="60" t="e">
        <f t="shared" ref="AR57:AR63" si="119">T57</f>
        <v>#DIV/0!</v>
      </c>
      <c r="AS57" s="61">
        <f t="shared" ref="AS57:AS63" si="120">O57</f>
        <v>0.10495734281664855</v>
      </c>
      <c r="AT57" s="62" t="e">
        <f t="shared" ref="AT57:AT63" si="121">U57</f>
        <v>#DIV/0!</v>
      </c>
      <c r="AU57" s="60">
        <f t="shared" ref="AU57:AU63" si="122">P57</f>
        <v>0.15464276365006102</v>
      </c>
      <c r="AV57" s="60" t="e">
        <f t="shared" ref="AV57:AV63" si="123">V57</f>
        <v>#DIV/0!</v>
      </c>
      <c r="AW57" s="61">
        <f t="shared" ref="AW57:AW63" si="124">Q57</f>
        <v>0.14038730011897646</v>
      </c>
      <c r="AX57" s="62" t="e">
        <f t="shared" ref="AX57:AX63" si="125">W57</f>
        <v>#DIV/0!</v>
      </c>
    </row>
    <row r="58" spans="1:50" x14ac:dyDescent="0.2">
      <c r="A58" s="1" t="s">
        <v>133</v>
      </c>
      <c r="B58" s="92">
        <f>targets!O114</f>
        <v>0</v>
      </c>
      <c r="C58" s="92">
        <f>targets!P114</f>
        <v>75.09714962493419</v>
      </c>
      <c r="D58" s="92">
        <f>targets!Q114</f>
        <v>255.73484235730268</v>
      </c>
      <c r="E58" s="92">
        <f t="shared" si="113"/>
        <v>330.8319919822369</v>
      </c>
      <c r="G58" s="1" t="s">
        <v>133</v>
      </c>
      <c r="H58" s="9">
        <f t="array" ref="H58">SUM(IF((modeldata!$Q:$Q=$G$54)*(modeldata!$M:$M=$G58),modeldata!N:N,0))</f>
        <v>0</v>
      </c>
      <c r="I58" s="5">
        <f t="array" ref="I58">SUM(IF((modeldata!$Q:$Q=$G$54)*(modeldata!$M:$M=$G58),modeldata!O:O,0))</f>
        <v>0</v>
      </c>
      <c r="J58" s="10">
        <f t="array" ref="J58">SUM(IF((modeldata!$Q:$Q=$G$54)*(modeldata!$M:$M=$G58),modeldata!P:P,0))</f>
        <v>0</v>
      </c>
      <c r="K58" s="5">
        <f t="shared" si="114"/>
        <v>0</v>
      </c>
      <c r="M58" s="1" t="s">
        <v>133</v>
      </c>
      <c r="N58" s="23">
        <f>B58/B64</f>
        <v>0</v>
      </c>
      <c r="O58" s="25">
        <f>C58/C64</f>
        <v>5.9574854465700034E-3</v>
      </c>
      <c r="P58" s="28">
        <f>D58/D64</f>
        <v>4.3237799861305919E-3</v>
      </c>
      <c r="Q58" s="23">
        <f>E58/E64</f>
        <v>2.8606227440581404E-3</v>
      </c>
      <c r="S58" s="1" t="s">
        <v>133</v>
      </c>
      <c r="T58" s="23" t="e">
        <f>H58/H64</f>
        <v>#DIV/0!</v>
      </c>
      <c r="U58" s="25" t="e">
        <f>I58/I64</f>
        <v>#DIV/0!</v>
      </c>
      <c r="V58" s="28" t="e">
        <f>J58/J64</f>
        <v>#DIV/0!</v>
      </c>
      <c r="W58" s="23" t="e">
        <f>K58/K64</f>
        <v>#DIV/0!</v>
      </c>
      <c r="Y58" s="1" t="s">
        <v>133</v>
      </c>
      <c r="Z58" s="86">
        <f t="shared" si="115"/>
        <v>0</v>
      </c>
      <c r="AA58" s="73">
        <f t="shared" si="106"/>
        <v>-75.09714962493419</v>
      </c>
      <c r="AB58" s="87">
        <f t="shared" si="107"/>
        <v>-255.73484235730268</v>
      </c>
      <c r="AC58" s="73">
        <f t="shared" si="108"/>
        <v>-330.8319919822369</v>
      </c>
      <c r="AE58" s="1" t="s">
        <v>133</v>
      </c>
      <c r="AF58" s="35" t="e">
        <f t="shared" si="116"/>
        <v>#DIV/0!</v>
      </c>
      <c r="AG58" s="32" t="e">
        <f t="shared" si="109"/>
        <v>#DIV/0!</v>
      </c>
      <c r="AH58" s="36" t="e">
        <f t="shared" si="110"/>
        <v>#DIV/0!</v>
      </c>
      <c r="AI58" s="32" t="e">
        <f t="shared" si="111"/>
        <v>#DIV/0!</v>
      </c>
      <c r="AK58" s="1" t="s">
        <v>133</v>
      </c>
      <c r="AL58" s="47">
        <f>constants!W59</f>
        <v>0.52055117688581609</v>
      </c>
      <c r="AM58" s="48" t="e">
        <f t="shared" si="112"/>
        <v>#DIV/0!</v>
      </c>
      <c r="AN58" s="49" t="e">
        <f t="shared" si="117"/>
        <v>#DIV/0!</v>
      </c>
      <c r="AO58" s="32"/>
      <c r="AP58" s="1" t="s">
        <v>133</v>
      </c>
      <c r="AQ58" s="61">
        <f t="shared" si="118"/>
        <v>0</v>
      </c>
      <c r="AR58" s="60" t="e">
        <f t="shared" si="119"/>
        <v>#DIV/0!</v>
      </c>
      <c r="AS58" s="61">
        <f t="shared" si="120"/>
        <v>5.9574854465700034E-3</v>
      </c>
      <c r="AT58" s="62" t="e">
        <f t="shared" si="121"/>
        <v>#DIV/0!</v>
      </c>
      <c r="AU58" s="60">
        <f t="shared" si="122"/>
        <v>4.3237799861305919E-3</v>
      </c>
      <c r="AV58" s="60" t="e">
        <f t="shared" si="123"/>
        <v>#DIV/0!</v>
      </c>
      <c r="AW58" s="61">
        <f t="shared" si="124"/>
        <v>2.8606227440581404E-3</v>
      </c>
      <c r="AX58" s="62" t="e">
        <f t="shared" si="125"/>
        <v>#DIV/0!</v>
      </c>
    </row>
    <row r="59" spans="1:50" x14ac:dyDescent="0.2">
      <c r="A59" s="1" t="s">
        <v>129</v>
      </c>
      <c r="B59" s="92">
        <f>targets!O109</f>
        <v>91.467385450446614</v>
      </c>
      <c r="C59" s="92">
        <f>targets!P109</f>
        <v>0</v>
      </c>
      <c r="D59" s="92">
        <f>targets!Q109</f>
        <v>42.042793364129501</v>
      </c>
      <c r="E59" s="92"/>
      <c r="G59" s="1" t="s">
        <v>129</v>
      </c>
      <c r="H59" s="9">
        <f t="array" ref="H59">SUM(IF((modeldata!$Q:$Q=$G$54)*(modeldata!$M:$M=$G59),modeldata!N:N,0))</f>
        <v>0</v>
      </c>
      <c r="I59" s="5">
        <f t="array" ref="I59">SUM(IF((modeldata!$Q:$Q=$G$54)*(modeldata!$M:$M=$G59),modeldata!O:O,0))</f>
        <v>0</v>
      </c>
      <c r="J59" s="10">
        <f t="array" ref="J59">SUM(IF((modeldata!$Q:$Q=$G$54)*(modeldata!$M:$M=$G59),modeldata!P:P,0))</f>
        <v>0</v>
      </c>
      <c r="K59" s="5">
        <f t="shared" ref="K59:K60" si="126">SUM(H59:J59)</f>
        <v>0</v>
      </c>
      <c r="M59" s="1" t="s">
        <v>129</v>
      </c>
      <c r="N59" s="23">
        <f>B59/B64</f>
        <v>2.083601188634111E-3</v>
      </c>
      <c r="O59" s="25">
        <f>C59/C64</f>
        <v>0</v>
      </c>
      <c r="P59" s="28">
        <f>D59/D64</f>
        <v>7.1082918085469955E-4</v>
      </c>
      <c r="Q59" s="23">
        <f>E59/E64</f>
        <v>0</v>
      </c>
      <c r="S59" s="1" t="s">
        <v>129</v>
      </c>
      <c r="T59" s="23" t="e">
        <f>H59/H64</f>
        <v>#DIV/0!</v>
      </c>
      <c r="U59" s="25" t="e">
        <f>I59/I64</f>
        <v>#DIV/0!</v>
      </c>
      <c r="V59" s="28" t="e">
        <f>J59/J64</f>
        <v>#DIV/0!</v>
      </c>
      <c r="W59" s="23" t="e">
        <f>K59/K64</f>
        <v>#DIV/0!</v>
      </c>
      <c r="Y59" s="1" t="s">
        <v>129</v>
      </c>
      <c r="Z59" s="86">
        <f t="shared" si="115"/>
        <v>-91.467385450446614</v>
      </c>
      <c r="AA59" s="73">
        <f t="shared" si="106"/>
        <v>0</v>
      </c>
      <c r="AB59" s="87">
        <f t="shared" si="107"/>
        <v>-42.042793364129501</v>
      </c>
      <c r="AC59" s="73">
        <f t="shared" si="108"/>
        <v>0</v>
      </c>
      <c r="AE59" s="1" t="s">
        <v>129</v>
      </c>
      <c r="AF59" s="35" t="e">
        <f t="shared" si="116"/>
        <v>#DIV/0!</v>
      </c>
      <c r="AG59" s="32" t="e">
        <f t="shared" si="109"/>
        <v>#DIV/0!</v>
      </c>
      <c r="AH59" s="36" t="e">
        <f t="shared" si="110"/>
        <v>#DIV/0!</v>
      </c>
      <c r="AI59" s="32" t="e">
        <f t="shared" si="111"/>
        <v>#DIV/0!</v>
      </c>
      <c r="AK59" s="1" t="s">
        <v>129</v>
      </c>
      <c r="AL59" s="47">
        <f>constants!G99</f>
        <v>0</v>
      </c>
      <c r="AM59" s="48" t="e">
        <f t="shared" ref="AM59:AM60" si="127">IF(AND(Q59&gt;0, W59&gt;0),sub_university_damp*LN(Q59/W59),0)</f>
        <v>#DIV/0!</v>
      </c>
      <c r="AN59" s="49" t="e">
        <f t="shared" si="117"/>
        <v>#DIV/0!</v>
      </c>
      <c r="AO59" s="32"/>
      <c r="AP59" s="1" t="s">
        <v>129</v>
      </c>
      <c r="AQ59" s="61">
        <f t="shared" si="118"/>
        <v>2.083601188634111E-3</v>
      </c>
      <c r="AR59" s="60" t="e">
        <f t="shared" si="119"/>
        <v>#DIV/0!</v>
      </c>
      <c r="AS59" s="61">
        <f t="shared" si="120"/>
        <v>0</v>
      </c>
      <c r="AT59" s="62" t="e">
        <f t="shared" si="121"/>
        <v>#DIV/0!</v>
      </c>
      <c r="AU59" s="60">
        <f t="shared" si="122"/>
        <v>7.1082918085469955E-4</v>
      </c>
      <c r="AV59" s="60" t="e">
        <f t="shared" si="123"/>
        <v>#DIV/0!</v>
      </c>
      <c r="AW59" s="61">
        <f t="shared" si="124"/>
        <v>0</v>
      </c>
      <c r="AX59" s="62" t="e">
        <f t="shared" si="125"/>
        <v>#DIV/0!</v>
      </c>
    </row>
    <row r="60" spans="1:50" x14ac:dyDescent="0.2">
      <c r="A60" s="1" t="s">
        <v>132</v>
      </c>
      <c r="B60" s="92">
        <f>targets!O115</f>
        <v>0</v>
      </c>
      <c r="C60" s="92">
        <f>targets!P115</f>
        <v>0</v>
      </c>
      <c r="D60" s="92">
        <f>targets!Q115</f>
        <v>63.66562047281576</v>
      </c>
      <c r="E60" s="92"/>
      <c r="G60" s="1" t="s">
        <v>132</v>
      </c>
      <c r="H60" s="9">
        <f t="array" ref="H60">SUM(IF((modeldata!$Q:$Q=$G$54)*(modeldata!$M:$M=$G60),modeldata!N:N,0))</f>
        <v>0</v>
      </c>
      <c r="I60" s="5">
        <f t="array" ref="I60">SUM(IF((modeldata!$Q:$Q=$G$54)*(modeldata!$M:$M=$G60),modeldata!O:O,0))</f>
        <v>0</v>
      </c>
      <c r="J60" s="10">
        <f t="array" ref="J60">SUM(IF((modeldata!$Q:$Q=$G$54)*(modeldata!$M:$M=$G60),modeldata!P:P,0))</f>
        <v>0</v>
      </c>
      <c r="K60" s="5">
        <f t="shared" si="126"/>
        <v>0</v>
      </c>
      <c r="M60" s="1" t="s">
        <v>132</v>
      </c>
      <c r="N60" s="23">
        <f>B60/B64</f>
        <v>0</v>
      </c>
      <c r="O60" s="25">
        <f>C60/C64</f>
        <v>0</v>
      </c>
      <c r="P60" s="28">
        <f>D60/D64</f>
        <v>1.0764123224958992E-3</v>
      </c>
      <c r="Q60" s="23">
        <f>E60/E64</f>
        <v>0</v>
      </c>
      <c r="S60" s="1" t="s">
        <v>132</v>
      </c>
      <c r="T60" s="23" t="e">
        <f>H60/H64</f>
        <v>#DIV/0!</v>
      </c>
      <c r="U60" s="25" t="e">
        <f>I60/I64</f>
        <v>#DIV/0!</v>
      </c>
      <c r="V60" s="28" t="e">
        <f>J60/J64</f>
        <v>#DIV/0!</v>
      </c>
      <c r="W60" s="23" t="e">
        <f>K60/K64</f>
        <v>#DIV/0!</v>
      </c>
      <c r="Y60" s="1" t="s">
        <v>132</v>
      </c>
      <c r="Z60" s="86">
        <f t="shared" si="115"/>
        <v>0</v>
      </c>
      <c r="AA60" s="73">
        <f t="shared" si="106"/>
        <v>0</v>
      </c>
      <c r="AB60" s="87">
        <f t="shared" si="107"/>
        <v>-63.66562047281576</v>
      </c>
      <c r="AC60" s="73">
        <f t="shared" si="108"/>
        <v>0</v>
      </c>
      <c r="AE60" s="1" t="s">
        <v>132</v>
      </c>
      <c r="AF60" s="35" t="e">
        <f t="shared" si="116"/>
        <v>#DIV/0!</v>
      </c>
      <c r="AG60" s="32" t="e">
        <f t="shared" si="109"/>
        <v>#DIV/0!</v>
      </c>
      <c r="AH60" s="36" t="e">
        <f t="shared" si="110"/>
        <v>#DIV/0!</v>
      </c>
      <c r="AI60" s="32" t="e">
        <f t="shared" si="111"/>
        <v>#DIV/0!</v>
      </c>
      <c r="AK60" s="1" t="s">
        <v>132</v>
      </c>
      <c r="AL60" s="47">
        <f>constants!G100</f>
        <v>0</v>
      </c>
      <c r="AM60" s="48" t="e">
        <f t="shared" si="127"/>
        <v>#DIV/0!</v>
      </c>
      <c r="AN60" s="49" t="e">
        <f t="shared" si="117"/>
        <v>#DIV/0!</v>
      </c>
      <c r="AO60" s="32"/>
      <c r="AP60" s="1" t="s">
        <v>132</v>
      </c>
      <c r="AQ60" s="61">
        <f t="shared" si="118"/>
        <v>0</v>
      </c>
      <c r="AR60" s="60" t="e">
        <f t="shared" si="119"/>
        <v>#DIV/0!</v>
      </c>
      <c r="AS60" s="61">
        <f t="shared" si="120"/>
        <v>0</v>
      </c>
      <c r="AT60" s="62" t="e">
        <f t="shared" si="121"/>
        <v>#DIV/0!</v>
      </c>
      <c r="AU60" s="60">
        <f t="shared" si="122"/>
        <v>1.0764123224958992E-3</v>
      </c>
      <c r="AV60" s="60" t="e">
        <f t="shared" si="123"/>
        <v>#DIV/0!</v>
      </c>
      <c r="AW60" s="61">
        <f t="shared" si="124"/>
        <v>0</v>
      </c>
      <c r="AX60" s="62" t="e">
        <f t="shared" si="125"/>
        <v>#DIV/0!</v>
      </c>
    </row>
    <row r="61" spans="1:50" x14ac:dyDescent="0.2">
      <c r="A61" s="1" t="s">
        <v>123</v>
      </c>
      <c r="B61" s="92">
        <f>targets!O110+targets!O116</f>
        <v>289.59253955314261</v>
      </c>
      <c r="C61" s="92">
        <f>targets!P110+targets!P116</f>
        <v>278.53449637941856</v>
      </c>
      <c r="D61" s="92">
        <f>targets!Q110+targets!Q116</f>
        <v>1007.6807091932482</v>
      </c>
      <c r="E61" s="92">
        <f t="shared" si="113"/>
        <v>1575.8077451258093</v>
      </c>
      <c r="G61" s="1" t="s">
        <v>123</v>
      </c>
      <c r="H61" s="9">
        <f t="array" ref="H61">SUM(IF((modeldata!$Q:$Q=$G$54)*(modeldata!$M:$M=$G61),modeldata!N:N,0))</f>
        <v>0</v>
      </c>
      <c r="I61" s="5">
        <f t="array" ref="I61">SUM(IF((modeldata!$Q:$Q=$G$54)*(modeldata!$M:$M=$G61),modeldata!O:O,0))</f>
        <v>0</v>
      </c>
      <c r="J61" s="10">
        <f t="array" ref="J61">SUM(IF((modeldata!$Q:$Q=$G$54)*(modeldata!$M:$M=$G61),modeldata!P:P,0))</f>
        <v>0</v>
      </c>
      <c r="K61" s="5">
        <f t="shared" si="114"/>
        <v>0</v>
      </c>
      <c r="M61" s="1" t="s">
        <v>123</v>
      </c>
      <c r="N61" s="23">
        <f>B61/B64</f>
        <v>6.5968362018983739E-3</v>
      </c>
      <c r="O61" s="25">
        <f>C61/C64</f>
        <v>2.2096247551813063E-2</v>
      </c>
      <c r="P61" s="28">
        <f>D61/D64</f>
        <v>1.7037137539249472E-2</v>
      </c>
      <c r="Q61" s="23">
        <f>E61/E64</f>
        <v>1.3625621418777108E-2</v>
      </c>
      <c r="S61" s="1" t="s">
        <v>123</v>
      </c>
      <c r="T61" s="23" t="e">
        <f>H61/H64</f>
        <v>#DIV/0!</v>
      </c>
      <c r="U61" s="25" t="e">
        <f>I61/I64</f>
        <v>#DIV/0!</v>
      </c>
      <c r="V61" s="28" t="e">
        <f>J61/J64</f>
        <v>#DIV/0!</v>
      </c>
      <c r="W61" s="23" t="e">
        <f>K61/K64</f>
        <v>#DIV/0!</v>
      </c>
      <c r="Y61" s="1" t="s">
        <v>123</v>
      </c>
      <c r="Z61" s="86">
        <f t="shared" si="115"/>
        <v>-289.59253955314261</v>
      </c>
      <c r="AA61" s="73">
        <f t="shared" si="106"/>
        <v>-278.53449637941856</v>
      </c>
      <c r="AB61" s="87">
        <f t="shared" si="107"/>
        <v>-1007.6807091932482</v>
      </c>
      <c r="AC61" s="73">
        <f t="shared" si="108"/>
        <v>-1575.8077451258093</v>
      </c>
      <c r="AE61" s="1" t="s">
        <v>123</v>
      </c>
      <c r="AF61" s="35" t="e">
        <f t="shared" si="116"/>
        <v>#DIV/0!</v>
      </c>
      <c r="AG61" s="32" t="e">
        <f t="shared" si="109"/>
        <v>#DIV/0!</v>
      </c>
      <c r="AH61" s="36" t="e">
        <f t="shared" si="110"/>
        <v>#DIV/0!</v>
      </c>
      <c r="AI61" s="32" t="e">
        <f t="shared" si="111"/>
        <v>#DIV/0!</v>
      </c>
      <c r="AK61" s="1" t="s">
        <v>123</v>
      </c>
      <c r="AL61" s="47">
        <f>constants!W62</f>
        <v>-1.1532484255161255</v>
      </c>
      <c r="AM61" s="48" t="e">
        <f t="shared" si="112"/>
        <v>#DIV/0!</v>
      </c>
      <c r="AN61" s="49" t="e">
        <f t="shared" si="117"/>
        <v>#DIV/0!</v>
      </c>
      <c r="AO61" s="32"/>
      <c r="AP61" s="1" t="s">
        <v>123</v>
      </c>
      <c r="AQ61" s="61">
        <f t="shared" si="118"/>
        <v>6.5968362018983739E-3</v>
      </c>
      <c r="AR61" s="60" t="e">
        <f t="shared" si="119"/>
        <v>#DIV/0!</v>
      </c>
      <c r="AS61" s="61">
        <f t="shared" si="120"/>
        <v>2.2096247551813063E-2</v>
      </c>
      <c r="AT61" s="62" t="e">
        <f t="shared" si="121"/>
        <v>#DIV/0!</v>
      </c>
      <c r="AU61" s="60">
        <f t="shared" si="122"/>
        <v>1.7037137539249472E-2</v>
      </c>
      <c r="AV61" s="60" t="e">
        <f t="shared" si="123"/>
        <v>#DIV/0!</v>
      </c>
      <c r="AW61" s="61">
        <f t="shared" si="124"/>
        <v>1.3625621418777108E-2</v>
      </c>
      <c r="AX61" s="62" t="e">
        <f t="shared" si="125"/>
        <v>#DIV/0!</v>
      </c>
    </row>
    <row r="62" spans="1:50" x14ac:dyDescent="0.2">
      <c r="A62" s="1" t="s">
        <v>124</v>
      </c>
      <c r="B62" s="92">
        <f>targets!O111+targets!O117</f>
        <v>3877.2935706909452</v>
      </c>
      <c r="C62" s="92">
        <f>targets!P111+targets!P117</f>
        <v>1756.1404396847079</v>
      </c>
      <c r="D62" s="92">
        <f>targets!Q111+targets!Q117</f>
        <v>15030.645415739706</v>
      </c>
      <c r="E62" s="92">
        <f t="shared" si="113"/>
        <v>20664.079426115357</v>
      </c>
      <c r="G62" s="1" t="s">
        <v>124</v>
      </c>
      <c r="H62" s="9">
        <f t="array" ref="H62">SUM(IF((modeldata!$Q:$Q=$G$54)*(modeldata!$M:$M=$G62),modeldata!N:N,0))</f>
        <v>0</v>
      </c>
      <c r="I62" s="5">
        <f t="array" ref="I62">SUM(IF((modeldata!$Q:$Q=$G$54)*(modeldata!$M:$M=$G62),modeldata!O:O,0))</f>
        <v>0</v>
      </c>
      <c r="J62" s="10">
        <f t="array" ref="J62">SUM(IF((modeldata!$Q:$Q=$G$54)*(modeldata!$M:$M=$G62),modeldata!P:P,0))</f>
        <v>0</v>
      </c>
      <c r="K62" s="5">
        <f t="shared" si="114"/>
        <v>0</v>
      </c>
      <c r="M62" s="1" t="s">
        <v>124</v>
      </c>
      <c r="N62" s="23">
        <f>B62/B64</f>
        <v>8.832365167966659E-2</v>
      </c>
      <c r="O62" s="25">
        <f>C62/C64</f>
        <v>0.13931528911293034</v>
      </c>
      <c r="P62" s="28">
        <f>D62/D64</f>
        <v>0.25412729539763107</v>
      </c>
      <c r="Q62" s="23">
        <f>E62/E64</f>
        <v>0.17867720481682839</v>
      </c>
      <c r="S62" s="1" t="s">
        <v>124</v>
      </c>
      <c r="T62" s="23" t="e">
        <f>H62/H64</f>
        <v>#DIV/0!</v>
      </c>
      <c r="U62" s="25" t="e">
        <f>I62/I64</f>
        <v>#DIV/0!</v>
      </c>
      <c r="V62" s="28" t="e">
        <f>J62/J64</f>
        <v>#DIV/0!</v>
      </c>
      <c r="W62" s="23" t="e">
        <f>K62/K64</f>
        <v>#DIV/0!</v>
      </c>
      <c r="Y62" s="1" t="s">
        <v>124</v>
      </c>
      <c r="Z62" s="86">
        <f t="shared" si="115"/>
        <v>-3877.2935706909452</v>
      </c>
      <c r="AA62" s="73">
        <f t="shared" si="106"/>
        <v>-1756.1404396847079</v>
      </c>
      <c r="AB62" s="87">
        <f t="shared" si="107"/>
        <v>-15030.645415739706</v>
      </c>
      <c r="AC62" s="73">
        <f t="shared" si="108"/>
        <v>-20664.079426115357</v>
      </c>
      <c r="AE62" s="1" t="s">
        <v>124</v>
      </c>
      <c r="AF62" s="35" t="e">
        <f t="shared" si="116"/>
        <v>#DIV/0!</v>
      </c>
      <c r="AG62" s="32" t="e">
        <f t="shared" si="109"/>
        <v>#DIV/0!</v>
      </c>
      <c r="AH62" s="36" t="e">
        <f t="shared" si="110"/>
        <v>#DIV/0!</v>
      </c>
      <c r="AI62" s="32" t="e">
        <f t="shared" si="111"/>
        <v>#DIV/0!</v>
      </c>
      <c r="AK62" s="1" t="s">
        <v>124</v>
      </c>
      <c r="AL62" s="47">
        <f>constants!W63</f>
        <v>1.0723056844191379</v>
      </c>
      <c r="AM62" s="48" t="e">
        <f t="shared" si="112"/>
        <v>#DIV/0!</v>
      </c>
      <c r="AN62" s="49" t="e">
        <f t="shared" si="117"/>
        <v>#DIV/0!</v>
      </c>
      <c r="AO62" s="32"/>
      <c r="AP62" s="1" t="s">
        <v>124</v>
      </c>
      <c r="AQ62" s="61">
        <f t="shared" si="118"/>
        <v>8.832365167966659E-2</v>
      </c>
      <c r="AR62" s="60" t="e">
        <f t="shared" si="119"/>
        <v>#DIV/0!</v>
      </c>
      <c r="AS62" s="61">
        <f t="shared" si="120"/>
        <v>0.13931528911293034</v>
      </c>
      <c r="AT62" s="62" t="e">
        <f t="shared" si="121"/>
        <v>#DIV/0!</v>
      </c>
      <c r="AU62" s="60">
        <f t="shared" si="122"/>
        <v>0.25412729539763107</v>
      </c>
      <c r="AV62" s="60" t="e">
        <f t="shared" si="123"/>
        <v>#DIV/0!</v>
      </c>
      <c r="AW62" s="61">
        <f t="shared" si="124"/>
        <v>0.17867720481682839</v>
      </c>
      <c r="AX62" s="62" t="e">
        <f t="shared" si="125"/>
        <v>#DIV/0!</v>
      </c>
    </row>
    <row r="63" spans="1:50" x14ac:dyDescent="0.2">
      <c r="A63" s="1" t="s">
        <v>125</v>
      </c>
      <c r="B63" s="92">
        <f>targets!O112+targets!O118</f>
        <v>2745.6961552437883</v>
      </c>
      <c r="C63" s="92">
        <f>targets!P112+targets!P118</f>
        <v>692.8130517093357</v>
      </c>
      <c r="D63" s="92">
        <f>targets!Q112+targets!Q118</f>
        <v>372.91637971285309</v>
      </c>
      <c r="E63" s="92">
        <f t="shared" si="113"/>
        <v>3811.4255866659769</v>
      </c>
      <c r="G63" s="1" t="s">
        <v>125</v>
      </c>
      <c r="H63" s="11">
        <f t="array" ref="H63">SUM(IF((modeldata!$Q:$Q=$G$54)*(modeldata!$M:$M=$G63),modeldata!N:N,0))</f>
        <v>0</v>
      </c>
      <c r="I63" s="12">
        <f t="array" ref="I63">SUM(IF((modeldata!$Q:$Q=$G$54)*(modeldata!$M:$M=$G63),modeldata!O:O,0))</f>
        <v>0</v>
      </c>
      <c r="J63" s="13">
        <f t="array" ref="J63">SUM(IF((modeldata!$Q:$Q=$G$54)*(modeldata!$M:$M=$G63),modeldata!P:P,0))</f>
        <v>0</v>
      </c>
      <c r="K63" s="5">
        <f t="shared" si="114"/>
        <v>0</v>
      </c>
      <c r="M63" s="1" t="s">
        <v>125</v>
      </c>
      <c r="N63" s="24">
        <f>B63/B64</f>
        <v>6.2546182385342597E-2</v>
      </c>
      <c r="O63" s="29">
        <f>C63/C64</f>
        <v>5.4961122936971071E-2</v>
      </c>
      <c r="P63" s="30">
        <f>D63/D64</f>
        <v>6.3050007743955232E-3</v>
      </c>
      <c r="Q63" s="23">
        <f>E63/E64</f>
        <v>3.2956458216674651E-2</v>
      </c>
      <c r="S63" s="1" t="s">
        <v>125</v>
      </c>
      <c r="T63" s="24" t="e">
        <f>H63/H64</f>
        <v>#DIV/0!</v>
      </c>
      <c r="U63" s="29" t="e">
        <f>I63/I64</f>
        <v>#DIV/0!</v>
      </c>
      <c r="V63" s="30" t="e">
        <f>J63/J64</f>
        <v>#DIV/0!</v>
      </c>
      <c r="W63" s="23" t="e">
        <f>K63/K64</f>
        <v>#DIV/0!</v>
      </c>
      <c r="Y63" s="1" t="s">
        <v>125</v>
      </c>
      <c r="Z63" s="88">
        <f t="shared" si="115"/>
        <v>-2745.6961552437883</v>
      </c>
      <c r="AA63" s="72">
        <f t="shared" si="106"/>
        <v>-692.8130517093357</v>
      </c>
      <c r="AB63" s="89">
        <f t="shared" si="107"/>
        <v>-372.91637971285309</v>
      </c>
      <c r="AC63" s="73">
        <f t="shared" si="108"/>
        <v>-3811.4255866659769</v>
      </c>
      <c r="AE63" s="1" t="s">
        <v>125</v>
      </c>
      <c r="AF63" s="37" t="e">
        <f t="shared" si="116"/>
        <v>#DIV/0!</v>
      </c>
      <c r="AG63" s="38" t="e">
        <f t="shared" si="109"/>
        <v>#DIV/0!</v>
      </c>
      <c r="AH63" s="39" t="e">
        <f t="shared" si="110"/>
        <v>#DIV/0!</v>
      </c>
      <c r="AI63" s="32" t="e">
        <f t="shared" si="111"/>
        <v>#DIV/0!</v>
      </c>
      <c r="AK63" s="1" t="s">
        <v>125</v>
      </c>
      <c r="AL63" s="50">
        <f>constants!W64</f>
        <v>2.1910289036197326</v>
      </c>
      <c r="AM63" s="51" t="e">
        <f t="shared" si="112"/>
        <v>#DIV/0!</v>
      </c>
      <c r="AN63" s="52" t="e">
        <f t="shared" si="117"/>
        <v>#DIV/0!</v>
      </c>
      <c r="AO63" s="32"/>
      <c r="AP63" s="1" t="s">
        <v>125</v>
      </c>
      <c r="AQ63" s="63">
        <f t="shared" si="118"/>
        <v>6.2546182385342597E-2</v>
      </c>
      <c r="AR63" s="64" t="e">
        <f t="shared" si="119"/>
        <v>#DIV/0!</v>
      </c>
      <c r="AS63" s="63">
        <f t="shared" si="120"/>
        <v>5.4961122936971071E-2</v>
      </c>
      <c r="AT63" s="65" t="e">
        <f t="shared" si="121"/>
        <v>#DIV/0!</v>
      </c>
      <c r="AU63" s="64">
        <f t="shared" si="122"/>
        <v>6.3050007743955232E-3</v>
      </c>
      <c r="AV63" s="64" t="e">
        <f t="shared" si="123"/>
        <v>#DIV/0!</v>
      </c>
      <c r="AW63" s="63">
        <f t="shared" si="124"/>
        <v>3.2956458216674651E-2</v>
      </c>
      <c r="AX63" s="65" t="e">
        <f t="shared" si="125"/>
        <v>#DIV/0!</v>
      </c>
    </row>
    <row r="64" spans="1:50" x14ac:dyDescent="0.2">
      <c r="A64" s="1" t="s">
        <v>1</v>
      </c>
      <c r="B64" s="92">
        <f>SUM(B56:B63)</f>
        <v>43898.700936337707</v>
      </c>
      <c r="C64" s="92">
        <f>SUM(C56:C63)</f>
        <v>12605.511217517291</v>
      </c>
      <c r="D64" s="92">
        <f>SUM(D56:D63)</f>
        <v>59146.127503625175</v>
      </c>
      <c r="E64" s="92">
        <f t="shared" si="113"/>
        <v>115650.33965748017</v>
      </c>
      <c r="G64" s="1" t="s">
        <v>1</v>
      </c>
      <c r="H64" s="5">
        <f>SUM(H56:H63)</f>
        <v>0</v>
      </c>
      <c r="I64" s="5">
        <f>SUM(I56:I63)</f>
        <v>0</v>
      </c>
      <c r="J64" s="5">
        <f>SUM(J56:J63)</f>
        <v>0</v>
      </c>
      <c r="K64" s="5">
        <f t="shared" si="114"/>
        <v>0</v>
      </c>
      <c r="M64" s="1" t="s">
        <v>1</v>
      </c>
      <c r="N64" s="25">
        <f>SUM(N56:N63)</f>
        <v>1</v>
      </c>
      <c r="O64" s="25">
        <f>SUM(O56:O63)</f>
        <v>1</v>
      </c>
      <c r="P64" s="25">
        <f>SUM(P56:P63)</f>
        <v>0.99999999999999989</v>
      </c>
      <c r="Q64" s="25">
        <f>SUM(Q56:Q63)</f>
        <v>0.99829506943195001</v>
      </c>
      <c r="S64" s="1" t="s">
        <v>1</v>
      </c>
      <c r="T64" s="25" t="e">
        <f>SUM(T56:T63)</f>
        <v>#DIV/0!</v>
      </c>
      <c r="U64" s="25" t="e">
        <f>SUM(U56:U63)</f>
        <v>#DIV/0!</v>
      </c>
      <c r="V64" s="25" t="e">
        <f>SUM(V56:V63)</f>
        <v>#DIV/0!</v>
      </c>
      <c r="W64" s="25" t="e">
        <f>SUM(W56:W63)</f>
        <v>#DIV/0!</v>
      </c>
      <c r="Y64" s="1" t="s">
        <v>1</v>
      </c>
      <c r="Z64" s="73">
        <f t="shared" si="115"/>
        <v>-43898.700936337707</v>
      </c>
      <c r="AA64" s="73">
        <f t="shared" si="106"/>
        <v>-12605.511217517291</v>
      </c>
      <c r="AB64" s="73">
        <f t="shared" si="107"/>
        <v>-59146.127503625175</v>
      </c>
      <c r="AC64" s="73">
        <f t="shared" si="108"/>
        <v>-115650.33965748017</v>
      </c>
      <c r="AE64" s="1" t="s">
        <v>1</v>
      </c>
      <c r="AF64" s="32" t="e">
        <f t="shared" si="116"/>
        <v>#DIV/0!</v>
      </c>
      <c r="AG64" s="32" t="e">
        <f t="shared" si="109"/>
        <v>#DIV/0!</v>
      </c>
      <c r="AH64" s="32" t="e">
        <f t="shared" si="110"/>
        <v>#DIV/0!</v>
      </c>
      <c r="AI64" s="32" t="e">
        <f t="shared" si="111"/>
        <v>#DIV/0!</v>
      </c>
      <c r="AK64" s="1" t="s">
        <v>1</v>
      </c>
      <c r="AL64" s="32"/>
      <c r="AM64" s="32"/>
      <c r="AN64" s="32"/>
      <c r="AO64" s="32"/>
      <c r="AP64" s="1" t="s">
        <v>1</v>
      </c>
      <c r="AQ64" s="60">
        <f t="shared" ref="AQ64:AX64" si="128">SUM(AQ56:AQ63)</f>
        <v>1</v>
      </c>
      <c r="AR64" s="60" t="e">
        <f t="shared" si="128"/>
        <v>#DIV/0!</v>
      </c>
      <c r="AS64" s="60">
        <f t="shared" si="128"/>
        <v>1</v>
      </c>
      <c r="AT64" s="60" t="e">
        <f t="shared" si="128"/>
        <v>#DIV/0!</v>
      </c>
      <c r="AU64" s="60">
        <f t="shared" si="128"/>
        <v>0.99999999999999989</v>
      </c>
      <c r="AV64" s="60" t="e">
        <f t="shared" si="128"/>
        <v>#DIV/0!</v>
      </c>
      <c r="AW64" s="60">
        <f t="shared" si="128"/>
        <v>0.99829506943195001</v>
      </c>
      <c r="AX64" s="60" t="e">
        <f t="shared" si="128"/>
        <v>#DIV/0!</v>
      </c>
    </row>
    <row r="67" spans="1:50" s="16" customFormat="1" x14ac:dyDescent="0.2">
      <c r="A67" s="15" t="s">
        <v>43</v>
      </c>
      <c r="G67" s="15" t="s">
        <v>43</v>
      </c>
      <c r="M67" s="15" t="s">
        <v>43</v>
      </c>
      <c r="S67" s="15" t="s">
        <v>43</v>
      </c>
      <c r="Y67" s="15" t="s">
        <v>43</v>
      </c>
      <c r="AE67" s="15" t="s">
        <v>43</v>
      </c>
      <c r="AK67" s="15" t="s">
        <v>43</v>
      </c>
      <c r="AP67" s="15" t="s">
        <v>43</v>
      </c>
      <c r="AQ67" s="216" t="s">
        <v>139</v>
      </c>
      <c r="AR67" s="217" t="s">
        <v>140</v>
      </c>
      <c r="AS67" s="217" t="s">
        <v>139</v>
      </c>
      <c r="AT67" s="217" t="s">
        <v>140</v>
      </c>
      <c r="AU67" s="217" t="s">
        <v>139</v>
      </c>
      <c r="AV67" s="217" t="s">
        <v>140</v>
      </c>
      <c r="AW67" s="217" t="s">
        <v>139</v>
      </c>
      <c r="AX67" s="217" t="s">
        <v>140</v>
      </c>
    </row>
    <row r="68" spans="1:50" ht="25.5" x14ac:dyDescent="0.2">
      <c r="B68" s="14" t="s">
        <v>38</v>
      </c>
      <c r="C68" s="14" t="s">
        <v>37</v>
      </c>
      <c r="D68" s="14" t="s">
        <v>0</v>
      </c>
      <c r="E68" s="17" t="s">
        <v>1</v>
      </c>
      <c r="H68" s="14" t="s">
        <v>38</v>
      </c>
      <c r="I68" s="14" t="s">
        <v>37</v>
      </c>
      <c r="J68" s="14" t="s">
        <v>0</v>
      </c>
      <c r="K68" s="17" t="s">
        <v>1</v>
      </c>
      <c r="N68" s="14" t="s">
        <v>38</v>
      </c>
      <c r="O68" s="14" t="s">
        <v>37</v>
      </c>
      <c r="P68" s="14" t="s">
        <v>0</v>
      </c>
      <c r="Q68" s="17" t="s">
        <v>1</v>
      </c>
      <c r="T68" s="14" t="s">
        <v>38</v>
      </c>
      <c r="U68" s="14" t="s">
        <v>37</v>
      </c>
      <c r="V68" s="14" t="s">
        <v>0</v>
      </c>
      <c r="W68" s="17" t="s">
        <v>1</v>
      </c>
      <c r="Z68" s="14" t="s">
        <v>38</v>
      </c>
      <c r="AA68" s="14" t="s">
        <v>37</v>
      </c>
      <c r="AB68" s="14" t="s">
        <v>0</v>
      </c>
      <c r="AC68" s="17" t="s">
        <v>1</v>
      </c>
      <c r="AF68" s="14" t="s">
        <v>38</v>
      </c>
      <c r="AG68" s="14" t="s">
        <v>37</v>
      </c>
      <c r="AH68" s="14" t="s">
        <v>0</v>
      </c>
      <c r="AI68" s="17" t="s">
        <v>1</v>
      </c>
      <c r="AK68" s="250">
        <v>0</v>
      </c>
      <c r="AL68" s="14"/>
      <c r="AM68" s="14"/>
      <c r="AN68" s="14"/>
      <c r="AO68" s="17"/>
      <c r="AQ68" s="218" t="s">
        <v>142</v>
      </c>
      <c r="AR68" s="218" t="s">
        <v>142</v>
      </c>
      <c r="AS68" s="218" t="s">
        <v>143</v>
      </c>
      <c r="AT68" s="218" t="s">
        <v>143</v>
      </c>
      <c r="AU68" s="218" t="s">
        <v>144</v>
      </c>
      <c r="AV68" s="218" t="s">
        <v>145</v>
      </c>
      <c r="AW68" s="219" t="s">
        <v>141</v>
      </c>
      <c r="AX68" s="219" t="s">
        <v>141</v>
      </c>
    </row>
    <row r="69" spans="1:50" x14ac:dyDescent="0.2">
      <c r="A69" s="1" t="s">
        <v>122</v>
      </c>
      <c r="B69" s="92">
        <f>targets!O131+targets!O137</f>
        <v>175.23263096928633</v>
      </c>
      <c r="C69" s="92">
        <f>targets!P131+targets!P137</f>
        <v>1581.2441975566749</v>
      </c>
      <c r="D69" s="92">
        <f>targets!Q131+targets!Q137</f>
        <v>2803.2437764718129</v>
      </c>
      <c r="E69" s="92">
        <f>SUM(B69:D69)</f>
        <v>4559.720604997774</v>
      </c>
      <c r="G69" s="1" t="s">
        <v>122</v>
      </c>
      <c r="H69" s="6">
        <f t="array" ref="H69">SUM(IF((modeldata!$Q:$Q=$G$67)*(modeldata!$M:$M=$G69),modeldata!N:N,0))</f>
        <v>0</v>
      </c>
      <c r="I69" s="7">
        <f t="array" ref="I69">SUM(IF((modeldata!$Q:$Q=$G$67)*(modeldata!$M:$M=$G69),modeldata!O:O,0))</f>
        <v>0</v>
      </c>
      <c r="J69" s="8">
        <f t="array" ref="J69">SUM(IF((modeldata!$Q:$Q=$G$67)*(modeldata!$M:$M=$G69),modeldata!P:P,0))</f>
        <v>0</v>
      </c>
      <c r="K69" s="5">
        <f>SUM(H69:J69)</f>
        <v>0</v>
      </c>
      <c r="M69" s="1" t="s">
        <v>122</v>
      </c>
      <c r="N69" s="22">
        <f>B69/B77</f>
        <v>0.46174488833952088</v>
      </c>
      <c r="O69" s="26">
        <f>C69/C77</f>
        <v>0.7096178982517839</v>
      </c>
      <c r="P69" s="27">
        <f>D69/D77</f>
        <v>0.58811596577196867</v>
      </c>
      <c r="Q69" s="23">
        <f>E69/E77</f>
        <v>0.61832706157591499</v>
      </c>
      <c r="S69" s="1" t="s">
        <v>122</v>
      </c>
      <c r="T69" s="22" t="e">
        <f>H69/H77</f>
        <v>#DIV/0!</v>
      </c>
      <c r="U69" s="26" t="e">
        <f>I69/I77</f>
        <v>#DIV/0!</v>
      </c>
      <c r="V69" s="27" t="e">
        <f>J69/J77</f>
        <v>#DIV/0!</v>
      </c>
      <c r="W69" s="23" t="e">
        <f>K69/K77</f>
        <v>#DIV/0!</v>
      </c>
      <c r="Y69" s="1" t="s">
        <v>122</v>
      </c>
      <c r="Z69" s="83">
        <f>H69-B69</f>
        <v>-175.23263096928633</v>
      </c>
      <c r="AA69" s="84">
        <f t="shared" ref="AA69:AA77" si="129">I69-C69</f>
        <v>-1581.2441975566749</v>
      </c>
      <c r="AB69" s="85">
        <f t="shared" ref="AB69:AB77" si="130">J69-D69</f>
        <v>-2803.2437764718129</v>
      </c>
      <c r="AC69" s="73">
        <f t="shared" ref="AC69:AC77" si="131">K69-E69</f>
        <v>-4559.720604997774</v>
      </c>
      <c r="AE69" s="1" t="s">
        <v>122</v>
      </c>
      <c r="AF69" s="31" t="e">
        <f>T69-N69</f>
        <v>#DIV/0!</v>
      </c>
      <c r="AG69" s="33" t="e">
        <f t="shared" ref="AG69:AG77" si="132">U69-O69</f>
        <v>#DIV/0!</v>
      </c>
      <c r="AH69" s="34" t="e">
        <f t="shared" ref="AH69:AH77" si="133">V69-P69</f>
        <v>#DIV/0!</v>
      </c>
      <c r="AI69" s="32" t="e">
        <f t="shared" ref="AI69:AI77" si="134">W69-Q69</f>
        <v>#DIV/0!</v>
      </c>
      <c r="AK69" s="1" t="s">
        <v>122</v>
      </c>
      <c r="AL69" s="44">
        <f>constants!AM57</f>
        <v>-0.19402288048189537</v>
      </c>
      <c r="AM69" s="45" t="e">
        <f t="shared" ref="AM69:AM76" si="135">IF(AND(Q69&gt;0, W69&gt;0),sub_atwork_damp*LN(Q69/W69),0)</f>
        <v>#DIV/0!</v>
      </c>
      <c r="AN69" s="46" t="e">
        <f>AL69+AM69</f>
        <v>#DIV/0!</v>
      </c>
      <c r="AO69" s="32"/>
      <c r="AP69" s="1" t="s">
        <v>122</v>
      </c>
      <c r="AQ69" s="57">
        <f>N69</f>
        <v>0.46174488833952088</v>
      </c>
      <c r="AR69" s="58" t="e">
        <f>T69</f>
        <v>#DIV/0!</v>
      </c>
      <c r="AS69" s="57">
        <f>O69</f>
        <v>0.7096178982517839</v>
      </c>
      <c r="AT69" s="59" t="e">
        <f>U69</f>
        <v>#DIV/0!</v>
      </c>
      <c r="AU69" s="58">
        <f>P69</f>
        <v>0.58811596577196867</v>
      </c>
      <c r="AV69" s="58" t="e">
        <f>V69</f>
        <v>#DIV/0!</v>
      </c>
      <c r="AW69" s="57">
        <f>Q69</f>
        <v>0.61832706157591499</v>
      </c>
      <c r="AX69" s="59" t="e">
        <f>W69</f>
        <v>#DIV/0!</v>
      </c>
    </row>
    <row r="70" spans="1:50" x14ac:dyDescent="0.2">
      <c r="A70" s="1" t="s">
        <v>131</v>
      </c>
      <c r="B70" s="92">
        <f>targets!O132</f>
        <v>171.31969519622086</v>
      </c>
      <c r="C70" s="92">
        <f>targets!P132</f>
        <v>158.54295600679615</v>
      </c>
      <c r="D70" s="92">
        <f>targets!Q132</f>
        <v>78.152982667829463</v>
      </c>
      <c r="E70" s="92">
        <f t="shared" ref="E70:E77" si="136">SUM(B70:D70)</f>
        <v>408.01563387084644</v>
      </c>
      <c r="G70" s="1" t="s">
        <v>131</v>
      </c>
      <c r="H70" s="9">
        <f t="array" ref="H70">SUM(IF((modeldata!$Q:$Q=$G$67)*(modeldata!$M:$M=$G70),modeldata!N:N,0))</f>
        <v>0</v>
      </c>
      <c r="I70" s="5">
        <f t="array" ref="I70">SUM(IF((modeldata!$Q:$Q=$G$67)*(modeldata!$M:$M=$G70),modeldata!O:O,0))</f>
        <v>0</v>
      </c>
      <c r="J70" s="10">
        <f t="array" ref="J70">SUM(IF((modeldata!$Q:$Q=$G$67)*(modeldata!$M:$M=$G70),modeldata!P:P,0))</f>
        <v>0</v>
      </c>
      <c r="K70" s="5">
        <f t="shared" ref="K70:K77" si="137">SUM(H70:J70)</f>
        <v>0</v>
      </c>
      <c r="M70" s="1" t="s">
        <v>131</v>
      </c>
      <c r="N70" s="23">
        <f>B70/B77</f>
        <v>0.45143414837277052</v>
      </c>
      <c r="O70" s="25">
        <f>C70/C77</f>
        <v>7.1149617116704283E-2</v>
      </c>
      <c r="P70" s="28">
        <f>D70/D77</f>
        <v>1.6396368116618067E-2</v>
      </c>
      <c r="Q70" s="23">
        <f>E70/E77</f>
        <v>5.5329510253735822E-2</v>
      </c>
      <c r="S70" s="1" t="s">
        <v>131</v>
      </c>
      <c r="T70" s="23" t="e">
        <f>H70/H77</f>
        <v>#DIV/0!</v>
      </c>
      <c r="U70" s="25" t="e">
        <f>I70/I77</f>
        <v>#DIV/0!</v>
      </c>
      <c r="V70" s="28" t="e">
        <f>J70/J77</f>
        <v>#DIV/0!</v>
      </c>
      <c r="W70" s="23" t="e">
        <f>K70/K77</f>
        <v>#DIV/0!</v>
      </c>
      <c r="Y70" s="1" t="s">
        <v>131</v>
      </c>
      <c r="Z70" s="86">
        <f t="shared" ref="Z70:Z77" si="138">H70-B70</f>
        <v>-171.31969519622086</v>
      </c>
      <c r="AA70" s="73">
        <f t="shared" si="129"/>
        <v>-158.54295600679615</v>
      </c>
      <c r="AB70" s="87">
        <f t="shared" si="130"/>
        <v>-78.152982667829463</v>
      </c>
      <c r="AC70" s="73">
        <f t="shared" si="131"/>
        <v>-408.01563387084644</v>
      </c>
      <c r="AE70" s="1" t="s">
        <v>131</v>
      </c>
      <c r="AF70" s="35" t="e">
        <f t="shared" ref="AF70:AF77" si="139">T70-N70</f>
        <v>#DIV/0!</v>
      </c>
      <c r="AG70" s="32" t="e">
        <f t="shared" si="132"/>
        <v>#DIV/0!</v>
      </c>
      <c r="AH70" s="36" t="e">
        <f t="shared" si="133"/>
        <v>#DIV/0!</v>
      </c>
      <c r="AI70" s="32" t="e">
        <f t="shared" si="134"/>
        <v>#DIV/0!</v>
      </c>
      <c r="AK70" s="1" t="s">
        <v>131</v>
      </c>
      <c r="AL70" s="47">
        <f>constants!AM58</f>
        <v>1.0241025463037381</v>
      </c>
      <c r="AM70" s="48" t="e">
        <f t="shared" si="135"/>
        <v>#DIV/0!</v>
      </c>
      <c r="AN70" s="49" t="e">
        <f t="shared" ref="AN70:AN76" si="140">AL70+AM70</f>
        <v>#DIV/0!</v>
      </c>
      <c r="AO70" s="32"/>
      <c r="AP70" s="1" t="s">
        <v>131</v>
      </c>
      <c r="AQ70" s="61">
        <f t="shared" ref="AQ70:AQ76" si="141">N70</f>
        <v>0.45143414837277052</v>
      </c>
      <c r="AR70" s="60" t="e">
        <f t="shared" ref="AR70:AR76" si="142">T70</f>
        <v>#DIV/0!</v>
      </c>
      <c r="AS70" s="61">
        <f t="shared" ref="AS70:AS76" si="143">O70</f>
        <v>7.1149617116704283E-2</v>
      </c>
      <c r="AT70" s="62" t="e">
        <f t="shared" ref="AT70:AT76" si="144">U70</f>
        <v>#DIV/0!</v>
      </c>
      <c r="AU70" s="60">
        <f t="shared" ref="AU70:AU76" si="145">P70</f>
        <v>1.6396368116618067E-2</v>
      </c>
      <c r="AV70" s="60" t="e">
        <f t="shared" ref="AV70:AV76" si="146">V70</f>
        <v>#DIV/0!</v>
      </c>
      <c r="AW70" s="61">
        <f t="shared" ref="AW70:AW76" si="147">Q70</f>
        <v>5.5329510253735822E-2</v>
      </c>
      <c r="AX70" s="62" t="e">
        <f t="shared" ref="AX70:AX76" si="148">W70</f>
        <v>#DIV/0!</v>
      </c>
    </row>
    <row r="71" spans="1:50" x14ac:dyDescent="0.2">
      <c r="A71" s="1" t="s">
        <v>133</v>
      </c>
      <c r="B71" s="92">
        <f>targets!O138</f>
        <v>0</v>
      </c>
      <c r="C71" s="92">
        <f>targets!P138</f>
        <v>0</v>
      </c>
      <c r="D71" s="92">
        <f>targets!Q138</f>
        <v>0</v>
      </c>
      <c r="E71" s="92">
        <f t="shared" si="136"/>
        <v>0</v>
      </c>
      <c r="G71" s="1" t="s">
        <v>133</v>
      </c>
      <c r="H71" s="9">
        <f t="array" ref="H71">SUM(IF((modeldata!$Q:$Q=$G$67)*(modeldata!$M:$M=$G71),modeldata!N:N,0))</f>
        <v>0</v>
      </c>
      <c r="I71" s="5">
        <f t="array" ref="I71">SUM(IF((modeldata!$Q:$Q=$G$67)*(modeldata!$M:$M=$G71),modeldata!O:O,0))</f>
        <v>0</v>
      </c>
      <c r="J71" s="10">
        <f t="array" ref="J71">SUM(IF((modeldata!$Q:$Q=$G$67)*(modeldata!$M:$M=$G71),modeldata!P:P,0))</f>
        <v>0</v>
      </c>
      <c r="K71" s="5">
        <f t="shared" si="137"/>
        <v>0</v>
      </c>
      <c r="M71" s="1" t="s">
        <v>133</v>
      </c>
      <c r="N71" s="23">
        <f>B71/B77</f>
        <v>0</v>
      </c>
      <c r="O71" s="25">
        <f>C71/C77</f>
        <v>0</v>
      </c>
      <c r="P71" s="28">
        <f>D71/D77</f>
        <v>0</v>
      </c>
      <c r="Q71" s="23">
        <f>E71/E77</f>
        <v>0</v>
      </c>
      <c r="S71" s="1" t="s">
        <v>133</v>
      </c>
      <c r="T71" s="23" t="e">
        <f>H71/H77</f>
        <v>#DIV/0!</v>
      </c>
      <c r="U71" s="25" t="e">
        <f>I71/I77</f>
        <v>#DIV/0!</v>
      </c>
      <c r="V71" s="28" t="e">
        <f>J71/J77</f>
        <v>#DIV/0!</v>
      </c>
      <c r="W71" s="23" t="e">
        <f>K71/K77</f>
        <v>#DIV/0!</v>
      </c>
      <c r="Y71" s="1" t="s">
        <v>133</v>
      </c>
      <c r="Z71" s="86">
        <f t="shared" si="138"/>
        <v>0</v>
      </c>
      <c r="AA71" s="73">
        <f t="shared" si="129"/>
        <v>0</v>
      </c>
      <c r="AB71" s="87">
        <f t="shared" si="130"/>
        <v>0</v>
      </c>
      <c r="AC71" s="73">
        <f t="shared" si="131"/>
        <v>0</v>
      </c>
      <c r="AE71" s="1" t="s">
        <v>133</v>
      </c>
      <c r="AF71" s="35" t="e">
        <f t="shared" si="139"/>
        <v>#DIV/0!</v>
      </c>
      <c r="AG71" s="32" t="e">
        <f t="shared" si="132"/>
        <v>#DIV/0!</v>
      </c>
      <c r="AH71" s="36" t="e">
        <f t="shared" si="133"/>
        <v>#DIV/0!</v>
      </c>
      <c r="AI71" s="32" t="e">
        <f t="shared" si="134"/>
        <v>#DIV/0!</v>
      </c>
      <c r="AK71" s="1" t="s">
        <v>133</v>
      </c>
      <c r="AL71" s="47">
        <f>constants!AM59</f>
        <v>0.76895472965717282</v>
      </c>
      <c r="AM71" s="48" t="e">
        <f t="shared" si="135"/>
        <v>#DIV/0!</v>
      </c>
      <c r="AN71" s="49" t="e">
        <f t="shared" si="140"/>
        <v>#DIV/0!</v>
      </c>
      <c r="AO71" s="32"/>
      <c r="AP71" s="1" t="s">
        <v>133</v>
      </c>
      <c r="AQ71" s="61">
        <f t="shared" si="141"/>
        <v>0</v>
      </c>
      <c r="AR71" s="60" t="e">
        <f t="shared" si="142"/>
        <v>#DIV/0!</v>
      </c>
      <c r="AS71" s="61">
        <f t="shared" si="143"/>
        <v>0</v>
      </c>
      <c r="AT71" s="62" t="e">
        <f t="shared" si="144"/>
        <v>#DIV/0!</v>
      </c>
      <c r="AU71" s="60">
        <f t="shared" si="145"/>
        <v>0</v>
      </c>
      <c r="AV71" s="60" t="e">
        <f t="shared" si="146"/>
        <v>#DIV/0!</v>
      </c>
      <c r="AW71" s="61">
        <f t="shared" si="147"/>
        <v>0</v>
      </c>
      <c r="AX71" s="62" t="e">
        <f t="shared" si="148"/>
        <v>#DIV/0!</v>
      </c>
    </row>
    <row r="72" spans="1:50" x14ac:dyDescent="0.2">
      <c r="A72" s="1" t="s">
        <v>129</v>
      </c>
      <c r="B72" s="92">
        <f>targets!O133</f>
        <v>0</v>
      </c>
      <c r="C72" s="92">
        <f>targets!P133</f>
        <v>0</v>
      </c>
      <c r="D72" s="92">
        <f>targets!Q133</f>
        <v>0</v>
      </c>
      <c r="E72" s="92"/>
      <c r="G72" s="1" t="s">
        <v>129</v>
      </c>
      <c r="H72" s="9">
        <f t="array" ref="H72">SUM(IF((modeldata!$Q:$Q=$G$67)*(modeldata!$M:$M=$G72),modeldata!N:N,0))</f>
        <v>0</v>
      </c>
      <c r="I72" s="5">
        <f t="array" ref="I72">SUM(IF((modeldata!$Q:$Q=$G$67)*(modeldata!$M:$M=$G72),modeldata!O:O,0))</f>
        <v>0</v>
      </c>
      <c r="J72" s="10">
        <f t="array" ref="J72">SUM(IF((modeldata!$Q:$Q=$G$67)*(modeldata!$M:$M=$G72),modeldata!P:P,0))</f>
        <v>0</v>
      </c>
      <c r="K72" s="5">
        <f t="shared" ref="K72:K73" si="149">SUM(H72:J72)</f>
        <v>0</v>
      </c>
      <c r="M72" s="1" t="s">
        <v>129</v>
      </c>
      <c r="N72" s="23">
        <f>B72/B77</f>
        <v>0</v>
      </c>
      <c r="O72" s="25">
        <f>C72/C77</f>
        <v>0</v>
      </c>
      <c r="P72" s="28">
        <f>D72/D77</f>
        <v>0</v>
      </c>
      <c r="Q72" s="23">
        <f>E72/E77</f>
        <v>0</v>
      </c>
      <c r="S72" s="1" t="s">
        <v>129</v>
      </c>
      <c r="T72" s="23" t="e">
        <f>H72/H77</f>
        <v>#DIV/0!</v>
      </c>
      <c r="U72" s="25" t="e">
        <f>I72/I77</f>
        <v>#DIV/0!</v>
      </c>
      <c r="V72" s="28" t="e">
        <f>J72/J77</f>
        <v>#DIV/0!</v>
      </c>
      <c r="W72" s="23" t="e">
        <f>K72/K77</f>
        <v>#DIV/0!</v>
      </c>
      <c r="Y72" s="1" t="s">
        <v>129</v>
      </c>
      <c r="Z72" s="86">
        <f t="shared" si="138"/>
        <v>0</v>
      </c>
      <c r="AA72" s="73">
        <f t="shared" si="129"/>
        <v>0</v>
      </c>
      <c r="AB72" s="87">
        <f t="shared" si="130"/>
        <v>0</v>
      </c>
      <c r="AC72" s="73">
        <f t="shared" si="131"/>
        <v>0</v>
      </c>
      <c r="AE72" s="1" t="s">
        <v>129</v>
      </c>
      <c r="AF72" s="35" t="e">
        <f t="shared" si="139"/>
        <v>#DIV/0!</v>
      </c>
      <c r="AG72" s="32" t="e">
        <f t="shared" si="132"/>
        <v>#DIV/0!</v>
      </c>
      <c r="AH72" s="36" t="e">
        <f t="shared" si="133"/>
        <v>#DIV/0!</v>
      </c>
      <c r="AI72" s="32" t="e">
        <f t="shared" si="134"/>
        <v>#DIV/0!</v>
      </c>
      <c r="AK72" s="1" t="s">
        <v>129</v>
      </c>
      <c r="AL72" s="47">
        <f>constants!G112</f>
        <v>0</v>
      </c>
      <c r="AM72" s="48" t="e">
        <f t="shared" ref="AM72:AM73" si="150">IF(AND(Q72&gt;0, W72&gt;0),sub_university_damp*LN(Q72/W72),0)</f>
        <v>#DIV/0!</v>
      </c>
      <c r="AN72" s="49" t="e">
        <f t="shared" si="140"/>
        <v>#DIV/0!</v>
      </c>
      <c r="AO72" s="32"/>
      <c r="AP72" s="1" t="s">
        <v>129</v>
      </c>
      <c r="AQ72" s="61">
        <f t="shared" si="141"/>
        <v>0</v>
      </c>
      <c r="AR72" s="60" t="e">
        <f t="shared" si="142"/>
        <v>#DIV/0!</v>
      </c>
      <c r="AS72" s="61">
        <f t="shared" si="143"/>
        <v>0</v>
      </c>
      <c r="AT72" s="62" t="e">
        <f t="shared" si="144"/>
        <v>#DIV/0!</v>
      </c>
      <c r="AU72" s="60">
        <f t="shared" si="145"/>
        <v>0</v>
      </c>
      <c r="AV72" s="60" t="e">
        <f t="shared" si="146"/>
        <v>#DIV/0!</v>
      </c>
      <c r="AW72" s="61">
        <f t="shared" si="147"/>
        <v>0</v>
      </c>
      <c r="AX72" s="62" t="e">
        <f t="shared" si="148"/>
        <v>#DIV/0!</v>
      </c>
    </row>
    <row r="73" spans="1:50" x14ac:dyDescent="0.2">
      <c r="A73" s="1" t="s">
        <v>132</v>
      </c>
      <c r="B73" s="92">
        <f>targets!O139</f>
        <v>0</v>
      </c>
      <c r="C73" s="92">
        <f>targets!P139</f>
        <v>0</v>
      </c>
      <c r="D73" s="92">
        <f>targets!Q139</f>
        <v>0</v>
      </c>
      <c r="E73" s="92"/>
      <c r="G73" s="1" t="s">
        <v>132</v>
      </c>
      <c r="H73" s="9">
        <f t="array" ref="H73">SUM(IF((modeldata!$Q:$Q=$G$67)*(modeldata!$M:$M=$G73),modeldata!N:N,0))</f>
        <v>0</v>
      </c>
      <c r="I73" s="5">
        <f t="array" ref="I73">SUM(IF((modeldata!$Q:$Q=$G$67)*(modeldata!$M:$M=$G73),modeldata!O:O,0))</f>
        <v>0</v>
      </c>
      <c r="J73" s="10">
        <f t="array" ref="J73">SUM(IF((modeldata!$Q:$Q=$G$67)*(modeldata!$M:$M=$G73),modeldata!P:P,0))</f>
        <v>0</v>
      </c>
      <c r="K73" s="5">
        <f t="shared" si="149"/>
        <v>0</v>
      </c>
      <c r="M73" s="1" t="s">
        <v>132</v>
      </c>
      <c r="N73" s="23">
        <f>B73/B77</f>
        <v>0</v>
      </c>
      <c r="O73" s="25">
        <f>C73/C77</f>
        <v>0</v>
      </c>
      <c r="P73" s="28">
        <f>D73/D77</f>
        <v>0</v>
      </c>
      <c r="Q73" s="23">
        <f>E73/E77</f>
        <v>0</v>
      </c>
      <c r="S73" s="1" t="s">
        <v>132</v>
      </c>
      <c r="T73" s="23" t="e">
        <f>H73/H77</f>
        <v>#DIV/0!</v>
      </c>
      <c r="U73" s="25" t="e">
        <f>I73/I77</f>
        <v>#DIV/0!</v>
      </c>
      <c r="V73" s="28" t="e">
        <f>J73/J77</f>
        <v>#DIV/0!</v>
      </c>
      <c r="W73" s="23" t="e">
        <f>K73/K77</f>
        <v>#DIV/0!</v>
      </c>
      <c r="Y73" s="1" t="s">
        <v>132</v>
      </c>
      <c r="Z73" s="86">
        <f t="shared" si="138"/>
        <v>0</v>
      </c>
      <c r="AA73" s="73">
        <f t="shared" si="129"/>
        <v>0</v>
      </c>
      <c r="AB73" s="87">
        <f t="shared" si="130"/>
        <v>0</v>
      </c>
      <c r="AC73" s="73">
        <f t="shared" si="131"/>
        <v>0</v>
      </c>
      <c r="AE73" s="1" t="s">
        <v>132</v>
      </c>
      <c r="AF73" s="35" t="e">
        <f t="shared" si="139"/>
        <v>#DIV/0!</v>
      </c>
      <c r="AG73" s="32" t="e">
        <f t="shared" si="132"/>
        <v>#DIV/0!</v>
      </c>
      <c r="AH73" s="36" t="e">
        <f t="shared" si="133"/>
        <v>#DIV/0!</v>
      </c>
      <c r="AI73" s="32" t="e">
        <f t="shared" si="134"/>
        <v>#DIV/0!</v>
      </c>
      <c r="AK73" s="1" t="s">
        <v>132</v>
      </c>
      <c r="AL73" s="47">
        <f>constants!G113</f>
        <v>0</v>
      </c>
      <c r="AM73" s="48" t="e">
        <f t="shared" si="150"/>
        <v>#DIV/0!</v>
      </c>
      <c r="AN73" s="49" t="e">
        <f t="shared" si="140"/>
        <v>#DIV/0!</v>
      </c>
      <c r="AO73" s="32"/>
      <c r="AP73" s="1" t="s">
        <v>132</v>
      </c>
      <c r="AQ73" s="61">
        <f t="shared" si="141"/>
        <v>0</v>
      </c>
      <c r="AR73" s="60" t="e">
        <f t="shared" si="142"/>
        <v>#DIV/0!</v>
      </c>
      <c r="AS73" s="61">
        <f t="shared" si="143"/>
        <v>0</v>
      </c>
      <c r="AT73" s="62" t="e">
        <f t="shared" si="144"/>
        <v>#DIV/0!</v>
      </c>
      <c r="AU73" s="60">
        <f t="shared" si="145"/>
        <v>0</v>
      </c>
      <c r="AV73" s="60" t="e">
        <f t="shared" si="146"/>
        <v>#DIV/0!</v>
      </c>
      <c r="AW73" s="61">
        <f t="shared" si="147"/>
        <v>0</v>
      </c>
      <c r="AX73" s="62" t="e">
        <f t="shared" si="148"/>
        <v>#DIV/0!</v>
      </c>
    </row>
    <row r="74" spans="1:50" x14ac:dyDescent="0.2">
      <c r="A74" s="1" t="s">
        <v>123</v>
      </c>
      <c r="B74" s="92">
        <f>targets!O134+targets!O140</f>
        <v>32.948639398918985</v>
      </c>
      <c r="C74" s="92">
        <f>targets!P134+targets!P140</f>
        <v>488.51655953653841</v>
      </c>
      <c r="D74" s="92">
        <f>targets!Q134+targets!Q140</f>
        <v>0</v>
      </c>
      <c r="E74" s="92">
        <f t="shared" si="136"/>
        <v>521.46519893545735</v>
      </c>
      <c r="G74" s="1" t="s">
        <v>123</v>
      </c>
      <c r="H74" s="9">
        <f t="array" ref="H74">SUM(IF((modeldata!$Q:$Q=$G$67)*(modeldata!$M:$M=$G74),modeldata!N:N,0))</f>
        <v>0</v>
      </c>
      <c r="I74" s="5">
        <f t="array" ref="I74">SUM(IF((modeldata!$Q:$Q=$G$67)*(modeldata!$M:$M=$G74),modeldata!O:O,0))</f>
        <v>0</v>
      </c>
      <c r="J74" s="10">
        <f t="array" ref="J74">SUM(IF((modeldata!$Q:$Q=$G$67)*(modeldata!$M:$M=$G74),modeldata!P:P,0))</f>
        <v>0</v>
      </c>
      <c r="K74" s="5">
        <f t="shared" si="137"/>
        <v>0</v>
      </c>
      <c r="M74" s="1" t="s">
        <v>123</v>
      </c>
      <c r="N74" s="23">
        <f>B74/B77</f>
        <v>8.6820963287708525E-2</v>
      </c>
      <c r="O74" s="25">
        <f>C74/C77</f>
        <v>0.21923248463151174</v>
      </c>
      <c r="P74" s="28">
        <f>D74/D77</f>
        <v>0</v>
      </c>
      <c r="Q74" s="23">
        <f>E74/E77</f>
        <v>7.0713991514841659E-2</v>
      </c>
      <c r="S74" s="1" t="s">
        <v>123</v>
      </c>
      <c r="T74" s="23" t="e">
        <f>H74/H77</f>
        <v>#DIV/0!</v>
      </c>
      <c r="U74" s="25" t="e">
        <f>I74/I77</f>
        <v>#DIV/0!</v>
      </c>
      <c r="V74" s="28" t="e">
        <f>J74/J77</f>
        <v>#DIV/0!</v>
      </c>
      <c r="W74" s="23" t="e">
        <f>K74/K77</f>
        <v>#DIV/0!</v>
      </c>
      <c r="Y74" s="1" t="s">
        <v>123</v>
      </c>
      <c r="Z74" s="86">
        <f t="shared" si="138"/>
        <v>-32.948639398918985</v>
      </c>
      <c r="AA74" s="73">
        <f t="shared" si="129"/>
        <v>-488.51655953653841</v>
      </c>
      <c r="AB74" s="87">
        <f t="shared" si="130"/>
        <v>0</v>
      </c>
      <c r="AC74" s="73">
        <f t="shared" si="131"/>
        <v>-521.46519893545735</v>
      </c>
      <c r="AE74" s="1" t="s">
        <v>123</v>
      </c>
      <c r="AF74" s="35" t="e">
        <f t="shared" si="139"/>
        <v>#DIV/0!</v>
      </c>
      <c r="AG74" s="32" t="e">
        <f t="shared" si="132"/>
        <v>#DIV/0!</v>
      </c>
      <c r="AH74" s="36" t="e">
        <f t="shared" si="133"/>
        <v>#DIV/0!</v>
      </c>
      <c r="AI74" s="32" t="e">
        <f t="shared" si="134"/>
        <v>#DIV/0!</v>
      </c>
      <c r="AK74" s="1" t="s">
        <v>123</v>
      </c>
      <c r="AL74" s="47">
        <f>constants!AM62</f>
        <v>-1.4182407114376705</v>
      </c>
      <c r="AM74" s="48" t="e">
        <f t="shared" si="135"/>
        <v>#DIV/0!</v>
      </c>
      <c r="AN74" s="49" t="e">
        <f t="shared" si="140"/>
        <v>#DIV/0!</v>
      </c>
      <c r="AO74" s="32"/>
      <c r="AP74" s="1" t="s">
        <v>123</v>
      </c>
      <c r="AQ74" s="61">
        <f t="shared" si="141"/>
        <v>8.6820963287708525E-2</v>
      </c>
      <c r="AR74" s="60" t="e">
        <f t="shared" si="142"/>
        <v>#DIV/0!</v>
      </c>
      <c r="AS74" s="61">
        <f t="shared" si="143"/>
        <v>0.21923248463151174</v>
      </c>
      <c r="AT74" s="62" t="e">
        <f t="shared" si="144"/>
        <v>#DIV/0!</v>
      </c>
      <c r="AU74" s="60">
        <f t="shared" si="145"/>
        <v>0</v>
      </c>
      <c r="AV74" s="60" t="e">
        <f t="shared" si="146"/>
        <v>#DIV/0!</v>
      </c>
      <c r="AW74" s="61">
        <f t="shared" si="147"/>
        <v>7.0713991514841659E-2</v>
      </c>
      <c r="AX74" s="62" t="e">
        <f t="shared" si="148"/>
        <v>#DIV/0!</v>
      </c>
    </row>
    <row r="75" spans="1:50" x14ac:dyDescent="0.2">
      <c r="A75" s="1" t="s">
        <v>124</v>
      </c>
      <c r="B75" s="92">
        <f>targets!O135+targets!O141</f>
        <v>0</v>
      </c>
      <c r="C75" s="92">
        <f>targets!P135+targets!P141</f>
        <v>0</v>
      </c>
      <c r="D75" s="92">
        <f>targets!Q135+targets!Q141</f>
        <v>1783.8439313692013</v>
      </c>
      <c r="E75" s="92">
        <f t="shared" si="136"/>
        <v>1783.8439313692013</v>
      </c>
      <c r="G75" s="1" t="s">
        <v>124</v>
      </c>
      <c r="H75" s="9">
        <f t="array" ref="H75">SUM(IF((modeldata!$Q:$Q=$G$67)*(modeldata!$M:$M=$G75),modeldata!N:N,0))</f>
        <v>0</v>
      </c>
      <c r="I75" s="5">
        <f t="array" ref="I75">SUM(IF((modeldata!$Q:$Q=$G$67)*(modeldata!$M:$M=$G75),modeldata!O:O,0))</f>
        <v>0</v>
      </c>
      <c r="J75" s="10">
        <f t="array" ref="J75">SUM(IF((modeldata!$Q:$Q=$G$67)*(modeldata!$M:$M=$G75),modeldata!P:P,0))</f>
        <v>0</v>
      </c>
      <c r="K75" s="5">
        <f t="shared" si="137"/>
        <v>0</v>
      </c>
      <c r="M75" s="1" t="s">
        <v>124</v>
      </c>
      <c r="N75" s="23">
        <f>B75/B77</f>
        <v>0</v>
      </c>
      <c r="O75" s="25">
        <f>C75/C77</f>
        <v>0</v>
      </c>
      <c r="P75" s="28">
        <f>D75/D77</f>
        <v>0.37424754325293774</v>
      </c>
      <c r="Q75" s="23">
        <f>E75/E77</f>
        <v>0.24190056188630987</v>
      </c>
      <c r="S75" s="1" t="s">
        <v>124</v>
      </c>
      <c r="T75" s="23" t="e">
        <f>H75/H77</f>
        <v>#DIV/0!</v>
      </c>
      <c r="U75" s="25" t="e">
        <f>I75/I77</f>
        <v>#DIV/0!</v>
      </c>
      <c r="V75" s="28" t="e">
        <f>J75/J77</f>
        <v>#DIV/0!</v>
      </c>
      <c r="W75" s="23" t="e">
        <f>K75/K77</f>
        <v>#DIV/0!</v>
      </c>
      <c r="Y75" s="1" t="s">
        <v>124</v>
      </c>
      <c r="Z75" s="86">
        <f t="shared" si="138"/>
        <v>0</v>
      </c>
      <c r="AA75" s="73">
        <f t="shared" si="129"/>
        <v>0</v>
      </c>
      <c r="AB75" s="87">
        <f t="shared" si="130"/>
        <v>-1783.8439313692013</v>
      </c>
      <c r="AC75" s="73">
        <f t="shared" si="131"/>
        <v>-1783.8439313692013</v>
      </c>
      <c r="AE75" s="1" t="s">
        <v>124</v>
      </c>
      <c r="AF75" s="35" t="e">
        <f t="shared" si="139"/>
        <v>#DIV/0!</v>
      </c>
      <c r="AG75" s="32" t="e">
        <f t="shared" si="132"/>
        <v>#DIV/0!</v>
      </c>
      <c r="AH75" s="36" t="e">
        <f t="shared" si="133"/>
        <v>#DIV/0!</v>
      </c>
      <c r="AI75" s="32" t="e">
        <f t="shared" si="134"/>
        <v>#DIV/0!</v>
      </c>
      <c r="AK75" s="1" t="s">
        <v>124</v>
      </c>
      <c r="AL75" s="47">
        <f>constants!AM63</f>
        <v>1.0145420569089958</v>
      </c>
      <c r="AM75" s="48" t="e">
        <f t="shared" si="135"/>
        <v>#DIV/0!</v>
      </c>
      <c r="AN75" s="49" t="e">
        <f t="shared" si="140"/>
        <v>#DIV/0!</v>
      </c>
      <c r="AO75" s="32"/>
      <c r="AP75" s="1" t="s">
        <v>124</v>
      </c>
      <c r="AQ75" s="61">
        <f t="shared" si="141"/>
        <v>0</v>
      </c>
      <c r="AR75" s="60" t="e">
        <f t="shared" si="142"/>
        <v>#DIV/0!</v>
      </c>
      <c r="AS75" s="61">
        <f t="shared" si="143"/>
        <v>0</v>
      </c>
      <c r="AT75" s="62" t="e">
        <f t="shared" si="144"/>
        <v>#DIV/0!</v>
      </c>
      <c r="AU75" s="60">
        <f t="shared" si="145"/>
        <v>0.37424754325293774</v>
      </c>
      <c r="AV75" s="60" t="e">
        <f t="shared" si="146"/>
        <v>#DIV/0!</v>
      </c>
      <c r="AW75" s="61">
        <f t="shared" si="147"/>
        <v>0.24190056188630987</v>
      </c>
      <c r="AX75" s="62" t="e">
        <f t="shared" si="148"/>
        <v>#DIV/0!</v>
      </c>
    </row>
    <row r="76" spans="1:50" x14ac:dyDescent="0.2">
      <c r="A76" s="1" t="s">
        <v>125</v>
      </c>
      <c r="B76" s="92">
        <f>targets!O136+targets!O142</f>
        <v>0</v>
      </c>
      <c r="C76" s="92">
        <f>targets!P136+targets!P142</f>
        <v>0</v>
      </c>
      <c r="D76" s="92">
        <f>targets!Q136+targets!Q142</f>
        <v>101.24064925930634</v>
      </c>
      <c r="E76" s="92">
        <f t="shared" si="136"/>
        <v>101.24064925930634</v>
      </c>
      <c r="G76" s="1" t="s">
        <v>125</v>
      </c>
      <c r="H76" s="11">
        <f t="array" ref="H76">SUM(IF((modeldata!$Q:$Q=$G$67)*(modeldata!$M:$M=$G76),modeldata!N:N,0))</f>
        <v>0</v>
      </c>
      <c r="I76" s="12">
        <f t="array" ref="I76">SUM(IF((modeldata!$Q:$Q=$G$67)*(modeldata!$M:$M=$G76),modeldata!O:O,0))</f>
        <v>0</v>
      </c>
      <c r="J76" s="13">
        <f t="array" ref="J76">SUM(IF((modeldata!$Q:$Q=$G$67)*(modeldata!$M:$M=$G76),modeldata!P:P,0))</f>
        <v>0</v>
      </c>
      <c r="K76" s="5">
        <f t="shared" si="137"/>
        <v>0</v>
      </c>
      <c r="M76" s="1" t="s">
        <v>125</v>
      </c>
      <c r="N76" s="24">
        <f>B76/B77</f>
        <v>0</v>
      </c>
      <c r="O76" s="29">
        <f>C76/C77</f>
        <v>0</v>
      </c>
      <c r="P76" s="30">
        <f>D76/D77</f>
        <v>2.1240122858475485E-2</v>
      </c>
      <c r="Q76" s="23">
        <f>E76/E77</f>
        <v>1.372887476919768E-2</v>
      </c>
      <c r="S76" s="1" t="s">
        <v>125</v>
      </c>
      <c r="T76" s="24" t="e">
        <f>H76/H77</f>
        <v>#DIV/0!</v>
      </c>
      <c r="U76" s="29" t="e">
        <f>I76/I77</f>
        <v>#DIV/0!</v>
      </c>
      <c r="V76" s="30" t="e">
        <f>J76/J77</f>
        <v>#DIV/0!</v>
      </c>
      <c r="W76" s="23" t="e">
        <f>K76/K77</f>
        <v>#DIV/0!</v>
      </c>
      <c r="Y76" s="1" t="s">
        <v>125</v>
      </c>
      <c r="Z76" s="88">
        <f t="shared" si="138"/>
        <v>0</v>
      </c>
      <c r="AA76" s="72">
        <f t="shared" si="129"/>
        <v>0</v>
      </c>
      <c r="AB76" s="89">
        <f t="shared" si="130"/>
        <v>-101.24064925930634</v>
      </c>
      <c r="AC76" s="73">
        <f t="shared" si="131"/>
        <v>-101.24064925930634</v>
      </c>
      <c r="AE76" s="1" t="s">
        <v>125</v>
      </c>
      <c r="AF76" s="37" t="e">
        <f t="shared" si="139"/>
        <v>#DIV/0!</v>
      </c>
      <c r="AG76" s="38" t="e">
        <f t="shared" si="132"/>
        <v>#DIV/0!</v>
      </c>
      <c r="AH76" s="39" t="e">
        <f t="shared" si="133"/>
        <v>#DIV/0!</v>
      </c>
      <c r="AI76" s="32" t="e">
        <f t="shared" si="134"/>
        <v>#DIV/0!</v>
      </c>
      <c r="AK76" s="1" t="s">
        <v>125</v>
      </c>
      <c r="AL76" s="50">
        <f>constants!AM64</f>
        <v>3.1664461327819211</v>
      </c>
      <c r="AM76" s="51" t="e">
        <f t="shared" si="135"/>
        <v>#DIV/0!</v>
      </c>
      <c r="AN76" s="52" t="e">
        <f t="shared" si="140"/>
        <v>#DIV/0!</v>
      </c>
      <c r="AO76" s="32"/>
      <c r="AP76" s="1" t="s">
        <v>125</v>
      </c>
      <c r="AQ76" s="63">
        <f t="shared" si="141"/>
        <v>0</v>
      </c>
      <c r="AR76" s="64" t="e">
        <f t="shared" si="142"/>
        <v>#DIV/0!</v>
      </c>
      <c r="AS76" s="63">
        <f t="shared" si="143"/>
        <v>0</v>
      </c>
      <c r="AT76" s="65" t="e">
        <f t="shared" si="144"/>
        <v>#DIV/0!</v>
      </c>
      <c r="AU76" s="64">
        <f t="shared" si="145"/>
        <v>2.1240122858475485E-2</v>
      </c>
      <c r="AV76" s="64" t="e">
        <f t="shared" si="146"/>
        <v>#DIV/0!</v>
      </c>
      <c r="AW76" s="63">
        <f t="shared" si="147"/>
        <v>1.372887476919768E-2</v>
      </c>
      <c r="AX76" s="65" t="e">
        <f t="shared" si="148"/>
        <v>#DIV/0!</v>
      </c>
    </row>
    <row r="77" spans="1:50" x14ac:dyDescent="0.2">
      <c r="A77" s="1" t="s">
        <v>1</v>
      </c>
      <c r="B77" s="92">
        <f>SUM(B69:B76)</f>
        <v>379.50096556442622</v>
      </c>
      <c r="C77" s="92">
        <f>SUM(C69:C76)</f>
        <v>2228.3037131000096</v>
      </c>
      <c r="D77" s="92">
        <f>SUM(D69:D76)</f>
        <v>4766.4813397681501</v>
      </c>
      <c r="E77" s="92">
        <f t="shared" si="136"/>
        <v>7374.2860184325855</v>
      </c>
      <c r="G77" s="1" t="s">
        <v>1</v>
      </c>
      <c r="H77" s="5">
        <f>SUM(H69:H76)</f>
        <v>0</v>
      </c>
      <c r="I77" s="5">
        <f>SUM(I69:I76)</f>
        <v>0</v>
      </c>
      <c r="J77" s="5">
        <f>SUM(J69:J76)</f>
        <v>0</v>
      </c>
      <c r="K77" s="5">
        <f t="shared" si="137"/>
        <v>0</v>
      </c>
      <c r="M77" s="1" t="s">
        <v>1</v>
      </c>
      <c r="N77" s="25">
        <f>SUM(N69:N76)</f>
        <v>0.99999999999999989</v>
      </c>
      <c r="O77" s="25">
        <f>SUM(O69:O76)</f>
        <v>1</v>
      </c>
      <c r="P77" s="25">
        <f>SUM(P69:P76)</f>
        <v>1</v>
      </c>
      <c r="Q77" s="25">
        <f>SUM(Q69:Q76)</f>
        <v>1</v>
      </c>
      <c r="S77" s="1" t="s">
        <v>1</v>
      </c>
      <c r="T77" s="25" t="e">
        <f>SUM(T69:T76)</f>
        <v>#DIV/0!</v>
      </c>
      <c r="U77" s="25" t="e">
        <f>SUM(U69:U76)</f>
        <v>#DIV/0!</v>
      </c>
      <c r="V77" s="25" t="e">
        <f>SUM(V69:V76)</f>
        <v>#DIV/0!</v>
      </c>
      <c r="W77" s="25" t="e">
        <f>SUM(W69:W76)</f>
        <v>#DIV/0!</v>
      </c>
      <c r="Y77" s="1" t="s">
        <v>1</v>
      </c>
      <c r="Z77" s="73">
        <f t="shared" si="138"/>
        <v>-379.50096556442622</v>
      </c>
      <c r="AA77" s="73">
        <f t="shared" si="129"/>
        <v>-2228.3037131000096</v>
      </c>
      <c r="AB77" s="73">
        <f t="shared" si="130"/>
        <v>-4766.4813397681501</v>
      </c>
      <c r="AC77" s="73">
        <f t="shared" si="131"/>
        <v>-7374.2860184325855</v>
      </c>
      <c r="AE77" s="1" t="s">
        <v>1</v>
      </c>
      <c r="AF77" s="32" t="e">
        <f t="shared" si="139"/>
        <v>#DIV/0!</v>
      </c>
      <c r="AG77" s="32" t="e">
        <f t="shared" si="132"/>
        <v>#DIV/0!</v>
      </c>
      <c r="AH77" s="32" t="e">
        <f t="shared" si="133"/>
        <v>#DIV/0!</v>
      </c>
      <c r="AI77" s="32" t="e">
        <f t="shared" si="134"/>
        <v>#DIV/0!</v>
      </c>
      <c r="AK77" s="1" t="s">
        <v>1</v>
      </c>
      <c r="AL77" s="32"/>
      <c r="AM77" s="32"/>
      <c r="AN77" s="32"/>
      <c r="AO77" s="32"/>
      <c r="AP77" s="1" t="s">
        <v>1</v>
      </c>
      <c r="AQ77" s="60">
        <f t="shared" ref="AQ77:AX77" si="151">SUM(AQ69:AQ76)</f>
        <v>0.99999999999999989</v>
      </c>
      <c r="AR77" s="60" t="e">
        <f t="shared" si="151"/>
        <v>#DIV/0!</v>
      </c>
      <c r="AS77" s="60">
        <f t="shared" si="151"/>
        <v>1</v>
      </c>
      <c r="AT77" s="60" t="e">
        <f t="shared" si="151"/>
        <v>#DIV/0!</v>
      </c>
      <c r="AU77" s="60">
        <f t="shared" si="151"/>
        <v>1</v>
      </c>
      <c r="AV77" s="60" t="e">
        <f t="shared" si="151"/>
        <v>#DIV/0!</v>
      </c>
      <c r="AW77" s="60">
        <f t="shared" si="151"/>
        <v>1</v>
      </c>
      <c r="AX77" s="60" t="e">
        <f t="shared" si="151"/>
        <v>#DIV/0!</v>
      </c>
    </row>
    <row r="80" spans="1:50" s="16" customFormat="1" x14ac:dyDescent="0.2">
      <c r="A80" s="15" t="s">
        <v>259</v>
      </c>
      <c r="G80" s="15" t="s">
        <v>259</v>
      </c>
      <c r="M80" s="15" t="s">
        <v>259</v>
      </c>
      <c r="S80" s="15" t="s">
        <v>259</v>
      </c>
      <c r="Y80" s="15" t="s">
        <v>259</v>
      </c>
      <c r="AE80" s="15" t="s">
        <v>259</v>
      </c>
      <c r="AK80" s="15" t="s">
        <v>259</v>
      </c>
      <c r="AP80" s="15" t="s">
        <v>259</v>
      </c>
      <c r="AQ80" s="216" t="s">
        <v>139</v>
      </c>
      <c r="AR80" s="217" t="s">
        <v>140</v>
      </c>
      <c r="AS80" s="217" t="s">
        <v>139</v>
      </c>
      <c r="AT80" s="217" t="s">
        <v>140</v>
      </c>
      <c r="AU80" s="217" t="s">
        <v>139</v>
      </c>
      <c r="AV80" s="217" t="s">
        <v>140</v>
      </c>
      <c r="AW80" s="217" t="s">
        <v>139</v>
      </c>
      <c r="AX80" s="217" t="s">
        <v>140</v>
      </c>
    </row>
    <row r="81" spans="1:50" ht="25.5" x14ac:dyDescent="0.2">
      <c r="B81" s="14" t="s">
        <v>38</v>
      </c>
      <c r="C81" s="14" t="s">
        <v>37</v>
      </c>
      <c r="D81" s="14" t="s">
        <v>0</v>
      </c>
      <c r="E81" s="17" t="s">
        <v>1</v>
      </c>
      <c r="H81" s="14" t="s">
        <v>38</v>
      </c>
      <c r="I81" s="14" t="s">
        <v>37</v>
      </c>
      <c r="J81" s="14" t="s">
        <v>0</v>
      </c>
      <c r="K81" s="17" t="s">
        <v>1</v>
      </c>
      <c r="N81" s="14" t="s">
        <v>38</v>
      </c>
      <c r="O81" s="14" t="s">
        <v>37</v>
      </c>
      <c r="P81" s="14" t="s">
        <v>0</v>
      </c>
      <c r="Q81" s="17" t="s">
        <v>1</v>
      </c>
      <c r="T81" s="14" t="s">
        <v>38</v>
      </c>
      <c r="U81" s="14" t="s">
        <v>37</v>
      </c>
      <c r="V81" s="14" t="s">
        <v>0</v>
      </c>
      <c r="W81" s="17" t="s">
        <v>1</v>
      </c>
      <c r="Z81" s="14" t="s">
        <v>38</v>
      </c>
      <c r="AA81" s="14" t="s">
        <v>37</v>
      </c>
      <c r="AB81" s="14" t="s">
        <v>0</v>
      </c>
      <c r="AC81" s="17" t="s">
        <v>1</v>
      </c>
      <c r="AF81" s="14" t="s">
        <v>38</v>
      </c>
      <c r="AG81" s="14" t="s">
        <v>37</v>
      </c>
      <c r="AH81" s="14" t="s">
        <v>0</v>
      </c>
      <c r="AI81" s="17" t="s">
        <v>1</v>
      </c>
      <c r="AL81" s="14"/>
      <c r="AM81" s="14"/>
      <c r="AN81" s="14"/>
      <c r="AO81" s="17"/>
      <c r="AQ81" s="218" t="s">
        <v>142</v>
      </c>
      <c r="AR81" s="218" t="s">
        <v>142</v>
      </c>
      <c r="AS81" s="218" t="s">
        <v>143</v>
      </c>
      <c r="AT81" s="218" t="s">
        <v>143</v>
      </c>
      <c r="AU81" s="218" t="s">
        <v>144</v>
      </c>
      <c r="AV81" s="218" t="s">
        <v>145</v>
      </c>
      <c r="AW81" s="219" t="s">
        <v>141</v>
      </c>
      <c r="AX81" s="219" t="s">
        <v>141</v>
      </c>
    </row>
    <row r="82" spans="1:50" x14ac:dyDescent="0.2">
      <c r="A82" s="1" t="s">
        <v>122</v>
      </c>
      <c r="B82" s="92">
        <f t="shared" ref="B82:E90" si="152">SUM(B4,B17,B30,B43,B56,B69)</f>
        <v>132601.78835246101</v>
      </c>
      <c r="C82" s="92">
        <f t="shared" si="152"/>
        <v>45881.489267259909</v>
      </c>
      <c r="D82" s="92">
        <f t="shared" si="152"/>
        <v>129262.92969344051</v>
      </c>
      <c r="E82" s="92">
        <f t="shared" si="152"/>
        <v>307746.2073131614</v>
      </c>
      <c r="G82" s="1" t="s">
        <v>122</v>
      </c>
      <c r="H82" s="6">
        <f t="shared" ref="H82:K90" si="153">SUM(H4,H17,H30,H43,H56,H69)</f>
        <v>0</v>
      </c>
      <c r="I82" s="7">
        <f t="shared" si="153"/>
        <v>0</v>
      </c>
      <c r="J82" s="8">
        <f t="shared" si="153"/>
        <v>0</v>
      </c>
      <c r="K82" s="5">
        <f t="shared" si="153"/>
        <v>0</v>
      </c>
      <c r="M82" s="1" t="s">
        <v>122</v>
      </c>
      <c r="N82" s="22">
        <f>B82/B90</f>
        <v>0.70051618037978669</v>
      </c>
      <c r="O82" s="26">
        <f>C82/C90</f>
        <v>0.42976926952155031</v>
      </c>
      <c r="P82" s="27">
        <f>D82/D90</f>
        <v>0.46327252926379348</v>
      </c>
      <c r="Q82" s="23">
        <f>E82/E90</f>
        <v>0.53514441705018778</v>
      </c>
      <c r="S82" s="1" t="s">
        <v>122</v>
      </c>
      <c r="T82" s="22" t="e">
        <f>H82/H90</f>
        <v>#DIV/0!</v>
      </c>
      <c r="U82" s="26" t="e">
        <f>I82/I90</f>
        <v>#DIV/0!</v>
      </c>
      <c r="V82" s="27" t="e">
        <f>J82/J90</f>
        <v>#DIV/0!</v>
      </c>
      <c r="W82" s="23" t="e">
        <f>K82/K90</f>
        <v>#DIV/0!</v>
      </c>
      <c r="Y82" s="1" t="s">
        <v>122</v>
      </c>
      <c r="Z82" s="83">
        <f>H82-B82</f>
        <v>-132601.78835246101</v>
      </c>
      <c r="AA82" s="84">
        <f t="shared" ref="AA82:AA90" si="154">I82-C82</f>
        <v>-45881.489267259909</v>
      </c>
      <c r="AB82" s="85">
        <f t="shared" ref="AB82:AB90" si="155">J82-D82</f>
        <v>-129262.92969344051</v>
      </c>
      <c r="AC82" s="73">
        <f t="shared" ref="AC82:AC90" si="156">K82-E82</f>
        <v>-307746.2073131614</v>
      </c>
      <c r="AE82" s="1" t="s">
        <v>122</v>
      </c>
      <c r="AF82" s="31" t="e">
        <f>T82-N82</f>
        <v>#DIV/0!</v>
      </c>
      <c r="AG82" s="33" t="e">
        <f t="shared" ref="AG82:AG90" si="157">U82-O82</f>
        <v>#DIV/0!</v>
      </c>
      <c r="AH82" s="34" t="e">
        <f t="shared" ref="AH82:AH90" si="158">V82-P82</f>
        <v>#DIV/0!</v>
      </c>
      <c r="AI82" s="32" t="e">
        <f t="shared" ref="AI82:AI90" si="159">W82-Q82</f>
        <v>#DIV/0!</v>
      </c>
      <c r="AK82" s="1" t="s">
        <v>122</v>
      </c>
      <c r="AL82" s="48"/>
      <c r="AM82" s="48"/>
      <c r="AN82" s="48"/>
      <c r="AO82" s="32"/>
      <c r="AP82" s="1" t="s">
        <v>122</v>
      </c>
      <c r="AQ82" s="57">
        <f>N82</f>
        <v>0.70051618037978669</v>
      </c>
      <c r="AR82" s="58" t="e">
        <f>T82</f>
        <v>#DIV/0!</v>
      </c>
      <c r="AS82" s="57">
        <f>O82</f>
        <v>0.42976926952155031</v>
      </c>
      <c r="AT82" s="59" t="e">
        <f>U82</f>
        <v>#DIV/0!</v>
      </c>
      <c r="AU82" s="58">
        <f>P82</f>
        <v>0.46327252926379348</v>
      </c>
      <c r="AV82" s="58" t="e">
        <f>V82</f>
        <v>#DIV/0!</v>
      </c>
      <c r="AW82" s="57">
        <f>Q82</f>
        <v>0.53514441705018778</v>
      </c>
      <c r="AX82" s="59" t="e">
        <f>W82</f>
        <v>#DIV/0!</v>
      </c>
    </row>
    <row r="83" spans="1:50" x14ac:dyDescent="0.2">
      <c r="A83" s="1" t="s">
        <v>131</v>
      </c>
      <c r="B83" s="92">
        <f t="shared" si="152"/>
        <v>28375.890802583843</v>
      </c>
      <c r="C83" s="92">
        <f t="shared" si="152"/>
        <v>11559.289602117493</v>
      </c>
      <c r="D83" s="92">
        <f t="shared" si="152"/>
        <v>19125.783479156024</v>
      </c>
      <c r="E83" s="92">
        <f t="shared" si="152"/>
        <v>59060.963883857359</v>
      </c>
      <c r="G83" s="1" t="s">
        <v>131</v>
      </c>
      <c r="H83" s="9">
        <f t="shared" si="153"/>
        <v>0</v>
      </c>
      <c r="I83" s="5">
        <f t="shared" si="153"/>
        <v>0</v>
      </c>
      <c r="J83" s="10">
        <f t="shared" si="153"/>
        <v>0</v>
      </c>
      <c r="K83" s="5">
        <f t="shared" si="153"/>
        <v>0</v>
      </c>
      <c r="M83" s="1" t="s">
        <v>131</v>
      </c>
      <c r="N83" s="23">
        <f>B83/B90</f>
        <v>0.1499057507962413</v>
      </c>
      <c r="O83" s="25">
        <f>C83/C90</f>
        <v>0.10827520047469398</v>
      </c>
      <c r="P83" s="28">
        <f>D83/D90</f>
        <v>6.8545948227799705E-2</v>
      </c>
      <c r="Q83" s="23">
        <f>E83/E90</f>
        <v>0.10270198084321716</v>
      </c>
      <c r="S83" s="1" t="s">
        <v>131</v>
      </c>
      <c r="T83" s="23" t="e">
        <f>H83/H90</f>
        <v>#DIV/0!</v>
      </c>
      <c r="U83" s="25" t="e">
        <f>I83/I90</f>
        <v>#DIV/0!</v>
      </c>
      <c r="V83" s="28" t="e">
        <f>J83/J90</f>
        <v>#DIV/0!</v>
      </c>
      <c r="W83" s="23" t="e">
        <f>K83/K90</f>
        <v>#DIV/0!</v>
      </c>
      <c r="Y83" s="1" t="s">
        <v>131</v>
      </c>
      <c r="Z83" s="86">
        <f t="shared" ref="Z83:Z90" si="160">H83-B83</f>
        <v>-28375.890802583843</v>
      </c>
      <c r="AA83" s="73">
        <f t="shared" si="154"/>
        <v>-11559.289602117493</v>
      </c>
      <c r="AB83" s="87">
        <f t="shared" si="155"/>
        <v>-19125.783479156024</v>
      </c>
      <c r="AC83" s="73">
        <f t="shared" si="156"/>
        <v>-59060.963883857359</v>
      </c>
      <c r="AE83" s="1" t="s">
        <v>131</v>
      </c>
      <c r="AF83" s="35" t="e">
        <f t="shared" ref="AF83:AF90" si="161">T83-N83</f>
        <v>#DIV/0!</v>
      </c>
      <c r="AG83" s="32" t="e">
        <f t="shared" si="157"/>
        <v>#DIV/0!</v>
      </c>
      <c r="AH83" s="36" t="e">
        <f t="shared" si="158"/>
        <v>#DIV/0!</v>
      </c>
      <c r="AI83" s="32" t="e">
        <f t="shared" si="159"/>
        <v>#DIV/0!</v>
      </c>
      <c r="AK83" s="1" t="s">
        <v>131</v>
      </c>
      <c r="AL83" s="48"/>
      <c r="AM83" s="48"/>
      <c r="AN83" s="48"/>
      <c r="AO83" s="32"/>
      <c r="AP83" s="1" t="s">
        <v>131</v>
      </c>
      <c r="AQ83" s="61">
        <f t="shared" ref="AQ83:AQ89" si="162">N83</f>
        <v>0.1499057507962413</v>
      </c>
      <c r="AR83" s="60" t="e">
        <f t="shared" ref="AR83:AR89" si="163">T83</f>
        <v>#DIV/0!</v>
      </c>
      <c r="AS83" s="61">
        <f t="shared" ref="AS83:AS89" si="164">O83</f>
        <v>0.10827520047469398</v>
      </c>
      <c r="AT83" s="62" t="e">
        <f t="shared" ref="AT83:AT89" si="165">U83</f>
        <v>#DIV/0!</v>
      </c>
      <c r="AU83" s="60">
        <f t="shared" ref="AU83:AU89" si="166">P83</f>
        <v>6.8545948227799705E-2</v>
      </c>
      <c r="AV83" s="60" t="e">
        <f t="shared" ref="AV83:AV89" si="167">V83</f>
        <v>#DIV/0!</v>
      </c>
      <c r="AW83" s="61">
        <f t="shared" ref="AW83:AW89" si="168">Q83</f>
        <v>0.10270198084321716</v>
      </c>
      <c r="AX83" s="62" t="e">
        <f t="shared" ref="AX83:AX89" si="169">W83</f>
        <v>#DIV/0!</v>
      </c>
    </row>
    <row r="84" spans="1:50" x14ac:dyDescent="0.2">
      <c r="A84" s="1" t="s">
        <v>133</v>
      </c>
      <c r="B84" s="92">
        <f t="shared" si="152"/>
        <v>0</v>
      </c>
      <c r="C84" s="92">
        <f t="shared" si="152"/>
        <v>541.02790357539959</v>
      </c>
      <c r="D84" s="92">
        <f t="shared" si="152"/>
        <v>1237.4497651925428</v>
      </c>
      <c r="E84" s="92">
        <f t="shared" si="152"/>
        <v>1778.4776687679428</v>
      </c>
      <c r="G84" s="1" t="s">
        <v>133</v>
      </c>
      <c r="H84" s="9">
        <f t="shared" si="153"/>
        <v>0</v>
      </c>
      <c r="I84" s="5">
        <f t="shared" si="153"/>
        <v>0</v>
      </c>
      <c r="J84" s="10">
        <f t="shared" si="153"/>
        <v>0</v>
      </c>
      <c r="K84" s="5">
        <f t="shared" si="153"/>
        <v>0</v>
      </c>
      <c r="M84" s="1" t="s">
        <v>133</v>
      </c>
      <c r="N84" s="23">
        <f>B84/B90</f>
        <v>0</v>
      </c>
      <c r="O84" s="25">
        <f>C84/C90</f>
        <v>5.0677772370456755E-3</v>
      </c>
      <c r="P84" s="28">
        <f>D84/D90</f>
        <v>4.4349643313610259E-3</v>
      </c>
      <c r="Q84" s="23">
        <f>E84/E90</f>
        <v>3.09262103861156E-3</v>
      </c>
      <c r="S84" s="1" t="s">
        <v>133</v>
      </c>
      <c r="T84" s="23" t="e">
        <f>H84/H90</f>
        <v>#DIV/0!</v>
      </c>
      <c r="U84" s="25" t="e">
        <f>I84/I90</f>
        <v>#DIV/0!</v>
      </c>
      <c r="V84" s="28" t="e">
        <f>J84/J90</f>
        <v>#DIV/0!</v>
      </c>
      <c r="W84" s="23" t="e">
        <f>K84/K90</f>
        <v>#DIV/0!</v>
      </c>
      <c r="Y84" s="1" t="s">
        <v>133</v>
      </c>
      <c r="Z84" s="86">
        <f t="shared" si="160"/>
        <v>0</v>
      </c>
      <c r="AA84" s="73">
        <f t="shared" si="154"/>
        <v>-541.02790357539959</v>
      </c>
      <c r="AB84" s="87">
        <f t="shared" si="155"/>
        <v>-1237.4497651925428</v>
      </c>
      <c r="AC84" s="73">
        <f t="shared" si="156"/>
        <v>-1778.4776687679428</v>
      </c>
      <c r="AE84" s="1" t="s">
        <v>133</v>
      </c>
      <c r="AF84" s="35" t="e">
        <f t="shared" si="161"/>
        <v>#DIV/0!</v>
      </c>
      <c r="AG84" s="32" t="e">
        <f t="shared" si="157"/>
        <v>#DIV/0!</v>
      </c>
      <c r="AH84" s="36" t="e">
        <f t="shared" si="158"/>
        <v>#DIV/0!</v>
      </c>
      <c r="AI84" s="32" t="e">
        <f t="shared" si="159"/>
        <v>#DIV/0!</v>
      </c>
      <c r="AK84" s="1" t="s">
        <v>133</v>
      </c>
      <c r="AL84" s="48"/>
      <c r="AM84" s="48"/>
      <c r="AN84" s="48"/>
      <c r="AO84" s="32"/>
      <c r="AP84" s="1" t="s">
        <v>133</v>
      </c>
      <c r="AQ84" s="61">
        <f t="shared" si="162"/>
        <v>0</v>
      </c>
      <c r="AR84" s="60" t="e">
        <f t="shared" si="163"/>
        <v>#DIV/0!</v>
      </c>
      <c r="AS84" s="61">
        <f t="shared" si="164"/>
        <v>5.0677772370456755E-3</v>
      </c>
      <c r="AT84" s="62" t="e">
        <f t="shared" si="165"/>
        <v>#DIV/0!</v>
      </c>
      <c r="AU84" s="60">
        <f t="shared" si="166"/>
        <v>4.4349643313610259E-3</v>
      </c>
      <c r="AV84" s="60" t="e">
        <f t="shared" si="167"/>
        <v>#DIV/0!</v>
      </c>
      <c r="AW84" s="61">
        <f t="shared" si="168"/>
        <v>3.09262103861156E-3</v>
      </c>
      <c r="AX84" s="62" t="e">
        <f t="shared" si="169"/>
        <v>#DIV/0!</v>
      </c>
    </row>
    <row r="85" spans="1:50" x14ac:dyDescent="0.2">
      <c r="A85" s="1" t="s">
        <v>129</v>
      </c>
      <c r="B85" s="92">
        <f t="shared" si="152"/>
        <v>221.64532589228139</v>
      </c>
      <c r="C85" s="92">
        <f t="shared" si="152"/>
        <v>0</v>
      </c>
      <c r="D85" s="92">
        <f t="shared" si="152"/>
        <v>1103.4193564649649</v>
      </c>
      <c r="E85" s="92">
        <f t="shared" si="152"/>
        <v>1191.5545035426703</v>
      </c>
      <c r="G85" s="1" t="s">
        <v>129</v>
      </c>
      <c r="H85" s="9">
        <f t="shared" si="153"/>
        <v>0</v>
      </c>
      <c r="I85" s="5">
        <f t="shared" si="153"/>
        <v>0</v>
      </c>
      <c r="J85" s="10">
        <f t="shared" si="153"/>
        <v>0</v>
      </c>
      <c r="K85" s="5">
        <f t="shared" si="153"/>
        <v>0</v>
      </c>
      <c r="M85" s="1" t="s">
        <v>129</v>
      </c>
      <c r="N85" s="23">
        <f>B85/B90</f>
        <v>1.1709203851790462E-3</v>
      </c>
      <c r="O85" s="25">
        <f>C85/C90</f>
        <v>0</v>
      </c>
      <c r="P85" s="28">
        <f>D85/D90</f>
        <v>3.9546053715514068E-3</v>
      </c>
      <c r="Q85" s="23">
        <f>E85/E90</f>
        <v>2.0720116934958492E-3</v>
      </c>
      <c r="S85" s="1" t="s">
        <v>129</v>
      </c>
      <c r="T85" s="23" t="e">
        <f>H85/H90</f>
        <v>#DIV/0!</v>
      </c>
      <c r="U85" s="25" t="e">
        <f>I85/I90</f>
        <v>#DIV/0!</v>
      </c>
      <c r="V85" s="28" t="e">
        <f>J85/J90</f>
        <v>#DIV/0!</v>
      </c>
      <c r="W85" s="23" t="e">
        <f>K85/K90</f>
        <v>#DIV/0!</v>
      </c>
      <c r="Y85" s="1" t="s">
        <v>129</v>
      </c>
      <c r="Z85" s="86">
        <f t="shared" si="160"/>
        <v>-221.64532589228139</v>
      </c>
      <c r="AA85" s="73">
        <f t="shared" si="154"/>
        <v>0</v>
      </c>
      <c r="AB85" s="87">
        <f t="shared" si="155"/>
        <v>-1103.4193564649649</v>
      </c>
      <c r="AC85" s="73">
        <f t="shared" si="156"/>
        <v>-1191.5545035426703</v>
      </c>
      <c r="AE85" s="1" t="s">
        <v>129</v>
      </c>
      <c r="AF85" s="35" t="e">
        <f t="shared" si="161"/>
        <v>#DIV/0!</v>
      </c>
      <c r="AG85" s="32" t="e">
        <f t="shared" si="157"/>
        <v>#DIV/0!</v>
      </c>
      <c r="AH85" s="36" t="e">
        <f t="shared" si="158"/>
        <v>#DIV/0!</v>
      </c>
      <c r="AI85" s="32" t="e">
        <f t="shared" si="159"/>
        <v>#DIV/0!</v>
      </c>
      <c r="AK85" s="1" t="s">
        <v>129</v>
      </c>
      <c r="AL85" s="48"/>
      <c r="AM85" s="48"/>
      <c r="AN85" s="48"/>
      <c r="AO85" s="32"/>
      <c r="AP85" s="1" t="s">
        <v>129</v>
      </c>
      <c r="AQ85" s="61">
        <f t="shared" si="162"/>
        <v>1.1709203851790462E-3</v>
      </c>
      <c r="AR85" s="60" t="e">
        <f t="shared" si="163"/>
        <v>#DIV/0!</v>
      </c>
      <c r="AS85" s="61">
        <f t="shared" si="164"/>
        <v>0</v>
      </c>
      <c r="AT85" s="62" t="e">
        <f t="shared" si="165"/>
        <v>#DIV/0!</v>
      </c>
      <c r="AU85" s="60">
        <f t="shared" si="166"/>
        <v>3.9546053715514068E-3</v>
      </c>
      <c r="AV85" s="60" t="e">
        <f t="shared" si="167"/>
        <v>#DIV/0!</v>
      </c>
      <c r="AW85" s="61">
        <f t="shared" si="168"/>
        <v>2.0720116934958492E-3</v>
      </c>
      <c r="AX85" s="62" t="e">
        <f t="shared" si="169"/>
        <v>#DIV/0!</v>
      </c>
    </row>
    <row r="86" spans="1:50" x14ac:dyDescent="0.2">
      <c r="A86" s="1" t="s">
        <v>132</v>
      </c>
      <c r="B86" s="92">
        <f t="shared" si="152"/>
        <v>0</v>
      </c>
      <c r="C86" s="92">
        <f t="shared" si="152"/>
        <v>0</v>
      </c>
      <c r="D86" s="92">
        <f t="shared" si="152"/>
        <v>842.07088824457037</v>
      </c>
      <c r="E86" s="92">
        <f t="shared" si="152"/>
        <v>778.40526777175467</v>
      </c>
      <c r="G86" s="1" t="s">
        <v>132</v>
      </c>
      <c r="H86" s="9">
        <f t="shared" si="153"/>
        <v>0</v>
      </c>
      <c r="I86" s="5">
        <f t="shared" si="153"/>
        <v>0</v>
      </c>
      <c r="J86" s="10">
        <f t="shared" si="153"/>
        <v>0</v>
      </c>
      <c r="K86" s="5">
        <f t="shared" si="153"/>
        <v>0</v>
      </c>
      <c r="M86" s="1" t="s">
        <v>132</v>
      </c>
      <c r="N86" s="23">
        <f>B86/B90</f>
        <v>0</v>
      </c>
      <c r="O86" s="25">
        <f>C86/C90</f>
        <v>0</v>
      </c>
      <c r="P86" s="28">
        <f>D86/D90</f>
        <v>3.0179442098492641E-3</v>
      </c>
      <c r="Q86" s="23">
        <f>E86/E90</f>
        <v>1.3535803962861574E-3</v>
      </c>
      <c r="S86" s="1" t="s">
        <v>132</v>
      </c>
      <c r="T86" s="23" t="e">
        <f>H86/H90</f>
        <v>#DIV/0!</v>
      </c>
      <c r="U86" s="25" t="e">
        <f>I86/I90</f>
        <v>#DIV/0!</v>
      </c>
      <c r="V86" s="28" t="e">
        <f>J86/J90</f>
        <v>#DIV/0!</v>
      </c>
      <c r="W86" s="23" t="e">
        <f>K86/K90</f>
        <v>#DIV/0!</v>
      </c>
      <c r="Y86" s="1" t="s">
        <v>132</v>
      </c>
      <c r="Z86" s="86">
        <f t="shared" si="160"/>
        <v>0</v>
      </c>
      <c r="AA86" s="73">
        <f t="shared" si="154"/>
        <v>0</v>
      </c>
      <c r="AB86" s="87">
        <f t="shared" si="155"/>
        <v>-842.07088824457037</v>
      </c>
      <c r="AC86" s="73">
        <f t="shared" si="156"/>
        <v>-778.40526777175467</v>
      </c>
      <c r="AE86" s="1" t="s">
        <v>132</v>
      </c>
      <c r="AF86" s="35" t="e">
        <f t="shared" si="161"/>
        <v>#DIV/0!</v>
      </c>
      <c r="AG86" s="32" t="e">
        <f t="shared" si="157"/>
        <v>#DIV/0!</v>
      </c>
      <c r="AH86" s="36" t="e">
        <f t="shared" si="158"/>
        <v>#DIV/0!</v>
      </c>
      <c r="AI86" s="32" t="e">
        <f t="shared" si="159"/>
        <v>#DIV/0!</v>
      </c>
      <c r="AK86" s="1" t="s">
        <v>132</v>
      </c>
      <c r="AL86" s="48"/>
      <c r="AM86" s="48"/>
      <c r="AN86" s="48"/>
      <c r="AO86" s="32"/>
      <c r="AP86" s="1" t="s">
        <v>132</v>
      </c>
      <c r="AQ86" s="61">
        <f t="shared" si="162"/>
        <v>0</v>
      </c>
      <c r="AR86" s="60" t="e">
        <f t="shared" si="163"/>
        <v>#DIV/0!</v>
      </c>
      <c r="AS86" s="61">
        <f t="shared" si="164"/>
        <v>0</v>
      </c>
      <c r="AT86" s="62" t="e">
        <f t="shared" si="165"/>
        <v>#DIV/0!</v>
      </c>
      <c r="AU86" s="60">
        <f t="shared" si="166"/>
        <v>3.0179442098492641E-3</v>
      </c>
      <c r="AV86" s="60" t="e">
        <f t="shared" si="167"/>
        <v>#DIV/0!</v>
      </c>
      <c r="AW86" s="61">
        <f t="shared" si="168"/>
        <v>1.3535803962861574E-3</v>
      </c>
      <c r="AX86" s="62" t="e">
        <f t="shared" si="169"/>
        <v>#DIV/0!</v>
      </c>
    </row>
    <row r="87" spans="1:50" x14ac:dyDescent="0.2">
      <c r="A87" s="1" t="s">
        <v>123</v>
      </c>
      <c r="B87" s="92">
        <f t="shared" si="152"/>
        <v>1902.7334967469972</v>
      </c>
      <c r="C87" s="92">
        <f t="shared" si="152"/>
        <v>1097.1302092411674</v>
      </c>
      <c r="D87" s="92">
        <f t="shared" si="152"/>
        <v>10062.384043465914</v>
      </c>
      <c r="E87" s="92">
        <f t="shared" si="152"/>
        <v>13062.247749454078</v>
      </c>
      <c r="G87" s="1" t="s">
        <v>123</v>
      </c>
      <c r="H87" s="9">
        <f t="shared" si="153"/>
        <v>0</v>
      </c>
      <c r="I87" s="5">
        <f t="shared" si="153"/>
        <v>0</v>
      </c>
      <c r="J87" s="10">
        <f t="shared" si="153"/>
        <v>0</v>
      </c>
      <c r="K87" s="5">
        <f t="shared" si="153"/>
        <v>0</v>
      </c>
      <c r="M87" s="1" t="s">
        <v>123</v>
      </c>
      <c r="N87" s="23">
        <f>B87/B90</f>
        <v>1.0051867459577471E-2</v>
      </c>
      <c r="O87" s="25">
        <f>C87/C90</f>
        <v>1.0276755530951436E-2</v>
      </c>
      <c r="P87" s="28">
        <f>D87/D90</f>
        <v>3.6063132077352622E-2</v>
      </c>
      <c r="Q87" s="23">
        <f>E87/E90</f>
        <v>2.2714135190408827E-2</v>
      </c>
      <c r="S87" s="1" t="s">
        <v>123</v>
      </c>
      <c r="T87" s="23" t="e">
        <f>H87/H90</f>
        <v>#DIV/0!</v>
      </c>
      <c r="U87" s="25" t="e">
        <f>I87/I90</f>
        <v>#DIV/0!</v>
      </c>
      <c r="V87" s="28" t="e">
        <f>J87/J90</f>
        <v>#DIV/0!</v>
      </c>
      <c r="W87" s="23" t="e">
        <f>K87/K90</f>
        <v>#DIV/0!</v>
      </c>
      <c r="Y87" s="1" t="s">
        <v>123</v>
      </c>
      <c r="Z87" s="86">
        <f t="shared" si="160"/>
        <v>-1902.7334967469972</v>
      </c>
      <c r="AA87" s="73">
        <f t="shared" si="154"/>
        <v>-1097.1302092411674</v>
      </c>
      <c r="AB87" s="87">
        <f t="shared" si="155"/>
        <v>-10062.384043465914</v>
      </c>
      <c r="AC87" s="73">
        <f t="shared" si="156"/>
        <v>-13062.247749454078</v>
      </c>
      <c r="AE87" s="1" t="s">
        <v>123</v>
      </c>
      <c r="AF87" s="35" t="e">
        <f t="shared" si="161"/>
        <v>#DIV/0!</v>
      </c>
      <c r="AG87" s="32" t="e">
        <f t="shared" si="157"/>
        <v>#DIV/0!</v>
      </c>
      <c r="AH87" s="36" t="e">
        <f t="shared" si="158"/>
        <v>#DIV/0!</v>
      </c>
      <c r="AI87" s="32" t="e">
        <f t="shared" si="159"/>
        <v>#DIV/0!</v>
      </c>
      <c r="AK87" s="1" t="s">
        <v>123</v>
      </c>
      <c r="AL87" s="48"/>
      <c r="AM87" s="48"/>
      <c r="AN87" s="48"/>
      <c r="AO87" s="32"/>
      <c r="AP87" s="1" t="s">
        <v>123</v>
      </c>
      <c r="AQ87" s="61">
        <f t="shared" si="162"/>
        <v>1.0051867459577471E-2</v>
      </c>
      <c r="AR87" s="60" t="e">
        <f t="shared" si="163"/>
        <v>#DIV/0!</v>
      </c>
      <c r="AS87" s="61">
        <f t="shared" si="164"/>
        <v>1.0276755530951436E-2</v>
      </c>
      <c r="AT87" s="62" t="e">
        <f t="shared" si="165"/>
        <v>#DIV/0!</v>
      </c>
      <c r="AU87" s="60">
        <f t="shared" si="166"/>
        <v>3.6063132077352622E-2</v>
      </c>
      <c r="AV87" s="60" t="e">
        <f t="shared" si="167"/>
        <v>#DIV/0!</v>
      </c>
      <c r="AW87" s="61">
        <f t="shared" si="168"/>
        <v>2.2714135190408827E-2</v>
      </c>
      <c r="AX87" s="62" t="e">
        <f t="shared" si="169"/>
        <v>#DIV/0!</v>
      </c>
    </row>
    <row r="88" spans="1:50" x14ac:dyDescent="0.2">
      <c r="A88" s="1" t="s">
        <v>124</v>
      </c>
      <c r="B88" s="92">
        <f t="shared" si="152"/>
        <v>14839.016317741585</v>
      </c>
      <c r="C88" s="92">
        <f t="shared" si="152"/>
        <v>40444.104417472823</v>
      </c>
      <c r="D88" s="92">
        <f t="shared" si="152"/>
        <v>85256.694628376601</v>
      </c>
      <c r="E88" s="92">
        <f t="shared" si="152"/>
        <v>144375.66437476556</v>
      </c>
      <c r="G88" s="1" t="s">
        <v>124</v>
      </c>
      <c r="H88" s="9">
        <f t="shared" si="153"/>
        <v>0</v>
      </c>
      <c r="I88" s="5">
        <f t="shared" si="153"/>
        <v>0</v>
      </c>
      <c r="J88" s="10">
        <f t="shared" si="153"/>
        <v>0</v>
      </c>
      <c r="K88" s="5">
        <f t="shared" si="153"/>
        <v>0</v>
      </c>
      <c r="M88" s="1" t="s">
        <v>124</v>
      </c>
      <c r="N88" s="23">
        <f>B88/B90</f>
        <v>7.8392389428922349E-2</v>
      </c>
      <c r="O88" s="25">
        <f>C88/C90</f>
        <v>0.3788375985509646</v>
      </c>
      <c r="P88" s="28">
        <f>D88/D90</f>
        <v>0.30555616100323613</v>
      </c>
      <c r="Q88" s="23">
        <f>E88/E90</f>
        <v>0.25105697133562438</v>
      </c>
      <c r="S88" s="1" t="s">
        <v>124</v>
      </c>
      <c r="T88" s="23" t="e">
        <f>H88/H90</f>
        <v>#DIV/0!</v>
      </c>
      <c r="U88" s="25" t="e">
        <f>I88/I90</f>
        <v>#DIV/0!</v>
      </c>
      <c r="V88" s="28" t="e">
        <f>J88/J90</f>
        <v>#DIV/0!</v>
      </c>
      <c r="W88" s="23" t="e">
        <f>K88/K90</f>
        <v>#DIV/0!</v>
      </c>
      <c r="Y88" s="1" t="s">
        <v>124</v>
      </c>
      <c r="Z88" s="86">
        <f t="shared" si="160"/>
        <v>-14839.016317741585</v>
      </c>
      <c r="AA88" s="73">
        <f t="shared" si="154"/>
        <v>-40444.104417472823</v>
      </c>
      <c r="AB88" s="87">
        <f t="shared" si="155"/>
        <v>-85256.694628376601</v>
      </c>
      <c r="AC88" s="73">
        <f t="shared" si="156"/>
        <v>-144375.66437476556</v>
      </c>
      <c r="AE88" s="1" t="s">
        <v>124</v>
      </c>
      <c r="AF88" s="35" t="e">
        <f t="shared" si="161"/>
        <v>#DIV/0!</v>
      </c>
      <c r="AG88" s="32" t="e">
        <f t="shared" si="157"/>
        <v>#DIV/0!</v>
      </c>
      <c r="AH88" s="36" t="e">
        <f t="shared" si="158"/>
        <v>#DIV/0!</v>
      </c>
      <c r="AI88" s="32" t="e">
        <f t="shared" si="159"/>
        <v>#DIV/0!</v>
      </c>
      <c r="AK88" s="1" t="s">
        <v>124</v>
      </c>
      <c r="AL88" s="48"/>
      <c r="AM88" s="48"/>
      <c r="AN88" s="48"/>
      <c r="AO88" s="32"/>
      <c r="AP88" s="1" t="s">
        <v>124</v>
      </c>
      <c r="AQ88" s="61">
        <f t="shared" si="162"/>
        <v>7.8392389428922349E-2</v>
      </c>
      <c r="AR88" s="60" t="e">
        <f t="shared" si="163"/>
        <v>#DIV/0!</v>
      </c>
      <c r="AS88" s="61">
        <f t="shared" si="164"/>
        <v>0.3788375985509646</v>
      </c>
      <c r="AT88" s="62" t="e">
        <f t="shared" si="165"/>
        <v>#DIV/0!</v>
      </c>
      <c r="AU88" s="60">
        <f t="shared" si="166"/>
        <v>0.30555616100323613</v>
      </c>
      <c r="AV88" s="60" t="e">
        <f t="shared" si="167"/>
        <v>#DIV/0!</v>
      </c>
      <c r="AW88" s="61">
        <f t="shared" si="168"/>
        <v>0.25105697133562438</v>
      </c>
      <c r="AX88" s="62" t="e">
        <f t="shared" si="169"/>
        <v>#DIV/0!</v>
      </c>
    </row>
    <row r="89" spans="1:50" x14ac:dyDescent="0.2">
      <c r="A89" s="1" t="s">
        <v>125</v>
      </c>
      <c r="B89" s="92">
        <f t="shared" si="152"/>
        <v>11350.468236212302</v>
      </c>
      <c r="C89" s="92">
        <f t="shared" si="152"/>
        <v>7235.381133285442</v>
      </c>
      <c r="D89" s="92">
        <f t="shared" si="152"/>
        <v>32130.624967436888</v>
      </c>
      <c r="E89" s="92">
        <f t="shared" si="152"/>
        <v>50716.474336934632</v>
      </c>
      <c r="G89" s="1" t="s">
        <v>125</v>
      </c>
      <c r="H89" s="11">
        <f t="shared" si="153"/>
        <v>0</v>
      </c>
      <c r="I89" s="12">
        <f t="shared" si="153"/>
        <v>0</v>
      </c>
      <c r="J89" s="13">
        <f t="shared" si="153"/>
        <v>0</v>
      </c>
      <c r="K89" s="5">
        <f t="shared" si="153"/>
        <v>0</v>
      </c>
      <c r="M89" s="1" t="s">
        <v>125</v>
      </c>
      <c r="N89" s="24">
        <f>B89/B90</f>
        <v>5.9962891550293086E-2</v>
      </c>
      <c r="O89" s="29">
        <f>C89/C90</f>
        <v>6.7773398684793748E-2</v>
      </c>
      <c r="P89" s="30">
        <f>D89/D90</f>
        <v>0.11515471551505641</v>
      </c>
      <c r="Q89" s="23">
        <f>E89/E90</f>
        <v>8.8191624945881064E-2</v>
      </c>
      <c r="S89" s="1" t="s">
        <v>125</v>
      </c>
      <c r="T89" s="24" t="e">
        <f>H89/H90</f>
        <v>#DIV/0!</v>
      </c>
      <c r="U89" s="29" t="e">
        <f>I89/I90</f>
        <v>#DIV/0!</v>
      </c>
      <c r="V89" s="30" t="e">
        <f>J89/J90</f>
        <v>#DIV/0!</v>
      </c>
      <c r="W89" s="23" t="e">
        <f>K89/K90</f>
        <v>#DIV/0!</v>
      </c>
      <c r="Y89" s="1" t="s">
        <v>125</v>
      </c>
      <c r="Z89" s="88">
        <f t="shared" si="160"/>
        <v>-11350.468236212302</v>
      </c>
      <c r="AA89" s="72">
        <f t="shared" si="154"/>
        <v>-7235.381133285442</v>
      </c>
      <c r="AB89" s="89">
        <f t="shared" si="155"/>
        <v>-32130.624967436888</v>
      </c>
      <c r="AC89" s="73">
        <f t="shared" si="156"/>
        <v>-50716.474336934632</v>
      </c>
      <c r="AE89" s="1" t="s">
        <v>125</v>
      </c>
      <c r="AF89" s="37" t="e">
        <f t="shared" si="161"/>
        <v>#DIV/0!</v>
      </c>
      <c r="AG89" s="38" t="e">
        <f t="shared" si="157"/>
        <v>#DIV/0!</v>
      </c>
      <c r="AH89" s="39" t="e">
        <f t="shared" si="158"/>
        <v>#DIV/0!</v>
      </c>
      <c r="AI89" s="32" t="e">
        <f t="shared" si="159"/>
        <v>#DIV/0!</v>
      </c>
      <c r="AK89" s="1" t="s">
        <v>125</v>
      </c>
      <c r="AL89" s="48"/>
      <c r="AM89" s="48"/>
      <c r="AN89" s="48"/>
      <c r="AO89" s="32"/>
      <c r="AP89" s="1" t="s">
        <v>125</v>
      </c>
      <c r="AQ89" s="63">
        <f t="shared" si="162"/>
        <v>5.9962891550293086E-2</v>
      </c>
      <c r="AR89" s="64" t="e">
        <f t="shared" si="163"/>
        <v>#DIV/0!</v>
      </c>
      <c r="AS89" s="63">
        <f t="shared" si="164"/>
        <v>6.7773398684793748E-2</v>
      </c>
      <c r="AT89" s="65" t="e">
        <f t="shared" si="165"/>
        <v>#DIV/0!</v>
      </c>
      <c r="AU89" s="64">
        <f t="shared" si="166"/>
        <v>0.11515471551505641</v>
      </c>
      <c r="AV89" s="64" t="e">
        <f t="shared" si="167"/>
        <v>#DIV/0!</v>
      </c>
      <c r="AW89" s="63">
        <f t="shared" si="168"/>
        <v>8.8191624945881064E-2</v>
      </c>
      <c r="AX89" s="65" t="e">
        <f t="shared" si="169"/>
        <v>#DIV/0!</v>
      </c>
    </row>
    <row r="90" spans="1:50" x14ac:dyDescent="0.2">
      <c r="A90" s="1" t="s">
        <v>1</v>
      </c>
      <c r="B90" s="92">
        <f t="shared" si="152"/>
        <v>189291.54253163803</v>
      </c>
      <c r="C90" s="92">
        <f t="shared" si="152"/>
        <v>106758.42253295226</v>
      </c>
      <c r="D90" s="92">
        <f t="shared" si="152"/>
        <v>279021.356821778</v>
      </c>
      <c r="E90" s="92">
        <f t="shared" si="152"/>
        <v>575071.32188636821</v>
      </c>
      <c r="G90" s="1" t="s">
        <v>1</v>
      </c>
      <c r="H90" s="5">
        <f t="shared" si="153"/>
        <v>0</v>
      </c>
      <c r="I90" s="5">
        <f t="shared" si="153"/>
        <v>0</v>
      </c>
      <c r="J90" s="5">
        <f t="shared" si="153"/>
        <v>0</v>
      </c>
      <c r="K90" s="5">
        <f t="shared" si="153"/>
        <v>0</v>
      </c>
      <c r="M90" s="1" t="s">
        <v>1</v>
      </c>
      <c r="N90" s="25">
        <f>SUM(N82:N89)</f>
        <v>0.99999999999999989</v>
      </c>
      <c r="O90" s="25">
        <f>SUM(O82:O89)</f>
        <v>0.99999999999999978</v>
      </c>
      <c r="P90" s="25">
        <f>SUM(P82:P89)</f>
        <v>1</v>
      </c>
      <c r="Q90" s="25">
        <f>SUM(Q82:Q89)</f>
        <v>1.0063273424937127</v>
      </c>
      <c r="S90" s="1" t="s">
        <v>1</v>
      </c>
      <c r="T90" s="25" t="e">
        <f>SUM(T82:T89)</f>
        <v>#DIV/0!</v>
      </c>
      <c r="U90" s="25" t="e">
        <f>SUM(U82:U89)</f>
        <v>#DIV/0!</v>
      </c>
      <c r="V90" s="25" t="e">
        <f>SUM(V82:V89)</f>
        <v>#DIV/0!</v>
      </c>
      <c r="W90" s="25" t="e">
        <f>SUM(W82:W89)</f>
        <v>#DIV/0!</v>
      </c>
      <c r="Y90" s="1" t="s">
        <v>1</v>
      </c>
      <c r="Z90" s="73">
        <f t="shared" si="160"/>
        <v>-189291.54253163803</v>
      </c>
      <c r="AA90" s="73">
        <f t="shared" si="154"/>
        <v>-106758.42253295226</v>
      </c>
      <c r="AB90" s="73">
        <f t="shared" si="155"/>
        <v>-279021.356821778</v>
      </c>
      <c r="AC90" s="73">
        <f t="shared" si="156"/>
        <v>-575071.32188636821</v>
      </c>
      <c r="AE90" s="1" t="s">
        <v>1</v>
      </c>
      <c r="AF90" s="32" t="e">
        <f t="shared" si="161"/>
        <v>#DIV/0!</v>
      </c>
      <c r="AG90" s="32" t="e">
        <f t="shared" si="157"/>
        <v>#DIV/0!</v>
      </c>
      <c r="AH90" s="32" t="e">
        <f t="shared" si="158"/>
        <v>#DIV/0!</v>
      </c>
      <c r="AI90" s="32" t="e">
        <f t="shared" si="159"/>
        <v>#DIV/0!</v>
      </c>
      <c r="AK90" s="1" t="s">
        <v>1</v>
      </c>
      <c r="AL90" s="32"/>
      <c r="AM90" s="32"/>
      <c r="AN90" s="32"/>
      <c r="AO90" s="32"/>
      <c r="AP90" s="1" t="s">
        <v>1</v>
      </c>
      <c r="AQ90" s="60">
        <f>SUM(AQ82:AQ89)</f>
        <v>0.99999999999999989</v>
      </c>
      <c r="AR90" s="60" t="e">
        <f t="shared" ref="AR90:AX90" si="170">SUM(AR82:AR89)</f>
        <v>#DIV/0!</v>
      </c>
      <c r="AS90" s="60">
        <f t="shared" si="170"/>
        <v>0.99999999999999978</v>
      </c>
      <c r="AT90" s="60" t="e">
        <f t="shared" si="170"/>
        <v>#DIV/0!</v>
      </c>
      <c r="AU90" s="60">
        <f t="shared" si="170"/>
        <v>1</v>
      </c>
      <c r="AV90" s="60" t="e">
        <f t="shared" si="170"/>
        <v>#DIV/0!</v>
      </c>
      <c r="AW90" s="60">
        <f t="shared" si="170"/>
        <v>1.0063273424937127</v>
      </c>
      <c r="AX90" s="60" t="e">
        <f t="shared" si="170"/>
        <v>#DIV/0!</v>
      </c>
    </row>
  </sheetData>
  <pageMargins left="0.7" right="0.7" top="0.75" bottom="0.75" header="0.3" footer="0.3"/>
  <pageSetup paperSize="17" scale="3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AO77"/>
  <sheetViews>
    <sheetView zoomScaleNormal="100" workbookViewId="0">
      <pane ySplit="2" topLeftCell="A3" activePane="bottomLeft" state="frozen"/>
      <selection pane="bottomLeft" activeCell="M1" sqref="M1"/>
    </sheetView>
  </sheetViews>
  <sheetFormatPr defaultRowHeight="12.75" x14ac:dyDescent="0.2"/>
  <cols>
    <col min="1" max="1" width="56" style="1" customWidth="1"/>
    <col min="2" max="2" width="32.28515625" style="1" customWidth="1"/>
    <col min="3" max="5" width="9.140625" style="1"/>
    <col min="6" max="6" width="1.7109375" style="79" customWidth="1"/>
    <col min="7" max="9" width="9.140625" style="1"/>
    <col min="10" max="10" width="1.7109375" style="79" customWidth="1"/>
    <col min="11" max="13" width="9.140625" style="1"/>
    <col min="14" max="14" width="1.7109375" style="79" customWidth="1"/>
    <col min="15" max="17" width="9.140625" style="1"/>
    <col min="18" max="18" width="1.7109375" style="79" customWidth="1"/>
    <col min="19" max="21" width="9.140625" style="1"/>
    <col min="22" max="22" width="1.7109375" style="79" customWidth="1"/>
    <col min="23" max="25" width="9.140625" style="1"/>
    <col min="26" max="26" width="1.7109375" style="79" customWidth="1"/>
    <col min="27" max="29" width="9.140625" style="1"/>
    <col min="30" max="30" width="1.7109375" style="79" customWidth="1"/>
    <col min="31" max="33" width="9.140625" style="1"/>
    <col min="34" max="34" width="1.7109375" style="79" customWidth="1"/>
    <col min="35" max="37" width="9.140625" style="1"/>
    <col min="38" max="38" width="1.7109375" style="79" customWidth="1"/>
    <col min="39" max="39" width="11.28515625" style="1" customWidth="1"/>
    <col min="40" max="40" width="9.85546875" style="1" customWidth="1"/>
    <col min="41" max="16384" width="9.140625" style="1"/>
  </cols>
  <sheetData>
    <row r="1" spans="1:41" x14ac:dyDescent="0.2">
      <c r="C1" s="15" t="s">
        <v>30</v>
      </c>
      <c r="D1" s="15"/>
      <c r="E1" s="15">
        <f>[1]Work!$E$38</f>
        <v>-1.34E-2</v>
      </c>
      <c r="F1" s="74"/>
      <c r="G1" s="15" t="s">
        <v>39</v>
      </c>
      <c r="H1" s="15"/>
      <c r="I1" s="15">
        <f>[1]University!$E$38</f>
        <v>-2.24E-2</v>
      </c>
      <c r="J1" s="74"/>
      <c r="K1" s="15" t="s">
        <v>40</v>
      </c>
      <c r="L1" s="15"/>
      <c r="M1" s="15">
        <f>[1]School!$E$38</f>
        <v>-2.24E-2</v>
      </c>
      <c r="N1" s="74"/>
      <c r="O1" s="15" t="s">
        <v>105</v>
      </c>
      <c r="P1" s="15" t="s">
        <v>137</v>
      </c>
      <c r="Q1" s="15">
        <f>[1]Escort!$E$38</f>
        <v>-1.7500000000000002E-2</v>
      </c>
      <c r="R1" s="74"/>
      <c r="S1" s="15" t="s">
        <v>106</v>
      </c>
      <c r="T1" s="15" t="s">
        <v>137</v>
      </c>
      <c r="U1" s="15">
        <f>[1]Shopping!$E$38</f>
        <v>-1.7500000000000002E-2</v>
      </c>
      <c r="V1" s="74"/>
      <c r="W1" s="15" t="s">
        <v>107</v>
      </c>
      <c r="X1" s="15" t="s">
        <v>138</v>
      </c>
      <c r="Y1" s="15">
        <f>[1]EatOut!$E$38</f>
        <v>-1.7500000000000002E-2</v>
      </c>
      <c r="Z1" s="74"/>
      <c r="AA1" s="15" t="s">
        <v>108</v>
      </c>
      <c r="AB1" s="15" t="s">
        <v>137</v>
      </c>
      <c r="AC1" s="15">
        <f>[1]OthMaint!$E$38</f>
        <v>-1.7500000000000002E-2</v>
      </c>
      <c r="AD1" s="74"/>
      <c r="AE1" s="15" t="s">
        <v>109</v>
      </c>
      <c r="AF1" s="15" t="s">
        <v>138</v>
      </c>
      <c r="AG1" s="15">
        <f>[1]Social!$E$38</f>
        <v>-1.7500000000000002E-2</v>
      </c>
      <c r="AH1" s="74"/>
      <c r="AI1" s="15" t="s">
        <v>110</v>
      </c>
      <c r="AJ1" s="15" t="s">
        <v>138</v>
      </c>
      <c r="AK1" s="15">
        <f>[1]OthDiscr!$E$38</f>
        <v>-1.7500000000000002E-2</v>
      </c>
      <c r="AL1" s="74"/>
      <c r="AM1" s="15" t="s">
        <v>111</v>
      </c>
      <c r="AN1" s="15"/>
      <c r="AO1" s="15">
        <f>[1]WorkBased!$E$11</f>
        <v>-1.8800000000000001E-2</v>
      </c>
    </row>
    <row r="2" spans="1:41" s="4" customFormat="1" ht="25.5" x14ac:dyDescent="0.2">
      <c r="A2" s="4" t="s">
        <v>61</v>
      </c>
      <c r="B2" s="4" t="s">
        <v>104</v>
      </c>
      <c r="C2" s="43" t="s">
        <v>112</v>
      </c>
      <c r="D2" s="43" t="s">
        <v>117</v>
      </c>
      <c r="E2" s="43" t="s">
        <v>165</v>
      </c>
      <c r="F2" s="75"/>
      <c r="G2" s="43" t="s">
        <v>112</v>
      </c>
      <c r="H2" s="43" t="s">
        <v>117</v>
      </c>
      <c r="I2" s="43" t="s">
        <v>165</v>
      </c>
      <c r="J2" s="75"/>
      <c r="K2" s="43" t="s">
        <v>112</v>
      </c>
      <c r="L2" s="43" t="s">
        <v>117</v>
      </c>
      <c r="M2" s="43" t="s">
        <v>165</v>
      </c>
      <c r="N2" s="75"/>
      <c r="O2" s="43" t="s">
        <v>112</v>
      </c>
      <c r="P2" s="43" t="s">
        <v>117</v>
      </c>
      <c r="Q2" s="43" t="s">
        <v>165</v>
      </c>
      <c r="R2" s="75"/>
      <c r="S2" s="43" t="s">
        <v>112</v>
      </c>
      <c r="T2" s="43" t="s">
        <v>117</v>
      </c>
      <c r="U2" s="43" t="s">
        <v>165</v>
      </c>
      <c r="V2" s="82"/>
      <c r="W2" s="43" t="s">
        <v>112</v>
      </c>
      <c r="X2" s="43" t="s">
        <v>117</v>
      </c>
      <c r="Y2" s="43" t="s">
        <v>165</v>
      </c>
      <c r="Z2" s="75"/>
      <c r="AA2" s="43" t="s">
        <v>112</v>
      </c>
      <c r="AB2" s="43" t="s">
        <v>117</v>
      </c>
      <c r="AC2" s="43" t="s">
        <v>165</v>
      </c>
      <c r="AD2" s="75"/>
      <c r="AE2" s="43" t="s">
        <v>112</v>
      </c>
      <c r="AF2" s="43" t="s">
        <v>117</v>
      </c>
      <c r="AG2" s="43" t="s">
        <v>165</v>
      </c>
      <c r="AH2" s="75"/>
      <c r="AI2" s="43" t="s">
        <v>112</v>
      </c>
      <c r="AJ2" s="43" t="s">
        <v>117</v>
      </c>
      <c r="AK2" s="43" t="s">
        <v>165</v>
      </c>
      <c r="AL2" s="75"/>
      <c r="AM2" s="43" t="s">
        <v>112</v>
      </c>
      <c r="AN2" s="43" t="s">
        <v>117</v>
      </c>
      <c r="AO2" s="43" t="s">
        <v>165</v>
      </c>
    </row>
    <row r="3" spans="1:41" ht="12.75" customHeight="1" x14ac:dyDescent="0.2">
      <c r="A3" s="1" t="s">
        <v>62</v>
      </c>
      <c r="B3" s="1" t="s">
        <v>63</v>
      </c>
      <c r="C3" s="40">
        <f>[2]Work!E408</f>
        <v>6.166821093201861</v>
      </c>
      <c r="D3" s="40" t="e">
        <f ca="1">OFFSET(work_new,0,0)</f>
        <v>#DIV/0!</v>
      </c>
      <c r="E3" s="95" t="e">
        <f t="shared" ref="E3:E34" ca="1" si="0">D3/-work_c_ivt</f>
        <v>#DIV/0!</v>
      </c>
      <c r="F3" s="76"/>
      <c r="G3" s="40">
        <f>[2]University!E408</f>
        <v>1.2344145889526736</v>
      </c>
      <c r="H3" s="40" t="e">
        <f ca="1">OFFSET(university_new,0,0)</f>
        <v>#DIV/0!</v>
      </c>
      <c r="I3" s="95" t="e">
        <f t="shared" ref="I3:I34" ca="1" si="1">H3/-university_c_ivt</f>
        <v>#DIV/0!</v>
      </c>
      <c r="K3" s="40">
        <f>[2]School!E408</f>
        <v>6.3479069761768967</v>
      </c>
      <c r="L3" s="40" t="e">
        <f ca="1">OFFSET(school_new,0,0)</f>
        <v>#DIV/0!</v>
      </c>
      <c r="M3" s="95" t="e">
        <f t="shared" ref="M3:M34" ca="1" si="2">L3/-school_c_ivt</f>
        <v>#DIV/0!</v>
      </c>
      <c r="O3" s="40">
        <f>[2]Escort!E408</f>
        <v>1.4168515952875929</v>
      </c>
      <c r="P3" s="40" t="e">
        <f ca="1">OFFSET(indivmaint_new,0,0)</f>
        <v>#DIV/0!</v>
      </c>
      <c r="Q3" s="95" t="e">
        <f t="shared" ref="Q3:Q34" ca="1" si="3">P3/-escort_c_ivt</f>
        <v>#DIV/0!</v>
      </c>
      <c r="S3" s="40">
        <f>[2]Shopping!E408</f>
        <v>1.4168515952875929</v>
      </c>
      <c r="T3" s="40" t="e">
        <f ca="1">OFFSET(indivmaint_new,0,0)</f>
        <v>#DIV/0!</v>
      </c>
      <c r="U3" s="95" t="e">
        <f t="shared" ref="U3:U34" ca="1" si="4">T3/-shopping_c_ivt</f>
        <v>#DIV/0!</v>
      </c>
      <c r="W3" s="40">
        <f>[2]EatOut!E408</f>
        <v>1.9734120957939418</v>
      </c>
      <c r="X3" s="40" t="e">
        <f ca="1">OFFSET(indivdisc_new,0,0)</f>
        <v>#DIV/0!</v>
      </c>
      <c r="Y3" s="95" t="e">
        <f t="shared" ref="Y3:Y34" ca="1" si="5">X3/-eatout_c_ivt</f>
        <v>#DIV/0!</v>
      </c>
      <c r="AA3" s="40">
        <f>[2]OthMaint!E408</f>
        <v>1.4168515952875929</v>
      </c>
      <c r="AB3" s="40" t="e">
        <f ca="1">OFFSET(indivmaint_new,0,0)</f>
        <v>#DIV/0!</v>
      </c>
      <c r="AC3" s="95" t="e">
        <f t="shared" ref="AC3:AC34" ca="1" si="6">AB3/-othmaint_c_ivt</f>
        <v>#DIV/0!</v>
      </c>
      <c r="AE3" s="40">
        <f>[2]Social!E408</f>
        <v>1.9734120957939418</v>
      </c>
      <c r="AF3" s="40" t="e">
        <f ca="1">OFFSET(indivdisc_new,0,0)</f>
        <v>#DIV/0!</v>
      </c>
      <c r="AG3" s="95" t="e">
        <f t="shared" ref="AG3:AG34" ca="1" si="7">AF3/-social_c_ivt</f>
        <v>#DIV/0!</v>
      </c>
      <c r="AI3" s="40">
        <f>[2]OthDiscr!E408</f>
        <v>1.9734120957939418</v>
      </c>
      <c r="AJ3" s="40" t="e">
        <f ca="1">OFFSET(indivdisc_new,0,0)</f>
        <v>#DIV/0!</v>
      </c>
      <c r="AK3" s="95" t="e">
        <f t="shared" ref="AK3:AK34" ca="1" si="8">AJ3/-othdiscr_c_ivt</f>
        <v>#DIV/0!</v>
      </c>
      <c r="AM3" s="40">
        <f>[2]WorkBased!E411</f>
        <v>6.9155808800838923</v>
      </c>
      <c r="AN3" s="40" t="e">
        <f ca="1">OFFSET(atwork_new,0,0)</f>
        <v>#DIV/0!</v>
      </c>
      <c r="AO3" s="95" t="e">
        <f t="shared" ref="AO3:AO56" ca="1" si="9">AN3/-workbased_c_ivt</f>
        <v>#DIV/0!</v>
      </c>
    </row>
    <row r="4" spans="1:41" x14ac:dyDescent="0.2">
      <c r="A4" s="1" t="s">
        <v>64</v>
      </c>
      <c r="B4" s="1" t="s">
        <v>65</v>
      </c>
      <c r="C4" s="40">
        <f>[2]Work!E409</f>
        <v>3.1036383775144252</v>
      </c>
      <c r="D4" s="40" t="e">
        <f ca="1">OFFSET(work_new,0,1)</f>
        <v>#DIV/0!</v>
      </c>
      <c r="E4" s="95" t="e">
        <f t="shared" ca="1" si="0"/>
        <v>#DIV/0!</v>
      </c>
      <c r="F4" s="76"/>
      <c r="G4" s="40">
        <f>[2]University!E409</f>
        <v>2.0305284328803408</v>
      </c>
      <c r="H4" s="40" t="e">
        <f ca="1">OFFSET(university_new,0,1)</f>
        <v>#DIV/0!</v>
      </c>
      <c r="I4" s="95" t="e">
        <f t="shared" ca="1" si="1"/>
        <v>#DIV/0!</v>
      </c>
      <c r="K4" s="40">
        <f>[2]School!E409</f>
        <v>1.9971685029483144</v>
      </c>
      <c r="L4" s="40" t="e">
        <f ca="1">OFFSET(school_new,0,1)</f>
        <v>#DIV/0!</v>
      </c>
      <c r="M4" s="95" t="e">
        <f t="shared" ca="1" si="2"/>
        <v>#DIV/0!</v>
      </c>
      <c r="O4" s="40">
        <f>[2]Escort!E409</f>
        <v>2.5378038269417806</v>
      </c>
      <c r="P4" s="40" t="e">
        <f ca="1">OFFSET(indivmaint_new,0,1)</f>
        <v>#DIV/0!</v>
      </c>
      <c r="Q4" s="95" t="e">
        <f t="shared" ca="1" si="3"/>
        <v>#DIV/0!</v>
      </c>
      <c r="S4" s="40">
        <f>[2]Shopping!E409</f>
        <v>2.5378038269417806</v>
      </c>
      <c r="T4" s="40" t="e">
        <f ca="1">OFFSET(indivmaint_new,0,1)</f>
        <v>#DIV/0!</v>
      </c>
      <c r="U4" s="95" t="e">
        <f t="shared" ca="1" si="4"/>
        <v>#DIV/0!</v>
      </c>
      <c r="W4" s="40">
        <f>[2]EatOut!E409</f>
        <v>3.1770054210318968</v>
      </c>
      <c r="X4" s="40" t="e">
        <f ca="1">OFFSET(indivdisc_new,0,1)</f>
        <v>#DIV/0!</v>
      </c>
      <c r="Y4" s="95" t="e">
        <f t="shared" ca="1" si="5"/>
        <v>#DIV/0!</v>
      </c>
      <c r="AA4" s="40">
        <f>[2]OthMaint!E409</f>
        <v>2.5378038269417806</v>
      </c>
      <c r="AB4" s="40" t="e">
        <f ca="1">OFFSET(indivmaint_new,0,1)</f>
        <v>#DIV/0!</v>
      </c>
      <c r="AC4" s="95" t="e">
        <f t="shared" ca="1" si="6"/>
        <v>#DIV/0!</v>
      </c>
      <c r="AE4" s="40">
        <f>[2]Social!E409</f>
        <v>3.1770054210318968</v>
      </c>
      <c r="AF4" s="40" t="e">
        <f ca="1">OFFSET(indivdisc_new,0,1)</f>
        <v>#DIV/0!</v>
      </c>
      <c r="AG4" s="95" t="e">
        <f t="shared" ca="1" si="7"/>
        <v>#DIV/0!</v>
      </c>
      <c r="AI4" s="40">
        <f>[2]OthDiscr!E409</f>
        <v>3.1770054210318968</v>
      </c>
      <c r="AJ4" s="40" t="e">
        <f ca="1">OFFSET(indivdisc_new,0,1)</f>
        <v>#DIV/0!</v>
      </c>
      <c r="AK4" s="95" t="e">
        <f t="shared" ca="1" si="8"/>
        <v>#DIV/0!</v>
      </c>
      <c r="AM4" s="40">
        <f>[2]WorkBased!E412</f>
        <v>1.29019093625246</v>
      </c>
      <c r="AN4" s="40" t="e">
        <f ca="1">OFFSET(atwork_new,0,1)</f>
        <v>#DIV/0!</v>
      </c>
      <c r="AO4" s="95" t="e">
        <f t="shared" ca="1" si="9"/>
        <v>#DIV/0!</v>
      </c>
    </row>
    <row r="5" spans="1:41" x14ac:dyDescent="0.2">
      <c r="A5" s="1" t="s">
        <v>66</v>
      </c>
      <c r="B5" s="1" t="s">
        <v>67</v>
      </c>
      <c r="C5" s="40">
        <f>[2]Work!E410</f>
        <v>-0.23375440911945508</v>
      </c>
      <c r="D5" s="40" t="e">
        <f ca="1">OFFSET(work_new,0,2)</f>
        <v>#DIV/0!</v>
      </c>
      <c r="E5" s="95" t="e">
        <f t="shared" ca="1" si="0"/>
        <v>#DIV/0!</v>
      </c>
      <c r="F5" s="76"/>
      <c r="G5" s="40">
        <f>[2]University!E410</f>
        <v>0.77901000122149044</v>
      </c>
      <c r="H5" s="40" t="e">
        <f ca="1">OFFSET(university_new,0,2)</f>
        <v>#DIV/0!</v>
      </c>
      <c r="I5" s="95" t="e">
        <f t="shared" ca="1" si="1"/>
        <v>#DIV/0!</v>
      </c>
      <c r="K5" s="40">
        <f>[2]School!E410</f>
        <v>0.42707637069141169</v>
      </c>
      <c r="L5" s="40" t="e">
        <f ca="1">OFFSET(school_new,0,2)</f>
        <v>#DIV/0!</v>
      </c>
      <c r="M5" s="95" t="e">
        <f t="shared" ca="1" si="2"/>
        <v>#DIV/0!</v>
      </c>
      <c r="O5" s="40">
        <f>[2]Escort!E410</f>
        <v>1.9403786646010408</v>
      </c>
      <c r="P5" s="40" t="e">
        <f ca="1">OFFSET(indivmaint_new,0,2)</f>
        <v>#DIV/0!</v>
      </c>
      <c r="Q5" s="95" t="e">
        <f t="shared" ca="1" si="3"/>
        <v>#DIV/0!</v>
      </c>
      <c r="S5" s="40">
        <f>[2]Shopping!E410</f>
        <v>1.9403786646010408</v>
      </c>
      <c r="T5" s="40" t="e">
        <f ca="1">OFFSET(indivmaint_new,0,2)</f>
        <v>#DIV/0!</v>
      </c>
      <c r="U5" s="95" t="e">
        <f t="shared" ca="1" si="4"/>
        <v>#DIV/0!</v>
      </c>
      <c r="W5" s="40">
        <f>[2]EatOut!E410</f>
        <v>3.4179843736867594</v>
      </c>
      <c r="X5" s="40" t="e">
        <f ca="1">OFFSET(indivdisc_new,0,2)</f>
        <v>#DIV/0!</v>
      </c>
      <c r="Y5" s="95" t="e">
        <f t="shared" ca="1" si="5"/>
        <v>#DIV/0!</v>
      </c>
      <c r="AA5" s="40">
        <f>[2]OthMaint!E410</f>
        <v>1.9403786646010408</v>
      </c>
      <c r="AB5" s="40" t="e">
        <f ca="1">OFFSET(indivmaint_new,0,2)</f>
        <v>#DIV/0!</v>
      </c>
      <c r="AC5" s="95" t="e">
        <f t="shared" ca="1" si="6"/>
        <v>#DIV/0!</v>
      </c>
      <c r="AE5" s="40">
        <f>[2]Social!E410</f>
        <v>3.4179843736867594</v>
      </c>
      <c r="AF5" s="40" t="e">
        <f ca="1">OFFSET(indivdisc_new,0,2)</f>
        <v>#DIV/0!</v>
      </c>
      <c r="AG5" s="95" t="e">
        <f t="shared" ca="1" si="7"/>
        <v>#DIV/0!</v>
      </c>
      <c r="AI5" s="40">
        <f>[2]OthDiscr!E410</f>
        <v>3.4179843736867594</v>
      </c>
      <c r="AJ5" s="40" t="e">
        <f ca="1">OFFSET(indivdisc_new,0,2)</f>
        <v>#DIV/0!</v>
      </c>
      <c r="AK5" s="95" t="e">
        <f t="shared" ca="1" si="8"/>
        <v>#DIV/0!</v>
      </c>
      <c r="AM5" s="40">
        <f>[2]WorkBased!E413</f>
        <v>1.3469980966817354</v>
      </c>
      <c r="AN5" s="40" t="e">
        <f ca="1">OFFSET(atwork_new,0,2)</f>
        <v>#DIV/0!</v>
      </c>
      <c r="AO5" s="95" t="e">
        <f t="shared" ca="1" si="9"/>
        <v>#DIV/0!</v>
      </c>
    </row>
    <row r="6" spans="1:41" x14ac:dyDescent="0.2">
      <c r="A6" s="1" t="s">
        <v>68</v>
      </c>
      <c r="B6" s="1" t="s">
        <v>63</v>
      </c>
      <c r="C6" s="40">
        <f>[2]Work!E411</f>
        <v>5.0031301237750112</v>
      </c>
      <c r="D6" s="40" t="e">
        <f ca="1">OFFSET(work_new,1,0)</f>
        <v>#DIV/0!</v>
      </c>
      <c r="E6" s="95" t="e">
        <f t="shared" ca="1" si="0"/>
        <v>#DIV/0!</v>
      </c>
      <c r="F6" s="76"/>
      <c r="G6" s="40">
        <f>[2]University!E411</f>
        <v>-29.968666756966783</v>
      </c>
      <c r="H6" s="40" t="e">
        <f ca="1">OFFSET(university_new,1,0)</f>
        <v>#DIV/0!</v>
      </c>
      <c r="I6" s="95" t="e">
        <f t="shared" ca="1" si="1"/>
        <v>#DIV/0!</v>
      </c>
      <c r="K6" s="40">
        <f>[2]School!E411</f>
        <v>9.8734445243454871E-2</v>
      </c>
      <c r="L6" s="40" t="e">
        <f ca="1">OFFSET(school_new,1,0)</f>
        <v>#DIV/0!</v>
      </c>
      <c r="M6" s="95" t="e">
        <f t="shared" ca="1" si="2"/>
        <v>#DIV/0!</v>
      </c>
      <c r="O6" s="40">
        <f>[2]Escort!E411</f>
        <v>-0.18211045905382711</v>
      </c>
      <c r="P6" s="40" t="e">
        <f ca="1">OFFSET(indivmaint_new,1,0)</f>
        <v>#DIV/0!</v>
      </c>
      <c r="Q6" s="95" t="e">
        <f t="shared" ca="1" si="3"/>
        <v>#DIV/0!</v>
      </c>
      <c r="S6" s="40">
        <f>[2]Shopping!E411</f>
        <v>-0.18211045905382711</v>
      </c>
      <c r="T6" s="40" t="e">
        <f ca="1">OFFSET(indivmaint_new,1,0)</f>
        <v>#DIV/0!</v>
      </c>
      <c r="U6" s="95" t="e">
        <f t="shared" ca="1" si="4"/>
        <v>#DIV/0!</v>
      </c>
      <c r="W6" s="40">
        <f>[2]EatOut!E411</f>
        <v>0.41130004744666782</v>
      </c>
      <c r="X6" s="40" t="e">
        <f ca="1">OFFSET(indivdisc_new,1,0)</f>
        <v>#DIV/0!</v>
      </c>
      <c r="Y6" s="95" t="e">
        <f t="shared" ca="1" si="5"/>
        <v>#DIV/0!</v>
      </c>
      <c r="AA6" s="40">
        <f>[2]OthMaint!E411</f>
        <v>-0.18211045905382711</v>
      </c>
      <c r="AB6" s="40" t="e">
        <f ca="1">OFFSET(indivmaint_new,1,0)</f>
        <v>#DIV/0!</v>
      </c>
      <c r="AC6" s="95" t="e">
        <f t="shared" ca="1" si="6"/>
        <v>#DIV/0!</v>
      </c>
      <c r="AE6" s="40">
        <f>[2]Social!E411</f>
        <v>0.41130004744666782</v>
      </c>
      <c r="AF6" s="40" t="e">
        <f ca="1">OFFSET(indivdisc_new,1,0)</f>
        <v>#DIV/0!</v>
      </c>
      <c r="AG6" s="95" t="e">
        <f t="shared" ca="1" si="7"/>
        <v>#DIV/0!</v>
      </c>
      <c r="AI6" s="40">
        <f>[2]OthDiscr!E411</f>
        <v>0.41130004744666782</v>
      </c>
      <c r="AJ6" s="40" t="e">
        <f ca="1">OFFSET(indivdisc_new,1,0)</f>
        <v>#DIV/0!</v>
      </c>
      <c r="AK6" s="95" t="e">
        <f t="shared" ca="1" si="8"/>
        <v>#DIV/0!</v>
      </c>
      <c r="AM6" s="40">
        <f>[2]WorkBased!E414</f>
        <v>8.1812234173041034</v>
      </c>
      <c r="AN6" s="40" t="e">
        <f ca="1">OFFSET(atwork_new,1,0)</f>
        <v>#DIV/0!</v>
      </c>
      <c r="AO6" s="95" t="e">
        <f t="shared" ca="1" si="9"/>
        <v>#DIV/0!</v>
      </c>
    </row>
    <row r="7" spans="1:41" x14ac:dyDescent="0.2">
      <c r="A7" s="1" t="s">
        <v>69</v>
      </c>
      <c r="B7" s="1" t="s">
        <v>65</v>
      </c>
      <c r="C7" s="40">
        <f>[2]Work!E412</f>
        <v>1.4103832165105781</v>
      </c>
      <c r="D7" s="40" t="e">
        <f ca="1">OFFSET(work_new,1,1)</f>
        <v>#DIV/0!</v>
      </c>
      <c r="E7" s="95" t="e">
        <f t="shared" ca="1" si="0"/>
        <v>#DIV/0!</v>
      </c>
      <c r="F7" s="76"/>
      <c r="G7" s="40">
        <f>[2]University!E412</f>
        <v>4.1967269557219566</v>
      </c>
      <c r="H7" s="40" t="e">
        <f ca="1">OFFSET(university_new,1,1)</f>
        <v>#DIV/0!</v>
      </c>
      <c r="I7" s="95" t="e">
        <f t="shared" ca="1" si="1"/>
        <v>#DIV/0!</v>
      </c>
      <c r="K7" s="40">
        <f>[2]School!E412</f>
        <v>0.39491095188586745</v>
      </c>
      <c r="L7" s="40" t="e">
        <f ca="1">OFFSET(school_new,1,1)</f>
        <v>#DIV/0!</v>
      </c>
      <c r="M7" s="95" t="e">
        <f t="shared" ca="1" si="2"/>
        <v>#DIV/0!</v>
      </c>
      <c r="O7" s="40">
        <f>[2]Escort!E412</f>
        <v>8.8447474867492451E-2</v>
      </c>
      <c r="P7" s="40" t="e">
        <f ca="1">OFFSET(indivmaint_new,1,1)</f>
        <v>#DIV/0!</v>
      </c>
      <c r="Q7" s="95" t="e">
        <f t="shared" ca="1" si="3"/>
        <v>#DIV/0!</v>
      </c>
      <c r="S7" s="40">
        <f>[2]Shopping!E412</f>
        <v>8.8447474867492451E-2</v>
      </c>
      <c r="T7" s="40" t="e">
        <f ca="1">OFFSET(indivmaint_new,1,1)</f>
        <v>#DIV/0!</v>
      </c>
      <c r="U7" s="95" t="e">
        <f t="shared" ca="1" si="4"/>
        <v>#DIV/0!</v>
      </c>
      <c r="W7" s="40">
        <f>[2]EatOut!E412</f>
        <v>1.2398303317459609</v>
      </c>
      <c r="X7" s="40" t="e">
        <f ca="1">OFFSET(indivdisc_new,1,1)</f>
        <v>#DIV/0!</v>
      </c>
      <c r="Y7" s="95" t="e">
        <f t="shared" ca="1" si="5"/>
        <v>#DIV/0!</v>
      </c>
      <c r="AA7" s="40">
        <f>[2]OthMaint!E412</f>
        <v>8.8447474867492451E-2</v>
      </c>
      <c r="AB7" s="40" t="e">
        <f ca="1">OFFSET(indivmaint_new,1,1)</f>
        <v>#DIV/0!</v>
      </c>
      <c r="AC7" s="95" t="e">
        <f t="shared" ca="1" si="6"/>
        <v>#DIV/0!</v>
      </c>
      <c r="AE7" s="40">
        <f>[2]Social!E412</f>
        <v>1.2398303317459609</v>
      </c>
      <c r="AF7" s="40" t="e">
        <f ca="1">OFFSET(indivdisc_new,1,1)</f>
        <v>#DIV/0!</v>
      </c>
      <c r="AG7" s="95" t="e">
        <f t="shared" ca="1" si="7"/>
        <v>#DIV/0!</v>
      </c>
      <c r="AI7" s="40">
        <f>[2]OthDiscr!E412</f>
        <v>1.2398303317459609</v>
      </c>
      <c r="AJ7" s="40" t="e">
        <f ca="1">OFFSET(indivdisc_new,1,1)</f>
        <v>#DIV/0!</v>
      </c>
      <c r="AK7" s="95" t="e">
        <f t="shared" ca="1" si="8"/>
        <v>#DIV/0!</v>
      </c>
      <c r="AM7" s="40">
        <f>[2]WorkBased!E415</f>
        <v>1.841757571145942</v>
      </c>
      <c r="AN7" s="40" t="e">
        <f ca="1">OFFSET(atwork_new,1,1)</f>
        <v>#DIV/0!</v>
      </c>
      <c r="AO7" s="95" t="e">
        <f t="shared" ca="1" si="9"/>
        <v>#DIV/0!</v>
      </c>
    </row>
    <row r="8" spans="1:41" x14ac:dyDescent="0.2">
      <c r="A8" s="1" t="s">
        <v>70</v>
      </c>
      <c r="B8" s="1" t="s">
        <v>67</v>
      </c>
      <c r="C8" s="40">
        <f>[2]Work!E413</f>
        <v>-0.92826848365333126</v>
      </c>
      <c r="D8" s="40" t="e">
        <f ca="1">OFFSET(work_new,1,2)</f>
        <v>#DIV/0!</v>
      </c>
      <c r="E8" s="95" t="e">
        <f t="shared" ca="1" si="0"/>
        <v>#DIV/0!</v>
      </c>
      <c r="F8" s="76"/>
      <c r="G8" s="40">
        <f>[2]University!E413</f>
        <v>-8.8613700728153888E-2</v>
      </c>
      <c r="H8" s="40" t="e">
        <f ca="1">OFFSET(university_new,1,2)</f>
        <v>#DIV/0!</v>
      </c>
      <c r="I8" s="95" t="e">
        <f t="shared" ca="1" si="1"/>
        <v>#DIV/0!</v>
      </c>
      <c r="K8" s="40">
        <f>[2]School!E413</f>
        <v>-1.2306433251773359</v>
      </c>
      <c r="L8" s="40" t="e">
        <f ca="1">OFFSET(school_new,1,2)</f>
        <v>#DIV/0!</v>
      </c>
      <c r="M8" s="95" t="e">
        <f t="shared" ca="1" si="2"/>
        <v>#DIV/0!</v>
      </c>
      <c r="O8" s="40">
        <f>[2]Escort!E413</f>
        <v>-1.481798026386129</v>
      </c>
      <c r="P8" s="40" t="e">
        <f ca="1">OFFSET(indivmaint_new,1,2)</f>
        <v>#DIV/0!</v>
      </c>
      <c r="Q8" s="95" t="e">
        <f t="shared" ca="1" si="3"/>
        <v>#DIV/0!</v>
      </c>
      <c r="S8" s="40">
        <f>[2]Shopping!E413</f>
        <v>-1.481798026386129</v>
      </c>
      <c r="T8" s="40" t="e">
        <f ca="1">OFFSET(indivmaint_new,1,2)</f>
        <v>#DIV/0!</v>
      </c>
      <c r="U8" s="95" t="e">
        <f t="shared" ca="1" si="4"/>
        <v>#DIV/0!</v>
      </c>
      <c r="W8" s="40">
        <f>[2]EatOut!E413</f>
        <v>0.13631788507929379</v>
      </c>
      <c r="X8" s="40" t="e">
        <f ca="1">OFFSET(indivdisc_new,1,2)</f>
        <v>#DIV/0!</v>
      </c>
      <c r="Y8" s="95" t="e">
        <f t="shared" ca="1" si="5"/>
        <v>#DIV/0!</v>
      </c>
      <c r="AA8" s="40">
        <f>[2]OthMaint!E413</f>
        <v>-1.481798026386129</v>
      </c>
      <c r="AB8" s="40" t="e">
        <f ca="1">OFFSET(indivmaint_new,1,2)</f>
        <v>#DIV/0!</v>
      </c>
      <c r="AC8" s="95" t="e">
        <f t="shared" ca="1" si="6"/>
        <v>#DIV/0!</v>
      </c>
      <c r="AE8" s="40">
        <f>[2]Social!E413</f>
        <v>0.13631788507929379</v>
      </c>
      <c r="AF8" s="40" t="e">
        <f ca="1">OFFSET(indivdisc_new,1,2)</f>
        <v>#DIV/0!</v>
      </c>
      <c r="AG8" s="95" t="e">
        <f t="shared" ca="1" si="7"/>
        <v>#DIV/0!</v>
      </c>
      <c r="AI8" s="40">
        <f>[2]OthDiscr!E413</f>
        <v>0.13631788507929379</v>
      </c>
      <c r="AJ8" s="40" t="e">
        <f ca="1">OFFSET(indivdisc_new,1,2)</f>
        <v>#DIV/0!</v>
      </c>
      <c r="AK8" s="95" t="e">
        <f t="shared" ca="1" si="8"/>
        <v>#DIV/0!</v>
      </c>
      <c r="AM8" s="40">
        <f>[2]WorkBased!E416</f>
        <v>17.169088474390101</v>
      </c>
      <c r="AN8" s="40" t="e">
        <f ca="1">OFFSET(atwork_new,1,2)</f>
        <v>#DIV/0!</v>
      </c>
      <c r="AO8" s="95" t="e">
        <f t="shared" ca="1" si="9"/>
        <v>#DIV/0!</v>
      </c>
    </row>
    <row r="9" spans="1:41" x14ac:dyDescent="0.2">
      <c r="A9" s="1" t="s">
        <v>71</v>
      </c>
      <c r="B9" s="1" t="s">
        <v>63</v>
      </c>
      <c r="C9" s="40">
        <f>[2]Work!E414</f>
        <v>-2.1775822246739822</v>
      </c>
      <c r="D9" s="40" t="e">
        <f ca="1">OFFSET(work_new,3,0)</f>
        <v>#DIV/0!</v>
      </c>
      <c r="E9" s="95" t="e">
        <f t="shared" ca="1" si="0"/>
        <v>#DIV/0!</v>
      </c>
      <c r="F9" s="76"/>
      <c r="G9" s="40">
        <f>[2]University!E414</f>
        <v>-40.453128407981588</v>
      </c>
      <c r="H9" s="40" t="e">
        <f ca="1">OFFSET(university_new,3,0)</f>
        <v>#DIV/0!</v>
      </c>
      <c r="I9" s="95" t="e">
        <f t="shared" ca="1" si="1"/>
        <v>#DIV/0!</v>
      </c>
      <c r="K9" s="40">
        <f>[2]School!E414</f>
        <v>1.7719402463060021</v>
      </c>
      <c r="L9" s="40" t="e">
        <f ca="1">OFFSET(school_new,3,0)</f>
        <v>#DIV/0!</v>
      </c>
      <c r="M9" s="95" t="e">
        <f t="shared" ca="1" si="2"/>
        <v>#DIV/0!</v>
      </c>
      <c r="O9" s="40">
        <f>[2]Escort!E414</f>
        <v>-1.6118491295443853</v>
      </c>
      <c r="P9" s="40" t="e">
        <f ca="1">OFFSET(indivmaint_new,3,0)</f>
        <v>#DIV/0!</v>
      </c>
      <c r="Q9" s="95" t="e">
        <f t="shared" ca="1" si="3"/>
        <v>#DIV/0!</v>
      </c>
      <c r="S9" s="40">
        <f>[2]Shopping!E414</f>
        <v>-1.6118491295443853</v>
      </c>
      <c r="T9" s="40" t="e">
        <f ca="1">OFFSET(indivmaint_new,3,0)</f>
        <v>#DIV/0!</v>
      </c>
      <c r="U9" s="95" t="e">
        <f t="shared" ca="1" si="4"/>
        <v>#DIV/0!</v>
      </c>
      <c r="W9" s="40">
        <f>[2]EatOut!E414</f>
        <v>0.75729595706682873</v>
      </c>
      <c r="X9" s="40" t="e">
        <f ca="1">OFFSET(indivdisc_new,3,0)</f>
        <v>#DIV/0!</v>
      </c>
      <c r="Y9" s="95" t="e">
        <f t="shared" ca="1" si="5"/>
        <v>#DIV/0!</v>
      </c>
      <c r="AA9" s="40">
        <f>[2]OthMaint!E414</f>
        <v>-1.6118491295443853</v>
      </c>
      <c r="AB9" s="40" t="e">
        <f ca="1">OFFSET(indivmaint_new,3,0)</f>
        <v>#DIV/0!</v>
      </c>
      <c r="AC9" s="95" t="e">
        <f t="shared" ca="1" si="6"/>
        <v>#DIV/0!</v>
      </c>
      <c r="AE9" s="40">
        <f>[2]Social!E414</f>
        <v>0.75729595706682873</v>
      </c>
      <c r="AF9" s="40" t="e">
        <f ca="1">OFFSET(indivdisc_new,3,0)</f>
        <v>#DIV/0!</v>
      </c>
      <c r="AG9" s="95" t="e">
        <f t="shared" ca="1" si="7"/>
        <v>#DIV/0!</v>
      </c>
      <c r="AI9" s="40">
        <f>[2]OthDiscr!E414</f>
        <v>0.75729595706682873</v>
      </c>
      <c r="AJ9" s="40" t="e">
        <f ca="1">OFFSET(indivdisc_new,3,0)</f>
        <v>#DIV/0!</v>
      </c>
      <c r="AK9" s="95" t="e">
        <f t="shared" ca="1" si="8"/>
        <v>#DIV/0!</v>
      </c>
      <c r="AM9" s="40">
        <f>[2]WorkBased!E417</f>
        <v>0</v>
      </c>
      <c r="AN9" s="40" t="e">
        <f ca="1">OFFSET(atwork_new,3,0)</f>
        <v>#DIV/0!</v>
      </c>
      <c r="AO9" s="95" t="e">
        <f t="shared" ca="1" si="9"/>
        <v>#DIV/0!</v>
      </c>
    </row>
    <row r="10" spans="1:41" x14ac:dyDescent="0.2">
      <c r="A10" s="1" t="s">
        <v>72</v>
      </c>
      <c r="B10" s="1" t="s">
        <v>65</v>
      </c>
      <c r="C10" s="40">
        <f>[2]Work!E415</f>
        <v>-0.36815560129565073</v>
      </c>
      <c r="D10" s="40" t="e">
        <f ca="1">OFFSET(work_new,3,1)</f>
        <v>#DIV/0!</v>
      </c>
      <c r="E10" s="95" t="e">
        <f t="shared" ca="1" si="0"/>
        <v>#DIV/0!</v>
      </c>
      <c r="F10" s="76"/>
      <c r="G10" s="40">
        <f>[2]University!E415</f>
        <v>0.60047947978238914</v>
      </c>
      <c r="H10" s="40" t="e">
        <f ca="1">OFFSET(university_new,3,1)</f>
        <v>#DIV/0!</v>
      </c>
      <c r="I10" s="95" t="e">
        <f t="shared" ca="1" si="1"/>
        <v>#DIV/0!</v>
      </c>
      <c r="K10" s="40">
        <f>[2]School!E415</f>
        <v>0.30734712010672066</v>
      </c>
      <c r="L10" s="40" t="e">
        <f ca="1">OFFSET(school_new,3,1)</f>
        <v>#DIV/0!</v>
      </c>
      <c r="M10" s="95" t="e">
        <f t="shared" ca="1" si="2"/>
        <v>#DIV/0!</v>
      </c>
      <c r="O10" s="40">
        <f>[2]Escort!E415</f>
        <v>0.89103306002598126</v>
      </c>
      <c r="P10" s="40" t="e">
        <f ca="1">OFFSET(indivmaint_new,3,1)</f>
        <v>#DIV/0!</v>
      </c>
      <c r="Q10" s="95" t="e">
        <f t="shared" ca="1" si="3"/>
        <v>#DIV/0!</v>
      </c>
      <c r="S10" s="40">
        <f>[2]Shopping!E415</f>
        <v>0.89103306002598126</v>
      </c>
      <c r="T10" s="40" t="e">
        <f ca="1">OFFSET(indivmaint_new,3,1)</f>
        <v>#DIV/0!</v>
      </c>
      <c r="U10" s="95" t="e">
        <f t="shared" ca="1" si="4"/>
        <v>#DIV/0!</v>
      </c>
      <c r="W10" s="40">
        <f>[2]EatOut!E415</f>
        <v>0.11008789959488734</v>
      </c>
      <c r="X10" s="40" t="e">
        <f ca="1">OFFSET(indivdisc_new,3,1)</f>
        <v>#DIV/0!</v>
      </c>
      <c r="Y10" s="95" t="e">
        <f t="shared" ca="1" si="5"/>
        <v>#DIV/0!</v>
      </c>
      <c r="AA10" s="40">
        <f>[2]OthMaint!E415</f>
        <v>0.89103306002598126</v>
      </c>
      <c r="AB10" s="40" t="e">
        <f ca="1">OFFSET(indivmaint_new,3,1)</f>
        <v>#DIV/0!</v>
      </c>
      <c r="AC10" s="95" t="e">
        <f t="shared" ca="1" si="6"/>
        <v>#DIV/0!</v>
      </c>
      <c r="AE10" s="40">
        <f>[2]Social!E415</f>
        <v>0.11008789959488734</v>
      </c>
      <c r="AF10" s="40" t="e">
        <f ca="1">OFFSET(indivdisc_new,3,1)</f>
        <v>#DIV/0!</v>
      </c>
      <c r="AG10" s="95" t="e">
        <f t="shared" ca="1" si="7"/>
        <v>#DIV/0!</v>
      </c>
      <c r="AI10" s="40">
        <f>[2]OthDiscr!E415</f>
        <v>0.11008789959488734</v>
      </c>
      <c r="AJ10" s="40" t="e">
        <f ca="1">OFFSET(indivdisc_new,3,1)</f>
        <v>#DIV/0!</v>
      </c>
      <c r="AK10" s="95" t="e">
        <f t="shared" ca="1" si="8"/>
        <v>#DIV/0!</v>
      </c>
      <c r="AM10" s="40">
        <f>[2]WorkBased!E418</f>
        <v>-2.2236107421935327</v>
      </c>
      <c r="AN10" s="40" t="e">
        <f ca="1">OFFSET(atwork_new,3,1)</f>
        <v>#DIV/0!</v>
      </c>
      <c r="AO10" s="95" t="e">
        <f t="shared" ca="1" si="9"/>
        <v>#DIV/0!</v>
      </c>
    </row>
    <row r="11" spans="1:41" x14ac:dyDescent="0.2">
      <c r="A11" s="1" t="s">
        <v>73</v>
      </c>
      <c r="B11" s="1" t="s">
        <v>67</v>
      </c>
      <c r="C11" s="40">
        <f>[2]Work!E416</f>
        <v>-1.0856352245199332</v>
      </c>
      <c r="D11" s="40" t="e">
        <f ca="1">OFFSET(work_new,3,2)</f>
        <v>#DIV/0!</v>
      </c>
      <c r="E11" s="95" t="e">
        <f t="shared" ca="1" si="0"/>
        <v>#DIV/0!</v>
      </c>
      <c r="F11" s="76"/>
      <c r="G11" s="40">
        <f>[2]University!E416</f>
        <v>-0.49265961402021302</v>
      </c>
      <c r="H11" s="40" t="e">
        <f ca="1">OFFSET(university_new,3,2)</f>
        <v>#DIV/0!</v>
      </c>
      <c r="I11" s="95" t="e">
        <f t="shared" ca="1" si="1"/>
        <v>#DIV/0!</v>
      </c>
      <c r="K11" s="40">
        <f>[2]School!E416</f>
        <v>-1.2119877648935298</v>
      </c>
      <c r="L11" s="40" t="e">
        <f ca="1">OFFSET(school_new,3,2)</f>
        <v>#DIV/0!</v>
      </c>
      <c r="M11" s="95" t="e">
        <f t="shared" ca="1" si="2"/>
        <v>#DIV/0!</v>
      </c>
      <c r="O11" s="40">
        <f>[2]Escort!E416</f>
        <v>0.70656308679893387</v>
      </c>
      <c r="P11" s="40" t="e">
        <f ca="1">OFFSET(indivmaint_new,3,2)</f>
        <v>#DIV/0!</v>
      </c>
      <c r="Q11" s="95" t="e">
        <f t="shared" ca="1" si="3"/>
        <v>#DIV/0!</v>
      </c>
      <c r="S11" s="40">
        <f>[2]Shopping!E416</f>
        <v>0.70656308679893387</v>
      </c>
      <c r="T11" s="40" t="e">
        <f ca="1">OFFSET(indivmaint_new,3,2)</f>
        <v>#DIV/0!</v>
      </c>
      <c r="U11" s="95" t="e">
        <f t="shared" ca="1" si="4"/>
        <v>#DIV/0!</v>
      </c>
      <c r="W11" s="40">
        <f>[2]EatOut!E416</f>
        <v>0.42293691678523676</v>
      </c>
      <c r="X11" s="40" t="e">
        <f ca="1">OFFSET(indivdisc_new,3,2)</f>
        <v>#DIV/0!</v>
      </c>
      <c r="Y11" s="95" t="e">
        <f t="shared" ca="1" si="5"/>
        <v>#DIV/0!</v>
      </c>
      <c r="AA11" s="40">
        <f>[2]OthMaint!E416</f>
        <v>0.70656308679893387</v>
      </c>
      <c r="AB11" s="40" t="e">
        <f ca="1">OFFSET(indivmaint_new,3,2)</f>
        <v>#DIV/0!</v>
      </c>
      <c r="AC11" s="95" t="e">
        <f t="shared" ca="1" si="6"/>
        <v>#DIV/0!</v>
      </c>
      <c r="AE11" s="40">
        <f>[2]Social!E416</f>
        <v>0.42293691678523676</v>
      </c>
      <c r="AF11" s="40" t="e">
        <f ca="1">OFFSET(indivdisc_new,3,2)</f>
        <v>#DIV/0!</v>
      </c>
      <c r="AG11" s="95" t="e">
        <f t="shared" ca="1" si="7"/>
        <v>#DIV/0!</v>
      </c>
      <c r="AI11" s="40">
        <f>[2]OthDiscr!E416</f>
        <v>0.42293691678523676</v>
      </c>
      <c r="AJ11" s="40" t="e">
        <f ca="1">OFFSET(indivdisc_new,3,2)</f>
        <v>#DIV/0!</v>
      </c>
      <c r="AK11" s="95" t="e">
        <f t="shared" ca="1" si="8"/>
        <v>#DIV/0!</v>
      </c>
      <c r="AM11" s="40">
        <f>[2]WorkBased!E419</f>
        <v>-1.6268485914679052</v>
      </c>
      <c r="AN11" s="40" t="e">
        <f ca="1">OFFSET(atwork_new,3,2)</f>
        <v>#DIV/0!</v>
      </c>
      <c r="AO11" s="95" t="e">
        <f t="shared" ca="1" si="9"/>
        <v>#DIV/0!</v>
      </c>
    </row>
    <row r="12" spans="1:41" x14ac:dyDescent="0.2">
      <c r="A12" s="1" t="s">
        <v>74</v>
      </c>
      <c r="B12" s="1" t="s">
        <v>63</v>
      </c>
      <c r="C12" s="40">
        <f>[2]Work!E417</f>
        <v>-6.014344845339167</v>
      </c>
      <c r="D12" s="40" t="e">
        <f ca="1">OFFSET(work_new,4,0)</f>
        <v>#DIV/0!</v>
      </c>
      <c r="E12" s="95" t="e">
        <f t="shared" ca="1" si="0"/>
        <v>#DIV/0!</v>
      </c>
      <c r="F12" s="76"/>
      <c r="G12" s="40">
        <f>[2]University!E417</f>
        <v>-40.148514606624495</v>
      </c>
      <c r="H12" s="40" t="e">
        <f ca="1">OFFSET(university_new,4,0)</f>
        <v>#DIV/0!</v>
      </c>
      <c r="I12" s="95" t="e">
        <f t="shared" ca="1" si="1"/>
        <v>#DIV/0!</v>
      </c>
      <c r="K12" s="40">
        <f>[2]School!E417</f>
        <v>2.7086434161891142</v>
      </c>
      <c r="L12" s="40" t="e">
        <f ca="1">OFFSET(school_new,4,0)</f>
        <v>#DIV/0!</v>
      </c>
      <c r="M12" s="95" t="e">
        <f t="shared" ca="1" si="2"/>
        <v>#DIV/0!</v>
      </c>
      <c r="O12" s="40">
        <f>[2]Escort!E417</f>
        <v>-1.8573153197099912</v>
      </c>
      <c r="P12" s="40" t="e">
        <f ca="1">OFFSET(indivmaint_new,4,0)</f>
        <v>#DIV/0!</v>
      </c>
      <c r="Q12" s="95" t="e">
        <f t="shared" ca="1" si="3"/>
        <v>#DIV/0!</v>
      </c>
      <c r="S12" s="40">
        <f>[2]Shopping!E417</f>
        <v>-1.8573153197099912</v>
      </c>
      <c r="T12" s="40" t="e">
        <f ca="1">OFFSET(indivmaint_new,4,0)</f>
        <v>#DIV/0!</v>
      </c>
      <c r="U12" s="95" t="e">
        <f t="shared" ca="1" si="4"/>
        <v>#DIV/0!</v>
      </c>
      <c r="W12" s="40">
        <f>[2]EatOut!E417</f>
        <v>-4.3582849562341947E-3</v>
      </c>
      <c r="X12" s="40" t="e">
        <f ca="1">OFFSET(indivdisc_new,4,0)</f>
        <v>#DIV/0!</v>
      </c>
      <c r="Y12" s="95" t="e">
        <f t="shared" ca="1" si="5"/>
        <v>#DIV/0!</v>
      </c>
      <c r="AA12" s="40">
        <f>[2]OthMaint!E417</f>
        <v>-1.8573153197099912</v>
      </c>
      <c r="AB12" s="40" t="e">
        <f ca="1">OFFSET(indivmaint_new,4,0)</f>
        <v>#DIV/0!</v>
      </c>
      <c r="AC12" s="95" t="e">
        <f t="shared" ca="1" si="6"/>
        <v>#DIV/0!</v>
      </c>
      <c r="AE12" s="40">
        <f>[2]Social!E417</f>
        <v>-4.3582849562341947E-3</v>
      </c>
      <c r="AF12" s="40" t="e">
        <f ca="1">OFFSET(indivdisc_new,4,0)</f>
        <v>#DIV/0!</v>
      </c>
      <c r="AG12" s="95" t="e">
        <f t="shared" ca="1" si="7"/>
        <v>#DIV/0!</v>
      </c>
      <c r="AI12" s="40">
        <f>[2]OthDiscr!E417</f>
        <v>-4.3582849562341947E-3</v>
      </c>
      <c r="AJ12" s="40" t="e">
        <f ca="1">OFFSET(indivdisc_new,4,0)</f>
        <v>#DIV/0!</v>
      </c>
      <c r="AK12" s="95" t="e">
        <f t="shared" ca="1" si="8"/>
        <v>#DIV/0!</v>
      </c>
      <c r="AM12" s="40">
        <f>[2]WorkBased!E420</f>
        <v>-9.1426836539394624E-2</v>
      </c>
      <c r="AN12" s="40" t="e">
        <f ca="1">OFFSET(atwork_new,4,0)</f>
        <v>#DIV/0!</v>
      </c>
      <c r="AO12" s="95" t="e">
        <f t="shared" ca="1" si="9"/>
        <v>#DIV/0!</v>
      </c>
    </row>
    <row r="13" spans="1:41" x14ac:dyDescent="0.2">
      <c r="A13" s="1" t="s">
        <v>75</v>
      </c>
      <c r="B13" s="1" t="s">
        <v>65</v>
      </c>
      <c r="C13" s="40">
        <f>[2]Work!E418</f>
        <v>-1.1894915544221669</v>
      </c>
      <c r="D13" s="40" t="e">
        <f ca="1">OFFSET(work_new,4,1)</f>
        <v>#DIV/0!</v>
      </c>
      <c r="E13" s="95" t="e">
        <f t="shared" ca="1" si="0"/>
        <v>#DIV/0!</v>
      </c>
      <c r="F13" s="76"/>
      <c r="G13" s="40">
        <f>[2]University!E418</f>
        <v>-0.60527791769083006</v>
      </c>
      <c r="H13" s="40" t="e">
        <f ca="1">OFFSET(university_new,4,1)</f>
        <v>#DIV/0!</v>
      </c>
      <c r="I13" s="95" t="e">
        <f t="shared" ca="1" si="1"/>
        <v>#DIV/0!</v>
      </c>
      <c r="K13" s="40">
        <f>[2]School!E418</f>
        <v>1.4081140163000663</v>
      </c>
      <c r="L13" s="40" t="e">
        <f ca="1">OFFSET(school_new,4,1)</f>
        <v>#DIV/0!</v>
      </c>
      <c r="M13" s="95" t="e">
        <f t="shared" ca="1" si="2"/>
        <v>#DIV/0!</v>
      </c>
      <c r="O13" s="40">
        <f>[2]Escort!E418</f>
        <v>1.0710585647793112</v>
      </c>
      <c r="P13" s="40" t="e">
        <f ca="1">OFFSET(indivmaint_new,4,1)</f>
        <v>#DIV/0!</v>
      </c>
      <c r="Q13" s="95" t="e">
        <f t="shared" ca="1" si="3"/>
        <v>#DIV/0!</v>
      </c>
      <c r="S13" s="40">
        <f>[2]Shopping!E418</f>
        <v>1.0710585647793112</v>
      </c>
      <c r="T13" s="40" t="e">
        <f ca="1">OFFSET(indivmaint_new,4,1)</f>
        <v>#DIV/0!</v>
      </c>
      <c r="U13" s="95" t="e">
        <f t="shared" ca="1" si="4"/>
        <v>#DIV/0!</v>
      </c>
      <c r="W13" s="40">
        <f>[2]EatOut!E418</f>
        <v>0.24721473192238075</v>
      </c>
      <c r="X13" s="40" t="e">
        <f ca="1">OFFSET(indivdisc_new,4,1)</f>
        <v>#DIV/0!</v>
      </c>
      <c r="Y13" s="95" t="e">
        <f t="shared" ca="1" si="5"/>
        <v>#DIV/0!</v>
      </c>
      <c r="AA13" s="40">
        <f>[2]OthMaint!E418</f>
        <v>1.0710585647793112</v>
      </c>
      <c r="AB13" s="40" t="e">
        <f ca="1">OFFSET(indivmaint_new,4,1)</f>
        <v>#DIV/0!</v>
      </c>
      <c r="AC13" s="95" t="e">
        <f t="shared" ca="1" si="6"/>
        <v>#DIV/0!</v>
      </c>
      <c r="AE13" s="40">
        <f>[2]Social!E418</f>
        <v>0.24721473192238075</v>
      </c>
      <c r="AF13" s="40" t="e">
        <f ca="1">OFFSET(indivdisc_new,4,1)</f>
        <v>#DIV/0!</v>
      </c>
      <c r="AG13" s="95" t="e">
        <f t="shared" ca="1" si="7"/>
        <v>#DIV/0!</v>
      </c>
      <c r="AI13" s="40">
        <f>[2]OthDiscr!E418</f>
        <v>0.24721473192238075</v>
      </c>
      <c r="AJ13" s="40" t="e">
        <f ca="1">OFFSET(indivdisc_new,4,1)</f>
        <v>#DIV/0!</v>
      </c>
      <c r="AK13" s="95" t="e">
        <f t="shared" ca="1" si="8"/>
        <v>#DIV/0!</v>
      </c>
      <c r="AM13" s="40">
        <f>[2]WorkBased!E421</f>
        <v>-3.4913495786520863</v>
      </c>
      <c r="AN13" s="40" t="e">
        <f ca="1">OFFSET(atwork_new,4,1)</f>
        <v>#DIV/0!</v>
      </c>
      <c r="AO13" s="95" t="e">
        <f t="shared" ca="1" si="9"/>
        <v>#DIV/0!</v>
      </c>
    </row>
    <row r="14" spans="1:41" x14ac:dyDescent="0.2">
      <c r="A14" s="1" t="s">
        <v>76</v>
      </c>
      <c r="B14" s="1" t="s">
        <v>67</v>
      </c>
      <c r="C14" s="40">
        <f>[2]Work!E419</f>
        <v>-1.5610327696718005</v>
      </c>
      <c r="D14" s="40" t="e">
        <f ca="1">OFFSET(work_new,4,2)</f>
        <v>#DIV/0!</v>
      </c>
      <c r="E14" s="95" t="e">
        <f t="shared" ca="1" si="0"/>
        <v>#DIV/0!</v>
      </c>
      <c r="F14" s="76"/>
      <c r="G14" s="40">
        <f>[2]University!E419</f>
        <v>-1.6222210151259882</v>
      </c>
      <c r="H14" s="40" t="e">
        <f ca="1">OFFSET(university_new,4,2)</f>
        <v>#DIV/0!</v>
      </c>
      <c r="I14" s="95" t="e">
        <f t="shared" ca="1" si="1"/>
        <v>#DIV/0!</v>
      </c>
      <c r="K14" s="40">
        <f>[2]School!E419</f>
        <v>-0.43764837537568624</v>
      </c>
      <c r="L14" s="40" t="e">
        <f ca="1">OFFSET(school_new,4,2)</f>
        <v>#DIV/0!</v>
      </c>
      <c r="M14" s="95" t="e">
        <f t="shared" ca="1" si="2"/>
        <v>#DIV/0!</v>
      </c>
      <c r="O14" s="40">
        <f>[2]Escort!E419</f>
        <v>0.57120318515580049</v>
      </c>
      <c r="P14" s="40" t="e">
        <f ca="1">OFFSET(indivmaint_new,4,2)</f>
        <v>#DIV/0!</v>
      </c>
      <c r="Q14" s="95" t="e">
        <f t="shared" ca="1" si="3"/>
        <v>#DIV/0!</v>
      </c>
      <c r="S14" s="40">
        <f>[2]Shopping!E419</f>
        <v>0.57120318515580049</v>
      </c>
      <c r="T14" s="40" t="e">
        <f ca="1">OFFSET(indivmaint_new,4,2)</f>
        <v>#DIV/0!</v>
      </c>
      <c r="U14" s="95" t="e">
        <f t="shared" ca="1" si="4"/>
        <v>#DIV/0!</v>
      </c>
      <c r="W14" s="40">
        <f>[2]EatOut!E419</f>
        <v>0.20738923702841278</v>
      </c>
      <c r="X14" s="40" t="e">
        <f ca="1">OFFSET(indivdisc_new,4,2)</f>
        <v>#DIV/0!</v>
      </c>
      <c r="Y14" s="95" t="e">
        <f t="shared" ca="1" si="5"/>
        <v>#DIV/0!</v>
      </c>
      <c r="AA14" s="40">
        <f>[2]OthMaint!E419</f>
        <v>0.57120318515580049</v>
      </c>
      <c r="AB14" s="40" t="e">
        <f ca="1">OFFSET(indivmaint_new,4,2)</f>
        <v>#DIV/0!</v>
      </c>
      <c r="AC14" s="95" t="e">
        <f t="shared" ca="1" si="6"/>
        <v>#DIV/0!</v>
      </c>
      <c r="AE14" s="40">
        <f>[2]Social!E419</f>
        <v>0.20738923702841278</v>
      </c>
      <c r="AF14" s="40" t="e">
        <f ca="1">OFFSET(indivdisc_new,4,2)</f>
        <v>#DIV/0!</v>
      </c>
      <c r="AG14" s="95" t="e">
        <f t="shared" ca="1" si="7"/>
        <v>#DIV/0!</v>
      </c>
      <c r="AI14" s="40">
        <f>[2]OthDiscr!E419</f>
        <v>0.20738923702841278</v>
      </c>
      <c r="AJ14" s="40" t="e">
        <f ca="1">OFFSET(indivdisc_new,4,2)</f>
        <v>#DIV/0!</v>
      </c>
      <c r="AK14" s="95" t="e">
        <f t="shared" ca="1" si="8"/>
        <v>#DIV/0!</v>
      </c>
      <c r="AM14" s="40">
        <f>[2]WorkBased!E422</f>
        <v>-2.0742819106962838</v>
      </c>
      <c r="AN14" s="40" t="e">
        <f ca="1">OFFSET(atwork_new,4,2)</f>
        <v>#DIV/0!</v>
      </c>
      <c r="AO14" s="95" t="e">
        <f t="shared" ca="1" si="9"/>
        <v>#DIV/0!</v>
      </c>
    </row>
    <row r="15" spans="1:41" x14ac:dyDescent="0.2">
      <c r="A15" s="1" t="s">
        <v>77</v>
      </c>
      <c r="B15" s="1" t="s">
        <v>63</v>
      </c>
      <c r="C15" s="40">
        <f>[2]Work!E420</f>
        <v>7.1105802177749338</v>
      </c>
      <c r="D15" s="40" t="e">
        <f ca="1">OFFSET(work_new,5,0)</f>
        <v>#DIV/0!</v>
      </c>
      <c r="E15" s="95" t="e">
        <f t="shared" ca="1" si="0"/>
        <v>#DIV/0!</v>
      </c>
      <c r="F15" s="76"/>
      <c r="G15" s="40">
        <f>[2]University!E420</f>
        <v>3.2403367107369023</v>
      </c>
      <c r="H15" s="40" t="e">
        <f ca="1">OFFSET(university_new,5,0)</f>
        <v>#DIV/0!</v>
      </c>
      <c r="I15" s="95" t="e">
        <f t="shared" ca="1" si="1"/>
        <v>#DIV/0!</v>
      </c>
      <c r="K15" s="40">
        <f>[2]School!E420</f>
        <v>6.3804233460626865</v>
      </c>
      <c r="L15" s="40" t="e">
        <f ca="1">OFFSET(school_new,5,0)</f>
        <v>#DIV/0!</v>
      </c>
      <c r="M15" s="95" t="e">
        <f t="shared" ca="1" si="2"/>
        <v>#DIV/0!</v>
      </c>
      <c r="O15" s="40">
        <f>[2]Escort!E420</f>
        <v>3.5995973639730958</v>
      </c>
      <c r="P15" s="40" t="e">
        <f ca="1">OFFSET(indivmaint_new,5,0)</f>
        <v>#DIV/0!</v>
      </c>
      <c r="Q15" s="95" t="e">
        <f t="shared" ca="1" si="3"/>
        <v>#DIV/0!</v>
      </c>
      <c r="S15" s="40">
        <f>[2]Shopping!E420</f>
        <v>3.5995973639730958</v>
      </c>
      <c r="T15" s="40" t="e">
        <f ca="1">OFFSET(indivmaint_new,5,0)</f>
        <v>#DIV/0!</v>
      </c>
      <c r="U15" s="95" t="e">
        <f t="shared" ca="1" si="4"/>
        <v>#DIV/0!</v>
      </c>
      <c r="W15" s="40">
        <f>[2]EatOut!E420</f>
        <v>3.2687951593544211</v>
      </c>
      <c r="X15" s="40" t="e">
        <f ca="1">OFFSET(indivdisc_new,5,0)</f>
        <v>#DIV/0!</v>
      </c>
      <c r="Y15" s="95" t="e">
        <f t="shared" ca="1" si="5"/>
        <v>#DIV/0!</v>
      </c>
      <c r="AA15" s="40">
        <f>[2]OthMaint!E420</f>
        <v>3.5995973639730958</v>
      </c>
      <c r="AB15" s="40" t="e">
        <f ca="1">OFFSET(indivmaint_new,5,0)</f>
        <v>#DIV/0!</v>
      </c>
      <c r="AC15" s="95" t="e">
        <f t="shared" ca="1" si="6"/>
        <v>#DIV/0!</v>
      </c>
      <c r="AE15" s="40">
        <f>[2]Social!E420</f>
        <v>3.2687951593544211</v>
      </c>
      <c r="AF15" s="40" t="e">
        <f ca="1">OFFSET(indivdisc_new,5,0)</f>
        <v>#DIV/0!</v>
      </c>
      <c r="AG15" s="95" t="e">
        <f t="shared" ca="1" si="7"/>
        <v>#DIV/0!</v>
      </c>
      <c r="AI15" s="40">
        <f>[2]OthDiscr!E420</f>
        <v>3.2687951593544211</v>
      </c>
      <c r="AJ15" s="40" t="e">
        <f ca="1">OFFSET(indivdisc_new,5,0)</f>
        <v>#DIV/0!</v>
      </c>
      <c r="AK15" s="95" t="e">
        <f t="shared" ca="1" si="8"/>
        <v>#DIV/0!</v>
      </c>
      <c r="AM15" s="40">
        <f>[2]WorkBased!E423</f>
        <v>3.1450127825160732</v>
      </c>
      <c r="AN15" s="40" t="e">
        <f ca="1">OFFSET(atwork_new,5,0)</f>
        <v>#DIV/0!</v>
      </c>
      <c r="AO15" s="95" t="e">
        <f t="shared" ca="1" si="9"/>
        <v>#DIV/0!</v>
      </c>
    </row>
    <row r="16" spans="1:41" x14ac:dyDescent="0.2">
      <c r="A16" s="1" t="s">
        <v>78</v>
      </c>
      <c r="B16" s="1" t="s">
        <v>65</v>
      </c>
      <c r="C16" s="40">
        <f>[2]Work!E421</f>
        <v>1.3661161278544285</v>
      </c>
      <c r="D16" s="40" t="e">
        <f ca="1">OFFSET(work_new,5,1)</f>
        <v>#DIV/0!</v>
      </c>
      <c r="E16" s="95" t="e">
        <f t="shared" ca="1" si="0"/>
        <v>#DIV/0!</v>
      </c>
      <c r="F16" s="76"/>
      <c r="G16" s="40">
        <f>[2]University!E421</f>
        <v>9.8646021894660887</v>
      </c>
      <c r="H16" s="40" t="e">
        <f ca="1">OFFSET(university_new,5,1)</f>
        <v>#DIV/0!</v>
      </c>
      <c r="I16" s="95" t="e">
        <f t="shared" ca="1" si="1"/>
        <v>#DIV/0!</v>
      </c>
      <c r="K16" s="40">
        <f>[2]School!E421</f>
        <v>2.8370573031288306</v>
      </c>
      <c r="L16" s="40" t="e">
        <f ca="1">OFFSET(school_new,5,1)</f>
        <v>#DIV/0!</v>
      </c>
      <c r="M16" s="95" t="e">
        <f t="shared" ca="1" si="2"/>
        <v>#DIV/0!</v>
      </c>
      <c r="O16" s="40">
        <f>[2]Escort!E421</f>
        <v>0.34346745528911504</v>
      </c>
      <c r="P16" s="40" t="e">
        <f ca="1">OFFSET(indivmaint_new,5,1)</f>
        <v>#DIV/0!</v>
      </c>
      <c r="Q16" s="95" t="e">
        <f t="shared" ca="1" si="3"/>
        <v>#DIV/0!</v>
      </c>
      <c r="S16" s="40">
        <f>[2]Shopping!E421</f>
        <v>0.34346745528911504</v>
      </c>
      <c r="T16" s="40" t="e">
        <f ca="1">OFFSET(indivmaint_new,5,1)</f>
        <v>#DIV/0!</v>
      </c>
      <c r="U16" s="95" t="e">
        <f t="shared" ca="1" si="4"/>
        <v>#DIV/0!</v>
      </c>
      <c r="W16" s="40">
        <f>[2]EatOut!E421</f>
        <v>0.76489851264789344</v>
      </c>
      <c r="X16" s="40" t="e">
        <f ca="1">OFFSET(indivdisc_new,5,1)</f>
        <v>#DIV/0!</v>
      </c>
      <c r="Y16" s="95" t="e">
        <f t="shared" ca="1" si="5"/>
        <v>#DIV/0!</v>
      </c>
      <c r="AA16" s="40">
        <f>[2]OthMaint!E421</f>
        <v>0.34346745528911504</v>
      </c>
      <c r="AB16" s="40" t="e">
        <f ca="1">OFFSET(indivmaint_new,5,1)</f>
        <v>#DIV/0!</v>
      </c>
      <c r="AC16" s="95" t="e">
        <f t="shared" ca="1" si="6"/>
        <v>#DIV/0!</v>
      </c>
      <c r="AE16" s="40">
        <f>[2]Social!E421</f>
        <v>0.76489851264789344</v>
      </c>
      <c r="AF16" s="40" t="e">
        <f ca="1">OFFSET(indivdisc_new,5,1)</f>
        <v>#DIV/0!</v>
      </c>
      <c r="AG16" s="95" t="e">
        <f t="shared" ca="1" si="7"/>
        <v>#DIV/0!</v>
      </c>
      <c r="AI16" s="40">
        <f>[2]OthDiscr!E421</f>
        <v>0.76489851264789344</v>
      </c>
      <c r="AJ16" s="40" t="e">
        <f ca="1">OFFSET(indivdisc_new,5,1)</f>
        <v>#DIV/0!</v>
      </c>
      <c r="AK16" s="95" t="e">
        <f t="shared" ca="1" si="8"/>
        <v>#DIV/0!</v>
      </c>
      <c r="AM16" s="40">
        <f>[2]WorkBased!E424</f>
        <v>-3.4136434690204598</v>
      </c>
      <c r="AN16" s="40" t="e">
        <f ca="1">OFFSET(atwork_new,5,1)</f>
        <v>#DIV/0!</v>
      </c>
      <c r="AO16" s="95" t="e">
        <f t="shared" ca="1" si="9"/>
        <v>#DIV/0!</v>
      </c>
    </row>
    <row r="17" spans="1:41" x14ac:dyDescent="0.2">
      <c r="A17" s="1" t="s">
        <v>79</v>
      </c>
      <c r="B17" s="1" t="s">
        <v>67</v>
      </c>
      <c r="C17" s="40">
        <f>[2]Work!E422</f>
        <v>-2.1584516018567892</v>
      </c>
      <c r="D17" s="40" t="e">
        <f ca="1">OFFSET(work_new,5,2)</f>
        <v>#DIV/0!</v>
      </c>
      <c r="E17" s="95" t="e">
        <f t="shared" ca="1" si="0"/>
        <v>#DIV/0!</v>
      </c>
      <c r="F17" s="76"/>
      <c r="G17" s="40">
        <f>[2]University!E422</f>
        <v>0.27716887960604059</v>
      </c>
      <c r="H17" s="40" t="e">
        <f ca="1">OFFSET(university_new,5,2)</f>
        <v>#DIV/0!</v>
      </c>
      <c r="I17" s="95" t="e">
        <f t="shared" ca="1" si="1"/>
        <v>#DIV/0!</v>
      </c>
      <c r="K17" s="40">
        <f>[2]School!E422</f>
        <v>-0.21447880324559515</v>
      </c>
      <c r="L17" s="40" t="e">
        <f ca="1">OFFSET(school_new,5,2)</f>
        <v>#DIV/0!</v>
      </c>
      <c r="M17" s="95" t="e">
        <f t="shared" ca="1" si="2"/>
        <v>#DIV/0!</v>
      </c>
      <c r="O17" s="40">
        <f>[2]Escort!E422</f>
        <v>-1.5994644887843372</v>
      </c>
      <c r="P17" s="40" t="e">
        <f ca="1">OFFSET(indivmaint_new,5,2)</f>
        <v>#DIV/0!</v>
      </c>
      <c r="Q17" s="95" t="e">
        <f t="shared" ca="1" si="3"/>
        <v>#DIV/0!</v>
      </c>
      <c r="S17" s="40">
        <f>[2]Shopping!E422</f>
        <v>-1.5994644887843372</v>
      </c>
      <c r="T17" s="40" t="e">
        <f ca="1">OFFSET(indivmaint_new,5,2)</f>
        <v>#DIV/0!</v>
      </c>
      <c r="U17" s="95" t="e">
        <f t="shared" ca="1" si="4"/>
        <v>#DIV/0!</v>
      </c>
      <c r="W17" s="40">
        <f>[2]EatOut!E422</f>
        <v>-0.78789916201269705</v>
      </c>
      <c r="X17" s="40" t="e">
        <f ca="1">OFFSET(indivdisc_new,5,2)</f>
        <v>#DIV/0!</v>
      </c>
      <c r="Y17" s="95" t="e">
        <f t="shared" ca="1" si="5"/>
        <v>#DIV/0!</v>
      </c>
      <c r="AA17" s="40">
        <f>[2]OthMaint!E422</f>
        <v>-1.5994644887843372</v>
      </c>
      <c r="AB17" s="40" t="e">
        <f ca="1">OFFSET(indivmaint_new,5,2)</f>
        <v>#DIV/0!</v>
      </c>
      <c r="AC17" s="95" t="e">
        <f t="shared" ca="1" si="6"/>
        <v>#DIV/0!</v>
      </c>
      <c r="AE17" s="40">
        <f>[2]Social!E422</f>
        <v>-0.78789916201269705</v>
      </c>
      <c r="AF17" s="40" t="e">
        <f ca="1">OFFSET(indivdisc_new,5,2)</f>
        <v>#DIV/0!</v>
      </c>
      <c r="AG17" s="95" t="e">
        <f t="shared" ca="1" si="7"/>
        <v>#DIV/0!</v>
      </c>
      <c r="AI17" s="40">
        <f>[2]OthDiscr!E422</f>
        <v>-0.78789916201269705</v>
      </c>
      <c r="AJ17" s="40" t="e">
        <f ca="1">OFFSET(indivdisc_new,5,2)</f>
        <v>#DIV/0!</v>
      </c>
      <c r="AK17" s="95" t="e">
        <f t="shared" ca="1" si="8"/>
        <v>#DIV/0!</v>
      </c>
      <c r="AM17" s="40">
        <f>[2]WorkBased!E425</f>
        <v>-4.2096340712934692</v>
      </c>
      <c r="AN17" s="40" t="e">
        <f ca="1">OFFSET(atwork_new,5,2)</f>
        <v>#DIV/0!</v>
      </c>
      <c r="AO17" s="95" t="e">
        <f t="shared" ca="1" si="9"/>
        <v>#DIV/0!</v>
      </c>
    </row>
    <row r="18" spans="1:41" x14ac:dyDescent="0.2">
      <c r="A18" s="1" t="s">
        <v>80</v>
      </c>
      <c r="B18" s="1" t="s">
        <v>63</v>
      </c>
      <c r="C18" s="40">
        <f>[2]Work!E423</f>
        <v>0</v>
      </c>
      <c r="D18" s="40" t="e">
        <f ca="1">OFFSET(work_new,6,0)</f>
        <v>#DIV/0!</v>
      </c>
      <c r="E18" s="95" t="e">
        <f t="shared" ca="1" si="0"/>
        <v>#DIV/0!</v>
      </c>
      <c r="F18" s="76"/>
      <c r="G18" s="40">
        <f>[2]University!E423</f>
        <v>0</v>
      </c>
      <c r="H18" s="40" t="e">
        <f ca="1">OFFSET(university_new,6,0)</f>
        <v>#DIV/0!</v>
      </c>
      <c r="I18" s="95" t="e">
        <f t="shared" ca="1" si="1"/>
        <v>#DIV/0!</v>
      </c>
      <c r="K18" s="40">
        <f>[2]School!E423</f>
        <v>0</v>
      </c>
      <c r="L18" s="40" t="e">
        <f ca="1">OFFSET(school_new,6,0)</f>
        <v>#DIV/0!</v>
      </c>
      <c r="M18" s="95" t="e">
        <f t="shared" ca="1" si="2"/>
        <v>#DIV/0!</v>
      </c>
      <c r="O18" s="40">
        <f>[2]Escort!E423</f>
        <v>0</v>
      </c>
      <c r="P18" s="40" t="e">
        <f ca="1">OFFSET(indivmaint_new,6,0)</f>
        <v>#DIV/0!</v>
      </c>
      <c r="Q18" s="95" t="e">
        <f t="shared" ca="1" si="3"/>
        <v>#DIV/0!</v>
      </c>
      <c r="S18" s="40">
        <f>[2]Shopping!E423</f>
        <v>0</v>
      </c>
      <c r="T18" s="40" t="e">
        <f ca="1">OFFSET(indivmaint_new,6,0)</f>
        <v>#DIV/0!</v>
      </c>
      <c r="U18" s="95" t="e">
        <f t="shared" ca="1" si="4"/>
        <v>#DIV/0!</v>
      </c>
      <c r="W18" s="40">
        <f>[2]EatOut!E423</f>
        <v>0</v>
      </c>
      <c r="X18" s="40" t="e">
        <f ca="1">OFFSET(indivdisc_new,6,0)</f>
        <v>#DIV/0!</v>
      </c>
      <c r="Y18" s="95" t="e">
        <f t="shared" ca="1" si="5"/>
        <v>#DIV/0!</v>
      </c>
      <c r="AA18" s="40">
        <f>[2]OthMaint!E423</f>
        <v>0</v>
      </c>
      <c r="AB18" s="40" t="e">
        <f ca="1">OFFSET(indivmaint_new,6,0)</f>
        <v>#DIV/0!</v>
      </c>
      <c r="AC18" s="95" t="e">
        <f t="shared" ca="1" si="6"/>
        <v>#DIV/0!</v>
      </c>
      <c r="AE18" s="40">
        <f>[2]Social!E423</f>
        <v>0</v>
      </c>
      <c r="AF18" s="40" t="e">
        <f ca="1">OFFSET(indivdisc_new,6,0)</f>
        <v>#DIV/0!</v>
      </c>
      <c r="AG18" s="95" t="e">
        <f t="shared" ca="1" si="7"/>
        <v>#DIV/0!</v>
      </c>
      <c r="AI18" s="40">
        <f>[2]OthDiscr!E423</f>
        <v>0</v>
      </c>
      <c r="AJ18" s="40" t="e">
        <f ca="1">OFFSET(indivdisc_new,6,0)</f>
        <v>#DIV/0!</v>
      </c>
      <c r="AK18" s="95" t="e">
        <f t="shared" ca="1" si="8"/>
        <v>#DIV/0!</v>
      </c>
      <c r="AM18" s="40">
        <f>[2]WorkBased!E426</f>
        <v>0</v>
      </c>
      <c r="AN18" s="40" t="e">
        <f ca="1">OFFSET(atwork_new,6,0)</f>
        <v>#DIV/0!</v>
      </c>
      <c r="AO18" s="95" t="e">
        <f t="shared" ca="1" si="9"/>
        <v>#DIV/0!</v>
      </c>
    </row>
    <row r="19" spans="1:41" x14ac:dyDescent="0.2">
      <c r="A19" s="1" t="s">
        <v>81</v>
      </c>
      <c r="B19" s="1" t="s">
        <v>65</v>
      </c>
      <c r="C19" s="40">
        <f>[2]Work!E424</f>
        <v>0.65577867711211824</v>
      </c>
      <c r="D19" s="40" t="e">
        <f ca="1">OFFSET(work_new,6,1)</f>
        <v>#DIV/0!</v>
      </c>
      <c r="E19" s="95" t="e">
        <f t="shared" ca="1" si="0"/>
        <v>#DIV/0!</v>
      </c>
      <c r="F19" s="76"/>
      <c r="G19" s="40">
        <f>[2]University!E424</f>
        <v>9.5010314888844718</v>
      </c>
      <c r="H19" s="40" t="e">
        <f ca="1">OFFSET(university_new,6,1)</f>
        <v>#DIV/0!</v>
      </c>
      <c r="I19" s="95" t="e">
        <f t="shared" ca="1" si="1"/>
        <v>#DIV/0!</v>
      </c>
      <c r="K19" s="40">
        <f>[2]School!E424</f>
        <v>4.8187968492688995</v>
      </c>
      <c r="L19" s="40" t="e">
        <f ca="1">OFFSET(school_new,6,1)</f>
        <v>#DIV/0!</v>
      </c>
      <c r="M19" s="95" t="e">
        <f t="shared" ca="1" si="2"/>
        <v>#DIV/0!</v>
      </c>
      <c r="O19" s="40">
        <f>[2]Escort!E424</f>
        <v>0.56044160163320422</v>
      </c>
      <c r="P19" s="40" t="e">
        <f ca="1">OFFSET(indivmaint_new,6,1)</f>
        <v>#DIV/0!</v>
      </c>
      <c r="Q19" s="95" t="e">
        <f t="shared" ca="1" si="3"/>
        <v>#DIV/0!</v>
      </c>
      <c r="S19" s="40">
        <f>[2]Shopping!E424</f>
        <v>0.56044160163320422</v>
      </c>
      <c r="T19" s="40" t="e">
        <f ca="1">OFFSET(indivmaint_new,6,1)</f>
        <v>#DIV/0!</v>
      </c>
      <c r="U19" s="95" t="e">
        <f t="shared" ca="1" si="4"/>
        <v>#DIV/0!</v>
      </c>
      <c r="W19" s="40">
        <f>[2]EatOut!E424</f>
        <v>1.5957627284935656</v>
      </c>
      <c r="X19" s="40" t="e">
        <f ca="1">OFFSET(indivdisc_new,6,1)</f>
        <v>#DIV/0!</v>
      </c>
      <c r="Y19" s="95" t="e">
        <f t="shared" ca="1" si="5"/>
        <v>#DIV/0!</v>
      </c>
      <c r="AA19" s="40">
        <f>[2]OthMaint!E424</f>
        <v>0.56044160163320422</v>
      </c>
      <c r="AB19" s="40" t="e">
        <f ca="1">OFFSET(indivmaint_new,6,1)</f>
        <v>#DIV/0!</v>
      </c>
      <c r="AC19" s="95" t="e">
        <f t="shared" ca="1" si="6"/>
        <v>#DIV/0!</v>
      </c>
      <c r="AE19" s="40">
        <f>[2]Social!E424</f>
        <v>1.5957627284935656</v>
      </c>
      <c r="AF19" s="40" t="e">
        <f ca="1">OFFSET(indivdisc_new,6,1)</f>
        <v>#DIV/0!</v>
      </c>
      <c r="AG19" s="95" t="e">
        <f t="shared" ca="1" si="7"/>
        <v>#DIV/0!</v>
      </c>
      <c r="AI19" s="40">
        <f>[2]OthDiscr!E424</f>
        <v>1.5957627284935656</v>
      </c>
      <c r="AJ19" s="40" t="e">
        <f ca="1">OFFSET(indivdisc_new,6,1)</f>
        <v>#DIV/0!</v>
      </c>
      <c r="AK19" s="95" t="e">
        <f t="shared" ca="1" si="8"/>
        <v>#DIV/0!</v>
      </c>
      <c r="AM19" s="40">
        <f>[2]WorkBased!E427</f>
        <v>-999</v>
      </c>
      <c r="AN19" s="40">
        <f ca="1">OFFSET(atwork_new,6,1)</f>
        <v>-999</v>
      </c>
      <c r="AO19" s="95">
        <f t="shared" ca="1" si="9"/>
        <v>-53138.297872340423</v>
      </c>
    </row>
    <row r="20" spans="1:41" x14ac:dyDescent="0.2">
      <c r="A20" s="1" t="s">
        <v>82</v>
      </c>
      <c r="B20" s="1" t="s">
        <v>67</v>
      </c>
      <c r="C20" s="40">
        <f>[2]Work!E425</f>
        <v>-2.4114705490352404</v>
      </c>
      <c r="D20" s="40" t="e">
        <f ca="1">OFFSET(work_new,6,2)</f>
        <v>#DIV/0!</v>
      </c>
      <c r="E20" s="95" t="e">
        <f t="shared" ca="1" si="0"/>
        <v>#DIV/0!</v>
      </c>
      <c r="F20" s="76"/>
      <c r="G20" s="40">
        <f>[2]University!E425</f>
        <v>-0.72310673781542345</v>
      </c>
      <c r="H20" s="40" t="e">
        <f ca="1">OFFSET(university_new,6,2)</f>
        <v>#DIV/0!</v>
      </c>
      <c r="I20" s="95" t="e">
        <f t="shared" ca="1" si="1"/>
        <v>#DIV/0!</v>
      </c>
      <c r="K20" s="40">
        <f>[2]School!E425</f>
        <v>1.5963172704126067</v>
      </c>
      <c r="L20" s="40" t="e">
        <f ca="1">OFFSET(school_new,6,2)</f>
        <v>#DIV/0!</v>
      </c>
      <c r="M20" s="95" t="e">
        <f t="shared" ca="1" si="2"/>
        <v>#DIV/0!</v>
      </c>
      <c r="O20" s="40">
        <f>[2]Escort!E425</f>
        <v>-1.9604864025399809</v>
      </c>
      <c r="P20" s="40" t="e">
        <f ca="1">OFFSET(indivmaint_new,6,2)</f>
        <v>#DIV/0!</v>
      </c>
      <c r="Q20" s="95" t="e">
        <f t="shared" ca="1" si="3"/>
        <v>#DIV/0!</v>
      </c>
      <c r="S20" s="40">
        <f>[2]Shopping!E425</f>
        <v>-1.9604864025399809</v>
      </c>
      <c r="T20" s="40" t="e">
        <f ca="1">OFFSET(indivmaint_new,6,2)</f>
        <v>#DIV/0!</v>
      </c>
      <c r="U20" s="95" t="e">
        <f t="shared" ca="1" si="4"/>
        <v>#DIV/0!</v>
      </c>
      <c r="W20" s="40">
        <f>[2]EatOut!E425</f>
        <v>-0.73182338816790138</v>
      </c>
      <c r="X20" s="40" t="e">
        <f ca="1">OFFSET(indivdisc_new,6,2)</f>
        <v>#DIV/0!</v>
      </c>
      <c r="Y20" s="95" t="e">
        <f t="shared" ca="1" si="5"/>
        <v>#DIV/0!</v>
      </c>
      <c r="AA20" s="40">
        <f>[2]OthMaint!E425</f>
        <v>-1.9604864025399809</v>
      </c>
      <c r="AB20" s="40" t="e">
        <f ca="1">OFFSET(indivmaint_new,6,2)</f>
        <v>#DIV/0!</v>
      </c>
      <c r="AC20" s="95" t="e">
        <f t="shared" ca="1" si="6"/>
        <v>#DIV/0!</v>
      </c>
      <c r="AE20" s="40">
        <f>[2]Social!E425</f>
        <v>-0.73182338816790138</v>
      </c>
      <c r="AF20" s="40" t="e">
        <f ca="1">OFFSET(indivdisc_new,6,2)</f>
        <v>#DIV/0!</v>
      </c>
      <c r="AG20" s="95" t="e">
        <f t="shared" ca="1" si="7"/>
        <v>#DIV/0!</v>
      </c>
      <c r="AI20" s="40">
        <f>[2]OthDiscr!E425</f>
        <v>-0.73182338816790138</v>
      </c>
      <c r="AJ20" s="40" t="e">
        <f ca="1">OFFSET(indivdisc_new,6,2)</f>
        <v>#DIV/0!</v>
      </c>
      <c r="AK20" s="95" t="e">
        <f t="shared" ca="1" si="8"/>
        <v>#DIV/0!</v>
      </c>
      <c r="AM20" s="40">
        <f>[2]WorkBased!E428</f>
        <v>-999</v>
      </c>
      <c r="AN20" s="40">
        <f ca="1">OFFSET(atwork_new,6,2)</f>
        <v>-999</v>
      </c>
      <c r="AO20" s="95">
        <f t="shared" ca="1" si="9"/>
        <v>-53138.297872340423</v>
      </c>
    </row>
    <row r="21" spans="1:41" x14ac:dyDescent="0.2">
      <c r="A21" s="66" t="s">
        <v>147</v>
      </c>
      <c r="B21" s="66" t="s">
        <v>63</v>
      </c>
      <c r="C21" s="40">
        <f>[2]Work!E426</f>
        <v>6.5933202564827722</v>
      </c>
      <c r="D21" s="40" t="e">
        <f ca="1">OFFSET(work_new,7,0)</f>
        <v>#DIV/0!</v>
      </c>
      <c r="E21" s="95" t="e">
        <f t="shared" ca="1" si="0"/>
        <v>#DIV/0!</v>
      </c>
      <c r="F21" s="76"/>
      <c r="G21" s="40">
        <f>[2]University!E426</f>
        <v>-14.413390978433416</v>
      </c>
      <c r="H21" s="40" t="e">
        <f ca="1">OFFSET(university_new,7,0)</f>
        <v>#DIV/0!</v>
      </c>
      <c r="I21" s="95" t="e">
        <f t="shared" ca="1" si="1"/>
        <v>#DIV/0!</v>
      </c>
      <c r="K21" s="40">
        <f>[2]School!E426</f>
        <v>-7</v>
      </c>
      <c r="L21" s="40" t="e">
        <f ca="1">OFFSET(school_new,7,0)</f>
        <v>#DIV/0!</v>
      </c>
      <c r="M21" s="95" t="e">
        <f t="shared" ca="1" si="2"/>
        <v>#DIV/0!</v>
      </c>
      <c r="O21" s="40">
        <f>[2]Escort!E426</f>
        <v>2.2138516699775987</v>
      </c>
      <c r="P21" s="40" t="e">
        <f ca="1">OFFSET(indivmaint_new,7,0)</f>
        <v>#DIV/0!</v>
      </c>
      <c r="Q21" s="95" t="e">
        <f t="shared" ca="1" si="3"/>
        <v>#DIV/0!</v>
      </c>
      <c r="S21" s="40">
        <f>[2]Shopping!E426</f>
        <v>2.2138516699775987</v>
      </c>
      <c r="T21" s="40" t="e">
        <f ca="1">OFFSET(indivmaint_new,7,0)</f>
        <v>#DIV/0!</v>
      </c>
      <c r="U21" s="95" t="e">
        <f t="shared" ca="1" si="4"/>
        <v>#DIV/0!</v>
      </c>
      <c r="W21" s="40">
        <f>[2]EatOut!E426</f>
        <v>2.4882592478731649</v>
      </c>
      <c r="X21" s="40" t="e">
        <f ca="1">OFFSET(indivdisc_new,7,0)</f>
        <v>#DIV/0!</v>
      </c>
      <c r="Y21" s="95" t="e">
        <f t="shared" ca="1" si="5"/>
        <v>#DIV/0!</v>
      </c>
      <c r="AA21" s="40">
        <f>[2]OthMaint!E426</f>
        <v>2.2138516699775987</v>
      </c>
      <c r="AB21" s="40" t="e">
        <f ca="1">OFFSET(indivmaint_new,7,0)</f>
        <v>#DIV/0!</v>
      </c>
      <c r="AC21" s="95" t="e">
        <f t="shared" ca="1" si="6"/>
        <v>#DIV/0!</v>
      </c>
      <c r="AE21" s="40">
        <f>[2]Social!E426</f>
        <v>2.4882592478731649</v>
      </c>
      <c r="AF21" s="40" t="e">
        <f ca="1">OFFSET(indivdisc_new,7,0)</f>
        <v>#DIV/0!</v>
      </c>
      <c r="AG21" s="95" t="e">
        <f t="shared" ca="1" si="7"/>
        <v>#DIV/0!</v>
      </c>
      <c r="AI21" s="40">
        <f>[2]OthDiscr!E426</f>
        <v>2.4882592478731649</v>
      </c>
      <c r="AJ21" s="40" t="e">
        <f ca="1">OFFSET(indivdisc_new,7,0)</f>
        <v>#DIV/0!</v>
      </c>
      <c r="AK21" s="95" t="e">
        <f t="shared" ca="1" si="8"/>
        <v>#DIV/0!</v>
      </c>
      <c r="AM21" s="40">
        <f>[2]WorkBased!E429</f>
        <v>4.8420209089230175</v>
      </c>
      <c r="AN21" s="40" t="e">
        <f ca="1">OFFSET(atwork_new,7,0)</f>
        <v>#DIV/0!</v>
      </c>
      <c r="AO21" s="95" t="e">
        <f t="shared" ca="1" si="9"/>
        <v>#DIV/0!</v>
      </c>
    </row>
    <row r="22" spans="1:41" x14ac:dyDescent="0.2">
      <c r="A22" s="66" t="s">
        <v>148</v>
      </c>
      <c r="B22" s="66" t="s">
        <v>65</v>
      </c>
      <c r="C22" s="40">
        <f>[2]Work!E427</f>
        <v>2.1487276046681307</v>
      </c>
      <c r="D22" s="40" t="e">
        <f ca="1">OFFSET(work_new,7,1)</f>
        <v>#DIV/0!</v>
      </c>
      <c r="E22" s="95" t="e">
        <f t="shared" ca="1" si="0"/>
        <v>#DIV/0!</v>
      </c>
      <c r="F22" s="76"/>
      <c r="G22" s="40">
        <f>[2]University!E427</f>
        <v>6.7745387844835925</v>
      </c>
      <c r="H22" s="40" t="e">
        <f ca="1">OFFSET(university_new,7,1)</f>
        <v>#DIV/0!</v>
      </c>
      <c r="I22" s="95" t="e">
        <f t="shared" ca="1" si="1"/>
        <v>#DIV/0!</v>
      </c>
      <c r="K22" s="40">
        <f>[2]School!E427</f>
        <v>1.0403043240006329</v>
      </c>
      <c r="L22" s="40" t="e">
        <f ca="1">OFFSET(school_new,7,1)</f>
        <v>#DIV/0!</v>
      </c>
      <c r="M22" s="95" t="e">
        <f t="shared" ca="1" si="2"/>
        <v>#DIV/0!</v>
      </c>
      <c r="O22" s="40">
        <f>[2]Escort!E427</f>
        <v>0.89089456505769793</v>
      </c>
      <c r="P22" s="40" t="e">
        <f ca="1">OFFSET(indivmaint_new,7,1)</f>
        <v>#DIV/0!</v>
      </c>
      <c r="Q22" s="95" t="e">
        <f t="shared" ca="1" si="3"/>
        <v>#DIV/0!</v>
      </c>
      <c r="S22" s="40">
        <f>[2]Shopping!E427</f>
        <v>0.89089456505769793</v>
      </c>
      <c r="T22" s="40" t="e">
        <f ca="1">OFFSET(indivmaint_new,7,1)</f>
        <v>#DIV/0!</v>
      </c>
      <c r="U22" s="95" t="e">
        <f t="shared" ca="1" si="4"/>
        <v>#DIV/0!</v>
      </c>
      <c r="W22" s="40">
        <f>[2]EatOut!E427</f>
        <v>-2.6431325169015345</v>
      </c>
      <c r="X22" s="40" t="e">
        <f ca="1">OFFSET(indivdisc_new,7,1)</f>
        <v>#DIV/0!</v>
      </c>
      <c r="Y22" s="95" t="e">
        <f t="shared" ca="1" si="5"/>
        <v>#DIV/0!</v>
      </c>
      <c r="AA22" s="40">
        <f>[2]OthMaint!E427</f>
        <v>0.89089456505769793</v>
      </c>
      <c r="AB22" s="40" t="e">
        <f ca="1">OFFSET(indivmaint_new,7,1)</f>
        <v>#DIV/0!</v>
      </c>
      <c r="AC22" s="95" t="e">
        <f t="shared" ca="1" si="6"/>
        <v>#DIV/0!</v>
      </c>
      <c r="AE22" s="40">
        <f>[2]Social!E427</f>
        <v>-2.6431325169015345</v>
      </c>
      <c r="AF22" s="40" t="e">
        <f ca="1">OFFSET(indivdisc_new,7,1)</f>
        <v>#DIV/0!</v>
      </c>
      <c r="AG22" s="95" t="e">
        <f t="shared" ca="1" si="7"/>
        <v>#DIV/0!</v>
      </c>
      <c r="AI22" s="40">
        <f>[2]OthDiscr!E427</f>
        <v>-2.6431325169015345</v>
      </c>
      <c r="AJ22" s="40" t="e">
        <f ca="1">OFFSET(indivdisc_new,7,1)</f>
        <v>#DIV/0!</v>
      </c>
      <c r="AK22" s="95" t="e">
        <f t="shared" ca="1" si="8"/>
        <v>#DIV/0!</v>
      </c>
      <c r="AM22" s="40">
        <f>[2]WorkBased!E430</f>
        <v>-3.3772121132837474</v>
      </c>
      <c r="AN22" s="40" t="e">
        <f ca="1">OFFSET(atwork_new,7,1)</f>
        <v>#DIV/0!</v>
      </c>
      <c r="AO22" s="95" t="e">
        <f t="shared" ca="1" si="9"/>
        <v>#DIV/0!</v>
      </c>
    </row>
    <row r="23" spans="1:41" x14ac:dyDescent="0.2">
      <c r="A23" s="66" t="s">
        <v>149</v>
      </c>
      <c r="B23" s="66" t="s">
        <v>67</v>
      </c>
      <c r="C23" s="40">
        <f>[2]Work!E428</f>
        <v>-3.4263257019588114</v>
      </c>
      <c r="D23" s="40" t="e">
        <f ca="1">OFFSET(work_new,7,2)</f>
        <v>#DIV/0!</v>
      </c>
      <c r="E23" s="95" t="e">
        <f t="shared" ca="1" si="0"/>
        <v>#DIV/0!</v>
      </c>
      <c r="F23" s="76"/>
      <c r="G23" s="40">
        <f>[2]University!E428</f>
        <v>1.2947270672734077</v>
      </c>
      <c r="H23" s="40" t="e">
        <f ca="1">OFFSET(university_new,7,2)</f>
        <v>#DIV/0!</v>
      </c>
      <c r="I23" s="95" t="e">
        <f t="shared" ca="1" si="1"/>
        <v>#DIV/0!</v>
      </c>
      <c r="K23" s="40">
        <f>[2]School!E428</f>
        <v>-1.8616392449916963</v>
      </c>
      <c r="L23" s="40" t="e">
        <f ca="1">OFFSET(school_new,7,2)</f>
        <v>#DIV/0!</v>
      </c>
      <c r="M23" s="95" t="e">
        <f t="shared" ca="1" si="2"/>
        <v>#DIV/0!</v>
      </c>
      <c r="O23" s="40">
        <f>[2]Escort!E428</f>
        <v>-1.295389740422666</v>
      </c>
      <c r="P23" s="40" t="e">
        <f ca="1">OFFSET(indivmaint_new,7,2)</f>
        <v>#DIV/0!</v>
      </c>
      <c r="Q23" s="95" t="e">
        <f t="shared" ca="1" si="3"/>
        <v>#DIV/0!</v>
      </c>
      <c r="S23" s="40">
        <f>[2]Shopping!E428</f>
        <v>-1.295389740422666</v>
      </c>
      <c r="T23" s="40" t="e">
        <f ca="1">OFFSET(indivmaint_new,7,2)</f>
        <v>#DIV/0!</v>
      </c>
      <c r="U23" s="95" t="e">
        <f t="shared" ca="1" si="4"/>
        <v>#DIV/0!</v>
      </c>
      <c r="W23" s="40">
        <f>[2]EatOut!E428</f>
        <v>-1.8596233885735838</v>
      </c>
      <c r="X23" s="40" t="e">
        <f ca="1">OFFSET(indivdisc_new,7,2)</f>
        <v>#DIV/0!</v>
      </c>
      <c r="Y23" s="95" t="e">
        <f t="shared" ca="1" si="5"/>
        <v>#DIV/0!</v>
      </c>
      <c r="AA23" s="40">
        <f>[2]OthMaint!E428</f>
        <v>-1.295389740422666</v>
      </c>
      <c r="AB23" s="40" t="e">
        <f ca="1">OFFSET(indivmaint_new,7,2)</f>
        <v>#DIV/0!</v>
      </c>
      <c r="AC23" s="95" t="e">
        <f t="shared" ca="1" si="6"/>
        <v>#DIV/0!</v>
      </c>
      <c r="AE23" s="40">
        <f>[2]Social!E428</f>
        <v>-1.8596233885735838</v>
      </c>
      <c r="AF23" s="40" t="e">
        <f ca="1">OFFSET(indivdisc_new,7,2)</f>
        <v>#DIV/0!</v>
      </c>
      <c r="AG23" s="95" t="e">
        <f t="shared" ca="1" si="7"/>
        <v>#DIV/0!</v>
      </c>
      <c r="AI23" s="40">
        <f>[2]OthDiscr!E428</f>
        <v>-1.8596233885735838</v>
      </c>
      <c r="AJ23" s="40" t="e">
        <f ca="1">OFFSET(indivdisc_new,7,2)</f>
        <v>#DIV/0!</v>
      </c>
      <c r="AK23" s="95" t="e">
        <f t="shared" ca="1" si="8"/>
        <v>#DIV/0!</v>
      </c>
      <c r="AM23" s="40">
        <f>[2]WorkBased!E431</f>
        <v>-3.022133117479147</v>
      </c>
      <c r="AN23" s="40" t="e">
        <f ca="1">OFFSET(atwork_new,7,2)</f>
        <v>#DIV/0!</v>
      </c>
      <c r="AO23" s="95" t="e">
        <f t="shared" ca="1" si="9"/>
        <v>#DIV/0!</v>
      </c>
    </row>
    <row r="24" spans="1:41" x14ac:dyDescent="0.2">
      <c r="A24" s="67" t="s">
        <v>150</v>
      </c>
      <c r="B24" s="67" t="s">
        <v>63</v>
      </c>
      <c r="C24" s="40">
        <f>[2]Work!E429</f>
        <v>6.2258428032793161</v>
      </c>
      <c r="D24" s="40" t="e">
        <f ca="1">OFFSET(work_new,8,0)</f>
        <v>#DIV/0!</v>
      </c>
      <c r="E24" s="95" t="e">
        <f t="shared" ca="1" si="0"/>
        <v>#DIV/0!</v>
      </c>
      <c r="F24" s="76"/>
      <c r="G24" s="40">
        <f>[2]University!E429</f>
        <v>-13.96354352588383</v>
      </c>
      <c r="H24" s="40" t="e">
        <f ca="1">OFFSET(university_new,8,0)</f>
        <v>#DIV/0!</v>
      </c>
      <c r="I24" s="95" t="e">
        <f t="shared" ca="1" si="1"/>
        <v>#DIV/0!</v>
      </c>
      <c r="K24" s="40">
        <f>[2]School!E429</f>
        <v>-6.982041207453344</v>
      </c>
      <c r="L24" s="40" t="e">
        <f ca="1">OFFSET(school_new,8,0)</f>
        <v>#DIV/0!</v>
      </c>
      <c r="M24" s="95" t="e">
        <f t="shared" ca="1" si="2"/>
        <v>#DIV/0!</v>
      </c>
      <c r="O24" s="40">
        <f>[2]Escort!E429</f>
        <v>2.0037099795157784</v>
      </c>
      <c r="P24" s="40" t="e">
        <f ca="1">OFFSET(indivmaint_new,8,0)</f>
        <v>#DIV/0!</v>
      </c>
      <c r="Q24" s="95" t="e">
        <f t="shared" ca="1" si="3"/>
        <v>#DIV/0!</v>
      </c>
      <c r="S24" s="40">
        <f>[2]Shopping!E429</f>
        <v>2.0037099795157784</v>
      </c>
      <c r="T24" s="40" t="e">
        <f ca="1">OFFSET(indivmaint_new,8,0)</f>
        <v>#DIV/0!</v>
      </c>
      <c r="U24" s="95" t="e">
        <f t="shared" ca="1" si="4"/>
        <v>#DIV/0!</v>
      </c>
      <c r="W24" s="40">
        <f>[2]EatOut!E429</f>
        <v>2.9150751716764773</v>
      </c>
      <c r="X24" s="40" t="e">
        <f ca="1">OFFSET(indivdisc_new,8,0)</f>
        <v>#DIV/0!</v>
      </c>
      <c r="Y24" s="95" t="e">
        <f t="shared" ca="1" si="5"/>
        <v>#DIV/0!</v>
      </c>
      <c r="AA24" s="40">
        <f>[2]OthMaint!E429</f>
        <v>2.0037099795157784</v>
      </c>
      <c r="AB24" s="40" t="e">
        <f ca="1">OFFSET(indivmaint_new,8,0)</f>
        <v>#DIV/0!</v>
      </c>
      <c r="AC24" s="95" t="e">
        <f t="shared" ca="1" si="6"/>
        <v>#DIV/0!</v>
      </c>
      <c r="AE24" s="40">
        <f>[2]Social!E429</f>
        <v>2.9150751716764773</v>
      </c>
      <c r="AF24" s="40" t="e">
        <f ca="1">OFFSET(indivdisc_new,8,0)</f>
        <v>#DIV/0!</v>
      </c>
      <c r="AG24" s="95" t="e">
        <f t="shared" ca="1" si="7"/>
        <v>#DIV/0!</v>
      </c>
      <c r="AI24" s="40">
        <f>[2]OthDiscr!E429</f>
        <v>2.9150751716764773</v>
      </c>
      <c r="AJ24" s="40" t="e">
        <f ca="1">OFFSET(indivdisc_new,8,0)</f>
        <v>#DIV/0!</v>
      </c>
      <c r="AK24" s="95" t="e">
        <f t="shared" ca="1" si="8"/>
        <v>#DIV/0!</v>
      </c>
      <c r="AM24" s="40">
        <f>[2]WorkBased!E432</f>
        <v>5.5085260908188074</v>
      </c>
      <c r="AN24" s="40" t="e">
        <f ca="1">OFFSET(atwork_new,8,0)</f>
        <v>#DIV/0!</v>
      </c>
      <c r="AO24" s="95" t="e">
        <f t="shared" ca="1" si="9"/>
        <v>#DIV/0!</v>
      </c>
    </row>
    <row r="25" spans="1:41" x14ac:dyDescent="0.2">
      <c r="A25" s="67" t="s">
        <v>151</v>
      </c>
      <c r="B25" s="67" t="s">
        <v>65</v>
      </c>
      <c r="C25" s="40">
        <f>[2]Work!E430</f>
        <v>0.24808697360853438</v>
      </c>
      <c r="D25" s="40" t="e">
        <f ca="1">OFFSET(work_new,8,1)</f>
        <v>#DIV/0!</v>
      </c>
      <c r="E25" s="95" t="e">
        <f t="shared" ca="1" si="0"/>
        <v>#DIV/0!</v>
      </c>
      <c r="F25" s="76"/>
      <c r="G25" s="40">
        <f>[2]University!E430</f>
        <v>7.2289885853822087</v>
      </c>
      <c r="H25" s="40" t="e">
        <f ca="1">OFFSET(university_new,8,1)</f>
        <v>#DIV/0!</v>
      </c>
      <c r="I25" s="95" t="e">
        <f t="shared" ca="1" si="1"/>
        <v>#DIV/0!</v>
      </c>
      <c r="K25" s="40">
        <f>[2]School!E430</f>
        <v>1.5153716762814526</v>
      </c>
      <c r="L25" s="40" t="e">
        <f ca="1">OFFSET(school_new,8,1)</f>
        <v>#DIV/0!</v>
      </c>
      <c r="M25" s="95" t="e">
        <f t="shared" ca="1" si="2"/>
        <v>#DIV/0!</v>
      </c>
      <c r="O25" s="40">
        <f>[2]Escort!E430</f>
        <v>1.3090931315479235</v>
      </c>
      <c r="P25" s="40" t="e">
        <f ca="1">OFFSET(indivmaint_new,8,1)</f>
        <v>#DIV/0!</v>
      </c>
      <c r="Q25" s="95" t="e">
        <f t="shared" ca="1" si="3"/>
        <v>#DIV/0!</v>
      </c>
      <c r="S25" s="40">
        <f>[2]Shopping!E430</f>
        <v>1.3090931315479235</v>
      </c>
      <c r="T25" s="40" t="e">
        <f ca="1">OFFSET(indivmaint_new,8,1)</f>
        <v>#DIV/0!</v>
      </c>
      <c r="U25" s="95" t="e">
        <f t="shared" ca="1" si="4"/>
        <v>#DIV/0!</v>
      </c>
      <c r="W25" s="40">
        <f>[2]EatOut!E430</f>
        <v>-1.8227974803759781</v>
      </c>
      <c r="X25" s="40" t="e">
        <f ca="1">OFFSET(indivdisc_new,8,1)</f>
        <v>#DIV/0!</v>
      </c>
      <c r="Y25" s="95" t="e">
        <f t="shared" ca="1" si="5"/>
        <v>#DIV/0!</v>
      </c>
      <c r="AA25" s="40">
        <f>[2]OthMaint!E430</f>
        <v>1.3090931315479235</v>
      </c>
      <c r="AB25" s="40" t="e">
        <f ca="1">OFFSET(indivmaint_new,8,1)</f>
        <v>#DIV/0!</v>
      </c>
      <c r="AC25" s="95" t="e">
        <f t="shared" ca="1" si="6"/>
        <v>#DIV/0!</v>
      </c>
      <c r="AE25" s="40">
        <f>[2]Social!E430</f>
        <v>-1.8227974803759781</v>
      </c>
      <c r="AF25" s="40" t="e">
        <f ca="1">OFFSET(indivdisc_new,8,1)</f>
        <v>#DIV/0!</v>
      </c>
      <c r="AG25" s="95" t="e">
        <f t="shared" ca="1" si="7"/>
        <v>#DIV/0!</v>
      </c>
      <c r="AI25" s="40">
        <f>[2]OthDiscr!E430</f>
        <v>-1.8227974803759781</v>
      </c>
      <c r="AJ25" s="40" t="e">
        <f ca="1">OFFSET(indivdisc_new,8,1)</f>
        <v>#DIV/0!</v>
      </c>
      <c r="AK25" s="95" t="e">
        <f t="shared" ca="1" si="8"/>
        <v>#DIV/0!</v>
      </c>
      <c r="AM25" s="40">
        <f>[2]WorkBased!E433</f>
        <v>-3.1699375887121133</v>
      </c>
      <c r="AN25" s="40" t="e">
        <f ca="1">OFFSET(atwork_new,8,1)</f>
        <v>#DIV/0!</v>
      </c>
      <c r="AO25" s="95" t="e">
        <f t="shared" ca="1" si="9"/>
        <v>#DIV/0!</v>
      </c>
    </row>
    <row r="26" spans="1:41" x14ac:dyDescent="0.2">
      <c r="A26" s="67" t="s">
        <v>152</v>
      </c>
      <c r="B26" s="67" t="s">
        <v>67</v>
      </c>
      <c r="C26" s="40">
        <f>[2]Work!E431</f>
        <v>-3.1443867415880868</v>
      </c>
      <c r="D26" s="40" t="e">
        <f ca="1">OFFSET(work_new,8,2)</f>
        <v>#DIV/0!</v>
      </c>
      <c r="E26" s="95" t="e">
        <f t="shared" ca="1" si="0"/>
        <v>#DIV/0!</v>
      </c>
      <c r="F26" s="76"/>
      <c r="G26" s="40">
        <f>[2]University!E431</f>
        <v>1.6280289671840444</v>
      </c>
      <c r="H26" s="40" t="e">
        <f ca="1">OFFSET(university_new,8,2)</f>
        <v>#DIV/0!</v>
      </c>
      <c r="I26" s="95" t="e">
        <f t="shared" ca="1" si="1"/>
        <v>#DIV/0!</v>
      </c>
      <c r="K26" s="40">
        <f>[2]School!E431</f>
        <v>-1.3850387162089937</v>
      </c>
      <c r="L26" s="40" t="e">
        <f ca="1">OFFSET(school_new,8,2)</f>
        <v>#DIV/0!</v>
      </c>
      <c r="M26" s="95" t="e">
        <f t="shared" ca="1" si="2"/>
        <v>#DIV/0!</v>
      </c>
      <c r="O26" s="40">
        <f>[2]Escort!E431</f>
        <v>-0.86041087078342071</v>
      </c>
      <c r="P26" s="40" t="e">
        <f ca="1">OFFSET(indivmaint_new,8,2)</f>
        <v>#DIV/0!</v>
      </c>
      <c r="Q26" s="95" t="e">
        <f t="shared" ca="1" si="3"/>
        <v>#DIV/0!</v>
      </c>
      <c r="S26" s="40">
        <f>[2]Shopping!E431</f>
        <v>-0.86041087078342071</v>
      </c>
      <c r="T26" s="40" t="e">
        <f ca="1">OFFSET(indivmaint_new,8,2)</f>
        <v>#DIV/0!</v>
      </c>
      <c r="U26" s="95" t="e">
        <f t="shared" ca="1" si="4"/>
        <v>#DIV/0!</v>
      </c>
      <c r="W26" s="40">
        <f>[2]EatOut!E431</f>
        <v>-1.4651281973364874</v>
      </c>
      <c r="X26" s="40" t="e">
        <f ca="1">OFFSET(indivdisc_new,8,2)</f>
        <v>#DIV/0!</v>
      </c>
      <c r="Y26" s="95" t="e">
        <f t="shared" ca="1" si="5"/>
        <v>#DIV/0!</v>
      </c>
      <c r="AA26" s="40">
        <f>[2]OthMaint!E431</f>
        <v>-0.86041087078342071</v>
      </c>
      <c r="AB26" s="40" t="e">
        <f ca="1">OFFSET(indivmaint_new,8,2)</f>
        <v>#DIV/0!</v>
      </c>
      <c r="AC26" s="95" t="e">
        <f t="shared" ca="1" si="6"/>
        <v>#DIV/0!</v>
      </c>
      <c r="AE26" s="40">
        <f>[2]Social!E431</f>
        <v>-1.4651281973364874</v>
      </c>
      <c r="AF26" s="40" t="e">
        <f ca="1">OFFSET(indivdisc_new,8,2)</f>
        <v>#DIV/0!</v>
      </c>
      <c r="AG26" s="95" t="e">
        <f t="shared" ca="1" si="7"/>
        <v>#DIV/0!</v>
      </c>
      <c r="AI26" s="40">
        <f>[2]OthDiscr!E431</f>
        <v>-1.4651281973364874</v>
      </c>
      <c r="AJ26" s="40" t="e">
        <f ca="1">OFFSET(indivdisc_new,8,2)</f>
        <v>#DIV/0!</v>
      </c>
      <c r="AK26" s="95" t="e">
        <f t="shared" ca="1" si="8"/>
        <v>#DIV/0!</v>
      </c>
      <c r="AM26" s="40">
        <f>[2]WorkBased!E434</f>
        <v>-2.3541348228571715</v>
      </c>
      <c r="AN26" s="40" t="e">
        <f ca="1">OFFSET(atwork_new,8,2)</f>
        <v>#DIV/0!</v>
      </c>
      <c r="AO26" s="95" t="e">
        <f t="shared" ca="1" si="9"/>
        <v>#DIV/0!</v>
      </c>
    </row>
    <row r="27" spans="1:41" x14ac:dyDescent="0.2">
      <c r="A27" s="66" t="s">
        <v>153</v>
      </c>
      <c r="B27" s="66" t="s">
        <v>63</v>
      </c>
      <c r="C27" s="40">
        <f>[2]Work!E432</f>
        <v>3.9968598925704333</v>
      </c>
      <c r="D27" s="40" t="e">
        <f ca="1">OFFSET(work_new,9,0)</f>
        <v>#DIV/0!</v>
      </c>
      <c r="E27" s="95" t="e">
        <f t="shared" ca="1" si="0"/>
        <v>#DIV/0!</v>
      </c>
      <c r="F27" s="76"/>
      <c r="G27" s="40">
        <f>[2]University!E432</f>
        <v>-17.206312355165117</v>
      </c>
      <c r="H27" s="40" t="e">
        <f ca="1">OFFSET(university_new,9,0)</f>
        <v>#DIV/0!</v>
      </c>
      <c r="I27" s="95" t="e">
        <f t="shared" ca="1" si="1"/>
        <v>#DIV/0!</v>
      </c>
      <c r="K27" s="40">
        <f>[2]School!E432</f>
        <v>-6.9648716174727205</v>
      </c>
      <c r="L27" s="40" t="e">
        <f ca="1">OFFSET(school_new,9,0)</f>
        <v>#DIV/0!</v>
      </c>
      <c r="M27" s="95" t="e">
        <f t="shared" ca="1" si="2"/>
        <v>#DIV/0!</v>
      </c>
      <c r="O27" s="40">
        <f>[2]Escort!E432</f>
        <v>1.1517611156113243</v>
      </c>
      <c r="P27" s="40" t="e">
        <f ca="1">OFFSET(indivmaint_new,9,0)</f>
        <v>#DIV/0!</v>
      </c>
      <c r="Q27" s="95" t="e">
        <f t="shared" ca="1" si="3"/>
        <v>#DIV/0!</v>
      </c>
      <c r="S27" s="40">
        <f>[2]Shopping!E432</f>
        <v>1.1517611156113243</v>
      </c>
      <c r="T27" s="40" t="e">
        <f ca="1">OFFSET(indivmaint_new,9,0)</f>
        <v>#DIV/0!</v>
      </c>
      <c r="U27" s="95" t="e">
        <f t="shared" ca="1" si="4"/>
        <v>#DIV/0!</v>
      </c>
      <c r="W27" s="40">
        <f>[2]EatOut!E432</f>
        <v>1.9672374477481704</v>
      </c>
      <c r="X27" s="40" t="e">
        <f ca="1">OFFSET(indivdisc_new,9,0)</f>
        <v>#DIV/0!</v>
      </c>
      <c r="Y27" s="95" t="e">
        <f t="shared" ca="1" si="5"/>
        <v>#DIV/0!</v>
      </c>
      <c r="AA27" s="40">
        <f>[2]OthMaint!E432</f>
        <v>1.1517611156113243</v>
      </c>
      <c r="AB27" s="40" t="e">
        <f ca="1">OFFSET(indivmaint_new,9,0)</f>
        <v>#DIV/0!</v>
      </c>
      <c r="AC27" s="95" t="e">
        <f t="shared" ca="1" si="6"/>
        <v>#DIV/0!</v>
      </c>
      <c r="AE27" s="40">
        <f>[2]Social!E432</f>
        <v>1.9672374477481704</v>
      </c>
      <c r="AF27" s="40" t="e">
        <f ca="1">OFFSET(indivdisc_new,9,0)</f>
        <v>#DIV/0!</v>
      </c>
      <c r="AG27" s="95" t="e">
        <f t="shared" ca="1" si="7"/>
        <v>#DIV/0!</v>
      </c>
      <c r="AI27" s="40">
        <f>[2]OthDiscr!E432</f>
        <v>1.9672374477481704</v>
      </c>
      <c r="AJ27" s="40" t="e">
        <f ca="1">OFFSET(indivdisc_new,9,0)</f>
        <v>#DIV/0!</v>
      </c>
      <c r="AK27" s="95" t="e">
        <f t="shared" ca="1" si="8"/>
        <v>#DIV/0!</v>
      </c>
      <c r="AM27" s="40">
        <f>[2]WorkBased!E435</f>
        <v>4.2713065622243782</v>
      </c>
      <c r="AN27" s="40" t="e">
        <f ca="1">OFFSET(atwork_new,9,0)</f>
        <v>#DIV/0!</v>
      </c>
      <c r="AO27" s="95" t="e">
        <f t="shared" ca="1" si="9"/>
        <v>#DIV/0!</v>
      </c>
    </row>
    <row r="28" spans="1:41" x14ac:dyDescent="0.2">
      <c r="A28" s="66" t="s">
        <v>154</v>
      </c>
      <c r="B28" s="66" t="s">
        <v>65</v>
      </c>
      <c r="C28" s="40">
        <f>[2]Work!E433</f>
        <v>-0.25532669982229961</v>
      </c>
      <c r="D28" s="40" t="e">
        <f ca="1">OFFSET(work_new,9,1)</f>
        <v>#DIV/0!</v>
      </c>
      <c r="E28" s="95" t="e">
        <f t="shared" ca="1" si="0"/>
        <v>#DIV/0!</v>
      </c>
      <c r="F28" s="76"/>
      <c r="G28" s="40">
        <f>[2]University!E433</f>
        <v>5.401777450854647</v>
      </c>
      <c r="H28" s="40" t="e">
        <f ca="1">OFFSET(university_new,9,1)</f>
        <v>#DIV/0!</v>
      </c>
      <c r="I28" s="95" t="e">
        <f t="shared" ca="1" si="1"/>
        <v>#DIV/0!</v>
      </c>
      <c r="K28" s="40">
        <f>[2]School!E433</f>
        <v>0.66752081234139138</v>
      </c>
      <c r="L28" s="40" t="e">
        <f ca="1">OFFSET(school_new,9,1)</f>
        <v>#DIV/0!</v>
      </c>
      <c r="M28" s="95" t="e">
        <f t="shared" ca="1" si="2"/>
        <v>#DIV/0!</v>
      </c>
      <c r="O28" s="40">
        <f>[2]Escort!E433</f>
        <v>0.3082880035690394</v>
      </c>
      <c r="P28" s="40" t="e">
        <f ca="1">OFFSET(indivmaint_new,9,1)</f>
        <v>#DIV/0!</v>
      </c>
      <c r="Q28" s="95" t="e">
        <f t="shared" ca="1" si="3"/>
        <v>#DIV/0!</v>
      </c>
      <c r="S28" s="40">
        <f>[2]Shopping!E433</f>
        <v>0.3082880035690394</v>
      </c>
      <c r="T28" s="40" t="e">
        <f ca="1">OFFSET(indivmaint_new,9,1)</f>
        <v>#DIV/0!</v>
      </c>
      <c r="U28" s="95" t="e">
        <f t="shared" ca="1" si="4"/>
        <v>#DIV/0!</v>
      </c>
      <c r="W28" s="40">
        <f>[2]EatOut!E433</f>
        <v>-3.0458146379072693</v>
      </c>
      <c r="X28" s="40" t="e">
        <f ca="1">OFFSET(indivdisc_new,9,1)</f>
        <v>#DIV/0!</v>
      </c>
      <c r="Y28" s="95" t="e">
        <f t="shared" ca="1" si="5"/>
        <v>#DIV/0!</v>
      </c>
      <c r="AA28" s="40">
        <f>[2]OthMaint!E433</f>
        <v>0.3082880035690394</v>
      </c>
      <c r="AB28" s="40" t="e">
        <f ca="1">OFFSET(indivmaint_new,9,1)</f>
        <v>#DIV/0!</v>
      </c>
      <c r="AC28" s="95" t="e">
        <f t="shared" ca="1" si="6"/>
        <v>#DIV/0!</v>
      </c>
      <c r="AE28" s="40">
        <f>[2]Social!E433</f>
        <v>-3.0458146379072693</v>
      </c>
      <c r="AF28" s="40" t="e">
        <f ca="1">OFFSET(indivdisc_new,9,1)</f>
        <v>#DIV/0!</v>
      </c>
      <c r="AG28" s="95" t="e">
        <f t="shared" ca="1" si="7"/>
        <v>#DIV/0!</v>
      </c>
      <c r="AI28" s="40">
        <f>[2]OthDiscr!E433</f>
        <v>-3.0458146379072693</v>
      </c>
      <c r="AJ28" s="40" t="e">
        <f ca="1">OFFSET(indivdisc_new,9,1)</f>
        <v>#DIV/0!</v>
      </c>
      <c r="AK28" s="95" t="e">
        <f t="shared" ca="1" si="8"/>
        <v>#DIV/0!</v>
      </c>
      <c r="AM28" s="40">
        <f>[2]WorkBased!E436</f>
        <v>-3.7791628617553497</v>
      </c>
      <c r="AN28" s="40" t="e">
        <f ca="1">OFFSET(atwork_new,9,1)</f>
        <v>#DIV/0!</v>
      </c>
      <c r="AO28" s="95" t="e">
        <f t="shared" ca="1" si="9"/>
        <v>#DIV/0!</v>
      </c>
    </row>
    <row r="29" spans="1:41" x14ac:dyDescent="0.2">
      <c r="A29" s="68" t="s">
        <v>155</v>
      </c>
      <c r="B29" s="68" t="s">
        <v>67</v>
      </c>
      <c r="C29" s="40">
        <f>[2]Work!E434</f>
        <v>-4.1112134108957266</v>
      </c>
      <c r="D29" s="40" t="e">
        <f ca="1">OFFSET(work_new,9,2)</f>
        <v>#DIV/0!</v>
      </c>
      <c r="E29" s="96" t="e">
        <f t="shared" ca="1" si="0"/>
        <v>#DIV/0!</v>
      </c>
      <c r="F29" s="76"/>
      <c r="G29" s="40">
        <f>[2]University!E434</f>
        <v>0.43055313598834039</v>
      </c>
      <c r="H29" s="40" t="e">
        <f ca="1">OFFSET(university_new,9,2)</f>
        <v>#DIV/0!</v>
      </c>
      <c r="I29" s="96" t="e">
        <f t="shared" ca="1" si="1"/>
        <v>#DIV/0!</v>
      </c>
      <c r="K29" s="40">
        <f>[2]School!E434</f>
        <v>-2.1992222710368536</v>
      </c>
      <c r="L29" s="40" t="e">
        <f ca="1">OFFSET(school_new,9,2)</f>
        <v>#DIV/0!</v>
      </c>
      <c r="M29" s="96" t="e">
        <f t="shared" ca="1" si="2"/>
        <v>#DIV/0!</v>
      </c>
      <c r="O29" s="40">
        <f>[2]Escort!E434</f>
        <v>-1.8404322374992144</v>
      </c>
      <c r="P29" s="40" t="e">
        <f ca="1">OFFSET(indivmaint_new,9,2)</f>
        <v>#DIV/0!</v>
      </c>
      <c r="Q29" s="96" t="e">
        <f t="shared" ca="1" si="3"/>
        <v>#DIV/0!</v>
      </c>
      <c r="S29" s="40">
        <f>[2]Shopping!E434</f>
        <v>-1.8404322374992144</v>
      </c>
      <c r="T29" s="40" t="e">
        <f ca="1">OFFSET(indivmaint_new,9,2)</f>
        <v>#DIV/0!</v>
      </c>
      <c r="U29" s="96" t="e">
        <f t="shared" ca="1" si="4"/>
        <v>#DIV/0!</v>
      </c>
      <c r="W29" s="40">
        <f>[2]EatOut!E434</f>
        <v>-2.5605178509078965</v>
      </c>
      <c r="X29" s="40" t="e">
        <f ca="1">OFFSET(indivdisc_new,9,2)</f>
        <v>#DIV/0!</v>
      </c>
      <c r="Y29" s="96" t="e">
        <f t="shared" ca="1" si="5"/>
        <v>#DIV/0!</v>
      </c>
      <c r="AA29" s="40">
        <f>[2]OthMaint!E434</f>
        <v>-1.8404322374992144</v>
      </c>
      <c r="AB29" s="40" t="e">
        <f ca="1">OFFSET(indivmaint_new,9,2)</f>
        <v>#DIV/0!</v>
      </c>
      <c r="AC29" s="96" t="e">
        <f t="shared" ca="1" si="6"/>
        <v>#DIV/0!</v>
      </c>
      <c r="AE29" s="40">
        <f>[2]Social!E434</f>
        <v>-2.5605178509078965</v>
      </c>
      <c r="AF29" s="40" t="e">
        <f ca="1">OFFSET(indivdisc_new,9,2)</f>
        <v>#DIV/0!</v>
      </c>
      <c r="AG29" s="96" t="e">
        <f t="shared" ca="1" si="7"/>
        <v>#DIV/0!</v>
      </c>
      <c r="AI29" s="40">
        <f>[2]OthDiscr!E434</f>
        <v>-2.5605178509078965</v>
      </c>
      <c r="AJ29" s="40" t="e">
        <f ca="1">OFFSET(indivdisc_new,9,2)</f>
        <v>#DIV/0!</v>
      </c>
      <c r="AK29" s="96" t="e">
        <f t="shared" ca="1" si="8"/>
        <v>#DIV/0!</v>
      </c>
      <c r="AM29" s="40">
        <f>[2]WorkBased!E437</f>
        <v>-3.2430867960569971</v>
      </c>
      <c r="AN29" s="40" t="e">
        <f ca="1">OFFSET(atwork_new,9,2)</f>
        <v>#DIV/0!</v>
      </c>
      <c r="AO29" s="96" t="e">
        <f t="shared" ca="1" si="9"/>
        <v>#DIV/0!</v>
      </c>
    </row>
    <row r="30" spans="1:41" s="19" customFormat="1" x14ac:dyDescent="0.2">
      <c r="A30" s="19" t="s">
        <v>83</v>
      </c>
      <c r="B30" s="19" t="s">
        <v>84</v>
      </c>
      <c r="C30" s="41">
        <f>[2]Work!E435</f>
        <v>-2.3505204046613182</v>
      </c>
      <c r="D30" s="41" t="e">
        <f ca="1">OFFSET(joint_new,0,0)</f>
        <v>#DIV/0!</v>
      </c>
      <c r="E30" s="95" t="e">
        <f t="shared" ca="1" si="0"/>
        <v>#DIV/0!</v>
      </c>
      <c r="F30" s="77"/>
      <c r="G30" s="41">
        <f>[2]University!E435</f>
        <v>-2.3505204046613182</v>
      </c>
      <c r="H30" s="41" t="e">
        <f ca="1">OFFSET(joint_new,0,0)</f>
        <v>#DIV/0!</v>
      </c>
      <c r="I30" s="95" t="e">
        <f t="shared" ca="1" si="1"/>
        <v>#DIV/0!</v>
      </c>
      <c r="J30" s="80"/>
      <c r="K30" s="41">
        <f>[2]School!E435</f>
        <v>-2.3505204046613182</v>
      </c>
      <c r="L30" s="41" t="e">
        <f ca="1">OFFSET(joint_new,0,0)</f>
        <v>#DIV/0!</v>
      </c>
      <c r="M30" s="95" t="e">
        <f t="shared" ca="1" si="2"/>
        <v>#DIV/0!</v>
      </c>
      <c r="N30" s="80"/>
      <c r="O30" s="41">
        <f>[2]Escort!E435</f>
        <v>-2.3505204046613182</v>
      </c>
      <c r="P30" s="41" t="e">
        <f ca="1">OFFSET(joint_new,0,0)</f>
        <v>#DIV/0!</v>
      </c>
      <c r="Q30" s="95" t="e">
        <f t="shared" ca="1" si="3"/>
        <v>#DIV/0!</v>
      </c>
      <c r="R30" s="80"/>
      <c r="S30" s="41">
        <f>[2]Shopping!E435</f>
        <v>-2.3505204046613182</v>
      </c>
      <c r="T30" s="41" t="e">
        <f ca="1">OFFSET(joint_new,0,0)</f>
        <v>#DIV/0!</v>
      </c>
      <c r="U30" s="95" t="e">
        <f t="shared" ca="1" si="4"/>
        <v>#DIV/0!</v>
      </c>
      <c r="V30" s="80"/>
      <c r="W30" s="41">
        <f>[2]EatOut!E435</f>
        <v>-2.3505204046613182</v>
      </c>
      <c r="X30" s="41" t="e">
        <f ca="1">OFFSET(joint_new,0,0)</f>
        <v>#DIV/0!</v>
      </c>
      <c r="Y30" s="95" t="e">
        <f t="shared" ca="1" si="5"/>
        <v>#DIV/0!</v>
      </c>
      <c r="Z30" s="80"/>
      <c r="AA30" s="41">
        <f>[2]OthMaint!E435</f>
        <v>-2.3505204046613182</v>
      </c>
      <c r="AB30" s="41" t="e">
        <f ca="1">OFFSET(joint_new,0,0)</f>
        <v>#DIV/0!</v>
      </c>
      <c r="AC30" s="95" t="e">
        <f t="shared" ca="1" si="6"/>
        <v>#DIV/0!</v>
      </c>
      <c r="AD30" s="80"/>
      <c r="AE30" s="41">
        <f>[2]Social!E435</f>
        <v>-2.3505204046613182</v>
      </c>
      <c r="AF30" s="41" t="e">
        <f ca="1">OFFSET(joint_new,0,0)</f>
        <v>#DIV/0!</v>
      </c>
      <c r="AG30" s="95" t="e">
        <f t="shared" ca="1" si="7"/>
        <v>#DIV/0!</v>
      </c>
      <c r="AH30" s="80"/>
      <c r="AI30" s="41">
        <f>[2]OthDiscr!E435</f>
        <v>-2.3505204046613182</v>
      </c>
      <c r="AJ30" s="41" t="e">
        <f ca="1">OFFSET(joint_new,0,0)</f>
        <v>#DIV/0!</v>
      </c>
      <c r="AK30" s="95" t="e">
        <f t="shared" ca="1" si="8"/>
        <v>#DIV/0!</v>
      </c>
      <c r="AL30" s="80"/>
      <c r="AM30" s="41">
        <f>[2]WorkBased!E438</f>
        <v>-2.3505204046613182</v>
      </c>
      <c r="AN30" s="41" t="e">
        <f ca="1">OFFSET(joint_new,0,0)</f>
        <v>#DIV/0!</v>
      </c>
      <c r="AO30" s="95" t="e">
        <f t="shared" ca="1" si="9"/>
        <v>#DIV/0!</v>
      </c>
    </row>
    <row r="31" spans="1:41" x14ac:dyDescent="0.2">
      <c r="A31" s="1" t="s">
        <v>83</v>
      </c>
      <c r="B31" s="1" t="s">
        <v>85</v>
      </c>
      <c r="C31" s="40">
        <f>[2]Work!E436</f>
        <v>-5.6817039430815885</v>
      </c>
      <c r="D31" s="40" t="e">
        <f ca="1">OFFSET(joint_new,0,1)</f>
        <v>#DIV/0!</v>
      </c>
      <c r="E31" s="95" t="e">
        <f t="shared" ca="1" si="0"/>
        <v>#DIV/0!</v>
      </c>
      <c r="F31" s="76"/>
      <c r="G31" s="40">
        <f>[2]University!E436</f>
        <v>-5.6817039430815885</v>
      </c>
      <c r="H31" s="40" t="e">
        <f ca="1">OFFSET(joint_new,0,1)</f>
        <v>#DIV/0!</v>
      </c>
      <c r="I31" s="95" t="e">
        <f t="shared" ca="1" si="1"/>
        <v>#DIV/0!</v>
      </c>
      <c r="K31" s="40">
        <f>[2]School!E436</f>
        <v>-5.6817039430815885</v>
      </c>
      <c r="L31" s="40" t="e">
        <f ca="1">OFFSET(joint_new,0,1)</f>
        <v>#DIV/0!</v>
      </c>
      <c r="M31" s="95" t="e">
        <f t="shared" ca="1" si="2"/>
        <v>#DIV/0!</v>
      </c>
      <c r="O31" s="40">
        <f>[2]Escort!E436</f>
        <v>-5.6817039430815885</v>
      </c>
      <c r="P31" s="40" t="e">
        <f ca="1">OFFSET(joint_new,0,1)</f>
        <v>#DIV/0!</v>
      </c>
      <c r="Q31" s="95" t="e">
        <f t="shared" ca="1" si="3"/>
        <v>#DIV/0!</v>
      </c>
      <c r="S31" s="40">
        <f>[2]Shopping!E436</f>
        <v>-5.6817039430815885</v>
      </c>
      <c r="T31" s="40" t="e">
        <f ca="1">OFFSET(joint_new,0,1)</f>
        <v>#DIV/0!</v>
      </c>
      <c r="U31" s="95" t="e">
        <f t="shared" ca="1" si="4"/>
        <v>#DIV/0!</v>
      </c>
      <c r="W31" s="40">
        <f>[2]EatOut!E436</f>
        <v>-5.6817039430815885</v>
      </c>
      <c r="X31" s="40" t="e">
        <f ca="1">OFFSET(joint_new,0,1)</f>
        <v>#DIV/0!</v>
      </c>
      <c r="Y31" s="95" t="e">
        <f t="shared" ca="1" si="5"/>
        <v>#DIV/0!</v>
      </c>
      <c r="AA31" s="40">
        <f>[2]OthMaint!E436</f>
        <v>-5.6817039430815885</v>
      </c>
      <c r="AB31" s="40" t="e">
        <f ca="1">OFFSET(joint_new,0,1)</f>
        <v>#DIV/0!</v>
      </c>
      <c r="AC31" s="95" t="e">
        <f t="shared" ca="1" si="6"/>
        <v>#DIV/0!</v>
      </c>
      <c r="AE31" s="40">
        <f>[2]Social!E436</f>
        <v>-5.6817039430815885</v>
      </c>
      <c r="AF31" s="40" t="e">
        <f ca="1">OFFSET(joint_new,0,1)</f>
        <v>#DIV/0!</v>
      </c>
      <c r="AG31" s="95" t="e">
        <f t="shared" ca="1" si="7"/>
        <v>#DIV/0!</v>
      </c>
      <c r="AI31" s="40">
        <f>[2]OthDiscr!E436</f>
        <v>-5.6817039430815885</v>
      </c>
      <c r="AJ31" s="40" t="e">
        <f ca="1">OFFSET(joint_new,0,1)</f>
        <v>#DIV/0!</v>
      </c>
      <c r="AK31" s="95" t="e">
        <f t="shared" ca="1" si="8"/>
        <v>#DIV/0!</v>
      </c>
      <c r="AM31" s="40">
        <f>[2]WorkBased!E439</f>
        <v>-5.6817039430815885</v>
      </c>
      <c r="AN31" s="40" t="e">
        <f ca="1">OFFSET(joint_new,0,1)</f>
        <v>#DIV/0!</v>
      </c>
      <c r="AO31" s="95" t="e">
        <f t="shared" ca="1" si="9"/>
        <v>#DIV/0!</v>
      </c>
    </row>
    <row r="32" spans="1:41" x14ac:dyDescent="0.2">
      <c r="A32" s="1" t="s">
        <v>83</v>
      </c>
      <c r="B32" s="1" t="s">
        <v>86</v>
      </c>
      <c r="C32" s="40">
        <f>[2]Work!E437</f>
        <v>-7.787472888668602</v>
      </c>
      <c r="D32" s="40" t="e">
        <f ca="1">OFFSET(joint_new,0,2)</f>
        <v>#DIV/0!</v>
      </c>
      <c r="E32" s="95" t="e">
        <f t="shared" ca="1" si="0"/>
        <v>#DIV/0!</v>
      </c>
      <c r="F32" s="76"/>
      <c r="G32" s="40">
        <f>[2]University!E437</f>
        <v>-7.787472888668602</v>
      </c>
      <c r="H32" s="40" t="e">
        <f ca="1">OFFSET(joint_new,0,2)</f>
        <v>#DIV/0!</v>
      </c>
      <c r="I32" s="95" t="e">
        <f t="shared" ca="1" si="1"/>
        <v>#DIV/0!</v>
      </c>
      <c r="K32" s="40">
        <f>[2]School!E437</f>
        <v>-7.787472888668602</v>
      </c>
      <c r="L32" s="40" t="e">
        <f ca="1">OFFSET(joint_new,0,2)</f>
        <v>#DIV/0!</v>
      </c>
      <c r="M32" s="95" t="e">
        <f t="shared" ca="1" si="2"/>
        <v>#DIV/0!</v>
      </c>
      <c r="O32" s="40">
        <f>[2]Escort!E437</f>
        <v>-7.787472888668602</v>
      </c>
      <c r="P32" s="40" t="e">
        <f ca="1">OFFSET(joint_new,0,2)</f>
        <v>#DIV/0!</v>
      </c>
      <c r="Q32" s="95" t="e">
        <f t="shared" ca="1" si="3"/>
        <v>#DIV/0!</v>
      </c>
      <c r="S32" s="40">
        <f>[2]Shopping!E437</f>
        <v>-7.787472888668602</v>
      </c>
      <c r="T32" s="40" t="e">
        <f ca="1">OFFSET(joint_new,0,2)</f>
        <v>#DIV/0!</v>
      </c>
      <c r="U32" s="95" t="e">
        <f t="shared" ca="1" si="4"/>
        <v>#DIV/0!</v>
      </c>
      <c r="W32" s="40">
        <f>[2]EatOut!E437</f>
        <v>-7.787472888668602</v>
      </c>
      <c r="X32" s="40" t="e">
        <f ca="1">OFFSET(joint_new,0,2)</f>
        <v>#DIV/0!</v>
      </c>
      <c r="Y32" s="95" t="e">
        <f t="shared" ca="1" si="5"/>
        <v>#DIV/0!</v>
      </c>
      <c r="AA32" s="40">
        <f>[2]OthMaint!E437</f>
        <v>-7.787472888668602</v>
      </c>
      <c r="AB32" s="40" t="e">
        <f ca="1">OFFSET(joint_new,0,2)</f>
        <v>#DIV/0!</v>
      </c>
      <c r="AC32" s="95" t="e">
        <f t="shared" ca="1" si="6"/>
        <v>#DIV/0!</v>
      </c>
      <c r="AE32" s="40">
        <f>[2]Social!E437</f>
        <v>-7.787472888668602</v>
      </c>
      <c r="AF32" s="40" t="e">
        <f ca="1">OFFSET(joint_new,0,2)</f>
        <v>#DIV/0!</v>
      </c>
      <c r="AG32" s="95" t="e">
        <f t="shared" ca="1" si="7"/>
        <v>#DIV/0!</v>
      </c>
      <c r="AI32" s="40">
        <f>[2]OthDiscr!E437</f>
        <v>-7.787472888668602</v>
      </c>
      <c r="AJ32" s="40" t="e">
        <f ca="1">OFFSET(joint_new,0,2)</f>
        <v>#DIV/0!</v>
      </c>
      <c r="AK32" s="95" t="e">
        <f t="shared" ca="1" si="8"/>
        <v>#DIV/0!</v>
      </c>
      <c r="AM32" s="40">
        <f>[2]WorkBased!E440</f>
        <v>-7.787472888668602</v>
      </c>
      <c r="AN32" s="40" t="e">
        <f ca="1">OFFSET(joint_new,0,2)</f>
        <v>#DIV/0!</v>
      </c>
      <c r="AO32" s="95" t="e">
        <f t="shared" ca="1" si="9"/>
        <v>#DIV/0!</v>
      </c>
    </row>
    <row r="33" spans="1:41" x14ac:dyDescent="0.2">
      <c r="A33" s="1" t="s">
        <v>87</v>
      </c>
      <c r="B33" s="1" t="s">
        <v>84</v>
      </c>
      <c r="C33" s="40">
        <f>[2]Work!E438</f>
        <v>-4.4556271225409212</v>
      </c>
      <c r="D33" s="40" t="e">
        <f ca="1">OFFSET(joint_new,1,0)</f>
        <v>#DIV/0!</v>
      </c>
      <c r="E33" s="95" t="e">
        <f t="shared" ca="1" si="0"/>
        <v>#DIV/0!</v>
      </c>
      <c r="F33" s="76"/>
      <c r="G33" s="40">
        <f>[2]University!E438</f>
        <v>-4.4556271225409212</v>
      </c>
      <c r="H33" s="40" t="e">
        <f ca="1">OFFSET(joint_new,1,0)</f>
        <v>#DIV/0!</v>
      </c>
      <c r="I33" s="95" t="e">
        <f t="shared" ca="1" si="1"/>
        <v>#DIV/0!</v>
      </c>
      <c r="K33" s="40">
        <f>[2]School!E438</f>
        <v>-4.4556271225409212</v>
      </c>
      <c r="L33" s="40" t="e">
        <f ca="1">OFFSET(joint_new,1,0)</f>
        <v>#DIV/0!</v>
      </c>
      <c r="M33" s="95" t="e">
        <f t="shared" ca="1" si="2"/>
        <v>#DIV/0!</v>
      </c>
      <c r="O33" s="40">
        <f>[2]Escort!E438</f>
        <v>-4.4556271225409212</v>
      </c>
      <c r="P33" s="40" t="e">
        <f ca="1">OFFSET(joint_new,1,0)</f>
        <v>#DIV/0!</v>
      </c>
      <c r="Q33" s="95" t="e">
        <f t="shared" ca="1" si="3"/>
        <v>#DIV/0!</v>
      </c>
      <c r="S33" s="40">
        <f>[2]Shopping!E438</f>
        <v>-4.4556271225409212</v>
      </c>
      <c r="T33" s="40" t="e">
        <f ca="1">OFFSET(joint_new,1,0)</f>
        <v>#DIV/0!</v>
      </c>
      <c r="U33" s="95" t="e">
        <f t="shared" ca="1" si="4"/>
        <v>#DIV/0!</v>
      </c>
      <c r="W33" s="40">
        <f>[2]EatOut!E438</f>
        <v>-4.4556271225409212</v>
      </c>
      <c r="X33" s="40" t="e">
        <f ca="1">OFFSET(joint_new,1,0)</f>
        <v>#DIV/0!</v>
      </c>
      <c r="Y33" s="95" t="e">
        <f t="shared" ca="1" si="5"/>
        <v>#DIV/0!</v>
      </c>
      <c r="AA33" s="40">
        <f>[2]OthMaint!E438</f>
        <v>-4.4556271225409212</v>
      </c>
      <c r="AB33" s="40" t="e">
        <f ca="1">OFFSET(joint_new,1,0)</f>
        <v>#DIV/0!</v>
      </c>
      <c r="AC33" s="95" t="e">
        <f t="shared" ca="1" si="6"/>
        <v>#DIV/0!</v>
      </c>
      <c r="AE33" s="40">
        <f>[2]Social!E438</f>
        <v>-4.4556271225409212</v>
      </c>
      <c r="AF33" s="40" t="e">
        <f ca="1">OFFSET(joint_new,1,0)</f>
        <v>#DIV/0!</v>
      </c>
      <c r="AG33" s="95" t="e">
        <f t="shared" ca="1" si="7"/>
        <v>#DIV/0!</v>
      </c>
      <c r="AI33" s="40">
        <f>[2]OthDiscr!E438</f>
        <v>-4.4556271225409212</v>
      </c>
      <c r="AJ33" s="40" t="e">
        <f ca="1">OFFSET(joint_new,1,0)</f>
        <v>#DIV/0!</v>
      </c>
      <c r="AK33" s="95" t="e">
        <f t="shared" ca="1" si="8"/>
        <v>#DIV/0!</v>
      </c>
      <c r="AM33" s="40">
        <f>[2]WorkBased!E441</f>
        <v>-4.4556271225409212</v>
      </c>
      <c r="AN33" s="40" t="e">
        <f ca="1">OFFSET(joint_new,1,0)</f>
        <v>#DIV/0!</v>
      </c>
      <c r="AO33" s="95" t="e">
        <f t="shared" ca="1" si="9"/>
        <v>#DIV/0!</v>
      </c>
    </row>
    <row r="34" spans="1:41" x14ac:dyDescent="0.2">
      <c r="A34" s="1" t="s">
        <v>87</v>
      </c>
      <c r="B34" s="1" t="s">
        <v>85</v>
      </c>
      <c r="C34" s="40">
        <f>[2]Work!E439</f>
        <v>-8.0967498335842354</v>
      </c>
      <c r="D34" s="40" t="e">
        <f ca="1">OFFSET(joint_new,1,1)</f>
        <v>#DIV/0!</v>
      </c>
      <c r="E34" s="95" t="e">
        <f t="shared" ca="1" si="0"/>
        <v>#DIV/0!</v>
      </c>
      <c r="F34" s="76"/>
      <c r="G34" s="40">
        <f>[2]University!E439</f>
        <v>-8.0967498335842354</v>
      </c>
      <c r="H34" s="40" t="e">
        <f ca="1">OFFSET(joint_new,1,1)</f>
        <v>#DIV/0!</v>
      </c>
      <c r="I34" s="95" t="e">
        <f t="shared" ca="1" si="1"/>
        <v>#DIV/0!</v>
      </c>
      <c r="K34" s="40">
        <f>[2]School!E439</f>
        <v>-8.0967498335842354</v>
      </c>
      <c r="L34" s="40" t="e">
        <f ca="1">OFFSET(joint_new,1,1)</f>
        <v>#DIV/0!</v>
      </c>
      <c r="M34" s="95" t="e">
        <f t="shared" ca="1" si="2"/>
        <v>#DIV/0!</v>
      </c>
      <c r="O34" s="40">
        <f>[2]Escort!E439</f>
        <v>-8.0967498335842354</v>
      </c>
      <c r="P34" s="40" t="e">
        <f ca="1">OFFSET(joint_new,1,1)</f>
        <v>#DIV/0!</v>
      </c>
      <c r="Q34" s="95" t="e">
        <f t="shared" ca="1" si="3"/>
        <v>#DIV/0!</v>
      </c>
      <c r="S34" s="40">
        <f>[2]Shopping!E439</f>
        <v>-8.0967498335842354</v>
      </c>
      <c r="T34" s="40" t="e">
        <f ca="1">OFFSET(joint_new,1,1)</f>
        <v>#DIV/0!</v>
      </c>
      <c r="U34" s="95" t="e">
        <f t="shared" ca="1" si="4"/>
        <v>#DIV/0!</v>
      </c>
      <c r="W34" s="40">
        <f>[2]EatOut!E439</f>
        <v>-8.0967498335842354</v>
      </c>
      <c r="X34" s="40" t="e">
        <f ca="1">OFFSET(joint_new,1,1)</f>
        <v>#DIV/0!</v>
      </c>
      <c r="Y34" s="95" t="e">
        <f t="shared" ca="1" si="5"/>
        <v>#DIV/0!</v>
      </c>
      <c r="AA34" s="40">
        <f>[2]OthMaint!E439</f>
        <v>-8.0967498335842354</v>
      </c>
      <c r="AB34" s="40" t="e">
        <f ca="1">OFFSET(joint_new,1,1)</f>
        <v>#DIV/0!</v>
      </c>
      <c r="AC34" s="95" t="e">
        <f t="shared" ca="1" si="6"/>
        <v>#DIV/0!</v>
      </c>
      <c r="AE34" s="40">
        <f>[2]Social!E439</f>
        <v>-8.0967498335842354</v>
      </c>
      <c r="AF34" s="40" t="e">
        <f ca="1">OFFSET(joint_new,1,1)</f>
        <v>#DIV/0!</v>
      </c>
      <c r="AG34" s="95" t="e">
        <f t="shared" ca="1" si="7"/>
        <v>#DIV/0!</v>
      </c>
      <c r="AI34" s="40">
        <f>[2]OthDiscr!E439</f>
        <v>-8.0967498335842354</v>
      </c>
      <c r="AJ34" s="40" t="e">
        <f ca="1">OFFSET(joint_new,1,1)</f>
        <v>#DIV/0!</v>
      </c>
      <c r="AK34" s="95" t="e">
        <f t="shared" ca="1" si="8"/>
        <v>#DIV/0!</v>
      </c>
      <c r="AM34" s="40">
        <f>[2]WorkBased!E442</f>
        <v>-8.0967498335842354</v>
      </c>
      <c r="AN34" s="40" t="e">
        <f ca="1">OFFSET(joint_new,1,1)</f>
        <v>#DIV/0!</v>
      </c>
      <c r="AO34" s="95" t="e">
        <f t="shared" ca="1" si="9"/>
        <v>#DIV/0!</v>
      </c>
    </row>
    <row r="35" spans="1:41" x14ac:dyDescent="0.2">
      <c r="A35" s="1" t="s">
        <v>87</v>
      </c>
      <c r="B35" s="1" t="s">
        <v>86</v>
      </c>
      <c r="C35" s="40">
        <f>[2]Work!E440</f>
        <v>-7.4818583426191125</v>
      </c>
      <c r="D35" s="40" t="e">
        <f ca="1">OFFSET(joint_new,1,2)</f>
        <v>#DIV/0!</v>
      </c>
      <c r="E35" s="95" t="e">
        <f t="shared" ref="E35:E64" ca="1" si="10">D35/-work_c_ivt</f>
        <v>#DIV/0!</v>
      </c>
      <c r="F35" s="76"/>
      <c r="G35" s="40">
        <f>[2]University!E440</f>
        <v>-7.4818583426191125</v>
      </c>
      <c r="H35" s="40" t="e">
        <f ca="1">OFFSET(joint_new,1,2)</f>
        <v>#DIV/0!</v>
      </c>
      <c r="I35" s="95" t="e">
        <f t="shared" ref="I35:I64" ca="1" si="11">H35/-university_c_ivt</f>
        <v>#DIV/0!</v>
      </c>
      <c r="K35" s="40">
        <f>[2]School!E440</f>
        <v>-7.4818583426191125</v>
      </c>
      <c r="L35" s="40" t="e">
        <f ca="1">OFFSET(joint_new,1,2)</f>
        <v>#DIV/0!</v>
      </c>
      <c r="M35" s="95" t="e">
        <f t="shared" ref="M35:M64" ca="1" si="12">L35/-school_c_ivt</f>
        <v>#DIV/0!</v>
      </c>
      <c r="O35" s="40">
        <f>[2]Escort!E440</f>
        <v>-7.4818583426191125</v>
      </c>
      <c r="P35" s="40" t="e">
        <f ca="1">OFFSET(joint_new,1,2)</f>
        <v>#DIV/0!</v>
      </c>
      <c r="Q35" s="95" t="e">
        <f t="shared" ref="Q35:Q64" ca="1" si="13">P35/-escort_c_ivt</f>
        <v>#DIV/0!</v>
      </c>
      <c r="S35" s="40">
        <f>[2]Shopping!E440</f>
        <v>-7.4818583426191125</v>
      </c>
      <c r="T35" s="40" t="e">
        <f ca="1">OFFSET(joint_new,1,2)</f>
        <v>#DIV/0!</v>
      </c>
      <c r="U35" s="95" t="e">
        <f t="shared" ref="U35:U64" ca="1" si="14">T35/-shopping_c_ivt</f>
        <v>#DIV/0!</v>
      </c>
      <c r="W35" s="40">
        <f>[2]EatOut!E440</f>
        <v>-7.4818583426191125</v>
      </c>
      <c r="X35" s="40" t="e">
        <f ca="1">OFFSET(joint_new,1,2)</f>
        <v>#DIV/0!</v>
      </c>
      <c r="Y35" s="95" t="e">
        <f t="shared" ref="Y35:Y64" ca="1" si="15">X35/-eatout_c_ivt</f>
        <v>#DIV/0!</v>
      </c>
      <c r="AA35" s="40">
        <f>[2]OthMaint!E440</f>
        <v>-7.4818583426191125</v>
      </c>
      <c r="AB35" s="40" t="e">
        <f ca="1">OFFSET(joint_new,1,2)</f>
        <v>#DIV/0!</v>
      </c>
      <c r="AC35" s="95" t="e">
        <f t="shared" ref="AC35:AC64" ca="1" si="16">AB35/-othmaint_c_ivt</f>
        <v>#DIV/0!</v>
      </c>
      <c r="AE35" s="40">
        <f>[2]Social!E440</f>
        <v>-7.4818583426191125</v>
      </c>
      <c r="AF35" s="40" t="e">
        <f ca="1">OFFSET(joint_new,1,2)</f>
        <v>#DIV/0!</v>
      </c>
      <c r="AG35" s="95" t="e">
        <f t="shared" ref="AG35:AG64" ca="1" si="17">AF35/-social_c_ivt</f>
        <v>#DIV/0!</v>
      </c>
      <c r="AI35" s="40">
        <f>[2]OthDiscr!E440</f>
        <v>-7.4818583426191125</v>
      </c>
      <c r="AJ35" s="40" t="e">
        <f ca="1">OFFSET(joint_new,1,2)</f>
        <v>#DIV/0!</v>
      </c>
      <c r="AK35" s="95" t="e">
        <f t="shared" ref="AK35:AK64" ca="1" si="18">AJ35/-othdiscr_c_ivt</f>
        <v>#DIV/0!</v>
      </c>
      <c r="AM35" s="40">
        <f>[2]WorkBased!E443</f>
        <v>-7.4818583426191125</v>
      </c>
      <c r="AN35" s="40" t="e">
        <f ca="1">OFFSET(joint_new,1,2)</f>
        <v>#DIV/0!</v>
      </c>
      <c r="AO35" s="95" t="e">
        <f t="shared" ca="1" si="9"/>
        <v>#DIV/0!</v>
      </c>
    </row>
    <row r="36" spans="1:41" x14ac:dyDescent="0.2">
      <c r="A36" s="1" t="s">
        <v>88</v>
      </c>
      <c r="B36" s="1" t="s">
        <v>84</v>
      </c>
      <c r="C36" s="40">
        <f>[2]Work!E441</f>
        <v>1.1919004955884664</v>
      </c>
      <c r="D36" s="40" t="e">
        <f ca="1">OFFSET(joint_new,3,0)</f>
        <v>#DIV/0!</v>
      </c>
      <c r="E36" s="95" t="e">
        <f t="shared" ca="1" si="10"/>
        <v>#DIV/0!</v>
      </c>
      <c r="F36" s="76"/>
      <c r="G36" s="40">
        <f>[2]University!E441</f>
        <v>1.1919004955884664</v>
      </c>
      <c r="H36" s="40" t="e">
        <f ca="1">OFFSET(joint_new,3,0)</f>
        <v>#DIV/0!</v>
      </c>
      <c r="I36" s="95" t="e">
        <f t="shared" ca="1" si="11"/>
        <v>#DIV/0!</v>
      </c>
      <c r="K36" s="40">
        <f>[2]School!E441</f>
        <v>1.1919004955884664</v>
      </c>
      <c r="L36" s="40" t="e">
        <f ca="1">OFFSET(joint_new,3,0)</f>
        <v>#DIV/0!</v>
      </c>
      <c r="M36" s="95" t="e">
        <f t="shared" ca="1" si="12"/>
        <v>#DIV/0!</v>
      </c>
      <c r="O36" s="40">
        <f>[2]Escort!E441</f>
        <v>1.1919004955884664</v>
      </c>
      <c r="P36" s="40" t="e">
        <f ca="1">OFFSET(joint_new,3,0)</f>
        <v>#DIV/0!</v>
      </c>
      <c r="Q36" s="95" t="e">
        <f t="shared" ca="1" si="13"/>
        <v>#DIV/0!</v>
      </c>
      <c r="S36" s="40">
        <f>[2]Shopping!E441</f>
        <v>1.1919004955884664</v>
      </c>
      <c r="T36" s="40" t="e">
        <f ca="1">OFFSET(joint_new,3,0)</f>
        <v>#DIV/0!</v>
      </c>
      <c r="U36" s="95" t="e">
        <f t="shared" ca="1" si="14"/>
        <v>#DIV/0!</v>
      </c>
      <c r="W36" s="40">
        <f>[2]EatOut!E441</f>
        <v>1.1919004955884664</v>
      </c>
      <c r="X36" s="40" t="e">
        <f ca="1">OFFSET(joint_new,3,0)</f>
        <v>#DIV/0!</v>
      </c>
      <c r="Y36" s="95" t="e">
        <f t="shared" ca="1" si="15"/>
        <v>#DIV/0!</v>
      </c>
      <c r="AA36" s="40">
        <f>[2]OthMaint!E441</f>
        <v>1.1919004955884664</v>
      </c>
      <c r="AB36" s="40" t="e">
        <f ca="1">OFFSET(joint_new,3,0)</f>
        <v>#DIV/0!</v>
      </c>
      <c r="AC36" s="95" t="e">
        <f t="shared" ca="1" si="16"/>
        <v>#DIV/0!</v>
      </c>
      <c r="AE36" s="40">
        <f>[2]Social!E441</f>
        <v>1.1919004955884664</v>
      </c>
      <c r="AF36" s="40" t="e">
        <f ca="1">OFFSET(joint_new,3,0)</f>
        <v>#DIV/0!</v>
      </c>
      <c r="AG36" s="95" t="e">
        <f t="shared" ca="1" si="17"/>
        <v>#DIV/0!</v>
      </c>
      <c r="AI36" s="40">
        <f>[2]OthDiscr!E441</f>
        <v>1.1919004955884664</v>
      </c>
      <c r="AJ36" s="40" t="e">
        <f ca="1">OFFSET(joint_new,3,0)</f>
        <v>#DIV/0!</v>
      </c>
      <c r="AK36" s="95" t="e">
        <f t="shared" ca="1" si="18"/>
        <v>#DIV/0!</v>
      </c>
      <c r="AM36" s="40">
        <f>[2]WorkBased!E444</f>
        <v>1.1919004955884664</v>
      </c>
      <c r="AN36" s="40" t="e">
        <f ca="1">OFFSET(joint_new,3,0)</f>
        <v>#DIV/0!</v>
      </c>
      <c r="AO36" s="95" t="e">
        <f t="shared" ca="1" si="9"/>
        <v>#DIV/0!</v>
      </c>
    </row>
    <row r="37" spans="1:41" x14ac:dyDescent="0.2">
      <c r="A37" s="1" t="s">
        <v>88</v>
      </c>
      <c r="B37" s="1" t="s">
        <v>85</v>
      </c>
      <c r="C37" s="40">
        <f>[2]Work!E442</f>
        <v>1.7189539687424977</v>
      </c>
      <c r="D37" s="40" t="e">
        <f ca="1">OFFSET(joint_new,3,1)</f>
        <v>#DIV/0!</v>
      </c>
      <c r="E37" s="95" t="e">
        <f t="shared" ca="1" si="10"/>
        <v>#DIV/0!</v>
      </c>
      <c r="F37" s="76"/>
      <c r="G37" s="40">
        <f>[2]University!E442</f>
        <v>1.7189539687424977</v>
      </c>
      <c r="H37" s="40" t="e">
        <f ca="1">OFFSET(joint_new,3,1)</f>
        <v>#DIV/0!</v>
      </c>
      <c r="I37" s="95" t="e">
        <f t="shared" ca="1" si="11"/>
        <v>#DIV/0!</v>
      </c>
      <c r="K37" s="40">
        <f>[2]School!E442</f>
        <v>1.7189539687424977</v>
      </c>
      <c r="L37" s="40" t="e">
        <f ca="1">OFFSET(joint_new,3,1)</f>
        <v>#DIV/0!</v>
      </c>
      <c r="M37" s="95" t="e">
        <f t="shared" ca="1" si="12"/>
        <v>#DIV/0!</v>
      </c>
      <c r="O37" s="40">
        <f>[2]Escort!E442</f>
        <v>1.7189539687424977</v>
      </c>
      <c r="P37" s="40" t="e">
        <f ca="1">OFFSET(joint_new,3,1)</f>
        <v>#DIV/0!</v>
      </c>
      <c r="Q37" s="95" t="e">
        <f t="shared" ca="1" si="13"/>
        <v>#DIV/0!</v>
      </c>
      <c r="S37" s="40">
        <f>[2]Shopping!E442</f>
        <v>1.7189539687424977</v>
      </c>
      <c r="T37" s="40" t="e">
        <f ca="1">OFFSET(joint_new,3,1)</f>
        <v>#DIV/0!</v>
      </c>
      <c r="U37" s="95" t="e">
        <f t="shared" ca="1" si="14"/>
        <v>#DIV/0!</v>
      </c>
      <c r="W37" s="40">
        <f>[2]EatOut!E442</f>
        <v>1.7189539687424977</v>
      </c>
      <c r="X37" s="40" t="e">
        <f ca="1">OFFSET(joint_new,3,1)</f>
        <v>#DIV/0!</v>
      </c>
      <c r="Y37" s="95" t="e">
        <f t="shared" ca="1" si="15"/>
        <v>#DIV/0!</v>
      </c>
      <c r="AA37" s="40">
        <f>[2]OthMaint!E442</f>
        <v>1.7189539687424977</v>
      </c>
      <c r="AB37" s="40" t="e">
        <f ca="1">OFFSET(joint_new,3,1)</f>
        <v>#DIV/0!</v>
      </c>
      <c r="AC37" s="95" t="e">
        <f t="shared" ca="1" si="16"/>
        <v>#DIV/0!</v>
      </c>
      <c r="AE37" s="40">
        <f>[2]Social!E442</f>
        <v>1.7189539687424977</v>
      </c>
      <c r="AF37" s="40" t="e">
        <f ca="1">OFFSET(joint_new,3,1)</f>
        <v>#DIV/0!</v>
      </c>
      <c r="AG37" s="95" t="e">
        <f t="shared" ca="1" si="17"/>
        <v>#DIV/0!</v>
      </c>
      <c r="AI37" s="40">
        <f>[2]OthDiscr!E442</f>
        <v>1.7189539687424977</v>
      </c>
      <c r="AJ37" s="40" t="e">
        <f ca="1">OFFSET(joint_new,3,1)</f>
        <v>#DIV/0!</v>
      </c>
      <c r="AK37" s="95" t="e">
        <f t="shared" ca="1" si="18"/>
        <v>#DIV/0!</v>
      </c>
      <c r="AM37" s="40">
        <f>[2]WorkBased!E445</f>
        <v>1.7189539687424977</v>
      </c>
      <c r="AN37" s="40" t="e">
        <f ca="1">OFFSET(joint_new,3,1)</f>
        <v>#DIV/0!</v>
      </c>
      <c r="AO37" s="95" t="e">
        <f t="shared" ca="1" si="9"/>
        <v>#DIV/0!</v>
      </c>
    </row>
    <row r="38" spans="1:41" x14ac:dyDescent="0.2">
      <c r="A38" s="1" t="s">
        <v>88</v>
      </c>
      <c r="B38" s="1" t="s">
        <v>86</v>
      </c>
      <c r="C38" s="40">
        <f>[2]Work!E443</f>
        <v>0.35551676923551639</v>
      </c>
      <c r="D38" s="40" t="e">
        <f ca="1">OFFSET(joint_new,3,2)</f>
        <v>#DIV/0!</v>
      </c>
      <c r="E38" s="95" t="e">
        <f t="shared" ca="1" si="10"/>
        <v>#DIV/0!</v>
      </c>
      <c r="F38" s="76"/>
      <c r="G38" s="40">
        <f>[2]University!E443</f>
        <v>0.35551676923551639</v>
      </c>
      <c r="H38" s="40" t="e">
        <f ca="1">OFFSET(joint_new,3,2)</f>
        <v>#DIV/0!</v>
      </c>
      <c r="I38" s="95" t="e">
        <f t="shared" ca="1" si="11"/>
        <v>#DIV/0!</v>
      </c>
      <c r="K38" s="40">
        <f>[2]School!E443</f>
        <v>0.35551676923551639</v>
      </c>
      <c r="L38" s="40" t="e">
        <f ca="1">OFFSET(joint_new,3,2)</f>
        <v>#DIV/0!</v>
      </c>
      <c r="M38" s="95" t="e">
        <f t="shared" ca="1" si="12"/>
        <v>#DIV/0!</v>
      </c>
      <c r="O38" s="40">
        <f>[2]Escort!E443</f>
        <v>0.35551676923551639</v>
      </c>
      <c r="P38" s="40" t="e">
        <f ca="1">OFFSET(joint_new,3,2)</f>
        <v>#DIV/0!</v>
      </c>
      <c r="Q38" s="95" t="e">
        <f t="shared" ca="1" si="13"/>
        <v>#DIV/0!</v>
      </c>
      <c r="S38" s="40">
        <f>[2]Shopping!E443</f>
        <v>0.35551676923551639</v>
      </c>
      <c r="T38" s="40" t="e">
        <f ca="1">OFFSET(joint_new,3,2)</f>
        <v>#DIV/0!</v>
      </c>
      <c r="U38" s="95" t="e">
        <f t="shared" ca="1" si="14"/>
        <v>#DIV/0!</v>
      </c>
      <c r="W38" s="40">
        <f>[2]EatOut!E443</f>
        <v>0.35551676923551639</v>
      </c>
      <c r="X38" s="40" t="e">
        <f ca="1">OFFSET(joint_new,3,2)</f>
        <v>#DIV/0!</v>
      </c>
      <c r="Y38" s="95" t="e">
        <f t="shared" ca="1" si="15"/>
        <v>#DIV/0!</v>
      </c>
      <c r="AA38" s="40">
        <f>[2]OthMaint!E443</f>
        <v>0.35551676923551639</v>
      </c>
      <c r="AB38" s="40" t="e">
        <f ca="1">OFFSET(joint_new,3,2)</f>
        <v>#DIV/0!</v>
      </c>
      <c r="AC38" s="95" t="e">
        <f t="shared" ca="1" si="16"/>
        <v>#DIV/0!</v>
      </c>
      <c r="AE38" s="40">
        <f>[2]Social!E443</f>
        <v>0.35551676923551639</v>
      </c>
      <c r="AF38" s="40" t="e">
        <f ca="1">OFFSET(joint_new,3,2)</f>
        <v>#DIV/0!</v>
      </c>
      <c r="AG38" s="95" t="e">
        <f t="shared" ca="1" si="17"/>
        <v>#DIV/0!</v>
      </c>
      <c r="AI38" s="40">
        <f>[2]OthDiscr!E443</f>
        <v>0.35551676923551639</v>
      </c>
      <c r="AJ38" s="40" t="e">
        <f ca="1">OFFSET(joint_new,3,2)</f>
        <v>#DIV/0!</v>
      </c>
      <c r="AK38" s="95" t="e">
        <f t="shared" ca="1" si="18"/>
        <v>#DIV/0!</v>
      </c>
      <c r="AM38" s="40">
        <f>[2]WorkBased!E446</f>
        <v>0.35551676923551639</v>
      </c>
      <c r="AN38" s="40" t="e">
        <f ca="1">OFFSET(joint_new,3,2)</f>
        <v>#DIV/0!</v>
      </c>
      <c r="AO38" s="95" t="e">
        <f t="shared" ca="1" si="9"/>
        <v>#DIV/0!</v>
      </c>
    </row>
    <row r="39" spans="1:41" x14ac:dyDescent="0.2">
      <c r="A39" s="1" t="s">
        <v>89</v>
      </c>
      <c r="B39" s="1" t="s">
        <v>84</v>
      </c>
      <c r="C39" s="40">
        <f>[2]Work!E444</f>
        <v>1.3219805715627733</v>
      </c>
      <c r="D39" s="40" t="e">
        <f ca="1">OFFSET(joint_new,4,0)</f>
        <v>#DIV/0!</v>
      </c>
      <c r="E39" s="95" t="e">
        <f t="shared" ca="1" si="10"/>
        <v>#DIV/0!</v>
      </c>
      <c r="F39" s="76"/>
      <c r="G39" s="40">
        <f>[2]University!E444</f>
        <v>1.3219805715627733</v>
      </c>
      <c r="H39" s="40" t="e">
        <f ca="1">OFFSET(joint_new,4,0)</f>
        <v>#DIV/0!</v>
      </c>
      <c r="I39" s="95" t="e">
        <f t="shared" ca="1" si="11"/>
        <v>#DIV/0!</v>
      </c>
      <c r="K39" s="40">
        <f>[2]School!E444</f>
        <v>1.3219805715627733</v>
      </c>
      <c r="L39" s="40" t="e">
        <f ca="1">OFFSET(joint_new,4,0)</f>
        <v>#DIV/0!</v>
      </c>
      <c r="M39" s="95" t="e">
        <f t="shared" ca="1" si="12"/>
        <v>#DIV/0!</v>
      </c>
      <c r="O39" s="40">
        <f>[2]Escort!E444</f>
        <v>1.3219805715627733</v>
      </c>
      <c r="P39" s="40" t="e">
        <f ca="1">OFFSET(joint_new,4,0)</f>
        <v>#DIV/0!</v>
      </c>
      <c r="Q39" s="95" t="e">
        <f t="shared" ca="1" si="13"/>
        <v>#DIV/0!</v>
      </c>
      <c r="S39" s="40">
        <f>[2]Shopping!E444</f>
        <v>1.3219805715627733</v>
      </c>
      <c r="T39" s="40" t="e">
        <f ca="1">OFFSET(joint_new,4,0)</f>
        <v>#DIV/0!</v>
      </c>
      <c r="U39" s="95" t="e">
        <f t="shared" ca="1" si="14"/>
        <v>#DIV/0!</v>
      </c>
      <c r="W39" s="40">
        <f>[2]EatOut!E444</f>
        <v>1.3219805715627733</v>
      </c>
      <c r="X39" s="40" t="e">
        <f ca="1">OFFSET(joint_new,4,0)</f>
        <v>#DIV/0!</v>
      </c>
      <c r="Y39" s="95" t="e">
        <f t="shared" ca="1" si="15"/>
        <v>#DIV/0!</v>
      </c>
      <c r="AA39" s="40">
        <f>[2]OthMaint!E444</f>
        <v>1.3219805715627733</v>
      </c>
      <c r="AB39" s="40" t="e">
        <f ca="1">OFFSET(joint_new,4,0)</f>
        <v>#DIV/0!</v>
      </c>
      <c r="AC39" s="95" t="e">
        <f t="shared" ca="1" si="16"/>
        <v>#DIV/0!</v>
      </c>
      <c r="AE39" s="40">
        <f>[2]Social!E444</f>
        <v>1.3219805715627733</v>
      </c>
      <c r="AF39" s="40" t="e">
        <f ca="1">OFFSET(joint_new,4,0)</f>
        <v>#DIV/0!</v>
      </c>
      <c r="AG39" s="95" t="e">
        <f t="shared" ca="1" si="17"/>
        <v>#DIV/0!</v>
      </c>
      <c r="AI39" s="40">
        <f>[2]OthDiscr!E444</f>
        <v>1.3219805715627733</v>
      </c>
      <c r="AJ39" s="40" t="e">
        <f ca="1">OFFSET(joint_new,4,0)</f>
        <v>#DIV/0!</v>
      </c>
      <c r="AK39" s="95" t="e">
        <f t="shared" ca="1" si="18"/>
        <v>#DIV/0!</v>
      </c>
      <c r="AM39" s="40">
        <f>[2]WorkBased!E447</f>
        <v>1.3219805715627733</v>
      </c>
      <c r="AN39" s="40" t="e">
        <f ca="1">OFFSET(joint_new,4,0)</f>
        <v>#DIV/0!</v>
      </c>
      <c r="AO39" s="95" t="e">
        <f t="shared" ca="1" si="9"/>
        <v>#DIV/0!</v>
      </c>
    </row>
    <row r="40" spans="1:41" x14ac:dyDescent="0.2">
      <c r="A40" s="1" t="s">
        <v>89</v>
      </c>
      <c r="B40" s="1" t="s">
        <v>85</v>
      </c>
      <c r="C40" s="40">
        <f>[2]Work!E445</f>
        <v>-2.3872107207716851</v>
      </c>
      <c r="D40" s="40" t="e">
        <f ca="1">OFFSET(joint_new,4,1)</f>
        <v>#DIV/0!</v>
      </c>
      <c r="E40" s="95" t="e">
        <f t="shared" ca="1" si="10"/>
        <v>#DIV/0!</v>
      </c>
      <c r="F40" s="76"/>
      <c r="G40" s="40">
        <f>[2]University!E445</f>
        <v>-2.3872107207716851</v>
      </c>
      <c r="H40" s="40" t="e">
        <f ca="1">OFFSET(joint_new,4,1)</f>
        <v>#DIV/0!</v>
      </c>
      <c r="I40" s="95" t="e">
        <f t="shared" ca="1" si="11"/>
        <v>#DIV/0!</v>
      </c>
      <c r="K40" s="40">
        <f>[2]School!E445</f>
        <v>-2.3872107207716851</v>
      </c>
      <c r="L40" s="40" t="e">
        <f ca="1">OFFSET(joint_new,4,1)</f>
        <v>#DIV/0!</v>
      </c>
      <c r="M40" s="95" t="e">
        <f t="shared" ca="1" si="12"/>
        <v>#DIV/0!</v>
      </c>
      <c r="O40" s="40">
        <f>[2]Escort!E445</f>
        <v>-2.3872107207716851</v>
      </c>
      <c r="P40" s="40" t="e">
        <f ca="1">OFFSET(joint_new,4,1)</f>
        <v>#DIV/0!</v>
      </c>
      <c r="Q40" s="95" t="e">
        <f t="shared" ca="1" si="13"/>
        <v>#DIV/0!</v>
      </c>
      <c r="S40" s="40">
        <f>[2]Shopping!E445</f>
        <v>-2.3872107207716851</v>
      </c>
      <c r="T40" s="40" t="e">
        <f ca="1">OFFSET(joint_new,4,1)</f>
        <v>#DIV/0!</v>
      </c>
      <c r="U40" s="95" t="e">
        <f t="shared" ca="1" si="14"/>
        <v>#DIV/0!</v>
      </c>
      <c r="W40" s="40">
        <f>[2]EatOut!E445</f>
        <v>-2.3872107207716851</v>
      </c>
      <c r="X40" s="40" t="e">
        <f ca="1">OFFSET(joint_new,4,1)</f>
        <v>#DIV/0!</v>
      </c>
      <c r="Y40" s="95" t="e">
        <f t="shared" ca="1" si="15"/>
        <v>#DIV/0!</v>
      </c>
      <c r="AA40" s="40">
        <f>[2]OthMaint!E445</f>
        <v>-2.3872107207716851</v>
      </c>
      <c r="AB40" s="40" t="e">
        <f ca="1">OFFSET(joint_new,4,1)</f>
        <v>#DIV/0!</v>
      </c>
      <c r="AC40" s="95" t="e">
        <f t="shared" ca="1" si="16"/>
        <v>#DIV/0!</v>
      </c>
      <c r="AE40" s="40">
        <f>[2]Social!E445</f>
        <v>-2.3872107207716851</v>
      </c>
      <c r="AF40" s="40" t="e">
        <f ca="1">OFFSET(joint_new,4,1)</f>
        <v>#DIV/0!</v>
      </c>
      <c r="AG40" s="95" t="e">
        <f t="shared" ca="1" si="17"/>
        <v>#DIV/0!</v>
      </c>
      <c r="AI40" s="40">
        <f>[2]OthDiscr!E445</f>
        <v>-2.3872107207716851</v>
      </c>
      <c r="AJ40" s="40" t="e">
        <f ca="1">OFFSET(joint_new,4,1)</f>
        <v>#DIV/0!</v>
      </c>
      <c r="AK40" s="95" t="e">
        <f t="shared" ca="1" si="18"/>
        <v>#DIV/0!</v>
      </c>
      <c r="AM40" s="40">
        <f>[2]WorkBased!E448</f>
        <v>-2.3872107207716851</v>
      </c>
      <c r="AN40" s="40" t="e">
        <f ca="1">OFFSET(joint_new,4,1)</f>
        <v>#DIV/0!</v>
      </c>
      <c r="AO40" s="95" t="e">
        <f t="shared" ca="1" si="9"/>
        <v>#DIV/0!</v>
      </c>
    </row>
    <row r="41" spans="1:41" x14ac:dyDescent="0.2">
      <c r="A41" s="1" t="s">
        <v>89</v>
      </c>
      <c r="B41" s="1" t="s">
        <v>86</v>
      </c>
      <c r="C41" s="40">
        <f>[2]Work!E446</f>
        <v>-2.2960717494713565</v>
      </c>
      <c r="D41" s="40" t="e">
        <f ca="1">OFFSET(joint_new,4,2)</f>
        <v>#DIV/0!</v>
      </c>
      <c r="E41" s="95" t="e">
        <f t="shared" ca="1" si="10"/>
        <v>#DIV/0!</v>
      </c>
      <c r="F41" s="76"/>
      <c r="G41" s="40">
        <f>[2]University!E446</f>
        <v>-2.2960717494713565</v>
      </c>
      <c r="H41" s="40" t="e">
        <f ca="1">OFFSET(joint_new,4,2)</f>
        <v>#DIV/0!</v>
      </c>
      <c r="I41" s="95" t="e">
        <f t="shared" ca="1" si="11"/>
        <v>#DIV/0!</v>
      </c>
      <c r="K41" s="40">
        <f>[2]School!E446</f>
        <v>-2.2960717494713565</v>
      </c>
      <c r="L41" s="40" t="e">
        <f ca="1">OFFSET(joint_new,4,2)</f>
        <v>#DIV/0!</v>
      </c>
      <c r="M41" s="95" t="e">
        <f t="shared" ca="1" si="12"/>
        <v>#DIV/0!</v>
      </c>
      <c r="O41" s="40">
        <f>[2]Escort!E446</f>
        <v>-2.2960717494713565</v>
      </c>
      <c r="P41" s="40" t="e">
        <f ca="1">OFFSET(joint_new,4,2)</f>
        <v>#DIV/0!</v>
      </c>
      <c r="Q41" s="95" t="e">
        <f t="shared" ca="1" si="13"/>
        <v>#DIV/0!</v>
      </c>
      <c r="S41" s="40">
        <f>[2]Shopping!E446</f>
        <v>-2.2960717494713565</v>
      </c>
      <c r="T41" s="40" t="e">
        <f ca="1">OFFSET(joint_new,4,2)</f>
        <v>#DIV/0!</v>
      </c>
      <c r="U41" s="95" t="e">
        <f t="shared" ca="1" si="14"/>
        <v>#DIV/0!</v>
      </c>
      <c r="W41" s="40">
        <f>[2]EatOut!E446</f>
        <v>-2.2960717494713565</v>
      </c>
      <c r="X41" s="40" t="e">
        <f ca="1">OFFSET(joint_new,4,2)</f>
        <v>#DIV/0!</v>
      </c>
      <c r="Y41" s="95" t="e">
        <f t="shared" ca="1" si="15"/>
        <v>#DIV/0!</v>
      </c>
      <c r="AA41" s="40">
        <f>[2]OthMaint!E446</f>
        <v>-2.2960717494713565</v>
      </c>
      <c r="AB41" s="40" t="e">
        <f ca="1">OFFSET(joint_new,4,2)</f>
        <v>#DIV/0!</v>
      </c>
      <c r="AC41" s="95" t="e">
        <f t="shared" ca="1" si="16"/>
        <v>#DIV/0!</v>
      </c>
      <c r="AE41" s="40">
        <f>[2]Social!E446</f>
        <v>-2.2960717494713565</v>
      </c>
      <c r="AF41" s="40" t="e">
        <f ca="1">OFFSET(joint_new,4,2)</f>
        <v>#DIV/0!</v>
      </c>
      <c r="AG41" s="95" t="e">
        <f t="shared" ca="1" si="17"/>
        <v>#DIV/0!</v>
      </c>
      <c r="AI41" s="40">
        <f>[2]OthDiscr!E446</f>
        <v>-2.2960717494713565</v>
      </c>
      <c r="AJ41" s="40" t="e">
        <f ca="1">OFFSET(joint_new,4,2)</f>
        <v>#DIV/0!</v>
      </c>
      <c r="AK41" s="95" t="e">
        <f t="shared" ca="1" si="18"/>
        <v>#DIV/0!</v>
      </c>
      <c r="AM41" s="40">
        <f>[2]WorkBased!E449</f>
        <v>-2.3150366951619445</v>
      </c>
      <c r="AN41" s="40" t="e">
        <f ca="1">OFFSET(joint_new,4,2)</f>
        <v>#DIV/0!</v>
      </c>
      <c r="AO41" s="95" t="e">
        <f t="shared" ca="1" si="9"/>
        <v>#DIV/0!</v>
      </c>
    </row>
    <row r="42" spans="1:41" x14ac:dyDescent="0.2">
      <c r="A42" s="1" t="s">
        <v>90</v>
      </c>
      <c r="B42" s="1" t="s">
        <v>84</v>
      </c>
      <c r="C42" s="40">
        <f>[2]Work!E447</f>
        <v>-1.8519971833468032</v>
      </c>
      <c r="D42" s="40" t="e">
        <f ca="1">OFFSET(joint_new,5,0)</f>
        <v>#DIV/0!</v>
      </c>
      <c r="E42" s="95" t="e">
        <f t="shared" ca="1" si="10"/>
        <v>#DIV/0!</v>
      </c>
      <c r="F42" s="76"/>
      <c r="G42" s="40">
        <f>[2]University!E447</f>
        <v>-1.8519971833468032</v>
      </c>
      <c r="H42" s="40" t="e">
        <f ca="1">OFFSET(joint_new,5,0)</f>
        <v>#DIV/0!</v>
      </c>
      <c r="I42" s="95" t="e">
        <f t="shared" ca="1" si="11"/>
        <v>#DIV/0!</v>
      </c>
      <c r="K42" s="40">
        <f>[2]School!E447</f>
        <v>-1.8519971833468032</v>
      </c>
      <c r="L42" s="40" t="e">
        <f ca="1">OFFSET(joint_new,5,0)</f>
        <v>#DIV/0!</v>
      </c>
      <c r="M42" s="95" t="e">
        <f t="shared" ca="1" si="12"/>
        <v>#DIV/0!</v>
      </c>
      <c r="O42" s="40">
        <f>[2]Escort!E447</f>
        <v>-1.8519971833468032</v>
      </c>
      <c r="P42" s="40" t="e">
        <f ca="1">OFFSET(joint_new,5,0)</f>
        <v>#DIV/0!</v>
      </c>
      <c r="Q42" s="95" t="e">
        <f t="shared" ca="1" si="13"/>
        <v>#DIV/0!</v>
      </c>
      <c r="S42" s="40">
        <f>[2]Shopping!E447</f>
        <v>-1.8519971833468032</v>
      </c>
      <c r="T42" s="40" t="e">
        <f ca="1">OFFSET(joint_new,5,0)</f>
        <v>#DIV/0!</v>
      </c>
      <c r="U42" s="95" t="e">
        <f t="shared" ca="1" si="14"/>
        <v>#DIV/0!</v>
      </c>
      <c r="W42" s="40">
        <f>[2]EatOut!E447</f>
        <v>-1.8519971833468032</v>
      </c>
      <c r="X42" s="40" t="e">
        <f ca="1">OFFSET(joint_new,5,0)</f>
        <v>#DIV/0!</v>
      </c>
      <c r="Y42" s="95" t="e">
        <f t="shared" ca="1" si="15"/>
        <v>#DIV/0!</v>
      </c>
      <c r="AA42" s="40">
        <f>[2]OthMaint!E447</f>
        <v>-1.8519971833468032</v>
      </c>
      <c r="AB42" s="40" t="e">
        <f ca="1">OFFSET(joint_new,5,0)</f>
        <v>#DIV/0!</v>
      </c>
      <c r="AC42" s="95" t="e">
        <f t="shared" ca="1" si="16"/>
        <v>#DIV/0!</v>
      </c>
      <c r="AE42" s="40">
        <f>[2]Social!E447</f>
        <v>-1.8519971833468032</v>
      </c>
      <c r="AF42" s="40" t="e">
        <f ca="1">OFFSET(joint_new,5,0)</f>
        <v>#DIV/0!</v>
      </c>
      <c r="AG42" s="95" t="e">
        <f t="shared" ca="1" si="17"/>
        <v>#DIV/0!</v>
      </c>
      <c r="AI42" s="40">
        <f>[2]OthDiscr!E447</f>
        <v>-1.8519971833468032</v>
      </c>
      <c r="AJ42" s="40" t="e">
        <f ca="1">OFFSET(joint_new,5,0)</f>
        <v>#DIV/0!</v>
      </c>
      <c r="AK42" s="95" t="e">
        <f t="shared" ca="1" si="18"/>
        <v>#DIV/0!</v>
      </c>
      <c r="AM42" s="40">
        <f>[2]WorkBased!E450</f>
        <v>-1.8519971833468032</v>
      </c>
      <c r="AN42" s="40" t="e">
        <f ca="1">OFFSET(joint_new,5,0)</f>
        <v>#DIV/0!</v>
      </c>
      <c r="AO42" s="95" t="e">
        <f t="shared" ca="1" si="9"/>
        <v>#DIV/0!</v>
      </c>
    </row>
    <row r="43" spans="1:41" x14ac:dyDescent="0.2">
      <c r="A43" s="1" t="s">
        <v>90</v>
      </c>
      <c r="B43" s="1" t="s">
        <v>85</v>
      </c>
      <c r="C43" s="40">
        <f>[2]Work!E448</f>
        <v>-6.6733333178652172</v>
      </c>
      <c r="D43" s="40" t="e">
        <f ca="1">OFFSET(joint_new,5,1)</f>
        <v>#DIV/0!</v>
      </c>
      <c r="E43" s="95" t="e">
        <f t="shared" ca="1" si="10"/>
        <v>#DIV/0!</v>
      </c>
      <c r="F43" s="76"/>
      <c r="G43" s="40">
        <f>[2]University!E448</f>
        <v>-6.6733333178652172</v>
      </c>
      <c r="H43" s="40" t="e">
        <f ca="1">OFFSET(joint_new,5,1)</f>
        <v>#DIV/0!</v>
      </c>
      <c r="I43" s="95" t="e">
        <f t="shared" ca="1" si="11"/>
        <v>#DIV/0!</v>
      </c>
      <c r="K43" s="40">
        <f>[2]School!E448</f>
        <v>-6.6733333178652172</v>
      </c>
      <c r="L43" s="40" t="e">
        <f ca="1">OFFSET(joint_new,5,1)</f>
        <v>#DIV/0!</v>
      </c>
      <c r="M43" s="95" t="e">
        <f t="shared" ca="1" si="12"/>
        <v>#DIV/0!</v>
      </c>
      <c r="O43" s="40">
        <f>[2]Escort!E448</f>
        <v>-6.6733333178652172</v>
      </c>
      <c r="P43" s="40" t="e">
        <f ca="1">OFFSET(joint_new,5,1)</f>
        <v>#DIV/0!</v>
      </c>
      <c r="Q43" s="95" t="e">
        <f t="shared" ca="1" si="13"/>
        <v>#DIV/0!</v>
      </c>
      <c r="S43" s="40">
        <f>[2]Shopping!E448</f>
        <v>-6.6733333178652172</v>
      </c>
      <c r="T43" s="40" t="e">
        <f ca="1">OFFSET(joint_new,5,1)</f>
        <v>#DIV/0!</v>
      </c>
      <c r="U43" s="95" t="e">
        <f t="shared" ca="1" si="14"/>
        <v>#DIV/0!</v>
      </c>
      <c r="W43" s="40">
        <f>[2]EatOut!E448</f>
        <v>-6.6733333178652172</v>
      </c>
      <c r="X43" s="40" t="e">
        <f ca="1">OFFSET(joint_new,5,1)</f>
        <v>#DIV/0!</v>
      </c>
      <c r="Y43" s="95" t="e">
        <f t="shared" ca="1" si="15"/>
        <v>#DIV/0!</v>
      </c>
      <c r="AA43" s="40">
        <f>[2]OthMaint!E448</f>
        <v>-6.6733333178652172</v>
      </c>
      <c r="AB43" s="40" t="e">
        <f ca="1">OFFSET(joint_new,5,1)</f>
        <v>#DIV/0!</v>
      </c>
      <c r="AC43" s="95" t="e">
        <f t="shared" ca="1" si="16"/>
        <v>#DIV/0!</v>
      </c>
      <c r="AE43" s="40">
        <f>[2]Social!E448</f>
        <v>-6.6733333178652172</v>
      </c>
      <c r="AF43" s="40" t="e">
        <f ca="1">OFFSET(joint_new,5,1)</f>
        <v>#DIV/0!</v>
      </c>
      <c r="AG43" s="95" t="e">
        <f t="shared" ca="1" si="17"/>
        <v>#DIV/0!</v>
      </c>
      <c r="AI43" s="40">
        <f>[2]OthDiscr!E448</f>
        <v>-6.6733333178652172</v>
      </c>
      <c r="AJ43" s="40" t="e">
        <f ca="1">OFFSET(joint_new,5,1)</f>
        <v>#DIV/0!</v>
      </c>
      <c r="AK43" s="95" t="e">
        <f t="shared" ca="1" si="18"/>
        <v>#DIV/0!</v>
      </c>
      <c r="AM43" s="40">
        <f>[2]WorkBased!E451</f>
        <v>-6.6733333178652172</v>
      </c>
      <c r="AN43" s="40" t="e">
        <f ca="1">OFFSET(joint_new,5,1)</f>
        <v>#DIV/0!</v>
      </c>
      <c r="AO43" s="95" t="e">
        <f t="shared" ca="1" si="9"/>
        <v>#DIV/0!</v>
      </c>
    </row>
    <row r="44" spans="1:41" x14ac:dyDescent="0.2">
      <c r="A44" s="1" t="s">
        <v>90</v>
      </c>
      <c r="B44" s="1" t="s">
        <v>86</v>
      </c>
      <c r="C44" s="40">
        <f>[2]Work!E449</f>
        <v>-7.484376309459793</v>
      </c>
      <c r="D44" s="40" t="e">
        <f ca="1">OFFSET(joint_new,5,2)</f>
        <v>#DIV/0!</v>
      </c>
      <c r="E44" s="95" t="e">
        <f t="shared" ca="1" si="10"/>
        <v>#DIV/0!</v>
      </c>
      <c r="F44" s="76"/>
      <c r="G44" s="40">
        <f>[2]University!E449</f>
        <v>-7.484376309459793</v>
      </c>
      <c r="H44" s="40" t="e">
        <f ca="1">OFFSET(joint_new,5,2)</f>
        <v>#DIV/0!</v>
      </c>
      <c r="I44" s="95" t="e">
        <f t="shared" ca="1" si="11"/>
        <v>#DIV/0!</v>
      </c>
      <c r="K44" s="40">
        <f>[2]School!E449</f>
        <v>-7.484376309459793</v>
      </c>
      <c r="L44" s="40" t="e">
        <f ca="1">OFFSET(joint_new,5,2)</f>
        <v>#DIV/0!</v>
      </c>
      <c r="M44" s="95" t="e">
        <f t="shared" ca="1" si="12"/>
        <v>#DIV/0!</v>
      </c>
      <c r="O44" s="40">
        <f>[2]Escort!E449</f>
        <v>-7.484376309459793</v>
      </c>
      <c r="P44" s="40" t="e">
        <f ca="1">OFFSET(joint_new,5,2)</f>
        <v>#DIV/0!</v>
      </c>
      <c r="Q44" s="95" t="e">
        <f t="shared" ca="1" si="13"/>
        <v>#DIV/0!</v>
      </c>
      <c r="S44" s="40">
        <f>[2]Shopping!E449</f>
        <v>-7.484376309459793</v>
      </c>
      <c r="T44" s="40" t="e">
        <f ca="1">OFFSET(joint_new,5,2)</f>
        <v>#DIV/0!</v>
      </c>
      <c r="U44" s="95" t="e">
        <f t="shared" ca="1" si="14"/>
        <v>#DIV/0!</v>
      </c>
      <c r="W44" s="40">
        <f>[2]EatOut!E449</f>
        <v>-7.484376309459793</v>
      </c>
      <c r="X44" s="40" t="e">
        <f ca="1">OFFSET(joint_new,5,2)</f>
        <v>#DIV/0!</v>
      </c>
      <c r="Y44" s="95" t="e">
        <f t="shared" ca="1" si="15"/>
        <v>#DIV/0!</v>
      </c>
      <c r="AA44" s="40">
        <f>[2]OthMaint!E449</f>
        <v>-7.484376309459793</v>
      </c>
      <c r="AB44" s="40" t="e">
        <f ca="1">OFFSET(joint_new,5,2)</f>
        <v>#DIV/0!</v>
      </c>
      <c r="AC44" s="95" t="e">
        <f t="shared" ca="1" si="16"/>
        <v>#DIV/0!</v>
      </c>
      <c r="AE44" s="40">
        <f>[2]Social!E449</f>
        <v>-7.484376309459793</v>
      </c>
      <c r="AF44" s="40" t="e">
        <f ca="1">OFFSET(joint_new,5,2)</f>
        <v>#DIV/0!</v>
      </c>
      <c r="AG44" s="95" t="e">
        <f t="shared" ca="1" si="17"/>
        <v>#DIV/0!</v>
      </c>
      <c r="AI44" s="40">
        <f>[2]OthDiscr!E449</f>
        <v>-7.484376309459793</v>
      </c>
      <c r="AJ44" s="40" t="e">
        <f ca="1">OFFSET(joint_new,5,2)</f>
        <v>#DIV/0!</v>
      </c>
      <c r="AK44" s="95" t="e">
        <f t="shared" ca="1" si="18"/>
        <v>#DIV/0!</v>
      </c>
      <c r="AM44" s="40">
        <f>[2]WorkBased!E452</f>
        <v>-7.484376309459793</v>
      </c>
      <c r="AN44" s="40" t="e">
        <f ca="1">OFFSET(joint_new,5,2)</f>
        <v>#DIV/0!</v>
      </c>
      <c r="AO44" s="95" t="e">
        <f t="shared" ca="1" si="9"/>
        <v>#DIV/0!</v>
      </c>
    </row>
    <row r="45" spans="1:41" x14ac:dyDescent="0.2">
      <c r="A45" s="1" t="s">
        <v>91</v>
      </c>
      <c r="B45" s="1" t="s">
        <v>84</v>
      </c>
      <c r="C45" s="40">
        <f>[2]Work!E450</f>
        <v>0</v>
      </c>
      <c r="D45" s="40" t="e">
        <f ca="1">OFFSET(joint_new,6,0)</f>
        <v>#DIV/0!</v>
      </c>
      <c r="E45" s="95" t="e">
        <f t="shared" ca="1" si="10"/>
        <v>#DIV/0!</v>
      </c>
      <c r="F45" s="76"/>
      <c r="G45" s="40">
        <f>[2]University!E450</f>
        <v>0</v>
      </c>
      <c r="H45" s="40" t="e">
        <f ca="1">OFFSET(joint_new,6,0)</f>
        <v>#DIV/0!</v>
      </c>
      <c r="I45" s="95" t="e">
        <f t="shared" ca="1" si="11"/>
        <v>#DIV/0!</v>
      </c>
      <c r="K45" s="40">
        <f>[2]School!E450</f>
        <v>0</v>
      </c>
      <c r="L45" s="40" t="e">
        <f ca="1">OFFSET(joint_new,6,0)</f>
        <v>#DIV/0!</v>
      </c>
      <c r="M45" s="95" t="e">
        <f t="shared" ca="1" si="12"/>
        <v>#DIV/0!</v>
      </c>
      <c r="O45" s="40">
        <f>[2]Escort!E450</f>
        <v>0</v>
      </c>
      <c r="P45" s="40" t="e">
        <f ca="1">OFFSET(joint_new,6,0)</f>
        <v>#DIV/0!</v>
      </c>
      <c r="Q45" s="95" t="e">
        <f t="shared" ca="1" si="13"/>
        <v>#DIV/0!</v>
      </c>
      <c r="S45" s="40">
        <f>[2]Shopping!E450</f>
        <v>0</v>
      </c>
      <c r="T45" s="40" t="e">
        <f ca="1">OFFSET(joint_new,6,0)</f>
        <v>#DIV/0!</v>
      </c>
      <c r="U45" s="95" t="e">
        <f t="shared" ca="1" si="14"/>
        <v>#DIV/0!</v>
      </c>
      <c r="W45" s="40">
        <f>[2]EatOut!E450</f>
        <v>0</v>
      </c>
      <c r="X45" s="40" t="e">
        <f ca="1">OFFSET(joint_new,6,0)</f>
        <v>#DIV/0!</v>
      </c>
      <c r="Y45" s="95" t="e">
        <f t="shared" ca="1" si="15"/>
        <v>#DIV/0!</v>
      </c>
      <c r="AA45" s="40">
        <f>[2]OthMaint!E450</f>
        <v>0</v>
      </c>
      <c r="AB45" s="40" t="e">
        <f ca="1">OFFSET(joint_new,6,0)</f>
        <v>#DIV/0!</v>
      </c>
      <c r="AC45" s="95" t="e">
        <f t="shared" ca="1" si="16"/>
        <v>#DIV/0!</v>
      </c>
      <c r="AE45" s="40">
        <f>[2]Social!E450</f>
        <v>0</v>
      </c>
      <c r="AF45" s="40" t="e">
        <f ca="1">OFFSET(joint_new,6,0)</f>
        <v>#DIV/0!</v>
      </c>
      <c r="AG45" s="95" t="e">
        <f t="shared" ca="1" si="17"/>
        <v>#DIV/0!</v>
      </c>
      <c r="AI45" s="40">
        <f>[2]OthDiscr!E450</f>
        <v>0</v>
      </c>
      <c r="AJ45" s="40" t="e">
        <f ca="1">OFFSET(joint_new,6,0)</f>
        <v>#DIV/0!</v>
      </c>
      <c r="AK45" s="95" t="e">
        <f t="shared" ca="1" si="18"/>
        <v>#DIV/0!</v>
      </c>
      <c r="AM45" s="40">
        <f>[2]WorkBased!E453</f>
        <v>0</v>
      </c>
      <c r="AN45" s="40" t="e">
        <f ca="1">OFFSET(joint_new,6,0)</f>
        <v>#DIV/0!</v>
      </c>
      <c r="AO45" s="95" t="e">
        <f t="shared" ca="1" si="9"/>
        <v>#DIV/0!</v>
      </c>
    </row>
    <row r="46" spans="1:41" x14ac:dyDescent="0.2">
      <c r="A46" s="1" t="s">
        <v>91</v>
      </c>
      <c r="B46" s="1" t="s">
        <v>85</v>
      </c>
      <c r="C46" s="40">
        <f>[2]Work!E451</f>
        <v>-4.5729706194667621</v>
      </c>
      <c r="D46" s="40" t="e">
        <f ca="1">OFFSET(joint_new,6,1)</f>
        <v>#DIV/0!</v>
      </c>
      <c r="E46" s="95" t="e">
        <f t="shared" ca="1" si="10"/>
        <v>#DIV/0!</v>
      </c>
      <c r="F46" s="76"/>
      <c r="G46" s="40">
        <f>[2]University!E451</f>
        <v>-4.5729706194667621</v>
      </c>
      <c r="H46" s="40" t="e">
        <f ca="1">OFFSET(joint_new,6,1)</f>
        <v>#DIV/0!</v>
      </c>
      <c r="I46" s="95" t="e">
        <f t="shared" ca="1" si="11"/>
        <v>#DIV/0!</v>
      </c>
      <c r="K46" s="40">
        <f>[2]School!E451</f>
        <v>-4.5729706194667621</v>
      </c>
      <c r="L46" s="40" t="e">
        <f ca="1">OFFSET(joint_new,6,1)</f>
        <v>#DIV/0!</v>
      </c>
      <c r="M46" s="95" t="e">
        <f t="shared" ca="1" si="12"/>
        <v>#DIV/0!</v>
      </c>
      <c r="O46" s="40">
        <f>[2]Escort!E451</f>
        <v>-4.5729706194667621</v>
      </c>
      <c r="P46" s="40" t="e">
        <f ca="1">OFFSET(joint_new,6,1)</f>
        <v>#DIV/0!</v>
      </c>
      <c r="Q46" s="95" t="e">
        <f t="shared" ca="1" si="13"/>
        <v>#DIV/0!</v>
      </c>
      <c r="S46" s="40">
        <f>[2]Shopping!E451</f>
        <v>-4.5729706194667621</v>
      </c>
      <c r="T46" s="40" t="e">
        <f ca="1">OFFSET(joint_new,6,1)</f>
        <v>#DIV/0!</v>
      </c>
      <c r="U46" s="95" t="e">
        <f t="shared" ca="1" si="14"/>
        <v>#DIV/0!</v>
      </c>
      <c r="W46" s="40">
        <f>[2]EatOut!E451</f>
        <v>-4.5729706194667621</v>
      </c>
      <c r="X46" s="40" t="e">
        <f ca="1">OFFSET(joint_new,6,1)</f>
        <v>#DIV/0!</v>
      </c>
      <c r="Y46" s="95" t="e">
        <f t="shared" ca="1" si="15"/>
        <v>#DIV/0!</v>
      </c>
      <c r="AA46" s="40">
        <f>[2]OthMaint!E451</f>
        <v>-4.5729706194667621</v>
      </c>
      <c r="AB46" s="40" t="e">
        <f ca="1">OFFSET(joint_new,6,1)</f>
        <v>#DIV/0!</v>
      </c>
      <c r="AC46" s="95" t="e">
        <f t="shared" ca="1" si="16"/>
        <v>#DIV/0!</v>
      </c>
      <c r="AE46" s="40">
        <f>[2]Social!E451</f>
        <v>-4.5729706194667621</v>
      </c>
      <c r="AF46" s="40" t="e">
        <f ca="1">OFFSET(joint_new,6,1)</f>
        <v>#DIV/0!</v>
      </c>
      <c r="AG46" s="95" t="e">
        <f t="shared" ca="1" si="17"/>
        <v>#DIV/0!</v>
      </c>
      <c r="AI46" s="40">
        <f>[2]OthDiscr!E451</f>
        <v>-4.5729706194667621</v>
      </c>
      <c r="AJ46" s="40" t="e">
        <f ca="1">OFFSET(joint_new,6,1)</f>
        <v>#DIV/0!</v>
      </c>
      <c r="AK46" s="95" t="e">
        <f t="shared" ca="1" si="18"/>
        <v>#DIV/0!</v>
      </c>
      <c r="AM46" s="40">
        <f>[2]WorkBased!E454</f>
        <v>-4.5729706194667621</v>
      </c>
      <c r="AN46" s="40" t="e">
        <f ca="1">OFFSET(joint_new,6,1)</f>
        <v>#DIV/0!</v>
      </c>
      <c r="AO46" s="95" t="e">
        <f t="shared" ca="1" si="9"/>
        <v>#DIV/0!</v>
      </c>
    </row>
    <row r="47" spans="1:41" x14ac:dyDescent="0.2">
      <c r="A47" s="1" t="s">
        <v>91</v>
      </c>
      <c r="B47" s="1" t="s">
        <v>86</v>
      </c>
      <c r="C47" s="40">
        <f>[2]Work!E452</f>
        <v>-7.0831524149992582</v>
      </c>
      <c r="D47" s="40" t="e">
        <f ca="1">OFFSET(joint_new,6,2)</f>
        <v>#DIV/0!</v>
      </c>
      <c r="E47" s="95" t="e">
        <f t="shared" ca="1" si="10"/>
        <v>#DIV/0!</v>
      </c>
      <c r="F47" s="76"/>
      <c r="G47" s="40">
        <f>[2]University!E452</f>
        <v>-7.0831524149992582</v>
      </c>
      <c r="H47" s="40" t="e">
        <f ca="1">OFFSET(joint_new,6,2)</f>
        <v>#DIV/0!</v>
      </c>
      <c r="I47" s="95" t="e">
        <f t="shared" ca="1" si="11"/>
        <v>#DIV/0!</v>
      </c>
      <c r="K47" s="40">
        <f>[2]School!E452</f>
        <v>-7.0831524149992582</v>
      </c>
      <c r="L47" s="40" t="e">
        <f ca="1">OFFSET(joint_new,6,2)</f>
        <v>#DIV/0!</v>
      </c>
      <c r="M47" s="95" t="e">
        <f t="shared" ca="1" si="12"/>
        <v>#DIV/0!</v>
      </c>
      <c r="O47" s="40">
        <f>[2]Escort!E452</f>
        <v>-7.0831524149992582</v>
      </c>
      <c r="P47" s="40" t="e">
        <f ca="1">OFFSET(joint_new,6,2)</f>
        <v>#DIV/0!</v>
      </c>
      <c r="Q47" s="95" t="e">
        <f t="shared" ca="1" si="13"/>
        <v>#DIV/0!</v>
      </c>
      <c r="S47" s="40">
        <f>[2]Shopping!E452</f>
        <v>-7.0831524149992582</v>
      </c>
      <c r="T47" s="40" t="e">
        <f ca="1">OFFSET(joint_new,6,2)</f>
        <v>#DIV/0!</v>
      </c>
      <c r="U47" s="95" t="e">
        <f t="shared" ca="1" si="14"/>
        <v>#DIV/0!</v>
      </c>
      <c r="W47" s="40">
        <f>[2]EatOut!E452</f>
        <v>-7.0831524149992582</v>
      </c>
      <c r="X47" s="40" t="e">
        <f ca="1">OFFSET(joint_new,6,2)</f>
        <v>#DIV/0!</v>
      </c>
      <c r="Y47" s="95" t="e">
        <f t="shared" ca="1" si="15"/>
        <v>#DIV/0!</v>
      </c>
      <c r="AA47" s="40">
        <f>[2]OthMaint!E452</f>
        <v>-7.0831524149992582</v>
      </c>
      <c r="AB47" s="40" t="e">
        <f ca="1">OFFSET(joint_new,6,2)</f>
        <v>#DIV/0!</v>
      </c>
      <c r="AC47" s="95" t="e">
        <f t="shared" ca="1" si="16"/>
        <v>#DIV/0!</v>
      </c>
      <c r="AE47" s="40">
        <f>[2]Social!E452</f>
        <v>-7.0831524149992582</v>
      </c>
      <c r="AF47" s="40" t="e">
        <f ca="1">OFFSET(joint_new,6,2)</f>
        <v>#DIV/0!</v>
      </c>
      <c r="AG47" s="95" t="e">
        <f t="shared" ca="1" si="17"/>
        <v>#DIV/0!</v>
      </c>
      <c r="AI47" s="40">
        <f>[2]OthDiscr!E452</f>
        <v>-7.0831524149992582</v>
      </c>
      <c r="AJ47" s="40" t="e">
        <f ca="1">OFFSET(joint_new,6,2)</f>
        <v>#DIV/0!</v>
      </c>
      <c r="AK47" s="95" t="e">
        <f t="shared" ca="1" si="18"/>
        <v>#DIV/0!</v>
      </c>
      <c r="AM47" s="40">
        <f>[2]WorkBased!E455</f>
        <v>-7.0831524149992582</v>
      </c>
      <c r="AN47" s="40" t="e">
        <f ca="1">OFFSET(joint_new,6,2)</f>
        <v>#DIV/0!</v>
      </c>
      <c r="AO47" s="95" t="e">
        <f t="shared" ca="1" si="9"/>
        <v>#DIV/0!</v>
      </c>
    </row>
    <row r="48" spans="1:41" x14ac:dyDescent="0.2">
      <c r="A48" s="69" t="s">
        <v>156</v>
      </c>
      <c r="B48" s="69" t="s">
        <v>84</v>
      </c>
      <c r="C48" s="40">
        <f>[2]Work!E453</f>
        <v>-4.5792091796996726</v>
      </c>
      <c r="D48" s="40" t="e">
        <f ca="1">OFFSET(joint_new,7,0)</f>
        <v>#DIV/0!</v>
      </c>
      <c r="E48" s="95" t="e">
        <f t="shared" ca="1" si="10"/>
        <v>#DIV/0!</v>
      </c>
      <c r="F48" s="76"/>
      <c r="G48" s="40">
        <f>[2]University!E453</f>
        <v>-4.5792091796996726</v>
      </c>
      <c r="H48" s="40" t="e">
        <f ca="1">OFFSET(joint_new,7,0)</f>
        <v>#DIV/0!</v>
      </c>
      <c r="I48" s="95" t="e">
        <f t="shared" ca="1" si="11"/>
        <v>#DIV/0!</v>
      </c>
      <c r="K48" s="40">
        <f>[2]School!E453</f>
        <v>-4.5792091796996726</v>
      </c>
      <c r="L48" s="40" t="e">
        <f ca="1">OFFSET(joint_new,7,0)</f>
        <v>#DIV/0!</v>
      </c>
      <c r="M48" s="95" t="e">
        <f t="shared" ca="1" si="12"/>
        <v>#DIV/0!</v>
      </c>
      <c r="O48" s="40">
        <f>[2]Escort!E453</f>
        <v>-4.5792091796996726</v>
      </c>
      <c r="P48" s="40" t="e">
        <f ca="1">OFFSET(joint_new,7,0)</f>
        <v>#DIV/0!</v>
      </c>
      <c r="Q48" s="95" t="e">
        <f t="shared" ca="1" si="13"/>
        <v>#DIV/0!</v>
      </c>
      <c r="S48" s="40">
        <f>[2]Shopping!E453</f>
        <v>-4.5792091796996726</v>
      </c>
      <c r="T48" s="40" t="e">
        <f ca="1">OFFSET(joint_new,7,0)</f>
        <v>#DIV/0!</v>
      </c>
      <c r="U48" s="95" t="e">
        <f t="shared" ca="1" si="14"/>
        <v>#DIV/0!</v>
      </c>
      <c r="W48" s="40">
        <f>[2]EatOut!E453</f>
        <v>-4.5792091796996726</v>
      </c>
      <c r="X48" s="40" t="e">
        <f ca="1">OFFSET(joint_new,7,0)</f>
        <v>#DIV/0!</v>
      </c>
      <c r="Y48" s="95" t="e">
        <f t="shared" ca="1" si="15"/>
        <v>#DIV/0!</v>
      </c>
      <c r="AA48" s="40">
        <f>[2]OthMaint!E453</f>
        <v>-4.5792091796996726</v>
      </c>
      <c r="AB48" s="40" t="e">
        <f ca="1">OFFSET(joint_new,7,0)</f>
        <v>#DIV/0!</v>
      </c>
      <c r="AC48" s="95" t="e">
        <f t="shared" ca="1" si="16"/>
        <v>#DIV/0!</v>
      </c>
      <c r="AE48" s="40">
        <f>[2]Social!E453</f>
        <v>-4.5792091796996726</v>
      </c>
      <c r="AF48" s="40" t="e">
        <f ca="1">OFFSET(joint_new,7,0)</f>
        <v>#DIV/0!</v>
      </c>
      <c r="AG48" s="95" t="e">
        <f t="shared" ca="1" si="17"/>
        <v>#DIV/0!</v>
      </c>
      <c r="AI48" s="40">
        <f>[2]OthDiscr!E453</f>
        <v>-4.5792091796996726</v>
      </c>
      <c r="AJ48" s="40" t="e">
        <f ca="1">OFFSET(joint_new,7,0)</f>
        <v>#DIV/0!</v>
      </c>
      <c r="AK48" s="95" t="e">
        <f t="shared" ca="1" si="18"/>
        <v>#DIV/0!</v>
      </c>
      <c r="AM48" s="40">
        <f>[2]WorkBased!E456</f>
        <v>-4.5792091796996726</v>
      </c>
      <c r="AN48" s="40" t="e">
        <f ca="1">OFFSET(joint_new,7,0)</f>
        <v>#DIV/0!</v>
      </c>
      <c r="AO48" s="95" t="e">
        <f t="shared" ca="1" si="9"/>
        <v>#DIV/0!</v>
      </c>
    </row>
    <row r="49" spans="1:41" x14ac:dyDescent="0.2">
      <c r="A49" s="69" t="s">
        <v>157</v>
      </c>
      <c r="B49" s="69" t="s">
        <v>85</v>
      </c>
      <c r="C49" s="40">
        <f>[2]Work!E454</f>
        <v>-9.8157175798197525</v>
      </c>
      <c r="D49" s="40" t="e">
        <f ca="1">OFFSET(joint_new,7,1)</f>
        <v>#DIV/0!</v>
      </c>
      <c r="E49" s="95" t="e">
        <f t="shared" ca="1" si="10"/>
        <v>#DIV/0!</v>
      </c>
      <c r="F49" s="76"/>
      <c r="G49" s="40">
        <f>[2]University!E454</f>
        <v>-9.8157175798197525</v>
      </c>
      <c r="H49" s="40" t="e">
        <f ca="1">OFFSET(joint_new,7,1)</f>
        <v>#DIV/0!</v>
      </c>
      <c r="I49" s="95" t="e">
        <f t="shared" ca="1" si="11"/>
        <v>#DIV/0!</v>
      </c>
      <c r="K49" s="40">
        <f>[2]School!E454</f>
        <v>-9.8157175798197525</v>
      </c>
      <c r="L49" s="40" t="e">
        <f ca="1">OFFSET(joint_new,7,1)</f>
        <v>#DIV/0!</v>
      </c>
      <c r="M49" s="95" t="e">
        <f t="shared" ca="1" si="12"/>
        <v>#DIV/0!</v>
      </c>
      <c r="O49" s="40">
        <f>[2]Escort!E454</f>
        <v>-9.8157175798197525</v>
      </c>
      <c r="P49" s="40" t="e">
        <f ca="1">OFFSET(joint_new,7,1)</f>
        <v>#DIV/0!</v>
      </c>
      <c r="Q49" s="95" t="e">
        <f t="shared" ca="1" si="13"/>
        <v>#DIV/0!</v>
      </c>
      <c r="S49" s="40">
        <f>[2]Shopping!E454</f>
        <v>-9.8157175798197525</v>
      </c>
      <c r="T49" s="40" t="e">
        <f ca="1">OFFSET(joint_new,7,1)</f>
        <v>#DIV/0!</v>
      </c>
      <c r="U49" s="95" t="e">
        <f t="shared" ca="1" si="14"/>
        <v>#DIV/0!</v>
      </c>
      <c r="W49" s="40">
        <f>[2]EatOut!E454</f>
        <v>-9.8157175798197525</v>
      </c>
      <c r="X49" s="40" t="e">
        <f ca="1">OFFSET(joint_new,7,1)</f>
        <v>#DIV/0!</v>
      </c>
      <c r="Y49" s="95" t="e">
        <f t="shared" ca="1" si="15"/>
        <v>#DIV/0!</v>
      </c>
      <c r="AA49" s="40">
        <f>[2]OthMaint!E454</f>
        <v>-9.8157175798197525</v>
      </c>
      <c r="AB49" s="40" t="e">
        <f ca="1">OFFSET(joint_new,7,1)</f>
        <v>#DIV/0!</v>
      </c>
      <c r="AC49" s="95" t="e">
        <f t="shared" ca="1" si="16"/>
        <v>#DIV/0!</v>
      </c>
      <c r="AE49" s="40">
        <f>[2]Social!E454</f>
        <v>-9.8157175798197525</v>
      </c>
      <c r="AF49" s="40" t="e">
        <f ca="1">OFFSET(joint_new,7,1)</f>
        <v>#DIV/0!</v>
      </c>
      <c r="AG49" s="95" t="e">
        <f t="shared" ca="1" si="17"/>
        <v>#DIV/0!</v>
      </c>
      <c r="AI49" s="40">
        <f>[2]OthDiscr!E454</f>
        <v>-9.8157175798197525</v>
      </c>
      <c r="AJ49" s="40" t="e">
        <f ca="1">OFFSET(joint_new,7,1)</f>
        <v>#DIV/0!</v>
      </c>
      <c r="AK49" s="95" t="e">
        <f t="shared" ca="1" si="18"/>
        <v>#DIV/0!</v>
      </c>
      <c r="AM49" s="40">
        <f>[2]WorkBased!E457</f>
        <v>-9.8157175798197525</v>
      </c>
      <c r="AN49" s="40" t="e">
        <f ca="1">OFFSET(joint_new,7,1)</f>
        <v>#DIV/0!</v>
      </c>
      <c r="AO49" s="95" t="e">
        <f t="shared" ca="1" si="9"/>
        <v>#DIV/0!</v>
      </c>
    </row>
    <row r="50" spans="1:41" x14ac:dyDescent="0.2">
      <c r="A50" s="69" t="s">
        <v>158</v>
      </c>
      <c r="B50" s="69" t="s">
        <v>86</v>
      </c>
      <c r="C50" s="40">
        <f>[2]Work!E455</f>
        <v>-11.709876913156872</v>
      </c>
      <c r="D50" s="40" t="e">
        <f ca="1">OFFSET(joint_new,7,2)</f>
        <v>#DIV/0!</v>
      </c>
      <c r="E50" s="95" t="e">
        <f t="shared" ca="1" si="10"/>
        <v>#DIV/0!</v>
      </c>
      <c r="F50" s="76"/>
      <c r="G50" s="40">
        <f>[2]University!E455</f>
        <v>-11.709876913156872</v>
      </c>
      <c r="H50" s="40" t="e">
        <f ca="1">OFFSET(joint_new,7,2)</f>
        <v>#DIV/0!</v>
      </c>
      <c r="I50" s="95" t="e">
        <f t="shared" ca="1" si="11"/>
        <v>#DIV/0!</v>
      </c>
      <c r="K50" s="40">
        <f>[2]School!E455</f>
        <v>-11.709876913156872</v>
      </c>
      <c r="L50" s="40" t="e">
        <f ca="1">OFFSET(joint_new,7,2)</f>
        <v>#DIV/0!</v>
      </c>
      <c r="M50" s="95" t="e">
        <f t="shared" ca="1" si="12"/>
        <v>#DIV/0!</v>
      </c>
      <c r="O50" s="40">
        <f>[2]Escort!E455</f>
        <v>-11.709876913156872</v>
      </c>
      <c r="P50" s="40" t="e">
        <f ca="1">OFFSET(joint_new,7,2)</f>
        <v>#DIV/0!</v>
      </c>
      <c r="Q50" s="95" t="e">
        <f t="shared" ca="1" si="13"/>
        <v>#DIV/0!</v>
      </c>
      <c r="S50" s="40">
        <f>[2]Shopping!E455</f>
        <v>-11.709876913156872</v>
      </c>
      <c r="T50" s="40" t="e">
        <f ca="1">OFFSET(joint_new,7,2)</f>
        <v>#DIV/0!</v>
      </c>
      <c r="U50" s="95" t="e">
        <f t="shared" ca="1" si="14"/>
        <v>#DIV/0!</v>
      </c>
      <c r="W50" s="40">
        <f>[2]EatOut!E455</f>
        <v>-11.709876913156872</v>
      </c>
      <c r="X50" s="40" t="e">
        <f ca="1">OFFSET(joint_new,7,2)</f>
        <v>#DIV/0!</v>
      </c>
      <c r="Y50" s="95" t="e">
        <f t="shared" ca="1" si="15"/>
        <v>#DIV/0!</v>
      </c>
      <c r="AA50" s="40">
        <f>[2]OthMaint!E455</f>
        <v>-11.709876913156872</v>
      </c>
      <c r="AB50" s="40" t="e">
        <f ca="1">OFFSET(joint_new,7,2)</f>
        <v>#DIV/0!</v>
      </c>
      <c r="AC50" s="95" t="e">
        <f t="shared" ca="1" si="16"/>
        <v>#DIV/0!</v>
      </c>
      <c r="AE50" s="40">
        <f>[2]Social!E455</f>
        <v>-11.709876913156872</v>
      </c>
      <c r="AF50" s="40" t="e">
        <f ca="1">OFFSET(joint_new,7,2)</f>
        <v>#DIV/0!</v>
      </c>
      <c r="AG50" s="95" t="e">
        <f t="shared" ca="1" si="17"/>
        <v>#DIV/0!</v>
      </c>
      <c r="AI50" s="40">
        <f>[2]OthDiscr!E455</f>
        <v>-11.709876913156872</v>
      </c>
      <c r="AJ50" s="40" t="e">
        <f ca="1">OFFSET(joint_new,7,2)</f>
        <v>#DIV/0!</v>
      </c>
      <c r="AK50" s="95" t="e">
        <f t="shared" ca="1" si="18"/>
        <v>#DIV/0!</v>
      </c>
      <c r="AM50" s="40">
        <f>[2]WorkBased!E458</f>
        <v>-11.709876913156872</v>
      </c>
      <c r="AN50" s="40" t="e">
        <f ca="1">OFFSET(joint_new,7,2)</f>
        <v>#DIV/0!</v>
      </c>
      <c r="AO50" s="95" t="e">
        <f t="shared" ca="1" si="9"/>
        <v>#DIV/0!</v>
      </c>
    </row>
    <row r="51" spans="1:41" x14ac:dyDescent="0.2">
      <c r="A51" s="70" t="s">
        <v>159</v>
      </c>
      <c r="B51" s="70" t="s">
        <v>84</v>
      </c>
      <c r="C51" s="40">
        <f>[2]Work!E456</f>
        <v>-4.4774223828813682</v>
      </c>
      <c r="D51" s="40" t="e">
        <f ca="1">OFFSET(joint_new,8,0)</f>
        <v>#DIV/0!</v>
      </c>
      <c r="E51" s="95" t="e">
        <f t="shared" ca="1" si="10"/>
        <v>#DIV/0!</v>
      </c>
      <c r="F51" s="76"/>
      <c r="G51" s="40">
        <f>[2]University!E456</f>
        <v>-4.4774223828813682</v>
      </c>
      <c r="H51" s="40" t="e">
        <f ca="1">OFFSET(joint_new,8,0)</f>
        <v>#DIV/0!</v>
      </c>
      <c r="I51" s="95" t="e">
        <f t="shared" ca="1" si="11"/>
        <v>#DIV/0!</v>
      </c>
      <c r="K51" s="40">
        <f>[2]School!E456</f>
        <v>-4.4774223828813682</v>
      </c>
      <c r="L51" s="40" t="e">
        <f ca="1">OFFSET(joint_new,8,0)</f>
        <v>#DIV/0!</v>
      </c>
      <c r="M51" s="95" t="e">
        <f t="shared" ca="1" si="12"/>
        <v>#DIV/0!</v>
      </c>
      <c r="O51" s="40">
        <f>[2]Escort!E456</f>
        <v>-4.4774223828813682</v>
      </c>
      <c r="P51" s="40" t="e">
        <f ca="1">OFFSET(joint_new,8,0)</f>
        <v>#DIV/0!</v>
      </c>
      <c r="Q51" s="95" t="e">
        <f t="shared" ca="1" si="13"/>
        <v>#DIV/0!</v>
      </c>
      <c r="S51" s="40">
        <f>[2]Shopping!E456</f>
        <v>-4.4774223828813682</v>
      </c>
      <c r="T51" s="40" t="e">
        <f ca="1">OFFSET(joint_new,8,0)</f>
        <v>#DIV/0!</v>
      </c>
      <c r="U51" s="95" t="e">
        <f t="shared" ca="1" si="14"/>
        <v>#DIV/0!</v>
      </c>
      <c r="W51" s="40">
        <f>[2]EatOut!E456</f>
        <v>-4.4774223828813682</v>
      </c>
      <c r="X51" s="40" t="e">
        <f ca="1">OFFSET(joint_new,8,0)</f>
        <v>#DIV/0!</v>
      </c>
      <c r="Y51" s="95" t="e">
        <f t="shared" ca="1" si="15"/>
        <v>#DIV/0!</v>
      </c>
      <c r="AA51" s="40">
        <f>[2]OthMaint!E456</f>
        <v>-4.4774223828813682</v>
      </c>
      <c r="AB51" s="40" t="e">
        <f ca="1">OFFSET(joint_new,8,0)</f>
        <v>#DIV/0!</v>
      </c>
      <c r="AC51" s="95" t="e">
        <f t="shared" ca="1" si="16"/>
        <v>#DIV/0!</v>
      </c>
      <c r="AE51" s="40">
        <f>[2]Social!E456</f>
        <v>-4.4774223828813682</v>
      </c>
      <c r="AF51" s="40" t="e">
        <f ca="1">OFFSET(joint_new,8,0)</f>
        <v>#DIV/0!</v>
      </c>
      <c r="AG51" s="95" t="e">
        <f t="shared" ca="1" si="17"/>
        <v>#DIV/0!</v>
      </c>
      <c r="AI51" s="40">
        <f>[2]OthDiscr!E456</f>
        <v>-4.4774223828813682</v>
      </c>
      <c r="AJ51" s="40" t="e">
        <f ca="1">OFFSET(joint_new,8,0)</f>
        <v>#DIV/0!</v>
      </c>
      <c r="AK51" s="95" t="e">
        <f t="shared" ca="1" si="18"/>
        <v>#DIV/0!</v>
      </c>
      <c r="AM51" s="40">
        <f>[2]WorkBased!E459</f>
        <v>-4.4774223828813682</v>
      </c>
      <c r="AN51" s="40" t="e">
        <f ca="1">OFFSET(joint_new,8,0)</f>
        <v>#DIV/0!</v>
      </c>
      <c r="AO51" s="95" t="e">
        <f t="shared" ca="1" si="9"/>
        <v>#DIV/0!</v>
      </c>
    </row>
    <row r="52" spans="1:41" x14ac:dyDescent="0.2">
      <c r="A52" s="70" t="s">
        <v>160</v>
      </c>
      <c r="B52" s="70" t="s">
        <v>85</v>
      </c>
      <c r="C52" s="40">
        <f>[2]Work!E457</f>
        <v>-9.9419122971357758</v>
      </c>
      <c r="D52" s="40" t="e">
        <f ca="1">OFFSET(joint_new,8,1)</f>
        <v>#DIV/0!</v>
      </c>
      <c r="E52" s="95" t="e">
        <f t="shared" ca="1" si="10"/>
        <v>#DIV/0!</v>
      </c>
      <c r="F52" s="76"/>
      <c r="G52" s="40">
        <f>[2]University!E457</f>
        <v>-9.9419122971357758</v>
      </c>
      <c r="H52" s="40" t="e">
        <f ca="1">OFFSET(joint_new,8,1)</f>
        <v>#DIV/0!</v>
      </c>
      <c r="I52" s="95" t="e">
        <f t="shared" ca="1" si="11"/>
        <v>#DIV/0!</v>
      </c>
      <c r="K52" s="40">
        <f>[2]School!E457</f>
        <v>-9.9419122971357758</v>
      </c>
      <c r="L52" s="40" t="e">
        <f ca="1">OFFSET(joint_new,8,1)</f>
        <v>#DIV/0!</v>
      </c>
      <c r="M52" s="95" t="e">
        <f t="shared" ca="1" si="12"/>
        <v>#DIV/0!</v>
      </c>
      <c r="O52" s="40">
        <f>[2]Escort!E457</f>
        <v>-9.9419122971357758</v>
      </c>
      <c r="P52" s="40" t="e">
        <f ca="1">OFFSET(joint_new,8,1)</f>
        <v>#DIV/0!</v>
      </c>
      <c r="Q52" s="95" t="e">
        <f t="shared" ca="1" si="13"/>
        <v>#DIV/0!</v>
      </c>
      <c r="S52" s="40">
        <f>[2]Shopping!E457</f>
        <v>-9.9419122971357758</v>
      </c>
      <c r="T52" s="40" t="e">
        <f ca="1">OFFSET(joint_new,8,1)</f>
        <v>#DIV/0!</v>
      </c>
      <c r="U52" s="95" t="e">
        <f t="shared" ca="1" si="14"/>
        <v>#DIV/0!</v>
      </c>
      <c r="W52" s="40">
        <f>[2]EatOut!E457</f>
        <v>-9.9419122971357758</v>
      </c>
      <c r="X52" s="40" t="e">
        <f ca="1">OFFSET(joint_new,8,1)</f>
        <v>#DIV/0!</v>
      </c>
      <c r="Y52" s="95" t="e">
        <f t="shared" ca="1" si="15"/>
        <v>#DIV/0!</v>
      </c>
      <c r="AA52" s="40">
        <f>[2]OthMaint!E457</f>
        <v>-9.9419122971357758</v>
      </c>
      <c r="AB52" s="40" t="e">
        <f ca="1">OFFSET(joint_new,8,1)</f>
        <v>#DIV/0!</v>
      </c>
      <c r="AC52" s="95" t="e">
        <f t="shared" ca="1" si="16"/>
        <v>#DIV/0!</v>
      </c>
      <c r="AE52" s="40">
        <f>[2]Social!E457</f>
        <v>-9.9419122971357758</v>
      </c>
      <c r="AF52" s="40" t="e">
        <f ca="1">OFFSET(joint_new,8,1)</f>
        <v>#DIV/0!</v>
      </c>
      <c r="AG52" s="95" t="e">
        <f t="shared" ca="1" si="17"/>
        <v>#DIV/0!</v>
      </c>
      <c r="AI52" s="40">
        <f>[2]OthDiscr!E457</f>
        <v>-9.9419122971357758</v>
      </c>
      <c r="AJ52" s="40" t="e">
        <f ca="1">OFFSET(joint_new,8,1)</f>
        <v>#DIV/0!</v>
      </c>
      <c r="AK52" s="95" t="e">
        <f t="shared" ca="1" si="18"/>
        <v>#DIV/0!</v>
      </c>
      <c r="AM52" s="40">
        <f>[2]WorkBased!E460</f>
        <v>-9.9419122971357758</v>
      </c>
      <c r="AN52" s="40" t="e">
        <f ca="1">OFFSET(joint_new,8,1)</f>
        <v>#DIV/0!</v>
      </c>
      <c r="AO52" s="95" t="e">
        <f t="shared" ca="1" si="9"/>
        <v>#DIV/0!</v>
      </c>
    </row>
    <row r="53" spans="1:41" x14ac:dyDescent="0.2">
      <c r="A53" s="70" t="s">
        <v>161</v>
      </c>
      <c r="B53" s="70" t="s">
        <v>86</v>
      </c>
      <c r="C53" s="40">
        <f>[2]Work!E458</f>
        <v>-14.025754796662577</v>
      </c>
      <c r="D53" s="40" t="e">
        <f ca="1">OFFSET(joint_new,8,2)</f>
        <v>#DIV/0!</v>
      </c>
      <c r="E53" s="95" t="e">
        <f t="shared" ca="1" si="10"/>
        <v>#DIV/0!</v>
      </c>
      <c r="F53" s="76"/>
      <c r="G53" s="40">
        <f>[2]University!E458</f>
        <v>-14.025754796662577</v>
      </c>
      <c r="H53" s="40" t="e">
        <f ca="1">OFFSET(joint_new,8,2)</f>
        <v>#DIV/0!</v>
      </c>
      <c r="I53" s="95" t="e">
        <f t="shared" ca="1" si="11"/>
        <v>#DIV/0!</v>
      </c>
      <c r="K53" s="40">
        <f>[2]School!E458</f>
        <v>-14.025754796662577</v>
      </c>
      <c r="L53" s="40" t="e">
        <f ca="1">OFFSET(joint_new,8,2)</f>
        <v>#DIV/0!</v>
      </c>
      <c r="M53" s="95" t="e">
        <f t="shared" ca="1" si="12"/>
        <v>#DIV/0!</v>
      </c>
      <c r="O53" s="40">
        <f>[2]Escort!E458</f>
        <v>-14.025754796662577</v>
      </c>
      <c r="P53" s="40" t="e">
        <f ca="1">OFFSET(joint_new,8,2)</f>
        <v>#DIV/0!</v>
      </c>
      <c r="Q53" s="95" t="e">
        <f t="shared" ca="1" si="13"/>
        <v>#DIV/0!</v>
      </c>
      <c r="S53" s="40">
        <f>[2]Shopping!E458</f>
        <v>-14.025754796662577</v>
      </c>
      <c r="T53" s="40" t="e">
        <f ca="1">OFFSET(joint_new,8,2)</f>
        <v>#DIV/0!</v>
      </c>
      <c r="U53" s="95" t="e">
        <f t="shared" ca="1" si="14"/>
        <v>#DIV/0!</v>
      </c>
      <c r="W53" s="40">
        <f>[2]EatOut!E458</f>
        <v>-14.025754796662577</v>
      </c>
      <c r="X53" s="40" t="e">
        <f ca="1">OFFSET(joint_new,8,2)</f>
        <v>#DIV/0!</v>
      </c>
      <c r="Y53" s="95" t="e">
        <f t="shared" ca="1" si="15"/>
        <v>#DIV/0!</v>
      </c>
      <c r="AA53" s="40">
        <f>[2]OthMaint!E458</f>
        <v>-14.025754796662577</v>
      </c>
      <c r="AB53" s="40" t="e">
        <f ca="1">OFFSET(joint_new,8,2)</f>
        <v>#DIV/0!</v>
      </c>
      <c r="AC53" s="95" t="e">
        <f t="shared" ca="1" si="16"/>
        <v>#DIV/0!</v>
      </c>
      <c r="AE53" s="40">
        <f>[2]Social!E458</f>
        <v>-14.025754796662577</v>
      </c>
      <c r="AF53" s="40" t="e">
        <f ca="1">OFFSET(joint_new,8,2)</f>
        <v>#DIV/0!</v>
      </c>
      <c r="AG53" s="95" t="e">
        <f t="shared" ca="1" si="17"/>
        <v>#DIV/0!</v>
      </c>
      <c r="AI53" s="40">
        <f>[2]OthDiscr!E458</f>
        <v>-14.025754796662577</v>
      </c>
      <c r="AJ53" s="40" t="e">
        <f ca="1">OFFSET(joint_new,8,2)</f>
        <v>#DIV/0!</v>
      </c>
      <c r="AK53" s="95" t="e">
        <f t="shared" ca="1" si="18"/>
        <v>#DIV/0!</v>
      </c>
      <c r="AM53" s="40">
        <f>[2]WorkBased!E461</f>
        <v>-14.025754796662577</v>
      </c>
      <c r="AN53" s="40" t="e">
        <f ca="1">OFFSET(joint_new,8,2)</f>
        <v>#DIV/0!</v>
      </c>
      <c r="AO53" s="95" t="e">
        <f t="shared" ca="1" si="9"/>
        <v>#DIV/0!</v>
      </c>
    </row>
    <row r="54" spans="1:41" x14ac:dyDescent="0.2">
      <c r="A54" s="69" t="s">
        <v>162</v>
      </c>
      <c r="B54" s="69" t="s">
        <v>84</v>
      </c>
      <c r="C54" s="40">
        <f>[2]Work!E459</f>
        <v>-4.2917212345243021</v>
      </c>
      <c r="D54" s="40" t="e">
        <f ca="1">OFFSET(joint_new,9,0)</f>
        <v>#DIV/0!</v>
      </c>
      <c r="E54" s="95" t="e">
        <f t="shared" ca="1" si="10"/>
        <v>#DIV/0!</v>
      </c>
      <c r="F54" s="76"/>
      <c r="G54" s="40">
        <f>[2]University!E459</f>
        <v>-4.2917212345243021</v>
      </c>
      <c r="H54" s="40" t="e">
        <f ca="1">OFFSET(joint_new,9,0)</f>
        <v>#DIV/0!</v>
      </c>
      <c r="I54" s="95" t="e">
        <f t="shared" ca="1" si="11"/>
        <v>#DIV/0!</v>
      </c>
      <c r="K54" s="40">
        <f>[2]School!E459</f>
        <v>-4.2917212345243021</v>
      </c>
      <c r="L54" s="40" t="e">
        <f ca="1">OFFSET(joint_new,9,0)</f>
        <v>#DIV/0!</v>
      </c>
      <c r="M54" s="95" t="e">
        <f t="shared" ca="1" si="12"/>
        <v>#DIV/0!</v>
      </c>
      <c r="O54" s="40">
        <f>[2]Escort!E459</f>
        <v>-4.2917212345243021</v>
      </c>
      <c r="P54" s="40" t="e">
        <f ca="1">OFFSET(joint_new,9,0)</f>
        <v>#DIV/0!</v>
      </c>
      <c r="Q54" s="95" t="e">
        <f t="shared" ca="1" si="13"/>
        <v>#DIV/0!</v>
      </c>
      <c r="S54" s="40">
        <f>[2]Shopping!E459</f>
        <v>-4.2917212345243021</v>
      </c>
      <c r="T54" s="40" t="e">
        <f ca="1">OFFSET(joint_new,9,0)</f>
        <v>#DIV/0!</v>
      </c>
      <c r="U54" s="95" t="e">
        <f t="shared" ca="1" si="14"/>
        <v>#DIV/0!</v>
      </c>
      <c r="W54" s="40">
        <f>[2]EatOut!E459</f>
        <v>-4.2917212345243021</v>
      </c>
      <c r="X54" s="40" t="e">
        <f ca="1">OFFSET(joint_new,9,0)</f>
        <v>#DIV/0!</v>
      </c>
      <c r="Y54" s="95" t="e">
        <f t="shared" ca="1" si="15"/>
        <v>#DIV/0!</v>
      </c>
      <c r="AA54" s="40">
        <f>[2]OthMaint!E459</f>
        <v>-4.2917212345243021</v>
      </c>
      <c r="AB54" s="40" t="e">
        <f ca="1">OFFSET(joint_new,9,0)</f>
        <v>#DIV/0!</v>
      </c>
      <c r="AC54" s="95" t="e">
        <f t="shared" ca="1" si="16"/>
        <v>#DIV/0!</v>
      </c>
      <c r="AE54" s="40">
        <f>[2]Social!E459</f>
        <v>-4.2917212345243021</v>
      </c>
      <c r="AF54" s="40" t="e">
        <f ca="1">OFFSET(joint_new,9,0)</f>
        <v>#DIV/0!</v>
      </c>
      <c r="AG54" s="95" t="e">
        <f t="shared" ca="1" si="17"/>
        <v>#DIV/0!</v>
      </c>
      <c r="AI54" s="40">
        <f>[2]OthDiscr!E459</f>
        <v>-4.2917212345243021</v>
      </c>
      <c r="AJ54" s="40" t="e">
        <f ca="1">OFFSET(joint_new,9,0)</f>
        <v>#DIV/0!</v>
      </c>
      <c r="AK54" s="95" t="e">
        <f t="shared" ca="1" si="18"/>
        <v>#DIV/0!</v>
      </c>
      <c r="AM54" s="40">
        <f>[2]WorkBased!E462</f>
        <v>-4.2917212345243021</v>
      </c>
      <c r="AN54" s="40" t="e">
        <f ca="1">OFFSET(joint_new,9,0)</f>
        <v>#DIV/0!</v>
      </c>
      <c r="AO54" s="95" t="e">
        <f t="shared" ca="1" si="9"/>
        <v>#DIV/0!</v>
      </c>
    </row>
    <row r="55" spans="1:41" x14ac:dyDescent="0.2">
      <c r="A55" s="69" t="s">
        <v>163</v>
      </c>
      <c r="B55" s="69" t="s">
        <v>85</v>
      </c>
      <c r="C55" s="40">
        <f>[2]Work!E460</f>
        <v>-11.088069328455756</v>
      </c>
      <c r="D55" s="40" t="e">
        <f ca="1">OFFSET(joint_new,9,1)</f>
        <v>#DIV/0!</v>
      </c>
      <c r="E55" s="95" t="e">
        <f t="shared" ca="1" si="10"/>
        <v>#DIV/0!</v>
      </c>
      <c r="F55" s="76"/>
      <c r="G55" s="40">
        <f>[2]University!E460</f>
        <v>-11.088069328455756</v>
      </c>
      <c r="H55" s="40" t="e">
        <f ca="1">OFFSET(joint_new,9,1)</f>
        <v>#DIV/0!</v>
      </c>
      <c r="I55" s="95" t="e">
        <f t="shared" ca="1" si="11"/>
        <v>#DIV/0!</v>
      </c>
      <c r="K55" s="40">
        <f>[2]School!E460</f>
        <v>-11.088069328455756</v>
      </c>
      <c r="L55" s="40" t="e">
        <f ca="1">OFFSET(joint_new,9,1)</f>
        <v>#DIV/0!</v>
      </c>
      <c r="M55" s="95" t="e">
        <f t="shared" ca="1" si="12"/>
        <v>#DIV/0!</v>
      </c>
      <c r="O55" s="40">
        <f>[2]Escort!E460</f>
        <v>-11.088069328455756</v>
      </c>
      <c r="P55" s="40" t="e">
        <f ca="1">OFFSET(joint_new,9,1)</f>
        <v>#DIV/0!</v>
      </c>
      <c r="Q55" s="95" t="e">
        <f t="shared" ca="1" si="13"/>
        <v>#DIV/0!</v>
      </c>
      <c r="S55" s="40">
        <f>[2]Shopping!E460</f>
        <v>-11.088069328455756</v>
      </c>
      <c r="T55" s="40" t="e">
        <f ca="1">OFFSET(joint_new,9,1)</f>
        <v>#DIV/0!</v>
      </c>
      <c r="U55" s="95" t="e">
        <f t="shared" ca="1" si="14"/>
        <v>#DIV/0!</v>
      </c>
      <c r="W55" s="40">
        <f>[2]EatOut!E460</f>
        <v>-11.088069328455756</v>
      </c>
      <c r="X55" s="40" t="e">
        <f ca="1">OFFSET(joint_new,9,1)</f>
        <v>#DIV/0!</v>
      </c>
      <c r="Y55" s="95" t="e">
        <f t="shared" ca="1" si="15"/>
        <v>#DIV/0!</v>
      </c>
      <c r="AA55" s="40">
        <f>[2]OthMaint!E460</f>
        <v>-11.088069328455756</v>
      </c>
      <c r="AB55" s="40" t="e">
        <f ca="1">OFFSET(joint_new,9,1)</f>
        <v>#DIV/0!</v>
      </c>
      <c r="AC55" s="95" t="e">
        <f t="shared" ca="1" si="16"/>
        <v>#DIV/0!</v>
      </c>
      <c r="AE55" s="40">
        <f>[2]Social!E460</f>
        <v>-11.088069328455756</v>
      </c>
      <c r="AF55" s="40" t="e">
        <f ca="1">OFFSET(joint_new,9,1)</f>
        <v>#DIV/0!</v>
      </c>
      <c r="AG55" s="95" t="e">
        <f t="shared" ca="1" si="17"/>
        <v>#DIV/0!</v>
      </c>
      <c r="AI55" s="40">
        <f>[2]OthDiscr!E460</f>
        <v>-11.088069328455756</v>
      </c>
      <c r="AJ55" s="40" t="e">
        <f ca="1">OFFSET(joint_new,9,1)</f>
        <v>#DIV/0!</v>
      </c>
      <c r="AK55" s="95" t="e">
        <f t="shared" ca="1" si="18"/>
        <v>#DIV/0!</v>
      </c>
      <c r="AM55" s="40">
        <f>[2]WorkBased!E463</f>
        <v>-11.088069328455756</v>
      </c>
      <c r="AN55" s="40" t="e">
        <f ca="1">OFFSET(joint_new,9,1)</f>
        <v>#DIV/0!</v>
      </c>
      <c r="AO55" s="95" t="e">
        <f t="shared" ca="1" si="9"/>
        <v>#DIV/0!</v>
      </c>
    </row>
    <row r="56" spans="1:41" s="18" customFormat="1" x14ac:dyDescent="0.2">
      <c r="A56" s="71" t="s">
        <v>164</v>
      </c>
      <c r="B56" s="71" t="s">
        <v>86</v>
      </c>
      <c r="C56" s="42">
        <f>[2]Work!E461</f>
        <v>-13.188333681106254</v>
      </c>
      <c r="D56" s="42" t="e">
        <f ca="1">OFFSET(joint_new,9,2)</f>
        <v>#DIV/0!</v>
      </c>
      <c r="E56" s="96" t="e">
        <f t="shared" ca="1" si="10"/>
        <v>#DIV/0!</v>
      </c>
      <c r="F56" s="78"/>
      <c r="G56" s="42">
        <f>[2]University!E461</f>
        <v>-13.188333681106254</v>
      </c>
      <c r="H56" s="42" t="e">
        <f ca="1">OFFSET(joint_new,9,2)</f>
        <v>#DIV/0!</v>
      </c>
      <c r="I56" s="96" t="e">
        <f t="shared" ca="1" si="11"/>
        <v>#DIV/0!</v>
      </c>
      <c r="J56" s="81"/>
      <c r="K56" s="42">
        <f>[2]School!E461</f>
        <v>-13.188333681106254</v>
      </c>
      <c r="L56" s="42" t="e">
        <f ca="1">OFFSET(joint_new,9,2)</f>
        <v>#DIV/0!</v>
      </c>
      <c r="M56" s="96" t="e">
        <f t="shared" ca="1" si="12"/>
        <v>#DIV/0!</v>
      </c>
      <c r="N56" s="81"/>
      <c r="O56" s="42">
        <f>[2]Escort!E461</f>
        <v>-13.188333681106254</v>
      </c>
      <c r="P56" s="42" t="e">
        <f ca="1">OFFSET(joint_new,9,2)</f>
        <v>#DIV/0!</v>
      </c>
      <c r="Q56" s="96" t="e">
        <f t="shared" ca="1" si="13"/>
        <v>#DIV/0!</v>
      </c>
      <c r="R56" s="81"/>
      <c r="S56" s="42">
        <f>[2]Shopping!E461</f>
        <v>-13.188333681106254</v>
      </c>
      <c r="T56" s="42" t="e">
        <f ca="1">OFFSET(joint_new,9,2)</f>
        <v>#DIV/0!</v>
      </c>
      <c r="U56" s="96" t="e">
        <f t="shared" ca="1" si="14"/>
        <v>#DIV/0!</v>
      </c>
      <c r="V56" s="81"/>
      <c r="W56" s="42">
        <f>[2]EatOut!E461</f>
        <v>-13.188333681106254</v>
      </c>
      <c r="X56" s="42" t="e">
        <f ca="1">OFFSET(joint_new,9,2)</f>
        <v>#DIV/0!</v>
      </c>
      <c r="Y56" s="96" t="e">
        <f t="shared" ca="1" si="15"/>
        <v>#DIV/0!</v>
      </c>
      <c r="Z56" s="81"/>
      <c r="AA56" s="42">
        <f>[2]OthMaint!E461</f>
        <v>-13.188333681106254</v>
      </c>
      <c r="AB56" s="42" t="e">
        <f ca="1">OFFSET(joint_new,9,2)</f>
        <v>#DIV/0!</v>
      </c>
      <c r="AC56" s="96" t="e">
        <f t="shared" ca="1" si="16"/>
        <v>#DIV/0!</v>
      </c>
      <c r="AD56" s="81"/>
      <c r="AE56" s="42">
        <f>[2]Social!E461</f>
        <v>-13.188333681106254</v>
      </c>
      <c r="AF56" s="42" t="e">
        <f ca="1">OFFSET(joint_new,9,2)</f>
        <v>#DIV/0!</v>
      </c>
      <c r="AG56" s="96" t="e">
        <f t="shared" ca="1" si="17"/>
        <v>#DIV/0!</v>
      </c>
      <c r="AH56" s="81"/>
      <c r="AI56" s="42">
        <f>[2]OthDiscr!E461</f>
        <v>-13.188333681106254</v>
      </c>
      <c r="AJ56" s="42" t="e">
        <f ca="1">OFFSET(joint_new,9,2)</f>
        <v>#DIV/0!</v>
      </c>
      <c r="AK56" s="96" t="e">
        <f t="shared" ca="1" si="18"/>
        <v>#DIV/0!</v>
      </c>
      <c r="AL56" s="81"/>
      <c r="AM56" s="42">
        <f>[2]WorkBased!E464</f>
        <v>-13.188333681106254</v>
      </c>
      <c r="AN56" s="42" t="e">
        <f ca="1">OFFSET(joint_new,9,2)</f>
        <v>#DIV/0!</v>
      </c>
      <c r="AO56" s="96" t="e">
        <f t="shared" ca="1" si="9"/>
        <v>#DIV/0!</v>
      </c>
    </row>
    <row r="57" spans="1:41" x14ac:dyDescent="0.2">
      <c r="A57" s="1" t="s">
        <v>92</v>
      </c>
      <c r="C57" s="40">
        <f>[2]Work!E462</f>
        <v>-0.24389292357870532</v>
      </c>
      <c r="D57" s="40" t="e">
        <f>calibration_trnsubmodes!AN4</f>
        <v>#DIV/0!</v>
      </c>
      <c r="E57" s="95" t="e">
        <f t="shared" si="10"/>
        <v>#DIV/0!</v>
      </c>
      <c r="F57" s="76"/>
      <c r="G57" s="40">
        <f>[2]University!E462</f>
        <v>-0.92169645275697076</v>
      </c>
      <c r="H57" s="40" t="e">
        <f>calibration_trnsubmodes!AN17</f>
        <v>#DIV/0!</v>
      </c>
      <c r="I57" s="95" t="e">
        <f t="shared" si="11"/>
        <v>#DIV/0!</v>
      </c>
      <c r="K57" s="40">
        <f>[2]School!E462</f>
        <v>-2.9573837114887931E-2</v>
      </c>
      <c r="L57" s="40" t="e">
        <f>calibration_trnsubmodes!AN30</f>
        <v>#DIV/0!</v>
      </c>
      <c r="M57" s="95" t="e">
        <f t="shared" si="12"/>
        <v>#DIV/0!</v>
      </c>
      <c r="O57" s="40">
        <f>[2]Escort!E462</f>
        <v>0.18003902175868816</v>
      </c>
      <c r="P57" s="40" t="e">
        <f>calibration_trnsubmodes!AN43</f>
        <v>#DIV/0!</v>
      </c>
      <c r="Q57" s="95" t="e">
        <f t="shared" si="13"/>
        <v>#DIV/0!</v>
      </c>
      <c r="S57" s="40">
        <f>[2]Shopping!E462</f>
        <v>0.18003902175868816</v>
      </c>
      <c r="T57" s="40" t="e">
        <f>calibration_trnsubmodes!AN43</f>
        <v>#DIV/0!</v>
      </c>
      <c r="U57" s="95" t="e">
        <f t="shared" si="14"/>
        <v>#DIV/0!</v>
      </c>
      <c r="W57" s="40">
        <f>[2]EatOut!E462</f>
        <v>-9.3323643613554483E-2</v>
      </c>
      <c r="X57" s="40" t="e">
        <f>calibration_trnsubmodes!AN56</f>
        <v>#DIV/0!</v>
      </c>
      <c r="Y57" s="95" t="e">
        <f t="shared" si="15"/>
        <v>#DIV/0!</v>
      </c>
      <c r="AA57" s="40">
        <f>[2]OthMaint!E462</f>
        <v>-9.3323643613554483E-2</v>
      </c>
      <c r="AB57" s="40" t="e">
        <f>calibration_trnsubmodes!AN56</f>
        <v>#DIV/0!</v>
      </c>
      <c r="AC57" s="95" t="e">
        <f t="shared" si="16"/>
        <v>#DIV/0!</v>
      </c>
      <c r="AE57" s="40">
        <f>[2]Social!E462</f>
        <v>-9.3323643613554483E-2</v>
      </c>
      <c r="AF57" s="40" t="e">
        <f>calibration_trnsubmodes!AN56</f>
        <v>#DIV/0!</v>
      </c>
      <c r="AG57" s="95" t="e">
        <f t="shared" si="17"/>
        <v>#DIV/0!</v>
      </c>
      <c r="AI57" s="40">
        <f>[2]OthDiscr!E462</f>
        <v>-9.3323643613554483E-2</v>
      </c>
      <c r="AJ57" s="40" t="e">
        <f>calibration_trnsubmodes!AN56</f>
        <v>#DIV/0!</v>
      </c>
      <c r="AK57" s="95" t="e">
        <f t="shared" si="18"/>
        <v>#DIV/0!</v>
      </c>
      <c r="AM57" s="40">
        <f>[2]WorkBased!E465</f>
        <v>-0.19402288048189537</v>
      </c>
      <c r="AN57" s="40" t="e">
        <f>calibration_trnsubmodes!AN69</f>
        <v>#DIV/0!</v>
      </c>
      <c r="AO57" s="95" t="e">
        <f t="shared" ref="AO57:AO64" si="19">AN57/-workbased_c_ivt</f>
        <v>#DIV/0!</v>
      </c>
    </row>
    <row r="58" spans="1:41" x14ac:dyDescent="0.2">
      <c r="A58" s="1" t="s">
        <v>93</v>
      </c>
      <c r="B58" s="1" t="s">
        <v>94</v>
      </c>
      <c r="C58" s="40">
        <f>[2]Work!E463</f>
        <v>0.48872513809390233</v>
      </c>
      <c r="D58" s="40" t="e">
        <f>calibration_trnsubmodes!AN5</f>
        <v>#DIV/0!</v>
      </c>
      <c r="E58" s="95" t="e">
        <f t="shared" si="10"/>
        <v>#DIV/0!</v>
      </c>
      <c r="F58" s="76"/>
      <c r="G58" s="40">
        <f>[2]University!E463</f>
        <v>1.9890569046432705</v>
      </c>
      <c r="H58" s="40" t="e">
        <f>calibration_trnsubmodes!AN18</f>
        <v>#DIV/0!</v>
      </c>
      <c r="I58" s="95" t="e">
        <f t="shared" si="11"/>
        <v>#DIV/0!</v>
      </c>
      <c r="K58" s="40">
        <f>[2]School!E463</f>
        <v>0.34140935900378533</v>
      </c>
      <c r="L58" s="40" t="e">
        <f>calibration_trnsubmodes!AN31</f>
        <v>#DIV/0!</v>
      </c>
      <c r="M58" s="95" t="e">
        <f t="shared" si="12"/>
        <v>#DIV/0!</v>
      </c>
      <c r="O58" s="40">
        <f>[2]Escort!E463</f>
        <v>0.80117072032916292</v>
      </c>
      <c r="P58" s="40" t="e">
        <f>calibration_trnsubmodes!AN44</f>
        <v>#DIV/0!</v>
      </c>
      <c r="Q58" s="95" t="e">
        <f t="shared" si="13"/>
        <v>#DIV/0!</v>
      </c>
      <c r="S58" s="40">
        <f>[2]Shopping!E463</f>
        <v>0.80117072032916292</v>
      </c>
      <c r="T58" s="40" t="e">
        <f>calibration_trnsubmodes!AN44</f>
        <v>#DIV/0!</v>
      </c>
      <c r="U58" s="95" t="e">
        <f t="shared" si="14"/>
        <v>#DIV/0!</v>
      </c>
      <c r="W58" s="40">
        <f>[2]EatOut!E463</f>
        <v>0.6019502344012182</v>
      </c>
      <c r="X58" s="40" t="e">
        <f>calibration_trnsubmodes!AN57</f>
        <v>#DIV/0!</v>
      </c>
      <c r="Y58" s="95" t="e">
        <f t="shared" si="15"/>
        <v>#DIV/0!</v>
      </c>
      <c r="AA58" s="40">
        <f>[2]OthMaint!E463</f>
        <v>0.6019502344012182</v>
      </c>
      <c r="AB58" s="40" t="e">
        <f>calibration_trnsubmodes!AN57</f>
        <v>#DIV/0!</v>
      </c>
      <c r="AC58" s="95" t="e">
        <f t="shared" si="16"/>
        <v>#DIV/0!</v>
      </c>
      <c r="AE58" s="40">
        <f>[2]Social!E463</f>
        <v>0.6019502344012182</v>
      </c>
      <c r="AF58" s="40" t="e">
        <f>calibration_trnsubmodes!AN57</f>
        <v>#DIV/0!</v>
      </c>
      <c r="AG58" s="95" t="e">
        <f t="shared" si="17"/>
        <v>#DIV/0!</v>
      </c>
      <c r="AI58" s="40">
        <f>[2]OthDiscr!E463</f>
        <v>0.6019502344012182</v>
      </c>
      <c r="AJ58" s="40" t="e">
        <f>calibration_trnsubmodes!AN57</f>
        <v>#DIV/0!</v>
      </c>
      <c r="AK58" s="95" t="e">
        <f t="shared" si="18"/>
        <v>#DIV/0!</v>
      </c>
      <c r="AM58" s="40">
        <f>[2]WorkBased!E466</f>
        <v>1.0241025463037381</v>
      </c>
      <c r="AN58" s="40" t="e">
        <f>calibration_trnsubmodes!AN70</f>
        <v>#DIV/0!</v>
      </c>
      <c r="AO58" s="95" t="e">
        <f t="shared" si="19"/>
        <v>#DIV/0!</v>
      </c>
    </row>
    <row r="59" spans="1:41" x14ac:dyDescent="0.2">
      <c r="A59" s="1" t="s">
        <v>95</v>
      </c>
      <c r="B59" s="1" t="s">
        <v>96</v>
      </c>
      <c r="C59" s="40">
        <f>[2]Work!E464</f>
        <v>1.2379410877827062</v>
      </c>
      <c r="D59" s="40" t="e">
        <f>calibration_trnsubmodes!AN6</f>
        <v>#DIV/0!</v>
      </c>
      <c r="E59" s="95" t="e">
        <f t="shared" si="10"/>
        <v>#DIV/0!</v>
      </c>
      <c r="F59" s="76"/>
      <c r="G59" s="40">
        <f>[2]University!E464</f>
        <v>0.90980840668073981</v>
      </c>
      <c r="H59" s="40" t="e">
        <f>calibration_trnsubmodes!AN19</f>
        <v>#DIV/0!</v>
      </c>
      <c r="I59" s="95" t="e">
        <f t="shared" si="11"/>
        <v>#DIV/0!</v>
      </c>
      <c r="K59" s="40">
        <f>[2]School!E464</f>
        <v>0.59884295065236937</v>
      </c>
      <c r="L59" s="40" t="e">
        <f>calibration_trnsubmodes!AN32</f>
        <v>#DIV/0!</v>
      </c>
      <c r="M59" s="95" t="e">
        <f t="shared" si="12"/>
        <v>#DIV/0!</v>
      </c>
      <c r="O59" s="40">
        <f>[2]Escort!E464</f>
        <v>1.7236794815626455E-2</v>
      </c>
      <c r="P59" s="40" t="e">
        <f>calibration_trnsubmodes!AN45</f>
        <v>#DIV/0!</v>
      </c>
      <c r="Q59" s="95" t="e">
        <f t="shared" si="13"/>
        <v>#DIV/0!</v>
      </c>
      <c r="S59" s="40">
        <f>[2]Shopping!E464</f>
        <v>1.7236794815626455E-2</v>
      </c>
      <c r="T59" s="40" t="e">
        <f>calibration_trnsubmodes!AN45</f>
        <v>#DIV/0!</v>
      </c>
      <c r="U59" s="95" t="e">
        <f t="shared" si="14"/>
        <v>#DIV/0!</v>
      </c>
      <c r="W59" s="40">
        <f>[2]EatOut!E464</f>
        <v>0.52055117688581609</v>
      </c>
      <c r="X59" s="40" t="e">
        <f>calibration_trnsubmodes!AN58</f>
        <v>#DIV/0!</v>
      </c>
      <c r="Y59" s="95" t="e">
        <f t="shared" si="15"/>
        <v>#DIV/0!</v>
      </c>
      <c r="AA59" s="40">
        <f>[2]OthMaint!E464</f>
        <v>0.52055117688581609</v>
      </c>
      <c r="AB59" s="40" t="e">
        <f>calibration_trnsubmodes!AN58</f>
        <v>#DIV/0!</v>
      </c>
      <c r="AC59" s="95" t="e">
        <f t="shared" si="16"/>
        <v>#DIV/0!</v>
      </c>
      <c r="AE59" s="40">
        <f>[2]Social!E464</f>
        <v>0.52055117688581609</v>
      </c>
      <c r="AF59" s="40" t="e">
        <f>calibration_trnsubmodes!AN58</f>
        <v>#DIV/0!</v>
      </c>
      <c r="AG59" s="95" t="e">
        <f t="shared" si="17"/>
        <v>#DIV/0!</v>
      </c>
      <c r="AI59" s="40">
        <f>[2]OthDiscr!E464</f>
        <v>0.52055117688581609</v>
      </c>
      <c r="AJ59" s="40" t="e">
        <f>calibration_trnsubmodes!AN58</f>
        <v>#DIV/0!</v>
      </c>
      <c r="AK59" s="95" t="e">
        <f t="shared" si="18"/>
        <v>#DIV/0!</v>
      </c>
      <c r="AM59" s="40">
        <f>[2]WorkBased!E467</f>
        <v>0.76895472965717282</v>
      </c>
      <c r="AN59" s="40" t="e">
        <f>calibration_trnsubmodes!AN71</f>
        <v>#DIV/0!</v>
      </c>
      <c r="AO59" s="95" t="e">
        <f t="shared" si="19"/>
        <v>#DIV/0!</v>
      </c>
    </row>
    <row r="60" spans="1:41" x14ac:dyDescent="0.2">
      <c r="A60" s="1" t="s">
        <v>97</v>
      </c>
      <c r="B60" s="1" t="s">
        <v>98</v>
      </c>
      <c r="C60" s="40">
        <f>[2]Work!E465</f>
        <v>0.31090456149160672</v>
      </c>
      <c r="D60" s="40" t="e">
        <f>calibration_trnsubmodes!AN7</f>
        <v>#DIV/0!</v>
      </c>
      <c r="E60" s="95" t="e">
        <f t="shared" si="10"/>
        <v>#DIV/0!</v>
      </c>
      <c r="F60" s="76"/>
      <c r="G60" s="40">
        <f>[2]University!E465</f>
        <v>0.92023167885195711</v>
      </c>
      <c r="H60" s="40" t="e">
        <f>calibration_trnsubmodes!AN20</f>
        <v>#DIV/0!</v>
      </c>
      <c r="I60" s="95" t="e">
        <f t="shared" si="11"/>
        <v>#DIV/0!</v>
      </c>
      <c r="K60" s="40">
        <f>[2]School!E465</f>
        <v>0.92023167885195711</v>
      </c>
      <c r="L60" s="40" t="e">
        <f>calibration_trnsubmodes!AN33</f>
        <v>#DIV/0!</v>
      </c>
      <c r="M60" s="95" t="e">
        <f t="shared" si="12"/>
        <v>#DIV/0!</v>
      </c>
      <c r="O60" s="40">
        <f>[2]Escort!E465</f>
        <v>-3.5445578385821599</v>
      </c>
      <c r="P60" s="40" t="e">
        <f>calibration_trnsubmodes!AN46</f>
        <v>#DIV/0!</v>
      </c>
      <c r="Q60" s="95" t="e">
        <f t="shared" si="13"/>
        <v>#DIV/0!</v>
      </c>
      <c r="S60" s="40">
        <f>[2]Shopping!E465</f>
        <v>-3.5445578385821599</v>
      </c>
      <c r="T60" s="40" t="e">
        <f>calibration_trnsubmodes!AN46</f>
        <v>#DIV/0!</v>
      </c>
      <c r="U60" s="95" t="e">
        <f t="shared" si="14"/>
        <v>#DIV/0!</v>
      </c>
      <c r="W60" s="40">
        <f>[2]EatOut!E465</f>
        <v>1.8900422328242343</v>
      </c>
      <c r="X60" s="40" t="e">
        <f>calibration_trnsubmodes!AN59</f>
        <v>#DIV/0!</v>
      </c>
      <c r="Y60" s="95" t="e">
        <f t="shared" si="15"/>
        <v>#DIV/0!</v>
      </c>
      <c r="AA60" s="40">
        <f>[2]OthMaint!E465</f>
        <v>1.8900422328242343</v>
      </c>
      <c r="AB60" s="40" t="e">
        <f>calibration_trnsubmodes!AN59</f>
        <v>#DIV/0!</v>
      </c>
      <c r="AC60" s="95" t="e">
        <f t="shared" si="16"/>
        <v>#DIV/0!</v>
      </c>
      <c r="AE60" s="40">
        <f>[2]Social!E465</f>
        <v>1.8900422328242343</v>
      </c>
      <c r="AF60" s="40" t="e">
        <f>calibration_trnsubmodes!AN59</f>
        <v>#DIV/0!</v>
      </c>
      <c r="AG60" s="95" t="e">
        <f t="shared" si="17"/>
        <v>#DIV/0!</v>
      </c>
      <c r="AI60" s="40">
        <f>[2]OthDiscr!E465</f>
        <v>1.8900422328242343</v>
      </c>
      <c r="AJ60" s="40" t="e">
        <f>calibration_trnsubmodes!AN59</f>
        <v>#DIV/0!</v>
      </c>
      <c r="AK60" s="95" t="e">
        <f t="shared" si="18"/>
        <v>#DIV/0!</v>
      </c>
      <c r="AM60" s="40">
        <f>[2]WorkBased!E468</f>
        <v>0.94012381030816317</v>
      </c>
      <c r="AN60" s="40" t="e">
        <f>calibration_trnsubmodes!AN72</f>
        <v>#DIV/0!</v>
      </c>
      <c r="AO60" s="95" t="e">
        <f t="shared" si="19"/>
        <v>#DIV/0!</v>
      </c>
    </row>
    <row r="61" spans="1:41" x14ac:dyDescent="0.2">
      <c r="A61" s="1" t="s">
        <v>99</v>
      </c>
      <c r="B61" s="1" t="s">
        <v>100</v>
      </c>
      <c r="C61" s="40">
        <f>[2]Work!E466</f>
        <v>0.93549281481212043</v>
      </c>
      <c r="D61" s="40" t="e">
        <f>calibration_trnsubmodes!AN8</f>
        <v>#DIV/0!</v>
      </c>
      <c r="E61" s="95" t="e">
        <f t="shared" si="10"/>
        <v>#DIV/0!</v>
      </c>
      <c r="F61" s="76"/>
      <c r="G61" s="40">
        <f>[2]University!E466</f>
        <v>1.0512464977478317</v>
      </c>
      <c r="H61" s="40" t="e">
        <f>calibration_trnsubmodes!AN21</f>
        <v>#DIV/0!</v>
      </c>
      <c r="I61" s="95" t="e">
        <f t="shared" si="11"/>
        <v>#DIV/0!</v>
      </c>
      <c r="K61" s="40">
        <f>[2]School!E466</f>
        <v>0.92023167885195711</v>
      </c>
      <c r="L61" s="40" t="e">
        <f>calibration_trnsubmodes!AN34</f>
        <v>#DIV/0!</v>
      </c>
      <c r="M61" s="95" t="e">
        <f t="shared" si="12"/>
        <v>#DIV/0!</v>
      </c>
      <c r="O61" s="40">
        <f>[2]Escort!E466</f>
        <v>-1.5190980731061539</v>
      </c>
      <c r="P61" s="40" t="e">
        <f>calibration_trnsubmodes!AN47</f>
        <v>#DIV/0!</v>
      </c>
      <c r="Q61" s="95" t="e">
        <f t="shared" si="13"/>
        <v>#DIV/0!</v>
      </c>
      <c r="S61" s="40">
        <f>[2]Shopping!E466</f>
        <v>-1.5190980731061539</v>
      </c>
      <c r="T61" s="40" t="e">
        <f>calibration_trnsubmodes!AN47</f>
        <v>#DIV/0!</v>
      </c>
      <c r="U61" s="95" t="e">
        <f t="shared" si="14"/>
        <v>#DIV/0!</v>
      </c>
      <c r="W61" s="40">
        <f>[2]EatOut!E466</f>
        <v>1.9109233794550322</v>
      </c>
      <c r="X61" s="40" t="e">
        <f>calibration_trnsubmodes!AN60</f>
        <v>#DIV/0!</v>
      </c>
      <c r="Y61" s="95" t="e">
        <f t="shared" si="15"/>
        <v>#DIV/0!</v>
      </c>
      <c r="AA61" s="40">
        <f>[2]OthMaint!E466</f>
        <v>1.9109233794550322</v>
      </c>
      <c r="AB61" s="40" t="e">
        <f>calibration_trnsubmodes!AN60</f>
        <v>#DIV/0!</v>
      </c>
      <c r="AC61" s="95" t="e">
        <f t="shared" si="16"/>
        <v>#DIV/0!</v>
      </c>
      <c r="AE61" s="40">
        <f>[2]Social!E466</f>
        <v>1.9109233794550322</v>
      </c>
      <c r="AF61" s="40" t="e">
        <f>calibration_trnsubmodes!AN60</f>
        <v>#DIV/0!</v>
      </c>
      <c r="AG61" s="95" t="e">
        <f t="shared" si="17"/>
        <v>#DIV/0!</v>
      </c>
      <c r="AI61" s="40">
        <f>[2]OthDiscr!E466</f>
        <v>1.9109233794550322</v>
      </c>
      <c r="AJ61" s="40" t="e">
        <f>calibration_trnsubmodes!AN60</f>
        <v>#DIV/0!</v>
      </c>
      <c r="AK61" s="95" t="e">
        <f t="shared" si="18"/>
        <v>#DIV/0!</v>
      </c>
      <c r="AM61" s="40">
        <f>[2]WorkBased!E469</f>
        <v>0.94012381030816317</v>
      </c>
      <c r="AN61" s="40" t="e">
        <f>calibration_trnsubmodes!AN73</f>
        <v>#DIV/0!</v>
      </c>
      <c r="AO61" s="95" t="e">
        <f t="shared" si="19"/>
        <v>#DIV/0!</v>
      </c>
    </row>
    <row r="62" spans="1:41" x14ac:dyDescent="0.2">
      <c r="A62" s="1" t="s">
        <v>101</v>
      </c>
      <c r="C62" s="40">
        <f>[2]Work!E467</f>
        <v>-0.26404285159141472</v>
      </c>
      <c r="D62" s="40" t="e">
        <f>calibration_trnsubmodes!AN9</f>
        <v>#DIV/0!</v>
      </c>
      <c r="E62" s="95" t="e">
        <f t="shared" si="10"/>
        <v>#DIV/0!</v>
      </c>
      <c r="F62" s="76"/>
      <c r="G62" s="40">
        <f>[2]University!E467</f>
        <v>0.43995482787651691</v>
      </c>
      <c r="H62" s="40" t="e">
        <f>calibration_trnsubmodes!AN22</f>
        <v>#DIV/0!</v>
      </c>
      <c r="I62" s="95" t="e">
        <f t="shared" si="11"/>
        <v>#DIV/0!</v>
      </c>
      <c r="K62" s="40">
        <f>[2]School!E467</f>
        <v>0.79278714218752167</v>
      </c>
      <c r="L62" s="40" t="e">
        <f>calibration_trnsubmodes!AN35</f>
        <v>#DIV/0!</v>
      </c>
      <c r="M62" s="95" t="e">
        <f t="shared" si="12"/>
        <v>#DIV/0!</v>
      </c>
      <c r="O62" s="40">
        <f>[2]Escort!E467</f>
        <v>-0.13719907168066101</v>
      </c>
      <c r="P62" s="40" t="e">
        <f>calibration_trnsubmodes!AN48</f>
        <v>#DIV/0!</v>
      </c>
      <c r="Q62" s="95" t="e">
        <f t="shared" si="13"/>
        <v>#DIV/0!</v>
      </c>
      <c r="S62" s="40">
        <f>[2]Shopping!E467</f>
        <v>-0.13719907168066101</v>
      </c>
      <c r="T62" s="40" t="e">
        <f>calibration_trnsubmodes!AN48</f>
        <v>#DIV/0!</v>
      </c>
      <c r="U62" s="95" t="e">
        <f t="shared" si="14"/>
        <v>#DIV/0!</v>
      </c>
      <c r="W62" s="40">
        <f>[2]EatOut!E467</f>
        <v>-1.1532484255161255</v>
      </c>
      <c r="X62" s="40" t="e">
        <f>calibration_trnsubmodes!AN61</f>
        <v>#DIV/0!</v>
      </c>
      <c r="Y62" s="95" t="e">
        <f t="shared" si="15"/>
        <v>#DIV/0!</v>
      </c>
      <c r="AA62" s="40">
        <f>[2]OthMaint!E467</f>
        <v>-1.1532484255161255</v>
      </c>
      <c r="AB62" s="40" t="e">
        <f>calibration_trnsubmodes!AN61</f>
        <v>#DIV/0!</v>
      </c>
      <c r="AC62" s="95" t="e">
        <f t="shared" si="16"/>
        <v>#DIV/0!</v>
      </c>
      <c r="AE62" s="40">
        <f>[2]Social!E467</f>
        <v>-1.1532484255161255</v>
      </c>
      <c r="AF62" s="40" t="e">
        <f>calibration_trnsubmodes!AN61</f>
        <v>#DIV/0!</v>
      </c>
      <c r="AG62" s="95" t="e">
        <f t="shared" si="17"/>
        <v>#DIV/0!</v>
      </c>
      <c r="AI62" s="40">
        <f>[2]OthDiscr!E467</f>
        <v>-1.1532484255161255</v>
      </c>
      <c r="AJ62" s="40" t="e">
        <f>calibration_trnsubmodes!AN61</f>
        <v>#DIV/0!</v>
      </c>
      <c r="AK62" s="95" t="e">
        <f t="shared" si="18"/>
        <v>#DIV/0!</v>
      </c>
      <c r="AM62" s="40">
        <f>[2]WorkBased!E470</f>
        <v>-1.4182407114376705</v>
      </c>
      <c r="AN62" s="40" t="e">
        <f>calibration_trnsubmodes!AN74</f>
        <v>#DIV/0!</v>
      </c>
      <c r="AO62" s="95" t="e">
        <f t="shared" si="19"/>
        <v>#DIV/0!</v>
      </c>
    </row>
    <row r="63" spans="1:41" x14ac:dyDescent="0.2">
      <c r="A63" s="1" t="s">
        <v>102</v>
      </c>
      <c r="C63" s="40">
        <f>[2]Work!E468</f>
        <v>0.925496153086103</v>
      </c>
      <c r="D63" s="40" t="e">
        <f>calibration_trnsubmodes!AN10</f>
        <v>#DIV/0!</v>
      </c>
      <c r="E63" s="95" t="e">
        <f t="shared" si="10"/>
        <v>#DIV/0!</v>
      </c>
      <c r="F63" s="76"/>
      <c r="G63" s="40">
        <f>[2]University!E468</f>
        <v>2.3581337380913232</v>
      </c>
      <c r="H63" s="40" t="e">
        <f>calibration_trnsubmodes!AN23</f>
        <v>#DIV/0!</v>
      </c>
      <c r="I63" s="95" t="e">
        <f t="shared" si="11"/>
        <v>#DIV/0!</v>
      </c>
      <c r="K63" s="40">
        <f>[2]School!E468</f>
        <v>0.92762926719234562</v>
      </c>
      <c r="L63" s="40" t="e">
        <f>calibration_trnsubmodes!AN36</f>
        <v>#DIV/0!</v>
      </c>
      <c r="M63" s="95" t="e">
        <f t="shared" si="12"/>
        <v>#DIV/0!</v>
      </c>
      <c r="O63" s="40">
        <f>[2]Escort!E468</f>
        <v>0.29519201294031433</v>
      </c>
      <c r="P63" s="40" t="e">
        <f>calibration_trnsubmodes!AN49</f>
        <v>#DIV/0!</v>
      </c>
      <c r="Q63" s="95" t="e">
        <f t="shared" si="13"/>
        <v>#DIV/0!</v>
      </c>
      <c r="S63" s="40">
        <f>[2]Shopping!E468</f>
        <v>0.29519201294031433</v>
      </c>
      <c r="T63" s="40" t="e">
        <f>calibration_trnsubmodes!AN49</f>
        <v>#DIV/0!</v>
      </c>
      <c r="U63" s="95" t="e">
        <f t="shared" si="14"/>
        <v>#DIV/0!</v>
      </c>
      <c r="W63" s="40">
        <f>[2]EatOut!E468</f>
        <v>1.0723056844191379</v>
      </c>
      <c r="X63" s="40" t="e">
        <f>calibration_trnsubmodes!AN62</f>
        <v>#DIV/0!</v>
      </c>
      <c r="Y63" s="95" t="e">
        <f t="shared" si="15"/>
        <v>#DIV/0!</v>
      </c>
      <c r="AA63" s="40">
        <f>[2]OthMaint!E468</f>
        <v>1.0723056844191379</v>
      </c>
      <c r="AB63" s="40" t="e">
        <f>calibration_trnsubmodes!AN62</f>
        <v>#DIV/0!</v>
      </c>
      <c r="AC63" s="95" t="e">
        <f t="shared" si="16"/>
        <v>#DIV/0!</v>
      </c>
      <c r="AE63" s="40">
        <f>[2]Social!E468</f>
        <v>1.0723056844191379</v>
      </c>
      <c r="AF63" s="40" t="e">
        <f>calibration_trnsubmodes!AN62</f>
        <v>#DIV/0!</v>
      </c>
      <c r="AG63" s="95" t="e">
        <f t="shared" si="17"/>
        <v>#DIV/0!</v>
      </c>
      <c r="AI63" s="40">
        <f>[2]OthDiscr!E468</f>
        <v>1.0723056844191379</v>
      </c>
      <c r="AJ63" s="40" t="e">
        <f>calibration_trnsubmodes!AN62</f>
        <v>#DIV/0!</v>
      </c>
      <c r="AK63" s="95" t="e">
        <f t="shared" si="18"/>
        <v>#DIV/0!</v>
      </c>
      <c r="AM63" s="40">
        <f>[2]WorkBased!E471</f>
        <v>1.0145420569089958</v>
      </c>
      <c r="AN63" s="40" t="e">
        <f>calibration_trnsubmodes!AN75</f>
        <v>#DIV/0!</v>
      </c>
      <c r="AO63" s="95" t="e">
        <f t="shared" si="19"/>
        <v>#DIV/0!</v>
      </c>
    </row>
    <row r="64" spans="1:41" x14ac:dyDescent="0.2">
      <c r="A64" s="1" t="s">
        <v>103</v>
      </c>
      <c r="C64" s="40">
        <f>[2]Work!E469</f>
        <v>1.804157918501045</v>
      </c>
      <c r="D64" s="40" t="e">
        <f>calibration_trnsubmodes!AN11</f>
        <v>#DIV/0!</v>
      </c>
      <c r="E64" s="95" t="e">
        <f t="shared" si="10"/>
        <v>#DIV/0!</v>
      </c>
      <c r="F64" s="76"/>
      <c r="G64" s="40">
        <f>[2]University!E469</f>
        <v>3.605285675759121</v>
      </c>
      <c r="H64" s="40" t="e">
        <f>calibration_trnsubmodes!AN24</f>
        <v>#DIV/0!</v>
      </c>
      <c r="I64" s="95" t="e">
        <f t="shared" si="11"/>
        <v>#DIV/0!</v>
      </c>
      <c r="K64" s="40">
        <f>[2]School!E469</f>
        <v>2.3103733917387013</v>
      </c>
      <c r="L64" s="40" t="e">
        <f>calibration_trnsubmodes!AN37</f>
        <v>#DIV/0!</v>
      </c>
      <c r="M64" s="95" t="e">
        <f t="shared" si="12"/>
        <v>#DIV/0!</v>
      </c>
      <c r="O64" s="40">
        <f>[2]Escort!E469</f>
        <v>1.8429314921640141</v>
      </c>
      <c r="P64" s="40" t="e">
        <f>calibration_trnsubmodes!AN50</f>
        <v>#DIV/0!</v>
      </c>
      <c r="Q64" s="95" t="e">
        <f t="shared" si="13"/>
        <v>#DIV/0!</v>
      </c>
      <c r="S64" s="40">
        <f>[2]Shopping!E469</f>
        <v>1.8429314921640141</v>
      </c>
      <c r="T64" s="40" t="e">
        <f>calibration_trnsubmodes!AN50</f>
        <v>#DIV/0!</v>
      </c>
      <c r="U64" s="95" t="e">
        <f t="shared" si="14"/>
        <v>#DIV/0!</v>
      </c>
      <c r="W64" s="40">
        <f>[2]EatOut!E469</f>
        <v>2.1910289036197326</v>
      </c>
      <c r="X64" s="40" t="e">
        <f>calibration_trnsubmodes!AN63</f>
        <v>#DIV/0!</v>
      </c>
      <c r="Y64" s="95" t="e">
        <f t="shared" si="15"/>
        <v>#DIV/0!</v>
      </c>
      <c r="AA64" s="40">
        <f>[2]OthMaint!E469</f>
        <v>2.1910289036197326</v>
      </c>
      <c r="AB64" s="40" t="e">
        <f>calibration_trnsubmodes!AN63</f>
        <v>#DIV/0!</v>
      </c>
      <c r="AC64" s="95" t="e">
        <f t="shared" si="16"/>
        <v>#DIV/0!</v>
      </c>
      <c r="AE64" s="40">
        <f>[2]Social!E469</f>
        <v>2.1910289036197326</v>
      </c>
      <c r="AF64" s="40" t="e">
        <f>calibration_trnsubmodes!AN63</f>
        <v>#DIV/0!</v>
      </c>
      <c r="AG64" s="95" t="e">
        <f t="shared" si="17"/>
        <v>#DIV/0!</v>
      </c>
      <c r="AI64" s="40">
        <f>[2]OthDiscr!E469</f>
        <v>2.1910289036197326</v>
      </c>
      <c r="AJ64" s="40" t="e">
        <f>calibration_trnsubmodes!AN63</f>
        <v>#DIV/0!</v>
      </c>
      <c r="AK64" s="95" t="e">
        <f t="shared" si="18"/>
        <v>#DIV/0!</v>
      </c>
      <c r="AM64" s="40">
        <f>[2]WorkBased!E472</f>
        <v>3.1664461327819211</v>
      </c>
      <c r="AN64" s="40" t="e">
        <f>calibration_trnsubmodes!AN76</f>
        <v>#DIV/0!</v>
      </c>
      <c r="AO64" s="95" t="e">
        <f t="shared" si="19"/>
        <v>#DIV/0!</v>
      </c>
    </row>
    <row r="65" spans="1:41" x14ac:dyDescent="0.2">
      <c r="C65" s="40"/>
      <c r="D65" s="40"/>
      <c r="E65" s="95"/>
      <c r="F65" s="76"/>
      <c r="G65" s="40"/>
      <c r="H65" s="40"/>
      <c r="I65" s="95"/>
      <c r="K65" s="40"/>
      <c r="L65" s="40"/>
      <c r="M65" s="95"/>
      <c r="O65" s="40"/>
      <c r="P65" s="40"/>
      <c r="Q65" s="95"/>
      <c r="S65" s="40"/>
      <c r="T65" s="40"/>
      <c r="U65" s="95"/>
      <c r="W65" s="40"/>
      <c r="X65" s="40"/>
      <c r="Y65" s="95"/>
      <c r="AA65" s="40"/>
      <c r="AB65" s="40"/>
      <c r="AC65" s="95"/>
      <c r="AE65" s="40"/>
      <c r="AF65" s="40"/>
      <c r="AG65" s="95"/>
      <c r="AI65" s="40"/>
      <c r="AJ65" s="40"/>
      <c r="AK65" s="95"/>
      <c r="AM65" s="40"/>
      <c r="AN65" s="40"/>
      <c r="AO65" s="95"/>
    </row>
    <row r="66" spans="1:41" s="18" customFormat="1" x14ac:dyDescent="0.2">
      <c r="C66" s="42"/>
      <c r="D66" s="42"/>
      <c r="E66" s="96"/>
      <c r="F66" s="78"/>
      <c r="G66" s="42"/>
      <c r="H66" s="42"/>
      <c r="I66" s="96"/>
      <c r="J66" s="81"/>
      <c r="K66" s="42"/>
      <c r="L66" s="42"/>
      <c r="M66" s="96"/>
      <c r="N66" s="81"/>
      <c r="O66" s="42"/>
      <c r="P66" s="42"/>
      <c r="Q66" s="96"/>
      <c r="R66" s="81"/>
      <c r="S66" s="42"/>
      <c r="T66" s="42"/>
      <c r="U66" s="96"/>
      <c r="V66" s="81"/>
      <c r="W66" s="42"/>
      <c r="X66" s="42"/>
      <c r="Y66" s="96"/>
      <c r="Z66" s="81"/>
      <c r="AA66" s="42"/>
      <c r="AB66" s="42"/>
      <c r="AC66" s="96"/>
      <c r="AD66" s="81"/>
      <c r="AE66" s="42"/>
      <c r="AF66" s="42"/>
      <c r="AG66" s="96"/>
      <c r="AH66" s="81"/>
      <c r="AI66" s="42"/>
      <c r="AJ66" s="42"/>
      <c r="AK66" s="96"/>
      <c r="AL66" s="81"/>
      <c r="AM66" s="42"/>
      <c r="AN66" s="42"/>
      <c r="AO66" s="96"/>
    </row>
    <row r="69" spans="1:41" x14ac:dyDescent="0.2">
      <c r="A69" s="4" t="s">
        <v>172</v>
      </c>
    </row>
    <row r="70" spans="1:41" s="19" customFormat="1" x14ac:dyDescent="0.2">
      <c r="A70" s="19" t="s">
        <v>92</v>
      </c>
      <c r="C70" s="41">
        <v>0</v>
      </c>
      <c r="D70" s="41">
        <v>0</v>
      </c>
      <c r="E70" s="97">
        <f>C70/(-2*work_c_ivt)</f>
        <v>0</v>
      </c>
      <c r="F70" s="80"/>
      <c r="G70" s="41">
        <v>0</v>
      </c>
      <c r="H70" s="41">
        <v>0</v>
      </c>
      <c r="I70" s="97">
        <f>G70/(-2*work_c_ivt)</f>
        <v>0</v>
      </c>
      <c r="J70" s="80"/>
      <c r="K70" s="41">
        <v>0</v>
      </c>
      <c r="L70" s="41">
        <v>0</v>
      </c>
      <c r="M70" s="97">
        <f>K70/(-2*work_c_ivt)</f>
        <v>0</v>
      </c>
      <c r="N70" s="80"/>
      <c r="O70" s="41">
        <v>0</v>
      </c>
      <c r="P70" s="41">
        <v>0</v>
      </c>
      <c r="Q70" s="97">
        <f>O70/(-2*work_c_ivt)</f>
        <v>0</v>
      </c>
      <c r="R70" s="80"/>
      <c r="S70" s="41">
        <v>0</v>
      </c>
      <c r="T70" s="41">
        <v>0</v>
      </c>
      <c r="U70" s="97">
        <f>S70/(-2*work_c_ivt)</f>
        <v>0</v>
      </c>
      <c r="V70" s="80"/>
      <c r="W70" s="41">
        <v>0</v>
      </c>
      <c r="X70" s="41">
        <v>0</v>
      </c>
      <c r="Y70" s="97">
        <f>W70/(-2*work_c_ivt)</f>
        <v>0</v>
      </c>
      <c r="Z70" s="80"/>
      <c r="AA70" s="41">
        <v>0</v>
      </c>
      <c r="AB70" s="41">
        <v>0</v>
      </c>
      <c r="AC70" s="97">
        <f>AA70/(-2*work_c_ivt)</f>
        <v>0</v>
      </c>
      <c r="AD70" s="80"/>
      <c r="AE70" s="41">
        <v>0</v>
      </c>
      <c r="AF70" s="41">
        <v>0</v>
      </c>
      <c r="AG70" s="97">
        <f>AE70/(-2*work_c_ivt)</f>
        <v>0</v>
      </c>
      <c r="AH70" s="80"/>
      <c r="AI70" s="41">
        <v>0</v>
      </c>
      <c r="AJ70" s="41">
        <v>0</v>
      </c>
      <c r="AK70" s="97">
        <f>AI70/(-2*work_c_ivt)</f>
        <v>0</v>
      </c>
      <c r="AL70" s="80"/>
      <c r="AM70" s="41">
        <v>0</v>
      </c>
      <c r="AN70" s="41">
        <v>0</v>
      </c>
      <c r="AO70" s="97">
        <f>AM70/(-2*work_c_ivt)</f>
        <v>0</v>
      </c>
    </row>
    <row r="71" spans="1:41" x14ac:dyDescent="0.2">
      <c r="A71" s="1" t="s">
        <v>93</v>
      </c>
      <c r="C71" s="40">
        <f>C58-C$57</f>
        <v>0.73261806167260768</v>
      </c>
      <c r="D71" s="1" t="e">
        <f>D58-D$57</f>
        <v>#DIV/0!</v>
      </c>
      <c r="E71" s="95" t="e">
        <f t="shared" ref="E71:E77" si="20">D71/(-2*work_c_ivt)</f>
        <v>#DIV/0!</v>
      </c>
      <c r="G71" s="40">
        <f>G58-G$57</f>
        <v>2.9107533574002411</v>
      </c>
      <c r="H71" s="40" t="e">
        <f>H58-H$57</f>
        <v>#DIV/0!</v>
      </c>
      <c r="I71" s="95" t="e">
        <f t="shared" ref="I71:I77" si="21">H71/(-2*university_c_ivt)</f>
        <v>#DIV/0!</v>
      </c>
      <c r="K71" s="40">
        <f>K58-K$57</f>
        <v>0.37098319611867325</v>
      </c>
      <c r="L71" s="40" t="e">
        <f>L58-L$57</f>
        <v>#DIV/0!</v>
      </c>
      <c r="M71" s="95" t="e">
        <f t="shared" ref="M71:M77" si="22">L71/(-2*school_c_ivt)</f>
        <v>#DIV/0!</v>
      </c>
      <c r="O71" s="40">
        <f>O58-O$57</f>
        <v>0.62113169857047479</v>
      </c>
      <c r="P71" s="40" t="e">
        <f>P58-P$57</f>
        <v>#DIV/0!</v>
      </c>
      <c r="Q71" s="95" t="e">
        <f t="shared" ref="Q71:Q77" si="23">P71/(-2*escort_c_ivt)</f>
        <v>#DIV/0!</v>
      </c>
      <c r="S71" s="40">
        <f>S58-S$57</f>
        <v>0.62113169857047479</v>
      </c>
      <c r="T71" s="40" t="e">
        <f>T58-T$57</f>
        <v>#DIV/0!</v>
      </c>
      <c r="U71" s="95" t="e">
        <f t="shared" ref="U71:U77" si="24">T71/(-2*shopping_c_ivt)</f>
        <v>#DIV/0!</v>
      </c>
      <c r="W71" s="40">
        <f>W58-W$57</f>
        <v>0.69527387801477269</v>
      </c>
      <c r="X71" s="40" t="e">
        <f>X58-X$57</f>
        <v>#DIV/0!</v>
      </c>
      <c r="Y71" s="95" t="e">
        <f t="shared" ref="Y71:Y77" si="25">X71/(-2*eatout_c_ivt)</f>
        <v>#DIV/0!</v>
      </c>
      <c r="AA71" s="40">
        <f>AA58-AA$57</f>
        <v>0.69527387801477269</v>
      </c>
      <c r="AB71" s="40" t="e">
        <f>AB58-AB$57</f>
        <v>#DIV/0!</v>
      </c>
      <c r="AC71" s="95" t="e">
        <f t="shared" ref="AC71:AC77" si="26">AB71/(-2*othmaint_c_ivt)</f>
        <v>#DIV/0!</v>
      </c>
      <c r="AE71" s="40">
        <f>AE58-AE$57</f>
        <v>0.69527387801477269</v>
      </c>
      <c r="AF71" s="40" t="e">
        <f>AF58-AF$57</f>
        <v>#DIV/0!</v>
      </c>
      <c r="AG71" s="95" t="e">
        <f t="shared" ref="AG71:AG77" si="27">AF71/(-2*social_c_ivt)</f>
        <v>#DIV/0!</v>
      </c>
      <c r="AI71" s="40">
        <f>AI58-AI$57</f>
        <v>0.69527387801477269</v>
      </c>
      <c r="AJ71" s="40" t="e">
        <f>AJ58-AJ$57</f>
        <v>#DIV/0!</v>
      </c>
      <c r="AK71" s="95" t="e">
        <f t="shared" ref="AK71:AK77" si="28">AJ71/(-2*othdiscr_c_ivt)</f>
        <v>#DIV/0!</v>
      </c>
      <c r="AM71" s="40">
        <f>AM58-AM$57</f>
        <v>1.2181254267856334</v>
      </c>
      <c r="AN71" s="40" t="e">
        <f>AN58-AN$57</f>
        <v>#DIV/0!</v>
      </c>
      <c r="AO71" s="95" t="e">
        <f t="shared" ref="AO71:AO77" si="29">AN71/(-2*workbased_c_ivt)</f>
        <v>#DIV/0!</v>
      </c>
    </row>
    <row r="72" spans="1:41" x14ac:dyDescent="0.2">
      <c r="A72" s="1" t="s">
        <v>95</v>
      </c>
      <c r="C72" s="40">
        <f t="shared" ref="C72:D72" si="30">C59-C$57</f>
        <v>1.4818340113614115</v>
      </c>
      <c r="D72" s="40" t="e">
        <f t="shared" si="30"/>
        <v>#DIV/0!</v>
      </c>
      <c r="E72" s="95" t="e">
        <f t="shared" si="20"/>
        <v>#DIV/0!</v>
      </c>
      <c r="G72" s="40">
        <f t="shared" ref="G72:H72" si="31">G59-G$57</f>
        <v>1.8315048594377106</v>
      </c>
      <c r="H72" s="40" t="e">
        <f t="shared" si="31"/>
        <v>#DIV/0!</v>
      </c>
      <c r="I72" s="95" t="e">
        <f t="shared" si="21"/>
        <v>#DIV/0!</v>
      </c>
      <c r="K72" s="40">
        <f t="shared" ref="K72:L72" si="32">K59-K$57</f>
        <v>0.62841678776725729</v>
      </c>
      <c r="L72" s="40" t="e">
        <f t="shared" si="32"/>
        <v>#DIV/0!</v>
      </c>
      <c r="M72" s="95" t="e">
        <f t="shared" si="22"/>
        <v>#DIV/0!</v>
      </c>
      <c r="O72" s="40">
        <f t="shared" ref="O72:P72" si="33">O59-O$57</f>
        <v>-0.16280222694306171</v>
      </c>
      <c r="P72" s="40" t="e">
        <f t="shared" si="33"/>
        <v>#DIV/0!</v>
      </c>
      <c r="Q72" s="95" t="e">
        <f t="shared" si="23"/>
        <v>#DIV/0!</v>
      </c>
      <c r="S72" s="40">
        <f t="shared" ref="S72:T72" si="34">S59-S$57</f>
        <v>-0.16280222694306171</v>
      </c>
      <c r="T72" s="40" t="e">
        <f t="shared" si="34"/>
        <v>#DIV/0!</v>
      </c>
      <c r="U72" s="95" t="e">
        <f t="shared" si="24"/>
        <v>#DIV/0!</v>
      </c>
      <c r="W72" s="40">
        <f t="shared" ref="W72:X72" si="35">W59-W$57</f>
        <v>0.61387482049937059</v>
      </c>
      <c r="X72" s="40" t="e">
        <f t="shared" si="35"/>
        <v>#DIV/0!</v>
      </c>
      <c r="Y72" s="95" t="e">
        <f t="shared" si="25"/>
        <v>#DIV/0!</v>
      </c>
      <c r="AA72" s="40">
        <f t="shared" ref="AA72:AB72" si="36">AA59-AA$57</f>
        <v>0.61387482049937059</v>
      </c>
      <c r="AB72" s="40" t="e">
        <f t="shared" si="36"/>
        <v>#DIV/0!</v>
      </c>
      <c r="AC72" s="95" t="e">
        <f t="shared" si="26"/>
        <v>#DIV/0!</v>
      </c>
      <c r="AE72" s="40">
        <f t="shared" ref="AE72:AF72" si="37">AE59-AE$57</f>
        <v>0.61387482049937059</v>
      </c>
      <c r="AF72" s="40" t="e">
        <f t="shared" si="37"/>
        <v>#DIV/0!</v>
      </c>
      <c r="AG72" s="95" t="e">
        <f t="shared" si="27"/>
        <v>#DIV/0!</v>
      </c>
      <c r="AI72" s="40">
        <f t="shared" ref="AI72:AJ72" si="38">AI59-AI$57</f>
        <v>0.61387482049937059</v>
      </c>
      <c r="AJ72" s="40" t="e">
        <f t="shared" si="38"/>
        <v>#DIV/0!</v>
      </c>
      <c r="AK72" s="95" t="e">
        <f t="shared" si="28"/>
        <v>#DIV/0!</v>
      </c>
      <c r="AM72" s="40">
        <f t="shared" ref="AM72:AN72" si="39">AM59-AM$57</f>
        <v>0.96297761013906813</v>
      </c>
      <c r="AN72" s="40" t="e">
        <f t="shared" si="39"/>
        <v>#DIV/0!</v>
      </c>
      <c r="AO72" s="95" t="e">
        <f t="shared" si="29"/>
        <v>#DIV/0!</v>
      </c>
    </row>
    <row r="73" spans="1:41" x14ac:dyDescent="0.2">
      <c r="A73" s="1" t="s">
        <v>97</v>
      </c>
      <c r="C73" s="40">
        <f t="shared" ref="C73:D73" si="40">C60-C$57</f>
        <v>0.55479748507031201</v>
      </c>
      <c r="D73" s="40" t="e">
        <f t="shared" si="40"/>
        <v>#DIV/0!</v>
      </c>
      <c r="E73" s="95" t="e">
        <f t="shared" si="20"/>
        <v>#DIV/0!</v>
      </c>
      <c r="G73" s="40">
        <f t="shared" ref="G73:H73" si="41">G60-G$57</f>
        <v>1.841928131608928</v>
      </c>
      <c r="H73" s="40" t="e">
        <f t="shared" si="41"/>
        <v>#DIV/0!</v>
      </c>
      <c r="I73" s="95" t="e">
        <f t="shared" si="21"/>
        <v>#DIV/0!</v>
      </c>
      <c r="K73" s="40">
        <f t="shared" ref="K73:L73" si="42">K60-K$57</f>
        <v>0.94980551596684504</v>
      </c>
      <c r="L73" s="40" t="e">
        <f t="shared" si="42"/>
        <v>#DIV/0!</v>
      </c>
      <c r="M73" s="95" t="e">
        <f t="shared" si="22"/>
        <v>#DIV/0!</v>
      </c>
      <c r="O73" s="40">
        <f t="shared" ref="O73:P73" si="43">O60-O$57</f>
        <v>-3.7245968603408479</v>
      </c>
      <c r="P73" s="40" t="e">
        <f t="shared" si="43"/>
        <v>#DIV/0!</v>
      </c>
      <c r="Q73" s="95" t="e">
        <f t="shared" si="23"/>
        <v>#DIV/0!</v>
      </c>
      <c r="S73" s="40">
        <f t="shared" ref="S73:T73" si="44">S60-S$57</f>
        <v>-3.7245968603408479</v>
      </c>
      <c r="T73" s="40" t="e">
        <f t="shared" si="44"/>
        <v>#DIV/0!</v>
      </c>
      <c r="U73" s="95" t="e">
        <f t="shared" si="24"/>
        <v>#DIV/0!</v>
      </c>
      <c r="W73" s="40">
        <f t="shared" ref="W73:X73" si="45">W60-W$57</f>
        <v>1.9833658764377888</v>
      </c>
      <c r="X73" s="40" t="e">
        <f t="shared" si="45"/>
        <v>#DIV/0!</v>
      </c>
      <c r="Y73" s="95" t="e">
        <f t="shared" si="25"/>
        <v>#DIV/0!</v>
      </c>
      <c r="AA73" s="40">
        <f t="shared" ref="AA73:AB73" si="46">AA60-AA$57</f>
        <v>1.9833658764377888</v>
      </c>
      <c r="AB73" s="40" t="e">
        <f t="shared" si="46"/>
        <v>#DIV/0!</v>
      </c>
      <c r="AC73" s="95" t="e">
        <f t="shared" si="26"/>
        <v>#DIV/0!</v>
      </c>
      <c r="AE73" s="40">
        <f t="shared" ref="AE73:AF73" si="47">AE60-AE$57</f>
        <v>1.9833658764377888</v>
      </c>
      <c r="AF73" s="40" t="e">
        <f t="shared" si="47"/>
        <v>#DIV/0!</v>
      </c>
      <c r="AG73" s="95" t="e">
        <f t="shared" si="27"/>
        <v>#DIV/0!</v>
      </c>
      <c r="AI73" s="40">
        <f t="shared" ref="AI73:AJ73" si="48">AI60-AI$57</f>
        <v>1.9833658764377888</v>
      </c>
      <c r="AJ73" s="40" t="e">
        <f t="shared" si="48"/>
        <v>#DIV/0!</v>
      </c>
      <c r="AK73" s="95" t="e">
        <f t="shared" si="28"/>
        <v>#DIV/0!</v>
      </c>
      <c r="AM73" s="40">
        <f t="shared" ref="AM73:AN73" si="49">AM60-AM$57</f>
        <v>1.1341466907900586</v>
      </c>
      <c r="AN73" s="40" t="e">
        <f t="shared" si="49"/>
        <v>#DIV/0!</v>
      </c>
      <c r="AO73" s="95" t="e">
        <f t="shared" si="29"/>
        <v>#DIV/0!</v>
      </c>
    </row>
    <row r="74" spans="1:41" x14ac:dyDescent="0.2">
      <c r="A74" s="1" t="s">
        <v>99</v>
      </c>
      <c r="C74" s="40">
        <f t="shared" ref="C74:D74" si="50">C61-C$57</f>
        <v>1.1793857383908257</v>
      </c>
      <c r="D74" s="40" t="e">
        <f t="shared" si="50"/>
        <v>#DIV/0!</v>
      </c>
      <c r="E74" s="95" t="e">
        <f t="shared" si="20"/>
        <v>#DIV/0!</v>
      </c>
      <c r="G74" s="40">
        <f t="shared" ref="G74:H74" si="51">G61-G$57</f>
        <v>1.9729429505048026</v>
      </c>
      <c r="H74" s="40" t="e">
        <f t="shared" si="51"/>
        <v>#DIV/0!</v>
      </c>
      <c r="I74" s="95" t="e">
        <f t="shared" si="21"/>
        <v>#DIV/0!</v>
      </c>
      <c r="K74" s="40">
        <f t="shared" ref="K74:L74" si="52">K61-K$57</f>
        <v>0.94980551596684504</v>
      </c>
      <c r="L74" s="40" t="e">
        <f t="shared" si="52"/>
        <v>#DIV/0!</v>
      </c>
      <c r="M74" s="95" t="e">
        <f t="shared" si="22"/>
        <v>#DIV/0!</v>
      </c>
      <c r="O74" s="40">
        <f t="shared" ref="O74:P74" si="53">O61-O$57</f>
        <v>-1.6991370948648421</v>
      </c>
      <c r="P74" s="40" t="e">
        <f t="shared" si="53"/>
        <v>#DIV/0!</v>
      </c>
      <c r="Q74" s="95" t="e">
        <f t="shared" si="23"/>
        <v>#DIV/0!</v>
      </c>
      <c r="S74" s="40">
        <f t="shared" ref="S74:T74" si="54">S61-S$57</f>
        <v>-1.6991370948648421</v>
      </c>
      <c r="T74" s="40" t="e">
        <f t="shared" si="54"/>
        <v>#DIV/0!</v>
      </c>
      <c r="U74" s="95" t="e">
        <f t="shared" si="24"/>
        <v>#DIV/0!</v>
      </c>
      <c r="W74" s="40">
        <f t="shared" ref="W74:X74" si="55">W61-W$57</f>
        <v>2.0042470230685865</v>
      </c>
      <c r="X74" s="40" t="e">
        <f t="shared" si="55"/>
        <v>#DIV/0!</v>
      </c>
      <c r="Y74" s="95" t="e">
        <f t="shared" si="25"/>
        <v>#DIV/0!</v>
      </c>
      <c r="AA74" s="40">
        <f t="shared" ref="AA74:AB74" si="56">AA61-AA$57</f>
        <v>2.0042470230685865</v>
      </c>
      <c r="AB74" s="40" t="e">
        <f t="shared" si="56"/>
        <v>#DIV/0!</v>
      </c>
      <c r="AC74" s="95" t="e">
        <f t="shared" si="26"/>
        <v>#DIV/0!</v>
      </c>
      <c r="AE74" s="40">
        <f t="shared" ref="AE74:AF74" si="57">AE61-AE$57</f>
        <v>2.0042470230685865</v>
      </c>
      <c r="AF74" s="40" t="e">
        <f t="shared" si="57"/>
        <v>#DIV/0!</v>
      </c>
      <c r="AG74" s="95" t="e">
        <f t="shared" si="27"/>
        <v>#DIV/0!</v>
      </c>
      <c r="AI74" s="40">
        <f t="shared" ref="AI74:AJ74" si="58">AI61-AI$57</f>
        <v>2.0042470230685865</v>
      </c>
      <c r="AJ74" s="40" t="e">
        <f t="shared" si="58"/>
        <v>#DIV/0!</v>
      </c>
      <c r="AK74" s="95" t="e">
        <f t="shared" si="28"/>
        <v>#DIV/0!</v>
      </c>
      <c r="AM74" s="40">
        <f t="shared" ref="AM74:AN74" si="59">AM61-AM$57</f>
        <v>1.1341466907900586</v>
      </c>
      <c r="AN74" s="40" t="e">
        <f t="shared" si="59"/>
        <v>#DIV/0!</v>
      </c>
      <c r="AO74" s="95" t="e">
        <f t="shared" si="29"/>
        <v>#DIV/0!</v>
      </c>
    </row>
    <row r="75" spans="1:41" x14ac:dyDescent="0.2">
      <c r="A75" s="1" t="s">
        <v>101</v>
      </c>
      <c r="C75" s="40">
        <f t="shared" ref="C75:D75" si="60">C62-C$57</f>
        <v>-2.01499280127094E-2</v>
      </c>
      <c r="D75" s="40" t="e">
        <f t="shared" si="60"/>
        <v>#DIV/0!</v>
      </c>
      <c r="E75" s="95" t="e">
        <f t="shared" si="20"/>
        <v>#DIV/0!</v>
      </c>
      <c r="G75" s="40">
        <f t="shared" ref="G75:H75" si="61">G62-G$57</f>
        <v>1.3616512806334877</v>
      </c>
      <c r="H75" s="40" t="e">
        <f t="shared" si="61"/>
        <v>#DIV/0!</v>
      </c>
      <c r="I75" s="95" t="e">
        <f t="shared" si="21"/>
        <v>#DIV/0!</v>
      </c>
      <c r="K75" s="40">
        <f t="shared" ref="K75:L75" si="62">K62-K$57</f>
        <v>0.82236097930240959</v>
      </c>
      <c r="L75" s="40" t="e">
        <f t="shared" si="62"/>
        <v>#DIV/0!</v>
      </c>
      <c r="M75" s="95" t="e">
        <f t="shared" si="22"/>
        <v>#DIV/0!</v>
      </c>
      <c r="O75" s="40">
        <f t="shared" ref="O75:P75" si="63">O62-O$57</f>
        <v>-0.31723809343934917</v>
      </c>
      <c r="P75" s="40" t="e">
        <f t="shared" si="63"/>
        <v>#DIV/0!</v>
      </c>
      <c r="Q75" s="95" t="e">
        <f t="shared" si="23"/>
        <v>#DIV/0!</v>
      </c>
      <c r="S75" s="40">
        <f t="shared" ref="S75:T75" si="64">S62-S$57</f>
        <v>-0.31723809343934917</v>
      </c>
      <c r="T75" s="40" t="e">
        <f t="shared" si="64"/>
        <v>#DIV/0!</v>
      </c>
      <c r="U75" s="95" t="e">
        <f t="shared" si="24"/>
        <v>#DIV/0!</v>
      </c>
      <c r="W75" s="40">
        <f t="shared" ref="W75:X75" si="65">W62-W$57</f>
        <v>-1.059924781902571</v>
      </c>
      <c r="X75" s="40" t="e">
        <f t="shared" si="65"/>
        <v>#DIV/0!</v>
      </c>
      <c r="Y75" s="95" t="e">
        <f t="shared" si="25"/>
        <v>#DIV/0!</v>
      </c>
      <c r="AA75" s="40">
        <f t="shared" ref="AA75:AB75" si="66">AA62-AA$57</f>
        <v>-1.059924781902571</v>
      </c>
      <c r="AB75" s="40" t="e">
        <f t="shared" si="66"/>
        <v>#DIV/0!</v>
      </c>
      <c r="AC75" s="95" t="e">
        <f t="shared" si="26"/>
        <v>#DIV/0!</v>
      </c>
      <c r="AE75" s="40">
        <f t="shared" ref="AE75:AF75" si="67">AE62-AE$57</f>
        <v>-1.059924781902571</v>
      </c>
      <c r="AF75" s="40" t="e">
        <f t="shared" si="67"/>
        <v>#DIV/0!</v>
      </c>
      <c r="AG75" s="95" t="e">
        <f t="shared" si="27"/>
        <v>#DIV/0!</v>
      </c>
      <c r="AI75" s="40">
        <f t="shared" ref="AI75:AJ75" si="68">AI62-AI$57</f>
        <v>-1.059924781902571</v>
      </c>
      <c r="AJ75" s="40" t="e">
        <f t="shared" si="68"/>
        <v>#DIV/0!</v>
      </c>
      <c r="AK75" s="95" t="e">
        <f t="shared" si="28"/>
        <v>#DIV/0!</v>
      </c>
      <c r="AM75" s="40">
        <f t="shared" ref="AM75:AN75" si="69">AM62-AM$57</f>
        <v>-1.2242178309557752</v>
      </c>
      <c r="AN75" s="40" t="e">
        <f t="shared" si="69"/>
        <v>#DIV/0!</v>
      </c>
      <c r="AO75" s="95" t="e">
        <f t="shared" si="29"/>
        <v>#DIV/0!</v>
      </c>
    </row>
    <row r="76" spans="1:41" x14ac:dyDescent="0.2">
      <c r="A76" s="1" t="s">
        <v>102</v>
      </c>
      <c r="C76" s="40">
        <f t="shared" ref="C76:D76" si="70">C63-C$57</f>
        <v>1.1693890766648083</v>
      </c>
      <c r="D76" s="40" t="e">
        <f t="shared" si="70"/>
        <v>#DIV/0!</v>
      </c>
      <c r="E76" s="95" t="e">
        <f t="shared" si="20"/>
        <v>#DIV/0!</v>
      </c>
      <c r="G76" s="40">
        <f t="shared" ref="G76:H76" si="71">G63-G$57</f>
        <v>3.2798301908482941</v>
      </c>
      <c r="H76" s="40" t="e">
        <f t="shared" si="71"/>
        <v>#DIV/0!</v>
      </c>
      <c r="I76" s="95" t="e">
        <f t="shared" si="21"/>
        <v>#DIV/0!</v>
      </c>
      <c r="K76" s="40">
        <f t="shared" ref="K76:L76" si="72">K63-K$57</f>
        <v>0.95720310430723354</v>
      </c>
      <c r="L76" s="40" t="e">
        <f t="shared" si="72"/>
        <v>#DIV/0!</v>
      </c>
      <c r="M76" s="95" t="e">
        <f t="shared" si="22"/>
        <v>#DIV/0!</v>
      </c>
      <c r="O76" s="40">
        <f t="shared" ref="O76:P76" si="73">O63-O$57</f>
        <v>0.11515299118162617</v>
      </c>
      <c r="P76" s="40" t="e">
        <f t="shared" si="73"/>
        <v>#DIV/0!</v>
      </c>
      <c r="Q76" s="95" t="e">
        <f t="shared" si="23"/>
        <v>#DIV/0!</v>
      </c>
      <c r="S76" s="40">
        <f t="shared" ref="S76:T76" si="74">S63-S$57</f>
        <v>0.11515299118162617</v>
      </c>
      <c r="T76" s="40" t="e">
        <f t="shared" si="74"/>
        <v>#DIV/0!</v>
      </c>
      <c r="U76" s="95" t="e">
        <f t="shared" si="24"/>
        <v>#DIV/0!</v>
      </c>
      <c r="W76" s="40">
        <f t="shared" ref="W76:X76" si="75">W63-W$57</f>
        <v>1.1656293280326924</v>
      </c>
      <c r="X76" s="40" t="e">
        <f t="shared" si="75"/>
        <v>#DIV/0!</v>
      </c>
      <c r="Y76" s="95" t="e">
        <f t="shared" si="25"/>
        <v>#DIV/0!</v>
      </c>
      <c r="AA76" s="40">
        <f t="shared" ref="AA76:AB76" si="76">AA63-AA$57</f>
        <v>1.1656293280326924</v>
      </c>
      <c r="AB76" s="40" t="e">
        <f t="shared" si="76"/>
        <v>#DIV/0!</v>
      </c>
      <c r="AC76" s="95" t="e">
        <f t="shared" si="26"/>
        <v>#DIV/0!</v>
      </c>
      <c r="AE76" s="40">
        <f t="shared" ref="AE76:AF76" si="77">AE63-AE$57</f>
        <v>1.1656293280326924</v>
      </c>
      <c r="AF76" s="40" t="e">
        <f t="shared" si="77"/>
        <v>#DIV/0!</v>
      </c>
      <c r="AG76" s="95" t="e">
        <f t="shared" si="27"/>
        <v>#DIV/0!</v>
      </c>
      <c r="AI76" s="40">
        <f t="shared" ref="AI76:AJ76" si="78">AI63-AI$57</f>
        <v>1.1656293280326924</v>
      </c>
      <c r="AJ76" s="40" t="e">
        <f t="shared" si="78"/>
        <v>#DIV/0!</v>
      </c>
      <c r="AK76" s="95" t="e">
        <f t="shared" si="28"/>
        <v>#DIV/0!</v>
      </c>
      <c r="AM76" s="40">
        <f t="shared" ref="AM76:AN76" si="79">AM63-AM$57</f>
        <v>1.2085649373908911</v>
      </c>
      <c r="AN76" s="40" t="e">
        <f t="shared" si="79"/>
        <v>#DIV/0!</v>
      </c>
      <c r="AO76" s="95" t="e">
        <f t="shared" si="29"/>
        <v>#DIV/0!</v>
      </c>
    </row>
    <row r="77" spans="1:41" s="18" customFormat="1" x14ac:dyDescent="0.2">
      <c r="A77" s="18" t="s">
        <v>103</v>
      </c>
      <c r="C77" s="42">
        <f t="shared" ref="C77:D77" si="80">C64-C$57</f>
        <v>2.0480508420797503</v>
      </c>
      <c r="D77" s="42" t="e">
        <f t="shared" si="80"/>
        <v>#DIV/0!</v>
      </c>
      <c r="E77" s="96" t="e">
        <f t="shared" si="20"/>
        <v>#DIV/0!</v>
      </c>
      <c r="F77" s="81"/>
      <c r="G77" s="42">
        <f t="shared" ref="G77:H77" si="81">G64-G$57</f>
        <v>4.5269821285160914</v>
      </c>
      <c r="H77" s="42" t="e">
        <f t="shared" si="81"/>
        <v>#DIV/0!</v>
      </c>
      <c r="I77" s="96" t="e">
        <f t="shared" si="21"/>
        <v>#DIV/0!</v>
      </c>
      <c r="J77" s="81"/>
      <c r="K77" s="42">
        <f t="shared" ref="K77:L77" si="82">K64-K$57</f>
        <v>2.3399472288535894</v>
      </c>
      <c r="L77" s="42" t="e">
        <f t="shared" si="82"/>
        <v>#DIV/0!</v>
      </c>
      <c r="M77" s="96" t="e">
        <f t="shared" si="22"/>
        <v>#DIV/0!</v>
      </c>
      <c r="N77" s="81"/>
      <c r="O77" s="42">
        <f t="shared" ref="O77:P77" si="83">O64-O$57</f>
        <v>1.6628924704053258</v>
      </c>
      <c r="P77" s="42" t="e">
        <f t="shared" si="83"/>
        <v>#DIV/0!</v>
      </c>
      <c r="Q77" s="96" t="e">
        <f t="shared" si="23"/>
        <v>#DIV/0!</v>
      </c>
      <c r="R77" s="81"/>
      <c r="S77" s="42">
        <f t="shared" ref="S77:T77" si="84">S64-S$57</f>
        <v>1.6628924704053258</v>
      </c>
      <c r="T77" s="42" t="e">
        <f t="shared" si="84"/>
        <v>#DIV/0!</v>
      </c>
      <c r="U77" s="96" t="e">
        <f t="shared" si="24"/>
        <v>#DIV/0!</v>
      </c>
      <c r="V77" s="81"/>
      <c r="W77" s="42">
        <f t="shared" ref="W77:X77" si="85">W64-W$57</f>
        <v>2.2843525472332868</v>
      </c>
      <c r="X77" s="42" t="e">
        <f t="shared" si="85"/>
        <v>#DIV/0!</v>
      </c>
      <c r="Y77" s="96" t="e">
        <f t="shared" si="25"/>
        <v>#DIV/0!</v>
      </c>
      <c r="Z77" s="81"/>
      <c r="AA77" s="42">
        <f t="shared" ref="AA77:AB77" si="86">AA64-AA$57</f>
        <v>2.2843525472332868</v>
      </c>
      <c r="AB77" s="42" t="e">
        <f t="shared" si="86"/>
        <v>#DIV/0!</v>
      </c>
      <c r="AC77" s="96" t="e">
        <f t="shared" si="26"/>
        <v>#DIV/0!</v>
      </c>
      <c r="AD77" s="81"/>
      <c r="AE77" s="42">
        <f t="shared" ref="AE77:AF77" si="87">AE64-AE$57</f>
        <v>2.2843525472332868</v>
      </c>
      <c r="AF77" s="42" t="e">
        <f t="shared" si="87"/>
        <v>#DIV/0!</v>
      </c>
      <c r="AG77" s="96" t="e">
        <f t="shared" si="27"/>
        <v>#DIV/0!</v>
      </c>
      <c r="AH77" s="81"/>
      <c r="AI77" s="42">
        <f t="shared" ref="AI77:AJ77" si="88">AI64-AI$57</f>
        <v>2.2843525472332868</v>
      </c>
      <c r="AJ77" s="42" t="e">
        <f t="shared" si="88"/>
        <v>#DIV/0!</v>
      </c>
      <c r="AK77" s="96" t="e">
        <f t="shared" si="28"/>
        <v>#DIV/0!</v>
      </c>
      <c r="AL77" s="81"/>
      <c r="AM77" s="42">
        <f t="shared" ref="AM77:AN77" si="89">AM64-AM$57</f>
        <v>3.3604690132638164</v>
      </c>
      <c r="AN77" s="42" t="e">
        <f t="shared" si="89"/>
        <v>#DIV/0!</v>
      </c>
      <c r="AO77" s="96" t="e">
        <f t="shared" si="29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088-E6B4-487D-909F-E7757A88974F}">
  <sheetPr>
    <tabColor theme="4"/>
  </sheetPr>
  <dimension ref="A1:Z2723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42.5703125" style="98" customWidth="1"/>
    <col min="2" max="2" width="11.7109375" style="98" customWidth="1"/>
    <col min="3" max="3" width="27.28515625" style="98" bestFit="1" customWidth="1"/>
    <col min="5" max="5" width="30.7109375" style="99" bestFit="1" customWidth="1"/>
    <col min="7" max="7" width="18.42578125" style="99" customWidth="1"/>
    <col min="13" max="19" width="9.140625" style="1"/>
    <col min="20" max="20" width="30.7109375" style="1" bestFit="1" customWidth="1"/>
    <col min="21" max="21" width="9.140625" style="1"/>
    <col min="22" max="22" width="32.85546875" style="1" bestFit="1" customWidth="1"/>
    <col min="23" max="23" width="32.85546875" style="1" customWidth="1"/>
    <col min="24" max="24" width="12.7109375" style="1" customWidth="1"/>
    <col min="25" max="16384" width="9.140625" style="1"/>
  </cols>
  <sheetData>
    <row r="1" spans="1:26" x14ac:dyDescent="0.25">
      <c r="A1" s="98" t="s">
        <v>173</v>
      </c>
      <c r="B1" t="s">
        <v>319</v>
      </c>
      <c r="C1"/>
      <c r="D1" t="s">
        <v>320</v>
      </c>
      <c r="E1"/>
      <c r="F1" t="s">
        <v>321</v>
      </c>
      <c r="G1" t="s">
        <v>361</v>
      </c>
      <c r="H1" t="s">
        <v>358</v>
      </c>
      <c r="J1" t="s">
        <v>322</v>
      </c>
      <c r="K1" t="s">
        <v>323</v>
      </c>
      <c r="N1" s="100" t="s">
        <v>334</v>
      </c>
      <c r="S1" s="1" t="s">
        <v>176</v>
      </c>
      <c r="T1" s="1" t="s">
        <v>175</v>
      </c>
      <c r="V1" s="1" t="s">
        <v>329</v>
      </c>
      <c r="W1" s="1" t="s">
        <v>177</v>
      </c>
      <c r="X1" s="1" t="s">
        <v>174</v>
      </c>
    </row>
    <row r="2" spans="1:26" x14ac:dyDescent="0.25">
      <c r="A2" s="159" t="str">
        <f xml:space="preserve"> CONCATENATE(I2,"-",C2, "-",E2, "-",F2,)</f>
        <v>HR-Greater Downtown San Francisco-Greater Downtown San Francisco-High school</v>
      </c>
      <c r="B2">
        <v>1</v>
      </c>
      <c r="C2" t="str">
        <f>VLOOKUP(B2,$S$2:$T$35,2,FALSE)</f>
        <v>Greater Downtown San Francisco</v>
      </c>
      <c r="D2">
        <v>1</v>
      </c>
      <c r="E2" t="str">
        <f>VLOOKUP(D2,$S$2:$T$35,2,FALSE)</f>
        <v>Greater Downtown San Francisco</v>
      </c>
      <c r="F2" t="s">
        <v>326</v>
      </c>
      <c r="G2">
        <f t="shared" ref="G2:G65" si="0">VLOOKUP(F2,$V$2:$X$10, 3,FALSE)</f>
        <v>3</v>
      </c>
      <c r="H2" t="s">
        <v>124</v>
      </c>
      <c r="I2" t="s">
        <v>188</v>
      </c>
      <c r="J2">
        <v>1</v>
      </c>
      <c r="K2">
        <v>95.822099447513807</v>
      </c>
      <c r="N2" s="1" t="s">
        <v>335</v>
      </c>
      <c r="S2" s="1">
        <v>1</v>
      </c>
      <c r="T2" s="1" t="s">
        <v>180</v>
      </c>
      <c r="V2" s="1" t="s">
        <v>30</v>
      </c>
      <c r="W2" s="1" t="s">
        <v>181</v>
      </c>
      <c r="X2" s="1">
        <v>1</v>
      </c>
      <c r="Z2"/>
    </row>
    <row r="3" spans="1:26" x14ac:dyDescent="0.25">
      <c r="A3" s="159" t="str">
        <f t="shared" ref="A3:A66" si="1" xml:space="preserve"> CONCATENATE(I3,"-",C3, "-",E3, "-",F3,)</f>
        <v>LR-Greater Downtown San Francisco-Greater Downtown San Francisco-High school</v>
      </c>
      <c r="B3">
        <v>1</v>
      </c>
      <c r="C3" t="str">
        <f t="shared" ref="C3:E66" si="2">VLOOKUP(B3,$S$2:$T$35,2,FALSE)</f>
        <v>Greater Downtown San Francisco</v>
      </c>
      <c r="D3">
        <v>1</v>
      </c>
      <c r="E3" t="str">
        <f t="shared" si="2"/>
        <v>Greater Downtown San Francisco</v>
      </c>
      <c r="F3" t="s">
        <v>326</v>
      </c>
      <c r="G3">
        <f t="shared" si="0"/>
        <v>3</v>
      </c>
      <c r="H3" t="s">
        <v>353</v>
      </c>
      <c r="I3" t="s">
        <v>194</v>
      </c>
      <c r="J3">
        <v>1</v>
      </c>
      <c r="K3">
        <v>286.12835472578797</v>
      </c>
      <c r="S3" s="1">
        <v>2</v>
      </c>
      <c r="T3" s="1" t="s">
        <v>183</v>
      </c>
      <c r="W3" s="1" t="s">
        <v>184</v>
      </c>
      <c r="X3" s="1">
        <v>2</v>
      </c>
      <c r="Z3"/>
    </row>
    <row r="4" spans="1:26" x14ac:dyDescent="0.25">
      <c r="A4" s="159" t="str">
        <f t="shared" si="1"/>
        <v>LB-Greater Downtown San Francisco-Greater Downtown San Francisco-High school</v>
      </c>
      <c r="B4">
        <v>1</v>
      </c>
      <c r="C4" t="str">
        <f t="shared" si="2"/>
        <v>Greater Downtown San Francisco</v>
      </c>
      <c r="D4">
        <v>1</v>
      </c>
      <c r="E4" t="str">
        <f t="shared" si="2"/>
        <v>Greater Downtown San Francisco</v>
      </c>
      <c r="F4" t="s">
        <v>326</v>
      </c>
      <c r="G4">
        <f t="shared" si="0"/>
        <v>3</v>
      </c>
      <c r="H4" t="s">
        <v>359</v>
      </c>
      <c r="I4" t="s">
        <v>191</v>
      </c>
      <c r="J4">
        <v>9</v>
      </c>
      <c r="K4">
        <v>2575.15519253209</v>
      </c>
      <c r="S4" s="1">
        <v>3</v>
      </c>
      <c r="T4" s="1" t="s">
        <v>186</v>
      </c>
      <c r="V4" s="1" t="s">
        <v>332</v>
      </c>
      <c r="W4" s="1" t="s">
        <v>187</v>
      </c>
      <c r="X4" s="1">
        <v>3</v>
      </c>
      <c r="Z4"/>
    </row>
    <row r="5" spans="1:26" x14ac:dyDescent="0.25">
      <c r="A5" s="159" t="str">
        <f t="shared" si="1"/>
        <v>LR-Greater Downtown San Francisco-Greater Downtown San Francisco-Missing</v>
      </c>
      <c r="B5">
        <v>1</v>
      </c>
      <c r="C5" t="str">
        <f t="shared" si="2"/>
        <v>Greater Downtown San Francisco</v>
      </c>
      <c r="D5">
        <v>1</v>
      </c>
      <c r="E5" t="str">
        <f t="shared" si="2"/>
        <v>Greater Downtown San Francisco</v>
      </c>
      <c r="F5" t="s">
        <v>327</v>
      </c>
      <c r="G5">
        <f t="shared" si="0"/>
        <v>0</v>
      </c>
      <c r="H5" t="s">
        <v>353</v>
      </c>
      <c r="I5" t="s">
        <v>194</v>
      </c>
      <c r="J5">
        <v>1</v>
      </c>
      <c r="K5">
        <v>286.12835472578797</v>
      </c>
      <c r="S5" s="1">
        <v>4</v>
      </c>
      <c r="T5" s="1" t="s">
        <v>189</v>
      </c>
      <c r="V5" s="1" t="s">
        <v>106</v>
      </c>
      <c r="W5" s="1" t="s">
        <v>190</v>
      </c>
      <c r="X5" s="1">
        <v>4</v>
      </c>
      <c r="Z5"/>
    </row>
    <row r="6" spans="1:26" x14ac:dyDescent="0.25">
      <c r="A6" s="159" t="str">
        <f t="shared" si="1"/>
        <v>LB-Greater Downtown San Francisco-Greater Downtown San Francisco-Missing</v>
      </c>
      <c r="B6">
        <v>1</v>
      </c>
      <c r="C6" t="str">
        <f t="shared" si="2"/>
        <v>Greater Downtown San Francisco</v>
      </c>
      <c r="D6">
        <v>1</v>
      </c>
      <c r="E6" t="str">
        <f t="shared" si="2"/>
        <v>Greater Downtown San Francisco</v>
      </c>
      <c r="F6" t="s">
        <v>327</v>
      </c>
      <c r="G6">
        <f t="shared" si="0"/>
        <v>0</v>
      </c>
      <c r="H6" t="s">
        <v>359</v>
      </c>
      <c r="I6" t="s">
        <v>191</v>
      </c>
      <c r="J6">
        <v>12</v>
      </c>
      <c r="K6">
        <v>3278.5479564054299</v>
      </c>
      <c r="S6" s="1">
        <v>5</v>
      </c>
      <c r="T6" s="1" t="s">
        <v>192</v>
      </c>
      <c r="V6" s="1" t="s">
        <v>331</v>
      </c>
      <c r="W6" s="1" t="s">
        <v>190</v>
      </c>
      <c r="X6" s="1">
        <v>4</v>
      </c>
      <c r="Z6"/>
    </row>
    <row r="7" spans="1:26" x14ac:dyDescent="0.25">
      <c r="A7" s="159" t="str">
        <f t="shared" si="1"/>
        <v>LR-Greater Downtown San Francisco-Greater Downtown San Francisco-Other maintenance</v>
      </c>
      <c r="B7">
        <v>1</v>
      </c>
      <c r="C7" t="str">
        <f t="shared" si="2"/>
        <v>Greater Downtown San Francisco</v>
      </c>
      <c r="D7">
        <v>1</v>
      </c>
      <c r="E7" t="str">
        <f t="shared" si="2"/>
        <v>Greater Downtown San Francisco</v>
      </c>
      <c r="F7" t="s">
        <v>325</v>
      </c>
      <c r="G7">
        <f t="shared" si="0"/>
        <v>4</v>
      </c>
      <c r="H7" t="s">
        <v>353</v>
      </c>
      <c r="I7" t="s">
        <v>194</v>
      </c>
      <c r="J7">
        <v>2</v>
      </c>
      <c r="K7">
        <v>1526.3551205250401</v>
      </c>
      <c r="S7" s="1">
        <v>6</v>
      </c>
      <c r="T7" s="1" t="s">
        <v>195</v>
      </c>
      <c r="V7" s="1" t="s">
        <v>330</v>
      </c>
      <c r="W7" s="1" t="s">
        <v>193</v>
      </c>
      <c r="X7" s="1">
        <v>5</v>
      </c>
      <c r="Z7"/>
    </row>
    <row r="8" spans="1:26" x14ac:dyDescent="0.25">
      <c r="A8" s="159" t="str">
        <f t="shared" si="1"/>
        <v>LB-Greater Downtown San Francisco-Greater Downtown San Francisco-Other maintenance</v>
      </c>
      <c r="B8">
        <v>1</v>
      </c>
      <c r="C8" t="str">
        <f t="shared" si="2"/>
        <v>Greater Downtown San Francisco</v>
      </c>
      <c r="D8">
        <v>1</v>
      </c>
      <c r="E8" t="str">
        <f t="shared" si="2"/>
        <v>Greater Downtown San Francisco</v>
      </c>
      <c r="F8" t="s">
        <v>325</v>
      </c>
      <c r="G8">
        <f t="shared" si="0"/>
        <v>4</v>
      </c>
      <c r="H8" t="s">
        <v>359</v>
      </c>
      <c r="I8" t="s">
        <v>191</v>
      </c>
      <c r="J8">
        <v>11</v>
      </c>
      <c r="K8">
        <v>5055.6087241306104</v>
      </c>
      <c r="S8" s="1">
        <v>7</v>
      </c>
      <c r="T8" s="1" t="s">
        <v>198</v>
      </c>
      <c r="W8" s="1" t="s">
        <v>196</v>
      </c>
      <c r="X8" s="1">
        <v>6</v>
      </c>
      <c r="Z8"/>
    </row>
    <row r="9" spans="1:26" x14ac:dyDescent="0.25">
      <c r="A9" s="159" t="str">
        <f t="shared" si="1"/>
        <v>LR-Greater Downtown San Francisco-Greater Downtown San Francisco-Shopping</v>
      </c>
      <c r="B9">
        <v>1</v>
      </c>
      <c r="C9" t="str">
        <f t="shared" si="2"/>
        <v>Greater Downtown San Francisco</v>
      </c>
      <c r="D9">
        <v>1</v>
      </c>
      <c r="E9" t="str">
        <f t="shared" si="2"/>
        <v>Greater Downtown San Francisco</v>
      </c>
      <c r="F9" t="s">
        <v>106</v>
      </c>
      <c r="G9">
        <f t="shared" si="0"/>
        <v>4</v>
      </c>
      <c r="H9" t="s">
        <v>353</v>
      </c>
      <c r="I9" t="s">
        <v>194</v>
      </c>
      <c r="J9">
        <v>1</v>
      </c>
      <c r="K9">
        <v>286.12835472578797</v>
      </c>
      <c r="S9" s="1">
        <v>8</v>
      </c>
      <c r="T9" s="1" t="s">
        <v>199</v>
      </c>
      <c r="V9" s="1" t="s">
        <v>328</v>
      </c>
      <c r="X9" s="1">
        <v>0</v>
      </c>
      <c r="Z9"/>
    </row>
    <row r="10" spans="1:26" x14ac:dyDescent="0.25">
      <c r="A10" s="159" t="str">
        <f t="shared" si="1"/>
        <v>LB-Greater Downtown San Francisco-Greater Downtown San Francisco-Shopping</v>
      </c>
      <c r="B10">
        <v>1</v>
      </c>
      <c r="C10" t="str">
        <f t="shared" si="2"/>
        <v>Greater Downtown San Francisco</v>
      </c>
      <c r="D10">
        <v>1</v>
      </c>
      <c r="E10" t="str">
        <f t="shared" si="2"/>
        <v>Greater Downtown San Francisco</v>
      </c>
      <c r="F10" t="s">
        <v>106</v>
      </c>
      <c r="G10">
        <f t="shared" si="0"/>
        <v>4</v>
      </c>
      <c r="H10" t="s">
        <v>359</v>
      </c>
      <c r="I10" t="s">
        <v>191</v>
      </c>
      <c r="J10">
        <v>13</v>
      </c>
      <c r="K10">
        <v>9444.2590778760696</v>
      </c>
      <c r="S10" s="1">
        <v>9</v>
      </c>
      <c r="T10" s="1" t="s">
        <v>200</v>
      </c>
      <c r="V10" s="1" t="s">
        <v>327</v>
      </c>
      <c r="X10" s="1">
        <v>0</v>
      </c>
      <c r="Z10"/>
    </row>
    <row r="11" spans="1:26" x14ac:dyDescent="0.25">
      <c r="A11" s="159" t="str">
        <f t="shared" si="1"/>
        <v>FR-Greater Downtown San Francisco-Greater Downtown San Francisco-Social recreation</v>
      </c>
      <c r="B11">
        <v>1</v>
      </c>
      <c r="C11" t="str">
        <f t="shared" si="2"/>
        <v>Greater Downtown San Francisco</v>
      </c>
      <c r="D11">
        <v>1</v>
      </c>
      <c r="E11" t="str">
        <f t="shared" si="2"/>
        <v>Greater Downtown San Francisco</v>
      </c>
      <c r="F11" t="s">
        <v>324</v>
      </c>
      <c r="G11">
        <f t="shared" si="0"/>
        <v>5</v>
      </c>
      <c r="H11" t="s">
        <v>360</v>
      </c>
      <c r="I11" t="s">
        <v>185</v>
      </c>
      <c r="J11">
        <v>1</v>
      </c>
      <c r="K11">
        <v>16.498422712933699</v>
      </c>
      <c r="S11" s="1">
        <v>10</v>
      </c>
      <c r="T11" s="1" t="s">
        <v>201</v>
      </c>
      <c r="W11" s="1" t="s">
        <v>1</v>
      </c>
      <c r="X11" s="1" t="s">
        <v>1</v>
      </c>
      <c r="Z11"/>
    </row>
    <row r="12" spans="1:26" x14ac:dyDescent="0.25">
      <c r="A12" s="159" t="str">
        <f t="shared" si="1"/>
        <v>HR-Greater Downtown San Francisco-Greater Downtown San Francisco-Social recreation</v>
      </c>
      <c r="B12">
        <v>1</v>
      </c>
      <c r="C12" t="str">
        <f t="shared" si="2"/>
        <v>Greater Downtown San Francisco</v>
      </c>
      <c r="D12">
        <v>1</v>
      </c>
      <c r="E12" t="str">
        <f t="shared" si="2"/>
        <v>Greater Downtown San Francisco</v>
      </c>
      <c r="F12" t="s">
        <v>324</v>
      </c>
      <c r="G12">
        <f t="shared" si="0"/>
        <v>5</v>
      </c>
      <c r="H12" t="s">
        <v>124</v>
      </c>
      <c r="I12" t="s">
        <v>188</v>
      </c>
      <c r="J12">
        <v>1</v>
      </c>
      <c r="K12">
        <v>195.51395348837201</v>
      </c>
      <c r="S12" s="1">
        <v>11</v>
      </c>
      <c r="T12" s="1" t="s">
        <v>203</v>
      </c>
      <c r="Z12"/>
    </row>
    <row r="13" spans="1:26" x14ac:dyDescent="0.25">
      <c r="A13" s="159" t="str">
        <f t="shared" si="1"/>
        <v>LR-Greater Downtown San Francisco-Greater Downtown San Francisco-Social recreation</v>
      </c>
      <c r="B13">
        <v>1</v>
      </c>
      <c r="C13" t="str">
        <f t="shared" si="2"/>
        <v>Greater Downtown San Francisco</v>
      </c>
      <c r="D13">
        <v>1</v>
      </c>
      <c r="E13" t="str">
        <f t="shared" si="2"/>
        <v>Greater Downtown San Francisco</v>
      </c>
      <c r="F13" t="s">
        <v>324</v>
      </c>
      <c r="G13">
        <f t="shared" si="0"/>
        <v>5</v>
      </c>
      <c r="H13" t="s">
        <v>353</v>
      </c>
      <c r="I13" t="s">
        <v>194</v>
      </c>
      <c r="J13">
        <v>2</v>
      </c>
      <c r="K13">
        <v>572.25670945157594</v>
      </c>
      <c r="S13" s="1">
        <v>12</v>
      </c>
      <c r="T13" s="1" t="s">
        <v>204</v>
      </c>
      <c r="V13" s="1" t="s">
        <v>367</v>
      </c>
      <c r="W13" s="1" t="s">
        <v>202</v>
      </c>
      <c r="Z13"/>
    </row>
    <row r="14" spans="1:26" x14ac:dyDescent="0.25">
      <c r="A14" s="159" t="str">
        <f t="shared" si="1"/>
        <v>LB-Greater Downtown San Francisco-Greater Downtown San Francisco-Social recreation</v>
      </c>
      <c r="B14">
        <v>1</v>
      </c>
      <c r="C14" t="str">
        <f t="shared" si="2"/>
        <v>Greater Downtown San Francisco</v>
      </c>
      <c r="D14">
        <v>1</v>
      </c>
      <c r="E14" t="str">
        <f t="shared" si="2"/>
        <v>Greater Downtown San Francisco</v>
      </c>
      <c r="F14" t="s">
        <v>324</v>
      </c>
      <c r="G14">
        <f t="shared" si="0"/>
        <v>5</v>
      </c>
      <c r="H14" t="s">
        <v>359</v>
      </c>
      <c r="I14" t="s">
        <v>191</v>
      </c>
      <c r="J14">
        <v>50</v>
      </c>
      <c r="K14">
        <v>21672.804654495802</v>
      </c>
      <c r="S14" s="1">
        <v>13</v>
      </c>
      <c r="T14" s="1" t="s">
        <v>205</v>
      </c>
      <c r="V14" s="1" t="s">
        <v>359</v>
      </c>
      <c r="W14" s="1" t="s">
        <v>191</v>
      </c>
      <c r="Z14"/>
    </row>
    <row r="15" spans="1:26" x14ac:dyDescent="0.25">
      <c r="A15" s="159" t="str">
        <f t="shared" si="1"/>
        <v>CR-Greater Downtown San Francisco-Greater Downtown San Francisco-Work</v>
      </c>
      <c r="B15">
        <v>1</v>
      </c>
      <c r="C15" t="str">
        <f t="shared" si="2"/>
        <v>Greater Downtown San Francisco</v>
      </c>
      <c r="D15">
        <v>1</v>
      </c>
      <c r="E15" t="str">
        <f t="shared" si="2"/>
        <v>Greater Downtown San Francisco</v>
      </c>
      <c r="F15" t="s">
        <v>30</v>
      </c>
      <c r="G15">
        <f t="shared" si="0"/>
        <v>1</v>
      </c>
      <c r="H15" t="s">
        <v>125</v>
      </c>
      <c r="I15" t="s">
        <v>178</v>
      </c>
      <c r="J15">
        <v>1</v>
      </c>
      <c r="K15">
        <v>23.4305084745763</v>
      </c>
      <c r="S15" s="1">
        <v>14</v>
      </c>
      <c r="T15" s="1" t="s">
        <v>206</v>
      </c>
      <c r="V15" s="1" t="s">
        <v>123</v>
      </c>
      <c r="W15" s="1" t="s">
        <v>182</v>
      </c>
      <c r="Z15"/>
    </row>
    <row r="16" spans="1:26" x14ac:dyDescent="0.25">
      <c r="A16" s="159" t="str">
        <f t="shared" si="1"/>
        <v>EB-Greater Downtown San Francisco-Greater Downtown San Francisco-Work</v>
      </c>
      <c r="B16">
        <v>1</v>
      </c>
      <c r="C16" t="str">
        <f t="shared" si="2"/>
        <v>Greater Downtown San Francisco</v>
      </c>
      <c r="D16">
        <v>1</v>
      </c>
      <c r="E16" t="str">
        <f t="shared" si="2"/>
        <v>Greater Downtown San Francisco</v>
      </c>
      <c r="F16" t="s">
        <v>30</v>
      </c>
      <c r="G16">
        <f t="shared" si="0"/>
        <v>1</v>
      </c>
      <c r="H16" t="s">
        <v>123</v>
      </c>
      <c r="I16" t="s">
        <v>182</v>
      </c>
      <c r="J16">
        <v>1</v>
      </c>
      <c r="K16">
        <v>75.575262543757304</v>
      </c>
      <c r="S16" s="1">
        <v>15</v>
      </c>
      <c r="T16" s="1" t="s">
        <v>207</v>
      </c>
      <c r="V16" s="1" t="s">
        <v>360</v>
      </c>
      <c r="W16" s="1" t="s">
        <v>185</v>
      </c>
      <c r="Z16"/>
    </row>
    <row r="17" spans="1:26" x14ac:dyDescent="0.25">
      <c r="A17" s="159" t="str">
        <f t="shared" si="1"/>
        <v>HR-Greater Downtown San Francisco-Greater Downtown San Francisco-Work</v>
      </c>
      <c r="B17">
        <v>1</v>
      </c>
      <c r="C17" t="str">
        <f t="shared" si="2"/>
        <v>Greater Downtown San Francisco</v>
      </c>
      <c r="D17">
        <v>1</v>
      </c>
      <c r="E17" t="str">
        <f t="shared" si="2"/>
        <v>Greater Downtown San Francisco</v>
      </c>
      <c r="F17" t="s">
        <v>30</v>
      </c>
      <c r="G17">
        <f t="shared" si="0"/>
        <v>1</v>
      </c>
      <c r="H17" t="s">
        <v>124</v>
      </c>
      <c r="I17" t="s">
        <v>188</v>
      </c>
      <c r="J17">
        <v>1</v>
      </c>
      <c r="K17">
        <v>95.822099447513807</v>
      </c>
      <c r="S17" s="1">
        <v>16</v>
      </c>
      <c r="T17" s="1" t="s">
        <v>208</v>
      </c>
      <c r="V17" s="1" t="s">
        <v>353</v>
      </c>
      <c r="W17" s="1" t="s">
        <v>194</v>
      </c>
      <c r="Z17"/>
    </row>
    <row r="18" spans="1:26" x14ac:dyDescent="0.25">
      <c r="A18" s="159" t="str">
        <f t="shared" si="1"/>
        <v>LR-Greater Downtown San Francisco-Greater Downtown San Francisco-Work</v>
      </c>
      <c r="B18">
        <v>1</v>
      </c>
      <c r="C18" t="str">
        <f t="shared" si="2"/>
        <v>Greater Downtown San Francisco</v>
      </c>
      <c r="D18">
        <v>1</v>
      </c>
      <c r="E18" t="str">
        <f t="shared" si="2"/>
        <v>Greater Downtown San Francisco</v>
      </c>
      <c r="F18" t="s">
        <v>30</v>
      </c>
      <c r="G18">
        <f t="shared" si="0"/>
        <v>1</v>
      </c>
      <c r="H18" t="s">
        <v>353</v>
      </c>
      <c r="I18" t="s">
        <v>194</v>
      </c>
      <c r="J18">
        <v>4</v>
      </c>
      <c r="K18">
        <v>1144.5134189031501</v>
      </c>
      <c r="S18" s="1">
        <v>17</v>
      </c>
      <c r="T18" s="1" t="s">
        <v>209</v>
      </c>
      <c r="V18" s="1" t="s">
        <v>124</v>
      </c>
      <c r="W18" s="1" t="s">
        <v>188</v>
      </c>
      <c r="Z18"/>
    </row>
    <row r="19" spans="1:26" x14ac:dyDescent="0.25">
      <c r="A19" s="159" t="str">
        <f t="shared" si="1"/>
        <v>LB-Greater Downtown San Francisco-Greater Downtown San Francisco-Work</v>
      </c>
      <c r="B19">
        <v>1</v>
      </c>
      <c r="C19" t="str">
        <f t="shared" si="2"/>
        <v>Greater Downtown San Francisco</v>
      </c>
      <c r="D19">
        <v>1</v>
      </c>
      <c r="E19" t="str">
        <f t="shared" si="2"/>
        <v>Greater Downtown San Francisco</v>
      </c>
      <c r="F19" t="s">
        <v>30</v>
      </c>
      <c r="G19">
        <f t="shared" si="0"/>
        <v>1</v>
      </c>
      <c r="H19" t="s">
        <v>359</v>
      </c>
      <c r="I19" t="s">
        <v>191</v>
      </c>
      <c r="J19">
        <v>35</v>
      </c>
      <c r="K19">
        <v>11767.696937245501</v>
      </c>
      <c r="S19" s="1">
        <v>18</v>
      </c>
      <c r="T19" s="1" t="s">
        <v>210</v>
      </c>
      <c r="V19" s="1" t="s">
        <v>125</v>
      </c>
      <c r="W19" s="1" t="s">
        <v>178</v>
      </c>
      <c r="Z19"/>
    </row>
    <row r="20" spans="1:26" x14ac:dyDescent="0.25">
      <c r="A20" s="159" t="str">
        <f t="shared" si="1"/>
        <v>LR-Greater Downtown San Francisco-San Francisco Richmond District-High school</v>
      </c>
      <c r="B20">
        <v>1</v>
      </c>
      <c r="C20" t="str">
        <f t="shared" si="2"/>
        <v>Greater Downtown San Francisco</v>
      </c>
      <c r="D20">
        <v>2</v>
      </c>
      <c r="E20" t="str">
        <f t="shared" si="2"/>
        <v>San Francisco Richmond District</v>
      </c>
      <c r="F20" t="s">
        <v>326</v>
      </c>
      <c r="G20">
        <f t="shared" si="0"/>
        <v>3</v>
      </c>
      <c r="H20" t="s">
        <v>353</v>
      </c>
      <c r="I20" t="s">
        <v>194</v>
      </c>
      <c r="J20">
        <v>1</v>
      </c>
      <c r="K20">
        <v>286.12835472578797</v>
      </c>
      <c r="S20" s="1">
        <v>19</v>
      </c>
      <c r="T20" s="1" t="s">
        <v>197</v>
      </c>
      <c r="V20" s="1" t="s">
        <v>1</v>
      </c>
      <c r="Z20"/>
    </row>
    <row r="21" spans="1:26" x14ac:dyDescent="0.25">
      <c r="A21" s="159" t="str">
        <f t="shared" si="1"/>
        <v>LB-Greater Downtown San Francisco-San Francisco Richmond District-High school</v>
      </c>
      <c r="B21">
        <v>1</v>
      </c>
      <c r="C21" t="str">
        <f t="shared" si="2"/>
        <v>Greater Downtown San Francisco</v>
      </c>
      <c r="D21">
        <v>2</v>
      </c>
      <c r="E21" t="str">
        <f t="shared" si="2"/>
        <v>San Francisco Richmond District</v>
      </c>
      <c r="F21" t="s">
        <v>326</v>
      </c>
      <c r="G21">
        <f t="shared" si="0"/>
        <v>3</v>
      </c>
      <c r="H21" t="s">
        <v>359</v>
      </c>
      <c r="I21" t="s">
        <v>191</v>
      </c>
      <c r="J21">
        <v>4</v>
      </c>
      <c r="K21">
        <v>1144.5134189031501</v>
      </c>
      <c r="S21" s="1">
        <v>20</v>
      </c>
      <c r="T21" s="1" t="s">
        <v>212</v>
      </c>
      <c r="Z21"/>
    </row>
    <row r="22" spans="1:26" x14ac:dyDescent="0.25">
      <c r="A22" s="159" t="str">
        <f t="shared" si="1"/>
        <v>LB-Greater Downtown San Francisco-San Francisco Richmond District-Missing</v>
      </c>
      <c r="B22">
        <v>1</v>
      </c>
      <c r="C22" t="str">
        <f t="shared" si="2"/>
        <v>Greater Downtown San Francisco</v>
      </c>
      <c r="D22">
        <v>2</v>
      </c>
      <c r="E22" t="str">
        <f t="shared" si="2"/>
        <v>San Francisco Richmond District</v>
      </c>
      <c r="F22" t="s">
        <v>327</v>
      </c>
      <c r="G22">
        <f t="shared" si="0"/>
        <v>0</v>
      </c>
      <c r="H22" t="s">
        <v>359</v>
      </c>
      <c r="I22" t="s">
        <v>191</v>
      </c>
      <c r="J22">
        <v>4</v>
      </c>
      <c r="K22">
        <v>1144.5134189031501</v>
      </c>
      <c r="S22" s="1">
        <v>21</v>
      </c>
      <c r="T22" s="1" t="s">
        <v>211</v>
      </c>
      <c r="V22" s="1" t="s">
        <v>263</v>
      </c>
      <c r="Z22"/>
    </row>
    <row r="23" spans="1:26" x14ac:dyDescent="0.25">
      <c r="A23" s="159" t="str">
        <f t="shared" si="1"/>
        <v>LB-Greater Downtown San Francisco-San Francisco Richmond District-Other maintenance</v>
      </c>
      <c r="B23">
        <v>1</v>
      </c>
      <c r="C23" t="str">
        <f t="shared" si="2"/>
        <v>Greater Downtown San Francisco</v>
      </c>
      <c r="D23">
        <v>2</v>
      </c>
      <c r="E23" t="str">
        <f t="shared" si="2"/>
        <v>San Francisco Richmond District</v>
      </c>
      <c r="F23" t="s">
        <v>325</v>
      </c>
      <c r="G23">
        <f t="shared" si="0"/>
        <v>4</v>
      </c>
      <c r="H23" t="s">
        <v>359</v>
      </c>
      <c r="I23" t="s">
        <v>191</v>
      </c>
      <c r="J23">
        <v>12</v>
      </c>
      <c r="K23">
        <v>5341.7370788563903</v>
      </c>
      <c r="S23" s="1">
        <v>22</v>
      </c>
      <c r="T23" s="1" t="s">
        <v>213</v>
      </c>
      <c r="V23" s="1" t="s">
        <v>264</v>
      </c>
      <c r="Z23"/>
    </row>
    <row r="24" spans="1:26" x14ac:dyDescent="0.25">
      <c r="A24" s="159" t="str">
        <f t="shared" si="1"/>
        <v>LB-Greater Downtown San Francisco-San Francisco Richmond District-Shopping</v>
      </c>
      <c r="B24">
        <v>1</v>
      </c>
      <c r="C24" t="str">
        <f t="shared" si="2"/>
        <v>Greater Downtown San Francisco</v>
      </c>
      <c r="D24">
        <v>2</v>
      </c>
      <c r="E24" t="str">
        <f t="shared" si="2"/>
        <v>San Francisco Richmond District</v>
      </c>
      <c r="F24" t="s">
        <v>106</v>
      </c>
      <c r="G24">
        <f t="shared" si="0"/>
        <v>4</v>
      </c>
      <c r="H24" t="s">
        <v>359</v>
      </c>
      <c r="I24" t="s">
        <v>191</v>
      </c>
      <c r="J24">
        <v>6</v>
      </c>
      <c r="K24">
        <v>3624.96695050167</v>
      </c>
      <c r="S24" s="1">
        <v>23</v>
      </c>
      <c r="T24" s="1" t="s">
        <v>214</v>
      </c>
      <c r="V24" s="1" t="s">
        <v>268</v>
      </c>
      <c r="Z24"/>
    </row>
    <row r="25" spans="1:26" x14ac:dyDescent="0.25">
      <c r="A25" s="159" t="str">
        <f t="shared" si="1"/>
        <v>LR-Greater Downtown San Francisco-San Francisco Richmond District-Social recreation</v>
      </c>
      <c r="B25">
        <v>1</v>
      </c>
      <c r="C25" t="str">
        <f t="shared" si="2"/>
        <v>Greater Downtown San Francisco</v>
      </c>
      <c r="D25">
        <v>2</v>
      </c>
      <c r="E25" t="str">
        <f t="shared" si="2"/>
        <v>San Francisco Richmond District</v>
      </c>
      <c r="F25" t="s">
        <v>324</v>
      </c>
      <c r="G25">
        <f t="shared" si="0"/>
        <v>5</v>
      </c>
      <c r="H25" t="s">
        <v>353</v>
      </c>
      <c r="I25" t="s">
        <v>194</v>
      </c>
      <c r="J25">
        <v>4</v>
      </c>
      <c r="K25">
        <v>4006.80865212356</v>
      </c>
      <c r="S25" s="1">
        <v>24</v>
      </c>
      <c r="T25" s="1" t="s">
        <v>179</v>
      </c>
      <c r="V25" s="1" t="s">
        <v>1</v>
      </c>
      <c r="Z25"/>
    </row>
    <row r="26" spans="1:26" x14ac:dyDescent="0.25">
      <c r="A26" s="159" t="str">
        <f t="shared" si="1"/>
        <v>LB-Greater Downtown San Francisco-San Francisco Richmond District-Social recreation</v>
      </c>
      <c r="B26">
        <v>1</v>
      </c>
      <c r="C26" t="str">
        <f t="shared" si="2"/>
        <v>Greater Downtown San Francisco</v>
      </c>
      <c r="D26">
        <v>2</v>
      </c>
      <c r="E26" t="str">
        <f t="shared" si="2"/>
        <v>San Francisco Richmond District</v>
      </c>
      <c r="F26" t="s">
        <v>324</v>
      </c>
      <c r="G26">
        <f t="shared" si="0"/>
        <v>5</v>
      </c>
      <c r="H26" t="s">
        <v>359</v>
      </c>
      <c r="I26" t="s">
        <v>191</v>
      </c>
      <c r="J26">
        <v>14</v>
      </c>
      <c r="K26">
        <v>6868.09219938144</v>
      </c>
      <c r="S26" s="1">
        <v>25</v>
      </c>
      <c r="T26" s="1" t="s">
        <v>215</v>
      </c>
      <c r="Z26"/>
    </row>
    <row r="27" spans="1:26" x14ac:dyDescent="0.25">
      <c r="A27" s="159" t="str">
        <f t="shared" si="1"/>
        <v>HR-Greater Downtown San Francisco-San Francisco Richmond District-Work</v>
      </c>
      <c r="B27">
        <v>1</v>
      </c>
      <c r="C27" t="str">
        <f t="shared" si="2"/>
        <v>Greater Downtown San Francisco</v>
      </c>
      <c r="D27">
        <v>2</v>
      </c>
      <c r="E27" t="str">
        <f t="shared" si="2"/>
        <v>San Francisco Richmond District</v>
      </c>
      <c r="F27" t="s">
        <v>30</v>
      </c>
      <c r="G27">
        <f t="shared" si="0"/>
        <v>1</v>
      </c>
      <c r="H27" t="s">
        <v>124</v>
      </c>
      <c r="I27" t="s">
        <v>188</v>
      </c>
      <c r="J27">
        <v>1</v>
      </c>
      <c r="K27">
        <v>95.822099447513807</v>
      </c>
      <c r="S27" s="1">
        <v>26</v>
      </c>
      <c r="T27" s="1" t="s">
        <v>216</v>
      </c>
      <c r="Z27"/>
    </row>
    <row r="28" spans="1:26" x14ac:dyDescent="0.25">
      <c r="A28" s="159" t="str">
        <f t="shared" si="1"/>
        <v>LR-Greater Downtown San Francisco-San Francisco Richmond District-Work</v>
      </c>
      <c r="B28">
        <v>1</v>
      </c>
      <c r="C28" t="str">
        <f t="shared" si="2"/>
        <v>Greater Downtown San Francisco</v>
      </c>
      <c r="D28">
        <v>2</v>
      </c>
      <c r="E28" t="str">
        <f t="shared" si="2"/>
        <v>San Francisco Richmond District</v>
      </c>
      <c r="F28" t="s">
        <v>30</v>
      </c>
      <c r="G28">
        <f t="shared" si="0"/>
        <v>1</v>
      </c>
      <c r="H28" t="s">
        <v>353</v>
      </c>
      <c r="I28" t="s">
        <v>194</v>
      </c>
      <c r="J28">
        <v>4</v>
      </c>
      <c r="K28">
        <v>1144.5134189031501</v>
      </c>
      <c r="S28" s="1">
        <v>27</v>
      </c>
      <c r="T28" s="1" t="s">
        <v>217</v>
      </c>
      <c r="Z28"/>
    </row>
    <row r="29" spans="1:26" x14ac:dyDescent="0.25">
      <c r="A29" s="159" t="str">
        <f t="shared" si="1"/>
        <v>LB-Greater Downtown San Francisco-San Francisco Richmond District-Work</v>
      </c>
      <c r="B29">
        <v>1</v>
      </c>
      <c r="C29" t="str">
        <f t="shared" si="2"/>
        <v>Greater Downtown San Francisco</v>
      </c>
      <c r="D29">
        <v>2</v>
      </c>
      <c r="E29" t="str">
        <f t="shared" si="2"/>
        <v>San Francisco Richmond District</v>
      </c>
      <c r="F29" t="s">
        <v>30</v>
      </c>
      <c r="G29">
        <f t="shared" si="0"/>
        <v>1</v>
      </c>
      <c r="H29" t="s">
        <v>359</v>
      </c>
      <c r="I29" t="s">
        <v>191</v>
      </c>
      <c r="J29">
        <v>63</v>
      </c>
      <c r="K29">
        <v>18980.184758798099</v>
      </c>
      <c r="S29" s="1">
        <v>28</v>
      </c>
      <c r="T29" s="1" t="s">
        <v>218</v>
      </c>
      <c r="Z29"/>
    </row>
    <row r="30" spans="1:26" x14ac:dyDescent="0.25">
      <c r="A30" s="159" t="str">
        <f t="shared" si="1"/>
        <v>LR-Greater Downtown San Francisco-San Francisco Mission District-High school</v>
      </c>
      <c r="B30">
        <v>1</v>
      </c>
      <c r="C30" t="str">
        <f t="shared" si="2"/>
        <v>Greater Downtown San Francisco</v>
      </c>
      <c r="D30">
        <v>3</v>
      </c>
      <c r="E30" t="str">
        <f t="shared" si="2"/>
        <v>San Francisco Mission District</v>
      </c>
      <c r="F30" t="s">
        <v>326</v>
      </c>
      <c r="G30">
        <f t="shared" si="0"/>
        <v>3</v>
      </c>
      <c r="H30" t="s">
        <v>353</v>
      </c>
      <c r="I30" t="s">
        <v>194</v>
      </c>
      <c r="J30">
        <v>1</v>
      </c>
      <c r="K30">
        <v>286.12835472578797</v>
      </c>
      <c r="S30" s="1">
        <v>29</v>
      </c>
      <c r="T30" s="1" t="s">
        <v>219</v>
      </c>
      <c r="Z30"/>
    </row>
    <row r="31" spans="1:26" x14ac:dyDescent="0.25">
      <c r="A31" s="159" t="str">
        <f t="shared" si="1"/>
        <v>LB-Greater Downtown San Francisco-San Francisco Mission District-High school</v>
      </c>
      <c r="B31">
        <v>1</v>
      </c>
      <c r="C31" t="str">
        <f t="shared" si="2"/>
        <v>Greater Downtown San Francisco</v>
      </c>
      <c r="D31">
        <v>3</v>
      </c>
      <c r="E31" t="str">
        <f t="shared" si="2"/>
        <v>San Francisco Mission District</v>
      </c>
      <c r="F31" t="s">
        <v>326</v>
      </c>
      <c r="G31">
        <f t="shared" si="0"/>
        <v>3</v>
      </c>
      <c r="H31" t="s">
        <v>359</v>
      </c>
      <c r="I31" t="s">
        <v>191</v>
      </c>
      <c r="J31">
        <v>7</v>
      </c>
      <c r="K31">
        <v>2002.89848308051</v>
      </c>
      <c r="S31" s="1">
        <v>30</v>
      </c>
      <c r="T31" s="1" t="s">
        <v>220</v>
      </c>
      <c r="Z31"/>
    </row>
    <row r="32" spans="1:26" x14ac:dyDescent="0.25">
      <c r="A32" s="159" t="str">
        <f t="shared" si="1"/>
        <v>LB-Greater Downtown San Francisco-San Francisco Mission District-Missing</v>
      </c>
      <c r="B32">
        <v>1</v>
      </c>
      <c r="C32" t="str">
        <f t="shared" si="2"/>
        <v>Greater Downtown San Francisco</v>
      </c>
      <c r="D32">
        <v>3</v>
      </c>
      <c r="E32" t="str">
        <f t="shared" si="2"/>
        <v>San Francisco Mission District</v>
      </c>
      <c r="F32" t="s">
        <v>327</v>
      </c>
      <c r="G32">
        <f t="shared" si="0"/>
        <v>0</v>
      </c>
      <c r="H32" t="s">
        <v>359</v>
      </c>
      <c r="I32" t="s">
        <v>191</v>
      </c>
      <c r="J32">
        <v>6</v>
      </c>
      <c r="K32">
        <v>2670.8685394281902</v>
      </c>
      <c r="S32" s="1">
        <v>31</v>
      </c>
      <c r="T32" s="1" t="s">
        <v>221</v>
      </c>
      <c r="Z32"/>
    </row>
    <row r="33" spans="1:26" x14ac:dyDescent="0.25">
      <c r="A33" s="159" t="str">
        <f t="shared" si="1"/>
        <v>HR-Greater Downtown San Francisco-San Francisco Mission District-Other maintenance</v>
      </c>
      <c r="B33">
        <v>1</v>
      </c>
      <c r="C33" t="str">
        <f t="shared" si="2"/>
        <v>Greater Downtown San Francisco</v>
      </c>
      <c r="D33">
        <v>3</v>
      </c>
      <c r="E33" t="str">
        <f t="shared" si="2"/>
        <v>San Francisco Mission District</v>
      </c>
      <c r="F33" t="s">
        <v>325</v>
      </c>
      <c r="G33">
        <f t="shared" si="0"/>
        <v>4</v>
      </c>
      <c r="H33" t="s">
        <v>124</v>
      </c>
      <c r="I33" t="s">
        <v>188</v>
      </c>
      <c r="J33">
        <v>1</v>
      </c>
      <c r="K33">
        <v>95.822099447513807</v>
      </c>
      <c r="S33" s="1">
        <v>32</v>
      </c>
      <c r="T33" s="1" t="s">
        <v>222</v>
      </c>
      <c r="Z33"/>
    </row>
    <row r="34" spans="1:26" x14ac:dyDescent="0.25">
      <c r="A34" s="159" t="str">
        <f t="shared" si="1"/>
        <v>LR-Greater Downtown San Francisco-San Francisco Mission District-Other maintenance</v>
      </c>
      <c r="B34">
        <v>1</v>
      </c>
      <c r="C34" t="str">
        <f t="shared" si="2"/>
        <v>Greater Downtown San Francisco</v>
      </c>
      <c r="D34">
        <v>3</v>
      </c>
      <c r="E34" t="str">
        <f t="shared" si="2"/>
        <v>San Francisco Mission District</v>
      </c>
      <c r="F34" t="s">
        <v>325</v>
      </c>
      <c r="G34">
        <f t="shared" si="0"/>
        <v>4</v>
      </c>
      <c r="H34" t="s">
        <v>353</v>
      </c>
      <c r="I34" t="s">
        <v>194</v>
      </c>
      <c r="J34">
        <v>7</v>
      </c>
      <c r="K34">
        <v>2956.9968941539801</v>
      </c>
      <c r="S34" s="1">
        <v>33</v>
      </c>
      <c r="T34" s="1" t="s">
        <v>223</v>
      </c>
      <c r="Z34"/>
    </row>
    <row r="35" spans="1:26" x14ac:dyDescent="0.25">
      <c r="A35" s="159" t="str">
        <f t="shared" si="1"/>
        <v>LB-Greater Downtown San Francisco-San Francisco Mission District-Other maintenance</v>
      </c>
      <c r="B35">
        <v>1</v>
      </c>
      <c r="C35" t="str">
        <f t="shared" si="2"/>
        <v>Greater Downtown San Francisco</v>
      </c>
      <c r="D35">
        <v>3</v>
      </c>
      <c r="E35" t="str">
        <f t="shared" si="2"/>
        <v>San Francisco Mission District</v>
      </c>
      <c r="F35" t="s">
        <v>325</v>
      </c>
      <c r="G35">
        <f t="shared" si="0"/>
        <v>4</v>
      </c>
      <c r="H35" t="s">
        <v>359</v>
      </c>
      <c r="I35" t="s">
        <v>191</v>
      </c>
      <c r="J35">
        <v>6</v>
      </c>
      <c r="K35">
        <v>1716.7701283547201</v>
      </c>
      <c r="S35" s="1">
        <v>34</v>
      </c>
      <c r="T35" s="1" t="s">
        <v>224</v>
      </c>
      <c r="Z35"/>
    </row>
    <row r="36" spans="1:26" x14ac:dyDescent="0.25">
      <c r="A36" s="159" t="str">
        <f t="shared" si="1"/>
        <v>LR-Greater Downtown San Francisco-San Francisco Mission District-Shopping</v>
      </c>
      <c r="B36">
        <v>1</v>
      </c>
      <c r="C36" t="str">
        <f t="shared" si="2"/>
        <v>Greater Downtown San Francisco</v>
      </c>
      <c r="D36">
        <v>3</v>
      </c>
      <c r="E36" t="str">
        <f t="shared" si="2"/>
        <v>San Francisco Mission District</v>
      </c>
      <c r="F36" t="s">
        <v>106</v>
      </c>
      <c r="G36">
        <f t="shared" si="0"/>
        <v>4</v>
      </c>
      <c r="H36" t="s">
        <v>353</v>
      </c>
      <c r="I36" t="s">
        <v>194</v>
      </c>
      <c r="J36">
        <v>2</v>
      </c>
      <c r="K36">
        <v>1526.3551205250401</v>
      </c>
      <c r="Z36"/>
    </row>
    <row r="37" spans="1:26" x14ac:dyDescent="0.25">
      <c r="A37" s="159" t="str">
        <f t="shared" si="1"/>
        <v>LB-Greater Downtown San Francisco-San Francisco Mission District-Shopping</v>
      </c>
      <c r="B37">
        <v>1</v>
      </c>
      <c r="C37" t="str">
        <f t="shared" si="2"/>
        <v>Greater Downtown San Francisco</v>
      </c>
      <c r="D37">
        <v>3</v>
      </c>
      <c r="E37" t="str">
        <f t="shared" si="2"/>
        <v>San Francisco Mission District</v>
      </c>
      <c r="F37" t="s">
        <v>106</v>
      </c>
      <c r="G37">
        <f t="shared" si="0"/>
        <v>4</v>
      </c>
      <c r="H37" t="s">
        <v>359</v>
      </c>
      <c r="I37" t="s">
        <v>191</v>
      </c>
      <c r="J37">
        <v>2</v>
      </c>
      <c r="K37">
        <v>572.25670945157594</v>
      </c>
      <c r="Z37"/>
    </row>
    <row r="38" spans="1:26" x14ac:dyDescent="0.25">
      <c r="A38" s="159" t="str">
        <f t="shared" si="1"/>
        <v>FR-Greater Downtown San Francisco-San Francisco Mission District-Social recreation</v>
      </c>
      <c r="B38">
        <v>1</v>
      </c>
      <c r="C38" t="str">
        <f t="shared" si="2"/>
        <v>Greater Downtown San Francisco</v>
      </c>
      <c r="D38">
        <v>3</v>
      </c>
      <c r="E38" t="str">
        <f t="shared" si="2"/>
        <v>San Francisco Mission District</v>
      </c>
      <c r="F38" t="s">
        <v>324</v>
      </c>
      <c r="G38">
        <f t="shared" si="0"/>
        <v>5</v>
      </c>
      <c r="H38" t="s">
        <v>360</v>
      </c>
      <c r="I38" t="s">
        <v>185</v>
      </c>
      <c r="J38">
        <v>1</v>
      </c>
      <c r="K38">
        <v>16.498422712933699</v>
      </c>
      <c r="Z38"/>
    </row>
    <row r="39" spans="1:26" x14ac:dyDescent="0.25">
      <c r="A39" s="159" t="str">
        <f t="shared" si="1"/>
        <v>HR-Greater Downtown San Francisco-San Francisco Mission District-Social recreation</v>
      </c>
      <c r="B39">
        <v>1</v>
      </c>
      <c r="C39" t="str">
        <f t="shared" si="2"/>
        <v>Greater Downtown San Francisco</v>
      </c>
      <c r="D39">
        <v>3</v>
      </c>
      <c r="E39" t="str">
        <f t="shared" si="2"/>
        <v>San Francisco Mission District</v>
      </c>
      <c r="F39" t="s">
        <v>324</v>
      </c>
      <c r="G39">
        <f t="shared" si="0"/>
        <v>5</v>
      </c>
      <c r="H39" t="s">
        <v>124</v>
      </c>
      <c r="I39" t="s">
        <v>188</v>
      </c>
      <c r="J39">
        <v>3</v>
      </c>
      <c r="K39">
        <v>387.158152383399</v>
      </c>
      <c r="Z39"/>
    </row>
    <row r="40" spans="1:26" x14ac:dyDescent="0.25">
      <c r="A40" s="159" t="str">
        <f t="shared" si="1"/>
        <v>LR-Greater Downtown San Francisco-San Francisco Mission District-Social recreation</v>
      </c>
      <c r="B40">
        <v>1</v>
      </c>
      <c r="C40" t="str">
        <f t="shared" si="2"/>
        <v>Greater Downtown San Francisco</v>
      </c>
      <c r="D40">
        <v>3</v>
      </c>
      <c r="E40" t="str">
        <f t="shared" si="2"/>
        <v>San Francisco Mission District</v>
      </c>
      <c r="F40" t="s">
        <v>324</v>
      </c>
      <c r="G40">
        <f t="shared" si="0"/>
        <v>5</v>
      </c>
      <c r="H40" t="s">
        <v>353</v>
      </c>
      <c r="I40" t="s">
        <v>194</v>
      </c>
      <c r="J40">
        <v>5</v>
      </c>
      <c r="K40">
        <v>2384.7401847024098</v>
      </c>
      <c r="Z40"/>
    </row>
    <row r="41" spans="1:26" x14ac:dyDescent="0.25">
      <c r="A41" s="159" t="str">
        <f t="shared" si="1"/>
        <v>LB-Greater Downtown San Francisco-San Francisco Mission District-Social recreation</v>
      </c>
      <c r="B41">
        <v>1</v>
      </c>
      <c r="C41" t="str">
        <f t="shared" si="2"/>
        <v>Greater Downtown San Francisco</v>
      </c>
      <c r="D41">
        <v>3</v>
      </c>
      <c r="E41" t="str">
        <f t="shared" si="2"/>
        <v>San Francisco Mission District</v>
      </c>
      <c r="F41" t="s">
        <v>324</v>
      </c>
      <c r="G41">
        <f t="shared" si="0"/>
        <v>5</v>
      </c>
      <c r="H41" t="s">
        <v>359</v>
      </c>
      <c r="I41" t="s">
        <v>191</v>
      </c>
      <c r="J41">
        <v>5</v>
      </c>
      <c r="K41">
        <v>3338.8385957758801</v>
      </c>
      <c r="Z41"/>
    </row>
    <row r="42" spans="1:26" x14ac:dyDescent="0.25">
      <c r="A42" s="159" t="str">
        <f t="shared" si="1"/>
        <v>HR-Greater Downtown San Francisco-San Francisco Mission District-Work</v>
      </c>
      <c r="B42">
        <v>1</v>
      </c>
      <c r="C42" t="str">
        <f t="shared" si="2"/>
        <v>Greater Downtown San Francisco</v>
      </c>
      <c r="D42">
        <v>3</v>
      </c>
      <c r="E42" t="str">
        <f t="shared" si="2"/>
        <v>San Francisco Mission District</v>
      </c>
      <c r="F42" t="s">
        <v>30</v>
      </c>
      <c r="G42">
        <f t="shared" si="0"/>
        <v>1</v>
      </c>
      <c r="H42" t="s">
        <v>124</v>
      </c>
      <c r="I42" t="s">
        <v>188</v>
      </c>
      <c r="J42">
        <v>8</v>
      </c>
      <c r="K42">
        <v>766.57679558011</v>
      </c>
      <c r="Z42"/>
    </row>
    <row r="43" spans="1:26" x14ac:dyDescent="0.25">
      <c r="A43" s="159" t="str">
        <f t="shared" si="1"/>
        <v>LR-Greater Downtown San Francisco-San Francisco Mission District-Work</v>
      </c>
      <c r="B43">
        <v>1</v>
      </c>
      <c r="C43" t="str">
        <f t="shared" si="2"/>
        <v>Greater Downtown San Francisco</v>
      </c>
      <c r="D43">
        <v>3</v>
      </c>
      <c r="E43" t="str">
        <f t="shared" si="2"/>
        <v>San Francisco Mission District</v>
      </c>
      <c r="F43" t="s">
        <v>30</v>
      </c>
      <c r="G43">
        <f t="shared" si="0"/>
        <v>1</v>
      </c>
      <c r="H43" t="s">
        <v>353</v>
      </c>
      <c r="I43" t="s">
        <v>194</v>
      </c>
      <c r="J43">
        <v>14</v>
      </c>
      <c r="K43">
        <v>4959.8953772345003</v>
      </c>
      <c r="Z43"/>
    </row>
    <row r="44" spans="1:26" x14ac:dyDescent="0.25">
      <c r="A44" s="159" t="str">
        <f t="shared" si="1"/>
        <v>LB-Greater Downtown San Francisco-San Francisco Mission District-Work</v>
      </c>
      <c r="B44">
        <v>1</v>
      </c>
      <c r="C44" t="str">
        <f t="shared" si="2"/>
        <v>Greater Downtown San Francisco</v>
      </c>
      <c r="D44">
        <v>3</v>
      </c>
      <c r="E44" t="str">
        <f t="shared" si="2"/>
        <v>San Francisco Mission District</v>
      </c>
      <c r="F44" t="s">
        <v>30</v>
      </c>
      <c r="G44">
        <f t="shared" si="0"/>
        <v>1</v>
      </c>
      <c r="H44" t="s">
        <v>359</v>
      </c>
      <c r="I44" t="s">
        <v>191</v>
      </c>
      <c r="J44">
        <v>22</v>
      </c>
      <c r="K44">
        <v>6294.8238039673297</v>
      </c>
      <c r="Z44"/>
    </row>
    <row r="45" spans="1:26" x14ac:dyDescent="0.25">
      <c r="A45" s="159" t="str">
        <f t="shared" si="1"/>
        <v>LR-Greater Downtown San Francisco-San Francisco Sunset District-High school</v>
      </c>
      <c r="B45">
        <v>1</v>
      </c>
      <c r="C45" t="str">
        <f t="shared" si="2"/>
        <v>Greater Downtown San Francisco</v>
      </c>
      <c r="D45">
        <v>4</v>
      </c>
      <c r="E45" t="str">
        <f t="shared" si="2"/>
        <v>San Francisco Sunset District</v>
      </c>
      <c r="F45" t="s">
        <v>326</v>
      </c>
      <c r="G45">
        <f t="shared" si="0"/>
        <v>3</v>
      </c>
      <c r="H45" t="s">
        <v>353</v>
      </c>
      <c r="I45" t="s">
        <v>194</v>
      </c>
      <c r="J45">
        <v>1</v>
      </c>
      <c r="K45">
        <v>286.12835472578797</v>
      </c>
      <c r="Z45"/>
    </row>
    <row r="46" spans="1:26" x14ac:dyDescent="0.25">
      <c r="A46" s="159" t="str">
        <f t="shared" si="1"/>
        <v>LB-Greater Downtown San Francisco-San Francisco Sunset District-High school</v>
      </c>
      <c r="B46">
        <v>1</v>
      </c>
      <c r="C46" t="str">
        <f t="shared" si="2"/>
        <v>Greater Downtown San Francisco</v>
      </c>
      <c r="D46">
        <v>4</v>
      </c>
      <c r="E46" t="str">
        <f t="shared" si="2"/>
        <v>San Francisco Sunset District</v>
      </c>
      <c r="F46" t="s">
        <v>326</v>
      </c>
      <c r="G46">
        <f t="shared" si="0"/>
        <v>3</v>
      </c>
      <c r="H46" t="s">
        <v>359</v>
      </c>
      <c r="I46" t="s">
        <v>191</v>
      </c>
      <c r="J46">
        <v>2</v>
      </c>
      <c r="K46">
        <v>572.25670945157594</v>
      </c>
      <c r="Z46"/>
    </row>
    <row r="47" spans="1:26" x14ac:dyDescent="0.25">
      <c r="A47" s="159" t="str">
        <f t="shared" si="1"/>
        <v>LR-Greater Downtown San Francisco-San Francisco Sunset District-Missing</v>
      </c>
      <c r="B47">
        <v>1</v>
      </c>
      <c r="C47" t="str">
        <f t="shared" si="2"/>
        <v>Greater Downtown San Francisco</v>
      </c>
      <c r="D47">
        <v>4</v>
      </c>
      <c r="E47" t="str">
        <f t="shared" si="2"/>
        <v>San Francisco Sunset District</v>
      </c>
      <c r="F47" t="s">
        <v>327</v>
      </c>
      <c r="G47">
        <f t="shared" si="0"/>
        <v>0</v>
      </c>
      <c r="H47" t="s">
        <v>353</v>
      </c>
      <c r="I47" t="s">
        <v>194</v>
      </c>
      <c r="J47">
        <v>1</v>
      </c>
      <c r="K47">
        <v>286.12835472578797</v>
      </c>
      <c r="Z47"/>
    </row>
    <row r="48" spans="1:26" x14ac:dyDescent="0.25">
      <c r="A48" s="159" t="str">
        <f t="shared" si="1"/>
        <v>LR-Greater Downtown San Francisco-San Francisco Sunset District-Other maintenance</v>
      </c>
      <c r="B48">
        <v>1</v>
      </c>
      <c r="C48" t="str">
        <f t="shared" si="2"/>
        <v>Greater Downtown San Francisco</v>
      </c>
      <c r="D48">
        <v>4</v>
      </c>
      <c r="E48" t="str">
        <f t="shared" si="2"/>
        <v>San Francisco Sunset District</v>
      </c>
      <c r="F48" t="s">
        <v>325</v>
      </c>
      <c r="G48">
        <f t="shared" si="0"/>
        <v>4</v>
      </c>
      <c r="H48" t="s">
        <v>353</v>
      </c>
      <c r="I48" t="s">
        <v>194</v>
      </c>
      <c r="J48">
        <v>1</v>
      </c>
      <c r="K48">
        <v>1240.22676579926</v>
      </c>
      <c r="Z48"/>
    </row>
    <row r="49" spans="1:26" x14ac:dyDescent="0.25">
      <c r="A49" s="159" t="str">
        <f t="shared" si="1"/>
        <v>LB-Greater Downtown San Francisco-San Francisco Sunset District-Other maintenance</v>
      </c>
      <c r="B49">
        <v>1</v>
      </c>
      <c r="C49" t="str">
        <f t="shared" si="2"/>
        <v>Greater Downtown San Francisco</v>
      </c>
      <c r="D49">
        <v>4</v>
      </c>
      <c r="E49" t="str">
        <f t="shared" si="2"/>
        <v>San Francisco Sunset District</v>
      </c>
      <c r="F49" t="s">
        <v>325</v>
      </c>
      <c r="G49">
        <f t="shared" si="0"/>
        <v>4</v>
      </c>
      <c r="H49" t="s">
        <v>359</v>
      </c>
      <c r="I49" t="s">
        <v>191</v>
      </c>
      <c r="J49">
        <v>1</v>
      </c>
      <c r="K49">
        <v>286.12835472578797</v>
      </c>
      <c r="Z49"/>
    </row>
    <row r="50" spans="1:26" x14ac:dyDescent="0.25">
      <c r="A50" s="159" t="str">
        <f t="shared" si="1"/>
        <v>LR-Greater Downtown San Francisco-San Francisco Sunset District-Shopping</v>
      </c>
      <c r="B50">
        <v>1</v>
      </c>
      <c r="C50" t="str">
        <f t="shared" si="2"/>
        <v>Greater Downtown San Francisco</v>
      </c>
      <c r="D50">
        <v>4</v>
      </c>
      <c r="E50" t="str">
        <f t="shared" si="2"/>
        <v>San Francisco Sunset District</v>
      </c>
      <c r="F50" t="s">
        <v>106</v>
      </c>
      <c r="G50">
        <f t="shared" si="0"/>
        <v>4</v>
      </c>
      <c r="H50" t="s">
        <v>353</v>
      </c>
      <c r="I50" t="s">
        <v>194</v>
      </c>
      <c r="J50">
        <v>1</v>
      </c>
      <c r="K50">
        <v>286.12835472578797</v>
      </c>
      <c r="Z50"/>
    </row>
    <row r="51" spans="1:26" x14ac:dyDescent="0.25">
      <c r="A51" s="159" t="str">
        <f t="shared" si="1"/>
        <v>LR-Greater Downtown San Francisco-San Francisco Sunset District-Social recreation</v>
      </c>
      <c r="B51">
        <v>1</v>
      </c>
      <c r="C51" t="str">
        <f t="shared" si="2"/>
        <v>Greater Downtown San Francisco</v>
      </c>
      <c r="D51">
        <v>4</v>
      </c>
      <c r="E51" t="str">
        <f t="shared" si="2"/>
        <v>San Francisco Sunset District</v>
      </c>
      <c r="F51" t="s">
        <v>324</v>
      </c>
      <c r="G51">
        <f t="shared" si="0"/>
        <v>5</v>
      </c>
      <c r="H51" t="s">
        <v>353</v>
      </c>
      <c r="I51" t="s">
        <v>194</v>
      </c>
      <c r="J51">
        <v>2</v>
      </c>
      <c r="K51">
        <v>2480.4535315985199</v>
      </c>
      <c r="Z51"/>
    </row>
    <row r="52" spans="1:26" x14ac:dyDescent="0.25">
      <c r="A52" s="159" t="str">
        <f t="shared" si="1"/>
        <v>LB-Greater Downtown San Francisco-San Francisco Sunset District-Social recreation</v>
      </c>
      <c r="B52">
        <v>1</v>
      </c>
      <c r="C52" t="str">
        <f t="shared" si="2"/>
        <v>Greater Downtown San Francisco</v>
      </c>
      <c r="D52">
        <v>4</v>
      </c>
      <c r="E52" t="str">
        <f t="shared" si="2"/>
        <v>San Francisco Sunset District</v>
      </c>
      <c r="F52" t="s">
        <v>324</v>
      </c>
      <c r="G52">
        <f t="shared" si="0"/>
        <v>5</v>
      </c>
      <c r="H52" t="s">
        <v>359</v>
      </c>
      <c r="I52" t="s">
        <v>191</v>
      </c>
      <c r="J52">
        <v>5</v>
      </c>
      <c r="K52">
        <v>3338.8385957758801</v>
      </c>
      <c r="Z52"/>
    </row>
    <row r="53" spans="1:26" x14ac:dyDescent="0.25">
      <c r="A53" s="159" t="str">
        <f t="shared" si="1"/>
        <v>HR-Greater Downtown San Francisco-San Francisco Sunset District-Work</v>
      </c>
      <c r="B53">
        <v>1</v>
      </c>
      <c r="C53" t="str">
        <f t="shared" si="2"/>
        <v>Greater Downtown San Francisco</v>
      </c>
      <c r="D53">
        <v>4</v>
      </c>
      <c r="E53" t="str">
        <f t="shared" si="2"/>
        <v>San Francisco Sunset District</v>
      </c>
      <c r="F53" t="s">
        <v>30</v>
      </c>
      <c r="G53">
        <f t="shared" si="0"/>
        <v>1</v>
      </c>
      <c r="H53" t="s">
        <v>124</v>
      </c>
      <c r="I53" t="s">
        <v>188</v>
      </c>
      <c r="J53">
        <v>1</v>
      </c>
      <c r="K53">
        <v>95.822099447513807</v>
      </c>
      <c r="Z53"/>
    </row>
    <row r="54" spans="1:26" x14ac:dyDescent="0.25">
      <c r="A54" s="159" t="str">
        <f t="shared" si="1"/>
        <v>LR-Greater Downtown San Francisco-San Francisco Sunset District-Work</v>
      </c>
      <c r="B54">
        <v>1</v>
      </c>
      <c r="C54" t="str">
        <f t="shared" si="2"/>
        <v>Greater Downtown San Francisco</v>
      </c>
      <c r="D54">
        <v>4</v>
      </c>
      <c r="E54" t="str">
        <f t="shared" si="2"/>
        <v>San Francisco Sunset District</v>
      </c>
      <c r="F54" t="s">
        <v>30</v>
      </c>
      <c r="G54">
        <f t="shared" si="0"/>
        <v>1</v>
      </c>
      <c r="H54" t="s">
        <v>353</v>
      </c>
      <c r="I54" t="s">
        <v>194</v>
      </c>
      <c r="J54">
        <v>5</v>
      </c>
      <c r="K54">
        <v>1430.64177362894</v>
      </c>
      <c r="Z54"/>
    </row>
    <row r="55" spans="1:26" x14ac:dyDescent="0.25">
      <c r="A55" s="159" t="str">
        <f t="shared" si="1"/>
        <v>LB-Greater Downtown San Francisco-San Francisco Sunset District-Work</v>
      </c>
      <c r="B55">
        <v>1</v>
      </c>
      <c r="C55" t="str">
        <f t="shared" si="2"/>
        <v>Greater Downtown San Francisco</v>
      </c>
      <c r="D55">
        <v>4</v>
      </c>
      <c r="E55" t="str">
        <f t="shared" si="2"/>
        <v>San Francisco Sunset District</v>
      </c>
      <c r="F55" t="s">
        <v>30</v>
      </c>
      <c r="G55">
        <f t="shared" si="0"/>
        <v>1</v>
      </c>
      <c r="H55" t="s">
        <v>359</v>
      </c>
      <c r="I55" t="s">
        <v>191</v>
      </c>
      <c r="J55">
        <v>2</v>
      </c>
      <c r="K55">
        <v>572.25670945157594</v>
      </c>
      <c r="Z55"/>
    </row>
    <row r="56" spans="1:26" x14ac:dyDescent="0.25">
      <c r="A56" s="159" t="str">
        <f t="shared" si="1"/>
        <v>HR-Greater Downtown San Francisco-Daly City and San Bruno-High school</v>
      </c>
      <c r="B56">
        <v>1</v>
      </c>
      <c r="C56" t="str">
        <f t="shared" si="2"/>
        <v>Greater Downtown San Francisco</v>
      </c>
      <c r="D56">
        <v>5</v>
      </c>
      <c r="E56" t="str">
        <f t="shared" si="2"/>
        <v>Daly City and San Bruno</v>
      </c>
      <c r="F56" t="s">
        <v>326</v>
      </c>
      <c r="G56">
        <f t="shared" si="0"/>
        <v>3</v>
      </c>
      <c r="H56" t="s">
        <v>124</v>
      </c>
      <c r="I56" t="s">
        <v>188</v>
      </c>
      <c r="J56">
        <v>1</v>
      </c>
      <c r="K56">
        <v>95.822099447513807</v>
      </c>
      <c r="Z56"/>
    </row>
    <row r="57" spans="1:26" x14ac:dyDescent="0.25">
      <c r="A57" s="159" t="str">
        <f t="shared" si="1"/>
        <v>LB-Greater Downtown San Francisco-Daly City and San Bruno-High school</v>
      </c>
      <c r="B57">
        <v>1</v>
      </c>
      <c r="C57" t="str">
        <f t="shared" si="2"/>
        <v>Greater Downtown San Francisco</v>
      </c>
      <c r="D57">
        <v>5</v>
      </c>
      <c r="E57" t="str">
        <f t="shared" si="2"/>
        <v>Daly City and San Bruno</v>
      </c>
      <c r="F57" t="s">
        <v>326</v>
      </c>
      <c r="G57">
        <f t="shared" si="0"/>
        <v>3</v>
      </c>
      <c r="H57" t="s">
        <v>359</v>
      </c>
      <c r="I57" t="s">
        <v>191</v>
      </c>
      <c r="J57">
        <v>1</v>
      </c>
      <c r="K57">
        <v>286.12835472578797</v>
      </c>
      <c r="Z57"/>
    </row>
    <row r="58" spans="1:26" x14ac:dyDescent="0.25">
      <c r="A58" s="159" t="str">
        <f t="shared" si="1"/>
        <v>LB-Greater Downtown San Francisco-Daly City and San Bruno-Other maintenance</v>
      </c>
      <c r="B58">
        <v>1</v>
      </c>
      <c r="C58" t="str">
        <f t="shared" si="2"/>
        <v>Greater Downtown San Francisco</v>
      </c>
      <c r="D58">
        <v>5</v>
      </c>
      <c r="E58" t="str">
        <f t="shared" si="2"/>
        <v>Daly City and San Bruno</v>
      </c>
      <c r="F58" t="s">
        <v>325</v>
      </c>
      <c r="G58">
        <f t="shared" si="0"/>
        <v>4</v>
      </c>
      <c r="H58" t="s">
        <v>359</v>
      </c>
      <c r="I58" t="s">
        <v>191</v>
      </c>
      <c r="J58">
        <v>2</v>
      </c>
      <c r="K58">
        <v>78.697782963827194</v>
      </c>
      <c r="Z58"/>
    </row>
    <row r="59" spans="1:26" x14ac:dyDescent="0.25">
      <c r="A59" s="159" t="str">
        <f t="shared" si="1"/>
        <v>LB-Greater Downtown San Francisco-Daly City and San Bruno-Shopping</v>
      </c>
      <c r="B59">
        <v>1</v>
      </c>
      <c r="C59" t="str">
        <f t="shared" si="2"/>
        <v>Greater Downtown San Francisco</v>
      </c>
      <c r="D59">
        <v>5</v>
      </c>
      <c r="E59" t="str">
        <f t="shared" si="2"/>
        <v>Daly City and San Bruno</v>
      </c>
      <c r="F59" t="s">
        <v>106</v>
      </c>
      <c r="G59">
        <f t="shared" si="0"/>
        <v>4</v>
      </c>
      <c r="H59" t="s">
        <v>359</v>
      </c>
      <c r="I59" t="s">
        <v>191</v>
      </c>
      <c r="J59">
        <v>3</v>
      </c>
      <c r="K59">
        <v>118.04667444574</v>
      </c>
      <c r="Z59"/>
    </row>
    <row r="60" spans="1:26" x14ac:dyDescent="0.25">
      <c r="A60" s="159" t="str">
        <f t="shared" si="1"/>
        <v>HR-Greater Downtown San Francisco-Daly City and San Bruno-Social recreation</v>
      </c>
      <c r="B60">
        <v>1</v>
      </c>
      <c r="C60" t="str">
        <f t="shared" si="2"/>
        <v>Greater Downtown San Francisco</v>
      </c>
      <c r="D60">
        <v>5</v>
      </c>
      <c r="E60" t="str">
        <f t="shared" si="2"/>
        <v>Daly City and San Bruno</v>
      </c>
      <c r="F60" t="s">
        <v>324</v>
      </c>
      <c r="G60">
        <f t="shared" si="0"/>
        <v>5</v>
      </c>
      <c r="H60" t="s">
        <v>124</v>
      </c>
      <c r="I60" t="s">
        <v>188</v>
      </c>
      <c r="J60">
        <v>1</v>
      </c>
      <c r="K60">
        <v>95.822099447513807</v>
      </c>
      <c r="Z60"/>
    </row>
    <row r="61" spans="1:26" x14ac:dyDescent="0.25">
      <c r="A61" s="159" t="str">
        <f t="shared" si="1"/>
        <v>LB-Greater Downtown San Francisco-Daly City and San Bruno-Social recreation</v>
      </c>
      <c r="B61">
        <v>1</v>
      </c>
      <c r="C61" t="str">
        <f t="shared" si="2"/>
        <v>Greater Downtown San Francisco</v>
      </c>
      <c r="D61">
        <v>5</v>
      </c>
      <c r="E61" t="str">
        <f t="shared" si="2"/>
        <v>Daly City and San Bruno</v>
      </c>
      <c r="F61" t="s">
        <v>324</v>
      </c>
      <c r="G61">
        <f t="shared" si="0"/>
        <v>5</v>
      </c>
      <c r="H61" t="s">
        <v>359</v>
      </c>
      <c r="I61" t="s">
        <v>191</v>
      </c>
      <c r="J61">
        <v>7</v>
      </c>
      <c r="K61">
        <v>1509.3395565927599</v>
      </c>
      <c r="Z61"/>
    </row>
    <row r="62" spans="1:26" x14ac:dyDescent="0.25">
      <c r="A62" s="159" t="str">
        <f t="shared" si="1"/>
        <v>HR-Greater Downtown San Francisco-Daly City and San Bruno-Work</v>
      </c>
      <c r="B62">
        <v>1</v>
      </c>
      <c r="C62" t="str">
        <f t="shared" si="2"/>
        <v>Greater Downtown San Francisco</v>
      </c>
      <c r="D62">
        <v>5</v>
      </c>
      <c r="E62" t="str">
        <f t="shared" si="2"/>
        <v>Daly City and San Bruno</v>
      </c>
      <c r="F62" t="s">
        <v>30</v>
      </c>
      <c r="G62">
        <f t="shared" si="0"/>
        <v>1</v>
      </c>
      <c r="H62" t="s">
        <v>124</v>
      </c>
      <c r="I62" t="s">
        <v>188</v>
      </c>
      <c r="J62">
        <v>8</v>
      </c>
      <c r="K62">
        <v>866.26864962096795</v>
      </c>
      <c r="Z62"/>
    </row>
    <row r="63" spans="1:26" x14ac:dyDescent="0.25">
      <c r="A63" s="159" t="str">
        <f t="shared" si="1"/>
        <v>LB-Greater Downtown San Francisco-Daly City and San Bruno-Work</v>
      </c>
      <c r="B63">
        <v>1</v>
      </c>
      <c r="C63" t="str">
        <f t="shared" si="2"/>
        <v>Greater Downtown San Francisco</v>
      </c>
      <c r="D63">
        <v>5</v>
      </c>
      <c r="E63" t="str">
        <f t="shared" si="2"/>
        <v>Daly City and San Bruno</v>
      </c>
      <c r="F63" t="s">
        <v>30</v>
      </c>
      <c r="G63">
        <f t="shared" si="0"/>
        <v>1</v>
      </c>
      <c r="H63" t="s">
        <v>359</v>
      </c>
      <c r="I63" t="s">
        <v>191</v>
      </c>
      <c r="J63">
        <v>10</v>
      </c>
      <c r="K63">
        <v>978.83500424674003</v>
      </c>
      <c r="Z63"/>
    </row>
    <row r="64" spans="1:26" x14ac:dyDescent="0.25">
      <c r="A64" s="159" t="str">
        <f t="shared" si="1"/>
        <v>LB-Greater Downtown San Francisco-San Mateo and Burlingame-Missing</v>
      </c>
      <c r="B64">
        <v>1</v>
      </c>
      <c r="C64" t="str">
        <f t="shared" si="2"/>
        <v>Greater Downtown San Francisco</v>
      </c>
      <c r="D64">
        <v>6</v>
      </c>
      <c r="E64" t="str">
        <f t="shared" si="2"/>
        <v>San Mateo and Burlingame</v>
      </c>
      <c r="F64" t="s">
        <v>327</v>
      </c>
      <c r="G64">
        <f t="shared" si="0"/>
        <v>0</v>
      </c>
      <c r="H64" t="s">
        <v>359</v>
      </c>
      <c r="I64" t="s">
        <v>191</v>
      </c>
      <c r="J64">
        <v>1</v>
      </c>
      <c r="K64">
        <v>39.348891481913597</v>
      </c>
      <c r="Z64"/>
    </row>
    <row r="65" spans="1:26" x14ac:dyDescent="0.25">
      <c r="A65" s="159" t="str">
        <f t="shared" si="1"/>
        <v>CR-Greater Downtown San Francisco-San Mateo and Burlingame-Social recreation</v>
      </c>
      <c r="B65">
        <v>1</v>
      </c>
      <c r="C65" t="str">
        <f t="shared" si="2"/>
        <v>Greater Downtown San Francisco</v>
      </c>
      <c r="D65">
        <v>6</v>
      </c>
      <c r="E65" t="str">
        <f t="shared" si="2"/>
        <v>San Mateo and Burlingame</v>
      </c>
      <c r="F65" t="s">
        <v>324</v>
      </c>
      <c r="G65">
        <f t="shared" si="0"/>
        <v>5</v>
      </c>
      <c r="H65" t="s">
        <v>125</v>
      </c>
      <c r="I65" t="s">
        <v>178</v>
      </c>
      <c r="J65">
        <v>1</v>
      </c>
      <c r="K65">
        <v>25.1469534050179</v>
      </c>
      <c r="Z65"/>
    </row>
    <row r="66" spans="1:26" x14ac:dyDescent="0.25">
      <c r="A66" s="159" t="str">
        <f t="shared" si="1"/>
        <v>CR-Greater Downtown San Francisco-San Mateo and Burlingame-Work</v>
      </c>
      <c r="B66">
        <v>1</v>
      </c>
      <c r="C66" t="str">
        <f t="shared" si="2"/>
        <v>Greater Downtown San Francisco</v>
      </c>
      <c r="D66">
        <v>6</v>
      </c>
      <c r="E66" t="str">
        <f t="shared" si="2"/>
        <v>San Mateo and Burlingame</v>
      </c>
      <c r="F66" t="s">
        <v>30</v>
      </c>
      <c r="G66">
        <f t="shared" ref="G66:G129" si="3">VLOOKUP(F66,$V$2:$X$10, 3,FALSE)</f>
        <v>1</v>
      </c>
      <c r="H66" t="s">
        <v>125</v>
      </c>
      <c r="I66" t="s">
        <v>178</v>
      </c>
      <c r="J66">
        <v>10</v>
      </c>
      <c r="K66">
        <v>236.02152967620401</v>
      </c>
      <c r="Z66"/>
    </row>
    <row r="67" spans="1:26" x14ac:dyDescent="0.25">
      <c r="A67" s="159" t="str">
        <f t="shared" ref="A67:A130" si="4" xml:space="preserve"> CONCATENATE(I67,"-",C67, "-",E67, "-",F67,)</f>
        <v>HR-Greater Downtown San Francisco-San Mateo and Burlingame-Work</v>
      </c>
      <c r="B67">
        <v>1</v>
      </c>
      <c r="C67" t="str">
        <f t="shared" ref="C67:E130" si="5">VLOOKUP(B67,$S$2:$T$35,2,FALSE)</f>
        <v>Greater Downtown San Francisco</v>
      </c>
      <c r="D67">
        <v>6</v>
      </c>
      <c r="E67" t="str">
        <f t="shared" si="5"/>
        <v>San Mateo and Burlingame</v>
      </c>
      <c r="F67" t="s">
        <v>30</v>
      </c>
      <c r="G67">
        <f t="shared" si="3"/>
        <v>1</v>
      </c>
      <c r="H67" t="s">
        <v>124</v>
      </c>
      <c r="I67" t="s">
        <v>188</v>
      </c>
      <c r="J67">
        <v>1</v>
      </c>
      <c r="K67">
        <v>95.822099447513807</v>
      </c>
      <c r="Z67"/>
    </row>
    <row r="68" spans="1:26" x14ac:dyDescent="0.25">
      <c r="A68" s="159" t="str">
        <f t="shared" si="4"/>
        <v>LB-Greater Downtown San Francisco-San Mateo and Burlingame-Work</v>
      </c>
      <c r="B68">
        <v>1</v>
      </c>
      <c r="C68" t="str">
        <f t="shared" si="5"/>
        <v>Greater Downtown San Francisco</v>
      </c>
      <c r="D68">
        <v>6</v>
      </c>
      <c r="E68" t="str">
        <f t="shared" si="5"/>
        <v>San Mateo and Burlingame</v>
      </c>
      <c r="F68" t="s">
        <v>30</v>
      </c>
      <c r="G68">
        <f t="shared" si="3"/>
        <v>1</v>
      </c>
      <c r="H68" t="s">
        <v>359</v>
      </c>
      <c r="I68" t="s">
        <v>191</v>
      </c>
      <c r="J68">
        <v>3</v>
      </c>
      <c r="K68">
        <v>345.20523055212402</v>
      </c>
      <c r="Z68"/>
    </row>
    <row r="69" spans="1:26" x14ac:dyDescent="0.25">
      <c r="A69" s="159" t="str">
        <f t="shared" si="4"/>
        <v>CR-Greater Downtown San Francisco-Redwood City and Menlo Park-High school</v>
      </c>
      <c r="B69">
        <v>1</v>
      </c>
      <c r="C69" t="str">
        <f t="shared" si="5"/>
        <v>Greater Downtown San Francisco</v>
      </c>
      <c r="D69">
        <v>7</v>
      </c>
      <c r="E69" t="str">
        <f t="shared" si="5"/>
        <v>Redwood City and Menlo Park</v>
      </c>
      <c r="F69" t="s">
        <v>326</v>
      </c>
      <c r="G69">
        <f t="shared" si="3"/>
        <v>3</v>
      </c>
      <c r="H69" t="s">
        <v>125</v>
      </c>
      <c r="I69" t="s">
        <v>178</v>
      </c>
      <c r="J69">
        <v>1</v>
      </c>
      <c r="K69">
        <v>23.4305084745763</v>
      </c>
      <c r="Z69"/>
    </row>
    <row r="70" spans="1:26" x14ac:dyDescent="0.25">
      <c r="A70" s="159" t="str">
        <f t="shared" si="4"/>
        <v>CR-Greater Downtown San Francisco-Redwood City and Menlo Park-Missing</v>
      </c>
      <c r="B70">
        <v>1</v>
      </c>
      <c r="C70" t="str">
        <f t="shared" si="5"/>
        <v>Greater Downtown San Francisco</v>
      </c>
      <c r="D70">
        <v>7</v>
      </c>
      <c r="E70" t="str">
        <f t="shared" si="5"/>
        <v>Redwood City and Menlo Park</v>
      </c>
      <c r="F70" t="s">
        <v>327</v>
      </c>
      <c r="G70">
        <f t="shared" si="3"/>
        <v>0</v>
      </c>
      <c r="H70" t="s">
        <v>125</v>
      </c>
      <c r="I70" t="s">
        <v>178</v>
      </c>
      <c r="J70">
        <v>1</v>
      </c>
      <c r="K70">
        <v>23.4305084745763</v>
      </c>
      <c r="Z70"/>
    </row>
    <row r="71" spans="1:26" x14ac:dyDescent="0.25">
      <c r="A71" s="159" t="str">
        <f t="shared" si="4"/>
        <v>CR-Greater Downtown San Francisco-Redwood City and Menlo Park-Social recreation</v>
      </c>
      <c r="B71">
        <v>1</v>
      </c>
      <c r="C71" t="str">
        <f t="shared" si="5"/>
        <v>Greater Downtown San Francisco</v>
      </c>
      <c r="D71">
        <v>7</v>
      </c>
      <c r="E71" t="str">
        <f t="shared" si="5"/>
        <v>Redwood City and Menlo Park</v>
      </c>
      <c r="F71" t="s">
        <v>324</v>
      </c>
      <c r="G71">
        <f t="shared" si="3"/>
        <v>5</v>
      </c>
      <c r="H71" t="s">
        <v>125</v>
      </c>
      <c r="I71" t="s">
        <v>178</v>
      </c>
      <c r="J71">
        <v>1</v>
      </c>
      <c r="K71">
        <v>23.4305084745763</v>
      </c>
      <c r="Z71"/>
    </row>
    <row r="72" spans="1:26" x14ac:dyDescent="0.25">
      <c r="A72" s="159" t="str">
        <f t="shared" si="4"/>
        <v>CR-Greater Downtown San Francisco-Redwood City and Menlo Park-Work</v>
      </c>
      <c r="B72">
        <v>1</v>
      </c>
      <c r="C72" t="str">
        <f t="shared" si="5"/>
        <v>Greater Downtown San Francisco</v>
      </c>
      <c r="D72">
        <v>7</v>
      </c>
      <c r="E72" t="str">
        <f t="shared" si="5"/>
        <v>Redwood City and Menlo Park</v>
      </c>
      <c r="F72" t="s">
        <v>30</v>
      </c>
      <c r="G72">
        <f t="shared" si="3"/>
        <v>1</v>
      </c>
      <c r="H72" t="s">
        <v>125</v>
      </c>
      <c r="I72" t="s">
        <v>178</v>
      </c>
      <c r="J72">
        <v>8</v>
      </c>
      <c r="K72">
        <v>187.44406779661</v>
      </c>
      <c r="Z72"/>
    </row>
    <row r="73" spans="1:26" x14ac:dyDescent="0.25">
      <c r="A73" s="159" t="str">
        <f t="shared" si="4"/>
        <v>HR-Greater Downtown San Francisco-Redwood City and Menlo Park-Work</v>
      </c>
      <c r="B73">
        <v>1</v>
      </c>
      <c r="C73" t="str">
        <f t="shared" si="5"/>
        <v>Greater Downtown San Francisco</v>
      </c>
      <c r="D73">
        <v>7</v>
      </c>
      <c r="E73" t="str">
        <f t="shared" si="5"/>
        <v>Redwood City and Menlo Park</v>
      </c>
      <c r="F73" t="s">
        <v>30</v>
      </c>
      <c r="G73">
        <f t="shared" si="3"/>
        <v>1</v>
      </c>
      <c r="H73" t="s">
        <v>124</v>
      </c>
      <c r="I73" t="s">
        <v>188</v>
      </c>
      <c r="J73">
        <v>1</v>
      </c>
      <c r="K73">
        <v>95.822099447513807</v>
      </c>
      <c r="Z73"/>
    </row>
    <row r="74" spans="1:26" x14ac:dyDescent="0.25">
      <c r="A74" s="159" t="str">
        <f t="shared" si="4"/>
        <v>CR-Greater Downtown San Francisco-Palo Alto and Los Altos-High school</v>
      </c>
      <c r="B74">
        <v>1</v>
      </c>
      <c r="C74" t="str">
        <f t="shared" si="5"/>
        <v>Greater Downtown San Francisco</v>
      </c>
      <c r="D74">
        <v>8</v>
      </c>
      <c r="E74" t="str">
        <f t="shared" si="5"/>
        <v>Palo Alto and Los Altos</v>
      </c>
      <c r="F74" t="s">
        <v>326</v>
      </c>
      <c r="G74">
        <f t="shared" si="3"/>
        <v>3</v>
      </c>
      <c r="H74" t="s">
        <v>125</v>
      </c>
      <c r="I74" t="s">
        <v>178</v>
      </c>
      <c r="J74">
        <v>1</v>
      </c>
      <c r="K74">
        <v>23.4305084745763</v>
      </c>
      <c r="Z74"/>
    </row>
    <row r="75" spans="1:26" x14ac:dyDescent="0.25">
      <c r="A75" s="159" t="str">
        <f t="shared" si="4"/>
        <v>CR-Greater Downtown San Francisco-Palo Alto and Los Altos-Missing</v>
      </c>
      <c r="B75">
        <v>1</v>
      </c>
      <c r="C75" t="str">
        <f t="shared" si="5"/>
        <v>Greater Downtown San Francisco</v>
      </c>
      <c r="D75">
        <v>8</v>
      </c>
      <c r="E75" t="str">
        <f t="shared" si="5"/>
        <v>Palo Alto and Los Altos</v>
      </c>
      <c r="F75" t="s">
        <v>327</v>
      </c>
      <c r="G75">
        <f t="shared" si="3"/>
        <v>0</v>
      </c>
      <c r="H75" t="s">
        <v>125</v>
      </c>
      <c r="I75" t="s">
        <v>178</v>
      </c>
      <c r="J75">
        <v>1</v>
      </c>
      <c r="K75">
        <v>25.1469534050179</v>
      </c>
      <c r="Z75"/>
    </row>
    <row r="76" spans="1:26" x14ac:dyDescent="0.25">
      <c r="A76" s="159" t="str">
        <f t="shared" si="4"/>
        <v>CR-Greater Downtown San Francisco-Palo Alto and Los Altos-Other maintenance</v>
      </c>
      <c r="B76">
        <v>1</v>
      </c>
      <c r="C76" t="str">
        <f t="shared" si="5"/>
        <v>Greater Downtown San Francisco</v>
      </c>
      <c r="D76">
        <v>8</v>
      </c>
      <c r="E76" t="str">
        <f t="shared" si="5"/>
        <v>Palo Alto and Los Altos</v>
      </c>
      <c r="F76" t="s">
        <v>325</v>
      </c>
      <c r="G76">
        <f t="shared" si="3"/>
        <v>4</v>
      </c>
      <c r="H76" t="s">
        <v>125</v>
      </c>
      <c r="I76" t="s">
        <v>178</v>
      </c>
      <c r="J76">
        <v>1</v>
      </c>
      <c r="K76">
        <v>25.1469534050179</v>
      </c>
      <c r="Z76"/>
    </row>
    <row r="77" spans="1:26" x14ac:dyDescent="0.25">
      <c r="A77" s="159" t="str">
        <f t="shared" si="4"/>
        <v>CR-Greater Downtown San Francisco-Palo Alto and Los Altos-Social recreation</v>
      </c>
      <c r="B77">
        <v>1</v>
      </c>
      <c r="C77" t="str">
        <f t="shared" si="5"/>
        <v>Greater Downtown San Francisco</v>
      </c>
      <c r="D77">
        <v>8</v>
      </c>
      <c r="E77" t="str">
        <f t="shared" si="5"/>
        <v>Palo Alto and Los Altos</v>
      </c>
      <c r="F77" t="s">
        <v>324</v>
      </c>
      <c r="G77">
        <f t="shared" si="3"/>
        <v>5</v>
      </c>
      <c r="H77" t="s">
        <v>125</v>
      </c>
      <c r="I77" t="s">
        <v>178</v>
      </c>
      <c r="J77">
        <v>5</v>
      </c>
      <c r="K77">
        <v>124.018322094647</v>
      </c>
      <c r="Z77"/>
    </row>
    <row r="78" spans="1:26" x14ac:dyDescent="0.25">
      <c r="A78" s="159" t="str">
        <f t="shared" si="4"/>
        <v>HR-Greater Downtown San Francisco-Palo Alto and Los Altos-Social recreation</v>
      </c>
      <c r="B78">
        <v>1</v>
      </c>
      <c r="C78" t="str">
        <f t="shared" si="5"/>
        <v>Greater Downtown San Francisco</v>
      </c>
      <c r="D78">
        <v>8</v>
      </c>
      <c r="E78" t="str">
        <f t="shared" si="5"/>
        <v>Palo Alto and Los Altos</v>
      </c>
      <c r="F78" t="s">
        <v>324</v>
      </c>
      <c r="G78">
        <f t="shared" si="3"/>
        <v>5</v>
      </c>
      <c r="H78" t="s">
        <v>124</v>
      </c>
      <c r="I78" t="s">
        <v>188</v>
      </c>
      <c r="J78">
        <v>1</v>
      </c>
      <c r="K78">
        <v>195.51395348837201</v>
      </c>
      <c r="Z78"/>
    </row>
    <row r="79" spans="1:26" x14ac:dyDescent="0.25">
      <c r="A79" s="159" t="str">
        <f t="shared" si="4"/>
        <v>CR-Greater Downtown San Francisco-Palo Alto and Los Altos-Work</v>
      </c>
      <c r="B79">
        <v>1</v>
      </c>
      <c r="C79" t="str">
        <f t="shared" si="5"/>
        <v>Greater Downtown San Francisco</v>
      </c>
      <c r="D79">
        <v>8</v>
      </c>
      <c r="E79" t="str">
        <f t="shared" si="5"/>
        <v>Palo Alto and Los Altos</v>
      </c>
      <c r="F79" t="s">
        <v>30</v>
      </c>
      <c r="G79">
        <f t="shared" si="3"/>
        <v>1</v>
      </c>
      <c r="H79" t="s">
        <v>125</v>
      </c>
      <c r="I79" t="s">
        <v>178</v>
      </c>
      <c r="J79">
        <v>19</v>
      </c>
      <c r="K79">
        <v>448.61255087783201</v>
      </c>
      <c r="Z79"/>
    </row>
    <row r="80" spans="1:26" x14ac:dyDescent="0.25">
      <c r="A80" s="159" t="str">
        <f t="shared" si="4"/>
        <v>CR-Greater Downtown San Francisco-Sunnyvale and Mountain View-Missing</v>
      </c>
      <c r="B80">
        <v>1</v>
      </c>
      <c r="C80" t="str">
        <f t="shared" si="5"/>
        <v>Greater Downtown San Francisco</v>
      </c>
      <c r="D80">
        <v>9</v>
      </c>
      <c r="E80" t="str">
        <f t="shared" si="5"/>
        <v>Sunnyvale and Mountain View</v>
      </c>
      <c r="F80" t="s">
        <v>327</v>
      </c>
      <c r="G80">
        <f t="shared" si="3"/>
        <v>0</v>
      </c>
      <c r="H80" t="s">
        <v>125</v>
      </c>
      <c r="I80" t="s">
        <v>178</v>
      </c>
      <c r="J80">
        <v>1</v>
      </c>
      <c r="K80">
        <v>25.1469534050179</v>
      </c>
      <c r="Z80"/>
    </row>
    <row r="81" spans="1:26" x14ac:dyDescent="0.25">
      <c r="A81" s="159" t="str">
        <f t="shared" si="4"/>
        <v>HR-Greater Downtown San Francisco-Sunnyvale and Mountain View-Other maintenance</v>
      </c>
      <c r="B81">
        <v>1</v>
      </c>
      <c r="C81" t="str">
        <f t="shared" si="5"/>
        <v>Greater Downtown San Francisco</v>
      </c>
      <c r="D81">
        <v>9</v>
      </c>
      <c r="E81" t="str">
        <f t="shared" si="5"/>
        <v>Sunnyvale and Mountain View</v>
      </c>
      <c r="F81" t="s">
        <v>325</v>
      </c>
      <c r="G81">
        <f t="shared" si="3"/>
        <v>4</v>
      </c>
      <c r="H81" t="s">
        <v>124</v>
      </c>
      <c r="I81" t="s">
        <v>188</v>
      </c>
      <c r="J81">
        <v>1</v>
      </c>
      <c r="K81">
        <v>95.822099447513807</v>
      </c>
      <c r="Z81"/>
    </row>
    <row r="82" spans="1:26" x14ac:dyDescent="0.25">
      <c r="A82" s="159" t="str">
        <f t="shared" si="4"/>
        <v>LR-Greater Downtown San Francisco-Sunnyvale and Mountain View-Other maintenance</v>
      </c>
      <c r="B82">
        <v>1</v>
      </c>
      <c r="C82" t="str">
        <f t="shared" si="5"/>
        <v>Greater Downtown San Francisco</v>
      </c>
      <c r="D82">
        <v>9</v>
      </c>
      <c r="E82" t="str">
        <f t="shared" si="5"/>
        <v>Sunnyvale and Mountain View</v>
      </c>
      <c r="F82" t="s">
        <v>325</v>
      </c>
      <c r="G82">
        <f t="shared" si="3"/>
        <v>4</v>
      </c>
      <c r="H82" t="s">
        <v>353</v>
      </c>
      <c r="I82" t="s">
        <v>194</v>
      </c>
      <c r="J82">
        <v>1</v>
      </c>
      <c r="K82">
        <v>62.646773074254</v>
      </c>
      <c r="Z82"/>
    </row>
    <row r="83" spans="1:26" x14ac:dyDescent="0.25">
      <c r="A83" s="159" t="str">
        <f t="shared" si="4"/>
        <v>CR-Greater Downtown San Francisco-Sunnyvale and Mountain View-Social recreation</v>
      </c>
      <c r="B83">
        <v>1</v>
      </c>
      <c r="C83" t="str">
        <f t="shared" si="5"/>
        <v>Greater Downtown San Francisco</v>
      </c>
      <c r="D83">
        <v>9</v>
      </c>
      <c r="E83" t="str">
        <f t="shared" si="5"/>
        <v>Sunnyvale and Mountain View</v>
      </c>
      <c r="F83" t="s">
        <v>324</v>
      </c>
      <c r="G83">
        <f t="shared" si="3"/>
        <v>5</v>
      </c>
      <c r="H83" t="s">
        <v>125</v>
      </c>
      <c r="I83" t="s">
        <v>178</v>
      </c>
      <c r="J83">
        <v>5</v>
      </c>
      <c r="K83">
        <v>124.018322094647</v>
      </c>
      <c r="Z83"/>
    </row>
    <row r="84" spans="1:26" x14ac:dyDescent="0.25">
      <c r="A84" s="159" t="str">
        <f t="shared" si="4"/>
        <v>LB-Greater Downtown San Francisco-Sunnyvale and Mountain View-Social recreation</v>
      </c>
      <c r="B84">
        <v>1</v>
      </c>
      <c r="C84" t="str">
        <f t="shared" si="5"/>
        <v>Greater Downtown San Francisco</v>
      </c>
      <c r="D84">
        <v>9</v>
      </c>
      <c r="E84" t="str">
        <f t="shared" si="5"/>
        <v>Sunnyvale and Mountain View</v>
      </c>
      <c r="F84" t="s">
        <v>324</v>
      </c>
      <c r="G84">
        <f t="shared" si="3"/>
        <v>5</v>
      </c>
      <c r="H84" t="s">
        <v>359</v>
      </c>
      <c r="I84" t="s">
        <v>191</v>
      </c>
      <c r="J84">
        <v>1</v>
      </c>
      <c r="K84">
        <v>185.366795366795</v>
      </c>
      <c r="Z84"/>
    </row>
    <row r="85" spans="1:26" x14ac:dyDescent="0.25">
      <c r="A85" s="159" t="str">
        <f t="shared" si="4"/>
        <v>CR-Greater Downtown San Francisco-Sunnyvale and Mountain View-Work</v>
      </c>
      <c r="B85">
        <v>1</v>
      </c>
      <c r="C85" t="str">
        <f t="shared" si="5"/>
        <v>Greater Downtown San Francisco</v>
      </c>
      <c r="D85">
        <v>9</v>
      </c>
      <c r="E85" t="str">
        <f t="shared" si="5"/>
        <v>Sunnyvale and Mountain View</v>
      </c>
      <c r="F85" t="s">
        <v>30</v>
      </c>
      <c r="G85">
        <f t="shared" si="3"/>
        <v>1</v>
      </c>
      <c r="H85" t="s">
        <v>125</v>
      </c>
      <c r="I85" t="s">
        <v>178</v>
      </c>
      <c r="J85">
        <v>8</v>
      </c>
      <c r="K85">
        <v>189.16051272705201</v>
      </c>
      <c r="Z85"/>
    </row>
    <row r="86" spans="1:26" x14ac:dyDescent="0.25">
      <c r="A86" s="159" t="str">
        <f t="shared" si="4"/>
        <v>LR-Greater Downtown San Francisco-Sunnyvale and Mountain View-Work</v>
      </c>
      <c r="B86">
        <v>1</v>
      </c>
      <c r="C86" t="str">
        <f t="shared" si="5"/>
        <v>Greater Downtown San Francisco</v>
      </c>
      <c r="D86">
        <v>9</v>
      </c>
      <c r="E86" t="str">
        <f t="shared" si="5"/>
        <v>Sunnyvale and Mountain View</v>
      </c>
      <c r="F86" t="s">
        <v>30</v>
      </c>
      <c r="G86">
        <f t="shared" si="3"/>
        <v>1</v>
      </c>
      <c r="H86" t="s">
        <v>353</v>
      </c>
      <c r="I86" t="s">
        <v>194</v>
      </c>
      <c r="J86">
        <v>1</v>
      </c>
      <c r="K86">
        <v>62.646773074254</v>
      </c>
      <c r="Z86"/>
    </row>
    <row r="87" spans="1:26" x14ac:dyDescent="0.25">
      <c r="A87" s="159" t="str">
        <f t="shared" si="4"/>
        <v>CR-Greater Downtown San Francisco-Cupertino and Saratoga-Shopping</v>
      </c>
      <c r="B87">
        <v>1</v>
      </c>
      <c r="C87" t="str">
        <f t="shared" si="5"/>
        <v>Greater Downtown San Francisco</v>
      </c>
      <c r="D87">
        <v>10</v>
      </c>
      <c r="E87" t="str">
        <f t="shared" si="5"/>
        <v>Cupertino and Saratoga</v>
      </c>
      <c r="F87" t="s">
        <v>106</v>
      </c>
      <c r="G87">
        <f t="shared" si="3"/>
        <v>4</v>
      </c>
      <c r="H87" t="s">
        <v>125</v>
      </c>
      <c r="I87" t="s">
        <v>178</v>
      </c>
      <c r="J87">
        <v>2</v>
      </c>
      <c r="K87">
        <v>48.577461879594097</v>
      </c>
      <c r="Z87"/>
    </row>
    <row r="88" spans="1:26" x14ac:dyDescent="0.25">
      <c r="A88" s="159" t="str">
        <f t="shared" si="4"/>
        <v>LR-Greater Downtown San Francisco-Central San Jose-Missing</v>
      </c>
      <c r="B88">
        <v>1</v>
      </c>
      <c r="C88" t="str">
        <f t="shared" si="5"/>
        <v>Greater Downtown San Francisco</v>
      </c>
      <c r="D88">
        <v>11</v>
      </c>
      <c r="E88" t="str">
        <f t="shared" si="5"/>
        <v>Central San Jose</v>
      </c>
      <c r="F88" t="s">
        <v>327</v>
      </c>
      <c r="G88">
        <f t="shared" si="3"/>
        <v>0</v>
      </c>
      <c r="H88" t="s">
        <v>353</v>
      </c>
      <c r="I88" t="s">
        <v>194</v>
      </c>
      <c r="J88">
        <v>1</v>
      </c>
      <c r="K88">
        <v>62.646773074254</v>
      </c>
      <c r="Z88"/>
    </row>
    <row r="89" spans="1:26" x14ac:dyDescent="0.25">
      <c r="A89" s="159" t="str">
        <f t="shared" si="4"/>
        <v>CR-Greater Downtown San Francisco-Central San Jose-Other maintenance</v>
      </c>
      <c r="B89">
        <v>1</v>
      </c>
      <c r="C89" t="str">
        <f t="shared" si="5"/>
        <v>Greater Downtown San Francisco</v>
      </c>
      <c r="D89">
        <v>11</v>
      </c>
      <c r="E89" t="str">
        <f t="shared" si="5"/>
        <v>Central San Jose</v>
      </c>
      <c r="F89" t="s">
        <v>325</v>
      </c>
      <c r="G89">
        <f t="shared" si="3"/>
        <v>4</v>
      </c>
      <c r="H89" t="s">
        <v>125</v>
      </c>
      <c r="I89" t="s">
        <v>178</v>
      </c>
      <c r="J89">
        <v>2</v>
      </c>
      <c r="K89">
        <v>48.577461879594097</v>
      </c>
      <c r="Z89"/>
    </row>
    <row r="90" spans="1:26" x14ac:dyDescent="0.25">
      <c r="A90" s="159" t="str">
        <f t="shared" si="4"/>
        <v>CR-Greater Downtown San Francisco-Central San Jose-Shopping</v>
      </c>
      <c r="B90">
        <v>1</v>
      </c>
      <c r="C90" t="str">
        <f t="shared" si="5"/>
        <v>Greater Downtown San Francisco</v>
      </c>
      <c r="D90">
        <v>11</v>
      </c>
      <c r="E90" t="str">
        <f t="shared" si="5"/>
        <v>Central San Jose</v>
      </c>
      <c r="F90" t="s">
        <v>106</v>
      </c>
      <c r="G90">
        <f t="shared" si="3"/>
        <v>4</v>
      </c>
      <c r="H90" t="s">
        <v>125</v>
      </c>
      <c r="I90" t="s">
        <v>178</v>
      </c>
      <c r="J90">
        <v>1</v>
      </c>
      <c r="K90">
        <v>25.1469534050179</v>
      </c>
      <c r="Z90"/>
    </row>
    <row r="91" spans="1:26" x14ac:dyDescent="0.25">
      <c r="A91" s="159" t="str">
        <f t="shared" si="4"/>
        <v>CR-Greater Downtown San Francisco-Central San Jose-Social recreation</v>
      </c>
      <c r="B91">
        <v>1</v>
      </c>
      <c r="C91" t="str">
        <f t="shared" si="5"/>
        <v>Greater Downtown San Francisco</v>
      </c>
      <c r="D91">
        <v>11</v>
      </c>
      <c r="E91" t="str">
        <f t="shared" si="5"/>
        <v>Central San Jose</v>
      </c>
      <c r="F91" t="s">
        <v>324</v>
      </c>
      <c r="G91">
        <f t="shared" si="3"/>
        <v>5</v>
      </c>
      <c r="H91" t="s">
        <v>125</v>
      </c>
      <c r="I91" t="s">
        <v>178</v>
      </c>
      <c r="J91">
        <v>3</v>
      </c>
      <c r="K91">
        <v>73.724415284611993</v>
      </c>
      <c r="Z91"/>
    </row>
    <row r="92" spans="1:26" x14ac:dyDescent="0.25">
      <c r="A92" s="159" t="str">
        <f t="shared" si="4"/>
        <v>CR-Greater Downtown San Francisco-Central San Jose-Work</v>
      </c>
      <c r="B92">
        <v>1</v>
      </c>
      <c r="C92" t="str">
        <f t="shared" si="5"/>
        <v>Greater Downtown San Francisco</v>
      </c>
      <c r="D92">
        <v>11</v>
      </c>
      <c r="E92" t="str">
        <f t="shared" si="5"/>
        <v>Central San Jose</v>
      </c>
      <c r="F92" t="s">
        <v>30</v>
      </c>
      <c r="G92">
        <f t="shared" si="3"/>
        <v>1</v>
      </c>
      <c r="H92" t="s">
        <v>125</v>
      </c>
      <c r="I92" t="s">
        <v>178</v>
      </c>
      <c r="J92">
        <v>3</v>
      </c>
      <c r="K92">
        <v>70.291525423728899</v>
      </c>
      <c r="Z92"/>
    </row>
    <row r="93" spans="1:26" x14ac:dyDescent="0.25">
      <c r="A93" s="159" t="str">
        <f t="shared" si="4"/>
        <v>LB-Greater Downtown San Francisco-Central San Jose-Work</v>
      </c>
      <c r="B93">
        <v>1</v>
      </c>
      <c r="C93" t="str">
        <f t="shared" si="5"/>
        <v>Greater Downtown San Francisco</v>
      </c>
      <c r="D93">
        <v>11</v>
      </c>
      <c r="E93" t="str">
        <f t="shared" si="5"/>
        <v>Central San Jose</v>
      </c>
      <c r="F93" t="s">
        <v>30</v>
      </c>
      <c r="G93">
        <f t="shared" si="3"/>
        <v>1</v>
      </c>
      <c r="H93" t="s">
        <v>359</v>
      </c>
      <c r="I93" t="s">
        <v>191</v>
      </c>
      <c r="J93">
        <v>1</v>
      </c>
      <c r="K93">
        <v>62.646773074254</v>
      </c>
      <c r="Z93"/>
    </row>
    <row r="94" spans="1:26" x14ac:dyDescent="0.25">
      <c r="A94" s="159" t="str">
        <f t="shared" si="4"/>
        <v>HR-Greater Downtown San Francisco-Milpitas and East San Jose-Social recreation</v>
      </c>
      <c r="B94">
        <v>1</v>
      </c>
      <c r="C94" t="str">
        <f t="shared" si="5"/>
        <v>Greater Downtown San Francisco</v>
      </c>
      <c r="D94">
        <v>12</v>
      </c>
      <c r="E94" t="str">
        <f t="shared" si="5"/>
        <v>Milpitas and East San Jose</v>
      </c>
      <c r="F94" t="s">
        <v>324</v>
      </c>
      <c r="G94">
        <f t="shared" si="3"/>
        <v>5</v>
      </c>
      <c r="H94" t="s">
        <v>124</v>
      </c>
      <c r="I94" t="s">
        <v>188</v>
      </c>
      <c r="J94">
        <v>2</v>
      </c>
      <c r="K94">
        <v>391.02790697674402</v>
      </c>
      <c r="Z94"/>
    </row>
    <row r="95" spans="1:26" x14ac:dyDescent="0.25">
      <c r="A95" s="159" t="str">
        <f t="shared" si="4"/>
        <v>LB-Greater Downtown San Francisco-Milpitas and East San Jose-Social recreation</v>
      </c>
      <c r="B95">
        <v>1</v>
      </c>
      <c r="C95" t="str">
        <f t="shared" si="5"/>
        <v>Greater Downtown San Francisco</v>
      </c>
      <c r="D95">
        <v>12</v>
      </c>
      <c r="E95" t="str">
        <f t="shared" si="5"/>
        <v>Milpitas and East San Jose</v>
      </c>
      <c r="F95" t="s">
        <v>324</v>
      </c>
      <c r="G95">
        <f t="shared" si="3"/>
        <v>5</v>
      </c>
      <c r="H95" t="s">
        <v>359</v>
      </c>
      <c r="I95" t="s">
        <v>191</v>
      </c>
      <c r="J95">
        <v>1</v>
      </c>
      <c r="K95">
        <v>185.366795366795</v>
      </c>
      <c r="Z95"/>
    </row>
    <row r="96" spans="1:26" x14ac:dyDescent="0.25">
      <c r="A96" s="159" t="str">
        <f t="shared" si="4"/>
        <v>HR-Greater Downtown San Francisco-Milpitas and East San Jose-Work</v>
      </c>
      <c r="B96">
        <v>1</v>
      </c>
      <c r="C96" t="str">
        <f t="shared" si="5"/>
        <v>Greater Downtown San Francisco</v>
      </c>
      <c r="D96">
        <v>12</v>
      </c>
      <c r="E96" t="str">
        <f t="shared" si="5"/>
        <v>Milpitas and East San Jose</v>
      </c>
      <c r="F96" t="s">
        <v>30</v>
      </c>
      <c r="G96">
        <f t="shared" si="3"/>
        <v>1</v>
      </c>
      <c r="H96" t="s">
        <v>124</v>
      </c>
      <c r="I96" t="s">
        <v>188</v>
      </c>
      <c r="J96">
        <v>1</v>
      </c>
      <c r="K96">
        <v>95.822099447513807</v>
      </c>
      <c r="Z96"/>
    </row>
    <row r="97" spans="1:26" x14ac:dyDescent="0.25">
      <c r="A97" s="159" t="str">
        <f t="shared" si="4"/>
        <v>CR-Greater Downtown San Francisco-Gilroy and Morgan Hill-Work</v>
      </c>
      <c r="B97">
        <v>1</v>
      </c>
      <c r="C97" t="str">
        <f t="shared" si="5"/>
        <v>Greater Downtown San Francisco</v>
      </c>
      <c r="D97">
        <v>14</v>
      </c>
      <c r="E97" t="str">
        <f t="shared" si="5"/>
        <v>Gilroy and Morgan Hill</v>
      </c>
      <c r="F97" t="s">
        <v>30</v>
      </c>
      <c r="G97">
        <f t="shared" si="3"/>
        <v>1</v>
      </c>
      <c r="H97" t="s">
        <v>125</v>
      </c>
      <c r="I97" t="s">
        <v>178</v>
      </c>
      <c r="J97">
        <v>1</v>
      </c>
      <c r="K97">
        <v>23.4305084745763</v>
      </c>
      <c r="Z97"/>
    </row>
    <row r="98" spans="1:26" x14ac:dyDescent="0.25">
      <c r="A98" s="159" t="str">
        <f t="shared" si="4"/>
        <v>HR-Greater Downtown San Francisco-Livermore and Pleasanton-Work</v>
      </c>
      <c r="B98">
        <v>1</v>
      </c>
      <c r="C98" t="str">
        <f t="shared" si="5"/>
        <v>Greater Downtown San Francisco</v>
      </c>
      <c r="D98">
        <v>15</v>
      </c>
      <c r="E98" t="str">
        <f t="shared" si="5"/>
        <v>Livermore and Pleasanton</v>
      </c>
      <c r="F98" t="s">
        <v>30</v>
      </c>
      <c r="G98">
        <f t="shared" si="3"/>
        <v>1</v>
      </c>
      <c r="H98" t="s">
        <v>124</v>
      </c>
      <c r="I98" t="s">
        <v>188</v>
      </c>
      <c r="J98">
        <v>13</v>
      </c>
      <c r="K98">
        <v>1245.6872928176699</v>
      </c>
      <c r="Z98"/>
    </row>
    <row r="99" spans="1:26" x14ac:dyDescent="0.25">
      <c r="A99" s="159" t="str">
        <f t="shared" si="4"/>
        <v>LB-Greater Downtown San Francisco-Livermore and Pleasanton-Work</v>
      </c>
      <c r="B99">
        <v>1</v>
      </c>
      <c r="C99" t="str">
        <f t="shared" si="5"/>
        <v>Greater Downtown San Francisco</v>
      </c>
      <c r="D99">
        <v>15</v>
      </c>
      <c r="E99" t="str">
        <f t="shared" si="5"/>
        <v>Livermore and Pleasanton</v>
      </c>
      <c r="F99" t="s">
        <v>30</v>
      </c>
      <c r="G99">
        <f t="shared" si="3"/>
        <v>1</v>
      </c>
      <c r="H99" t="s">
        <v>359</v>
      </c>
      <c r="I99" t="s">
        <v>191</v>
      </c>
      <c r="J99">
        <v>4</v>
      </c>
      <c r="K99">
        <v>64.595628415300496</v>
      </c>
      <c r="Z99"/>
    </row>
    <row r="100" spans="1:26" x14ac:dyDescent="0.25">
      <c r="A100" s="159" t="str">
        <f t="shared" si="4"/>
        <v>EB-Greater Downtown San Francisco-Fremont and Union City-High school</v>
      </c>
      <c r="B100">
        <v>1</v>
      </c>
      <c r="C100" t="str">
        <f t="shared" si="5"/>
        <v>Greater Downtown San Francisco</v>
      </c>
      <c r="D100">
        <v>16</v>
      </c>
      <c r="E100" t="str">
        <f t="shared" si="5"/>
        <v>Fremont and Union City</v>
      </c>
      <c r="F100" t="s">
        <v>326</v>
      </c>
      <c r="G100">
        <f t="shared" si="3"/>
        <v>3</v>
      </c>
      <c r="H100" t="s">
        <v>123</v>
      </c>
      <c r="I100" t="s">
        <v>182</v>
      </c>
      <c r="J100">
        <v>1</v>
      </c>
      <c r="K100">
        <v>3.8990384615384599</v>
      </c>
      <c r="Z100"/>
    </row>
    <row r="101" spans="1:26" x14ac:dyDescent="0.25">
      <c r="A101" s="159" t="str">
        <f t="shared" si="4"/>
        <v>HR-Greater Downtown San Francisco-Fremont and Union City-Work</v>
      </c>
      <c r="B101">
        <v>1</v>
      </c>
      <c r="C101" t="str">
        <f t="shared" si="5"/>
        <v>Greater Downtown San Francisco</v>
      </c>
      <c r="D101">
        <v>16</v>
      </c>
      <c r="E101" t="str">
        <f t="shared" si="5"/>
        <v>Fremont and Union City</v>
      </c>
      <c r="F101" t="s">
        <v>30</v>
      </c>
      <c r="G101">
        <f t="shared" si="3"/>
        <v>1</v>
      </c>
      <c r="H101" t="s">
        <v>124</v>
      </c>
      <c r="I101" t="s">
        <v>188</v>
      </c>
      <c r="J101">
        <v>2</v>
      </c>
      <c r="K101">
        <v>191.64419889502699</v>
      </c>
      <c r="Z101"/>
    </row>
    <row r="102" spans="1:26" x14ac:dyDescent="0.25">
      <c r="A102" s="159" t="str">
        <f t="shared" si="4"/>
        <v>LB-Greater Downtown San Francisco-Fremont and Union City-Work</v>
      </c>
      <c r="B102">
        <v>1</v>
      </c>
      <c r="C102" t="str">
        <f t="shared" si="5"/>
        <v>Greater Downtown San Francisco</v>
      </c>
      <c r="D102">
        <v>16</v>
      </c>
      <c r="E102" t="str">
        <f t="shared" si="5"/>
        <v>Fremont and Union City</v>
      </c>
      <c r="F102" t="s">
        <v>30</v>
      </c>
      <c r="G102">
        <f t="shared" si="3"/>
        <v>1</v>
      </c>
      <c r="H102" t="s">
        <v>359</v>
      </c>
      <c r="I102" t="s">
        <v>191</v>
      </c>
      <c r="J102">
        <v>1</v>
      </c>
      <c r="K102">
        <v>6.2608695652173898</v>
      </c>
      <c r="Z102"/>
    </row>
    <row r="103" spans="1:26" x14ac:dyDescent="0.25">
      <c r="A103" s="159" t="str">
        <f t="shared" si="4"/>
        <v>HR-Greater Downtown San Francisco-Hayward and San Leandro-High school</v>
      </c>
      <c r="B103">
        <v>1</v>
      </c>
      <c r="C103" t="str">
        <f t="shared" si="5"/>
        <v>Greater Downtown San Francisco</v>
      </c>
      <c r="D103">
        <v>17</v>
      </c>
      <c r="E103" t="str">
        <f t="shared" si="5"/>
        <v>Hayward and San Leandro</v>
      </c>
      <c r="F103" t="s">
        <v>326</v>
      </c>
      <c r="G103">
        <f t="shared" si="3"/>
        <v>3</v>
      </c>
      <c r="H103" t="s">
        <v>124</v>
      </c>
      <c r="I103" t="s">
        <v>188</v>
      </c>
      <c r="J103">
        <v>1</v>
      </c>
      <c r="K103">
        <v>95.822099447513807</v>
      </c>
      <c r="Z103"/>
    </row>
    <row r="104" spans="1:26" x14ac:dyDescent="0.25">
      <c r="A104" s="159" t="str">
        <f t="shared" si="4"/>
        <v>HR-Greater Downtown San Francisco-Hayward and San Leandro-Other maintenance</v>
      </c>
      <c r="B104">
        <v>1</v>
      </c>
      <c r="C104" t="str">
        <f t="shared" si="5"/>
        <v>Greater Downtown San Francisco</v>
      </c>
      <c r="D104">
        <v>17</v>
      </c>
      <c r="E104" t="str">
        <f t="shared" si="5"/>
        <v>Hayward and San Leandro</v>
      </c>
      <c r="F104" t="s">
        <v>325</v>
      </c>
      <c r="G104">
        <f t="shared" si="3"/>
        <v>4</v>
      </c>
      <c r="H104" t="s">
        <v>124</v>
      </c>
      <c r="I104" t="s">
        <v>188</v>
      </c>
      <c r="J104">
        <v>3</v>
      </c>
      <c r="K104">
        <v>287.46629834254099</v>
      </c>
      <c r="Z104"/>
    </row>
    <row r="105" spans="1:26" x14ac:dyDescent="0.25">
      <c r="A105" s="159" t="str">
        <f t="shared" si="4"/>
        <v>FR-Greater Downtown San Francisco-Hayward and San Leandro-Work</v>
      </c>
      <c r="B105">
        <v>1</v>
      </c>
      <c r="C105" t="str">
        <f t="shared" si="5"/>
        <v>Greater Downtown San Francisco</v>
      </c>
      <c r="D105">
        <v>17</v>
      </c>
      <c r="E105" t="str">
        <f t="shared" si="5"/>
        <v>Hayward and San Leandro</v>
      </c>
      <c r="F105" t="s">
        <v>30</v>
      </c>
      <c r="G105">
        <f t="shared" si="3"/>
        <v>1</v>
      </c>
      <c r="H105" t="s">
        <v>360</v>
      </c>
      <c r="I105" t="s">
        <v>185</v>
      </c>
      <c r="J105">
        <v>1</v>
      </c>
      <c r="K105">
        <v>11.719387755102</v>
      </c>
      <c r="Z105"/>
    </row>
    <row r="106" spans="1:26" x14ac:dyDescent="0.25">
      <c r="A106" s="159" t="str">
        <f t="shared" si="4"/>
        <v>HR-Greater Downtown San Francisco-Hayward and San Leandro-Work</v>
      </c>
      <c r="B106">
        <v>1</v>
      </c>
      <c r="C106" t="str">
        <f t="shared" si="5"/>
        <v>Greater Downtown San Francisco</v>
      </c>
      <c r="D106">
        <v>17</v>
      </c>
      <c r="E106" t="str">
        <f t="shared" si="5"/>
        <v>Hayward and San Leandro</v>
      </c>
      <c r="F106" t="s">
        <v>30</v>
      </c>
      <c r="G106">
        <f t="shared" si="3"/>
        <v>1</v>
      </c>
      <c r="H106" t="s">
        <v>124</v>
      </c>
      <c r="I106" t="s">
        <v>188</v>
      </c>
      <c r="J106">
        <v>3</v>
      </c>
      <c r="K106">
        <v>387.158152383399</v>
      </c>
      <c r="Z106"/>
    </row>
    <row r="107" spans="1:26" x14ac:dyDescent="0.25">
      <c r="A107" s="159" t="str">
        <f t="shared" si="4"/>
        <v>EB-Greater Downtown San Francisco-Oakland and Alameda-High school</v>
      </c>
      <c r="B107">
        <v>1</v>
      </c>
      <c r="C107" t="str">
        <f t="shared" si="5"/>
        <v>Greater Downtown San Francisco</v>
      </c>
      <c r="D107">
        <v>18</v>
      </c>
      <c r="E107" t="str">
        <f t="shared" si="5"/>
        <v>Oakland and Alameda</v>
      </c>
      <c r="F107" t="s">
        <v>326</v>
      </c>
      <c r="G107">
        <f t="shared" si="3"/>
        <v>3</v>
      </c>
      <c r="H107" t="s">
        <v>123</v>
      </c>
      <c r="I107" t="s">
        <v>182</v>
      </c>
      <c r="J107">
        <v>1</v>
      </c>
      <c r="K107">
        <v>75.575262543757304</v>
      </c>
      <c r="Z107"/>
    </row>
    <row r="108" spans="1:26" x14ac:dyDescent="0.25">
      <c r="A108" s="159" t="str">
        <f t="shared" si="4"/>
        <v>HR-Greater Downtown San Francisco-Oakland and Alameda-High school</v>
      </c>
      <c r="B108">
        <v>1</v>
      </c>
      <c r="C108" t="str">
        <f t="shared" si="5"/>
        <v>Greater Downtown San Francisco</v>
      </c>
      <c r="D108">
        <v>18</v>
      </c>
      <c r="E108" t="str">
        <f t="shared" si="5"/>
        <v>Oakland and Alameda</v>
      </c>
      <c r="F108" t="s">
        <v>326</v>
      </c>
      <c r="G108">
        <f t="shared" si="3"/>
        <v>3</v>
      </c>
      <c r="H108" t="s">
        <v>124</v>
      </c>
      <c r="I108" t="s">
        <v>188</v>
      </c>
      <c r="J108">
        <v>2</v>
      </c>
      <c r="K108">
        <v>191.64419889502699</v>
      </c>
      <c r="Z108"/>
    </row>
    <row r="109" spans="1:26" x14ac:dyDescent="0.25">
      <c r="A109" s="159" t="str">
        <f t="shared" si="4"/>
        <v>FR-Greater Downtown San Francisco-Oakland and Alameda-Missing</v>
      </c>
      <c r="B109">
        <v>1</v>
      </c>
      <c r="C109" t="str">
        <f t="shared" si="5"/>
        <v>Greater Downtown San Francisco</v>
      </c>
      <c r="D109">
        <v>18</v>
      </c>
      <c r="E109" t="str">
        <f t="shared" si="5"/>
        <v>Oakland and Alameda</v>
      </c>
      <c r="F109" t="s">
        <v>327</v>
      </c>
      <c r="G109">
        <f t="shared" si="3"/>
        <v>0</v>
      </c>
      <c r="H109" t="s">
        <v>360</v>
      </c>
      <c r="I109" t="s">
        <v>185</v>
      </c>
      <c r="J109">
        <v>3</v>
      </c>
      <c r="K109">
        <v>35.158163265306001</v>
      </c>
      <c r="Z109"/>
    </row>
    <row r="110" spans="1:26" x14ac:dyDescent="0.25">
      <c r="A110" s="159" t="str">
        <f t="shared" si="4"/>
        <v>HR-Greater Downtown San Francisco-Oakland and Alameda-Missing</v>
      </c>
      <c r="B110">
        <v>1</v>
      </c>
      <c r="C110" t="str">
        <f t="shared" si="5"/>
        <v>Greater Downtown San Francisco</v>
      </c>
      <c r="D110">
        <v>18</v>
      </c>
      <c r="E110" t="str">
        <f t="shared" si="5"/>
        <v>Oakland and Alameda</v>
      </c>
      <c r="F110" t="s">
        <v>327</v>
      </c>
      <c r="G110">
        <f t="shared" si="3"/>
        <v>0</v>
      </c>
      <c r="H110" t="s">
        <v>124</v>
      </c>
      <c r="I110" t="s">
        <v>188</v>
      </c>
      <c r="J110">
        <v>1</v>
      </c>
      <c r="K110">
        <v>95.822099447513807</v>
      </c>
      <c r="Z110"/>
    </row>
    <row r="111" spans="1:26" x14ac:dyDescent="0.25">
      <c r="A111" s="159" t="str">
        <f t="shared" si="4"/>
        <v>HR-Greater Downtown San Francisco-Oakland and Alameda-Other maintenance</v>
      </c>
      <c r="B111">
        <v>1</v>
      </c>
      <c r="C111" t="str">
        <f t="shared" si="5"/>
        <v>Greater Downtown San Francisco</v>
      </c>
      <c r="D111">
        <v>18</v>
      </c>
      <c r="E111" t="str">
        <f t="shared" si="5"/>
        <v>Oakland and Alameda</v>
      </c>
      <c r="F111" t="s">
        <v>325</v>
      </c>
      <c r="G111">
        <f t="shared" si="3"/>
        <v>4</v>
      </c>
      <c r="H111" t="s">
        <v>124</v>
      </c>
      <c r="I111" t="s">
        <v>188</v>
      </c>
      <c r="J111">
        <v>1</v>
      </c>
      <c r="K111">
        <v>95.822099447513807</v>
      </c>
      <c r="Z111"/>
    </row>
    <row r="112" spans="1:26" x14ac:dyDescent="0.25">
      <c r="A112" s="159" t="str">
        <f t="shared" si="4"/>
        <v>LB-Greater Downtown San Francisco-Oakland and Alameda-Other maintenance</v>
      </c>
      <c r="B112">
        <v>1</v>
      </c>
      <c r="C112" t="str">
        <f t="shared" si="5"/>
        <v>Greater Downtown San Francisco</v>
      </c>
      <c r="D112">
        <v>18</v>
      </c>
      <c r="E112" t="str">
        <f t="shared" si="5"/>
        <v>Oakland and Alameda</v>
      </c>
      <c r="F112" t="s">
        <v>325</v>
      </c>
      <c r="G112">
        <f t="shared" si="3"/>
        <v>4</v>
      </c>
      <c r="H112" t="s">
        <v>359</v>
      </c>
      <c r="I112" t="s">
        <v>191</v>
      </c>
      <c r="J112">
        <v>2</v>
      </c>
      <c r="K112">
        <v>151.15052508751401</v>
      </c>
      <c r="Z112"/>
    </row>
    <row r="113" spans="1:26" x14ac:dyDescent="0.25">
      <c r="A113" s="159" t="str">
        <f t="shared" si="4"/>
        <v>FR-Greater Downtown San Francisco-Oakland and Alameda-Shopping</v>
      </c>
      <c r="B113">
        <v>1</v>
      </c>
      <c r="C113" t="str">
        <f t="shared" si="5"/>
        <v>Greater Downtown San Francisco</v>
      </c>
      <c r="D113">
        <v>18</v>
      </c>
      <c r="E113" t="str">
        <f t="shared" si="5"/>
        <v>Oakland and Alameda</v>
      </c>
      <c r="F113" t="s">
        <v>106</v>
      </c>
      <c r="G113">
        <f t="shared" si="3"/>
        <v>4</v>
      </c>
      <c r="H113" t="s">
        <v>360</v>
      </c>
      <c r="I113" t="s">
        <v>185</v>
      </c>
      <c r="J113">
        <v>1</v>
      </c>
      <c r="K113">
        <v>16.498422712933699</v>
      </c>
      <c r="Z113"/>
    </row>
    <row r="114" spans="1:26" x14ac:dyDescent="0.25">
      <c r="A114" s="159" t="str">
        <f t="shared" si="4"/>
        <v>FR-Greater Downtown San Francisco-Oakland and Alameda-Social recreation</v>
      </c>
      <c r="B114">
        <v>1</v>
      </c>
      <c r="C114" t="str">
        <f t="shared" si="5"/>
        <v>Greater Downtown San Francisco</v>
      </c>
      <c r="D114">
        <v>18</v>
      </c>
      <c r="E114" t="str">
        <f t="shared" si="5"/>
        <v>Oakland and Alameda</v>
      </c>
      <c r="F114" t="s">
        <v>324</v>
      </c>
      <c r="G114">
        <f t="shared" si="3"/>
        <v>5</v>
      </c>
      <c r="H114" t="s">
        <v>360</v>
      </c>
      <c r="I114" t="s">
        <v>185</v>
      </c>
      <c r="J114">
        <v>5</v>
      </c>
      <c r="K114">
        <v>82.4921135646685</v>
      </c>
      <c r="Z114"/>
    </row>
    <row r="115" spans="1:26" x14ac:dyDescent="0.25">
      <c r="A115" s="159" t="str">
        <f t="shared" si="4"/>
        <v>HR-Greater Downtown San Francisco-Oakland and Alameda-Social recreation</v>
      </c>
      <c r="B115">
        <v>1</v>
      </c>
      <c r="C115" t="str">
        <f t="shared" si="5"/>
        <v>Greater Downtown San Francisco</v>
      </c>
      <c r="D115">
        <v>18</v>
      </c>
      <c r="E115" t="str">
        <f t="shared" si="5"/>
        <v>Oakland and Alameda</v>
      </c>
      <c r="F115" t="s">
        <v>324</v>
      </c>
      <c r="G115">
        <f t="shared" si="3"/>
        <v>5</v>
      </c>
      <c r="H115" t="s">
        <v>124</v>
      </c>
      <c r="I115" t="s">
        <v>188</v>
      </c>
      <c r="J115">
        <v>1</v>
      </c>
      <c r="K115">
        <v>195.51395348837201</v>
      </c>
      <c r="Z115"/>
    </row>
    <row r="116" spans="1:26" x14ac:dyDescent="0.25">
      <c r="A116" s="159" t="str">
        <f t="shared" si="4"/>
        <v>LB-Greater Downtown San Francisco-Oakland and Alameda-Social recreation</v>
      </c>
      <c r="B116">
        <v>1</v>
      </c>
      <c r="C116" t="str">
        <f t="shared" si="5"/>
        <v>Greater Downtown San Francisco</v>
      </c>
      <c r="D116">
        <v>18</v>
      </c>
      <c r="E116" t="str">
        <f t="shared" si="5"/>
        <v>Oakland and Alameda</v>
      </c>
      <c r="F116" t="s">
        <v>324</v>
      </c>
      <c r="G116">
        <f t="shared" si="3"/>
        <v>5</v>
      </c>
      <c r="H116" t="s">
        <v>359</v>
      </c>
      <c r="I116" t="s">
        <v>191</v>
      </c>
      <c r="J116">
        <v>1</v>
      </c>
      <c r="K116">
        <v>286.12835472578797</v>
      </c>
      <c r="Z116"/>
    </row>
    <row r="117" spans="1:26" x14ac:dyDescent="0.25">
      <c r="A117" s="159" t="str">
        <f t="shared" si="4"/>
        <v>EB-Greater Downtown San Francisco-Oakland and Alameda-Work</v>
      </c>
      <c r="B117">
        <v>1</v>
      </c>
      <c r="C117" t="str">
        <f t="shared" si="5"/>
        <v>Greater Downtown San Francisco</v>
      </c>
      <c r="D117">
        <v>18</v>
      </c>
      <c r="E117" t="str">
        <f t="shared" si="5"/>
        <v>Oakland and Alameda</v>
      </c>
      <c r="F117" t="s">
        <v>30</v>
      </c>
      <c r="G117">
        <f t="shared" si="3"/>
        <v>1</v>
      </c>
      <c r="H117" t="s">
        <v>123</v>
      </c>
      <c r="I117" t="s">
        <v>182</v>
      </c>
      <c r="J117">
        <v>3</v>
      </c>
      <c r="K117">
        <v>226.725787631271</v>
      </c>
      <c r="Z117"/>
    </row>
    <row r="118" spans="1:26" x14ac:dyDescent="0.25">
      <c r="A118" s="159" t="str">
        <f t="shared" si="4"/>
        <v>FR-Greater Downtown San Francisco-Oakland and Alameda-Work</v>
      </c>
      <c r="B118">
        <v>1</v>
      </c>
      <c r="C118" t="str">
        <f t="shared" si="5"/>
        <v>Greater Downtown San Francisco</v>
      </c>
      <c r="D118">
        <v>18</v>
      </c>
      <c r="E118" t="str">
        <f t="shared" si="5"/>
        <v>Oakland and Alameda</v>
      </c>
      <c r="F118" t="s">
        <v>30</v>
      </c>
      <c r="G118">
        <f t="shared" si="3"/>
        <v>1</v>
      </c>
      <c r="H118" t="s">
        <v>360</v>
      </c>
      <c r="I118" t="s">
        <v>185</v>
      </c>
      <c r="J118">
        <v>75</v>
      </c>
      <c r="K118">
        <v>878.95408163264995</v>
      </c>
      <c r="Z118"/>
    </row>
    <row r="119" spans="1:26" x14ac:dyDescent="0.25">
      <c r="A119" s="159" t="str">
        <f t="shared" si="4"/>
        <v>HR-Greater Downtown San Francisco-Oakland and Alameda-Work</v>
      </c>
      <c r="B119">
        <v>1</v>
      </c>
      <c r="C119" t="str">
        <f t="shared" si="5"/>
        <v>Greater Downtown San Francisco</v>
      </c>
      <c r="D119">
        <v>18</v>
      </c>
      <c r="E119" t="str">
        <f t="shared" si="5"/>
        <v>Oakland and Alameda</v>
      </c>
      <c r="F119" t="s">
        <v>30</v>
      </c>
      <c r="G119">
        <f t="shared" si="3"/>
        <v>1</v>
      </c>
      <c r="H119" t="s">
        <v>124</v>
      </c>
      <c r="I119" t="s">
        <v>188</v>
      </c>
      <c r="J119">
        <v>10</v>
      </c>
      <c r="K119">
        <v>958.22099447513801</v>
      </c>
      <c r="Z119"/>
    </row>
    <row r="120" spans="1:26" x14ac:dyDescent="0.25">
      <c r="A120" s="159" t="str">
        <f t="shared" si="4"/>
        <v>LB-Greater Downtown San Francisco-Oakland and Alameda-Work</v>
      </c>
      <c r="B120">
        <v>1</v>
      </c>
      <c r="C120" t="str">
        <f t="shared" si="5"/>
        <v>Greater Downtown San Francisco</v>
      </c>
      <c r="D120">
        <v>18</v>
      </c>
      <c r="E120" t="str">
        <f t="shared" si="5"/>
        <v>Oakland and Alameda</v>
      </c>
      <c r="F120" t="s">
        <v>30</v>
      </c>
      <c r="G120">
        <f t="shared" si="3"/>
        <v>1</v>
      </c>
      <c r="H120" t="s">
        <v>359</v>
      </c>
      <c r="I120" t="s">
        <v>191</v>
      </c>
      <c r="J120">
        <v>5</v>
      </c>
      <c r="K120">
        <v>377.87631271878598</v>
      </c>
      <c r="Z120"/>
    </row>
    <row r="121" spans="1:26" x14ac:dyDescent="0.25">
      <c r="A121" s="159" t="str">
        <f t="shared" si="4"/>
        <v>HR-Greater Downtown San Francisco-Berkeley and Albany-High school</v>
      </c>
      <c r="B121">
        <v>1</v>
      </c>
      <c r="C121" t="str">
        <f t="shared" si="5"/>
        <v>Greater Downtown San Francisco</v>
      </c>
      <c r="D121">
        <v>19</v>
      </c>
      <c r="E121" t="str">
        <f t="shared" si="5"/>
        <v>Berkeley and Albany</v>
      </c>
      <c r="F121" t="s">
        <v>326</v>
      </c>
      <c r="G121">
        <f t="shared" si="3"/>
        <v>3</v>
      </c>
      <c r="H121" t="s">
        <v>124</v>
      </c>
      <c r="I121" t="s">
        <v>188</v>
      </c>
      <c r="J121">
        <v>1</v>
      </c>
      <c r="K121">
        <v>95.822099447513807</v>
      </c>
      <c r="Z121"/>
    </row>
    <row r="122" spans="1:26" x14ac:dyDescent="0.25">
      <c r="A122" s="159" t="str">
        <f t="shared" si="4"/>
        <v>HR-Greater Downtown San Francisco-Berkeley and Albany-Other maintenance</v>
      </c>
      <c r="B122">
        <v>1</v>
      </c>
      <c r="C122" t="str">
        <f t="shared" si="5"/>
        <v>Greater Downtown San Francisco</v>
      </c>
      <c r="D122">
        <v>19</v>
      </c>
      <c r="E122" t="str">
        <f t="shared" si="5"/>
        <v>Berkeley and Albany</v>
      </c>
      <c r="F122" t="s">
        <v>325</v>
      </c>
      <c r="G122">
        <f t="shared" si="3"/>
        <v>4</v>
      </c>
      <c r="H122" t="s">
        <v>124</v>
      </c>
      <c r="I122" t="s">
        <v>188</v>
      </c>
      <c r="J122">
        <v>3</v>
      </c>
      <c r="K122">
        <v>287.46629834254099</v>
      </c>
      <c r="Z122"/>
    </row>
    <row r="123" spans="1:26" x14ac:dyDescent="0.25">
      <c r="A123" s="159" t="str">
        <f t="shared" si="4"/>
        <v>FR-Greater Downtown San Francisco-Berkeley and Albany-Social recreation</v>
      </c>
      <c r="B123">
        <v>1</v>
      </c>
      <c r="C123" t="str">
        <f t="shared" si="5"/>
        <v>Greater Downtown San Francisco</v>
      </c>
      <c r="D123">
        <v>19</v>
      </c>
      <c r="E123" t="str">
        <f t="shared" si="5"/>
        <v>Berkeley and Albany</v>
      </c>
      <c r="F123" t="s">
        <v>324</v>
      </c>
      <c r="G123">
        <f t="shared" si="3"/>
        <v>5</v>
      </c>
      <c r="H123" t="s">
        <v>360</v>
      </c>
      <c r="I123" t="s">
        <v>185</v>
      </c>
      <c r="J123">
        <v>1</v>
      </c>
      <c r="K123">
        <v>16.498422712933699</v>
      </c>
      <c r="Z123"/>
    </row>
    <row r="124" spans="1:26" x14ac:dyDescent="0.25">
      <c r="A124" s="159" t="str">
        <f t="shared" si="4"/>
        <v>HR-Greater Downtown San Francisco-Berkeley and Albany-Social recreation</v>
      </c>
      <c r="B124">
        <v>1</v>
      </c>
      <c r="C124" t="str">
        <f t="shared" si="5"/>
        <v>Greater Downtown San Francisco</v>
      </c>
      <c r="D124">
        <v>19</v>
      </c>
      <c r="E124" t="str">
        <f t="shared" si="5"/>
        <v>Berkeley and Albany</v>
      </c>
      <c r="F124" t="s">
        <v>324</v>
      </c>
      <c r="G124">
        <f t="shared" si="3"/>
        <v>5</v>
      </c>
      <c r="H124" t="s">
        <v>124</v>
      </c>
      <c r="I124" t="s">
        <v>188</v>
      </c>
      <c r="J124">
        <v>3</v>
      </c>
      <c r="K124">
        <v>387.158152383399</v>
      </c>
      <c r="Z124"/>
    </row>
    <row r="125" spans="1:26" x14ac:dyDescent="0.25">
      <c r="A125" s="159" t="str">
        <f t="shared" si="4"/>
        <v>EB-Greater Downtown San Francisco-Berkeley and Albany-Work</v>
      </c>
      <c r="B125">
        <v>1</v>
      </c>
      <c r="C125" t="str">
        <f t="shared" si="5"/>
        <v>Greater Downtown San Francisco</v>
      </c>
      <c r="D125">
        <v>19</v>
      </c>
      <c r="E125" t="str">
        <f t="shared" si="5"/>
        <v>Berkeley and Albany</v>
      </c>
      <c r="F125" t="s">
        <v>30</v>
      </c>
      <c r="G125">
        <f t="shared" si="3"/>
        <v>1</v>
      </c>
      <c r="H125" t="s">
        <v>123</v>
      </c>
      <c r="I125" t="s">
        <v>182</v>
      </c>
      <c r="J125">
        <v>12</v>
      </c>
      <c r="K125">
        <v>906.90315052508697</v>
      </c>
      <c r="Z125"/>
    </row>
    <row r="126" spans="1:26" x14ac:dyDescent="0.25">
      <c r="A126" s="159" t="str">
        <f t="shared" si="4"/>
        <v>FR-Greater Downtown San Francisco-Berkeley and Albany-Work</v>
      </c>
      <c r="B126">
        <v>1</v>
      </c>
      <c r="C126" t="str">
        <f t="shared" si="5"/>
        <v>Greater Downtown San Francisco</v>
      </c>
      <c r="D126">
        <v>19</v>
      </c>
      <c r="E126" t="str">
        <f t="shared" si="5"/>
        <v>Berkeley and Albany</v>
      </c>
      <c r="F126" t="s">
        <v>30</v>
      </c>
      <c r="G126">
        <f t="shared" si="3"/>
        <v>1</v>
      </c>
      <c r="H126" t="s">
        <v>360</v>
      </c>
      <c r="I126" t="s">
        <v>185</v>
      </c>
      <c r="J126">
        <v>2</v>
      </c>
      <c r="K126">
        <v>23.438775510204</v>
      </c>
      <c r="Z126"/>
    </row>
    <row r="127" spans="1:26" x14ac:dyDescent="0.25">
      <c r="A127" s="159" t="str">
        <f t="shared" si="4"/>
        <v>HR-Greater Downtown San Francisco-Berkeley and Albany-Work</v>
      </c>
      <c r="B127">
        <v>1</v>
      </c>
      <c r="C127" t="str">
        <f t="shared" si="5"/>
        <v>Greater Downtown San Francisco</v>
      </c>
      <c r="D127">
        <v>19</v>
      </c>
      <c r="E127" t="str">
        <f t="shared" si="5"/>
        <v>Berkeley and Albany</v>
      </c>
      <c r="F127" t="s">
        <v>30</v>
      </c>
      <c r="G127">
        <f t="shared" si="3"/>
        <v>1</v>
      </c>
      <c r="H127" t="s">
        <v>124</v>
      </c>
      <c r="I127" t="s">
        <v>188</v>
      </c>
      <c r="J127">
        <v>7</v>
      </c>
      <c r="K127">
        <v>770.44655017345406</v>
      </c>
      <c r="Z127"/>
    </row>
    <row r="128" spans="1:26" x14ac:dyDescent="0.25">
      <c r="A128" s="159" t="str">
        <f t="shared" si="4"/>
        <v>LR-Greater Downtown San Francisco-Berkeley and Albany-Work</v>
      </c>
      <c r="B128">
        <v>1</v>
      </c>
      <c r="C128" t="str">
        <f t="shared" si="5"/>
        <v>Greater Downtown San Francisco</v>
      </c>
      <c r="D128">
        <v>19</v>
      </c>
      <c r="E128" t="str">
        <f t="shared" si="5"/>
        <v>Berkeley and Albany</v>
      </c>
      <c r="F128" t="s">
        <v>30</v>
      </c>
      <c r="G128">
        <f t="shared" si="3"/>
        <v>1</v>
      </c>
      <c r="H128" t="s">
        <v>353</v>
      </c>
      <c r="I128" t="s">
        <v>194</v>
      </c>
      <c r="J128">
        <v>1</v>
      </c>
      <c r="K128">
        <v>286.12835472578797</v>
      </c>
      <c r="Z128"/>
    </row>
    <row r="129" spans="1:26" x14ac:dyDescent="0.25">
      <c r="A129" s="159" t="str">
        <f t="shared" si="4"/>
        <v>LB-Greater Downtown San Francisco-Berkeley and Albany-Work</v>
      </c>
      <c r="B129">
        <v>1</v>
      </c>
      <c r="C129" t="str">
        <f t="shared" si="5"/>
        <v>Greater Downtown San Francisco</v>
      </c>
      <c r="D129">
        <v>19</v>
      </c>
      <c r="E129" t="str">
        <f t="shared" si="5"/>
        <v>Berkeley and Albany</v>
      </c>
      <c r="F129" t="s">
        <v>30</v>
      </c>
      <c r="G129">
        <f t="shared" si="3"/>
        <v>1</v>
      </c>
      <c r="H129" t="s">
        <v>359</v>
      </c>
      <c r="I129" t="s">
        <v>191</v>
      </c>
      <c r="J129">
        <v>1</v>
      </c>
      <c r="K129">
        <v>75.575262543757304</v>
      </c>
      <c r="Z129"/>
    </row>
    <row r="130" spans="1:26" x14ac:dyDescent="0.25">
      <c r="A130" s="159" t="str">
        <f t="shared" si="4"/>
        <v>HR-Greater Downtown San Francisco-Richmond and El Cerrito-Other maintenance</v>
      </c>
      <c r="B130">
        <v>1</v>
      </c>
      <c r="C130" t="str">
        <f t="shared" si="5"/>
        <v>Greater Downtown San Francisco</v>
      </c>
      <c r="D130">
        <v>20</v>
      </c>
      <c r="E130" t="str">
        <f t="shared" si="5"/>
        <v>Richmond and El Cerrito</v>
      </c>
      <c r="F130" t="s">
        <v>325</v>
      </c>
      <c r="G130">
        <f t="shared" ref="G130:G193" si="6">VLOOKUP(F130,$V$2:$X$10, 3,FALSE)</f>
        <v>4</v>
      </c>
      <c r="H130" t="s">
        <v>124</v>
      </c>
      <c r="I130" t="s">
        <v>188</v>
      </c>
      <c r="J130">
        <v>2</v>
      </c>
      <c r="K130">
        <v>191.64419889502699</v>
      </c>
      <c r="Z130"/>
    </row>
    <row r="131" spans="1:26" x14ac:dyDescent="0.25">
      <c r="A131" s="159" t="str">
        <f t="shared" ref="A131:A194" si="7" xml:space="preserve"> CONCATENATE(I131,"-",C131, "-",E131, "-",F131,)</f>
        <v>FR-Greater Downtown San Francisco-Richmond and El Cerrito-Social recreation</v>
      </c>
      <c r="B131">
        <v>1</v>
      </c>
      <c r="C131" t="str">
        <f t="shared" ref="C131:E194" si="8">VLOOKUP(B131,$S$2:$T$35,2,FALSE)</f>
        <v>Greater Downtown San Francisco</v>
      </c>
      <c r="D131">
        <v>20</v>
      </c>
      <c r="E131" t="str">
        <f t="shared" si="8"/>
        <v>Richmond and El Cerrito</v>
      </c>
      <c r="F131" t="s">
        <v>324</v>
      </c>
      <c r="G131">
        <f t="shared" si="6"/>
        <v>5</v>
      </c>
      <c r="H131" t="s">
        <v>360</v>
      </c>
      <c r="I131" t="s">
        <v>185</v>
      </c>
      <c r="J131">
        <v>1</v>
      </c>
      <c r="K131">
        <v>11.719387755102</v>
      </c>
      <c r="Z131"/>
    </row>
    <row r="132" spans="1:26" x14ac:dyDescent="0.25">
      <c r="A132" s="159" t="str">
        <f t="shared" si="7"/>
        <v>EB-Greater Downtown San Francisco-Richmond and El Cerrito-Work</v>
      </c>
      <c r="B132">
        <v>1</v>
      </c>
      <c r="C132" t="str">
        <f t="shared" si="8"/>
        <v>Greater Downtown San Francisco</v>
      </c>
      <c r="D132">
        <v>20</v>
      </c>
      <c r="E132" t="str">
        <f t="shared" si="8"/>
        <v>Richmond and El Cerrito</v>
      </c>
      <c r="F132" t="s">
        <v>30</v>
      </c>
      <c r="G132">
        <f t="shared" si="6"/>
        <v>1</v>
      </c>
      <c r="H132" t="s">
        <v>123</v>
      </c>
      <c r="I132" t="s">
        <v>182</v>
      </c>
      <c r="J132">
        <v>3</v>
      </c>
      <c r="K132">
        <v>22.105263157894701</v>
      </c>
      <c r="Z132"/>
    </row>
    <row r="133" spans="1:26" x14ac:dyDescent="0.25">
      <c r="A133" s="159" t="str">
        <f t="shared" si="7"/>
        <v>FR-Greater Downtown San Francisco-Richmond and El Cerrito-Work</v>
      </c>
      <c r="B133">
        <v>1</v>
      </c>
      <c r="C133" t="str">
        <f t="shared" si="8"/>
        <v>Greater Downtown San Francisco</v>
      </c>
      <c r="D133">
        <v>20</v>
      </c>
      <c r="E133" t="str">
        <f t="shared" si="8"/>
        <v>Richmond and El Cerrito</v>
      </c>
      <c r="F133" t="s">
        <v>30</v>
      </c>
      <c r="G133">
        <f t="shared" si="6"/>
        <v>1</v>
      </c>
      <c r="H133" t="s">
        <v>360</v>
      </c>
      <c r="I133" t="s">
        <v>185</v>
      </c>
      <c r="J133">
        <v>28</v>
      </c>
      <c r="K133">
        <v>328.14285714285597</v>
      </c>
      <c r="Z133"/>
    </row>
    <row r="134" spans="1:26" x14ac:dyDescent="0.25">
      <c r="A134" s="159" t="str">
        <f t="shared" si="7"/>
        <v>HR-Greater Downtown San Francisco-Richmond and El Cerrito-Work</v>
      </c>
      <c r="B134">
        <v>1</v>
      </c>
      <c r="C134" t="str">
        <f t="shared" si="8"/>
        <v>Greater Downtown San Francisco</v>
      </c>
      <c r="D134">
        <v>20</v>
      </c>
      <c r="E134" t="str">
        <f t="shared" si="8"/>
        <v>Richmond and El Cerrito</v>
      </c>
      <c r="F134" t="s">
        <v>30</v>
      </c>
      <c r="G134">
        <f t="shared" si="6"/>
        <v>1</v>
      </c>
      <c r="H134" t="s">
        <v>124</v>
      </c>
      <c r="I134" t="s">
        <v>188</v>
      </c>
      <c r="J134">
        <v>10</v>
      </c>
      <c r="K134">
        <v>1157.60470255685</v>
      </c>
      <c r="Z134"/>
    </row>
    <row r="135" spans="1:26" x14ac:dyDescent="0.25">
      <c r="A135" s="159" t="str">
        <f t="shared" si="7"/>
        <v>LB-Greater Downtown San Francisco-Richmond and El Cerrito-Work</v>
      </c>
      <c r="B135">
        <v>1</v>
      </c>
      <c r="C135" t="str">
        <f t="shared" si="8"/>
        <v>Greater Downtown San Francisco</v>
      </c>
      <c r="D135">
        <v>20</v>
      </c>
      <c r="E135" t="str">
        <f t="shared" si="8"/>
        <v>Richmond and El Cerrito</v>
      </c>
      <c r="F135" t="s">
        <v>30</v>
      </c>
      <c r="G135">
        <f t="shared" si="6"/>
        <v>1</v>
      </c>
      <c r="H135" t="s">
        <v>359</v>
      </c>
      <c r="I135" t="s">
        <v>191</v>
      </c>
      <c r="J135">
        <v>2</v>
      </c>
      <c r="K135">
        <v>293.49677577841902</v>
      </c>
      <c r="Z135"/>
    </row>
    <row r="136" spans="1:26" x14ac:dyDescent="0.25">
      <c r="A136" s="159" t="str">
        <f t="shared" si="7"/>
        <v>FR-Greater Downtown San Francisco-Concord and Martinez-Social recreation</v>
      </c>
      <c r="B136">
        <v>1</v>
      </c>
      <c r="C136" t="str">
        <f t="shared" si="8"/>
        <v>Greater Downtown San Francisco</v>
      </c>
      <c r="D136">
        <v>21</v>
      </c>
      <c r="E136" t="str">
        <f t="shared" si="8"/>
        <v>Concord and Martinez</v>
      </c>
      <c r="F136" t="s">
        <v>324</v>
      </c>
      <c r="G136">
        <f t="shared" si="6"/>
        <v>5</v>
      </c>
      <c r="H136" t="s">
        <v>360</v>
      </c>
      <c r="I136" t="s">
        <v>185</v>
      </c>
      <c r="J136">
        <v>2</v>
      </c>
      <c r="K136">
        <v>23.438775510204</v>
      </c>
      <c r="Z136"/>
    </row>
    <row r="137" spans="1:26" x14ac:dyDescent="0.25">
      <c r="A137" s="159" t="str">
        <f t="shared" si="7"/>
        <v>HR-Greater Downtown San Francisco-Concord and Martinez-Work</v>
      </c>
      <c r="B137">
        <v>1</v>
      </c>
      <c r="C137" t="str">
        <f t="shared" si="8"/>
        <v>Greater Downtown San Francisco</v>
      </c>
      <c r="D137">
        <v>21</v>
      </c>
      <c r="E137" t="str">
        <f t="shared" si="8"/>
        <v>Concord and Martinez</v>
      </c>
      <c r="F137" t="s">
        <v>30</v>
      </c>
      <c r="G137">
        <f t="shared" si="6"/>
        <v>1</v>
      </c>
      <c r="H137" t="s">
        <v>124</v>
      </c>
      <c r="I137" t="s">
        <v>188</v>
      </c>
      <c r="J137">
        <v>3</v>
      </c>
      <c r="K137">
        <v>287.46629834254099</v>
      </c>
      <c r="Z137"/>
    </row>
    <row r="138" spans="1:26" x14ac:dyDescent="0.25">
      <c r="A138" s="159" t="str">
        <f t="shared" si="7"/>
        <v>HR-Greater Downtown San Francisco-Walnut Creek-Other maintenance</v>
      </c>
      <c r="B138">
        <v>1</v>
      </c>
      <c r="C138" t="str">
        <f t="shared" si="8"/>
        <v>Greater Downtown San Francisco</v>
      </c>
      <c r="D138">
        <v>22</v>
      </c>
      <c r="E138" t="str">
        <f t="shared" si="8"/>
        <v>Walnut Creek</v>
      </c>
      <c r="F138" t="s">
        <v>325</v>
      </c>
      <c r="G138">
        <f t="shared" si="6"/>
        <v>4</v>
      </c>
      <c r="H138" t="s">
        <v>124</v>
      </c>
      <c r="I138" t="s">
        <v>188</v>
      </c>
      <c r="J138">
        <v>3</v>
      </c>
      <c r="K138">
        <v>287.46629834254099</v>
      </c>
      <c r="Z138"/>
    </row>
    <row r="139" spans="1:26" x14ac:dyDescent="0.25">
      <c r="A139" s="159" t="str">
        <f t="shared" si="7"/>
        <v>LB-Greater Downtown San Francisco-Walnut Creek-Other maintenance</v>
      </c>
      <c r="B139">
        <v>1</v>
      </c>
      <c r="C139" t="str">
        <f t="shared" si="8"/>
        <v>Greater Downtown San Francisco</v>
      </c>
      <c r="D139">
        <v>22</v>
      </c>
      <c r="E139" t="str">
        <f t="shared" si="8"/>
        <v>Walnut Creek</v>
      </c>
      <c r="F139" t="s">
        <v>325</v>
      </c>
      <c r="G139">
        <f t="shared" si="6"/>
        <v>4</v>
      </c>
      <c r="H139" t="s">
        <v>359</v>
      </c>
      <c r="I139" t="s">
        <v>191</v>
      </c>
      <c r="J139">
        <v>1</v>
      </c>
      <c r="K139">
        <v>19.727984344422701</v>
      </c>
      <c r="Z139"/>
    </row>
    <row r="140" spans="1:26" x14ac:dyDescent="0.25">
      <c r="A140" s="159" t="str">
        <f t="shared" si="7"/>
        <v>FR-Greater Downtown San Francisco-Walnut Creek-Social recreation</v>
      </c>
      <c r="B140">
        <v>1</v>
      </c>
      <c r="C140" t="str">
        <f t="shared" si="8"/>
        <v>Greater Downtown San Francisco</v>
      </c>
      <c r="D140">
        <v>22</v>
      </c>
      <c r="E140" t="str">
        <f t="shared" si="8"/>
        <v>Walnut Creek</v>
      </c>
      <c r="F140" t="s">
        <v>324</v>
      </c>
      <c r="G140">
        <f t="shared" si="6"/>
        <v>5</v>
      </c>
      <c r="H140" t="s">
        <v>360</v>
      </c>
      <c r="I140" t="s">
        <v>185</v>
      </c>
      <c r="J140">
        <v>1</v>
      </c>
      <c r="K140">
        <v>16.498422712933699</v>
      </c>
      <c r="Z140"/>
    </row>
    <row r="141" spans="1:26" x14ac:dyDescent="0.25">
      <c r="A141" s="159" t="str">
        <f t="shared" si="7"/>
        <v>HR-Greater Downtown San Francisco-Walnut Creek-Social recreation</v>
      </c>
      <c r="B141">
        <v>1</v>
      </c>
      <c r="C141" t="str">
        <f t="shared" si="8"/>
        <v>Greater Downtown San Francisco</v>
      </c>
      <c r="D141">
        <v>22</v>
      </c>
      <c r="E141" t="str">
        <f t="shared" si="8"/>
        <v>Walnut Creek</v>
      </c>
      <c r="F141" t="s">
        <v>324</v>
      </c>
      <c r="G141">
        <f t="shared" si="6"/>
        <v>5</v>
      </c>
      <c r="H141" t="s">
        <v>124</v>
      </c>
      <c r="I141" t="s">
        <v>188</v>
      </c>
      <c r="J141">
        <v>1</v>
      </c>
      <c r="K141">
        <v>95.822099447513807</v>
      </c>
      <c r="Z141"/>
    </row>
    <row r="142" spans="1:26" x14ac:dyDescent="0.25">
      <c r="A142" s="159" t="str">
        <f t="shared" si="7"/>
        <v>LB-Greater Downtown San Francisco-Walnut Creek-Work</v>
      </c>
      <c r="B142">
        <v>1</v>
      </c>
      <c r="C142" t="str">
        <f t="shared" si="8"/>
        <v>Greater Downtown San Francisco</v>
      </c>
      <c r="D142">
        <v>22</v>
      </c>
      <c r="E142" t="str">
        <f t="shared" si="8"/>
        <v>Walnut Creek</v>
      </c>
      <c r="F142" t="s">
        <v>30</v>
      </c>
      <c r="G142">
        <f t="shared" si="6"/>
        <v>1</v>
      </c>
      <c r="H142" t="s">
        <v>359</v>
      </c>
      <c r="I142" t="s">
        <v>191</v>
      </c>
      <c r="J142">
        <v>2</v>
      </c>
      <c r="K142">
        <v>39.455968688845402</v>
      </c>
      <c r="Z142"/>
    </row>
    <row r="143" spans="1:26" x14ac:dyDescent="0.25">
      <c r="A143" s="159" t="str">
        <f t="shared" si="7"/>
        <v>HR-Greater Downtown San Francisco-Danville and San Ramon-Social recreation</v>
      </c>
      <c r="B143">
        <v>1</v>
      </c>
      <c r="C143" t="str">
        <f t="shared" si="8"/>
        <v>Greater Downtown San Francisco</v>
      </c>
      <c r="D143">
        <v>23</v>
      </c>
      <c r="E143" t="str">
        <f t="shared" si="8"/>
        <v>Danville and San Ramon</v>
      </c>
      <c r="F143" t="s">
        <v>324</v>
      </c>
      <c r="G143">
        <f t="shared" si="6"/>
        <v>5</v>
      </c>
      <c r="H143" t="s">
        <v>124</v>
      </c>
      <c r="I143" t="s">
        <v>188</v>
      </c>
      <c r="J143">
        <v>1</v>
      </c>
      <c r="K143">
        <v>195.51395348837201</v>
      </c>
      <c r="Z143"/>
    </row>
    <row r="144" spans="1:26" x14ac:dyDescent="0.25">
      <c r="A144" s="159" t="str">
        <f t="shared" si="7"/>
        <v>HR-Greater Downtown San Francisco-Danville and San Ramon-Work</v>
      </c>
      <c r="B144">
        <v>1</v>
      </c>
      <c r="C144" t="str">
        <f t="shared" si="8"/>
        <v>Greater Downtown San Francisco</v>
      </c>
      <c r="D144">
        <v>23</v>
      </c>
      <c r="E144" t="str">
        <f t="shared" si="8"/>
        <v>Danville and San Ramon</v>
      </c>
      <c r="F144" t="s">
        <v>30</v>
      </c>
      <c r="G144">
        <f t="shared" si="6"/>
        <v>1</v>
      </c>
      <c r="H144" t="s">
        <v>124</v>
      </c>
      <c r="I144" t="s">
        <v>188</v>
      </c>
      <c r="J144">
        <v>1</v>
      </c>
      <c r="K144">
        <v>95.822099447513807</v>
      </c>
      <c r="Z144"/>
    </row>
    <row r="145" spans="1:26" x14ac:dyDescent="0.25">
      <c r="A145" s="159" t="str">
        <f t="shared" si="7"/>
        <v>LB-Greater Downtown San Francisco-Danville and San Ramon-Work</v>
      </c>
      <c r="B145">
        <v>1</v>
      </c>
      <c r="C145" t="str">
        <f t="shared" si="8"/>
        <v>Greater Downtown San Francisco</v>
      </c>
      <c r="D145">
        <v>23</v>
      </c>
      <c r="E145" t="str">
        <f t="shared" si="8"/>
        <v>Danville and San Ramon</v>
      </c>
      <c r="F145" t="s">
        <v>30</v>
      </c>
      <c r="G145">
        <f t="shared" si="6"/>
        <v>1</v>
      </c>
      <c r="H145" t="s">
        <v>359</v>
      </c>
      <c r="I145" t="s">
        <v>191</v>
      </c>
      <c r="J145">
        <v>3</v>
      </c>
      <c r="K145">
        <v>59.183953033268097</v>
      </c>
      <c r="Z145"/>
    </row>
    <row r="146" spans="1:26" x14ac:dyDescent="0.25">
      <c r="A146" s="159" t="str">
        <f t="shared" si="7"/>
        <v>LB-Greater Downtown San Francisco-Antioch and Pittsburg-High school</v>
      </c>
      <c r="B146">
        <v>1</v>
      </c>
      <c r="C146" t="str">
        <f t="shared" si="8"/>
        <v>Greater Downtown San Francisco</v>
      </c>
      <c r="D146">
        <v>24</v>
      </c>
      <c r="E146" t="str">
        <f t="shared" si="8"/>
        <v>Antioch and Pittsburg</v>
      </c>
      <c r="F146" t="s">
        <v>326</v>
      </c>
      <c r="G146">
        <f t="shared" si="6"/>
        <v>3</v>
      </c>
      <c r="H146" t="s">
        <v>359</v>
      </c>
      <c r="I146" t="s">
        <v>191</v>
      </c>
      <c r="J146">
        <v>1</v>
      </c>
      <c r="K146">
        <v>48.125</v>
      </c>
      <c r="Z146"/>
    </row>
    <row r="147" spans="1:26" x14ac:dyDescent="0.25">
      <c r="A147" s="159" t="str">
        <f t="shared" si="7"/>
        <v>HR-Greater Downtown San Francisco-Antioch and Pittsburg-Other maintenance</v>
      </c>
      <c r="B147">
        <v>1</v>
      </c>
      <c r="C147" t="str">
        <f t="shared" si="8"/>
        <v>Greater Downtown San Francisco</v>
      </c>
      <c r="D147">
        <v>24</v>
      </c>
      <c r="E147" t="str">
        <f t="shared" si="8"/>
        <v>Antioch and Pittsburg</v>
      </c>
      <c r="F147" t="s">
        <v>325</v>
      </c>
      <c r="G147">
        <f t="shared" si="6"/>
        <v>4</v>
      </c>
      <c r="H147" t="s">
        <v>124</v>
      </c>
      <c r="I147" t="s">
        <v>188</v>
      </c>
      <c r="J147">
        <v>2</v>
      </c>
      <c r="K147">
        <v>191.64419889502699</v>
      </c>
      <c r="Z147"/>
    </row>
    <row r="148" spans="1:26" x14ac:dyDescent="0.25">
      <c r="A148" s="159" t="str">
        <f t="shared" si="7"/>
        <v>HR-Greater Downtown San Francisco-Antioch and Pittsburg-Social recreation</v>
      </c>
      <c r="B148">
        <v>1</v>
      </c>
      <c r="C148" t="str">
        <f t="shared" si="8"/>
        <v>Greater Downtown San Francisco</v>
      </c>
      <c r="D148">
        <v>24</v>
      </c>
      <c r="E148" t="str">
        <f t="shared" si="8"/>
        <v>Antioch and Pittsburg</v>
      </c>
      <c r="F148" t="s">
        <v>324</v>
      </c>
      <c r="G148">
        <f t="shared" si="6"/>
        <v>5</v>
      </c>
      <c r="H148" t="s">
        <v>124</v>
      </c>
      <c r="I148" t="s">
        <v>188</v>
      </c>
      <c r="J148">
        <v>1</v>
      </c>
      <c r="K148">
        <v>95.822099447513807</v>
      </c>
      <c r="Z148"/>
    </row>
    <row r="149" spans="1:26" x14ac:dyDescent="0.25">
      <c r="A149" s="159" t="str">
        <f t="shared" si="7"/>
        <v>HR-Greater Downtown San Francisco-Antioch and Pittsburg-Work</v>
      </c>
      <c r="B149">
        <v>1</v>
      </c>
      <c r="C149" t="str">
        <f t="shared" si="8"/>
        <v>Greater Downtown San Francisco</v>
      </c>
      <c r="D149">
        <v>24</v>
      </c>
      <c r="E149" t="str">
        <f t="shared" si="8"/>
        <v>Antioch and Pittsburg</v>
      </c>
      <c r="F149" t="s">
        <v>30</v>
      </c>
      <c r="G149">
        <f t="shared" si="6"/>
        <v>1</v>
      </c>
      <c r="H149" t="s">
        <v>124</v>
      </c>
      <c r="I149" t="s">
        <v>188</v>
      </c>
      <c r="J149">
        <v>2</v>
      </c>
      <c r="K149">
        <v>191.64419889502699</v>
      </c>
      <c r="Z149"/>
    </row>
    <row r="150" spans="1:26" x14ac:dyDescent="0.25">
      <c r="A150" s="159" t="str">
        <f t="shared" si="7"/>
        <v>LB-Greater Downtown San Francisco-Vallejo and Benicia-Missing</v>
      </c>
      <c r="B150">
        <v>1</v>
      </c>
      <c r="C150" t="str">
        <f t="shared" si="8"/>
        <v>Greater Downtown San Francisco</v>
      </c>
      <c r="D150">
        <v>25</v>
      </c>
      <c r="E150" t="str">
        <f t="shared" si="8"/>
        <v>Vallejo and Benicia</v>
      </c>
      <c r="F150" t="s">
        <v>327</v>
      </c>
      <c r="G150">
        <f t="shared" si="6"/>
        <v>0</v>
      </c>
      <c r="H150" t="s">
        <v>359</v>
      </c>
      <c r="I150" t="s">
        <v>191</v>
      </c>
      <c r="J150">
        <v>1</v>
      </c>
      <c r="K150">
        <v>12.3349397590361</v>
      </c>
      <c r="Z150"/>
    </row>
    <row r="151" spans="1:26" x14ac:dyDescent="0.25">
      <c r="A151" s="159" t="str">
        <f t="shared" si="7"/>
        <v>FR-Greater Downtown San Francisco-Vallejo and Benicia-Other maintenance</v>
      </c>
      <c r="B151">
        <v>1</v>
      </c>
      <c r="C151" t="str">
        <f t="shared" si="8"/>
        <v>Greater Downtown San Francisco</v>
      </c>
      <c r="D151">
        <v>25</v>
      </c>
      <c r="E151" t="str">
        <f t="shared" si="8"/>
        <v>Vallejo and Benicia</v>
      </c>
      <c r="F151" t="s">
        <v>325</v>
      </c>
      <c r="G151">
        <f t="shared" si="6"/>
        <v>4</v>
      </c>
      <c r="H151" t="s">
        <v>360</v>
      </c>
      <c r="I151" t="s">
        <v>185</v>
      </c>
      <c r="J151">
        <v>1</v>
      </c>
      <c r="K151">
        <v>11.719387755102</v>
      </c>
      <c r="Z151"/>
    </row>
    <row r="152" spans="1:26" x14ac:dyDescent="0.25">
      <c r="A152" s="159" t="str">
        <f t="shared" si="7"/>
        <v>FR-Greater Downtown San Francisco-Vallejo and Benicia-Social recreation</v>
      </c>
      <c r="B152">
        <v>1</v>
      </c>
      <c r="C152" t="str">
        <f t="shared" si="8"/>
        <v>Greater Downtown San Francisco</v>
      </c>
      <c r="D152">
        <v>25</v>
      </c>
      <c r="E152" t="str">
        <f t="shared" si="8"/>
        <v>Vallejo and Benicia</v>
      </c>
      <c r="F152" t="s">
        <v>324</v>
      </c>
      <c r="G152">
        <f t="shared" si="6"/>
        <v>5</v>
      </c>
      <c r="H152" t="s">
        <v>360</v>
      </c>
      <c r="I152" t="s">
        <v>185</v>
      </c>
      <c r="J152">
        <v>4</v>
      </c>
      <c r="K152">
        <v>65.993690851734797</v>
      </c>
      <c r="Z152"/>
    </row>
    <row r="153" spans="1:26" x14ac:dyDescent="0.25">
      <c r="A153" s="159" t="str">
        <f t="shared" si="7"/>
        <v>HR-Greater Downtown San Francisco-Vallejo and Benicia-Social recreation</v>
      </c>
      <c r="B153">
        <v>1</v>
      </c>
      <c r="C153" t="str">
        <f t="shared" si="8"/>
        <v>Greater Downtown San Francisco</v>
      </c>
      <c r="D153">
        <v>25</v>
      </c>
      <c r="E153" t="str">
        <f t="shared" si="8"/>
        <v>Vallejo and Benicia</v>
      </c>
      <c r="F153" t="s">
        <v>324</v>
      </c>
      <c r="G153">
        <f t="shared" si="6"/>
        <v>5</v>
      </c>
      <c r="H153" t="s">
        <v>124</v>
      </c>
      <c r="I153" t="s">
        <v>188</v>
      </c>
      <c r="J153">
        <v>1</v>
      </c>
      <c r="K153">
        <v>95.822099447513807</v>
      </c>
      <c r="Z153"/>
    </row>
    <row r="154" spans="1:26" x14ac:dyDescent="0.25">
      <c r="A154" s="159" t="str">
        <f t="shared" si="7"/>
        <v>EB-Greater Downtown San Francisco-Vallejo and Benicia-Work</v>
      </c>
      <c r="B154">
        <v>1</v>
      </c>
      <c r="C154" t="str">
        <f t="shared" si="8"/>
        <v>Greater Downtown San Francisco</v>
      </c>
      <c r="D154">
        <v>25</v>
      </c>
      <c r="E154" t="str">
        <f t="shared" si="8"/>
        <v>Vallejo and Benicia</v>
      </c>
      <c r="F154" t="s">
        <v>30</v>
      </c>
      <c r="G154">
        <f t="shared" si="6"/>
        <v>1</v>
      </c>
      <c r="H154" t="s">
        <v>123</v>
      </c>
      <c r="I154" t="s">
        <v>182</v>
      </c>
      <c r="J154">
        <v>1</v>
      </c>
      <c r="K154">
        <v>12.3349397590361</v>
      </c>
      <c r="Z154"/>
    </row>
    <row r="155" spans="1:26" x14ac:dyDescent="0.25">
      <c r="A155" s="159" t="str">
        <f t="shared" si="7"/>
        <v>FR-Greater Downtown San Francisco-Vallejo and Benicia-Work</v>
      </c>
      <c r="B155">
        <v>1</v>
      </c>
      <c r="C155" t="str">
        <f t="shared" si="8"/>
        <v>Greater Downtown San Francisco</v>
      </c>
      <c r="D155">
        <v>25</v>
      </c>
      <c r="E155" t="str">
        <f t="shared" si="8"/>
        <v>Vallejo and Benicia</v>
      </c>
      <c r="F155" t="s">
        <v>30</v>
      </c>
      <c r="G155">
        <f t="shared" si="6"/>
        <v>1</v>
      </c>
      <c r="H155" t="s">
        <v>360</v>
      </c>
      <c r="I155" t="s">
        <v>185</v>
      </c>
      <c r="J155">
        <v>7</v>
      </c>
      <c r="K155">
        <v>86.814749243545606</v>
      </c>
      <c r="Z155"/>
    </row>
    <row r="156" spans="1:26" x14ac:dyDescent="0.25">
      <c r="A156" s="159" t="str">
        <f t="shared" si="7"/>
        <v>LB-Greater Downtown San Francisco-Vallejo and Benicia-Work</v>
      </c>
      <c r="B156">
        <v>1</v>
      </c>
      <c r="C156" t="str">
        <f t="shared" si="8"/>
        <v>Greater Downtown San Francisco</v>
      </c>
      <c r="D156">
        <v>25</v>
      </c>
      <c r="E156" t="str">
        <f t="shared" si="8"/>
        <v>Vallejo and Benicia</v>
      </c>
      <c r="F156" t="s">
        <v>30</v>
      </c>
      <c r="G156">
        <f t="shared" si="6"/>
        <v>1</v>
      </c>
      <c r="H156" t="s">
        <v>359</v>
      </c>
      <c r="I156" t="s">
        <v>191</v>
      </c>
      <c r="J156">
        <v>2</v>
      </c>
      <c r="K156">
        <v>25.711071534118201</v>
      </c>
      <c r="Z156"/>
    </row>
    <row r="157" spans="1:26" x14ac:dyDescent="0.25">
      <c r="A157" s="159" t="str">
        <f t="shared" si="7"/>
        <v>EB-Greater Downtown San Francisco-Fairfield and Vacaville-Other maintenance</v>
      </c>
      <c r="B157">
        <v>1</v>
      </c>
      <c r="C157" t="str">
        <f t="shared" si="8"/>
        <v>Greater Downtown San Francisco</v>
      </c>
      <c r="D157">
        <v>26</v>
      </c>
      <c r="E157" t="str">
        <f t="shared" si="8"/>
        <v>Fairfield and Vacaville</v>
      </c>
      <c r="F157" t="s">
        <v>325</v>
      </c>
      <c r="G157">
        <f t="shared" si="6"/>
        <v>4</v>
      </c>
      <c r="H157" t="s">
        <v>123</v>
      </c>
      <c r="I157" t="s">
        <v>182</v>
      </c>
      <c r="J157">
        <v>1</v>
      </c>
      <c r="K157">
        <v>12.3349397590361</v>
      </c>
      <c r="Z157"/>
    </row>
    <row r="158" spans="1:26" x14ac:dyDescent="0.25">
      <c r="A158" s="159" t="str">
        <f t="shared" si="7"/>
        <v>EB-Greater Downtown San Francisco-Fairfield and Vacaville-Social recreation</v>
      </c>
      <c r="B158">
        <v>1</v>
      </c>
      <c r="C158" t="str">
        <f t="shared" si="8"/>
        <v>Greater Downtown San Francisco</v>
      </c>
      <c r="D158">
        <v>26</v>
      </c>
      <c r="E158" t="str">
        <f t="shared" si="8"/>
        <v>Fairfield and Vacaville</v>
      </c>
      <c r="F158" t="s">
        <v>324</v>
      </c>
      <c r="G158">
        <f t="shared" si="6"/>
        <v>5</v>
      </c>
      <c r="H158" t="s">
        <v>123</v>
      </c>
      <c r="I158" t="s">
        <v>182</v>
      </c>
      <c r="J158">
        <v>1</v>
      </c>
      <c r="K158">
        <v>12.3349397590361</v>
      </c>
      <c r="Z158"/>
    </row>
    <row r="159" spans="1:26" x14ac:dyDescent="0.25">
      <c r="A159" s="159" t="str">
        <f t="shared" si="7"/>
        <v>LB-Greater Downtown San Francisco-Fairfield and Vacaville-Social recreation</v>
      </c>
      <c r="B159">
        <v>1</v>
      </c>
      <c r="C159" t="str">
        <f t="shared" si="8"/>
        <v>Greater Downtown San Francisco</v>
      </c>
      <c r="D159">
        <v>26</v>
      </c>
      <c r="E159" t="str">
        <f t="shared" si="8"/>
        <v>Fairfield and Vacaville</v>
      </c>
      <c r="F159" t="s">
        <v>324</v>
      </c>
      <c r="G159">
        <f t="shared" si="6"/>
        <v>5</v>
      </c>
      <c r="H159" t="s">
        <v>359</v>
      </c>
      <c r="I159" t="s">
        <v>191</v>
      </c>
      <c r="J159">
        <v>1</v>
      </c>
      <c r="K159">
        <v>4.83928571428571</v>
      </c>
      <c r="Z159"/>
    </row>
    <row r="160" spans="1:26" x14ac:dyDescent="0.25">
      <c r="A160" s="159" t="str">
        <f t="shared" si="7"/>
        <v>EB-Greater Downtown San Francisco-Fairfield and Vacaville-Work</v>
      </c>
      <c r="B160">
        <v>1</v>
      </c>
      <c r="C160" t="str">
        <f t="shared" si="8"/>
        <v>Greater Downtown San Francisco</v>
      </c>
      <c r="D160">
        <v>26</v>
      </c>
      <c r="E160" t="str">
        <f t="shared" si="8"/>
        <v>Fairfield and Vacaville</v>
      </c>
      <c r="F160" t="s">
        <v>30</v>
      </c>
      <c r="G160">
        <f t="shared" si="6"/>
        <v>1</v>
      </c>
      <c r="H160" t="s">
        <v>123</v>
      </c>
      <c r="I160" t="s">
        <v>182</v>
      </c>
      <c r="J160">
        <v>4</v>
      </c>
      <c r="K160">
        <v>49.3397590361444</v>
      </c>
      <c r="Z160"/>
    </row>
    <row r="161" spans="1:26" x14ac:dyDescent="0.25">
      <c r="A161" s="159" t="str">
        <f t="shared" si="7"/>
        <v>LB-Greater Downtown San Francisco-Fairfield and Vacaville-Work</v>
      </c>
      <c r="B161">
        <v>1</v>
      </c>
      <c r="C161" t="str">
        <f t="shared" si="8"/>
        <v>Greater Downtown San Francisco</v>
      </c>
      <c r="D161">
        <v>26</v>
      </c>
      <c r="E161" t="str">
        <f t="shared" si="8"/>
        <v>Fairfield and Vacaville</v>
      </c>
      <c r="F161" t="s">
        <v>30</v>
      </c>
      <c r="G161">
        <f t="shared" si="6"/>
        <v>1</v>
      </c>
      <c r="H161" t="s">
        <v>359</v>
      </c>
      <c r="I161" t="s">
        <v>191</v>
      </c>
      <c r="J161">
        <v>1</v>
      </c>
      <c r="K161">
        <v>4.83928571428571</v>
      </c>
      <c r="Z161"/>
    </row>
    <row r="162" spans="1:26" x14ac:dyDescent="0.25">
      <c r="A162" s="159" t="str">
        <f t="shared" si="7"/>
        <v>FR-Greater Downtown San Francisco-Napa-Social recreation</v>
      </c>
      <c r="B162">
        <v>1</v>
      </c>
      <c r="C162" t="str">
        <f t="shared" si="8"/>
        <v>Greater Downtown San Francisco</v>
      </c>
      <c r="D162">
        <v>27</v>
      </c>
      <c r="E162" t="str">
        <f t="shared" si="8"/>
        <v>Napa</v>
      </c>
      <c r="F162" t="s">
        <v>324</v>
      </c>
      <c r="G162">
        <f t="shared" si="6"/>
        <v>5</v>
      </c>
      <c r="H162" t="s">
        <v>360</v>
      </c>
      <c r="I162" t="s">
        <v>185</v>
      </c>
      <c r="J162">
        <v>1</v>
      </c>
      <c r="K162">
        <v>16.498422712933699</v>
      </c>
      <c r="Z162"/>
    </row>
    <row r="163" spans="1:26" x14ac:dyDescent="0.25">
      <c r="A163" s="159" t="str">
        <f t="shared" si="7"/>
        <v>LB-Greater Downtown San Francisco-Napa-Social recreation</v>
      </c>
      <c r="B163">
        <v>1</v>
      </c>
      <c r="C163" t="str">
        <f t="shared" si="8"/>
        <v>Greater Downtown San Francisco</v>
      </c>
      <c r="D163">
        <v>27</v>
      </c>
      <c r="E163" t="str">
        <f t="shared" si="8"/>
        <v>Napa</v>
      </c>
      <c r="F163" t="s">
        <v>324</v>
      </c>
      <c r="G163">
        <f t="shared" si="6"/>
        <v>5</v>
      </c>
      <c r="H163" t="s">
        <v>359</v>
      </c>
      <c r="I163" t="s">
        <v>191</v>
      </c>
      <c r="J163">
        <v>2</v>
      </c>
      <c r="K163">
        <v>11.9702602230483</v>
      </c>
      <c r="Z163"/>
    </row>
    <row r="164" spans="1:26" x14ac:dyDescent="0.25">
      <c r="A164" s="159" t="str">
        <f t="shared" si="7"/>
        <v>CR-Greater Downtown San Francisco-Petaluma and Rohnert Park-Work</v>
      </c>
      <c r="B164">
        <v>1</v>
      </c>
      <c r="C164" t="str">
        <f t="shared" si="8"/>
        <v>Greater Downtown San Francisco</v>
      </c>
      <c r="D164">
        <v>29</v>
      </c>
      <c r="E164" t="str">
        <f t="shared" si="8"/>
        <v>Petaluma and Rohnert Park</v>
      </c>
      <c r="F164" t="s">
        <v>30</v>
      </c>
      <c r="G164">
        <f t="shared" si="6"/>
        <v>1</v>
      </c>
      <c r="H164" t="s">
        <v>125</v>
      </c>
      <c r="I164" t="s">
        <v>178</v>
      </c>
      <c r="J164">
        <v>1</v>
      </c>
      <c r="K164">
        <v>7.7247191011235996</v>
      </c>
      <c r="Z164"/>
    </row>
    <row r="165" spans="1:26" x14ac:dyDescent="0.25">
      <c r="A165" s="159" t="str">
        <f t="shared" si="7"/>
        <v>CR-Greater Downtown San Francisco-Santa Rosa and Sebastopol-High school</v>
      </c>
      <c r="B165">
        <v>1</v>
      </c>
      <c r="C165" t="str">
        <f t="shared" si="8"/>
        <v>Greater Downtown San Francisco</v>
      </c>
      <c r="D165">
        <v>30</v>
      </c>
      <c r="E165" t="str">
        <f t="shared" si="8"/>
        <v>Santa Rosa and Sebastopol</v>
      </c>
      <c r="F165" t="s">
        <v>326</v>
      </c>
      <c r="G165">
        <f t="shared" si="6"/>
        <v>3</v>
      </c>
      <c r="H165" t="s">
        <v>125</v>
      </c>
      <c r="I165" t="s">
        <v>178</v>
      </c>
      <c r="J165">
        <v>1</v>
      </c>
      <c r="K165">
        <v>7.7247191011235996</v>
      </c>
      <c r="Z165"/>
    </row>
    <row r="166" spans="1:26" x14ac:dyDescent="0.25">
      <c r="A166" s="159" t="str">
        <f t="shared" si="7"/>
        <v>LB-Greater Downtown San Francisco-Santa Rosa and Sebastopol-Other maintenance</v>
      </c>
      <c r="B166">
        <v>1</v>
      </c>
      <c r="C166" t="str">
        <f t="shared" si="8"/>
        <v>Greater Downtown San Francisco</v>
      </c>
      <c r="D166">
        <v>30</v>
      </c>
      <c r="E166" t="str">
        <f t="shared" si="8"/>
        <v>Santa Rosa and Sebastopol</v>
      </c>
      <c r="F166" t="s">
        <v>325</v>
      </c>
      <c r="G166">
        <f t="shared" si="6"/>
        <v>4</v>
      </c>
      <c r="H166" t="s">
        <v>359</v>
      </c>
      <c r="I166" t="s">
        <v>191</v>
      </c>
      <c r="J166">
        <v>1</v>
      </c>
      <c r="K166">
        <v>10.9430379746835</v>
      </c>
      <c r="Z166"/>
    </row>
    <row r="167" spans="1:26" x14ac:dyDescent="0.25">
      <c r="A167" s="159" t="str">
        <f t="shared" si="7"/>
        <v>CR-Greater Downtown San Francisco-Santa Rosa and Sebastopol-Social recreation</v>
      </c>
      <c r="B167">
        <v>1</v>
      </c>
      <c r="C167" t="str">
        <f t="shared" si="8"/>
        <v>Greater Downtown San Francisco</v>
      </c>
      <c r="D167">
        <v>30</v>
      </c>
      <c r="E167" t="str">
        <f t="shared" si="8"/>
        <v>Santa Rosa and Sebastopol</v>
      </c>
      <c r="F167" t="s">
        <v>324</v>
      </c>
      <c r="G167">
        <f t="shared" si="6"/>
        <v>5</v>
      </c>
      <c r="H167" t="s">
        <v>125</v>
      </c>
      <c r="I167" t="s">
        <v>178</v>
      </c>
      <c r="J167">
        <v>1</v>
      </c>
      <c r="K167">
        <v>7.7247191011235996</v>
      </c>
      <c r="Z167"/>
    </row>
    <row r="168" spans="1:26" x14ac:dyDescent="0.25">
      <c r="A168" s="159" t="str">
        <f t="shared" si="7"/>
        <v>CR-Greater Downtown San Francisco-Santa Rosa and Sebastopol-Work</v>
      </c>
      <c r="B168">
        <v>1</v>
      </c>
      <c r="C168" t="str">
        <f t="shared" si="8"/>
        <v>Greater Downtown San Francisco</v>
      </c>
      <c r="D168">
        <v>30</v>
      </c>
      <c r="E168" t="str">
        <f t="shared" si="8"/>
        <v>Santa Rosa and Sebastopol</v>
      </c>
      <c r="F168" t="s">
        <v>30</v>
      </c>
      <c r="G168">
        <f t="shared" si="6"/>
        <v>1</v>
      </c>
      <c r="H168" t="s">
        <v>125</v>
      </c>
      <c r="I168" t="s">
        <v>178</v>
      </c>
      <c r="J168">
        <v>1</v>
      </c>
      <c r="K168">
        <v>7.7247191011235996</v>
      </c>
      <c r="Z168"/>
    </row>
    <row r="169" spans="1:26" x14ac:dyDescent="0.25">
      <c r="A169" s="159" t="str">
        <f t="shared" si="7"/>
        <v>LB-Greater Downtown San Francisco-San Rafael-Social recreation</v>
      </c>
      <c r="B169">
        <v>1</v>
      </c>
      <c r="C169" t="str">
        <f t="shared" si="8"/>
        <v>Greater Downtown San Francisco</v>
      </c>
      <c r="D169">
        <v>33</v>
      </c>
      <c r="E169" t="str">
        <f t="shared" si="8"/>
        <v>San Rafael</v>
      </c>
      <c r="F169" t="s">
        <v>324</v>
      </c>
      <c r="G169">
        <f t="shared" si="6"/>
        <v>5</v>
      </c>
      <c r="H169" t="s">
        <v>359</v>
      </c>
      <c r="I169" t="s">
        <v>191</v>
      </c>
      <c r="J169">
        <v>1</v>
      </c>
      <c r="K169">
        <v>19.725941422594101</v>
      </c>
      <c r="Z169"/>
    </row>
    <row r="170" spans="1:26" x14ac:dyDescent="0.25">
      <c r="A170" s="159" t="str">
        <f t="shared" si="7"/>
        <v>LB-Greater Downtown San Francisco-Mill Valley and Sausalito-Work</v>
      </c>
      <c r="B170">
        <v>1</v>
      </c>
      <c r="C170" t="str">
        <f t="shared" si="8"/>
        <v>Greater Downtown San Francisco</v>
      </c>
      <c r="D170">
        <v>34</v>
      </c>
      <c r="E170" t="str">
        <f t="shared" si="8"/>
        <v>Mill Valley and Sausalito</v>
      </c>
      <c r="F170" t="s">
        <v>30</v>
      </c>
      <c r="G170">
        <f t="shared" si="6"/>
        <v>1</v>
      </c>
      <c r="H170" t="s">
        <v>359</v>
      </c>
      <c r="I170" t="s">
        <v>191</v>
      </c>
      <c r="J170">
        <v>1</v>
      </c>
      <c r="K170">
        <v>19.725941422594101</v>
      </c>
      <c r="Z170"/>
    </row>
    <row r="171" spans="1:26" x14ac:dyDescent="0.25">
      <c r="A171" s="159" t="str">
        <f t="shared" si="7"/>
        <v>LB-San Francisco Richmond District-Greater Downtown San Francisco-High school</v>
      </c>
      <c r="B171">
        <v>2</v>
      </c>
      <c r="C171" t="str">
        <f t="shared" si="8"/>
        <v>San Francisco Richmond District</v>
      </c>
      <c r="D171">
        <v>1</v>
      </c>
      <c r="E171" t="str">
        <f t="shared" si="8"/>
        <v>Greater Downtown San Francisco</v>
      </c>
      <c r="F171" t="s">
        <v>326</v>
      </c>
      <c r="G171">
        <f t="shared" si="6"/>
        <v>3</v>
      </c>
      <c r="H171" t="s">
        <v>359</v>
      </c>
      <c r="I171" t="s">
        <v>191</v>
      </c>
      <c r="J171">
        <v>8</v>
      </c>
      <c r="K171">
        <v>2289.0268378063001</v>
      </c>
      <c r="Z171"/>
    </row>
    <row r="172" spans="1:26" x14ac:dyDescent="0.25">
      <c r="A172" s="159" t="str">
        <f t="shared" si="7"/>
        <v>LB-San Francisco Richmond District-Greater Downtown San Francisco-Missing</v>
      </c>
      <c r="B172">
        <v>2</v>
      </c>
      <c r="C172" t="str">
        <f t="shared" si="8"/>
        <v>San Francisco Richmond District</v>
      </c>
      <c r="D172">
        <v>1</v>
      </c>
      <c r="E172" t="str">
        <f t="shared" si="8"/>
        <v>Greater Downtown San Francisco</v>
      </c>
      <c r="F172" t="s">
        <v>327</v>
      </c>
      <c r="G172">
        <f t="shared" si="6"/>
        <v>0</v>
      </c>
      <c r="H172" t="s">
        <v>359</v>
      </c>
      <c r="I172" t="s">
        <v>191</v>
      </c>
      <c r="J172">
        <v>6</v>
      </c>
      <c r="K172">
        <v>2670.8685394282002</v>
      </c>
      <c r="Z172"/>
    </row>
    <row r="173" spans="1:26" x14ac:dyDescent="0.25">
      <c r="A173" s="159" t="str">
        <f t="shared" si="7"/>
        <v>LR-San Francisco Richmond District-Greater Downtown San Francisco-Other maintenance</v>
      </c>
      <c r="B173">
        <v>2</v>
      </c>
      <c r="C173" t="str">
        <f t="shared" si="8"/>
        <v>San Francisco Richmond District</v>
      </c>
      <c r="D173">
        <v>1</v>
      </c>
      <c r="E173" t="str">
        <f t="shared" si="8"/>
        <v>Greater Downtown San Francisco</v>
      </c>
      <c r="F173" t="s">
        <v>325</v>
      </c>
      <c r="G173">
        <f t="shared" si="6"/>
        <v>4</v>
      </c>
      <c r="H173" t="s">
        <v>353</v>
      </c>
      <c r="I173" t="s">
        <v>194</v>
      </c>
      <c r="J173">
        <v>2</v>
      </c>
      <c r="K173">
        <v>572.25670945157594</v>
      </c>
      <c r="Z173"/>
    </row>
    <row r="174" spans="1:26" x14ac:dyDescent="0.25">
      <c r="A174" s="159" t="str">
        <f t="shared" si="7"/>
        <v>LB-San Francisco Richmond District-Greater Downtown San Francisco-Other maintenance</v>
      </c>
      <c r="B174">
        <v>2</v>
      </c>
      <c r="C174" t="str">
        <f t="shared" si="8"/>
        <v>San Francisco Richmond District</v>
      </c>
      <c r="D174">
        <v>1</v>
      </c>
      <c r="E174" t="str">
        <f t="shared" si="8"/>
        <v>Greater Downtown San Francisco</v>
      </c>
      <c r="F174" t="s">
        <v>325</v>
      </c>
      <c r="G174">
        <f t="shared" si="6"/>
        <v>4</v>
      </c>
      <c r="H174" t="s">
        <v>359</v>
      </c>
      <c r="I174" t="s">
        <v>191</v>
      </c>
      <c r="J174">
        <v>17</v>
      </c>
      <c r="K174">
        <v>5818.28044141186</v>
      </c>
      <c r="Z174"/>
    </row>
    <row r="175" spans="1:26" x14ac:dyDescent="0.25">
      <c r="A175" s="159" t="str">
        <f t="shared" si="7"/>
        <v>LR-San Francisco Richmond District-Greater Downtown San Francisco-Shopping</v>
      </c>
      <c r="B175">
        <v>2</v>
      </c>
      <c r="C175" t="str">
        <f t="shared" si="8"/>
        <v>San Francisco Richmond District</v>
      </c>
      <c r="D175">
        <v>1</v>
      </c>
      <c r="E175" t="str">
        <f t="shared" si="8"/>
        <v>Greater Downtown San Francisco</v>
      </c>
      <c r="F175" t="s">
        <v>106</v>
      </c>
      <c r="G175">
        <f t="shared" si="6"/>
        <v>4</v>
      </c>
      <c r="H175" t="s">
        <v>353</v>
      </c>
      <c r="I175" t="s">
        <v>194</v>
      </c>
      <c r="J175">
        <v>2</v>
      </c>
      <c r="K175">
        <v>572.25670945157594</v>
      </c>
      <c r="Z175"/>
    </row>
    <row r="176" spans="1:26" x14ac:dyDescent="0.25">
      <c r="A176" s="159" t="str">
        <f t="shared" si="7"/>
        <v>LB-San Francisco Richmond District-Greater Downtown San Francisco-Shopping</v>
      </c>
      <c r="B176">
        <v>2</v>
      </c>
      <c r="C176" t="str">
        <f t="shared" si="8"/>
        <v>San Francisco Richmond District</v>
      </c>
      <c r="D176">
        <v>1</v>
      </c>
      <c r="E176" t="str">
        <f t="shared" si="8"/>
        <v>Greater Downtown San Francisco</v>
      </c>
      <c r="F176" t="s">
        <v>106</v>
      </c>
      <c r="G176">
        <f t="shared" si="6"/>
        <v>4</v>
      </c>
      <c r="H176" t="s">
        <v>359</v>
      </c>
      <c r="I176" t="s">
        <v>191</v>
      </c>
      <c r="J176">
        <v>3</v>
      </c>
      <c r="K176">
        <v>858.38506417736301</v>
      </c>
      <c r="Z176"/>
    </row>
    <row r="177" spans="1:26" x14ac:dyDescent="0.25">
      <c r="A177" s="159" t="str">
        <f t="shared" si="7"/>
        <v>LB-San Francisco Richmond District-Greater Downtown San Francisco-Social recreation</v>
      </c>
      <c r="B177">
        <v>2</v>
      </c>
      <c r="C177" t="str">
        <f t="shared" si="8"/>
        <v>San Francisco Richmond District</v>
      </c>
      <c r="D177">
        <v>1</v>
      </c>
      <c r="E177" t="str">
        <f t="shared" si="8"/>
        <v>Greater Downtown San Francisco</v>
      </c>
      <c r="F177" t="s">
        <v>324</v>
      </c>
      <c r="G177">
        <f t="shared" si="6"/>
        <v>5</v>
      </c>
      <c r="H177" t="s">
        <v>359</v>
      </c>
      <c r="I177" t="s">
        <v>191</v>
      </c>
      <c r="J177">
        <v>27</v>
      </c>
      <c r="K177">
        <v>12495.9576329636</v>
      </c>
      <c r="Z177"/>
    </row>
    <row r="178" spans="1:26" x14ac:dyDescent="0.25">
      <c r="A178" s="159" t="str">
        <f t="shared" si="7"/>
        <v>LR-San Francisco Richmond District-Greater Downtown San Francisco-Work</v>
      </c>
      <c r="B178">
        <v>2</v>
      </c>
      <c r="C178" t="str">
        <f t="shared" si="8"/>
        <v>San Francisco Richmond District</v>
      </c>
      <c r="D178">
        <v>1</v>
      </c>
      <c r="E178" t="str">
        <f t="shared" si="8"/>
        <v>Greater Downtown San Francisco</v>
      </c>
      <c r="F178" t="s">
        <v>30</v>
      </c>
      <c r="G178">
        <f t="shared" si="6"/>
        <v>1</v>
      </c>
      <c r="H178" t="s">
        <v>353</v>
      </c>
      <c r="I178" t="s">
        <v>194</v>
      </c>
      <c r="J178">
        <v>7</v>
      </c>
      <c r="K178">
        <v>2002.89848308051</v>
      </c>
      <c r="Z178"/>
    </row>
    <row r="179" spans="1:26" x14ac:dyDescent="0.25">
      <c r="A179" s="159" t="str">
        <f t="shared" si="7"/>
        <v>LB-San Francisco Richmond District-Greater Downtown San Francisco-Work</v>
      </c>
      <c r="B179">
        <v>2</v>
      </c>
      <c r="C179" t="str">
        <f t="shared" si="8"/>
        <v>San Francisco Richmond District</v>
      </c>
      <c r="D179">
        <v>1</v>
      </c>
      <c r="E179" t="str">
        <f t="shared" si="8"/>
        <v>Greater Downtown San Francisco</v>
      </c>
      <c r="F179" t="s">
        <v>30</v>
      </c>
      <c r="G179">
        <f t="shared" si="6"/>
        <v>1</v>
      </c>
      <c r="H179" t="s">
        <v>359</v>
      </c>
      <c r="I179" t="s">
        <v>191</v>
      </c>
      <c r="J179">
        <v>38</v>
      </c>
      <c r="K179">
        <v>10872.8774795799</v>
      </c>
      <c r="Z179"/>
    </row>
    <row r="180" spans="1:26" x14ac:dyDescent="0.25">
      <c r="A180" s="159" t="str">
        <f t="shared" si="7"/>
        <v>HR-San Francisco Richmond District-San Francisco Richmond District-High school</v>
      </c>
      <c r="B180">
        <v>2</v>
      </c>
      <c r="C180" t="str">
        <f t="shared" si="8"/>
        <v>San Francisco Richmond District</v>
      </c>
      <c r="D180">
        <v>2</v>
      </c>
      <c r="E180" t="str">
        <f t="shared" si="8"/>
        <v>San Francisco Richmond District</v>
      </c>
      <c r="F180" t="s">
        <v>326</v>
      </c>
      <c r="G180">
        <f t="shared" si="6"/>
        <v>3</v>
      </c>
      <c r="H180" t="s">
        <v>124</v>
      </c>
      <c r="I180" t="s">
        <v>188</v>
      </c>
      <c r="J180">
        <v>1</v>
      </c>
      <c r="K180">
        <v>95.822099447513807</v>
      </c>
      <c r="Z180"/>
    </row>
    <row r="181" spans="1:26" x14ac:dyDescent="0.25">
      <c r="A181" s="159" t="str">
        <f t="shared" si="7"/>
        <v>LB-San Francisco Richmond District-San Francisco Richmond District-High school</v>
      </c>
      <c r="B181">
        <v>2</v>
      </c>
      <c r="C181" t="str">
        <f t="shared" si="8"/>
        <v>San Francisco Richmond District</v>
      </c>
      <c r="D181">
        <v>2</v>
      </c>
      <c r="E181" t="str">
        <f t="shared" si="8"/>
        <v>San Francisco Richmond District</v>
      </c>
      <c r="F181" t="s">
        <v>326</v>
      </c>
      <c r="G181">
        <f t="shared" si="6"/>
        <v>3</v>
      </c>
      <c r="H181" t="s">
        <v>359</v>
      </c>
      <c r="I181" t="s">
        <v>191</v>
      </c>
      <c r="J181">
        <v>6</v>
      </c>
      <c r="K181">
        <v>1716.7701283547201</v>
      </c>
      <c r="Z181"/>
    </row>
    <row r="182" spans="1:26" x14ac:dyDescent="0.25">
      <c r="A182" s="159" t="str">
        <f t="shared" si="7"/>
        <v>LB-San Francisco Richmond District-San Francisco Richmond District-Missing</v>
      </c>
      <c r="B182">
        <v>2</v>
      </c>
      <c r="C182" t="str">
        <f t="shared" si="8"/>
        <v>San Francisco Richmond District</v>
      </c>
      <c r="D182">
        <v>2</v>
      </c>
      <c r="E182" t="str">
        <f t="shared" si="8"/>
        <v>San Francisco Richmond District</v>
      </c>
      <c r="F182" t="s">
        <v>327</v>
      </c>
      <c r="G182">
        <f t="shared" si="6"/>
        <v>0</v>
      </c>
      <c r="H182" t="s">
        <v>359</v>
      </c>
      <c r="I182" t="s">
        <v>191</v>
      </c>
      <c r="J182">
        <v>8</v>
      </c>
      <c r="K182">
        <v>2289.0268378063001</v>
      </c>
      <c r="Z182"/>
    </row>
    <row r="183" spans="1:26" x14ac:dyDescent="0.25">
      <c r="A183" s="159" t="str">
        <f t="shared" si="7"/>
        <v>HR-San Francisco Richmond District-San Francisco Richmond District-Other maintenance</v>
      </c>
      <c r="B183">
        <v>2</v>
      </c>
      <c r="C183" t="str">
        <f t="shared" si="8"/>
        <v>San Francisco Richmond District</v>
      </c>
      <c r="D183">
        <v>2</v>
      </c>
      <c r="E183" t="str">
        <f t="shared" si="8"/>
        <v>San Francisco Richmond District</v>
      </c>
      <c r="F183" t="s">
        <v>325</v>
      </c>
      <c r="G183">
        <f t="shared" si="6"/>
        <v>4</v>
      </c>
      <c r="H183" t="s">
        <v>124</v>
      </c>
      <c r="I183" t="s">
        <v>188</v>
      </c>
      <c r="J183">
        <v>2</v>
      </c>
      <c r="K183">
        <v>391.02790697674402</v>
      </c>
      <c r="Z183"/>
    </row>
    <row r="184" spans="1:26" x14ac:dyDescent="0.25">
      <c r="A184" s="159" t="str">
        <f t="shared" si="7"/>
        <v>LB-San Francisco Richmond District-San Francisco Richmond District-Other maintenance</v>
      </c>
      <c r="B184">
        <v>2</v>
      </c>
      <c r="C184" t="str">
        <f t="shared" si="8"/>
        <v>San Francisco Richmond District</v>
      </c>
      <c r="D184">
        <v>2</v>
      </c>
      <c r="E184" t="str">
        <f t="shared" si="8"/>
        <v>San Francisco Richmond District</v>
      </c>
      <c r="F184" t="s">
        <v>325</v>
      </c>
      <c r="G184">
        <f t="shared" si="6"/>
        <v>4</v>
      </c>
      <c r="H184" t="s">
        <v>359</v>
      </c>
      <c r="I184" t="s">
        <v>191</v>
      </c>
      <c r="J184">
        <v>28</v>
      </c>
      <c r="K184">
        <v>9919.7907544690006</v>
      </c>
      <c r="Z184"/>
    </row>
    <row r="185" spans="1:26" x14ac:dyDescent="0.25">
      <c r="A185" s="159" t="str">
        <f t="shared" si="7"/>
        <v>LR-San Francisco Richmond District-San Francisco Richmond District-Shopping</v>
      </c>
      <c r="B185">
        <v>2</v>
      </c>
      <c r="C185" t="str">
        <f t="shared" si="8"/>
        <v>San Francisco Richmond District</v>
      </c>
      <c r="D185">
        <v>2</v>
      </c>
      <c r="E185" t="str">
        <f t="shared" si="8"/>
        <v>San Francisco Richmond District</v>
      </c>
      <c r="F185" t="s">
        <v>106</v>
      </c>
      <c r="G185">
        <f t="shared" si="6"/>
        <v>4</v>
      </c>
      <c r="H185" t="s">
        <v>353</v>
      </c>
      <c r="I185" t="s">
        <v>194</v>
      </c>
      <c r="J185">
        <v>1</v>
      </c>
      <c r="K185">
        <v>286.12835472578797</v>
      </c>
      <c r="Z185"/>
    </row>
    <row r="186" spans="1:26" x14ac:dyDescent="0.25">
      <c r="A186" s="159" t="str">
        <f t="shared" si="7"/>
        <v>LB-San Francisco Richmond District-San Francisco Richmond District-Shopping</v>
      </c>
      <c r="B186">
        <v>2</v>
      </c>
      <c r="C186" t="str">
        <f t="shared" si="8"/>
        <v>San Francisco Richmond District</v>
      </c>
      <c r="D186">
        <v>2</v>
      </c>
      <c r="E186" t="str">
        <f t="shared" si="8"/>
        <v>San Francisco Richmond District</v>
      </c>
      <c r="F186" t="s">
        <v>106</v>
      </c>
      <c r="G186">
        <f t="shared" si="6"/>
        <v>4</v>
      </c>
      <c r="H186" t="s">
        <v>359</v>
      </c>
      <c r="I186" t="s">
        <v>191</v>
      </c>
      <c r="J186">
        <v>8</v>
      </c>
      <c r="K186">
        <v>3243.12524887977</v>
      </c>
      <c r="Z186"/>
    </row>
    <row r="187" spans="1:26" x14ac:dyDescent="0.25">
      <c r="A187" s="159" t="str">
        <f t="shared" si="7"/>
        <v>LR-San Francisco Richmond District-San Francisco Richmond District-Social recreation</v>
      </c>
      <c r="B187">
        <v>2</v>
      </c>
      <c r="C187" t="str">
        <f t="shared" si="8"/>
        <v>San Francisco Richmond District</v>
      </c>
      <c r="D187">
        <v>2</v>
      </c>
      <c r="E187" t="str">
        <f t="shared" si="8"/>
        <v>San Francisco Richmond District</v>
      </c>
      <c r="F187" t="s">
        <v>324</v>
      </c>
      <c r="G187">
        <f t="shared" si="6"/>
        <v>5</v>
      </c>
      <c r="H187" t="s">
        <v>353</v>
      </c>
      <c r="I187" t="s">
        <v>194</v>
      </c>
      <c r="J187">
        <v>1</v>
      </c>
      <c r="K187">
        <v>1240.22676579926</v>
      </c>
      <c r="Z187"/>
    </row>
    <row r="188" spans="1:26" x14ac:dyDescent="0.25">
      <c r="A188" s="159" t="str">
        <f t="shared" si="7"/>
        <v>LB-San Francisco Richmond District-San Francisco Richmond District-Social recreation</v>
      </c>
      <c r="B188">
        <v>2</v>
      </c>
      <c r="C188" t="str">
        <f t="shared" si="8"/>
        <v>San Francisco Richmond District</v>
      </c>
      <c r="D188">
        <v>2</v>
      </c>
      <c r="E188" t="str">
        <f t="shared" si="8"/>
        <v>San Francisco Richmond District</v>
      </c>
      <c r="F188" t="s">
        <v>324</v>
      </c>
      <c r="G188">
        <f t="shared" si="6"/>
        <v>5</v>
      </c>
      <c r="H188" t="s">
        <v>359</v>
      </c>
      <c r="I188" t="s">
        <v>191</v>
      </c>
      <c r="J188">
        <v>27</v>
      </c>
      <c r="K188">
        <v>19174.646510477902</v>
      </c>
      <c r="Z188"/>
    </row>
    <row r="189" spans="1:26" x14ac:dyDescent="0.25">
      <c r="A189" s="159" t="str">
        <f t="shared" si="7"/>
        <v>LR-San Francisco Richmond District-San Francisco Richmond District-Work</v>
      </c>
      <c r="B189">
        <v>2</v>
      </c>
      <c r="C189" t="str">
        <f t="shared" si="8"/>
        <v>San Francisco Richmond District</v>
      </c>
      <c r="D189">
        <v>2</v>
      </c>
      <c r="E189" t="str">
        <f t="shared" si="8"/>
        <v>San Francisco Richmond District</v>
      </c>
      <c r="F189" t="s">
        <v>30</v>
      </c>
      <c r="G189">
        <f t="shared" si="6"/>
        <v>1</v>
      </c>
      <c r="H189" t="s">
        <v>353</v>
      </c>
      <c r="I189" t="s">
        <v>194</v>
      </c>
      <c r="J189">
        <v>2</v>
      </c>
      <c r="K189">
        <v>1526.3551205250401</v>
      </c>
      <c r="Z189"/>
    </row>
    <row r="190" spans="1:26" x14ac:dyDescent="0.25">
      <c r="A190" s="159" t="str">
        <f t="shared" si="7"/>
        <v>LB-San Francisco Richmond District-San Francisco Richmond District-Work</v>
      </c>
      <c r="B190">
        <v>2</v>
      </c>
      <c r="C190" t="str">
        <f t="shared" si="8"/>
        <v>San Francisco Richmond District</v>
      </c>
      <c r="D190">
        <v>2</v>
      </c>
      <c r="E190" t="str">
        <f t="shared" si="8"/>
        <v>San Francisco Richmond District</v>
      </c>
      <c r="F190" t="s">
        <v>30</v>
      </c>
      <c r="G190">
        <f t="shared" si="6"/>
        <v>1</v>
      </c>
      <c r="H190" t="s">
        <v>359</v>
      </c>
      <c r="I190" t="s">
        <v>191</v>
      </c>
      <c r="J190">
        <v>38</v>
      </c>
      <c r="K190">
        <v>11826.975890653401</v>
      </c>
      <c r="Z190"/>
    </row>
    <row r="191" spans="1:26" x14ac:dyDescent="0.25">
      <c r="A191" s="159" t="str">
        <f t="shared" si="7"/>
        <v>HR-San Francisco Richmond District-San Francisco Mission District-High school</v>
      </c>
      <c r="B191">
        <v>2</v>
      </c>
      <c r="C191" t="str">
        <f t="shared" si="8"/>
        <v>San Francisco Richmond District</v>
      </c>
      <c r="D191">
        <v>3</v>
      </c>
      <c r="E191" t="str">
        <f t="shared" si="8"/>
        <v>San Francisco Mission District</v>
      </c>
      <c r="F191" t="s">
        <v>326</v>
      </c>
      <c r="G191">
        <f t="shared" si="6"/>
        <v>3</v>
      </c>
      <c r="H191" t="s">
        <v>124</v>
      </c>
      <c r="I191" t="s">
        <v>188</v>
      </c>
      <c r="J191">
        <v>2</v>
      </c>
      <c r="K191">
        <v>191.64419889502699</v>
      </c>
      <c r="Z191"/>
    </row>
    <row r="192" spans="1:26" x14ac:dyDescent="0.25">
      <c r="A192" s="159" t="str">
        <f t="shared" si="7"/>
        <v>LR-San Francisco Richmond District-San Francisco Mission District-High school</v>
      </c>
      <c r="B192">
        <v>2</v>
      </c>
      <c r="C192" t="str">
        <f t="shared" si="8"/>
        <v>San Francisco Richmond District</v>
      </c>
      <c r="D192">
        <v>3</v>
      </c>
      <c r="E192" t="str">
        <f t="shared" si="8"/>
        <v>San Francisco Mission District</v>
      </c>
      <c r="F192" t="s">
        <v>326</v>
      </c>
      <c r="G192">
        <f t="shared" si="6"/>
        <v>3</v>
      </c>
      <c r="H192" t="s">
        <v>353</v>
      </c>
      <c r="I192" t="s">
        <v>194</v>
      </c>
      <c r="J192">
        <v>1</v>
      </c>
      <c r="K192">
        <v>286.12835472578797</v>
      </c>
      <c r="Z192"/>
    </row>
    <row r="193" spans="1:26" x14ac:dyDescent="0.25">
      <c r="A193" s="159" t="str">
        <f t="shared" si="7"/>
        <v>LB-San Francisco Richmond District-San Francisco Mission District-High school</v>
      </c>
      <c r="B193">
        <v>2</v>
      </c>
      <c r="C193" t="str">
        <f t="shared" si="8"/>
        <v>San Francisco Richmond District</v>
      </c>
      <c r="D193">
        <v>3</v>
      </c>
      <c r="E193" t="str">
        <f t="shared" si="8"/>
        <v>San Francisco Mission District</v>
      </c>
      <c r="F193" t="s">
        <v>326</v>
      </c>
      <c r="G193">
        <f t="shared" si="6"/>
        <v>3</v>
      </c>
      <c r="H193" t="s">
        <v>359</v>
      </c>
      <c r="I193" t="s">
        <v>191</v>
      </c>
      <c r="J193">
        <v>14</v>
      </c>
      <c r="K193">
        <v>4005.79696616103</v>
      </c>
      <c r="Z193"/>
    </row>
    <row r="194" spans="1:26" x14ac:dyDescent="0.25">
      <c r="A194" s="159" t="str">
        <f t="shared" si="7"/>
        <v>LB-San Francisco Richmond District-San Francisco Mission District-Missing</v>
      </c>
      <c r="B194">
        <v>2</v>
      </c>
      <c r="C194" t="str">
        <f t="shared" si="8"/>
        <v>San Francisco Richmond District</v>
      </c>
      <c r="D194">
        <v>3</v>
      </c>
      <c r="E194" t="str">
        <f t="shared" si="8"/>
        <v>San Francisco Mission District</v>
      </c>
      <c r="F194" t="s">
        <v>327</v>
      </c>
      <c r="G194">
        <f t="shared" ref="G194:G257" si="9">VLOOKUP(F194,$V$2:$X$10, 3,FALSE)</f>
        <v>0</v>
      </c>
      <c r="H194" t="s">
        <v>359</v>
      </c>
      <c r="I194" t="s">
        <v>191</v>
      </c>
      <c r="J194">
        <v>4</v>
      </c>
      <c r="K194">
        <v>1144.5134189031501</v>
      </c>
      <c r="Z194"/>
    </row>
    <row r="195" spans="1:26" x14ac:dyDescent="0.25">
      <c r="A195" s="159" t="str">
        <f t="shared" ref="A195:A258" si="10" xml:space="preserve"> CONCATENATE(I195,"-",C195, "-",E195, "-",F195,)</f>
        <v>LB-San Francisco Richmond District-San Francisco Mission District-Other maintenance</v>
      </c>
      <c r="B195">
        <v>2</v>
      </c>
      <c r="C195" t="str">
        <f t="shared" ref="C195:E258" si="11">VLOOKUP(B195,$S$2:$T$35,2,FALSE)</f>
        <v>San Francisco Richmond District</v>
      </c>
      <c r="D195">
        <v>3</v>
      </c>
      <c r="E195" t="str">
        <f t="shared" si="11"/>
        <v>San Francisco Mission District</v>
      </c>
      <c r="F195" t="s">
        <v>325</v>
      </c>
      <c r="G195">
        <f t="shared" si="9"/>
        <v>4</v>
      </c>
      <c r="H195" t="s">
        <v>359</v>
      </c>
      <c r="I195" t="s">
        <v>191</v>
      </c>
      <c r="J195">
        <v>5</v>
      </c>
      <c r="K195">
        <v>1430.64177362894</v>
      </c>
      <c r="Z195"/>
    </row>
    <row r="196" spans="1:26" x14ac:dyDescent="0.25">
      <c r="A196" s="159" t="str">
        <f t="shared" si="10"/>
        <v>LB-San Francisco Richmond District-San Francisco Mission District-Shopping</v>
      </c>
      <c r="B196">
        <v>2</v>
      </c>
      <c r="C196" t="str">
        <f t="shared" si="11"/>
        <v>San Francisco Richmond District</v>
      </c>
      <c r="D196">
        <v>3</v>
      </c>
      <c r="E196" t="str">
        <f t="shared" si="11"/>
        <v>San Francisco Mission District</v>
      </c>
      <c r="F196" t="s">
        <v>106</v>
      </c>
      <c r="G196">
        <f t="shared" si="9"/>
        <v>4</v>
      </c>
      <c r="H196" t="s">
        <v>359</v>
      </c>
      <c r="I196" t="s">
        <v>191</v>
      </c>
      <c r="J196">
        <v>1</v>
      </c>
      <c r="K196">
        <v>286.12835472578797</v>
      </c>
      <c r="Z196"/>
    </row>
    <row r="197" spans="1:26" x14ac:dyDescent="0.25">
      <c r="A197" s="159" t="str">
        <f t="shared" si="10"/>
        <v>HR-San Francisco Richmond District-San Francisco Mission District-Social recreation</v>
      </c>
      <c r="B197">
        <v>2</v>
      </c>
      <c r="C197" t="str">
        <f t="shared" si="11"/>
        <v>San Francisco Richmond District</v>
      </c>
      <c r="D197">
        <v>3</v>
      </c>
      <c r="E197" t="str">
        <f t="shared" si="11"/>
        <v>San Francisco Mission District</v>
      </c>
      <c r="F197" t="s">
        <v>324</v>
      </c>
      <c r="G197">
        <f t="shared" si="9"/>
        <v>5</v>
      </c>
      <c r="H197" t="s">
        <v>124</v>
      </c>
      <c r="I197" t="s">
        <v>188</v>
      </c>
      <c r="J197">
        <v>1</v>
      </c>
      <c r="K197">
        <v>95.822099447513807</v>
      </c>
      <c r="Z197"/>
    </row>
    <row r="198" spans="1:26" x14ac:dyDescent="0.25">
      <c r="A198" s="159" t="str">
        <f t="shared" si="10"/>
        <v>LB-San Francisco Richmond District-San Francisco Mission District-Social recreation</v>
      </c>
      <c r="B198">
        <v>2</v>
      </c>
      <c r="C198" t="str">
        <f t="shared" si="11"/>
        <v>San Francisco Richmond District</v>
      </c>
      <c r="D198">
        <v>3</v>
      </c>
      <c r="E198" t="str">
        <f t="shared" si="11"/>
        <v>San Francisco Mission District</v>
      </c>
      <c r="F198" t="s">
        <v>324</v>
      </c>
      <c r="G198">
        <f t="shared" si="9"/>
        <v>5</v>
      </c>
      <c r="H198" t="s">
        <v>359</v>
      </c>
      <c r="I198" t="s">
        <v>191</v>
      </c>
      <c r="J198">
        <v>6</v>
      </c>
      <c r="K198">
        <v>1716.7701283547201</v>
      </c>
      <c r="Z198"/>
    </row>
    <row r="199" spans="1:26" x14ac:dyDescent="0.25">
      <c r="A199" s="159" t="str">
        <f t="shared" si="10"/>
        <v>LR-San Francisco Richmond District-San Francisco Mission District-Work</v>
      </c>
      <c r="B199">
        <v>2</v>
      </c>
      <c r="C199" t="str">
        <f t="shared" si="11"/>
        <v>San Francisco Richmond District</v>
      </c>
      <c r="D199">
        <v>3</v>
      </c>
      <c r="E199" t="str">
        <f t="shared" si="11"/>
        <v>San Francisco Mission District</v>
      </c>
      <c r="F199" t="s">
        <v>30</v>
      </c>
      <c r="G199">
        <f t="shared" si="9"/>
        <v>1</v>
      </c>
      <c r="H199" t="s">
        <v>353</v>
      </c>
      <c r="I199" t="s">
        <v>194</v>
      </c>
      <c r="J199">
        <v>5</v>
      </c>
      <c r="K199">
        <v>1430.64177362894</v>
      </c>
      <c r="Z199"/>
    </row>
    <row r="200" spans="1:26" x14ac:dyDescent="0.25">
      <c r="A200" s="159" t="str">
        <f t="shared" si="10"/>
        <v>LB-San Francisco Richmond District-San Francisco Mission District-Work</v>
      </c>
      <c r="B200">
        <v>2</v>
      </c>
      <c r="C200" t="str">
        <f t="shared" si="11"/>
        <v>San Francisco Richmond District</v>
      </c>
      <c r="D200">
        <v>3</v>
      </c>
      <c r="E200" t="str">
        <f t="shared" si="11"/>
        <v>San Francisco Mission District</v>
      </c>
      <c r="F200" t="s">
        <v>30</v>
      </c>
      <c r="G200">
        <f t="shared" si="9"/>
        <v>1</v>
      </c>
      <c r="H200" t="s">
        <v>359</v>
      </c>
      <c r="I200" t="s">
        <v>191</v>
      </c>
      <c r="J200">
        <v>29</v>
      </c>
      <c r="K200">
        <v>9005.0412348774407</v>
      </c>
      <c r="Z200"/>
    </row>
    <row r="201" spans="1:26" x14ac:dyDescent="0.25">
      <c r="A201" s="159" t="str">
        <f t="shared" si="10"/>
        <v>LR-San Francisco Richmond District-San Francisco Sunset District-High school</v>
      </c>
      <c r="B201">
        <v>2</v>
      </c>
      <c r="C201" t="str">
        <f t="shared" si="11"/>
        <v>San Francisco Richmond District</v>
      </c>
      <c r="D201">
        <v>4</v>
      </c>
      <c r="E201" t="str">
        <f t="shared" si="11"/>
        <v>San Francisco Sunset District</v>
      </c>
      <c r="F201" t="s">
        <v>326</v>
      </c>
      <c r="G201">
        <f t="shared" si="9"/>
        <v>3</v>
      </c>
      <c r="H201" t="s">
        <v>353</v>
      </c>
      <c r="I201" t="s">
        <v>194</v>
      </c>
      <c r="J201">
        <v>3</v>
      </c>
      <c r="K201">
        <v>1812.48347525083</v>
      </c>
      <c r="Z201"/>
    </row>
    <row r="202" spans="1:26" x14ac:dyDescent="0.25">
      <c r="A202" s="159" t="str">
        <f t="shared" si="10"/>
        <v>LB-San Francisco Richmond District-San Francisco Sunset District-High school</v>
      </c>
      <c r="B202">
        <v>2</v>
      </c>
      <c r="C202" t="str">
        <f t="shared" si="11"/>
        <v>San Francisco Richmond District</v>
      </c>
      <c r="D202">
        <v>4</v>
      </c>
      <c r="E202" t="str">
        <f t="shared" si="11"/>
        <v>San Francisco Sunset District</v>
      </c>
      <c r="F202" t="s">
        <v>326</v>
      </c>
      <c r="G202">
        <f t="shared" si="9"/>
        <v>3</v>
      </c>
      <c r="H202" t="s">
        <v>359</v>
      </c>
      <c r="I202" t="s">
        <v>191</v>
      </c>
      <c r="J202">
        <v>4</v>
      </c>
      <c r="K202">
        <v>2098.6118299766199</v>
      </c>
      <c r="Z202"/>
    </row>
    <row r="203" spans="1:26" x14ac:dyDescent="0.25">
      <c r="A203" s="159" t="str">
        <f t="shared" si="10"/>
        <v>LR-San Francisco Richmond District-San Francisco Sunset District-Missing</v>
      </c>
      <c r="B203">
        <v>2</v>
      </c>
      <c r="C203" t="str">
        <f t="shared" si="11"/>
        <v>San Francisco Richmond District</v>
      </c>
      <c r="D203">
        <v>4</v>
      </c>
      <c r="E203" t="str">
        <f t="shared" si="11"/>
        <v>San Francisco Sunset District</v>
      </c>
      <c r="F203" t="s">
        <v>327</v>
      </c>
      <c r="G203">
        <f t="shared" si="9"/>
        <v>0</v>
      </c>
      <c r="H203" t="s">
        <v>353</v>
      </c>
      <c r="I203" t="s">
        <v>194</v>
      </c>
      <c r="J203">
        <v>1</v>
      </c>
      <c r="K203">
        <v>286.12835472578797</v>
      </c>
      <c r="Z203"/>
    </row>
    <row r="204" spans="1:26" x14ac:dyDescent="0.25">
      <c r="A204" s="159" t="str">
        <f t="shared" si="10"/>
        <v>LB-San Francisco Richmond District-San Francisco Sunset District-Missing</v>
      </c>
      <c r="B204">
        <v>2</v>
      </c>
      <c r="C204" t="str">
        <f t="shared" si="11"/>
        <v>San Francisco Richmond District</v>
      </c>
      <c r="D204">
        <v>4</v>
      </c>
      <c r="E204" t="str">
        <f t="shared" si="11"/>
        <v>San Francisco Sunset District</v>
      </c>
      <c r="F204" t="s">
        <v>327</v>
      </c>
      <c r="G204">
        <f t="shared" si="9"/>
        <v>0</v>
      </c>
      <c r="H204" t="s">
        <v>359</v>
      </c>
      <c r="I204" t="s">
        <v>191</v>
      </c>
      <c r="J204">
        <v>1</v>
      </c>
      <c r="K204">
        <v>286.12835472578797</v>
      </c>
      <c r="Z204"/>
    </row>
    <row r="205" spans="1:26" x14ac:dyDescent="0.25">
      <c r="A205" s="159" t="str">
        <f t="shared" si="10"/>
        <v>LR-San Francisco Richmond District-San Francisco Sunset District-Other maintenance</v>
      </c>
      <c r="B205">
        <v>2</v>
      </c>
      <c r="C205" t="str">
        <f t="shared" si="11"/>
        <v>San Francisco Richmond District</v>
      </c>
      <c r="D205">
        <v>4</v>
      </c>
      <c r="E205" t="str">
        <f t="shared" si="11"/>
        <v>San Francisco Sunset District</v>
      </c>
      <c r="F205" t="s">
        <v>325</v>
      </c>
      <c r="G205">
        <f t="shared" si="9"/>
        <v>4</v>
      </c>
      <c r="H205" t="s">
        <v>353</v>
      </c>
      <c r="I205" t="s">
        <v>194</v>
      </c>
      <c r="J205">
        <v>2</v>
      </c>
      <c r="K205">
        <v>2480.4535315985199</v>
      </c>
      <c r="Z205"/>
    </row>
    <row r="206" spans="1:26" x14ac:dyDescent="0.25">
      <c r="A206" s="159" t="str">
        <f t="shared" si="10"/>
        <v>LB-San Francisco Richmond District-San Francisco Sunset District-Other maintenance</v>
      </c>
      <c r="B206">
        <v>2</v>
      </c>
      <c r="C206" t="str">
        <f t="shared" si="11"/>
        <v>San Francisco Richmond District</v>
      </c>
      <c r="D206">
        <v>4</v>
      </c>
      <c r="E206" t="str">
        <f t="shared" si="11"/>
        <v>San Francisco Sunset District</v>
      </c>
      <c r="F206" t="s">
        <v>325</v>
      </c>
      <c r="G206">
        <f t="shared" si="9"/>
        <v>4</v>
      </c>
      <c r="H206" t="s">
        <v>359</v>
      </c>
      <c r="I206" t="s">
        <v>191</v>
      </c>
      <c r="J206">
        <v>4</v>
      </c>
      <c r="K206">
        <v>1144.5134189031501</v>
      </c>
      <c r="Z206"/>
    </row>
    <row r="207" spans="1:26" x14ac:dyDescent="0.25">
      <c r="A207" s="159" t="str">
        <f t="shared" si="10"/>
        <v>LR-San Francisco Richmond District-San Francisco Sunset District-Shopping</v>
      </c>
      <c r="B207">
        <v>2</v>
      </c>
      <c r="C207" t="str">
        <f t="shared" si="11"/>
        <v>San Francisco Richmond District</v>
      </c>
      <c r="D207">
        <v>4</v>
      </c>
      <c r="E207" t="str">
        <f t="shared" si="11"/>
        <v>San Francisco Sunset District</v>
      </c>
      <c r="F207" t="s">
        <v>106</v>
      </c>
      <c r="G207">
        <f t="shared" si="9"/>
        <v>4</v>
      </c>
      <c r="H207" t="s">
        <v>353</v>
      </c>
      <c r="I207" t="s">
        <v>194</v>
      </c>
      <c r="J207">
        <v>1</v>
      </c>
      <c r="K207">
        <v>286.12835472578797</v>
      </c>
      <c r="Z207"/>
    </row>
    <row r="208" spans="1:26" x14ac:dyDescent="0.25">
      <c r="A208" s="159" t="str">
        <f t="shared" si="10"/>
        <v>LR-San Francisco Richmond District-San Francisco Sunset District-Social recreation</v>
      </c>
      <c r="B208">
        <v>2</v>
      </c>
      <c r="C208" t="str">
        <f t="shared" si="11"/>
        <v>San Francisco Richmond District</v>
      </c>
      <c r="D208">
        <v>4</v>
      </c>
      <c r="E208" t="str">
        <f t="shared" si="11"/>
        <v>San Francisco Sunset District</v>
      </c>
      <c r="F208" t="s">
        <v>324</v>
      </c>
      <c r="G208">
        <f t="shared" si="9"/>
        <v>5</v>
      </c>
      <c r="H208" t="s">
        <v>353</v>
      </c>
      <c r="I208" t="s">
        <v>194</v>
      </c>
      <c r="J208">
        <v>4</v>
      </c>
      <c r="K208">
        <v>4960.9070631970399</v>
      </c>
      <c r="Z208"/>
    </row>
    <row r="209" spans="1:26" x14ac:dyDescent="0.25">
      <c r="A209" s="159" t="str">
        <f t="shared" si="10"/>
        <v>LB-San Francisco Richmond District-San Francisco Sunset District-Social recreation</v>
      </c>
      <c r="B209">
        <v>2</v>
      </c>
      <c r="C209" t="str">
        <f t="shared" si="11"/>
        <v>San Francisco Richmond District</v>
      </c>
      <c r="D209">
        <v>4</v>
      </c>
      <c r="E209" t="str">
        <f t="shared" si="11"/>
        <v>San Francisco Sunset District</v>
      </c>
      <c r="F209" t="s">
        <v>324</v>
      </c>
      <c r="G209">
        <f t="shared" si="9"/>
        <v>5</v>
      </c>
      <c r="H209" t="s">
        <v>359</v>
      </c>
      <c r="I209" t="s">
        <v>191</v>
      </c>
      <c r="J209">
        <v>1</v>
      </c>
      <c r="K209">
        <v>286.12835472578797</v>
      </c>
      <c r="Z209"/>
    </row>
    <row r="210" spans="1:26" x14ac:dyDescent="0.25">
      <c r="A210" s="159" t="str">
        <f t="shared" si="10"/>
        <v>LR-San Francisco Richmond District-San Francisco Sunset District-Work</v>
      </c>
      <c r="B210">
        <v>2</v>
      </c>
      <c r="C210" t="str">
        <f t="shared" si="11"/>
        <v>San Francisco Richmond District</v>
      </c>
      <c r="D210">
        <v>4</v>
      </c>
      <c r="E210" t="str">
        <f t="shared" si="11"/>
        <v>San Francisco Sunset District</v>
      </c>
      <c r="F210" t="s">
        <v>30</v>
      </c>
      <c r="G210">
        <f t="shared" si="9"/>
        <v>1</v>
      </c>
      <c r="H210" t="s">
        <v>353</v>
      </c>
      <c r="I210" t="s">
        <v>194</v>
      </c>
      <c r="J210">
        <v>2</v>
      </c>
      <c r="K210">
        <v>572.25670945157594</v>
      </c>
      <c r="Z210"/>
    </row>
    <row r="211" spans="1:26" x14ac:dyDescent="0.25">
      <c r="A211" s="159" t="str">
        <f t="shared" si="10"/>
        <v>LB-San Francisco Richmond District-San Francisco Sunset District-Work</v>
      </c>
      <c r="B211">
        <v>2</v>
      </c>
      <c r="C211" t="str">
        <f t="shared" si="11"/>
        <v>San Francisco Richmond District</v>
      </c>
      <c r="D211">
        <v>4</v>
      </c>
      <c r="E211" t="str">
        <f t="shared" si="11"/>
        <v>San Francisco Sunset District</v>
      </c>
      <c r="F211" t="s">
        <v>30</v>
      </c>
      <c r="G211">
        <f t="shared" si="9"/>
        <v>1</v>
      </c>
      <c r="H211" t="s">
        <v>359</v>
      </c>
      <c r="I211" t="s">
        <v>191</v>
      </c>
      <c r="J211">
        <v>6</v>
      </c>
      <c r="K211">
        <v>1716.7701283547201</v>
      </c>
      <c r="Z211"/>
    </row>
    <row r="212" spans="1:26" x14ac:dyDescent="0.25">
      <c r="A212" s="159" t="str">
        <f t="shared" si="10"/>
        <v>LB-San Francisco Richmond District-Daly City and San Bruno-High school</v>
      </c>
      <c r="B212">
        <v>2</v>
      </c>
      <c r="C212" t="str">
        <f t="shared" si="11"/>
        <v>San Francisco Richmond District</v>
      </c>
      <c r="D212">
        <v>5</v>
      </c>
      <c r="E212" t="str">
        <f t="shared" si="11"/>
        <v>Daly City and San Bruno</v>
      </c>
      <c r="F212" t="s">
        <v>326</v>
      </c>
      <c r="G212">
        <f t="shared" si="9"/>
        <v>3</v>
      </c>
      <c r="H212" t="s">
        <v>359</v>
      </c>
      <c r="I212" t="s">
        <v>191</v>
      </c>
      <c r="J212">
        <v>1</v>
      </c>
      <c r="K212">
        <v>286.12835472578797</v>
      </c>
      <c r="Z212"/>
    </row>
    <row r="213" spans="1:26" x14ac:dyDescent="0.25">
      <c r="A213" s="159" t="str">
        <f t="shared" si="10"/>
        <v>LB-San Francisco Richmond District-Daly City and San Bruno-Missing</v>
      </c>
      <c r="B213">
        <v>2</v>
      </c>
      <c r="C213" t="str">
        <f t="shared" si="11"/>
        <v>San Francisco Richmond District</v>
      </c>
      <c r="D213">
        <v>5</v>
      </c>
      <c r="E213" t="str">
        <f t="shared" si="11"/>
        <v>Daly City and San Bruno</v>
      </c>
      <c r="F213" t="s">
        <v>327</v>
      </c>
      <c r="G213">
        <f t="shared" si="9"/>
        <v>0</v>
      </c>
      <c r="H213" t="s">
        <v>359</v>
      </c>
      <c r="I213" t="s">
        <v>191</v>
      </c>
      <c r="J213">
        <v>3</v>
      </c>
      <c r="K213">
        <v>364.826137689615</v>
      </c>
      <c r="Z213"/>
    </row>
    <row r="214" spans="1:26" x14ac:dyDescent="0.25">
      <c r="A214" s="159" t="str">
        <f t="shared" si="10"/>
        <v>HR-San Francisco Richmond District-Daly City and San Bruno-Social recreation</v>
      </c>
      <c r="B214">
        <v>2</v>
      </c>
      <c r="C214" t="str">
        <f t="shared" si="11"/>
        <v>San Francisco Richmond District</v>
      </c>
      <c r="D214">
        <v>5</v>
      </c>
      <c r="E214" t="str">
        <f t="shared" si="11"/>
        <v>Daly City and San Bruno</v>
      </c>
      <c r="F214" t="s">
        <v>324</v>
      </c>
      <c r="G214">
        <f t="shared" si="9"/>
        <v>5</v>
      </c>
      <c r="H214" t="s">
        <v>124</v>
      </c>
      <c r="I214" t="s">
        <v>188</v>
      </c>
      <c r="J214">
        <v>1</v>
      </c>
      <c r="K214">
        <v>195.51395348837201</v>
      </c>
      <c r="Z214"/>
    </row>
    <row r="215" spans="1:26" x14ac:dyDescent="0.25">
      <c r="A215" s="159" t="str">
        <f t="shared" si="10"/>
        <v>HR-San Francisco Richmond District-Daly City and San Bruno-Work</v>
      </c>
      <c r="B215">
        <v>2</v>
      </c>
      <c r="C215" t="str">
        <f t="shared" si="11"/>
        <v>San Francisco Richmond District</v>
      </c>
      <c r="D215">
        <v>5</v>
      </c>
      <c r="E215" t="str">
        <f t="shared" si="11"/>
        <v>Daly City and San Bruno</v>
      </c>
      <c r="F215" t="s">
        <v>30</v>
      </c>
      <c r="G215">
        <f t="shared" si="9"/>
        <v>1</v>
      </c>
      <c r="H215" t="s">
        <v>124</v>
      </c>
      <c r="I215" t="s">
        <v>188</v>
      </c>
      <c r="J215">
        <v>3</v>
      </c>
      <c r="K215">
        <v>287.46629834254099</v>
      </c>
      <c r="Z215"/>
    </row>
    <row r="216" spans="1:26" x14ac:dyDescent="0.25">
      <c r="A216" s="159" t="str">
        <f t="shared" si="10"/>
        <v>LB-San Francisco Richmond District-Daly City and San Bruno-Work</v>
      </c>
      <c r="B216">
        <v>2</v>
      </c>
      <c r="C216" t="str">
        <f t="shared" si="11"/>
        <v>San Francisco Richmond District</v>
      </c>
      <c r="D216">
        <v>5</v>
      </c>
      <c r="E216" t="str">
        <f t="shared" si="11"/>
        <v>Daly City and San Bruno</v>
      </c>
      <c r="F216" t="s">
        <v>30</v>
      </c>
      <c r="G216">
        <f t="shared" si="9"/>
        <v>1</v>
      </c>
      <c r="H216" t="s">
        <v>359</v>
      </c>
      <c r="I216" t="s">
        <v>191</v>
      </c>
      <c r="J216">
        <v>3</v>
      </c>
      <c r="K216">
        <v>209.83383738559601</v>
      </c>
      <c r="Z216"/>
    </row>
    <row r="217" spans="1:26" x14ac:dyDescent="0.25">
      <c r="A217" s="159" t="str">
        <f t="shared" si="10"/>
        <v>CR-San Francisco Richmond District-San Mateo and Burlingame-Social recreation</v>
      </c>
      <c r="B217">
        <v>2</v>
      </c>
      <c r="C217" t="str">
        <f t="shared" si="11"/>
        <v>San Francisco Richmond District</v>
      </c>
      <c r="D217">
        <v>6</v>
      </c>
      <c r="E217" t="str">
        <f t="shared" si="11"/>
        <v>San Mateo and Burlingame</v>
      </c>
      <c r="F217" t="s">
        <v>324</v>
      </c>
      <c r="G217">
        <f t="shared" si="9"/>
        <v>5</v>
      </c>
      <c r="H217" t="s">
        <v>125</v>
      </c>
      <c r="I217" t="s">
        <v>178</v>
      </c>
      <c r="J217">
        <v>1</v>
      </c>
      <c r="K217">
        <v>25.1469534050179</v>
      </c>
      <c r="Z217"/>
    </row>
    <row r="218" spans="1:26" x14ac:dyDescent="0.25">
      <c r="A218" s="159" t="str">
        <f t="shared" si="10"/>
        <v>CR-San Francisco Richmond District-San Mateo and Burlingame-Work</v>
      </c>
      <c r="B218">
        <v>2</v>
      </c>
      <c r="C218" t="str">
        <f t="shared" si="11"/>
        <v>San Francisco Richmond District</v>
      </c>
      <c r="D218">
        <v>6</v>
      </c>
      <c r="E218" t="str">
        <f t="shared" si="11"/>
        <v>San Mateo and Burlingame</v>
      </c>
      <c r="F218" t="s">
        <v>30</v>
      </c>
      <c r="G218">
        <f t="shared" si="9"/>
        <v>1</v>
      </c>
      <c r="H218" t="s">
        <v>125</v>
      </c>
      <c r="I218" t="s">
        <v>178</v>
      </c>
      <c r="J218">
        <v>3</v>
      </c>
      <c r="K218">
        <v>72.007970354170496</v>
      </c>
      <c r="Z218"/>
    </row>
    <row r="219" spans="1:26" x14ac:dyDescent="0.25">
      <c r="A219" s="159" t="str">
        <f t="shared" si="10"/>
        <v>LB-San Francisco Richmond District-San Mateo and Burlingame-Work</v>
      </c>
      <c r="B219">
        <v>2</v>
      </c>
      <c r="C219" t="str">
        <f t="shared" si="11"/>
        <v>San Francisco Richmond District</v>
      </c>
      <c r="D219">
        <v>6</v>
      </c>
      <c r="E219" t="str">
        <f t="shared" si="11"/>
        <v>San Mateo and Burlingame</v>
      </c>
      <c r="F219" t="s">
        <v>30</v>
      </c>
      <c r="G219">
        <f t="shared" si="9"/>
        <v>1</v>
      </c>
      <c r="H219" t="s">
        <v>359</v>
      </c>
      <c r="I219" t="s">
        <v>191</v>
      </c>
      <c r="J219">
        <v>1</v>
      </c>
      <c r="K219">
        <v>62.646773074254</v>
      </c>
      <c r="Z219"/>
    </row>
    <row r="220" spans="1:26" x14ac:dyDescent="0.25">
      <c r="A220" s="159" t="str">
        <f t="shared" si="10"/>
        <v>CR-San Francisco Richmond District-Redwood City and Menlo Park-Social recreation</v>
      </c>
      <c r="B220">
        <v>2</v>
      </c>
      <c r="C220" t="str">
        <f t="shared" si="11"/>
        <v>San Francisco Richmond District</v>
      </c>
      <c r="D220">
        <v>7</v>
      </c>
      <c r="E220" t="str">
        <f t="shared" si="11"/>
        <v>Redwood City and Menlo Park</v>
      </c>
      <c r="F220" t="s">
        <v>324</v>
      </c>
      <c r="G220">
        <f t="shared" si="9"/>
        <v>5</v>
      </c>
      <c r="H220" t="s">
        <v>125</v>
      </c>
      <c r="I220" t="s">
        <v>178</v>
      </c>
      <c r="J220">
        <v>1</v>
      </c>
      <c r="K220">
        <v>25.1469534050179</v>
      </c>
      <c r="Z220"/>
    </row>
    <row r="221" spans="1:26" x14ac:dyDescent="0.25">
      <c r="A221" s="159" t="str">
        <f t="shared" si="10"/>
        <v>CR-San Francisco Richmond District-Redwood City and Menlo Park-Work</v>
      </c>
      <c r="B221">
        <v>2</v>
      </c>
      <c r="C221" t="str">
        <f t="shared" si="11"/>
        <v>San Francisco Richmond District</v>
      </c>
      <c r="D221">
        <v>7</v>
      </c>
      <c r="E221" t="str">
        <f t="shared" si="11"/>
        <v>Redwood City and Menlo Park</v>
      </c>
      <c r="F221" t="s">
        <v>30</v>
      </c>
      <c r="G221">
        <f t="shared" si="9"/>
        <v>1</v>
      </c>
      <c r="H221" t="s">
        <v>125</v>
      </c>
      <c r="I221" t="s">
        <v>178</v>
      </c>
      <c r="J221">
        <v>2</v>
      </c>
      <c r="K221">
        <v>48.577461879594097</v>
      </c>
      <c r="Z221"/>
    </row>
    <row r="222" spans="1:26" x14ac:dyDescent="0.25">
      <c r="A222" s="159" t="str">
        <f t="shared" si="10"/>
        <v>LB-San Francisco Richmond District-Redwood City and Menlo Park-Work</v>
      </c>
      <c r="B222">
        <v>2</v>
      </c>
      <c r="C222" t="str">
        <f t="shared" si="11"/>
        <v>San Francisco Richmond District</v>
      </c>
      <c r="D222">
        <v>7</v>
      </c>
      <c r="E222" t="str">
        <f t="shared" si="11"/>
        <v>Redwood City and Menlo Park</v>
      </c>
      <c r="F222" t="s">
        <v>30</v>
      </c>
      <c r="G222">
        <f t="shared" si="9"/>
        <v>1</v>
      </c>
      <c r="H222" t="s">
        <v>359</v>
      </c>
      <c r="I222" t="s">
        <v>191</v>
      </c>
      <c r="J222">
        <v>1</v>
      </c>
      <c r="K222">
        <v>39.348891481913597</v>
      </c>
      <c r="Z222"/>
    </row>
    <row r="223" spans="1:26" x14ac:dyDescent="0.25">
      <c r="A223" s="159" t="str">
        <f t="shared" si="10"/>
        <v>CR-San Francisco Richmond District-Palo Alto and Los Altos-High school</v>
      </c>
      <c r="B223">
        <v>2</v>
      </c>
      <c r="C223" t="str">
        <f t="shared" si="11"/>
        <v>San Francisco Richmond District</v>
      </c>
      <c r="D223">
        <v>8</v>
      </c>
      <c r="E223" t="str">
        <f t="shared" si="11"/>
        <v>Palo Alto and Los Altos</v>
      </c>
      <c r="F223" t="s">
        <v>326</v>
      </c>
      <c r="G223">
        <f t="shared" si="9"/>
        <v>3</v>
      </c>
      <c r="H223" t="s">
        <v>125</v>
      </c>
      <c r="I223" t="s">
        <v>178</v>
      </c>
      <c r="J223">
        <v>2</v>
      </c>
      <c r="K223">
        <v>46.861016949152599</v>
      </c>
      <c r="Z223"/>
    </row>
    <row r="224" spans="1:26" x14ac:dyDescent="0.25">
      <c r="A224" s="159" t="str">
        <f t="shared" si="10"/>
        <v>CR-San Francisco Richmond District-Palo Alto and Los Altos-Social recreation</v>
      </c>
      <c r="B224">
        <v>2</v>
      </c>
      <c r="C224" t="str">
        <f t="shared" si="11"/>
        <v>San Francisco Richmond District</v>
      </c>
      <c r="D224">
        <v>8</v>
      </c>
      <c r="E224" t="str">
        <f t="shared" si="11"/>
        <v>Palo Alto and Los Altos</v>
      </c>
      <c r="F224" t="s">
        <v>324</v>
      </c>
      <c r="G224">
        <f t="shared" si="9"/>
        <v>5</v>
      </c>
      <c r="H224" t="s">
        <v>125</v>
      </c>
      <c r="I224" t="s">
        <v>178</v>
      </c>
      <c r="J224">
        <v>5</v>
      </c>
      <c r="K224">
        <v>124.018322094647</v>
      </c>
      <c r="Z224"/>
    </row>
    <row r="225" spans="1:26" x14ac:dyDescent="0.25">
      <c r="A225" s="159" t="str">
        <f t="shared" si="10"/>
        <v>CR-San Francisco Richmond District-Palo Alto and Los Altos-Work</v>
      </c>
      <c r="B225">
        <v>2</v>
      </c>
      <c r="C225" t="str">
        <f t="shared" si="11"/>
        <v>San Francisco Richmond District</v>
      </c>
      <c r="D225">
        <v>8</v>
      </c>
      <c r="E225" t="str">
        <f t="shared" si="11"/>
        <v>Palo Alto and Los Altos</v>
      </c>
      <c r="F225" t="s">
        <v>30</v>
      </c>
      <c r="G225">
        <f t="shared" si="9"/>
        <v>1</v>
      </c>
      <c r="H225" t="s">
        <v>125</v>
      </c>
      <c r="I225" t="s">
        <v>178</v>
      </c>
      <c r="J225">
        <v>11</v>
      </c>
      <c r="K225">
        <v>257.73559322033901</v>
      </c>
      <c r="Z225"/>
    </row>
    <row r="226" spans="1:26" x14ac:dyDescent="0.25">
      <c r="A226" s="159" t="str">
        <f t="shared" si="10"/>
        <v>LR-San Francisco Richmond District-Palo Alto and Los Altos-Work</v>
      </c>
      <c r="B226">
        <v>2</v>
      </c>
      <c r="C226" t="str">
        <f t="shared" si="11"/>
        <v>San Francisco Richmond District</v>
      </c>
      <c r="D226">
        <v>8</v>
      </c>
      <c r="E226" t="str">
        <f t="shared" si="11"/>
        <v>Palo Alto and Los Altos</v>
      </c>
      <c r="F226" t="s">
        <v>30</v>
      </c>
      <c r="G226">
        <f t="shared" si="9"/>
        <v>1</v>
      </c>
      <c r="H226" t="s">
        <v>353</v>
      </c>
      <c r="I226" t="s">
        <v>194</v>
      </c>
      <c r="J226">
        <v>1</v>
      </c>
      <c r="K226">
        <v>286.12835472578797</v>
      </c>
      <c r="Z226"/>
    </row>
    <row r="227" spans="1:26" x14ac:dyDescent="0.25">
      <c r="A227" s="159" t="str">
        <f t="shared" si="10"/>
        <v>CR-San Francisco Richmond District-Sunnyvale and Mountain View-Social recreation</v>
      </c>
      <c r="B227">
        <v>2</v>
      </c>
      <c r="C227" t="str">
        <f t="shared" si="11"/>
        <v>San Francisco Richmond District</v>
      </c>
      <c r="D227">
        <v>9</v>
      </c>
      <c r="E227" t="str">
        <f t="shared" si="11"/>
        <v>Sunnyvale and Mountain View</v>
      </c>
      <c r="F227" t="s">
        <v>324</v>
      </c>
      <c r="G227">
        <f t="shared" si="9"/>
        <v>5</v>
      </c>
      <c r="H227" t="s">
        <v>125</v>
      </c>
      <c r="I227" t="s">
        <v>178</v>
      </c>
      <c r="J227">
        <v>2</v>
      </c>
      <c r="K227">
        <v>48.577461879594097</v>
      </c>
      <c r="Z227"/>
    </row>
    <row r="228" spans="1:26" x14ac:dyDescent="0.25">
      <c r="A228" s="159" t="str">
        <f t="shared" si="10"/>
        <v>CR-San Francisco Richmond District-Sunnyvale and Mountain View-Work</v>
      </c>
      <c r="B228">
        <v>2</v>
      </c>
      <c r="C228" t="str">
        <f t="shared" si="11"/>
        <v>San Francisco Richmond District</v>
      </c>
      <c r="D228">
        <v>9</v>
      </c>
      <c r="E228" t="str">
        <f t="shared" si="11"/>
        <v>Sunnyvale and Mountain View</v>
      </c>
      <c r="F228" t="s">
        <v>30</v>
      </c>
      <c r="G228">
        <f t="shared" si="9"/>
        <v>1</v>
      </c>
      <c r="H228" t="s">
        <v>125</v>
      </c>
      <c r="I228" t="s">
        <v>178</v>
      </c>
      <c r="J228">
        <v>1</v>
      </c>
      <c r="K228">
        <v>23.4305084745763</v>
      </c>
      <c r="Z228"/>
    </row>
    <row r="229" spans="1:26" x14ac:dyDescent="0.25">
      <c r="A229" s="159" t="str">
        <f t="shared" si="10"/>
        <v>LB-San Francisco Richmond District-Central San Jose-High school</v>
      </c>
      <c r="B229">
        <v>2</v>
      </c>
      <c r="C229" t="str">
        <f t="shared" si="11"/>
        <v>San Francisco Richmond District</v>
      </c>
      <c r="D229">
        <v>11</v>
      </c>
      <c r="E229" t="str">
        <f t="shared" si="11"/>
        <v>Central San Jose</v>
      </c>
      <c r="F229" t="s">
        <v>326</v>
      </c>
      <c r="G229">
        <f t="shared" si="9"/>
        <v>3</v>
      </c>
      <c r="H229" t="s">
        <v>359</v>
      </c>
      <c r="I229" t="s">
        <v>191</v>
      </c>
      <c r="J229">
        <v>1</v>
      </c>
      <c r="K229">
        <v>286.12835472578797</v>
      </c>
      <c r="Z229"/>
    </row>
    <row r="230" spans="1:26" x14ac:dyDescent="0.25">
      <c r="A230" s="159" t="str">
        <f t="shared" si="10"/>
        <v>HR-San Francisco Richmond District-Central San Jose-Other maintenance</v>
      </c>
      <c r="B230">
        <v>2</v>
      </c>
      <c r="C230" t="str">
        <f t="shared" si="11"/>
        <v>San Francisco Richmond District</v>
      </c>
      <c r="D230">
        <v>11</v>
      </c>
      <c r="E230" t="str">
        <f t="shared" si="11"/>
        <v>Central San Jose</v>
      </c>
      <c r="F230" t="s">
        <v>325</v>
      </c>
      <c r="G230">
        <f t="shared" si="9"/>
        <v>4</v>
      </c>
      <c r="H230" t="s">
        <v>124</v>
      </c>
      <c r="I230" t="s">
        <v>188</v>
      </c>
      <c r="J230">
        <v>1</v>
      </c>
      <c r="K230">
        <v>195.51395348837201</v>
      </c>
      <c r="Z230"/>
    </row>
    <row r="231" spans="1:26" x14ac:dyDescent="0.25">
      <c r="A231" s="159" t="str">
        <f t="shared" si="10"/>
        <v>LB-San Francisco Richmond District-Central San Jose-Other maintenance</v>
      </c>
      <c r="B231">
        <v>2</v>
      </c>
      <c r="C231" t="str">
        <f t="shared" si="11"/>
        <v>San Francisco Richmond District</v>
      </c>
      <c r="D231">
        <v>11</v>
      </c>
      <c r="E231" t="str">
        <f t="shared" si="11"/>
        <v>Central San Jose</v>
      </c>
      <c r="F231" t="s">
        <v>325</v>
      </c>
      <c r="G231">
        <f t="shared" si="9"/>
        <v>4</v>
      </c>
      <c r="H231" t="s">
        <v>359</v>
      </c>
      <c r="I231" t="s">
        <v>191</v>
      </c>
      <c r="J231">
        <v>1</v>
      </c>
      <c r="K231">
        <v>62.646773074254</v>
      </c>
      <c r="Z231"/>
    </row>
    <row r="232" spans="1:26" x14ac:dyDescent="0.25">
      <c r="A232" s="159" t="str">
        <f t="shared" si="10"/>
        <v>CR-San Francisco Richmond District-Central San Jose-Work</v>
      </c>
      <c r="B232">
        <v>2</v>
      </c>
      <c r="C232" t="str">
        <f t="shared" si="11"/>
        <v>San Francisco Richmond District</v>
      </c>
      <c r="D232">
        <v>11</v>
      </c>
      <c r="E232" t="str">
        <f t="shared" si="11"/>
        <v>Central San Jose</v>
      </c>
      <c r="F232" t="s">
        <v>30</v>
      </c>
      <c r="G232">
        <f t="shared" si="9"/>
        <v>1</v>
      </c>
      <c r="H232" t="s">
        <v>125</v>
      </c>
      <c r="I232" t="s">
        <v>178</v>
      </c>
      <c r="J232">
        <v>2</v>
      </c>
      <c r="K232">
        <v>46.861016949152599</v>
      </c>
      <c r="Z232"/>
    </row>
    <row r="233" spans="1:26" x14ac:dyDescent="0.25">
      <c r="A233" s="159" t="str">
        <f t="shared" si="10"/>
        <v>LB-San Francisco Richmond District-Central San Jose-Work</v>
      </c>
      <c r="B233">
        <v>2</v>
      </c>
      <c r="C233" t="str">
        <f t="shared" si="11"/>
        <v>San Francisco Richmond District</v>
      </c>
      <c r="D233">
        <v>11</v>
      </c>
      <c r="E233" t="str">
        <f t="shared" si="11"/>
        <v>Central San Jose</v>
      </c>
      <c r="F233" t="s">
        <v>30</v>
      </c>
      <c r="G233">
        <f t="shared" si="9"/>
        <v>1</v>
      </c>
      <c r="H233" t="s">
        <v>359</v>
      </c>
      <c r="I233" t="s">
        <v>191</v>
      </c>
      <c r="J233">
        <v>2</v>
      </c>
      <c r="K233">
        <v>125.293546148508</v>
      </c>
      <c r="Z233"/>
    </row>
    <row r="234" spans="1:26" x14ac:dyDescent="0.25">
      <c r="A234" s="159" t="str">
        <f t="shared" si="10"/>
        <v>CR-San Francisco Richmond District-Gilroy and Morgan Hill-Social recreation</v>
      </c>
      <c r="B234">
        <v>2</v>
      </c>
      <c r="C234" t="str">
        <f t="shared" si="11"/>
        <v>San Francisco Richmond District</v>
      </c>
      <c r="D234">
        <v>14</v>
      </c>
      <c r="E234" t="str">
        <f t="shared" si="11"/>
        <v>Gilroy and Morgan Hill</v>
      </c>
      <c r="F234" t="s">
        <v>324</v>
      </c>
      <c r="G234">
        <f t="shared" si="9"/>
        <v>5</v>
      </c>
      <c r="H234" t="s">
        <v>125</v>
      </c>
      <c r="I234" t="s">
        <v>178</v>
      </c>
      <c r="J234">
        <v>1</v>
      </c>
      <c r="K234">
        <v>23.4305084745763</v>
      </c>
      <c r="Z234"/>
    </row>
    <row r="235" spans="1:26" x14ac:dyDescent="0.25">
      <c r="A235" s="159" t="str">
        <f t="shared" si="10"/>
        <v>LB-San Francisco Richmond District-Livermore and Pleasanton-Missing</v>
      </c>
      <c r="B235">
        <v>2</v>
      </c>
      <c r="C235" t="str">
        <f t="shared" si="11"/>
        <v>San Francisco Richmond District</v>
      </c>
      <c r="D235">
        <v>15</v>
      </c>
      <c r="E235" t="str">
        <f t="shared" si="11"/>
        <v>Livermore and Pleasanton</v>
      </c>
      <c r="F235" t="s">
        <v>327</v>
      </c>
      <c r="G235">
        <f t="shared" si="9"/>
        <v>0</v>
      </c>
      <c r="H235" t="s">
        <v>359</v>
      </c>
      <c r="I235" t="s">
        <v>191</v>
      </c>
      <c r="J235">
        <v>1</v>
      </c>
      <c r="K235">
        <v>286.12835472578797</v>
      </c>
      <c r="Z235"/>
    </row>
    <row r="236" spans="1:26" x14ac:dyDescent="0.25">
      <c r="A236" s="159" t="str">
        <f t="shared" si="10"/>
        <v>HR-San Francisco Richmond District-Livermore and Pleasanton-Work</v>
      </c>
      <c r="B236">
        <v>2</v>
      </c>
      <c r="C236" t="str">
        <f t="shared" si="11"/>
        <v>San Francisco Richmond District</v>
      </c>
      <c r="D236">
        <v>15</v>
      </c>
      <c r="E236" t="str">
        <f t="shared" si="11"/>
        <v>Livermore and Pleasanton</v>
      </c>
      <c r="F236" t="s">
        <v>30</v>
      </c>
      <c r="G236">
        <f t="shared" si="9"/>
        <v>1</v>
      </c>
      <c r="H236" t="s">
        <v>124</v>
      </c>
      <c r="I236" t="s">
        <v>188</v>
      </c>
      <c r="J236">
        <v>2</v>
      </c>
      <c r="K236">
        <v>191.64419889502699</v>
      </c>
      <c r="Z236"/>
    </row>
    <row r="237" spans="1:26" x14ac:dyDescent="0.25">
      <c r="A237" s="159" t="str">
        <f t="shared" si="10"/>
        <v>LB-San Francisco Richmond District-Livermore and Pleasanton-Work</v>
      </c>
      <c r="B237">
        <v>2</v>
      </c>
      <c r="C237" t="str">
        <f t="shared" si="11"/>
        <v>San Francisco Richmond District</v>
      </c>
      <c r="D237">
        <v>15</v>
      </c>
      <c r="E237" t="str">
        <f t="shared" si="11"/>
        <v>Livermore and Pleasanton</v>
      </c>
      <c r="F237" t="s">
        <v>30</v>
      </c>
      <c r="G237">
        <f t="shared" si="9"/>
        <v>1</v>
      </c>
      <c r="H237" t="s">
        <v>359</v>
      </c>
      <c r="I237" t="s">
        <v>191</v>
      </c>
      <c r="J237">
        <v>3</v>
      </c>
      <c r="K237">
        <v>314.35057694800997</v>
      </c>
      <c r="Z237"/>
    </row>
    <row r="238" spans="1:26" x14ac:dyDescent="0.25">
      <c r="A238" s="159" t="str">
        <f t="shared" si="10"/>
        <v>HR-San Francisco Richmond District-Fremont and Union City-Other maintenance</v>
      </c>
      <c r="B238">
        <v>2</v>
      </c>
      <c r="C238" t="str">
        <f t="shared" si="11"/>
        <v>San Francisco Richmond District</v>
      </c>
      <c r="D238">
        <v>16</v>
      </c>
      <c r="E238" t="str">
        <f t="shared" si="11"/>
        <v>Fremont and Union City</v>
      </c>
      <c r="F238" t="s">
        <v>325</v>
      </c>
      <c r="G238">
        <f t="shared" si="9"/>
        <v>4</v>
      </c>
      <c r="H238" t="s">
        <v>124</v>
      </c>
      <c r="I238" t="s">
        <v>188</v>
      </c>
      <c r="J238">
        <v>1</v>
      </c>
      <c r="K238">
        <v>195.51395348837201</v>
      </c>
      <c r="Z238"/>
    </row>
    <row r="239" spans="1:26" x14ac:dyDescent="0.25">
      <c r="A239" s="159" t="str">
        <f t="shared" si="10"/>
        <v>LB-San Francisco Richmond District-Fremont and Union City-Work</v>
      </c>
      <c r="B239">
        <v>2</v>
      </c>
      <c r="C239" t="str">
        <f t="shared" si="11"/>
        <v>San Francisco Richmond District</v>
      </c>
      <c r="D239">
        <v>16</v>
      </c>
      <c r="E239" t="str">
        <f t="shared" si="11"/>
        <v>Fremont and Union City</v>
      </c>
      <c r="F239" t="s">
        <v>30</v>
      </c>
      <c r="G239">
        <f t="shared" si="9"/>
        <v>1</v>
      </c>
      <c r="H239" t="s">
        <v>359</v>
      </c>
      <c r="I239" t="s">
        <v>191</v>
      </c>
      <c r="J239">
        <v>1</v>
      </c>
      <c r="K239">
        <v>286.12835472578797</v>
      </c>
      <c r="Z239"/>
    </row>
    <row r="240" spans="1:26" x14ac:dyDescent="0.25">
      <c r="A240" s="159" t="str">
        <f t="shared" si="10"/>
        <v>LB-San Francisco Richmond District-Hayward and San Leandro-Other maintenance</v>
      </c>
      <c r="B240">
        <v>2</v>
      </c>
      <c r="C240" t="str">
        <f t="shared" si="11"/>
        <v>San Francisco Richmond District</v>
      </c>
      <c r="D240">
        <v>17</v>
      </c>
      <c r="E240" t="str">
        <f t="shared" si="11"/>
        <v>Hayward and San Leandro</v>
      </c>
      <c r="F240" t="s">
        <v>325</v>
      </c>
      <c r="G240">
        <f t="shared" si="9"/>
        <v>4</v>
      </c>
      <c r="H240" t="s">
        <v>359</v>
      </c>
      <c r="I240" t="s">
        <v>191</v>
      </c>
      <c r="J240">
        <v>1</v>
      </c>
      <c r="K240">
        <v>270.93214285714299</v>
      </c>
      <c r="Z240"/>
    </row>
    <row r="241" spans="1:26" x14ac:dyDescent="0.25">
      <c r="A241" s="159" t="str">
        <f t="shared" si="10"/>
        <v>FR-San Francisco Richmond District-Hayward and San Leandro-Social recreation</v>
      </c>
      <c r="B241">
        <v>2</v>
      </c>
      <c r="C241" t="str">
        <f t="shared" si="11"/>
        <v>San Francisco Richmond District</v>
      </c>
      <c r="D241">
        <v>17</v>
      </c>
      <c r="E241" t="str">
        <f t="shared" si="11"/>
        <v>Hayward and San Leandro</v>
      </c>
      <c r="F241" t="s">
        <v>324</v>
      </c>
      <c r="G241">
        <f t="shared" si="9"/>
        <v>5</v>
      </c>
      <c r="H241" t="s">
        <v>360</v>
      </c>
      <c r="I241" t="s">
        <v>185</v>
      </c>
      <c r="J241">
        <v>1</v>
      </c>
      <c r="K241">
        <v>11.719387755102</v>
      </c>
      <c r="Z241"/>
    </row>
    <row r="242" spans="1:26" x14ac:dyDescent="0.25">
      <c r="A242" s="159" t="str">
        <f t="shared" si="10"/>
        <v>HR-San Francisco Richmond District-Hayward and San Leandro-Work</v>
      </c>
      <c r="B242">
        <v>2</v>
      </c>
      <c r="C242" t="str">
        <f t="shared" si="11"/>
        <v>San Francisco Richmond District</v>
      </c>
      <c r="D242">
        <v>17</v>
      </c>
      <c r="E242" t="str">
        <f t="shared" si="11"/>
        <v>Hayward and San Leandro</v>
      </c>
      <c r="F242" t="s">
        <v>30</v>
      </c>
      <c r="G242">
        <f t="shared" si="9"/>
        <v>1</v>
      </c>
      <c r="H242" t="s">
        <v>124</v>
      </c>
      <c r="I242" t="s">
        <v>188</v>
      </c>
      <c r="J242">
        <v>1</v>
      </c>
      <c r="K242">
        <v>95.822099447513807</v>
      </c>
      <c r="Z242"/>
    </row>
    <row r="243" spans="1:26" x14ac:dyDescent="0.25">
      <c r="A243" s="159" t="str">
        <f t="shared" si="10"/>
        <v>LB-San Francisco Richmond District-Hayward and San Leandro-Work</v>
      </c>
      <c r="B243">
        <v>2</v>
      </c>
      <c r="C243" t="str">
        <f t="shared" si="11"/>
        <v>San Francisco Richmond District</v>
      </c>
      <c r="D243">
        <v>17</v>
      </c>
      <c r="E243" t="str">
        <f t="shared" si="11"/>
        <v>Hayward and San Leandro</v>
      </c>
      <c r="F243" t="s">
        <v>30</v>
      </c>
      <c r="G243">
        <f t="shared" si="9"/>
        <v>1</v>
      </c>
      <c r="H243" t="s">
        <v>359</v>
      </c>
      <c r="I243" t="s">
        <v>191</v>
      </c>
      <c r="J243">
        <v>1</v>
      </c>
      <c r="K243">
        <v>286.12835472578797</v>
      </c>
      <c r="Z243"/>
    </row>
    <row r="244" spans="1:26" x14ac:dyDescent="0.25">
      <c r="A244" s="159" t="str">
        <f t="shared" si="10"/>
        <v>LB-San Francisco Richmond District-Oakland and Alameda-High school</v>
      </c>
      <c r="B244">
        <v>2</v>
      </c>
      <c r="C244" t="str">
        <f t="shared" si="11"/>
        <v>San Francisco Richmond District</v>
      </c>
      <c r="D244">
        <v>18</v>
      </c>
      <c r="E244" t="str">
        <f t="shared" si="11"/>
        <v>Oakland and Alameda</v>
      </c>
      <c r="F244" t="s">
        <v>326</v>
      </c>
      <c r="G244">
        <f t="shared" si="9"/>
        <v>3</v>
      </c>
      <c r="H244" t="s">
        <v>359</v>
      </c>
      <c r="I244" t="s">
        <v>191</v>
      </c>
      <c r="J244">
        <v>1</v>
      </c>
      <c r="K244">
        <v>286.12835472578797</v>
      </c>
      <c r="Z244"/>
    </row>
    <row r="245" spans="1:26" x14ac:dyDescent="0.25">
      <c r="A245" s="159" t="str">
        <f t="shared" si="10"/>
        <v>EB-San Francisco Richmond District-Oakland and Alameda-Missing</v>
      </c>
      <c r="B245">
        <v>2</v>
      </c>
      <c r="C245" t="str">
        <f t="shared" si="11"/>
        <v>San Francisco Richmond District</v>
      </c>
      <c r="D245">
        <v>18</v>
      </c>
      <c r="E245" t="str">
        <f t="shared" si="11"/>
        <v>Oakland and Alameda</v>
      </c>
      <c r="F245" t="s">
        <v>327</v>
      </c>
      <c r="G245">
        <f t="shared" si="9"/>
        <v>0</v>
      </c>
      <c r="H245" t="s">
        <v>123</v>
      </c>
      <c r="I245" t="s">
        <v>182</v>
      </c>
      <c r="J245">
        <v>1</v>
      </c>
      <c r="K245">
        <v>7.3684210526315796</v>
      </c>
      <c r="Z245"/>
    </row>
    <row r="246" spans="1:26" x14ac:dyDescent="0.25">
      <c r="A246" s="159" t="str">
        <f t="shared" si="10"/>
        <v>HR-San Francisco Richmond District-Oakland and Alameda-Missing</v>
      </c>
      <c r="B246">
        <v>2</v>
      </c>
      <c r="C246" t="str">
        <f t="shared" si="11"/>
        <v>San Francisco Richmond District</v>
      </c>
      <c r="D246">
        <v>18</v>
      </c>
      <c r="E246" t="str">
        <f t="shared" si="11"/>
        <v>Oakland and Alameda</v>
      </c>
      <c r="F246" t="s">
        <v>327</v>
      </c>
      <c r="G246">
        <f t="shared" si="9"/>
        <v>0</v>
      </c>
      <c r="H246" t="s">
        <v>124</v>
      </c>
      <c r="I246" t="s">
        <v>188</v>
      </c>
      <c r="J246">
        <v>1</v>
      </c>
      <c r="K246">
        <v>95.822099447513807</v>
      </c>
      <c r="Z246"/>
    </row>
    <row r="247" spans="1:26" x14ac:dyDescent="0.25">
      <c r="A247" s="159" t="str">
        <f t="shared" si="10"/>
        <v>EB-San Francisco Richmond District-Oakland and Alameda-Other maintenance</v>
      </c>
      <c r="B247">
        <v>2</v>
      </c>
      <c r="C247" t="str">
        <f t="shared" si="11"/>
        <v>San Francisco Richmond District</v>
      </c>
      <c r="D247">
        <v>18</v>
      </c>
      <c r="E247" t="str">
        <f t="shared" si="11"/>
        <v>Oakland and Alameda</v>
      </c>
      <c r="F247" t="s">
        <v>325</v>
      </c>
      <c r="G247">
        <f t="shared" si="9"/>
        <v>4</v>
      </c>
      <c r="H247" t="s">
        <v>123</v>
      </c>
      <c r="I247" t="s">
        <v>182</v>
      </c>
      <c r="J247">
        <v>1</v>
      </c>
      <c r="K247">
        <v>270.93214285714299</v>
      </c>
      <c r="Z247"/>
    </row>
    <row r="248" spans="1:26" x14ac:dyDescent="0.25">
      <c r="A248" s="159" t="str">
        <f t="shared" si="10"/>
        <v>LB-San Francisco Richmond District-Oakland and Alameda-Other maintenance</v>
      </c>
      <c r="B248">
        <v>2</v>
      </c>
      <c r="C248" t="str">
        <f t="shared" si="11"/>
        <v>San Francisco Richmond District</v>
      </c>
      <c r="D248">
        <v>18</v>
      </c>
      <c r="E248" t="str">
        <f t="shared" si="11"/>
        <v>Oakland and Alameda</v>
      </c>
      <c r="F248" t="s">
        <v>325</v>
      </c>
      <c r="G248">
        <f t="shared" si="9"/>
        <v>4</v>
      </c>
      <c r="H248" t="s">
        <v>359</v>
      </c>
      <c r="I248" t="s">
        <v>191</v>
      </c>
      <c r="J248">
        <v>3</v>
      </c>
      <c r="K248">
        <v>843.18885230871797</v>
      </c>
      <c r="Z248"/>
    </row>
    <row r="249" spans="1:26" x14ac:dyDescent="0.25">
      <c r="A249" s="159" t="str">
        <f t="shared" si="10"/>
        <v>FR-San Francisco Richmond District-Oakland and Alameda-Social recreation</v>
      </c>
      <c r="B249">
        <v>2</v>
      </c>
      <c r="C249" t="str">
        <f t="shared" si="11"/>
        <v>San Francisco Richmond District</v>
      </c>
      <c r="D249">
        <v>18</v>
      </c>
      <c r="E249" t="str">
        <f t="shared" si="11"/>
        <v>Oakland and Alameda</v>
      </c>
      <c r="F249" t="s">
        <v>324</v>
      </c>
      <c r="G249">
        <f t="shared" si="9"/>
        <v>5</v>
      </c>
      <c r="H249" t="s">
        <v>360</v>
      </c>
      <c r="I249" t="s">
        <v>185</v>
      </c>
      <c r="J249">
        <v>4</v>
      </c>
      <c r="K249">
        <v>51.656585978239697</v>
      </c>
      <c r="Z249"/>
    </row>
    <row r="250" spans="1:26" x14ac:dyDescent="0.25">
      <c r="A250" s="159" t="str">
        <f t="shared" si="10"/>
        <v>HR-San Francisco Richmond District-Oakland and Alameda-Social recreation</v>
      </c>
      <c r="B250">
        <v>2</v>
      </c>
      <c r="C250" t="str">
        <f t="shared" si="11"/>
        <v>San Francisco Richmond District</v>
      </c>
      <c r="D250">
        <v>18</v>
      </c>
      <c r="E250" t="str">
        <f t="shared" si="11"/>
        <v>Oakland and Alameda</v>
      </c>
      <c r="F250" t="s">
        <v>324</v>
      </c>
      <c r="G250">
        <f t="shared" si="9"/>
        <v>5</v>
      </c>
      <c r="H250" t="s">
        <v>124</v>
      </c>
      <c r="I250" t="s">
        <v>188</v>
      </c>
      <c r="J250">
        <v>1</v>
      </c>
      <c r="K250">
        <v>95.822099447513807</v>
      </c>
      <c r="Z250"/>
    </row>
    <row r="251" spans="1:26" x14ac:dyDescent="0.25">
      <c r="A251" s="159" t="str">
        <f t="shared" si="10"/>
        <v>LB-San Francisco Richmond District-Oakland and Alameda-Social recreation</v>
      </c>
      <c r="B251">
        <v>2</v>
      </c>
      <c r="C251" t="str">
        <f t="shared" si="11"/>
        <v>San Francisco Richmond District</v>
      </c>
      <c r="D251">
        <v>18</v>
      </c>
      <c r="E251" t="str">
        <f t="shared" si="11"/>
        <v>Oakland and Alameda</v>
      </c>
      <c r="F251" t="s">
        <v>324</v>
      </c>
      <c r="G251">
        <f t="shared" si="9"/>
        <v>5</v>
      </c>
      <c r="H251" t="s">
        <v>359</v>
      </c>
      <c r="I251" t="s">
        <v>191</v>
      </c>
      <c r="J251">
        <v>1</v>
      </c>
      <c r="K251">
        <v>286.12835472578797</v>
      </c>
      <c r="Z251"/>
    </row>
    <row r="252" spans="1:26" x14ac:dyDescent="0.25">
      <c r="A252" s="159" t="str">
        <f t="shared" si="10"/>
        <v>EB-San Francisco Richmond District-Oakland and Alameda-Work</v>
      </c>
      <c r="B252">
        <v>2</v>
      </c>
      <c r="C252" t="str">
        <f t="shared" si="11"/>
        <v>San Francisco Richmond District</v>
      </c>
      <c r="D252">
        <v>18</v>
      </c>
      <c r="E252" t="str">
        <f t="shared" si="11"/>
        <v>Oakland and Alameda</v>
      </c>
      <c r="F252" t="s">
        <v>30</v>
      </c>
      <c r="G252">
        <f t="shared" si="9"/>
        <v>1</v>
      </c>
      <c r="H252" t="s">
        <v>123</v>
      </c>
      <c r="I252" t="s">
        <v>182</v>
      </c>
      <c r="J252">
        <v>1</v>
      </c>
      <c r="K252">
        <v>75.575262543757304</v>
      </c>
      <c r="Z252"/>
    </row>
    <row r="253" spans="1:26" x14ac:dyDescent="0.25">
      <c r="A253" s="159" t="str">
        <f t="shared" si="10"/>
        <v>FR-San Francisco Richmond District-Oakland and Alameda-Work</v>
      </c>
      <c r="B253">
        <v>2</v>
      </c>
      <c r="C253" t="str">
        <f t="shared" si="11"/>
        <v>San Francisco Richmond District</v>
      </c>
      <c r="D253">
        <v>18</v>
      </c>
      <c r="E253" t="str">
        <f t="shared" si="11"/>
        <v>Oakland and Alameda</v>
      </c>
      <c r="F253" t="s">
        <v>30</v>
      </c>
      <c r="G253">
        <f t="shared" si="9"/>
        <v>1</v>
      </c>
      <c r="H253" t="s">
        <v>360</v>
      </c>
      <c r="I253" t="s">
        <v>185</v>
      </c>
      <c r="J253">
        <v>5</v>
      </c>
      <c r="K253">
        <v>58.596938775509997</v>
      </c>
      <c r="Z253"/>
    </row>
    <row r="254" spans="1:26" x14ac:dyDescent="0.25">
      <c r="A254" s="159" t="str">
        <f t="shared" si="10"/>
        <v>HR-San Francisco Richmond District-Oakland and Alameda-Work</v>
      </c>
      <c r="B254">
        <v>2</v>
      </c>
      <c r="C254" t="str">
        <f t="shared" si="11"/>
        <v>San Francisco Richmond District</v>
      </c>
      <c r="D254">
        <v>18</v>
      </c>
      <c r="E254" t="str">
        <f t="shared" si="11"/>
        <v>Oakland and Alameda</v>
      </c>
      <c r="F254" t="s">
        <v>30</v>
      </c>
      <c r="G254">
        <f t="shared" si="9"/>
        <v>1</v>
      </c>
      <c r="H254" t="s">
        <v>124</v>
      </c>
      <c r="I254" t="s">
        <v>188</v>
      </c>
      <c r="J254">
        <v>6</v>
      </c>
      <c r="K254">
        <v>774.31630476679902</v>
      </c>
      <c r="Z254"/>
    </row>
    <row r="255" spans="1:26" x14ac:dyDescent="0.25">
      <c r="A255" s="159" t="str">
        <f t="shared" si="10"/>
        <v>LB-San Francisco Richmond District-Oakland and Alameda-Work</v>
      </c>
      <c r="B255">
        <v>2</v>
      </c>
      <c r="C255" t="str">
        <f t="shared" si="11"/>
        <v>San Francisco Richmond District</v>
      </c>
      <c r="D255">
        <v>18</v>
      </c>
      <c r="E255" t="str">
        <f t="shared" si="11"/>
        <v>Oakland and Alameda</v>
      </c>
      <c r="F255" t="s">
        <v>30</v>
      </c>
      <c r="G255">
        <f t="shared" si="9"/>
        <v>1</v>
      </c>
      <c r="H255" t="s">
        <v>359</v>
      </c>
      <c r="I255" t="s">
        <v>191</v>
      </c>
      <c r="J255">
        <v>5</v>
      </c>
      <c r="K255">
        <v>1220.0886814469</v>
      </c>
      <c r="Z255"/>
    </row>
    <row r="256" spans="1:26" x14ac:dyDescent="0.25">
      <c r="A256" s="159" t="str">
        <f t="shared" si="10"/>
        <v>HR-San Francisco Richmond District-Berkeley and Albany-High school</v>
      </c>
      <c r="B256">
        <v>2</v>
      </c>
      <c r="C256" t="str">
        <f t="shared" si="11"/>
        <v>San Francisco Richmond District</v>
      </c>
      <c r="D256">
        <v>19</v>
      </c>
      <c r="E256" t="str">
        <f t="shared" si="11"/>
        <v>Berkeley and Albany</v>
      </c>
      <c r="F256" t="s">
        <v>326</v>
      </c>
      <c r="G256">
        <f t="shared" si="9"/>
        <v>3</v>
      </c>
      <c r="H256" t="s">
        <v>124</v>
      </c>
      <c r="I256" t="s">
        <v>188</v>
      </c>
      <c r="J256">
        <v>1</v>
      </c>
      <c r="K256">
        <v>95.822099447513807</v>
      </c>
      <c r="Z256"/>
    </row>
    <row r="257" spans="1:26" x14ac:dyDescent="0.25">
      <c r="A257" s="159" t="str">
        <f t="shared" si="10"/>
        <v>LB-San Francisco Richmond District-Berkeley and Albany-High school</v>
      </c>
      <c r="B257">
        <v>2</v>
      </c>
      <c r="C257" t="str">
        <f t="shared" si="11"/>
        <v>San Francisco Richmond District</v>
      </c>
      <c r="D257">
        <v>19</v>
      </c>
      <c r="E257" t="str">
        <f t="shared" si="11"/>
        <v>Berkeley and Albany</v>
      </c>
      <c r="F257" t="s">
        <v>326</v>
      </c>
      <c r="G257">
        <f t="shared" si="9"/>
        <v>3</v>
      </c>
      <c r="H257" t="s">
        <v>359</v>
      </c>
      <c r="I257" t="s">
        <v>191</v>
      </c>
      <c r="J257">
        <v>1</v>
      </c>
      <c r="K257">
        <v>286.12835472578797</v>
      </c>
      <c r="Z257"/>
    </row>
    <row r="258" spans="1:26" x14ac:dyDescent="0.25">
      <c r="A258" s="159" t="str">
        <f t="shared" si="10"/>
        <v>HR-San Francisco Richmond District-Berkeley and Albany-Other maintenance</v>
      </c>
      <c r="B258">
        <v>2</v>
      </c>
      <c r="C258" t="str">
        <f t="shared" si="11"/>
        <v>San Francisco Richmond District</v>
      </c>
      <c r="D258">
        <v>19</v>
      </c>
      <c r="E258" t="str">
        <f t="shared" si="11"/>
        <v>Berkeley and Albany</v>
      </c>
      <c r="F258" t="s">
        <v>325</v>
      </c>
      <c r="G258">
        <f t="shared" ref="G258:G321" si="12">VLOOKUP(F258,$V$2:$X$10, 3,FALSE)</f>
        <v>4</v>
      </c>
      <c r="H258" t="s">
        <v>124</v>
      </c>
      <c r="I258" t="s">
        <v>188</v>
      </c>
      <c r="J258">
        <v>1</v>
      </c>
      <c r="K258">
        <v>95.822099447513807</v>
      </c>
      <c r="Z258"/>
    </row>
    <row r="259" spans="1:26" x14ac:dyDescent="0.25">
      <c r="A259" s="159" t="str">
        <f t="shared" ref="A259:A322" si="13" xml:space="preserve"> CONCATENATE(I259,"-",C259, "-",E259, "-",F259,)</f>
        <v>LB-San Francisco Richmond District-Berkeley and Albany-Other maintenance</v>
      </c>
      <c r="B259">
        <v>2</v>
      </c>
      <c r="C259" t="str">
        <f t="shared" ref="C259:E322" si="14">VLOOKUP(B259,$S$2:$T$35,2,FALSE)</f>
        <v>San Francisco Richmond District</v>
      </c>
      <c r="D259">
        <v>19</v>
      </c>
      <c r="E259" t="str">
        <f t="shared" si="14"/>
        <v>Berkeley and Albany</v>
      </c>
      <c r="F259" t="s">
        <v>325</v>
      </c>
      <c r="G259">
        <f t="shared" si="12"/>
        <v>4</v>
      </c>
      <c r="H259" t="s">
        <v>359</v>
      </c>
      <c r="I259" t="s">
        <v>191</v>
      </c>
      <c r="J259">
        <v>1</v>
      </c>
      <c r="K259">
        <v>286.12835472578797</v>
      </c>
      <c r="Z259"/>
    </row>
    <row r="260" spans="1:26" x14ac:dyDescent="0.25">
      <c r="A260" s="159" t="str">
        <f t="shared" si="13"/>
        <v>HR-San Francisco Richmond District-Berkeley and Albany-Social recreation</v>
      </c>
      <c r="B260">
        <v>2</v>
      </c>
      <c r="C260" t="str">
        <f t="shared" si="14"/>
        <v>San Francisco Richmond District</v>
      </c>
      <c r="D260">
        <v>19</v>
      </c>
      <c r="E260" t="str">
        <f t="shared" si="14"/>
        <v>Berkeley and Albany</v>
      </c>
      <c r="F260" t="s">
        <v>324</v>
      </c>
      <c r="G260">
        <f t="shared" si="12"/>
        <v>5</v>
      </c>
      <c r="H260" t="s">
        <v>124</v>
      </c>
      <c r="I260" t="s">
        <v>188</v>
      </c>
      <c r="J260">
        <v>1</v>
      </c>
      <c r="K260">
        <v>95.822099447513807</v>
      </c>
      <c r="Z260"/>
    </row>
    <row r="261" spans="1:26" x14ac:dyDescent="0.25">
      <c r="A261" s="159" t="str">
        <f t="shared" si="13"/>
        <v>LB-San Francisco Richmond District-Berkeley and Albany-Social recreation</v>
      </c>
      <c r="B261">
        <v>2</v>
      </c>
      <c r="C261" t="str">
        <f t="shared" si="14"/>
        <v>San Francisco Richmond District</v>
      </c>
      <c r="D261">
        <v>19</v>
      </c>
      <c r="E261" t="str">
        <f t="shared" si="14"/>
        <v>Berkeley and Albany</v>
      </c>
      <c r="F261" t="s">
        <v>324</v>
      </c>
      <c r="G261">
        <f t="shared" si="12"/>
        <v>5</v>
      </c>
      <c r="H261" t="s">
        <v>359</v>
      </c>
      <c r="I261" t="s">
        <v>191</v>
      </c>
      <c r="J261">
        <v>3</v>
      </c>
      <c r="K261">
        <v>858.38506417736301</v>
      </c>
      <c r="Z261"/>
    </row>
    <row r="262" spans="1:26" x14ac:dyDescent="0.25">
      <c r="A262" s="159" t="str">
        <f t="shared" si="13"/>
        <v>HR-San Francisco Richmond District-Berkeley and Albany-Work</v>
      </c>
      <c r="B262">
        <v>2</v>
      </c>
      <c r="C262" t="str">
        <f t="shared" si="14"/>
        <v>San Francisco Richmond District</v>
      </c>
      <c r="D262">
        <v>19</v>
      </c>
      <c r="E262" t="str">
        <f t="shared" si="14"/>
        <v>Berkeley and Albany</v>
      </c>
      <c r="F262" t="s">
        <v>30</v>
      </c>
      <c r="G262">
        <f t="shared" si="12"/>
        <v>1</v>
      </c>
      <c r="H262" t="s">
        <v>124</v>
      </c>
      <c r="I262" t="s">
        <v>188</v>
      </c>
      <c r="J262">
        <v>6</v>
      </c>
      <c r="K262">
        <v>774.31630476679902</v>
      </c>
      <c r="Z262"/>
    </row>
    <row r="263" spans="1:26" x14ac:dyDescent="0.25">
      <c r="A263" s="159" t="str">
        <f t="shared" si="13"/>
        <v>HR-San Francisco Richmond District-Richmond and El Cerrito-Missing</v>
      </c>
      <c r="B263">
        <v>2</v>
      </c>
      <c r="C263" t="str">
        <f t="shared" si="14"/>
        <v>San Francisco Richmond District</v>
      </c>
      <c r="D263">
        <v>20</v>
      </c>
      <c r="E263" t="str">
        <f t="shared" si="14"/>
        <v>Richmond and El Cerrito</v>
      </c>
      <c r="F263" t="s">
        <v>327</v>
      </c>
      <c r="G263">
        <f t="shared" si="12"/>
        <v>0</v>
      </c>
      <c r="H263" t="s">
        <v>124</v>
      </c>
      <c r="I263" t="s">
        <v>188</v>
      </c>
      <c r="J263">
        <v>1</v>
      </c>
      <c r="K263">
        <v>95.822099447513807</v>
      </c>
      <c r="Z263"/>
    </row>
    <row r="264" spans="1:26" x14ac:dyDescent="0.25">
      <c r="A264" s="159" t="str">
        <f t="shared" si="13"/>
        <v>LB-San Francisco Richmond District-Richmond and El Cerrito-Other maintenance</v>
      </c>
      <c r="B264">
        <v>2</v>
      </c>
      <c r="C264" t="str">
        <f t="shared" si="14"/>
        <v>San Francisco Richmond District</v>
      </c>
      <c r="D264">
        <v>20</v>
      </c>
      <c r="E264" t="str">
        <f t="shared" si="14"/>
        <v>Richmond and El Cerrito</v>
      </c>
      <c r="F264" t="s">
        <v>325</v>
      </c>
      <c r="G264">
        <f t="shared" si="12"/>
        <v>4</v>
      </c>
      <c r="H264" t="s">
        <v>359</v>
      </c>
      <c r="I264" t="s">
        <v>191</v>
      </c>
      <c r="J264">
        <v>1</v>
      </c>
      <c r="K264">
        <v>286.12835472578797</v>
      </c>
      <c r="Z264"/>
    </row>
    <row r="265" spans="1:26" x14ac:dyDescent="0.25">
      <c r="A265" s="159" t="str">
        <f t="shared" si="13"/>
        <v>FR-San Francisco Richmond District-Richmond and El Cerrito-Social recreation</v>
      </c>
      <c r="B265">
        <v>2</v>
      </c>
      <c r="C265" t="str">
        <f t="shared" si="14"/>
        <v>San Francisco Richmond District</v>
      </c>
      <c r="D265">
        <v>20</v>
      </c>
      <c r="E265" t="str">
        <f t="shared" si="14"/>
        <v>Richmond and El Cerrito</v>
      </c>
      <c r="F265" t="s">
        <v>324</v>
      </c>
      <c r="G265">
        <f t="shared" si="12"/>
        <v>5</v>
      </c>
      <c r="H265" t="s">
        <v>360</v>
      </c>
      <c r="I265" t="s">
        <v>185</v>
      </c>
      <c r="J265">
        <v>3</v>
      </c>
      <c r="K265">
        <v>44.716233180969397</v>
      </c>
      <c r="Z265"/>
    </row>
    <row r="266" spans="1:26" x14ac:dyDescent="0.25">
      <c r="A266" s="159" t="str">
        <f t="shared" si="13"/>
        <v>EB-San Francisco Richmond District-Richmond and El Cerrito-Work</v>
      </c>
      <c r="B266">
        <v>2</v>
      </c>
      <c r="C266" t="str">
        <f t="shared" si="14"/>
        <v>San Francisco Richmond District</v>
      </c>
      <c r="D266">
        <v>20</v>
      </c>
      <c r="E266" t="str">
        <f t="shared" si="14"/>
        <v>Richmond and El Cerrito</v>
      </c>
      <c r="F266" t="s">
        <v>30</v>
      </c>
      <c r="G266">
        <f t="shared" si="12"/>
        <v>1</v>
      </c>
      <c r="H266" t="s">
        <v>123</v>
      </c>
      <c r="I266" t="s">
        <v>182</v>
      </c>
      <c r="J266">
        <v>1</v>
      </c>
      <c r="K266">
        <v>7.3684210526315796</v>
      </c>
      <c r="Z266"/>
    </row>
    <row r="267" spans="1:26" x14ac:dyDescent="0.25">
      <c r="A267" s="159" t="str">
        <f t="shared" si="13"/>
        <v>FR-San Francisco Richmond District-Richmond and El Cerrito-Work</v>
      </c>
      <c r="B267">
        <v>2</v>
      </c>
      <c r="C267" t="str">
        <f t="shared" si="14"/>
        <v>San Francisco Richmond District</v>
      </c>
      <c r="D267">
        <v>20</v>
      </c>
      <c r="E267" t="str">
        <f t="shared" si="14"/>
        <v>Richmond and El Cerrito</v>
      </c>
      <c r="F267" t="s">
        <v>30</v>
      </c>
      <c r="G267">
        <f t="shared" si="12"/>
        <v>1</v>
      </c>
      <c r="H267" t="s">
        <v>360</v>
      </c>
      <c r="I267" t="s">
        <v>185</v>
      </c>
      <c r="J267">
        <v>3</v>
      </c>
      <c r="K267">
        <v>35.158163265306001</v>
      </c>
      <c r="Z267"/>
    </row>
    <row r="268" spans="1:26" x14ac:dyDescent="0.25">
      <c r="A268" s="159" t="str">
        <f t="shared" si="13"/>
        <v>LB-San Francisco Richmond District-Richmond and El Cerrito-Work</v>
      </c>
      <c r="B268">
        <v>2</v>
      </c>
      <c r="C268" t="str">
        <f t="shared" si="14"/>
        <v>San Francisco Richmond District</v>
      </c>
      <c r="D268">
        <v>20</v>
      </c>
      <c r="E268" t="str">
        <f t="shared" si="14"/>
        <v>Richmond and El Cerrito</v>
      </c>
      <c r="F268" t="s">
        <v>30</v>
      </c>
      <c r="G268">
        <f t="shared" si="12"/>
        <v>1</v>
      </c>
      <c r="H268" t="s">
        <v>359</v>
      </c>
      <c r="I268" t="s">
        <v>191</v>
      </c>
      <c r="J268">
        <v>1</v>
      </c>
      <c r="K268">
        <v>75.575262543757304</v>
      </c>
      <c r="Z268"/>
    </row>
    <row r="269" spans="1:26" x14ac:dyDescent="0.25">
      <c r="A269" s="159" t="str">
        <f t="shared" si="13"/>
        <v>LB-San Francisco Richmond District-Concord and Martinez-Social recreation</v>
      </c>
      <c r="B269">
        <v>2</v>
      </c>
      <c r="C269" t="str">
        <f t="shared" si="14"/>
        <v>San Francisco Richmond District</v>
      </c>
      <c r="D269">
        <v>21</v>
      </c>
      <c r="E269" t="str">
        <f t="shared" si="14"/>
        <v>Concord and Martinez</v>
      </c>
      <c r="F269" t="s">
        <v>324</v>
      </c>
      <c r="G269">
        <f t="shared" si="12"/>
        <v>5</v>
      </c>
      <c r="H269" t="s">
        <v>359</v>
      </c>
      <c r="I269" t="s">
        <v>191</v>
      </c>
      <c r="J269">
        <v>1</v>
      </c>
      <c r="K269">
        <v>33.269230769230802</v>
      </c>
      <c r="Z269"/>
    </row>
    <row r="270" spans="1:26" x14ac:dyDescent="0.25">
      <c r="A270" s="159" t="str">
        <f t="shared" si="13"/>
        <v>HR-San Francisco Richmond District-Concord and Martinez-Work</v>
      </c>
      <c r="B270">
        <v>2</v>
      </c>
      <c r="C270" t="str">
        <f t="shared" si="14"/>
        <v>San Francisco Richmond District</v>
      </c>
      <c r="D270">
        <v>21</v>
      </c>
      <c r="E270" t="str">
        <f t="shared" si="14"/>
        <v>Concord and Martinez</v>
      </c>
      <c r="F270" t="s">
        <v>30</v>
      </c>
      <c r="G270">
        <f t="shared" si="12"/>
        <v>1</v>
      </c>
      <c r="H270" t="s">
        <v>124</v>
      </c>
      <c r="I270" t="s">
        <v>188</v>
      </c>
      <c r="J270">
        <v>2</v>
      </c>
      <c r="K270">
        <v>191.64419889502699</v>
      </c>
      <c r="Z270"/>
    </row>
    <row r="271" spans="1:26" x14ac:dyDescent="0.25">
      <c r="A271" s="159" t="str">
        <f t="shared" si="13"/>
        <v>LB-San Francisco Richmond District-Concord and Martinez-Work</v>
      </c>
      <c r="B271">
        <v>2</v>
      </c>
      <c r="C271" t="str">
        <f t="shared" si="14"/>
        <v>San Francisco Richmond District</v>
      </c>
      <c r="D271">
        <v>21</v>
      </c>
      <c r="E271" t="str">
        <f t="shared" si="14"/>
        <v>Concord and Martinez</v>
      </c>
      <c r="F271" t="s">
        <v>30</v>
      </c>
      <c r="G271">
        <f t="shared" si="12"/>
        <v>1</v>
      </c>
      <c r="H271" t="s">
        <v>359</v>
      </c>
      <c r="I271" t="s">
        <v>191</v>
      </c>
      <c r="J271">
        <v>1</v>
      </c>
      <c r="K271">
        <v>19.727984344422701</v>
      </c>
      <c r="Z271"/>
    </row>
    <row r="272" spans="1:26" x14ac:dyDescent="0.25">
      <c r="A272" s="159" t="str">
        <f t="shared" si="13"/>
        <v>HR-San Francisco Richmond District-Danville and San Ramon-Work</v>
      </c>
      <c r="B272">
        <v>2</v>
      </c>
      <c r="C272" t="str">
        <f t="shared" si="14"/>
        <v>San Francisco Richmond District</v>
      </c>
      <c r="D272">
        <v>23</v>
      </c>
      <c r="E272" t="str">
        <f t="shared" si="14"/>
        <v>Danville and San Ramon</v>
      </c>
      <c r="F272" t="s">
        <v>30</v>
      </c>
      <c r="G272">
        <f t="shared" si="12"/>
        <v>1</v>
      </c>
      <c r="H272" t="s">
        <v>124</v>
      </c>
      <c r="I272" t="s">
        <v>188</v>
      </c>
      <c r="J272">
        <v>1</v>
      </c>
      <c r="K272">
        <v>95.822099447513807</v>
      </c>
      <c r="Z272"/>
    </row>
    <row r="273" spans="1:26" x14ac:dyDescent="0.25">
      <c r="A273" s="159" t="str">
        <f t="shared" si="13"/>
        <v>LB-San Francisco Richmond District-Antioch and Pittsburg-Work</v>
      </c>
      <c r="B273">
        <v>2</v>
      </c>
      <c r="C273" t="str">
        <f t="shared" si="14"/>
        <v>San Francisco Richmond District</v>
      </c>
      <c r="D273">
        <v>24</v>
      </c>
      <c r="E273" t="str">
        <f t="shared" si="14"/>
        <v>Antioch and Pittsburg</v>
      </c>
      <c r="F273" t="s">
        <v>30</v>
      </c>
      <c r="G273">
        <f t="shared" si="12"/>
        <v>1</v>
      </c>
      <c r="H273" t="s">
        <v>359</v>
      </c>
      <c r="I273" t="s">
        <v>191</v>
      </c>
      <c r="J273">
        <v>2</v>
      </c>
      <c r="K273">
        <v>300.55441106381602</v>
      </c>
      <c r="Z273"/>
    </row>
    <row r="274" spans="1:26" x14ac:dyDescent="0.25">
      <c r="A274" s="159" t="str">
        <f t="shared" si="13"/>
        <v>FR-San Francisco Richmond District-Vallejo and Benicia-Social recreation</v>
      </c>
      <c r="B274">
        <v>2</v>
      </c>
      <c r="C274" t="str">
        <f t="shared" si="14"/>
        <v>San Francisco Richmond District</v>
      </c>
      <c r="D274">
        <v>25</v>
      </c>
      <c r="E274" t="str">
        <f t="shared" si="14"/>
        <v>Vallejo and Benicia</v>
      </c>
      <c r="F274" t="s">
        <v>324</v>
      </c>
      <c r="G274">
        <f t="shared" si="12"/>
        <v>5</v>
      </c>
      <c r="H274" t="s">
        <v>360</v>
      </c>
      <c r="I274" t="s">
        <v>185</v>
      </c>
      <c r="J274">
        <v>1</v>
      </c>
      <c r="K274">
        <v>16.498422712933699</v>
      </c>
      <c r="Z274"/>
    </row>
    <row r="275" spans="1:26" x14ac:dyDescent="0.25">
      <c r="A275" s="159" t="str">
        <f t="shared" si="13"/>
        <v>FR-San Francisco Richmond District-Vallejo and Benicia-Work</v>
      </c>
      <c r="B275">
        <v>2</v>
      </c>
      <c r="C275" t="str">
        <f t="shared" si="14"/>
        <v>San Francisco Richmond District</v>
      </c>
      <c r="D275">
        <v>25</v>
      </c>
      <c r="E275" t="str">
        <f t="shared" si="14"/>
        <v>Vallejo and Benicia</v>
      </c>
      <c r="F275" t="s">
        <v>30</v>
      </c>
      <c r="G275">
        <f t="shared" si="12"/>
        <v>1</v>
      </c>
      <c r="H275" t="s">
        <v>360</v>
      </c>
      <c r="I275" t="s">
        <v>185</v>
      </c>
      <c r="J275">
        <v>1</v>
      </c>
      <c r="K275">
        <v>11.719387755102</v>
      </c>
      <c r="Z275"/>
    </row>
    <row r="276" spans="1:26" x14ac:dyDescent="0.25">
      <c r="A276" s="159" t="str">
        <f t="shared" si="13"/>
        <v>LB-San Francisco Richmond District-Vallejo and Benicia-Work</v>
      </c>
      <c r="B276">
        <v>2</v>
      </c>
      <c r="C276" t="str">
        <f t="shared" si="14"/>
        <v>San Francisco Richmond District</v>
      </c>
      <c r="D276">
        <v>25</v>
      </c>
      <c r="E276" t="str">
        <f t="shared" si="14"/>
        <v>Vallejo and Benicia</v>
      </c>
      <c r="F276" t="s">
        <v>30</v>
      </c>
      <c r="G276">
        <f t="shared" si="12"/>
        <v>1</v>
      </c>
      <c r="H276" t="s">
        <v>359</v>
      </c>
      <c r="I276" t="s">
        <v>191</v>
      </c>
      <c r="J276">
        <v>1</v>
      </c>
      <c r="K276">
        <v>286.12835472578797</v>
      </c>
      <c r="Z276"/>
    </row>
    <row r="277" spans="1:26" x14ac:dyDescent="0.25">
      <c r="A277" s="159" t="str">
        <f t="shared" si="13"/>
        <v>FR-San Francisco Richmond District-Napa-Work</v>
      </c>
      <c r="B277">
        <v>2</v>
      </c>
      <c r="C277" t="str">
        <f t="shared" si="14"/>
        <v>San Francisco Richmond District</v>
      </c>
      <c r="D277">
        <v>27</v>
      </c>
      <c r="E277" t="str">
        <f t="shared" si="14"/>
        <v>Napa</v>
      </c>
      <c r="F277" t="s">
        <v>30</v>
      </c>
      <c r="G277">
        <f t="shared" si="12"/>
        <v>1</v>
      </c>
      <c r="H277" t="s">
        <v>360</v>
      </c>
      <c r="I277" t="s">
        <v>185</v>
      </c>
      <c r="J277">
        <v>1</v>
      </c>
      <c r="K277">
        <v>16.498422712933699</v>
      </c>
      <c r="Z277"/>
    </row>
    <row r="278" spans="1:26" x14ac:dyDescent="0.25">
      <c r="A278" s="159" t="str">
        <f t="shared" si="13"/>
        <v>LB-San Francisco Richmond District-San Rafael-Shopping</v>
      </c>
      <c r="B278">
        <v>2</v>
      </c>
      <c r="C278" t="str">
        <f t="shared" si="14"/>
        <v>San Francisco Richmond District</v>
      </c>
      <c r="D278">
        <v>33</v>
      </c>
      <c r="E278" t="str">
        <f t="shared" si="14"/>
        <v>San Rafael</v>
      </c>
      <c r="F278" t="s">
        <v>106</v>
      </c>
      <c r="G278">
        <f t="shared" si="12"/>
        <v>4</v>
      </c>
      <c r="H278" t="s">
        <v>359</v>
      </c>
      <c r="I278" t="s">
        <v>191</v>
      </c>
      <c r="J278">
        <v>1</v>
      </c>
      <c r="K278">
        <v>19.725941422594101</v>
      </c>
      <c r="Z278"/>
    </row>
    <row r="279" spans="1:26" x14ac:dyDescent="0.25">
      <c r="A279" s="159" t="str">
        <f t="shared" si="13"/>
        <v>LB-San Francisco Richmond District-San Rafael-Social recreation</v>
      </c>
      <c r="B279">
        <v>2</v>
      </c>
      <c r="C279" t="str">
        <f t="shared" si="14"/>
        <v>San Francisco Richmond District</v>
      </c>
      <c r="D279">
        <v>33</v>
      </c>
      <c r="E279" t="str">
        <f t="shared" si="14"/>
        <v>San Rafael</v>
      </c>
      <c r="F279" t="s">
        <v>324</v>
      </c>
      <c r="G279">
        <f t="shared" si="12"/>
        <v>5</v>
      </c>
      <c r="H279" t="s">
        <v>359</v>
      </c>
      <c r="I279" t="s">
        <v>191</v>
      </c>
      <c r="J279">
        <v>1</v>
      </c>
      <c r="K279">
        <v>73.75</v>
      </c>
      <c r="Z279"/>
    </row>
    <row r="280" spans="1:26" x14ac:dyDescent="0.25">
      <c r="A280" s="159" t="str">
        <f t="shared" si="13"/>
        <v>HR-San Francisco Mission District-Greater Downtown San Francisco-High school</v>
      </c>
      <c r="B280">
        <v>3</v>
      </c>
      <c r="C280" t="str">
        <f t="shared" si="14"/>
        <v>San Francisco Mission District</v>
      </c>
      <c r="D280">
        <v>1</v>
      </c>
      <c r="E280" t="str">
        <f t="shared" si="14"/>
        <v>Greater Downtown San Francisco</v>
      </c>
      <c r="F280" t="s">
        <v>326</v>
      </c>
      <c r="G280">
        <f t="shared" si="12"/>
        <v>3</v>
      </c>
      <c r="H280" t="s">
        <v>124</v>
      </c>
      <c r="I280" t="s">
        <v>188</v>
      </c>
      <c r="J280">
        <v>3</v>
      </c>
      <c r="K280">
        <v>287.46629834254099</v>
      </c>
      <c r="Z280"/>
    </row>
    <row r="281" spans="1:26" x14ac:dyDescent="0.25">
      <c r="A281" s="159" t="str">
        <f t="shared" si="13"/>
        <v>LR-San Francisco Mission District-Greater Downtown San Francisco-High school</v>
      </c>
      <c r="B281">
        <v>3</v>
      </c>
      <c r="C281" t="str">
        <f t="shared" si="14"/>
        <v>San Francisco Mission District</v>
      </c>
      <c r="D281">
        <v>1</v>
      </c>
      <c r="E281" t="str">
        <f t="shared" si="14"/>
        <v>Greater Downtown San Francisco</v>
      </c>
      <c r="F281" t="s">
        <v>326</v>
      </c>
      <c r="G281">
        <f t="shared" si="12"/>
        <v>3</v>
      </c>
      <c r="H281" t="s">
        <v>353</v>
      </c>
      <c r="I281" t="s">
        <v>194</v>
      </c>
      <c r="J281">
        <v>3</v>
      </c>
      <c r="K281">
        <v>1812.48347525083</v>
      </c>
      <c r="Z281"/>
    </row>
    <row r="282" spans="1:26" x14ac:dyDescent="0.25">
      <c r="A282" s="159" t="str">
        <f t="shared" si="13"/>
        <v>LB-San Francisco Mission District-Greater Downtown San Francisco-High school</v>
      </c>
      <c r="B282">
        <v>3</v>
      </c>
      <c r="C282" t="str">
        <f t="shared" si="14"/>
        <v>San Francisco Mission District</v>
      </c>
      <c r="D282">
        <v>1</v>
      </c>
      <c r="E282" t="str">
        <f t="shared" si="14"/>
        <v>Greater Downtown San Francisco</v>
      </c>
      <c r="F282" t="s">
        <v>326</v>
      </c>
      <c r="G282">
        <f t="shared" si="12"/>
        <v>3</v>
      </c>
      <c r="H282" t="s">
        <v>359</v>
      </c>
      <c r="I282" t="s">
        <v>191</v>
      </c>
      <c r="J282">
        <v>6</v>
      </c>
      <c r="K282">
        <v>1716.7701283547201</v>
      </c>
      <c r="Z282"/>
    </row>
    <row r="283" spans="1:26" x14ac:dyDescent="0.25">
      <c r="A283" s="159" t="str">
        <f t="shared" si="13"/>
        <v>HR-San Francisco Mission District-Greater Downtown San Francisco-Missing</v>
      </c>
      <c r="B283">
        <v>3</v>
      </c>
      <c r="C283" t="str">
        <f t="shared" si="14"/>
        <v>San Francisco Mission District</v>
      </c>
      <c r="D283">
        <v>1</v>
      </c>
      <c r="E283" t="str">
        <f t="shared" si="14"/>
        <v>Greater Downtown San Francisco</v>
      </c>
      <c r="F283" t="s">
        <v>327</v>
      </c>
      <c r="G283">
        <f t="shared" si="12"/>
        <v>0</v>
      </c>
      <c r="H283" t="s">
        <v>124</v>
      </c>
      <c r="I283" t="s">
        <v>188</v>
      </c>
      <c r="J283">
        <v>1</v>
      </c>
      <c r="K283">
        <v>95.822099447513807</v>
      </c>
      <c r="Z283"/>
    </row>
    <row r="284" spans="1:26" x14ac:dyDescent="0.25">
      <c r="A284" s="159" t="str">
        <f t="shared" si="13"/>
        <v>LR-San Francisco Mission District-Greater Downtown San Francisco-Missing</v>
      </c>
      <c r="B284">
        <v>3</v>
      </c>
      <c r="C284" t="str">
        <f t="shared" si="14"/>
        <v>San Francisco Mission District</v>
      </c>
      <c r="D284">
        <v>1</v>
      </c>
      <c r="E284" t="str">
        <f t="shared" si="14"/>
        <v>Greater Downtown San Francisco</v>
      </c>
      <c r="F284" t="s">
        <v>327</v>
      </c>
      <c r="G284">
        <f t="shared" si="12"/>
        <v>0</v>
      </c>
      <c r="H284" t="s">
        <v>353</v>
      </c>
      <c r="I284" t="s">
        <v>194</v>
      </c>
      <c r="J284">
        <v>1</v>
      </c>
      <c r="K284">
        <v>286.12835472578797</v>
      </c>
      <c r="Z284"/>
    </row>
    <row r="285" spans="1:26" x14ac:dyDescent="0.25">
      <c r="A285" s="159" t="str">
        <f t="shared" si="13"/>
        <v>LB-San Francisco Mission District-Greater Downtown San Francisco-Missing</v>
      </c>
      <c r="B285">
        <v>3</v>
      </c>
      <c r="C285" t="str">
        <f t="shared" si="14"/>
        <v>San Francisco Mission District</v>
      </c>
      <c r="D285">
        <v>1</v>
      </c>
      <c r="E285" t="str">
        <f t="shared" si="14"/>
        <v>Greater Downtown San Francisco</v>
      </c>
      <c r="F285" t="s">
        <v>327</v>
      </c>
      <c r="G285">
        <f t="shared" si="12"/>
        <v>0</v>
      </c>
      <c r="H285" t="s">
        <v>359</v>
      </c>
      <c r="I285" t="s">
        <v>191</v>
      </c>
      <c r="J285">
        <v>3</v>
      </c>
      <c r="K285">
        <v>858.38506417736301</v>
      </c>
      <c r="Z285"/>
    </row>
    <row r="286" spans="1:26" x14ac:dyDescent="0.25">
      <c r="A286" s="159" t="str">
        <f t="shared" si="13"/>
        <v>HR-San Francisco Mission District-Greater Downtown San Francisco-Other maintenance</v>
      </c>
      <c r="B286">
        <v>3</v>
      </c>
      <c r="C286" t="str">
        <f t="shared" si="14"/>
        <v>San Francisco Mission District</v>
      </c>
      <c r="D286">
        <v>1</v>
      </c>
      <c r="E286" t="str">
        <f t="shared" si="14"/>
        <v>Greater Downtown San Francisco</v>
      </c>
      <c r="F286" t="s">
        <v>325</v>
      </c>
      <c r="G286">
        <f t="shared" si="12"/>
        <v>4</v>
      </c>
      <c r="H286" t="s">
        <v>124</v>
      </c>
      <c r="I286" t="s">
        <v>188</v>
      </c>
      <c r="J286">
        <v>3</v>
      </c>
      <c r="K286">
        <v>387.158152383399</v>
      </c>
      <c r="Z286"/>
    </row>
    <row r="287" spans="1:26" x14ac:dyDescent="0.25">
      <c r="A287" s="159" t="str">
        <f t="shared" si="13"/>
        <v>LR-San Francisco Mission District-Greater Downtown San Francisco-Other maintenance</v>
      </c>
      <c r="B287">
        <v>3</v>
      </c>
      <c r="C287" t="str">
        <f t="shared" si="14"/>
        <v>San Francisco Mission District</v>
      </c>
      <c r="D287">
        <v>1</v>
      </c>
      <c r="E287" t="str">
        <f t="shared" si="14"/>
        <v>Greater Downtown San Francisco</v>
      </c>
      <c r="F287" t="s">
        <v>325</v>
      </c>
      <c r="G287">
        <f t="shared" si="12"/>
        <v>4</v>
      </c>
      <c r="H287" t="s">
        <v>353</v>
      </c>
      <c r="I287" t="s">
        <v>194</v>
      </c>
      <c r="J287">
        <v>3</v>
      </c>
      <c r="K287">
        <v>858.38506417736301</v>
      </c>
      <c r="Z287"/>
    </row>
    <row r="288" spans="1:26" x14ac:dyDescent="0.25">
      <c r="A288" s="159" t="str">
        <f t="shared" si="13"/>
        <v>LB-San Francisco Mission District-Greater Downtown San Francisco-Other maintenance</v>
      </c>
      <c r="B288">
        <v>3</v>
      </c>
      <c r="C288" t="str">
        <f t="shared" si="14"/>
        <v>San Francisco Mission District</v>
      </c>
      <c r="D288">
        <v>1</v>
      </c>
      <c r="E288" t="str">
        <f t="shared" si="14"/>
        <v>Greater Downtown San Francisco</v>
      </c>
      <c r="F288" t="s">
        <v>325</v>
      </c>
      <c r="G288">
        <f t="shared" si="12"/>
        <v>4</v>
      </c>
      <c r="H288" t="s">
        <v>359</v>
      </c>
      <c r="I288" t="s">
        <v>191</v>
      </c>
      <c r="J288">
        <v>16</v>
      </c>
      <c r="K288">
        <v>4578.0536756126003</v>
      </c>
      <c r="Z288"/>
    </row>
    <row r="289" spans="1:26" x14ac:dyDescent="0.25">
      <c r="A289" s="159" t="str">
        <f t="shared" si="13"/>
        <v>LR-San Francisco Mission District-Greater Downtown San Francisco-Shopping</v>
      </c>
      <c r="B289">
        <v>3</v>
      </c>
      <c r="C289" t="str">
        <f t="shared" si="14"/>
        <v>San Francisco Mission District</v>
      </c>
      <c r="D289">
        <v>1</v>
      </c>
      <c r="E289" t="str">
        <f t="shared" si="14"/>
        <v>Greater Downtown San Francisco</v>
      </c>
      <c r="F289" t="s">
        <v>106</v>
      </c>
      <c r="G289">
        <f t="shared" si="12"/>
        <v>4</v>
      </c>
      <c r="H289" t="s">
        <v>353</v>
      </c>
      <c r="I289" t="s">
        <v>194</v>
      </c>
      <c r="J289">
        <v>1</v>
      </c>
      <c r="K289">
        <v>1240.22676579926</v>
      </c>
      <c r="Z289"/>
    </row>
    <row r="290" spans="1:26" x14ac:dyDescent="0.25">
      <c r="A290" s="159" t="str">
        <f t="shared" si="13"/>
        <v>LB-San Francisco Mission District-Greater Downtown San Francisco-Shopping</v>
      </c>
      <c r="B290">
        <v>3</v>
      </c>
      <c r="C290" t="str">
        <f t="shared" si="14"/>
        <v>San Francisco Mission District</v>
      </c>
      <c r="D290">
        <v>1</v>
      </c>
      <c r="E290" t="str">
        <f t="shared" si="14"/>
        <v>Greater Downtown San Francisco</v>
      </c>
      <c r="F290" t="s">
        <v>106</v>
      </c>
      <c r="G290">
        <f t="shared" si="12"/>
        <v>4</v>
      </c>
      <c r="H290" t="s">
        <v>359</v>
      </c>
      <c r="I290" t="s">
        <v>191</v>
      </c>
      <c r="J290">
        <v>5</v>
      </c>
      <c r="K290">
        <v>1430.64177362894</v>
      </c>
      <c r="Z290"/>
    </row>
    <row r="291" spans="1:26" x14ac:dyDescent="0.25">
      <c r="A291" s="159" t="str">
        <f t="shared" si="13"/>
        <v>HR-San Francisco Mission District-Greater Downtown San Francisco-Social recreation</v>
      </c>
      <c r="B291">
        <v>3</v>
      </c>
      <c r="C291" t="str">
        <f t="shared" si="14"/>
        <v>San Francisco Mission District</v>
      </c>
      <c r="D291">
        <v>1</v>
      </c>
      <c r="E291" t="str">
        <f t="shared" si="14"/>
        <v>Greater Downtown San Francisco</v>
      </c>
      <c r="F291" t="s">
        <v>324</v>
      </c>
      <c r="G291">
        <f t="shared" si="12"/>
        <v>5</v>
      </c>
      <c r="H291" t="s">
        <v>124</v>
      </c>
      <c r="I291" t="s">
        <v>188</v>
      </c>
      <c r="J291">
        <v>2</v>
      </c>
      <c r="K291">
        <v>191.64419889502699</v>
      </c>
      <c r="Z291"/>
    </row>
    <row r="292" spans="1:26" x14ac:dyDescent="0.25">
      <c r="A292" s="159" t="str">
        <f t="shared" si="13"/>
        <v>LR-San Francisco Mission District-Greater Downtown San Francisco-Social recreation</v>
      </c>
      <c r="B292">
        <v>3</v>
      </c>
      <c r="C292" t="str">
        <f t="shared" si="14"/>
        <v>San Francisco Mission District</v>
      </c>
      <c r="D292">
        <v>1</v>
      </c>
      <c r="E292" t="str">
        <f t="shared" si="14"/>
        <v>Greater Downtown San Francisco</v>
      </c>
      <c r="F292" t="s">
        <v>324</v>
      </c>
      <c r="G292">
        <f t="shared" si="12"/>
        <v>5</v>
      </c>
      <c r="H292" t="s">
        <v>353</v>
      </c>
      <c r="I292" t="s">
        <v>194</v>
      </c>
      <c r="J292">
        <v>13</v>
      </c>
      <c r="K292">
        <v>9444.2590778760696</v>
      </c>
      <c r="Z292"/>
    </row>
    <row r="293" spans="1:26" x14ac:dyDescent="0.25">
      <c r="A293" s="159" t="str">
        <f t="shared" si="13"/>
        <v>LB-San Francisco Mission District-Greater Downtown San Francisco-Social recreation</v>
      </c>
      <c r="B293">
        <v>3</v>
      </c>
      <c r="C293" t="str">
        <f t="shared" si="14"/>
        <v>San Francisco Mission District</v>
      </c>
      <c r="D293">
        <v>1</v>
      </c>
      <c r="E293" t="str">
        <f t="shared" si="14"/>
        <v>Greater Downtown San Francisco</v>
      </c>
      <c r="F293" t="s">
        <v>324</v>
      </c>
      <c r="G293">
        <f t="shared" si="12"/>
        <v>5</v>
      </c>
      <c r="H293" t="s">
        <v>359</v>
      </c>
      <c r="I293" t="s">
        <v>191</v>
      </c>
      <c r="J293">
        <v>5</v>
      </c>
      <c r="K293">
        <v>1430.64177362894</v>
      </c>
      <c r="Z293"/>
    </row>
    <row r="294" spans="1:26" x14ac:dyDescent="0.25">
      <c r="A294" s="159" t="str">
        <f t="shared" si="13"/>
        <v>HR-San Francisco Mission District-Greater Downtown San Francisco-Work</v>
      </c>
      <c r="B294">
        <v>3</v>
      </c>
      <c r="C294" t="str">
        <f t="shared" si="14"/>
        <v>San Francisco Mission District</v>
      </c>
      <c r="D294">
        <v>1</v>
      </c>
      <c r="E294" t="str">
        <f t="shared" si="14"/>
        <v>Greater Downtown San Francisco</v>
      </c>
      <c r="F294" t="s">
        <v>30</v>
      </c>
      <c r="G294">
        <f t="shared" si="12"/>
        <v>1</v>
      </c>
      <c r="H294" t="s">
        <v>124</v>
      </c>
      <c r="I294" t="s">
        <v>188</v>
      </c>
      <c r="J294">
        <v>11</v>
      </c>
      <c r="K294">
        <v>1153.73494796351</v>
      </c>
      <c r="Z294"/>
    </row>
    <row r="295" spans="1:26" x14ac:dyDescent="0.25">
      <c r="A295" s="159" t="str">
        <f t="shared" si="13"/>
        <v>LR-San Francisco Mission District-Greater Downtown San Francisco-Work</v>
      </c>
      <c r="B295">
        <v>3</v>
      </c>
      <c r="C295" t="str">
        <f t="shared" si="14"/>
        <v>San Francisco Mission District</v>
      </c>
      <c r="D295">
        <v>1</v>
      </c>
      <c r="E295" t="str">
        <f t="shared" si="14"/>
        <v>Greater Downtown San Francisco</v>
      </c>
      <c r="F295" t="s">
        <v>30</v>
      </c>
      <c r="G295">
        <f t="shared" si="12"/>
        <v>1</v>
      </c>
      <c r="H295" t="s">
        <v>353</v>
      </c>
      <c r="I295" t="s">
        <v>194</v>
      </c>
      <c r="J295">
        <v>14</v>
      </c>
      <c r="K295">
        <v>7822.1906104549198</v>
      </c>
      <c r="Z295"/>
    </row>
    <row r="296" spans="1:26" x14ac:dyDescent="0.25">
      <c r="A296" s="159" t="str">
        <f t="shared" si="13"/>
        <v>LB-San Francisco Mission District-Greater Downtown San Francisco-Work</v>
      </c>
      <c r="B296">
        <v>3</v>
      </c>
      <c r="C296" t="str">
        <f t="shared" si="14"/>
        <v>San Francisco Mission District</v>
      </c>
      <c r="D296">
        <v>1</v>
      </c>
      <c r="E296" t="str">
        <f t="shared" si="14"/>
        <v>Greater Downtown San Francisco</v>
      </c>
      <c r="F296" t="s">
        <v>30</v>
      </c>
      <c r="G296">
        <f t="shared" si="12"/>
        <v>1</v>
      </c>
      <c r="H296" t="s">
        <v>359</v>
      </c>
      <c r="I296" t="s">
        <v>191</v>
      </c>
      <c r="J296">
        <v>31</v>
      </c>
      <c r="K296">
        <v>8869.9789964994197</v>
      </c>
      <c r="Z296"/>
    </row>
    <row r="297" spans="1:26" x14ac:dyDescent="0.25">
      <c r="A297" s="159" t="str">
        <f t="shared" si="13"/>
        <v>LR-San Francisco Mission District-San Francisco Richmond District-High school</v>
      </c>
      <c r="B297">
        <v>3</v>
      </c>
      <c r="C297" t="str">
        <f t="shared" si="14"/>
        <v>San Francisco Mission District</v>
      </c>
      <c r="D297">
        <v>2</v>
      </c>
      <c r="E297" t="str">
        <f t="shared" si="14"/>
        <v>San Francisco Richmond District</v>
      </c>
      <c r="F297" t="s">
        <v>326</v>
      </c>
      <c r="G297">
        <f t="shared" si="12"/>
        <v>3</v>
      </c>
      <c r="H297" t="s">
        <v>353</v>
      </c>
      <c r="I297" t="s">
        <v>194</v>
      </c>
      <c r="J297">
        <v>1</v>
      </c>
      <c r="K297">
        <v>286.12835472578797</v>
      </c>
      <c r="Z297"/>
    </row>
    <row r="298" spans="1:26" x14ac:dyDescent="0.25">
      <c r="A298" s="159" t="str">
        <f t="shared" si="13"/>
        <v>LB-San Francisco Mission District-San Francisco Richmond District-High school</v>
      </c>
      <c r="B298">
        <v>3</v>
      </c>
      <c r="C298" t="str">
        <f t="shared" si="14"/>
        <v>San Francisco Mission District</v>
      </c>
      <c r="D298">
        <v>2</v>
      </c>
      <c r="E298" t="str">
        <f t="shared" si="14"/>
        <v>San Francisco Richmond District</v>
      </c>
      <c r="F298" t="s">
        <v>326</v>
      </c>
      <c r="G298">
        <f t="shared" si="12"/>
        <v>3</v>
      </c>
      <c r="H298" t="s">
        <v>359</v>
      </c>
      <c r="I298" t="s">
        <v>191</v>
      </c>
      <c r="J298">
        <v>6</v>
      </c>
      <c r="K298">
        <v>1716.7701283547201</v>
      </c>
      <c r="Z298"/>
    </row>
    <row r="299" spans="1:26" x14ac:dyDescent="0.25">
      <c r="A299" s="159" t="str">
        <f t="shared" si="13"/>
        <v>LR-San Francisco Mission District-San Francisco Richmond District-Missing</v>
      </c>
      <c r="B299">
        <v>3</v>
      </c>
      <c r="C299" t="str">
        <f t="shared" si="14"/>
        <v>San Francisco Mission District</v>
      </c>
      <c r="D299">
        <v>2</v>
      </c>
      <c r="E299" t="str">
        <f t="shared" si="14"/>
        <v>San Francisco Richmond District</v>
      </c>
      <c r="F299" t="s">
        <v>327</v>
      </c>
      <c r="G299">
        <f t="shared" si="12"/>
        <v>0</v>
      </c>
      <c r="H299" t="s">
        <v>353</v>
      </c>
      <c r="I299" t="s">
        <v>194</v>
      </c>
      <c r="J299">
        <v>1</v>
      </c>
      <c r="K299">
        <v>286.12835472578797</v>
      </c>
      <c r="Z299"/>
    </row>
    <row r="300" spans="1:26" x14ac:dyDescent="0.25">
      <c r="A300" s="159" t="str">
        <f t="shared" si="13"/>
        <v>LB-San Francisco Mission District-San Francisco Richmond District-Missing</v>
      </c>
      <c r="B300">
        <v>3</v>
      </c>
      <c r="C300" t="str">
        <f t="shared" si="14"/>
        <v>San Francisco Mission District</v>
      </c>
      <c r="D300">
        <v>2</v>
      </c>
      <c r="E300" t="str">
        <f t="shared" si="14"/>
        <v>San Francisco Richmond District</v>
      </c>
      <c r="F300" t="s">
        <v>327</v>
      </c>
      <c r="G300">
        <f t="shared" si="12"/>
        <v>0</v>
      </c>
      <c r="H300" t="s">
        <v>359</v>
      </c>
      <c r="I300" t="s">
        <v>191</v>
      </c>
      <c r="J300">
        <v>3</v>
      </c>
      <c r="K300">
        <v>858.38506417736301</v>
      </c>
      <c r="Z300"/>
    </row>
    <row r="301" spans="1:26" x14ac:dyDescent="0.25">
      <c r="A301" s="159" t="str">
        <f t="shared" si="13"/>
        <v>LB-San Francisco Mission District-San Francisco Richmond District-Other maintenance</v>
      </c>
      <c r="B301">
        <v>3</v>
      </c>
      <c r="C301" t="str">
        <f t="shared" si="14"/>
        <v>San Francisco Mission District</v>
      </c>
      <c r="D301">
        <v>2</v>
      </c>
      <c r="E301" t="str">
        <f t="shared" si="14"/>
        <v>San Francisco Richmond District</v>
      </c>
      <c r="F301" t="s">
        <v>325</v>
      </c>
      <c r="G301">
        <f t="shared" si="12"/>
        <v>4</v>
      </c>
      <c r="H301" t="s">
        <v>359</v>
      </c>
      <c r="I301" t="s">
        <v>191</v>
      </c>
      <c r="J301">
        <v>11</v>
      </c>
      <c r="K301">
        <v>3147.4119019836598</v>
      </c>
      <c r="Z301"/>
    </row>
    <row r="302" spans="1:26" x14ac:dyDescent="0.25">
      <c r="A302" s="159" t="str">
        <f t="shared" si="13"/>
        <v>LR-San Francisco Mission District-San Francisco Richmond District-Shopping</v>
      </c>
      <c r="B302">
        <v>3</v>
      </c>
      <c r="C302" t="str">
        <f t="shared" si="14"/>
        <v>San Francisco Mission District</v>
      </c>
      <c r="D302">
        <v>2</v>
      </c>
      <c r="E302" t="str">
        <f t="shared" si="14"/>
        <v>San Francisco Richmond District</v>
      </c>
      <c r="F302" t="s">
        <v>106</v>
      </c>
      <c r="G302">
        <f t="shared" si="12"/>
        <v>4</v>
      </c>
      <c r="H302" t="s">
        <v>353</v>
      </c>
      <c r="I302" t="s">
        <v>194</v>
      </c>
      <c r="J302">
        <v>2</v>
      </c>
      <c r="K302">
        <v>572.25670945157594</v>
      </c>
      <c r="Z302"/>
    </row>
    <row r="303" spans="1:26" x14ac:dyDescent="0.25">
      <c r="A303" s="159" t="str">
        <f t="shared" si="13"/>
        <v>LR-San Francisco Mission District-San Francisco Richmond District-Social recreation</v>
      </c>
      <c r="B303">
        <v>3</v>
      </c>
      <c r="C303" t="str">
        <f t="shared" si="14"/>
        <v>San Francisco Mission District</v>
      </c>
      <c r="D303">
        <v>2</v>
      </c>
      <c r="E303" t="str">
        <f t="shared" si="14"/>
        <v>San Francisco Richmond District</v>
      </c>
      <c r="F303" t="s">
        <v>324</v>
      </c>
      <c r="G303">
        <f t="shared" si="12"/>
        <v>5</v>
      </c>
      <c r="H303" t="s">
        <v>353</v>
      </c>
      <c r="I303" t="s">
        <v>194</v>
      </c>
      <c r="J303">
        <v>4</v>
      </c>
      <c r="K303">
        <v>1144.5134189031501</v>
      </c>
      <c r="Z303"/>
    </row>
    <row r="304" spans="1:26" x14ac:dyDescent="0.25">
      <c r="A304" s="159" t="str">
        <f t="shared" si="13"/>
        <v>LB-San Francisco Mission District-San Francisco Richmond District-Social recreation</v>
      </c>
      <c r="B304">
        <v>3</v>
      </c>
      <c r="C304" t="str">
        <f t="shared" si="14"/>
        <v>San Francisco Mission District</v>
      </c>
      <c r="D304">
        <v>2</v>
      </c>
      <c r="E304" t="str">
        <f t="shared" si="14"/>
        <v>San Francisco Richmond District</v>
      </c>
      <c r="F304" t="s">
        <v>324</v>
      </c>
      <c r="G304">
        <f t="shared" si="12"/>
        <v>5</v>
      </c>
      <c r="H304" t="s">
        <v>359</v>
      </c>
      <c r="I304" t="s">
        <v>191</v>
      </c>
      <c r="J304">
        <v>4</v>
      </c>
      <c r="K304">
        <v>1144.5134189031501</v>
      </c>
      <c r="Z304"/>
    </row>
    <row r="305" spans="1:26" x14ac:dyDescent="0.25">
      <c r="A305" s="159" t="str">
        <f t="shared" si="13"/>
        <v>LR-San Francisco Mission District-San Francisco Richmond District-Work</v>
      </c>
      <c r="B305">
        <v>3</v>
      </c>
      <c r="C305" t="str">
        <f t="shared" si="14"/>
        <v>San Francisco Mission District</v>
      </c>
      <c r="D305">
        <v>2</v>
      </c>
      <c r="E305" t="str">
        <f t="shared" si="14"/>
        <v>San Francisco Richmond District</v>
      </c>
      <c r="F305" t="s">
        <v>30</v>
      </c>
      <c r="G305">
        <f t="shared" si="12"/>
        <v>1</v>
      </c>
      <c r="H305" t="s">
        <v>353</v>
      </c>
      <c r="I305" t="s">
        <v>194</v>
      </c>
      <c r="J305">
        <v>9</v>
      </c>
      <c r="K305">
        <v>4483.3520146790297</v>
      </c>
      <c r="Z305"/>
    </row>
    <row r="306" spans="1:26" x14ac:dyDescent="0.25">
      <c r="A306" s="159" t="str">
        <f t="shared" si="13"/>
        <v>LB-San Francisco Mission District-San Francisco Richmond District-Work</v>
      </c>
      <c r="B306">
        <v>3</v>
      </c>
      <c r="C306" t="str">
        <f t="shared" si="14"/>
        <v>San Francisco Mission District</v>
      </c>
      <c r="D306">
        <v>2</v>
      </c>
      <c r="E306" t="str">
        <f t="shared" si="14"/>
        <v>San Francisco Richmond District</v>
      </c>
      <c r="F306" t="s">
        <v>30</v>
      </c>
      <c r="G306">
        <f t="shared" si="12"/>
        <v>1</v>
      </c>
      <c r="H306" t="s">
        <v>359</v>
      </c>
      <c r="I306" t="s">
        <v>191</v>
      </c>
      <c r="J306">
        <v>31</v>
      </c>
      <c r="K306">
        <v>9824.0774075728896</v>
      </c>
      <c r="Z306"/>
    </row>
    <row r="307" spans="1:26" x14ac:dyDescent="0.25">
      <c r="A307" s="159" t="str">
        <f t="shared" si="13"/>
        <v>LR-San Francisco Mission District-San Francisco Mission District-High school</v>
      </c>
      <c r="B307">
        <v>3</v>
      </c>
      <c r="C307" t="str">
        <f t="shared" si="14"/>
        <v>San Francisco Mission District</v>
      </c>
      <c r="D307">
        <v>3</v>
      </c>
      <c r="E307" t="str">
        <f t="shared" si="14"/>
        <v>San Francisco Mission District</v>
      </c>
      <c r="F307" t="s">
        <v>326</v>
      </c>
      <c r="G307">
        <f t="shared" si="12"/>
        <v>3</v>
      </c>
      <c r="H307" t="s">
        <v>353</v>
      </c>
      <c r="I307" t="s">
        <v>194</v>
      </c>
      <c r="J307">
        <v>5</v>
      </c>
      <c r="K307">
        <v>1430.64177362894</v>
      </c>
      <c r="Z307"/>
    </row>
    <row r="308" spans="1:26" x14ac:dyDescent="0.25">
      <c r="A308" s="159" t="str">
        <f t="shared" si="13"/>
        <v>LB-San Francisco Mission District-San Francisco Mission District-High school</v>
      </c>
      <c r="B308">
        <v>3</v>
      </c>
      <c r="C308" t="str">
        <f t="shared" si="14"/>
        <v>San Francisco Mission District</v>
      </c>
      <c r="D308">
        <v>3</v>
      </c>
      <c r="E308" t="str">
        <f t="shared" si="14"/>
        <v>San Francisco Mission District</v>
      </c>
      <c r="F308" t="s">
        <v>326</v>
      </c>
      <c r="G308">
        <f t="shared" si="12"/>
        <v>3</v>
      </c>
      <c r="H308" t="s">
        <v>359</v>
      </c>
      <c r="I308" t="s">
        <v>191</v>
      </c>
      <c r="J308">
        <v>31</v>
      </c>
      <c r="K308">
        <v>8869.9789964994197</v>
      </c>
      <c r="Z308"/>
    </row>
    <row r="309" spans="1:26" x14ac:dyDescent="0.25">
      <c r="A309" s="159" t="str">
        <f t="shared" si="13"/>
        <v>LR-San Francisco Mission District-San Francisco Mission District-Missing</v>
      </c>
      <c r="B309">
        <v>3</v>
      </c>
      <c r="C309" t="str">
        <f t="shared" si="14"/>
        <v>San Francisco Mission District</v>
      </c>
      <c r="D309">
        <v>3</v>
      </c>
      <c r="E309" t="str">
        <f t="shared" si="14"/>
        <v>San Francisco Mission District</v>
      </c>
      <c r="F309" t="s">
        <v>327</v>
      </c>
      <c r="G309">
        <f t="shared" si="12"/>
        <v>0</v>
      </c>
      <c r="H309" t="s">
        <v>353</v>
      </c>
      <c r="I309" t="s">
        <v>194</v>
      </c>
      <c r="J309">
        <v>3</v>
      </c>
      <c r="K309">
        <v>1812.48347525083</v>
      </c>
      <c r="Z309"/>
    </row>
    <row r="310" spans="1:26" x14ac:dyDescent="0.25">
      <c r="A310" s="159" t="str">
        <f t="shared" si="13"/>
        <v>LB-San Francisco Mission District-San Francisco Mission District-Missing</v>
      </c>
      <c r="B310">
        <v>3</v>
      </c>
      <c r="C310" t="str">
        <f t="shared" si="14"/>
        <v>San Francisco Mission District</v>
      </c>
      <c r="D310">
        <v>3</v>
      </c>
      <c r="E310" t="str">
        <f t="shared" si="14"/>
        <v>San Francisco Mission District</v>
      </c>
      <c r="F310" t="s">
        <v>327</v>
      </c>
      <c r="G310">
        <f t="shared" si="12"/>
        <v>0</v>
      </c>
      <c r="H310" t="s">
        <v>359</v>
      </c>
      <c r="I310" t="s">
        <v>191</v>
      </c>
      <c r="J310">
        <v>16</v>
      </c>
      <c r="K310">
        <v>4578.0536756126003</v>
      </c>
      <c r="Z310"/>
    </row>
    <row r="311" spans="1:26" x14ac:dyDescent="0.25">
      <c r="A311" s="159" t="str">
        <f t="shared" si="13"/>
        <v>LB-San Francisco Mission District-San Francisco Mission District-Other</v>
      </c>
      <c r="B311">
        <v>3</v>
      </c>
      <c r="C311" t="str">
        <f t="shared" si="14"/>
        <v>San Francisco Mission District</v>
      </c>
      <c r="D311">
        <v>3</v>
      </c>
      <c r="E311" t="str">
        <f t="shared" si="14"/>
        <v>San Francisco Mission District</v>
      </c>
      <c r="F311" t="s">
        <v>328</v>
      </c>
      <c r="G311">
        <f t="shared" si="12"/>
        <v>0</v>
      </c>
      <c r="H311" t="s">
        <v>359</v>
      </c>
      <c r="I311" t="s">
        <v>191</v>
      </c>
      <c r="J311">
        <v>1</v>
      </c>
      <c r="K311">
        <v>286.12835472578797</v>
      </c>
      <c r="Z311"/>
    </row>
    <row r="312" spans="1:26" x14ac:dyDescent="0.25">
      <c r="A312" s="159" t="str">
        <f t="shared" si="13"/>
        <v>HR-San Francisco Mission District-San Francisco Mission District-Other maintenance</v>
      </c>
      <c r="B312">
        <v>3</v>
      </c>
      <c r="C312" t="str">
        <f t="shared" si="14"/>
        <v>San Francisco Mission District</v>
      </c>
      <c r="D312">
        <v>3</v>
      </c>
      <c r="E312" t="str">
        <f t="shared" si="14"/>
        <v>San Francisco Mission District</v>
      </c>
      <c r="F312" t="s">
        <v>325</v>
      </c>
      <c r="G312">
        <f t="shared" si="12"/>
        <v>4</v>
      </c>
      <c r="H312" t="s">
        <v>124</v>
      </c>
      <c r="I312" t="s">
        <v>188</v>
      </c>
      <c r="J312">
        <v>1</v>
      </c>
      <c r="K312">
        <v>95.822099447513807</v>
      </c>
      <c r="Z312"/>
    </row>
    <row r="313" spans="1:26" x14ac:dyDescent="0.25">
      <c r="A313" s="159" t="str">
        <f t="shared" si="13"/>
        <v>LR-San Francisco Mission District-San Francisco Mission District-Other maintenance</v>
      </c>
      <c r="B313">
        <v>3</v>
      </c>
      <c r="C313" t="str">
        <f t="shared" si="14"/>
        <v>San Francisco Mission District</v>
      </c>
      <c r="D313">
        <v>3</v>
      </c>
      <c r="E313" t="str">
        <f t="shared" si="14"/>
        <v>San Francisco Mission District</v>
      </c>
      <c r="F313" t="s">
        <v>325</v>
      </c>
      <c r="G313">
        <f t="shared" si="12"/>
        <v>4</v>
      </c>
      <c r="H313" t="s">
        <v>353</v>
      </c>
      <c r="I313" t="s">
        <v>194</v>
      </c>
      <c r="J313">
        <v>3</v>
      </c>
      <c r="K313">
        <v>1812.48347525083</v>
      </c>
      <c r="Z313"/>
    </row>
    <row r="314" spans="1:26" x14ac:dyDescent="0.25">
      <c r="A314" s="159" t="str">
        <f t="shared" si="13"/>
        <v>LB-San Francisco Mission District-San Francisco Mission District-Other maintenance</v>
      </c>
      <c r="B314">
        <v>3</v>
      </c>
      <c r="C314" t="str">
        <f t="shared" si="14"/>
        <v>San Francisco Mission District</v>
      </c>
      <c r="D314">
        <v>3</v>
      </c>
      <c r="E314" t="str">
        <f t="shared" si="14"/>
        <v>San Francisco Mission District</v>
      </c>
      <c r="F314" t="s">
        <v>325</v>
      </c>
      <c r="G314">
        <f t="shared" si="12"/>
        <v>4</v>
      </c>
      <c r="H314" t="s">
        <v>359</v>
      </c>
      <c r="I314" t="s">
        <v>191</v>
      </c>
      <c r="J314">
        <v>16</v>
      </c>
      <c r="K314">
        <v>8946.7739674320692</v>
      </c>
      <c r="Z314"/>
    </row>
    <row r="315" spans="1:26" x14ac:dyDescent="0.25">
      <c r="A315" s="159" t="str">
        <f t="shared" si="13"/>
        <v>LR-San Francisco Mission District-San Francisco Mission District-Shopping</v>
      </c>
      <c r="B315">
        <v>3</v>
      </c>
      <c r="C315" t="str">
        <f t="shared" si="14"/>
        <v>San Francisco Mission District</v>
      </c>
      <c r="D315">
        <v>3</v>
      </c>
      <c r="E315" t="str">
        <f t="shared" si="14"/>
        <v>San Francisco Mission District</v>
      </c>
      <c r="F315" t="s">
        <v>106</v>
      </c>
      <c r="G315">
        <f t="shared" si="12"/>
        <v>4</v>
      </c>
      <c r="H315" t="s">
        <v>353</v>
      </c>
      <c r="I315" t="s">
        <v>194</v>
      </c>
      <c r="J315">
        <v>3</v>
      </c>
      <c r="K315">
        <v>1812.48347525083</v>
      </c>
      <c r="Z315"/>
    </row>
    <row r="316" spans="1:26" x14ac:dyDescent="0.25">
      <c r="A316" s="159" t="str">
        <f t="shared" si="13"/>
        <v>LB-San Francisco Mission District-San Francisco Mission District-Shopping</v>
      </c>
      <c r="B316">
        <v>3</v>
      </c>
      <c r="C316" t="str">
        <f t="shared" si="14"/>
        <v>San Francisco Mission District</v>
      </c>
      <c r="D316">
        <v>3</v>
      </c>
      <c r="E316" t="str">
        <f t="shared" si="14"/>
        <v>San Francisco Mission District</v>
      </c>
      <c r="F316" t="s">
        <v>106</v>
      </c>
      <c r="G316">
        <f t="shared" si="12"/>
        <v>4</v>
      </c>
      <c r="H316" t="s">
        <v>359</v>
      </c>
      <c r="I316" t="s">
        <v>191</v>
      </c>
      <c r="J316">
        <v>8</v>
      </c>
      <c r="K316">
        <v>3703.6647334654899</v>
      </c>
      <c r="Z316"/>
    </row>
    <row r="317" spans="1:26" x14ac:dyDescent="0.25">
      <c r="A317" s="159" t="str">
        <f t="shared" si="13"/>
        <v>CR-San Francisco Mission District-San Francisco Mission District-Social recreation</v>
      </c>
      <c r="B317">
        <v>3</v>
      </c>
      <c r="C317" t="str">
        <f t="shared" si="14"/>
        <v>San Francisco Mission District</v>
      </c>
      <c r="D317">
        <v>3</v>
      </c>
      <c r="E317" t="str">
        <f t="shared" si="14"/>
        <v>San Francisco Mission District</v>
      </c>
      <c r="F317" t="s">
        <v>324</v>
      </c>
      <c r="G317">
        <f t="shared" si="12"/>
        <v>5</v>
      </c>
      <c r="H317" t="s">
        <v>125</v>
      </c>
      <c r="I317" t="s">
        <v>178</v>
      </c>
      <c r="J317">
        <v>1</v>
      </c>
      <c r="K317">
        <v>23.4305084745763</v>
      </c>
      <c r="Z317"/>
    </row>
    <row r="318" spans="1:26" x14ac:dyDescent="0.25">
      <c r="A318" s="159" t="str">
        <f t="shared" si="13"/>
        <v>HR-San Francisco Mission District-San Francisco Mission District-Social recreation</v>
      </c>
      <c r="B318">
        <v>3</v>
      </c>
      <c r="C318" t="str">
        <f t="shared" si="14"/>
        <v>San Francisco Mission District</v>
      </c>
      <c r="D318">
        <v>3</v>
      </c>
      <c r="E318" t="str">
        <f t="shared" si="14"/>
        <v>San Francisco Mission District</v>
      </c>
      <c r="F318" t="s">
        <v>324</v>
      </c>
      <c r="G318">
        <f t="shared" si="12"/>
        <v>5</v>
      </c>
      <c r="H318" t="s">
        <v>124</v>
      </c>
      <c r="I318" t="s">
        <v>188</v>
      </c>
      <c r="J318">
        <v>6</v>
      </c>
      <c r="K318">
        <v>774.31630476679902</v>
      </c>
      <c r="Z318"/>
    </row>
    <row r="319" spans="1:26" x14ac:dyDescent="0.25">
      <c r="A319" s="159" t="str">
        <f t="shared" si="13"/>
        <v>LR-San Francisco Mission District-San Francisco Mission District-Social recreation</v>
      </c>
      <c r="B319">
        <v>3</v>
      </c>
      <c r="C319" t="str">
        <f t="shared" si="14"/>
        <v>San Francisco Mission District</v>
      </c>
      <c r="D319">
        <v>3</v>
      </c>
      <c r="E319" t="str">
        <f t="shared" si="14"/>
        <v>San Francisco Mission District</v>
      </c>
      <c r="F319" t="s">
        <v>324</v>
      </c>
      <c r="G319">
        <f t="shared" si="12"/>
        <v>5</v>
      </c>
      <c r="H319" t="s">
        <v>353</v>
      </c>
      <c r="I319" t="s">
        <v>194</v>
      </c>
      <c r="J319">
        <v>6</v>
      </c>
      <c r="K319">
        <v>5533.1637726486097</v>
      </c>
      <c r="Z319"/>
    </row>
    <row r="320" spans="1:26" x14ac:dyDescent="0.25">
      <c r="A320" s="159" t="str">
        <f t="shared" si="13"/>
        <v>LB-San Francisco Mission District-San Francisco Mission District-Social recreation</v>
      </c>
      <c r="B320">
        <v>3</v>
      </c>
      <c r="C320" t="str">
        <f t="shared" si="14"/>
        <v>San Francisco Mission District</v>
      </c>
      <c r="D320">
        <v>3</v>
      </c>
      <c r="E320" t="str">
        <f t="shared" si="14"/>
        <v>San Francisco Mission District</v>
      </c>
      <c r="F320" t="s">
        <v>324</v>
      </c>
      <c r="G320">
        <f t="shared" si="12"/>
        <v>5</v>
      </c>
      <c r="H320" t="s">
        <v>359</v>
      </c>
      <c r="I320" t="s">
        <v>191</v>
      </c>
      <c r="J320">
        <v>9</v>
      </c>
      <c r="K320">
        <v>4483.3520146790297</v>
      </c>
      <c r="Z320"/>
    </row>
    <row r="321" spans="1:26" x14ac:dyDescent="0.25">
      <c r="A321" s="159" t="str">
        <f t="shared" si="13"/>
        <v>HR-San Francisco Mission District-San Francisco Mission District-Work</v>
      </c>
      <c r="B321">
        <v>3</v>
      </c>
      <c r="C321" t="str">
        <f t="shared" si="14"/>
        <v>San Francisco Mission District</v>
      </c>
      <c r="D321">
        <v>3</v>
      </c>
      <c r="E321" t="str">
        <f t="shared" si="14"/>
        <v>San Francisco Mission District</v>
      </c>
      <c r="F321" t="s">
        <v>30</v>
      </c>
      <c r="G321">
        <f t="shared" si="12"/>
        <v>1</v>
      </c>
      <c r="H321" t="s">
        <v>124</v>
      </c>
      <c r="I321" t="s">
        <v>188</v>
      </c>
      <c r="J321">
        <v>5</v>
      </c>
      <c r="K321">
        <v>678.49420531928502</v>
      </c>
      <c r="Z321"/>
    </row>
    <row r="322" spans="1:26" x14ac:dyDescent="0.25">
      <c r="A322" s="159" t="str">
        <f t="shared" si="13"/>
        <v>LR-San Francisco Mission District-San Francisco Mission District-Work</v>
      </c>
      <c r="B322">
        <v>3</v>
      </c>
      <c r="C322" t="str">
        <f t="shared" si="14"/>
        <v>San Francisco Mission District</v>
      </c>
      <c r="D322">
        <v>3</v>
      </c>
      <c r="E322" t="str">
        <f t="shared" si="14"/>
        <v>San Francisco Mission District</v>
      </c>
      <c r="F322" t="s">
        <v>30</v>
      </c>
      <c r="G322">
        <f t="shared" ref="G322:G385" si="15">VLOOKUP(F322,$V$2:$X$10, 3,FALSE)</f>
        <v>1</v>
      </c>
      <c r="H322" t="s">
        <v>353</v>
      </c>
      <c r="I322" t="s">
        <v>194</v>
      </c>
      <c r="J322">
        <v>11</v>
      </c>
      <c r="K322">
        <v>6009.7071352040803</v>
      </c>
      <c r="Z322"/>
    </row>
    <row r="323" spans="1:26" x14ac:dyDescent="0.25">
      <c r="A323" s="159" t="str">
        <f t="shared" ref="A323:A386" si="16" xml:space="preserve"> CONCATENATE(I323,"-",C323, "-",E323, "-",F323,)</f>
        <v>LB-San Francisco Mission District-San Francisco Mission District-Work</v>
      </c>
      <c r="B323">
        <v>3</v>
      </c>
      <c r="C323" t="str">
        <f t="shared" ref="C323:E386" si="17">VLOOKUP(B323,$S$2:$T$35,2,FALSE)</f>
        <v>San Francisco Mission District</v>
      </c>
      <c r="D323">
        <v>3</v>
      </c>
      <c r="E323" t="str">
        <f t="shared" si="17"/>
        <v>San Francisco Mission District</v>
      </c>
      <c r="F323" t="s">
        <v>30</v>
      </c>
      <c r="G323">
        <f t="shared" si="15"/>
        <v>1</v>
      </c>
      <c r="H323" t="s">
        <v>359</v>
      </c>
      <c r="I323" t="s">
        <v>191</v>
      </c>
      <c r="J323">
        <v>58</v>
      </c>
      <c r="K323">
        <v>17269.7440800232</v>
      </c>
      <c r="Z323"/>
    </row>
    <row r="324" spans="1:26" x14ac:dyDescent="0.25">
      <c r="A324" s="159" t="str">
        <f t="shared" si="16"/>
        <v>LR-San Francisco Mission District-San Francisco Sunset District-High school</v>
      </c>
      <c r="B324">
        <v>3</v>
      </c>
      <c r="C324" t="str">
        <f t="shared" si="17"/>
        <v>San Francisco Mission District</v>
      </c>
      <c r="D324">
        <v>4</v>
      </c>
      <c r="E324" t="str">
        <f t="shared" si="17"/>
        <v>San Francisco Sunset District</v>
      </c>
      <c r="F324" t="s">
        <v>326</v>
      </c>
      <c r="G324">
        <f t="shared" si="15"/>
        <v>3</v>
      </c>
      <c r="H324" t="s">
        <v>353</v>
      </c>
      <c r="I324" t="s">
        <v>194</v>
      </c>
      <c r="J324">
        <v>3</v>
      </c>
      <c r="K324">
        <v>858.38506417736301</v>
      </c>
      <c r="Z324"/>
    </row>
    <row r="325" spans="1:26" x14ac:dyDescent="0.25">
      <c r="A325" s="159" t="str">
        <f t="shared" si="16"/>
        <v>LB-San Francisco Mission District-San Francisco Sunset District-High school</v>
      </c>
      <c r="B325">
        <v>3</v>
      </c>
      <c r="C325" t="str">
        <f t="shared" si="17"/>
        <v>San Francisco Mission District</v>
      </c>
      <c r="D325">
        <v>4</v>
      </c>
      <c r="E325" t="str">
        <f t="shared" si="17"/>
        <v>San Francisco Sunset District</v>
      </c>
      <c r="F325" t="s">
        <v>326</v>
      </c>
      <c r="G325">
        <f t="shared" si="15"/>
        <v>3</v>
      </c>
      <c r="H325" t="s">
        <v>359</v>
      </c>
      <c r="I325" t="s">
        <v>191</v>
      </c>
      <c r="J325">
        <v>8</v>
      </c>
      <c r="K325">
        <v>2289.0268378063001</v>
      </c>
      <c r="Z325"/>
    </row>
    <row r="326" spans="1:26" x14ac:dyDescent="0.25">
      <c r="A326" s="159" t="str">
        <f t="shared" si="16"/>
        <v>LB-San Francisco Mission District-San Francisco Sunset District-Missing</v>
      </c>
      <c r="B326">
        <v>3</v>
      </c>
      <c r="C326" t="str">
        <f t="shared" si="17"/>
        <v>San Francisco Mission District</v>
      </c>
      <c r="D326">
        <v>4</v>
      </c>
      <c r="E326" t="str">
        <f t="shared" si="17"/>
        <v>San Francisco Sunset District</v>
      </c>
      <c r="F326" t="s">
        <v>327</v>
      </c>
      <c r="G326">
        <f t="shared" si="15"/>
        <v>0</v>
      </c>
      <c r="H326" t="s">
        <v>359</v>
      </c>
      <c r="I326" t="s">
        <v>191</v>
      </c>
      <c r="J326">
        <v>2</v>
      </c>
      <c r="K326">
        <v>572.25670945157594</v>
      </c>
      <c r="Z326"/>
    </row>
    <row r="327" spans="1:26" x14ac:dyDescent="0.25">
      <c r="A327" s="159" t="str">
        <f t="shared" si="16"/>
        <v>LR-San Francisco Mission District-San Francisco Sunset District-Other maintenance</v>
      </c>
      <c r="B327">
        <v>3</v>
      </c>
      <c r="C327" t="str">
        <f t="shared" si="17"/>
        <v>San Francisco Mission District</v>
      </c>
      <c r="D327">
        <v>4</v>
      </c>
      <c r="E327" t="str">
        <f t="shared" si="17"/>
        <v>San Francisco Sunset District</v>
      </c>
      <c r="F327" t="s">
        <v>325</v>
      </c>
      <c r="G327">
        <f t="shared" si="15"/>
        <v>4</v>
      </c>
      <c r="H327" t="s">
        <v>353</v>
      </c>
      <c r="I327" t="s">
        <v>194</v>
      </c>
      <c r="J327">
        <v>2</v>
      </c>
      <c r="K327">
        <v>1526.3551205250401</v>
      </c>
      <c r="Z327"/>
    </row>
    <row r="328" spans="1:26" x14ac:dyDescent="0.25">
      <c r="A328" s="159" t="str">
        <f t="shared" si="16"/>
        <v>LB-San Francisco Mission District-San Francisco Sunset District-Other maintenance</v>
      </c>
      <c r="B328">
        <v>3</v>
      </c>
      <c r="C328" t="str">
        <f t="shared" si="17"/>
        <v>San Francisco Mission District</v>
      </c>
      <c r="D328">
        <v>4</v>
      </c>
      <c r="E328" t="str">
        <f t="shared" si="17"/>
        <v>San Francisco Sunset District</v>
      </c>
      <c r="F328" t="s">
        <v>325</v>
      </c>
      <c r="G328">
        <f t="shared" si="15"/>
        <v>4</v>
      </c>
      <c r="H328" t="s">
        <v>359</v>
      </c>
      <c r="I328" t="s">
        <v>191</v>
      </c>
      <c r="J328">
        <v>1</v>
      </c>
      <c r="K328">
        <v>39.348891481913597</v>
      </c>
      <c r="Z328"/>
    </row>
    <row r="329" spans="1:26" x14ac:dyDescent="0.25">
      <c r="A329" s="159" t="str">
        <f t="shared" si="16"/>
        <v>LR-San Francisco Mission District-San Francisco Sunset District-Social recreation</v>
      </c>
      <c r="B329">
        <v>3</v>
      </c>
      <c r="C329" t="str">
        <f t="shared" si="17"/>
        <v>San Francisco Mission District</v>
      </c>
      <c r="D329">
        <v>4</v>
      </c>
      <c r="E329" t="str">
        <f t="shared" si="17"/>
        <v>San Francisco Sunset District</v>
      </c>
      <c r="F329" t="s">
        <v>324</v>
      </c>
      <c r="G329">
        <f t="shared" si="15"/>
        <v>5</v>
      </c>
      <c r="H329" t="s">
        <v>353</v>
      </c>
      <c r="I329" t="s">
        <v>194</v>
      </c>
      <c r="J329">
        <v>2</v>
      </c>
      <c r="K329">
        <v>2480.4535315985199</v>
      </c>
      <c r="Z329"/>
    </row>
    <row r="330" spans="1:26" x14ac:dyDescent="0.25">
      <c r="A330" s="159" t="str">
        <f t="shared" si="16"/>
        <v>LB-San Francisco Mission District-San Francisco Sunset District-Social recreation</v>
      </c>
      <c r="B330">
        <v>3</v>
      </c>
      <c r="C330" t="str">
        <f t="shared" si="17"/>
        <v>San Francisco Mission District</v>
      </c>
      <c r="D330">
        <v>4</v>
      </c>
      <c r="E330" t="str">
        <f t="shared" si="17"/>
        <v>San Francisco Sunset District</v>
      </c>
      <c r="F330" t="s">
        <v>324</v>
      </c>
      <c r="G330">
        <f t="shared" si="15"/>
        <v>5</v>
      </c>
      <c r="H330" t="s">
        <v>359</v>
      </c>
      <c r="I330" t="s">
        <v>191</v>
      </c>
      <c r="J330">
        <v>2</v>
      </c>
      <c r="K330">
        <v>1526.3551205250401</v>
      </c>
      <c r="Z330"/>
    </row>
    <row r="331" spans="1:26" x14ac:dyDescent="0.25">
      <c r="A331" s="159" t="str">
        <f t="shared" si="16"/>
        <v>HR-San Francisco Mission District-San Francisco Sunset District-Work</v>
      </c>
      <c r="B331">
        <v>3</v>
      </c>
      <c r="C331" t="str">
        <f t="shared" si="17"/>
        <v>San Francisco Mission District</v>
      </c>
      <c r="D331">
        <v>4</v>
      </c>
      <c r="E331" t="str">
        <f t="shared" si="17"/>
        <v>San Francisco Sunset District</v>
      </c>
      <c r="F331" t="s">
        <v>30</v>
      </c>
      <c r="G331">
        <f t="shared" si="15"/>
        <v>1</v>
      </c>
      <c r="H331" t="s">
        <v>124</v>
      </c>
      <c r="I331" t="s">
        <v>188</v>
      </c>
      <c r="J331">
        <v>2</v>
      </c>
      <c r="K331">
        <v>291.33605293588499</v>
      </c>
      <c r="Z331"/>
    </row>
    <row r="332" spans="1:26" x14ac:dyDescent="0.25">
      <c r="A332" s="159" t="str">
        <f t="shared" si="16"/>
        <v>LR-San Francisco Mission District-San Francisco Sunset District-Work</v>
      </c>
      <c r="B332">
        <v>3</v>
      </c>
      <c r="C332" t="str">
        <f t="shared" si="17"/>
        <v>San Francisco Mission District</v>
      </c>
      <c r="D332">
        <v>4</v>
      </c>
      <c r="E332" t="str">
        <f t="shared" si="17"/>
        <v>San Francisco Sunset District</v>
      </c>
      <c r="F332" t="s">
        <v>30</v>
      </c>
      <c r="G332">
        <f t="shared" si="15"/>
        <v>1</v>
      </c>
      <c r="H332" t="s">
        <v>353</v>
      </c>
      <c r="I332" t="s">
        <v>194</v>
      </c>
      <c r="J332">
        <v>5</v>
      </c>
      <c r="K332">
        <v>2384.7401847024098</v>
      </c>
      <c r="Z332"/>
    </row>
    <row r="333" spans="1:26" x14ac:dyDescent="0.25">
      <c r="A333" s="159" t="str">
        <f t="shared" si="16"/>
        <v>LB-San Francisco Mission District-San Francisco Sunset District-Work</v>
      </c>
      <c r="B333">
        <v>3</v>
      </c>
      <c r="C333" t="str">
        <f t="shared" si="17"/>
        <v>San Francisco Mission District</v>
      </c>
      <c r="D333">
        <v>4</v>
      </c>
      <c r="E333" t="str">
        <f t="shared" si="17"/>
        <v>San Francisco Sunset District</v>
      </c>
      <c r="F333" t="s">
        <v>30</v>
      </c>
      <c r="G333">
        <f t="shared" si="15"/>
        <v>1</v>
      </c>
      <c r="H333" t="s">
        <v>359</v>
      </c>
      <c r="I333" t="s">
        <v>191</v>
      </c>
      <c r="J333">
        <v>5</v>
      </c>
      <c r="K333">
        <v>1430.64177362894</v>
      </c>
      <c r="Z333"/>
    </row>
    <row r="334" spans="1:26" x14ac:dyDescent="0.25">
      <c r="A334" s="159" t="str">
        <f t="shared" si="16"/>
        <v>HR-San Francisco Mission District-Daly City and San Bruno-High school</v>
      </c>
      <c r="B334">
        <v>3</v>
      </c>
      <c r="C334" t="str">
        <f t="shared" si="17"/>
        <v>San Francisco Mission District</v>
      </c>
      <c r="D334">
        <v>5</v>
      </c>
      <c r="E334" t="str">
        <f t="shared" si="17"/>
        <v>Daly City and San Bruno</v>
      </c>
      <c r="F334" t="s">
        <v>326</v>
      </c>
      <c r="G334">
        <f t="shared" si="15"/>
        <v>3</v>
      </c>
      <c r="H334" t="s">
        <v>124</v>
      </c>
      <c r="I334" t="s">
        <v>188</v>
      </c>
      <c r="J334">
        <v>1</v>
      </c>
      <c r="K334">
        <v>95.822099447513807</v>
      </c>
      <c r="Z334"/>
    </row>
    <row r="335" spans="1:26" x14ac:dyDescent="0.25">
      <c r="A335" s="159" t="str">
        <f t="shared" si="16"/>
        <v>LB-San Francisco Mission District-Daly City and San Bruno-High school</v>
      </c>
      <c r="B335">
        <v>3</v>
      </c>
      <c r="C335" t="str">
        <f t="shared" si="17"/>
        <v>San Francisco Mission District</v>
      </c>
      <c r="D335">
        <v>5</v>
      </c>
      <c r="E335" t="str">
        <f t="shared" si="17"/>
        <v>Daly City and San Bruno</v>
      </c>
      <c r="F335" t="s">
        <v>326</v>
      </c>
      <c r="G335">
        <f t="shared" si="15"/>
        <v>3</v>
      </c>
      <c r="H335" t="s">
        <v>359</v>
      </c>
      <c r="I335" t="s">
        <v>191</v>
      </c>
      <c r="J335">
        <v>1</v>
      </c>
      <c r="K335">
        <v>39.348891481913597</v>
      </c>
      <c r="Z335"/>
    </row>
    <row r="336" spans="1:26" x14ac:dyDescent="0.25">
      <c r="A336" s="159" t="str">
        <f t="shared" si="16"/>
        <v>LB-San Francisco Mission District-Daly City and San Bruno-Missing</v>
      </c>
      <c r="B336">
        <v>3</v>
      </c>
      <c r="C336" t="str">
        <f t="shared" si="17"/>
        <v>San Francisco Mission District</v>
      </c>
      <c r="D336">
        <v>5</v>
      </c>
      <c r="E336" t="str">
        <f t="shared" si="17"/>
        <v>Daly City and San Bruno</v>
      </c>
      <c r="F336" t="s">
        <v>327</v>
      </c>
      <c r="G336">
        <f t="shared" si="15"/>
        <v>0</v>
      </c>
      <c r="H336" t="s">
        <v>359</v>
      </c>
      <c r="I336" t="s">
        <v>191</v>
      </c>
      <c r="J336">
        <v>2</v>
      </c>
      <c r="K336">
        <v>325.477246207701</v>
      </c>
      <c r="Z336"/>
    </row>
    <row r="337" spans="1:26" x14ac:dyDescent="0.25">
      <c r="A337" s="159" t="str">
        <f t="shared" si="16"/>
        <v>HR-San Francisco Mission District-Daly City and San Bruno-Other maintenance</v>
      </c>
      <c r="B337">
        <v>3</v>
      </c>
      <c r="C337" t="str">
        <f t="shared" si="17"/>
        <v>San Francisco Mission District</v>
      </c>
      <c r="D337">
        <v>5</v>
      </c>
      <c r="E337" t="str">
        <f t="shared" si="17"/>
        <v>Daly City and San Bruno</v>
      </c>
      <c r="F337" t="s">
        <v>325</v>
      </c>
      <c r="G337">
        <f t="shared" si="15"/>
        <v>4</v>
      </c>
      <c r="H337" t="s">
        <v>124</v>
      </c>
      <c r="I337" t="s">
        <v>188</v>
      </c>
      <c r="J337">
        <v>1</v>
      </c>
      <c r="K337">
        <v>195.51395348837201</v>
      </c>
      <c r="Z337"/>
    </row>
    <row r="338" spans="1:26" x14ac:dyDescent="0.25">
      <c r="A338" s="159" t="str">
        <f t="shared" si="16"/>
        <v>LB-San Francisco Mission District-Daly City and San Bruno-Other maintenance</v>
      </c>
      <c r="B338">
        <v>3</v>
      </c>
      <c r="C338" t="str">
        <f t="shared" si="17"/>
        <v>San Francisco Mission District</v>
      </c>
      <c r="D338">
        <v>5</v>
      </c>
      <c r="E338" t="str">
        <f t="shared" si="17"/>
        <v>Daly City and San Bruno</v>
      </c>
      <c r="F338" t="s">
        <v>325</v>
      </c>
      <c r="G338">
        <f t="shared" si="15"/>
        <v>4</v>
      </c>
      <c r="H338" t="s">
        <v>359</v>
      </c>
      <c r="I338" t="s">
        <v>191</v>
      </c>
      <c r="J338">
        <v>1</v>
      </c>
      <c r="K338">
        <v>131.13605442176899</v>
      </c>
      <c r="Z338"/>
    </row>
    <row r="339" spans="1:26" x14ac:dyDescent="0.25">
      <c r="A339" s="159" t="str">
        <f t="shared" si="16"/>
        <v>CR-San Francisco Mission District-Daly City and San Bruno-Social recreation</v>
      </c>
      <c r="B339">
        <v>3</v>
      </c>
      <c r="C339" t="str">
        <f t="shared" si="17"/>
        <v>San Francisco Mission District</v>
      </c>
      <c r="D339">
        <v>5</v>
      </c>
      <c r="E339" t="str">
        <f t="shared" si="17"/>
        <v>Daly City and San Bruno</v>
      </c>
      <c r="F339" t="s">
        <v>324</v>
      </c>
      <c r="G339">
        <f t="shared" si="15"/>
        <v>5</v>
      </c>
      <c r="H339" t="s">
        <v>125</v>
      </c>
      <c r="I339" t="s">
        <v>178</v>
      </c>
      <c r="J339">
        <v>4</v>
      </c>
      <c r="K339">
        <v>98.871368689630003</v>
      </c>
      <c r="Z339"/>
    </row>
    <row r="340" spans="1:26" x14ac:dyDescent="0.25">
      <c r="A340" s="159" t="str">
        <f t="shared" si="16"/>
        <v>HR-San Francisco Mission District-Daly City and San Bruno-Social recreation</v>
      </c>
      <c r="B340">
        <v>3</v>
      </c>
      <c r="C340" t="str">
        <f t="shared" si="17"/>
        <v>San Francisco Mission District</v>
      </c>
      <c r="D340">
        <v>5</v>
      </c>
      <c r="E340" t="str">
        <f t="shared" si="17"/>
        <v>Daly City and San Bruno</v>
      </c>
      <c r="F340" t="s">
        <v>324</v>
      </c>
      <c r="G340">
        <f t="shared" si="15"/>
        <v>5</v>
      </c>
      <c r="H340" t="s">
        <v>124</v>
      </c>
      <c r="I340" t="s">
        <v>188</v>
      </c>
      <c r="J340">
        <v>1</v>
      </c>
      <c r="K340">
        <v>95.822099447513807</v>
      </c>
      <c r="Z340"/>
    </row>
    <row r="341" spans="1:26" x14ac:dyDescent="0.25">
      <c r="A341" s="159" t="str">
        <f t="shared" si="16"/>
        <v>LB-San Francisco Mission District-Daly City and San Bruno-Social recreation</v>
      </c>
      <c r="B341">
        <v>3</v>
      </c>
      <c r="C341" t="str">
        <f t="shared" si="17"/>
        <v>San Francisco Mission District</v>
      </c>
      <c r="D341">
        <v>5</v>
      </c>
      <c r="E341" t="str">
        <f t="shared" si="17"/>
        <v>Daly City and San Bruno</v>
      </c>
      <c r="F341" t="s">
        <v>324</v>
      </c>
      <c r="G341">
        <f t="shared" si="15"/>
        <v>5</v>
      </c>
      <c r="H341" t="s">
        <v>359</v>
      </c>
      <c r="I341" t="s">
        <v>191</v>
      </c>
      <c r="J341">
        <v>4</v>
      </c>
      <c r="K341">
        <v>524.54421768707596</v>
      </c>
      <c r="Z341"/>
    </row>
    <row r="342" spans="1:26" x14ac:dyDescent="0.25">
      <c r="A342" s="159" t="str">
        <f t="shared" si="16"/>
        <v>CR-San Francisco Mission District-Daly City and San Bruno-Work</v>
      </c>
      <c r="B342">
        <v>3</v>
      </c>
      <c r="C342" t="str">
        <f t="shared" si="17"/>
        <v>San Francisco Mission District</v>
      </c>
      <c r="D342">
        <v>5</v>
      </c>
      <c r="E342" t="str">
        <f t="shared" si="17"/>
        <v>Daly City and San Bruno</v>
      </c>
      <c r="F342" t="s">
        <v>30</v>
      </c>
      <c r="G342">
        <f t="shared" si="15"/>
        <v>1</v>
      </c>
      <c r="H342" t="s">
        <v>125</v>
      </c>
      <c r="I342" t="s">
        <v>178</v>
      </c>
      <c r="J342">
        <v>1</v>
      </c>
      <c r="K342">
        <v>23.4305084745763</v>
      </c>
      <c r="Z342"/>
    </row>
    <row r="343" spans="1:26" x14ac:dyDescent="0.25">
      <c r="A343" s="159" t="str">
        <f t="shared" si="16"/>
        <v>HR-San Francisco Mission District-Daly City and San Bruno-Work</v>
      </c>
      <c r="B343">
        <v>3</v>
      </c>
      <c r="C343" t="str">
        <f t="shared" si="17"/>
        <v>San Francisco Mission District</v>
      </c>
      <c r="D343">
        <v>5</v>
      </c>
      <c r="E343" t="str">
        <f t="shared" si="17"/>
        <v>Daly City and San Bruno</v>
      </c>
      <c r="F343" t="s">
        <v>30</v>
      </c>
      <c r="G343">
        <f t="shared" si="15"/>
        <v>1</v>
      </c>
      <c r="H343" t="s">
        <v>124</v>
      </c>
      <c r="I343" t="s">
        <v>188</v>
      </c>
      <c r="J343">
        <v>5</v>
      </c>
      <c r="K343">
        <v>678.49420531928502</v>
      </c>
      <c r="Z343"/>
    </row>
    <row r="344" spans="1:26" x14ac:dyDescent="0.25">
      <c r="A344" s="159" t="str">
        <f t="shared" si="16"/>
        <v>LB-San Francisco Mission District-Daly City and San Bruno-Work</v>
      </c>
      <c r="B344">
        <v>3</v>
      </c>
      <c r="C344" t="str">
        <f t="shared" si="17"/>
        <v>San Francisco Mission District</v>
      </c>
      <c r="D344">
        <v>5</v>
      </c>
      <c r="E344" t="str">
        <f t="shared" si="17"/>
        <v>Daly City and San Bruno</v>
      </c>
      <c r="F344" t="s">
        <v>30</v>
      </c>
      <c r="G344">
        <f t="shared" si="15"/>
        <v>1</v>
      </c>
      <c r="H344" t="s">
        <v>359</v>
      </c>
      <c r="I344" t="s">
        <v>191</v>
      </c>
      <c r="J344">
        <v>11</v>
      </c>
      <c r="K344">
        <v>1695.31714809611</v>
      </c>
      <c r="Z344"/>
    </row>
    <row r="345" spans="1:26" x14ac:dyDescent="0.25">
      <c r="A345" s="159" t="str">
        <f t="shared" si="16"/>
        <v>CR-San Francisco Mission District-San Mateo and Burlingame-High school</v>
      </c>
      <c r="B345">
        <v>3</v>
      </c>
      <c r="C345" t="str">
        <f t="shared" si="17"/>
        <v>San Francisco Mission District</v>
      </c>
      <c r="D345">
        <v>6</v>
      </c>
      <c r="E345" t="str">
        <f t="shared" si="17"/>
        <v>San Mateo and Burlingame</v>
      </c>
      <c r="F345" t="s">
        <v>326</v>
      </c>
      <c r="G345">
        <f t="shared" si="15"/>
        <v>3</v>
      </c>
      <c r="H345" t="s">
        <v>125</v>
      </c>
      <c r="I345" t="s">
        <v>178</v>
      </c>
      <c r="J345">
        <v>1</v>
      </c>
      <c r="K345">
        <v>23.4305084745763</v>
      </c>
      <c r="Z345"/>
    </row>
    <row r="346" spans="1:26" x14ac:dyDescent="0.25">
      <c r="A346" s="159" t="str">
        <f t="shared" si="16"/>
        <v>HR-San Francisco Mission District-San Mateo and Burlingame-Missing</v>
      </c>
      <c r="B346">
        <v>3</v>
      </c>
      <c r="C346" t="str">
        <f t="shared" si="17"/>
        <v>San Francisco Mission District</v>
      </c>
      <c r="D346">
        <v>6</v>
      </c>
      <c r="E346" t="str">
        <f t="shared" si="17"/>
        <v>San Mateo and Burlingame</v>
      </c>
      <c r="F346" t="s">
        <v>327</v>
      </c>
      <c r="G346">
        <f t="shared" si="15"/>
        <v>0</v>
      </c>
      <c r="H346" t="s">
        <v>124</v>
      </c>
      <c r="I346" t="s">
        <v>188</v>
      </c>
      <c r="J346">
        <v>1</v>
      </c>
      <c r="K346">
        <v>95.822099447513807</v>
      </c>
      <c r="Z346"/>
    </row>
    <row r="347" spans="1:26" x14ac:dyDescent="0.25">
      <c r="A347" s="159" t="str">
        <f t="shared" si="16"/>
        <v>HR-San Francisco Mission District-San Mateo and Burlingame-Social recreation</v>
      </c>
      <c r="B347">
        <v>3</v>
      </c>
      <c r="C347" t="str">
        <f t="shared" si="17"/>
        <v>San Francisco Mission District</v>
      </c>
      <c r="D347">
        <v>6</v>
      </c>
      <c r="E347" t="str">
        <f t="shared" si="17"/>
        <v>San Mateo and Burlingame</v>
      </c>
      <c r="F347" t="s">
        <v>324</v>
      </c>
      <c r="G347">
        <f t="shared" si="15"/>
        <v>5</v>
      </c>
      <c r="H347" t="s">
        <v>124</v>
      </c>
      <c r="I347" t="s">
        <v>188</v>
      </c>
      <c r="J347">
        <v>2</v>
      </c>
      <c r="K347">
        <v>291.33605293588499</v>
      </c>
      <c r="Z347"/>
    </row>
    <row r="348" spans="1:26" x14ac:dyDescent="0.25">
      <c r="A348" s="159" t="str">
        <f t="shared" si="16"/>
        <v>LB-San Francisco Mission District-San Mateo and Burlingame-Social recreation</v>
      </c>
      <c r="B348">
        <v>3</v>
      </c>
      <c r="C348" t="str">
        <f t="shared" si="17"/>
        <v>San Francisco Mission District</v>
      </c>
      <c r="D348">
        <v>6</v>
      </c>
      <c r="E348" t="str">
        <f t="shared" si="17"/>
        <v>San Mateo and Burlingame</v>
      </c>
      <c r="F348" t="s">
        <v>324</v>
      </c>
      <c r="G348">
        <f t="shared" si="15"/>
        <v>5</v>
      </c>
      <c r="H348" t="s">
        <v>359</v>
      </c>
      <c r="I348" t="s">
        <v>191</v>
      </c>
      <c r="J348">
        <v>1</v>
      </c>
      <c r="K348">
        <v>131.13605442176899</v>
      </c>
      <c r="Z348"/>
    </row>
    <row r="349" spans="1:26" x14ac:dyDescent="0.25">
      <c r="A349" s="159" t="str">
        <f t="shared" si="16"/>
        <v>CR-San Francisco Mission District-San Mateo and Burlingame-Work</v>
      </c>
      <c r="B349">
        <v>3</v>
      </c>
      <c r="C349" t="str">
        <f t="shared" si="17"/>
        <v>San Francisco Mission District</v>
      </c>
      <c r="D349">
        <v>6</v>
      </c>
      <c r="E349" t="str">
        <f t="shared" si="17"/>
        <v>San Mateo and Burlingame</v>
      </c>
      <c r="F349" t="s">
        <v>30</v>
      </c>
      <c r="G349">
        <f t="shared" si="15"/>
        <v>1</v>
      </c>
      <c r="H349" t="s">
        <v>125</v>
      </c>
      <c r="I349" t="s">
        <v>178</v>
      </c>
      <c r="J349">
        <v>7</v>
      </c>
      <c r="K349">
        <v>164.01355932203401</v>
      </c>
      <c r="Z349"/>
    </row>
    <row r="350" spans="1:26" x14ac:dyDescent="0.25">
      <c r="A350" s="159" t="str">
        <f t="shared" si="16"/>
        <v>LB-San Francisco Mission District-San Mateo and Burlingame-Work</v>
      </c>
      <c r="B350">
        <v>3</v>
      </c>
      <c r="C350" t="str">
        <f t="shared" si="17"/>
        <v>San Francisco Mission District</v>
      </c>
      <c r="D350">
        <v>6</v>
      </c>
      <c r="E350" t="str">
        <f t="shared" si="17"/>
        <v>San Mateo and Burlingame</v>
      </c>
      <c r="F350" t="s">
        <v>30</v>
      </c>
      <c r="G350">
        <f t="shared" si="15"/>
        <v>1</v>
      </c>
      <c r="H350" t="s">
        <v>359</v>
      </c>
      <c r="I350" t="s">
        <v>191</v>
      </c>
      <c r="J350">
        <v>2</v>
      </c>
      <c r="K350">
        <v>78.697782963827194</v>
      </c>
      <c r="Z350"/>
    </row>
    <row r="351" spans="1:26" x14ac:dyDescent="0.25">
      <c r="A351" s="159" t="str">
        <f t="shared" si="16"/>
        <v>CR-San Francisco Mission District-Redwood City and Menlo Park-Social recreation</v>
      </c>
      <c r="B351">
        <v>3</v>
      </c>
      <c r="C351" t="str">
        <f t="shared" si="17"/>
        <v>San Francisco Mission District</v>
      </c>
      <c r="D351">
        <v>7</v>
      </c>
      <c r="E351" t="str">
        <f t="shared" si="17"/>
        <v>Redwood City and Menlo Park</v>
      </c>
      <c r="F351" t="s">
        <v>324</v>
      </c>
      <c r="G351">
        <f t="shared" si="15"/>
        <v>5</v>
      </c>
      <c r="H351" t="s">
        <v>125</v>
      </c>
      <c r="I351" t="s">
        <v>178</v>
      </c>
      <c r="J351">
        <v>2</v>
      </c>
      <c r="K351">
        <v>48.577461879594097</v>
      </c>
      <c r="Z351"/>
    </row>
    <row r="352" spans="1:26" x14ac:dyDescent="0.25">
      <c r="A352" s="159" t="str">
        <f t="shared" si="16"/>
        <v>CR-San Francisco Mission District-Redwood City and Menlo Park-Work</v>
      </c>
      <c r="B352">
        <v>3</v>
      </c>
      <c r="C352" t="str">
        <f t="shared" si="17"/>
        <v>San Francisco Mission District</v>
      </c>
      <c r="D352">
        <v>7</v>
      </c>
      <c r="E352" t="str">
        <f t="shared" si="17"/>
        <v>Redwood City and Menlo Park</v>
      </c>
      <c r="F352" t="s">
        <v>30</v>
      </c>
      <c r="G352">
        <f t="shared" si="15"/>
        <v>1</v>
      </c>
      <c r="H352" t="s">
        <v>125</v>
      </c>
      <c r="I352" t="s">
        <v>178</v>
      </c>
      <c r="J352">
        <v>6</v>
      </c>
      <c r="K352">
        <v>140.583050847457</v>
      </c>
      <c r="Z352"/>
    </row>
    <row r="353" spans="1:26" x14ac:dyDescent="0.25">
      <c r="A353" s="159" t="str">
        <f t="shared" si="16"/>
        <v>LB-San Francisco Mission District-Redwood City and Menlo Park-Work</v>
      </c>
      <c r="B353">
        <v>3</v>
      </c>
      <c r="C353" t="str">
        <f t="shared" si="17"/>
        <v>San Francisco Mission District</v>
      </c>
      <c r="D353">
        <v>7</v>
      </c>
      <c r="E353" t="str">
        <f t="shared" si="17"/>
        <v>Redwood City and Menlo Park</v>
      </c>
      <c r="F353" t="s">
        <v>30</v>
      </c>
      <c r="G353">
        <f t="shared" si="15"/>
        <v>1</v>
      </c>
      <c r="H353" t="s">
        <v>359</v>
      </c>
      <c r="I353" t="s">
        <v>191</v>
      </c>
      <c r="J353">
        <v>2</v>
      </c>
      <c r="K353">
        <v>78.697782963827194</v>
      </c>
      <c r="Z353"/>
    </row>
    <row r="354" spans="1:26" x14ac:dyDescent="0.25">
      <c r="A354" s="159" t="str">
        <f t="shared" si="16"/>
        <v>CR-San Francisco Mission District-Palo Alto and Los Altos-High school</v>
      </c>
      <c r="B354">
        <v>3</v>
      </c>
      <c r="C354" t="str">
        <f t="shared" si="17"/>
        <v>San Francisco Mission District</v>
      </c>
      <c r="D354">
        <v>8</v>
      </c>
      <c r="E354" t="str">
        <f t="shared" si="17"/>
        <v>Palo Alto and Los Altos</v>
      </c>
      <c r="F354" t="s">
        <v>326</v>
      </c>
      <c r="G354">
        <f t="shared" si="15"/>
        <v>3</v>
      </c>
      <c r="H354" t="s">
        <v>125</v>
      </c>
      <c r="I354" t="s">
        <v>178</v>
      </c>
      <c r="J354">
        <v>1</v>
      </c>
      <c r="K354">
        <v>23.4305084745763</v>
      </c>
      <c r="Z354"/>
    </row>
    <row r="355" spans="1:26" x14ac:dyDescent="0.25">
      <c r="A355" s="159" t="str">
        <f t="shared" si="16"/>
        <v>CR-San Francisco Mission District-Palo Alto and Los Altos-Missing</v>
      </c>
      <c r="B355">
        <v>3</v>
      </c>
      <c r="C355" t="str">
        <f t="shared" si="17"/>
        <v>San Francisco Mission District</v>
      </c>
      <c r="D355">
        <v>8</v>
      </c>
      <c r="E355" t="str">
        <f t="shared" si="17"/>
        <v>Palo Alto and Los Altos</v>
      </c>
      <c r="F355" t="s">
        <v>327</v>
      </c>
      <c r="G355">
        <f t="shared" si="15"/>
        <v>0</v>
      </c>
      <c r="H355" t="s">
        <v>125</v>
      </c>
      <c r="I355" t="s">
        <v>178</v>
      </c>
      <c r="J355">
        <v>1</v>
      </c>
      <c r="K355">
        <v>25.1469534050179</v>
      </c>
      <c r="Z355"/>
    </row>
    <row r="356" spans="1:26" x14ac:dyDescent="0.25">
      <c r="A356" s="159" t="str">
        <f t="shared" si="16"/>
        <v>CR-San Francisco Mission District-Palo Alto and Los Altos-Other maintenance</v>
      </c>
      <c r="B356">
        <v>3</v>
      </c>
      <c r="C356" t="str">
        <f t="shared" si="17"/>
        <v>San Francisco Mission District</v>
      </c>
      <c r="D356">
        <v>8</v>
      </c>
      <c r="E356" t="str">
        <f t="shared" si="17"/>
        <v>Palo Alto and Los Altos</v>
      </c>
      <c r="F356" t="s">
        <v>325</v>
      </c>
      <c r="G356">
        <f t="shared" si="15"/>
        <v>4</v>
      </c>
      <c r="H356" t="s">
        <v>125</v>
      </c>
      <c r="I356" t="s">
        <v>178</v>
      </c>
      <c r="J356">
        <v>1</v>
      </c>
      <c r="K356">
        <v>23.4305084745763</v>
      </c>
      <c r="Z356"/>
    </row>
    <row r="357" spans="1:26" x14ac:dyDescent="0.25">
      <c r="A357" s="159" t="str">
        <f t="shared" si="16"/>
        <v>CR-San Francisco Mission District-Palo Alto and Los Altos-Social recreation</v>
      </c>
      <c r="B357">
        <v>3</v>
      </c>
      <c r="C357" t="str">
        <f t="shared" si="17"/>
        <v>San Francisco Mission District</v>
      </c>
      <c r="D357">
        <v>8</v>
      </c>
      <c r="E357" t="str">
        <f t="shared" si="17"/>
        <v>Palo Alto and Los Altos</v>
      </c>
      <c r="F357" t="s">
        <v>324</v>
      </c>
      <c r="G357">
        <f t="shared" si="15"/>
        <v>5</v>
      </c>
      <c r="H357" t="s">
        <v>125</v>
      </c>
      <c r="I357" t="s">
        <v>178</v>
      </c>
      <c r="J357">
        <v>3</v>
      </c>
      <c r="K357">
        <v>73.724415284611993</v>
      </c>
      <c r="Z357"/>
    </row>
    <row r="358" spans="1:26" x14ac:dyDescent="0.25">
      <c r="A358" s="159" t="str">
        <f t="shared" si="16"/>
        <v>LB-San Francisco Mission District-Palo Alto and Los Altos-Social recreation</v>
      </c>
      <c r="B358">
        <v>3</v>
      </c>
      <c r="C358" t="str">
        <f t="shared" si="17"/>
        <v>San Francisco Mission District</v>
      </c>
      <c r="D358">
        <v>8</v>
      </c>
      <c r="E358" t="str">
        <f t="shared" si="17"/>
        <v>Palo Alto and Los Altos</v>
      </c>
      <c r="F358" t="s">
        <v>324</v>
      </c>
      <c r="G358">
        <f t="shared" si="15"/>
        <v>5</v>
      </c>
      <c r="H358" t="s">
        <v>359</v>
      </c>
      <c r="I358" t="s">
        <v>191</v>
      </c>
      <c r="J358">
        <v>1</v>
      </c>
      <c r="K358">
        <v>39.348891481913597</v>
      </c>
      <c r="Z358"/>
    </row>
    <row r="359" spans="1:26" x14ac:dyDescent="0.25">
      <c r="A359" s="159" t="str">
        <f t="shared" si="16"/>
        <v>CR-San Francisco Mission District-Palo Alto and Los Altos-Work</v>
      </c>
      <c r="B359">
        <v>3</v>
      </c>
      <c r="C359" t="str">
        <f t="shared" si="17"/>
        <v>San Francisco Mission District</v>
      </c>
      <c r="D359">
        <v>8</v>
      </c>
      <c r="E359" t="str">
        <f t="shared" si="17"/>
        <v>Palo Alto and Los Altos</v>
      </c>
      <c r="F359" t="s">
        <v>30</v>
      </c>
      <c r="G359">
        <f t="shared" si="15"/>
        <v>1</v>
      </c>
      <c r="H359" t="s">
        <v>125</v>
      </c>
      <c r="I359" t="s">
        <v>178</v>
      </c>
      <c r="J359">
        <v>21</v>
      </c>
      <c r="K359">
        <v>495.473567826985</v>
      </c>
      <c r="Z359"/>
    </row>
    <row r="360" spans="1:26" x14ac:dyDescent="0.25">
      <c r="A360" s="159" t="str">
        <f t="shared" si="16"/>
        <v>HR-San Francisco Mission District-Palo Alto and Los Altos-Work</v>
      </c>
      <c r="B360">
        <v>3</v>
      </c>
      <c r="C360" t="str">
        <f t="shared" si="17"/>
        <v>San Francisco Mission District</v>
      </c>
      <c r="D360">
        <v>8</v>
      </c>
      <c r="E360" t="str">
        <f t="shared" si="17"/>
        <v>Palo Alto and Los Altos</v>
      </c>
      <c r="F360" t="s">
        <v>30</v>
      </c>
      <c r="G360">
        <f t="shared" si="15"/>
        <v>1</v>
      </c>
      <c r="H360" t="s">
        <v>124</v>
      </c>
      <c r="I360" t="s">
        <v>188</v>
      </c>
      <c r="J360">
        <v>1</v>
      </c>
      <c r="K360">
        <v>95.822099447513807</v>
      </c>
      <c r="Z360"/>
    </row>
    <row r="361" spans="1:26" x14ac:dyDescent="0.25">
      <c r="A361" s="159" t="str">
        <f t="shared" si="16"/>
        <v>CR-San Francisco Mission District-Sunnyvale and Mountain View-Social recreation</v>
      </c>
      <c r="B361">
        <v>3</v>
      </c>
      <c r="C361" t="str">
        <f t="shared" si="17"/>
        <v>San Francisco Mission District</v>
      </c>
      <c r="D361">
        <v>9</v>
      </c>
      <c r="E361" t="str">
        <f t="shared" si="17"/>
        <v>Sunnyvale and Mountain View</v>
      </c>
      <c r="F361" t="s">
        <v>324</v>
      </c>
      <c r="G361">
        <f t="shared" si="15"/>
        <v>5</v>
      </c>
      <c r="H361" t="s">
        <v>125</v>
      </c>
      <c r="I361" t="s">
        <v>178</v>
      </c>
      <c r="J361">
        <v>6</v>
      </c>
      <c r="K361">
        <v>150.88172043010701</v>
      </c>
      <c r="Z361"/>
    </row>
    <row r="362" spans="1:26" x14ac:dyDescent="0.25">
      <c r="A362" s="159" t="str">
        <f t="shared" si="16"/>
        <v>CR-San Francisco Mission District-Sunnyvale and Mountain View-Work</v>
      </c>
      <c r="B362">
        <v>3</v>
      </c>
      <c r="C362" t="str">
        <f t="shared" si="17"/>
        <v>San Francisco Mission District</v>
      </c>
      <c r="D362">
        <v>9</v>
      </c>
      <c r="E362" t="str">
        <f t="shared" si="17"/>
        <v>Sunnyvale and Mountain View</v>
      </c>
      <c r="F362" t="s">
        <v>30</v>
      </c>
      <c r="G362">
        <f t="shared" si="15"/>
        <v>1</v>
      </c>
      <c r="H362" t="s">
        <v>125</v>
      </c>
      <c r="I362" t="s">
        <v>178</v>
      </c>
      <c r="J362">
        <v>10</v>
      </c>
      <c r="K362">
        <v>234.305084745763</v>
      </c>
      <c r="Z362"/>
    </row>
    <row r="363" spans="1:26" x14ac:dyDescent="0.25">
      <c r="A363" s="159" t="str">
        <f t="shared" si="16"/>
        <v>LR-San Francisco Mission District-Sunnyvale and Mountain View-Work</v>
      </c>
      <c r="B363">
        <v>3</v>
      </c>
      <c r="C363" t="str">
        <f t="shared" si="17"/>
        <v>San Francisco Mission District</v>
      </c>
      <c r="D363">
        <v>9</v>
      </c>
      <c r="E363" t="str">
        <f t="shared" si="17"/>
        <v>Sunnyvale and Mountain View</v>
      </c>
      <c r="F363" t="s">
        <v>30</v>
      </c>
      <c r="G363">
        <f t="shared" si="15"/>
        <v>1</v>
      </c>
      <c r="H363" t="s">
        <v>353</v>
      </c>
      <c r="I363" t="s">
        <v>194</v>
      </c>
      <c r="J363">
        <v>2</v>
      </c>
      <c r="K363">
        <v>125.293546148508</v>
      </c>
      <c r="Z363"/>
    </row>
    <row r="364" spans="1:26" x14ac:dyDescent="0.25">
      <c r="A364" s="159" t="str">
        <f t="shared" si="16"/>
        <v>LB-San Francisco Mission District-Sunnyvale and Mountain View-Work</v>
      </c>
      <c r="B364">
        <v>3</v>
      </c>
      <c r="C364" t="str">
        <f t="shared" si="17"/>
        <v>San Francisco Mission District</v>
      </c>
      <c r="D364">
        <v>9</v>
      </c>
      <c r="E364" t="str">
        <f t="shared" si="17"/>
        <v>Sunnyvale and Mountain View</v>
      </c>
      <c r="F364" t="s">
        <v>30</v>
      </c>
      <c r="G364">
        <f t="shared" si="15"/>
        <v>1</v>
      </c>
      <c r="H364" t="s">
        <v>359</v>
      </c>
      <c r="I364" t="s">
        <v>191</v>
      </c>
      <c r="J364">
        <v>2</v>
      </c>
      <c r="K364">
        <v>348.77512780004099</v>
      </c>
      <c r="Z364"/>
    </row>
    <row r="365" spans="1:26" x14ac:dyDescent="0.25">
      <c r="A365" s="159" t="str">
        <f t="shared" si="16"/>
        <v>CR-San Francisco Mission District-Cupertino and Saratoga-Work</v>
      </c>
      <c r="B365">
        <v>3</v>
      </c>
      <c r="C365" t="str">
        <f t="shared" si="17"/>
        <v>San Francisco Mission District</v>
      </c>
      <c r="D365">
        <v>10</v>
      </c>
      <c r="E365" t="str">
        <f t="shared" si="17"/>
        <v>Cupertino and Saratoga</v>
      </c>
      <c r="F365" t="s">
        <v>30</v>
      </c>
      <c r="G365">
        <f t="shared" si="15"/>
        <v>1</v>
      </c>
      <c r="H365" t="s">
        <v>125</v>
      </c>
      <c r="I365" t="s">
        <v>178</v>
      </c>
      <c r="J365">
        <v>1</v>
      </c>
      <c r="K365">
        <v>25.1469534050179</v>
      </c>
      <c r="Z365"/>
    </row>
    <row r="366" spans="1:26" x14ac:dyDescent="0.25">
      <c r="A366" s="159" t="str">
        <f t="shared" si="16"/>
        <v>LB-San Francisco Mission District-Cupertino and Saratoga-Work</v>
      </c>
      <c r="B366">
        <v>3</v>
      </c>
      <c r="C366" t="str">
        <f t="shared" si="17"/>
        <v>San Francisco Mission District</v>
      </c>
      <c r="D366">
        <v>10</v>
      </c>
      <c r="E366" t="str">
        <f t="shared" si="17"/>
        <v>Cupertino and Saratoga</v>
      </c>
      <c r="F366" t="s">
        <v>30</v>
      </c>
      <c r="G366">
        <f t="shared" si="15"/>
        <v>1</v>
      </c>
      <c r="H366" t="s">
        <v>359</v>
      </c>
      <c r="I366" t="s">
        <v>191</v>
      </c>
      <c r="J366">
        <v>1</v>
      </c>
      <c r="K366">
        <v>62.646773074254</v>
      </c>
      <c r="Z366"/>
    </row>
    <row r="367" spans="1:26" x14ac:dyDescent="0.25">
      <c r="A367" s="159" t="str">
        <f t="shared" si="16"/>
        <v>CR-San Francisco Mission District-Central San Jose-High school</v>
      </c>
      <c r="B367">
        <v>3</v>
      </c>
      <c r="C367" t="str">
        <f t="shared" si="17"/>
        <v>San Francisco Mission District</v>
      </c>
      <c r="D367">
        <v>11</v>
      </c>
      <c r="E367" t="str">
        <f t="shared" si="17"/>
        <v>Central San Jose</v>
      </c>
      <c r="F367" t="s">
        <v>326</v>
      </c>
      <c r="G367">
        <f t="shared" si="15"/>
        <v>3</v>
      </c>
      <c r="H367" t="s">
        <v>125</v>
      </c>
      <c r="I367" t="s">
        <v>178</v>
      </c>
      <c r="J367">
        <v>2</v>
      </c>
      <c r="K367">
        <v>46.861016949152599</v>
      </c>
      <c r="Z367"/>
    </row>
    <row r="368" spans="1:26" x14ac:dyDescent="0.25">
      <c r="A368" s="159" t="str">
        <f t="shared" si="16"/>
        <v>LB-San Francisco Mission District-Central San Jose-High school</v>
      </c>
      <c r="B368">
        <v>3</v>
      </c>
      <c r="C368" t="str">
        <f t="shared" si="17"/>
        <v>San Francisco Mission District</v>
      </c>
      <c r="D368">
        <v>11</v>
      </c>
      <c r="E368" t="str">
        <f t="shared" si="17"/>
        <v>Central San Jose</v>
      </c>
      <c r="F368" t="s">
        <v>326</v>
      </c>
      <c r="G368">
        <f t="shared" si="15"/>
        <v>3</v>
      </c>
      <c r="H368" t="s">
        <v>359</v>
      </c>
      <c r="I368" t="s">
        <v>191</v>
      </c>
      <c r="J368">
        <v>1</v>
      </c>
      <c r="K368">
        <v>62.646773074254</v>
      </c>
      <c r="Z368"/>
    </row>
    <row r="369" spans="1:26" x14ac:dyDescent="0.25">
      <c r="A369" s="159" t="str">
        <f t="shared" si="16"/>
        <v>LB-San Francisco Mission District-Central San Jose-Missing</v>
      </c>
      <c r="B369">
        <v>3</v>
      </c>
      <c r="C369" t="str">
        <f t="shared" si="17"/>
        <v>San Francisco Mission District</v>
      </c>
      <c r="D369">
        <v>11</v>
      </c>
      <c r="E369" t="str">
        <f t="shared" si="17"/>
        <v>Central San Jose</v>
      </c>
      <c r="F369" t="s">
        <v>327</v>
      </c>
      <c r="G369">
        <f t="shared" si="15"/>
        <v>0</v>
      </c>
      <c r="H369" t="s">
        <v>359</v>
      </c>
      <c r="I369" t="s">
        <v>191</v>
      </c>
      <c r="J369">
        <v>1</v>
      </c>
      <c r="K369">
        <v>62.646773074254</v>
      </c>
      <c r="Z369"/>
    </row>
    <row r="370" spans="1:26" x14ac:dyDescent="0.25">
      <c r="A370" s="159" t="str">
        <f t="shared" si="16"/>
        <v>CR-San Francisco Mission District-Central San Jose-Social recreation</v>
      </c>
      <c r="B370">
        <v>3</v>
      </c>
      <c r="C370" t="str">
        <f t="shared" si="17"/>
        <v>San Francisco Mission District</v>
      </c>
      <c r="D370">
        <v>11</v>
      </c>
      <c r="E370" t="str">
        <f t="shared" si="17"/>
        <v>Central San Jose</v>
      </c>
      <c r="F370" t="s">
        <v>324</v>
      </c>
      <c r="G370">
        <f t="shared" si="15"/>
        <v>5</v>
      </c>
      <c r="H370" t="s">
        <v>125</v>
      </c>
      <c r="I370" t="s">
        <v>178</v>
      </c>
      <c r="J370">
        <v>1</v>
      </c>
      <c r="K370">
        <v>25.1469534050179</v>
      </c>
      <c r="Z370"/>
    </row>
    <row r="371" spans="1:26" x14ac:dyDescent="0.25">
      <c r="A371" s="159" t="str">
        <f t="shared" si="16"/>
        <v>CR-San Francisco Mission District-Central San Jose-Work</v>
      </c>
      <c r="B371">
        <v>3</v>
      </c>
      <c r="C371" t="str">
        <f t="shared" si="17"/>
        <v>San Francisco Mission District</v>
      </c>
      <c r="D371">
        <v>11</v>
      </c>
      <c r="E371" t="str">
        <f t="shared" si="17"/>
        <v>Central San Jose</v>
      </c>
      <c r="F371" t="s">
        <v>30</v>
      </c>
      <c r="G371">
        <f t="shared" si="15"/>
        <v>1</v>
      </c>
      <c r="H371" t="s">
        <v>125</v>
      </c>
      <c r="I371" t="s">
        <v>178</v>
      </c>
      <c r="J371">
        <v>3</v>
      </c>
      <c r="K371">
        <v>70.291525423728899</v>
      </c>
      <c r="Z371"/>
    </row>
    <row r="372" spans="1:26" x14ac:dyDescent="0.25">
      <c r="A372" s="159" t="str">
        <f t="shared" si="16"/>
        <v>LR-San Francisco Mission District-Central San Jose-Work</v>
      </c>
      <c r="B372">
        <v>3</v>
      </c>
      <c r="C372" t="str">
        <f t="shared" si="17"/>
        <v>San Francisco Mission District</v>
      </c>
      <c r="D372">
        <v>11</v>
      </c>
      <c r="E372" t="str">
        <f t="shared" si="17"/>
        <v>Central San Jose</v>
      </c>
      <c r="F372" t="s">
        <v>30</v>
      </c>
      <c r="G372">
        <f t="shared" si="15"/>
        <v>1</v>
      </c>
      <c r="H372" t="s">
        <v>353</v>
      </c>
      <c r="I372" t="s">
        <v>194</v>
      </c>
      <c r="J372">
        <v>1</v>
      </c>
      <c r="K372">
        <v>1240.22676579926</v>
      </c>
      <c r="Z372"/>
    </row>
    <row r="373" spans="1:26" x14ac:dyDescent="0.25">
      <c r="A373" s="159" t="str">
        <f t="shared" si="16"/>
        <v>LB-San Francisco Mission District-Central San Jose-Work</v>
      </c>
      <c r="B373">
        <v>3</v>
      </c>
      <c r="C373" t="str">
        <f t="shared" si="17"/>
        <v>San Francisco Mission District</v>
      </c>
      <c r="D373">
        <v>11</v>
      </c>
      <c r="E373" t="str">
        <f t="shared" si="17"/>
        <v>Central San Jose</v>
      </c>
      <c r="F373" t="s">
        <v>30</v>
      </c>
      <c r="G373">
        <f t="shared" si="15"/>
        <v>1</v>
      </c>
      <c r="H373" t="s">
        <v>359</v>
      </c>
      <c r="I373" t="s">
        <v>191</v>
      </c>
      <c r="J373">
        <v>2</v>
      </c>
      <c r="K373">
        <v>125.293546148508</v>
      </c>
      <c r="Z373"/>
    </row>
    <row r="374" spans="1:26" x14ac:dyDescent="0.25">
      <c r="A374" s="159" t="str">
        <f t="shared" si="16"/>
        <v>CR-San Francisco Mission District-Milpitas and East San Jose-Work</v>
      </c>
      <c r="B374">
        <v>3</v>
      </c>
      <c r="C374" t="str">
        <f t="shared" si="17"/>
        <v>San Francisco Mission District</v>
      </c>
      <c r="D374">
        <v>12</v>
      </c>
      <c r="E374" t="str">
        <f t="shared" si="17"/>
        <v>Milpitas and East San Jose</v>
      </c>
      <c r="F374" t="s">
        <v>30</v>
      </c>
      <c r="G374">
        <f t="shared" si="15"/>
        <v>1</v>
      </c>
      <c r="H374" t="s">
        <v>125</v>
      </c>
      <c r="I374" t="s">
        <v>178</v>
      </c>
      <c r="J374">
        <v>2</v>
      </c>
      <c r="K374">
        <v>46.861016949152599</v>
      </c>
      <c r="Z374"/>
    </row>
    <row r="375" spans="1:26" x14ac:dyDescent="0.25">
      <c r="A375" s="159" t="str">
        <f t="shared" si="16"/>
        <v>CR-San Francisco Mission District-South San Jose-Work</v>
      </c>
      <c r="B375">
        <v>3</v>
      </c>
      <c r="C375" t="str">
        <f t="shared" si="17"/>
        <v>San Francisco Mission District</v>
      </c>
      <c r="D375">
        <v>13</v>
      </c>
      <c r="E375" t="str">
        <f t="shared" si="17"/>
        <v>South San Jose</v>
      </c>
      <c r="F375" t="s">
        <v>30</v>
      </c>
      <c r="G375">
        <f t="shared" si="15"/>
        <v>1</v>
      </c>
      <c r="H375" t="s">
        <v>125</v>
      </c>
      <c r="I375" t="s">
        <v>178</v>
      </c>
      <c r="J375">
        <v>1</v>
      </c>
      <c r="K375">
        <v>23.4305084745763</v>
      </c>
      <c r="Z375"/>
    </row>
    <row r="376" spans="1:26" x14ac:dyDescent="0.25">
      <c r="A376" s="159" t="str">
        <f t="shared" si="16"/>
        <v>LB-San Francisco Mission District-Gilroy and Morgan Hill-Other maintenance</v>
      </c>
      <c r="B376">
        <v>3</v>
      </c>
      <c r="C376" t="str">
        <f t="shared" si="17"/>
        <v>San Francisco Mission District</v>
      </c>
      <c r="D376">
        <v>14</v>
      </c>
      <c r="E376" t="str">
        <f t="shared" si="17"/>
        <v>Gilroy and Morgan Hill</v>
      </c>
      <c r="F376" t="s">
        <v>325</v>
      </c>
      <c r="G376">
        <f t="shared" si="15"/>
        <v>4</v>
      </c>
      <c r="H376" t="s">
        <v>359</v>
      </c>
      <c r="I376" t="s">
        <v>191</v>
      </c>
      <c r="J376">
        <v>1</v>
      </c>
      <c r="K376">
        <v>185.366795366795</v>
      </c>
      <c r="Z376"/>
    </row>
    <row r="377" spans="1:26" x14ac:dyDescent="0.25">
      <c r="A377" s="159" t="str">
        <f t="shared" si="16"/>
        <v>HR-San Francisco Mission District-Livermore and Pleasanton-Work</v>
      </c>
      <c r="B377">
        <v>3</v>
      </c>
      <c r="C377" t="str">
        <f t="shared" si="17"/>
        <v>San Francisco Mission District</v>
      </c>
      <c r="D377">
        <v>15</v>
      </c>
      <c r="E377" t="str">
        <f t="shared" si="17"/>
        <v>Livermore and Pleasanton</v>
      </c>
      <c r="F377" t="s">
        <v>30</v>
      </c>
      <c r="G377">
        <f t="shared" si="15"/>
        <v>1</v>
      </c>
      <c r="H377" t="s">
        <v>124</v>
      </c>
      <c r="I377" t="s">
        <v>188</v>
      </c>
      <c r="J377">
        <v>2</v>
      </c>
      <c r="K377">
        <v>191.64419889502699</v>
      </c>
      <c r="Z377"/>
    </row>
    <row r="378" spans="1:26" x14ac:dyDescent="0.25">
      <c r="A378" s="159" t="str">
        <f t="shared" si="16"/>
        <v>LB-San Francisco Mission District-Livermore and Pleasanton-Work</v>
      </c>
      <c r="B378">
        <v>3</v>
      </c>
      <c r="C378" t="str">
        <f t="shared" si="17"/>
        <v>San Francisco Mission District</v>
      </c>
      <c r="D378">
        <v>15</v>
      </c>
      <c r="E378" t="str">
        <f t="shared" si="17"/>
        <v>Livermore and Pleasanton</v>
      </c>
      <c r="F378" t="s">
        <v>30</v>
      </c>
      <c r="G378">
        <f t="shared" si="15"/>
        <v>1</v>
      </c>
      <c r="H378" t="s">
        <v>359</v>
      </c>
      <c r="I378" t="s">
        <v>191</v>
      </c>
      <c r="J378">
        <v>1</v>
      </c>
      <c r="K378">
        <v>14.1111111111111</v>
      </c>
      <c r="Z378"/>
    </row>
    <row r="379" spans="1:26" x14ac:dyDescent="0.25">
      <c r="A379" s="159" t="str">
        <f t="shared" si="16"/>
        <v>HR-San Francisco Mission District-Fremont and Union City-High school</v>
      </c>
      <c r="B379">
        <v>3</v>
      </c>
      <c r="C379" t="str">
        <f t="shared" si="17"/>
        <v>San Francisco Mission District</v>
      </c>
      <c r="D379">
        <v>16</v>
      </c>
      <c r="E379" t="str">
        <f t="shared" si="17"/>
        <v>Fremont and Union City</v>
      </c>
      <c r="F379" t="s">
        <v>326</v>
      </c>
      <c r="G379">
        <f t="shared" si="15"/>
        <v>3</v>
      </c>
      <c r="H379" t="s">
        <v>124</v>
      </c>
      <c r="I379" t="s">
        <v>188</v>
      </c>
      <c r="J379">
        <v>2</v>
      </c>
      <c r="K379">
        <v>191.64419889502699</v>
      </c>
      <c r="Z379"/>
    </row>
    <row r="380" spans="1:26" x14ac:dyDescent="0.25">
      <c r="A380" s="159" t="str">
        <f t="shared" si="16"/>
        <v>HR-San Francisco Mission District-Fremont and Union City-Social recreation</v>
      </c>
      <c r="B380">
        <v>3</v>
      </c>
      <c r="C380" t="str">
        <f t="shared" si="17"/>
        <v>San Francisco Mission District</v>
      </c>
      <c r="D380">
        <v>16</v>
      </c>
      <c r="E380" t="str">
        <f t="shared" si="17"/>
        <v>Fremont and Union City</v>
      </c>
      <c r="F380" t="s">
        <v>324</v>
      </c>
      <c r="G380">
        <f t="shared" si="15"/>
        <v>5</v>
      </c>
      <c r="H380" t="s">
        <v>124</v>
      </c>
      <c r="I380" t="s">
        <v>188</v>
      </c>
      <c r="J380">
        <v>1</v>
      </c>
      <c r="K380">
        <v>95.822099447513807</v>
      </c>
      <c r="Z380"/>
    </row>
    <row r="381" spans="1:26" x14ac:dyDescent="0.25">
      <c r="A381" s="159" t="str">
        <f t="shared" si="16"/>
        <v>HR-San Francisco Mission District-Fremont and Union City-Work</v>
      </c>
      <c r="B381">
        <v>3</v>
      </c>
      <c r="C381" t="str">
        <f t="shared" si="17"/>
        <v>San Francisco Mission District</v>
      </c>
      <c r="D381">
        <v>16</v>
      </c>
      <c r="E381" t="str">
        <f t="shared" si="17"/>
        <v>Fremont and Union City</v>
      </c>
      <c r="F381" t="s">
        <v>30</v>
      </c>
      <c r="G381">
        <f t="shared" si="15"/>
        <v>1</v>
      </c>
      <c r="H381" t="s">
        <v>124</v>
      </c>
      <c r="I381" t="s">
        <v>188</v>
      </c>
      <c r="J381">
        <v>2</v>
      </c>
      <c r="K381">
        <v>191.64419889502699</v>
      </c>
      <c r="Z381"/>
    </row>
    <row r="382" spans="1:26" x14ac:dyDescent="0.25">
      <c r="A382" s="159" t="str">
        <f t="shared" si="16"/>
        <v>LB-San Francisco Mission District-Fremont and Union City-Work</v>
      </c>
      <c r="B382">
        <v>3</v>
      </c>
      <c r="C382" t="str">
        <f t="shared" si="17"/>
        <v>San Francisco Mission District</v>
      </c>
      <c r="D382">
        <v>16</v>
      </c>
      <c r="E382" t="str">
        <f t="shared" si="17"/>
        <v>Fremont and Union City</v>
      </c>
      <c r="F382" t="s">
        <v>30</v>
      </c>
      <c r="G382">
        <f t="shared" si="15"/>
        <v>1</v>
      </c>
      <c r="H382" t="s">
        <v>359</v>
      </c>
      <c r="I382" t="s">
        <v>191</v>
      </c>
      <c r="J382">
        <v>3</v>
      </c>
      <c r="K382">
        <v>302.74636714814801</v>
      </c>
      <c r="Z382"/>
    </row>
    <row r="383" spans="1:26" x14ac:dyDescent="0.25">
      <c r="A383" s="159" t="str">
        <f t="shared" si="16"/>
        <v>LB-San Francisco Mission District-Hayward and San Leandro-Other maintenance</v>
      </c>
      <c r="B383">
        <v>3</v>
      </c>
      <c r="C383" t="str">
        <f t="shared" si="17"/>
        <v>San Francisco Mission District</v>
      </c>
      <c r="D383">
        <v>17</v>
      </c>
      <c r="E383" t="str">
        <f t="shared" si="17"/>
        <v>Hayward and San Leandro</v>
      </c>
      <c r="F383" t="s">
        <v>325</v>
      </c>
      <c r="G383">
        <f t="shared" si="15"/>
        <v>4</v>
      </c>
      <c r="H383" t="s">
        <v>359</v>
      </c>
      <c r="I383" t="s">
        <v>191</v>
      </c>
      <c r="J383">
        <v>1</v>
      </c>
      <c r="K383">
        <v>75.575262543757304</v>
      </c>
      <c r="Z383"/>
    </row>
    <row r="384" spans="1:26" x14ac:dyDescent="0.25">
      <c r="A384" s="159" t="str">
        <f t="shared" si="16"/>
        <v>FR-San Francisco Mission District-Hayward and San Leandro-Work</v>
      </c>
      <c r="B384">
        <v>3</v>
      </c>
      <c r="C384" t="str">
        <f t="shared" si="17"/>
        <v>San Francisco Mission District</v>
      </c>
      <c r="D384">
        <v>17</v>
      </c>
      <c r="E384" t="str">
        <f t="shared" si="17"/>
        <v>Hayward and San Leandro</v>
      </c>
      <c r="F384" t="s">
        <v>30</v>
      </c>
      <c r="G384">
        <f t="shared" si="15"/>
        <v>1</v>
      </c>
      <c r="H384" t="s">
        <v>360</v>
      </c>
      <c r="I384" t="s">
        <v>185</v>
      </c>
      <c r="J384">
        <v>1</v>
      </c>
      <c r="K384">
        <v>11.719387755102</v>
      </c>
      <c r="Z384"/>
    </row>
    <row r="385" spans="1:26" x14ac:dyDescent="0.25">
      <c r="A385" s="159" t="str">
        <f t="shared" si="16"/>
        <v>HR-San Francisco Mission District-Hayward and San Leandro-Work</v>
      </c>
      <c r="B385">
        <v>3</v>
      </c>
      <c r="C385" t="str">
        <f t="shared" si="17"/>
        <v>San Francisco Mission District</v>
      </c>
      <c r="D385">
        <v>17</v>
      </c>
      <c r="E385" t="str">
        <f t="shared" si="17"/>
        <v>Hayward and San Leandro</v>
      </c>
      <c r="F385" t="s">
        <v>30</v>
      </c>
      <c r="G385">
        <f t="shared" si="15"/>
        <v>1</v>
      </c>
      <c r="H385" t="s">
        <v>124</v>
      </c>
      <c r="I385" t="s">
        <v>188</v>
      </c>
      <c r="J385">
        <v>2</v>
      </c>
      <c r="K385">
        <v>191.64419889502699</v>
      </c>
      <c r="Z385"/>
    </row>
    <row r="386" spans="1:26" x14ac:dyDescent="0.25">
      <c r="A386" s="159" t="str">
        <f t="shared" si="16"/>
        <v>LR-San Francisco Mission District-Hayward and San Leandro-Work</v>
      </c>
      <c r="B386">
        <v>3</v>
      </c>
      <c r="C386" t="str">
        <f t="shared" si="17"/>
        <v>San Francisco Mission District</v>
      </c>
      <c r="D386">
        <v>17</v>
      </c>
      <c r="E386" t="str">
        <f t="shared" si="17"/>
        <v>Hayward and San Leandro</v>
      </c>
      <c r="F386" t="s">
        <v>30</v>
      </c>
      <c r="G386">
        <f t="shared" ref="G386:G449" si="18">VLOOKUP(F386,$V$2:$X$10, 3,FALSE)</f>
        <v>1</v>
      </c>
      <c r="H386" t="s">
        <v>353</v>
      </c>
      <c r="I386" t="s">
        <v>194</v>
      </c>
      <c r="J386">
        <v>1</v>
      </c>
      <c r="K386">
        <v>286.12835472578797</v>
      </c>
      <c r="Z386"/>
    </row>
    <row r="387" spans="1:26" x14ac:dyDescent="0.25">
      <c r="A387" s="159" t="str">
        <f t="shared" ref="A387:A450" si="19" xml:space="preserve"> CONCATENATE(I387,"-",C387, "-",E387, "-",F387,)</f>
        <v>HR-San Francisco Mission District-Oakland and Alameda-High school</v>
      </c>
      <c r="B387">
        <v>3</v>
      </c>
      <c r="C387" t="str">
        <f t="shared" ref="C387:E450" si="20">VLOOKUP(B387,$S$2:$T$35,2,FALSE)</f>
        <v>San Francisco Mission District</v>
      </c>
      <c r="D387">
        <v>18</v>
      </c>
      <c r="E387" t="str">
        <f t="shared" si="20"/>
        <v>Oakland and Alameda</v>
      </c>
      <c r="F387" t="s">
        <v>326</v>
      </c>
      <c r="G387">
        <f t="shared" si="18"/>
        <v>3</v>
      </c>
      <c r="H387" t="s">
        <v>124</v>
      </c>
      <c r="I387" t="s">
        <v>188</v>
      </c>
      <c r="J387">
        <v>3</v>
      </c>
      <c r="K387">
        <v>287.46629834254099</v>
      </c>
      <c r="Z387"/>
    </row>
    <row r="388" spans="1:26" x14ac:dyDescent="0.25">
      <c r="A388" s="159" t="str">
        <f t="shared" si="19"/>
        <v>HR-San Francisco Mission District-Oakland and Alameda-Missing</v>
      </c>
      <c r="B388">
        <v>3</v>
      </c>
      <c r="C388" t="str">
        <f t="shared" si="20"/>
        <v>San Francisco Mission District</v>
      </c>
      <c r="D388">
        <v>18</v>
      </c>
      <c r="E388" t="str">
        <f t="shared" si="20"/>
        <v>Oakland and Alameda</v>
      </c>
      <c r="F388" t="s">
        <v>327</v>
      </c>
      <c r="G388">
        <f t="shared" si="18"/>
        <v>0</v>
      </c>
      <c r="H388" t="s">
        <v>124</v>
      </c>
      <c r="I388" t="s">
        <v>188</v>
      </c>
      <c r="J388">
        <v>4</v>
      </c>
      <c r="K388">
        <v>482.98025183091301</v>
      </c>
      <c r="Z388"/>
    </row>
    <row r="389" spans="1:26" x14ac:dyDescent="0.25">
      <c r="A389" s="159" t="str">
        <f t="shared" si="19"/>
        <v>HR-San Francisco Mission District-Oakland and Alameda-Other maintenance</v>
      </c>
      <c r="B389">
        <v>3</v>
      </c>
      <c r="C389" t="str">
        <f t="shared" si="20"/>
        <v>San Francisco Mission District</v>
      </c>
      <c r="D389">
        <v>18</v>
      </c>
      <c r="E389" t="str">
        <f t="shared" si="20"/>
        <v>Oakland and Alameda</v>
      </c>
      <c r="F389" t="s">
        <v>325</v>
      </c>
      <c r="G389">
        <f t="shared" si="18"/>
        <v>4</v>
      </c>
      <c r="H389" t="s">
        <v>124</v>
      </c>
      <c r="I389" t="s">
        <v>188</v>
      </c>
      <c r="J389">
        <v>3</v>
      </c>
      <c r="K389">
        <v>486.850006424257</v>
      </c>
      <c r="Z389"/>
    </row>
    <row r="390" spans="1:26" x14ac:dyDescent="0.25">
      <c r="A390" s="159" t="str">
        <f t="shared" si="19"/>
        <v>LB-San Francisco Mission District-Oakland and Alameda-Other maintenance</v>
      </c>
      <c r="B390">
        <v>3</v>
      </c>
      <c r="C390" t="str">
        <f t="shared" si="20"/>
        <v>San Francisco Mission District</v>
      </c>
      <c r="D390">
        <v>18</v>
      </c>
      <c r="E390" t="str">
        <f t="shared" si="20"/>
        <v>Oakland and Alameda</v>
      </c>
      <c r="F390" t="s">
        <v>325</v>
      </c>
      <c r="G390">
        <f t="shared" si="18"/>
        <v>4</v>
      </c>
      <c r="H390" t="s">
        <v>359</v>
      </c>
      <c r="I390" t="s">
        <v>191</v>
      </c>
      <c r="J390">
        <v>3</v>
      </c>
      <c r="K390">
        <v>422.08266794465698</v>
      </c>
      <c r="Z390"/>
    </row>
    <row r="391" spans="1:26" x14ac:dyDescent="0.25">
      <c r="A391" s="159" t="str">
        <f t="shared" si="19"/>
        <v>FR-San Francisco Mission District-Oakland and Alameda-Social recreation</v>
      </c>
      <c r="B391">
        <v>3</v>
      </c>
      <c r="C391" t="str">
        <f t="shared" si="20"/>
        <v>San Francisco Mission District</v>
      </c>
      <c r="D391">
        <v>18</v>
      </c>
      <c r="E391" t="str">
        <f t="shared" si="20"/>
        <v>Oakland and Alameda</v>
      </c>
      <c r="F391" t="s">
        <v>324</v>
      </c>
      <c r="G391">
        <f t="shared" si="18"/>
        <v>5</v>
      </c>
      <c r="H391" t="s">
        <v>360</v>
      </c>
      <c r="I391" t="s">
        <v>185</v>
      </c>
      <c r="J391">
        <v>1</v>
      </c>
      <c r="K391">
        <v>16.498422712933699</v>
      </c>
      <c r="Z391"/>
    </row>
    <row r="392" spans="1:26" x14ac:dyDescent="0.25">
      <c r="A392" s="159" t="str">
        <f t="shared" si="19"/>
        <v>HR-San Francisco Mission District-Oakland and Alameda-Social recreation</v>
      </c>
      <c r="B392">
        <v>3</v>
      </c>
      <c r="C392" t="str">
        <f t="shared" si="20"/>
        <v>San Francisco Mission District</v>
      </c>
      <c r="D392">
        <v>18</v>
      </c>
      <c r="E392" t="str">
        <f t="shared" si="20"/>
        <v>Oakland and Alameda</v>
      </c>
      <c r="F392" t="s">
        <v>324</v>
      </c>
      <c r="G392">
        <f t="shared" si="18"/>
        <v>5</v>
      </c>
      <c r="H392" t="s">
        <v>124</v>
      </c>
      <c r="I392" t="s">
        <v>188</v>
      </c>
      <c r="J392">
        <v>5</v>
      </c>
      <c r="K392">
        <v>877.87791340100102</v>
      </c>
      <c r="Z392"/>
    </row>
    <row r="393" spans="1:26" x14ac:dyDescent="0.25">
      <c r="A393" s="159" t="str">
        <f t="shared" si="19"/>
        <v>LB-San Francisco Mission District-Oakland and Alameda-Social recreation</v>
      </c>
      <c r="B393">
        <v>3</v>
      </c>
      <c r="C393" t="str">
        <f t="shared" si="20"/>
        <v>San Francisco Mission District</v>
      </c>
      <c r="D393">
        <v>18</v>
      </c>
      <c r="E393" t="str">
        <f t="shared" si="20"/>
        <v>Oakland and Alameda</v>
      </c>
      <c r="F393" t="s">
        <v>324</v>
      </c>
      <c r="G393">
        <f t="shared" si="18"/>
        <v>5</v>
      </c>
      <c r="H393" t="s">
        <v>359</v>
      </c>
      <c r="I393" t="s">
        <v>191</v>
      </c>
      <c r="J393">
        <v>2</v>
      </c>
      <c r="K393">
        <v>1526.3551205250401</v>
      </c>
      <c r="Z393"/>
    </row>
    <row r="394" spans="1:26" x14ac:dyDescent="0.25">
      <c r="A394" s="159" t="str">
        <f t="shared" si="19"/>
        <v>FR-San Francisco Mission District-Oakland and Alameda-Work</v>
      </c>
      <c r="B394">
        <v>3</v>
      </c>
      <c r="C394" t="str">
        <f t="shared" si="20"/>
        <v>San Francisco Mission District</v>
      </c>
      <c r="D394">
        <v>18</v>
      </c>
      <c r="E394" t="str">
        <f t="shared" si="20"/>
        <v>Oakland and Alameda</v>
      </c>
      <c r="F394" t="s">
        <v>30</v>
      </c>
      <c r="G394">
        <f t="shared" si="18"/>
        <v>1</v>
      </c>
      <c r="H394" t="s">
        <v>360</v>
      </c>
      <c r="I394" t="s">
        <v>185</v>
      </c>
      <c r="J394">
        <v>7</v>
      </c>
      <c r="K394">
        <v>82.035714285713993</v>
      </c>
      <c r="Z394"/>
    </row>
    <row r="395" spans="1:26" x14ac:dyDescent="0.25">
      <c r="A395" s="159" t="str">
        <f t="shared" si="19"/>
        <v>HR-San Francisco Mission District-Oakland and Alameda-Work</v>
      </c>
      <c r="B395">
        <v>3</v>
      </c>
      <c r="C395" t="str">
        <f t="shared" si="20"/>
        <v>San Francisco Mission District</v>
      </c>
      <c r="D395">
        <v>18</v>
      </c>
      <c r="E395" t="str">
        <f t="shared" si="20"/>
        <v>Oakland and Alameda</v>
      </c>
      <c r="F395" t="s">
        <v>30</v>
      </c>
      <c r="G395">
        <f t="shared" si="18"/>
        <v>1</v>
      </c>
      <c r="H395" t="s">
        <v>124</v>
      </c>
      <c r="I395" t="s">
        <v>188</v>
      </c>
      <c r="J395">
        <v>12</v>
      </c>
      <c r="K395">
        <v>1548.6326095335901</v>
      </c>
      <c r="Z395"/>
    </row>
    <row r="396" spans="1:26" x14ac:dyDescent="0.25">
      <c r="A396" s="159" t="str">
        <f t="shared" si="19"/>
        <v>LR-San Francisco Mission District-Oakland and Alameda-Work</v>
      </c>
      <c r="B396">
        <v>3</v>
      </c>
      <c r="C396" t="str">
        <f t="shared" si="20"/>
        <v>San Francisco Mission District</v>
      </c>
      <c r="D396">
        <v>18</v>
      </c>
      <c r="E396" t="str">
        <f t="shared" si="20"/>
        <v>Oakland and Alameda</v>
      </c>
      <c r="F396" t="s">
        <v>30</v>
      </c>
      <c r="G396">
        <f t="shared" si="18"/>
        <v>1</v>
      </c>
      <c r="H396" t="s">
        <v>353</v>
      </c>
      <c r="I396" t="s">
        <v>194</v>
      </c>
      <c r="J396">
        <v>1</v>
      </c>
      <c r="K396">
        <v>286.12835472578797</v>
      </c>
      <c r="Z396"/>
    </row>
    <row r="397" spans="1:26" x14ac:dyDescent="0.25">
      <c r="A397" s="159" t="str">
        <f t="shared" si="19"/>
        <v>LB-San Francisco Mission District-Oakland and Alameda-Work</v>
      </c>
      <c r="B397">
        <v>3</v>
      </c>
      <c r="C397" t="str">
        <f t="shared" si="20"/>
        <v>San Francisco Mission District</v>
      </c>
      <c r="D397">
        <v>18</v>
      </c>
      <c r="E397" t="str">
        <f t="shared" si="20"/>
        <v>Oakland and Alameda</v>
      </c>
      <c r="F397" t="s">
        <v>30</v>
      </c>
      <c r="G397">
        <f t="shared" si="18"/>
        <v>1</v>
      </c>
      <c r="H397" t="s">
        <v>359</v>
      </c>
      <c r="I397" t="s">
        <v>191</v>
      </c>
      <c r="J397">
        <v>5</v>
      </c>
      <c r="K397">
        <v>377.87631271878598</v>
      </c>
      <c r="Z397"/>
    </row>
    <row r="398" spans="1:26" x14ac:dyDescent="0.25">
      <c r="A398" s="159" t="str">
        <f t="shared" si="19"/>
        <v>HR-San Francisco Mission District-Berkeley and Albany-High school</v>
      </c>
      <c r="B398">
        <v>3</v>
      </c>
      <c r="C398" t="str">
        <f t="shared" si="20"/>
        <v>San Francisco Mission District</v>
      </c>
      <c r="D398">
        <v>19</v>
      </c>
      <c r="E398" t="str">
        <f t="shared" si="20"/>
        <v>Berkeley and Albany</v>
      </c>
      <c r="F398" t="s">
        <v>326</v>
      </c>
      <c r="G398">
        <f t="shared" si="18"/>
        <v>3</v>
      </c>
      <c r="H398" t="s">
        <v>124</v>
      </c>
      <c r="I398" t="s">
        <v>188</v>
      </c>
      <c r="J398">
        <v>1</v>
      </c>
      <c r="K398">
        <v>95.822099447513807</v>
      </c>
      <c r="Z398"/>
    </row>
    <row r="399" spans="1:26" x14ac:dyDescent="0.25">
      <c r="A399" s="159" t="str">
        <f t="shared" si="19"/>
        <v>LB-San Francisco Mission District-Berkeley and Albany-High school</v>
      </c>
      <c r="B399">
        <v>3</v>
      </c>
      <c r="C399" t="str">
        <f t="shared" si="20"/>
        <v>San Francisco Mission District</v>
      </c>
      <c r="D399">
        <v>19</v>
      </c>
      <c r="E399" t="str">
        <f t="shared" si="20"/>
        <v>Berkeley and Albany</v>
      </c>
      <c r="F399" t="s">
        <v>326</v>
      </c>
      <c r="G399">
        <f t="shared" si="18"/>
        <v>3</v>
      </c>
      <c r="H399" t="s">
        <v>359</v>
      </c>
      <c r="I399" t="s">
        <v>191</v>
      </c>
      <c r="J399">
        <v>1</v>
      </c>
      <c r="K399">
        <v>286.12835472578797</v>
      </c>
      <c r="Z399"/>
    </row>
    <row r="400" spans="1:26" x14ac:dyDescent="0.25">
      <c r="A400" s="159" t="str">
        <f t="shared" si="19"/>
        <v>LB-San Francisco Mission District-Berkeley and Albany-Missing</v>
      </c>
      <c r="B400">
        <v>3</v>
      </c>
      <c r="C400" t="str">
        <f t="shared" si="20"/>
        <v>San Francisco Mission District</v>
      </c>
      <c r="D400">
        <v>19</v>
      </c>
      <c r="E400" t="str">
        <f t="shared" si="20"/>
        <v>Berkeley and Albany</v>
      </c>
      <c r="F400" t="s">
        <v>327</v>
      </c>
      <c r="G400">
        <f t="shared" si="18"/>
        <v>0</v>
      </c>
      <c r="H400" t="s">
        <v>359</v>
      </c>
      <c r="I400" t="s">
        <v>191</v>
      </c>
      <c r="J400">
        <v>1</v>
      </c>
      <c r="K400">
        <v>1240.22676579926</v>
      </c>
      <c r="Z400"/>
    </row>
    <row r="401" spans="1:26" x14ac:dyDescent="0.25">
      <c r="A401" s="159" t="str">
        <f t="shared" si="19"/>
        <v>FR-San Francisco Mission District-Berkeley and Albany-Social recreation</v>
      </c>
      <c r="B401">
        <v>3</v>
      </c>
      <c r="C401" t="str">
        <f t="shared" si="20"/>
        <v>San Francisco Mission District</v>
      </c>
      <c r="D401">
        <v>19</v>
      </c>
      <c r="E401" t="str">
        <f t="shared" si="20"/>
        <v>Berkeley and Albany</v>
      </c>
      <c r="F401" t="s">
        <v>324</v>
      </c>
      <c r="G401">
        <f t="shared" si="18"/>
        <v>5</v>
      </c>
      <c r="H401" t="s">
        <v>360</v>
      </c>
      <c r="I401" t="s">
        <v>185</v>
      </c>
      <c r="J401">
        <v>1</v>
      </c>
      <c r="K401">
        <v>16.498422712933699</v>
      </c>
      <c r="Z401"/>
    </row>
    <row r="402" spans="1:26" x14ac:dyDescent="0.25">
      <c r="A402" s="159" t="str">
        <f t="shared" si="19"/>
        <v>HR-San Francisco Mission District-Berkeley and Albany-Social recreation</v>
      </c>
      <c r="B402">
        <v>3</v>
      </c>
      <c r="C402" t="str">
        <f t="shared" si="20"/>
        <v>San Francisco Mission District</v>
      </c>
      <c r="D402">
        <v>19</v>
      </c>
      <c r="E402" t="str">
        <f t="shared" si="20"/>
        <v>Berkeley and Albany</v>
      </c>
      <c r="F402" t="s">
        <v>324</v>
      </c>
      <c r="G402">
        <f t="shared" si="18"/>
        <v>5</v>
      </c>
      <c r="H402" t="s">
        <v>124</v>
      </c>
      <c r="I402" t="s">
        <v>188</v>
      </c>
      <c r="J402">
        <v>3</v>
      </c>
      <c r="K402">
        <v>387.158152383399</v>
      </c>
      <c r="Z402"/>
    </row>
    <row r="403" spans="1:26" x14ac:dyDescent="0.25">
      <c r="A403" s="159" t="str">
        <f t="shared" si="19"/>
        <v>EB-San Francisco Mission District-Berkeley and Albany-Work</v>
      </c>
      <c r="B403">
        <v>3</v>
      </c>
      <c r="C403" t="str">
        <f t="shared" si="20"/>
        <v>San Francisco Mission District</v>
      </c>
      <c r="D403">
        <v>19</v>
      </c>
      <c r="E403" t="str">
        <f t="shared" si="20"/>
        <v>Berkeley and Albany</v>
      </c>
      <c r="F403" t="s">
        <v>30</v>
      </c>
      <c r="G403">
        <f t="shared" si="18"/>
        <v>1</v>
      </c>
      <c r="H403" t="s">
        <v>123</v>
      </c>
      <c r="I403" t="s">
        <v>182</v>
      </c>
      <c r="J403">
        <v>1</v>
      </c>
      <c r="K403">
        <v>75.575262543757304</v>
      </c>
      <c r="Z403"/>
    </row>
    <row r="404" spans="1:26" x14ac:dyDescent="0.25">
      <c r="A404" s="159" t="str">
        <f t="shared" si="19"/>
        <v>FR-San Francisco Mission District-Berkeley and Albany-Work</v>
      </c>
      <c r="B404">
        <v>3</v>
      </c>
      <c r="C404" t="str">
        <f t="shared" si="20"/>
        <v>San Francisco Mission District</v>
      </c>
      <c r="D404">
        <v>19</v>
      </c>
      <c r="E404" t="str">
        <f t="shared" si="20"/>
        <v>Berkeley and Albany</v>
      </c>
      <c r="F404" t="s">
        <v>30</v>
      </c>
      <c r="G404">
        <f t="shared" si="18"/>
        <v>1</v>
      </c>
      <c r="H404" t="s">
        <v>360</v>
      </c>
      <c r="I404" t="s">
        <v>185</v>
      </c>
      <c r="J404">
        <v>1</v>
      </c>
      <c r="K404">
        <v>11.719387755102</v>
      </c>
      <c r="Z404"/>
    </row>
    <row r="405" spans="1:26" x14ac:dyDescent="0.25">
      <c r="A405" s="159" t="str">
        <f t="shared" si="19"/>
        <v>HR-San Francisco Mission District-Berkeley and Albany-Work</v>
      </c>
      <c r="B405">
        <v>3</v>
      </c>
      <c r="C405" t="str">
        <f t="shared" si="20"/>
        <v>San Francisco Mission District</v>
      </c>
      <c r="D405">
        <v>19</v>
      </c>
      <c r="E405" t="str">
        <f t="shared" si="20"/>
        <v>Berkeley and Albany</v>
      </c>
      <c r="F405" t="s">
        <v>30</v>
      </c>
      <c r="G405">
        <f t="shared" si="18"/>
        <v>1</v>
      </c>
      <c r="H405" t="s">
        <v>124</v>
      </c>
      <c r="I405" t="s">
        <v>188</v>
      </c>
      <c r="J405">
        <v>5</v>
      </c>
      <c r="K405">
        <v>578.80235127842695</v>
      </c>
      <c r="Z405"/>
    </row>
    <row r="406" spans="1:26" x14ac:dyDescent="0.25">
      <c r="A406" s="159" t="str">
        <f t="shared" si="19"/>
        <v>LB-San Francisco Mission District-Berkeley and Albany-Work</v>
      </c>
      <c r="B406">
        <v>3</v>
      </c>
      <c r="C406" t="str">
        <f t="shared" si="20"/>
        <v>San Francisco Mission District</v>
      </c>
      <c r="D406">
        <v>19</v>
      </c>
      <c r="E406" t="str">
        <f t="shared" si="20"/>
        <v>Berkeley and Albany</v>
      </c>
      <c r="F406" t="s">
        <v>30</v>
      </c>
      <c r="G406">
        <f t="shared" si="18"/>
        <v>1</v>
      </c>
      <c r="H406" t="s">
        <v>359</v>
      </c>
      <c r="I406" t="s">
        <v>191</v>
      </c>
      <c r="J406">
        <v>2</v>
      </c>
      <c r="K406">
        <v>361.70361726954502</v>
      </c>
      <c r="Z406"/>
    </row>
    <row r="407" spans="1:26" x14ac:dyDescent="0.25">
      <c r="A407" s="159" t="str">
        <f t="shared" si="19"/>
        <v>HR-San Francisco Mission District-Richmond and El Cerrito-High school</v>
      </c>
      <c r="B407">
        <v>3</v>
      </c>
      <c r="C407" t="str">
        <f t="shared" si="20"/>
        <v>San Francisco Mission District</v>
      </c>
      <c r="D407">
        <v>20</v>
      </c>
      <c r="E407" t="str">
        <f t="shared" si="20"/>
        <v>Richmond and El Cerrito</v>
      </c>
      <c r="F407" t="s">
        <v>326</v>
      </c>
      <c r="G407">
        <f t="shared" si="18"/>
        <v>3</v>
      </c>
      <c r="H407" t="s">
        <v>124</v>
      </c>
      <c r="I407" t="s">
        <v>188</v>
      </c>
      <c r="J407">
        <v>1</v>
      </c>
      <c r="K407">
        <v>195.51395348837201</v>
      </c>
      <c r="Z407"/>
    </row>
    <row r="408" spans="1:26" x14ac:dyDescent="0.25">
      <c r="A408" s="159" t="str">
        <f t="shared" si="19"/>
        <v>HR-San Francisco Mission District-Richmond and El Cerrito-Missing</v>
      </c>
      <c r="B408">
        <v>3</v>
      </c>
      <c r="C408" t="str">
        <f t="shared" si="20"/>
        <v>San Francisco Mission District</v>
      </c>
      <c r="D408">
        <v>20</v>
      </c>
      <c r="E408" t="str">
        <f t="shared" si="20"/>
        <v>Richmond and El Cerrito</v>
      </c>
      <c r="F408" t="s">
        <v>327</v>
      </c>
      <c r="G408">
        <f t="shared" si="18"/>
        <v>0</v>
      </c>
      <c r="H408" t="s">
        <v>124</v>
      </c>
      <c r="I408" t="s">
        <v>188</v>
      </c>
      <c r="J408">
        <v>1</v>
      </c>
      <c r="K408">
        <v>95.822099447513807</v>
      </c>
      <c r="Z408"/>
    </row>
    <row r="409" spans="1:26" x14ac:dyDescent="0.25">
      <c r="A409" s="159" t="str">
        <f t="shared" si="19"/>
        <v>FR-San Francisco Mission District-Richmond and El Cerrito-Other maintenance</v>
      </c>
      <c r="B409">
        <v>3</v>
      </c>
      <c r="C409" t="str">
        <f t="shared" si="20"/>
        <v>San Francisco Mission District</v>
      </c>
      <c r="D409">
        <v>20</v>
      </c>
      <c r="E409" t="str">
        <f t="shared" si="20"/>
        <v>Richmond and El Cerrito</v>
      </c>
      <c r="F409" t="s">
        <v>325</v>
      </c>
      <c r="G409">
        <f t="shared" si="18"/>
        <v>4</v>
      </c>
      <c r="H409" t="s">
        <v>360</v>
      </c>
      <c r="I409" t="s">
        <v>185</v>
      </c>
      <c r="J409">
        <v>1</v>
      </c>
      <c r="K409">
        <v>16.498422712933699</v>
      </c>
      <c r="Z409"/>
    </row>
    <row r="410" spans="1:26" x14ac:dyDescent="0.25">
      <c r="A410" s="159" t="str">
        <f t="shared" si="19"/>
        <v>FR-San Francisco Mission District-Richmond and El Cerrito-Social recreation</v>
      </c>
      <c r="B410">
        <v>3</v>
      </c>
      <c r="C410" t="str">
        <f t="shared" si="20"/>
        <v>San Francisco Mission District</v>
      </c>
      <c r="D410">
        <v>20</v>
      </c>
      <c r="E410" t="str">
        <f t="shared" si="20"/>
        <v>Richmond and El Cerrito</v>
      </c>
      <c r="F410" t="s">
        <v>324</v>
      </c>
      <c r="G410">
        <f t="shared" si="18"/>
        <v>5</v>
      </c>
      <c r="H410" t="s">
        <v>360</v>
      </c>
      <c r="I410" t="s">
        <v>185</v>
      </c>
      <c r="J410">
        <v>6</v>
      </c>
      <c r="K410">
        <v>98.990536277602104</v>
      </c>
      <c r="Z410"/>
    </row>
    <row r="411" spans="1:26" x14ac:dyDescent="0.25">
      <c r="A411" s="159" t="str">
        <f t="shared" si="19"/>
        <v>HR-San Francisco Mission District-Richmond and El Cerrito-Social recreation</v>
      </c>
      <c r="B411">
        <v>3</v>
      </c>
      <c r="C411" t="str">
        <f t="shared" si="20"/>
        <v>San Francisco Mission District</v>
      </c>
      <c r="D411">
        <v>20</v>
      </c>
      <c r="E411" t="str">
        <f t="shared" si="20"/>
        <v>Richmond and El Cerrito</v>
      </c>
      <c r="F411" t="s">
        <v>324</v>
      </c>
      <c r="G411">
        <f t="shared" si="18"/>
        <v>5</v>
      </c>
      <c r="H411" t="s">
        <v>124</v>
      </c>
      <c r="I411" t="s">
        <v>188</v>
      </c>
      <c r="J411">
        <v>1</v>
      </c>
      <c r="K411">
        <v>195.51395348837201</v>
      </c>
      <c r="Z411"/>
    </row>
    <row r="412" spans="1:26" x14ac:dyDescent="0.25">
      <c r="A412" s="159" t="str">
        <f t="shared" si="19"/>
        <v>FR-San Francisco Mission District-Richmond and El Cerrito-Work</v>
      </c>
      <c r="B412">
        <v>3</v>
      </c>
      <c r="C412" t="str">
        <f t="shared" si="20"/>
        <v>San Francisco Mission District</v>
      </c>
      <c r="D412">
        <v>20</v>
      </c>
      <c r="E412" t="str">
        <f t="shared" si="20"/>
        <v>Richmond and El Cerrito</v>
      </c>
      <c r="F412" t="s">
        <v>30</v>
      </c>
      <c r="G412">
        <f t="shared" si="18"/>
        <v>1</v>
      </c>
      <c r="H412" t="s">
        <v>360</v>
      </c>
      <c r="I412" t="s">
        <v>185</v>
      </c>
      <c r="J412">
        <v>5</v>
      </c>
      <c r="K412">
        <v>58.596938775509997</v>
      </c>
      <c r="Z412"/>
    </row>
    <row r="413" spans="1:26" x14ac:dyDescent="0.25">
      <c r="A413" s="159" t="str">
        <f t="shared" si="19"/>
        <v>HR-San Francisco Mission District-Richmond and El Cerrito-Work</v>
      </c>
      <c r="B413">
        <v>3</v>
      </c>
      <c r="C413" t="str">
        <f t="shared" si="20"/>
        <v>San Francisco Mission District</v>
      </c>
      <c r="D413">
        <v>20</v>
      </c>
      <c r="E413" t="str">
        <f t="shared" si="20"/>
        <v>Richmond and El Cerrito</v>
      </c>
      <c r="F413" t="s">
        <v>30</v>
      </c>
      <c r="G413">
        <f t="shared" si="18"/>
        <v>1</v>
      </c>
      <c r="H413" t="s">
        <v>124</v>
      </c>
      <c r="I413" t="s">
        <v>188</v>
      </c>
      <c r="J413">
        <v>6</v>
      </c>
      <c r="K413">
        <v>574.93259668508199</v>
      </c>
      <c r="Z413"/>
    </row>
    <row r="414" spans="1:26" x14ac:dyDescent="0.25">
      <c r="A414" s="159" t="str">
        <f t="shared" si="19"/>
        <v>LR-San Francisco Mission District-Richmond and El Cerrito-Work</v>
      </c>
      <c r="B414">
        <v>3</v>
      </c>
      <c r="C414" t="str">
        <f t="shared" si="20"/>
        <v>San Francisco Mission District</v>
      </c>
      <c r="D414">
        <v>20</v>
      </c>
      <c r="E414" t="str">
        <f t="shared" si="20"/>
        <v>Richmond and El Cerrito</v>
      </c>
      <c r="F414" t="s">
        <v>30</v>
      </c>
      <c r="G414">
        <f t="shared" si="18"/>
        <v>1</v>
      </c>
      <c r="H414" t="s">
        <v>353</v>
      </c>
      <c r="I414" t="s">
        <v>194</v>
      </c>
      <c r="J414">
        <v>1</v>
      </c>
      <c r="K414">
        <v>286.12835472578797</v>
      </c>
      <c r="Z414"/>
    </row>
    <row r="415" spans="1:26" x14ac:dyDescent="0.25">
      <c r="A415" s="159" t="str">
        <f t="shared" si="19"/>
        <v>LB-San Francisco Mission District-Richmond and El Cerrito-Work</v>
      </c>
      <c r="B415">
        <v>3</v>
      </c>
      <c r="C415" t="str">
        <f t="shared" si="20"/>
        <v>San Francisco Mission District</v>
      </c>
      <c r="D415">
        <v>20</v>
      </c>
      <c r="E415" t="str">
        <f t="shared" si="20"/>
        <v>Richmond and El Cerrito</v>
      </c>
      <c r="F415" t="s">
        <v>30</v>
      </c>
      <c r="G415">
        <f t="shared" si="18"/>
        <v>1</v>
      </c>
      <c r="H415" t="s">
        <v>359</v>
      </c>
      <c r="I415" t="s">
        <v>191</v>
      </c>
      <c r="J415">
        <v>1</v>
      </c>
      <c r="K415">
        <v>75.575262543757304</v>
      </c>
      <c r="Z415"/>
    </row>
    <row r="416" spans="1:26" x14ac:dyDescent="0.25">
      <c r="A416" s="159" t="str">
        <f t="shared" si="19"/>
        <v>HR-San Francisco Mission District-Concord and Martinez-Missing</v>
      </c>
      <c r="B416">
        <v>3</v>
      </c>
      <c r="C416" t="str">
        <f t="shared" si="20"/>
        <v>San Francisco Mission District</v>
      </c>
      <c r="D416">
        <v>21</v>
      </c>
      <c r="E416" t="str">
        <f t="shared" si="20"/>
        <v>Concord and Martinez</v>
      </c>
      <c r="F416" t="s">
        <v>327</v>
      </c>
      <c r="G416">
        <f t="shared" si="18"/>
        <v>0</v>
      </c>
      <c r="H416" t="s">
        <v>124</v>
      </c>
      <c r="I416" t="s">
        <v>188</v>
      </c>
      <c r="J416">
        <v>1</v>
      </c>
      <c r="K416">
        <v>95.822099447513807</v>
      </c>
      <c r="Z416"/>
    </row>
    <row r="417" spans="1:26" x14ac:dyDescent="0.25">
      <c r="A417" s="159" t="str">
        <f t="shared" si="19"/>
        <v>HR-San Francisco Mission District-Concord and Martinez-Work</v>
      </c>
      <c r="B417">
        <v>3</v>
      </c>
      <c r="C417" t="str">
        <f t="shared" si="20"/>
        <v>San Francisco Mission District</v>
      </c>
      <c r="D417">
        <v>21</v>
      </c>
      <c r="E417" t="str">
        <f t="shared" si="20"/>
        <v>Concord and Martinez</v>
      </c>
      <c r="F417" t="s">
        <v>30</v>
      </c>
      <c r="G417">
        <f t="shared" si="18"/>
        <v>1</v>
      </c>
      <c r="H417" t="s">
        <v>124</v>
      </c>
      <c r="I417" t="s">
        <v>188</v>
      </c>
      <c r="J417">
        <v>1</v>
      </c>
      <c r="K417">
        <v>195.51395348837201</v>
      </c>
      <c r="Z417"/>
    </row>
    <row r="418" spans="1:26" x14ac:dyDescent="0.25">
      <c r="A418" s="159" t="str">
        <f t="shared" si="19"/>
        <v>LB-San Francisco Mission District-Concord and Martinez-Work</v>
      </c>
      <c r="B418">
        <v>3</v>
      </c>
      <c r="C418" t="str">
        <f t="shared" si="20"/>
        <v>San Francisco Mission District</v>
      </c>
      <c r="D418">
        <v>21</v>
      </c>
      <c r="E418" t="str">
        <f t="shared" si="20"/>
        <v>Concord and Martinez</v>
      </c>
      <c r="F418" t="s">
        <v>30</v>
      </c>
      <c r="G418">
        <f t="shared" si="18"/>
        <v>1</v>
      </c>
      <c r="H418" t="s">
        <v>359</v>
      </c>
      <c r="I418" t="s">
        <v>191</v>
      </c>
      <c r="J418">
        <v>2</v>
      </c>
      <c r="K418">
        <v>305.85633907021003</v>
      </c>
      <c r="Z418"/>
    </row>
    <row r="419" spans="1:26" x14ac:dyDescent="0.25">
      <c r="A419" s="159" t="str">
        <f t="shared" si="19"/>
        <v>HR-San Francisco Mission District-Walnut Creek-Work</v>
      </c>
      <c r="B419">
        <v>3</v>
      </c>
      <c r="C419" t="str">
        <f t="shared" si="20"/>
        <v>San Francisco Mission District</v>
      </c>
      <c r="D419">
        <v>22</v>
      </c>
      <c r="E419" t="str">
        <f t="shared" si="20"/>
        <v>Walnut Creek</v>
      </c>
      <c r="F419" t="s">
        <v>30</v>
      </c>
      <c r="G419">
        <f t="shared" si="18"/>
        <v>1</v>
      </c>
      <c r="H419" t="s">
        <v>124</v>
      </c>
      <c r="I419" t="s">
        <v>188</v>
      </c>
      <c r="J419">
        <v>1</v>
      </c>
      <c r="K419">
        <v>95.822099447513807</v>
      </c>
      <c r="Z419"/>
    </row>
    <row r="420" spans="1:26" x14ac:dyDescent="0.25">
      <c r="A420" s="159" t="str">
        <f t="shared" si="19"/>
        <v>LB-San Francisco Mission District-Walnut Creek-Work</v>
      </c>
      <c r="B420">
        <v>3</v>
      </c>
      <c r="C420" t="str">
        <f t="shared" si="20"/>
        <v>San Francisco Mission District</v>
      </c>
      <c r="D420">
        <v>22</v>
      </c>
      <c r="E420" t="str">
        <f t="shared" si="20"/>
        <v>Walnut Creek</v>
      </c>
      <c r="F420" t="s">
        <v>30</v>
      </c>
      <c r="G420">
        <f t="shared" si="18"/>
        <v>1</v>
      </c>
      <c r="H420" t="s">
        <v>359</v>
      </c>
      <c r="I420" t="s">
        <v>191</v>
      </c>
      <c r="J420">
        <v>1</v>
      </c>
      <c r="K420">
        <v>19.727984344422701</v>
      </c>
      <c r="Z420"/>
    </row>
    <row r="421" spans="1:26" x14ac:dyDescent="0.25">
      <c r="A421" s="159" t="str">
        <f t="shared" si="19"/>
        <v>HR-San Francisco Mission District-Danville and San Ramon-Work</v>
      </c>
      <c r="B421">
        <v>3</v>
      </c>
      <c r="C421" t="str">
        <f t="shared" si="20"/>
        <v>San Francisco Mission District</v>
      </c>
      <c r="D421">
        <v>23</v>
      </c>
      <c r="E421" t="str">
        <f t="shared" si="20"/>
        <v>Danville and San Ramon</v>
      </c>
      <c r="F421" t="s">
        <v>30</v>
      </c>
      <c r="G421">
        <f t="shared" si="18"/>
        <v>1</v>
      </c>
      <c r="H421" t="s">
        <v>124</v>
      </c>
      <c r="I421" t="s">
        <v>188</v>
      </c>
      <c r="J421">
        <v>1</v>
      </c>
      <c r="K421">
        <v>95.822099447513807</v>
      </c>
      <c r="Z421"/>
    </row>
    <row r="422" spans="1:26" x14ac:dyDescent="0.25">
      <c r="A422" s="159" t="str">
        <f t="shared" si="19"/>
        <v>HR-San Francisco Mission District-Antioch and Pittsburg-Work</v>
      </c>
      <c r="B422">
        <v>3</v>
      </c>
      <c r="C422" t="str">
        <f t="shared" si="20"/>
        <v>San Francisco Mission District</v>
      </c>
      <c r="D422">
        <v>24</v>
      </c>
      <c r="E422" t="str">
        <f t="shared" si="20"/>
        <v>Antioch and Pittsburg</v>
      </c>
      <c r="F422" t="s">
        <v>30</v>
      </c>
      <c r="G422">
        <f t="shared" si="18"/>
        <v>1</v>
      </c>
      <c r="H422" t="s">
        <v>124</v>
      </c>
      <c r="I422" t="s">
        <v>188</v>
      </c>
      <c r="J422">
        <v>1</v>
      </c>
      <c r="K422">
        <v>95.822099447513807</v>
      </c>
      <c r="Z422"/>
    </row>
    <row r="423" spans="1:26" x14ac:dyDescent="0.25">
      <c r="A423" s="159" t="str">
        <f t="shared" si="19"/>
        <v>LB-San Francisco Mission District-Vallejo and Benicia-Missing</v>
      </c>
      <c r="B423">
        <v>3</v>
      </c>
      <c r="C423" t="str">
        <f t="shared" si="20"/>
        <v>San Francisco Mission District</v>
      </c>
      <c r="D423">
        <v>25</v>
      </c>
      <c r="E423" t="str">
        <f t="shared" si="20"/>
        <v>Vallejo and Benicia</v>
      </c>
      <c r="F423" t="s">
        <v>327</v>
      </c>
      <c r="G423">
        <f t="shared" si="18"/>
        <v>0</v>
      </c>
      <c r="H423" t="s">
        <v>359</v>
      </c>
      <c r="I423" t="s">
        <v>191</v>
      </c>
      <c r="J423">
        <v>1</v>
      </c>
      <c r="K423">
        <v>15.051282051282</v>
      </c>
      <c r="Z423"/>
    </row>
    <row r="424" spans="1:26" x14ac:dyDescent="0.25">
      <c r="A424" s="159" t="str">
        <f t="shared" si="19"/>
        <v>FR-San Francisco Mission District-Vallejo and Benicia-Social recreation</v>
      </c>
      <c r="B424">
        <v>3</v>
      </c>
      <c r="C424" t="str">
        <f t="shared" si="20"/>
        <v>San Francisco Mission District</v>
      </c>
      <c r="D424">
        <v>25</v>
      </c>
      <c r="E424" t="str">
        <f t="shared" si="20"/>
        <v>Vallejo and Benicia</v>
      </c>
      <c r="F424" t="s">
        <v>324</v>
      </c>
      <c r="G424">
        <f t="shared" si="18"/>
        <v>5</v>
      </c>
      <c r="H424" t="s">
        <v>360</v>
      </c>
      <c r="I424" t="s">
        <v>185</v>
      </c>
      <c r="J424">
        <v>4</v>
      </c>
      <c r="K424">
        <v>61.2146558939031</v>
      </c>
      <c r="Z424"/>
    </row>
    <row r="425" spans="1:26" x14ac:dyDescent="0.25">
      <c r="A425" s="159" t="str">
        <f t="shared" si="19"/>
        <v>HR-San Francisco Mission District-Vallejo and Benicia-Social recreation</v>
      </c>
      <c r="B425">
        <v>3</v>
      </c>
      <c r="C425" t="str">
        <f t="shared" si="20"/>
        <v>San Francisco Mission District</v>
      </c>
      <c r="D425">
        <v>25</v>
      </c>
      <c r="E425" t="str">
        <f t="shared" si="20"/>
        <v>Vallejo and Benicia</v>
      </c>
      <c r="F425" t="s">
        <v>324</v>
      </c>
      <c r="G425">
        <f t="shared" si="18"/>
        <v>5</v>
      </c>
      <c r="H425" t="s">
        <v>124</v>
      </c>
      <c r="I425" t="s">
        <v>188</v>
      </c>
      <c r="J425">
        <v>1</v>
      </c>
      <c r="K425">
        <v>195.51395348837201</v>
      </c>
      <c r="Z425"/>
    </row>
    <row r="426" spans="1:26" x14ac:dyDescent="0.25">
      <c r="A426" s="159" t="str">
        <f t="shared" si="19"/>
        <v>EB-San Francisco Mission District-Vallejo and Benicia-Work</v>
      </c>
      <c r="B426">
        <v>3</v>
      </c>
      <c r="C426" t="str">
        <f t="shared" si="20"/>
        <v>San Francisco Mission District</v>
      </c>
      <c r="D426">
        <v>25</v>
      </c>
      <c r="E426" t="str">
        <f t="shared" si="20"/>
        <v>Vallejo and Benicia</v>
      </c>
      <c r="F426" t="s">
        <v>30</v>
      </c>
      <c r="G426">
        <f t="shared" si="18"/>
        <v>1</v>
      </c>
      <c r="H426" t="s">
        <v>123</v>
      </c>
      <c r="I426" t="s">
        <v>182</v>
      </c>
      <c r="J426">
        <v>1</v>
      </c>
      <c r="K426">
        <v>15.051282051282</v>
      </c>
      <c r="Z426"/>
    </row>
    <row r="427" spans="1:26" x14ac:dyDescent="0.25">
      <c r="A427" s="159" t="str">
        <f t="shared" si="19"/>
        <v>FR-San Francisco Mission District-Vallejo and Benicia-Work</v>
      </c>
      <c r="B427">
        <v>3</v>
      </c>
      <c r="C427" t="str">
        <f t="shared" si="20"/>
        <v>San Francisco Mission District</v>
      </c>
      <c r="D427">
        <v>25</v>
      </c>
      <c r="E427" t="str">
        <f t="shared" si="20"/>
        <v>Vallejo and Benicia</v>
      </c>
      <c r="F427" t="s">
        <v>30</v>
      </c>
      <c r="G427">
        <f t="shared" si="18"/>
        <v>1</v>
      </c>
      <c r="H427" t="s">
        <v>360</v>
      </c>
      <c r="I427" t="s">
        <v>185</v>
      </c>
      <c r="J427">
        <v>1</v>
      </c>
      <c r="K427">
        <v>11.719387755102</v>
      </c>
      <c r="Z427"/>
    </row>
    <row r="428" spans="1:26" x14ac:dyDescent="0.25">
      <c r="A428" s="159" t="str">
        <f t="shared" si="19"/>
        <v>HR-San Francisco Mission District-Fairfield and Vacaville-High school</v>
      </c>
      <c r="B428">
        <v>3</v>
      </c>
      <c r="C428" t="str">
        <f t="shared" si="20"/>
        <v>San Francisco Mission District</v>
      </c>
      <c r="D428">
        <v>26</v>
      </c>
      <c r="E428" t="str">
        <f t="shared" si="20"/>
        <v>Fairfield and Vacaville</v>
      </c>
      <c r="F428" t="s">
        <v>326</v>
      </c>
      <c r="G428">
        <f t="shared" si="18"/>
        <v>3</v>
      </c>
      <c r="H428" t="s">
        <v>124</v>
      </c>
      <c r="I428" t="s">
        <v>188</v>
      </c>
      <c r="J428">
        <v>1</v>
      </c>
      <c r="K428">
        <v>95.822099447513807</v>
      </c>
      <c r="Z428"/>
    </row>
    <row r="429" spans="1:26" x14ac:dyDescent="0.25">
      <c r="A429" s="159" t="str">
        <f t="shared" si="19"/>
        <v>EB-San Francisco Mission District-Fairfield and Vacaville-Work</v>
      </c>
      <c r="B429">
        <v>3</v>
      </c>
      <c r="C429" t="str">
        <f t="shared" si="20"/>
        <v>San Francisco Mission District</v>
      </c>
      <c r="D429">
        <v>26</v>
      </c>
      <c r="E429" t="str">
        <f t="shared" si="20"/>
        <v>Fairfield and Vacaville</v>
      </c>
      <c r="F429" t="s">
        <v>30</v>
      </c>
      <c r="G429">
        <f t="shared" si="18"/>
        <v>1</v>
      </c>
      <c r="H429" t="s">
        <v>123</v>
      </c>
      <c r="I429" t="s">
        <v>182</v>
      </c>
      <c r="J429">
        <v>1</v>
      </c>
      <c r="K429">
        <v>12.3349397590361</v>
      </c>
      <c r="Z429"/>
    </row>
    <row r="430" spans="1:26" x14ac:dyDescent="0.25">
      <c r="A430" s="159" t="str">
        <f t="shared" si="19"/>
        <v>LB-San Francisco Mission District-Napa-Other maintenance</v>
      </c>
      <c r="B430">
        <v>3</v>
      </c>
      <c r="C430" t="str">
        <f t="shared" si="20"/>
        <v>San Francisco Mission District</v>
      </c>
      <c r="D430">
        <v>27</v>
      </c>
      <c r="E430" t="str">
        <f t="shared" si="20"/>
        <v>Napa</v>
      </c>
      <c r="F430" t="s">
        <v>325</v>
      </c>
      <c r="G430">
        <f t="shared" si="18"/>
        <v>4</v>
      </c>
      <c r="H430" t="s">
        <v>359</v>
      </c>
      <c r="I430" t="s">
        <v>191</v>
      </c>
      <c r="J430">
        <v>1</v>
      </c>
      <c r="K430">
        <v>5.9851301115241604</v>
      </c>
      <c r="Z430"/>
    </row>
    <row r="431" spans="1:26" x14ac:dyDescent="0.25">
      <c r="A431" s="159" t="str">
        <f t="shared" si="19"/>
        <v>LB-San Francisco Mission District-Napa-Social recreation</v>
      </c>
      <c r="B431">
        <v>3</v>
      </c>
      <c r="C431" t="str">
        <f t="shared" si="20"/>
        <v>San Francisco Mission District</v>
      </c>
      <c r="D431">
        <v>27</v>
      </c>
      <c r="E431" t="str">
        <f t="shared" si="20"/>
        <v>Napa</v>
      </c>
      <c r="F431" t="s">
        <v>324</v>
      </c>
      <c r="G431">
        <f t="shared" si="18"/>
        <v>5</v>
      </c>
      <c r="H431" t="s">
        <v>359</v>
      </c>
      <c r="I431" t="s">
        <v>191</v>
      </c>
      <c r="J431">
        <v>1</v>
      </c>
      <c r="K431">
        <v>5.9851301115241604</v>
      </c>
      <c r="Z431"/>
    </row>
    <row r="432" spans="1:26" x14ac:dyDescent="0.25">
      <c r="A432" s="159" t="str">
        <f t="shared" si="19"/>
        <v>FR-San Francisco Mission District-St Helena-Work</v>
      </c>
      <c r="B432">
        <v>3</v>
      </c>
      <c r="C432" t="str">
        <f t="shared" si="20"/>
        <v>San Francisco Mission District</v>
      </c>
      <c r="D432">
        <v>28</v>
      </c>
      <c r="E432" t="str">
        <f t="shared" si="20"/>
        <v>St Helena</v>
      </c>
      <c r="F432" t="s">
        <v>30</v>
      </c>
      <c r="G432">
        <f t="shared" si="18"/>
        <v>1</v>
      </c>
      <c r="H432" t="s">
        <v>360</v>
      </c>
      <c r="I432" t="s">
        <v>185</v>
      </c>
      <c r="J432">
        <v>1</v>
      </c>
      <c r="K432">
        <v>11.719387755102</v>
      </c>
      <c r="Z432"/>
    </row>
    <row r="433" spans="1:26" x14ac:dyDescent="0.25">
      <c r="A433" s="159" t="str">
        <f t="shared" si="19"/>
        <v>CR-San Francisco Mission District-Petaluma and Rohnert Park-Missing</v>
      </c>
      <c r="B433">
        <v>3</v>
      </c>
      <c r="C433" t="str">
        <f t="shared" si="20"/>
        <v>San Francisco Mission District</v>
      </c>
      <c r="D433">
        <v>29</v>
      </c>
      <c r="E433" t="str">
        <f t="shared" si="20"/>
        <v>Petaluma and Rohnert Park</v>
      </c>
      <c r="F433" t="s">
        <v>327</v>
      </c>
      <c r="G433">
        <f t="shared" si="18"/>
        <v>0</v>
      </c>
      <c r="H433" t="s">
        <v>125</v>
      </c>
      <c r="I433" t="s">
        <v>178</v>
      </c>
      <c r="J433">
        <v>1</v>
      </c>
      <c r="K433">
        <v>7.7247191011235996</v>
      </c>
      <c r="Z433"/>
    </row>
    <row r="434" spans="1:26" x14ac:dyDescent="0.25">
      <c r="A434" s="159" t="str">
        <f t="shared" si="19"/>
        <v>LR-San Francisco Mission District-Petaluma and Rohnert Park-Work</v>
      </c>
      <c r="B434">
        <v>3</v>
      </c>
      <c r="C434" t="str">
        <f t="shared" si="20"/>
        <v>San Francisco Mission District</v>
      </c>
      <c r="D434">
        <v>29</v>
      </c>
      <c r="E434" t="str">
        <f t="shared" si="20"/>
        <v>Petaluma and Rohnert Park</v>
      </c>
      <c r="F434" t="s">
        <v>30</v>
      </c>
      <c r="G434">
        <f t="shared" si="18"/>
        <v>1</v>
      </c>
      <c r="H434" t="s">
        <v>353</v>
      </c>
      <c r="I434" t="s">
        <v>194</v>
      </c>
      <c r="J434">
        <v>1</v>
      </c>
      <c r="K434">
        <v>286.12835472578797</v>
      </c>
      <c r="Z434"/>
    </row>
    <row r="435" spans="1:26" x14ac:dyDescent="0.25">
      <c r="A435" s="159" t="str">
        <f t="shared" si="19"/>
        <v>CR-San Francisco Mission District-Santa Rosa and Sebastopol-Social recreation</v>
      </c>
      <c r="B435">
        <v>3</v>
      </c>
      <c r="C435" t="str">
        <f t="shared" si="20"/>
        <v>San Francisco Mission District</v>
      </c>
      <c r="D435">
        <v>30</v>
      </c>
      <c r="E435" t="str">
        <f t="shared" si="20"/>
        <v>Santa Rosa and Sebastopol</v>
      </c>
      <c r="F435" t="s">
        <v>324</v>
      </c>
      <c r="G435">
        <f t="shared" si="18"/>
        <v>5</v>
      </c>
      <c r="H435" t="s">
        <v>125</v>
      </c>
      <c r="I435" t="s">
        <v>178</v>
      </c>
      <c r="J435">
        <v>1</v>
      </c>
      <c r="K435">
        <v>12.22</v>
      </c>
      <c r="Z435"/>
    </row>
    <row r="436" spans="1:26" x14ac:dyDescent="0.25">
      <c r="A436" s="159" t="str">
        <f t="shared" si="19"/>
        <v>LB-San Francisco Mission District-Novato-Missing</v>
      </c>
      <c r="B436">
        <v>3</v>
      </c>
      <c r="C436" t="str">
        <f t="shared" si="20"/>
        <v>San Francisco Mission District</v>
      </c>
      <c r="D436">
        <v>32</v>
      </c>
      <c r="E436" t="str">
        <f t="shared" si="20"/>
        <v>Novato</v>
      </c>
      <c r="F436" t="s">
        <v>327</v>
      </c>
      <c r="G436">
        <f t="shared" si="18"/>
        <v>0</v>
      </c>
      <c r="H436" t="s">
        <v>359</v>
      </c>
      <c r="I436" t="s">
        <v>191</v>
      </c>
      <c r="J436">
        <v>1</v>
      </c>
      <c r="K436">
        <v>73.75</v>
      </c>
      <c r="Z436"/>
    </row>
    <row r="437" spans="1:26" x14ac:dyDescent="0.25">
      <c r="A437" s="159" t="str">
        <f t="shared" si="19"/>
        <v>CR-San Francisco Mission District-San Rafael-Work</v>
      </c>
      <c r="B437">
        <v>3</v>
      </c>
      <c r="C437" t="str">
        <f t="shared" si="20"/>
        <v>San Francisco Mission District</v>
      </c>
      <c r="D437">
        <v>33</v>
      </c>
      <c r="E437" t="str">
        <f t="shared" si="20"/>
        <v>San Rafael</v>
      </c>
      <c r="F437" t="s">
        <v>30</v>
      </c>
      <c r="G437">
        <f t="shared" si="18"/>
        <v>1</v>
      </c>
      <c r="H437" t="s">
        <v>125</v>
      </c>
      <c r="I437" t="s">
        <v>178</v>
      </c>
      <c r="J437">
        <v>1</v>
      </c>
      <c r="K437">
        <v>7.7247191011235996</v>
      </c>
      <c r="Z437"/>
    </row>
    <row r="438" spans="1:26" x14ac:dyDescent="0.25">
      <c r="A438" s="159" t="str">
        <f t="shared" si="19"/>
        <v>LR-San Francisco Sunset District-Greater Downtown San Francisco-High school</v>
      </c>
      <c r="B438">
        <v>4</v>
      </c>
      <c r="C438" t="str">
        <f t="shared" si="20"/>
        <v>San Francisco Sunset District</v>
      </c>
      <c r="D438">
        <v>1</v>
      </c>
      <c r="E438" t="str">
        <f t="shared" si="20"/>
        <v>Greater Downtown San Francisco</v>
      </c>
      <c r="F438" t="s">
        <v>326</v>
      </c>
      <c r="G438">
        <f t="shared" si="18"/>
        <v>3</v>
      </c>
      <c r="H438" t="s">
        <v>353</v>
      </c>
      <c r="I438" t="s">
        <v>194</v>
      </c>
      <c r="J438">
        <v>1</v>
      </c>
      <c r="K438">
        <v>286.12835472578797</v>
      </c>
      <c r="Z438"/>
    </row>
    <row r="439" spans="1:26" x14ac:dyDescent="0.25">
      <c r="A439" s="159" t="str">
        <f t="shared" si="19"/>
        <v>LB-San Francisco Sunset District-Greater Downtown San Francisco-High school</v>
      </c>
      <c r="B439">
        <v>4</v>
      </c>
      <c r="C439" t="str">
        <f t="shared" si="20"/>
        <v>San Francisco Sunset District</v>
      </c>
      <c r="D439">
        <v>1</v>
      </c>
      <c r="E439" t="str">
        <f t="shared" si="20"/>
        <v>Greater Downtown San Francisco</v>
      </c>
      <c r="F439" t="s">
        <v>326</v>
      </c>
      <c r="G439">
        <f t="shared" si="18"/>
        <v>3</v>
      </c>
      <c r="H439" t="s">
        <v>359</v>
      </c>
      <c r="I439" t="s">
        <v>191</v>
      </c>
      <c r="J439">
        <v>1</v>
      </c>
      <c r="K439">
        <v>286.12835472578797</v>
      </c>
      <c r="Z439"/>
    </row>
    <row r="440" spans="1:26" x14ac:dyDescent="0.25">
      <c r="A440" s="159" t="str">
        <f t="shared" si="19"/>
        <v>LR-San Francisco Sunset District-Greater Downtown San Francisco-Missing</v>
      </c>
      <c r="B440">
        <v>4</v>
      </c>
      <c r="C440" t="str">
        <f t="shared" si="20"/>
        <v>San Francisco Sunset District</v>
      </c>
      <c r="D440">
        <v>1</v>
      </c>
      <c r="E440" t="str">
        <f t="shared" si="20"/>
        <v>Greater Downtown San Francisco</v>
      </c>
      <c r="F440" t="s">
        <v>327</v>
      </c>
      <c r="G440">
        <f t="shared" si="18"/>
        <v>0</v>
      </c>
      <c r="H440" t="s">
        <v>353</v>
      </c>
      <c r="I440" t="s">
        <v>194</v>
      </c>
      <c r="J440">
        <v>1</v>
      </c>
      <c r="K440">
        <v>1240.22676579926</v>
      </c>
      <c r="Z440"/>
    </row>
    <row r="441" spans="1:26" x14ac:dyDescent="0.25">
      <c r="A441" s="159" t="str">
        <f t="shared" si="19"/>
        <v>LR-San Francisco Sunset District-Greater Downtown San Francisco-Other maintenance</v>
      </c>
      <c r="B441">
        <v>4</v>
      </c>
      <c r="C441" t="str">
        <f t="shared" si="20"/>
        <v>San Francisco Sunset District</v>
      </c>
      <c r="D441">
        <v>1</v>
      </c>
      <c r="E441" t="str">
        <f t="shared" si="20"/>
        <v>Greater Downtown San Francisco</v>
      </c>
      <c r="F441" t="s">
        <v>325</v>
      </c>
      <c r="G441">
        <f t="shared" si="18"/>
        <v>4</v>
      </c>
      <c r="H441" t="s">
        <v>353</v>
      </c>
      <c r="I441" t="s">
        <v>194</v>
      </c>
      <c r="J441">
        <v>5</v>
      </c>
      <c r="K441">
        <v>3338.8385957758801</v>
      </c>
      <c r="Z441"/>
    </row>
    <row r="442" spans="1:26" x14ac:dyDescent="0.25">
      <c r="A442" s="159" t="str">
        <f t="shared" si="19"/>
        <v>LB-San Francisco Sunset District-Greater Downtown San Francisco-Other maintenance</v>
      </c>
      <c r="B442">
        <v>4</v>
      </c>
      <c r="C442" t="str">
        <f t="shared" si="20"/>
        <v>San Francisco Sunset District</v>
      </c>
      <c r="D442">
        <v>1</v>
      </c>
      <c r="E442" t="str">
        <f t="shared" si="20"/>
        <v>Greater Downtown San Francisco</v>
      </c>
      <c r="F442" t="s">
        <v>325</v>
      </c>
      <c r="G442">
        <f t="shared" si="18"/>
        <v>4</v>
      </c>
      <c r="H442" t="s">
        <v>359</v>
      </c>
      <c r="I442" t="s">
        <v>191</v>
      </c>
      <c r="J442">
        <v>3</v>
      </c>
      <c r="K442">
        <v>858.38506417736301</v>
      </c>
      <c r="Z442"/>
    </row>
    <row r="443" spans="1:26" x14ac:dyDescent="0.25">
      <c r="A443" s="159" t="str">
        <f t="shared" si="19"/>
        <v>LR-San Francisco Sunset District-Greater Downtown San Francisco-Shopping</v>
      </c>
      <c r="B443">
        <v>4</v>
      </c>
      <c r="C443" t="str">
        <f t="shared" si="20"/>
        <v>San Francisco Sunset District</v>
      </c>
      <c r="D443">
        <v>1</v>
      </c>
      <c r="E443" t="str">
        <f t="shared" si="20"/>
        <v>Greater Downtown San Francisco</v>
      </c>
      <c r="F443" t="s">
        <v>106</v>
      </c>
      <c r="G443">
        <f t="shared" si="18"/>
        <v>4</v>
      </c>
      <c r="H443" t="s">
        <v>353</v>
      </c>
      <c r="I443" t="s">
        <v>194</v>
      </c>
      <c r="J443">
        <v>5</v>
      </c>
      <c r="K443">
        <v>4292.9370068493499</v>
      </c>
      <c r="Z443"/>
    </row>
    <row r="444" spans="1:26" x14ac:dyDescent="0.25">
      <c r="A444" s="159" t="str">
        <f t="shared" si="19"/>
        <v>LR-San Francisco Sunset District-Greater Downtown San Francisco-Social recreation</v>
      </c>
      <c r="B444">
        <v>4</v>
      </c>
      <c r="C444" t="str">
        <f t="shared" si="20"/>
        <v>San Francisco Sunset District</v>
      </c>
      <c r="D444">
        <v>1</v>
      </c>
      <c r="E444" t="str">
        <f t="shared" si="20"/>
        <v>Greater Downtown San Francisco</v>
      </c>
      <c r="F444" t="s">
        <v>324</v>
      </c>
      <c r="G444">
        <f t="shared" si="18"/>
        <v>5</v>
      </c>
      <c r="H444" t="s">
        <v>353</v>
      </c>
      <c r="I444" t="s">
        <v>194</v>
      </c>
      <c r="J444">
        <v>13</v>
      </c>
      <c r="K444">
        <v>13260.6527221699</v>
      </c>
      <c r="Z444"/>
    </row>
    <row r="445" spans="1:26" x14ac:dyDescent="0.25">
      <c r="A445" s="159" t="str">
        <f t="shared" si="19"/>
        <v>LB-San Francisco Sunset District-Greater Downtown San Francisco-Social recreation</v>
      </c>
      <c r="B445">
        <v>4</v>
      </c>
      <c r="C445" t="str">
        <f t="shared" si="20"/>
        <v>San Francisco Sunset District</v>
      </c>
      <c r="D445">
        <v>1</v>
      </c>
      <c r="E445" t="str">
        <f t="shared" si="20"/>
        <v>Greater Downtown San Francisco</v>
      </c>
      <c r="F445" t="s">
        <v>324</v>
      </c>
      <c r="G445">
        <f t="shared" si="18"/>
        <v>5</v>
      </c>
      <c r="H445" t="s">
        <v>359</v>
      </c>
      <c r="I445" t="s">
        <v>191</v>
      </c>
      <c r="J445">
        <v>4</v>
      </c>
      <c r="K445">
        <v>1144.5134189031501</v>
      </c>
      <c r="Z445"/>
    </row>
    <row r="446" spans="1:26" x14ac:dyDescent="0.25">
      <c r="A446" s="159" t="str">
        <f t="shared" si="19"/>
        <v>HR-San Francisco Sunset District-Greater Downtown San Francisco-Work</v>
      </c>
      <c r="B446">
        <v>4</v>
      </c>
      <c r="C446" t="str">
        <f t="shared" si="20"/>
        <v>San Francisco Sunset District</v>
      </c>
      <c r="D446">
        <v>1</v>
      </c>
      <c r="E446" t="str">
        <f t="shared" si="20"/>
        <v>Greater Downtown San Francisco</v>
      </c>
      <c r="F446" t="s">
        <v>30</v>
      </c>
      <c r="G446">
        <f t="shared" si="18"/>
        <v>1</v>
      </c>
      <c r="H446" t="s">
        <v>124</v>
      </c>
      <c r="I446" t="s">
        <v>188</v>
      </c>
      <c r="J446">
        <v>3</v>
      </c>
      <c r="K446">
        <v>287.46629834254099</v>
      </c>
      <c r="Z446"/>
    </row>
    <row r="447" spans="1:26" x14ac:dyDescent="0.25">
      <c r="A447" s="159" t="str">
        <f t="shared" si="19"/>
        <v>LR-San Francisco Sunset District-Greater Downtown San Francisco-Work</v>
      </c>
      <c r="B447">
        <v>4</v>
      </c>
      <c r="C447" t="str">
        <f t="shared" si="20"/>
        <v>San Francisco Sunset District</v>
      </c>
      <c r="D447">
        <v>1</v>
      </c>
      <c r="E447" t="str">
        <f t="shared" si="20"/>
        <v>Greater Downtown San Francisco</v>
      </c>
      <c r="F447" t="s">
        <v>30</v>
      </c>
      <c r="G447">
        <f t="shared" si="18"/>
        <v>1</v>
      </c>
      <c r="H447" t="s">
        <v>353</v>
      </c>
      <c r="I447" t="s">
        <v>194</v>
      </c>
      <c r="J447">
        <v>18</v>
      </c>
      <c r="K447">
        <v>9920.8024404315402</v>
      </c>
      <c r="Z447"/>
    </row>
    <row r="448" spans="1:26" x14ac:dyDescent="0.25">
      <c r="A448" s="159" t="str">
        <f t="shared" si="19"/>
        <v>LB-San Francisco Sunset District-Greater Downtown San Francisco-Work</v>
      </c>
      <c r="B448">
        <v>4</v>
      </c>
      <c r="C448" t="str">
        <f t="shared" si="20"/>
        <v>San Francisco Sunset District</v>
      </c>
      <c r="D448">
        <v>1</v>
      </c>
      <c r="E448" t="str">
        <f t="shared" si="20"/>
        <v>Greater Downtown San Francisco</v>
      </c>
      <c r="F448" t="s">
        <v>30</v>
      </c>
      <c r="G448">
        <f t="shared" si="18"/>
        <v>1</v>
      </c>
      <c r="H448" t="s">
        <v>359</v>
      </c>
      <c r="I448" t="s">
        <v>191</v>
      </c>
      <c r="J448">
        <v>9</v>
      </c>
      <c r="K448">
        <v>2575.15519253209</v>
      </c>
      <c r="Z448"/>
    </row>
    <row r="449" spans="1:26" x14ac:dyDescent="0.25">
      <c r="A449" s="159" t="str">
        <f t="shared" si="19"/>
        <v>LB-San Francisco Sunset District-San Francisco Richmond District-High school</v>
      </c>
      <c r="B449">
        <v>4</v>
      </c>
      <c r="C449" t="str">
        <f t="shared" si="20"/>
        <v>San Francisco Sunset District</v>
      </c>
      <c r="D449">
        <v>2</v>
      </c>
      <c r="E449" t="str">
        <f t="shared" si="20"/>
        <v>San Francisco Richmond District</v>
      </c>
      <c r="F449" t="s">
        <v>326</v>
      </c>
      <c r="G449">
        <f t="shared" si="18"/>
        <v>3</v>
      </c>
      <c r="H449" t="s">
        <v>359</v>
      </c>
      <c r="I449" t="s">
        <v>191</v>
      </c>
      <c r="J449">
        <v>9</v>
      </c>
      <c r="K449">
        <v>2575.15519253209</v>
      </c>
      <c r="Z449"/>
    </row>
    <row r="450" spans="1:26" x14ac:dyDescent="0.25">
      <c r="A450" s="159" t="str">
        <f t="shared" si="19"/>
        <v>LR-San Francisco Sunset District-San Francisco Richmond District-Missing</v>
      </c>
      <c r="B450">
        <v>4</v>
      </c>
      <c r="C450" t="str">
        <f t="shared" si="20"/>
        <v>San Francisco Sunset District</v>
      </c>
      <c r="D450">
        <v>2</v>
      </c>
      <c r="E450" t="str">
        <f t="shared" si="20"/>
        <v>San Francisco Richmond District</v>
      </c>
      <c r="F450" t="s">
        <v>327</v>
      </c>
      <c r="G450">
        <f t="shared" ref="G450:G513" si="21">VLOOKUP(F450,$V$2:$X$10, 3,FALSE)</f>
        <v>0</v>
      </c>
      <c r="H450" t="s">
        <v>353</v>
      </c>
      <c r="I450" t="s">
        <v>194</v>
      </c>
      <c r="J450">
        <v>1</v>
      </c>
      <c r="K450">
        <v>286.12835472578797</v>
      </c>
      <c r="Z450"/>
    </row>
    <row r="451" spans="1:26" x14ac:dyDescent="0.25">
      <c r="A451" s="159" t="str">
        <f t="shared" ref="A451:A514" si="22" xml:space="preserve"> CONCATENATE(I451,"-",C451, "-",E451, "-",F451,)</f>
        <v>LR-San Francisco Sunset District-San Francisco Richmond District-Other maintenance</v>
      </c>
      <c r="B451">
        <v>4</v>
      </c>
      <c r="C451" t="str">
        <f t="shared" ref="C451:E514" si="23">VLOOKUP(B451,$S$2:$T$35,2,FALSE)</f>
        <v>San Francisco Sunset District</v>
      </c>
      <c r="D451">
        <v>2</v>
      </c>
      <c r="E451" t="str">
        <f t="shared" si="23"/>
        <v>San Francisco Richmond District</v>
      </c>
      <c r="F451" t="s">
        <v>325</v>
      </c>
      <c r="G451">
        <f t="shared" si="21"/>
        <v>4</v>
      </c>
      <c r="H451" t="s">
        <v>353</v>
      </c>
      <c r="I451" t="s">
        <v>194</v>
      </c>
      <c r="J451">
        <v>1</v>
      </c>
      <c r="K451">
        <v>286.12835472578797</v>
      </c>
      <c r="Z451"/>
    </row>
    <row r="452" spans="1:26" x14ac:dyDescent="0.25">
      <c r="A452" s="159" t="str">
        <f t="shared" si="22"/>
        <v>LB-San Francisco Sunset District-San Francisco Richmond District-Other maintenance</v>
      </c>
      <c r="B452">
        <v>4</v>
      </c>
      <c r="C452" t="str">
        <f t="shared" si="23"/>
        <v>San Francisco Sunset District</v>
      </c>
      <c r="D452">
        <v>2</v>
      </c>
      <c r="E452" t="str">
        <f t="shared" si="23"/>
        <v>San Francisco Richmond District</v>
      </c>
      <c r="F452" t="s">
        <v>325</v>
      </c>
      <c r="G452">
        <f t="shared" si="21"/>
        <v>4</v>
      </c>
      <c r="H452" t="s">
        <v>359</v>
      </c>
      <c r="I452" t="s">
        <v>191</v>
      </c>
      <c r="J452">
        <v>1</v>
      </c>
      <c r="K452">
        <v>286.12835472578797</v>
      </c>
      <c r="Z452"/>
    </row>
    <row r="453" spans="1:26" x14ac:dyDescent="0.25">
      <c r="A453" s="159" t="str">
        <f t="shared" si="22"/>
        <v>LB-San Francisco Sunset District-San Francisco Richmond District-Shopping</v>
      </c>
      <c r="B453">
        <v>4</v>
      </c>
      <c r="C453" t="str">
        <f t="shared" si="23"/>
        <v>San Francisco Sunset District</v>
      </c>
      <c r="D453">
        <v>2</v>
      </c>
      <c r="E453" t="str">
        <f t="shared" si="23"/>
        <v>San Francisco Richmond District</v>
      </c>
      <c r="F453" t="s">
        <v>106</v>
      </c>
      <c r="G453">
        <f t="shared" si="21"/>
        <v>4</v>
      </c>
      <c r="H453" t="s">
        <v>359</v>
      </c>
      <c r="I453" t="s">
        <v>191</v>
      </c>
      <c r="J453">
        <v>1</v>
      </c>
      <c r="K453">
        <v>286.12835472578797</v>
      </c>
      <c r="Z453"/>
    </row>
    <row r="454" spans="1:26" x14ac:dyDescent="0.25">
      <c r="A454" s="159" t="str">
        <f t="shared" si="22"/>
        <v>LR-San Francisco Sunset District-San Francisco Richmond District-Social recreation</v>
      </c>
      <c r="B454">
        <v>4</v>
      </c>
      <c r="C454" t="str">
        <f t="shared" si="23"/>
        <v>San Francisco Sunset District</v>
      </c>
      <c r="D454">
        <v>2</v>
      </c>
      <c r="E454" t="str">
        <f t="shared" si="23"/>
        <v>San Francisco Richmond District</v>
      </c>
      <c r="F454" t="s">
        <v>324</v>
      </c>
      <c r="G454">
        <f t="shared" si="21"/>
        <v>5</v>
      </c>
      <c r="H454" t="s">
        <v>353</v>
      </c>
      <c r="I454" t="s">
        <v>194</v>
      </c>
      <c r="J454">
        <v>6</v>
      </c>
      <c r="K454">
        <v>4579.0653615751398</v>
      </c>
      <c r="Z454"/>
    </row>
    <row r="455" spans="1:26" x14ac:dyDescent="0.25">
      <c r="A455" s="159" t="str">
        <f t="shared" si="22"/>
        <v>LB-San Francisco Sunset District-San Francisco Richmond District-Social recreation</v>
      </c>
      <c r="B455">
        <v>4</v>
      </c>
      <c r="C455" t="str">
        <f t="shared" si="23"/>
        <v>San Francisco Sunset District</v>
      </c>
      <c r="D455">
        <v>2</v>
      </c>
      <c r="E455" t="str">
        <f t="shared" si="23"/>
        <v>San Francisco Richmond District</v>
      </c>
      <c r="F455" t="s">
        <v>324</v>
      </c>
      <c r="G455">
        <f t="shared" si="21"/>
        <v>5</v>
      </c>
      <c r="H455" t="s">
        <v>359</v>
      </c>
      <c r="I455" t="s">
        <v>191</v>
      </c>
      <c r="J455">
        <v>2</v>
      </c>
      <c r="K455">
        <v>572.25670945157594</v>
      </c>
      <c r="Z455"/>
    </row>
    <row r="456" spans="1:26" x14ac:dyDescent="0.25">
      <c r="A456" s="159" t="str">
        <f t="shared" si="22"/>
        <v>LR-San Francisco Sunset District-San Francisco Richmond District-Work</v>
      </c>
      <c r="B456">
        <v>4</v>
      </c>
      <c r="C456" t="str">
        <f t="shared" si="23"/>
        <v>San Francisco Sunset District</v>
      </c>
      <c r="D456">
        <v>2</v>
      </c>
      <c r="E456" t="str">
        <f t="shared" si="23"/>
        <v>San Francisco Richmond District</v>
      </c>
      <c r="F456" t="s">
        <v>30</v>
      </c>
      <c r="G456">
        <f t="shared" si="21"/>
        <v>1</v>
      </c>
      <c r="H456" t="s">
        <v>353</v>
      </c>
      <c r="I456" t="s">
        <v>194</v>
      </c>
      <c r="J456">
        <v>6</v>
      </c>
      <c r="K456">
        <v>3624.96695050167</v>
      </c>
      <c r="Z456"/>
    </row>
    <row r="457" spans="1:26" x14ac:dyDescent="0.25">
      <c r="A457" s="159" t="str">
        <f t="shared" si="22"/>
        <v>LB-San Francisco Sunset District-San Francisco Richmond District-Work</v>
      </c>
      <c r="B457">
        <v>4</v>
      </c>
      <c r="C457" t="str">
        <f t="shared" si="23"/>
        <v>San Francisco Sunset District</v>
      </c>
      <c r="D457">
        <v>2</v>
      </c>
      <c r="E457" t="str">
        <f t="shared" si="23"/>
        <v>San Francisco Richmond District</v>
      </c>
      <c r="F457" t="s">
        <v>30</v>
      </c>
      <c r="G457">
        <f t="shared" si="21"/>
        <v>1</v>
      </c>
      <c r="H457" t="s">
        <v>359</v>
      </c>
      <c r="I457" t="s">
        <v>191</v>
      </c>
      <c r="J457">
        <v>1</v>
      </c>
      <c r="K457">
        <v>286.12835472578797</v>
      </c>
      <c r="Z457"/>
    </row>
    <row r="458" spans="1:26" x14ac:dyDescent="0.25">
      <c r="A458" s="159" t="str">
        <f t="shared" si="22"/>
        <v>LR-San Francisco Sunset District-San Francisco Mission District-High school</v>
      </c>
      <c r="B458">
        <v>4</v>
      </c>
      <c r="C458" t="str">
        <f t="shared" si="23"/>
        <v>San Francisco Sunset District</v>
      </c>
      <c r="D458">
        <v>3</v>
      </c>
      <c r="E458" t="str">
        <f t="shared" si="23"/>
        <v>San Francisco Mission District</v>
      </c>
      <c r="F458" t="s">
        <v>326</v>
      </c>
      <c r="G458">
        <f t="shared" si="21"/>
        <v>3</v>
      </c>
      <c r="H458" t="s">
        <v>353</v>
      </c>
      <c r="I458" t="s">
        <v>194</v>
      </c>
      <c r="J458">
        <v>1</v>
      </c>
      <c r="K458">
        <v>286.12835472578797</v>
      </c>
      <c r="Z458"/>
    </row>
    <row r="459" spans="1:26" x14ac:dyDescent="0.25">
      <c r="A459" s="159" t="str">
        <f t="shared" si="22"/>
        <v>LB-San Francisco Sunset District-San Francisco Mission District-High school</v>
      </c>
      <c r="B459">
        <v>4</v>
      </c>
      <c r="C459" t="str">
        <f t="shared" si="23"/>
        <v>San Francisco Sunset District</v>
      </c>
      <c r="D459">
        <v>3</v>
      </c>
      <c r="E459" t="str">
        <f t="shared" si="23"/>
        <v>San Francisco Mission District</v>
      </c>
      <c r="F459" t="s">
        <v>326</v>
      </c>
      <c r="G459">
        <f t="shared" si="21"/>
        <v>3</v>
      </c>
      <c r="H459" t="s">
        <v>359</v>
      </c>
      <c r="I459" t="s">
        <v>191</v>
      </c>
      <c r="J459">
        <v>8</v>
      </c>
      <c r="K459">
        <v>2289.0268378063001</v>
      </c>
      <c r="Z459"/>
    </row>
    <row r="460" spans="1:26" x14ac:dyDescent="0.25">
      <c r="A460" s="159" t="str">
        <f t="shared" si="22"/>
        <v>LB-San Francisco Sunset District-San Francisco Mission District-Missing</v>
      </c>
      <c r="B460">
        <v>4</v>
      </c>
      <c r="C460" t="str">
        <f t="shared" si="23"/>
        <v>San Francisco Sunset District</v>
      </c>
      <c r="D460">
        <v>3</v>
      </c>
      <c r="E460" t="str">
        <f t="shared" si="23"/>
        <v>San Francisco Mission District</v>
      </c>
      <c r="F460" t="s">
        <v>327</v>
      </c>
      <c r="G460">
        <f t="shared" si="21"/>
        <v>0</v>
      </c>
      <c r="H460" t="s">
        <v>359</v>
      </c>
      <c r="I460" t="s">
        <v>191</v>
      </c>
      <c r="J460">
        <v>3</v>
      </c>
      <c r="K460">
        <v>858.38506417736301</v>
      </c>
      <c r="Z460"/>
    </row>
    <row r="461" spans="1:26" x14ac:dyDescent="0.25">
      <c r="A461" s="159" t="str">
        <f t="shared" si="22"/>
        <v>HR-San Francisco Sunset District-San Francisco Mission District-Other maintenance</v>
      </c>
      <c r="B461">
        <v>4</v>
      </c>
      <c r="C461" t="str">
        <f t="shared" si="23"/>
        <v>San Francisco Sunset District</v>
      </c>
      <c r="D461">
        <v>3</v>
      </c>
      <c r="E461" t="str">
        <f t="shared" si="23"/>
        <v>San Francisco Mission District</v>
      </c>
      <c r="F461" t="s">
        <v>325</v>
      </c>
      <c r="G461">
        <f t="shared" si="21"/>
        <v>4</v>
      </c>
      <c r="H461" t="s">
        <v>124</v>
      </c>
      <c r="I461" t="s">
        <v>188</v>
      </c>
      <c r="J461">
        <v>1</v>
      </c>
      <c r="K461">
        <v>95.822099447513807</v>
      </c>
      <c r="Z461"/>
    </row>
    <row r="462" spans="1:26" x14ac:dyDescent="0.25">
      <c r="A462" s="159" t="str">
        <f t="shared" si="22"/>
        <v>LR-San Francisco Sunset District-San Francisco Mission District-Other maintenance</v>
      </c>
      <c r="B462">
        <v>4</v>
      </c>
      <c r="C462" t="str">
        <f t="shared" si="23"/>
        <v>San Francisco Sunset District</v>
      </c>
      <c r="D462">
        <v>3</v>
      </c>
      <c r="E462" t="str">
        <f t="shared" si="23"/>
        <v>San Francisco Mission District</v>
      </c>
      <c r="F462" t="s">
        <v>325</v>
      </c>
      <c r="G462">
        <f t="shared" si="21"/>
        <v>4</v>
      </c>
      <c r="H462" t="s">
        <v>353</v>
      </c>
      <c r="I462" t="s">
        <v>194</v>
      </c>
      <c r="J462">
        <v>3</v>
      </c>
      <c r="K462">
        <v>1812.48347525083</v>
      </c>
      <c r="Z462"/>
    </row>
    <row r="463" spans="1:26" x14ac:dyDescent="0.25">
      <c r="A463" s="159" t="str">
        <f t="shared" si="22"/>
        <v>LB-San Francisco Sunset District-San Francisco Mission District-Other maintenance</v>
      </c>
      <c r="B463">
        <v>4</v>
      </c>
      <c r="C463" t="str">
        <f t="shared" si="23"/>
        <v>San Francisco Sunset District</v>
      </c>
      <c r="D463">
        <v>3</v>
      </c>
      <c r="E463" t="str">
        <f t="shared" si="23"/>
        <v>San Francisco Mission District</v>
      </c>
      <c r="F463" t="s">
        <v>325</v>
      </c>
      <c r="G463">
        <f t="shared" si="21"/>
        <v>4</v>
      </c>
      <c r="H463" t="s">
        <v>359</v>
      </c>
      <c r="I463" t="s">
        <v>191</v>
      </c>
      <c r="J463">
        <v>1</v>
      </c>
      <c r="K463">
        <v>286.12835472578797</v>
      </c>
      <c r="Z463"/>
    </row>
    <row r="464" spans="1:26" x14ac:dyDescent="0.25">
      <c r="A464" s="159" t="str">
        <f t="shared" si="22"/>
        <v>LR-San Francisco Sunset District-San Francisco Mission District-Shopping</v>
      </c>
      <c r="B464">
        <v>4</v>
      </c>
      <c r="C464" t="str">
        <f t="shared" si="23"/>
        <v>San Francisco Sunset District</v>
      </c>
      <c r="D464">
        <v>3</v>
      </c>
      <c r="E464" t="str">
        <f t="shared" si="23"/>
        <v>San Francisco Mission District</v>
      </c>
      <c r="F464" t="s">
        <v>106</v>
      </c>
      <c r="G464">
        <f t="shared" si="21"/>
        <v>4</v>
      </c>
      <c r="H464" t="s">
        <v>353</v>
      </c>
      <c r="I464" t="s">
        <v>194</v>
      </c>
      <c r="J464">
        <v>1</v>
      </c>
      <c r="K464">
        <v>286.12835472578797</v>
      </c>
      <c r="Z464"/>
    </row>
    <row r="465" spans="1:26" x14ac:dyDescent="0.25">
      <c r="A465" s="159" t="str">
        <f t="shared" si="22"/>
        <v>LR-San Francisco Sunset District-San Francisco Mission District-Social recreation</v>
      </c>
      <c r="B465">
        <v>4</v>
      </c>
      <c r="C465" t="str">
        <f t="shared" si="23"/>
        <v>San Francisco Sunset District</v>
      </c>
      <c r="D465">
        <v>3</v>
      </c>
      <c r="E465" t="str">
        <f t="shared" si="23"/>
        <v>San Francisco Mission District</v>
      </c>
      <c r="F465" t="s">
        <v>324</v>
      </c>
      <c r="G465">
        <f t="shared" si="21"/>
        <v>5</v>
      </c>
      <c r="H465" t="s">
        <v>353</v>
      </c>
      <c r="I465" t="s">
        <v>194</v>
      </c>
      <c r="J465">
        <v>4</v>
      </c>
      <c r="K465">
        <v>3052.7102410500902</v>
      </c>
      <c r="Z465"/>
    </row>
    <row r="466" spans="1:26" x14ac:dyDescent="0.25">
      <c r="A466" s="159" t="str">
        <f t="shared" si="22"/>
        <v>LB-San Francisco Sunset District-San Francisco Mission District-Social recreation</v>
      </c>
      <c r="B466">
        <v>4</v>
      </c>
      <c r="C466" t="str">
        <f t="shared" si="23"/>
        <v>San Francisco Sunset District</v>
      </c>
      <c r="D466">
        <v>3</v>
      </c>
      <c r="E466" t="str">
        <f t="shared" si="23"/>
        <v>San Francisco Mission District</v>
      </c>
      <c r="F466" t="s">
        <v>324</v>
      </c>
      <c r="G466">
        <f t="shared" si="21"/>
        <v>5</v>
      </c>
      <c r="H466" t="s">
        <v>359</v>
      </c>
      <c r="I466" t="s">
        <v>191</v>
      </c>
      <c r="J466">
        <v>2</v>
      </c>
      <c r="K466">
        <v>2480.4535315985199</v>
      </c>
      <c r="Z466"/>
    </row>
    <row r="467" spans="1:26" x14ac:dyDescent="0.25">
      <c r="A467" s="159" t="str">
        <f t="shared" si="22"/>
        <v>HR-San Francisco Sunset District-San Francisco Mission District-Work</v>
      </c>
      <c r="B467">
        <v>4</v>
      </c>
      <c r="C467" t="str">
        <f t="shared" si="23"/>
        <v>San Francisco Sunset District</v>
      </c>
      <c r="D467">
        <v>3</v>
      </c>
      <c r="E467" t="str">
        <f t="shared" si="23"/>
        <v>San Francisco Mission District</v>
      </c>
      <c r="F467" t="s">
        <v>30</v>
      </c>
      <c r="G467">
        <f t="shared" si="21"/>
        <v>1</v>
      </c>
      <c r="H467" t="s">
        <v>124</v>
      </c>
      <c r="I467" t="s">
        <v>188</v>
      </c>
      <c r="J467">
        <v>1</v>
      </c>
      <c r="K467">
        <v>95.822099447513807</v>
      </c>
      <c r="Z467"/>
    </row>
    <row r="468" spans="1:26" x14ac:dyDescent="0.25">
      <c r="A468" s="159" t="str">
        <f t="shared" si="22"/>
        <v>LR-San Francisco Sunset District-San Francisco Mission District-Work</v>
      </c>
      <c r="B468">
        <v>4</v>
      </c>
      <c r="C468" t="str">
        <f t="shared" si="23"/>
        <v>San Francisco Sunset District</v>
      </c>
      <c r="D468">
        <v>3</v>
      </c>
      <c r="E468" t="str">
        <f t="shared" si="23"/>
        <v>San Francisco Mission District</v>
      </c>
      <c r="F468" t="s">
        <v>30</v>
      </c>
      <c r="G468">
        <f t="shared" si="21"/>
        <v>1</v>
      </c>
      <c r="H468" t="s">
        <v>353</v>
      </c>
      <c r="I468" t="s">
        <v>194</v>
      </c>
      <c r="J468">
        <v>6</v>
      </c>
      <c r="K468">
        <v>1716.7701283547201</v>
      </c>
      <c r="Z468"/>
    </row>
    <row r="469" spans="1:26" x14ac:dyDescent="0.25">
      <c r="A469" s="159" t="str">
        <f t="shared" si="22"/>
        <v>LB-San Francisco Sunset District-San Francisco Mission District-Work</v>
      </c>
      <c r="B469">
        <v>4</v>
      </c>
      <c r="C469" t="str">
        <f t="shared" si="23"/>
        <v>San Francisco Sunset District</v>
      </c>
      <c r="D469">
        <v>3</v>
      </c>
      <c r="E469" t="str">
        <f t="shared" si="23"/>
        <v>San Francisco Mission District</v>
      </c>
      <c r="F469" t="s">
        <v>30</v>
      </c>
      <c r="G469">
        <f t="shared" si="21"/>
        <v>1</v>
      </c>
      <c r="H469" t="s">
        <v>359</v>
      </c>
      <c r="I469" t="s">
        <v>191</v>
      </c>
      <c r="J469">
        <v>4</v>
      </c>
      <c r="K469">
        <v>1144.5134189031501</v>
      </c>
      <c r="Z469"/>
    </row>
    <row r="470" spans="1:26" x14ac:dyDescent="0.25">
      <c r="A470" s="159" t="str">
        <f t="shared" si="22"/>
        <v>LR-San Francisco Sunset District-San Francisco Sunset District-High school</v>
      </c>
      <c r="B470">
        <v>4</v>
      </c>
      <c r="C470" t="str">
        <f t="shared" si="23"/>
        <v>San Francisco Sunset District</v>
      </c>
      <c r="D470">
        <v>4</v>
      </c>
      <c r="E470" t="str">
        <f t="shared" si="23"/>
        <v>San Francisco Sunset District</v>
      </c>
      <c r="F470" t="s">
        <v>326</v>
      </c>
      <c r="G470">
        <f t="shared" si="21"/>
        <v>3</v>
      </c>
      <c r="H470" t="s">
        <v>353</v>
      </c>
      <c r="I470" t="s">
        <v>194</v>
      </c>
      <c r="J470">
        <v>1</v>
      </c>
      <c r="K470">
        <v>286.12835472578797</v>
      </c>
      <c r="Z470"/>
    </row>
    <row r="471" spans="1:26" x14ac:dyDescent="0.25">
      <c r="A471" s="159" t="str">
        <f t="shared" si="22"/>
        <v>LB-San Francisco Sunset District-San Francisco Sunset District-High school</v>
      </c>
      <c r="B471">
        <v>4</v>
      </c>
      <c r="C471" t="str">
        <f t="shared" si="23"/>
        <v>San Francisco Sunset District</v>
      </c>
      <c r="D471">
        <v>4</v>
      </c>
      <c r="E471" t="str">
        <f t="shared" si="23"/>
        <v>San Francisco Sunset District</v>
      </c>
      <c r="F471" t="s">
        <v>326</v>
      </c>
      <c r="G471">
        <f t="shared" si="21"/>
        <v>3</v>
      </c>
      <c r="H471" t="s">
        <v>359</v>
      </c>
      <c r="I471" t="s">
        <v>191</v>
      </c>
      <c r="J471">
        <v>8</v>
      </c>
      <c r="K471">
        <v>2042.24737456242</v>
      </c>
      <c r="Z471"/>
    </row>
    <row r="472" spans="1:26" x14ac:dyDescent="0.25">
      <c r="A472" s="159" t="str">
        <f t="shared" si="22"/>
        <v>LR-San Francisco Sunset District-San Francisco Sunset District-Missing</v>
      </c>
      <c r="B472">
        <v>4</v>
      </c>
      <c r="C472" t="str">
        <f t="shared" si="23"/>
        <v>San Francisco Sunset District</v>
      </c>
      <c r="D472">
        <v>4</v>
      </c>
      <c r="E472" t="str">
        <f t="shared" si="23"/>
        <v>San Francisco Sunset District</v>
      </c>
      <c r="F472" t="s">
        <v>327</v>
      </c>
      <c r="G472">
        <f t="shared" si="21"/>
        <v>0</v>
      </c>
      <c r="H472" t="s">
        <v>353</v>
      </c>
      <c r="I472" t="s">
        <v>194</v>
      </c>
      <c r="J472">
        <v>3</v>
      </c>
      <c r="K472">
        <v>1812.48347525083</v>
      </c>
      <c r="Z472"/>
    </row>
    <row r="473" spans="1:26" x14ac:dyDescent="0.25">
      <c r="A473" s="159" t="str">
        <f t="shared" si="22"/>
        <v>LR-San Francisco Sunset District-San Francisco Sunset District-Other maintenance</v>
      </c>
      <c r="B473">
        <v>4</v>
      </c>
      <c r="C473" t="str">
        <f t="shared" si="23"/>
        <v>San Francisco Sunset District</v>
      </c>
      <c r="D473">
        <v>4</v>
      </c>
      <c r="E473" t="str">
        <f t="shared" si="23"/>
        <v>San Francisco Sunset District</v>
      </c>
      <c r="F473" t="s">
        <v>325</v>
      </c>
      <c r="G473">
        <f t="shared" si="21"/>
        <v>4</v>
      </c>
      <c r="H473" t="s">
        <v>353</v>
      </c>
      <c r="I473" t="s">
        <v>194</v>
      </c>
      <c r="J473">
        <v>7</v>
      </c>
      <c r="K473">
        <v>2956.9968941539801</v>
      </c>
      <c r="Z473"/>
    </row>
    <row r="474" spans="1:26" x14ac:dyDescent="0.25">
      <c r="A474" s="159" t="str">
        <f t="shared" si="22"/>
        <v>LB-San Francisco Sunset District-San Francisco Sunset District-Other maintenance</v>
      </c>
      <c r="B474">
        <v>4</v>
      </c>
      <c r="C474" t="str">
        <f t="shared" si="23"/>
        <v>San Francisco Sunset District</v>
      </c>
      <c r="D474">
        <v>4</v>
      </c>
      <c r="E474" t="str">
        <f t="shared" si="23"/>
        <v>San Francisco Sunset District</v>
      </c>
      <c r="F474" t="s">
        <v>325</v>
      </c>
      <c r="G474">
        <f t="shared" si="21"/>
        <v>4</v>
      </c>
      <c r="H474" t="s">
        <v>359</v>
      </c>
      <c r="I474" t="s">
        <v>191</v>
      </c>
      <c r="J474">
        <v>3</v>
      </c>
      <c r="K474">
        <v>611.60560093348897</v>
      </c>
      <c r="Z474"/>
    </row>
    <row r="475" spans="1:26" x14ac:dyDescent="0.25">
      <c r="A475" s="159" t="str">
        <f t="shared" si="22"/>
        <v>LR-San Francisco Sunset District-San Francisco Sunset District-Shopping</v>
      </c>
      <c r="B475">
        <v>4</v>
      </c>
      <c r="C475" t="str">
        <f t="shared" si="23"/>
        <v>San Francisco Sunset District</v>
      </c>
      <c r="D475">
        <v>4</v>
      </c>
      <c r="E475" t="str">
        <f t="shared" si="23"/>
        <v>San Francisco Sunset District</v>
      </c>
      <c r="F475" t="s">
        <v>106</v>
      </c>
      <c r="G475">
        <f t="shared" si="21"/>
        <v>4</v>
      </c>
      <c r="H475" t="s">
        <v>353</v>
      </c>
      <c r="I475" t="s">
        <v>194</v>
      </c>
      <c r="J475">
        <v>2</v>
      </c>
      <c r="K475">
        <v>1526.3551205250401</v>
      </c>
      <c r="Z475"/>
    </row>
    <row r="476" spans="1:26" x14ac:dyDescent="0.25">
      <c r="A476" s="159" t="str">
        <f t="shared" si="22"/>
        <v>LR-San Francisco Sunset District-San Francisco Sunset District-Social recreation</v>
      </c>
      <c r="B476">
        <v>4</v>
      </c>
      <c r="C476" t="str">
        <f t="shared" si="23"/>
        <v>San Francisco Sunset District</v>
      </c>
      <c r="D476">
        <v>4</v>
      </c>
      <c r="E476" t="str">
        <f t="shared" si="23"/>
        <v>San Francisco Sunset District</v>
      </c>
      <c r="F476" t="s">
        <v>324</v>
      </c>
      <c r="G476">
        <f t="shared" si="21"/>
        <v>5</v>
      </c>
      <c r="H476" t="s">
        <v>353</v>
      </c>
      <c r="I476" t="s">
        <v>194</v>
      </c>
      <c r="J476">
        <v>5</v>
      </c>
      <c r="K476">
        <v>4292.9370068493499</v>
      </c>
      <c r="Z476"/>
    </row>
    <row r="477" spans="1:26" x14ac:dyDescent="0.25">
      <c r="A477" s="159" t="str">
        <f t="shared" si="22"/>
        <v>LB-San Francisco Sunset District-San Francisco Sunset District-Social recreation</v>
      </c>
      <c r="B477">
        <v>4</v>
      </c>
      <c r="C477" t="str">
        <f t="shared" si="23"/>
        <v>San Francisco Sunset District</v>
      </c>
      <c r="D477">
        <v>4</v>
      </c>
      <c r="E477" t="str">
        <f t="shared" si="23"/>
        <v>San Francisco Sunset District</v>
      </c>
      <c r="F477" t="s">
        <v>324</v>
      </c>
      <c r="G477">
        <f t="shared" si="21"/>
        <v>5</v>
      </c>
      <c r="H477" t="s">
        <v>359</v>
      </c>
      <c r="I477" t="s">
        <v>191</v>
      </c>
      <c r="J477">
        <v>2</v>
      </c>
      <c r="K477">
        <v>572.25670945157594</v>
      </c>
      <c r="Z477"/>
    </row>
    <row r="478" spans="1:26" x14ac:dyDescent="0.25">
      <c r="A478" s="159" t="str">
        <f t="shared" si="22"/>
        <v>HR-San Francisco Sunset District-San Francisco Sunset District-Work</v>
      </c>
      <c r="B478">
        <v>4</v>
      </c>
      <c r="C478" t="str">
        <f t="shared" si="23"/>
        <v>San Francisco Sunset District</v>
      </c>
      <c r="D478">
        <v>4</v>
      </c>
      <c r="E478" t="str">
        <f t="shared" si="23"/>
        <v>San Francisco Sunset District</v>
      </c>
      <c r="F478" t="s">
        <v>30</v>
      </c>
      <c r="G478">
        <f t="shared" si="21"/>
        <v>1</v>
      </c>
      <c r="H478" t="s">
        <v>124</v>
      </c>
      <c r="I478" t="s">
        <v>188</v>
      </c>
      <c r="J478">
        <v>1</v>
      </c>
      <c r="K478">
        <v>95.822099447513807</v>
      </c>
      <c r="Z478"/>
    </row>
    <row r="479" spans="1:26" x14ac:dyDescent="0.25">
      <c r="A479" s="159" t="str">
        <f t="shared" si="22"/>
        <v>LR-San Francisco Sunset District-San Francisco Sunset District-Work</v>
      </c>
      <c r="B479">
        <v>4</v>
      </c>
      <c r="C479" t="str">
        <f t="shared" si="23"/>
        <v>San Francisco Sunset District</v>
      </c>
      <c r="D479">
        <v>4</v>
      </c>
      <c r="E479" t="str">
        <f t="shared" si="23"/>
        <v>San Francisco Sunset District</v>
      </c>
      <c r="F479" t="s">
        <v>30</v>
      </c>
      <c r="G479">
        <f t="shared" si="21"/>
        <v>1</v>
      </c>
      <c r="H479" t="s">
        <v>353</v>
      </c>
      <c r="I479" t="s">
        <v>194</v>
      </c>
      <c r="J479">
        <v>1</v>
      </c>
      <c r="K479">
        <v>286.12835472578797</v>
      </c>
      <c r="Z479"/>
    </row>
    <row r="480" spans="1:26" x14ac:dyDescent="0.25">
      <c r="A480" s="159" t="str">
        <f t="shared" si="22"/>
        <v>LB-San Francisco Sunset District-San Francisco Sunset District-Work</v>
      </c>
      <c r="B480">
        <v>4</v>
      </c>
      <c r="C480" t="str">
        <f t="shared" si="23"/>
        <v>San Francisco Sunset District</v>
      </c>
      <c r="D480">
        <v>4</v>
      </c>
      <c r="E480" t="str">
        <f t="shared" si="23"/>
        <v>San Francisco Sunset District</v>
      </c>
      <c r="F480" t="s">
        <v>30</v>
      </c>
      <c r="G480">
        <f t="shared" si="21"/>
        <v>1</v>
      </c>
      <c r="H480" t="s">
        <v>359</v>
      </c>
      <c r="I480" t="s">
        <v>191</v>
      </c>
      <c r="J480">
        <v>6</v>
      </c>
      <c r="K480">
        <v>1716.7701283547201</v>
      </c>
      <c r="Z480"/>
    </row>
    <row r="481" spans="1:26" x14ac:dyDescent="0.25">
      <c r="A481" s="159" t="str">
        <f t="shared" si="22"/>
        <v>LB-San Francisco Sunset District-Daly City and San Bruno-High school</v>
      </c>
      <c r="B481">
        <v>4</v>
      </c>
      <c r="C481" t="str">
        <f t="shared" si="23"/>
        <v>San Francisco Sunset District</v>
      </c>
      <c r="D481">
        <v>5</v>
      </c>
      <c r="E481" t="str">
        <f t="shared" si="23"/>
        <v>Daly City and San Bruno</v>
      </c>
      <c r="F481" t="s">
        <v>326</v>
      </c>
      <c r="G481">
        <f t="shared" si="21"/>
        <v>3</v>
      </c>
      <c r="H481" t="s">
        <v>359</v>
      </c>
      <c r="I481" t="s">
        <v>191</v>
      </c>
      <c r="J481">
        <v>1</v>
      </c>
      <c r="K481">
        <v>286.12835472578797</v>
      </c>
      <c r="Z481"/>
    </row>
    <row r="482" spans="1:26" x14ac:dyDescent="0.25">
      <c r="A482" s="159" t="str">
        <f t="shared" si="22"/>
        <v>LB-San Francisco Sunset District-Daly City and San Bruno-Missing</v>
      </c>
      <c r="B482">
        <v>4</v>
      </c>
      <c r="C482" t="str">
        <f t="shared" si="23"/>
        <v>San Francisco Sunset District</v>
      </c>
      <c r="D482">
        <v>5</v>
      </c>
      <c r="E482" t="str">
        <f t="shared" si="23"/>
        <v>Daly City and San Bruno</v>
      </c>
      <c r="F482" t="s">
        <v>327</v>
      </c>
      <c r="G482">
        <f t="shared" si="21"/>
        <v>0</v>
      </c>
      <c r="H482" t="s">
        <v>359</v>
      </c>
      <c r="I482" t="s">
        <v>191</v>
      </c>
      <c r="J482">
        <v>2</v>
      </c>
      <c r="K482">
        <v>78.697782963827194</v>
      </c>
      <c r="Z482"/>
    </row>
    <row r="483" spans="1:26" x14ac:dyDescent="0.25">
      <c r="A483" s="159" t="str">
        <f t="shared" si="22"/>
        <v>LB-San Francisco Sunset District-Daly City and San Bruno-Shopping</v>
      </c>
      <c r="B483">
        <v>4</v>
      </c>
      <c r="C483" t="str">
        <f t="shared" si="23"/>
        <v>San Francisco Sunset District</v>
      </c>
      <c r="D483">
        <v>5</v>
      </c>
      <c r="E483" t="str">
        <f t="shared" si="23"/>
        <v>Daly City and San Bruno</v>
      </c>
      <c r="F483" t="s">
        <v>106</v>
      </c>
      <c r="G483">
        <f t="shared" si="21"/>
        <v>4</v>
      </c>
      <c r="H483" t="s">
        <v>359</v>
      </c>
      <c r="I483" t="s">
        <v>191</v>
      </c>
      <c r="J483">
        <v>5</v>
      </c>
      <c r="K483">
        <v>196.74445740956699</v>
      </c>
      <c r="Z483"/>
    </row>
    <row r="484" spans="1:26" x14ac:dyDescent="0.25">
      <c r="A484" s="159" t="str">
        <f t="shared" si="22"/>
        <v>LB-San Francisco Sunset District-Daly City and San Bruno-Social recreation</v>
      </c>
      <c r="B484">
        <v>4</v>
      </c>
      <c r="C484" t="str">
        <f t="shared" si="23"/>
        <v>San Francisco Sunset District</v>
      </c>
      <c r="D484">
        <v>5</v>
      </c>
      <c r="E484" t="str">
        <f t="shared" si="23"/>
        <v>Daly City and San Bruno</v>
      </c>
      <c r="F484" t="s">
        <v>324</v>
      </c>
      <c r="G484">
        <f t="shared" si="21"/>
        <v>5</v>
      </c>
      <c r="H484" t="s">
        <v>359</v>
      </c>
      <c r="I484" t="s">
        <v>191</v>
      </c>
      <c r="J484">
        <v>1</v>
      </c>
      <c r="K484">
        <v>131.13605442176899</v>
      </c>
      <c r="Z484"/>
    </row>
    <row r="485" spans="1:26" x14ac:dyDescent="0.25">
      <c r="A485" s="159" t="str">
        <f t="shared" si="22"/>
        <v>HR-San Francisco Sunset District-Daly City and San Bruno-Work</v>
      </c>
      <c r="B485">
        <v>4</v>
      </c>
      <c r="C485" t="str">
        <f t="shared" si="23"/>
        <v>San Francisco Sunset District</v>
      </c>
      <c r="D485">
        <v>5</v>
      </c>
      <c r="E485" t="str">
        <f t="shared" si="23"/>
        <v>Daly City and San Bruno</v>
      </c>
      <c r="F485" t="s">
        <v>30</v>
      </c>
      <c r="G485">
        <f t="shared" si="21"/>
        <v>1</v>
      </c>
      <c r="H485" t="s">
        <v>124</v>
      </c>
      <c r="I485" t="s">
        <v>188</v>
      </c>
      <c r="J485">
        <v>3</v>
      </c>
      <c r="K485">
        <v>387.158152383399</v>
      </c>
      <c r="Z485"/>
    </row>
    <row r="486" spans="1:26" x14ac:dyDescent="0.25">
      <c r="A486" s="159" t="str">
        <f t="shared" si="22"/>
        <v>LB-San Francisco Sunset District-Daly City and San Bruno-Work</v>
      </c>
      <c r="B486">
        <v>4</v>
      </c>
      <c r="C486" t="str">
        <f t="shared" si="23"/>
        <v>San Francisco Sunset District</v>
      </c>
      <c r="D486">
        <v>5</v>
      </c>
      <c r="E486" t="str">
        <f t="shared" si="23"/>
        <v>Daly City and San Bruno</v>
      </c>
      <c r="F486" t="s">
        <v>30</v>
      </c>
      <c r="G486">
        <f t="shared" si="21"/>
        <v>1</v>
      </c>
      <c r="H486" t="s">
        <v>359</v>
      </c>
      <c r="I486" t="s">
        <v>191</v>
      </c>
      <c r="J486">
        <v>1</v>
      </c>
      <c r="K486">
        <v>39.348891481913597</v>
      </c>
      <c r="Z486"/>
    </row>
    <row r="487" spans="1:26" x14ac:dyDescent="0.25">
      <c r="A487" s="159" t="str">
        <f t="shared" si="22"/>
        <v>CR-San Francisco Sunset District-San Mateo and Burlingame-High school</v>
      </c>
      <c r="B487">
        <v>4</v>
      </c>
      <c r="C487" t="str">
        <f t="shared" si="23"/>
        <v>San Francisco Sunset District</v>
      </c>
      <c r="D487">
        <v>6</v>
      </c>
      <c r="E487" t="str">
        <f t="shared" si="23"/>
        <v>San Mateo and Burlingame</v>
      </c>
      <c r="F487" t="s">
        <v>326</v>
      </c>
      <c r="G487">
        <f t="shared" si="21"/>
        <v>3</v>
      </c>
      <c r="H487" t="s">
        <v>125</v>
      </c>
      <c r="I487" t="s">
        <v>178</v>
      </c>
      <c r="J487">
        <v>1</v>
      </c>
      <c r="K487">
        <v>25.1469534050179</v>
      </c>
      <c r="Z487"/>
    </row>
    <row r="488" spans="1:26" x14ac:dyDescent="0.25">
      <c r="A488" s="159" t="str">
        <f t="shared" si="22"/>
        <v>HR-San Francisco Sunset District-San Mateo and Burlingame-High school</v>
      </c>
      <c r="B488">
        <v>4</v>
      </c>
      <c r="C488" t="str">
        <f t="shared" si="23"/>
        <v>San Francisco Sunset District</v>
      </c>
      <c r="D488">
        <v>6</v>
      </c>
      <c r="E488" t="str">
        <f t="shared" si="23"/>
        <v>San Mateo and Burlingame</v>
      </c>
      <c r="F488" t="s">
        <v>326</v>
      </c>
      <c r="G488">
        <f t="shared" si="21"/>
        <v>3</v>
      </c>
      <c r="H488" t="s">
        <v>124</v>
      </c>
      <c r="I488" t="s">
        <v>188</v>
      </c>
      <c r="J488">
        <v>1</v>
      </c>
      <c r="K488">
        <v>95.822099447513807</v>
      </c>
      <c r="Z488"/>
    </row>
    <row r="489" spans="1:26" x14ac:dyDescent="0.25">
      <c r="A489" s="159" t="str">
        <f t="shared" si="22"/>
        <v>CR-San Francisco Sunset District-Redwood City and Menlo Park-Missing</v>
      </c>
      <c r="B489">
        <v>4</v>
      </c>
      <c r="C489" t="str">
        <f t="shared" si="23"/>
        <v>San Francisco Sunset District</v>
      </c>
      <c r="D489">
        <v>7</v>
      </c>
      <c r="E489" t="str">
        <f t="shared" si="23"/>
        <v>Redwood City and Menlo Park</v>
      </c>
      <c r="F489" t="s">
        <v>327</v>
      </c>
      <c r="G489">
        <f t="shared" si="21"/>
        <v>0</v>
      </c>
      <c r="H489" t="s">
        <v>125</v>
      </c>
      <c r="I489" t="s">
        <v>178</v>
      </c>
      <c r="J489">
        <v>1</v>
      </c>
      <c r="K489">
        <v>25.1469534050179</v>
      </c>
      <c r="Z489"/>
    </row>
    <row r="490" spans="1:26" x14ac:dyDescent="0.25">
      <c r="A490" s="159" t="str">
        <f t="shared" si="22"/>
        <v>CR-San Francisco Sunset District-Redwood City and Menlo Park-Work</v>
      </c>
      <c r="B490">
        <v>4</v>
      </c>
      <c r="C490" t="str">
        <f t="shared" si="23"/>
        <v>San Francisco Sunset District</v>
      </c>
      <c r="D490">
        <v>7</v>
      </c>
      <c r="E490" t="str">
        <f t="shared" si="23"/>
        <v>Redwood City and Menlo Park</v>
      </c>
      <c r="F490" t="s">
        <v>30</v>
      </c>
      <c r="G490">
        <f t="shared" si="21"/>
        <v>1</v>
      </c>
      <c r="H490" t="s">
        <v>125</v>
      </c>
      <c r="I490" t="s">
        <v>178</v>
      </c>
      <c r="J490">
        <v>1</v>
      </c>
      <c r="K490">
        <v>23.4305084745763</v>
      </c>
      <c r="Z490"/>
    </row>
    <row r="491" spans="1:26" x14ac:dyDescent="0.25">
      <c r="A491" s="159" t="str">
        <f t="shared" si="22"/>
        <v>CR-San Francisco Sunset District-Palo Alto and Los Altos-Work</v>
      </c>
      <c r="B491">
        <v>4</v>
      </c>
      <c r="C491" t="str">
        <f t="shared" si="23"/>
        <v>San Francisco Sunset District</v>
      </c>
      <c r="D491">
        <v>8</v>
      </c>
      <c r="E491" t="str">
        <f t="shared" si="23"/>
        <v>Palo Alto and Los Altos</v>
      </c>
      <c r="F491" t="s">
        <v>30</v>
      </c>
      <c r="G491">
        <f t="shared" si="21"/>
        <v>1</v>
      </c>
      <c r="H491" t="s">
        <v>125</v>
      </c>
      <c r="I491" t="s">
        <v>178</v>
      </c>
      <c r="J491">
        <v>1</v>
      </c>
      <c r="K491">
        <v>23.4305084745763</v>
      </c>
      <c r="Z491"/>
    </row>
    <row r="492" spans="1:26" x14ac:dyDescent="0.25">
      <c r="A492" s="159" t="str">
        <f t="shared" si="22"/>
        <v>LR-San Francisco Sunset District-Sunnyvale and Mountain View-Work</v>
      </c>
      <c r="B492">
        <v>4</v>
      </c>
      <c r="C492" t="str">
        <f t="shared" si="23"/>
        <v>San Francisco Sunset District</v>
      </c>
      <c r="D492">
        <v>9</v>
      </c>
      <c r="E492" t="str">
        <f t="shared" si="23"/>
        <v>Sunnyvale and Mountain View</v>
      </c>
      <c r="F492" t="s">
        <v>30</v>
      </c>
      <c r="G492">
        <f t="shared" si="21"/>
        <v>1</v>
      </c>
      <c r="H492" t="s">
        <v>353</v>
      </c>
      <c r="I492" t="s">
        <v>194</v>
      </c>
      <c r="J492">
        <v>1</v>
      </c>
      <c r="K492">
        <v>62.646773074254</v>
      </c>
      <c r="Z492"/>
    </row>
    <row r="493" spans="1:26" x14ac:dyDescent="0.25">
      <c r="A493" s="159" t="str">
        <f t="shared" si="22"/>
        <v>LB-San Francisco Sunset District-Central San Jose-Other maintenance</v>
      </c>
      <c r="B493">
        <v>4</v>
      </c>
      <c r="C493" t="str">
        <f t="shared" si="23"/>
        <v>San Francisco Sunset District</v>
      </c>
      <c r="D493">
        <v>11</v>
      </c>
      <c r="E493" t="str">
        <f t="shared" si="23"/>
        <v>Central San Jose</v>
      </c>
      <c r="F493" t="s">
        <v>325</v>
      </c>
      <c r="G493">
        <f t="shared" si="21"/>
        <v>4</v>
      </c>
      <c r="H493" t="s">
        <v>359</v>
      </c>
      <c r="I493" t="s">
        <v>191</v>
      </c>
      <c r="J493">
        <v>1</v>
      </c>
      <c r="K493">
        <v>286.12835472578797</v>
      </c>
      <c r="Z493"/>
    </row>
    <row r="494" spans="1:26" x14ac:dyDescent="0.25">
      <c r="A494" s="159" t="str">
        <f t="shared" si="22"/>
        <v>HR-San Francisco Sunset District-Milpitas and East San Jose-Missing</v>
      </c>
      <c r="B494">
        <v>4</v>
      </c>
      <c r="C494" t="str">
        <f t="shared" si="23"/>
        <v>San Francisco Sunset District</v>
      </c>
      <c r="D494">
        <v>12</v>
      </c>
      <c r="E494" t="str">
        <f t="shared" si="23"/>
        <v>Milpitas and East San Jose</v>
      </c>
      <c r="F494" t="s">
        <v>327</v>
      </c>
      <c r="G494">
        <f t="shared" si="21"/>
        <v>0</v>
      </c>
      <c r="H494" t="s">
        <v>124</v>
      </c>
      <c r="I494" t="s">
        <v>188</v>
      </c>
      <c r="J494">
        <v>1</v>
      </c>
      <c r="K494">
        <v>95.822099447513807</v>
      </c>
      <c r="Z494"/>
    </row>
    <row r="495" spans="1:26" x14ac:dyDescent="0.25">
      <c r="A495" s="159" t="str">
        <f t="shared" si="22"/>
        <v>LB-San Francisco Sunset District-Milpitas and East San Jose-Missing</v>
      </c>
      <c r="B495">
        <v>4</v>
      </c>
      <c r="C495" t="str">
        <f t="shared" si="23"/>
        <v>San Francisco Sunset District</v>
      </c>
      <c r="D495">
        <v>12</v>
      </c>
      <c r="E495" t="str">
        <f t="shared" si="23"/>
        <v>Milpitas and East San Jose</v>
      </c>
      <c r="F495" t="s">
        <v>327</v>
      </c>
      <c r="G495">
        <f t="shared" si="21"/>
        <v>0</v>
      </c>
      <c r="H495" t="s">
        <v>359</v>
      </c>
      <c r="I495" t="s">
        <v>191</v>
      </c>
      <c r="J495">
        <v>1</v>
      </c>
      <c r="K495">
        <v>286.12835472578797</v>
      </c>
      <c r="Z495"/>
    </row>
    <row r="496" spans="1:26" x14ac:dyDescent="0.25">
      <c r="A496" s="159" t="str">
        <f t="shared" si="22"/>
        <v>LB-San Francisco Sunset District-Milpitas and East San Jose-Other maintenance</v>
      </c>
      <c r="B496">
        <v>4</v>
      </c>
      <c r="C496" t="str">
        <f t="shared" si="23"/>
        <v>San Francisco Sunset District</v>
      </c>
      <c r="D496">
        <v>12</v>
      </c>
      <c r="E496" t="str">
        <f t="shared" si="23"/>
        <v>Milpitas and East San Jose</v>
      </c>
      <c r="F496" t="s">
        <v>325</v>
      </c>
      <c r="G496">
        <f t="shared" si="21"/>
        <v>4</v>
      </c>
      <c r="H496" t="s">
        <v>359</v>
      </c>
      <c r="I496" t="s">
        <v>191</v>
      </c>
      <c r="J496">
        <v>1</v>
      </c>
      <c r="K496">
        <v>270.93214285714299</v>
      </c>
      <c r="Z496"/>
    </row>
    <row r="497" spans="1:26" x14ac:dyDescent="0.25">
      <c r="A497" s="159" t="str">
        <f t="shared" si="22"/>
        <v>CR-San Francisco Sunset District-South San Jose-Social recreation</v>
      </c>
      <c r="B497">
        <v>4</v>
      </c>
      <c r="C497" t="str">
        <f t="shared" si="23"/>
        <v>San Francisco Sunset District</v>
      </c>
      <c r="D497">
        <v>13</v>
      </c>
      <c r="E497" t="str">
        <f t="shared" si="23"/>
        <v>South San Jose</v>
      </c>
      <c r="F497" t="s">
        <v>324</v>
      </c>
      <c r="G497">
        <f t="shared" si="21"/>
        <v>5</v>
      </c>
      <c r="H497" t="s">
        <v>125</v>
      </c>
      <c r="I497" t="s">
        <v>178</v>
      </c>
      <c r="J497">
        <v>1</v>
      </c>
      <c r="K497">
        <v>25.1469534050179</v>
      </c>
      <c r="Z497"/>
    </row>
    <row r="498" spans="1:26" x14ac:dyDescent="0.25">
      <c r="A498" s="159" t="str">
        <f t="shared" si="22"/>
        <v>CR-San Francisco Sunset District-Gilroy and Morgan Hill-Social recreation</v>
      </c>
      <c r="B498">
        <v>4</v>
      </c>
      <c r="C498" t="str">
        <f t="shared" si="23"/>
        <v>San Francisco Sunset District</v>
      </c>
      <c r="D498">
        <v>14</v>
      </c>
      <c r="E498" t="str">
        <f t="shared" si="23"/>
        <v>Gilroy and Morgan Hill</v>
      </c>
      <c r="F498" t="s">
        <v>324</v>
      </c>
      <c r="G498">
        <f t="shared" si="21"/>
        <v>5</v>
      </c>
      <c r="H498" t="s">
        <v>125</v>
      </c>
      <c r="I498" t="s">
        <v>178</v>
      </c>
      <c r="J498">
        <v>1</v>
      </c>
      <c r="K498">
        <v>23.4305084745763</v>
      </c>
      <c r="Z498"/>
    </row>
    <row r="499" spans="1:26" x14ac:dyDescent="0.25">
      <c r="A499" s="159" t="str">
        <f t="shared" si="22"/>
        <v>LB-San Francisco Sunset District-Livermore and Pleasanton-Other maintenance</v>
      </c>
      <c r="B499">
        <v>4</v>
      </c>
      <c r="C499" t="str">
        <f t="shared" si="23"/>
        <v>San Francisco Sunset District</v>
      </c>
      <c r="D499">
        <v>15</v>
      </c>
      <c r="E499" t="str">
        <f t="shared" si="23"/>
        <v>Livermore and Pleasanton</v>
      </c>
      <c r="F499" t="s">
        <v>325</v>
      </c>
      <c r="G499">
        <f t="shared" si="21"/>
        <v>4</v>
      </c>
      <c r="H499" t="s">
        <v>359</v>
      </c>
      <c r="I499" t="s">
        <v>191</v>
      </c>
      <c r="J499">
        <v>1</v>
      </c>
      <c r="K499">
        <v>286.12835472578797</v>
      </c>
      <c r="Z499"/>
    </row>
    <row r="500" spans="1:26" x14ac:dyDescent="0.25">
      <c r="A500" s="159" t="str">
        <f t="shared" si="22"/>
        <v>LB-San Francisco Sunset District-Livermore and Pleasanton-Work</v>
      </c>
      <c r="B500">
        <v>4</v>
      </c>
      <c r="C500" t="str">
        <f t="shared" si="23"/>
        <v>San Francisco Sunset District</v>
      </c>
      <c r="D500">
        <v>15</v>
      </c>
      <c r="E500" t="str">
        <f t="shared" si="23"/>
        <v>Livermore and Pleasanton</v>
      </c>
      <c r="F500" t="s">
        <v>30</v>
      </c>
      <c r="G500">
        <f t="shared" si="21"/>
        <v>1</v>
      </c>
      <c r="H500" t="s">
        <v>359</v>
      </c>
      <c r="I500" t="s">
        <v>191</v>
      </c>
      <c r="J500">
        <v>1</v>
      </c>
      <c r="K500">
        <v>14.1111111111111</v>
      </c>
      <c r="Z500"/>
    </row>
    <row r="501" spans="1:26" x14ac:dyDescent="0.25">
      <c r="A501" s="159" t="str">
        <f t="shared" si="22"/>
        <v>HR-San Francisco Sunset District-Fremont and Union City-High school</v>
      </c>
      <c r="B501">
        <v>4</v>
      </c>
      <c r="C501" t="str">
        <f t="shared" si="23"/>
        <v>San Francisco Sunset District</v>
      </c>
      <c r="D501">
        <v>16</v>
      </c>
      <c r="E501" t="str">
        <f t="shared" si="23"/>
        <v>Fremont and Union City</v>
      </c>
      <c r="F501" t="s">
        <v>326</v>
      </c>
      <c r="G501">
        <f t="shared" si="21"/>
        <v>3</v>
      </c>
      <c r="H501" t="s">
        <v>124</v>
      </c>
      <c r="I501" t="s">
        <v>188</v>
      </c>
      <c r="J501">
        <v>1</v>
      </c>
      <c r="K501">
        <v>95.822099447513807</v>
      </c>
      <c r="Z501"/>
    </row>
    <row r="502" spans="1:26" x14ac:dyDescent="0.25">
      <c r="A502" s="159" t="str">
        <f t="shared" si="22"/>
        <v>LB-San Francisco Sunset District-Fremont and Union City-High school</v>
      </c>
      <c r="B502">
        <v>4</v>
      </c>
      <c r="C502" t="str">
        <f t="shared" si="23"/>
        <v>San Francisco Sunset District</v>
      </c>
      <c r="D502">
        <v>16</v>
      </c>
      <c r="E502" t="str">
        <f t="shared" si="23"/>
        <v>Fremont and Union City</v>
      </c>
      <c r="F502" t="s">
        <v>326</v>
      </c>
      <c r="G502">
        <f t="shared" si="21"/>
        <v>3</v>
      </c>
      <c r="H502" t="s">
        <v>359</v>
      </c>
      <c r="I502" t="s">
        <v>191</v>
      </c>
      <c r="J502">
        <v>1</v>
      </c>
      <c r="K502">
        <v>6.2608695652173898</v>
      </c>
      <c r="Z502"/>
    </row>
    <row r="503" spans="1:26" x14ac:dyDescent="0.25">
      <c r="A503" s="159" t="str">
        <f t="shared" si="22"/>
        <v>HR-San Francisco Sunset District-Fremont and Union City-Work</v>
      </c>
      <c r="B503">
        <v>4</v>
      </c>
      <c r="C503" t="str">
        <f t="shared" si="23"/>
        <v>San Francisco Sunset District</v>
      </c>
      <c r="D503">
        <v>16</v>
      </c>
      <c r="E503" t="str">
        <f t="shared" si="23"/>
        <v>Fremont and Union City</v>
      </c>
      <c r="F503" t="s">
        <v>30</v>
      </c>
      <c r="G503">
        <f t="shared" si="21"/>
        <v>1</v>
      </c>
      <c r="H503" t="s">
        <v>124</v>
      </c>
      <c r="I503" t="s">
        <v>188</v>
      </c>
      <c r="J503">
        <v>1</v>
      </c>
      <c r="K503">
        <v>95.822099447513807</v>
      </c>
      <c r="Z503"/>
    </row>
    <row r="504" spans="1:26" x14ac:dyDescent="0.25">
      <c r="A504" s="159" t="str">
        <f t="shared" si="22"/>
        <v>LR-San Francisco Sunset District-Hayward and San Leandro-High school</v>
      </c>
      <c r="B504">
        <v>4</v>
      </c>
      <c r="C504" t="str">
        <f t="shared" si="23"/>
        <v>San Francisco Sunset District</v>
      </c>
      <c r="D504">
        <v>17</v>
      </c>
      <c r="E504" t="str">
        <f t="shared" si="23"/>
        <v>Hayward and San Leandro</v>
      </c>
      <c r="F504" t="s">
        <v>326</v>
      </c>
      <c r="G504">
        <f t="shared" si="21"/>
        <v>3</v>
      </c>
      <c r="H504" t="s">
        <v>353</v>
      </c>
      <c r="I504" t="s">
        <v>194</v>
      </c>
      <c r="J504">
        <v>1</v>
      </c>
      <c r="K504">
        <v>286.12835472578797</v>
      </c>
      <c r="Z504"/>
    </row>
    <row r="505" spans="1:26" x14ac:dyDescent="0.25">
      <c r="A505" s="159" t="str">
        <f t="shared" si="22"/>
        <v>FR-San Francisco Sunset District-Oakland and Alameda-Social recreation</v>
      </c>
      <c r="B505">
        <v>4</v>
      </c>
      <c r="C505" t="str">
        <f t="shared" si="23"/>
        <v>San Francisco Sunset District</v>
      </c>
      <c r="D505">
        <v>18</v>
      </c>
      <c r="E505" t="str">
        <f t="shared" si="23"/>
        <v>Oakland and Alameda</v>
      </c>
      <c r="F505" t="s">
        <v>324</v>
      </c>
      <c r="G505">
        <f t="shared" si="21"/>
        <v>5</v>
      </c>
      <c r="H505" t="s">
        <v>360</v>
      </c>
      <c r="I505" t="s">
        <v>185</v>
      </c>
      <c r="J505">
        <v>3</v>
      </c>
      <c r="K505">
        <v>49.495268138801002</v>
      </c>
      <c r="Z505"/>
    </row>
    <row r="506" spans="1:26" x14ac:dyDescent="0.25">
      <c r="A506" s="159" t="str">
        <f t="shared" si="22"/>
        <v>HR-San Francisco Sunset District-Oakland and Alameda-Work</v>
      </c>
      <c r="B506">
        <v>4</v>
      </c>
      <c r="C506" t="str">
        <f t="shared" si="23"/>
        <v>San Francisco Sunset District</v>
      </c>
      <c r="D506">
        <v>18</v>
      </c>
      <c r="E506" t="str">
        <f t="shared" si="23"/>
        <v>Oakland and Alameda</v>
      </c>
      <c r="F506" t="s">
        <v>30</v>
      </c>
      <c r="G506">
        <f t="shared" si="21"/>
        <v>1</v>
      </c>
      <c r="H506" t="s">
        <v>124</v>
      </c>
      <c r="I506" t="s">
        <v>188</v>
      </c>
      <c r="J506">
        <v>2</v>
      </c>
      <c r="K506">
        <v>191.64419889502699</v>
      </c>
      <c r="Z506"/>
    </row>
    <row r="507" spans="1:26" x14ac:dyDescent="0.25">
      <c r="A507" s="159" t="str">
        <f t="shared" si="22"/>
        <v>LR-San Francisco Sunset District-Oakland and Alameda-Work</v>
      </c>
      <c r="B507">
        <v>4</v>
      </c>
      <c r="C507" t="str">
        <f t="shared" si="23"/>
        <v>San Francisco Sunset District</v>
      </c>
      <c r="D507">
        <v>18</v>
      </c>
      <c r="E507" t="str">
        <f t="shared" si="23"/>
        <v>Oakland and Alameda</v>
      </c>
      <c r="F507" t="s">
        <v>30</v>
      </c>
      <c r="G507">
        <f t="shared" si="21"/>
        <v>1</v>
      </c>
      <c r="H507" t="s">
        <v>353</v>
      </c>
      <c r="I507" t="s">
        <v>194</v>
      </c>
      <c r="J507">
        <v>1</v>
      </c>
      <c r="K507">
        <v>286.12835472578797</v>
      </c>
      <c r="Z507"/>
    </row>
    <row r="508" spans="1:26" x14ac:dyDescent="0.25">
      <c r="A508" s="159" t="str">
        <f t="shared" si="22"/>
        <v>LB-San Francisco Sunset District-Oakland and Alameda-Work</v>
      </c>
      <c r="B508">
        <v>4</v>
      </c>
      <c r="C508" t="str">
        <f t="shared" si="23"/>
        <v>San Francisco Sunset District</v>
      </c>
      <c r="D508">
        <v>18</v>
      </c>
      <c r="E508" t="str">
        <f t="shared" si="23"/>
        <v>Oakland and Alameda</v>
      </c>
      <c r="F508" t="s">
        <v>30</v>
      </c>
      <c r="G508">
        <f t="shared" si="21"/>
        <v>1</v>
      </c>
      <c r="H508" t="s">
        <v>359</v>
      </c>
      <c r="I508" t="s">
        <v>191</v>
      </c>
      <c r="J508">
        <v>2</v>
      </c>
      <c r="K508">
        <v>361.70361726954502</v>
      </c>
      <c r="Z508"/>
    </row>
    <row r="509" spans="1:26" x14ac:dyDescent="0.25">
      <c r="A509" s="159" t="str">
        <f t="shared" si="22"/>
        <v>LR-San Francisco Sunset District-Berkeley and Albany-Social recreation</v>
      </c>
      <c r="B509">
        <v>4</v>
      </c>
      <c r="C509" t="str">
        <f t="shared" si="23"/>
        <v>San Francisco Sunset District</v>
      </c>
      <c r="D509">
        <v>19</v>
      </c>
      <c r="E509" t="str">
        <f t="shared" si="23"/>
        <v>Berkeley and Albany</v>
      </c>
      <c r="F509" t="s">
        <v>324</v>
      </c>
      <c r="G509">
        <f t="shared" si="21"/>
        <v>5</v>
      </c>
      <c r="H509" t="s">
        <v>353</v>
      </c>
      <c r="I509" t="s">
        <v>194</v>
      </c>
      <c r="J509">
        <v>1</v>
      </c>
      <c r="K509">
        <v>286.12835472578797</v>
      </c>
      <c r="Z509"/>
    </row>
    <row r="510" spans="1:26" x14ac:dyDescent="0.25">
      <c r="A510" s="159" t="str">
        <f t="shared" si="22"/>
        <v>EB-San Francisco Sunset District-Richmond and El Cerrito-High school</v>
      </c>
      <c r="B510">
        <v>4</v>
      </c>
      <c r="C510" t="str">
        <f t="shared" si="23"/>
        <v>San Francisco Sunset District</v>
      </c>
      <c r="D510">
        <v>20</v>
      </c>
      <c r="E510" t="str">
        <f t="shared" si="23"/>
        <v>Richmond and El Cerrito</v>
      </c>
      <c r="F510" t="s">
        <v>326</v>
      </c>
      <c r="G510">
        <f t="shared" si="21"/>
        <v>3</v>
      </c>
      <c r="H510" t="s">
        <v>123</v>
      </c>
      <c r="I510" t="s">
        <v>182</v>
      </c>
      <c r="J510">
        <v>1</v>
      </c>
      <c r="K510">
        <v>7.3684210526315796</v>
      </c>
      <c r="Z510"/>
    </row>
    <row r="511" spans="1:26" x14ac:dyDescent="0.25">
      <c r="A511" s="159" t="str">
        <f t="shared" si="22"/>
        <v>LR-San Francisco Sunset District-Richmond and El Cerrito-High school</v>
      </c>
      <c r="B511">
        <v>4</v>
      </c>
      <c r="C511" t="str">
        <f t="shared" si="23"/>
        <v>San Francisco Sunset District</v>
      </c>
      <c r="D511">
        <v>20</v>
      </c>
      <c r="E511" t="str">
        <f t="shared" si="23"/>
        <v>Richmond and El Cerrito</v>
      </c>
      <c r="F511" t="s">
        <v>326</v>
      </c>
      <c r="G511">
        <f t="shared" si="21"/>
        <v>3</v>
      </c>
      <c r="H511" t="s">
        <v>353</v>
      </c>
      <c r="I511" t="s">
        <v>194</v>
      </c>
      <c r="J511">
        <v>1</v>
      </c>
      <c r="K511">
        <v>286.12835472578797</v>
      </c>
      <c r="Z511"/>
    </row>
    <row r="512" spans="1:26" x14ac:dyDescent="0.25">
      <c r="A512" s="159" t="str">
        <f t="shared" si="22"/>
        <v>HR-San Francisco Sunset District-Richmond and El Cerrito-Missing</v>
      </c>
      <c r="B512">
        <v>4</v>
      </c>
      <c r="C512" t="str">
        <f t="shared" si="23"/>
        <v>San Francisco Sunset District</v>
      </c>
      <c r="D512">
        <v>20</v>
      </c>
      <c r="E512" t="str">
        <f t="shared" si="23"/>
        <v>Richmond and El Cerrito</v>
      </c>
      <c r="F512" t="s">
        <v>327</v>
      </c>
      <c r="G512">
        <f t="shared" si="21"/>
        <v>0</v>
      </c>
      <c r="H512" t="s">
        <v>124</v>
      </c>
      <c r="I512" t="s">
        <v>188</v>
      </c>
      <c r="J512">
        <v>1</v>
      </c>
      <c r="K512">
        <v>95.822099447513807</v>
      </c>
      <c r="Z512"/>
    </row>
    <row r="513" spans="1:26" x14ac:dyDescent="0.25">
      <c r="A513" s="159" t="str">
        <f t="shared" si="22"/>
        <v>HR-San Francisco Sunset District-Richmond and El Cerrito-Other maintenance</v>
      </c>
      <c r="B513">
        <v>4</v>
      </c>
      <c r="C513" t="str">
        <f t="shared" si="23"/>
        <v>San Francisco Sunset District</v>
      </c>
      <c r="D513">
        <v>20</v>
      </c>
      <c r="E513" t="str">
        <f t="shared" si="23"/>
        <v>Richmond and El Cerrito</v>
      </c>
      <c r="F513" t="s">
        <v>325</v>
      </c>
      <c r="G513">
        <f t="shared" si="21"/>
        <v>4</v>
      </c>
      <c r="H513" t="s">
        <v>124</v>
      </c>
      <c r="I513" t="s">
        <v>188</v>
      </c>
      <c r="J513">
        <v>1</v>
      </c>
      <c r="K513">
        <v>95.822099447513807</v>
      </c>
      <c r="Z513"/>
    </row>
    <row r="514" spans="1:26" x14ac:dyDescent="0.25">
      <c r="A514" s="159" t="str">
        <f t="shared" si="22"/>
        <v>LB-San Francisco Sunset District-Richmond and El Cerrito-Other maintenance</v>
      </c>
      <c r="B514">
        <v>4</v>
      </c>
      <c r="C514" t="str">
        <f t="shared" si="23"/>
        <v>San Francisco Sunset District</v>
      </c>
      <c r="D514">
        <v>20</v>
      </c>
      <c r="E514" t="str">
        <f t="shared" si="23"/>
        <v>Richmond and El Cerrito</v>
      </c>
      <c r="F514" t="s">
        <v>325</v>
      </c>
      <c r="G514">
        <f t="shared" ref="G514:G577" si="24">VLOOKUP(F514,$V$2:$X$10, 3,FALSE)</f>
        <v>4</v>
      </c>
      <c r="H514" t="s">
        <v>359</v>
      </c>
      <c r="I514" t="s">
        <v>191</v>
      </c>
      <c r="J514">
        <v>1</v>
      </c>
      <c r="K514">
        <v>270.93214285714299</v>
      </c>
      <c r="Z514"/>
    </row>
    <row r="515" spans="1:26" x14ac:dyDescent="0.25">
      <c r="A515" s="159" t="str">
        <f t="shared" ref="A515:A578" si="25" xml:space="preserve"> CONCATENATE(I515,"-",C515, "-",E515, "-",F515,)</f>
        <v>LB-San Francisco Sunset District-Richmond and El Cerrito-Social recreation</v>
      </c>
      <c r="B515">
        <v>4</v>
      </c>
      <c r="C515" t="str">
        <f t="shared" ref="C515:E578" si="26">VLOOKUP(B515,$S$2:$T$35,2,FALSE)</f>
        <v>San Francisco Sunset District</v>
      </c>
      <c r="D515">
        <v>20</v>
      </c>
      <c r="E515" t="str">
        <f t="shared" si="26"/>
        <v>Richmond and El Cerrito</v>
      </c>
      <c r="F515" t="s">
        <v>324</v>
      </c>
      <c r="G515">
        <f t="shared" si="24"/>
        <v>5</v>
      </c>
      <c r="H515" t="s">
        <v>359</v>
      </c>
      <c r="I515" t="s">
        <v>191</v>
      </c>
      <c r="J515">
        <v>1</v>
      </c>
      <c r="K515">
        <v>270.93214285714299</v>
      </c>
      <c r="Z515"/>
    </row>
    <row r="516" spans="1:26" x14ac:dyDescent="0.25">
      <c r="A516" s="159" t="str">
        <f t="shared" si="25"/>
        <v>EB-San Francisco Sunset District-Richmond and El Cerrito-Work</v>
      </c>
      <c r="B516">
        <v>4</v>
      </c>
      <c r="C516" t="str">
        <f t="shared" si="26"/>
        <v>San Francisco Sunset District</v>
      </c>
      <c r="D516">
        <v>20</v>
      </c>
      <c r="E516" t="str">
        <f t="shared" si="26"/>
        <v>Richmond and El Cerrito</v>
      </c>
      <c r="F516" t="s">
        <v>30</v>
      </c>
      <c r="G516">
        <f t="shared" si="24"/>
        <v>1</v>
      </c>
      <c r="H516" t="s">
        <v>123</v>
      </c>
      <c r="I516" t="s">
        <v>182</v>
      </c>
      <c r="J516">
        <v>1</v>
      </c>
      <c r="K516">
        <v>12.5833333333333</v>
      </c>
      <c r="Z516"/>
    </row>
    <row r="517" spans="1:26" x14ac:dyDescent="0.25">
      <c r="A517" s="159" t="str">
        <f t="shared" si="25"/>
        <v>HR-San Francisco Sunset District-Walnut Creek-Social recreation</v>
      </c>
      <c r="B517">
        <v>4</v>
      </c>
      <c r="C517" t="str">
        <f t="shared" si="26"/>
        <v>San Francisco Sunset District</v>
      </c>
      <c r="D517">
        <v>22</v>
      </c>
      <c r="E517" t="str">
        <f t="shared" si="26"/>
        <v>Walnut Creek</v>
      </c>
      <c r="F517" t="s">
        <v>324</v>
      </c>
      <c r="G517">
        <f t="shared" si="24"/>
        <v>5</v>
      </c>
      <c r="H517" t="s">
        <v>124</v>
      </c>
      <c r="I517" t="s">
        <v>188</v>
      </c>
      <c r="J517">
        <v>1</v>
      </c>
      <c r="K517">
        <v>195.51395348837201</v>
      </c>
      <c r="Z517"/>
    </row>
    <row r="518" spans="1:26" x14ac:dyDescent="0.25">
      <c r="A518" s="159" t="str">
        <f t="shared" si="25"/>
        <v>HR-San Francisco Sunset District-Antioch and Pittsburg-High school</v>
      </c>
      <c r="B518">
        <v>4</v>
      </c>
      <c r="C518" t="str">
        <f t="shared" si="26"/>
        <v>San Francisco Sunset District</v>
      </c>
      <c r="D518">
        <v>24</v>
      </c>
      <c r="E518" t="str">
        <f t="shared" si="26"/>
        <v>Antioch and Pittsburg</v>
      </c>
      <c r="F518" t="s">
        <v>326</v>
      </c>
      <c r="G518">
        <f t="shared" si="24"/>
        <v>3</v>
      </c>
      <c r="H518" t="s">
        <v>124</v>
      </c>
      <c r="I518" t="s">
        <v>188</v>
      </c>
      <c r="J518">
        <v>1</v>
      </c>
      <c r="K518">
        <v>95.822099447513807</v>
      </c>
      <c r="Z518"/>
    </row>
    <row r="519" spans="1:26" x14ac:dyDescent="0.25">
      <c r="A519" s="159" t="str">
        <f t="shared" si="25"/>
        <v>FR-San Francisco Sunset District-Vallejo and Benicia-Work</v>
      </c>
      <c r="B519">
        <v>4</v>
      </c>
      <c r="C519" t="str">
        <f t="shared" si="26"/>
        <v>San Francisco Sunset District</v>
      </c>
      <c r="D519">
        <v>25</v>
      </c>
      <c r="E519" t="str">
        <f t="shared" si="26"/>
        <v>Vallejo and Benicia</v>
      </c>
      <c r="F519" t="s">
        <v>30</v>
      </c>
      <c r="G519">
        <f t="shared" si="24"/>
        <v>1</v>
      </c>
      <c r="H519" t="s">
        <v>360</v>
      </c>
      <c r="I519" t="s">
        <v>185</v>
      </c>
      <c r="J519">
        <v>1</v>
      </c>
      <c r="K519">
        <v>16.498422712933699</v>
      </c>
      <c r="Z519"/>
    </row>
    <row r="520" spans="1:26" x14ac:dyDescent="0.25">
      <c r="A520" s="159" t="str">
        <f t="shared" si="25"/>
        <v>EB-San Francisco Sunset District-Fairfield and Vacaville-High school</v>
      </c>
      <c r="B520">
        <v>4</v>
      </c>
      <c r="C520" t="str">
        <f t="shared" si="26"/>
        <v>San Francisco Sunset District</v>
      </c>
      <c r="D520">
        <v>26</v>
      </c>
      <c r="E520" t="str">
        <f t="shared" si="26"/>
        <v>Fairfield and Vacaville</v>
      </c>
      <c r="F520" t="s">
        <v>326</v>
      </c>
      <c r="G520">
        <f t="shared" si="24"/>
        <v>3</v>
      </c>
      <c r="H520" t="s">
        <v>123</v>
      </c>
      <c r="I520" t="s">
        <v>182</v>
      </c>
      <c r="J520">
        <v>1</v>
      </c>
      <c r="K520">
        <v>12.3349397590361</v>
      </c>
      <c r="Z520"/>
    </row>
    <row r="521" spans="1:26" x14ac:dyDescent="0.25">
      <c r="A521" s="159" t="str">
        <f t="shared" si="25"/>
        <v>EB-San Francisco Sunset District-Fairfield and Vacaville-Work</v>
      </c>
      <c r="B521">
        <v>4</v>
      </c>
      <c r="C521" t="str">
        <f t="shared" si="26"/>
        <v>San Francisco Sunset District</v>
      </c>
      <c r="D521">
        <v>26</v>
      </c>
      <c r="E521" t="str">
        <f t="shared" si="26"/>
        <v>Fairfield and Vacaville</v>
      </c>
      <c r="F521" t="s">
        <v>30</v>
      </c>
      <c r="G521">
        <f t="shared" si="24"/>
        <v>1</v>
      </c>
      <c r="H521" t="s">
        <v>123</v>
      </c>
      <c r="I521" t="s">
        <v>182</v>
      </c>
      <c r="J521">
        <v>1</v>
      </c>
      <c r="K521">
        <v>12.3349397590361</v>
      </c>
      <c r="Z521"/>
    </row>
    <row r="522" spans="1:26" x14ac:dyDescent="0.25">
      <c r="A522" s="159" t="str">
        <f t="shared" si="25"/>
        <v>CR-San Francisco Sunset District-Petaluma and Rohnert Park-Work</v>
      </c>
      <c r="B522">
        <v>4</v>
      </c>
      <c r="C522" t="str">
        <f t="shared" si="26"/>
        <v>San Francisco Sunset District</v>
      </c>
      <c r="D522">
        <v>29</v>
      </c>
      <c r="E522" t="str">
        <f t="shared" si="26"/>
        <v>Petaluma and Rohnert Park</v>
      </c>
      <c r="F522" t="s">
        <v>30</v>
      </c>
      <c r="G522">
        <f t="shared" si="24"/>
        <v>1</v>
      </c>
      <c r="H522" t="s">
        <v>125</v>
      </c>
      <c r="I522" t="s">
        <v>178</v>
      </c>
      <c r="J522">
        <v>1</v>
      </c>
      <c r="K522">
        <v>7.7247191011235996</v>
      </c>
      <c r="Z522"/>
    </row>
    <row r="523" spans="1:26" x14ac:dyDescent="0.25">
      <c r="A523" s="159" t="str">
        <f t="shared" si="25"/>
        <v>HR-Daly City and San Bruno-Greater Downtown San Francisco-High school</v>
      </c>
      <c r="B523">
        <v>5</v>
      </c>
      <c r="C523" t="str">
        <f t="shared" si="26"/>
        <v>Daly City and San Bruno</v>
      </c>
      <c r="D523">
        <v>1</v>
      </c>
      <c r="E523" t="str">
        <f t="shared" si="26"/>
        <v>Greater Downtown San Francisco</v>
      </c>
      <c r="F523" t="s">
        <v>326</v>
      </c>
      <c r="G523">
        <f t="shared" si="24"/>
        <v>3</v>
      </c>
      <c r="H523" t="s">
        <v>124</v>
      </c>
      <c r="I523" t="s">
        <v>188</v>
      </c>
      <c r="J523">
        <v>3</v>
      </c>
      <c r="K523">
        <v>287.46629834254099</v>
      </c>
      <c r="Z523"/>
    </row>
    <row r="524" spans="1:26" x14ac:dyDescent="0.25">
      <c r="A524" s="159" t="str">
        <f t="shared" si="25"/>
        <v>LR-Daly City and San Bruno-Greater Downtown San Francisco-High school</v>
      </c>
      <c r="B524">
        <v>5</v>
      </c>
      <c r="C524" t="str">
        <f t="shared" si="26"/>
        <v>Daly City and San Bruno</v>
      </c>
      <c r="D524">
        <v>1</v>
      </c>
      <c r="E524" t="str">
        <f t="shared" si="26"/>
        <v>Greater Downtown San Francisco</v>
      </c>
      <c r="F524" t="s">
        <v>326</v>
      </c>
      <c r="G524">
        <f t="shared" si="24"/>
        <v>3</v>
      </c>
      <c r="H524" t="s">
        <v>353</v>
      </c>
      <c r="I524" t="s">
        <v>194</v>
      </c>
      <c r="J524">
        <v>1</v>
      </c>
      <c r="K524">
        <v>286.12835472578797</v>
      </c>
      <c r="Z524"/>
    </row>
    <row r="525" spans="1:26" x14ac:dyDescent="0.25">
      <c r="A525" s="159" t="str">
        <f t="shared" si="25"/>
        <v>CR-Daly City and San Bruno-Greater Downtown San Francisco-Social recreation</v>
      </c>
      <c r="B525">
        <v>5</v>
      </c>
      <c r="C525" t="str">
        <f t="shared" si="26"/>
        <v>Daly City and San Bruno</v>
      </c>
      <c r="D525">
        <v>1</v>
      </c>
      <c r="E525" t="str">
        <f t="shared" si="26"/>
        <v>Greater Downtown San Francisco</v>
      </c>
      <c r="F525" t="s">
        <v>324</v>
      </c>
      <c r="G525">
        <f t="shared" si="24"/>
        <v>5</v>
      </c>
      <c r="H525" t="s">
        <v>125</v>
      </c>
      <c r="I525" t="s">
        <v>178</v>
      </c>
      <c r="J525">
        <v>1</v>
      </c>
      <c r="K525">
        <v>23.4305084745763</v>
      </c>
      <c r="Z525"/>
    </row>
    <row r="526" spans="1:26" x14ac:dyDescent="0.25">
      <c r="A526" s="159" t="str">
        <f t="shared" si="25"/>
        <v>HR-Daly City and San Bruno-Greater Downtown San Francisco-Social recreation</v>
      </c>
      <c r="B526">
        <v>5</v>
      </c>
      <c r="C526" t="str">
        <f t="shared" si="26"/>
        <v>Daly City and San Bruno</v>
      </c>
      <c r="D526">
        <v>1</v>
      </c>
      <c r="E526" t="str">
        <f t="shared" si="26"/>
        <v>Greater Downtown San Francisco</v>
      </c>
      <c r="F526" t="s">
        <v>324</v>
      </c>
      <c r="G526">
        <f t="shared" si="24"/>
        <v>5</v>
      </c>
      <c r="H526" t="s">
        <v>124</v>
      </c>
      <c r="I526" t="s">
        <v>188</v>
      </c>
      <c r="J526">
        <v>6</v>
      </c>
      <c r="K526">
        <v>1073.39186688937</v>
      </c>
      <c r="Z526"/>
    </row>
    <row r="527" spans="1:26" x14ac:dyDescent="0.25">
      <c r="A527" s="159" t="str">
        <f t="shared" si="25"/>
        <v>LB-Daly City and San Bruno-Greater Downtown San Francisco-Social recreation</v>
      </c>
      <c r="B527">
        <v>5</v>
      </c>
      <c r="C527" t="str">
        <f t="shared" si="26"/>
        <v>Daly City and San Bruno</v>
      </c>
      <c r="D527">
        <v>1</v>
      </c>
      <c r="E527" t="str">
        <f t="shared" si="26"/>
        <v>Greater Downtown San Francisco</v>
      </c>
      <c r="F527" t="s">
        <v>324</v>
      </c>
      <c r="G527">
        <f t="shared" si="24"/>
        <v>5</v>
      </c>
      <c r="H527" t="s">
        <v>359</v>
      </c>
      <c r="I527" t="s">
        <v>191</v>
      </c>
      <c r="J527">
        <v>4</v>
      </c>
      <c r="K527">
        <v>524.54421768707596</v>
      </c>
      <c r="Z527"/>
    </row>
    <row r="528" spans="1:26" x14ac:dyDescent="0.25">
      <c r="A528" s="159" t="str">
        <f t="shared" si="25"/>
        <v>HR-Daly City and San Bruno-Greater Downtown San Francisco-Work</v>
      </c>
      <c r="B528">
        <v>5</v>
      </c>
      <c r="C528" t="str">
        <f t="shared" si="26"/>
        <v>Daly City and San Bruno</v>
      </c>
      <c r="D528">
        <v>1</v>
      </c>
      <c r="E528" t="str">
        <f t="shared" si="26"/>
        <v>Greater Downtown San Francisco</v>
      </c>
      <c r="F528" t="s">
        <v>30</v>
      </c>
      <c r="G528">
        <f t="shared" si="24"/>
        <v>1</v>
      </c>
      <c r="H528" t="s">
        <v>124</v>
      </c>
      <c r="I528" t="s">
        <v>188</v>
      </c>
      <c r="J528">
        <v>11</v>
      </c>
      <c r="K528">
        <v>1253.4268020043601</v>
      </c>
      <c r="Z528"/>
    </row>
    <row r="529" spans="1:26" x14ac:dyDescent="0.25">
      <c r="A529" s="159" t="str">
        <f t="shared" si="25"/>
        <v>LB-Daly City and San Bruno-Greater Downtown San Francisco-Work</v>
      </c>
      <c r="B529">
        <v>5</v>
      </c>
      <c r="C529" t="str">
        <f t="shared" si="26"/>
        <v>Daly City and San Bruno</v>
      </c>
      <c r="D529">
        <v>1</v>
      </c>
      <c r="E529" t="str">
        <f t="shared" si="26"/>
        <v>Greater Downtown San Francisco</v>
      </c>
      <c r="F529" t="s">
        <v>30</v>
      </c>
      <c r="G529">
        <f t="shared" si="24"/>
        <v>1</v>
      </c>
      <c r="H529" t="s">
        <v>359</v>
      </c>
      <c r="I529" t="s">
        <v>191</v>
      </c>
      <c r="J529">
        <v>3</v>
      </c>
      <c r="K529">
        <v>611.60560093348897</v>
      </c>
      <c r="Z529"/>
    </row>
    <row r="530" spans="1:26" x14ac:dyDescent="0.25">
      <c r="A530" s="159" t="str">
        <f t="shared" si="25"/>
        <v>HR-Daly City and San Bruno-San Francisco Richmond District-Missing</v>
      </c>
      <c r="B530">
        <v>5</v>
      </c>
      <c r="C530" t="str">
        <f t="shared" si="26"/>
        <v>Daly City and San Bruno</v>
      </c>
      <c r="D530">
        <v>2</v>
      </c>
      <c r="E530" t="str">
        <f t="shared" si="26"/>
        <v>San Francisco Richmond District</v>
      </c>
      <c r="F530" t="s">
        <v>327</v>
      </c>
      <c r="G530">
        <f t="shared" si="24"/>
        <v>0</v>
      </c>
      <c r="H530" t="s">
        <v>124</v>
      </c>
      <c r="I530" t="s">
        <v>188</v>
      </c>
      <c r="J530">
        <v>1</v>
      </c>
      <c r="K530">
        <v>195.51395348837201</v>
      </c>
      <c r="Z530"/>
    </row>
    <row r="531" spans="1:26" x14ac:dyDescent="0.25">
      <c r="A531" s="159" t="str">
        <f t="shared" si="25"/>
        <v>HR-Daly City and San Bruno-San Francisco Richmond District-Other maintenance</v>
      </c>
      <c r="B531">
        <v>5</v>
      </c>
      <c r="C531" t="str">
        <f t="shared" si="26"/>
        <v>Daly City and San Bruno</v>
      </c>
      <c r="D531">
        <v>2</v>
      </c>
      <c r="E531" t="str">
        <f t="shared" si="26"/>
        <v>San Francisco Richmond District</v>
      </c>
      <c r="F531" t="s">
        <v>325</v>
      </c>
      <c r="G531">
        <f t="shared" si="24"/>
        <v>4</v>
      </c>
      <c r="H531" t="s">
        <v>124</v>
      </c>
      <c r="I531" t="s">
        <v>188</v>
      </c>
      <c r="J531">
        <v>3</v>
      </c>
      <c r="K531">
        <v>486.850006424257</v>
      </c>
      <c r="Z531"/>
    </row>
    <row r="532" spans="1:26" x14ac:dyDescent="0.25">
      <c r="A532" s="159" t="str">
        <f t="shared" si="25"/>
        <v>LB-Daly City and San Bruno-San Francisco Richmond District-Other maintenance</v>
      </c>
      <c r="B532">
        <v>5</v>
      </c>
      <c r="C532" t="str">
        <f t="shared" si="26"/>
        <v>Daly City and San Bruno</v>
      </c>
      <c r="D532">
        <v>2</v>
      </c>
      <c r="E532" t="str">
        <f t="shared" si="26"/>
        <v>San Francisco Richmond District</v>
      </c>
      <c r="F532" t="s">
        <v>325</v>
      </c>
      <c r="G532">
        <f t="shared" si="24"/>
        <v>4</v>
      </c>
      <c r="H532" t="s">
        <v>359</v>
      </c>
      <c r="I532" t="s">
        <v>191</v>
      </c>
      <c r="J532">
        <v>2</v>
      </c>
      <c r="K532">
        <v>572.25670945157594</v>
      </c>
      <c r="Z532"/>
    </row>
    <row r="533" spans="1:26" x14ac:dyDescent="0.25">
      <c r="A533" s="159" t="str">
        <f t="shared" si="25"/>
        <v>CR-Daly City and San Bruno-San Francisco Richmond District-Social recreation</v>
      </c>
      <c r="B533">
        <v>5</v>
      </c>
      <c r="C533" t="str">
        <f t="shared" si="26"/>
        <v>Daly City and San Bruno</v>
      </c>
      <c r="D533">
        <v>2</v>
      </c>
      <c r="E533" t="str">
        <f t="shared" si="26"/>
        <v>San Francisco Richmond District</v>
      </c>
      <c r="F533" t="s">
        <v>324</v>
      </c>
      <c r="G533">
        <f t="shared" si="24"/>
        <v>5</v>
      </c>
      <c r="H533" t="s">
        <v>125</v>
      </c>
      <c r="I533" t="s">
        <v>178</v>
      </c>
      <c r="J533">
        <v>2</v>
      </c>
      <c r="K533">
        <v>48.577461879594097</v>
      </c>
      <c r="Z533"/>
    </row>
    <row r="534" spans="1:26" x14ac:dyDescent="0.25">
      <c r="A534" s="159" t="str">
        <f t="shared" si="25"/>
        <v>HR-Daly City and San Bruno-San Francisco Richmond District-Social recreation</v>
      </c>
      <c r="B534">
        <v>5</v>
      </c>
      <c r="C534" t="str">
        <f t="shared" si="26"/>
        <v>Daly City and San Bruno</v>
      </c>
      <c r="D534">
        <v>2</v>
      </c>
      <c r="E534" t="str">
        <f t="shared" si="26"/>
        <v>San Francisco Richmond District</v>
      </c>
      <c r="F534" t="s">
        <v>324</v>
      </c>
      <c r="G534">
        <f t="shared" si="24"/>
        <v>5</v>
      </c>
      <c r="H534" t="s">
        <v>124</v>
      </c>
      <c r="I534" t="s">
        <v>188</v>
      </c>
      <c r="J534">
        <v>1</v>
      </c>
      <c r="K534">
        <v>95.822099447513807</v>
      </c>
      <c r="Z534"/>
    </row>
    <row r="535" spans="1:26" x14ac:dyDescent="0.25">
      <c r="A535" s="159" t="str">
        <f t="shared" si="25"/>
        <v>LR-Daly City and San Bruno-San Francisco Richmond District-Social recreation</v>
      </c>
      <c r="B535">
        <v>5</v>
      </c>
      <c r="C535" t="str">
        <f t="shared" si="26"/>
        <v>Daly City and San Bruno</v>
      </c>
      <c r="D535">
        <v>2</v>
      </c>
      <c r="E535" t="str">
        <f t="shared" si="26"/>
        <v>San Francisco Richmond District</v>
      </c>
      <c r="F535" t="s">
        <v>324</v>
      </c>
      <c r="G535">
        <f t="shared" si="24"/>
        <v>5</v>
      </c>
      <c r="H535" t="s">
        <v>353</v>
      </c>
      <c r="I535" t="s">
        <v>194</v>
      </c>
      <c r="J535">
        <v>2</v>
      </c>
      <c r="K535">
        <v>2480.4535315985199</v>
      </c>
      <c r="Z535"/>
    </row>
    <row r="536" spans="1:26" x14ac:dyDescent="0.25">
      <c r="A536" s="159" t="str">
        <f t="shared" si="25"/>
        <v>LB-Daly City and San Bruno-San Francisco Richmond District-Social recreation</v>
      </c>
      <c r="B536">
        <v>5</v>
      </c>
      <c r="C536" t="str">
        <f t="shared" si="26"/>
        <v>Daly City and San Bruno</v>
      </c>
      <c r="D536">
        <v>2</v>
      </c>
      <c r="E536" t="str">
        <f t="shared" si="26"/>
        <v>San Francisco Richmond District</v>
      </c>
      <c r="F536" t="s">
        <v>324</v>
      </c>
      <c r="G536">
        <f t="shared" si="24"/>
        <v>5</v>
      </c>
      <c r="H536" t="s">
        <v>359</v>
      </c>
      <c r="I536" t="s">
        <v>191</v>
      </c>
      <c r="J536">
        <v>1</v>
      </c>
      <c r="K536">
        <v>39.348891481913597</v>
      </c>
      <c r="Z536"/>
    </row>
    <row r="537" spans="1:26" x14ac:dyDescent="0.25">
      <c r="A537" s="159" t="str">
        <f t="shared" si="25"/>
        <v>HR-Daly City and San Bruno-San Francisco Richmond District-Work</v>
      </c>
      <c r="B537">
        <v>5</v>
      </c>
      <c r="C537" t="str">
        <f t="shared" si="26"/>
        <v>Daly City and San Bruno</v>
      </c>
      <c r="D537">
        <v>2</v>
      </c>
      <c r="E537" t="str">
        <f t="shared" si="26"/>
        <v>San Francisco Richmond District</v>
      </c>
      <c r="F537" t="s">
        <v>30</v>
      </c>
      <c r="G537">
        <f t="shared" si="24"/>
        <v>1</v>
      </c>
      <c r="H537" t="s">
        <v>124</v>
      </c>
      <c r="I537" t="s">
        <v>188</v>
      </c>
      <c r="J537">
        <v>1</v>
      </c>
      <c r="K537">
        <v>95.822099447513807</v>
      </c>
      <c r="Z537"/>
    </row>
    <row r="538" spans="1:26" x14ac:dyDescent="0.25">
      <c r="A538" s="159" t="str">
        <f t="shared" si="25"/>
        <v>LB-Daly City and San Bruno-San Francisco Richmond District-Work</v>
      </c>
      <c r="B538">
        <v>5</v>
      </c>
      <c r="C538" t="str">
        <f t="shared" si="26"/>
        <v>Daly City and San Bruno</v>
      </c>
      <c r="D538">
        <v>2</v>
      </c>
      <c r="E538" t="str">
        <f t="shared" si="26"/>
        <v>San Francisco Richmond District</v>
      </c>
      <c r="F538" t="s">
        <v>30</v>
      </c>
      <c r="G538">
        <f t="shared" si="24"/>
        <v>1</v>
      </c>
      <c r="H538" t="s">
        <v>359</v>
      </c>
      <c r="I538" t="s">
        <v>191</v>
      </c>
      <c r="J538">
        <v>2</v>
      </c>
      <c r="K538">
        <v>78.697782963827194</v>
      </c>
      <c r="Z538"/>
    </row>
    <row r="539" spans="1:26" x14ac:dyDescent="0.25">
      <c r="A539" s="159" t="str">
        <f t="shared" si="25"/>
        <v>LB-Daly City and San Bruno-San Francisco Mission District-High school</v>
      </c>
      <c r="B539">
        <v>5</v>
      </c>
      <c r="C539" t="str">
        <f t="shared" si="26"/>
        <v>Daly City and San Bruno</v>
      </c>
      <c r="D539">
        <v>3</v>
      </c>
      <c r="E539" t="str">
        <f t="shared" si="26"/>
        <v>San Francisco Mission District</v>
      </c>
      <c r="F539" t="s">
        <v>326</v>
      </c>
      <c r="G539">
        <f t="shared" si="24"/>
        <v>3</v>
      </c>
      <c r="H539" t="s">
        <v>359</v>
      </c>
      <c r="I539" t="s">
        <v>191</v>
      </c>
      <c r="J539">
        <v>2</v>
      </c>
      <c r="K539">
        <v>325.477246207701</v>
      </c>
      <c r="Z539"/>
    </row>
    <row r="540" spans="1:26" x14ac:dyDescent="0.25">
      <c r="A540" s="159" t="str">
        <f t="shared" si="25"/>
        <v>HR-Daly City and San Bruno-San Francisco Mission District-Missing</v>
      </c>
      <c r="B540">
        <v>5</v>
      </c>
      <c r="C540" t="str">
        <f t="shared" si="26"/>
        <v>Daly City and San Bruno</v>
      </c>
      <c r="D540">
        <v>3</v>
      </c>
      <c r="E540" t="str">
        <f t="shared" si="26"/>
        <v>San Francisco Mission District</v>
      </c>
      <c r="F540" t="s">
        <v>327</v>
      </c>
      <c r="G540">
        <f t="shared" si="24"/>
        <v>0</v>
      </c>
      <c r="H540" t="s">
        <v>124</v>
      </c>
      <c r="I540" t="s">
        <v>188</v>
      </c>
      <c r="J540">
        <v>1</v>
      </c>
      <c r="K540">
        <v>95.822099447513807</v>
      </c>
      <c r="Z540"/>
    </row>
    <row r="541" spans="1:26" x14ac:dyDescent="0.25">
      <c r="A541" s="159" t="str">
        <f t="shared" si="25"/>
        <v>HR-Daly City and San Bruno-San Francisco Mission District-Other maintenance</v>
      </c>
      <c r="B541">
        <v>5</v>
      </c>
      <c r="C541" t="str">
        <f t="shared" si="26"/>
        <v>Daly City and San Bruno</v>
      </c>
      <c r="D541">
        <v>3</v>
      </c>
      <c r="E541" t="str">
        <f t="shared" si="26"/>
        <v>San Francisco Mission District</v>
      </c>
      <c r="F541" t="s">
        <v>325</v>
      </c>
      <c r="G541">
        <f t="shared" si="24"/>
        <v>4</v>
      </c>
      <c r="H541" t="s">
        <v>124</v>
      </c>
      <c r="I541" t="s">
        <v>188</v>
      </c>
      <c r="J541">
        <v>3</v>
      </c>
      <c r="K541">
        <v>387.158152383399</v>
      </c>
      <c r="Z541"/>
    </row>
    <row r="542" spans="1:26" x14ac:dyDescent="0.25">
      <c r="A542" s="159" t="str">
        <f t="shared" si="25"/>
        <v>LB-Daly City and San Bruno-San Francisco Mission District-Other maintenance</v>
      </c>
      <c r="B542">
        <v>5</v>
      </c>
      <c r="C542" t="str">
        <f t="shared" si="26"/>
        <v>Daly City and San Bruno</v>
      </c>
      <c r="D542">
        <v>3</v>
      </c>
      <c r="E542" t="str">
        <f t="shared" si="26"/>
        <v>San Francisco Mission District</v>
      </c>
      <c r="F542" t="s">
        <v>325</v>
      </c>
      <c r="G542">
        <f t="shared" si="24"/>
        <v>4</v>
      </c>
      <c r="H542" t="s">
        <v>359</v>
      </c>
      <c r="I542" t="s">
        <v>191</v>
      </c>
      <c r="J542">
        <v>4</v>
      </c>
      <c r="K542">
        <v>742.74165535525799</v>
      </c>
      <c r="Z542"/>
    </row>
    <row r="543" spans="1:26" x14ac:dyDescent="0.25">
      <c r="A543" s="159" t="str">
        <f t="shared" si="25"/>
        <v>HR-Daly City and San Bruno-San Francisco Mission District-Shopping</v>
      </c>
      <c r="B543">
        <v>5</v>
      </c>
      <c r="C543" t="str">
        <f t="shared" si="26"/>
        <v>Daly City and San Bruno</v>
      </c>
      <c r="D543">
        <v>3</v>
      </c>
      <c r="E543" t="str">
        <f t="shared" si="26"/>
        <v>San Francisco Mission District</v>
      </c>
      <c r="F543" t="s">
        <v>106</v>
      </c>
      <c r="G543">
        <f t="shared" si="24"/>
        <v>4</v>
      </c>
      <c r="H543" t="s">
        <v>124</v>
      </c>
      <c r="I543" t="s">
        <v>188</v>
      </c>
      <c r="J543">
        <v>1</v>
      </c>
      <c r="K543">
        <v>195.51395348837201</v>
      </c>
      <c r="Z543"/>
    </row>
    <row r="544" spans="1:26" x14ac:dyDescent="0.25">
      <c r="A544" s="159" t="str">
        <f t="shared" si="25"/>
        <v>LB-Daly City and San Bruno-San Francisco Mission District-Shopping</v>
      </c>
      <c r="B544">
        <v>5</v>
      </c>
      <c r="C544" t="str">
        <f t="shared" si="26"/>
        <v>Daly City and San Bruno</v>
      </c>
      <c r="D544">
        <v>3</v>
      </c>
      <c r="E544" t="str">
        <f t="shared" si="26"/>
        <v>San Francisco Mission District</v>
      </c>
      <c r="F544" t="s">
        <v>106</v>
      </c>
      <c r="G544">
        <f t="shared" si="24"/>
        <v>4</v>
      </c>
      <c r="H544" t="s">
        <v>359</v>
      </c>
      <c r="I544" t="s">
        <v>191</v>
      </c>
      <c r="J544">
        <v>1</v>
      </c>
      <c r="K544">
        <v>39.348891481913597</v>
      </c>
      <c r="Z544"/>
    </row>
    <row r="545" spans="1:26" x14ac:dyDescent="0.25">
      <c r="A545" s="159" t="str">
        <f t="shared" si="25"/>
        <v>CR-Daly City and San Bruno-San Francisco Mission District-Social recreation</v>
      </c>
      <c r="B545">
        <v>5</v>
      </c>
      <c r="C545" t="str">
        <f t="shared" si="26"/>
        <v>Daly City and San Bruno</v>
      </c>
      <c r="D545">
        <v>3</v>
      </c>
      <c r="E545" t="str">
        <f t="shared" si="26"/>
        <v>San Francisco Mission District</v>
      </c>
      <c r="F545" t="s">
        <v>324</v>
      </c>
      <c r="G545">
        <f t="shared" si="24"/>
        <v>5</v>
      </c>
      <c r="H545" t="s">
        <v>125</v>
      </c>
      <c r="I545" t="s">
        <v>178</v>
      </c>
      <c r="J545">
        <v>1</v>
      </c>
      <c r="K545">
        <v>23.4305084745763</v>
      </c>
      <c r="Z545"/>
    </row>
    <row r="546" spans="1:26" x14ac:dyDescent="0.25">
      <c r="A546" s="159" t="str">
        <f t="shared" si="25"/>
        <v>HR-Daly City and San Bruno-San Francisco Mission District-Social recreation</v>
      </c>
      <c r="B546">
        <v>5</v>
      </c>
      <c r="C546" t="str">
        <f t="shared" si="26"/>
        <v>Daly City and San Bruno</v>
      </c>
      <c r="D546">
        <v>3</v>
      </c>
      <c r="E546" t="str">
        <f t="shared" si="26"/>
        <v>San Francisco Mission District</v>
      </c>
      <c r="F546" t="s">
        <v>324</v>
      </c>
      <c r="G546">
        <f t="shared" si="24"/>
        <v>5</v>
      </c>
      <c r="H546" t="s">
        <v>124</v>
      </c>
      <c r="I546" t="s">
        <v>188</v>
      </c>
      <c r="J546">
        <v>5</v>
      </c>
      <c r="K546">
        <v>778.18605936014296</v>
      </c>
      <c r="Z546"/>
    </row>
    <row r="547" spans="1:26" x14ac:dyDescent="0.25">
      <c r="A547" s="159" t="str">
        <f t="shared" si="25"/>
        <v>LB-Daly City and San Bruno-San Francisco Mission District-Social recreation</v>
      </c>
      <c r="B547">
        <v>5</v>
      </c>
      <c r="C547" t="str">
        <f t="shared" si="26"/>
        <v>Daly City and San Bruno</v>
      </c>
      <c r="D547">
        <v>3</v>
      </c>
      <c r="E547" t="str">
        <f t="shared" si="26"/>
        <v>San Francisco Mission District</v>
      </c>
      <c r="F547" t="s">
        <v>324</v>
      </c>
      <c r="G547">
        <f t="shared" si="24"/>
        <v>5</v>
      </c>
      <c r="H547" t="s">
        <v>359</v>
      </c>
      <c r="I547" t="s">
        <v>191</v>
      </c>
      <c r="J547">
        <v>1</v>
      </c>
      <c r="K547">
        <v>39.348891481913597</v>
      </c>
      <c r="Z547"/>
    </row>
    <row r="548" spans="1:26" x14ac:dyDescent="0.25">
      <c r="A548" s="159" t="str">
        <f t="shared" si="25"/>
        <v>HR-Daly City and San Bruno-San Francisco Mission District-Work</v>
      </c>
      <c r="B548">
        <v>5</v>
      </c>
      <c r="C548" t="str">
        <f t="shared" si="26"/>
        <v>Daly City and San Bruno</v>
      </c>
      <c r="D548">
        <v>3</v>
      </c>
      <c r="E548" t="str">
        <f t="shared" si="26"/>
        <v>San Francisco Mission District</v>
      </c>
      <c r="F548" t="s">
        <v>30</v>
      </c>
      <c r="G548">
        <f t="shared" si="24"/>
        <v>1</v>
      </c>
      <c r="H548" t="s">
        <v>124</v>
      </c>
      <c r="I548" t="s">
        <v>188</v>
      </c>
      <c r="J548">
        <v>5</v>
      </c>
      <c r="K548">
        <v>578.80235127842695</v>
      </c>
      <c r="Z548"/>
    </row>
    <row r="549" spans="1:26" x14ac:dyDescent="0.25">
      <c r="A549" s="159" t="str">
        <f t="shared" si="25"/>
        <v>LR-Daly City and San Bruno-San Francisco Mission District-Work</v>
      </c>
      <c r="B549">
        <v>5</v>
      </c>
      <c r="C549" t="str">
        <f t="shared" si="26"/>
        <v>Daly City and San Bruno</v>
      </c>
      <c r="D549">
        <v>3</v>
      </c>
      <c r="E549" t="str">
        <f t="shared" si="26"/>
        <v>San Francisco Mission District</v>
      </c>
      <c r="F549" t="s">
        <v>30</v>
      </c>
      <c r="G549">
        <f t="shared" si="24"/>
        <v>1</v>
      </c>
      <c r="H549" t="s">
        <v>353</v>
      </c>
      <c r="I549" t="s">
        <v>194</v>
      </c>
      <c r="J549">
        <v>1</v>
      </c>
      <c r="K549">
        <v>286.12835472578797</v>
      </c>
      <c r="Z549"/>
    </row>
    <row r="550" spans="1:26" x14ac:dyDescent="0.25">
      <c r="A550" s="159" t="str">
        <f t="shared" si="25"/>
        <v>LB-Daly City and San Bruno-San Francisco Mission District-Work</v>
      </c>
      <c r="B550">
        <v>5</v>
      </c>
      <c r="C550" t="str">
        <f t="shared" si="26"/>
        <v>Daly City and San Bruno</v>
      </c>
      <c r="D550">
        <v>3</v>
      </c>
      <c r="E550" t="str">
        <f t="shared" si="26"/>
        <v>San Francisco Mission District</v>
      </c>
      <c r="F550" t="s">
        <v>30</v>
      </c>
      <c r="G550">
        <f t="shared" si="24"/>
        <v>1</v>
      </c>
      <c r="H550" t="s">
        <v>359</v>
      </c>
      <c r="I550" t="s">
        <v>191</v>
      </c>
      <c r="J550">
        <v>4</v>
      </c>
      <c r="K550">
        <v>404.17502917152802</v>
      </c>
      <c r="Z550"/>
    </row>
    <row r="551" spans="1:26" x14ac:dyDescent="0.25">
      <c r="A551" s="159" t="str">
        <f t="shared" si="25"/>
        <v>LB-Daly City and San Bruno-San Francisco Sunset District-High school</v>
      </c>
      <c r="B551">
        <v>5</v>
      </c>
      <c r="C551" t="str">
        <f t="shared" si="26"/>
        <v>Daly City and San Bruno</v>
      </c>
      <c r="D551">
        <v>4</v>
      </c>
      <c r="E551" t="str">
        <f t="shared" si="26"/>
        <v>San Francisco Sunset District</v>
      </c>
      <c r="F551" t="s">
        <v>326</v>
      </c>
      <c r="G551">
        <f t="shared" si="24"/>
        <v>3</v>
      </c>
      <c r="H551" t="s">
        <v>359</v>
      </c>
      <c r="I551" t="s">
        <v>191</v>
      </c>
      <c r="J551">
        <v>11</v>
      </c>
      <c r="K551">
        <v>926.39673278879798</v>
      </c>
      <c r="Z551"/>
    </row>
    <row r="552" spans="1:26" x14ac:dyDescent="0.25">
      <c r="A552" s="159" t="str">
        <f t="shared" si="25"/>
        <v>LB-Daly City and San Bruno-San Francisco Sunset District-Missing</v>
      </c>
      <c r="B552">
        <v>5</v>
      </c>
      <c r="C552" t="str">
        <f t="shared" si="26"/>
        <v>Daly City and San Bruno</v>
      </c>
      <c r="D552">
        <v>4</v>
      </c>
      <c r="E552" t="str">
        <f t="shared" si="26"/>
        <v>San Francisco Sunset District</v>
      </c>
      <c r="F552" t="s">
        <v>327</v>
      </c>
      <c r="G552">
        <f t="shared" si="24"/>
        <v>0</v>
      </c>
      <c r="H552" t="s">
        <v>359</v>
      </c>
      <c r="I552" t="s">
        <v>191</v>
      </c>
      <c r="J552">
        <v>3</v>
      </c>
      <c r="K552">
        <v>118.04667444574</v>
      </c>
      <c r="Z552"/>
    </row>
    <row r="553" spans="1:26" x14ac:dyDescent="0.25">
      <c r="A553" s="159" t="str">
        <f t="shared" si="25"/>
        <v>LB-Daly City and San Bruno-San Francisco Sunset District-Shopping</v>
      </c>
      <c r="B553">
        <v>5</v>
      </c>
      <c r="C553" t="str">
        <f t="shared" si="26"/>
        <v>Daly City and San Bruno</v>
      </c>
      <c r="D553">
        <v>4</v>
      </c>
      <c r="E553" t="str">
        <f t="shared" si="26"/>
        <v>San Francisco Sunset District</v>
      </c>
      <c r="F553" t="s">
        <v>106</v>
      </c>
      <c r="G553">
        <f t="shared" si="24"/>
        <v>4</v>
      </c>
      <c r="H553" t="s">
        <v>359</v>
      </c>
      <c r="I553" t="s">
        <v>191</v>
      </c>
      <c r="J553">
        <v>1</v>
      </c>
      <c r="K553">
        <v>39.348891481913597</v>
      </c>
      <c r="Z553"/>
    </row>
    <row r="554" spans="1:26" x14ac:dyDescent="0.25">
      <c r="A554" s="159" t="str">
        <f t="shared" si="25"/>
        <v>CR-Daly City and San Bruno-San Francisco Sunset District-Social recreation</v>
      </c>
      <c r="B554">
        <v>5</v>
      </c>
      <c r="C554" t="str">
        <f t="shared" si="26"/>
        <v>Daly City and San Bruno</v>
      </c>
      <c r="D554">
        <v>4</v>
      </c>
      <c r="E554" t="str">
        <f t="shared" si="26"/>
        <v>San Francisco Sunset District</v>
      </c>
      <c r="F554" t="s">
        <v>324</v>
      </c>
      <c r="G554">
        <f t="shared" si="24"/>
        <v>5</v>
      </c>
      <c r="H554" t="s">
        <v>125</v>
      </c>
      <c r="I554" t="s">
        <v>178</v>
      </c>
      <c r="J554">
        <v>1</v>
      </c>
      <c r="K554">
        <v>23.4305084745763</v>
      </c>
      <c r="Z554"/>
    </row>
    <row r="555" spans="1:26" x14ac:dyDescent="0.25">
      <c r="A555" s="159" t="str">
        <f t="shared" si="25"/>
        <v>LB-Daly City and San Bruno-San Francisco Sunset District-Social recreation</v>
      </c>
      <c r="B555">
        <v>5</v>
      </c>
      <c r="C555" t="str">
        <f t="shared" si="26"/>
        <v>Daly City and San Bruno</v>
      </c>
      <c r="D555">
        <v>4</v>
      </c>
      <c r="E555" t="str">
        <f t="shared" si="26"/>
        <v>San Francisco Sunset District</v>
      </c>
      <c r="F555" t="s">
        <v>324</v>
      </c>
      <c r="G555">
        <f t="shared" si="24"/>
        <v>5</v>
      </c>
      <c r="H555" t="s">
        <v>359</v>
      </c>
      <c r="I555" t="s">
        <v>191</v>
      </c>
      <c r="J555">
        <v>1</v>
      </c>
      <c r="K555">
        <v>39.348891481913597</v>
      </c>
      <c r="Z555"/>
    </row>
    <row r="556" spans="1:26" x14ac:dyDescent="0.25">
      <c r="A556" s="159" t="str">
        <f t="shared" si="25"/>
        <v>LB-Daly City and San Bruno-San Francisco Sunset District-Work</v>
      </c>
      <c r="B556">
        <v>5</v>
      </c>
      <c r="C556" t="str">
        <f t="shared" si="26"/>
        <v>Daly City and San Bruno</v>
      </c>
      <c r="D556">
        <v>4</v>
      </c>
      <c r="E556" t="str">
        <f t="shared" si="26"/>
        <v>San Francisco Sunset District</v>
      </c>
      <c r="F556" t="s">
        <v>30</v>
      </c>
      <c r="G556">
        <f t="shared" si="24"/>
        <v>1</v>
      </c>
      <c r="H556" t="s">
        <v>359</v>
      </c>
      <c r="I556" t="s">
        <v>191</v>
      </c>
      <c r="J556">
        <v>4</v>
      </c>
      <c r="K556">
        <v>404.17502917152802</v>
      </c>
      <c r="Z556"/>
    </row>
    <row r="557" spans="1:26" x14ac:dyDescent="0.25">
      <c r="A557" s="159" t="str">
        <f t="shared" si="25"/>
        <v>HR-Daly City and San Bruno-Daly City and San Bruno-High school</v>
      </c>
      <c r="B557">
        <v>5</v>
      </c>
      <c r="C557" t="str">
        <f t="shared" si="26"/>
        <v>Daly City and San Bruno</v>
      </c>
      <c r="D557">
        <v>5</v>
      </c>
      <c r="E557" t="str">
        <f t="shared" si="26"/>
        <v>Daly City and San Bruno</v>
      </c>
      <c r="F557" t="s">
        <v>326</v>
      </c>
      <c r="G557">
        <f t="shared" si="24"/>
        <v>3</v>
      </c>
      <c r="H557" t="s">
        <v>124</v>
      </c>
      <c r="I557" t="s">
        <v>188</v>
      </c>
      <c r="J557">
        <v>1</v>
      </c>
      <c r="K557">
        <v>95.822099447513807</v>
      </c>
      <c r="Z557"/>
    </row>
    <row r="558" spans="1:26" x14ac:dyDescent="0.25">
      <c r="A558" s="159" t="str">
        <f t="shared" si="25"/>
        <v>LB-Daly City and San Bruno-Daly City and San Bruno-High school</v>
      </c>
      <c r="B558">
        <v>5</v>
      </c>
      <c r="C558" t="str">
        <f t="shared" si="26"/>
        <v>Daly City and San Bruno</v>
      </c>
      <c r="D558">
        <v>5</v>
      </c>
      <c r="E558" t="str">
        <f t="shared" si="26"/>
        <v>Daly City and San Bruno</v>
      </c>
      <c r="F558" t="s">
        <v>326</v>
      </c>
      <c r="G558">
        <f t="shared" si="24"/>
        <v>3</v>
      </c>
      <c r="H558" t="s">
        <v>359</v>
      </c>
      <c r="I558" t="s">
        <v>191</v>
      </c>
      <c r="J558">
        <v>65</v>
      </c>
      <c r="K558">
        <v>2777.4786432659298</v>
      </c>
      <c r="Z558"/>
    </row>
    <row r="559" spans="1:26" x14ac:dyDescent="0.25">
      <c r="A559" s="159" t="str">
        <f t="shared" si="25"/>
        <v>LB-Daly City and San Bruno-Daly City and San Bruno-Missing</v>
      </c>
      <c r="B559">
        <v>5</v>
      </c>
      <c r="C559" t="str">
        <f t="shared" si="26"/>
        <v>Daly City and San Bruno</v>
      </c>
      <c r="D559">
        <v>5</v>
      </c>
      <c r="E559" t="str">
        <f t="shared" si="26"/>
        <v>Daly City and San Bruno</v>
      </c>
      <c r="F559" t="s">
        <v>327</v>
      </c>
      <c r="G559">
        <f t="shared" si="24"/>
        <v>0</v>
      </c>
      <c r="H559" t="s">
        <v>359</v>
      </c>
      <c r="I559" t="s">
        <v>191</v>
      </c>
      <c r="J559">
        <v>28</v>
      </c>
      <c r="K559">
        <v>1377.13045031314</v>
      </c>
      <c r="Z559"/>
    </row>
    <row r="560" spans="1:26" x14ac:dyDescent="0.25">
      <c r="A560" s="159" t="str">
        <f t="shared" si="25"/>
        <v>LB-Daly City and San Bruno-Daly City and San Bruno-Other</v>
      </c>
      <c r="B560">
        <v>5</v>
      </c>
      <c r="C560" t="str">
        <f t="shared" si="26"/>
        <v>Daly City and San Bruno</v>
      </c>
      <c r="D560">
        <v>5</v>
      </c>
      <c r="E560" t="str">
        <f t="shared" si="26"/>
        <v>Daly City and San Bruno</v>
      </c>
      <c r="F560" t="s">
        <v>328</v>
      </c>
      <c r="G560">
        <f t="shared" si="24"/>
        <v>0</v>
      </c>
      <c r="H560" t="s">
        <v>359</v>
      </c>
      <c r="I560" t="s">
        <v>191</v>
      </c>
      <c r="J560">
        <v>1</v>
      </c>
      <c r="K560">
        <v>39.348891481913597</v>
      </c>
      <c r="Z560"/>
    </row>
    <row r="561" spans="1:26" x14ac:dyDescent="0.25">
      <c r="A561" s="159" t="str">
        <f t="shared" si="25"/>
        <v>LB-Daly City and San Bruno-Daly City and San Bruno-Other maintenance</v>
      </c>
      <c r="B561">
        <v>5</v>
      </c>
      <c r="C561" t="str">
        <f t="shared" si="26"/>
        <v>Daly City and San Bruno</v>
      </c>
      <c r="D561">
        <v>5</v>
      </c>
      <c r="E561" t="str">
        <f t="shared" si="26"/>
        <v>Daly City and San Bruno</v>
      </c>
      <c r="F561" t="s">
        <v>325</v>
      </c>
      <c r="G561">
        <f t="shared" si="24"/>
        <v>4</v>
      </c>
      <c r="H561" t="s">
        <v>359</v>
      </c>
      <c r="I561" t="s">
        <v>191</v>
      </c>
      <c r="J561">
        <v>22</v>
      </c>
      <c r="K561">
        <v>957.46277554195399</v>
      </c>
      <c r="Z561"/>
    </row>
    <row r="562" spans="1:26" x14ac:dyDescent="0.25">
      <c r="A562" s="159" t="str">
        <f t="shared" si="25"/>
        <v>LB-Daly City and San Bruno-Daly City and San Bruno-Shopping</v>
      </c>
      <c r="B562">
        <v>5</v>
      </c>
      <c r="C562" t="str">
        <f t="shared" si="26"/>
        <v>Daly City and San Bruno</v>
      </c>
      <c r="D562">
        <v>5</v>
      </c>
      <c r="E562" t="str">
        <f t="shared" si="26"/>
        <v>Daly City and San Bruno</v>
      </c>
      <c r="F562" t="s">
        <v>106</v>
      </c>
      <c r="G562">
        <f t="shared" si="24"/>
        <v>4</v>
      </c>
      <c r="H562" t="s">
        <v>359</v>
      </c>
      <c r="I562" t="s">
        <v>191</v>
      </c>
      <c r="J562">
        <v>20</v>
      </c>
      <c r="K562">
        <v>1154.12648139769</v>
      </c>
      <c r="Z562"/>
    </row>
    <row r="563" spans="1:26" x14ac:dyDescent="0.25">
      <c r="A563" s="159" t="str">
        <f t="shared" si="25"/>
        <v>LB-Daly City and San Bruno-Daly City and San Bruno-Social recreation</v>
      </c>
      <c r="B563">
        <v>5</v>
      </c>
      <c r="C563" t="str">
        <f t="shared" si="26"/>
        <v>Daly City and San Bruno</v>
      </c>
      <c r="D563">
        <v>5</v>
      </c>
      <c r="E563" t="str">
        <f t="shared" si="26"/>
        <v>Daly City and San Bruno</v>
      </c>
      <c r="F563" t="s">
        <v>324</v>
      </c>
      <c r="G563">
        <f t="shared" si="24"/>
        <v>5</v>
      </c>
      <c r="H563" t="s">
        <v>359</v>
      </c>
      <c r="I563" t="s">
        <v>191</v>
      </c>
      <c r="J563">
        <v>19</v>
      </c>
      <c r="K563">
        <v>1390.13907873534</v>
      </c>
      <c r="Z563"/>
    </row>
    <row r="564" spans="1:26" x14ac:dyDescent="0.25">
      <c r="A564" s="159" t="str">
        <f t="shared" si="25"/>
        <v>CR-Daly City and San Bruno-Daly City and San Bruno-Work</v>
      </c>
      <c r="B564">
        <v>5</v>
      </c>
      <c r="C564" t="str">
        <f t="shared" si="26"/>
        <v>Daly City and San Bruno</v>
      </c>
      <c r="D564">
        <v>5</v>
      </c>
      <c r="E564" t="str">
        <f t="shared" si="26"/>
        <v>Daly City and San Bruno</v>
      </c>
      <c r="F564" t="s">
        <v>30</v>
      </c>
      <c r="G564">
        <f t="shared" si="24"/>
        <v>1</v>
      </c>
      <c r="H564" t="s">
        <v>125</v>
      </c>
      <c r="I564" t="s">
        <v>178</v>
      </c>
      <c r="J564">
        <v>3</v>
      </c>
      <c r="K564">
        <v>70.291525423728899</v>
      </c>
      <c r="Z564"/>
    </row>
    <row r="565" spans="1:26" x14ac:dyDescent="0.25">
      <c r="A565" s="159" t="str">
        <f t="shared" si="25"/>
        <v>HR-Daly City and San Bruno-Daly City and San Bruno-Work</v>
      </c>
      <c r="B565">
        <v>5</v>
      </c>
      <c r="C565" t="str">
        <f t="shared" si="26"/>
        <v>Daly City and San Bruno</v>
      </c>
      <c r="D565">
        <v>5</v>
      </c>
      <c r="E565" t="str">
        <f t="shared" si="26"/>
        <v>Daly City and San Bruno</v>
      </c>
      <c r="F565" t="s">
        <v>30</v>
      </c>
      <c r="G565">
        <f t="shared" si="24"/>
        <v>1</v>
      </c>
      <c r="H565" t="s">
        <v>124</v>
      </c>
      <c r="I565" t="s">
        <v>188</v>
      </c>
      <c r="J565">
        <v>8</v>
      </c>
      <c r="K565">
        <v>1165.34421174354</v>
      </c>
      <c r="Z565"/>
    </row>
    <row r="566" spans="1:26" x14ac:dyDescent="0.25">
      <c r="A566" s="159" t="str">
        <f t="shared" si="25"/>
        <v>LB-Daly City and San Bruno-Daly City and San Bruno-Work</v>
      </c>
      <c r="B566">
        <v>5</v>
      </c>
      <c r="C566" t="str">
        <f t="shared" si="26"/>
        <v>Daly City and San Bruno</v>
      </c>
      <c r="D566">
        <v>5</v>
      </c>
      <c r="E566" t="str">
        <f t="shared" si="26"/>
        <v>Daly City and San Bruno</v>
      </c>
      <c r="F566" t="s">
        <v>30</v>
      </c>
      <c r="G566">
        <f t="shared" si="24"/>
        <v>1</v>
      </c>
      <c r="H566" t="s">
        <v>359</v>
      </c>
      <c r="I566" t="s">
        <v>191</v>
      </c>
      <c r="J566">
        <v>96</v>
      </c>
      <c r="K566">
        <v>4603.5780487224001</v>
      </c>
      <c r="Z566"/>
    </row>
    <row r="567" spans="1:26" x14ac:dyDescent="0.25">
      <c r="A567" s="159" t="str">
        <f t="shared" si="25"/>
        <v>CR-Daly City and San Bruno-San Mateo and Burlingame-High school</v>
      </c>
      <c r="B567">
        <v>5</v>
      </c>
      <c r="C567" t="str">
        <f t="shared" si="26"/>
        <v>Daly City and San Bruno</v>
      </c>
      <c r="D567">
        <v>6</v>
      </c>
      <c r="E567" t="str">
        <f t="shared" si="26"/>
        <v>San Mateo and Burlingame</v>
      </c>
      <c r="F567" t="s">
        <v>326</v>
      </c>
      <c r="G567">
        <f t="shared" si="24"/>
        <v>3</v>
      </c>
      <c r="H567" t="s">
        <v>125</v>
      </c>
      <c r="I567" t="s">
        <v>178</v>
      </c>
      <c r="J567">
        <v>1</v>
      </c>
      <c r="K567">
        <v>23.4305084745763</v>
      </c>
      <c r="Z567"/>
    </row>
    <row r="568" spans="1:26" x14ac:dyDescent="0.25">
      <c r="A568" s="159" t="str">
        <f t="shared" si="25"/>
        <v>LB-Daly City and San Bruno-San Mateo and Burlingame-High school</v>
      </c>
      <c r="B568">
        <v>5</v>
      </c>
      <c r="C568" t="str">
        <f t="shared" si="26"/>
        <v>Daly City and San Bruno</v>
      </c>
      <c r="D568">
        <v>6</v>
      </c>
      <c r="E568" t="str">
        <f t="shared" si="26"/>
        <v>San Mateo and Burlingame</v>
      </c>
      <c r="F568" t="s">
        <v>326</v>
      </c>
      <c r="G568">
        <f t="shared" si="24"/>
        <v>3</v>
      </c>
      <c r="H568" t="s">
        <v>359</v>
      </c>
      <c r="I568" t="s">
        <v>191</v>
      </c>
      <c r="J568">
        <v>3</v>
      </c>
      <c r="K568">
        <v>118.04667444574</v>
      </c>
      <c r="Z568"/>
    </row>
    <row r="569" spans="1:26" x14ac:dyDescent="0.25">
      <c r="A569" s="159" t="str">
        <f t="shared" si="25"/>
        <v>CR-Daly City and San Bruno-San Mateo and Burlingame-Missing</v>
      </c>
      <c r="B569">
        <v>5</v>
      </c>
      <c r="C569" t="str">
        <f t="shared" si="26"/>
        <v>Daly City and San Bruno</v>
      </c>
      <c r="D569">
        <v>6</v>
      </c>
      <c r="E569" t="str">
        <f t="shared" si="26"/>
        <v>San Mateo and Burlingame</v>
      </c>
      <c r="F569" t="s">
        <v>327</v>
      </c>
      <c r="G569">
        <f t="shared" si="24"/>
        <v>0</v>
      </c>
      <c r="H569" t="s">
        <v>125</v>
      </c>
      <c r="I569" t="s">
        <v>178</v>
      </c>
      <c r="J569">
        <v>2</v>
      </c>
      <c r="K569">
        <v>48.577461879594097</v>
      </c>
      <c r="Z569"/>
    </row>
    <row r="570" spans="1:26" x14ac:dyDescent="0.25">
      <c r="A570" s="159" t="str">
        <f t="shared" si="25"/>
        <v>LB-Daly City and San Bruno-San Mateo and Burlingame-Missing</v>
      </c>
      <c r="B570">
        <v>5</v>
      </c>
      <c r="C570" t="str">
        <f t="shared" si="26"/>
        <v>Daly City and San Bruno</v>
      </c>
      <c r="D570">
        <v>6</v>
      </c>
      <c r="E570" t="str">
        <f t="shared" si="26"/>
        <v>San Mateo and Burlingame</v>
      </c>
      <c r="F570" t="s">
        <v>327</v>
      </c>
      <c r="G570">
        <f t="shared" si="24"/>
        <v>0</v>
      </c>
      <c r="H570" t="s">
        <v>359</v>
      </c>
      <c r="I570" t="s">
        <v>191</v>
      </c>
      <c r="J570">
        <v>3</v>
      </c>
      <c r="K570">
        <v>209.83383738559601</v>
      </c>
      <c r="Z570"/>
    </row>
    <row r="571" spans="1:26" x14ac:dyDescent="0.25">
      <c r="A571" s="159" t="str">
        <f t="shared" si="25"/>
        <v>CR-Daly City and San Bruno-San Mateo and Burlingame-Other maintenance</v>
      </c>
      <c r="B571">
        <v>5</v>
      </c>
      <c r="C571" t="str">
        <f t="shared" si="26"/>
        <v>Daly City and San Bruno</v>
      </c>
      <c r="D571">
        <v>6</v>
      </c>
      <c r="E571" t="str">
        <f t="shared" si="26"/>
        <v>San Mateo and Burlingame</v>
      </c>
      <c r="F571" t="s">
        <v>325</v>
      </c>
      <c r="G571">
        <f t="shared" si="24"/>
        <v>4</v>
      </c>
      <c r="H571" t="s">
        <v>125</v>
      </c>
      <c r="I571" t="s">
        <v>178</v>
      </c>
      <c r="J571">
        <v>2</v>
      </c>
      <c r="K571">
        <v>48.577461879594097</v>
      </c>
      <c r="Z571"/>
    </row>
    <row r="572" spans="1:26" x14ac:dyDescent="0.25">
      <c r="A572" s="159" t="str">
        <f t="shared" si="25"/>
        <v>LB-Daly City and San Bruno-San Mateo and Burlingame-Other maintenance</v>
      </c>
      <c r="B572">
        <v>5</v>
      </c>
      <c r="C572" t="str">
        <f t="shared" si="26"/>
        <v>Daly City and San Bruno</v>
      </c>
      <c r="D572">
        <v>6</v>
      </c>
      <c r="E572" t="str">
        <f t="shared" si="26"/>
        <v>San Mateo and Burlingame</v>
      </c>
      <c r="F572" t="s">
        <v>325</v>
      </c>
      <c r="G572">
        <f t="shared" si="24"/>
        <v>4</v>
      </c>
      <c r="H572" t="s">
        <v>359</v>
      </c>
      <c r="I572" t="s">
        <v>191</v>
      </c>
      <c r="J572">
        <v>4</v>
      </c>
      <c r="K572">
        <v>340.969891807365</v>
      </c>
      <c r="Z572"/>
    </row>
    <row r="573" spans="1:26" x14ac:dyDescent="0.25">
      <c r="A573" s="159" t="str">
        <f t="shared" si="25"/>
        <v>LB-Daly City and San Bruno-San Mateo and Burlingame-Shopping</v>
      </c>
      <c r="B573">
        <v>5</v>
      </c>
      <c r="C573" t="str">
        <f t="shared" si="26"/>
        <v>Daly City and San Bruno</v>
      </c>
      <c r="D573">
        <v>6</v>
      </c>
      <c r="E573" t="str">
        <f t="shared" si="26"/>
        <v>San Mateo and Burlingame</v>
      </c>
      <c r="F573" t="s">
        <v>106</v>
      </c>
      <c r="G573">
        <f t="shared" si="24"/>
        <v>4</v>
      </c>
      <c r="H573" t="s">
        <v>359</v>
      </c>
      <c r="I573" t="s">
        <v>191</v>
      </c>
      <c r="J573">
        <v>2</v>
      </c>
      <c r="K573">
        <v>170.48494590368199</v>
      </c>
      <c r="Z573"/>
    </row>
    <row r="574" spans="1:26" x14ac:dyDescent="0.25">
      <c r="A574" s="159" t="str">
        <f t="shared" si="25"/>
        <v>CR-Daly City and San Bruno-San Mateo and Burlingame-Social recreation</v>
      </c>
      <c r="B574">
        <v>5</v>
      </c>
      <c r="C574" t="str">
        <f t="shared" si="26"/>
        <v>Daly City and San Bruno</v>
      </c>
      <c r="D574">
        <v>6</v>
      </c>
      <c r="E574" t="str">
        <f t="shared" si="26"/>
        <v>San Mateo and Burlingame</v>
      </c>
      <c r="F574" t="s">
        <v>324</v>
      </c>
      <c r="G574">
        <f t="shared" si="24"/>
        <v>5</v>
      </c>
      <c r="H574" t="s">
        <v>125</v>
      </c>
      <c r="I574" t="s">
        <v>178</v>
      </c>
      <c r="J574">
        <v>1</v>
      </c>
      <c r="K574">
        <v>23.4305084745763</v>
      </c>
      <c r="Z574"/>
    </row>
    <row r="575" spans="1:26" x14ac:dyDescent="0.25">
      <c r="A575" s="159" t="str">
        <f t="shared" si="25"/>
        <v>LB-Daly City and San Bruno-San Mateo and Burlingame-Social recreation</v>
      </c>
      <c r="B575">
        <v>5</v>
      </c>
      <c r="C575" t="str">
        <f t="shared" si="26"/>
        <v>Daly City and San Bruno</v>
      </c>
      <c r="D575">
        <v>6</v>
      </c>
      <c r="E575" t="str">
        <f t="shared" si="26"/>
        <v>San Mateo and Burlingame</v>
      </c>
      <c r="F575" t="s">
        <v>324</v>
      </c>
      <c r="G575">
        <f t="shared" si="24"/>
        <v>5</v>
      </c>
      <c r="H575" t="s">
        <v>359</v>
      </c>
      <c r="I575" t="s">
        <v>191</v>
      </c>
      <c r="J575">
        <v>4</v>
      </c>
      <c r="K575">
        <v>340.969891807365</v>
      </c>
      <c r="Z575"/>
    </row>
    <row r="576" spans="1:26" x14ac:dyDescent="0.25">
      <c r="A576" s="159" t="str">
        <f t="shared" si="25"/>
        <v>CR-Daly City and San Bruno-San Mateo and Burlingame-Work</v>
      </c>
      <c r="B576">
        <v>5</v>
      </c>
      <c r="C576" t="str">
        <f t="shared" si="26"/>
        <v>Daly City and San Bruno</v>
      </c>
      <c r="D576">
        <v>6</v>
      </c>
      <c r="E576" t="str">
        <f t="shared" si="26"/>
        <v>San Mateo and Burlingame</v>
      </c>
      <c r="F576" t="s">
        <v>30</v>
      </c>
      <c r="G576">
        <f t="shared" si="24"/>
        <v>1</v>
      </c>
      <c r="H576" t="s">
        <v>125</v>
      </c>
      <c r="I576" t="s">
        <v>178</v>
      </c>
      <c r="J576">
        <v>3</v>
      </c>
      <c r="K576">
        <v>73.724415284611993</v>
      </c>
      <c r="Z576"/>
    </row>
    <row r="577" spans="1:26" x14ac:dyDescent="0.25">
      <c r="A577" s="159" t="str">
        <f t="shared" si="25"/>
        <v>LB-Daly City and San Bruno-San Mateo and Burlingame-Work</v>
      </c>
      <c r="B577">
        <v>5</v>
      </c>
      <c r="C577" t="str">
        <f t="shared" si="26"/>
        <v>Daly City and San Bruno</v>
      </c>
      <c r="D577">
        <v>6</v>
      </c>
      <c r="E577" t="str">
        <f t="shared" si="26"/>
        <v>San Mateo and Burlingame</v>
      </c>
      <c r="F577" t="s">
        <v>30</v>
      </c>
      <c r="G577">
        <f t="shared" si="24"/>
        <v>1</v>
      </c>
      <c r="H577" t="s">
        <v>359</v>
      </c>
      <c r="I577" t="s">
        <v>191</v>
      </c>
      <c r="J577">
        <v>14</v>
      </c>
      <c r="K577">
        <v>826.24596956635605</v>
      </c>
      <c r="Z577"/>
    </row>
    <row r="578" spans="1:26" x14ac:dyDescent="0.25">
      <c r="A578" s="159" t="str">
        <f t="shared" si="25"/>
        <v>CR-Daly City and San Bruno-Redwood City and Menlo Park-Missing</v>
      </c>
      <c r="B578">
        <v>5</v>
      </c>
      <c r="C578" t="str">
        <f t="shared" si="26"/>
        <v>Daly City and San Bruno</v>
      </c>
      <c r="D578">
        <v>7</v>
      </c>
      <c r="E578" t="str">
        <f t="shared" si="26"/>
        <v>Redwood City and Menlo Park</v>
      </c>
      <c r="F578" t="s">
        <v>327</v>
      </c>
      <c r="G578">
        <f t="shared" ref="G578:G641" si="27">VLOOKUP(F578,$V$2:$X$10, 3,FALSE)</f>
        <v>0</v>
      </c>
      <c r="H578" t="s">
        <v>125</v>
      </c>
      <c r="I578" t="s">
        <v>178</v>
      </c>
      <c r="J578">
        <v>2</v>
      </c>
      <c r="K578">
        <v>50.2939068100358</v>
      </c>
      <c r="Z578"/>
    </row>
    <row r="579" spans="1:26" x14ac:dyDescent="0.25">
      <c r="A579" s="159" t="str">
        <f t="shared" ref="A579:A642" si="28" xml:space="preserve"> CONCATENATE(I579,"-",C579, "-",E579, "-",F579,)</f>
        <v>LB-Daly City and San Bruno-Redwood City and Menlo Park-Missing</v>
      </c>
      <c r="B579">
        <v>5</v>
      </c>
      <c r="C579" t="str">
        <f t="shared" ref="C579:E642" si="29">VLOOKUP(B579,$S$2:$T$35,2,FALSE)</f>
        <v>Daly City and San Bruno</v>
      </c>
      <c r="D579">
        <v>7</v>
      </c>
      <c r="E579" t="str">
        <f t="shared" si="29"/>
        <v>Redwood City and Menlo Park</v>
      </c>
      <c r="F579" t="s">
        <v>327</v>
      </c>
      <c r="G579">
        <f t="shared" si="27"/>
        <v>0</v>
      </c>
      <c r="H579" t="s">
        <v>359</v>
      </c>
      <c r="I579" t="s">
        <v>191</v>
      </c>
      <c r="J579">
        <v>1</v>
      </c>
      <c r="K579">
        <v>39.348891481913597</v>
      </c>
      <c r="Z579"/>
    </row>
    <row r="580" spans="1:26" x14ac:dyDescent="0.25">
      <c r="A580" s="159" t="str">
        <f t="shared" si="28"/>
        <v>CR-Daly City and San Bruno-Redwood City and Menlo Park-Work</v>
      </c>
      <c r="B580">
        <v>5</v>
      </c>
      <c r="C580" t="str">
        <f t="shared" si="29"/>
        <v>Daly City and San Bruno</v>
      </c>
      <c r="D580">
        <v>7</v>
      </c>
      <c r="E580" t="str">
        <f t="shared" si="29"/>
        <v>Redwood City and Menlo Park</v>
      </c>
      <c r="F580" t="s">
        <v>30</v>
      </c>
      <c r="G580">
        <f t="shared" si="27"/>
        <v>1</v>
      </c>
      <c r="H580" t="s">
        <v>125</v>
      </c>
      <c r="I580" t="s">
        <v>178</v>
      </c>
      <c r="J580">
        <v>2</v>
      </c>
      <c r="K580">
        <v>46.861016949152599</v>
      </c>
      <c r="Z580"/>
    </row>
    <row r="581" spans="1:26" x14ac:dyDescent="0.25">
      <c r="A581" s="159" t="str">
        <f t="shared" si="28"/>
        <v>LB-Daly City and San Bruno-Redwood City and Menlo Park-Work</v>
      </c>
      <c r="B581">
        <v>5</v>
      </c>
      <c r="C581" t="str">
        <f t="shared" si="29"/>
        <v>Daly City and San Bruno</v>
      </c>
      <c r="D581">
        <v>7</v>
      </c>
      <c r="E581" t="str">
        <f t="shared" si="29"/>
        <v>Redwood City and Menlo Park</v>
      </c>
      <c r="F581" t="s">
        <v>30</v>
      </c>
      <c r="G581">
        <f t="shared" si="27"/>
        <v>1</v>
      </c>
      <c r="H581" t="s">
        <v>359</v>
      </c>
      <c r="I581" t="s">
        <v>191</v>
      </c>
      <c r="J581">
        <v>7</v>
      </c>
      <c r="K581">
        <v>459.016566253105</v>
      </c>
      <c r="Z581"/>
    </row>
    <row r="582" spans="1:26" x14ac:dyDescent="0.25">
      <c r="A582" s="159" t="str">
        <f t="shared" si="28"/>
        <v>CR-Daly City and San Bruno-Palo Alto and Los Altos-High school</v>
      </c>
      <c r="B582">
        <v>5</v>
      </c>
      <c r="C582" t="str">
        <f t="shared" si="29"/>
        <v>Daly City and San Bruno</v>
      </c>
      <c r="D582">
        <v>8</v>
      </c>
      <c r="E582" t="str">
        <f t="shared" si="29"/>
        <v>Palo Alto and Los Altos</v>
      </c>
      <c r="F582" t="s">
        <v>326</v>
      </c>
      <c r="G582">
        <f t="shared" si="27"/>
        <v>3</v>
      </c>
      <c r="H582" t="s">
        <v>125</v>
      </c>
      <c r="I582" t="s">
        <v>178</v>
      </c>
      <c r="J582">
        <v>3</v>
      </c>
      <c r="K582">
        <v>70.291525423728899</v>
      </c>
      <c r="Z582"/>
    </row>
    <row r="583" spans="1:26" x14ac:dyDescent="0.25">
      <c r="A583" s="159" t="str">
        <f t="shared" si="28"/>
        <v>CR-Daly City and San Bruno-Palo Alto and Los Altos-Other maintenance</v>
      </c>
      <c r="B583">
        <v>5</v>
      </c>
      <c r="C583" t="str">
        <f t="shared" si="29"/>
        <v>Daly City and San Bruno</v>
      </c>
      <c r="D583">
        <v>8</v>
      </c>
      <c r="E583" t="str">
        <f t="shared" si="29"/>
        <v>Palo Alto and Los Altos</v>
      </c>
      <c r="F583" t="s">
        <v>325</v>
      </c>
      <c r="G583">
        <f t="shared" si="27"/>
        <v>4</v>
      </c>
      <c r="H583" t="s">
        <v>125</v>
      </c>
      <c r="I583" t="s">
        <v>178</v>
      </c>
      <c r="J583">
        <v>2</v>
      </c>
      <c r="K583">
        <v>48.577461879594097</v>
      </c>
      <c r="Z583"/>
    </row>
    <row r="584" spans="1:26" x14ac:dyDescent="0.25">
      <c r="A584" s="159" t="str">
        <f t="shared" si="28"/>
        <v>LB-Daly City and San Bruno-Palo Alto and Los Altos-Other maintenance</v>
      </c>
      <c r="B584">
        <v>5</v>
      </c>
      <c r="C584" t="str">
        <f t="shared" si="29"/>
        <v>Daly City and San Bruno</v>
      </c>
      <c r="D584">
        <v>8</v>
      </c>
      <c r="E584" t="str">
        <f t="shared" si="29"/>
        <v>Palo Alto and Los Altos</v>
      </c>
      <c r="F584" t="s">
        <v>325</v>
      </c>
      <c r="G584">
        <f t="shared" si="27"/>
        <v>4</v>
      </c>
      <c r="H584" t="s">
        <v>359</v>
      </c>
      <c r="I584" t="s">
        <v>191</v>
      </c>
      <c r="J584">
        <v>2</v>
      </c>
      <c r="K584">
        <v>78.697782963827194</v>
      </c>
      <c r="Z584"/>
    </row>
    <row r="585" spans="1:26" x14ac:dyDescent="0.25">
      <c r="A585" s="159" t="str">
        <f t="shared" si="28"/>
        <v>CR-Daly City and San Bruno-Palo Alto and Los Altos-Social recreation</v>
      </c>
      <c r="B585">
        <v>5</v>
      </c>
      <c r="C585" t="str">
        <f t="shared" si="29"/>
        <v>Daly City and San Bruno</v>
      </c>
      <c r="D585">
        <v>8</v>
      </c>
      <c r="E585" t="str">
        <f t="shared" si="29"/>
        <v>Palo Alto and Los Altos</v>
      </c>
      <c r="F585" t="s">
        <v>324</v>
      </c>
      <c r="G585">
        <f t="shared" si="27"/>
        <v>5</v>
      </c>
      <c r="H585" t="s">
        <v>125</v>
      </c>
      <c r="I585" t="s">
        <v>178</v>
      </c>
      <c r="J585">
        <v>2</v>
      </c>
      <c r="K585">
        <v>48.577461879594097</v>
      </c>
      <c r="Z585"/>
    </row>
    <row r="586" spans="1:26" x14ac:dyDescent="0.25">
      <c r="A586" s="159" t="str">
        <f t="shared" si="28"/>
        <v>CR-Daly City and San Bruno-Palo Alto and Los Altos-Work</v>
      </c>
      <c r="B586">
        <v>5</v>
      </c>
      <c r="C586" t="str">
        <f t="shared" si="29"/>
        <v>Daly City and San Bruno</v>
      </c>
      <c r="D586">
        <v>8</v>
      </c>
      <c r="E586" t="str">
        <f t="shared" si="29"/>
        <v>Palo Alto and Los Altos</v>
      </c>
      <c r="F586" t="s">
        <v>30</v>
      </c>
      <c r="G586">
        <f t="shared" si="27"/>
        <v>1</v>
      </c>
      <c r="H586" t="s">
        <v>125</v>
      </c>
      <c r="I586" t="s">
        <v>178</v>
      </c>
      <c r="J586">
        <v>12</v>
      </c>
      <c r="K586">
        <v>281.16610169491503</v>
      </c>
      <c r="Z586"/>
    </row>
    <row r="587" spans="1:26" x14ac:dyDescent="0.25">
      <c r="A587" s="159" t="str">
        <f t="shared" si="28"/>
        <v>LB-Daly City and San Bruno-Palo Alto and Los Altos-Work</v>
      </c>
      <c r="B587">
        <v>5</v>
      </c>
      <c r="C587" t="str">
        <f t="shared" si="29"/>
        <v>Daly City and San Bruno</v>
      </c>
      <c r="D587">
        <v>8</v>
      </c>
      <c r="E587" t="str">
        <f t="shared" si="29"/>
        <v>Palo Alto and Los Altos</v>
      </c>
      <c r="F587" t="s">
        <v>30</v>
      </c>
      <c r="G587">
        <f t="shared" si="27"/>
        <v>1</v>
      </c>
      <c r="H587" t="s">
        <v>359</v>
      </c>
      <c r="I587" t="s">
        <v>191</v>
      </c>
      <c r="J587">
        <v>3</v>
      </c>
      <c r="K587">
        <v>209.83383738559601</v>
      </c>
      <c r="Z587"/>
    </row>
    <row r="588" spans="1:26" x14ac:dyDescent="0.25">
      <c r="A588" s="159" t="str">
        <f t="shared" si="28"/>
        <v>CR-Daly City and San Bruno-Sunnyvale and Mountain View-High school</v>
      </c>
      <c r="B588">
        <v>5</v>
      </c>
      <c r="C588" t="str">
        <f t="shared" si="29"/>
        <v>Daly City and San Bruno</v>
      </c>
      <c r="D588">
        <v>9</v>
      </c>
      <c r="E588" t="str">
        <f t="shared" si="29"/>
        <v>Sunnyvale and Mountain View</v>
      </c>
      <c r="F588" t="s">
        <v>326</v>
      </c>
      <c r="G588">
        <f t="shared" si="27"/>
        <v>3</v>
      </c>
      <c r="H588" t="s">
        <v>125</v>
      </c>
      <c r="I588" t="s">
        <v>178</v>
      </c>
      <c r="J588">
        <v>1</v>
      </c>
      <c r="K588">
        <v>23.4305084745763</v>
      </c>
      <c r="Z588"/>
    </row>
    <row r="589" spans="1:26" x14ac:dyDescent="0.25">
      <c r="A589" s="159" t="str">
        <f t="shared" si="28"/>
        <v>CR-Daly City and San Bruno-Sunnyvale and Mountain View-Social recreation</v>
      </c>
      <c r="B589">
        <v>5</v>
      </c>
      <c r="C589" t="str">
        <f t="shared" si="29"/>
        <v>Daly City and San Bruno</v>
      </c>
      <c r="D589">
        <v>9</v>
      </c>
      <c r="E589" t="str">
        <f t="shared" si="29"/>
        <v>Sunnyvale and Mountain View</v>
      </c>
      <c r="F589" t="s">
        <v>324</v>
      </c>
      <c r="G589">
        <f t="shared" si="27"/>
        <v>5</v>
      </c>
      <c r="H589" t="s">
        <v>125</v>
      </c>
      <c r="I589" t="s">
        <v>178</v>
      </c>
      <c r="J589">
        <v>1</v>
      </c>
      <c r="K589">
        <v>23.4305084745763</v>
      </c>
      <c r="Z589"/>
    </row>
    <row r="590" spans="1:26" x14ac:dyDescent="0.25">
      <c r="A590" s="159" t="str">
        <f t="shared" si="28"/>
        <v>CR-Daly City and San Bruno-Sunnyvale and Mountain View-Work</v>
      </c>
      <c r="B590">
        <v>5</v>
      </c>
      <c r="C590" t="str">
        <f t="shared" si="29"/>
        <v>Daly City and San Bruno</v>
      </c>
      <c r="D590">
        <v>9</v>
      </c>
      <c r="E590" t="str">
        <f t="shared" si="29"/>
        <v>Sunnyvale and Mountain View</v>
      </c>
      <c r="F590" t="s">
        <v>30</v>
      </c>
      <c r="G590">
        <f t="shared" si="27"/>
        <v>1</v>
      </c>
      <c r="H590" t="s">
        <v>125</v>
      </c>
      <c r="I590" t="s">
        <v>178</v>
      </c>
      <c r="J590">
        <v>3</v>
      </c>
      <c r="K590">
        <v>70.291525423728899</v>
      </c>
      <c r="Z590"/>
    </row>
    <row r="591" spans="1:26" x14ac:dyDescent="0.25">
      <c r="A591" s="159" t="str">
        <f t="shared" si="28"/>
        <v>LR-Daly City and San Bruno-Sunnyvale and Mountain View-Work</v>
      </c>
      <c r="B591">
        <v>5</v>
      </c>
      <c r="C591" t="str">
        <f t="shared" si="29"/>
        <v>Daly City and San Bruno</v>
      </c>
      <c r="D591">
        <v>9</v>
      </c>
      <c r="E591" t="str">
        <f t="shared" si="29"/>
        <v>Sunnyvale and Mountain View</v>
      </c>
      <c r="F591" t="s">
        <v>30</v>
      </c>
      <c r="G591">
        <f t="shared" si="27"/>
        <v>1</v>
      </c>
      <c r="H591" t="s">
        <v>353</v>
      </c>
      <c r="I591" t="s">
        <v>194</v>
      </c>
      <c r="J591">
        <v>1</v>
      </c>
      <c r="K591">
        <v>62.646773074254</v>
      </c>
      <c r="Z591"/>
    </row>
    <row r="592" spans="1:26" x14ac:dyDescent="0.25">
      <c r="A592" s="159" t="str">
        <f t="shared" si="28"/>
        <v>LB-Daly City and San Bruno-Sunnyvale and Mountain View-Work</v>
      </c>
      <c r="B592">
        <v>5</v>
      </c>
      <c r="C592" t="str">
        <f t="shared" si="29"/>
        <v>Daly City and San Bruno</v>
      </c>
      <c r="D592">
        <v>9</v>
      </c>
      <c r="E592" t="str">
        <f t="shared" si="29"/>
        <v>Sunnyvale and Mountain View</v>
      </c>
      <c r="F592" t="s">
        <v>30</v>
      </c>
      <c r="G592">
        <f t="shared" si="27"/>
        <v>1</v>
      </c>
      <c r="H592" t="s">
        <v>359</v>
      </c>
      <c r="I592" t="s">
        <v>191</v>
      </c>
      <c r="J592">
        <v>2</v>
      </c>
      <c r="K592">
        <v>125.293546148508</v>
      </c>
      <c r="Z592"/>
    </row>
    <row r="593" spans="1:26" x14ac:dyDescent="0.25">
      <c r="A593" s="159" t="str">
        <f t="shared" si="28"/>
        <v>CR-Daly City and San Bruno-Cupertino and Saratoga-Work</v>
      </c>
      <c r="B593">
        <v>5</v>
      </c>
      <c r="C593" t="str">
        <f t="shared" si="29"/>
        <v>Daly City and San Bruno</v>
      </c>
      <c r="D593">
        <v>10</v>
      </c>
      <c r="E593" t="str">
        <f t="shared" si="29"/>
        <v>Cupertino and Saratoga</v>
      </c>
      <c r="F593" t="s">
        <v>30</v>
      </c>
      <c r="G593">
        <f t="shared" si="27"/>
        <v>1</v>
      </c>
      <c r="H593" t="s">
        <v>125</v>
      </c>
      <c r="I593" t="s">
        <v>178</v>
      </c>
      <c r="J593">
        <v>1</v>
      </c>
      <c r="K593">
        <v>23.4305084745763</v>
      </c>
      <c r="Z593"/>
    </row>
    <row r="594" spans="1:26" x14ac:dyDescent="0.25">
      <c r="A594" s="159" t="str">
        <f t="shared" si="28"/>
        <v>LB-Daly City and San Bruno-Central San Jose-High school</v>
      </c>
      <c r="B594">
        <v>5</v>
      </c>
      <c r="C594" t="str">
        <f t="shared" si="29"/>
        <v>Daly City and San Bruno</v>
      </c>
      <c r="D594">
        <v>11</v>
      </c>
      <c r="E594" t="str">
        <f t="shared" si="29"/>
        <v>Central San Jose</v>
      </c>
      <c r="F594" t="s">
        <v>326</v>
      </c>
      <c r="G594">
        <f t="shared" si="27"/>
        <v>3</v>
      </c>
      <c r="H594" t="s">
        <v>359</v>
      </c>
      <c r="I594" t="s">
        <v>191</v>
      </c>
      <c r="J594">
        <v>1</v>
      </c>
      <c r="K594">
        <v>286.12835472578797</v>
      </c>
      <c r="Z594"/>
    </row>
    <row r="595" spans="1:26" x14ac:dyDescent="0.25">
      <c r="A595" s="159" t="str">
        <f t="shared" si="28"/>
        <v>CR-Daly City and San Bruno-Central San Jose-Other maintenance</v>
      </c>
      <c r="B595">
        <v>5</v>
      </c>
      <c r="C595" t="str">
        <f t="shared" si="29"/>
        <v>Daly City and San Bruno</v>
      </c>
      <c r="D595">
        <v>11</v>
      </c>
      <c r="E595" t="str">
        <f t="shared" si="29"/>
        <v>Central San Jose</v>
      </c>
      <c r="F595" t="s">
        <v>325</v>
      </c>
      <c r="G595">
        <f t="shared" si="27"/>
        <v>4</v>
      </c>
      <c r="H595" t="s">
        <v>125</v>
      </c>
      <c r="I595" t="s">
        <v>178</v>
      </c>
      <c r="J595">
        <v>2</v>
      </c>
      <c r="K595">
        <v>50.2939068100358</v>
      </c>
      <c r="Z595"/>
    </row>
    <row r="596" spans="1:26" x14ac:dyDescent="0.25">
      <c r="A596" s="159" t="str">
        <f t="shared" si="28"/>
        <v>HR-Daly City and San Bruno-Central San Jose-Other maintenance</v>
      </c>
      <c r="B596">
        <v>5</v>
      </c>
      <c r="C596" t="str">
        <f t="shared" si="29"/>
        <v>Daly City and San Bruno</v>
      </c>
      <c r="D596">
        <v>11</v>
      </c>
      <c r="E596" t="str">
        <f t="shared" si="29"/>
        <v>Central San Jose</v>
      </c>
      <c r="F596" t="s">
        <v>325</v>
      </c>
      <c r="G596">
        <f t="shared" si="27"/>
        <v>4</v>
      </c>
      <c r="H596" t="s">
        <v>124</v>
      </c>
      <c r="I596" t="s">
        <v>188</v>
      </c>
      <c r="J596">
        <v>1</v>
      </c>
      <c r="K596">
        <v>95.822099447513807</v>
      </c>
      <c r="Z596"/>
    </row>
    <row r="597" spans="1:26" x14ac:dyDescent="0.25">
      <c r="A597" s="159" t="str">
        <f t="shared" si="28"/>
        <v>LB-Daly City and San Bruno-Central San Jose-Other maintenance</v>
      </c>
      <c r="B597">
        <v>5</v>
      </c>
      <c r="C597" t="str">
        <f t="shared" si="29"/>
        <v>Daly City and San Bruno</v>
      </c>
      <c r="D597">
        <v>11</v>
      </c>
      <c r="E597" t="str">
        <f t="shared" si="29"/>
        <v>Central San Jose</v>
      </c>
      <c r="F597" t="s">
        <v>325</v>
      </c>
      <c r="G597">
        <f t="shared" si="27"/>
        <v>4</v>
      </c>
      <c r="H597" t="s">
        <v>359</v>
      </c>
      <c r="I597" t="s">
        <v>191</v>
      </c>
      <c r="J597">
        <v>1</v>
      </c>
      <c r="K597">
        <v>185.366795366795</v>
      </c>
      <c r="Z597"/>
    </row>
    <row r="598" spans="1:26" x14ac:dyDescent="0.25">
      <c r="A598" s="159" t="str">
        <f t="shared" si="28"/>
        <v>CR-Daly City and San Bruno-Central San Jose-Shopping</v>
      </c>
      <c r="B598">
        <v>5</v>
      </c>
      <c r="C598" t="str">
        <f t="shared" si="29"/>
        <v>Daly City and San Bruno</v>
      </c>
      <c r="D598">
        <v>11</v>
      </c>
      <c r="E598" t="str">
        <f t="shared" si="29"/>
        <v>Central San Jose</v>
      </c>
      <c r="F598" t="s">
        <v>106</v>
      </c>
      <c r="G598">
        <f t="shared" si="27"/>
        <v>4</v>
      </c>
      <c r="H598" t="s">
        <v>125</v>
      </c>
      <c r="I598" t="s">
        <v>178</v>
      </c>
      <c r="J598">
        <v>1</v>
      </c>
      <c r="K598">
        <v>23.4305084745763</v>
      </c>
      <c r="Z598"/>
    </row>
    <row r="599" spans="1:26" x14ac:dyDescent="0.25">
      <c r="A599" s="159" t="str">
        <f t="shared" si="28"/>
        <v>CR-Daly City and San Bruno-Central San Jose-Social recreation</v>
      </c>
      <c r="B599">
        <v>5</v>
      </c>
      <c r="C599" t="str">
        <f t="shared" si="29"/>
        <v>Daly City and San Bruno</v>
      </c>
      <c r="D599">
        <v>11</v>
      </c>
      <c r="E599" t="str">
        <f t="shared" si="29"/>
        <v>Central San Jose</v>
      </c>
      <c r="F599" t="s">
        <v>324</v>
      </c>
      <c r="G599">
        <f t="shared" si="27"/>
        <v>5</v>
      </c>
      <c r="H599" t="s">
        <v>125</v>
      </c>
      <c r="I599" t="s">
        <v>178</v>
      </c>
      <c r="J599">
        <v>1</v>
      </c>
      <c r="K599">
        <v>25.1469534050179</v>
      </c>
      <c r="Z599"/>
    </row>
    <row r="600" spans="1:26" x14ac:dyDescent="0.25">
      <c r="A600" s="159" t="str">
        <f t="shared" si="28"/>
        <v>CR-Daly City and San Bruno-Central San Jose-Work</v>
      </c>
      <c r="B600">
        <v>5</v>
      </c>
      <c r="C600" t="str">
        <f t="shared" si="29"/>
        <v>Daly City and San Bruno</v>
      </c>
      <c r="D600">
        <v>11</v>
      </c>
      <c r="E600" t="str">
        <f t="shared" si="29"/>
        <v>Central San Jose</v>
      </c>
      <c r="F600" t="s">
        <v>30</v>
      </c>
      <c r="G600">
        <f t="shared" si="27"/>
        <v>1</v>
      </c>
      <c r="H600" t="s">
        <v>125</v>
      </c>
      <c r="I600" t="s">
        <v>178</v>
      </c>
      <c r="J600">
        <v>6</v>
      </c>
      <c r="K600">
        <v>142.29949577789901</v>
      </c>
      <c r="Z600"/>
    </row>
    <row r="601" spans="1:26" x14ac:dyDescent="0.25">
      <c r="A601" s="159" t="str">
        <f t="shared" si="28"/>
        <v>LR-Daly City and San Bruno-Central San Jose-Work</v>
      </c>
      <c r="B601">
        <v>5</v>
      </c>
      <c r="C601" t="str">
        <f t="shared" si="29"/>
        <v>Daly City and San Bruno</v>
      </c>
      <c r="D601">
        <v>11</v>
      </c>
      <c r="E601" t="str">
        <f t="shared" si="29"/>
        <v>Central San Jose</v>
      </c>
      <c r="F601" t="s">
        <v>30</v>
      </c>
      <c r="G601">
        <f t="shared" si="27"/>
        <v>1</v>
      </c>
      <c r="H601" t="s">
        <v>353</v>
      </c>
      <c r="I601" t="s">
        <v>194</v>
      </c>
      <c r="J601">
        <v>1</v>
      </c>
      <c r="K601">
        <v>62.646773074254</v>
      </c>
      <c r="Z601"/>
    </row>
    <row r="602" spans="1:26" x14ac:dyDescent="0.25">
      <c r="A602" s="159" t="str">
        <f t="shared" si="28"/>
        <v>LB-Daly City and San Bruno-Central San Jose-Work</v>
      </c>
      <c r="B602">
        <v>5</v>
      </c>
      <c r="C602" t="str">
        <f t="shared" si="29"/>
        <v>Daly City and San Bruno</v>
      </c>
      <c r="D602">
        <v>11</v>
      </c>
      <c r="E602" t="str">
        <f t="shared" si="29"/>
        <v>Central San Jose</v>
      </c>
      <c r="F602" t="s">
        <v>30</v>
      </c>
      <c r="G602">
        <f t="shared" si="27"/>
        <v>1</v>
      </c>
      <c r="H602" t="s">
        <v>359</v>
      </c>
      <c r="I602" t="s">
        <v>191</v>
      </c>
      <c r="J602">
        <v>1</v>
      </c>
      <c r="K602">
        <v>39.348891481913597</v>
      </c>
      <c r="Z602"/>
    </row>
    <row r="603" spans="1:26" x14ac:dyDescent="0.25">
      <c r="A603" s="159" t="str">
        <f t="shared" si="28"/>
        <v>CR-Daly City and San Bruno-South San Jose-Work</v>
      </c>
      <c r="B603">
        <v>5</v>
      </c>
      <c r="C603" t="str">
        <f t="shared" si="29"/>
        <v>Daly City and San Bruno</v>
      </c>
      <c r="D603">
        <v>13</v>
      </c>
      <c r="E603" t="str">
        <f t="shared" si="29"/>
        <v>South San Jose</v>
      </c>
      <c r="F603" t="s">
        <v>30</v>
      </c>
      <c r="G603">
        <f t="shared" si="27"/>
        <v>1</v>
      </c>
      <c r="H603" t="s">
        <v>125</v>
      </c>
      <c r="I603" t="s">
        <v>178</v>
      </c>
      <c r="J603">
        <v>1</v>
      </c>
      <c r="K603">
        <v>23.4305084745763</v>
      </c>
      <c r="Z603"/>
    </row>
    <row r="604" spans="1:26" x14ac:dyDescent="0.25">
      <c r="A604" s="159" t="str">
        <f t="shared" si="28"/>
        <v>HR-Daly City and San Bruno-Livermore and Pleasanton-Social recreation</v>
      </c>
      <c r="B604">
        <v>5</v>
      </c>
      <c r="C604" t="str">
        <f t="shared" si="29"/>
        <v>Daly City and San Bruno</v>
      </c>
      <c r="D604">
        <v>15</v>
      </c>
      <c r="E604" t="str">
        <f t="shared" si="29"/>
        <v>Livermore and Pleasanton</v>
      </c>
      <c r="F604" t="s">
        <v>324</v>
      </c>
      <c r="G604">
        <f t="shared" si="27"/>
        <v>5</v>
      </c>
      <c r="H604" t="s">
        <v>124</v>
      </c>
      <c r="I604" t="s">
        <v>188</v>
      </c>
      <c r="J604">
        <v>1</v>
      </c>
      <c r="K604">
        <v>95.822099447513807</v>
      </c>
      <c r="Z604"/>
    </row>
    <row r="605" spans="1:26" x14ac:dyDescent="0.25">
      <c r="A605" s="159" t="str">
        <f t="shared" si="28"/>
        <v>HR-Daly City and San Bruno-Fremont and Union City-Other maintenance</v>
      </c>
      <c r="B605">
        <v>5</v>
      </c>
      <c r="C605" t="str">
        <f t="shared" si="29"/>
        <v>Daly City and San Bruno</v>
      </c>
      <c r="D605">
        <v>16</v>
      </c>
      <c r="E605" t="str">
        <f t="shared" si="29"/>
        <v>Fremont and Union City</v>
      </c>
      <c r="F605" t="s">
        <v>325</v>
      </c>
      <c r="G605">
        <f t="shared" si="27"/>
        <v>4</v>
      </c>
      <c r="H605" t="s">
        <v>124</v>
      </c>
      <c r="I605" t="s">
        <v>188</v>
      </c>
      <c r="J605">
        <v>1</v>
      </c>
      <c r="K605">
        <v>195.51395348837201</v>
      </c>
      <c r="Z605"/>
    </row>
    <row r="606" spans="1:26" x14ac:dyDescent="0.25">
      <c r="A606" s="159" t="str">
        <f t="shared" si="28"/>
        <v>LB-Daly City and San Bruno-Fremont and Union City-Social recreation</v>
      </c>
      <c r="B606">
        <v>5</v>
      </c>
      <c r="C606" t="str">
        <f t="shared" si="29"/>
        <v>Daly City and San Bruno</v>
      </c>
      <c r="D606">
        <v>16</v>
      </c>
      <c r="E606" t="str">
        <f t="shared" si="29"/>
        <v>Fremont and Union City</v>
      </c>
      <c r="F606" t="s">
        <v>324</v>
      </c>
      <c r="G606">
        <f t="shared" si="27"/>
        <v>5</v>
      </c>
      <c r="H606" t="s">
        <v>359</v>
      </c>
      <c r="I606" t="s">
        <v>191</v>
      </c>
      <c r="J606">
        <v>1</v>
      </c>
      <c r="K606">
        <v>75.575262543757304</v>
      </c>
      <c r="Z606"/>
    </row>
    <row r="607" spans="1:26" x14ac:dyDescent="0.25">
      <c r="A607" s="159" t="str">
        <f t="shared" si="28"/>
        <v>HR-Daly City and San Bruno-Fremont and Union City-Work</v>
      </c>
      <c r="B607">
        <v>5</v>
      </c>
      <c r="C607" t="str">
        <f t="shared" si="29"/>
        <v>Daly City and San Bruno</v>
      </c>
      <c r="D607">
        <v>16</v>
      </c>
      <c r="E607" t="str">
        <f t="shared" si="29"/>
        <v>Fremont and Union City</v>
      </c>
      <c r="F607" t="s">
        <v>30</v>
      </c>
      <c r="G607">
        <f t="shared" si="27"/>
        <v>1</v>
      </c>
      <c r="H607" t="s">
        <v>124</v>
      </c>
      <c r="I607" t="s">
        <v>188</v>
      </c>
      <c r="J607">
        <v>2</v>
      </c>
      <c r="K607">
        <v>191.64419889502699</v>
      </c>
      <c r="Z607"/>
    </row>
    <row r="608" spans="1:26" x14ac:dyDescent="0.25">
      <c r="A608" s="159" t="str">
        <f t="shared" si="28"/>
        <v>HR-Daly City and San Bruno-Hayward and San Leandro-Missing</v>
      </c>
      <c r="B608">
        <v>5</v>
      </c>
      <c r="C608" t="str">
        <f t="shared" si="29"/>
        <v>Daly City and San Bruno</v>
      </c>
      <c r="D608">
        <v>17</v>
      </c>
      <c r="E608" t="str">
        <f t="shared" si="29"/>
        <v>Hayward and San Leandro</v>
      </c>
      <c r="F608" t="s">
        <v>327</v>
      </c>
      <c r="G608">
        <f t="shared" si="27"/>
        <v>0</v>
      </c>
      <c r="H608" t="s">
        <v>124</v>
      </c>
      <c r="I608" t="s">
        <v>188</v>
      </c>
      <c r="J608">
        <v>1</v>
      </c>
      <c r="K608">
        <v>195.51395348837201</v>
      </c>
      <c r="Z608"/>
    </row>
    <row r="609" spans="1:26" x14ac:dyDescent="0.25">
      <c r="A609" s="159" t="str">
        <f t="shared" si="28"/>
        <v>HR-Daly City and San Bruno-Hayward and San Leandro-Other maintenance</v>
      </c>
      <c r="B609">
        <v>5</v>
      </c>
      <c r="C609" t="str">
        <f t="shared" si="29"/>
        <v>Daly City and San Bruno</v>
      </c>
      <c r="D609">
        <v>17</v>
      </c>
      <c r="E609" t="str">
        <f t="shared" si="29"/>
        <v>Hayward and San Leandro</v>
      </c>
      <c r="F609" t="s">
        <v>325</v>
      </c>
      <c r="G609">
        <f t="shared" si="27"/>
        <v>4</v>
      </c>
      <c r="H609" t="s">
        <v>124</v>
      </c>
      <c r="I609" t="s">
        <v>188</v>
      </c>
      <c r="J609">
        <v>3</v>
      </c>
      <c r="K609">
        <v>586.54186046511597</v>
      </c>
      <c r="Z609"/>
    </row>
    <row r="610" spans="1:26" x14ac:dyDescent="0.25">
      <c r="A610" s="159" t="str">
        <f t="shared" si="28"/>
        <v>HR-Daly City and San Bruno-Hayward and San Leandro-Shopping</v>
      </c>
      <c r="B610">
        <v>5</v>
      </c>
      <c r="C610" t="str">
        <f t="shared" si="29"/>
        <v>Daly City and San Bruno</v>
      </c>
      <c r="D610">
        <v>17</v>
      </c>
      <c r="E610" t="str">
        <f t="shared" si="29"/>
        <v>Hayward and San Leandro</v>
      </c>
      <c r="F610" t="s">
        <v>106</v>
      </c>
      <c r="G610">
        <f t="shared" si="27"/>
        <v>4</v>
      </c>
      <c r="H610" t="s">
        <v>124</v>
      </c>
      <c r="I610" t="s">
        <v>188</v>
      </c>
      <c r="J610">
        <v>1</v>
      </c>
      <c r="K610">
        <v>95.822099447513807</v>
      </c>
      <c r="Z610"/>
    </row>
    <row r="611" spans="1:26" x14ac:dyDescent="0.25">
      <c r="A611" s="159" t="str">
        <f t="shared" si="28"/>
        <v>HR-Daly City and San Bruno-Hayward and San Leandro-Social recreation</v>
      </c>
      <c r="B611">
        <v>5</v>
      </c>
      <c r="C611" t="str">
        <f t="shared" si="29"/>
        <v>Daly City and San Bruno</v>
      </c>
      <c r="D611">
        <v>17</v>
      </c>
      <c r="E611" t="str">
        <f t="shared" si="29"/>
        <v>Hayward and San Leandro</v>
      </c>
      <c r="F611" t="s">
        <v>324</v>
      </c>
      <c r="G611">
        <f t="shared" si="27"/>
        <v>5</v>
      </c>
      <c r="H611" t="s">
        <v>124</v>
      </c>
      <c r="I611" t="s">
        <v>188</v>
      </c>
      <c r="J611">
        <v>2</v>
      </c>
      <c r="K611">
        <v>191.64419889502699</v>
      </c>
      <c r="Z611"/>
    </row>
    <row r="612" spans="1:26" x14ac:dyDescent="0.25">
      <c r="A612" s="159" t="str">
        <f t="shared" si="28"/>
        <v>HR-Daly City and San Bruno-Hayward and San Leandro-Work</v>
      </c>
      <c r="B612">
        <v>5</v>
      </c>
      <c r="C612" t="str">
        <f t="shared" si="29"/>
        <v>Daly City and San Bruno</v>
      </c>
      <c r="D612">
        <v>17</v>
      </c>
      <c r="E612" t="str">
        <f t="shared" si="29"/>
        <v>Hayward and San Leandro</v>
      </c>
      <c r="F612" t="s">
        <v>30</v>
      </c>
      <c r="G612">
        <f t="shared" si="27"/>
        <v>1</v>
      </c>
      <c r="H612" t="s">
        <v>124</v>
      </c>
      <c r="I612" t="s">
        <v>188</v>
      </c>
      <c r="J612">
        <v>3</v>
      </c>
      <c r="K612">
        <v>287.46629834254099</v>
      </c>
      <c r="Z612"/>
    </row>
    <row r="613" spans="1:26" x14ac:dyDescent="0.25">
      <c r="A613" s="159" t="str">
        <f t="shared" si="28"/>
        <v>HR-Daly City and San Bruno-Oakland and Alameda-High school</v>
      </c>
      <c r="B613">
        <v>5</v>
      </c>
      <c r="C613" t="str">
        <f t="shared" si="29"/>
        <v>Daly City and San Bruno</v>
      </c>
      <c r="D613">
        <v>18</v>
      </c>
      <c r="E613" t="str">
        <f t="shared" si="29"/>
        <v>Oakland and Alameda</v>
      </c>
      <c r="F613" t="s">
        <v>326</v>
      </c>
      <c r="G613">
        <f t="shared" si="27"/>
        <v>3</v>
      </c>
      <c r="H613" t="s">
        <v>124</v>
      </c>
      <c r="I613" t="s">
        <v>188</v>
      </c>
      <c r="J613">
        <v>2</v>
      </c>
      <c r="K613">
        <v>191.64419889502699</v>
      </c>
      <c r="Z613"/>
    </row>
    <row r="614" spans="1:26" x14ac:dyDescent="0.25">
      <c r="A614" s="159" t="str">
        <f t="shared" si="28"/>
        <v>HR-Daly City and San Bruno-Oakland and Alameda-Other maintenance</v>
      </c>
      <c r="B614">
        <v>5</v>
      </c>
      <c r="C614" t="str">
        <f t="shared" si="29"/>
        <v>Daly City and San Bruno</v>
      </c>
      <c r="D614">
        <v>18</v>
      </c>
      <c r="E614" t="str">
        <f t="shared" si="29"/>
        <v>Oakland and Alameda</v>
      </c>
      <c r="F614" t="s">
        <v>325</v>
      </c>
      <c r="G614">
        <f t="shared" si="27"/>
        <v>4</v>
      </c>
      <c r="H614" t="s">
        <v>124</v>
      </c>
      <c r="I614" t="s">
        <v>188</v>
      </c>
      <c r="J614">
        <v>2</v>
      </c>
      <c r="K614">
        <v>191.64419889502699</v>
      </c>
      <c r="Z614"/>
    </row>
    <row r="615" spans="1:26" x14ac:dyDescent="0.25">
      <c r="A615" s="159" t="str">
        <f t="shared" si="28"/>
        <v>LB-Daly City and San Bruno-Oakland and Alameda-Other maintenance</v>
      </c>
      <c r="B615">
        <v>5</v>
      </c>
      <c r="C615" t="str">
        <f t="shared" si="29"/>
        <v>Daly City and San Bruno</v>
      </c>
      <c r="D615">
        <v>18</v>
      </c>
      <c r="E615" t="str">
        <f t="shared" si="29"/>
        <v>Oakland and Alameda</v>
      </c>
      <c r="F615" t="s">
        <v>325</v>
      </c>
      <c r="G615">
        <f t="shared" si="27"/>
        <v>4</v>
      </c>
      <c r="H615" t="s">
        <v>359</v>
      </c>
      <c r="I615" t="s">
        <v>191</v>
      </c>
      <c r="J615">
        <v>1</v>
      </c>
      <c r="K615">
        <v>75.575262543757304</v>
      </c>
      <c r="Z615"/>
    </row>
    <row r="616" spans="1:26" x14ac:dyDescent="0.25">
      <c r="A616" s="159" t="str">
        <f t="shared" si="28"/>
        <v>FR-Daly City and San Bruno-Oakland and Alameda-Social recreation</v>
      </c>
      <c r="B616">
        <v>5</v>
      </c>
      <c r="C616" t="str">
        <f t="shared" si="29"/>
        <v>Daly City and San Bruno</v>
      </c>
      <c r="D616">
        <v>18</v>
      </c>
      <c r="E616" t="str">
        <f t="shared" si="29"/>
        <v>Oakland and Alameda</v>
      </c>
      <c r="F616" t="s">
        <v>324</v>
      </c>
      <c r="G616">
        <f t="shared" si="27"/>
        <v>5</v>
      </c>
      <c r="H616" t="s">
        <v>360</v>
      </c>
      <c r="I616" t="s">
        <v>185</v>
      </c>
      <c r="J616">
        <v>1</v>
      </c>
      <c r="K616">
        <v>11.719387755102</v>
      </c>
      <c r="Z616"/>
    </row>
    <row r="617" spans="1:26" x14ac:dyDescent="0.25">
      <c r="A617" s="159" t="str">
        <f t="shared" si="28"/>
        <v>HR-Daly City and San Bruno-Oakland and Alameda-Social recreation</v>
      </c>
      <c r="B617">
        <v>5</v>
      </c>
      <c r="C617" t="str">
        <f t="shared" si="29"/>
        <v>Daly City and San Bruno</v>
      </c>
      <c r="D617">
        <v>18</v>
      </c>
      <c r="E617" t="str">
        <f t="shared" si="29"/>
        <v>Oakland and Alameda</v>
      </c>
      <c r="F617" t="s">
        <v>324</v>
      </c>
      <c r="G617">
        <f t="shared" si="27"/>
        <v>5</v>
      </c>
      <c r="H617" t="s">
        <v>124</v>
      </c>
      <c r="I617" t="s">
        <v>188</v>
      </c>
      <c r="J617">
        <v>2</v>
      </c>
      <c r="K617">
        <v>291.33605293588499</v>
      </c>
      <c r="Z617"/>
    </row>
    <row r="618" spans="1:26" x14ac:dyDescent="0.25">
      <c r="A618" s="159" t="str">
        <f t="shared" si="28"/>
        <v>FR-Daly City and San Bruno-Oakland and Alameda-Work</v>
      </c>
      <c r="B618">
        <v>5</v>
      </c>
      <c r="C618" t="str">
        <f t="shared" si="29"/>
        <v>Daly City and San Bruno</v>
      </c>
      <c r="D618">
        <v>18</v>
      </c>
      <c r="E618" t="str">
        <f t="shared" si="29"/>
        <v>Oakland and Alameda</v>
      </c>
      <c r="F618" t="s">
        <v>30</v>
      </c>
      <c r="G618">
        <f t="shared" si="27"/>
        <v>1</v>
      </c>
      <c r="H618" t="s">
        <v>360</v>
      </c>
      <c r="I618" t="s">
        <v>185</v>
      </c>
      <c r="J618">
        <v>7</v>
      </c>
      <c r="K618">
        <v>82.035714285713993</v>
      </c>
      <c r="Z618"/>
    </row>
    <row r="619" spans="1:26" x14ac:dyDescent="0.25">
      <c r="A619" s="159" t="str">
        <f t="shared" si="28"/>
        <v>HR-Daly City and San Bruno-Oakland and Alameda-Work</v>
      </c>
      <c r="B619">
        <v>5</v>
      </c>
      <c r="C619" t="str">
        <f t="shared" si="29"/>
        <v>Daly City and San Bruno</v>
      </c>
      <c r="D619">
        <v>18</v>
      </c>
      <c r="E619" t="str">
        <f t="shared" si="29"/>
        <v>Oakland and Alameda</v>
      </c>
      <c r="F619" t="s">
        <v>30</v>
      </c>
      <c r="G619">
        <f t="shared" si="27"/>
        <v>1</v>
      </c>
      <c r="H619" t="s">
        <v>124</v>
      </c>
      <c r="I619" t="s">
        <v>188</v>
      </c>
      <c r="J619">
        <v>9</v>
      </c>
      <c r="K619">
        <v>862.39889502762401</v>
      </c>
      <c r="Z619"/>
    </row>
    <row r="620" spans="1:26" x14ac:dyDescent="0.25">
      <c r="A620" s="159" t="str">
        <f t="shared" si="28"/>
        <v>LB-Daly City and San Bruno-Oakland and Alameda-Work</v>
      </c>
      <c r="B620">
        <v>5</v>
      </c>
      <c r="C620" t="str">
        <f t="shared" si="29"/>
        <v>Daly City and San Bruno</v>
      </c>
      <c r="D620">
        <v>18</v>
      </c>
      <c r="E620" t="str">
        <f t="shared" si="29"/>
        <v>Oakland and Alameda</v>
      </c>
      <c r="F620" t="s">
        <v>30</v>
      </c>
      <c r="G620">
        <f t="shared" si="27"/>
        <v>1</v>
      </c>
      <c r="H620" t="s">
        <v>359</v>
      </c>
      <c r="I620" t="s">
        <v>191</v>
      </c>
      <c r="J620">
        <v>1</v>
      </c>
      <c r="K620">
        <v>75.575262543757304</v>
      </c>
      <c r="Z620"/>
    </row>
    <row r="621" spans="1:26" x14ac:dyDescent="0.25">
      <c r="A621" s="159" t="str">
        <f t="shared" si="28"/>
        <v>HR-Daly City and San Bruno-Berkeley and Albany-High school</v>
      </c>
      <c r="B621">
        <v>5</v>
      </c>
      <c r="C621" t="str">
        <f t="shared" si="29"/>
        <v>Daly City and San Bruno</v>
      </c>
      <c r="D621">
        <v>19</v>
      </c>
      <c r="E621" t="str">
        <f t="shared" si="29"/>
        <v>Berkeley and Albany</v>
      </c>
      <c r="F621" t="s">
        <v>326</v>
      </c>
      <c r="G621">
        <f t="shared" si="27"/>
        <v>3</v>
      </c>
      <c r="H621" t="s">
        <v>124</v>
      </c>
      <c r="I621" t="s">
        <v>188</v>
      </c>
      <c r="J621">
        <v>1</v>
      </c>
      <c r="K621">
        <v>95.822099447513807</v>
      </c>
      <c r="Z621"/>
    </row>
    <row r="622" spans="1:26" x14ac:dyDescent="0.25">
      <c r="A622" s="159" t="str">
        <f t="shared" si="28"/>
        <v>HR-Daly City and San Bruno-Berkeley and Albany-Missing</v>
      </c>
      <c r="B622">
        <v>5</v>
      </c>
      <c r="C622" t="str">
        <f t="shared" si="29"/>
        <v>Daly City and San Bruno</v>
      </c>
      <c r="D622">
        <v>19</v>
      </c>
      <c r="E622" t="str">
        <f t="shared" si="29"/>
        <v>Berkeley and Albany</v>
      </c>
      <c r="F622" t="s">
        <v>327</v>
      </c>
      <c r="G622">
        <f t="shared" si="27"/>
        <v>0</v>
      </c>
      <c r="H622" t="s">
        <v>124</v>
      </c>
      <c r="I622" t="s">
        <v>188</v>
      </c>
      <c r="J622">
        <v>2</v>
      </c>
      <c r="K622">
        <v>391.02790697674402</v>
      </c>
      <c r="Z622"/>
    </row>
    <row r="623" spans="1:26" x14ac:dyDescent="0.25">
      <c r="A623" s="159" t="str">
        <f t="shared" si="28"/>
        <v>HR-Daly City and San Bruno-Berkeley and Albany-Social recreation</v>
      </c>
      <c r="B623">
        <v>5</v>
      </c>
      <c r="C623" t="str">
        <f t="shared" si="29"/>
        <v>Daly City and San Bruno</v>
      </c>
      <c r="D623">
        <v>19</v>
      </c>
      <c r="E623" t="str">
        <f t="shared" si="29"/>
        <v>Berkeley and Albany</v>
      </c>
      <c r="F623" t="s">
        <v>324</v>
      </c>
      <c r="G623">
        <f t="shared" si="27"/>
        <v>5</v>
      </c>
      <c r="H623" t="s">
        <v>124</v>
      </c>
      <c r="I623" t="s">
        <v>188</v>
      </c>
      <c r="J623">
        <v>3</v>
      </c>
      <c r="K623">
        <v>486.850006424257</v>
      </c>
      <c r="Z623"/>
    </row>
    <row r="624" spans="1:26" x14ac:dyDescent="0.25">
      <c r="A624" s="159" t="str">
        <f t="shared" si="28"/>
        <v>FR-Daly City and San Bruno-Berkeley and Albany-Work</v>
      </c>
      <c r="B624">
        <v>5</v>
      </c>
      <c r="C624" t="str">
        <f t="shared" si="29"/>
        <v>Daly City and San Bruno</v>
      </c>
      <c r="D624">
        <v>19</v>
      </c>
      <c r="E624" t="str">
        <f t="shared" si="29"/>
        <v>Berkeley and Albany</v>
      </c>
      <c r="F624" t="s">
        <v>30</v>
      </c>
      <c r="G624">
        <f t="shared" si="27"/>
        <v>1</v>
      </c>
      <c r="H624" t="s">
        <v>360</v>
      </c>
      <c r="I624" t="s">
        <v>185</v>
      </c>
      <c r="J624">
        <v>1</v>
      </c>
      <c r="K624">
        <v>11.719387755102</v>
      </c>
      <c r="Z624"/>
    </row>
    <row r="625" spans="1:26" x14ac:dyDescent="0.25">
      <c r="A625" s="159" t="str">
        <f t="shared" si="28"/>
        <v>HR-Daly City and San Bruno-Berkeley and Albany-Work</v>
      </c>
      <c r="B625">
        <v>5</v>
      </c>
      <c r="C625" t="str">
        <f t="shared" si="29"/>
        <v>Daly City and San Bruno</v>
      </c>
      <c r="D625">
        <v>19</v>
      </c>
      <c r="E625" t="str">
        <f t="shared" si="29"/>
        <v>Berkeley and Albany</v>
      </c>
      <c r="F625" t="s">
        <v>30</v>
      </c>
      <c r="G625">
        <f t="shared" si="27"/>
        <v>1</v>
      </c>
      <c r="H625" t="s">
        <v>124</v>
      </c>
      <c r="I625" t="s">
        <v>188</v>
      </c>
      <c r="J625">
        <v>2</v>
      </c>
      <c r="K625">
        <v>191.64419889502699</v>
      </c>
      <c r="Z625"/>
    </row>
    <row r="626" spans="1:26" x14ac:dyDescent="0.25">
      <c r="A626" s="159" t="str">
        <f t="shared" si="28"/>
        <v>HR-Daly City and San Bruno-Richmond and El Cerrito-High school</v>
      </c>
      <c r="B626">
        <v>5</v>
      </c>
      <c r="C626" t="str">
        <f t="shared" si="29"/>
        <v>Daly City and San Bruno</v>
      </c>
      <c r="D626">
        <v>20</v>
      </c>
      <c r="E626" t="str">
        <f t="shared" si="29"/>
        <v>Richmond and El Cerrito</v>
      </c>
      <c r="F626" t="s">
        <v>326</v>
      </c>
      <c r="G626">
        <f t="shared" si="27"/>
        <v>3</v>
      </c>
      <c r="H626" t="s">
        <v>124</v>
      </c>
      <c r="I626" t="s">
        <v>188</v>
      </c>
      <c r="J626">
        <v>1</v>
      </c>
      <c r="K626">
        <v>95.822099447513807</v>
      </c>
      <c r="Z626"/>
    </row>
    <row r="627" spans="1:26" x14ac:dyDescent="0.25">
      <c r="A627" s="159" t="str">
        <f t="shared" si="28"/>
        <v>HR-Daly City and San Bruno-Richmond and El Cerrito-Missing</v>
      </c>
      <c r="B627">
        <v>5</v>
      </c>
      <c r="C627" t="str">
        <f t="shared" si="29"/>
        <v>Daly City and San Bruno</v>
      </c>
      <c r="D627">
        <v>20</v>
      </c>
      <c r="E627" t="str">
        <f t="shared" si="29"/>
        <v>Richmond and El Cerrito</v>
      </c>
      <c r="F627" t="s">
        <v>327</v>
      </c>
      <c r="G627">
        <f t="shared" si="27"/>
        <v>0</v>
      </c>
      <c r="H627" t="s">
        <v>124</v>
      </c>
      <c r="I627" t="s">
        <v>188</v>
      </c>
      <c r="J627">
        <v>3</v>
      </c>
      <c r="K627">
        <v>486.850006424257</v>
      </c>
      <c r="Z627"/>
    </row>
    <row r="628" spans="1:26" x14ac:dyDescent="0.25">
      <c r="A628" s="159" t="str">
        <f t="shared" si="28"/>
        <v>HR-Daly City and San Bruno-Richmond and El Cerrito-Other maintenance</v>
      </c>
      <c r="B628">
        <v>5</v>
      </c>
      <c r="C628" t="str">
        <f t="shared" si="29"/>
        <v>Daly City and San Bruno</v>
      </c>
      <c r="D628">
        <v>20</v>
      </c>
      <c r="E628" t="str">
        <f t="shared" si="29"/>
        <v>Richmond and El Cerrito</v>
      </c>
      <c r="F628" t="s">
        <v>325</v>
      </c>
      <c r="G628">
        <f t="shared" si="27"/>
        <v>4</v>
      </c>
      <c r="H628" t="s">
        <v>124</v>
      </c>
      <c r="I628" t="s">
        <v>188</v>
      </c>
      <c r="J628">
        <v>1</v>
      </c>
      <c r="K628">
        <v>95.822099447513807</v>
      </c>
      <c r="Z628"/>
    </row>
    <row r="629" spans="1:26" x14ac:dyDescent="0.25">
      <c r="A629" s="159" t="str">
        <f t="shared" si="28"/>
        <v>HR-Daly City and San Bruno-Richmond and El Cerrito-Work</v>
      </c>
      <c r="B629">
        <v>5</v>
      </c>
      <c r="C629" t="str">
        <f t="shared" si="29"/>
        <v>Daly City and San Bruno</v>
      </c>
      <c r="D629">
        <v>20</v>
      </c>
      <c r="E629" t="str">
        <f t="shared" si="29"/>
        <v>Richmond and El Cerrito</v>
      </c>
      <c r="F629" t="s">
        <v>30</v>
      </c>
      <c r="G629">
        <f t="shared" si="27"/>
        <v>1</v>
      </c>
      <c r="H629" t="s">
        <v>124</v>
      </c>
      <c r="I629" t="s">
        <v>188</v>
      </c>
      <c r="J629">
        <v>5</v>
      </c>
      <c r="K629">
        <v>479.11049723756901</v>
      </c>
      <c r="Z629"/>
    </row>
    <row r="630" spans="1:26" x14ac:dyDescent="0.25">
      <c r="A630" s="159" t="str">
        <f t="shared" si="28"/>
        <v>LB-Daly City and San Bruno-Concord and Martinez-Other maintenance</v>
      </c>
      <c r="B630">
        <v>5</v>
      </c>
      <c r="C630" t="str">
        <f t="shared" si="29"/>
        <v>Daly City and San Bruno</v>
      </c>
      <c r="D630">
        <v>21</v>
      </c>
      <c r="E630" t="str">
        <f t="shared" si="29"/>
        <v>Concord and Martinez</v>
      </c>
      <c r="F630" t="s">
        <v>325</v>
      </c>
      <c r="G630">
        <f t="shared" si="27"/>
        <v>4</v>
      </c>
      <c r="H630" t="s">
        <v>359</v>
      </c>
      <c r="I630" t="s">
        <v>191</v>
      </c>
      <c r="J630">
        <v>1</v>
      </c>
      <c r="K630">
        <v>19.727984344422701</v>
      </c>
      <c r="Z630"/>
    </row>
    <row r="631" spans="1:26" x14ac:dyDescent="0.25">
      <c r="A631" s="159" t="str">
        <f t="shared" si="28"/>
        <v>HR-Daly City and San Bruno-Concord and Martinez-Social recreation</v>
      </c>
      <c r="B631">
        <v>5</v>
      </c>
      <c r="C631" t="str">
        <f t="shared" si="29"/>
        <v>Daly City and San Bruno</v>
      </c>
      <c r="D631">
        <v>21</v>
      </c>
      <c r="E631" t="str">
        <f t="shared" si="29"/>
        <v>Concord and Martinez</v>
      </c>
      <c r="F631" t="s">
        <v>324</v>
      </c>
      <c r="G631">
        <f t="shared" si="27"/>
        <v>5</v>
      </c>
      <c r="H631" t="s">
        <v>124</v>
      </c>
      <c r="I631" t="s">
        <v>188</v>
      </c>
      <c r="J631">
        <v>1</v>
      </c>
      <c r="K631">
        <v>195.51395348837201</v>
      </c>
      <c r="Z631"/>
    </row>
    <row r="632" spans="1:26" x14ac:dyDescent="0.25">
      <c r="A632" s="159" t="str">
        <f t="shared" si="28"/>
        <v>HR-Daly City and San Bruno-Concord and Martinez-Work</v>
      </c>
      <c r="B632">
        <v>5</v>
      </c>
      <c r="C632" t="str">
        <f t="shared" si="29"/>
        <v>Daly City and San Bruno</v>
      </c>
      <c r="D632">
        <v>21</v>
      </c>
      <c r="E632" t="str">
        <f t="shared" si="29"/>
        <v>Concord and Martinez</v>
      </c>
      <c r="F632" t="s">
        <v>30</v>
      </c>
      <c r="G632">
        <f t="shared" si="27"/>
        <v>1</v>
      </c>
      <c r="H632" t="s">
        <v>124</v>
      </c>
      <c r="I632" t="s">
        <v>188</v>
      </c>
      <c r="J632">
        <v>3</v>
      </c>
      <c r="K632">
        <v>287.46629834254099</v>
      </c>
      <c r="Z632"/>
    </row>
    <row r="633" spans="1:26" x14ac:dyDescent="0.25">
      <c r="A633" s="159" t="str">
        <f t="shared" si="28"/>
        <v>HR-Daly City and San Bruno-Walnut Creek-Social recreation</v>
      </c>
      <c r="B633">
        <v>5</v>
      </c>
      <c r="C633" t="str">
        <f t="shared" si="29"/>
        <v>Daly City and San Bruno</v>
      </c>
      <c r="D633">
        <v>22</v>
      </c>
      <c r="E633" t="str">
        <f t="shared" si="29"/>
        <v>Walnut Creek</v>
      </c>
      <c r="F633" t="s">
        <v>324</v>
      </c>
      <c r="G633">
        <f t="shared" si="27"/>
        <v>5</v>
      </c>
      <c r="H633" t="s">
        <v>124</v>
      </c>
      <c r="I633" t="s">
        <v>188</v>
      </c>
      <c r="J633">
        <v>3</v>
      </c>
      <c r="K633">
        <v>287.46629834254099</v>
      </c>
      <c r="Z633"/>
    </row>
    <row r="634" spans="1:26" x14ac:dyDescent="0.25">
      <c r="A634" s="159" t="str">
        <f t="shared" si="28"/>
        <v>LB-Daly City and San Bruno-Walnut Creek-Work</v>
      </c>
      <c r="B634">
        <v>5</v>
      </c>
      <c r="C634" t="str">
        <f t="shared" si="29"/>
        <v>Daly City and San Bruno</v>
      </c>
      <c r="D634">
        <v>22</v>
      </c>
      <c r="E634" t="str">
        <f t="shared" si="29"/>
        <v>Walnut Creek</v>
      </c>
      <c r="F634" t="s">
        <v>30</v>
      </c>
      <c r="G634">
        <f t="shared" si="27"/>
        <v>1</v>
      </c>
      <c r="H634" t="s">
        <v>359</v>
      </c>
      <c r="I634" t="s">
        <v>191</v>
      </c>
      <c r="J634">
        <v>1</v>
      </c>
      <c r="K634">
        <v>19.727984344422701</v>
      </c>
      <c r="Z634"/>
    </row>
    <row r="635" spans="1:26" x14ac:dyDescent="0.25">
      <c r="A635" s="159" t="str">
        <f t="shared" si="28"/>
        <v>LB-Daly City and San Bruno-Danville and San Ramon-Missing</v>
      </c>
      <c r="B635">
        <v>5</v>
      </c>
      <c r="C635" t="str">
        <f t="shared" si="29"/>
        <v>Daly City and San Bruno</v>
      </c>
      <c r="D635">
        <v>23</v>
      </c>
      <c r="E635" t="str">
        <f t="shared" si="29"/>
        <v>Danville and San Ramon</v>
      </c>
      <c r="F635" t="s">
        <v>327</v>
      </c>
      <c r="G635">
        <f t="shared" si="27"/>
        <v>0</v>
      </c>
      <c r="H635" t="s">
        <v>359</v>
      </c>
      <c r="I635" t="s">
        <v>191</v>
      </c>
      <c r="J635">
        <v>1</v>
      </c>
      <c r="K635">
        <v>19.727984344422701</v>
      </c>
      <c r="Z635"/>
    </row>
    <row r="636" spans="1:26" x14ac:dyDescent="0.25">
      <c r="A636" s="159" t="str">
        <f t="shared" si="28"/>
        <v>HR-Daly City and San Bruno-Antioch and Pittsburg-Social recreation</v>
      </c>
      <c r="B636">
        <v>5</v>
      </c>
      <c r="C636" t="str">
        <f t="shared" si="29"/>
        <v>Daly City and San Bruno</v>
      </c>
      <c r="D636">
        <v>24</v>
      </c>
      <c r="E636" t="str">
        <f t="shared" si="29"/>
        <v>Antioch and Pittsburg</v>
      </c>
      <c r="F636" t="s">
        <v>324</v>
      </c>
      <c r="G636">
        <f t="shared" si="27"/>
        <v>5</v>
      </c>
      <c r="H636" t="s">
        <v>124</v>
      </c>
      <c r="I636" t="s">
        <v>188</v>
      </c>
      <c r="J636">
        <v>1</v>
      </c>
      <c r="K636">
        <v>195.51395348837201</v>
      </c>
      <c r="Z636"/>
    </row>
    <row r="637" spans="1:26" x14ac:dyDescent="0.25">
      <c r="A637" s="159" t="str">
        <f t="shared" si="28"/>
        <v>HR-Daly City and San Bruno-Antioch and Pittsburg-Work</v>
      </c>
      <c r="B637">
        <v>5</v>
      </c>
      <c r="C637" t="str">
        <f t="shared" si="29"/>
        <v>Daly City and San Bruno</v>
      </c>
      <c r="D637">
        <v>24</v>
      </c>
      <c r="E637" t="str">
        <f t="shared" si="29"/>
        <v>Antioch and Pittsburg</v>
      </c>
      <c r="F637" t="s">
        <v>30</v>
      </c>
      <c r="G637">
        <f t="shared" si="27"/>
        <v>1</v>
      </c>
      <c r="H637" t="s">
        <v>124</v>
      </c>
      <c r="I637" t="s">
        <v>188</v>
      </c>
      <c r="J637">
        <v>2</v>
      </c>
      <c r="K637">
        <v>291.33605293588499</v>
      </c>
      <c r="Z637"/>
    </row>
    <row r="638" spans="1:26" x14ac:dyDescent="0.25">
      <c r="A638" s="159" t="str">
        <f t="shared" si="28"/>
        <v>EB-Daly City and San Bruno-Vallejo and Benicia-Social recreation</v>
      </c>
      <c r="B638">
        <v>5</v>
      </c>
      <c r="C638" t="str">
        <f t="shared" si="29"/>
        <v>Daly City and San Bruno</v>
      </c>
      <c r="D638">
        <v>25</v>
      </c>
      <c r="E638" t="str">
        <f t="shared" si="29"/>
        <v>Vallejo and Benicia</v>
      </c>
      <c r="F638" t="s">
        <v>324</v>
      </c>
      <c r="G638">
        <f t="shared" si="27"/>
        <v>5</v>
      </c>
      <c r="H638" t="s">
        <v>123</v>
      </c>
      <c r="I638" t="s">
        <v>182</v>
      </c>
      <c r="J638">
        <v>1</v>
      </c>
      <c r="K638">
        <v>15.051282051282</v>
      </c>
      <c r="Z638"/>
    </row>
    <row r="639" spans="1:26" x14ac:dyDescent="0.25">
      <c r="A639" s="159" t="str">
        <f t="shared" si="28"/>
        <v>FR-Daly City and San Bruno-Napa-Other maintenance</v>
      </c>
      <c r="B639">
        <v>5</v>
      </c>
      <c r="C639" t="str">
        <f t="shared" si="29"/>
        <v>Daly City and San Bruno</v>
      </c>
      <c r="D639">
        <v>27</v>
      </c>
      <c r="E639" t="str">
        <f t="shared" si="29"/>
        <v>Napa</v>
      </c>
      <c r="F639" t="s">
        <v>325</v>
      </c>
      <c r="G639">
        <f t="shared" si="27"/>
        <v>4</v>
      </c>
      <c r="H639" t="s">
        <v>360</v>
      </c>
      <c r="I639" t="s">
        <v>185</v>
      </c>
      <c r="J639">
        <v>1</v>
      </c>
      <c r="K639">
        <v>16.498422712933699</v>
      </c>
      <c r="Z639"/>
    </row>
    <row r="640" spans="1:26" x14ac:dyDescent="0.25">
      <c r="A640" s="159" t="str">
        <f t="shared" si="28"/>
        <v>LB-Daly City and San Bruno-Petaluma and Rohnert Park-High school</v>
      </c>
      <c r="B640">
        <v>5</v>
      </c>
      <c r="C640" t="str">
        <f t="shared" si="29"/>
        <v>Daly City and San Bruno</v>
      </c>
      <c r="D640">
        <v>29</v>
      </c>
      <c r="E640" t="str">
        <f t="shared" si="29"/>
        <v>Petaluma and Rohnert Park</v>
      </c>
      <c r="F640" t="s">
        <v>326</v>
      </c>
      <c r="G640">
        <f t="shared" si="27"/>
        <v>3</v>
      </c>
      <c r="H640" t="s">
        <v>359</v>
      </c>
      <c r="I640" t="s">
        <v>191</v>
      </c>
      <c r="J640">
        <v>1</v>
      </c>
      <c r="K640">
        <v>286.12835472578797</v>
      </c>
      <c r="Z640"/>
    </row>
    <row r="641" spans="1:26" x14ac:dyDescent="0.25">
      <c r="A641" s="159" t="str">
        <f t="shared" si="28"/>
        <v>LR-San Mateo and Burlingame-Greater Downtown San Francisco-High school</v>
      </c>
      <c r="B641">
        <v>6</v>
      </c>
      <c r="C641" t="str">
        <f t="shared" si="29"/>
        <v>San Mateo and Burlingame</v>
      </c>
      <c r="D641">
        <v>1</v>
      </c>
      <c r="E641" t="str">
        <f t="shared" si="29"/>
        <v>Greater Downtown San Francisco</v>
      </c>
      <c r="F641" t="s">
        <v>326</v>
      </c>
      <c r="G641">
        <f t="shared" si="27"/>
        <v>3</v>
      </c>
      <c r="H641" t="s">
        <v>353</v>
      </c>
      <c r="I641" t="s">
        <v>194</v>
      </c>
      <c r="J641">
        <v>1</v>
      </c>
      <c r="K641">
        <v>1240.22676579926</v>
      </c>
      <c r="Z641"/>
    </row>
    <row r="642" spans="1:26" x14ac:dyDescent="0.25">
      <c r="A642" s="159" t="str">
        <f t="shared" si="28"/>
        <v>LB-San Mateo and Burlingame-Greater Downtown San Francisco-Missing</v>
      </c>
      <c r="B642">
        <v>6</v>
      </c>
      <c r="C642" t="str">
        <f t="shared" si="29"/>
        <v>San Mateo and Burlingame</v>
      </c>
      <c r="D642">
        <v>1</v>
      </c>
      <c r="E642" t="str">
        <f t="shared" si="29"/>
        <v>Greater Downtown San Francisco</v>
      </c>
      <c r="F642" t="s">
        <v>327</v>
      </c>
      <c r="G642">
        <f t="shared" ref="G642:G705" si="30">VLOOKUP(F642,$V$2:$X$10, 3,FALSE)</f>
        <v>0</v>
      </c>
      <c r="H642" t="s">
        <v>359</v>
      </c>
      <c r="I642" t="s">
        <v>191</v>
      </c>
      <c r="J642">
        <v>1</v>
      </c>
      <c r="K642">
        <v>39.348891481913597</v>
      </c>
      <c r="Z642"/>
    </row>
    <row r="643" spans="1:26" x14ac:dyDescent="0.25">
      <c r="A643" s="159" t="str">
        <f t="shared" ref="A643:A706" si="31" xml:space="preserve"> CONCATENATE(I643,"-",C643, "-",E643, "-",F643,)</f>
        <v>CR-San Mateo and Burlingame-Greater Downtown San Francisco-Social recreation</v>
      </c>
      <c r="B643">
        <v>6</v>
      </c>
      <c r="C643" t="str">
        <f t="shared" ref="C643:E706" si="32">VLOOKUP(B643,$S$2:$T$35,2,FALSE)</f>
        <v>San Mateo and Burlingame</v>
      </c>
      <c r="D643">
        <v>1</v>
      </c>
      <c r="E643" t="str">
        <f t="shared" si="32"/>
        <v>Greater Downtown San Francisco</v>
      </c>
      <c r="F643" t="s">
        <v>324</v>
      </c>
      <c r="G643">
        <f t="shared" si="30"/>
        <v>5</v>
      </c>
      <c r="H643" t="s">
        <v>125</v>
      </c>
      <c r="I643" t="s">
        <v>178</v>
      </c>
      <c r="J643">
        <v>2</v>
      </c>
      <c r="K643">
        <v>50.2939068100358</v>
      </c>
      <c r="Z643"/>
    </row>
    <row r="644" spans="1:26" x14ac:dyDescent="0.25">
      <c r="A644" s="159" t="str">
        <f t="shared" si="31"/>
        <v>LB-San Mateo and Burlingame-Greater Downtown San Francisco-Social recreation</v>
      </c>
      <c r="B644">
        <v>6</v>
      </c>
      <c r="C644" t="str">
        <f t="shared" si="32"/>
        <v>San Mateo and Burlingame</v>
      </c>
      <c r="D644">
        <v>1</v>
      </c>
      <c r="E644" t="str">
        <f t="shared" si="32"/>
        <v>Greater Downtown San Francisco</v>
      </c>
      <c r="F644" t="s">
        <v>324</v>
      </c>
      <c r="G644">
        <f t="shared" si="30"/>
        <v>5</v>
      </c>
      <c r="H644" t="s">
        <v>359</v>
      </c>
      <c r="I644" t="s">
        <v>191</v>
      </c>
      <c r="J644">
        <v>1</v>
      </c>
      <c r="K644">
        <v>39.348891481913597</v>
      </c>
      <c r="Z644"/>
    </row>
    <row r="645" spans="1:26" x14ac:dyDescent="0.25">
      <c r="A645" s="159" t="str">
        <f t="shared" si="31"/>
        <v>HR-San Mateo and Burlingame-Greater Downtown San Francisco-Work</v>
      </c>
      <c r="B645">
        <v>6</v>
      </c>
      <c r="C645" t="str">
        <f t="shared" si="32"/>
        <v>San Mateo and Burlingame</v>
      </c>
      <c r="D645">
        <v>1</v>
      </c>
      <c r="E645" t="str">
        <f t="shared" si="32"/>
        <v>Greater Downtown San Francisco</v>
      </c>
      <c r="F645" t="s">
        <v>30</v>
      </c>
      <c r="G645">
        <f t="shared" si="30"/>
        <v>1</v>
      </c>
      <c r="H645" t="s">
        <v>124</v>
      </c>
      <c r="I645" t="s">
        <v>188</v>
      </c>
      <c r="J645">
        <v>1</v>
      </c>
      <c r="K645">
        <v>95.822099447513807</v>
      </c>
      <c r="Z645"/>
    </row>
    <row r="646" spans="1:26" x14ac:dyDescent="0.25">
      <c r="A646" s="159" t="str">
        <f t="shared" si="31"/>
        <v>LR-San Mateo and Burlingame-Greater Downtown San Francisco-Work</v>
      </c>
      <c r="B646">
        <v>6</v>
      </c>
      <c r="C646" t="str">
        <f t="shared" si="32"/>
        <v>San Mateo and Burlingame</v>
      </c>
      <c r="D646">
        <v>1</v>
      </c>
      <c r="E646" t="str">
        <f t="shared" si="32"/>
        <v>Greater Downtown San Francisco</v>
      </c>
      <c r="F646" t="s">
        <v>30</v>
      </c>
      <c r="G646">
        <f t="shared" si="30"/>
        <v>1</v>
      </c>
      <c r="H646" t="s">
        <v>353</v>
      </c>
      <c r="I646" t="s">
        <v>194</v>
      </c>
      <c r="J646">
        <v>1</v>
      </c>
      <c r="K646">
        <v>1240.22676579926</v>
      </c>
      <c r="Z646"/>
    </row>
    <row r="647" spans="1:26" x14ac:dyDescent="0.25">
      <c r="A647" s="159" t="str">
        <f t="shared" si="31"/>
        <v>LB-San Mateo and Burlingame-Greater Downtown San Francisco-Work</v>
      </c>
      <c r="B647">
        <v>6</v>
      </c>
      <c r="C647" t="str">
        <f t="shared" si="32"/>
        <v>San Mateo and Burlingame</v>
      </c>
      <c r="D647">
        <v>1</v>
      </c>
      <c r="E647" t="str">
        <f t="shared" si="32"/>
        <v>Greater Downtown San Francisco</v>
      </c>
      <c r="F647" t="s">
        <v>30</v>
      </c>
      <c r="G647">
        <f t="shared" si="30"/>
        <v>1</v>
      </c>
      <c r="H647" t="s">
        <v>359</v>
      </c>
      <c r="I647" t="s">
        <v>191</v>
      </c>
      <c r="J647">
        <v>2</v>
      </c>
      <c r="K647">
        <v>78.697782963827194</v>
      </c>
      <c r="Z647"/>
    </row>
    <row r="648" spans="1:26" x14ac:dyDescent="0.25">
      <c r="A648" s="159" t="str">
        <f t="shared" si="31"/>
        <v>LB-San Mateo and Burlingame-San Francisco Richmond District-Other maintenance</v>
      </c>
      <c r="B648">
        <v>6</v>
      </c>
      <c r="C648" t="str">
        <f t="shared" si="32"/>
        <v>San Mateo and Burlingame</v>
      </c>
      <c r="D648">
        <v>2</v>
      </c>
      <c r="E648" t="str">
        <f t="shared" si="32"/>
        <v>San Francisco Richmond District</v>
      </c>
      <c r="F648" t="s">
        <v>325</v>
      </c>
      <c r="G648">
        <f t="shared" si="30"/>
        <v>4</v>
      </c>
      <c r="H648" t="s">
        <v>359</v>
      </c>
      <c r="I648" t="s">
        <v>191</v>
      </c>
      <c r="J648">
        <v>1</v>
      </c>
      <c r="K648">
        <v>39.348891481913597</v>
      </c>
      <c r="Z648"/>
    </row>
    <row r="649" spans="1:26" x14ac:dyDescent="0.25">
      <c r="A649" s="159" t="str">
        <f t="shared" si="31"/>
        <v>LB-San Mateo and Burlingame-San Francisco Richmond District-Shopping</v>
      </c>
      <c r="B649">
        <v>6</v>
      </c>
      <c r="C649" t="str">
        <f t="shared" si="32"/>
        <v>San Mateo and Burlingame</v>
      </c>
      <c r="D649">
        <v>2</v>
      </c>
      <c r="E649" t="str">
        <f t="shared" si="32"/>
        <v>San Francisco Richmond District</v>
      </c>
      <c r="F649" t="s">
        <v>106</v>
      </c>
      <c r="G649">
        <f t="shared" si="30"/>
        <v>4</v>
      </c>
      <c r="H649" t="s">
        <v>359</v>
      </c>
      <c r="I649" t="s">
        <v>191</v>
      </c>
      <c r="J649">
        <v>1</v>
      </c>
      <c r="K649">
        <v>39.348891481913597</v>
      </c>
      <c r="Z649"/>
    </row>
    <row r="650" spans="1:26" x14ac:dyDescent="0.25">
      <c r="A650" s="159" t="str">
        <f t="shared" si="31"/>
        <v>CR-San Mateo and Burlingame-San Francisco Richmond District-Social recreation</v>
      </c>
      <c r="B650">
        <v>6</v>
      </c>
      <c r="C650" t="str">
        <f t="shared" si="32"/>
        <v>San Mateo and Burlingame</v>
      </c>
      <c r="D650">
        <v>2</v>
      </c>
      <c r="E650" t="str">
        <f t="shared" si="32"/>
        <v>San Francisco Richmond District</v>
      </c>
      <c r="F650" t="s">
        <v>324</v>
      </c>
      <c r="G650">
        <f t="shared" si="30"/>
        <v>5</v>
      </c>
      <c r="H650" t="s">
        <v>125</v>
      </c>
      <c r="I650" t="s">
        <v>178</v>
      </c>
      <c r="J650">
        <v>1</v>
      </c>
      <c r="K650">
        <v>25.1469534050179</v>
      </c>
      <c r="Z650"/>
    </row>
    <row r="651" spans="1:26" x14ac:dyDescent="0.25">
      <c r="A651" s="159" t="str">
        <f t="shared" si="31"/>
        <v>HR-San Mateo and Burlingame-San Francisco Richmond District-Social recreation</v>
      </c>
      <c r="B651">
        <v>6</v>
      </c>
      <c r="C651" t="str">
        <f t="shared" si="32"/>
        <v>San Mateo and Burlingame</v>
      </c>
      <c r="D651">
        <v>2</v>
      </c>
      <c r="E651" t="str">
        <f t="shared" si="32"/>
        <v>San Francisco Richmond District</v>
      </c>
      <c r="F651" t="s">
        <v>324</v>
      </c>
      <c r="G651">
        <f t="shared" si="30"/>
        <v>5</v>
      </c>
      <c r="H651" t="s">
        <v>124</v>
      </c>
      <c r="I651" t="s">
        <v>188</v>
      </c>
      <c r="J651">
        <v>2</v>
      </c>
      <c r="K651">
        <v>191.64419889502699</v>
      </c>
      <c r="Z651"/>
    </row>
    <row r="652" spans="1:26" x14ac:dyDescent="0.25">
      <c r="A652" s="159" t="str">
        <f t="shared" si="31"/>
        <v>CR-San Mateo and Burlingame-San Francisco Richmond District-Work</v>
      </c>
      <c r="B652">
        <v>6</v>
      </c>
      <c r="C652" t="str">
        <f t="shared" si="32"/>
        <v>San Mateo and Burlingame</v>
      </c>
      <c r="D652">
        <v>2</v>
      </c>
      <c r="E652" t="str">
        <f t="shared" si="32"/>
        <v>San Francisco Richmond District</v>
      </c>
      <c r="F652" t="s">
        <v>30</v>
      </c>
      <c r="G652">
        <f t="shared" si="30"/>
        <v>1</v>
      </c>
      <c r="H652" t="s">
        <v>125</v>
      </c>
      <c r="I652" t="s">
        <v>178</v>
      </c>
      <c r="J652">
        <v>1</v>
      </c>
      <c r="K652">
        <v>23.4305084745763</v>
      </c>
      <c r="Z652"/>
    </row>
    <row r="653" spans="1:26" x14ac:dyDescent="0.25">
      <c r="A653" s="159" t="str">
        <f t="shared" si="31"/>
        <v>LB-San Mateo and Burlingame-San Francisco Richmond District-Work</v>
      </c>
      <c r="B653">
        <v>6</v>
      </c>
      <c r="C653" t="str">
        <f t="shared" si="32"/>
        <v>San Mateo and Burlingame</v>
      </c>
      <c r="D653">
        <v>2</v>
      </c>
      <c r="E653" t="str">
        <f t="shared" si="32"/>
        <v>San Francisco Richmond District</v>
      </c>
      <c r="F653" t="s">
        <v>30</v>
      </c>
      <c r="G653">
        <f t="shared" si="30"/>
        <v>1</v>
      </c>
      <c r="H653" t="s">
        <v>359</v>
      </c>
      <c r="I653" t="s">
        <v>191</v>
      </c>
      <c r="J653">
        <v>1</v>
      </c>
      <c r="K653">
        <v>131.13605442176899</v>
      </c>
      <c r="Z653"/>
    </row>
    <row r="654" spans="1:26" x14ac:dyDescent="0.25">
      <c r="A654" s="159" t="str">
        <f t="shared" si="31"/>
        <v>CR-San Mateo and Burlingame-San Francisco Mission District-High school</v>
      </c>
      <c r="B654">
        <v>6</v>
      </c>
      <c r="C654" t="str">
        <f t="shared" si="32"/>
        <v>San Mateo and Burlingame</v>
      </c>
      <c r="D654">
        <v>3</v>
      </c>
      <c r="E654" t="str">
        <f t="shared" si="32"/>
        <v>San Francisco Mission District</v>
      </c>
      <c r="F654" t="s">
        <v>326</v>
      </c>
      <c r="G654">
        <f t="shared" si="30"/>
        <v>3</v>
      </c>
      <c r="H654" t="s">
        <v>125</v>
      </c>
      <c r="I654" t="s">
        <v>178</v>
      </c>
      <c r="J654">
        <v>1</v>
      </c>
      <c r="K654">
        <v>23.4305084745763</v>
      </c>
      <c r="Z654"/>
    </row>
    <row r="655" spans="1:26" x14ac:dyDescent="0.25">
      <c r="A655" s="159" t="str">
        <f t="shared" si="31"/>
        <v>HR-San Mateo and Burlingame-San Francisco Mission District-Other maintenance</v>
      </c>
      <c r="B655">
        <v>6</v>
      </c>
      <c r="C655" t="str">
        <f t="shared" si="32"/>
        <v>San Mateo and Burlingame</v>
      </c>
      <c r="D655">
        <v>3</v>
      </c>
      <c r="E655" t="str">
        <f t="shared" si="32"/>
        <v>San Francisco Mission District</v>
      </c>
      <c r="F655" t="s">
        <v>325</v>
      </c>
      <c r="G655">
        <f t="shared" si="30"/>
        <v>4</v>
      </c>
      <c r="H655" t="s">
        <v>124</v>
      </c>
      <c r="I655" t="s">
        <v>188</v>
      </c>
      <c r="J655">
        <v>1</v>
      </c>
      <c r="K655">
        <v>195.51395348837201</v>
      </c>
      <c r="Z655"/>
    </row>
    <row r="656" spans="1:26" x14ac:dyDescent="0.25">
      <c r="A656" s="159" t="str">
        <f t="shared" si="31"/>
        <v>LB-San Mateo and Burlingame-San Francisco Mission District-Shopping</v>
      </c>
      <c r="B656">
        <v>6</v>
      </c>
      <c r="C656" t="str">
        <f t="shared" si="32"/>
        <v>San Mateo and Burlingame</v>
      </c>
      <c r="D656">
        <v>3</v>
      </c>
      <c r="E656" t="str">
        <f t="shared" si="32"/>
        <v>San Francisco Mission District</v>
      </c>
      <c r="F656" t="s">
        <v>106</v>
      </c>
      <c r="G656">
        <f t="shared" si="30"/>
        <v>4</v>
      </c>
      <c r="H656" t="s">
        <v>359</v>
      </c>
      <c r="I656" t="s">
        <v>191</v>
      </c>
      <c r="J656">
        <v>1</v>
      </c>
      <c r="K656">
        <v>131.13605442176899</v>
      </c>
      <c r="Z656"/>
    </row>
    <row r="657" spans="1:26" x14ac:dyDescent="0.25">
      <c r="A657" s="159" t="str">
        <f t="shared" si="31"/>
        <v>CR-San Mateo and Burlingame-San Francisco Mission District-Social recreation</v>
      </c>
      <c r="B657">
        <v>6</v>
      </c>
      <c r="C657" t="str">
        <f t="shared" si="32"/>
        <v>San Mateo and Burlingame</v>
      </c>
      <c r="D657">
        <v>3</v>
      </c>
      <c r="E657" t="str">
        <f t="shared" si="32"/>
        <v>San Francisco Mission District</v>
      </c>
      <c r="F657" t="s">
        <v>324</v>
      </c>
      <c r="G657">
        <f t="shared" si="30"/>
        <v>5</v>
      </c>
      <c r="H657" t="s">
        <v>125</v>
      </c>
      <c r="I657" t="s">
        <v>178</v>
      </c>
      <c r="J657">
        <v>6</v>
      </c>
      <c r="K657">
        <v>149.165275499665</v>
      </c>
      <c r="Z657"/>
    </row>
    <row r="658" spans="1:26" x14ac:dyDescent="0.25">
      <c r="A658" s="159" t="str">
        <f t="shared" si="31"/>
        <v>CR-San Mateo and Burlingame-San Francisco Mission District-Work</v>
      </c>
      <c r="B658">
        <v>6</v>
      </c>
      <c r="C658" t="str">
        <f t="shared" si="32"/>
        <v>San Mateo and Burlingame</v>
      </c>
      <c r="D658">
        <v>3</v>
      </c>
      <c r="E658" t="str">
        <f t="shared" si="32"/>
        <v>San Francisco Mission District</v>
      </c>
      <c r="F658" t="s">
        <v>30</v>
      </c>
      <c r="G658">
        <f t="shared" si="30"/>
        <v>1</v>
      </c>
      <c r="H658" t="s">
        <v>125</v>
      </c>
      <c r="I658" t="s">
        <v>178</v>
      </c>
      <c r="J658">
        <v>3</v>
      </c>
      <c r="K658">
        <v>70.291525423728899</v>
      </c>
      <c r="Z658"/>
    </row>
    <row r="659" spans="1:26" x14ac:dyDescent="0.25">
      <c r="A659" s="159" t="str">
        <f t="shared" si="31"/>
        <v>HR-San Mateo and Burlingame-San Francisco Mission District-Work</v>
      </c>
      <c r="B659">
        <v>6</v>
      </c>
      <c r="C659" t="str">
        <f t="shared" si="32"/>
        <v>San Mateo and Burlingame</v>
      </c>
      <c r="D659">
        <v>3</v>
      </c>
      <c r="E659" t="str">
        <f t="shared" si="32"/>
        <v>San Francisco Mission District</v>
      </c>
      <c r="F659" t="s">
        <v>30</v>
      </c>
      <c r="G659">
        <f t="shared" si="30"/>
        <v>1</v>
      </c>
      <c r="H659" t="s">
        <v>124</v>
      </c>
      <c r="I659" t="s">
        <v>188</v>
      </c>
      <c r="J659">
        <v>1</v>
      </c>
      <c r="K659">
        <v>95.822099447513807</v>
      </c>
      <c r="Z659"/>
    </row>
    <row r="660" spans="1:26" x14ac:dyDescent="0.25">
      <c r="A660" s="159" t="str">
        <f t="shared" si="31"/>
        <v>CR-San Mateo and Burlingame-San Francisco Sunset District-High school</v>
      </c>
      <c r="B660">
        <v>6</v>
      </c>
      <c r="C660" t="str">
        <f t="shared" si="32"/>
        <v>San Mateo and Burlingame</v>
      </c>
      <c r="D660">
        <v>4</v>
      </c>
      <c r="E660" t="str">
        <f t="shared" si="32"/>
        <v>San Francisco Sunset District</v>
      </c>
      <c r="F660" t="s">
        <v>326</v>
      </c>
      <c r="G660">
        <f t="shared" si="30"/>
        <v>3</v>
      </c>
      <c r="H660" t="s">
        <v>125</v>
      </c>
      <c r="I660" t="s">
        <v>178</v>
      </c>
      <c r="J660">
        <v>1</v>
      </c>
      <c r="K660">
        <v>23.4305084745763</v>
      </c>
      <c r="Z660"/>
    </row>
    <row r="661" spans="1:26" x14ac:dyDescent="0.25">
      <c r="A661" s="159" t="str">
        <f t="shared" si="31"/>
        <v>HR-San Mateo and Burlingame-San Francisco Sunset District-High school</v>
      </c>
      <c r="B661">
        <v>6</v>
      </c>
      <c r="C661" t="str">
        <f t="shared" si="32"/>
        <v>San Mateo and Burlingame</v>
      </c>
      <c r="D661">
        <v>4</v>
      </c>
      <c r="E661" t="str">
        <f t="shared" si="32"/>
        <v>San Francisco Sunset District</v>
      </c>
      <c r="F661" t="s">
        <v>326</v>
      </c>
      <c r="G661">
        <f t="shared" si="30"/>
        <v>3</v>
      </c>
      <c r="H661" t="s">
        <v>124</v>
      </c>
      <c r="I661" t="s">
        <v>188</v>
      </c>
      <c r="J661">
        <v>1</v>
      </c>
      <c r="K661">
        <v>95.822099447513807</v>
      </c>
      <c r="Z661"/>
    </row>
    <row r="662" spans="1:26" x14ac:dyDescent="0.25">
      <c r="A662" s="159" t="str">
        <f t="shared" si="31"/>
        <v>CR-San Mateo and Burlingame-San Francisco Sunset District-Work</v>
      </c>
      <c r="B662">
        <v>6</v>
      </c>
      <c r="C662" t="str">
        <f t="shared" si="32"/>
        <v>San Mateo and Burlingame</v>
      </c>
      <c r="D662">
        <v>4</v>
      </c>
      <c r="E662" t="str">
        <f t="shared" si="32"/>
        <v>San Francisco Sunset District</v>
      </c>
      <c r="F662" t="s">
        <v>30</v>
      </c>
      <c r="G662">
        <f t="shared" si="30"/>
        <v>1</v>
      </c>
      <c r="H662" t="s">
        <v>125</v>
      </c>
      <c r="I662" t="s">
        <v>178</v>
      </c>
      <c r="J662">
        <v>1</v>
      </c>
      <c r="K662">
        <v>25.1469534050179</v>
      </c>
      <c r="Z662"/>
    </row>
    <row r="663" spans="1:26" x14ac:dyDescent="0.25">
      <c r="A663" s="159" t="str">
        <f t="shared" si="31"/>
        <v>LB-San Mateo and Burlingame-Daly City and San Bruno-High school</v>
      </c>
      <c r="B663">
        <v>6</v>
      </c>
      <c r="C663" t="str">
        <f t="shared" si="32"/>
        <v>San Mateo and Burlingame</v>
      </c>
      <c r="D663">
        <v>5</v>
      </c>
      <c r="E663" t="str">
        <f t="shared" si="32"/>
        <v>Daly City and San Bruno</v>
      </c>
      <c r="F663" t="s">
        <v>326</v>
      </c>
      <c r="G663">
        <f t="shared" si="30"/>
        <v>3</v>
      </c>
      <c r="H663" t="s">
        <v>359</v>
      </c>
      <c r="I663" t="s">
        <v>191</v>
      </c>
      <c r="J663">
        <v>2</v>
      </c>
      <c r="K663">
        <v>78.697782963827194</v>
      </c>
      <c r="Z663"/>
    </row>
    <row r="664" spans="1:26" x14ac:dyDescent="0.25">
      <c r="A664" s="159" t="str">
        <f t="shared" si="31"/>
        <v>LB-San Mateo and Burlingame-Daly City and San Bruno-Missing</v>
      </c>
      <c r="B664">
        <v>6</v>
      </c>
      <c r="C664" t="str">
        <f t="shared" si="32"/>
        <v>San Mateo and Burlingame</v>
      </c>
      <c r="D664">
        <v>5</v>
      </c>
      <c r="E664" t="str">
        <f t="shared" si="32"/>
        <v>Daly City and San Bruno</v>
      </c>
      <c r="F664" t="s">
        <v>327</v>
      </c>
      <c r="G664">
        <f t="shared" si="30"/>
        <v>0</v>
      </c>
      <c r="H664" t="s">
        <v>359</v>
      </c>
      <c r="I664" t="s">
        <v>191</v>
      </c>
      <c r="J664">
        <v>4</v>
      </c>
      <c r="K664">
        <v>157.39556592765399</v>
      </c>
      <c r="Z664"/>
    </row>
    <row r="665" spans="1:26" x14ac:dyDescent="0.25">
      <c r="A665" s="159" t="str">
        <f t="shared" si="31"/>
        <v>LB-San Mateo and Burlingame-Daly City and San Bruno-Other maintenance</v>
      </c>
      <c r="B665">
        <v>6</v>
      </c>
      <c r="C665" t="str">
        <f t="shared" si="32"/>
        <v>San Mateo and Burlingame</v>
      </c>
      <c r="D665">
        <v>5</v>
      </c>
      <c r="E665" t="str">
        <f t="shared" si="32"/>
        <v>Daly City and San Bruno</v>
      </c>
      <c r="F665" t="s">
        <v>325</v>
      </c>
      <c r="G665">
        <f t="shared" si="30"/>
        <v>4</v>
      </c>
      <c r="H665" t="s">
        <v>359</v>
      </c>
      <c r="I665" t="s">
        <v>191</v>
      </c>
      <c r="J665">
        <v>7</v>
      </c>
      <c r="K665">
        <v>550.80372919296099</v>
      </c>
      <c r="Z665"/>
    </row>
    <row r="666" spans="1:26" x14ac:dyDescent="0.25">
      <c r="A666" s="159" t="str">
        <f t="shared" si="31"/>
        <v>LB-San Mateo and Burlingame-Daly City and San Bruno-Shopping</v>
      </c>
      <c r="B666">
        <v>6</v>
      </c>
      <c r="C666" t="str">
        <f t="shared" si="32"/>
        <v>San Mateo and Burlingame</v>
      </c>
      <c r="D666">
        <v>5</v>
      </c>
      <c r="E666" t="str">
        <f t="shared" si="32"/>
        <v>Daly City and San Bruno</v>
      </c>
      <c r="F666" t="s">
        <v>106</v>
      </c>
      <c r="G666">
        <f t="shared" si="30"/>
        <v>4</v>
      </c>
      <c r="H666" t="s">
        <v>359</v>
      </c>
      <c r="I666" t="s">
        <v>191</v>
      </c>
      <c r="J666">
        <v>4</v>
      </c>
      <c r="K666">
        <v>249.18272886750901</v>
      </c>
      <c r="Z666"/>
    </row>
    <row r="667" spans="1:26" x14ac:dyDescent="0.25">
      <c r="A667" s="159" t="str">
        <f t="shared" si="31"/>
        <v>LB-San Mateo and Burlingame-Daly City and San Bruno-Work</v>
      </c>
      <c r="B667">
        <v>6</v>
      </c>
      <c r="C667" t="str">
        <f t="shared" si="32"/>
        <v>San Mateo and Burlingame</v>
      </c>
      <c r="D667">
        <v>5</v>
      </c>
      <c r="E667" t="str">
        <f t="shared" si="32"/>
        <v>Daly City and San Bruno</v>
      </c>
      <c r="F667" t="s">
        <v>30</v>
      </c>
      <c r="G667">
        <f t="shared" si="30"/>
        <v>1</v>
      </c>
      <c r="H667" t="s">
        <v>359</v>
      </c>
      <c r="I667" t="s">
        <v>191</v>
      </c>
      <c r="J667">
        <v>26</v>
      </c>
      <c r="K667">
        <v>1413.51771188151</v>
      </c>
      <c r="Z667"/>
    </row>
    <row r="668" spans="1:26" x14ac:dyDescent="0.25">
      <c r="A668" s="159" t="str">
        <f t="shared" si="31"/>
        <v>CR-San Mateo and Burlingame-San Mateo and Burlingame-High school</v>
      </c>
      <c r="B668">
        <v>6</v>
      </c>
      <c r="C668" t="str">
        <f t="shared" si="32"/>
        <v>San Mateo and Burlingame</v>
      </c>
      <c r="D668">
        <v>6</v>
      </c>
      <c r="E668" t="str">
        <f t="shared" si="32"/>
        <v>San Mateo and Burlingame</v>
      </c>
      <c r="F668" t="s">
        <v>326</v>
      </c>
      <c r="G668">
        <f t="shared" si="30"/>
        <v>3</v>
      </c>
      <c r="H668" t="s">
        <v>125</v>
      </c>
      <c r="I668" t="s">
        <v>178</v>
      </c>
      <c r="J668">
        <v>1</v>
      </c>
      <c r="K668">
        <v>23.4305084745763</v>
      </c>
      <c r="Z668"/>
    </row>
    <row r="669" spans="1:26" x14ac:dyDescent="0.25">
      <c r="A669" s="159" t="str">
        <f t="shared" si="31"/>
        <v>LB-San Mateo and Burlingame-San Mateo and Burlingame-High school</v>
      </c>
      <c r="B669">
        <v>6</v>
      </c>
      <c r="C669" t="str">
        <f t="shared" si="32"/>
        <v>San Mateo and Burlingame</v>
      </c>
      <c r="D669">
        <v>6</v>
      </c>
      <c r="E669" t="str">
        <f t="shared" si="32"/>
        <v>San Mateo and Burlingame</v>
      </c>
      <c r="F669" t="s">
        <v>326</v>
      </c>
      <c r="G669">
        <f t="shared" si="30"/>
        <v>3</v>
      </c>
      <c r="H669" t="s">
        <v>359</v>
      </c>
      <c r="I669" t="s">
        <v>191</v>
      </c>
      <c r="J669">
        <v>36</v>
      </c>
      <c r="K669">
        <v>1416.5600933488799</v>
      </c>
      <c r="Z669"/>
    </row>
    <row r="670" spans="1:26" x14ac:dyDescent="0.25">
      <c r="A670" s="159" t="str">
        <f t="shared" si="31"/>
        <v>LB-San Mateo and Burlingame-San Mateo and Burlingame-Missing</v>
      </c>
      <c r="B670">
        <v>6</v>
      </c>
      <c r="C670" t="str">
        <f t="shared" si="32"/>
        <v>San Mateo and Burlingame</v>
      </c>
      <c r="D670">
        <v>6</v>
      </c>
      <c r="E670" t="str">
        <f t="shared" si="32"/>
        <v>San Mateo and Burlingame</v>
      </c>
      <c r="F670" t="s">
        <v>327</v>
      </c>
      <c r="G670">
        <f t="shared" si="30"/>
        <v>0</v>
      </c>
      <c r="H670" t="s">
        <v>359</v>
      </c>
      <c r="I670" t="s">
        <v>191</v>
      </c>
      <c r="J670">
        <v>11</v>
      </c>
      <c r="K670">
        <v>432.837806301049</v>
      </c>
      <c r="Z670"/>
    </row>
    <row r="671" spans="1:26" x14ac:dyDescent="0.25">
      <c r="A671" s="159" t="str">
        <f t="shared" si="31"/>
        <v>CR-San Mateo and Burlingame-San Mateo and Burlingame-Other maintenance</v>
      </c>
      <c r="B671">
        <v>6</v>
      </c>
      <c r="C671" t="str">
        <f t="shared" si="32"/>
        <v>San Mateo and Burlingame</v>
      </c>
      <c r="D671">
        <v>6</v>
      </c>
      <c r="E671" t="str">
        <f t="shared" si="32"/>
        <v>San Mateo and Burlingame</v>
      </c>
      <c r="F671" t="s">
        <v>325</v>
      </c>
      <c r="G671">
        <f t="shared" si="30"/>
        <v>4</v>
      </c>
      <c r="H671" t="s">
        <v>125</v>
      </c>
      <c r="I671" t="s">
        <v>178</v>
      </c>
      <c r="J671">
        <v>2</v>
      </c>
      <c r="K671">
        <v>48.577461879594097</v>
      </c>
      <c r="Z671"/>
    </row>
    <row r="672" spans="1:26" x14ac:dyDescent="0.25">
      <c r="A672" s="159" t="str">
        <f t="shared" si="31"/>
        <v>LB-San Mateo and Burlingame-San Mateo and Burlingame-Other maintenance</v>
      </c>
      <c r="B672">
        <v>6</v>
      </c>
      <c r="C672" t="str">
        <f t="shared" si="32"/>
        <v>San Mateo and Burlingame</v>
      </c>
      <c r="D672">
        <v>6</v>
      </c>
      <c r="E672" t="str">
        <f t="shared" si="32"/>
        <v>San Mateo and Burlingame</v>
      </c>
      <c r="F672" t="s">
        <v>325</v>
      </c>
      <c r="G672">
        <f t="shared" si="30"/>
        <v>4</v>
      </c>
      <c r="H672" t="s">
        <v>359</v>
      </c>
      <c r="I672" t="s">
        <v>191</v>
      </c>
      <c r="J672">
        <v>10</v>
      </c>
      <c r="K672">
        <v>485.27607775899099</v>
      </c>
      <c r="Z672"/>
    </row>
    <row r="673" spans="1:26" x14ac:dyDescent="0.25">
      <c r="A673" s="159" t="str">
        <f t="shared" si="31"/>
        <v>LB-San Mateo and Burlingame-San Mateo and Burlingame-Shopping</v>
      </c>
      <c r="B673">
        <v>6</v>
      </c>
      <c r="C673" t="str">
        <f t="shared" si="32"/>
        <v>San Mateo and Burlingame</v>
      </c>
      <c r="D673">
        <v>6</v>
      </c>
      <c r="E673" t="str">
        <f t="shared" si="32"/>
        <v>San Mateo and Burlingame</v>
      </c>
      <c r="F673" t="s">
        <v>106</v>
      </c>
      <c r="G673">
        <f t="shared" si="30"/>
        <v>4</v>
      </c>
      <c r="H673" t="s">
        <v>359</v>
      </c>
      <c r="I673" t="s">
        <v>191</v>
      </c>
      <c r="J673">
        <v>7</v>
      </c>
      <c r="K673">
        <v>459.016566253105</v>
      </c>
      <c r="Z673"/>
    </row>
    <row r="674" spans="1:26" x14ac:dyDescent="0.25">
      <c r="A674" s="159" t="str">
        <f t="shared" si="31"/>
        <v>CR-San Mateo and Burlingame-San Mateo and Burlingame-Social recreation</v>
      </c>
      <c r="B674">
        <v>6</v>
      </c>
      <c r="C674" t="str">
        <f t="shared" si="32"/>
        <v>San Mateo and Burlingame</v>
      </c>
      <c r="D674">
        <v>6</v>
      </c>
      <c r="E674" t="str">
        <f t="shared" si="32"/>
        <v>San Mateo and Burlingame</v>
      </c>
      <c r="F674" t="s">
        <v>324</v>
      </c>
      <c r="G674">
        <f t="shared" si="30"/>
        <v>5</v>
      </c>
      <c r="H674" t="s">
        <v>125</v>
      </c>
      <c r="I674" t="s">
        <v>178</v>
      </c>
      <c r="J674">
        <v>3</v>
      </c>
      <c r="K674">
        <v>73.724415284611993</v>
      </c>
      <c r="Z674"/>
    </row>
    <row r="675" spans="1:26" x14ac:dyDescent="0.25">
      <c r="A675" s="159" t="str">
        <f t="shared" si="31"/>
        <v>LB-San Mateo and Burlingame-San Mateo and Burlingame-Social recreation</v>
      </c>
      <c r="B675">
        <v>6</v>
      </c>
      <c r="C675" t="str">
        <f t="shared" si="32"/>
        <v>San Mateo and Burlingame</v>
      </c>
      <c r="D675">
        <v>6</v>
      </c>
      <c r="E675" t="str">
        <f t="shared" si="32"/>
        <v>San Mateo and Burlingame</v>
      </c>
      <c r="F675" t="s">
        <v>324</v>
      </c>
      <c r="G675">
        <f t="shared" si="30"/>
        <v>5</v>
      </c>
      <c r="H675" t="s">
        <v>359</v>
      </c>
      <c r="I675" t="s">
        <v>191</v>
      </c>
      <c r="J675">
        <v>6</v>
      </c>
      <c r="K675">
        <v>327.880511831337</v>
      </c>
      <c r="Z675"/>
    </row>
    <row r="676" spans="1:26" x14ac:dyDescent="0.25">
      <c r="A676" s="159" t="str">
        <f t="shared" si="31"/>
        <v>CR-San Mateo and Burlingame-San Mateo and Burlingame-Work</v>
      </c>
      <c r="B676">
        <v>6</v>
      </c>
      <c r="C676" t="str">
        <f t="shared" si="32"/>
        <v>San Mateo and Burlingame</v>
      </c>
      <c r="D676">
        <v>6</v>
      </c>
      <c r="E676" t="str">
        <f t="shared" si="32"/>
        <v>San Mateo and Burlingame</v>
      </c>
      <c r="F676" t="s">
        <v>30</v>
      </c>
      <c r="G676">
        <f t="shared" si="30"/>
        <v>1</v>
      </c>
      <c r="H676" t="s">
        <v>125</v>
      </c>
      <c r="I676" t="s">
        <v>178</v>
      </c>
      <c r="J676">
        <v>1</v>
      </c>
      <c r="K676">
        <v>23.4305084745763</v>
      </c>
      <c r="Z676"/>
    </row>
    <row r="677" spans="1:26" x14ac:dyDescent="0.25">
      <c r="A677" s="159" t="str">
        <f t="shared" si="31"/>
        <v>LB-San Mateo and Burlingame-San Mateo and Burlingame-Work</v>
      </c>
      <c r="B677">
        <v>6</v>
      </c>
      <c r="C677" t="str">
        <f t="shared" si="32"/>
        <v>San Mateo and Burlingame</v>
      </c>
      <c r="D677">
        <v>6</v>
      </c>
      <c r="E677" t="str">
        <f t="shared" si="32"/>
        <v>San Mateo and Burlingame</v>
      </c>
      <c r="F677" t="s">
        <v>30</v>
      </c>
      <c r="G677">
        <f t="shared" si="30"/>
        <v>1</v>
      </c>
      <c r="H677" t="s">
        <v>359</v>
      </c>
      <c r="I677" t="s">
        <v>191</v>
      </c>
      <c r="J677">
        <v>47</v>
      </c>
      <c r="K677">
        <v>2124.7593884695002</v>
      </c>
      <c r="Z677"/>
    </row>
    <row r="678" spans="1:26" x14ac:dyDescent="0.25">
      <c r="A678" s="159" t="str">
        <f t="shared" si="31"/>
        <v>CR-San Mateo and Burlingame-Redwood City and Menlo Park-High school</v>
      </c>
      <c r="B678">
        <v>6</v>
      </c>
      <c r="C678" t="str">
        <f t="shared" si="32"/>
        <v>San Mateo and Burlingame</v>
      </c>
      <c r="D678">
        <v>7</v>
      </c>
      <c r="E678" t="str">
        <f t="shared" si="32"/>
        <v>Redwood City and Menlo Park</v>
      </c>
      <c r="F678" t="s">
        <v>326</v>
      </c>
      <c r="G678">
        <f t="shared" si="30"/>
        <v>3</v>
      </c>
      <c r="H678" t="s">
        <v>125</v>
      </c>
      <c r="I678" t="s">
        <v>178</v>
      </c>
      <c r="J678">
        <v>2</v>
      </c>
      <c r="K678">
        <v>46.861016949152599</v>
      </c>
      <c r="Z678"/>
    </row>
    <row r="679" spans="1:26" x14ac:dyDescent="0.25">
      <c r="A679" s="159" t="str">
        <f t="shared" si="31"/>
        <v>EB-San Mateo and Burlingame-Redwood City and Menlo Park-High school</v>
      </c>
      <c r="B679">
        <v>6</v>
      </c>
      <c r="C679" t="str">
        <f t="shared" si="32"/>
        <v>San Mateo and Burlingame</v>
      </c>
      <c r="D679">
        <v>7</v>
      </c>
      <c r="E679" t="str">
        <f t="shared" si="32"/>
        <v>Redwood City and Menlo Park</v>
      </c>
      <c r="F679" t="s">
        <v>326</v>
      </c>
      <c r="G679">
        <f t="shared" si="30"/>
        <v>3</v>
      </c>
      <c r="H679" t="s">
        <v>123</v>
      </c>
      <c r="I679" t="s">
        <v>182</v>
      </c>
      <c r="J679">
        <v>1</v>
      </c>
      <c r="K679">
        <v>3.8990384615384599</v>
      </c>
      <c r="Z679"/>
    </row>
    <row r="680" spans="1:26" x14ac:dyDescent="0.25">
      <c r="A680" s="159" t="str">
        <f t="shared" si="31"/>
        <v>LB-San Mateo and Burlingame-Redwood City and Menlo Park-High school</v>
      </c>
      <c r="B680">
        <v>6</v>
      </c>
      <c r="C680" t="str">
        <f t="shared" si="32"/>
        <v>San Mateo and Burlingame</v>
      </c>
      <c r="D680">
        <v>7</v>
      </c>
      <c r="E680" t="str">
        <f t="shared" si="32"/>
        <v>Redwood City and Menlo Park</v>
      </c>
      <c r="F680" t="s">
        <v>326</v>
      </c>
      <c r="G680">
        <f t="shared" si="30"/>
        <v>3</v>
      </c>
      <c r="H680" t="s">
        <v>359</v>
      </c>
      <c r="I680" t="s">
        <v>191</v>
      </c>
      <c r="J680">
        <v>2</v>
      </c>
      <c r="K680">
        <v>78.697782963827194</v>
      </c>
      <c r="Z680"/>
    </row>
    <row r="681" spans="1:26" x14ac:dyDescent="0.25">
      <c r="A681" s="159" t="str">
        <f t="shared" si="31"/>
        <v>CR-San Mateo and Burlingame-Redwood City and Menlo Park-Missing</v>
      </c>
      <c r="B681">
        <v>6</v>
      </c>
      <c r="C681" t="str">
        <f t="shared" si="32"/>
        <v>San Mateo and Burlingame</v>
      </c>
      <c r="D681">
        <v>7</v>
      </c>
      <c r="E681" t="str">
        <f t="shared" si="32"/>
        <v>Redwood City and Menlo Park</v>
      </c>
      <c r="F681" t="s">
        <v>327</v>
      </c>
      <c r="G681">
        <f t="shared" si="30"/>
        <v>0</v>
      </c>
      <c r="H681" t="s">
        <v>125</v>
      </c>
      <c r="I681" t="s">
        <v>178</v>
      </c>
      <c r="J681">
        <v>1</v>
      </c>
      <c r="K681">
        <v>23.4305084745763</v>
      </c>
      <c r="Z681"/>
    </row>
    <row r="682" spans="1:26" x14ac:dyDescent="0.25">
      <c r="A682" s="159" t="str">
        <f t="shared" si="31"/>
        <v>LB-San Mateo and Burlingame-Redwood City and Menlo Park-Missing</v>
      </c>
      <c r="B682">
        <v>6</v>
      </c>
      <c r="C682" t="str">
        <f t="shared" si="32"/>
        <v>San Mateo and Burlingame</v>
      </c>
      <c r="D682">
        <v>7</v>
      </c>
      <c r="E682" t="str">
        <f t="shared" si="32"/>
        <v>Redwood City and Menlo Park</v>
      </c>
      <c r="F682" t="s">
        <v>327</v>
      </c>
      <c r="G682">
        <f t="shared" si="30"/>
        <v>0</v>
      </c>
      <c r="H682" t="s">
        <v>359</v>
      </c>
      <c r="I682" t="s">
        <v>191</v>
      </c>
      <c r="J682">
        <v>3</v>
      </c>
      <c r="K682">
        <v>118.04667444574</v>
      </c>
      <c r="Z682"/>
    </row>
    <row r="683" spans="1:26" x14ac:dyDescent="0.25">
      <c r="A683" s="159" t="str">
        <f t="shared" si="31"/>
        <v>LB-San Mateo and Burlingame-Redwood City and Menlo Park-Other maintenance</v>
      </c>
      <c r="B683">
        <v>6</v>
      </c>
      <c r="C683" t="str">
        <f t="shared" si="32"/>
        <v>San Mateo and Burlingame</v>
      </c>
      <c r="D683">
        <v>7</v>
      </c>
      <c r="E683" t="str">
        <f t="shared" si="32"/>
        <v>Redwood City and Menlo Park</v>
      </c>
      <c r="F683" t="s">
        <v>325</v>
      </c>
      <c r="G683">
        <f t="shared" si="30"/>
        <v>4</v>
      </c>
      <c r="H683" t="s">
        <v>359</v>
      </c>
      <c r="I683" t="s">
        <v>191</v>
      </c>
      <c r="J683">
        <v>5</v>
      </c>
      <c r="K683">
        <v>196.74445740956699</v>
      </c>
      <c r="Z683"/>
    </row>
    <row r="684" spans="1:26" x14ac:dyDescent="0.25">
      <c r="A684" s="159" t="str">
        <f t="shared" si="31"/>
        <v>LB-San Mateo and Burlingame-Redwood City and Menlo Park-Shopping</v>
      </c>
      <c r="B684">
        <v>6</v>
      </c>
      <c r="C684" t="str">
        <f t="shared" si="32"/>
        <v>San Mateo and Burlingame</v>
      </c>
      <c r="D684">
        <v>7</v>
      </c>
      <c r="E684" t="str">
        <f t="shared" si="32"/>
        <v>Redwood City and Menlo Park</v>
      </c>
      <c r="F684" t="s">
        <v>106</v>
      </c>
      <c r="G684">
        <f t="shared" si="30"/>
        <v>4</v>
      </c>
      <c r="H684" t="s">
        <v>359</v>
      </c>
      <c r="I684" t="s">
        <v>191</v>
      </c>
      <c r="J684">
        <v>3</v>
      </c>
      <c r="K684">
        <v>209.83383738559601</v>
      </c>
      <c r="Z684"/>
    </row>
    <row r="685" spans="1:26" x14ac:dyDescent="0.25">
      <c r="A685" s="159" t="str">
        <f t="shared" si="31"/>
        <v>CR-San Mateo and Burlingame-Redwood City and Menlo Park-Social recreation</v>
      </c>
      <c r="B685">
        <v>6</v>
      </c>
      <c r="C685" t="str">
        <f t="shared" si="32"/>
        <v>San Mateo and Burlingame</v>
      </c>
      <c r="D685">
        <v>7</v>
      </c>
      <c r="E685" t="str">
        <f t="shared" si="32"/>
        <v>Redwood City and Menlo Park</v>
      </c>
      <c r="F685" t="s">
        <v>324</v>
      </c>
      <c r="G685">
        <f t="shared" si="30"/>
        <v>5</v>
      </c>
      <c r="H685" t="s">
        <v>125</v>
      </c>
      <c r="I685" t="s">
        <v>178</v>
      </c>
      <c r="J685">
        <v>2</v>
      </c>
      <c r="K685">
        <v>50.2939068100358</v>
      </c>
      <c r="Z685"/>
    </row>
    <row r="686" spans="1:26" x14ac:dyDescent="0.25">
      <c r="A686" s="159" t="str">
        <f t="shared" si="31"/>
        <v>LB-San Mateo and Burlingame-Redwood City and Menlo Park-Social recreation</v>
      </c>
      <c r="B686">
        <v>6</v>
      </c>
      <c r="C686" t="str">
        <f t="shared" si="32"/>
        <v>San Mateo and Burlingame</v>
      </c>
      <c r="D686">
        <v>7</v>
      </c>
      <c r="E686" t="str">
        <f t="shared" si="32"/>
        <v>Redwood City and Menlo Park</v>
      </c>
      <c r="F686" t="s">
        <v>324</v>
      </c>
      <c r="G686">
        <f t="shared" si="30"/>
        <v>5</v>
      </c>
      <c r="H686" t="s">
        <v>359</v>
      </c>
      <c r="I686" t="s">
        <v>191</v>
      </c>
      <c r="J686">
        <v>4</v>
      </c>
      <c r="K686">
        <v>340.969891807365</v>
      </c>
      <c r="Z686"/>
    </row>
    <row r="687" spans="1:26" x14ac:dyDescent="0.25">
      <c r="A687" s="159" t="str">
        <f t="shared" si="31"/>
        <v>CR-San Mateo and Burlingame-Redwood City and Menlo Park-Work</v>
      </c>
      <c r="B687">
        <v>6</v>
      </c>
      <c r="C687" t="str">
        <f t="shared" si="32"/>
        <v>San Mateo and Burlingame</v>
      </c>
      <c r="D687">
        <v>7</v>
      </c>
      <c r="E687" t="str">
        <f t="shared" si="32"/>
        <v>Redwood City and Menlo Park</v>
      </c>
      <c r="F687" t="s">
        <v>30</v>
      </c>
      <c r="G687">
        <f t="shared" si="30"/>
        <v>1</v>
      </c>
      <c r="H687" t="s">
        <v>125</v>
      </c>
      <c r="I687" t="s">
        <v>178</v>
      </c>
      <c r="J687">
        <v>1</v>
      </c>
      <c r="K687">
        <v>23.4305084745763</v>
      </c>
      <c r="Z687"/>
    </row>
    <row r="688" spans="1:26" x14ac:dyDescent="0.25">
      <c r="A688" s="159" t="str">
        <f t="shared" si="31"/>
        <v>LB-San Mateo and Burlingame-Redwood City and Menlo Park-Work</v>
      </c>
      <c r="B688">
        <v>6</v>
      </c>
      <c r="C688" t="str">
        <f t="shared" si="32"/>
        <v>San Mateo and Burlingame</v>
      </c>
      <c r="D688">
        <v>7</v>
      </c>
      <c r="E688" t="str">
        <f t="shared" si="32"/>
        <v>Redwood City and Menlo Park</v>
      </c>
      <c r="F688" t="s">
        <v>30</v>
      </c>
      <c r="G688">
        <f t="shared" si="30"/>
        <v>1</v>
      </c>
      <c r="H688" t="s">
        <v>359</v>
      </c>
      <c r="I688" t="s">
        <v>191</v>
      </c>
      <c r="J688">
        <v>14</v>
      </c>
      <c r="K688">
        <v>642.67164368664498</v>
      </c>
      <c r="Z688"/>
    </row>
    <row r="689" spans="1:26" x14ac:dyDescent="0.25">
      <c r="A689" s="159" t="str">
        <f t="shared" si="31"/>
        <v>CR-San Mateo and Burlingame-Palo Alto and Los Altos-High school</v>
      </c>
      <c r="B689">
        <v>6</v>
      </c>
      <c r="C689" t="str">
        <f t="shared" si="32"/>
        <v>San Mateo and Burlingame</v>
      </c>
      <c r="D689">
        <v>8</v>
      </c>
      <c r="E689" t="str">
        <f t="shared" si="32"/>
        <v>Palo Alto and Los Altos</v>
      </c>
      <c r="F689" t="s">
        <v>326</v>
      </c>
      <c r="G689">
        <f t="shared" si="30"/>
        <v>3</v>
      </c>
      <c r="H689" t="s">
        <v>125</v>
      </c>
      <c r="I689" t="s">
        <v>178</v>
      </c>
      <c r="J689">
        <v>6</v>
      </c>
      <c r="K689">
        <v>140.583050847457</v>
      </c>
      <c r="Z689"/>
    </row>
    <row r="690" spans="1:26" x14ac:dyDescent="0.25">
      <c r="A690" s="159" t="str">
        <f t="shared" si="31"/>
        <v>LB-San Mateo and Burlingame-Palo Alto and Los Altos-High school</v>
      </c>
      <c r="B690">
        <v>6</v>
      </c>
      <c r="C690" t="str">
        <f t="shared" si="32"/>
        <v>San Mateo and Burlingame</v>
      </c>
      <c r="D690">
        <v>8</v>
      </c>
      <c r="E690" t="str">
        <f t="shared" si="32"/>
        <v>Palo Alto and Los Altos</v>
      </c>
      <c r="F690" t="s">
        <v>326</v>
      </c>
      <c r="G690">
        <f t="shared" si="30"/>
        <v>3</v>
      </c>
      <c r="H690" t="s">
        <v>359</v>
      </c>
      <c r="I690" t="s">
        <v>191</v>
      </c>
      <c r="J690">
        <v>1</v>
      </c>
      <c r="K690">
        <v>62.646773074254</v>
      </c>
      <c r="Z690"/>
    </row>
    <row r="691" spans="1:26" x14ac:dyDescent="0.25">
      <c r="A691" s="159" t="str">
        <f t="shared" si="31"/>
        <v>CR-San Mateo and Burlingame-Palo Alto and Los Altos-Missing</v>
      </c>
      <c r="B691">
        <v>6</v>
      </c>
      <c r="C691" t="str">
        <f t="shared" si="32"/>
        <v>San Mateo and Burlingame</v>
      </c>
      <c r="D691">
        <v>8</v>
      </c>
      <c r="E691" t="str">
        <f t="shared" si="32"/>
        <v>Palo Alto and Los Altos</v>
      </c>
      <c r="F691" t="s">
        <v>327</v>
      </c>
      <c r="G691">
        <f t="shared" si="30"/>
        <v>0</v>
      </c>
      <c r="H691" t="s">
        <v>125</v>
      </c>
      <c r="I691" t="s">
        <v>178</v>
      </c>
      <c r="J691">
        <v>4</v>
      </c>
      <c r="K691">
        <v>95.438478828746796</v>
      </c>
      <c r="Z691"/>
    </row>
    <row r="692" spans="1:26" x14ac:dyDescent="0.25">
      <c r="A692" s="159" t="str">
        <f t="shared" si="31"/>
        <v>CR-San Mateo and Burlingame-Palo Alto and Los Altos-Other maintenance</v>
      </c>
      <c r="B692">
        <v>6</v>
      </c>
      <c r="C692" t="str">
        <f t="shared" si="32"/>
        <v>San Mateo and Burlingame</v>
      </c>
      <c r="D692">
        <v>8</v>
      </c>
      <c r="E692" t="str">
        <f t="shared" si="32"/>
        <v>Palo Alto and Los Altos</v>
      </c>
      <c r="F692" t="s">
        <v>325</v>
      </c>
      <c r="G692">
        <f t="shared" si="30"/>
        <v>4</v>
      </c>
      <c r="H692" t="s">
        <v>125</v>
      </c>
      <c r="I692" t="s">
        <v>178</v>
      </c>
      <c r="J692">
        <v>1</v>
      </c>
      <c r="K692">
        <v>23.4305084745763</v>
      </c>
      <c r="Z692"/>
    </row>
    <row r="693" spans="1:26" x14ac:dyDescent="0.25">
      <c r="A693" s="159" t="str">
        <f t="shared" si="31"/>
        <v>LB-San Mateo and Burlingame-Palo Alto and Los Altos-Other maintenance</v>
      </c>
      <c r="B693">
        <v>6</v>
      </c>
      <c r="C693" t="str">
        <f t="shared" si="32"/>
        <v>San Mateo and Burlingame</v>
      </c>
      <c r="D693">
        <v>8</v>
      </c>
      <c r="E693" t="str">
        <f t="shared" si="32"/>
        <v>Palo Alto and Los Altos</v>
      </c>
      <c r="F693" t="s">
        <v>325</v>
      </c>
      <c r="G693">
        <f t="shared" si="30"/>
        <v>4</v>
      </c>
      <c r="H693" t="s">
        <v>359</v>
      </c>
      <c r="I693" t="s">
        <v>191</v>
      </c>
      <c r="J693">
        <v>1</v>
      </c>
      <c r="K693">
        <v>39.348891481913597</v>
      </c>
      <c r="Z693"/>
    </row>
    <row r="694" spans="1:26" x14ac:dyDescent="0.25">
      <c r="A694" s="159" t="str">
        <f t="shared" si="31"/>
        <v>CR-San Mateo and Burlingame-Palo Alto and Los Altos-Social recreation</v>
      </c>
      <c r="B694">
        <v>6</v>
      </c>
      <c r="C694" t="str">
        <f t="shared" si="32"/>
        <v>San Mateo and Burlingame</v>
      </c>
      <c r="D694">
        <v>8</v>
      </c>
      <c r="E694" t="str">
        <f t="shared" si="32"/>
        <v>Palo Alto and Los Altos</v>
      </c>
      <c r="F694" t="s">
        <v>324</v>
      </c>
      <c r="G694">
        <f t="shared" si="30"/>
        <v>5</v>
      </c>
      <c r="H694" t="s">
        <v>125</v>
      </c>
      <c r="I694" t="s">
        <v>178</v>
      </c>
      <c r="J694">
        <v>1</v>
      </c>
      <c r="K694">
        <v>25.1469534050179</v>
      </c>
      <c r="Z694"/>
    </row>
    <row r="695" spans="1:26" x14ac:dyDescent="0.25">
      <c r="A695" s="159" t="str">
        <f t="shared" si="31"/>
        <v>CR-San Mateo and Burlingame-Palo Alto and Los Altos-Work</v>
      </c>
      <c r="B695">
        <v>6</v>
      </c>
      <c r="C695" t="str">
        <f t="shared" si="32"/>
        <v>San Mateo and Burlingame</v>
      </c>
      <c r="D695">
        <v>8</v>
      </c>
      <c r="E695" t="str">
        <f t="shared" si="32"/>
        <v>Palo Alto and Los Altos</v>
      </c>
      <c r="F695" t="s">
        <v>30</v>
      </c>
      <c r="G695">
        <f t="shared" si="30"/>
        <v>1</v>
      </c>
      <c r="H695" t="s">
        <v>125</v>
      </c>
      <c r="I695" t="s">
        <v>178</v>
      </c>
      <c r="J695">
        <v>11</v>
      </c>
      <c r="K695">
        <v>257.73559322033901</v>
      </c>
      <c r="Z695"/>
    </row>
    <row r="696" spans="1:26" x14ac:dyDescent="0.25">
      <c r="A696" s="159" t="str">
        <f t="shared" si="31"/>
        <v>LB-San Mateo and Burlingame-Palo Alto and Los Altos-Work</v>
      </c>
      <c r="B696">
        <v>6</v>
      </c>
      <c r="C696" t="str">
        <f t="shared" si="32"/>
        <v>San Mateo and Burlingame</v>
      </c>
      <c r="D696">
        <v>8</v>
      </c>
      <c r="E696" t="str">
        <f t="shared" si="32"/>
        <v>Palo Alto and Los Altos</v>
      </c>
      <c r="F696" t="s">
        <v>30</v>
      </c>
      <c r="G696">
        <f t="shared" si="30"/>
        <v>1</v>
      </c>
      <c r="H696" t="s">
        <v>359</v>
      </c>
      <c r="I696" t="s">
        <v>191</v>
      </c>
      <c r="J696">
        <v>3</v>
      </c>
      <c r="K696">
        <v>118.04667444574</v>
      </c>
      <c r="Z696"/>
    </row>
    <row r="697" spans="1:26" x14ac:dyDescent="0.25">
      <c r="A697" s="159" t="str">
        <f t="shared" si="31"/>
        <v>LB-San Mateo and Burlingame-Sunnyvale and Mountain View-Other maintenance</v>
      </c>
      <c r="B697">
        <v>6</v>
      </c>
      <c r="C697" t="str">
        <f t="shared" si="32"/>
        <v>San Mateo and Burlingame</v>
      </c>
      <c r="D697">
        <v>9</v>
      </c>
      <c r="E697" t="str">
        <f t="shared" si="32"/>
        <v>Sunnyvale and Mountain View</v>
      </c>
      <c r="F697" t="s">
        <v>325</v>
      </c>
      <c r="G697">
        <f t="shared" si="30"/>
        <v>4</v>
      </c>
      <c r="H697" t="s">
        <v>359</v>
      </c>
      <c r="I697" t="s">
        <v>191</v>
      </c>
      <c r="J697">
        <v>1</v>
      </c>
      <c r="K697">
        <v>39.348891481913597</v>
      </c>
      <c r="Z697"/>
    </row>
    <row r="698" spans="1:26" x14ac:dyDescent="0.25">
      <c r="A698" s="159" t="str">
        <f t="shared" si="31"/>
        <v>CR-San Mateo and Burlingame-Sunnyvale and Mountain View-Social recreation</v>
      </c>
      <c r="B698">
        <v>6</v>
      </c>
      <c r="C698" t="str">
        <f t="shared" si="32"/>
        <v>San Mateo and Burlingame</v>
      </c>
      <c r="D698">
        <v>9</v>
      </c>
      <c r="E698" t="str">
        <f t="shared" si="32"/>
        <v>Sunnyvale and Mountain View</v>
      </c>
      <c r="F698" t="s">
        <v>324</v>
      </c>
      <c r="G698">
        <f t="shared" si="30"/>
        <v>5</v>
      </c>
      <c r="H698" t="s">
        <v>125</v>
      </c>
      <c r="I698" t="s">
        <v>178</v>
      </c>
      <c r="J698">
        <v>3</v>
      </c>
      <c r="K698">
        <v>73.724415284611993</v>
      </c>
      <c r="Z698"/>
    </row>
    <row r="699" spans="1:26" x14ac:dyDescent="0.25">
      <c r="A699" s="159" t="str">
        <f t="shared" si="31"/>
        <v>CR-San Mateo and Burlingame-Sunnyvale and Mountain View-Work</v>
      </c>
      <c r="B699">
        <v>6</v>
      </c>
      <c r="C699" t="str">
        <f t="shared" si="32"/>
        <v>San Mateo and Burlingame</v>
      </c>
      <c r="D699">
        <v>9</v>
      </c>
      <c r="E699" t="str">
        <f t="shared" si="32"/>
        <v>Sunnyvale and Mountain View</v>
      </c>
      <c r="F699" t="s">
        <v>30</v>
      </c>
      <c r="G699">
        <f t="shared" si="30"/>
        <v>1</v>
      </c>
      <c r="H699" t="s">
        <v>125</v>
      </c>
      <c r="I699" t="s">
        <v>178</v>
      </c>
      <c r="J699">
        <v>4</v>
      </c>
      <c r="K699">
        <v>93.722033898305199</v>
      </c>
      <c r="Z699"/>
    </row>
    <row r="700" spans="1:26" x14ac:dyDescent="0.25">
      <c r="A700" s="159" t="str">
        <f t="shared" si="31"/>
        <v>LB-San Mateo and Burlingame-Sunnyvale and Mountain View-Work</v>
      </c>
      <c r="B700">
        <v>6</v>
      </c>
      <c r="C700" t="str">
        <f t="shared" si="32"/>
        <v>San Mateo and Burlingame</v>
      </c>
      <c r="D700">
        <v>9</v>
      </c>
      <c r="E700" t="str">
        <f t="shared" si="32"/>
        <v>Sunnyvale and Mountain View</v>
      </c>
      <c r="F700" t="s">
        <v>30</v>
      </c>
      <c r="G700">
        <f t="shared" si="30"/>
        <v>1</v>
      </c>
      <c r="H700" t="s">
        <v>359</v>
      </c>
      <c r="I700" t="s">
        <v>191</v>
      </c>
      <c r="J700">
        <v>3</v>
      </c>
      <c r="K700">
        <v>310.660341515303</v>
      </c>
      <c r="Z700"/>
    </row>
    <row r="701" spans="1:26" x14ac:dyDescent="0.25">
      <c r="A701" s="159" t="str">
        <f t="shared" si="31"/>
        <v>CR-San Mateo and Burlingame-Central San Jose-High school</v>
      </c>
      <c r="B701">
        <v>6</v>
      </c>
      <c r="C701" t="str">
        <f t="shared" si="32"/>
        <v>San Mateo and Burlingame</v>
      </c>
      <c r="D701">
        <v>11</v>
      </c>
      <c r="E701" t="str">
        <f t="shared" si="32"/>
        <v>Central San Jose</v>
      </c>
      <c r="F701" t="s">
        <v>326</v>
      </c>
      <c r="G701">
        <f t="shared" si="30"/>
        <v>3</v>
      </c>
      <c r="H701" t="s">
        <v>125</v>
      </c>
      <c r="I701" t="s">
        <v>178</v>
      </c>
      <c r="J701">
        <v>2</v>
      </c>
      <c r="K701">
        <v>46.861016949152599</v>
      </c>
      <c r="Z701"/>
    </row>
    <row r="702" spans="1:26" x14ac:dyDescent="0.25">
      <c r="A702" s="159" t="str">
        <f t="shared" si="31"/>
        <v>LB-San Mateo and Burlingame-Central San Jose-High school</v>
      </c>
      <c r="B702">
        <v>6</v>
      </c>
      <c r="C702" t="str">
        <f t="shared" si="32"/>
        <v>San Mateo and Burlingame</v>
      </c>
      <c r="D702">
        <v>11</v>
      </c>
      <c r="E702" t="str">
        <f t="shared" si="32"/>
        <v>Central San Jose</v>
      </c>
      <c r="F702" t="s">
        <v>326</v>
      </c>
      <c r="G702">
        <f t="shared" si="30"/>
        <v>3</v>
      </c>
      <c r="H702" t="s">
        <v>359</v>
      </c>
      <c r="I702" t="s">
        <v>191</v>
      </c>
      <c r="J702">
        <v>1</v>
      </c>
      <c r="K702">
        <v>62.646773074254</v>
      </c>
      <c r="Z702"/>
    </row>
    <row r="703" spans="1:26" x14ac:dyDescent="0.25">
      <c r="A703" s="159" t="str">
        <f t="shared" si="31"/>
        <v>CR-San Mateo and Burlingame-Central San Jose-Social recreation</v>
      </c>
      <c r="B703">
        <v>6</v>
      </c>
      <c r="C703" t="str">
        <f t="shared" si="32"/>
        <v>San Mateo and Burlingame</v>
      </c>
      <c r="D703">
        <v>11</v>
      </c>
      <c r="E703" t="str">
        <f t="shared" si="32"/>
        <v>Central San Jose</v>
      </c>
      <c r="F703" t="s">
        <v>324</v>
      </c>
      <c r="G703">
        <f t="shared" si="30"/>
        <v>5</v>
      </c>
      <c r="H703" t="s">
        <v>125</v>
      </c>
      <c r="I703" t="s">
        <v>178</v>
      </c>
      <c r="J703">
        <v>4</v>
      </c>
      <c r="K703">
        <v>97.154923759188307</v>
      </c>
      <c r="Z703"/>
    </row>
    <row r="704" spans="1:26" x14ac:dyDescent="0.25">
      <c r="A704" s="159" t="str">
        <f t="shared" si="31"/>
        <v>CR-San Mateo and Burlingame-Central San Jose-Work</v>
      </c>
      <c r="B704">
        <v>6</v>
      </c>
      <c r="C704" t="str">
        <f t="shared" si="32"/>
        <v>San Mateo and Burlingame</v>
      </c>
      <c r="D704">
        <v>11</v>
      </c>
      <c r="E704" t="str">
        <f t="shared" si="32"/>
        <v>Central San Jose</v>
      </c>
      <c r="F704" t="s">
        <v>30</v>
      </c>
      <c r="G704">
        <f t="shared" si="30"/>
        <v>1</v>
      </c>
      <c r="H704" t="s">
        <v>125</v>
      </c>
      <c r="I704" t="s">
        <v>178</v>
      </c>
      <c r="J704">
        <v>2</v>
      </c>
      <c r="K704">
        <v>46.861016949152599</v>
      </c>
      <c r="Z704"/>
    </row>
    <row r="705" spans="1:26" x14ac:dyDescent="0.25">
      <c r="A705" s="159" t="str">
        <f t="shared" si="31"/>
        <v>LB-San Mateo and Burlingame-Central San Jose-Work</v>
      </c>
      <c r="B705">
        <v>6</v>
      </c>
      <c r="C705" t="str">
        <f t="shared" si="32"/>
        <v>San Mateo and Burlingame</v>
      </c>
      <c r="D705">
        <v>11</v>
      </c>
      <c r="E705" t="str">
        <f t="shared" si="32"/>
        <v>Central San Jose</v>
      </c>
      <c r="F705" t="s">
        <v>30</v>
      </c>
      <c r="G705">
        <f t="shared" si="30"/>
        <v>1</v>
      </c>
      <c r="H705" t="s">
        <v>359</v>
      </c>
      <c r="I705" t="s">
        <v>191</v>
      </c>
      <c r="J705">
        <v>1</v>
      </c>
      <c r="K705">
        <v>62.646773074254</v>
      </c>
      <c r="Z705"/>
    </row>
    <row r="706" spans="1:26" x14ac:dyDescent="0.25">
      <c r="A706" s="159" t="str">
        <f t="shared" si="31"/>
        <v>LB-San Mateo and Burlingame-Milpitas and East San Jose-Work</v>
      </c>
      <c r="B706">
        <v>6</v>
      </c>
      <c r="C706" t="str">
        <f t="shared" si="32"/>
        <v>San Mateo and Burlingame</v>
      </c>
      <c r="D706">
        <v>12</v>
      </c>
      <c r="E706" t="str">
        <f t="shared" si="32"/>
        <v>Milpitas and East San Jose</v>
      </c>
      <c r="F706" t="s">
        <v>30</v>
      </c>
      <c r="G706">
        <f t="shared" ref="G706:G769" si="33">VLOOKUP(F706,$V$2:$X$10, 3,FALSE)</f>
        <v>1</v>
      </c>
      <c r="H706" t="s">
        <v>359</v>
      </c>
      <c r="I706" t="s">
        <v>191</v>
      </c>
      <c r="J706">
        <v>1</v>
      </c>
      <c r="K706">
        <v>62.646773074254</v>
      </c>
      <c r="Z706"/>
    </row>
    <row r="707" spans="1:26" x14ac:dyDescent="0.25">
      <c r="A707" s="159" t="str">
        <f t="shared" ref="A707:A770" si="34" xml:space="preserve"> CONCATENATE(I707,"-",C707, "-",E707, "-",F707,)</f>
        <v>CR-San Mateo and Burlingame-Gilroy and Morgan Hill-Work</v>
      </c>
      <c r="B707">
        <v>6</v>
      </c>
      <c r="C707" t="str">
        <f t="shared" ref="C707:E770" si="35">VLOOKUP(B707,$S$2:$T$35,2,FALSE)</f>
        <v>San Mateo and Burlingame</v>
      </c>
      <c r="D707">
        <v>14</v>
      </c>
      <c r="E707" t="str">
        <f t="shared" si="35"/>
        <v>Gilroy and Morgan Hill</v>
      </c>
      <c r="F707" t="s">
        <v>30</v>
      </c>
      <c r="G707">
        <f t="shared" si="33"/>
        <v>1</v>
      </c>
      <c r="H707" t="s">
        <v>125</v>
      </c>
      <c r="I707" t="s">
        <v>178</v>
      </c>
      <c r="J707">
        <v>1</v>
      </c>
      <c r="K707">
        <v>23.4305084745763</v>
      </c>
      <c r="Z707"/>
    </row>
    <row r="708" spans="1:26" x14ac:dyDescent="0.25">
      <c r="A708" s="159" t="str">
        <f t="shared" si="34"/>
        <v>LB-San Mateo and Burlingame-Hayward and San Leandro-Work</v>
      </c>
      <c r="B708">
        <v>6</v>
      </c>
      <c r="C708" t="str">
        <f t="shared" si="35"/>
        <v>San Mateo and Burlingame</v>
      </c>
      <c r="D708">
        <v>17</v>
      </c>
      <c r="E708" t="str">
        <f t="shared" si="35"/>
        <v>Hayward and San Leandro</v>
      </c>
      <c r="F708" t="s">
        <v>30</v>
      </c>
      <c r="G708">
        <f t="shared" si="33"/>
        <v>1</v>
      </c>
      <c r="H708" t="s">
        <v>359</v>
      </c>
      <c r="I708" t="s">
        <v>191</v>
      </c>
      <c r="J708">
        <v>1</v>
      </c>
      <c r="K708">
        <v>39.348891481913597</v>
      </c>
      <c r="Z708"/>
    </row>
    <row r="709" spans="1:26" x14ac:dyDescent="0.25">
      <c r="A709" s="159" t="str">
        <f t="shared" si="34"/>
        <v>LB-San Mateo and Burlingame-Oakland and Alameda-Social recreation</v>
      </c>
      <c r="B709">
        <v>6</v>
      </c>
      <c r="C709" t="str">
        <f t="shared" si="35"/>
        <v>San Mateo and Burlingame</v>
      </c>
      <c r="D709">
        <v>18</v>
      </c>
      <c r="E709" t="str">
        <f t="shared" si="35"/>
        <v>Oakland and Alameda</v>
      </c>
      <c r="F709" t="s">
        <v>324</v>
      </c>
      <c r="G709">
        <f t="shared" si="33"/>
        <v>5</v>
      </c>
      <c r="H709" t="s">
        <v>359</v>
      </c>
      <c r="I709" t="s">
        <v>191</v>
      </c>
      <c r="J709">
        <v>1</v>
      </c>
      <c r="K709">
        <v>131.13605442176899</v>
      </c>
      <c r="Z709"/>
    </row>
    <row r="710" spans="1:26" x14ac:dyDescent="0.25">
      <c r="A710" s="159" t="str">
        <f t="shared" si="34"/>
        <v>CR-San Mateo and Burlingame-Oakland and Alameda-Work</v>
      </c>
      <c r="B710">
        <v>6</v>
      </c>
      <c r="C710" t="str">
        <f t="shared" si="35"/>
        <v>San Mateo and Burlingame</v>
      </c>
      <c r="D710">
        <v>18</v>
      </c>
      <c r="E710" t="str">
        <f t="shared" si="35"/>
        <v>Oakland and Alameda</v>
      </c>
      <c r="F710" t="s">
        <v>30</v>
      </c>
      <c r="G710">
        <f t="shared" si="33"/>
        <v>1</v>
      </c>
      <c r="H710" t="s">
        <v>125</v>
      </c>
      <c r="I710" t="s">
        <v>178</v>
      </c>
      <c r="J710">
        <v>1</v>
      </c>
      <c r="K710">
        <v>23.4305084745763</v>
      </c>
      <c r="Z710"/>
    </row>
    <row r="711" spans="1:26" x14ac:dyDescent="0.25">
      <c r="A711" s="159" t="str">
        <f t="shared" si="34"/>
        <v>CR-Redwood City and Menlo Park-Greater Downtown San Francisco-High school</v>
      </c>
      <c r="B711">
        <v>7</v>
      </c>
      <c r="C711" t="str">
        <f t="shared" si="35"/>
        <v>Redwood City and Menlo Park</v>
      </c>
      <c r="D711">
        <v>1</v>
      </c>
      <c r="E711" t="str">
        <f t="shared" si="35"/>
        <v>Greater Downtown San Francisco</v>
      </c>
      <c r="F711" t="s">
        <v>326</v>
      </c>
      <c r="G711">
        <f t="shared" si="33"/>
        <v>3</v>
      </c>
      <c r="H711" t="s">
        <v>125</v>
      </c>
      <c r="I711" t="s">
        <v>178</v>
      </c>
      <c r="J711">
        <v>1</v>
      </c>
      <c r="K711">
        <v>23.4305084745763</v>
      </c>
      <c r="Z711"/>
    </row>
    <row r="712" spans="1:26" x14ac:dyDescent="0.25">
      <c r="A712" s="159" t="str">
        <f t="shared" si="34"/>
        <v>CR-Redwood City and Menlo Park-Greater Downtown San Francisco-Social recreation</v>
      </c>
      <c r="B712">
        <v>7</v>
      </c>
      <c r="C712" t="str">
        <f t="shared" si="35"/>
        <v>Redwood City and Menlo Park</v>
      </c>
      <c r="D712">
        <v>1</v>
      </c>
      <c r="E712" t="str">
        <f t="shared" si="35"/>
        <v>Greater Downtown San Francisco</v>
      </c>
      <c r="F712" t="s">
        <v>324</v>
      </c>
      <c r="G712">
        <f t="shared" si="33"/>
        <v>5</v>
      </c>
      <c r="H712" t="s">
        <v>125</v>
      </c>
      <c r="I712" t="s">
        <v>178</v>
      </c>
      <c r="J712">
        <v>5</v>
      </c>
      <c r="K712">
        <v>120.585432233764</v>
      </c>
      <c r="Z712"/>
    </row>
    <row r="713" spans="1:26" x14ac:dyDescent="0.25">
      <c r="A713" s="159" t="str">
        <f t="shared" si="34"/>
        <v>CR-Redwood City and Menlo Park-Greater Downtown San Francisco-Work</v>
      </c>
      <c r="B713">
        <v>7</v>
      </c>
      <c r="C713" t="str">
        <f t="shared" si="35"/>
        <v>Redwood City and Menlo Park</v>
      </c>
      <c r="D713">
        <v>1</v>
      </c>
      <c r="E713" t="str">
        <f t="shared" si="35"/>
        <v>Greater Downtown San Francisco</v>
      </c>
      <c r="F713" t="s">
        <v>30</v>
      </c>
      <c r="G713">
        <f t="shared" si="33"/>
        <v>1</v>
      </c>
      <c r="H713" t="s">
        <v>125</v>
      </c>
      <c r="I713" t="s">
        <v>178</v>
      </c>
      <c r="J713">
        <v>5</v>
      </c>
      <c r="K713">
        <v>117.152542372881</v>
      </c>
      <c r="Z713"/>
    </row>
    <row r="714" spans="1:26" x14ac:dyDescent="0.25">
      <c r="A714" s="159" t="str">
        <f t="shared" si="34"/>
        <v>LB-Redwood City and Menlo Park-Greater Downtown San Francisco-Work</v>
      </c>
      <c r="B714">
        <v>7</v>
      </c>
      <c r="C714" t="str">
        <f t="shared" si="35"/>
        <v>Redwood City and Menlo Park</v>
      </c>
      <c r="D714">
        <v>1</v>
      </c>
      <c r="E714" t="str">
        <f t="shared" si="35"/>
        <v>Greater Downtown San Francisco</v>
      </c>
      <c r="F714" t="s">
        <v>30</v>
      </c>
      <c r="G714">
        <f t="shared" si="33"/>
        <v>1</v>
      </c>
      <c r="H714" t="s">
        <v>359</v>
      </c>
      <c r="I714" t="s">
        <v>191</v>
      </c>
      <c r="J714">
        <v>2</v>
      </c>
      <c r="K714">
        <v>78.697782963827194</v>
      </c>
      <c r="Z714"/>
    </row>
    <row r="715" spans="1:26" x14ac:dyDescent="0.25">
      <c r="A715" s="159" t="str">
        <f t="shared" si="34"/>
        <v>CR-Redwood City and Menlo Park-San Francisco Richmond District-Social recreation</v>
      </c>
      <c r="B715">
        <v>7</v>
      </c>
      <c r="C715" t="str">
        <f t="shared" si="35"/>
        <v>Redwood City and Menlo Park</v>
      </c>
      <c r="D715">
        <v>2</v>
      </c>
      <c r="E715" t="str">
        <f t="shared" si="35"/>
        <v>San Francisco Richmond District</v>
      </c>
      <c r="F715" t="s">
        <v>324</v>
      </c>
      <c r="G715">
        <f t="shared" si="33"/>
        <v>5</v>
      </c>
      <c r="H715" t="s">
        <v>125</v>
      </c>
      <c r="I715" t="s">
        <v>178</v>
      </c>
      <c r="J715">
        <v>1</v>
      </c>
      <c r="K715">
        <v>23.4305084745763</v>
      </c>
      <c r="Z715"/>
    </row>
    <row r="716" spans="1:26" x14ac:dyDescent="0.25">
      <c r="A716" s="159" t="str">
        <f t="shared" si="34"/>
        <v>CR-Redwood City and Menlo Park-San Francisco Richmond District-Work</v>
      </c>
      <c r="B716">
        <v>7</v>
      </c>
      <c r="C716" t="str">
        <f t="shared" si="35"/>
        <v>Redwood City and Menlo Park</v>
      </c>
      <c r="D716">
        <v>2</v>
      </c>
      <c r="E716" t="str">
        <f t="shared" si="35"/>
        <v>San Francisco Richmond District</v>
      </c>
      <c r="F716" t="s">
        <v>30</v>
      </c>
      <c r="G716">
        <f t="shared" si="33"/>
        <v>1</v>
      </c>
      <c r="H716" t="s">
        <v>125</v>
      </c>
      <c r="I716" t="s">
        <v>178</v>
      </c>
      <c r="J716">
        <v>1</v>
      </c>
      <c r="K716">
        <v>23.4305084745763</v>
      </c>
      <c r="Z716"/>
    </row>
    <row r="717" spans="1:26" x14ac:dyDescent="0.25">
      <c r="A717" s="159" t="str">
        <f t="shared" si="34"/>
        <v>LB-Redwood City and Menlo Park-San Francisco Mission District-High school</v>
      </c>
      <c r="B717">
        <v>7</v>
      </c>
      <c r="C717" t="str">
        <f t="shared" si="35"/>
        <v>Redwood City and Menlo Park</v>
      </c>
      <c r="D717">
        <v>3</v>
      </c>
      <c r="E717" t="str">
        <f t="shared" si="35"/>
        <v>San Francisco Mission District</v>
      </c>
      <c r="F717" t="s">
        <v>326</v>
      </c>
      <c r="G717">
        <f t="shared" si="33"/>
        <v>3</v>
      </c>
      <c r="H717" t="s">
        <v>359</v>
      </c>
      <c r="I717" t="s">
        <v>191</v>
      </c>
      <c r="J717">
        <v>1</v>
      </c>
      <c r="K717">
        <v>39.348891481913597</v>
      </c>
      <c r="Z717"/>
    </row>
    <row r="718" spans="1:26" x14ac:dyDescent="0.25">
      <c r="A718" s="159" t="str">
        <f t="shared" si="34"/>
        <v>HR-Redwood City and Menlo Park-San Francisco Mission District-Missing</v>
      </c>
      <c r="B718">
        <v>7</v>
      </c>
      <c r="C718" t="str">
        <f t="shared" si="35"/>
        <v>Redwood City and Menlo Park</v>
      </c>
      <c r="D718">
        <v>3</v>
      </c>
      <c r="E718" t="str">
        <f t="shared" si="35"/>
        <v>San Francisco Mission District</v>
      </c>
      <c r="F718" t="s">
        <v>327</v>
      </c>
      <c r="G718">
        <f t="shared" si="33"/>
        <v>0</v>
      </c>
      <c r="H718" t="s">
        <v>124</v>
      </c>
      <c r="I718" t="s">
        <v>188</v>
      </c>
      <c r="J718">
        <v>1</v>
      </c>
      <c r="K718">
        <v>95.822099447513807</v>
      </c>
      <c r="Z718"/>
    </row>
    <row r="719" spans="1:26" x14ac:dyDescent="0.25">
      <c r="A719" s="159" t="str">
        <f t="shared" si="34"/>
        <v>HR-Redwood City and Menlo Park-San Francisco Mission District-Social recreation</v>
      </c>
      <c r="B719">
        <v>7</v>
      </c>
      <c r="C719" t="str">
        <f t="shared" si="35"/>
        <v>Redwood City and Menlo Park</v>
      </c>
      <c r="D719">
        <v>3</v>
      </c>
      <c r="E719" t="str">
        <f t="shared" si="35"/>
        <v>San Francisco Mission District</v>
      </c>
      <c r="F719" t="s">
        <v>324</v>
      </c>
      <c r="G719">
        <f t="shared" si="33"/>
        <v>5</v>
      </c>
      <c r="H719" t="s">
        <v>124</v>
      </c>
      <c r="I719" t="s">
        <v>188</v>
      </c>
      <c r="J719">
        <v>1</v>
      </c>
      <c r="K719">
        <v>195.51395348837201</v>
      </c>
      <c r="Z719"/>
    </row>
    <row r="720" spans="1:26" x14ac:dyDescent="0.25">
      <c r="A720" s="159" t="str">
        <f t="shared" si="34"/>
        <v>CR-Redwood City and Menlo Park-San Francisco Mission District-Work</v>
      </c>
      <c r="B720">
        <v>7</v>
      </c>
      <c r="C720" t="str">
        <f t="shared" si="35"/>
        <v>Redwood City and Menlo Park</v>
      </c>
      <c r="D720">
        <v>3</v>
      </c>
      <c r="E720" t="str">
        <f t="shared" si="35"/>
        <v>San Francisco Mission District</v>
      </c>
      <c r="F720" t="s">
        <v>30</v>
      </c>
      <c r="G720">
        <f t="shared" si="33"/>
        <v>1</v>
      </c>
      <c r="H720" t="s">
        <v>125</v>
      </c>
      <c r="I720" t="s">
        <v>178</v>
      </c>
      <c r="J720">
        <v>6</v>
      </c>
      <c r="K720">
        <v>140.583050847457</v>
      </c>
      <c r="Z720"/>
    </row>
    <row r="721" spans="1:26" x14ac:dyDescent="0.25">
      <c r="A721" s="159" t="str">
        <f t="shared" si="34"/>
        <v>HR-Redwood City and Menlo Park-San Francisco Mission District-Work</v>
      </c>
      <c r="B721">
        <v>7</v>
      </c>
      <c r="C721" t="str">
        <f t="shared" si="35"/>
        <v>Redwood City and Menlo Park</v>
      </c>
      <c r="D721">
        <v>3</v>
      </c>
      <c r="E721" t="str">
        <f t="shared" si="35"/>
        <v>San Francisco Mission District</v>
      </c>
      <c r="F721" t="s">
        <v>30</v>
      </c>
      <c r="G721">
        <f t="shared" si="33"/>
        <v>1</v>
      </c>
      <c r="H721" t="s">
        <v>124</v>
      </c>
      <c r="I721" t="s">
        <v>188</v>
      </c>
      <c r="J721">
        <v>1</v>
      </c>
      <c r="K721">
        <v>95.822099447513807</v>
      </c>
      <c r="Z721"/>
    </row>
    <row r="722" spans="1:26" x14ac:dyDescent="0.25">
      <c r="A722" s="159" t="str">
        <f t="shared" si="34"/>
        <v>LR-Redwood City and Menlo Park-San Francisco Sunset District-Social recreation</v>
      </c>
      <c r="B722">
        <v>7</v>
      </c>
      <c r="C722" t="str">
        <f t="shared" si="35"/>
        <v>Redwood City and Menlo Park</v>
      </c>
      <c r="D722">
        <v>4</v>
      </c>
      <c r="E722" t="str">
        <f t="shared" si="35"/>
        <v>San Francisco Sunset District</v>
      </c>
      <c r="F722" t="s">
        <v>324</v>
      </c>
      <c r="G722">
        <f t="shared" si="33"/>
        <v>5</v>
      </c>
      <c r="H722" t="s">
        <v>353</v>
      </c>
      <c r="I722" t="s">
        <v>194</v>
      </c>
      <c r="J722">
        <v>1</v>
      </c>
      <c r="K722">
        <v>1240.22676579926</v>
      </c>
      <c r="Z722"/>
    </row>
    <row r="723" spans="1:26" x14ac:dyDescent="0.25">
      <c r="A723" s="159" t="str">
        <f t="shared" si="34"/>
        <v>LR-Redwood City and Menlo Park-San Francisco Sunset District-Work</v>
      </c>
      <c r="B723">
        <v>7</v>
      </c>
      <c r="C723" t="str">
        <f t="shared" si="35"/>
        <v>Redwood City and Menlo Park</v>
      </c>
      <c r="D723">
        <v>4</v>
      </c>
      <c r="E723" t="str">
        <f t="shared" si="35"/>
        <v>San Francisco Sunset District</v>
      </c>
      <c r="F723" t="s">
        <v>30</v>
      </c>
      <c r="G723">
        <f t="shared" si="33"/>
        <v>1</v>
      </c>
      <c r="H723" t="s">
        <v>353</v>
      </c>
      <c r="I723" t="s">
        <v>194</v>
      </c>
      <c r="J723">
        <v>1</v>
      </c>
      <c r="K723">
        <v>286.12835472578797</v>
      </c>
      <c r="Z723"/>
    </row>
    <row r="724" spans="1:26" x14ac:dyDescent="0.25">
      <c r="A724" s="159" t="str">
        <f t="shared" si="34"/>
        <v>CR-Redwood City and Menlo Park-Daly City and San Bruno-High school</v>
      </c>
      <c r="B724">
        <v>7</v>
      </c>
      <c r="C724" t="str">
        <f t="shared" si="35"/>
        <v>Redwood City and Menlo Park</v>
      </c>
      <c r="D724">
        <v>5</v>
      </c>
      <c r="E724" t="str">
        <f t="shared" si="35"/>
        <v>Daly City and San Bruno</v>
      </c>
      <c r="F724" t="s">
        <v>326</v>
      </c>
      <c r="G724">
        <f t="shared" si="33"/>
        <v>3</v>
      </c>
      <c r="H724" t="s">
        <v>125</v>
      </c>
      <c r="I724" t="s">
        <v>178</v>
      </c>
      <c r="J724">
        <v>4</v>
      </c>
      <c r="K724">
        <v>93.722033898305199</v>
      </c>
      <c r="Z724"/>
    </row>
    <row r="725" spans="1:26" x14ac:dyDescent="0.25">
      <c r="A725" s="159" t="str">
        <f t="shared" si="34"/>
        <v>EB-Redwood City and Menlo Park-Daly City and San Bruno-High school</v>
      </c>
      <c r="B725">
        <v>7</v>
      </c>
      <c r="C725" t="str">
        <f t="shared" si="35"/>
        <v>Redwood City and Menlo Park</v>
      </c>
      <c r="D725">
        <v>5</v>
      </c>
      <c r="E725" t="str">
        <f t="shared" si="35"/>
        <v>Daly City and San Bruno</v>
      </c>
      <c r="F725" t="s">
        <v>326</v>
      </c>
      <c r="G725">
        <f t="shared" si="33"/>
        <v>3</v>
      </c>
      <c r="H725" t="s">
        <v>123</v>
      </c>
      <c r="I725" t="s">
        <v>182</v>
      </c>
      <c r="J725">
        <v>1</v>
      </c>
      <c r="K725">
        <v>3.8990384615384599</v>
      </c>
      <c r="Z725"/>
    </row>
    <row r="726" spans="1:26" x14ac:dyDescent="0.25">
      <c r="A726" s="159" t="str">
        <f t="shared" si="34"/>
        <v>HR-Redwood City and Menlo Park-Daly City and San Bruno-High school</v>
      </c>
      <c r="B726">
        <v>7</v>
      </c>
      <c r="C726" t="str">
        <f t="shared" si="35"/>
        <v>Redwood City and Menlo Park</v>
      </c>
      <c r="D726">
        <v>5</v>
      </c>
      <c r="E726" t="str">
        <f t="shared" si="35"/>
        <v>Daly City and San Bruno</v>
      </c>
      <c r="F726" t="s">
        <v>326</v>
      </c>
      <c r="G726">
        <f t="shared" si="33"/>
        <v>3</v>
      </c>
      <c r="H726" t="s">
        <v>124</v>
      </c>
      <c r="I726" t="s">
        <v>188</v>
      </c>
      <c r="J726">
        <v>1</v>
      </c>
      <c r="K726">
        <v>95.822099447513807</v>
      </c>
      <c r="Z726"/>
    </row>
    <row r="727" spans="1:26" x14ac:dyDescent="0.25">
      <c r="A727" s="159" t="str">
        <f t="shared" si="34"/>
        <v>CR-Redwood City and Menlo Park-Daly City and San Bruno-Missing</v>
      </c>
      <c r="B727">
        <v>7</v>
      </c>
      <c r="C727" t="str">
        <f t="shared" si="35"/>
        <v>Redwood City and Menlo Park</v>
      </c>
      <c r="D727">
        <v>5</v>
      </c>
      <c r="E727" t="str">
        <f t="shared" si="35"/>
        <v>Daly City and San Bruno</v>
      </c>
      <c r="F727" t="s">
        <v>327</v>
      </c>
      <c r="G727">
        <f t="shared" si="33"/>
        <v>0</v>
      </c>
      <c r="H727" t="s">
        <v>125</v>
      </c>
      <c r="I727" t="s">
        <v>178</v>
      </c>
      <c r="J727">
        <v>1</v>
      </c>
      <c r="K727">
        <v>25.1469534050179</v>
      </c>
      <c r="Z727"/>
    </row>
    <row r="728" spans="1:26" x14ac:dyDescent="0.25">
      <c r="A728" s="159" t="str">
        <f t="shared" si="34"/>
        <v>HR-Redwood City and Menlo Park-Daly City and San Bruno-Missing</v>
      </c>
      <c r="B728">
        <v>7</v>
      </c>
      <c r="C728" t="str">
        <f t="shared" si="35"/>
        <v>Redwood City and Menlo Park</v>
      </c>
      <c r="D728">
        <v>5</v>
      </c>
      <c r="E728" t="str">
        <f t="shared" si="35"/>
        <v>Daly City and San Bruno</v>
      </c>
      <c r="F728" t="s">
        <v>327</v>
      </c>
      <c r="G728">
        <f t="shared" si="33"/>
        <v>0</v>
      </c>
      <c r="H728" t="s">
        <v>124</v>
      </c>
      <c r="I728" t="s">
        <v>188</v>
      </c>
      <c r="J728">
        <v>1</v>
      </c>
      <c r="K728">
        <v>95.822099447513807</v>
      </c>
      <c r="Z728"/>
    </row>
    <row r="729" spans="1:26" x14ac:dyDescent="0.25">
      <c r="A729" s="159" t="str">
        <f t="shared" si="34"/>
        <v>LB-Redwood City and Menlo Park-Daly City and San Bruno-Missing</v>
      </c>
      <c r="B729">
        <v>7</v>
      </c>
      <c r="C729" t="str">
        <f t="shared" si="35"/>
        <v>Redwood City and Menlo Park</v>
      </c>
      <c r="D729">
        <v>5</v>
      </c>
      <c r="E729" t="str">
        <f t="shared" si="35"/>
        <v>Daly City and San Bruno</v>
      </c>
      <c r="F729" t="s">
        <v>327</v>
      </c>
      <c r="G729">
        <f t="shared" si="33"/>
        <v>0</v>
      </c>
      <c r="H729" t="s">
        <v>359</v>
      </c>
      <c r="I729" t="s">
        <v>191</v>
      </c>
      <c r="J729">
        <v>1</v>
      </c>
      <c r="K729">
        <v>39.348891481913597</v>
      </c>
      <c r="Z729"/>
    </row>
    <row r="730" spans="1:26" x14ac:dyDescent="0.25">
      <c r="A730" s="159" t="str">
        <f t="shared" si="34"/>
        <v>CR-Redwood City and Menlo Park-Daly City and San Bruno-Other maintenance</v>
      </c>
      <c r="B730">
        <v>7</v>
      </c>
      <c r="C730" t="str">
        <f t="shared" si="35"/>
        <v>Redwood City and Menlo Park</v>
      </c>
      <c r="D730">
        <v>5</v>
      </c>
      <c r="E730" t="str">
        <f t="shared" si="35"/>
        <v>Daly City and San Bruno</v>
      </c>
      <c r="F730" t="s">
        <v>325</v>
      </c>
      <c r="G730">
        <f t="shared" si="33"/>
        <v>4</v>
      </c>
      <c r="H730" t="s">
        <v>125</v>
      </c>
      <c r="I730" t="s">
        <v>178</v>
      </c>
      <c r="J730">
        <v>3</v>
      </c>
      <c r="K730">
        <v>72.007970354170496</v>
      </c>
      <c r="Z730"/>
    </row>
    <row r="731" spans="1:26" x14ac:dyDescent="0.25">
      <c r="A731" s="159" t="str">
        <f t="shared" si="34"/>
        <v>LB-Redwood City and Menlo Park-Daly City and San Bruno-Other maintenance</v>
      </c>
      <c r="B731">
        <v>7</v>
      </c>
      <c r="C731" t="str">
        <f t="shared" si="35"/>
        <v>Redwood City and Menlo Park</v>
      </c>
      <c r="D731">
        <v>5</v>
      </c>
      <c r="E731" t="str">
        <f t="shared" si="35"/>
        <v>Daly City and San Bruno</v>
      </c>
      <c r="F731" t="s">
        <v>325</v>
      </c>
      <c r="G731">
        <f t="shared" si="33"/>
        <v>4</v>
      </c>
      <c r="H731" t="s">
        <v>359</v>
      </c>
      <c r="I731" t="s">
        <v>191</v>
      </c>
      <c r="J731">
        <v>1</v>
      </c>
      <c r="K731">
        <v>39.348891481913597</v>
      </c>
      <c r="Z731"/>
    </row>
    <row r="732" spans="1:26" x14ac:dyDescent="0.25">
      <c r="A732" s="159" t="str">
        <f t="shared" si="34"/>
        <v>LB-Redwood City and Menlo Park-Daly City and San Bruno-Social recreation</v>
      </c>
      <c r="B732">
        <v>7</v>
      </c>
      <c r="C732" t="str">
        <f t="shared" si="35"/>
        <v>Redwood City and Menlo Park</v>
      </c>
      <c r="D732">
        <v>5</v>
      </c>
      <c r="E732" t="str">
        <f t="shared" si="35"/>
        <v>Daly City and San Bruno</v>
      </c>
      <c r="F732" t="s">
        <v>324</v>
      </c>
      <c r="G732">
        <f t="shared" si="33"/>
        <v>5</v>
      </c>
      <c r="H732" t="s">
        <v>359</v>
      </c>
      <c r="I732" t="s">
        <v>191</v>
      </c>
      <c r="J732">
        <v>1</v>
      </c>
      <c r="K732">
        <v>39.348891481913597</v>
      </c>
      <c r="Z732"/>
    </row>
    <row r="733" spans="1:26" x14ac:dyDescent="0.25">
      <c r="A733" s="159" t="str">
        <f t="shared" si="34"/>
        <v>CR-Redwood City and Menlo Park-Daly City and San Bruno-Work</v>
      </c>
      <c r="B733">
        <v>7</v>
      </c>
      <c r="C733" t="str">
        <f t="shared" si="35"/>
        <v>Redwood City and Menlo Park</v>
      </c>
      <c r="D733">
        <v>5</v>
      </c>
      <c r="E733" t="str">
        <f t="shared" si="35"/>
        <v>Daly City and San Bruno</v>
      </c>
      <c r="F733" t="s">
        <v>30</v>
      </c>
      <c r="G733">
        <f t="shared" si="33"/>
        <v>1</v>
      </c>
      <c r="H733" t="s">
        <v>125</v>
      </c>
      <c r="I733" t="s">
        <v>178</v>
      </c>
      <c r="J733">
        <v>6</v>
      </c>
      <c r="K733">
        <v>142.29949577789901</v>
      </c>
      <c r="Z733"/>
    </row>
    <row r="734" spans="1:26" x14ac:dyDescent="0.25">
      <c r="A734" s="159" t="str">
        <f t="shared" si="34"/>
        <v>LB-Redwood City and Menlo Park-Daly City and San Bruno-Work</v>
      </c>
      <c r="B734">
        <v>7</v>
      </c>
      <c r="C734" t="str">
        <f t="shared" si="35"/>
        <v>Redwood City and Menlo Park</v>
      </c>
      <c r="D734">
        <v>5</v>
      </c>
      <c r="E734" t="str">
        <f t="shared" si="35"/>
        <v>Daly City and San Bruno</v>
      </c>
      <c r="F734" t="s">
        <v>30</v>
      </c>
      <c r="G734">
        <f t="shared" si="33"/>
        <v>1</v>
      </c>
      <c r="H734" t="s">
        <v>359</v>
      </c>
      <c r="I734" t="s">
        <v>191</v>
      </c>
      <c r="J734">
        <v>6</v>
      </c>
      <c r="K734">
        <v>236.09334889148101</v>
      </c>
      <c r="Z734"/>
    </row>
    <row r="735" spans="1:26" x14ac:dyDescent="0.25">
      <c r="A735" s="159" t="str">
        <f t="shared" si="34"/>
        <v>CR-Redwood City and Menlo Park-San Mateo and Burlingame-High school</v>
      </c>
      <c r="B735">
        <v>7</v>
      </c>
      <c r="C735" t="str">
        <f t="shared" si="35"/>
        <v>Redwood City and Menlo Park</v>
      </c>
      <c r="D735">
        <v>6</v>
      </c>
      <c r="E735" t="str">
        <f t="shared" si="35"/>
        <v>San Mateo and Burlingame</v>
      </c>
      <c r="F735" t="s">
        <v>326</v>
      </c>
      <c r="G735">
        <f t="shared" si="33"/>
        <v>3</v>
      </c>
      <c r="H735" t="s">
        <v>125</v>
      </c>
      <c r="I735" t="s">
        <v>178</v>
      </c>
      <c r="J735">
        <v>1</v>
      </c>
      <c r="K735">
        <v>23.4305084745763</v>
      </c>
      <c r="Z735"/>
    </row>
    <row r="736" spans="1:26" x14ac:dyDescent="0.25">
      <c r="A736" s="159" t="str">
        <f t="shared" si="34"/>
        <v>LB-Redwood City and Menlo Park-San Mateo and Burlingame-High school</v>
      </c>
      <c r="B736">
        <v>7</v>
      </c>
      <c r="C736" t="str">
        <f t="shared" si="35"/>
        <v>Redwood City and Menlo Park</v>
      </c>
      <c r="D736">
        <v>6</v>
      </c>
      <c r="E736" t="str">
        <f t="shared" si="35"/>
        <v>San Mateo and Burlingame</v>
      </c>
      <c r="F736" t="s">
        <v>326</v>
      </c>
      <c r="G736">
        <f t="shared" si="33"/>
        <v>3</v>
      </c>
      <c r="H736" t="s">
        <v>359</v>
      </c>
      <c r="I736" t="s">
        <v>191</v>
      </c>
      <c r="J736">
        <v>5</v>
      </c>
      <c r="K736">
        <v>196.74445740956699</v>
      </c>
      <c r="Z736"/>
    </row>
    <row r="737" spans="1:26" x14ac:dyDescent="0.25">
      <c r="A737" s="159" t="str">
        <f t="shared" si="34"/>
        <v>CR-Redwood City and Menlo Park-San Mateo and Burlingame-Missing</v>
      </c>
      <c r="B737">
        <v>7</v>
      </c>
      <c r="C737" t="str">
        <f t="shared" si="35"/>
        <v>Redwood City and Menlo Park</v>
      </c>
      <c r="D737">
        <v>6</v>
      </c>
      <c r="E737" t="str">
        <f t="shared" si="35"/>
        <v>San Mateo and Burlingame</v>
      </c>
      <c r="F737" t="s">
        <v>327</v>
      </c>
      <c r="G737">
        <f t="shared" si="33"/>
        <v>0</v>
      </c>
      <c r="H737" t="s">
        <v>125</v>
      </c>
      <c r="I737" t="s">
        <v>178</v>
      </c>
      <c r="J737">
        <v>1</v>
      </c>
      <c r="K737">
        <v>23.4305084745763</v>
      </c>
      <c r="Z737"/>
    </row>
    <row r="738" spans="1:26" x14ac:dyDescent="0.25">
      <c r="A738" s="159" t="str">
        <f t="shared" si="34"/>
        <v>LB-Redwood City and Menlo Park-San Mateo and Burlingame-Missing</v>
      </c>
      <c r="B738">
        <v>7</v>
      </c>
      <c r="C738" t="str">
        <f t="shared" si="35"/>
        <v>Redwood City and Menlo Park</v>
      </c>
      <c r="D738">
        <v>6</v>
      </c>
      <c r="E738" t="str">
        <f t="shared" si="35"/>
        <v>San Mateo and Burlingame</v>
      </c>
      <c r="F738" t="s">
        <v>327</v>
      </c>
      <c r="G738">
        <f t="shared" si="33"/>
        <v>0</v>
      </c>
      <c r="H738" t="s">
        <v>359</v>
      </c>
      <c r="I738" t="s">
        <v>191</v>
      </c>
      <c r="J738">
        <v>2</v>
      </c>
      <c r="K738">
        <v>170.48494590368199</v>
      </c>
      <c r="Z738"/>
    </row>
    <row r="739" spans="1:26" x14ac:dyDescent="0.25">
      <c r="A739" s="159" t="str">
        <f t="shared" si="34"/>
        <v>LB-Redwood City and Menlo Park-San Mateo and Burlingame-Other maintenance</v>
      </c>
      <c r="B739">
        <v>7</v>
      </c>
      <c r="C739" t="str">
        <f t="shared" si="35"/>
        <v>Redwood City and Menlo Park</v>
      </c>
      <c r="D739">
        <v>6</v>
      </c>
      <c r="E739" t="str">
        <f t="shared" si="35"/>
        <v>San Mateo and Burlingame</v>
      </c>
      <c r="F739" t="s">
        <v>325</v>
      </c>
      <c r="G739">
        <f t="shared" si="33"/>
        <v>4</v>
      </c>
      <c r="H739" t="s">
        <v>359</v>
      </c>
      <c r="I739" t="s">
        <v>191</v>
      </c>
      <c r="J739">
        <v>4</v>
      </c>
      <c r="K739">
        <v>157.39556592765399</v>
      </c>
      <c r="Z739"/>
    </row>
    <row r="740" spans="1:26" x14ac:dyDescent="0.25">
      <c r="A740" s="159" t="str">
        <f t="shared" si="34"/>
        <v>CR-Redwood City and Menlo Park-San Mateo and Burlingame-Shopping</v>
      </c>
      <c r="B740">
        <v>7</v>
      </c>
      <c r="C740" t="str">
        <f t="shared" si="35"/>
        <v>Redwood City and Menlo Park</v>
      </c>
      <c r="D740">
        <v>6</v>
      </c>
      <c r="E740" t="str">
        <f t="shared" si="35"/>
        <v>San Mateo and Burlingame</v>
      </c>
      <c r="F740" t="s">
        <v>106</v>
      </c>
      <c r="G740">
        <f t="shared" si="33"/>
        <v>4</v>
      </c>
      <c r="H740" t="s">
        <v>125</v>
      </c>
      <c r="I740" t="s">
        <v>178</v>
      </c>
      <c r="J740">
        <v>1</v>
      </c>
      <c r="K740">
        <v>23.4305084745763</v>
      </c>
      <c r="Z740"/>
    </row>
    <row r="741" spans="1:26" x14ac:dyDescent="0.25">
      <c r="A741" s="159" t="str">
        <f t="shared" si="34"/>
        <v>LB-Redwood City and Menlo Park-San Mateo and Burlingame-Shopping</v>
      </c>
      <c r="B741">
        <v>7</v>
      </c>
      <c r="C741" t="str">
        <f t="shared" si="35"/>
        <v>Redwood City and Menlo Park</v>
      </c>
      <c r="D741">
        <v>6</v>
      </c>
      <c r="E741" t="str">
        <f t="shared" si="35"/>
        <v>San Mateo and Burlingame</v>
      </c>
      <c r="F741" t="s">
        <v>106</v>
      </c>
      <c r="G741">
        <f t="shared" si="33"/>
        <v>4</v>
      </c>
      <c r="H741" t="s">
        <v>359</v>
      </c>
      <c r="I741" t="s">
        <v>191</v>
      </c>
      <c r="J741">
        <v>4</v>
      </c>
      <c r="K741">
        <v>249.18272886750901</v>
      </c>
      <c r="Z741"/>
    </row>
    <row r="742" spans="1:26" x14ac:dyDescent="0.25">
      <c r="A742" s="159" t="str">
        <f t="shared" si="34"/>
        <v>CR-Redwood City and Menlo Park-San Mateo and Burlingame-Social recreation</v>
      </c>
      <c r="B742">
        <v>7</v>
      </c>
      <c r="C742" t="str">
        <f t="shared" si="35"/>
        <v>Redwood City and Menlo Park</v>
      </c>
      <c r="D742">
        <v>6</v>
      </c>
      <c r="E742" t="str">
        <f t="shared" si="35"/>
        <v>San Mateo and Burlingame</v>
      </c>
      <c r="F742" t="s">
        <v>324</v>
      </c>
      <c r="G742">
        <f t="shared" si="33"/>
        <v>5</v>
      </c>
      <c r="H742" t="s">
        <v>125</v>
      </c>
      <c r="I742" t="s">
        <v>178</v>
      </c>
      <c r="J742">
        <v>1</v>
      </c>
      <c r="K742">
        <v>25.1469534050179</v>
      </c>
      <c r="Z742"/>
    </row>
    <row r="743" spans="1:26" x14ac:dyDescent="0.25">
      <c r="A743" s="159" t="str">
        <f t="shared" si="34"/>
        <v>LB-Redwood City and Menlo Park-San Mateo and Burlingame-Social recreation</v>
      </c>
      <c r="B743">
        <v>7</v>
      </c>
      <c r="C743" t="str">
        <f t="shared" si="35"/>
        <v>Redwood City and Menlo Park</v>
      </c>
      <c r="D743">
        <v>6</v>
      </c>
      <c r="E743" t="str">
        <f t="shared" si="35"/>
        <v>San Mateo and Burlingame</v>
      </c>
      <c r="F743" t="s">
        <v>324</v>
      </c>
      <c r="G743">
        <f t="shared" si="33"/>
        <v>5</v>
      </c>
      <c r="H743" t="s">
        <v>359</v>
      </c>
      <c r="I743" t="s">
        <v>191</v>
      </c>
      <c r="J743">
        <v>4</v>
      </c>
      <c r="K743">
        <v>249.18272886750901</v>
      </c>
      <c r="Z743"/>
    </row>
    <row r="744" spans="1:26" x14ac:dyDescent="0.25">
      <c r="A744" s="159" t="str">
        <f t="shared" si="34"/>
        <v>CR-Redwood City and Menlo Park-San Mateo and Burlingame-Work</v>
      </c>
      <c r="B744">
        <v>7</v>
      </c>
      <c r="C744" t="str">
        <f t="shared" si="35"/>
        <v>Redwood City and Menlo Park</v>
      </c>
      <c r="D744">
        <v>6</v>
      </c>
      <c r="E744" t="str">
        <f t="shared" si="35"/>
        <v>San Mateo and Burlingame</v>
      </c>
      <c r="F744" t="s">
        <v>30</v>
      </c>
      <c r="G744">
        <f t="shared" si="33"/>
        <v>1</v>
      </c>
      <c r="H744" t="s">
        <v>125</v>
      </c>
      <c r="I744" t="s">
        <v>178</v>
      </c>
      <c r="J744">
        <v>3</v>
      </c>
      <c r="K744">
        <v>70.291525423728899</v>
      </c>
      <c r="Z744"/>
    </row>
    <row r="745" spans="1:26" x14ac:dyDescent="0.25">
      <c r="A745" s="159" t="str">
        <f t="shared" si="34"/>
        <v>EB-Redwood City and Menlo Park-San Mateo and Burlingame-Work</v>
      </c>
      <c r="B745">
        <v>7</v>
      </c>
      <c r="C745" t="str">
        <f t="shared" si="35"/>
        <v>Redwood City and Menlo Park</v>
      </c>
      <c r="D745">
        <v>6</v>
      </c>
      <c r="E745" t="str">
        <f t="shared" si="35"/>
        <v>San Mateo and Burlingame</v>
      </c>
      <c r="F745" t="s">
        <v>30</v>
      </c>
      <c r="G745">
        <f t="shared" si="33"/>
        <v>1</v>
      </c>
      <c r="H745" t="s">
        <v>123</v>
      </c>
      <c r="I745" t="s">
        <v>182</v>
      </c>
      <c r="J745">
        <v>1</v>
      </c>
      <c r="K745">
        <v>3.8990384615384599</v>
      </c>
      <c r="Z745"/>
    </row>
    <row r="746" spans="1:26" x14ac:dyDescent="0.25">
      <c r="A746" s="159" t="str">
        <f t="shared" si="34"/>
        <v>LB-Redwood City and Menlo Park-San Mateo and Burlingame-Work</v>
      </c>
      <c r="B746">
        <v>7</v>
      </c>
      <c r="C746" t="str">
        <f t="shared" si="35"/>
        <v>Redwood City and Menlo Park</v>
      </c>
      <c r="D746">
        <v>6</v>
      </c>
      <c r="E746" t="str">
        <f t="shared" si="35"/>
        <v>San Mateo and Burlingame</v>
      </c>
      <c r="F746" t="s">
        <v>30</v>
      </c>
      <c r="G746">
        <f t="shared" si="33"/>
        <v>1</v>
      </c>
      <c r="H746" t="s">
        <v>359</v>
      </c>
      <c r="I746" t="s">
        <v>191</v>
      </c>
      <c r="J746">
        <v>15</v>
      </c>
      <c r="K746">
        <v>1049.16918692798</v>
      </c>
      <c r="Z746"/>
    </row>
    <row r="747" spans="1:26" x14ac:dyDescent="0.25">
      <c r="A747" s="159" t="str">
        <f t="shared" si="34"/>
        <v>LB-Redwood City and Menlo Park-Redwood City and Menlo Park-High school</v>
      </c>
      <c r="B747">
        <v>7</v>
      </c>
      <c r="C747" t="str">
        <f t="shared" si="35"/>
        <v>Redwood City and Menlo Park</v>
      </c>
      <c r="D747">
        <v>7</v>
      </c>
      <c r="E747" t="str">
        <f t="shared" si="35"/>
        <v>Redwood City and Menlo Park</v>
      </c>
      <c r="F747" t="s">
        <v>326</v>
      </c>
      <c r="G747">
        <f t="shared" si="33"/>
        <v>3</v>
      </c>
      <c r="H747" t="s">
        <v>359</v>
      </c>
      <c r="I747" t="s">
        <v>191</v>
      </c>
      <c r="J747">
        <v>14</v>
      </c>
      <c r="K747">
        <v>550.88448074679002</v>
      </c>
      <c r="Z747"/>
    </row>
    <row r="748" spans="1:26" x14ac:dyDescent="0.25">
      <c r="A748" s="159" t="str">
        <f t="shared" si="34"/>
        <v>LB-Redwood City and Menlo Park-Redwood City and Menlo Park-Missing</v>
      </c>
      <c r="B748">
        <v>7</v>
      </c>
      <c r="C748" t="str">
        <f t="shared" si="35"/>
        <v>Redwood City and Menlo Park</v>
      </c>
      <c r="D748">
        <v>7</v>
      </c>
      <c r="E748" t="str">
        <f t="shared" si="35"/>
        <v>Redwood City and Menlo Park</v>
      </c>
      <c r="F748" t="s">
        <v>327</v>
      </c>
      <c r="G748">
        <f t="shared" si="33"/>
        <v>0</v>
      </c>
      <c r="H748" t="s">
        <v>359</v>
      </c>
      <c r="I748" t="s">
        <v>191</v>
      </c>
      <c r="J748">
        <v>7</v>
      </c>
      <c r="K748">
        <v>367.22940331324997</v>
      </c>
      <c r="Z748"/>
    </row>
    <row r="749" spans="1:26" x14ac:dyDescent="0.25">
      <c r="A749" s="159" t="str">
        <f t="shared" si="34"/>
        <v>CR-Redwood City and Menlo Park-Redwood City and Menlo Park-Other maintenance</v>
      </c>
      <c r="B749">
        <v>7</v>
      </c>
      <c r="C749" t="str">
        <f t="shared" si="35"/>
        <v>Redwood City and Menlo Park</v>
      </c>
      <c r="D749">
        <v>7</v>
      </c>
      <c r="E749" t="str">
        <f t="shared" si="35"/>
        <v>Redwood City and Menlo Park</v>
      </c>
      <c r="F749" t="s">
        <v>325</v>
      </c>
      <c r="G749">
        <f t="shared" si="33"/>
        <v>4</v>
      </c>
      <c r="H749" t="s">
        <v>125</v>
      </c>
      <c r="I749" t="s">
        <v>178</v>
      </c>
      <c r="J749">
        <v>1</v>
      </c>
      <c r="K749">
        <v>25.1469534050179</v>
      </c>
      <c r="Z749"/>
    </row>
    <row r="750" spans="1:26" x14ac:dyDescent="0.25">
      <c r="A750" s="159" t="str">
        <f t="shared" si="34"/>
        <v>LB-Redwood City and Menlo Park-Redwood City and Menlo Park-Other maintenance</v>
      </c>
      <c r="B750">
        <v>7</v>
      </c>
      <c r="C750" t="str">
        <f t="shared" si="35"/>
        <v>Redwood City and Menlo Park</v>
      </c>
      <c r="D750">
        <v>7</v>
      </c>
      <c r="E750" t="str">
        <f t="shared" si="35"/>
        <v>Redwood City and Menlo Park</v>
      </c>
      <c r="F750" t="s">
        <v>325</v>
      </c>
      <c r="G750">
        <f t="shared" si="33"/>
        <v>4</v>
      </c>
      <c r="H750" t="s">
        <v>359</v>
      </c>
      <c r="I750" t="s">
        <v>191</v>
      </c>
      <c r="J750">
        <v>6</v>
      </c>
      <c r="K750">
        <v>574.65997507521104</v>
      </c>
      <c r="Z750"/>
    </row>
    <row r="751" spans="1:26" x14ac:dyDescent="0.25">
      <c r="A751" s="159" t="str">
        <f t="shared" si="34"/>
        <v>LB-Redwood City and Menlo Park-Redwood City and Menlo Park-Shopping</v>
      </c>
      <c r="B751">
        <v>7</v>
      </c>
      <c r="C751" t="str">
        <f t="shared" si="35"/>
        <v>Redwood City and Menlo Park</v>
      </c>
      <c r="D751">
        <v>7</v>
      </c>
      <c r="E751" t="str">
        <f t="shared" si="35"/>
        <v>Redwood City and Menlo Park</v>
      </c>
      <c r="F751" t="s">
        <v>106</v>
      </c>
      <c r="G751">
        <f t="shared" si="33"/>
        <v>4</v>
      </c>
      <c r="H751" t="s">
        <v>359</v>
      </c>
      <c r="I751" t="s">
        <v>191</v>
      </c>
      <c r="J751">
        <v>6</v>
      </c>
      <c r="K751">
        <v>236.09334889148101</v>
      </c>
      <c r="Z751"/>
    </row>
    <row r="752" spans="1:26" x14ac:dyDescent="0.25">
      <c r="A752" s="159" t="str">
        <f t="shared" si="34"/>
        <v>CR-Redwood City and Menlo Park-Redwood City and Menlo Park-Social recreation</v>
      </c>
      <c r="B752">
        <v>7</v>
      </c>
      <c r="C752" t="str">
        <f t="shared" si="35"/>
        <v>Redwood City and Menlo Park</v>
      </c>
      <c r="D752">
        <v>7</v>
      </c>
      <c r="E752" t="str">
        <f t="shared" si="35"/>
        <v>Redwood City and Menlo Park</v>
      </c>
      <c r="F752" t="s">
        <v>324</v>
      </c>
      <c r="G752">
        <f t="shared" si="33"/>
        <v>5</v>
      </c>
      <c r="H752" t="s">
        <v>125</v>
      </c>
      <c r="I752" t="s">
        <v>178</v>
      </c>
      <c r="J752">
        <v>3</v>
      </c>
      <c r="K752">
        <v>70.291525423728899</v>
      </c>
      <c r="Z752"/>
    </row>
    <row r="753" spans="1:26" x14ac:dyDescent="0.25">
      <c r="A753" s="159" t="str">
        <f t="shared" si="34"/>
        <v>LB-Redwood City and Menlo Park-Redwood City and Menlo Park-Social recreation</v>
      </c>
      <c r="B753">
        <v>7</v>
      </c>
      <c r="C753" t="str">
        <f t="shared" si="35"/>
        <v>Redwood City and Menlo Park</v>
      </c>
      <c r="D753">
        <v>7</v>
      </c>
      <c r="E753" t="str">
        <f t="shared" si="35"/>
        <v>Redwood City and Menlo Park</v>
      </c>
      <c r="F753" t="s">
        <v>324</v>
      </c>
      <c r="G753">
        <f t="shared" si="33"/>
        <v>5</v>
      </c>
      <c r="H753" t="s">
        <v>359</v>
      </c>
      <c r="I753" t="s">
        <v>191</v>
      </c>
      <c r="J753">
        <v>5</v>
      </c>
      <c r="K753">
        <v>472.10594622913402</v>
      </c>
      <c r="Z753"/>
    </row>
    <row r="754" spans="1:26" x14ac:dyDescent="0.25">
      <c r="A754" s="159" t="str">
        <f t="shared" si="34"/>
        <v>CR-Redwood City and Menlo Park-Redwood City and Menlo Park-Work</v>
      </c>
      <c r="B754">
        <v>7</v>
      </c>
      <c r="C754" t="str">
        <f t="shared" si="35"/>
        <v>Redwood City and Menlo Park</v>
      </c>
      <c r="D754">
        <v>7</v>
      </c>
      <c r="E754" t="str">
        <f t="shared" si="35"/>
        <v>Redwood City and Menlo Park</v>
      </c>
      <c r="F754" t="s">
        <v>30</v>
      </c>
      <c r="G754">
        <f t="shared" si="33"/>
        <v>1</v>
      </c>
      <c r="H754" t="s">
        <v>125</v>
      </c>
      <c r="I754" t="s">
        <v>178</v>
      </c>
      <c r="J754">
        <v>2</v>
      </c>
      <c r="K754">
        <v>46.861016949152599</v>
      </c>
      <c r="Z754"/>
    </row>
    <row r="755" spans="1:26" x14ac:dyDescent="0.25">
      <c r="A755" s="159" t="str">
        <f t="shared" si="34"/>
        <v>EB-Redwood City and Menlo Park-Redwood City and Menlo Park-Work</v>
      </c>
      <c r="B755">
        <v>7</v>
      </c>
      <c r="C755" t="str">
        <f t="shared" si="35"/>
        <v>Redwood City and Menlo Park</v>
      </c>
      <c r="D755">
        <v>7</v>
      </c>
      <c r="E755" t="str">
        <f t="shared" si="35"/>
        <v>Redwood City and Menlo Park</v>
      </c>
      <c r="F755" t="s">
        <v>30</v>
      </c>
      <c r="G755">
        <f t="shared" si="33"/>
        <v>1</v>
      </c>
      <c r="H755" t="s">
        <v>123</v>
      </c>
      <c r="I755" t="s">
        <v>182</v>
      </c>
      <c r="J755">
        <v>1</v>
      </c>
      <c r="K755">
        <v>3.8990384615384599</v>
      </c>
      <c r="Z755"/>
    </row>
    <row r="756" spans="1:26" x14ac:dyDescent="0.25">
      <c r="A756" s="159" t="str">
        <f t="shared" si="34"/>
        <v>LB-Redwood City and Menlo Park-Redwood City and Menlo Park-Work</v>
      </c>
      <c r="B756">
        <v>7</v>
      </c>
      <c r="C756" t="str">
        <f t="shared" si="35"/>
        <v>Redwood City and Menlo Park</v>
      </c>
      <c r="D756">
        <v>7</v>
      </c>
      <c r="E756" t="str">
        <f t="shared" si="35"/>
        <v>Redwood City and Menlo Park</v>
      </c>
      <c r="F756" t="s">
        <v>30</v>
      </c>
      <c r="G756">
        <f t="shared" si="33"/>
        <v>1</v>
      </c>
      <c r="H756" t="s">
        <v>359</v>
      </c>
      <c r="I756" t="s">
        <v>191</v>
      </c>
      <c r="J756">
        <v>26</v>
      </c>
      <c r="K756">
        <v>1298.4326673493099</v>
      </c>
      <c r="Z756"/>
    </row>
    <row r="757" spans="1:26" x14ac:dyDescent="0.25">
      <c r="A757" s="159" t="str">
        <f t="shared" si="34"/>
        <v>CR-Redwood City and Menlo Park-Palo Alto and Los Altos-High school</v>
      </c>
      <c r="B757">
        <v>7</v>
      </c>
      <c r="C757" t="str">
        <f t="shared" si="35"/>
        <v>Redwood City and Menlo Park</v>
      </c>
      <c r="D757">
        <v>8</v>
      </c>
      <c r="E757" t="str">
        <f t="shared" si="35"/>
        <v>Palo Alto and Los Altos</v>
      </c>
      <c r="F757" t="s">
        <v>326</v>
      </c>
      <c r="G757">
        <f t="shared" si="33"/>
        <v>3</v>
      </c>
      <c r="H757" t="s">
        <v>125</v>
      </c>
      <c r="I757" t="s">
        <v>178</v>
      </c>
      <c r="J757">
        <v>2</v>
      </c>
      <c r="K757">
        <v>48.577461879594097</v>
      </c>
      <c r="Z757"/>
    </row>
    <row r="758" spans="1:26" x14ac:dyDescent="0.25">
      <c r="A758" s="159" t="str">
        <f t="shared" si="34"/>
        <v>EB-Redwood City and Menlo Park-Palo Alto and Los Altos-High school</v>
      </c>
      <c r="B758">
        <v>7</v>
      </c>
      <c r="C758" t="str">
        <f t="shared" si="35"/>
        <v>Redwood City and Menlo Park</v>
      </c>
      <c r="D758">
        <v>8</v>
      </c>
      <c r="E758" t="str">
        <f t="shared" si="35"/>
        <v>Palo Alto and Los Altos</v>
      </c>
      <c r="F758" t="s">
        <v>326</v>
      </c>
      <c r="G758">
        <f t="shared" si="33"/>
        <v>3</v>
      </c>
      <c r="H758" t="s">
        <v>123</v>
      </c>
      <c r="I758" t="s">
        <v>182</v>
      </c>
      <c r="J758">
        <v>2</v>
      </c>
      <c r="K758">
        <v>7.7980769230769198</v>
      </c>
      <c r="Z758"/>
    </row>
    <row r="759" spans="1:26" x14ac:dyDescent="0.25">
      <c r="A759" s="159" t="str">
        <f t="shared" si="34"/>
        <v>LB-Redwood City and Menlo Park-Palo Alto and Los Altos-High school</v>
      </c>
      <c r="B759">
        <v>7</v>
      </c>
      <c r="C759" t="str">
        <f t="shared" si="35"/>
        <v>Redwood City and Menlo Park</v>
      </c>
      <c r="D759">
        <v>8</v>
      </c>
      <c r="E759" t="str">
        <f t="shared" si="35"/>
        <v>Palo Alto and Los Altos</v>
      </c>
      <c r="F759" t="s">
        <v>326</v>
      </c>
      <c r="G759">
        <f t="shared" si="33"/>
        <v>3</v>
      </c>
      <c r="H759" t="s">
        <v>359</v>
      </c>
      <c r="I759" t="s">
        <v>191</v>
      </c>
      <c r="J759">
        <v>3</v>
      </c>
      <c r="K759">
        <v>164.642437630421</v>
      </c>
      <c r="Z759"/>
    </row>
    <row r="760" spans="1:26" x14ac:dyDescent="0.25">
      <c r="A760" s="159" t="str">
        <f t="shared" si="34"/>
        <v>EB-Redwood City and Menlo Park-Palo Alto and Los Altos-Missing</v>
      </c>
      <c r="B760">
        <v>7</v>
      </c>
      <c r="C760" t="str">
        <f t="shared" si="35"/>
        <v>Redwood City and Menlo Park</v>
      </c>
      <c r="D760">
        <v>8</v>
      </c>
      <c r="E760" t="str">
        <f t="shared" si="35"/>
        <v>Palo Alto and Los Altos</v>
      </c>
      <c r="F760" t="s">
        <v>327</v>
      </c>
      <c r="G760">
        <f t="shared" si="33"/>
        <v>0</v>
      </c>
      <c r="H760" t="s">
        <v>123</v>
      </c>
      <c r="I760" t="s">
        <v>182</v>
      </c>
      <c r="J760">
        <v>3</v>
      </c>
      <c r="K760">
        <v>11.6971153846153</v>
      </c>
      <c r="Z760"/>
    </row>
    <row r="761" spans="1:26" x14ac:dyDescent="0.25">
      <c r="A761" s="159" t="str">
        <f t="shared" si="34"/>
        <v>LB-Redwood City and Menlo Park-Palo Alto and Los Altos-Missing</v>
      </c>
      <c r="B761">
        <v>7</v>
      </c>
      <c r="C761" t="str">
        <f t="shared" si="35"/>
        <v>Redwood City and Menlo Park</v>
      </c>
      <c r="D761">
        <v>8</v>
      </c>
      <c r="E761" t="str">
        <f t="shared" si="35"/>
        <v>Palo Alto and Los Altos</v>
      </c>
      <c r="F761" t="s">
        <v>327</v>
      </c>
      <c r="G761">
        <f t="shared" si="33"/>
        <v>0</v>
      </c>
      <c r="H761" t="s">
        <v>359</v>
      </c>
      <c r="I761" t="s">
        <v>191</v>
      </c>
      <c r="J761">
        <v>1</v>
      </c>
      <c r="K761">
        <v>39.348891481913597</v>
      </c>
      <c r="Z761"/>
    </row>
    <row r="762" spans="1:26" x14ac:dyDescent="0.25">
      <c r="A762" s="159" t="str">
        <f t="shared" si="34"/>
        <v>CR-Redwood City and Menlo Park-Palo Alto and Los Altos-Other maintenance</v>
      </c>
      <c r="B762">
        <v>7</v>
      </c>
      <c r="C762" t="str">
        <f t="shared" si="35"/>
        <v>Redwood City and Menlo Park</v>
      </c>
      <c r="D762">
        <v>8</v>
      </c>
      <c r="E762" t="str">
        <f t="shared" si="35"/>
        <v>Palo Alto and Los Altos</v>
      </c>
      <c r="F762" t="s">
        <v>325</v>
      </c>
      <c r="G762">
        <f t="shared" si="33"/>
        <v>4</v>
      </c>
      <c r="H762" t="s">
        <v>125</v>
      </c>
      <c r="I762" t="s">
        <v>178</v>
      </c>
      <c r="J762">
        <v>2</v>
      </c>
      <c r="K762">
        <v>46.861016949152599</v>
      </c>
      <c r="Z762"/>
    </row>
    <row r="763" spans="1:26" x14ac:dyDescent="0.25">
      <c r="A763" s="159" t="str">
        <f t="shared" si="34"/>
        <v>LB-Redwood City and Menlo Park-Palo Alto and Los Altos-Other maintenance</v>
      </c>
      <c r="B763">
        <v>7</v>
      </c>
      <c r="C763" t="str">
        <f t="shared" si="35"/>
        <v>Redwood City and Menlo Park</v>
      </c>
      <c r="D763">
        <v>8</v>
      </c>
      <c r="E763" t="str">
        <f t="shared" si="35"/>
        <v>Palo Alto and Los Altos</v>
      </c>
      <c r="F763" t="s">
        <v>325</v>
      </c>
      <c r="G763">
        <f t="shared" si="33"/>
        <v>4</v>
      </c>
      <c r="H763" t="s">
        <v>359</v>
      </c>
      <c r="I763" t="s">
        <v>191</v>
      </c>
      <c r="J763">
        <v>1</v>
      </c>
      <c r="K763">
        <v>39.348891481913597</v>
      </c>
      <c r="Z763"/>
    </row>
    <row r="764" spans="1:26" x14ac:dyDescent="0.25">
      <c r="A764" s="159" t="str">
        <f t="shared" si="34"/>
        <v>CR-Redwood City and Menlo Park-Palo Alto and Los Altos-Shopping</v>
      </c>
      <c r="B764">
        <v>7</v>
      </c>
      <c r="C764" t="str">
        <f t="shared" si="35"/>
        <v>Redwood City and Menlo Park</v>
      </c>
      <c r="D764">
        <v>8</v>
      </c>
      <c r="E764" t="str">
        <f t="shared" si="35"/>
        <v>Palo Alto and Los Altos</v>
      </c>
      <c r="F764" t="s">
        <v>106</v>
      </c>
      <c r="G764">
        <f t="shared" si="33"/>
        <v>4</v>
      </c>
      <c r="H764" t="s">
        <v>125</v>
      </c>
      <c r="I764" t="s">
        <v>178</v>
      </c>
      <c r="J764">
        <v>1</v>
      </c>
      <c r="K764">
        <v>25.1469534050179</v>
      </c>
      <c r="Z764"/>
    </row>
    <row r="765" spans="1:26" x14ac:dyDescent="0.25">
      <c r="A765" s="159" t="str">
        <f t="shared" si="34"/>
        <v>LB-Redwood City and Menlo Park-Palo Alto and Los Altos-Shopping</v>
      </c>
      <c r="B765">
        <v>7</v>
      </c>
      <c r="C765" t="str">
        <f t="shared" si="35"/>
        <v>Redwood City and Menlo Park</v>
      </c>
      <c r="D765">
        <v>8</v>
      </c>
      <c r="E765" t="str">
        <f t="shared" si="35"/>
        <v>Palo Alto and Los Altos</v>
      </c>
      <c r="F765" t="s">
        <v>106</v>
      </c>
      <c r="G765">
        <f t="shared" si="33"/>
        <v>4</v>
      </c>
      <c r="H765" t="s">
        <v>359</v>
      </c>
      <c r="I765" t="s">
        <v>191</v>
      </c>
      <c r="J765">
        <v>1</v>
      </c>
      <c r="K765">
        <v>131.13605442176899</v>
      </c>
      <c r="Z765"/>
    </row>
    <row r="766" spans="1:26" x14ac:dyDescent="0.25">
      <c r="A766" s="159" t="str">
        <f t="shared" si="34"/>
        <v>CR-Redwood City and Menlo Park-Palo Alto and Los Altos-Work</v>
      </c>
      <c r="B766">
        <v>7</v>
      </c>
      <c r="C766" t="str">
        <f t="shared" si="35"/>
        <v>Redwood City and Menlo Park</v>
      </c>
      <c r="D766">
        <v>8</v>
      </c>
      <c r="E766" t="str">
        <f t="shared" si="35"/>
        <v>Palo Alto and Los Altos</v>
      </c>
      <c r="F766" t="s">
        <v>30</v>
      </c>
      <c r="G766">
        <f t="shared" si="33"/>
        <v>1</v>
      </c>
      <c r="H766" t="s">
        <v>125</v>
      </c>
      <c r="I766" t="s">
        <v>178</v>
      </c>
      <c r="J766">
        <v>9</v>
      </c>
      <c r="K766">
        <v>210.87457627118599</v>
      </c>
      <c r="Z766"/>
    </row>
    <row r="767" spans="1:26" x14ac:dyDescent="0.25">
      <c r="A767" s="159" t="str">
        <f t="shared" si="34"/>
        <v>EB-Redwood City and Menlo Park-Palo Alto and Los Altos-Work</v>
      </c>
      <c r="B767">
        <v>7</v>
      </c>
      <c r="C767" t="str">
        <f t="shared" si="35"/>
        <v>Redwood City and Menlo Park</v>
      </c>
      <c r="D767">
        <v>8</v>
      </c>
      <c r="E767" t="str">
        <f t="shared" si="35"/>
        <v>Palo Alto and Los Altos</v>
      </c>
      <c r="F767" t="s">
        <v>30</v>
      </c>
      <c r="G767">
        <f t="shared" si="33"/>
        <v>1</v>
      </c>
      <c r="H767" t="s">
        <v>123</v>
      </c>
      <c r="I767" t="s">
        <v>182</v>
      </c>
      <c r="J767">
        <v>8</v>
      </c>
      <c r="K767">
        <v>102.86853177452601</v>
      </c>
      <c r="Z767"/>
    </row>
    <row r="768" spans="1:26" x14ac:dyDescent="0.25">
      <c r="A768" s="159" t="str">
        <f t="shared" si="34"/>
        <v>LB-Redwood City and Menlo Park-Palo Alto and Los Altos-Work</v>
      </c>
      <c r="B768">
        <v>7</v>
      </c>
      <c r="C768" t="str">
        <f t="shared" si="35"/>
        <v>Redwood City and Menlo Park</v>
      </c>
      <c r="D768">
        <v>8</v>
      </c>
      <c r="E768" t="str">
        <f t="shared" si="35"/>
        <v>Palo Alto and Los Altos</v>
      </c>
      <c r="F768" t="s">
        <v>30</v>
      </c>
      <c r="G768">
        <f t="shared" si="33"/>
        <v>1</v>
      </c>
      <c r="H768" t="s">
        <v>359</v>
      </c>
      <c r="I768" t="s">
        <v>191</v>
      </c>
      <c r="J768">
        <v>10</v>
      </c>
      <c r="K768">
        <v>393.488914819135</v>
      </c>
      <c r="Z768"/>
    </row>
    <row r="769" spans="1:26" x14ac:dyDescent="0.25">
      <c r="A769" s="159" t="str">
        <f t="shared" si="34"/>
        <v>CR-Redwood City and Menlo Park-Sunnyvale and Mountain View-High school</v>
      </c>
      <c r="B769">
        <v>7</v>
      </c>
      <c r="C769" t="str">
        <f t="shared" si="35"/>
        <v>Redwood City and Menlo Park</v>
      </c>
      <c r="D769">
        <v>9</v>
      </c>
      <c r="E769" t="str">
        <f t="shared" si="35"/>
        <v>Sunnyvale and Mountain View</v>
      </c>
      <c r="F769" t="s">
        <v>326</v>
      </c>
      <c r="G769">
        <f t="shared" si="33"/>
        <v>3</v>
      </c>
      <c r="H769" t="s">
        <v>125</v>
      </c>
      <c r="I769" t="s">
        <v>178</v>
      </c>
      <c r="J769">
        <v>2</v>
      </c>
      <c r="K769">
        <v>48.577461879594097</v>
      </c>
      <c r="Z769"/>
    </row>
    <row r="770" spans="1:26" x14ac:dyDescent="0.25">
      <c r="A770" s="159" t="str">
        <f t="shared" si="34"/>
        <v>LB-Redwood City and Menlo Park-Sunnyvale and Mountain View-Missing</v>
      </c>
      <c r="B770">
        <v>7</v>
      </c>
      <c r="C770" t="str">
        <f t="shared" si="35"/>
        <v>Redwood City and Menlo Park</v>
      </c>
      <c r="D770">
        <v>9</v>
      </c>
      <c r="E770" t="str">
        <f t="shared" si="35"/>
        <v>Sunnyvale and Mountain View</v>
      </c>
      <c r="F770" t="s">
        <v>327</v>
      </c>
      <c r="G770">
        <f t="shared" ref="G770:G833" si="36">VLOOKUP(F770,$V$2:$X$10, 3,FALSE)</f>
        <v>0</v>
      </c>
      <c r="H770" t="s">
        <v>359</v>
      </c>
      <c r="I770" t="s">
        <v>191</v>
      </c>
      <c r="J770">
        <v>1</v>
      </c>
      <c r="K770">
        <v>185.366795366795</v>
      </c>
      <c r="Z770"/>
    </row>
    <row r="771" spans="1:26" x14ac:dyDescent="0.25">
      <c r="A771" s="159" t="str">
        <f t="shared" ref="A771:A834" si="37" xml:space="preserve"> CONCATENATE(I771,"-",C771, "-",E771, "-",F771,)</f>
        <v>CR-Redwood City and Menlo Park-Sunnyvale and Mountain View-Other maintenance</v>
      </c>
      <c r="B771">
        <v>7</v>
      </c>
      <c r="C771" t="str">
        <f t="shared" ref="C771:E834" si="38">VLOOKUP(B771,$S$2:$T$35,2,FALSE)</f>
        <v>Redwood City and Menlo Park</v>
      </c>
      <c r="D771">
        <v>9</v>
      </c>
      <c r="E771" t="str">
        <f t="shared" si="38"/>
        <v>Sunnyvale and Mountain View</v>
      </c>
      <c r="F771" t="s">
        <v>325</v>
      </c>
      <c r="G771">
        <f t="shared" si="36"/>
        <v>4</v>
      </c>
      <c r="H771" t="s">
        <v>125</v>
      </c>
      <c r="I771" t="s">
        <v>178</v>
      </c>
      <c r="J771">
        <v>1</v>
      </c>
      <c r="K771">
        <v>25.1469534050179</v>
      </c>
      <c r="Z771"/>
    </row>
    <row r="772" spans="1:26" x14ac:dyDescent="0.25">
      <c r="A772" s="159" t="str">
        <f t="shared" si="37"/>
        <v>CR-Redwood City and Menlo Park-Sunnyvale and Mountain View-Social recreation</v>
      </c>
      <c r="B772">
        <v>7</v>
      </c>
      <c r="C772" t="str">
        <f t="shared" si="38"/>
        <v>Redwood City and Menlo Park</v>
      </c>
      <c r="D772">
        <v>9</v>
      </c>
      <c r="E772" t="str">
        <f t="shared" si="38"/>
        <v>Sunnyvale and Mountain View</v>
      </c>
      <c r="F772" t="s">
        <v>324</v>
      </c>
      <c r="G772">
        <f t="shared" si="36"/>
        <v>5</v>
      </c>
      <c r="H772" t="s">
        <v>125</v>
      </c>
      <c r="I772" t="s">
        <v>178</v>
      </c>
      <c r="J772">
        <v>2</v>
      </c>
      <c r="K772">
        <v>50.2939068100358</v>
      </c>
      <c r="Z772"/>
    </row>
    <row r="773" spans="1:26" x14ac:dyDescent="0.25">
      <c r="A773" s="159" t="str">
        <f t="shared" si="37"/>
        <v>CR-Redwood City and Menlo Park-Sunnyvale and Mountain View-Work</v>
      </c>
      <c r="B773">
        <v>7</v>
      </c>
      <c r="C773" t="str">
        <f t="shared" si="38"/>
        <v>Redwood City and Menlo Park</v>
      </c>
      <c r="D773">
        <v>9</v>
      </c>
      <c r="E773" t="str">
        <f t="shared" si="38"/>
        <v>Sunnyvale and Mountain View</v>
      </c>
      <c r="F773" t="s">
        <v>30</v>
      </c>
      <c r="G773">
        <f t="shared" si="36"/>
        <v>1</v>
      </c>
      <c r="H773" t="s">
        <v>125</v>
      </c>
      <c r="I773" t="s">
        <v>178</v>
      </c>
      <c r="J773">
        <v>5</v>
      </c>
      <c r="K773">
        <v>117.152542372881</v>
      </c>
      <c r="Z773"/>
    </row>
    <row r="774" spans="1:26" x14ac:dyDescent="0.25">
      <c r="A774" s="159" t="str">
        <f t="shared" si="37"/>
        <v>LR-Redwood City and Menlo Park-Sunnyvale and Mountain View-Work</v>
      </c>
      <c r="B774">
        <v>7</v>
      </c>
      <c r="C774" t="str">
        <f t="shared" si="38"/>
        <v>Redwood City and Menlo Park</v>
      </c>
      <c r="D774">
        <v>9</v>
      </c>
      <c r="E774" t="str">
        <f t="shared" si="38"/>
        <v>Sunnyvale and Mountain View</v>
      </c>
      <c r="F774" t="s">
        <v>30</v>
      </c>
      <c r="G774">
        <f t="shared" si="36"/>
        <v>1</v>
      </c>
      <c r="H774" t="s">
        <v>353</v>
      </c>
      <c r="I774" t="s">
        <v>194</v>
      </c>
      <c r="J774">
        <v>2</v>
      </c>
      <c r="K774">
        <v>125.293546148508</v>
      </c>
      <c r="Z774"/>
    </row>
    <row r="775" spans="1:26" x14ac:dyDescent="0.25">
      <c r="A775" s="159" t="str">
        <f t="shared" si="37"/>
        <v>LB-Redwood City and Menlo Park-Sunnyvale and Mountain View-Work</v>
      </c>
      <c r="B775">
        <v>7</v>
      </c>
      <c r="C775" t="str">
        <f t="shared" si="38"/>
        <v>Redwood City and Menlo Park</v>
      </c>
      <c r="D775">
        <v>9</v>
      </c>
      <c r="E775" t="str">
        <f t="shared" si="38"/>
        <v>Sunnyvale and Mountain View</v>
      </c>
      <c r="F775" t="s">
        <v>30</v>
      </c>
      <c r="G775">
        <f t="shared" si="36"/>
        <v>1</v>
      </c>
      <c r="H775" t="s">
        <v>359</v>
      </c>
      <c r="I775" t="s">
        <v>191</v>
      </c>
      <c r="J775">
        <v>2</v>
      </c>
      <c r="K775">
        <v>125.293546148508</v>
      </c>
      <c r="Z775"/>
    </row>
    <row r="776" spans="1:26" x14ac:dyDescent="0.25">
      <c r="A776" s="159" t="str">
        <f t="shared" si="37"/>
        <v>LB-Redwood City and Menlo Park-Cupertino and Saratoga-High school</v>
      </c>
      <c r="B776">
        <v>7</v>
      </c>
      <c r="C776" t="str">
        <f t="shared" si="38"/>
        <v>Redwood City and Menlo Park</v>
      </c>
      <c r="D776">
        <v>10</v>
      </c>
      <c r="E776" t="str">
        <f t="shared" si="38"/>
        <v>Cupertino and Saratoga</v>
      </c>
      <c r="F776" t="s">
        <v>326</v>
      </c>
      <c r="G776">
        <f t="shared" si="36"/>
        <v>3</v>
      </c>
      <c r="H776" t="s">
        <v>359</v>
      </c>
      <c r="I776" t="s">
        <v>191</v>
      </c>
      <c r="J776">
        <v>1</v>
      </c>
      <c r="K776">
        <v>62.646773074254</v>
      </c>
      <c r="Z776"/>
    </row>
    <row r="777" spans="1:26" x14ac:dyDescent="0.25">
      <c r="A777" s="159" t="str">
        <f t="shared" si="37"/>
        <v>EB-Redwood City and Menlo Park-Cupertino and Saratoga-Work</v>
      </c>
      <c r="B777">
        <v>7</v>
      </c>
      <c r="C777" t="str">
        <f t="shared" si="38"/>
        <v>Redwood City and Menlo Park</v>
      </c>
      <c r="D777">
        <v>10</v>
      </c>
      <c r="E777" t="str">
        <f t="shared" si="38"/>
        <v>Cupertino and Saratoga</v>
      </c>
      <c r="F777" t="s">
        <v>30</v>
      </c>
      <c r="G777">
        <f t="shared" si="36"/>
        <v>1</v>
      </c>
      <c r="H777" t="s">
        <v>123</v>
      </c>
      <c r="I777" t="s">
        <v>182</v>
      </c>
      <c r="J777">
        <v>1</v>
      </c>
      <c r="K777">
        <v>3.8990384615384599</v>
      </c>
      <c r="Z777"/>
    </row>
    <row r="778" spans="1:26" x14ac:dyDescent="0.25">
      <c r="A778" s="159" t="str">
        <f t="shared" si="37"/>
        <v>LB-Redwood City and Menlo Park-Cupertino and Saratoga-Work</v>
      </c>
      <c r="B778">
        <v>7</v>
      </c>
      <c r="C778" t="str">
        <f t="shared" si="38"/>
        <v>Redwood City and Menlo Park</v>
      </c>
      <c r="D778">
        <v>10</v>
      </c>
      <c r="E778" t="str">
        <f t="shared" si="38"/>
        <v>Cupertino and Saratoga</v>
      </c>
      <c r="F778" t="s">
        <v>30</v>
      </c>
      <c r="G778">
        <f t="shared" si="36"/>
        <v>1</v>
      </c>
      <c r="H778" t="s">
        <v>359</v>
      </c>
      <c r="I778" t="s">
        <v>191</v>
      </c>
      <c r="J778">
        <v>2</v>
      </c>
      <c r="K778">
        <v>78.697782963827194</v>
      </c>
      <c r="Z778"/>
    </row>
    <row r="779" spans="1:26" x14ac:dyDescent="0.25">
      <c r="A779" s="159" t="str">
        <f t="shared" si="37"/>
        <v>CR-Redwood City and Menlo Park-Central San Jose-High school</v>
      </c>
      <c r="B779">
        <v>7</v>
      </c>
      <c r="C779" t="str">
        <f t="shared" si="38"/>
        <v>Redwood City and Menlo Park</v>
      </c>
      <c r="D779">
        <v>11</v>
      </c>
      <c r="E779" t="str">
        <f t="shared" si="38"/>
        <v>Central San Jose</v>
      </c>
      <c r="F779" t="s">
        <v>326</v>
      </c>
      <c r="G779">
        <f t="shared" si="36"/>
        <v>3</v>
      </c>
      <c r="H779" t="s">
        <v>125</v>
      </c>
      <c r="I779" t="s">
        <v>178</v>
      </c>
      <c r="J779">
        <v>3</v>
      </c>
      <c r="K779">
        <v>70.291525423728899</v>
      </c>
      <c r="Z779"/>
    </row>
    <row r="780" spans="1:26" x14ac:dyDescent="0.25">
      <c r="A780" s="159" t="str">
        <f t="shared" si="37"/>
        <v>CR-Redwood City and Menlo Park-Central San Jose-Social recreation</v>
      </c>
      <c r="B780">
        <v>7</v>
      </c>
      <c r="C780" t="str">
        <f t="shared" si="38"/>
        <v>Redwood City and Menlo Park</v>
      </c>
      <c r="D780">
        <v>11</v>
      </c>
      <c r="E780" t="str">
        <f t="shared" si="38"/>
        <v>Central San Jose</v>
      </c>
      <c r="F780" t="s">
        <v>324</v>
      </c>
      <c r="G780">
        <f t="shared" si="36"/>
        <v>5</v>
      </c>
      <c r="H780" t="s">
        <v>125</v>
      </c>
      <c r="I780" t="s">
        <v>178</v>
      </c>
      <c r="J780">
        <v>2</v>
      </c>
      <c r="K780">
        <v>50.2939068100358</v>
      </c>
      <c r="Z780"/>
    </row>
    <row r="781" spans="1:26" x14ac:dyDescent="0.25">
      <c r="A781" s="159" t="str">
        <f t="shared" si="37"/>
        <v>LB-Redwood City and Menlo Park-Central San Jose-Social recreation</v>
      </c>
      <c r="B781">
        <v>7</v>
      </c>
      <c r="C781" t="str">
        <f t="shared" si="38"/>
        <v>Redwood City and Menlo Park</v>
      </c>
      <c r="D781">
        <v>11</v>
      </c>
      <c r="E781" t="str">
        <f t="shared" si="38"/>
        <v>Central San Jose</v>
      </c>
      <c r="F781" t="s">
        <v>324</v>
      </c>
      <c r="G781">
        <f t="shared" si="36"/>
        <v>5</v>
      </c>
      <c r="H781" t="s">
        <v>359</v>
      </c>
      <c r="I781" t="s">
        <v>191</v>
      </c>
      <c r="J781">
        <v>2</v>
      </c>
      <c r="K781">
        <v>248.01356844104899</v>
      </c>
      <c r="Z781"/>
    </row>
    <row r="782" spans="1:26" x14ac:dyDescent="0.25">
      <c r="A782" s="159" t="str">
        <f t="shared" si="37"/>
        <v>CR-Redwood City and Menlo Park-Central San Jose-Work</v>
      </c>
      <c r="B782">
        <v>7</v>
      </c>
      <c r="C782" t="str">
        <f t="shared" si="38"/>
        <v>Redwood City and Menlo Park</v>
      </c>
      <c r="D782">
        <v>11</v>
      </c>
      <c r="E782" t="str">
        <f t="shared" si="38"/>
        <v>Central San Jose</v>
      </c>
      <c r="F782" t="s">
        <v>30</v>
      </c>
      <c r="G782">
        <f t="shared" si="36"/>
        <v>1</v>
      </c>
      <c r="H782" t="s">
        <v>125</v>
      </c>
      <c r="I782" t="s">
        <v>178</v>
      </c>
      <c r="J782">
        <v>8</v>
      </c>
      <c r="K782">
        <v>187.44406779661</v>
      </c>
      <c r="Z782"/>
    </row>
    <row r="783" spans="1:26" x14ac:dyDescent="0.25">
      <c r="A783" s="159" t="str">
        <f t="shared" si="37"/>
        <v>CR-Redwood City and Menlo Park-Milpitas and East San Jose-Work</v>
      </c>
      <c r="B783">
        <v>7</v>
      </c>
      <c r="C783" t="str">
        <f t="shared" si="38"/>
        <v>Redwood City and Menlo Park</v>
      </c>
      <c r="D783">
        <v>12</v>
      </c>
      <c r="E783" t="str">
        <f t="shared" si="38"/>
        <v>Milpitas and East San Jose</v>
      </c>
      <c r="F783" t="s">
        <v>30</v>
      </c>
      <c r="G783">
        <f t="shared" si="36"/>
        <v>1</v>
      </c>
      <c r="H783" t="s">
        <v>125</v>
      </c>
      <c r="I783" t="s">
        <v>178</v>
      </c>
      <c r="J783">
        <v>3</v>
      </c>
      <c r="K783">
        <v>70.291525423728899</v>
      </c>
      <c r="Z783"/>
    </row>
    <row r="784" spans="1:26" x14ac:dyDescent="0.25">
      <c r="A784" s="159" t="str">
        <f t="shared" si="37"/>
        <v>CR-Redwood City and Menlo Park-South San Jose-Work</v>
      </c>
      <c r="B784">
        <v>7</v>
      </c>
      <c r="C784" t="str">
        <f t="shared" si="38"/>
        <v>Redwood City and Menlo Park</v>
      </c>
      <c r="D784">
        <v>13</v>
      </c>
      <c r="E784" t="str">
        <f t="shared" si="38"/>
        <v>South San Jose</v>
      </c>
      <c r="F784" t="s">
        <v>30</v>
      </c>
      <c r="G784">
        <f t="shared" si="36"/>
        <v>1</v>
      </c>
      <c r="H784" t="s">
        <v>125</v>
      </c>
      <c r="I784" t="s">
        <v>178</v>
      </c>
      <c r="J784">
        <v>1</v>
      </c>
      <c r="K784">
        <v>23.4305084745763</v>
      </c>
      <c r="Z784"/>
    </row>
    <row r="785" spans="1:26" x14ac:dyDescent="0.25">
      <c r="A785" s="159" t="str">
        <f t="shared" si="37"/>
        <v>EB-Redwood City and Menlo Park-Fremont and Union City-High school</v>
      </c>
      <c r="B785">
        <v>7</v>
      </c>
      <c r="C785" t="str">
        <f t="shared" si="38"/>
        <v>Redwood City and Menlo Park</v>
      </c>
      <c r="D785">
        <v>16</v>
      </c>
      <c r="E785" t="str">
        <f t="shared" si="38"/>
        <v>Fremont and Union City</v>
      </c>
      <c r="F785" t="s">
        <v>326</v>
      </c>
      <c r="G785">
        <f t="shared" si="36"/>
        <v>3</v>
      </c>
      <c r="H785" t="s">
        <v>123</v>
      </c>
      <c r="I785" t="s">
        <v>182</v>
      </c>
      <c r="J785">
        <v>1</v>
      </c>
      <c r="K785">
        <v>3.8990384615384599</v>
      </c>
      <c r="Z785"/>
    </row>
    <row r="786" spans="1:26" x14ac:dyDescent="0.25">
      <c r="A786" s="159" t="str">
        <f t="shared" si="37"/>
        <v>EB-Redwood City and Menlo Park-Fremont and Union City-Missing</v>
      </c>
      <c r="B786">
        <v>7</v>
      </c>
      <c r="C786" t="str">
        <f t="shared" si="38"/>
        <v>Redwood City and Menlo Park</v>
      </c>
      <c r="D786">
        <v>16</v>
      </c>
      <c r="E786" t="str">
        <f t="shared" si="38"/>
        <v>Fremont and Union City</v>
      </c>
      <c r="F786" t="s">
        <v>327</v>
      </c>
      <c r="G786">
        <f t="shared" si="36"/>
        <v>0</v>
      </c>
      <c r="H786" t="s">
        <v>123</v>
      </c>
      <c r="I786" t="s">
        <v>182</v>
      </c>
      <c r="J786">
        <v>2</v>
      </c>
      <c r="K786">
        <v>7.7980769230769198</v>
      </c>
      <c r="Z786"/>
    </row>
    <row r="787" spans="1:26" x14ac:dyDescent="0.25">
      <c r="A787" s="159" t="str">
        <f t="shared" si="37"/>
        <v>EB-Redwood City and Menlo Park-Fremont and Union City-Work</v>
      </c>
      <c r="B787">
        <v>7</v>
      </c>
      <c r="C787" t="str">
        <f t="shared" si="38"/>
        <v>Redwood City and Menlo Park</v>
      </c>
      <c r="D787">
        <v>16</v>
      </c>
      <c r="E787" t="str">
        <f t="shared" si="38"/>
        <v>Fremont and Union City</v>
      </c>
      <c r="F787" t="s">
        <v>30</v>
      </c>
      <c r="G787">
        <f t="shared" si="36"/>
        <v>1</v>
      </c>
      <c r="H787" t="s">
        <v>123</v>
      </c>
      <c r="I787" t="s">
        <v>182</v>
      </c>
      <c r="J787">
        <v>6</v>
      </c>
      <c r="K787">
        <v>23.394230769230699</v>
      </c>
      <c r="Z787"/>
    </row>
    <row r="788" spans="1:26" x14ac:dyDescent="0.25">
      <c r="A788" s="159" t="str">
        <f t="shared" si="37"/>
        <v>LB-Redwood City and Menlo Park-Fremont and Union City-Work</v>
      </c>
      <c r="B788">
        <v>7</v>
      </c>
      <c r="C788" t="str">
        <f t="shared" si="38"/>
        <v>Redwood City and Menlo Park</v>
      </c>
      <c r="D788">
        <v>16</v>
      </c>
      <c r="E788" t="str">
        <f t="shared" si="38"/>
        <v>Fremont and Union City</v>
      </c>
      <c r="F788" t="s">
        <v>30</v>
      </c>
      <c r="G788">
        <f t="shared" si="36"/>
        <v>1</v>
      </c>
      <c r="H788" t="s">
        <v>359</v>
      </c>
      <c r="I788" t="s">
        <v>191</v>
      </c>
      <c r="J788">
        <v>1</v>
      </c>
      <c r="K788">
        <v>6.2608695652173898</v>
      </c>
      <c r="Z788"/>
    </row>
    <row r="789" spans="1:26" x14ac:dyDescent="0.25">
      <c r="A789" s="159" t="str">
        <f t="shared" si="37"/>
        <v>EB-Redwood City and Menlo Park-Hayward and San Leandro-High school</v>
      </c>
      <c r="B789">
        <v>7</v>
      </c>
      <c r="C789" t="str">
        <f t="shared" si="38"/>
        <v>Redwood City and Menlo Park</v>
      </c>
      <c r="D789">
        <v>17</v>
      </c>
      <c r="E789" t="str">
        <f t="shared" si="38"/>
        <v>Hayward and San Leandro</v>
      </c>
      <c r="F789" t="s">
        <v>326</v>
      </c>
      <c r="G789">
        <f t="shared" si="36"/>
        <v>3</v>
      </c>
      <c r="H789" t="s">
        <v>123</v>
      </c>
      <c r="I789" t="s">
        <v>182</v>
      </c>
      <c r="J789">
        <v>1</v>
      </c>
      <c r="K789">
        <v>3.8990384615384599</v>
      </c>
      <c r="Z789"/>
    </row>
    <row r="790" spans="1:26" x14ac:dyDescent="0.25">
      <c r="A790" s="159" t="str">
        <f t="shared" si="37"/>
        <v>EB-Redwood City and Menlo Park-Hayward and San Leandro-Other maintenance</v>
      </c>
      <c r="B790">
        <v>7</v>
      </c>
      <c r="C790" t="str">
        <f t="shared" si="38"/>
        <v>Redwood City and Menlo Park</v>
      </c>
      <c r="D790">
        <v>17</v>
      </c>
      <c r="E790" t="str">
        <f t="shared" si="38"/>
        <v>Hayward and San Leandro</v>
      </c>
      <c r="F790" t="s">
        <v>325</v>
      </c>
      <c r="G790">
        <f t="shared" si="36"/>
        <v>4</v>
      </c>
      <c r="H790" t="s">
        <v>123</v>
      </c>
      <c r="I790" t="s">
        <v>182</v>
      </c>
      <c r="J790">
        <v>1</v>
      </c>
      <c r="K790">
        <v>3.8990384615384599</v>
      </c>
      <c r="Z790"/>
    </row>
    <row r="791" spans="1:26" x14ac:dyDescent="0.25">
      <c r="A791" s="159" t="str">
        <f t="shared" si="37"/>
        <v>CR-Redwood City and Menlo Park-Oakland and Alameda-Social recreation</v>
      </c>
      <c r="B791">
        <v>7</v>
      </c>
      <c r="C791" t="str">
        <f t="shared" si="38"/>
        <v>Redwood City and Menlo Park</v>
      </c>
      <c r="D791">
        <v>18</v>
      </c>
      <c r="E791" t="str">
        <f t="shared" si="38"/>
        <v>Oakland and Alameda</v>
      </c>
      <c r="F791" t="s">
        <v>324</v>
      </c>
      <c r="G791">
        <f t="shared" si="36"/>
        <v>5</v>
      </c>
      <c r="H791" t="s">
        <v>125</v>
      </c>
      <c r="I791" t="s">
        <v>178</v>
      </c>
      <c r="J791">
        <v>1</v>
      </c>
      <c r="K791">
        <v>25.1469534050179</v>
      </c>
      <c r="Z791"/>
    </row>
    <row r="792" spans="1:26" x14ac:dyDescent="0.25">
      <c r="A792" s="159" t="str">
        <f t="shared" si="37"/>
        <v>LB-Redwood City and Menlo Park-Oakland and Alameda-Social recreation</v>
      </c>
      <c r="B792">
        <v>7</v>
      </c>
      <c r="C792" t="str">
        <f t="shared" si="38"/>
        <v>Redwood City and Menlo Park</v>
      </c>
      <c r="D792">
        <v>18</v>
      </c>
      <c r="E792" t="str">
        <f t="shared" si="38"/>
        <v>Oakland and Alameda</v>
      </c>
      <c r="F792" t="s">
        <v>324</v>
      </c>
      <c r="G792">
        <f t="shared" si="36"/>
        <v>5</v>
      </c>
      <c r="H792" t="s">
        <v>359</v>
      </c>
      <c r="I792" t="s">
        <v>191</v>
      </c>
      <c r="J792">
        <v>1</v>
      </c>
      <c r="K792">
        <v>39.348891481913597</v>
      </c>
      <c r="Z792"/>
    </row>
    <row r="793" spans="1:26" x14ac:dyDescent="0.25">
      <c r="A793" s="159" t="str">
        <f t="shared" si="37"/>
        <v>EB-Redwood City and Menlo Park-Oakland and Alameda-Work</v>
      </c>
      <c r="B793">
        <v>7</v>
      </c>
      <c r="C793" t="str">
        <f t="shared" si="38"/>
        <v>Redwood City and Menlo Park</v>
      </c>
      <c r="D793">
        <v>18</v>
      </c>
      <c r="E793" t="str">
        <f t="shared" si="38"/>
        <v>Oakland and Alameda</v>
      </c>
      <c r="F793" t="s">
        <v>30</v>
      </c>
      <c r="G793">
        <f t="shared" si="36"/>
        <v>1</v>
      </c>
      <c r="H793" t="s">
        <v>123</v>
      </c>
      <c r="I793" t="s">
        <v>182</v>
      </c>
      <c r="J793">
        <v>1</v>
      </c>
      <c r="K793">
        <v>3.8990384615384599</v>
      </c>
      <c r="Z793"/>
    </row>
    <row r="794" spans="1:26" x14ac:dyDescent="0.25">
      <c r="A794" s="159" t="str">
        <f t="shared" si="37"/>
        <v>LB-Redwood City and Menlo Park-Oakland and Alameda-Work</v>
      </c>
      <c r="B794">
        <v>7</v>
      </c>
      <c r="C794" t="str">
        <f t="shared" si="38"/>
        <v>Redwood City and Menlo Park</v>
      </c>
      <c r="D794">
        <v>18</v>
      </c>
      <c r="E794" t="str">
        <f t="shared" si="38"/>
        <v>Oakland and Alameda</v>
      </c>
      <c r="F794" t="s">
        <v>30</v>
      </c>
      <c r="G794">
        <f t="shared" si="36"/>
        <v>1</v>
      </c>
      <c r="H794" t="s">
        <v>359</v>
      </c>
      <c r="I794" t="s">
        <v>191</v>
      </c>
      <c r="J794">
        <v>1</v>
      </c>
      <c r="K794">
        <v>39.348891481913597</v>
      </c>
      <c r="Z794"/>
    </row>
    <row r="795" spans="1:26" x14ac:dyDescent="0.25">
      <c r="A795" s="159" t="str">
        <f t="shared" si="37"/>
        <v>CR-Redwood City and Menlo Park-Richmond and El Cerrito-Social recreation</v>
      </c>
      <c r="B795">
        <v>7</v>
      </c>
      <c r="C795" t="str">
        <f t="shared" si="38"/>
        <v>Redwood City and Menlo Park</v>
      </c>
      <c r="D795">
        <v>20</v>
      </c>
      <c r="E795" t="str">
        <f t="shared" si="38"/>
        <v>Richmond and El Cerrito</v>
      </c>
      <c r="F795" t="s">
        <v>324</v>
      </c>
      <c r="G795">
        <f t="shared" si="36"/>
        <v>5</v>
      </c>
      <c r="H795" t="s">
        <v>125</v>
      </c>
      <c r="I795" t="s">
        <v>178</v>
      </c>
      <c r="J795">
        <v>1</v>
      </c>
      <c r="K795">
        <v>23.4305084745763</v>
      </c>
      <c r="Z795"/>
    </row>
    <row r="796" spans="1:26" x14ac:dyDescent="0.25">
      <c r="A796" s="159" t="str">
        <f t="shared" si="37"/>
        <v>CR-Palo Alto and Los Altos-Greater Downtown San Francisco-Missing</v>
      </c>
      <c r="B796">
        <v>8</v>
      </c>
      <c r="C796" t="str">
        <f t="shared" si="38"/>
        <v>Palo Alto and Los Altos</v>
      </c>
      <c r="D796">
        <v>1</v>
      </c>
      <c r="E796" t="str">
        <f t="shared" si="38"/>
        <v>Greater Downtown San Francisco</v>
      </c>
      <c r="F796" t="s">
        <v>327</v>
      </c>
      <c r="G796">
        <f t="shared" si="36"/>
        <v>0</v>
      </c>
      <c r="H796" t="s">
        <v>125</v>
      </c>
      <c r="I796" t="s">
        <v>178</v>
      </c>
      <c r="J796">
        <v>1</v>
      </c>
      <c r="K796">
        <v>23.4305084745763</v>
      </c>
      <c r="Z796"/>
    </row>
    <row r="797" spans="1:26" x14ac:dyDescent="0.25">
      <c r="A797" s="159" t="str">
        <f t="shared" si="37"/>
        <v>LB-Palo Alto and Los Altos-Greater Downtown San Francisco-Missing</v>
      </c>
      <c r="B797">
        <v>8</v>
      </c>
      <c r="C797" t="str">
        <f t="shared" si="38"/>
        <v>Palo Alto and Los Altos</v>
      </c>
      <c r="D797">
        <v>1</v>
      </c>
      <c r="E797" t="str">
        <f t="shared" si="38"/>
        <v>Greater Downtown San Francisco</v>
      </c>
      <c r="F797" t="s">
        <v>327</v>
      </c>
      <c r="G797">
        <f t="shared" si="36"/>
        <v>0</v>
      </c>
      <c r="H797" t="s">
        <v>359</v>
      </c>
      <c r="I797" t="s">
        <v>191</v>
      </c>
      <c r="J797">
        <v>1</v>
      </c>
      <c r="K797">
        <v>62.646773074254</v>
      </c>
      <c r="Z797"/>
    </row>
    <row r="798" spans="1:26" x14ac:dyDescent="0.25">
      <c r="A798" s="159" t="str">
        <f t="shared" si="37"/>
        <v>CR-Palo Alto and Los Altos-Greater Downtown San Francisco-Other maintenance</v>
      </c>
      <c r="B798">
        <v>8</v>
      </c>
      <c r="C798" t="str">
        <f t="shared" si="38"/>
        <v>Palo Alto and Los Altos</v>
      </c>
      <c r="D798">
        <v>1</v>
      </c>
      <c r="E798" t="str">
        <f t="shared" si="38"/>
        <v>Greater Downtown San Francisco</v>
      </c>
      <c r="F798" t="s">
        <v>325</v>
      </c>
      <c r="G798">
        <f t="shared" si="36"/>
        <v>4</v>
      </c>
      <c r="H798" t="s">
        <v>125</v>
      </c>
      <c r="I798" t="s">
        <v>178</v>
      </c>
      <c r="J798">
        <v>1</v>
      </c>
      <c r="K798">
        <v>23.4305084745763</v>
      </c>
      <c r="Z798"/>
    </row>
    <row r="799" spans="1:26" x14ac:dyDescent="0.25">
      <c r="A799" s="159" t="str">
        <f t="shared" si="37"/>
        <v>LB-Palo Alto and Los Altos-Greater Downtown San Francisco-Other maintenance</v>
      </c>
      <c r="B799">
        <v>8</v>
      </c>
      <c r="C799" t="str">
        <f t="shared" si="38"/>
        <v>Palo Alto and Los Altos</v>
      </c>
      <c r="D799">
        <v>1</v>
      </c>
      <c r="E799" t="str">
        <f t="shared" si="38"/>
        <v>Greater Downtown San Francisco</v>
      </c>
      <c r="F799" t="s">
        <v>325</v>
      </c>
      <c r="G799">
        <f t="shared" si="36"/>
        <v>4</v>
      </c>
      <c r="H799" t="s">
        <v>359</v>
      </c>
      <c r="I799" t="s">
        <v>191</v>
      </c>
      <c r="J799">
        <v>1</v>
      </c>
      <c r="K799">
        <v>62.646773074254</v>
      </c>
      <c r="Z799"/>
    </row>
    <row r="800" spans="1:26" x14ac:dyDescent="0.25">
      <c r="A800" s="159" t="str">
        <f t="shared" si="37"/>
        <v>CR-Palo Alto and Los Altos-Greater Downtown San Francisco-Social recreation</v>
      </c>
      <c r="B800">
        <v>8</v>
      </c>
      <c r="C800" t="str">
        <f t="shared" si="38"/>
        <v>Palo Alto and Los Altos</v>
      </c>
      <c r="D800">
        <v>1</v>
      </c>
      <c r="E800" t="str">
        <f t="shared" si="38"/>
        <v>Greater Downtown San Francisco</v>
      </c>
      <c r="F800" t="s">
        <v>324</v>
      </c>
      <c r="G800">
        <f t="shared" si="36"/>
        <v>5</v>
      </c>
      <c r="H800" t="s">
        <v>125</v>
      </c>
      <c r="I800" t="s">
        <v>178</v>
      </c>
      <c r="J800">
        <v>4</v>
      </c>
      <c r="K800">
        <v>93.722033898305199</v>
      </c>
      <c r="Z800"/>
    </row>
    <row r="801" spans="1:26" x14ac:dyDescent="0.25">
      <c r="A801" s="159" t="str">
        <f t="shared" si="37"/>
        <v>CR-Palo Alto and Los Altos-Greater Downtown San Francisco-Work</v>
      </c>
      <c r="B801">
        <v>8</v>
      </c>
      <c r="C801" t="str">
        <f t="shared" si="38"/>
        <v>Palo Alto and Los Altos</v>
      </c>
      <c r="D801">
        <v>1</v>
      </c>
      <c r="E801" t="str">
        <f t="shared" si="38"/>
        <v>Greater Downtown San Francisco</v>
      </c>
      <c r="F801" t="s">
        <v>30</v>
      </c>
      <c r="G801">
        <f t="shared" si="36"/>
        <v>1</v>
      </c>
      <c r="H801" t="s">
        <v>125</v>
      </c>
      <c r="I801" t="s">
        <v>178</v>
      </c>
      <c r="J801">
        <v>10</v>
      </c>
      <c r="K801">
        <v>234.305084745763</v>
      </c>
      <c r="Z801"/>
    </row>
    <row r="802" spans="1:26" x14ac:dyDescent="0.25">
      <c r="A802" s="159" t="str">
        <f t="shared" si="37"/>
        <v>CR-Palo Alto and Los Altos-San Francisco Richmond District-Social recreation</v>
      </c>
      <c r="B802">
        <v>8</v>
      </c>
      <c r="C802" t="str">
        <f t="shared" si="38"/>
        <v>Palo Alto and Los Altos</v>
      </c>
      <c r="D802">
        <v>2</v>
      </c>
      <c r="E802" t="str">
        <f t="shared" si="38"/>
        <v>San Francisco Richmond District</v>
      </c>
      <c r="F802" t="s">
        <v>324</v>
      </c>
      <c r="G802">
        <f t="shared" si="36"/>
        <v>5</v>
      </c>
      <c r="H802" t="s">
        <v>125</v>
      </c>
      <c r="I802" t="s">
        <v>178</v>
      </c>
      <c r="J802">
        <v>2</v>
      </c>
      <c r="K802">
        <v>50.2939068100358</v>
      </c>
      <c r="Z802"/>
    </row>
    <row r="803" spans="1:26" x14ac:dyDescent="0.25">
      <c r="A803" s="159" t="str">
        <f t="shared" si="37"/>
        <v>CR-Palo Alto and Los Altos-San Francisco Richmond District-Work</v>
      </c>
      <c r="B803">
        <v>8</v>
      </c>
      <c r="C803" t="str">
        <f t="shared" si="38"/>
        <v>Palo Alto and Los Altos</v>
      </c>
      <c r="D803">
        <v>2</v>
      </c>
      <c r="E803" t="str">
        <f t="shared" si="38"/>
        <v>San Francisco Richmond District</v>
      </c>
      <c r="F803" t="s">
        <v>30</v>
      </c>
      <c r="G803">
        <f t="shared" si="36"/>
        <v>1</v>
      </c>
      <c r="H803" t="s">
        <v>125</v>
      </c>
      <c r="I803" t="s">
        <v>178</v>
      </c>
      <c r="J803">
        <v>3</v>
      </c>
      <c r="K803">
        <v>70.291525423728899</v>
      </c>
      <c r="Z803"/>
    </row>
    <row r="804" spans="1:26" x14ac:dyDescent="0.25">
      <c r="A804" s="159" t="str">
        <f t="shared" si="37"/>
        <v>LB-Palo Alto and Los Altos-San Francisco Richmond District-Work</v>
      </c>
      <c r="B804">
        <v>8</v>
      </c>
      <c r="C804" t="str">
        <f t="shared" si="38"/>
        <v>Palo Alto and Los Altos</v>
      </c>
      <c r="D804">
        <v>2</v>
      </c>
      <c r="E804" t="str">
        <f t="shared" si="38"/>
        <v>San Francisco Richmond District</v>
      </c>
      <c r="F804" t="s">
        <v>30</v>
      </c>
      <c r="G804">
        <f t="shared" si="36"/>
        <v>1</v>
      </c>
      <c r="H804" t="s">
        <v>359</v>
      </c>
      <c r="I804" t="s">
        <v>191</v>
      </c>
      <c r="J804">
        <v>3</v>
      </c>
      <c r="K804">
        <v>411.42190087429498</v>
      </c>
      <c r="Z804"/>
    </row>
    <row r="805" spans="1:26" x14ac:dyDescent="0.25">
      <c r="A805" s="159" t="str">
        <f t="shared" si="37"/>
        <v>CR-Palo Alto and Los Altos-San Francisco Mission District-High school</v>
      </c>
      <c r="B805">
        <v>8</v>
      </c>
      <c r="C805" t="str">
        <f t="shared" si="38"/>
        <v>Palo Alto and Los Altos</v>
      </c>
      <c r="D805">
        <v>3</v>
      </c>
      <c r="E805" t="str">
        <f t="shared" si="38"/>
        <v>San Francisco Mission District</v>
      </c>
      <c r="F805" t="s">
        <v>326</v>
      </c>
      <c r="G805">
        <f t="shared" si="36"/>
        <v>3</v>
      </c>
      <c r="H805" t="s">
        <v>125</v>
      </c>
      <c r="I805" t="s">
        <v>178</v>
      </c>
      <c r="J805">
        <v>1</v>
      </c>
      <c r="K805">
        <v>23.4305084745763</v>
      </c>
      <c r="Z805"/>
    </row>
    <row r="806" spans="1:26" x14ac:dyDescent="0.25">
      <c r="A806" s="159" t="str">
        <f t="shared" si="37"/>
        <v>CR-Palo Alto and Los Altos-San Francisco Mission District-Missing</v>
      </c>
      <c r="B806">
        <v>8</v>
      </c>
      <c r="C806" t="str">
        <f t="shared" si="38"/>
        <v>Palo Alto and Los Altos</v>
      </c>
      <c r="D806">
        <v>3</v>
      </c>
      <c r="E806" t="str">
        <f t="shared" si="38"/>
        <v>San Francisco Mission District</v>
      </c>
      <c r="F806" t="s">
        <v>327</v>
      </c>
      <c r="G806">
        <f t="shared" si="36"/>
        <v>0</v>
      </c>
      <c r="H806" t="s">
        <v>125</v>
      </c>
      <c r="I806" t="s">
        <v>178</v>
      </c>
      <c r="J806">
        <v>2</v>
      </c>
      <c r="K806">
        <v>46.861016949152599</v>
      </c>
      <c r="Z806"/>
    </row>
    <row r="807" spans="1:26" x14ac:dyDescent="0.25">
      <c r="A807" s="159" t="str">
        <f t="shared" si="37"/>
        <v>CR-Palo Alto and Los Altos-San Francisco Mission District-Other maintenance</v>
      </c>
      <c r="B807">
        <v>8</v>
      </c>
      <c r="C807" t="str">
        <f t="shared" si="38"/>
        <v>Palo Alto and Los Altos</v>
      </c>
      <c r="D807">
        <v>3</v>
      </c>
      <c r="E807" t="str">
        <f t="shared" si="38"/>
        <v>San Francisco Mission District</v>
      </c>
      <c r="F807" t="s">
        <v>325</v>
      </c>
      <c r="G807">
        <f t="shared" si="36"/>
        <v>4</v>
      </c>
      <c r="H807" t="s">
        <v>125</v>
      </c>
      <c r="I807" t="s">
        <v>178</v>
      </c>
      <c r="J807">
        <v>1</v>
      </c>
      <c r="K807">
        <v>23.4305084745763</v>
      </c>
      <c r="Z807"/>
    </row>
    <row r="808" spans="1:26" x14ac:dyDescent="0.25">
      <c r="A808" s="159" t="str">
        <f t="shared" si="37"/>
        <v>CR-Palo Alto and Los Altos-San Francisco Mission District-Shopping</v>
      </c>
      <c r="B808">
        <v>8</v>
      </c>
      <c r="C808" t="str">
        <f t="shared" si="38"/>
        <v>Palo Alto and Los Altos</v>
      </c>
      <c r="D808">
        <v>3</v>
      </c>
      <c r="E808" t="str">
        <f t="shared" si="38"/>
        <v>San Francisco Mission District</v>
      </c>
      <c r="F808" t="s">
        <v>106</v>
      </c>
      <c r="G808">
        <f t="shared" si="36"/>
        <v>4</v>
      </c>
      <c r="H808" t="s">
        <v>125</v>
      </c>
      <c r="I808" t="s">
        <v>178</v>
      </c>
      <c r="J808">
        <v>1</v>
      </c>
      <c r="K808">
        <v>23.4305084745763</v>
      </c>
      <c r="Z808"/>
    </row>
    <row r="809" spans="1:26" x14ac:dyDescent="0.25">
      <c r="A809" s="159" t="str">
        <f t="shared" si="37"/>
        <v>CR-Palo Alto and Los Altos-San Francisco Mission District-Social recreation</v>
      </c>
      <c r="B809">
        <v>8</v>
      </c>
      <c r="C809" t="str">
        <f t="shared" si="38"/>
        <v>Palo Alto and Los Altos</v>
      </c>
      <c r="D809">
        <v>3</v>
      </c>
      <c r="E809" t="str">
        <f t="shared" si="38"/>
        <v>San Francisco Mission District</v>
      </c>
      <c r="F809" t="s">
        <v>324</v>
      </c>
      <c r="G809">
        <f t="shared" si="36"/>
        <v>5</v>
      </c>
      <c r="H809" t="s">
        <v>125</v>
      </c>
      <c r="I809" t="s">
        <v>178</v>
      </c>
      <c r="J809">
        <v>3</v>
      </c>
      <c r="K809">
        <v>73.724415284611993</v>
      </c>
      <c r="Z809"/>
    </row>
    <row r="810" spans="1:26" x14ac:dyDescent="0.25">
      <c r="A810" s="159" t="str">
        <f t="shared" si="37"/>
        <v>CR-Palo Alto and Los Altos-San Francisco Mission District-Work</v>
      </c>
      <c r="B810">
        <v>8</v>
      </c>
      <c r="C810" t="str">
        <f t="shared" si="38"/>
        <v>Palo Alto and Los Altos</v>
      </c>
      <c r="D810">
        <v>3</v>
      </c>
      <c r="E810" t="str">
        <f t="shared" si="38"/>
        <v>San Francisco Mission District</v>
      </c>
      <c r="F810" t="s">
        <v>30</v>
      </c>
      <c r="G810">
        <f t="shared" si="36"/>
        <v>1</v>
      </c>
      <c r="H810" t="s">
        <v>125</v>
      </c>
      <c r="I810" t="s">
        <v>178</v>
      </c>
      <c r="J810">
        <v>10</v>
      </c>
      <c r="K810">
        <v>234.305084745763</v>
      </c>
      <c r="Z810"/>
    </row>
    <row r="811" spans="1:26" x14ac:dyDescent="0.25">
      <c r="A811" s="159" t="str">
        <f t="shared" si="37"/>
        <v>CR-Palo Alto and Los Altos-San Francisco Sunset District-Missing</v>
      </c>
      <c r="B811">
        <v>8</v>
      </c>
      <c r="C811" t="str">
        <f t="shared" si="38"/>
        <v>Palo Alto and Los Altos</v>
      </c>
      <c r="D811">
        <v>4</v>
      </c>
      <c r="E811" t="str">
        <f t="shared" si="38"/>
        <v>San Francisco Sunset District</v>
      </c>
      <c r="F811" t="s">
        <v>327</v>
      </c>
      <c r="G811">
        <f t="shared" si="36"/>
        <v>0</v>
      </c>
      <c r="H811" t="s">
        <v>125</v>
      </c>
      <c r="I811" t="s">
        <v>178</v>
      </c>
      <c r="J811">
        <v>1</v>
      </c>
      <c r="K811">
        <v>23.4305084745763</v>
      </c>
      <c r="Z811"/>
    </row>
    <row r="812" spans="1:26" x14ac:dyDescent="0.25">
      <c r="A812" s="159" t="str">
        <f t="shared" si="37"/>
        <v>CR-Palo Alto and Los Altos-Daly City and San Bruno-High school</v>
      </c>
      <c r="B812">
        <v>8</v>
      </c>
      <c r="C812" t="str">
        <f t="shared" si="38"/>
        <v>Palo Alto and Los Altos</v>
      </c>
      <c r="D812">
        <v>5</v>
      </c>
      <c r="E812" t="str">
        <f t="shared" si="38"/>
        <v>Daly City and San Bruno</v>
      </c>
      <c r="F812" t="s">
        <v>326</v>
      </c>
      <c r="G812">
        <f t="shared" si="36"/>
        <v>3</v>
      </c>
      <c r="H812" t="s">
        <v>125</v>
      </c>
      <c r="I812" t="s">
        <v>178</v>
      </c>
      <c r="J812">
        <v>1</v>
      </c>
      <c r="K812">
        <v>23.4305084745763</v>
      </c>
      <c r="Z812"/>
    </row>
    <row r="813" spans="1:26" x14ac:dyDescent="0.25">
      <c r="A813" s="159" t="str">
        <f t="shared" si="37"/>
        <v>CR-Palo Alto and Los Altos-Daly City and San Bruno-Missing</v>
      </c>
      <c r="B813">
        <v>8</v>
      </c>
      <c r="C813" t="str">
        <f t="shared" si="38"/>
        <v>Palo Alto and Los Altos</v>
      </c>
      <c r="D813">
        <v>5</v>
      </c>
      <c r="E813" t="str">
        <f t="shared" si="38"/>
        <v>Daly City and San Bruno</v>
      </c>
      <c r="F813" t="s">
        <v>327</v>
      </c>
      <c r="G813">
        <f t="shared" si="36"/>
        <v>0</v>
      </c>
      <c r="H813" t="s">
        <v>125</v>
      </c>
      <c r="I813" t="s">
        <v>178</v>
      </c>
      <c r="J813">
        <v>1</v>
      </c>
      <c r="K813">
        <v>23.4305084745763</v>
      </c>
      <c r="Z813"/>
    </row>
    <row r="814" spans="1:26" x14ac:dyDescent="0.25">
      <c r="A814" s="159" t="str">
        <f t="shared" si="37"/>
        <v>LB-Palo Alto and Los Altos-Daly City and San Bruno-Missing</v>
      </c>
      <c r="B814">
        <v>8</v>
      </c>
      <c r="C814" t="str">
        <f t="shared" si="38"/>
        <v>Palo Alto and Los Altos</v>
      </c>
      <c r="D814">
        <v>5</v>
      </c>
      <c r="E814" t="str">
        <f t="shared" si="38"/>
        <v>Daly City and San Bruno</v>
      </c>
      <c r="F814" t="s">
        <v>327</v>
      </c>
      <c r="G814">
        <f t="shared" si="36"/>
        <v>0</v>
      </c>
      <c r="H814" t="s">
        <v>359</v>
      </c>
      <c r="I814" t="s">
        <v>191</v>
      </c>
      <c r="J814">
        <v>1</v>
      </c>
      <c r="K814">
        <v>39.348891481913597</v>
      </c>
      <c r="Z814"/>
    </row>
    <row r="815" spans="1:26" x14ac:dyDescent="0.25">
      <c r="A815" s="159" t="str">
        <f t="shared" si="37"/>
        <v>LB-Palo Alto and Los Altos-Daly City and San Bruno-Other maintenance</v>
      </c>
      <c r="B815">
        <v>8</v>
      </c>
      <c r="C815" t="str">
        <f t="shared" si="38"/>
        <v>Palo Alto and Los Altos</v>
      </c>
      <c r="D815">
        <v>5</v>
      </c>
      <c r="E815" t="str">
        <f t="shared" si="38"/>
        <v>Daly City and San Bruno</v>
      </c>
      <c r="F815" t="s">
        <v>325</v>
      </c>
      <c r="G815">
        <f t="shared" si="36"/>
        <v>4</v>
      </c>
      <c r="H815" t="s">
        <v>359</v>
      </c>
      <c r="I815" t="s">
        <v>191</v>
      </c>
      <c r="J815">
        <v>3</v>
      </c>
      <c r="K815">
        <v>209.83383738559601</v>
      </c>
      <c r="Z815"/>
    </row>
    <row r="816" spans="1:26" x14ac:dyDescent="0.25">
      <c r="A816" s="159" t="str">
        <f t="shared" si="37"/>
        <v>CR-Palo Alto and Los Altos-Daly City and San Bruno-Social recreation</v>
      </c>
      <c r="B816">
        <v>8</v>
      </c>
      <c r="C816" t="str">
        <f t="shared" si="38"/>
        <v>Palo Alto and Los Altos</v>
      </c>
      <c r="D816">
        <v>5</v>
      </c>
      <c r="E816" t="str">
        <f t="shared" si="38"/>
        <v>Daly City and San Bruno</v>
      </c>
      <c r="F816" t="s">
        <v>324</v>
      </c>
      <c r="G816">
        <f t="shared" si="36"/>
        <v>5</v>
      </c>
      <c r="H816" t="s">
        <v>125</v>
      </c>
      <c r="I816" t="s">
        <v>178</v>
      </c>
      <c r="J816">
        <v>8</v>
      </c>
      <c r="K816">
        <v>196.026292448818</v>
      </c>
      <c r="Z816"/>
    </row>
    <row r="817" spans="1:26" x14ac:dyDescent="0.25">
      <c r="A817" s="159" t="str">
        <f t="shared" si="37"/>
        <v>CR-Palo Alto and Los Altos-Daly City and San Bruno-Work</v>
      </c>
      <c r="B817">
        <v>8</v>
      </c>
      <c r="C817" t="str">
        <f t="shared" si="38"/>
        <v>Palo Alto and Los Altos</v>
      </c>
      <c r="D817">
        <v>5</v>
      </c>
      <c r="E817" t="str">
        <f t="shared" si="38"/>
        <v>Daly City and San Bruno</v>
      </c>
      <c r="F817" t="s">
        <v>30</v>
      </c>
      <c r="G817">
        <f t="shared" si="36"/>
        <v>1</v>
      </c>
      <c r="H817" t="s">
        <v>125</v>
      </c>
      <c r="I817" t="s">
        <v>178</v>
      </c>
      <c r="J817">
        <v>5</v>
      </c>
      <c r="K817">
        <v>117.152542372881</v>
      </c>
      <c r="Z817"/>
    </row>
    <row r="818" spans="1:26" x14ac:dyDescent="0.25">
      <c r="A818" s="159" t="str">
        <f t="shared" si="37"/>
        <v>LB-Palo Alto and Los Altos-Daly City and San Bruno-Work</v>
      </c>
      <c r="B818">
        <v>8</v>
      </c>
      <c r="C818" t="str">
        <f t="shared" si="38"/>
        <v>Palo Alto and Los Altos</v>
      </c>
      <c r="D818">
        <v>5</v>
      </c>
      <c r="E818" t="str">
        <f t="shared" si="38"/>
        <v>Daly City and San Bruno</v>
      </c>
      <c r="F818" t="s">
        <v>30</v>
      </c>
      <c r="G818">
        <f t="shared" si="36"/>
        <v>1</v>
      </c>
      <c r="H818" t="s">
        <v>359</v>
      </c>
      <c r="I818" t="s">
        <v>191</v>
      </c>
      <c r="J818">
        <v>1</v>
      </c>
      <c r="K818">
        <v>39.348891481913597</v>
      </c>
      <c r="Z818"/>
    </row>
    <row r="819" spans="1:26" x14ac:dyDescent="0.25">
      <c r="A819" s="159" t="str">
        <f t="shared" si="37"/>
        <v>CR-Palo Alto and Los Altos-San Mateo and Burlingame-High school</v>
      </c>
      <c r="B819">
        <v>8</v>
      </c>
      <c r="C819" t="str">
        <f t="shared" si="38"/>
        <v>Palo Alto and Los Altos</v>
      </c>
      <c r="D819">
        <v>6</v>
      </c>
      <c r="E819" t="str">
        <f t="shared" si="38"/>
        <v>San Mateo and Burlingame</v>
      </c>
      <c r="F819" t="s">
        <v>326</v>
      </c>
      <c r="G819">
        <f t="shared" si="36"/>
        <v>3</v>
      </c>
      <c r="H819" t="s">
        <v>125</v>
      </c>
      <c r="I819" t="s">
        <v>178</v>
      </c>
      <c r="J819">
        <v>1</v>
      </c>
      <c r="K819">
        <v>23.4305084745763</v>
      </c>
      <c r="Z819"/>
    </row>
    <row r="820" spans="1:26" x14ac:dyDescent="0.25">
      <c r="A820" s="159" t="str">
        <f t="shared" si="37"/>
        <v>LB-Palo Alto and Los Altos-San Mateo and Burlingame-Missing</v>
      </c>
      <c r="B820">
        <v>8</v>
      </c>
      <c r="C820" t="str">
        <f t="shared" si="38"/>
        <v>Palo Alto and Los Altos</v>
      </c>
      <c r="D820">
        <v>6</v>
      </c>
      <c r="E820" t="str">
        <f t="shared" si="38"/>
        <v>San Mateo and Burlingame</v>
      </c>
      <c r="F820" t="s">
        <v>327</v>
      </c>
      <c r="G820">
        <f t="shared" si="36"/>
        <v>0</v>
      </c>
      <c r="H820" t="s">
        <v>359</v>
      </c>
      <c r="I820" t="s">
        <v>191</v>
      </c>
      <c r="J820">
        <v>1</v>
      </c>
      <c r="K820">
        <v>39.348891481913597</v>
      </c>
      <c r="Z820"/>
    </row>
    <row r="821" spans="1:26" x14ac:dyDescent="0.25">
      <c r="A821" s="159" t="str">
        <f t="shared" si="37"/>
        <v>CR-Palo Alto and Los Altos-San Mateo and Burlingame-Other maintenance</v>
      </c>
      <c r="B821">
        <v>8</v>
      </c>
      <c r="C821" t="str">
        <f t="shared" si="38"/>
        <v>Palo Alto and Los Altos</v>
      </c>
      <c r="D821">
        <v>6</v>
      </c>
      <c r="E821" t="str">
        <f t="shared" si="38"/>
        <v>San Mateo and Burlingame</v>
      </c>
      <c r="F821" t="s">
        <v>325</v>
      </c>
      <c r="G821">
        <f t="shared" si="36"/>
        <v>4</v>
      </c>
      <c r="H821" t="s">
        <v>125</v>
      </c>
      <c r="I821" t="s">
        <v>178</v>
      </c>
      <c r="J821">
        <v>2</v>
      </c>
      <c r="K821">
        <v>46.861016949152599</v>
      </c>
      <c r="Z821"/>
    </row>
    <row r="822" spans="1:26" x14ac:dyDescent="0.25">
      <c r="A822" s="159" t="str">
        <f t="shared" si="37"/>
        <v>LB-Palo Alto and Los Altos-San Mateo and Burlingame-Other maintenance</v>
      </c>
      <c r="B822">
        <v>8</v>
      </c>
      <c r="C822" t="str">
        <f t="shared" si="38"/>
        <v>Palo Alto and Los Altos</v>
      </c>
      <c r="D822">
        <v>6</v>
      </c>
      <c r="E822" t="str">
        <f t="shared" si="38"/>
        <v>San Mateo and Burlingame</v>
      </c>
      <c r="F822" t="s">
        <v>325</v>
      </c>
      <c r="G822">
        <f t="shared" si="36"/>
        <v>4</v>
      </c>
      <c r="H822" t="s">
        <v>359</v>
      </c>
      <c r="I822" t="s">
        <v>191</v>
      </c>
      <c r="J822">
        <v>1</v>
      </c>
      <c r="K822">
        <v>39.348891481913597</v>
      </c>
      <c r="Z822"/>
    </row>
    <row r="823" spans="1:26" x14ac:dyDescent="0.25">
      <c r="A823" s="159" t="str">
        <f t="shared" si="37"/>
        <v>CR-Palo Alto and Los Altos-San Mateo and Burlingame-Social recreation</v>
      </c>
      <c r="B823">
        <v>8</v>
      </c>
      <c r="C823" t="str">
        <f t="shared" si="38"/>
        <v>Palo Alto and Los Altos</v>
      </c>
      <c r="D823">
        <v>6</v>
      </c>
      <c r="E823" t="str">
        <f t="shared" si="38"/>
        <v>San Mateo and Burlingame</v>
      </c>
      <c r="F823" t="s">
        <v>324</v>
      </c>
      <c r="G823">
        <f t="shared" si="36"/>
        <v>5</v>
      </c>
      <c r="H823" t="s">
        <v>125</v>
      </c>
      <c r="I823" t="s">
        <v>178</v>
      </c>
      <c r="J823">
        <v>3</v>
      </c>
      <c r="K823">
        <v>72.007970354170496</v>
      </c>
      <c r="Z823"/>
    </row>
    <row r="824" spans="1:26" x14ac:dyDescent="0.25">
      <c r="A824" s="159" t="str">
        <f t="shared" si="37"/>
        <v>LB-Palo Alto and Los Altos-San Mateo and Burlingame-Social recreation</v>
      </c>
      <c r="B824">
        <v>8</v>
      </c>
      <c r="C824" t="str">
        <f t="shared" si="38"/>
        <v>Palo Alto and Los Altos</v>
      </c>
      <c r="D824">
        <v>6</v>
      </c>
      <c r="E824" t="str">
        <f t="shared" si="38"/>
        <v>San Mateo and Burlingame</v>
      </c>
      <c r="F824" t="s">
        <v>324</v>
      </c>
      <c r="G824">
        <f t="shared" si="36"/>
        <v>5</v>
      </c>
      <c r="H824" t="s">
        <v>359</v>
      </c>
      <c r="I824" t="s">
        <v>191</v>
      </c>
      <c r="J824">
        <v>1</v>
      </c>
      <c r="K824">
        <v>39.348891481913597</v>
      </c>
      <c r="Z824"/>
    </row>
    <row r="825" spans="1:26" x14ac:dyDescent="0.25">
      <c r="A825" s="159" t="str">
        <f t="shared" si="37"/>
        <v>CR-Palo Alto and Los Altos-San Mateo and Burlingame-Work</v>
      </c>
      <c r="B825">
        <v>8</v>
      </c>
      <c r="C825" t="str">
        <f t="shared" si="38"/>
        <v>Palo Alto and Los Altos</v>
      </c>
      <c r="D825">
        <v>6</v>
      </c>
      <c r="E825" t="str">
        <f t="shared" si="38"/>
        <v>San Mateo and Burlingame</v>
      </c>
      <c r="F825" t="s">
        <v>30</v>
      </c>
      <c r="G825">
        <f t="shared" si="36"/>
        <v>1</v>
      </c>
      <c r="H825" t="s">
        <v>125</v>
      </c>
      <c r="I825" t="s">
        <v>178</v>
      </c>
      <c r="J825">
        <v>11</v>
      </c>
      <c r="K825">
        <v>257.73559322033901</v>
      </c>
      <c r="Z825"/>
    </row>
    <row r="826" spans="1:26" x14ac:dyDescent="0.25">
      <c r="A826" s="159" t="str">
        <f t="shared" si="37"/>
        <v>LB-Palo Alto and Los Altos-San Mateo and Burlingame-Work</v>
      </c>
      <c r="B826">
        <v>8</v>
      </c>
      <c r="C826" t="str">
        <f t="shared" si="38"/>
        <v>Palo Alto and Los Altos</v>
      </c>
      <c r="D826">
        <v>6</v>
      </c>
      <c r="E826" t="str">
        <f t="shared" si="38"/>
        <v>San Mateo and Burlingame</v>
      </c>
      <c r="F826" t="s">
        <v>30</v>
      </c>
      <c r="G826">
        <f t="shared" si="36"/>
        <v>1</v>
      </c>
      <c r="H826" t="s">
        <v>359</v>
      </c>
      <c r="I826" t="s">
        <v>191</v>
      </c>
      <c r="J826">
        <v>2</v>
      </c>
      <c r="K826">
        <v>78.697782963827194</v>
      </c>
      <c r="Z826"/>
    </row>
    <row r="827" spans="1:26" x14ac:dyDescent="0.25">
      <c r="A827" s="159" t="str">
        <f t="shared" si="37"/>
        <v>CR-Palo Alto and Los Altos-Redwood City and Menlo Park-High school</v>
      </c>
      <c r="B827">
        <v>8</v>
      </c>
      <c r="C827" t="str">
        <f t="shared" si="38"/>
        <v>Palo Alto and Los Altos</v>
      </c>
      <c r="D827">
        <v>7</v>
      </c>
      <c r="E827" t="str">
        <f t="shared" si="38"/>
        <v>Redwood City and Menlo Park</v>
      </c>
      <c r="F827" t="s">
        <v>326</v>
      </c>
      <c r="G827">
        <f t="shared" si="36"/>
        <v>3</v>
      </c>
      <c r="H827" t="s">
        <v>125</v>
      </c>
      <c r="I827" t="s">
        <v>178</v>
      </c>
      <c r="J827">
        <v>2</v>
      </c>
      <c r="K827">
        <v>46.861016949152599</v>
      </c>
      <c r="Z827"/>
    </row>
    <row r="828" spans="1:26" x14ac:dyDescent="0.25">
      <c r="A828" s="159" t="str">
        <f t="shared" si="37"/>
        <v>EB-Palo Alto and Los Altos-Redwood City and Menlo Park-High school</v>
      </c>
      <c r="B828">
        <v>8</v>
      </c>
      <c r="C828" t="str">
        <f t="shared" si="38"/>
        <v>Palo Alto and Los Altos</v>
      </c>
      <c r="D828">
        <v>7</v>
      </c>
      <c r="E828" t="str">
        <f t="shared" si="38"/>
        <v>Redwood City and Menlo Park</v>
      </c>
      <c r="F828" t="s">
        <v>326</v>
      </c>
      <c r="G828">
        <f t="shared" si="36"/>
        <v>3</v>
      </c>
      <c r="H828" t="s">
        <v>123</v>
      </c>
      <c r="I828" t="s">
        <v>182</v>
      </c>
      <c r="J828">
        <v>2</v>
      </c>
      <c r="K828">
        <v>7.7980769230769198</v>
      </c>
      <c r="Z828"/>
    </row>
    <row r="829" spans="1:26" x14ac:dyDescent="0.25">
      <c r="A829" s="159" t="str">
        <f t="shared" si="37"/>
        <v>LB-Palo Alto and Los Altos-Redwood City and Menlo Park-High school</v>
      </c>
      <c r="B829">
        <v>8</v>
      </c>
      <c r="C829" t="str">
        <f t="shared" si="38"/>
        <v>Palo Alto and Los Altos</v>
      </c>
      <c r="D829">
        <v>7</v>
      </c>
      <c r="E829" t="str">
        <f t="shared" si="38"/>
        <v>Redwood City and Menlo Park</v>
      </c>
      <c r="F829" t="s">
        <v>326</v>
      </c>
      <c r="G829">
        <f t="shared" si="36"/>
        <v>3</v>
      </c>
      <c r="H829" t="s">
        <v>359</v>
      </c>
      <c r="I829" t="s">
        <v>191</v>
      </c>
      <c r="J829">
        <v>4</v>
      </c>
      <c r="K829">
        <v>227.28921070467501</v>
      </c>
      <c r="Z829"/>
    </row>
    <row r="830" spans="1:26" x14ac:dyDescent="0.25">
      <c r="A830" s="159" t="str">
        <f t="shared" si="37"/>
        <v>CR-Palo Alto and Los Altos-Redwood City and Menlo Park-Missing</v>
      </c>
      <c r="B830">
        <v>8</v>
      </c>
      <c r="C830" t="str">
        <f t="shared" si="38"/>
        <v>Palo Alto and Los Altos</v>
      </c>
      <c r="D830">
        <v>7</v>
      </c>
      <c r="E830" t="str">
        <f t="shared" si="38"/>
        <v>Redwood City and Menlo Park</v>
      </c>
      <c r="F830" t="s">
        <v>327</v>
      </c>
      <c r="G830">
        <f t="shared" si="36"/>
        <v>0</v>
      </c>
      <c r="H830" t="s">
        <v>125</v>
      </c>
      <c r="I830" t="s">
        <v>178</v>
      </c>
      <c r="J830">
        <v>3</v>
      </c>
      <c r="K830">
        <v>70.291525423728899</v>
      </c>
      <c r="Z830"/>
    </row>
    <row r="831" spans="1:26" x14ac:dyDescent="0.25">
      <c r="A831" s="159" t="str">
        <f t="shared" si="37"/>
        <v>LB-Palo Alto and Los Altos-Redwood City and Menlo Park-Missing</v>
      </c>
      <c r="B831">
        <v>8</v>
      </c>
      <c r="C831" t="str">
        <f t="shared" si="38"/>
        <v>Palo Alto and Los Altos</v>
      </c>
      <c r="D831">
        <v>7</v>
      </c>
      <c r="E831" t="str">
        <f t="shared" si="38"/>
        <v>Redwood City and Menlo Park</v>
      </c>
      <c r="F831" t="s">
        <v>327</v>
      </c>
      <c r="G831">
        <f t="shared" si="36"/>
        <v>0</v>
      </c>
      <c r="H831" t="s">
        <v>359</v>
      </c>
      <c r="I831" t="s">
        <v>191</v>
      </c>
      <c r="J831">
        <v>2</v>
      </c>
      <c r="K831">
        <v>101.995664556167</v>
      </c>
      <c r="Z831"/>
    </row>
    <row r="832" spans="1:26" x14ac:dyDescent="0.25">
      <c r="A832" s="159" t="str">
        <f t="shared" si="37"/>
        <v>CR-Palo Alto and Los Altos-Redwood City and Menlo Park-Other maintenance</v>
      </c>
      <c r="B832">
        <v>8</v>
      </c>
      <c r="C832" t="str">
        <f t="shared" si="38"/>
        <v>Palo Alto and Los Altos</v>
      </c>
      <c r="D832">
        <v>7</v>
      </c>
      <c r="E832" t="str">
        <f t="shared" si="38"/>
        <v>Redwood City and Menlo Park</v>
      </c>
      <c r="F832" t="s">
        <v>325</v>
      </c>
      <c r="G832">
        <f t="shared" si="36"/>
        <v>4</v>
      </c>
      <c r="H832" t="s">
        <v>125</v>
      </c>
      <c r="I832" t="s">
        <v>178</v>
      </c>
      <c r="J832">
        <v>2</v>
      </c>
      <c r="K832">
        <v>46.861016949152599</v>
      </c>
      <c r="Z832"/>
    </row>
    <row r="833" spans="1:26" x14ac:dyDescent="0.25">
      <c r="A833" s="159" t="str">
        <f t="shared" si="37"/>
        <v>CR-Palo Alto and Los Altos-Redwood City and Menlo Park-Shopping</v>
      </c>
      <c r="B833">
        <v>8</v>
      </c>
      <c r="C833" t="str">
        <f t="shared" si="38"/>
        <v>Palo Alto and Los Altos</v>
      </c>
      <c r="D833">
        <v>7</v>
      </c>
      <c r="E833" t="str">
        <f t="shared" si="38"/>
        <v>Redwood City and Menlo Park</v>
      </c>
      <c r="F833" t="s">
        <v>106</v>
      </c>
      <c r="G833">
        <f t="shared" si="36"/>
        <v>4</v>
      </c>
      <c r="H833" t="s">
        <v>125</v>
      </c>
      <c r="I833" t="s">
        <v>178</v>
      </c>
      <c r="J833">
        <v>1</v>
      </c>
      <c r="K833">
        <v>23.4305084745763</v>
      </c>
      <c r="Z833"/>
    </row>
    <row r="834" spans="1:26" x14ac:dyDescent="0.25">
      <c r="A834" s="159" t="str">
        <f t="shared" si="37"/>
        <v>LB-Palo Alto and Los Altos-Redwood City and Menlo Park-Shopping</v>
      </c>
      <c r="B834">
        <v>8</v>
      </c>
      <c r="C834" t="str">
        <f t="shared" si="38"/>
        <v>Palo Alto and Los Altos</v>
      </c>
      <c r="D834">
        <v>7</v>
      </c>
      <c r="E834" t="str">
        <f t="shared" si="38"/>
        <v>Redwood City and Menlo Park</v>
      </c>
      <c r="F834" t="s">
        <v>106</v>
      </c>
      <c r="G834">
        <f t="shared" ref="G834:G897" si="39">VLOOKUP(F834,$V$2:$X$10, 3,FALSE)</f>
        <v>4</v>
      </c>
      <c r="H834" t="s">
        <v>359</v>
      </c>
      <c r="I834" t="s">
        <v>191</v>
      </c>
      <c r="J834">
        <v>1</v>
      </c>
      <c r="K834">
        <v>39.348891481913597</v>
      </c>
      <c r="Z834"/>
    </row>
    <row r="835" spans="1:26" x14ac:dyDescent="0.25">
      <c r="A835" s="159" t="str">
        <f t="shared" ref="A835:A898" si="40" xml:space="preserve"> CONCATENATE(I835,"-",C835, "-",E835, "-",F835,)</f>
        <v>CR-Palo Alto and Los Altos-Redwood City and Menlo Park-Social recreation</v>
      </c>
      <c r="B835">
        <v>8</v>
      </c>
      <c r="C835" t="str">
        <f t="shared" ref="C835:E898" si="41">VLOOKUP(B835,$S$2:$T$35,2,FALSE)</f>
        <v>Palo Alto and Los Altos</v>
      </c>
      <c r="D835">
        <v>7</v>
      </c>
      <c r="E835" t="str">
        <f t="shared" si="41"/>
        <v>Redwood City and Menlo Park</v>
      </c>
      <c r="F835" t="s">
        <v>324</v>
      </c>
      <c r="G835">
        <f t="shared" si="39"/>
        <v>5</v>
      </c>
      <c r="H835" t="s">
        <v>125</v>
      </c>
      <c r="I835" t="s">
        <v>178</v>
      </c>
      <c r="J835">
        <v>5</v>
      </c>
      <c r="K835">
        <v>120.585432233764</v>
      </c>
      <c r="Z835"/>
    </row>
    <row r="836" spans="1:26" x14ac:dyDescent="0.25">
      <c r="A836" s="159" t="str">
        <f t="shared" si="40"/>
        <v>LB-Palo Alto and Los Altos-Redwood City and Menlo Park-Social recreation</v>
      </c>
      <c r="B836">
        <v>8</v>
      </c>
      <c r="C836" t="str">
        <f t="shared" si="41"/>
        <v>Palo Alto and Los Altos</v>
      </c>
      <c r="D836">
        <v>7</v>
      </c>
      <c r="E836" t="str">
        <f t="shared" si="41"/>
        <v>Redwood City and Menlo Park</v>
      </c>
      <c r="F836" t="s">
        <v>324</v>
      </c>
      <c r="G836">
        <f t="shared" si="39"/>
        <v>5</v>
      </c>
      <c r="H836" t="s">
        <v>359</v>
      </c>
      <c r="I836" t="s">
        <v>191</v>
      </c>
      <c r="J836">
        <v>1</v>
      </c>
      <c r="K836">
        <v>131.13605442176899</v>
      </c>
      <c r="Z836"/>
    </row>
    <row r="837" spans="1:26" x14ac:dyDescent="0.25">
      <c r="A837" s="159" t="str">
        <f t="shared" si="40"/>
        <v>CR-Palo Alto and Los Altos-Redwood City and Menlo Park-Work</v>
      </c>
      <c r="B837">
        <v>8</v>
      </c>
      <c r="C837" t="str">
        <f t="shared" si="41"/>
        <v>Palo Alto and Los Altos</v>
      </c>
      <c r="D837">
        <v>7</v>
      </c>
      <c r="E837" t="str">
        <f t="shared" si="41"/>
        <v>Redwood City and Menlo Park</v>
      </c>
      <c r="F837" t="s">
        <v>30</v>
      </c>
      <c r="G837">
        <f t="shared" si="39"/>
        <v>1</v>
      </c>
      <c r="H837" t="s">
        <v>125</v>
      </c>
      <c r="I837" t="s">
        <v>178</v>
      </c>
      <c r="J837">
        <v>10</v>
      </c>
      <c r="K837">
        <v>234.305084745763</v>
      </c>
      <c r="Z837"/>
    </row>
    <row r="838" spans="1:26" x14ac:dyDescent="0.25">
      <c r="A838" s="159" t="str">
        <f t="shared" si="40"/>
        <v>EB-Palo Alto and Los Altos-Redwood City and Menlo Park-Work</v>
      </c>
      <c r="B838">
        <v>8</v>
      </c>
      <c r="C838" t="str">
        <f t="shared" si="41"/>
        <v>Palo Alto and Los Altos</v>
      </c>
      <c r="D838">
        <v>7</v>
      </c>
      <c r="E838" t="str">
        <f t="shared" si="41"/>
        <v>Redwood City and Menlo Park</v>
      </c>
      <c r="F838" t="s">
        <v>30</v>
      </c>
      <c r="G838">
        <f t="shared" si="39"/>
        <v>1</v>
      </c>
      <c r="H838" t="s">
        <v>123</v>
      </c>
      <c r="I838" t="s">
        <v>182</v>
      </c>
      <c r="J838">
        <v>3</v>
      </c>
      <c r="K838">
        <v>11.6971153846153</v>
      </c>
      <c r="Z838"/>
    </row>
    <row r="839" spans="1:26" x14ac:dyDescent="0.25">
      <c r="A839" s="159" t="str">
        <f t="shared" si="40"/>
        <v>LB-Palo Alto and Los Altos-Redwood City and Menlo Park-Work</v>
      </c>
      <c r="B839">
        <v>8</v>
      </c>
      <c r="C839" t="str">
        <f t="shared" si="41"/>
        <v>Palo Alto and Los Altos</v>
      </c>
      <c r="D839">
        <v>7</v>
      </c>
      <c r="E839" t="str">
        <f t="shared" si="41"/>
        <v>Redwood City and Menlo Park</v>
      </c>
      <c r="F839" t="s">
        <v>30</v>
      </c>
      <c r="G839">
        <f t="shared" si="39"/>
        <v>1</v>
      </c>
      <c r="H839" t="s">
        <v>359</v>
      </c>
      <c r="I839" t="s">
        <v>191</v>
      </c>
      <c r="J839">
        <v>9</v>
      </c>
      <c r="K839">
        <v>537.71434921693299</v>
      </c>
      <c r="Z839"/>
    </row>
    <row r="840" spans="1:26" x14ac:dyDescent="0.25">
      <c r="A840" s="159" t="str">
        <f t="shared" si="40"/>
        <v>CR-Palo Alto and Los Altos-Palo Alto and Los Altos-High school</v>
      </c>
      <c r="B840">
        <v>8</v>
      </c>
      <c r="C840" t="str">
        <f t="shared" si="41"/>
        <v>Palo Alto and Los Altos</v>
      </c>
      <c r="D840">
        <v>8</v>
      </c>
      <c r="E840" t="str">
        <f t="shared" si="41"/>
        <v>Palo Alto and Los Altos</v>
      </c>
      <c r="F840" t="s">
        <v>326</v>
      </c>
      <c r="G840">
        <f t="shared" si="39"/>
        <v>3</v>
      </c>
      <c r="H840" t="s">
        <v>125</v>
      </c>
      <c r="I840" t="s">
        <v>178</v>
      </c>
      <c r="J840">
        <v>1</v>
      </c>
      <c r="K840">
        <v>23.4305084745763</v>
      </c>
      <c r="Z840"/>
    </row>
    <row r="841" spans="1:26" x14ac:dyDescent="0.25">
      <c r="A841" s="159" t="str">
        <f t="shared" si="40"/>
        <v>LR-Palo Alto and Los Altos-Palo Alto and Los Altos-High school</v>
      </c>
      <c r="B841">
        <v>8</v>
      </c>
      <c r="C841" t="str">
        <f t="shared" si="41"/>
        <v>Palo Alto and Los Altos</v>
      </c>
      <c r="D841">
        <v>8</v>
      </c>
      <c r="E841" t="str">
        <f t="shared" si="41"/>
        <v>Palo Alto and Los Altos</v>
      </c>
      <c r="F841" t="s">
        <v>326</v>
      </c>
      <c r="G841">
        <f t="shared" si="39"/>
        <v>3</v>
      </c>
      <c r="H841" t="s">
        <v>353</v>
      </c>
      <c r="I841" t="s">
        <v>194</v>
      </c>
      <c r="J841">
        <v>1</v>
      </c>
      <c r="K841">
        <v>62.646773074254</v>
      </c>
      <c r="Z841"/>
    </row>
    <row r="842" spans="1:26" x14ac:dyDescent="0.25">
      <c r="A842" s="159" t="str">
        <f t="shared" si="40"/>
        <v>LB-Palo Alto and Los Altos-Palo Alto and Los Altos-High school</v>
      </c>
      <c r="B842">
        <v>8</v>
      </c>
      <c r="C842" t="str">
        <f t="shared" si="41"/>
        <v>Palo Alto and Los Altos</v>
      </c>
      <c r="D842">
        <v>8</v>
      </c>
      <c r="E842" t="str">
        <f t="shared" si="41"/>
        <v>Palo Alto and Los Altos</v>
      </c>
      <c r="F842" t="s">
        <v>326</v>
      </c>
      <c r="G842">
        <f t="shared" si="39"/>
        <v>3</v>
      </c>
      <c r="H842" t="s">
        <v>359</v>
      </c>
      <c r="I842" t="s">
        <v>191</v>
      </c>
      <c r="J842">
        <v>38</v>
      </c>
      <c r="K842">
        <v>2380.57737682165</v>
      </c>
      <c r="Z842"/>
    </row>
    <row r="843" spans="1:26" x14ac:dyDescent="0.25">
      <c r="A843" s="159" t="str">
        <f t="shared" si="40"/>
        <v>LB-Palo Alto and Los Altos-Palo Alto and Los Altos-Missing</v>
      </c>
      <c r="B843">
        <v>8</v>
      </c>
      <c r="C843" t="str">
        <f t="shared" si="41"/>
        <v>Palo Alto and Los Altos</v>
      </c>
      <c r="D843">
        <v>8</v>
      </c>
      <c r="E843" t="str">
        <f t="shared" si="41"/>
        <v>Palo Alto and Los Altos</v>
      </c>
      <c r="F843" t="s">
        <v>327</v>
      </c>
      <c r="G843">
        <f t="shared" si="39"/>
        <v>0</v>
      </c>
      <c r="H843" t="s">
        <v>359</v>
      </c>
      <c r="I843" t="s">
        <v>191</v>
      </c>
      <c r="J843">
        <v>9</v>
      </c>
      <c r="K843">
        <v>809.26100225336802</v>
      </c>
      <c r="Z843"/>
    </row>
    <row r="844" spans="1:26" x14ac:dyDescent="0.25">
      <c r="A844" s="159" t="str">
        <f t="shared" si="40"/>
        <v>CR-Palo Alto and Los Altos-Palo Alto and Los Altos-Other maintenance</v>
      </c>
      <c r="B844">
        <v>8</v>
      </c>
      <c r="C844" t="str">
        <f t="shared" si="41"/>
        <v>Palo Alto and Los Altos</v>
      </c>
      <c r="D844">
        <v>8</v>
      </c>
      <c r="E844" t="str">
        <f t="shared" si="41"/>
        <v>Palo Alto and Los Altos</v>
      </c>
      <c r="F844" t="s">
        <v>325</v>
      </c>
      <c r="G844">
        <f t="shared" si="39"/>
        <v>4</v>
      </c>
      <c r="H844" t="s">
        <v>125</v>
      </c>
      <c r="I844" t="s">
        <v>178</v>
      </c>
      <c r="J844">
        <v>1</v>
      </c>
      <c r="K844">
        <v>25.1469534050179</v>
      </c>
      <c r="Z844"/>
    </row>
    <row r="845" spans="1:26" x14ac:dyDescent="0.25">
      <c r="A845" s="159" t="str">
        <f t="shared" si="40"/>
        <v>EB-Palo Alto and Los Altos-Palo Alto and Los Altos-Other maintenance</v>
      </c>
      <c r="B845">
        <v>8</v>
      </c>
      <c r="C845" t="str">
        <f t="shared" si="41"/>
        <v>Palo Alto and Los Altos</v>
      </c>
      <c r="D845">
        <v>8</v>
      </c>
      <c r="E845" t="str">
        <f t="shared" si="41"/>
        <v>Palo Alto and Los Altos</v>
      </c>
      <c r="F845" t="s">
        <v>325</v>
      </c>
      <c r="G845">
        <f t="shared" si="39"/>
        <v>4</v>
      </c>
      <c r="H845" t="s">
        <v>123</v>
      </c>
      <c r="I845" t="s">
        <v>182</v>
      </c>
      <c r="J845">
        <v>1</v>
      </c>
      <c r="K845">
        <v>3.8990384615384599</v>
      </c>
      <c r="Z845"/>
    </row>
    <row r="846" spans="1:26" x14ac:dyDescent="0.25">
      <c r="A846" s="159" t="str">
        <f t="shared" si="40"/>
        <v>LB-Palo Alto and Los Altos-Palo Alto and Los Altos-Other maintenance</v>
      </c>
      <c r="B846">
        <v>8</v>
      </c>
      <c r="C846" t="str">
        <f t="shared" si="41"/>
        <v>Palo Alto and Los Altos</v>
      </c>
      <c r="D846">
        <v>8</v>
      </c>
      <c r="E846" t="str">
        <f t="shared" si="41"/>
        <v>Palo Alto and Los Altos</v>
      </c>
      <c r="F846" t="s">
        <v>325</v>
      </c>
      <c r="G846">
        <f t="shared" si="39"/>
        <v>4</v>
      </c>
      <c r="H846" t="s">
        <v>359</v>
      </c>
      <c r="I846" t="s">
        <v>191</v>
      </c>
      <c r="J846">
        <v>6</v>
      </c>
      <c r="K846">
        <v>375.88063844552403</v>
      </c>
      <c r="Z846"/>
    </row>
    <row r="847" spans="1:26" x14ac:dyDescent="0.25">
      <c r="A847" s="159" t="str">
        <f t="shared" si="40"/>
        <v>LB-Palo Alto and Los Altos-Palo Alto and Los Altos-Shopping</v>
      </c>
      <c r="B847">
        <v>8</v>
      </c>
      <c r="C847" t="str">
        <f t="shared" si="41"/>
        <v>Palo Alto and Los Altos</v>
      </c>
      <c r="D847">
        <v>8</v>
      </c>
      <c r="E847" t="str">
        <f t="shared" si="41"/>
        <v>Palo Alto and Los Altos</v>
      </c>
      <c r="F847" t="s">
        <v>106</v>
      </c>
      <c r="G847">
        <f t="shared" si="39"/>
        <v>4</v>
      </c>
      <c r="H847" t="s">
        <v>359</v>
      </c>
      <c r="I847" t="s">
        <v>191</v>
      </c>
      <c r="J847">
        <v>4</v>
      </c>
      <c r="K847">
        <v>496.02713688209798</v>
      </c>
      <c r="Z847"/>
    </row>
    <row r="848" spans="1:26" x14ac:dyDescent="0.25">
      <c r="A848" s="159" t="str">
        <f t="shared" si="40"/>
        <v>CR-Palo Alto and Los Altos-Palo Alto and Los Altos-Social recreation</v>
      </c>
      <c r="B848">
        <v>8</v>
      </c>
      <c r="C848" t="str">
        <f t="shared" si="41"/>
        <v>Palo Alto and Los Altos</v>
      </c>
      <c r="D848">
        <v>8</v>
      </c>
      <c r="E848" t="str">
        <f t="shared" si="41"/>
        <v>Palo Alto and Los Altos</v>
      </c>
      <c r="F848" t="s">
        <v>324</v>
      </c>
      <c r="G848">
        <f t="shared" si="39"/>
        <v>5</v>
      </c>
      <c r="H848" t="s">
        <v>125</v>
      </c>
      <c r="I848" t="s">
        <v>178</v>
      </c>
      <c r="J848">
        <v>3</v>
      </c>
      <c r="K848">
        <v>72.007970354170496</v>
      </c>
      <c r="Z848"/>
    </row>
    <row r="849" spans="1:26" x14ac:dyDescent="0.25">
      <c r="A849" s="159" t="str">
        <f t="shared" si="40"/>
        <v>LR-Palo Alto and Los Altos-Palo Alto and Los Altos-Social recreation</v>
      </c>
      <c r="B849">
        <v>8</v>
      </c>
      <c r="C849" t="str">
        <f t="shared" si="41"/>
        <v>Palo Alto and Los Altos</v>
      </c>
      <c r="D849">
        <v>8</v>
      </c>
      <c r="E849" t="str">
        <f t="shared" si="41"/>
        <v>Palo Alto and Los Altos</v>
      </c>
      <c r="F849" t="s">
        <v>324</v>
      </c>
      <c r="G849">
        <f t="shared" si="39"/>
        <v>5</v>
      </c>
      <c r="H849" t="s">
        <v>353</v>
      </c>
      <c r="I849" t="s">
        <v>194</v>
      </c>
      <c r="J849">
        <v>1</v>
      </c>
      <c r="K849">
        <v>185.366795366795</v>
      </c>
      <c r="Z849"/>
    </row>
    <row r="850" spans="1:26" x14ac:dyDescent="0.25">
      <c r="A850" s="159" t="str">
        <f t="shared" si="40"/>
        <v>LB-Palo Alto and Los Altos-Palo Alto and Los Altos-Social recreation</v>
      </c>
      <c r="B850">
        <v>8</v>
      </c>
      <c r="C850" t="str">
        <f t="shared" si="41"/>
        <v>Palo Alto and Los Altos</v>
      </c>
      <c r="D850">
        <v>8</v>
      </c>
      <c r="E850" t="str">
        <f t="shared" si="41"/>
        <v>Palo Alto and Los Altos</v>
      </c>
      <c r="F850" t="s">
        <v>324</v>
      </c>
      <c r="G850">
        <f t="shared" si="39"/>
        <v>5</v>
      </c>
      <c r="H850" t="s">
        <v>359</v>
      </c>
      <c r="I850" t="s">
        <v>191</v>
      </c>
      <c r="J850">
        <v>5</v>
      </c>
      <c r="K850">
        <v>412.65600607147002</v>
      </c>
      <c r="Z850"/>
    </row>
    <row r="851" spans="1:26" x14ac:dyDescent="0.25">
      <c r="A851" s="159" t="str">
        <f t="shared" si="40"/>
        <v>CR-Palo Alto and Los Altos-Palo Alto and Los Altos-Work</v>
      </c>
      <c r="B851">
        <v>8</v>
      </c>
      <c r="C851" t="str">
        <f t="shared" si="41"/>
        <v>Palo Alto and Los Altos</v>
      </c>
      <c r="D851">
        <v>8</v>
      </c>
      <c r="E851" t="str">
        <f t="shared" si="41"/>
        <v>Palo Alto and Los Altos</v>
      </c>
      <c r="F851" t="s">
        <v>30</v>
      </c>
      <c r="G851">
        <f t="shared" si="39"/>
        <v>1</v>
      </c>
      <c r="H851" t="s">
        <v>125</v>
      </c>
      <c r="I851" t="s">
        <v>178</v>
      </c>
      <c r="J851">
        <v>3</v>
      </c>
      <c r="K851">
        <v>70.291525423728899</v>
      </c>
      <c r="Z851"/>
    </row>
    <row r="852" spans="1:26" x14ac:dyDescent="0.25">
      <c r="A852" s="159" t="str">
        <f t="shared" si="40"/>
        <v>EB-Palo Alto and Los Altos-Palo Alto and Los Altos-Work</v>
      </c>
      <c r="B852">
        <v>8</v>
      </c>
      <c r="C852" t="str">
        <f t="shared" si="41"/>
        <v>Palo Alto and Los Altos</v>
      </c>
      <c r="D852">
        <v>8</v>
      </c>
      <c r="E852" t="str">
        <f t="shared" si="41"/>
        <v>Palo Alto and Los Altos</v>
      </c>
      <c r="F852" t="s">
        <v>30</v>
      </c>
      <c r="G852">
        <f t="shared" si="39"/>
        <v>1</v>
      </c>
      <c r="H852" t="s">
        <v>123</v>
      </c>
      <c r="I852" t="s">
        <v>182</v>
      </c>
      <c r="J852">
        <v>1</v>
      </c>
      <c r="K852">
        <v>3.8990384615384599</v>
      </c>
      <c r="Z852"/>
    </row>
    <row r="853" spans="1:26" x14ac:dyDescent="0.25">
      <c r="A853" s="159" t="str">
        <f t="shared" si="40"/>
        <v>LR-Palo Alto and Los Altos-Palo Alto and Los Altos-Work</v>
      </c>
      <c r="B853">
        <v>8</v>
      </c>
      <c r="C853" t="str">
        <f t="shared" si="41"/>
        <v>Palo Alto and Los Altos</v>
      </c>
      <c r="D853">
        <v>8</v>
      </c>
      <c r="E853" t="str">
        <f t="shared" si="41"/>
        <v>Palo Alto and Los Altos</v>
      </c>
      <c r="F853" t="s">
        <v>30</v>
      </c>
      <c r="G853">
        <f t="shared" si="39"/>
        <v>1</v>
      </c>
      <c r="H853" t="s">
        <v>353</v>
      </c>
      <c r="I853" t="s">
        <v>194</v>
      </c>
      <c r="J853">
        <v>1</v>
      </c>
      <c r="K853">
        <v>62.646773074254</v>
      </c>
      <c r="Z853"/>
    </row>
    <row r="854" spans="1:26" x14ac:dyDescent="0.25">
      <c r="A854" s="159" t="str">
        <f t="shared" si="40"/>
        <v>LB-Palo Alto and Los Altos-Palo Alto and Los Altos-Work</v>
      </c>
      <c r="B854">
        <v>8</v>
      </c>
      <c r="C854" t="str">
        <f t="shared" si="41"/>
        <v>Palo Alto and Los Altos</v>
      </c>
      <c r="D854">
        <v>8</v>
      </c>
      <c r="E854" t="str">
        <f t="shared" si="41"/>
        <v>Palo Alto and Los Altos</v>
      </c>
      <c r="F854" t="s">
        <v>30</v>
      </c>
      <c r="G854">
        <f t="shared" si="39"/>
        <v>1</v>
      </c>
      <c r="H854" t="s">
        <v>359</v>
      </c>
      <c r="I854" t="s">
        <v>191</v>
      </c>
      <c r="J854">
        <v>23</v>
      </c>
      <c r="K854">
        <v>1665.5324879008799</v>
      </c>
      <c r="Z854"/>
    </row>
    <row r="855" spans="1:26" x14ac:dyDescent="0.25">
      <c r="A855" s="159" t="str">
        <f t="shared" si="40"/>
        <v>CR-Palo Alto and Los Altos-Sunnyvale and Mountain View-High school</v>
      </c>
      <c r="B855">
        <v>8</v>
      </c>
      <c r="C855" t="str">
        <f t="shared" si="41"/>
        <v>Palo Alto and Los Altos</v>
      </c>
      <c r="D855">
        <v>9</v>
      </c>
      <c r="E855" t="str">
        <f t="shared" si="41"/>
        <v>Sunnyvale and Mountain View</v>
      </c>
      <c r="F855" t="s">
        <v>326</v>
      </c>
      <c r="G855">
        <f t="shared" si="39"/>
        <v>3</v>
      </c>
      <c r="H855" t="s">
        <v>125</v>
      </c>
      <c r="I855" t="s">
        <v>178</v>
      </c>
      <c r="J855">
        <v>1</v>
      </c>
      <c r="K855">
        <v>23.4305084745763</v>
      </c>
      <c r="Z855"/>
    </row>
    <row r="856" spans="1:26" x14ac:dyDescent="0.25">
      <c r="A856" s="159" t="str">
        <f t="shared" si="40"/>
        <v>LB-Palo Alto and Los Altos-Sunnyvale and Mountain View-High school</v>
      </c>
      <c r="B856">
        <v>8</v>
      </c>
      <c r="C856" t="str">
        <f t="shared" si="41"/>
        <v>Palo Alto and Los Altos</v>
      </c>
      <c r="D856">
        <v>9</v>
      </c>
      <c r="E856" t="str">
        <f t="shared" si="41"/>
        <v>Sunnyvale and Mountain View</v>
      </c>
      <c r="F856" t="s">
        <v>326</v>
      </c>
      <c r="G856">
        <f t="shared" si="39"/>
        <v>3</v>
      </c>
      <c r="H856" t="s">
        <v>359</v>
      </c>
      <c r="I856" t="s">
        <v>191</v>
      </c>
      <c r="J856">
        <v>1</v>
      </c>
      <c r="K856">
        <v>62.646773074254</v>
      </c>
      <c r="Z856"/>
    </row>
    <row r="857" spans="1:26" x14ac:dyDescent="0.25">
      <c r="A857" s="159" t="str">
        <f t="shared" si="40"/>
        <v>CR-Palo Alto and Los Altos-Sunnyvale and Mountain View-Missing</v>
      </c>
      <c r="B857">
        <v>8</v>
      </c>
      <c r="C857" t="str">
        <f t="shared" si="41"/>
        <v>Palo Alto and Los Altos</v>
      </c>
      <c r="D857">
        <v>9</v>
      </c>
      <c r="E857" t="str">
        <f t="shared" si="41"/>
        <v>Sunnyvale and Mountain View</v>
      </c>
      <c r="F857" t="s">
        <v>327</v>
      </c>
      <c r="G857">
        <f t="shared" si="39"/>
        <v>0</v>
      </c>
      <c r="H857" t="s">
        <v>125</v>
      </c>
      <c r="I857" t="s">
        <v>178</v>
      </c>
      <c r="J857">
        <v>2</v>
      </c>
      <c r="K857">
        <v>48.577461879594097</v>
      </c>
      <c r="Z857"/>
    </row>
    <row r="858" spans="1:26" x14ac:dyDescent="0.25">
      <c r="A858" s="159" t="str">
        <f t="shared" si="40"/>
        <v>LR-Palo Alto and Los Altos-Sunnyvale and Mountain View-Missing</v>
      </c>
      <c r="B858">
        <v>8</v>
      </c>
      <c r="C858" t="str">
        <f t="shared" si="41"/>
        <v>Palo Alto and Los Altos</v>
      </c>
      <c r="D858">
        <v>9</v>
      </c>
      <c r="E858" t="str">
        <f t="shared" si="41"/>
        <v>Sunnyvale and Mountain View</v>
      </c>
      <c r="F858" t="s">
        <v>327</v>
      </c>
      <c r="G858">
        <f t="shared" si="39"/>
        <v>0</v>
      </c>
      <c r="H858" t="s">
        <v>353</v>
      </c>
      <c r="I858" t="s">
        <v>194</v>
      </c>
      <c r="J858">
        <v>1</v>
      </c>
      <c r="K858">
        <v>185.366795366795</v>
      </c>
      <c r="Z858"/>
    </row>
    <row r="859" spans="1:26" x14ac:dyDescent="0.25">
      <c r="A859" s="159" t="str">
        <f t="shared" si="40"/>
        <v>LB-Palo Alto and Los Altos-Sunnyvale and Mountain View-Missing</v>
      </c>
      <c r="B859">
        <v>8</v>
      </c>
      <c r="C859" t="str">
        <f t="shared" si="41"/>
        <v>Palo Alto and Los Altos</v>
      </c>
      <c r="D859">
        <v>9</v>
      </c>
      <c r="E859" t="str">
        <f t="shared" si="41"/>
        <v>Sunnyvale and Mountain View</v>
      </c>
      <c r="F859" t="s">
        <v>327</v>
      </c>
      <c r="G859">
        <f t="shared" si="39"/>
        <v>0</v>
      </c>
      <c r="H859" t="s">
        <v>359</v>
      </c>
      <c r="I859" t="s">
        <v>191</v>
      </c>
      <c r="J859">
        <v>1</v>
      </c>
      <c r="K859">
        <v>62.646773074254</v>
      </c>
      <c r="Z859"/>
    </row>
    <row r="860" spans="1:26" x14ac:dyDescent="0.25">
      <c r="A860" s="159" t="str">
        <f t="shared" si="40"/>
        <v>LB-Palo Alto and Los Altos-Sunnyvale and Mountain View-Other maintenance</v>
      </c>
      <c r="B860">
        <v>8</v>
      </c>
      <c r="C860" t="str">
        <f t="shared" si="41"/>
        <v>Palo Alto and Los Altos</v>
      </c>
      <c r="D860">
        <v>9</v>
      </c>
      <c r="E860" t="str">
        <f t="shared" si="41"/>
        <v>Sunnyvale and Mountain View</v>
      </c>
      <c r="F860" t="s">
        <v>325</v>
      </c>
      <c r="G860">
        <f t="shared" si="39"/>
        <v>4</v>
      </c>
      <c r="H860" t="s">
        <v>359</v>
      </c>
      <c r="I860" t="s">
        <v>191</v>
      </c>
      <c r="J860">
        <v>3</v>
      </c>
      <c r="K860">
        <v>187.94031922276201</v>
      </c>
      <c r="Z860"/>
    </row>
    <row r="861" spans="1:26" x14ac:dyDescent="0.25">
      <c r="A861" s="159" t="str">
        <f t="shared" si="40"/>
        <v>LB-Palo Alto and Los Altos-Sunnyvale and Mountain View-Shopping</v>
      </c>
      <c r="B861">
        <v>8</v>
      </c>
      <c r="C861" t="str">
        <f t="shared" si="41"/>
        <v>Palo Alto and Los Altos</v>
      </c>
      <c r="D861">
        <v>9</v>
      </c>
      <c r="E861" t="str">
        <f t="shared" si="41"/>
        <v>Sunnyvale and Mountain View</v>
      </c>
      <c r="F861" t="s">
        <v>106</v>
      </c>
      <c r="G861">
        <f t="shared" si="39"/>
        <v>4</v>
      </c>
      <c r="H861" t="s">
        <v>359</v>
      </c>
      <c r="I861" t="s">
        <v>191</v>
      </c>
      <c r="J861">
        <v>2</v>
      </c>
      <c r="K861">
        <v>125.293546148508</v>
      </c>
      <c r="Z861"/>
    </row>
    <row r="862" spans="1:26" x14ac:dyDescent="0.25">
      <c r="A862" s="159" t="str">
        <f t="shared" si="40"/>
        <v>CR-Palo Alto and Los Altos-Sunnyvale and Mountain View-Social recreation</v>
      </c>
      <c r="B862">
        <v>8</v>
      </c>
      <c r="C862" t="str">
        <f t="shared" si="41"/>
        <v>Palo Alto and Los Altos</v>
      </c>
      <c r="D862">
        <v>9</v>
      </c>
      <c r="E862" t="str">
        <f t="shared" si="41"/>
        <v>Sunnyvale and Mountain View</v>
      </c>
      <c r="F862" t="s">
        <v>324</v>
      </c>
      <c r="G862">
        <f t="shared" si="39"/>
        <v>5</v>
      </c>
      <c r="H862" t="s">
        <v>125</v>
      </c>
      <c r="I862" t="s">
        <v>178</v>
      </c>
      <c r="J862">
        <v>5</v>
      </c>
      <c r="K862">
        <v>122.301877164206</v>
      </c>
      <c r="Z862"/>
    </row>
    <row r="863" spans="1:26" x14ac:dyDescent="0.25">
      <c r="A863" s="159" t="str">
        <f t="shared" si="40"/>
        <v>LB-Palo Alto and Los Altos-Sunnyvale and Mountain View-Social recreation</v>
      </c>
      <c r="B863">
        <v>8</v>
      </c>
      <c r="C863" t="str">
        <f t="shared" si="41"/>
        <v>Palo Alto and Los Altos</v>
      </c>
      <c r="D863">
        <v>9</v>
      </c>
      <c r="E863" t="str">
        <f t="shared" si="41"/>
        <v>Sunnyvale and Mountain View</v>
      </c>
      <c r="F863" t="s">
        <v>324</v>
      </c>
      <c r="G863">
        <f t="shared" si="39"/>
        <v>5</v>
      </c>
      <c r="H863" t="s">
        <v>359</v>
      </c>
      <c r="I863" t="s">
        <v>191</v>
      </c>
      <c r="J863">
        <v>2</v>
      </c>
      <c r="K863">
        <v>370.73359073359001</v>
      </c>
      <c r="Z863"/>
    </row>
    <row r="864" spans="1:26" x14ac:dyDescent="0.25">
      <c r="A864" s="159" t="str">
        <f t="shared" si="40"/>
        <v>CR-Palo Alto and Los Altos-Sunnyvale and Mountain View-Work</v>
      </c>
      <c r="B864">
        <v>8</v>
      </c>
      <c r="C864" t="str">
        <f t="shared" si="41"/>
        <v>Palo Alto and Los Altos</v>
      </c>
      <c r="D864">
        <v>9</v>
      </c>
      <c r="E864" t="str">
        <f t="shared" si="41"/>
        <v>Sunnyvale and Mountain View</v>
      </c>
      <c r="F864" t="s">
        <v>30</v>
      </c>
      <c r="G864">
        <f t="shared" si="39"/>
        <v>1</v>
      </c>
      <c r="H864" t="s">
        <v>125</v>
      </c>
      <c r="I864" t="s">
        <v>178</v>
      </c>
      <c r="J864">
        <v>9</v>
      </c>
      <c r="K864">
        <v>212.591021201628</v>
      </c>
      <c r="Z864"/>
    </row>
    <row r="865" spans="1:26" x14ac:dyDescent="0.25">
      <c r="A865" s="159" t="str">
        <f t="shared" si="40"/>
        <v>LR-Palo Alto and Los Altos-Sunnyvale and Mountain View-Work</v>
      </c>
      <c r="B865">
        <v>8</v>
      </c>
      <c r="C865" t="str">
        <f t="shared" si="41"/>
        <v>Palo Alto and Los Altos</v>
      </c>
      <c r="D865">
        <v>9</v>
      </c>
      <c r="E865" t="str">
        <f t="shared" si="41"/>
        <v>Sunnyvale and Mountain View</v>
      </c>
      <c r="F865" t="s">
        <v>30</v>
      </c>
      <c r="G865">
        <f t="shared" si="39"/>
        <v>1</v>
      </c>
      <c r="H865" t="s">
        <v>353</v>
      </c>
      <c r="I865" t="s">
        <v>194</v>
      </c>
      <c r="J865">
        <v>4</v>
      </c>
      <c r="K865">
        <v>250.587092297016</v>
      </c>
      <c r="Z865"/>
    </row>
    <row r="866" spans="1:26" x14ac:dyDescent="0.25">
      <c r="A866" s="159" t="str">
        <f t="shared" si="40"/>
        <v>LB-Palo Alto and Los Altos-Sunnyvale and Mountain View-Work</v>
      </c>
      <c r="B866">
        <v>8</v>
      </c>
      <c r="C866" t="str">
        <f t="shared" si="41"/>
        <v>Palo Alto and Los Altos</v>
      </c>
      <c r="D866">
        <v>9</v>
      </c>
      <c r="E866" t="str">
        <f t="shared" si="41"/>
        <v>Sunnyvale and Mountain View</v>
      </c>
      <c r="F866" t="s">
        <v>30</v>
      </c>
      <c r="G866">
        <f t="shared" si="39"/>
        <v>1</v>
      </c>
      <c r="H866" t="s">
        <v>359</v>
      </c>
      <c r="I866" t="s">
        <v>191</v>
      </c>
      <c r="J866">
        <v>5</v>
      </c>
      <c r="K866">
        <v>435.95388766381097</v>
      </c>
      <c r="Z866"/>
    </row>
    <row r="867" spans="1:26" x14ac:dyDescent="0.25">
      <c r="A867" s="159" t="str">
        <f t="shared" si="40"/>
        <v>LB-Palo Alto and Los Altos-Cupertino and Saratoga-Missing</v>
      </c>
      <c r="B867">
        <v>8</v>
      </c>
      <c r="C867" t="str">
        <f t="shared" si="41"/>
        <v>Palo Alto and Los Altos</v>
      </c>
      <c r="D867">
        <v>10</v>
      </c>
      <c r="E867" t="str">
        <f t="shared" si="41"/>
        <v>Cupertino and Saratoga</v>
      </c>
      <c r="F867" t="s">
        <v>327</v>
      </c>
      <c r="G867">
        <f t="shared" si="39"/>
        <v>0</v>
      </c>
      <c r="H867" t="s">
        <v>359</v>
      </c>
      <c r="I867" t="s">
        <v>191</v>
      </c>
      <c r="J867">
        <v>1</v>
      </c>
      <c r="K867">
        <v>62.646773074254</v>
      </c>
      <c r="Z867"/>
    </row>
    <row r="868" spans="1:26" x14ac:dyDescent="0.25">
      <c r="A868" s="159" t="str">
        <f t="shared" si="40"/>
        <v>LB-Palo Alto and Los Altos-Cupertino and Saratoga-Shopping</v>
      </c>
      <c r="B868">
        <v>8</v>
      </c>
      <c r="C868" t="str">
        <f t="shared" si="41"/>
        <v>Palo Alto and Los Altos</v>
      </c>
      <c r="D868">
        <v>10</v>
      </c>
      <c r="E868" t="str">
        <f t="shared" si="41"/>
        <v>Cupertino and Saratoga</v>
      </c>
      <c r="F868" t="s">
        <v>106</v>
      </c>
      <c r="G868">
        <f t="shared" si="39"/>
        <v>4</v>
      </c>
      <c r="H868" t="s">
        <v>359</v>
      </c>
      <c r="I868" t="s">
        <v>191</v>
      </c>
      <c r="J868">
        <v>1</v>
      </c>
      <c r="K868">
        <v>185.366795366795</v>
      </c>
      <c r="Z868"/>
    </row>
    <row r="869" spans="1:26" x14ac:dyDescent="0.25">
      <c r="A869" s="159" t="str">
        <f t="shared" si="40"/>
        <v>CR-Palo Alto and Los Altos-Cupertino and Saratoga-Work</v>
      </c>
      <c r="B869">
        <v>8</v>
      </c>
      <c r="C869" t="str">
        <f t="shared" si="41"/>
        <v>Palo Alto and Los Altos</v>
      </c>
      <c r="D869">
        <v>10</v>
      </c>
      <c r="E869" t="str">
        <f t="shared" si="41"/>
        <v>Cupertino and Saratoga</v>
      </c>
      <c r="F869" t="s">
        <v>30</v>
      </c>
      <c r="G869">
        <f t="shared" si="39"/>
        <v>1</v>
      </c>
      <c r="H869" t="s">
        <v>125</v>
      </c>
      <c r="I869" t="s">
        <v>178</v>
      </c>
      <c r="J869">
        <v>2</v>
      </c>
      <c r="K869">
        <v>46.861016949152599</v>
      </c>
      <c r="Z869"/>
    </row>
    <row r="870" spans="1:26" x14ac:dyDescent="0.25">
      <c r="A870" s="159" t="str">
        <f t="shared" si="40"/>
        <v>LB-Palo Alto and Los Altos-Cupertino and Saratoga-Work</v>
      </c>
      <c r="B870">
        <v>8</v>
      </c>
      <c r="C870" t="str">
        <f t="shared" si="41"/>
        <v>Palo Alto and Los Altos</v>
      </c>
      <c r="D870">
        <v>10</v>
      </c>
      <c r="E870" t="str">
        <f t="shared" si="41"/>
        <v>Cupertino and Saratoga</v>
      </c>
      <c r="F870" t="s">
        <v>30</v>
      </c>
      <c r="G870">
        <f t="shared" si="39"/>
        <v>1</v>
      </c>
      <c r="H870" t="s">
        <v>359</v>
      </c>
      <c r="I870" t="s">
        <v>191</v>
      </c>
      <c r="J870">
        <v>1</v>
      </c>
      <c r="K870">
        <v>185.366795366795</v>
      </c>
      <c r="Z870"/>
    </row>
    <row r="871" spans="1:26" x14ac:dyDescent="0.25">
      <c r="A871" s="159" t="str">
        <f t="shared" si="40"/>
        <v>CR-Palo Alto and Los Altos-Central San Jose-High school</v>
      </c>
      <c r="B871">
        <v>8</v>
      </c>
      <c r="C871" t="str">
        <f t="shared" si="41"/>
        <v>Palo Alto and Los Altos</v>
      </c>
      <c r="D871">
        <v>11</v>
      </c>
      <c r="E871" t="str">
        <f t="shared" si="41"/>
        <v>Central San Jose</v>
      </c>
      <c r="F871" t="s">
        <v>326</v>
      </c>
      <c r="G871">
        <f t="shared" si="39"/>
        <v>3</v>
      </c>
      <c r="H871" t="s">
        <v>125</v>
      </c>
      <c r="I871" t="s">
        <v>178</v>
      </c>
      <c r="J871">
        <v>3</v>
      </c>
      <c r="K871">
        <v>70.291525423728899</v>
      </c>
      <c r="Z871"/>
    </row>
    <row r="872" spans="1:26" x14ac:dyDescent="0.25">
      <c r="A872" s="159" t="str">
        <f t="shared" si="40"/>
        <v>LR-Palo Alto and Los Altos-Central San Jose-High school</v>
      </c>
      <c r="B872">
        <v>8</v>
      </c>
      <c r="C872" t="str">
        <f t="shared" si="41"/>
        <v>Palo Alto and Los Altos</v>
      </c>
      <c r="D872">
        <v>11</v>
      </c>
      <c r="E872" t="str">
        <f t="shared" si="41"/>
        <v>Central San Jose</v>
      </c>
      <c r="F872" t="s">
        <v>326</v>
      </c>
      <c r="G872">
        <f t="shared" si="39"/>
        <v>3</v>
      </c>
      <c r="H872" t="s">
        <v>353</v>
      </c>
      <c r="I872" t="s">
        <v>194</v>
      </c>
      <c r="J872">
        <v>1</v>
      </c>
      <c r="K872">
        <v>62.646773074254</v>
      </c>
      <c r="Z872"/>
    </row>
    <row r="873" spans="1:26" x14ac:dyDescent="0.25">
      <c r="A873" s="159" t="str">
        <f t="shared" si="40"/>
        <v>LB-Palo Alto and Los Altos-Central San Jose-High school</v>
      </c>
      <c r="B873">
        <v>8</v>
      </c>
      <c r="C873" t="str">
        <f t="shared" si="41"/>
        <v>Palo Alto and Los Altos</v>
      </c>
      <c r="D873">
        <v>11</v>
      </c>
      <c r="E873" t="str">
        <f t="shared" si="41"/>
        <v>Central San Jose</v>
      </c>
      <c r="F873" t="s">
        <v>326</v>
      </c>
      <c r="G873">
        <f t="shared" si="39"/>
        <v>3</v>
      </c>
      <c r="H873" t="s">
        <v>359</v>
      </c>
      <c r="I873" t="s">
        <v>191</v>
      </c>
      <c r="J873">
        <v>3</v>
      </c>
      <c r="K873">
        <v>187.94031922276201</v>
      </c>
      <c r="Z873"/>
    </row>
    <row r="874" spans="1:26" x14ac:dyDescent="0.25">
      <c r="A874" s="159" t="str">
        <f t="shared" si="40"/>
        <v>LB-Palo Alto and Los Altos-Central San Jose-Missing</v>
      </c>
      <c r="B874">
        <v>8</v>
      </c>
      <c r="C874" t="str">
        <f t="shared" si="41"/>
        <v>Palo Alto and Los Altos</v>
      </c>
      <c r="D874">
        <v>11</v>
      </c>
      <c r="E874" t="str">
        <f t="shared" si="41"/>
        <v>Central San Jose</v>
      </c>
      <c r="F874" t="s">
        <v>327</v>
      </c>
      <c r="G874">
        <f t="shared" si="39"/>
        <v>0</v>
      </c>
      <c r="H874" t="s">
        <v>359</v>
      </c>
      <c r="I874" t="s">
        <v>191</v>
      </c>
      <c r="J874">
        <v>4</v>
      </c>
      <c r="K874">
        <v>496.02713688209798</v>
      </c>
      <c r="Z874"/>
    </row>
    <row r="875" spans="1:26" x14ac:dyDescent="0.25">
      <c r="A875" s="159" t="str">
        <f t="shared" si="40"/>
        <v>LB-Palo Alto and Los Altos-Central San Jose-Other maintenance</v>
      </c>
      <c r="B875">
        <v>8</v>
      </c>
      <c r="C875" t="str">
        <f t="shared" si="41"/>
        <v>Palo Alto and Los Altos</v>
      </c>
      <c r="D875">
        <v>11</v>
      </c>
      <c r="E875" t="str">
        <f t="shared" si="41"/>
        <v>Central San Jose</v>
      </c>
      <c r="F875" t="s">
        <v>325</v>
      </c>
      <c r="G875">
        <f t="shared" si="39"/>
        <v>4</v>
      </c>
      <c r="H875" t="s">
        <v>359</v>
      </c>
      <c r="I875" t="s">
        <v>191</v>
      </c>
      <c r="J875">
        <v>1</v>
      </c>
      <c r="K875">
        <v>185.366795366795</v>
      </c>
      <c r="Z875"/>
    </row>
    <row r="876" spans="1:26" x14ac:dyDescent="0.25">
      <c r="A876" s="159" t="str">
        <f t="shared" si="40"/>
        <v>LB-Palo Alto and Los Altos-Central San Jose-Shopping</v>
      </c>
      <c r="B876">
        <v>8</v>
      </c>
      <c r="C876" t="str">
        <f t="shared" si="41"/>
        <v>Palo Alto and Los Altos</v>
      </c>
      <c r="D876">
        <v>11</v>
      </c>
      <c r="E876" t="str">
        <f t="shared" si="41"/>
        <v>Central San Jose</v>
      </c>
      <c r="F876" t="s">
        <v>106</v>
      </c>
      <c r="G876">
        <f t="shared" si="39"/>
        <v>4</v>
      </c>
      <c r="H876" t="s">
        <v>359</v>
      </c>
      <c r="I876" t="s">
        <v>191</v>
      </c>
      <c r="J876">
        <v>1</v>
      </c>
      <c r="K876">
        <v>185.366795366795</v>
      </c>
      <c r="Z876"/>
    </row>
    <row r="877" spans="1:26" x14ac:dyDescent="0.25">
      <c r="A877" s="159" t="str">
        <f t="shared" si="40"/>
        <v>LR-Palo Alto and Los Altos-Central San Jose-Social recreation</v>
      </c>
      <c r="B877">
        <v>8</v>
      </c>
      <c r="C877" t="str">
        <f t="shared" si="41"/>
        <v>Palo Alto and Los Altos</v>
      </c>
      <c r="D877">
        <v>11</v>
      </c>
      <c r="E877" t="str">
        <f t="shared" si="41"/>
        <v>Central San Jose</v>
      </c>
      <c r="F877" t="s">
        <v>324</v>
      </c>
      <c r="G877">
        <f t="shared" si="39"/>
        <v>5</v>
      </c>
      <c r="H877" t="s">
        <v>353</v>
      </c>
      <c r="I877" t="s">
        <v>194</v>
      </c>
      <c r="J877">
        <v>1</v>
      </c>
      <c r="K877">
        <v>185.366795366795</v>
      </c>
      <c r="Z877"/>
    </row>
    <row r="878" spans="1:26" x14ac:dyDescent="0.25">
      <c r="A878" s="159" t="str">
        <f t="shared" si="40"/>
        <v>LB-Palo Alto and Los Altos-Central San Jose-Social recreation</v>
      </c>
      <c r="B878">
        <v>8</v>
      </c>
      <c r="C878" t="str">
        <f t="shared" si="41"/>
        <v>Palo Alto and Los Altos</v>
      </c>
      <c r="D878">
        <v>11</v>
      </c>
      <c r="E878" t="str">
        <f t="shared" si="41"/>
        <v>Central San Jose</v>
      </c>
      <c r="F878" t="s">
        <v>324</v>
      </c>
      <c r="G878">
        <f t="shared" si="39"/>
        <v>5</v>
      </c>
      <c r="H878" t="s">
        <v>359</v>
      </c>
      <c r="I878" t="s">
        <v>191</v>
      </c>
      <c r="J878">
        <v>1</v>
      </c>
      <c r="K878">
        <v>185.366795366795</v>
      </c>
      <c r="Z878"/>
    </row>
    <row r="879" spans="1:26" x14ac:dyDescent="0.25">
      <c r="A879" s="159" t="str">
        <f t="shared" si="40"/>
        <v>CR-Palo Alto and Los Altos-Central San Jose-Work</v>
      </c>
      <c r="B879">
        <v>8</v>
      </c>
      <c r="C879" t="str">
        <f t="shared" si="41"/>
        <v>Palo Alto and Los Altos</v>
      </c>
      <c r="D879">
        <v>11</v>
      </c>
      <c r="E879" t="str">
        <f t="shared" si="41"/>
        <v>Central San Jose</v>
      </c>
      <c r="F879" t="s">
        <v>30</v>
      </c>
      <c r="G879">
        <f t="shared" si="39"/>
        <v>1</v>
      </c>
      <c r="H879" t="s">
        <v>125</v>
      </c>
      <c r="I879" t="s">
        <v>178</v>
      </c>
      <c r="J879">
        <v>17</v>
      </c>
      <c r="K879">
        <v>398.31864406779698</v>
      </c>
      <c r="Z879"/>
    </row>
    <row r="880" spans="1:26" x14ac:dyDescent="0.25">
      <c r="A880" s="159" t="str">
        <f t="shared" si="40"/>
        <v>LR-Palo Alto and Los Altos-Central San Jose-Work</v>
      </c>
      <c r="B880">
        <v>8</v>
      </c>
      <c r="C880" t="str">
        <f t="shared" si="41"/>
        <v>Palo Alto and Los Altos</v>
      </c>
      <c r="D880">
        <v>11</v>
      </c>
      <c r="E880" t="str">
        <f t="shared" si="41"/>
        <v>Central San Jose</v>
      </c>
      <c r="F880" t="s">
        <v>30</v>
      </c>
      <c r="G880">
        <f t="shared" si="39"/>
        <v>1</v>
      </c>
      <c r="H880" t="s">
        <v>353</v>
      </c>
      <c r="I880" t="s">
        <v>194</v>
      </c>
      <c r="J880">
        <v>3</v>
      </c>
      <c r="K880">
        <v>187.94031922276201</v>
      </c>
      <c r="Z880"/>
    </row>
    <row r="881" spans="1:26" x14ac:dyDescent="0.25">
      <c r="A881" s="159" t="str">
        <f t="shared" si="40"/>
        <v>LB-Palo Alto and Los Altos-Central San Jose-Work</v>
      </c>
      <c r="B881">
        <v>8</v>
      </c>
      <c r="C881" t="str">
        <f t="shared" si="41"/>
        <v>Palo Alto and Los Altos</v>
      </c>
      <c r="D881">
        <v>11</v>
      </c>
      <c r="E881" t="str">
        <f t="shared" si="41"/>
        <v>Central San Jose</v>
      </c>
      <c r="F881" t="s">
        <v>30</v>
      </c>
      <c r="G881">
        <f t="shared" si="39"/>
        <v>1</v>
      </c>
      <c r="H881" t="s">
        <v>359</v>
      </c>
      <c r="I881" t="s">
        <v>191</v>
      </c>
      <c r="J881">
        <v>3</v>
      </c>
      <c r="K881">
        <v>187.94031922276201</v>
      </c>
      <c r="Z881"/>
    </row>
    <row r="882" spans="1:26" x14ac:dyDescent="0.25">
      <c r="A882" s="159" t="str">
        <f t="shared" si="40"/>
        <v>LR-Palo Alto and Los Altos-Milpitas and East San Jose-Other maintenance</v>
      </c>
      <c r="B882">
        <v>8</v>
      </c>
      <c r="C882" t="str">
        <f t="shared" si="41"/>
        <v>Palo Alto and Los Altos</v>
      </c>
      <c r="D882">
        <v>12</v>
      </c>
      <c r="E882" t="str">
        <f t="shared" si="41"/>
        <v>Milpitas and East San Jose</v>
      </c>
      <c r="F882" t="s">
        <v>325</v>
      </c>
      <c r="G882">
        <f t="shared" si="39"/>
        <v>4</v>
      </c>
      <c r="H882" t="s">
        <v>353</v>
      </c>
      <c r="I882" t="s">
        <v>194</v>
      </c>
      <c r="J882">
        <v>1</v>
      </c>
      <c r="K882">
        <v>62.646773074254</v>
      </c>
      <c r="Z882"/>
    </row>
    <row r="883" spans="1:26" x14ac:dyDescent="0.25">
      <c r="A883" s="159" t="str">
        <f t="shared" si="40"/>
        <v>LR-Palo Alto and Los Altos-Milpitas and East San Jose-Work</v>
      </c>
      <c r="B883">
        <v>8</v>
      </c>
      <c r="C883" t="str">
        <f t="shared" si="41"/>
        <v>Palo Alto and Los Altos</v>
      </c>
      <c r="D883">
        <v>12</v>
      </c>
      <c r="E883" t="str">
        <f t="shared" si="41"/>
        <v>Milpitas and East San Jose</v>
      </c>
      <c r="F883" t="s">
        <v>30</v>
      </c>
      <c r="G883">
        <f t="shared" si="39"/>
        <v>1</v>
      </c>
      <c r="H883" t="s">
        <v>353</v>
      </c>
      <c r="I883" t="s">
        <v>194</v>
      </c>
      <c r="J883">
        <v>3</v>
      </c>
      <c r="K883">
        <v>187.94031922276201</v>
      </c>
      <c r="Z883"/>
    </row>
    <row r="884" spans="1:26" x14ac:dyDescent="0.25">
      <c r="A884" s="159" t="str">
        <f t="shared" si="40"/>
        <v>LB-Palo Alto and Los Altos-Milpitas and East San Jose-Work</v>
      </c>
      <c r="B884">
        <v>8</v>
      </c>
      <c r="C884" t="str">
        <f t="shared" si="41"/>
        <v>Palo Alto and Los Altos</v>
      </c>
      <c r="D884">
        <v>12</v>
      </c>
      <c r="E884" t="str">
        <f t="shared" si="41"/>
        <v>Milpitas and East San Jose</v>
      </c>
      <c r="F884" t="s">
        <v>30</v>
      </c>
      <c r="G884">
        <f t="shared" si="39"/>
        <v>1</v>
      </c>
      <c r="H884" t="s">
        <v>359</v>
      </c>
      <c r="I884" t="s">
        <v>191</v>
      </c>
      <c r="J884">
        <v>1</v>
      </c>
      <c r="K884">
        <v>62.646773074254</v>
      </c>
      <c r="Z884"/>
    </row>
    <row r="885" spans="1:26" x14ac:dyDescent="0.25">
      <c r="A885" s="159" t="str">
        <f t="shared" si="40"/>
        <v>CR-Palo Alto and Los Altos-Gilroy and Morgan Hill-Work</v>
      </c>
      <c r="B885">
        <v>8</v>
      </c>
      <c r="C885" t="str">
        <f t="shared" si="41"/>
        <v>Palo Alto and Los Altos</v>
      </c>
      <c r="D885">
        <v>14</v>
      </c>
      <c r="E885" t="str">
        <f t="shared" si="41"/>
        <v>Gilroy and Morgan Hill</v>
      </c>
      <c r="F885" t="s">
        <v>30</v>
      </c>
      <c r="G885">
        <f t="shared" si="39"/>
        <v>1</v>
      </c>
      <c r="H885" t="s">
        <v>125</v>
      </c>
      <c r="I885" t="s">
        <v>178</v>
      </c>
      <c r="J885">
        <v>2</v>
      </c>
      <c r="K885">
        <v>46.861016949152599</v>
      </c>
      <c r="Z885"/>
    </row>
    <row r="886" spans="1:26" x14ac:dyDescent="0.25">
      <c r="A886" s="159" t="str">
        <f t="shared" si="40"/>
        <v>LR-Palo Alto and Los Altos-Fremont and Union City-High school</v>
      </c>
      <c r="B886">
        <v>8</v>
      </c>
      <c r="C886" t="str">
        <f t="shared" si="41"/>
        <v>Palo Alto and Los Altos</v>
      </c>
      <c r="D886">
        <v>16</v>
      </c>
      <c r="E886" t="str">
        <f t="shared" si="41"/>
        <v>Fremont and Union City</v>
      </c>
      <c r="F886" t="s">
        <v>326</v>
      </c>
      <c r="G886">
        <f t="shared" si="39"/>
        <v>3</v>
      </c>
      <c r="H886" t="s">
        <v>353</v>
      </c>
      <c r="I886" t="s">
        <v>194</v>
      </c>
      <c r="J886">
        <v>1</v>
      </c>
      <c r="K886">
        <v>62.646773074254</v>
      </c>
      <c r="Z886"/>
    </row>
    <row r="887" spans="1:26" x14ac:dyDescent="0.25">
      <c r="A887" s="159" t="str">
        <f t="shared" si="40"/>
        <v>EB-Palo Alto and Los Altos-Fremont and Union City-Missing</v>
      </c>
      <c r="B887">
        <v>8</v>
      </c>
      <c r="C887" t="str">
        <f t="shared" si="41"/>
        <v>Palo Alto and Los Altos</v>
      </c>
      <c r="D887">
        <v>16</v>
      </c>
      <c r="E887" t="str">
        <f t="shared" si="41"/>
        <v>Fremont and Union City</v>
      </c>
      <c r="F887" t="s">
        <v>327</v>
      </c>
      <c r="G887">
        <f t="shared" si="39"/>
        <v>0</v>
      </c>
      <c r="H887" t="s">
        <v>123</v>
      </c>
      <c r="I887" t="s">
        <v>182</v>
      </c>
      <c r="J887">
        <v>1</v>
      </c>
      <c r="K887">
        <v>3.8990384615384599</v>
      </c>
      <c r="Z887"/>
    </row>
    <row r="888" spans="1:26" x14ac:dyDescent="0.25">
      <c r="A888" s="159" t="str">
        <f t="shared" si="40"/>
        <v>EB-Palo Alto and Los Altos-Fremont and Union City-Other maintenance</v>
      </c>
      <c r="B888">
        <v>8</v>
      </c>
      <c r="C888" t="str">
        <f t="shared" si="41"/>
        <v>Palo Alto and Los Altos</v>
      </c>
      <c r="D888">
        <v>16</v>
      </c>
      <c r="E888" t="str">
        <f t="shared" si="41"/>
        <v>Fremont and Union City</v>
      </c>
      <c r="F888" t="s">
        <v>325</v>
      </c>
      <c r="G888">
        <f t="shared" si="39"/>
        <v>4</v>
      </c>
      <c r="H888" t="s">
        <v>123</v>
      </c>
      <c r="I888" t="s">
        <v>182</v>
      </c>
      <c r="J888">
        <v>1</v>
      </c>
      <c r="K888">
        <v>3.8990384615384599</v>
      </c>
      <c r="Z888"/>
    </row>
    <row r="889" spans="1:26" x14ac:dyDescent="0.25">
      <c r="A889" s="159" t="str">
        <f t="shared" si="40"/>
        <v>LR-Palo Alto and Los Altos-Fremont and Union City-Other maintenance</v>
      </c>
      <c r="B889">
        <v>8</v>
      </c>
      <c r="C889" t="str">
        <f t="shared" si="41"/>
        <v>Palo Alto and Los Altos</v>
      </c>
      <c r="D889">
        <v>16</v>
      </c>
      <c r="E889" t="str">
        <f t="shared" si="41"/>
        <v>Fremont and Union City</v>
      </c>
      <c r="F889" t="s">
        <v>325</v>
      </c>
      <c r="G889">
        <f t="shared" si="39"/>
        <v>4</v>
      </c>
      <c r="H889" t="s">
        <v>353</v>
      </c>
      <c r="I889" t="s">
        <v>194</v>
      </c>
      <c r="J889">
        <v>1</v>
      </c>
      <c r="K889">
        <v>62.646773074254</v>
      </c>
      <c r="Z889"/>
    </row>
    <row r="890" spans="1:26" x14ac:dyDescent="0.25">
      <c r="A890" s="159" t="str">
        <f t="shared" si="40"/>
        <v>EB-Palo Alto and Los Altos-Fremont and Union City-Shopping</v>
      </c>
      <c r="B890">
        <v>8</v>
      </c>
      <c r="C890" t="str">
        <f t="shared" si="41"/>
        <v>Palo Alto and Los Altos</v>
      </c>
      <c r="D890">
        <v>16</v>
      </c>
      <c r="E890" t="str">
        <f t="shared" si="41"/>
        <v>Fremont and Union City</v>
      </c>
      <c r="F890" t="s">
        <v>106</v>
      </c>
      <c r="G890">
        <f t="shared" si="39"/>
        <v>4</v>
      </c>
      <c r="H890" t="s">
        <v>123</v>
      </c>
      <c r="I890" t="s">
        <v>182</v>
      </c>
      <c r="J890">
        <v>2</v>
      </c>
      <c r="K890">
        <v>7.7980769230769198</v>
      </c>
      <c r="Z890"/>
    </row>
    <row r="891" spans="1:26" x14ac:dyDescent="0.25">
      <c r="A891" s="159" t="str">
        <f t="shared" si="40"/>
        <v>EB-Palo Alto and Los Altos-Fremont and Union City-Social recreation</v>
      </c>
      <c r="B891">
        <v>8</v>
      </c>
      <c r="C891" t="str">
        <f t="shared" si="41"/>
        <v>Palo Alto and Los Altos</v>
      </c>
      <c r="D891">
        <v>16</v>
      </c>
      <c r="E891" t="str">
        <f t="shared" si="41"/>
        <v>Fremont and Union City</v>
      </c>
      <c r="F891" t="s">
        <v>324</v>
      </c>
      <c r="G891">
        <f t="shared" si="39"/>
        <v>5</v>
      </c>
      <c r="H891" t="s">
        <v>123</v>
      </c>
      <c r="I891" t="s">
        <v>182</v>
      </c>
      <c r="J891">
        <v>1</v>
      </c>
      <c r="K891">
        <v>3.8990384615384599</v>
      </c>
      <c r="Z891"/>
    </row>
    <row r="892" spans="1:26" x14ac:dyDescent="0.25">
      <c r="A892" s="159" t="str">
        <f t="shared" si="40"/>
        <v>EB-Palo Alto and Los Altos-Fremont and Union City-Work</v>
      </c>
      <c r="B892">
        <v>8</v>
      </c>
      <c r="C892" t="str">
        <f t="shared" si="41"/>
        <v>Palo Alto and Los Altos</v>
      </c>
      <c r="D892">
        <v>16</v>
      </c>
      <c r="E892" t="str">
        <f t="shared" si="41"/>
        <v>Fremont and Union City</v>
      </c>
      <c r="F892" t="s">
        <v>30</v>
      </c>
      <c r="G892">
        <f t="shared" si="39"/>
        <v>1</v>
      </c>
      <c r="H892" t="s">
        <v>123</v>
      </c>
      <c r="I892" t="s">
        <v>182</v>
      </c>
      <c r="J892">
        <v>21</v>
      </c>
      <c r="K892">
        <v>81.879807692307594</v>
      </c>
      <c r="Z892"/>
    </row>
    <row r="893" spans="1:26" x14ac:dyDescent="0.25">
      <c r="A893" s="159" t="str">
        <f t="shared" si="40"/>
        <v>HR-Palo Alto and Los Altos-Fremont and Union City-Work</v>
      </c>
      <c r="B893">
        <v>8</v>
      </c>
      <c r="C893" t="str">
        <f t="shared" si="41"/>
        <v>Palo Alto and Los Altos</v>
      </c>
      <c r="D893">
        <v>16</v>
      </c>
      <c r="E893" t="str">
        <f t="shared" si="41"/>
        <v>Fremont and Union City</v>
      </c>
      <c r="F893" t="s">
        <v>30</v>
      </c>
      <c r="G893">
        <f t="shared" si="39"/>
        <v>1</v>
      </c>
      <c r="H893" t="s">
        <v>124</v>
      </c>
      <c r="I893" t="s">
        <v>188</v>
      </c>
      <c r="J893">
        <v>1</v>
      </c>
      <c r="K893">
        <v>95.822099447513807</v>
      </c>
      <c r="Z893"/>
    </row>
    <row r="894" spans="1:26" x14ac:dyDescent="0.25">
      <c r="A894" s="159" t="str">
        <f t="shared" si="40"/>
        <v>EB-Palo Alto and Los Altos-Hayward and San Leandro-Other maintenance</v>
      </c>
      <c r="B894">
        <v>8</v>
      </c>
      <c r="C894" t="str">
        <f t="shared" si="41"/>
        <v>Palo Alto and Los Altos</v>
      </c>
      <c r="D894">
        <v>17</v>
      </c>
      <c r="E894" t="str">
        <f t="shared" si="41"/>
        <v>Hayward and San Leandro</v>
      </c>
      <c r="F894" t="s">
        <v>325</v>
      </c>
      <c r="G894">
        <f t="shared" si="39"/>
        <v>4</v>
      </c>
      <c r="H894" t="s">
        <v>123</v>
      </c>
      <c r="I894" t="s">
        <v>182</v>
      </c>
      <c r="J894">
        <v>1</v>
      </c>
      <c r="K894">
        <v>3.8990384615384599</v>
      </c>
      <c r="Z894"/>
    </row>
    <row r="895" spans="1:26" x14ac:dyDescent="0.25">
      <c r="A895" s="159" t="str">
        <f t="shared" si="40"/>
        <v>EB-Palo Alto and Los Altos-Hayward and San Leandro-Work</v>
      </c>
      <c r="B895">
        <v>8</v>
      </c>
      <c r="C895" t="str">
        <f t="shared" si="41"/>
        <v>Palo Alto and Los Altos</v>
      </c>
      <c r="D895">
        <v>17</v>
      </c>
      <c r="E895" t="str">
        <f t="shared" si="41"/>
        <v>Hayward and San Leandro</v>
      </c>
      <c r="F895" t="s">
        <v>30</v>
      </c>
      <c r="G895">
        <f t="shared" si="39"/>
        <v>1</v>
      </c>
      <c r="H895" t="s">
        <v>123</v>
      </c>
      <c r="I895" t="s">
        <v>182</v>
      </c>
      <c r="J895">
        <v>4</v>
      </c>
      <c r="K895">
        <v>15.596153846153801</v>
      </c>
      <c r="Z895"/>
    </row>
    <row r="896" spans="1:26" x14ac:dyDescent="0.25">
      <c r="A896" s="159" t="str">
        <f t="shared" si="40"/>
        <v>LB-Palo Alto and Los Altos-Hayward and San Leandro-Work</v>
      </c>
      <c r="B896">
        <v>8</v>
      </c>
      <c r="C896" t="str">
        <f t="shared" si="41"/>
        <v>Palo Alto and Los Altos</v>
      </c>
      <c r="D896">
        <v>17</v>
      </c>
      <c r="E896" t="str">
        <f t="shared" si="41"/>
        <v>Hayward and San Leandro</v>
      </c>
      <c r="F896" t="s">
        <v>30</v>
      </c>
      <c r="G896">
        <f t="shared" si="39"/>
        <v>1</v>
      </c>
      <c r="H896" t="s">
        <v>359</v>
      </c>
      <c r="I896" t="s">
        <v>191</v>
      </c>
      <c r="J896">
        <v>1</v>
      </c>
      <c r="K896">
        <v>62.646773074254</v>
      </c>
      <c r="Z896"/>
    </row>
    <row r="897" spans="1:26" x14ac:dyDescent="0.25">
      <c r="A897" s="159" t="str">
        <f t="shared" si="40"/>
        <v>CR-Palo Alto and Los Altos-Oakland and Alameda-Missing</v>
      </c>
      <c r="B897">
        <v>8</v>
      </c>
      <c r="C897" t="str">
        <f t="shared" si="41"/>
        <v>Palo Alto and Los Altos</v>
      </c>
      <c r="D897">
        <v>18</v>
      </c>
      <c r="E897" t="str">
        <f t="shared" si="41"/>
        <v>Oakland and Alameda</v>
      </c>
      <c r="F897" t="s">
        <v>327</v>
      </c>
      <c r="G897">
        <f t="shared" si="39"/>
        <v>0</v>
      </c>
      <c r="H897" t="s">
        <v>125</v>
      </c>
      <c r="I897" t="s">
        <v>178</v>
      </c>
      <c r="J897">
        <v>1</v>
      </c>
      <c r="K897">
        <v>25.1469534050179</v>
      </c>
      <c r="Z897"/>
    </row>
    <row r="898" spans="1:26" x14ac:dyDescent="0.25">
      <c r="A898" s="159" t="str">
        <f t="shared" si="40"/>
        <v>HR-Palo Alto and Los Altos-Oakland and Alameda-Other maintenance</v>
      </c>
      <c r="B898">
        <v>8</v>
      </c>
      <c r="C898" t="str">
        <f t="shared" si="41"/>
        <v>Palo Alto and Los Altos</v>
      </c>
      <c r="D898">
        <v>18</v>
      </c>
      <c r="E898" t="str">
        <f t="shared" si="41"/>
        <v>Oakland and Alameda</v>
      </c>
      <c r="F898" t="s">
        <v>325</v>
      </c>
      <c r="G898">
        <f t="shared" ref="G898:G961" si="42">VLOOKUP(F898,$V$2:$X$10, 3,FALSE)</f>
        <v>4</v>
      </c>
      <c r="H898" t="s">
        <v>124</v>
      </c>
      <c r="I898" t="s">
        <v>188</v>
      </c>
      <c r="J898">
        <v>1</v>
      </c>
      <c r="K898">
        <v>95.822099447513807</v>
      </c>
      <c r="Z898"/>
    </row>
    <row r="899" spans="1:26" x14ac:dyDescent="0.25">
      <c r="A899" s="159" t="str">
        <f t="shared" ref="A899:A962" si="43" xml:space="preserve"> CONCATENATE(I899,"-",C899, "-",E899, "-",F899,)</f>
        <v>EB-Palo Alto and Los Altos-Oakland and Alameda-Work</v>
      </c>
      <c r="B899">
        <v>8</v>
      </c>
      <c r="C899" t="str">
        <f t="shared" ref="C899:E962" si="44">VLOOKUP(B899,$S$2:$T$35,2,FALSE)</f>
        <v>Palo Alto and Los Altos</v>
      </c>
      <c r="D899">
        <v>18</v>
      </c>
      <c r="E899" t="str">
        <f t="shared" si="44"/>
        <v>Oakland and Alameda</v>
      </c>
      <c r="F899" t="s">
        <v>30</v>
      </c>
      <c r="G899">
        <f t="shared" si="42"/>
        <v>1</v>
      </c>
      <c r="H899" t="s">
        <v>123</v>
      </c>
      <c r="I899" t="s">
        <v>182</v>
      </c>
      <c r="J899">
        <v>3</v>
      </c>
      <c r="K899">
        <v>11.6971153846153</v>
      </c>
      <c r="Z899"/>
    </row>
    <row r="900" spans="1:26" x14ac:dyDescent="0.25">
      <c r="A900" s="159" t="str">
        <f t="shared" si="43"/>
        <v>LR-Palo Alto and Los Altos-Oakland and Alameda-Work</v>
      </c>
      <c r="B900">
        <v>8</v>
      </c>
      <c r="C900" t="str">
        <f t="shared" si="44"/>
        <v>Palo Alto and Los Altos</v>
      </c>
      <c r="D900">
        <v>18</v>
      </c>
      <c r="E900" t="str">
        <f t="shared" si="44"/>
        <v>Oakland and Alameda</v>
      </c>
      <c r="F900" t="s">
        <v>30</v>
      </c>
      <c r="G900">
        <f t="shared" si="42"/>
        <v>1</v>
      </c>
      <c r="H900" t="s">
        <v>353</v>
      </c>
      <c r="I900" t="s">
        <v>194</v>
      </c>
      <c r="J900">
        <v>1</v>
      </c>
      <c r="K900">
        <v>62.646773074254</v>
      </c>
      <c r="Z900"/>
    </row>
    <row r="901" spans="1:26" x14ac:dyDescent="0.25">
      <c r="A901" s="159" t="str">
        <f t="shared" si="43"/>
        <v>EB-Palo Alto and Los Altos-Berkeley and Albany-High school</v>
      </c>
      <c r="B901">
        <v>8</v>
      </c>
      <c r="C901" t="str">
        <f t="shared" si="44"/>
        <v>Palo Alto and Los Altos</v>
      </c>
      <c r="D901">
        <v>19</v>
      </c>
      <c r="E901" t="str">
        <f t="shared" si="44"/>
        <v>Berkeley and Albany</v>
      </c>
      <c r="F901" t="s">
        <v>326</v>
      </c>
      <c r="G901">
        <f t="shared" si="42"/>
        <v>3</v>
      </c>
      <c r="H901" t="s">
        <v>123</v>
      </c>
      <c r="I901" t="s">
        <v>182</v>
      </c>
      <c r="J901">
        <v>1</v>
      </c>
      <c r="K901">
        <v>3.8990384615384599</v>
      </c>
      <c r="Z901"/>
    </row>
    <row r="902" spans="1:26" x14ac:dyDescent="0.25">
      <c r="A902" s="159" t="str">
        <f t="shared" si="43"/>
        <v>EB-Palo Alto and Los Altos-Berkeley and Albany-Social recreation</v>
      </c>
      <c r="B902">
        <v>8</v>
      </c>
      <c r="C902" t="str">
        <f t="shared" si="44"/>
        <v>Palo Alto and Los Altos</v>
      </c>
      <c r="D902">
        <v>19</v>
      </c>
      <c r="E902" t="str">
        <f t="shared" si="44"/>
        <v>Berkeley and Albany</v>
      </c>
      <c r="F902" t="s">
        <v>324</v>
      </c>
      <c r="G902">
        <f t="shared" si="42"/>
        <v>5</v>
      </c>
      <c r="H902" t="s">
        <v>123</v>
      </c>
      <c r="I902" t="s">
        <v>182</v>
      </c>
      <c r="J902">
        <v>1</v>
      </c>
      <c r="K902">
        <v>3.8990384615384599</v>
      </c>
      <c r="Z902"/>
    </row>
    <row r="903" spans="1:26" x14ac:dyDescent="0.25">
      <c r="A903" s="159" t="str">
        <f t="shared" si="43"/>
        <v>LB-Palo Alto and Los Altos-Berkeley and Albany-Social recreation</v>
      </c>
      <c r="B903">
        <v>8</v>
      </c>
      <c r="C903" t="str">
        <f t="shared" si="44"/>
        <v>Palo Alto and Los Altos</v>
      </c>
      <c r="D903">
        <v>19</v>
      </c>
      <c r="E903" t="str">
        <f t="shared" si="44"/>
        <v>Berkeley and Albany</v>
      </c>
      <c r="F903" t="s">
        <v>324</v>
      </c>
      <c r="G903">
        <f t="shared" si="42"/>
        <v>5</v>
      </c>
      <c r="H903" t="s">
        <v>359</v>
      </c>
      <c r="I903" t="s">
        <v>191</v>
      </c>
      <c r="J903">
        <v>1</v>
      </c>
      <c r="K903">
        <v>75.575262543757304</v>
      </c>
      <c r="Z903"/>
    </row>
    <row r="904" spans="1:26" x14ac:dyDescent="0.25">
      <c r="A904" s="159" t="str">
        <f t="shared" si="43"/>
        <v>CR-Palo Alto and Los Altos-Berkeley and Albany-Work</v>
      </c>
      <c r="B904">
        <v>8</v>
      </c>
      <c r="C904" t="str">
        <f t="shared" si="44"/>
        <v>Palo Alto and Los Altos</v>
      </c>
      <c r="D904">
        <v>19</v>
      </c>
      <c r="E904" t="str">
        <f t="shared" si="44"/>
        <v>Berkeley and Albany</v>
      </c>
      <c r="F904" t="s">
        <v>30</v>
      </c>
      <c r="G904">
        <f t="shared" si="42"/>
        <v>1</v>
      </c>
      <c r="H904" t="s">
        <v>125</v>
      </c>
      <c r="I904" t="s">
        <v>178</v>
      </c>
      <c r="J904">
        <v>1</v>
      </c>
      <c r="K904">
        <v>23.4305084745763</v>
      </c>
      <c r="Z904"/>
    </row>
    <row r="905" spans="1:26" x14ac:dyDescent="0.25">
      <c r="A905" s="159" t="str">
        <f t="shared" si="43"/>
        <v>EB-Palo Alto and Los Altos-Berkeley and Albany-Work</v>
      </c>
      <c r="B905">
        <v>8</v>
      </c>
      <c r="C905" t="str">
        <f t="shared" si="44"/>
        <v>Palo Alto and Los Altos</v>
      </c>
      <c r="D905">
        <v>19</v>
      </c>
      <c r="E905" t="str">
        <f t="shared" si="44"/>
        <v>Berkeley and Albany</v>
      </c>
      <c r="F905" t="s">
        <v>30</v>
      </c>
      <c r="G905">
        <f t="shared" si="42"/>
        <v>1</v>
      </c>
      <c r="H905" t="s">
        <v>123</v>
      </c>
      <c r="I905" t="s">
        <v>182</v>
      </c>
      <c r="J905">
        <v>1</v>
      </c>
      <c r="K905">
        <v>3.8990384615384599</v>
      </c>
      <c r="Z905"/>
    </row>
    <row r="906" spans="1:26" x14ac:dyDescent="0.25">
      <c r="A906" s="159" t="str">
        <f t="shared" si="43"/>
        <v>CR-Palo Alto and Los Altos-Richmond and El Cerrito-Work</v>
      </c>
      <c r="B906">
        <v>8</v>
      </c>
      <c r="C906" t="str">
        <f t="shared" si="44"/>
        <v>Palo Alto and Los Altos</v>
      </c>
      <c r="D906">
        <v>20</v>
      </c>
      <c r="E906" t="str">
        <f t="shared" si="44"/>
        <v>Richmond and El Cerrito</v>
      </c>
      <c r="F906" t="s">
        <v>30</v>
      </c>
      <c r="G906">
        <f t="shared" si="42"/>
        <v>1</v>
      </c>
      <c r="H906" t="s">
        <v>125</v>
      </c>
      <c r="I906" t="s">
        <v>178</v>
      </c>
      <c r="J906">
        <v>1</v>
      </c>
      <c r="K906">
        <v>23.4305084745763</v>
      </c>
      <c r="Z906"/>
    </row>
    <row r="907" spans="1:26" x14ac:dyDescent="0.25">
      <c r="A907" s="159" t="str">
        <f t="shared" si="43"/>
        <v>LB-Palo Alto and Los Altos-Concord and Martinez-Missing</v>
      </c>
      <c r="B907">
        <v>8</v>
      </c>
      <c r="C907" t="str">
        <f t="shared" si="44"/>
        <v>Palo Alto and Los Altos</v>
      </c>
      <c r="D907">
        <v>21</v>
      </c>
      <c r="E907" t="str">
        <f t="shared" si="44"/>
        <v>Concord and Martinez</v>
      </c>
      <c r="F907" t="s">
        <v>327</v>
      </c>
      <c r="G907">
        <f t="shared" si="42"/>
        <v>0</v>
      </c>
      <c r="H907" t="s">
        <v>359</v>
      </c>
      <c r="I907" t="s">
        <v>191</v>
      </c>
      <c r="J907">
        <v>1</v>
      </c>
      <c r="K907">
        <v>19.727984344422701</v>
      </c>
      <c r="Z907"/>
    </row>
    <row r="908" spans="1:26" x14ac:dyDescent="0.25">
      <c r="A908" s="159" t="str">
        <f t="shared" si="43"/>
        <v>LB-Palo Alto and Los Altos-Napa-Work</v>
      </c>
      <c r="B908">
        <v>8</v>
      </c>
      <c r="C908" t="str">
        <f t="shared" si="44"/>
        <v>Palo Alto and Los Altos</v>
      </c>
      <c r="D908">
        <v>27</v>
      </c>
      <c r="E908" t="str">
        <f t="shared" si="44"/>
        <v>Napa</v>
      </c>
      <c r="F908" t="s">
        <v>30</v>
      </c>
      <c r="G908">
        <f t="shared" si="42"/>
        <v>1</v>
      </c>
      <c r="H908" t="s">
        <v>359</v>
      </c>
      <c r="I908" t="s">
        <v>191</v>
      </c>
      <c r="J908">
        <v>1</v>
      </c>
      <c r="K908">
        <v>62.646773074254</v>
      </c>
      <c r="Z908"/>
    </row>
    <row r="909" spans="1:26" x14ac:dyDescent="0.25">
      <c r="A909" s="159" t="str">
        <f t="shared" si="43"/>
        <v>CR-Palo Alto and Los Altos-Santa Rosa and Sebastopol-Social recreation</v>
      </c>
      <c r="B909">
        <v>8</v>
      </c>
      <c r="C909" t="str">
        <f t="shared" si="44"/>
        <v>Palo Alto and Los Altos</v>
      </c>
      <c r="D909">
        <v>30</v>
      </c>
      <c r="E909" t="str">
        <f t="shared" si="44"/>
        <v>Santa Rosa and Sebastopol</v>
      </c>
      <c r="F909" t="s">
        <v>324</v>
      </c>
      <c r="G909">
        <f t="shared" si="42"/>
        <v>5</v>
      </c>
      <c r="H909" t="s">
        <v>125</v>
      </c>
      <c r="I909" t="s">
        <v>178</v>
      </c>
      <c r="J909">
        <v>1</v>
      </c>
      <c r="K909">
        <v>7.7247191011235996</v>
      </c>
      <c r="Z909"/>
    </row>
    <row r="910" spans="1:26" x14ac:dyDescent="0.25">
      <c r="A910" s="159" t="str">
        <f t="shared" si="43"/>
        <v>LB-Sunnyvale and Mountain View-Greater Downtown San Francisco-Missing</v>
      </c>
      <c r="B910">
        <v>9</v>
      </c>
      <c r="C910" t="str">
        <f t="shared" si="44"/>
        <v>Sunnyvale and Mountain View</v>
      </c>
      <c r="D910">
        <v>1</v>
      </c>
      <c r="E910" t="str">
        <f t="shared" si="44"/>
        <v>Greater Downtown San Francisco</v>
      </c>
      <c r="F910" t="s">
        <v>327</v>
      </c>
      <c r="G910">
        <f t="shared" si="42"/>
        <v>0</v>
      </c>
      <c r="H910" t="s">
        <v>359</v>
      </c>
      <c r="I910" t="s">
        <v>191</v>
      </c>
      <c r="J910">
        <v>1</v>
      </c>
      <c r="K910">
        <v>185.366795366795</v>
      </c>
      <c r="Z910"/>
    </row>
    <row r="911" spans="1:26" x14ac:dyDescent="0.25">
      <c r="A911" s="159" t="str">
        <f t="shared" si="43"/>
        <v>CR-Sunnyvale and Mountain View-Greater Downtown San Francisco-Work</v>
      </c>
      <c r="B911">
        <v>9</v>
      </c>
      <c r="C911" t="str">
        <f t="shared" si="44"/>
        <v>Sunnyvale and Mountain View</v>
      </c>
      <c r="D911">
        <v>1</v>
      </c>
      <c r="E911" t="str">
        <f t="shared" si="44"/>
        <v>Greater Downtown San Francisco</v>
      </c>
      <c r="F911" t="s">
        <v>30</v>
      </c>
      <c r="G911">
        <f t="shared" si="42"/>
        <v>1</v>
      </c>
      <c r="H911" t="s">
        <v>125</v>
      </c>
      <c r="I911" t="s">
        <v>178</v>
      </c>
      <c r="J911">
        <v>7</v>
      </c>
      <c r="K911">
        <v>164.01355932203401</v>
      </c>
      <c r="Z911"/>
    </row>
    <row r="912" spans="1:26" x14ac:dyDescent="0.25">
      <c r="A912" s="159" t="str">
        <f t="shared" si="43"/>
        <v>HR-Sunnyvale and Mountain View-Greater Downtown San Francisco-Work</v>
      </c>
      <c r="B912">
        <v>9</v>
      </c>
      <c r="C912" t="str">
        <f t="shared" si="44"/>
        <v>Sunnyvale and Mountain View</v>
      </c>
      <c r="D912">
        <v>1</v>
      </c>
      <c r="E912" t="str">
        <f t="shared" si="44"/>
        <v>Greater Downtown San Francisco</v>
      </c>
      <c r="F912" t="s">
        <v>30</v>
      </c>
      <c r="G912">
        <f t="shared" si="42"/>
        <v>1</v>
      </c>
      <c r="H912" t="s">
        <v>124</v>
      </c>
      <c r="I912" t="s">
        <v>188</v>
      </c>
      <c r="J912">
        <v>2</v>
      </c>
      <c r="K912">
        <v>191.64419889502699</v>
      </c>
      <c r="Z912"/>
    </row>
    <row r="913" spans="1:26" x14ac:dyDescent="0.25">
      <c r="A913" s="159" t="str">
        <f t="shared" si="43"/>
        <v>LB-Sunnyvale and Mountain View-Greater Downtown San Francisco-Work</v>
      </c>
      <c r="B913">
        <v>9</v>
      </c>
      <c r="C913" t="str">
        <f t="shared" si="44"/>
        <v>Sunnyvale and Mountain View</v>
      </c>
      <c r="D913">
        <v>1</v>
      </c>
      <c r="E913" t="str">
        <f t="shared" si="44"/>
        <v>Greater Downtown San Francisco</v>
      </c>
      <c r="F913" t="s">
        <v>30</v>
      </c>
      <c r="G913">
        <f t="shared" si="42"/>
        <v>1</v>
      </c>
      <c r="H913" t="s">
        <v>359</v>
      </c>
      <c r="I913" t="s">
        <v>191</v>
      </c>
      <c r="J913">
        <v>1</v>
      </c>
      <c r="K913">
        <v>39.348891481913597</v>
      </c>
      <c r="Z913"/>
    </row>
    <row r="914" spans="1:26" x14ac:dyDescent="0.25">
      <c r="A914" s="159" t="str">
        <f t="shared" si="43"/>
        <v>LB-Sunnyvale and Mountain View-San Francisco Richmond District-Other maintenance</v>
      </c>
      <c r="B914">
        <v>9</v>
      </c>
      <c r="C914" t="str">
        <f t="shared" si="44"/>
        <v>Sunnyvale and Mountain View</v>
      </c>
      <c r="D914">
        <v>2</v>
      </c>
      <c r="E914" t="str">
        <f t="shared" si="44"/>
        <v>San Francisco Richmond District</v>
      </c>
      <c r="F914" t="s">
        <v>325</v>
      </c>
      <c r="G914">
        <f t="shared" si="42"/>
        <v>4</v>
      </c>
      <c r="H914" t="s">
        <v>359</v>
      </c>
      <c r="I914" t="s">
        <v>191</v>
      </c>
      <c r="J914">
        <v>1</v>
      </c>
      <c r="K914">
        <v>62.646773074254</v>
      </c>
      <c r="Z914"/>
    </row>
    <row r="915" spans="1:26" x14ac:dyDescent="0.25">
      <c r="A915" s="159" t="str">
        <f t="shared" si="43"/>
        <v>CR-Sunnyvale and Mountain View-San Francisco Richmond District-Social recreation</v>
      </c>
      <c r="B915">
        <v>9</v>
      </c>
      <c r="C915" t="str">
        <f t="shared" si="44"/>
        <v>Sunnyvale and Mountain View</v>
      </c>
      <c r="D915">
        <v>2</v>
      </c>
      <c r="E915" t="str">
        <f t="shared" si="44"/>
        <v>San Francisco Richmond District</v>
      </c>
      <c r="F915" t="s">
        <v>324</v>
      </c>
      <c r="G915">
        <f t="shared" si="42"/>
        <v>5</v>
      </c>
      <c r="H915" t="s">
        <v>125</v>
      </c>
      <c r="I915" t="s">
        <v>178</v>
      </c>
      <c r="J915">
        <v>1</v>
      </c>
      <c r="K915">
        <v>23.4305084745763</v>
      </c>
      <c r="Z915"/>
    </row>
    <row r="916" spans="1:26" x14ac:dyDescent="0.25">
      <c r="A916" s="159" t="str">
        <f t="shared" si="43"/>
        <v>CR-Sunnyvale and Mountain View-San Francisco Richmond District-Work</v>
      </c>
      <c r="B916">
        <v>9</v>
      </c>
      <c r="C916" t="str">
        <f t="shared" si="44"/>
        <v>Sunnyvale and Mountain View</v>
      </c>
      <c r="D916">
        <v>2</v>
      </c>
      <c r="E916" t="str">
        <f t="shared" si="44"/>
        <v>San Francisco Richmond District</v>
      </c>
      <c r="F916" t="s">
        <v>30</v>
      </c>
      <c r="G916">
        <f t="shared" si="42"/>
        <v>1</v>
      </c>
      <c r="H916" t="s">
        <v>125</v>
      </c>
      <c r="I916" t="s">
        <v>178</v>
      </c>
      <c r="J916">
        <v>2</v>
      </c>
      <c r="K916">
        <v>46.861016949152599</v>
      </c>
      <c r="Z916"/>
    </row>
    <row r="917" spans="1:26" x14ac:dyDescent="0.25">
      <c r="A917" s="159" t="str">
        <f t="shared" si="43"/>
        <v>LB-Sunnyvale and Mountain View-San Francisco Richmond District-Work</v>
      </c>
      <c r="B917">
        <v>9</v>
      </c>
      <c r="C917" t="str">
        <f t="shared" si="44"/>
        <v>Sunnyvale and Mountain View</v>
      </c>
      <c r="D917">
        <v>2</v>
      </c>
      <c r="E917" t="str">
        <f t="shared" si="44"/>
        <v>San Francisco Richmond District</v>
      </c>
      <c r="F917" t="s">
        <v>30</v>
      </c>
      <c r="G917">
        <f t="shared" si="42"/>
        <v>1</v>
      </c>
      <c r="H917" t="s">
        <v>359</v>
      </c>
      <c r="I917" t="s">
        <v>191</v>
      </c>
      <c r="J917">
        <v>2</v>
      </c>
      <c r="K917">
        <v>125.293546148508</v>
      </c>
      <c r="Z917"/>
    </row>
    <row r="918" spans="1:26" x14ac:dyDescent="0.25">
      <c r="A918" s="159" t="str">
        <f t="shared" si="43"/>
        <v>CR-Sunnyvale and Mountain View-San Francisco Mission District-Social recreation</v>
      </c>
      <c r="B918">
        <v>9</v>
      </c>
      <c r="C918" t="str">
        <f t="shared" si="44"/>
        <v>Sunnyvale and Mountain View</v>
      </c>
      <c r="D918">
        <v>3</v>
      </c>
      <c r="E918" t="str">
        <f t="shared" si="44"/>
        <v>San Francisco Mission District</v>
      </c>
      <c r="F918" t="s">
        <v>324</v>
      </c>
      <c r="G918">
        <f t="shared" si="42"/>
        <v>5</v>
      </c>
      <c r="H918" t="s">
        <v>125</v>
      </c>
      <c r="I918" t="s">
        <v>178</v>
      </c>
      <c r="J918">
        <v>3</v>
      </c>
      <c r="K918">
        <v>72.007970354170496</v>
      </c>
      <c r="Z918"/>
    </row>
    <row r="919" spans="1:26" x14ac:dyDescent="0.25">
      <c r="A919" s="159" t="str">
        <f t="shared" si="43"/>
        <v>HR-Sunnyvale and Mountain View-San Francisco Mission District-Social recreation</v>
      </c>
      <c r="B919">
        <v>9</v>
      </c>
      <c r="C919" t="str">
        <f t="shared" si="44"/>
        <v>Sunnyvale and Mountain View</v>
      </c>
      <c r="D919">
        <v>3</v>
      </c>
      <c r="E919" t="str">
        <f t="shared" si="44"/>
        <v>San Francisco Mission District</v>
      </c>
      <c r="F919" t="s">
        <v>324</v>
      </c>
      <c r="G919">
        <f t="shared" si="42"/>
        <v>5</v>
      </c>
      <c r="H919" t="s">
        <v>124</v>
      </c>
      <c r="I919" t="s">
        <v>188</v>
      </c>
      <c r="J919">
        <v>1</v>
      </c>
      <c r="K919">
        <v>195.51395348837201</v>
      </c>
      <c r="Z919"/>
    </row>
    <row r="920" spans="1:26" x14ac:dyDescent="0.25">
      <c r="A920" s="159" t="str">
        <f t="shared" si="43"/>
        <v>CR-Sunnyvale and Mountain View-San Francisco Mission District-Work</v>
      </c>
      <c r="B920">
        <v>9</v>
      </c>
      <c r="C920" t="str">
        <f t="shared" si="44"/>
        <v>Sunnyvale and Mountain View</v>
      </c>
      <c r="D920">
        <v>3</v>
      </c>
      <c r="E920" t="str">
        <f t="shared" si="44"/>
        <v>San Francisco Mission District</v>
      </c>
      <c r="F920" t="s">
        <v>30</v>
      </c>
      <c r="G920">
        <f t="shared" si="42"/>
        <v>1</v>
      </c>
      <c r="H920" t="s">
        <v>125</v>
      </c>
      <c r="I920" t="s">
        <v>178</v>
      </c>
      <c r="J920">
        <v>7</v>
      </c>
      <c r="K920">
        <v>164.01355932203401</v>
      </c>
      <c r="Z920"/>
    </row>
    <row r="921" spans="1:26" x14ac:dyDescent="0.25">
      <c r="A921" s="159" t="str">
        <f t="shared" si="43"/>
        <v>HR-Sunnyvale and Mountain View-San Francisco Sunset District-Work</v>
      </c>
      <c r="B921">
        <v>9</v>
      </c>
      <c r="C921" t="str">
        <f t="shared" si="44"/>
        <v>Sunnyvale and Mountain View</v>
      </c>
      <c r="D921">
        <v>4</v>
      </c>
      <c r="E921" t="str">
        <f t="shared" si="44"/>
        <v>San Francisco Sunset District</v>
      </c>
      <c r="F921" t="s">
        <v>30</v>
      </c>
      <c r="G921">
        <f t="shared" si="42"/>
        <v>1</v>
      </c>
      <c r="H921" t="s">
        <v>124</v>
      </c>
      <c r="I921" t="s">
        <v>188</v>
      </c>
      <c r="J921">
        <v>1</v>
      </c>
      <c r="K921">
        <v>95.822099447513807</v>
      </c>
      <c r="Z921"/>
    </row>
    <row r="922" spans="1:26" x14ac:dyDescent="0.25">
      <c r="A922" s="159" t="str">
        <f t="shared" si="43"/>
        <v>LB-Sunnyvale and Mountain View-San Francisco Sunset District-Work</v>
      </c>
      <c r="B922">
        <v>9</v>
      </c>
      <c r="C922" t="str">
        <f t="shared" si="44"/>
        <v>Sunnyvale and Mountain View</v>
      </c>
      <c r="D922">
        <v>4</v>
      </c>
      <c r="E922" t="str">
        <f t="shared" si="44"/>
        <v>San Francisco Sunset District</v>
      </c>
      <c r="F922" t="s">
        <v>30</v>
      </c>
      <c r="G922">
        <f t="shared" si="42"/>
        <v>1</v>
      </c>
      <c r="H922" t="s">
        <v>359</v>
      </c>
      <c r="I922" t="s">
        <v>191</v>
      </c>
      <c r="J922">
        <v>1</v>
      </c>
      <c r="K922">
        <v>62.646773074254</v>
      </c>
      <c r="Z922"/>
    </row>
    <row r="923" spans="1:26" x14ac:dyDescent="0.25">
      <c r="A923" s="159" t="str">
        <f t="shared" si="43"/>
        <v>CR-Sunnyvale and Mountain View-Daly City and San Bruno-High school</v>
      </c>
      <c r="B923">
        <v>9</v>
      </c>
      <c r="C923" t="str">
        <f t="shared" si="44"/>
        <v>Sunnyvale and Mountain View</v>
      </c>
      <c r="D923">
        <v>5</v>
      </c>
      <c r="E923" t="str">
        <f t="shared" si="44"/>
        <v>Daly City and San Bruno</v>
      </c>
      <c r="F923" t="s">
        <v>326</v>
      </c>
      <c r="G923">
        <f t="shared" si="42"/>
        <v>3</v>
      </c>
      <c r="H923" t="s">
        <v>125</v>
      </c>
      <c r="I923" t="s">
        <v>178</v>
      </c>
      <c r="J923">
        <v>1</v>
      </c>
      <c r="K923">
        <v>23.4305084745763</v>
      </c>
      <c r="Z923"/>
    </row>
    <row r="924" spans="1:26" x14ac:dyDescent="0.25">
      <c r="A924" s="159" t="str">
        <f t="shared" si="43"/>
        <v>LB-Sunnyvale and Mountain View-Daly City and San Bruno-Missing</v>
      </c>
      <c r="B924">
        <v>9</v>
      </c>
      <c r="C924" t="str">
        <f t="shared" si="44"/>
        <v>Sunnyvale and Mountain View</v>
      </c>
      <c r="D924">
        <v>5</v>
      </c>
      <c r="E924" t="str">
        <f t="shared" si="44"/>
        <v>Daly City and San Bruno</v>
      </c>
      <c r="F924" t="s">
        <v>327</v>
      </c>
      <c r="G924">
        <f t="shared" si="42"/>
        <v>0</v>
      </c>
      <c r="H924" t="s">
        <v>359</v>
      </c>
      <c r="I924" t="s">
        <v>191</v>
      </c>
      <c r="J924">
        <v>1</v>
      </c>
      <c r="K924">
        <v>39.348891481913597</v>
      </c>
      <c r="Z924"/>
    </row>
    <row r="925" spans="1:26" x14ac:dyDescent="0.25">
      <c r="A925" s="159" t="str">
        <f t="shared" si="43"/>
        <v>CR-Sunnyvale and Mountain View-Daly City and San Bruno-Other maintenance</v>
      </c>
      <c r="B925">
        <v>9</v>
      </c>
      <c r="C925" t="str">
        <f t="shared" si="44"/>
        <v>Sunnyvale and Mountain View</v>
      </c>
      <c r="D925">
        <v>5</v>
      </c>
      <c r="E925" t="str">
        <f t="shared" si="44"/>
        <v>Daly City and San Bruno</v>
      </c>
      <c r="F925" t="s">
        <v>325</v>
      </c>
      <c r="G925">
        <f t="shared" si="42"/>
        <v>4</v>
      </c>
      <c r="H925" t="s">
        <v>125</v>
      </c>
      <c r="I925" t="s">
        <v>178</v>
      </c>
      <c r="J925">
        <v>3</v>
      </c>
      <c r="K925">
        <v>75.440860215053704</v>
      </c>
      <c r="Z925"/>
    </row>
    <row r="926" spans="1:26" x14ac:dyDescent="0.25">
      <c r="A926" s="159" t="str">
        <f t="shared" si="43"/>
        <v>CR-Sunnyvale and Mountain View-Daly City and San Bruno-Social recreation</v>
      </c>
      <c r="B926">
        <v>9</v>
      </c>
      <c r="C926" t="str">
        <f t="shared" si="44"/>
        <v>Sunnyvale and Mountain View</v>
      </c>
      <c r="D926">
        <v>5</v>
      </c>
      <c r="E926" t="str">
        <f t="shared" si="44"/>
        <v>Daly City and San Bruno</v>
      </c>
      <c r="F926" t="s">
        <v>324</v>
      </c>
      <c r="G926">
        <f t="shared" si="42"/>
        <v>5</v>
      </c>
      <c r="H926" t="s">
        <v>125</v>
      </c>
      <c r="I926" t="s">
        <v>178</v>
      </c>
      <c r="J926">
        <v>3</v>
      </c>
      <c r="K926">
        <v>72.007970354170496</v>
      </c>
      <c r="Z926"/>
    </row>
    <row r="927" spans="1:26" x14ac:dyDescent="0.25">
      <c r="A927" s="159" t="str">
        <f t="shared" si="43"/>
        <v>CR-Sunnyvale and Mountain View-Daly City and San Bruno-Work</v>
      </c>
      <c r="B927">
        <v>9</v>
      </c>
      <c r="C927" t="str">
        <f t="shared" si="44"/>
        <v>Sunnyvale and Mountain View</v>
      </c>
      <c r="D927">
        <v>5</v>
      </c>
      <c r="E927" t="str">
        <f t="shared" si="44"/>
        <v>Daly City and San Bruno</v>
      </c>
      <c r="F927" t="s">
        <v>30</v>
      </c>
      <c r="G927">
        <f t="shared" si="42"/>
        <v>1</v>
      </c>
      <c r="H927" t="s">
        <v>125</v>
      </c>
      <c r="I927" t="s">
        <v>178</v>
      </c>
      <c r="J927">
        <v>5</v>
      </c>
      <c r="K927">
        <v>120.585432233764</v>
      </c>
      <c r="Z927"/>
    </row>
    <row r="928" spans="1:26" x14ac:dyDescent="0.25">
      <c r="A928" s="159" t="str">
        <f t="shared" si="43"/>
        <v>LB-Sunnyvale and Mountain View-Daly City and San Bruno-Work</v>
      </c>
      <c r="B928">
        <v>9</v>
      </c>
      <c r="C928" t="str">
        <f t="shared" si="44"/>
        <v>Sunnyvale and Mountain View</v>
      </c>
      <c r="D928">
        <v>5</v>
      </c>
      <c r="E928" t="str">
        <f t="shared" si="44"/>
        <v>Daly City and San Bruno</v>
      </c>
      <c r="F928" t="s">
        <v>30</v>
      </c>
      <c r="G928">
        <f t="shared" si="42"/>
        <v>1</v>
      </c>
      <c r="H928" t="s">
        <v>359</v>
      </c>
      <c r="I928" t="s">
        <v>191</v>
      </c>
      <c r="J928">
        <v>1</v>
      </c>
      <c r="K928">
        <v>39.348891481913597</v>
      </c>
      <c r="Z928"/>
    </row>
    <row r="929" spans="1:26" x14ac:dyDescent="0.25">
      <c r="A929" s="159" t="str">
        <f t="shared" si="43"/>
        <v>CR-Sunnyvale and Mountain View-San Mateo and Burlingame-Missing</v>
      </c>
      <c r="B929">
        <v>9</v>
      </c>
      <c r="C929" t="str">
        <f t="shared" si="44"/>
        <v>Sunnyvale and Mountain View</v>
      </c>
      <c r="D929">
        <v>6</v>
      </c>
      <c r="E929" t="str">
        <f t="shared" si="44"/>
        <v>San Mateo and Burlingame</v>
      </c>
      <c r="F929" t="s">
        <v>327</v>
      </c>
      <c r="G929">
        <f t="shared" si="42"/>
        <v>0</v>
      </c>
      <c r="H929" t="s">
        <v>125</v>
      </c>
      <c r="I929" t="s">
        <v>178</v>
      </c>
      <c r="J929">
        <v>2</v>
      </c>
      <c r="K929">
        <v>46.861016949152599</v>
      </c>
      <c r="Z929"/>
    </row>
    <row r="930" spans="1:26" x14ac:dyDescent="0.25">
      <c r="A930" s="159" t="str">
        <f t="shared" si="43"/>
        <v>CR-Sunnyvale and Mountain View-San Mateo and Burlingame-Other maintenance</v>
      </c>
      <c r="B930">
        <v>9</v>
      </c>
      <c r="C930" t="str">
        <f t="shared" si="44"/>
        <v>Sunnyvale and Mountain View</v>
      </c>
      <c r="D930">
        <v>6</v>
      </c>
      <c r="E930" t="str">
        <f t="shared" si="44"/>
        <v>San Mateo and Burlingame</v>
      </c>
      <c r="F930" t="s">
        <v>325</v>
      </c>
      <c r="G930">
        <f t="shared" si="42"/>
        <v>4</v>
      </c>
      <c r="H930" t="s">
        <v>125</v>
      </c>
      <c r="I930" t="s">
        <v>178</v>
      </c>
      <c r="J930">
        <v>1</v>
      </c>
      <c r="K930">
        <v>23.4305084745763</v>
      </c>
      <c r="Z930"/>
    </row>
    <row r="931" spans="1:26" x14ac:dyDescent="0.25">
      <c r="A931" s="159" t="str">
        <f t="shared" si="43"/>
        <v>CR-Sunnyvale and Mountain View-San Mateo and Burlingame-Social recreation</v>
      </c>
      <c r="B931">
        <v>9</v>
      </c>
      <c r="C931" t="str">
        <f t="shared" si="44"/>
        <v>Sunnyvale and Mountain View</v>
      </c>
      <c r="D931">
        <v>6</v>
      </c>
      <c r="E931" t="str">
        <f t="shared" si="44"/>
        <v>San Mateo and Burlingame</v>
      </c>
      <c r="F931" t="s">
        <v>324</v>
      </c>
      <c r="G931">
        <f t="shared" si="42"/>
        <v>5</v>
      </c>
      <c r="H931" t="s">
        <v>125</v>
      </c>
      <c r="I931" t="s">
        <v>178</v>
      </c>
      <c r="J931">
        <v>2</v>
      </c>
      <c r="K931">
        <v>48.577461879594097</v>
      </c>
      <c r="Z931"/>
    </row>
    <row r="932" spans="1:26" x14ac:dyDescent="0.25">
      <c r="A932" s="159" t="str">
        <f t="shared" si="43"/>
        <v>CR-Sunnyvale and Mountain View-San Mateo and Burlingame-Work</v>
      </c>
      <c r="B932">
        <v>9</v>
      </c>
      <c r="C932" t="str">
        <f t="shared" si="44"/>
        <v>Sunnyvale and Mountain View</v>
      </c>
      <c r="D932">
        <v>6</v>
      </c>
      <c r="E932" t="str">
        <f t="shared" si="44"/>
        <v>San Mateo and Burlingame</v>
      </c>
      <c r="F932" t="s">
        <v>30</v>
      </c>
      <c r="G932">
        <f t="shared" si="42"/>
        <v>1</v>
      </c>
      <c r="H932" t="s">
        <v>125</v>
      </c>
      <c r="I932" t="s">
        <v>178</v>
      </c>
      <c r="J932">
        <v>10</v>
      </c>
      <c r="K932">
        <v>234.305084745763</v>
      </c>
      <c r="Z932"/>
    </row>
    <row r="933" spans="1:26" x14ac:dyDescent="0.25">
      <c r="A933" s="159" t="str">
        <f t="shared" si="43"/>
        <v>LR-Sunnyvale and Mountain View-San Mateo and Burlingame-Work</v>
      </c>
      <c r="B933">
        <v>9</v>
      </c>
      <c r="C933" t="str">
        <f t="shared" si="44"/>
        <v>Sunnyvale and Mountain View</v>
      </c>
      <c r="D933">
        <v>6</v>
      </c>
      <c r="E933" t="str">
        <f t="shared" si="44"/>
        <v>San Mateo and Burlingame</v>
      </c>
      <c r="F933" t="s">
        <v>30</v>
      </c>
      <c r="G933">
        <f t="shared" si="42"/>
        <v>1</v>
      </c>
      <c r="H933" t="s">
        <v>353</v>
      </c>
      <c r="I933" t="s">
        <v>194</v>
      </c>
      <c r="J933">
        <v>1</v>
      </c>
      <c r="K933">
        <v>62.646773074254</v>
      </c>
      <c r="Z933"/>
    </row>
    <row r="934" spans="1:26" x14ac:dyDescent="0.25">
      <c r="A934" s="159" t="str">
        <f t="shared" si="43"/>
        <v>LB-Sunnyvale and Mountain View-San Mateo and Burlingame-Work</v>
      </c>
      <c r="B934">
        <v>9</v>
      </c>
      <c r="C934" t="str">
        <f t="shared" si="44"/>
        <v>Sunnyvale and Mountain View</v>
      </c>
      <c r="D934">
        <v>6</v>
      </c>
      <c r="E934" t="str">
        <f t="shared" si="44"/>
        <v>San Mateo and Burlingame</v>
      </c>
      <c r="F934" t="s">
        <v>30</v>
      </c>
      <c r="G934">
        <f t="shared" si="42"/>
        <v>1</v>
      </c>
      <c r="H934" t="s">
        <v>359</v>
      </c>
      <c r="I934" t="s">
        <v>191</v>
      </c>
      <c r="J934">
        <v>2</v>
      </c>
      <c r="K934">
        <v>78.697782963827194</v>
      </c>
      <c r="Z934"/>
    </row>
    <row r="935" spans="1:26" x14ac:dyDescent="0.25">
      <c r="A935" s="159" t="str">
        <f t="shared" si="43"/>
        <v>CR-Sunnyvale and Mountain View-Redwood City and Menlo Park-Missing</v>
      </c>
      <c r="B935">
        <v>9</v>
      </c>
      <c r="C935" t="str">
        <f t="shared" si="44"/>
        <v>Sunnyvale and Mountain View</v>
      </c>
      <c r="D935">
        <v>7</v>
      </c>
      <c r="E935" t="str">
        <f t="shared" si="44"/>
        <v>Redwood City and Menlo Park</v>
      </c>
      <c r="F935" t="s">
        <v>327</v>
      </c>
      <c r="G935">
        <f t="shared" si="42"/>
        <v>0</v>
      </c>
      <c r="H935" t="s">
        <v>125</v>
      </c>
      <c r="I935" t="s">
        <v>178</v>
      </c>
      <c r="J935">
        <v>1</v>
      </c>
      <c r="K935">
        <v>23.4305084745763</v>
      </c>
      <c r="Z935"/>
    </row>
    <row r="936" spans="1:26" x14ac:dyDescent="0.25">
      <c r="A936" s="159" t="str">
        <f t="shared" si="43"/>
        <v>LB-Sunnyvale and Mountain View-Redwood City and Menlo Park-Other maintenance</v>
      </c>
      <c r="B936">
        <v>9</v>
      </c>
      <c r="C936" t="str">
        <f t="shared" si="44"/>
        <v>Sunnyvale and Mountain View</v>
      </c>
      <c r="D936">
        <v>7</v>
      </c>
      <c r="E936" t="str">
        <f t="shared" si="44"/>
        <v>Redwood City and Menlo Park</v>
      </c>
      <c r="F936" t="s">
        <v>325</v>
      </c>
      <c r="G936">
        <f t="shared" si="42"/>
        <v>4</v>
      </c>
      <c r="H936" t="s">
        <v>359</v>
      </c>
      <c r="I936" t="s">
        <v>191</v>
      </c>
      <c r="J936">
        <v>1</v>
      </c>
      <c r="K936">
        <v>39.348891481913597</v>
      </c>
      <c r="Z936"/>
    </row>
    <row r="937" spans="1:26" x14ac:dyDescent="0.25">
      <c r="A937" s="159" t="str">
        <f t="shared" si="43"/>
        <v>CR-Sunnyvale and Mountain View-Redwood City and Menlo Park-Social recreation</v>
      </c>
      <c r="B937">
        <v>9</v>
      </c>
      <c r="C937" t="str">
        <f t="shared" si="44"/>
        <v>Sunnyvale and Mountain View</v>
      </c>
      <c r="D937">
        <v>7</v>
      </c>
      <c r="E937" t="str">
        <f t="shared" si="44"/>
        <v>Redwood City and Menlo Park</v>
      </c>
      <c r="F937" t="s">
        <v>324</v>
      </c>
      <c r="G937">
        <f t="shared" si="42"/>
        <v>5</v>
      </c>
      <c r="H937" t="s">
        <v>125</v>
      </c>
      <c r="I937" t="s">
        <v>178</v>
      </c>
      <c r="J937">
        <v>5</v>
      </c>
      <c r="K937">
        <v>120.585432233764</v>
      </c>
      <c r="Z937"/>
    </row>
    <row r="938" spans="1:26" x14ac:dyDescent="0.25">
      <c r="A938" s="159" t="str">
        <f t="shared" si="43"/>
        <v>LB-Sunnyvale and Mountain View-Redwood City and Menlo Park-Social recreation</v>
      </c>
      <c r="B938">
        <v>9</v>
      </c>
      <c r="C938" t="str">
        <f t="shared" si="44"/>
        <v>Sunnyvale and Mountain View</v>
      </c>
      <c r="D938">
        <v>7</v>
      </c>
      <c r="E938" t="str">
        <f t="shared" si="44"/>
        <v>Redwood City and Menlo Park</v>
      </c>
      <c r="F938" t="s">
        <v>324</v>
      </c>
      <c r="G938">
        <f t="shared" si="42"/>
        <v>5</v>
      </c>
      <c r="H938" t="s">
        <v>359</v>
      </c>
      <c r="I938" t="s">
        <v>191</v>
      </c>
      <c r="J938">
        <v>1</v>
      </c>
      <c r="K938">
        <v>39.348891481913597</v>
      </c>
      <c r="Z938"/>
    </row>
    <row r="939" spans="1:26" x14ac:dyDescent="0.25">
      <c r="A939" s="159" t="str">
        <f t="shared" si="43"/>
        <v>CR-Sunnyvale and Mountain View-Redwood City and Menlo Park-Work</v>
      </c>
      <c r="B939">
        <v>9</v>
      </c>
      <c r="C939" t="str">
        <f t="shared" si="44"/>
        <v>Sunnyvale and Mountain View</v>
      </c>
      <c r="D939">
        <v>7</v>
      </c>
      <c r="E939" t="str">
        <f t="shared" si="44"/>
        <v>Redwood City and Menlo Park</v>
      </c>
      <c r="F939" t="s">
        <v>30</v>
      </c>
      <c r="G939">
        <f t="shared" si="42"/>
        <v>1</v>
      </c>
      <c r="H939" t="s">
        <v>125</v>
      </c>
      <c r="I939" t="s">
        <v>178</v>
      </c>
      <c r="J939">
        <v>12</v>
      </c>
      <c r="K939">
        <v>281.16610169491503</v>
      </c>
      <c r="Z939"/>
    </row>
    <row r="940" spans="1:26" x14ac:dyDescent="0.25">
      <c r="A940" s="159" t="str">
        <f t="shared" si="43"/>
        <v>CR-Sunnyvale and Mountain View-Palo Alto and Los Altos-High school</v>
      </c>
      <c r="B940">
        <v>9</v>
      </c>
      <c r="C940" t="str">
        <f t="shared" si="44"/>
        <v>Sunnyvale and Mountain View</v>
      </c>
      <c r="D940">
        <v>8</v>
      </c>
      <c r="E940" t="str">
        <f t="shared" si="44"/>
        <v>Palo Alto and Los Altos</v>
      </c>
      <c r="F940" t="s">
        <v>326</v>
      </c>
      <c r="G940">
        <f t="shared" si="42"/>
        <v>3</v>
      </c>
      <c r="H940" t="s">
        <v>125</v>
      </c>
      <c r="I940" t="s">
        <v>178</v>
      </c>
      <c r="J940">
        <v>2</v>
      </c>
      <c r="K940">
        <v>48.577461879594097</v>
      </c>
      <c r="Z940"/>
    </row>
    <row r="941" spans="1:26" x14ac:dyDescent="0.25">
      <c r="A941" s="159" t="str">
        <f t="shared" si="43"/>
        <v>LB-Sunnyvale and Mountain View-Palo Alto and Los Altos-High school</v>
      </c>
      <c r="B941">
        <v>9</v>
      </c>
      <c r="C941" t="str">
        <f t="shared" si="44"/>
        <v>Sunnyvale and Mountain View</v>
      </c>
      <c r="D941">
        <v>8</v>
      </c>
      <c r="E941" t="str">
        <f t="shared" si="44"/>
        <v>Palo Alto and Los Altos</v>
      </c>
      <c r="F941" t="s">
        <v>326</v>
      </c>
      <c r="G941">
        <f t="shared" si="42"/>
        <v>3</v>
      </c>
      <c r="H941" t="s">
        <v>359</v>
      </c>
      <c r="I941" t="s">
        <v>191</v>
      </c>
      <c r="J941">
        <v>9</v>
      </c>
      <c r="K941">
        <v>563.82095766828604</v>
      </c>
      <c r="Z941"/>
    </row>
    <row r="942" spans="1:26" x14ac:dyDescent="0.25">
      <c r="A942" s="159" t="str">
        <f t="shared" si="43"/>
        <v>LR-Sunnyvale and Mountain View-Palo Alto and Los Altos-Missing</v>
      </c>
      <c r="B942">
        <v>9</v>
      </c>
      <c r="C942" t="str">
        <f t="shared" si="44"/>
        <v>Sunnyvale and Mountain View</v>
      </c>
      <c r="D942">
        <v>8</v>
      </c>
      <c r="E942" t="str">
        <f t="shared" si="44"/>
        <v>Palo Alto and Los Altos</v>
      </c>
      <c r="F942" t="s">
        <v>327</v>
      </c>
      <c r="G942">
        <f t="shared" si="42"/>
        <v>0</v>
      </c>
      <c r="H942" t="s">
        <v>353</v>
      </c>
      <c r="I942" t="s">
        <v>194</v>
      </c>
      <c r="J942">
        <v>3</v>
      </c>
      <c r="K942">
        <v>433.38036380784399</v>
      </c>
      <c r="Z942"/>
    </row>
    <row r="943" spans="1:26" x14ac:dyDescent="0.25">
      <c r="A943" s="159" t="str">
        <f t="shared" si="43"/>
        <v>LB-Sunnyvale and Mountain View-Palo Alto and Los Altos-Missing</v>
      </c>
      <c r="B943">
        <v>9</v>
      </c>
      <c r="C943" t="str">
        <f t="shared" si="44"/>
        <v>Sunnyvale and Mountain View</v>
      </c>
      <c r="D943">
        <v>8</v>
      </c>
      <c r="E943" t="str">
        <f t="shared" si="44"/>
        <v>Palo Alto and Los Altos</v>
      </c>
      <c r="F943" t="s">
        <v>327</v>
      </c>
      <c r="G943">
        <f t="shared" si="42"/>
        <v>0</v>
      </c>
      <c r="H943" t="s">
        <v>359</v>
      </c>
      <c r="I943" t="s">
        <v>191</v>
      </c>
      <c r="J943">
        <v>2</v>
      </c>
      <c r="K943">
        <v>248.01356844104899</v>
      </c>
      <c r="Z943"/>
    </row>
    <row r="944" spans="1:26" x14ac:dyDescent="0.25">
      <c r="A944" s="159" t="str">
        <f t="shared" si="43"/>
        <v>CR-Sunnyvale and Mountain View-Palo Alto and Los Altos-Other maintenance</v>
      </c>
      <c r="B944">
        <v>9</v>
      </c>
      <c r="C944" t="str">
        <f t="shared" si="44"/>
        <v>Sunnyvale and Mountain View</v>
      </c>
      <c r="D944">
        <v>8</v>
      </c>
      <c r="E944" t="str">
        <f t="shared" si="44"/>
        <v>Palo Alto and Los Altos</v>
      </c>
      <c r="F944" t="s">
        <v>325</v>
      </c>
      <c r="G944">
        <f t="shared" si="42"/>
        <v>4</v>
      </c>
      <c r="H944" t="s">
        <v>125</v>
      </c>
      <c r="I944" t="s">
        <v>178</v>
      </c>
      <c r="J944">
        <v>1</v>
      </c>
      <c r="K944">
        <v>23.4305084745763</v>
      </c>
      <c r="Z944"/>
    </row>
    <row r="945" spans="1:26" x14ac:dyDescent="0.25">
      <c r="A945" s="159" t="str">
        <f t="shared" si="43"/>
        <v>LB-Sunnyvale and Mountain View-Palo Alto and Los Altos-Shopping</v>
      </c>
      <c r="B945">
        <v>9</v>
      </c>
      <c r="C945" t="str">
        <f t="shared" si="44"/>
        <v>Sunnyvale and Mountain View</v>
      </c>
      <c r="D945">
        <v>8</v>
      </c>
      <c r="E945" t="str">
        <f t="shared" si="44"/>
        <v>Palo Alto and Los Altos</v>
      </c>
      <c r="F945" t="s">
        <v>106</v>
      </c>
      <c r="G945">
        <f t="shared" si="42"/>
        <v>4</v>
      </c>
      <c r="H945" t="s">
        <v>359</v>
      </c>
      <c r="I945" t="s">
        <v>191</v>
      </c>
      <c r="J945">
        <v>2</v>
      </c>
      <c r="K945">
        <v>101.995664556167</v>
      </c>
      <c r="Z945"/>
    </row>
    <row r="946" spans="1:26" x14ac:dyDescent="0.25">
      <c r="A946" s="159" t="str">
        <f t="shared" si="43"/>
        <v>CR-Sunnyvale and Mountain View-Palo Alto and Los Altos-Social recreation</v>
      </c>
      <c r="B946">
        <v>9</v>
      </c>
      <c r="C946" t="str">
        <f t="shared" si="44"/>
        <v>Sunnyvale and Mountain View</v>
      </c>
      <c r="D946">
        <v>8</v>
      </c>
      <c r="E946" t="str">
        <f t="shared" si="44"/>
        <v>Palo Alto and Los Altos</v>
      </c>
      <c r="F946" t="s">
        <v>324</v>
      </c>
      <c r="G946">
        <f t="shared" si="42"/>
        <v>5</v>
      </c>
      <c r="H946" t="s">
        <v>125</v>
      </c>
      <c r="I946" t="s">
        <v>178</v>
      </c>
      <c r="J946">
        <v>3</v>
      </c>
      <c r="K946">
        <v>75.440860215053704</v>
      </c>
      <c r="Z946"/>
    </row>
    <row r="947" spans="1:26" x14ac:dyDescent="0.25">
      <c r="A947" s="159" t="str">
        <f t="shared" si="43"/>
        <v>LR-Sunnyvale and Mountain View-Palo Alto and Los Altos-Social recreation</v>
      </c>
      <c r="B947">
        <v>9</v>
      </c>
      <c r="C947" t="str">
        <f t="shared" si="44"/>
        <v>Sunnyvale and Mountain View</v>
      </c>
      <c r="D947">
        <v>8</v>
      </c>
      <c r="E947" t="str">
        <f t="shared" si="44"/>
        <v>Palo Alto and Los Altos</v>
      </c>
      <c r="F947" t="s">
        <v>324</v>
      </c>
      <c r="G947">
        <f t="shared" si="42"/>
        <v>5</v>
      </c>
      <c r="H947" t="s">
        <v>353</v>
      </c>
      <c r="I947" t="s">
        <v>194</v>
      </c>
      <c r="J947">
        <v>1</v>
      </c>
      <c r="K947">
        <v>185.366795366795</v>
      </c>
      <c r="Z947"/>
    </row>
    <row r="948" spans="1:26" x14ac:dyDescent="0.25">
      <c r="A948" s="159" t="str">
        <f t="shared" si="43"/>
        <v>LB-Sunnyvale and Mountain View-Palo Alto and Los Altos-Social recreation</v>
      </c>
      <c r="B948">
        <v>9</v>
      </c>
      <c r="C948" t="str">
        <f t="shared" si="44"/>
        <v>Sunnyvale and Mountain View</v>
      </c>
      <c r="D948">
        <v>8</v>
      </c>
      <c r="E948" t="str">
        <f t="shared" si="44"/>
        <v>Palo Alto and Los Altos</v>
      </c>
      <c r="F948" t="s">
        <v>324</v>
      </c>
      <c r="G948">
        <f t="shared" si="42"/>
        <v>5</v>
      </c>
      <c r="H948" t="s">
        <v>359</v>
      </c>
      <c r="I948" t="s">
        <v>191</v>
      </c>
      <c r="J948">
        <v>1</v>
      </c>
      <c r="K948">
        <v>62.646773074254</v>
      </c>
      <c r="Z948"/>
    </row>
    <row r="949" spans="1:26" x14ac:dyDescent="0.25">
      <c r="A949" s="159" t="str">
        <f t="shared" si="43"/>
        <v>CR-Sunnyvale and Mountain View-Palo Alto and Los Altos-Work</v>
      </c>
      <c r="B949">
        <v>9</v>
      </c>
      <c r="C949" t="str">
        <f t="shared" si="44"/>
        <v>Sunnyvale and Mountain View</v>
      </c>
      <c r="D949">
        <v>8</v>
      </c>
      <c r="E949" t="str">
        <f t="shared" si="44"/>
        <v>Palo Alto and Los Altos</v>
      </c>
      <c r="F949" t="s">
        <v>30</v>
      </c>
      <c r="G949">
        <f t="shared" si="42"/>
        <v>1</v>
      </c>
      <c r="H949" t="s">
        <v>125</v>
      </c>
      <c r="I949" t="s">
        <v>178</v>
      </c>
      <c r="J949">
        <v>10</v>
      </c>
      <c r="K949">
        <v>234.305084745763</v>
      </c>
      <c r="Z949"/>
    </row>
    <row r="950" spans="1:26" x14ac:dyDescent="0.25">
      <c r="A950" s="159" t="str">
        <f t="shared" si="43"/>
        <v>LR-Sunnyvale and Mountain View-Palo Alto and Los Altos-Work</v>
      </c>
      <c r="B950">
        <v>9</v>
      </c>
      <c r="C950" t="str">
        <f t="shared" si="44"/>
        <v>Sunnyvale and Mountain View</v>
      </c>
      <c r="D950">
        <v>8</v>
      </c>
      <c r="E950" t="str">
        <f t="shared" si="44"/>
        <v>Palo Alto and Los Altos</v>
      </c>
      <c r="F950" t="s">
        <v>30</v>
      </c>
      <c r="G950">
        <f t="shared" si="42"/>
        <v>1</v>
      </c>
      <c r="H950" t="s">
        <v>353</v>
      </c>
      <c r="I950" t="s">
        <v>194</v>
      </c>
      <c r="J950">
        <v>8</v>
      </c>
      <c r="K950">
        <v>501.174184594032</v>
      </c>
      <c r="Z950"/>
    </row>
    <row r="951" spans="1:26" x14ac:dyDescent="0.25">
      <c r="A951" s="159" t="str">
        <f t="shared" si="43"/>
        <v>LB-Sunnyvale and Mountain View-Palo Alto and Los Altos-Work</v>
      </c>
      <c r="B951">
        <v>9</v>
      </c>
      <c r="C951" t="str">
        <f t="shared" si="44"/>
        <v>Sunnyvale and Mountain View</v>
      </c>
      <c r="D951">
        <v>8</v>
      </c>
      <c r="E951" t="str">
        <f t="shared" si="44"/>
        <v>Palo Alto and Los Altos</v>
      </c>
      <c r="F951" t="s">
        <v>30</v>
      </c>
      <c r="G951">
        <f t="shared" si="42"/>
        <v>1</v>
      </c>
      <c r="H951" t="s">
        <v>359</v>
      </c>
      <c r="I951" t="s">
        <v>191</v>
      </c>
      <c r="J951">
        <v>13</v>
      </c>
      <c r="K951">
        <v>1059.84809455038</v>
      </c>
      <c r="Z951"/>
    </row>
    <row r="952" spans="1:26" x14ac:dyDescent="0.25">
      <c r="A952" s="159" t="str">
        <f t="shared" si="43"/>
        <v>LR-Sunnyvale and Mountain View-Sunnyvale and Mountain View-High school</v>
      </c>
      <c r="B952">
        <v>9</v>
      </c>
      <c r="C952" t="str">
        <f t="shared" si="44"/>
        <v>Sunnyvale and Mountain View</v>
      </c>
      <c r="D952">
        <v>9</v>
      </c>
      <c r="E952" t="str">
        <f t="shared" si="44"/>
        <v>Sunnyvale and Mountain View</v>
      </c>
      <c r="F952" t="s">
        <v>326</v>
      </c>
      <c r="G952">
        <f t="shared" si="42"/>
        <v>3</v>
      </c>
      <c r="H952" t="s">
        <v>353</v>
      </c>
      <c r="I952" t="s">
        <v>194</v>
      </c>
      <c r="J952">
        <v>2</v>
      </c>
      <c r="K952">
        <v>125.293546148508</v>
      </c>
      <c r="Z952"/>
    </row>
    <row r="953" spans="1:26" x14ac:dyDescent="0.25">
      <c r="A953" s="159" t="str">
        <f t="shared" si="43"/>
        <v>LB-Sunnyvale and Mountain View-Sunnyvale and Mountain View-High school</v>
      </c>
      <c r="B953">
        <v>9</v>
      </c>
      <c r="C953" t="str">
        <f t="shared" si="44"/>
        <v>Sunnyvale and Mountain View</v>
      </c>
      <c r="D953">
        <v>9</v>
      </c>
      <c r="E953" t="str">
        <f t="shared" si="44"/>
        <v>Sunnyvale and Mountain View</v>
      </c>
      <c r="F953" t="s">
        <v>326</v>
      </c>
      <c r="G953">
        <f t="shared" si="42"/>
        <v>3</v>
      </c>
      <c r="H953" t="s">
        <v>359</v>
      </c>
      <c r="I953" t="s">
        <v>191</v>
      </c>
      <c r="J953">
        <v>15</v>
      </c>
      <c r="K953">
        <v>939.70159611380996</v>
      </c>
      <c r="Z953"/>
    </row>
    <row r="954" spans="1:26" x14ac:dyDescent="0.25">
      <c r="A954" s="159" t="str">
        <f t="shared" si="43"/>
        <v>LR-Sunnyvale and Mountain View-Sunnyvale and Mountain View-Missing</v>
      </c>
      <c r="B954">
        <v>9</v>
      </c>
      <c r="C954" t="str">
        <f t="shared" si="44"/>
        <v>Sunnyvale and Mountain View</v>
      </c>
      <c r="D954">
        <v>9</v>
      </c>
      <c r="E954" t="str">
        <f t="shared" si="44"/>
        <v>Sunnyvale and Mountain View</v>
      </c>
      <c r="F954" t="s">
        <v>327</v>
      </c>
      <c r="G954">
        <f t="shared" si="42"/>
        <v>0</v>
      </c>
      <c r="H954" t="s">
        <v>353</v>
      </c>
      <c r="I954" t="s">
        <v>194</v>
      </c>
      <c r="J954">
        <v>2</v>
      </c>
      <c r="K954">
        <v>248.01356844104899</v>
      </c>
      <c r="Z954"/>
    </row>
    <row r="955" spans="1:26" x14ac:dyDescent="0.25">
      <c r="A955" s="159" t="str">
        <f t="shared" si="43"/>
        <v>LB-Sunnyvale and Mountain View-Sunnyvale and Mountain View-Missing</v>
      </c>
      <c r="B955">
        <v>9</v>
      </c>
      <c r="C955" t="str">
        <f t="shared" si="44"/>
        <v>Sunnyvale and Mountain View</v>
      </c>
      <c r="D955">
        <v>9</v>
      </c>
      <c r="E955" t="str">
        <f t="shared" si="44"/>
        <v>Sunnyvale and Mountain View</v>
      </c>
      <c r="F955" t="s">
        <v>327</v>
      </c>
      <c r="G955">
        <f t="shared" si="42"/>
        <v>0</v>
      </c>
      <c r="H955" t="s">
        <v>359</v>
      </c>
      <c r="I955" t="s">
        <v>191</v>
      </c>
      <c r="J955">
        <v>2</v>
      </c>
      <c r="K955">
        <v>248.01356844104899</v>
      </c>
      <c r="Z955"/>
    </row>
    <row r="956" spans="1:26" x14ac:dyDescent="0.25">
      <c r="A956" s="159" t="str">
        <f t="shared" si="43"/>
        <v>LR-Sunnyvale and Mountain View-Sunnyvale and Mountain View-Other maintenance</v>
      </c>
      <c r="B956">
        <v>9</v>
      </c>
      <c r="C956" t="str">
        <f t="shared" si="44"/>
        <v>Sunnyvale and Mountain View</v>
      </c>
      <c r="D956">
        <v>9</v>
      </c>
      <c r="E956" t="str">
        <f t="shared" si="44"/>
        <v>Sunnyvale and Mountain View</v>
      </c>
      <c r="F956" t="s">
        <v>325</v>
      </c>
      <c r="G956">
        <f t="shared" si="42"/>
        <v>4</v>
      </c>
      <c r="H956" t="s">
        <v>353</v>
      </c>
      <c r="I956" t="s">
        <v>194</v>
      </c>
      <c r="J956">
        <v>3</v>
      </c>
      <c r="K956">
        <v>433.38036380784399</v>
      </c>
      <c r="Z956"/>
    </row>
    <row r="957" spans="1:26" x14ac:dyDescent="0.25">
      <c r="A957" s="159" t="str">
        <f t="shared" si="43"/>
        <v>LB-Sunnyvale and Mountain View-Sunnyvale and Mountain View-Other maintenance</v>
      </c>
      <c r="B957">
        <v>9</v>
      </c>
      <c r="C957" t="str">
        <f t="shared" si="44"/>
        <v>Sunnyvale and Mountain View</v>
      </c>
      <c r="D957">
        <v>9</v>
      </c>
      <c r="E957" t="str">
        <f t="shared" si="44"/>
        <v>Sunnyvale and Mountain View</v>
      </c>
      <c r="F957" t="s">
        <v>325</v>
      </c>
      <c r="G957">
        <f t="shared" si="42"/>
        <v>4</v>
      </c>
      <c r="H957" t="s">
        <v>359</v>
      </c>
      <c r="I957" t="s">
        <v>191</v>
      </c>
      <c r="J957">
        <v>7</v>
      </c>
      <c r="K957">
        <v>683.96745610486005</v>
      </c>
      <c r="Z957"/>
    </row>
    <row r="958" spans="1:26" x14ac:dyDescent="0.25">
      <c r="A958" s="159" t="str">
        <f t="shared" si="43"/>
        <v>LR-Sunnyvale and Mountain View-Sunnyvale and Mountain View-Shopping</v>
      </c>
      <c r="B958">
        <v>9</v>
      </c>
      <c r="C958" t="str">
        <f t="shared" si="44"/>
        <v>Sunnyvale and Mountain View</v>
      </c>
      <c r="D958">
        <v>9</v>
      </c>
      <c r="E958" t="str">
        <f t="shared" si="44"/>
        <v>Sunnyvale and Mountain View</v>
      </c>
      <c r="F958" t="s">
        <v>106</v>
      </c>
      <c r="G958">
        <f t="shared" si="42"/>
        <v>4</v>
      </c>
      <c r="H958" t="s">
        <v>353</v>
      </c>
      <c r="I958" t="s">
        <v>194</v>
      </c>
      <c r="J958">
        <v>2</v>
      </c>
      <c r="K958">
        <v>248.01356844104899</v>
      </c>
      <c r="Z958"/>
    </row>
    <row r="959" spans="1:26" x14ac:dyDescent="0.25">
      <c r="A959" s="159" t="str">
        <f t="shared" si="43"/>
        <v>LB-Sunnyvale and Mountain View-Sunnyvale and Mountain View-Shopping</v>
      </c>
      <c r="B959">
        <v>9</v>
      </c>
      <c r="C959" t="str">
        <f t="shared" si="44"/>
        <v>Sunnyvale and Mountain View</v>
      </c>
      <c r="D959">
        <v>9</v>
      </c>
      <c r="E959" t="str">
        <f t="shared" si="44"/>
        <v>Sunnyvale and Mountain View</v>
      </c>
      <c r="F959" t="s">
        <v>106</v>
      </c>
      <c r="G959">
        <f t="shared" si="42"/>
        <v>4</v>
      </c>
      <c r="H959" t="s">
        <v>359</v>
      </c>
      <c r="I959" t="s">
        <v>191</v>
      </c>
      <c r="J959">
        <v>1</v>
      </c>
      <c r="K959">
        <v>62.646773074254</v>
      </c>
      <c r="Z959"/>
    </row>
    <row r="960" spans="1:26" x14ac:dyDescent="0.25">
      <c r="A960" s="159" t="str">
        <f t="shared" si="43"/>
        <v>LR-Sunnyvale and Mountain View-Sunnyvale and Mountain View-Social recreation</v>
      </c>
      <c r="B960">
        <v>9</v>
      </c>
      <c r="C960" t="str">
        <f t="shared" si="44"/>
        <v>Sunnyvale and Mountain View</v>
      </c>
      <c r="D960">
        <v>9</v>
      </c>
      <c r="E960" t="str">
        <f t="shared" si="44"/>
        <v>Sunnyvale and Mountain View</v>
      </c>
      <c r="F960" t="s">
        <v>324</v>
      </c>
      <c r="G960">
        <f t="shared" si="42"/>
        <v>5</v>
      </c>
      <c r="H960" t="s">
        <v>353</v>
      </c>
      <c r="I960" t="s">
        <v>194</v>
      </c>
      <c r="J960">
        <v>1</v>
      </c>
      <c r="K960">
        <v>185.366795366795</v>
      </c>
      <c r="Z960"/>
    </row>
    <row r="961" spans="1:26" x14ac:dyDescent="0.25">
      <c r="A961" s="159" t="str">
        <f t="shared" si="43"/>
        <v>LB-Sunnyvale and Mountain View-Sunnyvale and Mountain View-Social recreation</v>
      </c>
      <c r="B961">
        <v>9</v>
      </c>
      <c r="C961" t="str">
        <f t="shared" si="44"/>
        <v>Sunnyvale and Mountain View</v>
      </c>
      <c r="D961">
        <v>9</v>
      </c>
      <c r="E961" t="str">
        <f t="shared" si="44"/>
        <v>Sunnyvale and Mountain View</v>
      </c>
      <c r="F961" t="s">
        <v>324</v>
      </c>
      <c r="G961">
        <f t="shared" si="42"/>
        <v>5</v>
      </c>
      <c r="H961" t="s">
        <v>359</v>
      </c>
      <c r="I961" t="s">
        <v>191</v>
      </c>
      <c r="J961">
        <v>4</v>
      </c>
      <c r="K961">
        <v>373.30711458955699</v>
      </c>
      <c r="Z961"/>
    </row>
    <row r="962" spans="1:26" x14ac:dyDescent="0.25">
      <c r="A962" s="159" t="str">
        <f t="shared" si="43"/>
        <v>LR-Sunnyvale and Mountain View-Sunnyvale and Mountain View-Work</v>
      </c>
      <c r="B962">
        <v>9</v>
      </c>
      <c r="C962" t="str">
        <f t="shared" si="44"/>
        <v>Sunnyvale and Mountain View</v>
      </c>
      <c r="D962">
        <v>9</v>
      </c>
      <c r="E962" t="str">
        <f t="shared" si="44"/>
        <v>Sunnyvale and Mountain View</v>
      </c>
      <c r="F962" t="s">
        <v>30</v>
      </c>
      <c r="G962">
        <f t="shared" ref="G962:G1025" si="45">VLOOKUP(F962,$V$2:$X$10, 3,FALSE)</f>
        <v>1</v>
      </c>
      <c r="H962" t="s">
        <v>353</v>
      </c>
      <c r="I962" t="s">
        <v>194</v>
      </c>
      <c r="J962">
        <v>14</v>
      </c>
      <c r="K962">
        <v>877.05482303955603</v>
      </c>
      <c r="Z962"/>
    </row>
    <row r="963" spans="1:26" x14ac:dyDescent="0.25">
      <c r="A963" s="159" t="str">
        <f t="shared" ref="A963:A1026" si="46" xml:space="preserve"> CONCATENATE(I963,"-",C963, "-",E963, "-",F963,)</f>
        <v>LB-Sunnyvale and Mountain View-Sunnyvale and Mountain View-Work</v>
      </c>
      <c r="B963">
        <v>9</v>
      </c>
      <c r="C963" t="str">
        <f t="shared" ref="C963:E1026" si="47">VLOOKUP(B963,$S$2:$T$35,2,FALSE)</f>
        <v>Sunnyvale and Mountain View</v>
      </c>
      <c r="D963">
        <v>9</v>
      </c>
      <c r="E963" t="str">
        <f t="shared" si="47"/>
        <v>Sunnyvale and Mountain View</v>
      </c>
      <c r="F963" t="s">
        <v>30</v>
      </c>
      <c r="G963">
        <f t="shared" si="45"/>
        <v>1</v>
      </c>
      <c r="H963" t="s">
        <v>359</v>
      </c>
      <c r="I963" t="s">
        <v>191</v>
      </c>
      <c r="J963">
        <v>33</v>
      </c>
      <c r="K963">
        <v>2312.7835560354602</v>
      </c>
      <c r="Z963"/>
    </row>
    <row r="964" spans="1:26" x14ac:dyDescent="0.25">
      <c r="A964" s="159" t="str">
        <f t="shared" si="46"/>
        <v>LR-Sunnyvale and Mountain View-Cupertino and Saratoga-High school</v>
      </c>
      <c r="B964">
        <v>9</v>
      </c>
      <c r="C964" t="str">
        <f t="shared" si="47"/>
        <v>Sunnyvale and Mountain View</v>
      </c>
      <c r="D964">
        <v>10</v>
      </c>
      <c r="E964" t="str">
        <f t="shared" si="47"/>
        <v>Cupertino and Saratoga</v>
      </c>
      <c r="F964" t="s">
        <v>326</v>
      </c>
      <c r="G964">
        <f t="shared" si="45"/>
        <v>3</v>
      </c>
      <c r="H964" t="s">
        <v>353</v>
      </c>
      <c r="I964" t="s">
        <v>194</v>
      </c>
      <c r="J964">
        <v>1</v>
      </c>
      <c r="K964">
        <v>62.646773074254</v>
      </c>
      <c r="Z964"/>
    </row>
    <row r="965" spans="1:26" x14ac:dyDescent="0.25">
      <c r="A965" s="159" t="str">
        <f t="shared" si="46"/>
        <v>LB-Sunnyvale and Mountain View-Cupertino and Saratoga-High school</v>
      </c>
      <c r="B965">
        <v>9</v>
      </c>
      <c r="C965" t="str">
        <f t="shared" si="47"/>
        <v>Sunnyvale and Mountain View</v>
      </c>
      <c r="D965">
        <v>10</v>
      </c>
      <c r="E965" t="str">
        <f t="shared" si="47"/>
        <v>Cupertino and Saratoga</v>
      </c>
      <c r="F965" t="s">
        <v>326</v>
      </c>
      <c r="G965">
        <f t="shared" si="45"/>
        <v>3</v>
      </c>
      <c r="H965" t="s">
        <v>359</v>
      </c>
      <c r="I965" t="s">
        <v>191</v>
      </c>
      <c r="J965">
        <v>11</v>
      </c>
      <c r="K965">
        <v>934.55454840187599</v>
      </c>
      <c r="Z965"/>
    </row>
    <row r="966" spans="1:26" x14ac:dyDescent="0.25">
      <c r="A966" s="159" t="str">
        <f t="shared" si="46"/>
        <v>LB-Sunnyvale and Mountain View-Cupertino and Saratoga-Missing</v>
      </c>
      <c r="B966">
        <v>9</v>
      </c>
      <c r="C966" t="str">
        <f t="shared" si="47"/>
        <v>Sunnyvale and Mountain View</v>
      </c>
      <c r="D966">
        <v>10</v>
      </c>
      <c r="E966" t="str">
        <f t="shared" si="47"/>
        <v>Cupertino and Saratoga</v>
      </c>
      <c r="F966" t="s">
        <v>327</v>
      </c>
      <c r="G966">
        <f t="shared" si="45"/>
        <v>0</v>
      </c>
      <c r="H966" t="s">
        <v>359</v>
      </c>
      <c r="I966" t="s">
        <v>191</v>
      </c>
      <c r="J966">
        <v>1</v>
      </c>
      <c r="K966">
        <v>62.646773074254</v>
      </c>
      <c r="Z966"/>
    </row>
    <row r="967" spans="1:26" x14ac:dyDescent="0.25">
      <c r="A967" s="159" t="str">
        <f t="shared" si="46"/>
        <v>LB-Sunnyvale and Mountain View-Cupertino and Saratoga-Other maintenance</v>
      </c>
      <c r="B967">
        <v>9</v>
      </c>
      <c r="C967" t="str">
        <f t="shared" si="47"/>
        <v>Sunnyvale and Mountain View</v>
      </c>
      <c r="D967">
        <v>10</v>
      </c>
      <c r="E967" t="str">
        <f t="shared" si="47"/>
        <v>Cupertino and Saratoga</v>
      </c>
      <c r="F967" t="s">
        <v>325</v>
      </c>
      <c r="G967">
        <f t="shared" si="45"/>
        <v>4</v>
      </c>
      <c r="H967" t="s">
        <v>359</v>
      </c>
      <c r="I967" t="s">
        <v>191</v>
      </c>
      <c r="J967">
        <v>1</v>
      </c>
      <c r="K967">
        <v>62.646773074254</v>
      </c>
      <c r="Z967"/>
    </row>
    <row r="968" spans="1:26" x14ac:dyDescent="0.25">
      <c r="A968" s="159" t="str">
        <f t="shared" si="46"/>
        <v>LB-Sunnyvale and Mountain View-Cupertino and Saratoga-Social recreation</v>
      </c>
      <c r="B968">
        <v>9</v>
      </c>
      <c r="C968" t="str">
        <f t="shared" si="47"/>
        <v>Sunnyvale and Mountain View</v>
      </c>
      <c r="D968">
        <v>10</v>
      </c>
      <c r="E968" t="str">
        <f t="shared" si="47"/>
        <v>Cupertino and Saratoga</v>
      </c>
      <c r="F968" t="s">
        <v>324</v>
      </c>
      <c r="G968">
        <f t="shared" si="45"/>
        <v>5</v>
      </c>
      <c r="H968" t="s">
        <v>359</v>
      </c>
      <c r="I968" t="s">
        <v>191</v>
      </c>
      <c r="J968">
        <v>1</v>
      </c>
      <c r="K968">
        <v>62.646773074254</v>
      </c>
      <c r="Z968"/>
    </row>
    <row r="969" spans="1:26" x14ac:dyDescent="0.25">
      <c r="A969" s="159" t="str">
        <f t="shared" si="46"/>
        <v>LB-Sunnyvale and Mountain View-Cupertino and Saratoga-Work</v>
      </c>
      <c r="B969">
        <v>9</v>
      </c>
      <c r="C969" t="str">
        <f t="shared" si="47"/>
        <v>Sunnyvale and Mountain View</v>
      </c>
      <c r="D969">
        <v>10</v>
      </c>
      <c r="E969" t="str">
        <f t="shared" si="47"/>
        <v>Cupertino and Saratoga</v>
      </c>
      <c r="F969" t="s">
        <v>30</v>
      </c>
      <c r="G969">
        <f t="shared" si="45"/>
        <v>1</v>
      </c>
      <c r="H969" t="s">
        <v>359</v>
      </c>
      <c r="I969" t="s">
        <v>191</v>
      </c>
      <c r="J969">
        <v>7</v>
      </c>
      <c r="K969">
        <v>683.96745610486005</v>
      </c>
      <c r="Z969"/>
    </row>
    <row r="970" spans="1:26" x14ac:dyDescent="0.25">
      <c r="A970" s="159" t="str">
        <f t="shared" si="46"/>
        <v>CR-Sunnyvale and Mountain View-Central San Jose-High school</v>
      </c>
      <c r="B970">
        <v>9</v>
      </c>
      <c r="C970" t="str">
        <f t="shared" si="47"/>
        <v>Sunnyvale and Mountain View</v>
      </c>
      <c r="D970">
        <v>11</v>
      </c>
      <c r="E970" t="str">
        <f t="shared" si="47"/>
        <v>Central San Jose</v>
      </c>
      <c r="F970" t="s">
        <v>326</v>
      </c>
      <c r="G970">
        <f t="shared" si="45"/>
        <v>3</v>
      </c>
      <c r="H970" t="s">
        <v>125</v>
      </c>
      <c r="I970" t="s">
        <v>178</v>
      </c>
      <c r="J970">
        <v>1</v>
      </c>
      <c r="K970">
        <v>25.1469534050179</v>
      </c>
      <c r="Z970"/>
    </row>
    <row r="971" spans="1:26" x14ac:dyDescent="0.25">
      <c r="A971" s="159" t="str">
        <f t="shared" si="46"/>
        <v>LR-Sunnyvale and Mountain View-Central San Jose-High school</v>
      </c>
      <c r="B971">
        <v>9</v>
      </c>
      <c r="C971" t="str">
        <f t="shared" si="47"/>
        <v>Sunnyvale and Mountain View</v>
      </c>
      <c r="D971">
        <v>11</v>
      </c>
      <c r="E971" t="str">
        <f t="shared" si="47"/>
        <v>Central San Jose</v>
      </c>
      <c r="F971" t="s">
        <v>326</v>
      </c>
      <c r="G971">
        <f t="shared" si="45"/>
        <v>3</v>
      </c>
      <c r="H971" t="s">
        <v>353</v>
      </c>
      <c r="I971" t="s">
        <v>194</v>
      </c>
      <c r="J971">
        <v>8</v>
      </c>
      <c r="K971">
        <v>501.174184594032</v>
      </c>
      <c r="Z971"/>
    </row>
    <row r="972" spans="1:26" x14ac:dyDescent="0.25">
      <c r="A972" s="159" t="str">
        <f t="shared" si="46"/>
        <v>LB-Sunnyvale and Mountain View-Central San Jose-High school</v>
      </c>
      <c r="B972">
        <v>9</v>
      </c>
      <c r="C972" t="str">
        <f t="shared" si="47"/>
        <v>Sunnyvale and Mountain View</v>
      </c>
      <c r="D972">
        <v>11</v>
      </c>
      <c r="E972" t="str">
        <f t="shared" si="47"/>
        <v>Central San Jose</v>
      </c>
      <c r="F972" t="s">
        <v>326</v>
      </c>
      <c r="G972">
        <f t="shared" si="45"/>
        <v>3</v>
      </c>
      <c r="H972" t="s">
        <v>359</v>
      </c>
      <c r="I972" t="s">
        <v>191</v>
      </c>
      <c r="J972">
        <v>9</v>
      </c>
      <c r="K972">
        <v>686.54097996082703</v>
      </c>
      <c r="Z972"/>
    </row>
    <row r="973" spans="1:26" x14ac:dyDescent="0.25">
      <c r="A973" s="159" t="str">
        <f t="shared" si="46"/>
        <v>LR-Sunnyvale and Mountain View-Central San Jose-Missing</v>
      </c>
      <c r="B973">
        <v>9</v>
      </c>
      <c r="C973" t="str">
        <f t="shared" si="47"/>
        <v>Sunnyvale and Mountain View</v>
      </c>
      <c r="D973">
        <v>11</v>
      </c>
      <c r="E973" t="str">
        <f t="shared" si="47"/>
        <v>Central San Jose</v>
      </c>
      <c r="F973" t="s">
        <v>327</v>
      </c>
      <c r="G973">
        <f t="shared" si="45"/>
        <v>0</v>
      </c>
      <c r="H973" t="s">
        <v>353</v>
      </c>
      <c r="I973" t="s">
        <v>194</v>
      </c>
      <c r="J973">
        <v>2</v>
      </c>
      <c r="K973">
        <v>125.293546148508</v>
      </c>
      <c r="Z973"/>
    </row>
    <row r="974" spans="1:26" x14ac:dyDescent="0.25">
      <c r="A974" s="159" t="str">
        <f t="shared" si="46"/>
        <v>LB-Sunnyvale and Mountain View-Central San Jose-Missing</v>
      </c>
      <c r="B974">
        <v>9</v>
      </c>
      <c r="C974" t="str">
        <f t="shared" si="47"/>
        <v>Sunnyvale and Mountain View</v>
      </c>
      <c r="D974">
        <v>11</v>
      </c>
      <c r="E974" t="str">
        <f t="shared" si="47"/>
        <v>Central San Jose</v>
      </c>
      <c r="F974" t="s">
        <v>327</v>
      </c>
      <c r="G974">
        <f t="shared" si="45"/>
        <v>0</v>
      </c>
      <c r="H974" t="s">
        <v>359</v>
      </c>
      <c r="I974" t="s">
        <v>191</v>
      </c>
      <c r="J974">
        <v>7</v>
      </c>
      <c r="K974">
        <v>806.68747839740104</v>
      </c>
      <c r="Z974"/>
    </row>
    <row r="975" spans="1:26" x14ac:dyDescent="0.25">
      <c r="A975" s="159" t="str">
        <f t="shared" si="46"/>
        <v>CR-Sunnyvale and Mountain View-Central San Jose-Other maintenance</v>
      </c>
      <c r="B975">
        <v>9</v>
      </c>
      <c r="C975" t="str">
        <f t="shared" si="47"/>
        <v>Sunnyvale and Mountain View</v>
      </c>
      <c r="D975">
        <v>11</v>
      </c>
      <c r="E975" t="str">
        <f t="shared" si="47"/>
        <v>Central San Jose</v>
      </c>
      <c r="F975" t="s">
        <v>325</v>
      </c>
      <c r="G975">
        <f t="shared" si="45"/>
        <v>4</v>
      </c>
      <c r="H975" t="s">
        <v>125</v>
      </c>
      <c r="I975" t="s">
        <v>178</v>
      </c>
      <c r="J975">
        <v>1</v>
      </c>
      <c r="K975">
        <v>23.4305084745763</v>
      </c>
      <c r="Z975"/>
    </row>
    <row r="976" spans="1:26" x14ac:dyDescent="0.25">
      <c r="A976" s="159" t="str">
        <f t="shared" si="46"/>
        <v>LR-Sunnyvale and Mountain View-Central San Jose-Other maintenance</v>
      </c>
      <c r="B976">
        <v>9</v>
      </c>
      <c r="C976" t="str">
        <f t="shared" si="47"/>
        <v>Sunnyvale and Mountain View</v>
      </c>
      <c r="D976">
        <v>11</v>
      </c>
      <c r="E976" t="str">
        <f t="shared" si="47"/>
        <v>Central San Jose</v>
      </c>
      <c r="F976" t="s">
        <v>325</v>
      </c>
      <c r="G976">
        <f t="shared" si="45"/>
        <v>4</v>
      </c>
      <c r="H976" t="s">
        <v>353</v>
      </c>
      <c r="I976" t="s">
        <v>194</v>
      </c>
      <c r="J976">
        <v>2</v>
      </c>
      <c r="K976">
        <v>125.293546148508</v>
      </c>
      <c r="Z976"/>
    </row>
    <row r="977" spans="1:26" x14ac:dyDescent="0.25">
      <c r="A977" s="159" t="str">
        <f t="shared" si="46"/>
        <v>LB-Sunnyvale and Mountain View-Central San Jose-Other maintenance</v>
      </c>
      <c r="B977">
        <v>9</v>
      </c>
      <c r="C977" t="str">
        <f t="shared" si="47"/>
        <v>Sunnyvale and Mountain View</v>
      </c>
      <c r="D977">
        <v>11</v>
      </c>
      <c r="E977" t="str">
        <f t="shared" si="47"/>
        <v>Central San Jose</v>
      </c>
      <c r="F977" t="s">
        <v>325</v>
      </c>
      <c r="G977">
        <f t="shared" si="45"/>
        <v>4</v>
      </c>
      <c r="H977" t="s">
        <v>359</v>
      </c>
      <c r="I977" t="s">
        <v>191</v>
      </c>
      <c r="J977">
        <v>3</v>
      </c>
      <c r="K977">
        <v>187.94031922276201</v>
      </c>
      <c r="Z977"/>
    </row>
    <row r="978" spans="1:26" x14ac:dyDescent="0.25">
      <c r="A978" s="159" t="str">
        <f t="shared" si="46"/>
        <v>LB-Sunnyvale and Mountain View-Central San Jose-Shopping</v>
      </c>
      <c r="B978">
        <v>9</v>
      </c>
      <c r="C978" t="str">
        <f t="shared" si="47"/>
        <v>Sunnyvale and Mountain View</v>
      </c>
      <c r="D978">
        <v>11</v>
      </c>
      <c r="E978" t="str">
        <f t="shared" si="47"/>
        <v>Central San Jose</v>
      </c>
      <c r="F978" t="s">
        <v>106</v>
      </c>
      <c r="G978">
        <f t="shared" si="45"/>
        <v>4</v>
      </c>
      <c r="H978" t="s">
        <v>359</v>
      </c>
      <c r="I978" t="s">
        <v>191</v>
      </c>
      <c r="J978">
        <v>1</v>
      </c>
      <c r="K978">
        <v>62.646773074254</v>
      </c>
      <c r="Z978"/>
    </row>
    <row r="979" spans="1:26" x14ac:dyDescent="0.25">
      <c r="A979" s="159" t="str">
        <f t="shared" si="46"/>
        <v>LR-Sunnyvale and Mountain View-Central San Jose-Social recreation</v>
      </c>
      <c r="B979">
        <v>9</v>
      </c>
      <c r="C979" t="str">
        <f t="shared" si="47"/>
        <v>Sunnyvale and Mountain View</v>
      </c>
      <c r="D979">
        <v>11</v>
      </c>
      <c r="E979" t="str">
        <f t="shared" si="47"/>
        <v>Central San Jose</v>
      </c>
      <c r="F979" t="s">
        <v>324</v>
      </c>
      <c r="G979">
        <f t="shared" si="45"/>
        <v>5</v>
      </c>
      <c r="H979" t="s">
        <v>353</v>
      </c>
      <c r="I979" t="s">
        <v>194</v>
      </c>
      <c r="J979">
        <v>1</v>
      </c>
      <c r="K979">
        <v>62.646773074254</v>
      </c>
      <c r="Z979"/>
    </row>
    <row r="980" spans="1:26" x14ac:dyDescent="0.25">
      <c r="A980" s="159" t="str">
        <f t="shared" si="46"/>
        <v>LB-Sunnyvale and Mountain View-Central San Jose-Social recreation</v>
      </c>
      <c r="B980">
        <v>9</v>
      </c>
      <c r="C980" t="str">
        <f t="shared" si="47"/>
        <v>Sunnyvale and Mountain View</v>
      </c>
      <c r="D980">
        <v>11</v>
      </c>
      <c r="E980" t="str">
        <f t="shared" si="47"/>
        <v>Central San Jose</v>
      </c>
      <c r="F980" t="s">
        <v>324</v>
      </c>
      <c r="G980">
        <f t="shared" si="45"/>
        <v>5</v>
      </c>
      <c r="H980" t="s">
        <v>359</v>
      </c>
      <c r="I980" t="s">
        <v>191</v>
      </c>
      <c r="J980">
        <v>4</v>
      </c>
      <c r="K980">
        <v>618.74715917463902</v>
      </c>
      <c r="Z980"/>
    </row>
    <row r="981" spans="1:26" x14ac:dyDescent="0.25">
      <c r="A981" s="159" t="str">
        <f t="shared" si="46"/>
        <v>LR-Sunnyvale and Mountain View-Central San Jose-Work</v>
      </c>
      <c r="B981">
        <v>9</v>
      </c>
      <c r="C981" t="str">
        <f t="shared" si="47"/>
        <v>Sunnyvale and Mountain View</v>
      </c>
      <c r="D981">
        <v>11</v>
      </c>
      <c r="E981" t="str">
        <f t="shared" si="47"/>
        <v>Central San Jose</v>
      </c>
      <c r="F981" t="s">
        <v>30</v>
      </c>
      <c r="G981">
        <f t="shared" si="45"/>
        <v>1</v>
      </c>
      <c r="H981" t="s">
        <v>353</v>
      </c>
      <c r="I981" t="s">
        <v>194</v>
      </c>
      <c r="J981">
        <v>6</v>
      </c>
      <c r="K981">
        <v>375.88063844552403</v>
      </c>
      <c r="Z981"/>
    </row>
    <row r="982" spans="1:26" x14ac:dyDescent="0.25">
      <c r="A982" s="159" t="str">
        <f t="shared" si="46"/>
        <v>LB-Sunnyvale and Mountain View-Central San Jose-Work</v>
      </c>
      <c r="B982">
        <v>9</v>
      </c>
      <c r="C982" t="str">
        <f t="shared" si="47"/>
        <v>Sunnyvale and Mountain View</v>
      </c>
      <c r="D982">
        <v>11</v>
      </c>
      <c r="E982" t="str">
        <f t="shared" si="47"/>
        <v>Central San Jose</v>
      </c>
      <c r="F982" t="s">
        <v>30</v>
      </c>
      <c r="G982">
        <f t="shared" si="45"/>
        <v>1</v>
      </c>
      <c r="H982" t="s">
        <v>359</v>
      </c>
      <c r="I982" t="s">
        <v>191</v>
      </c>
      <c r="J982">
        <v>15</v>
      </c>
      <c r="K982">
        <v>939.70159611380996</v>
      </c>
      <c r="Z982"/>
    </row>
    <row r="983" spans="1:26" x14ac:dyDescent="0.25">
      <c r="A983" s="159" t="str">
        <f t="shared" si="46"/>
        <v>LR-Sunnyvale and Mountain View-Milpitas and East San Jose-High school</v>
      </c>
      <c r="B983">
        <v>9</v>
      </c>
      <c r="C983" t="str">
        <f t="shared" si="47"/>
        <v>Sunnyvale and Mountain View</v>
      </c>
      <c r="D983">
        <v>12</v>
      </c>
      <c r="E983" t="str">
        <f t="shared" si="47"/>
        <v>Milpitas and East San Jose</v>
      </c>
      <c r="F983" t="s">
        <v>326</v>
      </c>
      <c r="G983">
        <f t="shared" si="45"/>
        <v>3</v>
      </c>
      <c r="H983" t="s">
        <v>353</v>
      </c>
      <c r="I983" t="s">
        <v>194</v>
      </c>
      <c r="J983">
        <v>1</v>
      </c>
      <c r="K983">
        <v>62.646773074254</v>
      </c>
      <c r="Z983"/>
    </row>
    <row r="984" spans="1:26" x14ac:dyDescent="0.25">
      <c r="A984" s="159" t="str">
        <f t="shared" si="46"/>
        <v>LB-Sunnyvale and Mountain View-Milpitas and East San Jose-High school</v>
      </c>
      <c r="B984">
        <v>9</v>
      </c>
      <c r="C984" t="str">
        <f t="shared" si="47"/>
        <v>Sunnyvale and Mountain View</v>
      </c>
      <c r="D984">
        <v>12</v>
      </c>
      <c r="E984" t="str">
        <f t="shared" si="47"/>
        <v>Milpitas and East San Jose</v>
      </c>
      <c r="F984" t="s">
        <v>326</v>
      </c>
      <c r="G984">
        <f t="shared" si="45"/>
        <v>3</v>
      </c>
      <c r="H984" t="s">
        <v>359</v>
      </c>
      <c r="I984" t="s">
        <v>191</v>
      </c>
      <c r="J984">
        <v>3</v>
      </c>
      <c r="K984">
        <v>310.660341515303</v>
      </c>
      <c r="Z984"/>
    </row>
    <row r="985" spans="1:26" x14ac:dyDescent="0.25">
      <c r="A985" s="159" t="str">
        <f t="shared" si="46"/>
        <v>LR-Sunnyvale and Mountain View-Milpitas and East San Jose-Missing</v>
      </c>
      <c r="B985">
        <v>9</v>
      </c>
      <c r="C985" t="str">
        <f t="shared" si="47"/>
        <v>Sunnyvale and Mountain View</v>
      </c>
      <c r="D985">
        <v>12</v>
      </c>
      <c r="E985" t="str">
        <f t="shared" si="47"/>
        <v>Milpitas and East San Jose</v>
      </c>
      <c r="F985" t="s">
        <v>327</v>
      </c>
      <c r="G985">
        <f t="shared" si="45"/>
        <v>0</v>
      </c>
      <c r="H985" t="s">
        <v>353</v>
      </c>
      <c r="I985" t="s">
        <v>194</v>
      </c>
      <c r="J985">
        <v>1</v>
      </c>
      <c r="K985">
        <v>62.646773074254</v>
      </c>
      <c r="Z985"/>
    </row>
    <row r="986" spans="1:26" x14ac:dyDescent="0.25">
      <c r="A986" s="159" t="str">
        <f t="shared" si="46"/>
        <v>LB-Sunnyvale and Mountain View-Milpitas and East San Jose-Missing</v>
      </c>
      <c r="B986">
        <v>9</v>
      </c>
      <c r="C986" t="str">
        <f t="shared" si="47"/>
        <v>Sunnyvale and Mountain View</v>
      </c>
      <c r="D986">
        <v>12</v>
      </c>
      <c r="E986" t="str">
        <f t="shared" si="47"/>
        <v>Milpitas and East San Jose</v>
      </c>
      <c r="F986" t="s">
        <v>327</v>
      </c>
      <c r="G986">
        <f t="shared" si="45"/>
        <v>0</v>
      </c>
      <c r="H986" t="s">
        <v>359</v>
      </c>
      <c r="I986" t="s">
        <v>191</v>
      </c>
      <c r="J986">
        <v>2</v>
      </c>
      <c r="K986">
        <v>125.293546148508</v>
      </c>
      <c r="Z986"/>
    </row>
    <row r="987" spans="1:26" x14ac:dyDescent="0.25">
      <c r="A987" s="159" t="str">
        <f t="shared" si="46"/>
        <v>LR-Sunnyvale and Mountain View-Milpitas and East San Jose-Other maintenance</v>
      </c>
      <c r="B987">
        <v>9</v>
      </c>
      <c r="C987" t="str">
        <f t="shared" si="47"/>
        <v>Sunnyvale and Mountain View</v>
      </c>
      <c r="D987">
        <v>12</v>
      </c>
      <c r="E987" t="str">
        <f t="shared" si="47"/>
        <v>Milpitas and East San Jose</v>
      </c>
      <c r="F987" t="s">
        <v>325</v>
      </c>
      <c r="G987">
        <f t="shared" si="45"/>
        <v>4</v>
      </c>
      <c r="H987" t="s">
        <v>353</v>
      </c>
      <c r="I987" t="s">
        <v>194</v>
      </c>
      <c r="J987">
        <v>1</v>
      </c>
      <c r="K987">
        <v>62.646773074254</v>
      </c>
      <c r="Z987"/>
    </row>
    <row r="988" spans="1:26" x14ac:dyDescent="0.25">
      <c r="A988" s="159" t="str">
        <f t="shared" si="46"/>
        <v>LB-Sunnyvale and Mountain View-Milpitas and East San Jose-Other maintenance</v>
      </c>
      <c r="B988">
        <v>9</v>
      </c>
      <c r="C988" t="str">
        <f t="shared" si="47"/>
        <v>Sunnyvale and Mountain View</v>
      </c>
      <c r="D988">
        <v>12</v>
      </c>
      <c r="E988" t="str">
        <f t="shared" si="47"/>
        <v>Milpitas and East San Jose</v>
      </c>
      <c r="F988" t="s">
        <v>325</v>
      </c>
      <c r="G988">
        <f t="shared" si="45"/>
        <v>4</v>
      </c>
      <c r="H988" t="s">
        <v>359</v>
      </c>
      <c r="I988" t="s">
        <v>191</v>
      </c>
      <c r="J988">
        <v>5</v>
      </c>
      <c r="K988">
        <v>558.67390995635196</v>
      </c>
      <c r="Z988"/>
    </row>
    <row r="989" spans="1:26" x14ac:dyDescent="0.25">
      <c r="A989" s="159" t="str">
        <f t="shared" si="46"/>
        <v>LB-Sunnyvale and Mountain View-Milpitas and East San Jose-Shopping</v>
      </c>
      <c r="B989">
        <v>9</v>
      </c>
      <c r="C989" t="str">
        <f t="shared" si="47"/>
        <v>Sunnyvale and Mountain View</v>
      </c>
      <c r="D989">
        <v>12</v>
      </c>
      <c r="E989" t="str">
        <f t="shared" si="47"/>
        <v>Milpitas and East San Jose</v>
      </c>
      <c r="F989" t="s">
        <v>106</v>
      </c>
      <c r="G989">
        <f t="shared" si="45"/>
        <v>4</v>
      </c>
      <c r="H989" t="s">
        <v>359</v>
      </c>
      <c r="I989" t="s">
        <v>191</v>
      </c>
      <c r="J989">
        <v>1</v>
      </c>
      <c r="K989">
        <v>185.366795366795</v>
      </c>
      <c r="Z989"/>
    </row>
    <row r="990" spans="1:26" x14ac:dyDescent="0.25">
      <c r="A990" s="159" t="str">
        <f t="shared" si="46"/>
        <v>LR-Sunnyvale and Mountain View-Milpitas and East San Jose-Social recreation</v>
      </c>
      <c r="B990">
        <v>9</v>
      </c>
      <c r="C990" t="str">
        <f t="shared" si="47"/>
        <v>Sunnyvale and Mountain View</v>
      </c>
      <c r="D990">
        <v>12</v>
      </c>
      <c r="E990" t="str">
        <f t="shared" si="47"/>
        <v>Milpitas and East San Jose</v>
      </c>
      <c r="F990" t="s">
        <v>324</v>
      </c>
      <c r="G990">
        <f t="shared" si="45"/>
        <v>5</v>
      </c>
      <c r="H990" t="s">
        <v>353</v>
      </c>
      <c r="I990" t="s">
        <v>194</v>
      </c>
      <c r="J990">
        <v>1</v>
      </c>
      <c r="K990">
        <v>62.646773074254</v>
      </c>
      <c r="Z990"/>
    </row>
    <row r="991" spans="1:26" x14ac:dyDescent="0.25">
      <c r="A991" s="159" t="str">
        <f t="shared" si="46"/>
        <v>LB-Sunnyvale and Mountain View-Milpitas and East San Jose-Social recreation</v>
      </c>
      <c r="B991">
        <v>9</v>
      </c>
      <c r="C991" t="str">
        <f t="shared" si="47"/>
        <v>Sunnyvale and Mountain View</v>
      </c>
      <c r="D991">
        <v>12</v>
      </c>
      <c r="E991" t="str">
        <f t="shared" si="47"/>
        <v>Milpitas and East San Jose</v>
      </c>
      <c r="F991" t="s">
        <v>324</v>
      </c>
      <c r="G991">
        <f t="shared" si="45"/>
        <v>5</v>
      </c>
      <c r="H991" t="s">
        <v>359</v>
      </c>
      <c r="I991" t="s">
        <v>191</v>
      </c>
      <c r="J991">
        <v>1</v>
      </c>
      <c r="K991">
        <v>62.646773074254</v>
      </c>
      <c r="Z991"/>
    </row>
    <row r="992" spans="1:26" x14ac:dyDescent="0.25">
      <c r="A992" s="159" t="str">
        <f t="shared" si="46"/>
        <v>LR-Sunnyvale and Mountain View-Milpitas and East San Jose-Work</v>
      </c>
      <c r="B992">
        <v>9</v>
      </c>
      <c r="C992" t="str">
        <f t="shared" si="47"/>
        <v>Sunnyvale and Mountain View</v>
      </c>
      <c r="D992">
        <v>12</v>
      </c>
      <c r="E992" t="str">
        <f t="shared" si="47"/>
        <v>Milpitas and East San Jose</v>
      </c>
      <c r="F992" t="s">
        <v>30</v>
      </c>
      <c r="G992">
        <f t="shared" si="45"/>
        <v>1</v>
      </c>
      <c r="H992" t="s">
        <v>353</v>
      </c>
      <c r="I992" t="s">
        <v>194</v>
      </c>
      <c r="J992">
        <v>5</v>
      </c>
      <c r="K992">
        <v>313.23386537126999</v>
      </c>
      <c r="Z992"/>
    </row>
    <row r="993" spans="1:26" x14ac:dyDescent="0.25">
      <c r="A993" s="159" t="str">
        <f t="shared" si="46"/>
        <v>LB-Sunnyvale and Mountain View-Milpitas and East San Jose-Work</v>
      </c>
      <c r="B993">
        <v>9</v>
      </c>
      <c r="C993" t="str">
        <f t="shared" si="47"/>
        <v>Sunnyvale and Mountain View</v>
      </c>
      <c r="D993">
        <v>12</v>
      </c>
      <c r="E993" t="str">
        <f t="shared" si="47"/>
        <v>Milpitas and East San Jose</v>
      </c>
      <c r="F993" t="s">
        <v>30</v>
      </c>
      <c r="G993">
        <f t="shared" si="45"/>
        <v>1</v>
      </c>
      <c r="H993" t="s">
        <v>359</v>
      </c>
      <c r="I993" t="s">
        <v>191</v>
      </c>
      <c r="J993">
        <v>5</v>
      </c>
      <c r="K993">
        <v>313.23386537126999</v>
      </c>
      <c r="Z993"/>
    </row>
    <row r="994" spans="1:26" x14ac:dyDescent="0.25">
      <c r="A994" s="159" t="str">
        <f t="shared" si="46"/>
        <v>LB-Sunnyvale and Mountain View-South San Jose-High school</v>
      </c>
      <c r="B994">
        <v>9</v>
      </c>
      <c r="C994" t="str">
        <f t="shared" si="47"/>
        <v>Sunnyvale and Mountain View</v>
      </c>
      <c r="D994">
        <v>13</v>
      </c>
      <c r="E994" t="str">
        <f t="shared" si="47"/>
        <v>South San Jose</v>
      </c>
      <c r="F994" t="s">
        <v>326</v>
      </c>
      <c r="G994">
        <f t="shared" si="45"/>
        <v>3</v>
      </c>
      <c r="H994" t="s">
        <v>359</v>
      </c>
      <c r="I994" t="s">
        <v>191</v>
      </c>
      <c r="J994">
        <v>1</v>
      </c>
      <c r="K994">
        <v>62.646773074254</v>
      </c>
      <c r="Z994"/>
    </row>
    <row r="995" spans="1:26" x14ac:dyDescent="0.25">
      <c r="A995" s="159" t="str">
        <f t="shared" si="46"/>
        <v>CR-Sunnyvale and Mountain View-South San Jose-Work</v>
      </c>
      <c r="B995">
        <v>9</v>
      </c>
      <c r="C995" t="str">
        <f t="shared" si="47"/>
        <v>Sunnyvale and Mountain View</v>
      </c>
      <c r="D995">
        <v>13</v>
      </c>
      <c r="E995" t="str">
        <f t="shared" si="47"/>
        <v>South San Jose</v>
      </c>
      <c r="F995" t="s">
        <v>30</v>
      </c>
      <c r="G995">
        <f t="shared" si="45"/>
        <v>1</v>
      </c>
      <c r="H995" t="s">
        <v>125</v>
      </c>
      <c r="I995" t="s">
        <v>178</v>
      </c>
      <c r="J995">
        <v>1</v>
      </c>
      <c r="K995">
        <v>25.1469534050179</v>
      </c>
      <c r="Z995"/>
    </row>
    <row r="996" spans="1:26" x14ac:dyDescent="0.25">
      <c r="A996" s="159" t="str">
        <f t="shared" si="46"/>
        <v>LR-Sunnyvale and Mountain View-South San Jose-Work</v>
      </c>
      <c r="B996">
        <v>9</v>
      </c>
      <c r="C996" t="str">
        <f t="shared" si="47"/>
        <v>Sunnyvale and Mountain View</v>
      </c>
      <c r="D996">
        <v>13</v>
      </c>
      <c r="E996" t="str">
        <f t="shared" si="47"/>
        <v>South San Jose</v>
      </c>
      <c r="F996" t="s">
        <v>30</v>
      </c>
      <c r="G996">
        <f t="shared" si="45"/>
        <v>1</v>
      </c>
      <c r="H996" t="s">
        <v>353</v>
      </c>
      <c r="I996" t="s">
        <v>194</v>
      </c>
      <c r="J996">
        <v>1</v>
      </c>
      <c r="K996">
        <v>62.646773074254</v>
      </c>
      <c r="Z996"/>
    </row>
    <row r="997" spans="1:26" x14ac:dyDescent="0.25">
      <c r="A997" s="159" t="str">
        <f t="shared" si="46"/>
        <v>LB-Sunnyvale and Mountain View-Gilroy and Morgan Hill-High school</v>
      </c>
      <c r="B997">
        <v>9</v>
      </c>
      <c r="C997" t="str">
        <f t="shared" si="47"/>
        <v>Sunnyvale and Mountain View</v>
      </c>
      <c r="D997">
        <v>14</v>
      </c>
      <c r="E997" t="str">
        <f t="shared" si="47"/>
        <v>Gilroy and Morgan Hill</v>
      </c>
      <c r="F997" t="s">
        <v>326</v>
      </c>
      <c r="G997">
        <f t="shared" si="45"/>
        <v>3</v>
      </c>
      <c r="H997" t="s">
        <v>359</v>
      </c>
      <c r="I997" t="s">
        <v>191</v>
      </c>
      <c r="J997">
        <v>1</v>
      </c>
      <c r="K997">
        <v>62.646773074254</v>
      </c>
      <c r="Z997"/>
    </row>
    <row r="998" spans="1:26" x14ac:dyDescent="0.25">
      <c r="A998" s="159" t="str">
        <f t="shared" si="46"/>
        <v>LB-Sunnyvale and Mountain View-Livermore and Pleasanton-Missing</v>
      </c>
      <c r="B998">
        <v>9</v>
      </c>
      <c r="C998" t="str">
        <f t="shared" si="47"/>
        <v>Sunnyvale and Mountain View</v>
      </c>
      <c r="D998">
        <v>15</v>
      </c>
      <c r="E998" t="str">
        <f t="shared" si="47"/>
        <v>Livermore and Pleasanton</v>
      </c>
      <c r="F998" t="s">
        <v>327</v>
      </c>
      <c r="G998">
        <f t="shared" si="45"/>
        <v>0</v>
      </c>
      <c r="H998" t="s">
        <v>359</v>
      </c>
      <c r="I998" t="s">
        <v>191</v>
      </c>
      <c r="J998">
        <v>1</v>
      </c>
      <c r="K998">
        <v>185.366795366795</v>
      </c>
      <c r="Z998"/>
    </row>
    <row r="999" spans="1:26" x14ac:dyDescent="0.25">
      <c r="A999" s="159" t="str">
        <f t="shared" si="46"/>
        <v>LB-Sunnyvale and Mountain View-Fremont and Union City-High school</v>
      </c>
      <c r="B999">
        <v>9</v>
      </c>
      <c r="C999" t="str">
        <f t="shared" si="47"/>
        <v>Sunnyvale and Mountain View</v>
      </c>
      <c r="D999">
        <v>16</v>
      </c>
      <c r="E999" t="str">
        <f t="shared" si="47"/>
        <v>Fremont and Union City</v>
      </c>
      <c r="F999" t="s">
        <v>326</v>
      </c>
      <c r="G999">
        <f t="shared" si="45"/>
        <v>3</v>
      </c>
      <c r="H999" t="s">
        <v>359</v>
      </c>
      <c r="I999" t="s">
        <v>191</v>
      </c>
      <c r="J999">
        <v>1</v>
      </c>
      <c r="K999">
        <v>75.575262543757304</v>
      </c>
      <c r="Z999"/>
    </row>
    <row r="1000" spans="1:26" x14ac:dyDescent="0.25">
      <c r="A1000" s="159" t="str">
        <f t="shared" si="46"/>
        <v>LR-Sunnyvale and Mountain View-Fremont and Union City-Work</v>
      </c>
      <c r="B1000">
        <v>9</v>
      </c>
      <c r="C1000" t="str">
        <f t="shared" si="47"/>
        <v>Sunnyvale and Mountain View</v>
      </c>
      <c r="D1000">
        <v>16</v>
      </c>
      <c r="E1000" t="str">
        <f t="shared" si="47"/>
        <v>Fremont and Union City</v>
      </c>
      <c r="F1000" t="s">
        <v>30</v>
      </c>
      <c r="G1000">
        <f t="shared" si="45"/>
        <v>1</v>
      </c>
      <c r="H1000" t="s">
        <v>353</v>
      </c>
      <c r="I1000" t="s">
        <v>194</v>
      </c>
      <c r="J1000">
        <v>1</v>
      </c>
      <c r="K1000">
        <v>62.646773074254</v>
      </c>
      <c r="Z1000"/>
    </row>
    <row r="1001" spans="1:26" x14ac:dyDescent="0.25">
      <c r="A1001" s="159" t="str">
        <f t="shared" si="46"/>
        <v>HR-Sunnyvale and Mountain View-Hayward and San Leandro-Work</v>
      </c>
      <c r="B1001">
        <v>9</v>
      </c>
      <c r="C1001" t="str">
        <f t="shared" si="47"/>
        <v>Sunnyvale and Mountain View</v>
      </c>
      <c r="D1001">
        <v>17</v>
      </c>
      <c r="E1001" t="str">
        <f t="shared" si="47"/>
        <v>Hayward and San Leandro</v>
      </c>
      <c r="F1001" t="s">
        <v>30</v>
      </c>
      <c r="G1001">
        <f t="shared" si="45"/>
        <v>1</v>
      </c>
      <c r="H1001" t="s">
        <v>124</v>
      </c>
      <c r="I1001" t="s">
        <v>188</v>
      </c>
      <c r="J1001">
        <v>1</v>
      </c>
      <c r="K1001">
        <v>95.822099447513807</v>
      </c>
      <c r="Z1001"/>
    </row>
    <row r="1002" spans="1:26" x14ac:dyDescent="0.25">
      <c r="A1002" s="159" t="str">
        <f t="shared" si="46"/>
        <v>LR-Sunnyvale and Mountain View-Oakland and Alameda-Social recreation</v>
      </c>
      <c r="B1002">
        <v>9</v>
      </c>
      <c r="C1002" t="str">
        <f t="shared" si="47"/>
        <v>Sunnyvale and Mountain View</v>
      </c>
      <c r="D1002">
        <v>18</v>
      </c>
      <c r="E1002" t="str">
        <f t="shared" si="47"/>
        <v>Oakland and Alameda</v>
      </c>
      <c r="F1002" t="s">
        <v>324</v>
      </c>
      <c r="G1002">
        <f t="shared" si="45"/>
        <v>5</v>
      </c>
      <c r="H1002" t="s">
        <v>353</v>
      </c>
      <c r="I1002" t="s">
        <v>194</v>
      </c>
      <c r="J1002">
        <v>1</v>
      </c>
      <c r="K1002">
        <v>62.646773074254</v>
      </c>
      <c r="Z1002"/>
    </row>
    <row r="1003" spans="1:26" x14ac:dyDescent="0.25">
      <c r="A1003" s="159" t="str">
        <f t="shared" si="46"/>
        <v>CR-Sunnyvale and Mountain View-Oakland and Alameda-Work</v>
      </c>
      <c r="B1003">
        <v>9</v>
      </c>
      <c r="C1003" t="str">
        <f t="shared" si="47"/>
        <v>Sunnyvale and Mountain View</v>
      </c>
      <c r="D1003">
        <v>18</v>
      </c>
      <c r="E1003" t="str">
        <f t="shared" si="47"/>
        <v>Oakland and Alameda</v>
      </c>
      <c r="F1003" t="s">
        <v>30</v>
      </c>
      <c r="G1003">
        <f t="shared" si="45"/>
        <v>1</v>
      </c>
      <c r="H1003" t="s">
        <v>125</v>
      </c>
      <c r="I1003" t="s">
        <v>178</v>
      </c>
      <c r="J1003">
        <v>1</v>
      </c>
      <c r="K1003">
        <v>23.4305084745763</v>
      </c>
      <c r="Z1003"/>
    </row>
    <row r="1004" spans="1:26" x14ac:dyDescent="0.25">
      <c r="A1004" s="159" t="str">
        <f t="shared" si="46"/>
        <v>FR-Sunnyvale and Mountain View-Oakland and Alameda-Work</v>
      </c>
      <c r="B1004">
        <v>9</v>
      </c>
      <c r="C1004" t="str">
        <f t="shared" si="47"/>
        <v>Sunnyvale and Mountain View</v>
      </c>
      <c r="D1004">
        <v>18</v>
      </c>
      <c r="E1004" t="str">
        <f t="shared" si="47"/>
        <v>Oakland and Alameda</v>
      </c>
      <c r="F1004" t="s">
        <v>30</v>
      </c>
      <c r="G1004">
        <f t="shared" si="45"/>
        <v>1</v>
      </c>
      <c r="H1004" t="s">
        <v>360</v>
      </c>
      <c r="I1004" t="s">
        <v>185</v>
      </c>
      <c r="J1004">
        <v>1</v>
      </c>
      <c r="K1004">
        <v>11.719387755102</v>
      </c>
      <c r="Z1004"/>
    </row>
    <row r="1005" spans="1:26" x14ac:dyDescent="0.25">
      <c r="A1005" s="159" t="str">
        <f t="shared" si="46"/>
        <v>HR-Sunnyvale and Mountain View-Oakland and Alameda-Work</v>
      </c>
      <c r="B1005">
        <v>9</v>
      </c>
      <c r="C1005" t="str">
        <f t="shared" si="47"/>
        <v>Sunnyvale and Mountain View</v>
      </c>
      <c r="D1005">
        <v>18</v>
      </c>
      <c r="E1005" t="str">
        <f t="shared" si="47"/>
        <v>Oakland and Alameda</v>
      </c>
      <c r="F1005" t="s">
        <v>30</v>
      </c>
      <c r="G1005">
        <f t="shared" si="45"/>
        <v>1</v>
      </c>
      <c r="H1005" t="s">
        <v>124</v>
      </c>
      <c r="I1005" t="s">
        <v>188</v>
      </c>
      <c r="J1005">
        <v>2</v>
      </c>
      <c r="K1005">
        <v>191.64419889502699</v>
      </c>
      <c r="Z1005"/>
    </row>
    <row r="1006" spans="1:26" x14ac:dyDescent="0.25">
      <c r="A1006" s="159" t="str">
        <f t="shared" si="46"/>
        <v>HR-Sunnyvale and Mountain View-Berkeley and Albany-Work</v>
      </c>
      <c r="B1006">
        <v>9</v>
      </c>
      <c r="C1006" t="str">
        <f t="shared" si="47"/>
        <v>Sunnyvale and Mountain View</v>
      </c>
      <c r="D1006">
        <v>19</v>
      </c>
      <c r="E1006" t="str">
        <f t="shared" si="47"/>
        <v>Berkeley and Albany</v>
      </c>
      <c r="F1006" t="s">
        <v>30</v>
      </c>
      <c r="G1006">
        <f t="shared" si="45"/>
        <v>1</v>
      </c>
      <c r="H1006" t="s">
        <v>124</v>
      </c>
      <c r="I1006" t="s">
        <v>188</v>
      </c>
      <c r="J1006">
        <v>1</v>
      </c>
      <c r="K1006">
        <v>95.822099447513807</v>
      </c>
      <c r="Z1006"/>
    </row>
    <row r="1007" spans="1:26" x14ac:dyDescent="0.25">
      <c r="A1007" s="159" t="str">
        <f t="shared" si="46"/>
        <v>CR-Cupertino and Saratoga-Greater Downtown San Francisco-Social recreation</v>
      </c>
      <c r="B1007">
        <v>10</v>
      </c>
      <c r="C1007" t="str">
        <f t="shared" si="47"/>
        <v>Cupertino and Saratoga</v>
      </c>
      <c r="D1007">
        <v>1</v>
      </c>
      <c r="E1007" t="str">
        <f t="shared" si="47"/>
        <v>Greater Downtown San Francisco</v>
      </c>
      <c r="F1007" t="s">
        <v>324</v>
      </c>
      <c r="G1007">
        <f t="shared" si="45"/>
        <v>5</v>
      </c>
      <c r="H1007" t="s">
        <v>125</v>
      </c>
      <c r="I1007" t="s">
        <v>178</v>
      </c>
      <c r="J1007">
        <v>1</v>
      </c>
      <c r="K1007">
        <v>23.4305084745763</v>
      </c>
      <c r="Z1007"/>
    </row>
    <row r="1008" spans="1:26" x14ac:dyDescent="0.25">
      <c r="A1008" s="159" t="str">
        <f t="shared" si="46"/>
        <v>HR-Cupertino and Saratoga-Greater Downtown San Francisco-Work</v>
      </c>
      <c r="B1008">
        <v>10</v>
      </c>
      <c r="C1008" t="str">
        <f t="shared" si="47"/>
        <v>Cupertino and Saratoga</v>
      </c>
      <c r="D1008">
        <v>1</v>
      </c>
      <c r="E1008" t="str">
        <f t="shared" si="47"/>
        <v>Greater Downtown San Francisco</v>
      </c>
      <c r="F1008" t="s">
        <v>30</v>
      </c>
      <c r="G1008">
        <f t="shared" si="45"/>
        <v>1</v>
      </c>
      <c r="H1008" t="s">
        <v>124</v>
      </c>
      <c r="I1008" t="s">
        <v>188</v>
      </c>
      <c r="J1008">
        <v>1</v>
      </c>
      <c r="K1008">
        <v>95.822099447513807</v>
      </c>
      <c r="Z1008"/>
    </row>
    <row r="1009" spans="1:26" x14ac:dyDescent="0.25">
      <c r="A1009" s="159" t="str">
        <f t="shared" si="46"/>
        <v>LB-Cupertino and Saratoga-Greater Downtown San Francisco-Work</v>
      </c>
      <c r="B1009">
        <v>10</v>
      </c>
      <c r="C1009" t="str">
        <f t="shared" si="47"/>
        <v>Cupertino and Saratoga</v>
      </c>
      <c r="D1009">
        <v>1</v>
      </c>
      <c r="E1009" t="str">
        <f t="shared" si="47"/>
        <v>Greater Downtown San Francisco</v>
      </c>
      <c r="F1009" t="s">
        <v>30</v>
      </c>
      <c r="G1009">
        <f t="shared" si="45"/>
        <v>1</v>
      </c>
      <c r="H1009" t="s">
        <v>359</v>
      </c>
      <c r="I1009" t="s">
        <v>191</v>
      </c>
      <c r="J1009">
        <v>1</v>
      </c>
      <c r="K1009">
        <v>62.646773074254</v>
      </c>
      <c r="Z1009"/>
    </row>
    <row r="1010" spans="1:26" x14ac:dyDescent="0.25">
      <c r="A1010" s="159" t="str">
        <f t="shared" si="46"/>
        <v>CR-Cupertino and Saratoga-San Francisco Mission District-Social recreation</v>
      </c>
      <c r="B1010">
        <v>10</v>
      </c>
      <c r="C1010" t="str">
        <f t="shared" si="47"/>
        <v>Cupertino and Saratoga</v>
      </c>
      <c r="D1010">
        <v>3</v>
      </c>
      <c r="E1010" t="str">
        <f t="shared" si="47"/>
        <v>San Francisco Mission District</v>
      </c>
      <c r="F1010" t="s">
        <v>324</v>
      </c>
      <c r="G1010">
        <f t="shared" si="45"/>
        <v>5</v>
      </c>
      <c r="H1010" t="s">
        <v>125</v>
      </c>
      <c r="I1010" t="s">
        <v>178</v>
      </c>
      <c r="J1010">
        <v>1</v>
      </c>
      <c r="K1010">
        <v>25.1469534050179</v>
      </c>
      <c r="Z1010"/>
    </row>
    <row r="1011" spans="1:26" x14ac:dyDescent="0.25">
      <c r="A1011" s="159" t="str">
        <f t="shared" si="46"/>
        <v>LB-Cupertino and Saratoga-Daly City and San Bruno-High school</v>
      </c>
      <c r="B1011">
        <v>10</v>
      </c>
      <c r="C1011" t="str">
        <f t="shared" si="47"/>
        <v>Cupertino and Saratoga</v>
      </c>
      <c r="D1011">
        <v>5</v>
      </c>
      <c r="E1011" t="str">
        <f t="shared" si="47"/>
        <v>Daly City and San Bruno</v>
      </c>
      <c r="F1011" t="s">
        <v>326</v>
      </c>
      <c r="G1011">
        <f t="shared" si="45"/>
        <v>3</v>
      </c>
      <c r="H1011" t="s">
        <v>359</v>
      </c>
      <c r="I1011" t="s">
        <v>191</v>
      </c>
      <c r="J1011">
        <v>1</v>
      </c>
      <c r="K1011">
        <v>62.646773074254</v>
      </c>
      <c r="Z1011"/>
    </row>
    <row r="1012" spans="1:26" x14ac:dyDescent="0.25">
      <c r="A1012" s="159" t="str">
        <f t="shared" si="46"/>
        <v>CR-Cupertino and Saratoga-Daly City and San Bruno-Social recreation</v>
      </c>
      <c r="B1012">
        <v>10</v>
      </c>
      <c r="C1012" t="str">
        <f t="shared" si="47"/>
        <v>Cupertino and Saratoga</v>
      </c>
      <c r="D1012">
        <v>5</v>
      </c>
      <c r="E1012" t="str">
        <f t="shared" si="47"/>
        <v>Daly City and San Bruno</v>
      </c>
      <c r="F1012" t="s">
        <v>324</v>
      </c>
      <c r="G1012">
        <f t="shared" si="45"/>
        <v>5</v>
      </c>
      <c r="H1012" t="s">
        <v>125</v>
      </c>
      <c r="I1012" t="s">
        <v>178</v>
      </c>
      <c r="J1012">
        <v>2</v>
      </c>
      <c r="K1012">
        <v>50.2939068100358</v>
      </c>
      <c r="Z1012"/>
    </row>
    <row r="1013" spans="1:26" x14ac:dyDescent="0.25">
      <c r="A1013" s="159" t="str">
        <f t="shared" si="46"/>
        <v>CR-Cupertino and Saratoga-San Mateo and Burlingame-Work</v>
      </c>
      <c r="B1013">
        <v>10</v>
      </c>
      <c r="C1013" t="str">
        <f t="shared" si="47"/>
        <v>Cupertino and Saratoga</v>
      </c>
      <c r="D1013">
        <v>6</v>
      </c>
      <c r="E1013" t="str">
        <f t="shared" si="47"/>
        <v>San Mateo and Burlingame</v>
      </c>
      <c r="F1013" t="s">
        <v>30</v>
      </c>
      <c r="G1013">
        <f t="shared" si="45"/>
        <v>1</v>
      </c>
      <c r="H1013" t="s">
        <v>125</v>
      </c>
      <c r="I1013" t="s">
        <v>178</v>
      </c>
      <c r="J1013">
        <v>1</v>
      </c>
      <c r="K1013">
        <v>23.4305084745763</v>
      </c>
      <c r="Z1013"/>
    </row>
    <row r="1014" spans="1:26" x14ac:dyDescent="0.25">
      <c r="A1014" s="159" t="str">
        <f t="shared" si="46"/>
        <v>LB-Cupertino and Saratoga-Redwood City and Menlo Park-Other maintenance</v>
      </c>
      <c r="B1014">
        <v>10</v>
      </c>
      <c r="C1014" t="str">
        <f t="shared" si="47"/>
        <v>Cupertino and Saratoga</v>
      </c>
      <c r="D1014">
        <v>7</v>
      </c>
      <c r="E1014" t="str">
        <f t="shared" si="47"/>
        <v>Redwood City and Menlo Park</v>
      </c>
      <c r="F1014" t="s">
        <v>325</v>
      </c>
      <c r="G1014">
        <f t="shared" si="45"/>
        <v>4</v>
      </c>
      <c r="H1014" t="s">
        <v>359</v>
      </c>
      <c r="I1014" t="s">
        <v>191</v>
      </c>
      <c r="J1014">
        <v>1</v>
      </c>
      <c r="K1014">
        <v>62.646773074254</v>
      </c>
      <c r="Z1014"/>
    </row>
    <row r="1015" spans="1:26" x14ac:dyDescent="0.25">
      <c r="A1015" s="159" t="str">
        <f t="shared" si="46"/>
        <v>CR-Cupertino and Saratoga-Redwood City and Menlo Park-Work</v>
      </c>
      <c r="B1015">
        <v>10</v>
      </c>
      <c r="C1015" t="str">
        <f t="shared" si="47"/>
        <v>Cupertino and Saratoga</v>
      </c>
      <c r="D1015">
        <v>7</v>
      </c>
      <c r="E1015" t="str">
        <f t="shared" si="47"/>
        <v>Redwood City and Menlo Park</v>
      </c>
      <c r="F1015" t="s">
        <v>30</v>
      </c>
      <c r="G1015">
        <f t="shared" si="45"/>
        <v>1</v>
      </c>
      <c r="H1015" t="s">
        <v>125</v>
      </c>
      <c r="I1015" t="s">
        <v>178</v>
      </c>
      <c r="J1015">
        <v>2</v>
      </c>
      <c r="K1015">
        <v>46.861016949152599</v>
      </c>
      <c r="Z1015"/>
    </row>
    <row r="1016" spans="1:26" x14ac:dyDescent="0.25">
      <c r="A1016" s="159" t="str">
        <f t="shared" si="46"/>
        <v>EB-Cupertino and Saratoga-Redwood City and Menlo Park-Work</v>
      </c>
      <c r="B1016">
        <v>10</v>
      </c>
      <c r="C1016" t="str">
        <f t="shared" si="47"/>
        <v>Cupertino and Saratoga</v>
      </c>
      <c r="D1016">
        <v>7</v>
      </c>
      <c r="E1016" t="str">
        <f t="shared" si="47"/>
        <v>Redwood City and Menlo Park</v>
      </c>
      <c r="F1016" t="s">
        <v>30</v>
      </c>
      <c r="G1016">
        <f t="shared" si="45"/>
        <v>1</v>
      </c>
      <c r="H1016" t="s">
        <v>123</v>
      </c>
      <c r="I1016" t="s">
        <v>182</v>
      </c>
      <c r="J1016">
        <v>1</v>
      </c>
      <c r="K1016">
        <v>3.8990384615384599</v>
      </c>
      <c r="Z1016"/>
    </row>
    <row r="1017" spans="1:26" x14ac:dyDescent="0.25">
      <c r="A1017" s="159" t="str">
        <f t="shared" si="46"/>
        <v>LB-Cupertino and Saratoga-Redwood City and Menlo Park-Work</v>
      </c>
      <c r="B1017">
        <v>10</v>
      </c>
      <c r="C1017" t="str">
        <f t="shared" si="47"/>
        <v>Cupertino and Saratoga</v>
      </c>
      <c r="D1017">
        <v>7</v>
      </c>
      <c r="E1017" t="str">
        <f t="shared" si="47"/>
        <v>Redwood City and Menlo Park</v>
      </c>
      <c r="F1017" t="s">
        <v>30</v>
      </c>
      <c r="G1017">
        <f t="shared" si="45"/>
        <v>1</v>
      </c>
      <c r="H1017" t="s">
        <v>359</v>
      </c>
      <c r="I1017" t="s">
        <v>191</v>
      </c>
      <c r="J1017">
        <v>1</v>
      </c>
      <c r="K1017">
        <v>62.646773074254</v>
      </c>
      <c r="Z1017"/>
    </row>
    <row r="1018" spans="1:26" x14ac:dyDescent="0.25">
      <c r="A1018" s="159" t="str">
        <f t="shared" si="46"/>
        <v>LR-Cupertino and Saratoga-Palo Alto and Los Altos-High school</v>
      </c>
      <c r="B1018">
        <v>10</v>
      </c>
      <c r="C1018" t="str">
        <f t="shared" si="47"/>
        <v>Cupertino and Saratoga</v>
      </c>
      <c r="D1018">
        <v>8</v>
      </c>
      <c r="E1018" t="str">
        <f t="shared" si="47"/>
        <v>Palo Alto and Los Altos</v>
      </c>
      <c r="F1018" t="s">
        <v>326</v>
      </c>
      <c r="G1018">
        <f t="shared" si="45"/>
        <v>3</v>
      </c>
      <c r="H1018" t="s">
        <v>353</v>
      </c>
      <c r="I1018" t="s">
        <v>194</v>
      </c>
      <c r="J1018">
        <v>1</v>
      </c>
      <c r="K1018">
        <v>62.646773074254</v>
      </c>
      <c r="Z1018"/>
    </row>
    <row r="1019" spans="1:26" x14ac:dyDescent="0.25">
      <c r="A1019" s="159" t="str">
        <f t="shared" si="46"/>
        <v>LB-Cupertino and Saratoga-Palo Alto and Los Altos-Other maintenance</v>
      </c>
      <c r="B1019">
        <v>10</v>
      </c>
      <c r="C1019" t="str">
        <f t="shared" si="47"/>
        <v>Cupertino and Saratoga</v>
      </c>
      <c r="D1019">
        <v>8</v>
      </c>
      <c r="E1019" t="str">
        <f t="shared" si="47"/>
        <v>Palo Alto and Los Altos</v>
      </c>
      <c r="F1019" t="s">
        <v>325</v>
      </c>
      <c r="G1019">
        <f t="shared" si="45"/>
        <v>4</v>
      </c>
      <c r="H1019" t="s">
        <v>359</v>
      </c>
      <c r="I1019" t="s">
        <v>191</v>
      </c>
      <c r="J1019">
        <v>1</v>
      </c>
      <c r="K1019">
        <v>62.646773074254</v>
      </c>
      <c r="Z1019"/>
    </row>
    <row r="1020" spans="1:26" x14ac:dyDescent="0.25">
      <c r="A1020" s="159" t="str">
        <f t="shared" si="46"/>
        <v>LB-Cupertino and Saratoga-Palo Alto and Los Altos-Social recreation</v>
      </c>
      <c r="B1020">
        <v>10</v>
      </c>
      <c r="C1020" t="str">
        <f t="shared" si="47"/>
        <v>Cupertino and Saratoga</v>
      </c>
      <c r="D1020">
        <v>8</v>
      </c>
      <c r="E1020" t="str">
        <f t="shared" si="47"/>
        <v>Palo Alto and Los Altos</v>
      </c>
      <c r="F1020" t="s">
        <v>324</v>
      </c>
      <c r="G1020">
        <f t="shared" si="45"/>
        <v>5</v>
      </c>
      <c r="H1020" t="s">
        <v>359</v>
      </c>
      <c r="I1020" t="s">
        <v>191</v>
      </c>
      <c r="J1020">
        <v>1</v>
      </c>
      <c r="K1020">
        <v>62.646773074254</v>
      </c>
      <c r="Z1020"/>
    </row>
    <row r="1021" spans="1:26" x14ac:dyDescent="0.25">
      <c r="A1021" s="159" t="str">
        <f t="shared" si="46"/>
        <v>CR-Cupertino and Saratoga-Palo Alto and Los Altos-Work</v>
      </c>
      <c r="B1021">
        <v>10</v>
      </c>
      <c r="C1021" t="str">
        <f t="shared" si="47"/>
        <v>Cupertino and Saratoga</v>
      </c>
      <c r="D1021">
        <v>8</v>
      </c>
      <c r="E1021" t="str">
        <f t="shared" si="47"/>
        <v>Palo Alto and Los Altos</v>
      </c>
      <c r="F1021" t="s">
        <v>30</v>
      </c>
      <c r="G1021">
        <f t="shared" si="45"/>
        <v>1</v>
      </c>
      <c r="H1021" t="s">
        <v>125</v>
      </c>
      <c r="I1021" t="s">
        <v>178</v>
      </c>
      <c r="J1021">
        <v>2</v>
      </c>
      <c r="K1021">
        <v>46.861016949152599</v>
      </c>
      <c r="Z1021"/>
    </row>
    <row r="1022" spans="1:26" x14ac:dyDescent="0.25">
      <c r="A1022" s="159" t="str">
        <f t="shared" si="46"/>
        <v>LR-Cupertino and Saratoga-Palo Alto and Los Altos-Work</v>
      </c>
      <c r="B1022">
        <v>10</v>
      </c>
      <c r="C1022" t="str">
        <f t="shared" si="47"/>
        <v>Cupertino and Saratoga</v>
      </c>
      <c r="D1022">
        <v>8</v>
      </c>
      <c r="E1022" t="str">
        <f t="shared" si="47"/>
        <v>Palo Alto and Los Altos</v>
      </c>
      <c r="F1022" t="s">
        <v>30</v>
      </c>
      <c r="G1022">
        <f t="shared" si="45"/>
        <v>1</v>
      </c>
      <c r="H1022" t="s">
        <v>353</v>
      </c>
      <c r="I1022" t="s">
        <v>194</v>
      </c>
      <c r="J1022">
        <v>1</v>
      </c>
      <c r="K1022">
        <v>62.646773074254</v>
      </c>
      <c r="Z1022"/>
    </row>
    <row r="1023" spans="1:26" x14ac:dyDescent="0.25">
      <c r="A1023" s="159" t="str">
        <f t="shared" si="46"/>
        <v>LB-Cupertino and Saratoga-Palo Alto and Los Altos-Work</v>
      </c>
      <c r="B1023">
        <v>10</v>
      </c>
      <c r="C1023" t="str">
        <f t="shared" si="47"/>
        <v>Cupertino and Saratoga</v>
      </c>
      <c r="D1023">
        <v>8</v>
      </c>
      <c r="E1023" t="str">
        <f t="shared" si="47"/>
        <v>Palo Alto and Los Altos</v>
      </c>
      <c r="F1023" t="s">
        <v>30</v>
      </c>
      <c r="G1023">
        <f t="shared" si="45"/>
        <v>1</v>
      </c>
      <c r="H1023" t="s">
        <v>359</v>
      </c>
      <c r="I1023" t="s">
        <v>191</v>
      </c>
      <c r="J1023">
        <v>2</v>
      </c>
      <c r="K1023">
        <v>125.293546148508</v>
      </c>
      <c r="Z1023"/>
    </row>
    <row r="1024" spans="1:26" x14ac:dyDescent="0.25">
      <c r="A1024" s="159" t="str">
        <f t="shared" si="46"/>
        <v>LB-Cupertino and Saratoga-Sunnyvale and Mountain View-High school</v>
      </c>
      <c r="B1024">
        <v>10</v>
      </c>
      <c r="C1024" t="str">
        <f t="shared" si="47"/>
        <v>Cupertino and Saratoga</v>
      </c>
      <c r="D1024">
        <v>9</v>
      </c>
      <c r="E1024" t="str">
        <f t="shared" si="47"/>
        <v>Sunnyvale and Mountain View</v>
      </c>
      <c r="F1024" t="s">
        <v>326</v>
      </c>
      <c r="G1024">
        <f t="shared" si="45"/>
        <v>3</v>
      </c>
      <c r="H1024" t="s">
        <v>359</v>
      </c>
      <c r="I1024" t="s">
        <v>191</v>
      </c>
      <c r="J1024">
        <v>1</v>
      </c>
      <c r="K1024">
        <v>62.646773074254</v>
      </c>
      <c r="Z1024"/>
    </row>
    <row r="1025" spans="1:26" x14ac:dyDescent="0.25">
      <c r="A1025" s="159" t="str">
        <f t="shared" si="46"/>
        <v>LB-Cupertino and Saratoga-Sunnyvale and Mountain View-Missing</v>
      </c>
      <c r="B1025">
        <v>10</v>
      </c>
      <c r="C1025" t="str">
        <f t="shared" si="47"/>
        <v>Cupertino and Saratoga</v>
      </c>
      <c r="D1025">
        <v>9</v>
      </c>
      <c r="E1025" t="str">
        <f t="shared" si="47"/>
        <v>Sunnyvale and Mountain View</v>
      </c>
      <c r="F1025" t="s">
        <v>327</v>
      </c>
      <c r="G1025">
        <f t="shared" si="45"/>
        <v>0</v>
      </c>
      <c r="H1025" t="s">
        <v>359</v>
      </c>
      <c r="I1025" t="s">
        <v>191</v>
      </c>
      <c r="J1025">
        <v>1</v>
      </c>
      <c r="K1025">
        <v>62.646773074254</v>
      </c>
      <c r="Z1025"/>
    </row>
    <row r="1026" spans="1:26" x14ac:dyDescent="0.25">
      <c r="A1026" s="159" t="str">
        <f t="shared" si="46"/>
        <v>LB-Cupertino and Saratoga-Sunnyvale and Mountain View-Other maintenance</v>
      </c>
      <c r="B1026">
        <v>10</v>
      </c>
      <c r="C1026" t="str">
        <f t="shared" si="47"/>
        <v>Cupertino and Saratoga</v>
      </c>
      <c r="D1026">
        <v>9</v>
      </c>
      <c r="E1026" t="str">
        <f t="shared" si="47"/>
        <v>Sunnyvale and Mountain View</v>
      </c>
      <c r="F1026" t="s">
        <v>325</v>
      </c>
      <c r="G1026">
        <f t="shared" ref="G1026:G1089" si="48">VLOOKUP(F1026,$V$2:$X$10, 3,FALSE)</f>
        <v>4</v>
      </c>
      <c r="H1026" t="s">
        <v>359</v>
      </c>
      <c r="I1026" t="s">
        <v>191</v>
      </c>
      <c r="J1026">
        <v>2</v>
      </c>
      <c r="K1026">
        <v>248.01356844104899</v>
      </c>
      <c r="Z1026"/>
    </row>
    <row r="1027" spans="1:26" x14ac:dyDescent="0.25">
      <c r="A1027" s="159" t="str">
        <f t="shared" ref="A1027:A1090" si="49" xml:space="preserve"> CONCATENATE(I1027,"-",C1027, "-",E1027, "-",F1027,)</f>
        <v>LR-Cupertino and Saratoga-Sunnyvale and Mountain View-Work</v>
      </c>
      <c r="B1027">
        <v>10</v>
      </c>
      <c r="C1027" t="str">
        <f t="shared" ref="C1027:E1090" si="50">VLOOKUP(B1027,$S$2:$T$35,2,FALSE)</f>
        <v>Cupertino and Saratoga</v>
      </c>
      <c r="D1027">
        <v>9</v>
      </c>
      <c r="E1027" t="str">
        <f t="shared" si="50"/>
        <v>Sunnyvale and Mountain View</v>
      </c>
      <c r="F1027" t="s">
        <v>30</v>
      </c>
      <c r="G1027">
        <f t="shared" si="48"/>
        <v>1</v>
      </c>
      <c r="H1027" t="s">
        <v>353</v>
      </c>
      <c r="I1027" t="s">
        <v>194</v>
      </c>
      <c r="J1027">
        <v>3</v>
      </c>
      <c r="K1027">
        <v>310.660341515303</v>
      </c>
      <c r="Z1027"/>
    </row>
    <row r="1028" spans="1:26" x14ac:dyDescent="0.25">
      <c r="A1028" s="159" t="str">
        <f t="shared" si="49"/>
        <v>LB-Cupertino and Saratoga-Sunnyvale and Mountain View-Work</v>
      </c>
      <c r="B1028">
        <v>10</v>
      </c>
      <c r="C1028" t="str">
        <f t="shared" si="50"/>
        <v>Cupertino and Saratoga</v>
      </c>
      <c r="D1028">
        <v>9</v>
      </c>
      <c r="E1028" t="str">
        <f t="shared" si="50"/>
        <v>Sunnyvale and Mountain View</v>
      </c>
      <c r="F1028" t="s">
        <v>30</v>
      </c>
      <c r="G1028">
        <f t="shared" si="48"/>
        <v>1</v>
      </c>
      <c r="H1028" t="s">
        <v>359</v>
      </c>
      <c r="I1028" t="s">
        <v>191</v>
      </c>
      <c r="J1028">
        <v>7</v>
      </c>
      <c r="K1028">
        <v>438.52741151977801</v>
      </c>
      <c r="Z1028"/>
    </row>
    <row r="1029" spans="1:26" x14ac:dyDescent="0.25">
      <c r="A1029" s="159" t="str">
        <f t="shared" si="49"/>
        <v>LB-Cupertino and Saratoga-Cupertino and Saratoga-High school</v>
      </c>
      <c r="B1029">
        <v>10</v>
      </c>
      <c r="C1029" t="str">
        <f t="shared" si="50"/>
        <v>Cupertino and Saratoga</v>
      </c>
      <c r="D1029">
        <v>10</v>
      </c>
      <c r="E1029" t="str">
        <f t="shared" si="50"/>
        <v>Cupertino and Saratoga</v>
      </c>
      <c r="F1029" t="s">
        <v>326</v>
      </c>
      <c r="G1029">
        <f t="shared" si="48"/>
        <v>3</v>
      </c>
      <c r="H1029" t="s">
        <v>359</v>
      </c>
      <c r="I1029" t="s">
        <v>191</v>
      </c>
      <c r="J1029">
        <v>17</v>
      </c>
      <c r="K1029">
        <v>1187.7151645548499</v>
      </c>
      <c r="Z1029"/>
    </row>
    <row r="1030" spans="1:26" x14ac:dyDescent="0.25">
      <c r="A1030" s="159" t="str">
        <f t="shared" si="49"/>
        <v>LR-Cupertino and Saratoga-Cupertino and Saratoga-Missing</v>
      </c>
      <c r="B1030">
        <v>10</v>
      </c>
      <c r="C1030" t="str">
        <f t="shared" si="50"/>
        <v>Cupertino and Saratoga</v>
      </c>
      <c r="D1030">
        <v>10</v>
      </c>
      <c r="E1030" t="str">
        <f t="shared" si="50"/>
        <v>Cupertino and Saratoga</v>
      </c>
      <c r="F1030" t="s">
        <v>327</v>
      </c>
      <c r="G1030">
        <f t="shared" si="48"/>
        <v>0</v>
      </c>
      <c r="H1030" t="s">
        <v>353</v>
      </c>
      <c r="I1030" t="s">
        <v>194</v>
      </c>
      <c r="J1030">
        <v>1</v>
      </c>
      <c r="K1030">
        <v>62.646773074254</v>
      </c>
      <c r="Z1030"/>
    </row>
    <row r="1031" spans="1:26" x14ac:dyDescent="0.25">
      <c r="A1031" s="159" t="str">
        <f t="shared" si="49"/>
        <v>LB-Cupertino and Saratoga-Cupertino and Saratoga-Other maintenance</v>
      </c>
      <c r="B1031">
        <v>10</v>
      </c>
      <c r="C1031" t="str">
        <f t="shared" si="50"/>
        <v>Cupertino and Saratoga</v>
      </c>
      <c r="D1031">
        <v>10</v>
      </c>
      <c r="E1031" t="str">
        <f t="shared" si="50"/>
        <v>Cupertino and Saratoga</v>
      </c>
      <c r="F1031" t="s">
        <v>325</v>
      </c>
      <c r="G1031">
        <f t="shared" si="48"/>
        <v>4</v>
      </c>
      <c r="H1031" t="s">
        <v>359</v>
      </c>
      <c r="I1031" t="s">
        <v>191</v>
      </c>
      <c r="J1031">
        <v>8</v>
      </c>
      <c r="K1031">
        <v>1114.77429605673</v>
      </c>
      <c r="Z1031"/>
    </row>
    <row r="1032" spans="1:26" x14ac:dyDescent="0.25">
      <c r="A1032" s="159" t="str">
        <f t="shared" si="49"/>
        <v>LB-Cupertino and Saratoga-Cupertino and Saratoga-Shopping</v>
      </c>
      <c r="B1032">
        <v>10</v>
      </c>
      <c r="C1032" t="str">
        <f t="shared" si="50"/>
        <v>Cupertino and Saratoga</v>
      </c>
      <c r="D1032">
        <v>10</v>
      </c>
      <c r="E1032" t="str">
        <f t="shared" si="50"/>
        <v>Cupertino and Saratoga</v>
      </c>
      <c r="F1032" t="s">
        <v>106</v>
      </c>
      <c r="G1032">
        <f t="shared" si="48"/>
        <v>4</v>
      </c>
      <c r="H1032" t="s">
        <v>359</v>
      </c>
      <c r="I1032" t="s">
        <v>191</v>
      </c>
      <c r="J1032">
        <v>3</v>
      </c>
      <c r="K1032">
        <v>556.10038610038498</v>
      </c>
      <c r="Z1032"/>
    </row>
    <row r="1033" spans="1:26" x14ac:dyDescent="0.25">
      <c r="A1033" s="159" t="str">
        <f t="shared" si="49"/>
        <v>LB-Cupertino and Saratoga-Cupertino and Saratoga-Work</v>
      </c>
      <c r="B1033">
        <v>10</v>
      </c>
      <c r="C1033" t="str">
        <f t="shared" si="50"/>
        <v>Cupertino and Saratoga</v>
      </c>
      <c r="D1033">
        <v>10</v>
      </c>
      <c r="E1033" t="str">
        <f t="shared" si="50"/>
        <v>Cupertino and Saratoga</v>
      </c>
      <c r="F1033" t="s">
        <v>30</v>
      </c>
      <c r="G1033">
        <f t="shared" si="48"/>
        <v>1</v>
      </c>
      <c r="H1033" t="s">
        <v>359</v>
      </c>
      <c r="I1033" t="s">
        <v>191</v>
      </c>
      <c r="J1033">
        <v>16</v>
      </c>
      <c r="K1033">
        <v>1370.5084360656799</v>
      </c>
      <c r="Z1033"/>
    </row>
    <row r="1034" spans="1:26" x14ac:dyDescent="0.25">
      <c r="A1034" s="159" t="str">
        <f t="shared" si="49"/>
        <v>LR-Cupertino and Saratoga-Central San Jose-High school</v>
      </c>
      <c r="B1034">
        <v>10</v>
      </c>
      <c r="C1034" t="str">
        <f t="shared" si="50"/>
        <v>Cupertino and Saratoga</v>
      </c>
      <c r="D1034">
        <v>11</v>
      </c>
      <c r="E1034" t="str">
        <f t="shared" si="50"/>
        <v>Central San Jose</v>
      </c>
      <c r="F1034" t="s">
        <v>326</v>
      </c>
      <c r="G1034">
        <f t="shared" si="48"/>
        <v>3</v>
      </c>
      <c r="H1034" t="s">
        <v>353</v>
      </c>
      <c r="I1034" t="s">
        <v>194</v>
      </c>
      <c r="J1034">
        <v>8</v>
      </c>
      <c r="K1034">
        <v>501.174184594032</v>
      </c>
      <c r="Z1034"/>
    </row>
    <row r="1035" spans="1:26" x14ac:dyDescent="0.25">
      <c r="A1035" s="159" t="str">
        <f t="shared" si="49"/>
        <v>LB-Cupertino and Saratoga-Central San Jose-High school</v>
      </c>
      <c r="B1035">
        <v>10</v>
      </c>
      <c r="C1035" t="str">
        <f t="shared" si="50"/>
        <v>Cupertino and Saratoga</v>
      </c>
      <c r="D1035">
        <v>11</v>
      </c>
      <c r="E1035" t="str">
        <f t="shared" si="50"/>
        <v>Central San Jose</v>
      </c>
      <c r="F1035" t="s">
        <v>326</v>
      </c>
      <c r="G1035">
        <f t="shared" si="48"/>
        <v>3</v>
      </c>
      <c r="H1035" t="s">
        <v>359</v>
      </c>
      <c r="I1035" t="s">
        <v>191</v>
      </c>
      <c r="J1035">
        <v>19</v>
      </c>
      <c r="K1035">
        <v>1190.28868841082</v>
      </c>
      <c r="Z1035"/>
    </row>
    <row r="1036" spans="1:26" x14ac:dyDescent="0.25">
      <c r="A1036" s="159" t="str">
        <f t="shared" si="49"/>
        <v>LB-Cupertino and Saratoga-Central San Jose-Missing</v>
      </c>
      <c r="B1036">
        <v>10</v>
      </c>
      <c r="C1036" t="str">
        <f t="shared" si="50"/>
        <v>Cupertino and Saratoga</v>
      </c>
      <c r="D1036">
        <v>11</v>
      </c>
      <c r="E1036" t="str">
        <f t="shared" si="50"/>
        <v>Central San Jose</v>
      </c>
      <c r="F1036" t="s">
        <v>327</v>
      </c>
      <c r="G1036">
        <f t="shared" si="48"/>
        <v>0</v>
      </c>
      <c r="H1036" t="s">
        <v>359</v>
      </c>
      <c r="I1036" t="s">
        <v>191</v>
      </c>
      <c r="J1036">
        <v>4</v>
      </c>
      <c r="K1036">
        <v>373.30711458955699</v>
      </c>
      <c r="Z1036"/>
    </row>
    <row r="1037" spans="1:26" x14ac:dyDescent="0.25">
      <c r="A1037" s="159" t="str">
        <f t="shared" si="49"/>
        <v>LB-Cupertino and Saratoga-Central San Jose-Other maintenance</v>
      </c>
      <c r="B1037">
        <v>10</v>
      </c>
      <c r="C1037" t="str">
        <f t="shared" si="50"/>
        <v>Cupertino and Saratoga</v>
      </c>
      <c r="D1037">
        <v>11</v>
      </c>
      <c r="E1037" t="str">
        <f t="shared" si="50"/>
        <v>Central San Jose</v>
      </c>
      <c r="F1037" t="s">
        <v>325</v>
      </c>
      <c r="G1037">
        <f t="shared" si="48"/>
        <v>4</v>
      </c>
      <c r="H1037" t="s">
        <v>359</v>
      </c>
      <c r="I1037" t="s">
        <v>191</v>
      </c>
      <c r="J1037">
        <v>2</v>
      </c>
      <c r="K1037">
        <v>125.293546148508</v>
      </c>
      <c r="Z1037"/>
    </row>
    <row r="1038" spans="1:26" x14ac:dyDescent="0.25">
      <c r="A1038" s="159" t="str">
        <f t="shared" si="49"/>
        <v>LB-Cupertino and Saratoga-Central San Jose-Shopping</v>
      </c>
      <c r="B1038">
        <v>10</v>
      </c>
      <c r="C1038" t="str">
        <f t="shared" si="50"/>
        <v>Cupertino and Saratoga</v>
      </c>
      <c r="D1038">
        <v>11</v>
      </c>
      <c r="E1038" t="str">
        <f t="shared" si="50"/>
        <v>Central San Jose</v>
      </c>
      <c r="F1038" t="s">
        <v>106</v>
      </c>
      <c r="G1038">
        <f t="shared" si="48"/>
        <v>4</v>
      </c>
      <c r="H1038" t="s">
        <v>359</v>
      </c>
      <c r="I1038" t="s">
        <v>191</v>
      </c>
      <c r="J1038">
        <v>1</v>
      </c>
      <c r="K1038">
        <v>62.646773074254</v>
      </c>
      <c r="Z1038"/>
    </row>
    <row r="1039" spans="1:26" x14ac:dyDescent="0.25">
      <c r="A1039" s="159" t="str">
        <f t="shared" si="49"/>
        <v>LR-Cupertino and Saratoga-Central San Jose-Social recreation</v>
      </c>
      <c r="B1039">
        <v>10</v>
      </c>
      <c r="C1039" t="str">
        <f t="shared" si="50"/>
        <v>Cupertino and Saratoga</v>
      </c>
      <c r="D1039">
        <v>11</v>
      </c>
      <c r="E1039" t="str">
        <f t="shared" si="50"/>
        <v>Central San Jose</v>
      </c>
      <c r="F1039" t="s">
        <v>324</v>
      </c>
      <c r="G1039">
        <f t="shared" si="48"/>
        <v>5</v>
      </c>
      <c r="H1039" t="s">
        <v>353</v>
      </c>
      <c r="I1039" t="s">
        <v>194</v>
      </c>
      <c r="J1039">
        <v>1</v>
      </c>
      <c r="K1039">
        <v>62.646773074254</v>
      </c>
      <c r="Z1039"/>
    </row>
    <row r="1040" spans="1:26" x14ac:dyDescent="0.25">
      <c r="A1040" s="159" t="str">
        <f t="shared" si="49"/>
        <v>LB-Cupertino and Saratoga-Central San Jose-Social recreation</v>
      </c>
      <c r="B1040">
        <v>10</v>
      </c>
      <c r="C1040" t="str">
        <f t="shared" si="50"/>
        <v>Cupertino and Saratoga</v>
      </c>
      <c r="D1040">
        <v>11</v>
      </c>
      <c r="E1040" t="str">
        <f t="shared" si="50"/>
        <v>Central San Jose</v>
      </c>
      <c r="F1040" t="s">
        <v>324</v>
      </c>
      <c r="G1040">
        <f t="shared" si="48"/>
        <v>5</v>
      </c>
      <c r="H1040" t="s">
        <v>359</v>
      </c>
      <c r="I1040" t="s">
        <v>191</v>
      </c>
      <c r="J1040">
        <v>4</v>
      </c>
      <c r="K1040">
        <v>250.587092297016</v>
      </c>
      <c r="Z1040"/>
    </row>
    <row r="1041" spans="1:26" x14ac:dyDescent="0.25">
      <c r="A1041" s="159" t="str">
        <f t="shared" si="49"/>
        <v>LR-Cupertino and Saratoga-Central San Jose-Work</v>
      </c>
      <c r="B1041">
        <v>10</v>
      </c>
      <c r="C1041" t="str">
        <f t="shared" si="50"/>
        <v>Cupertino and Saratoga</v>
      </c>
      <c r="D1041">
        <v>11</v>
      </c>
      <c r="E1041" t="str">
        <f t="shared" si="50"/>
        <v>Central San Jose</v>
      </c>
      <c r="F1041" t="s">
        <v>30</v>
      </c>
      <c r="G1041">
        <f t="shared" si="48"/>
        <v>1</v>
      </c>
      <c r="H1041" t="s">
        <v>353</v>
      </c>
      <c r="I1041" t="s">
        <v>194</v>
      </c>
      <c r="J1041">
        <v>1</v>
      </c>
      <c r="K1041">
        <v>62.646773074254</v>
      </c>
      <c r="Z1041"/>
    </row>
    <row r="1042" spans="1:26" x14ac:dyDescent="0.25">
      <c r="A1042" s="159" t="str">
        <f t="shared" si="49"/>
        <v>LB-Cupertino and Saratoga-Central San Jose-Work</v>
      </c>
      <c r="B1042">
        <v>10</v>
      </c>
      <c r="C1042" t="str">
        <f t="shared" si="50"/>
        <v>Cupertino and Saratoga</v>
      </c>
      <c r="D1042">
        <v>11</v>
      </c>
      <c r="E1042" t="str">
        <f t="shared" si="50"/>
        <v>Central San Jose</v>
      </c>
      <c r="F1042" t="s">
        <v>30</v>
      </c>
      <c r="G1042">
        <f t="shared" si="48"/>
        <v>1</v>
      </c>
      <c r="H1042" t="s">
        <v>359</v>
      </c>
      <c r="I1042" t="s">
        <v>191</v>
      </c>
      <c r="J1042">
        <v>7</v>
      </c>
      <c r="K1042">
        <v>561.24743381231895</v>
      </c>
      <c r="Z1042"/>
    </row>
    <row r="1043" spans="1:26" x14ac:dyDescent="0.25">
      <c r="A1043" s="159" t="str">
        <f t="shared" si="49"/>
        <v>LB-Cupertino and Saratoga-Milpitas and East San Jose-High school</v>
      </c>
      <c r="B1043">
        <v>10</v>
      </c>
      <c r="C1043" t="str">
        <f t="shared" si="50"/>
        <v>Cupertino and Saratoga</v>
      </c>
      <c r="D1043">
        <v>12</v>
      </c>
      <c r="E1043" t="str">
        <f t="shared" si="50"/>
        <v>Milpitas and East San Jose</v>
      </c>
      <c r="F1043" t="s">
        <v>326</v>
      </c>
      <c r="G1043">
        <f t="shared" si="48"/>
        <v>3</v>
      </c>
      <c r="H1043" t="s">
        <v>359</v>
      </c>
      <c r="I1043" t="s">
        <v>191</v>
      </c>
      <c r="J1043">
        <v>3</v>
      </c>
      <c r="K1043">
        <v>187.94031922276201</v>
      </c>
      <c r="Z1043"/>
    </row>
    <row r="1044" spans="1:26" x14ac:dyDescent="0.25">
      <c r="A1044" s="159" t="str">
        <f t="shared" si="49"/>
        <v>LB-Cupertino and Saratoga-Milpitas and East San Jose-Missing</v>
      </c>
      <c r="B1044">
        <v>10</v>
      </c>
      <c r="C1044" t="str">
        <f t="shared" si="50"/>
        <v>Cupertino and Saratoga</v>
      </c>
      <c r="D1044">
        <v>12</v>
      </c>
      <c r="E1044" t="str">
        <f t="shared" si="50"/>
        <v>Milpitas and East San Jose</v>
      </c>
      <c r="F1044" t="s">
        <v>327</v>
      </c>
      <c r="G1044">
        <f t="shared" si="48"/>
        <v>0</v>
      </c>
      <c r="H1044" t="s">
        <v>359</v>
      </c>
      <c r="I1044" t="s">
        <v>191</v>
      </c>
      <c r="J1044">
        <v>1</v>
      </c>
      <c r="K1044">
        <v>62.646773074254</v>
      </c>
      <c r="Z1044"/>
    </row>
    <row r="1045" spans="1:26" x14ac:dyDescent="0.25">
      <c r="A1045" s="159" t="str">
        <f t="shared" si="49"/>
        <v>LB-Cupertino and Saratoga-Milpitas and East San Jose-Shopping</v>
      </c>
      <c r="B1045">
        <v>10</v>
      </c>
      <c r="C1045" t="str">
        <f t="shared" si="50"/>
        <v>Cupertino and Saratoga</v>
      </c>
      <c r="D1045">
        <v>12</v>
      </c>
      <c r="E1045" t="str">
        <f t="shared" si="50"/>
        <v>Milpitas and East San Jose</v>
      </c>
      <c r="F1045" t="s">
        <v>106</v>
      </c>
      <c r="G1045">
        <f t="shared" si="48"/>
        <v>4</v>
      </c>
      <c r="H1045" t="s">
        <v>359</v>
      </c>
      <c r="I1045" t="s">
        <v>191</v>
      </c>
      <c r="J1045">
        <v>1</v>
      </c>
      <c r="K1045">
        <v>185.366795366795</v>
      </c>
      <c r="Z1045"/>
    </row>
    <row r="1046" spans="1:26" x14ac:dyDescent="0.25">
      <c r="A1046" s="159" t="str">
        <f t="shared" si="49"/>
        <v>LB-Cupertino and Saratoga-Milpitas and East San Jose-Social recreation</v>
      </c>
      <c r="B1046">
        <v>10</v>
      </c>
      <c r="C1046" t="str">
        <f t="shared" si="50"/>
        <v>Cupertino and Saratoga</v>
      </c>
      <c r="D1046">
        <v>12</v>
      </c>
      <c r="E1046" t="str">
        <f t="shared" si="50"/>
        <v>Milpitas and East San Jose</v>
      </c>
      <c r="F1046" t="s">
        <v>324</v>
      </c>
      <c r="G1046">
        <f t="shared" si="48"/>
        <v>5</v>
      </c>
      <c r="H1046" t="s">
        <v>359</v>
      </c>
      <c r="I1046" t="s">
        <v>191</v>
      </c>
      <c r="J1046">
        <v>2</v>
      </c>
      <c r="K1046">
        <v>125.293546148508</v>
      </c>
      <c r="Z1046"/>
    </row>
    <row r="1047" spans="1:26" x14ac:dyDescent="0.25">
      <c r="A1047" s="159" t="str">
        <f t="shared" si="49"/>
        <v>LR-Cupertino and Saratoga-Milpitas and East San Jose-Work</v>
      </c>
      <c r="B1047">
        <v>10</v>
      </c>
      <c r="C1047" t="str">
        <f t="shared" si="50"/>
        <v>Cupertino and Saratoga</v>
      </c>
      <c r="D1047">
        <v>12</v>
      </c>
      <c r="E1047" t="str">
        <f t="shared" si="50"/>
        <v>Milpitas and East San Jose</v>
      </c>
      <c r="F1047" t="s">
        <v>30</v>
      </c>
      <c r="G1047">
        <f t="shared" si="48"/>
        <v>1</v>
      </c>
      <c r="H1047" t="s">
        <v>353</v>
      </c>
      <c r="I1047" t="s">
        <v>194</v>
      </c>
      <c r="J1047">
        <v>2</v>
      </c>
      <c r="K1047">
        <v>125.293546148508</v>
      </c>
      <c r="Z1047"/>
    </row>
    <row r="1048" spans="1:26" x14ac:dyDescent="0.25">
      <c r="A1048" s="159" t="str">
        <f t="shared" si="49"/>
        <v>LB-Cupertino and Saratoga-Milpitas and East San Jose-Work</v>
      </c>
      <c r="B1048">
        <v>10</v>
      </c>
      <c r="C1048" t="str">
        <f t="shared" si="50"/>
        <v>Cupertino and Saratoga</v>
      </c>
      <c r="D1048">
        <v>12</v>
      </c>
      <c r="E1048" t="str">
        <f t="shared" si="50"/>
        <v>Milpitas and East San Jose</v>
      </c>
      <c r="F1048" t="s">
        <v>30</v>
      </c>
      <c r="G1048">
        <f t="shared" si="48"/>
        <v>1</v>
      </c>
      <c r="H1048" t="s">
        <v>359</v>
      </c>
      <c r="I1048" t="s">
        <v>191</v>
      </c>
      <c r="J1048">
        <v>6</v>
      </c>
      <c r="K1048">
        <v>498.60066073806502</v>
      </c>
      <c r="Z1048"/>
    </row>
    <row r="1049" spans="1:26" x14ac:dyDescent="0.25">
      <c r="A1049" s="159" t="str">
        <f t="shared" si="49"/>
        <v>LB-Cupertino and Saratoga-South San Jose-Missing</v>
      </c>
      <c r="B1049">
        <v>10</v>
      </c>
      <c r="C1049" t="str">
        <f t="shared" si="50"/>
        <v>Cupertino and Saratoga</v>
      </c>
      <c r="D1049">
        <v>13</v>
      </c>
      <c r="E1049" t="str">
        <f t="shared" si="50"/>
        <v>South San Jose</v>
      </c>
      <c r="F1049" t="s">
        <v>327</v>
      </c>
      <c r="G1049">
        <f t="shared" si="48"/>
        <v>0</v>
      </c>
      <c r="H1049" t="s">
        <v>359</v>
      </c>
      <c r="I1049" t="s">
        <v>191</v>
      </c>
      <c r="J1049">
        <v>1</v>
      </c>
      <c r="K1049">
        <v>62.646773074254</v>
      </c>
      <c r="Z1049"/>
    </row>
    <row r="1050" spans="1:26" x14ac:dyDescent="0.25">
      <c r="A1050" s="159" t="str">
        <f t="shared" si="49"/>
        <v>LB-Cupertino and Saratoga-South San Jose-Work</v>
      </c>
      <c r="B1050">
        <v>10</v>
      </c>
      <c r="C1050" t="str">
        <f t="shared" si="50"/>
        <v>Cupertino and Saratoga</v>
      </c>
      <c r="D1050">
        <v>13</v>
      </c>
      <c r="E1050" t="str">
        <f t="shared" si="50"/>
        <v>South San Jose</v>
      </c>
      <c r="F1050" t="s">
        <v>30</v>
      </c>
      <c r="G1050">
        <f t="shared" si="48"/>
        <v>1</v>
      </c>
      <c r="H1050" t="s">
        <v>359</v>
      </c>
      <c r="I1050" t="s">
        <v>191</v>
      </c>
      <c r="J1050">
        <v>2</v>
      </c>
      <c r="K1050">
        <v>125.293546148508</v>
      </c>
      <c r="Z1050"/>
    </row>
    <row r="1051" spans="1:26" x14ac:dyDescent="0.25">
      <c r="A1051" s="159" t="str">
        <f t="shared" si="49"/>
        <v>EB-Cupertino and Saratoga-Fremont and Union City-Work</v>
      </c>
      <c r="B1051">
        <v>10</v>
      </c>
      <c r="C1051" t="str">
        <f t="shared" si="50"/>
        <v>Cupertino and Saratoga</v>
      </c>
      <c r="D1051">
        <v>16</v>
      </c>
      <c r="E1051" t="str">
        <f t="shared" si="50"/>
        <v>Fremont and Union City</v>
      </c>
      <c r="F1051" t="s">
        <v>30</v>
      </c>
      <c r="G1051">
        <f t="shared" si="48"/>
        <v>1</v>
      </c>
      <c r="H1051" t="s">
        <v>123</v>
      </c>
      <c r="I1051" t="s">
        <v>182</v>
      </c>
      <c r="J1051">
        <v>1</v>
      </c>
      <c r="K1051">
        <v>3.8990384615384599</v>
      </c>
      <c r="Z1051"/>
    </row>
    <row r="1052" spans="1:26" x14ac:dyDescent="0.25">
      <c r="A1052" s="159" t="str">
        <f t="shared" si="49"/>
        <v>HR-Cupertino and Saratoga-Hayward and San Leandro-Work</v>
      </c>
      <c r="B1052">
        <v>10</v>
      </c>
      <c r="C1052" t="str">
        <f t="shared" si="50"/>
        <v>Cupertino and Saratoga</v>
      </c>
      <c r="D1052">
        <v>17</v>
      </c>
      <c r="E1052" t="str">
        <f t="shared" si="50"/>
        <v>Hayward and San Leandro</v>
      </c>
      <c r="F1052" t="s">
        <v>30</v>
      </c>
      <c r="G1052">
        <f t="shared" si="48"/>
        <v>1</v>
      </c>
      <c r="H1052" t="s">
        <v>124</v>
      </c>
      <c r="I1052" t="s">
        <v>188</v>
      </c>
      <c r="J1052">
        <v>1</v>
      </c>
      <c r="K1052">
        <v>95.822099447513807</v>
      </c>
      <c r="Z1052"/>
    </row>
    <row r="1053" spans="1:26" x14ac:dyDescent="0.25">
      <c r="A1053" s="159" t="str">
        <f t="shared" si="49"/>
        <v>LB-Cupertino and Saratoga-Hayward and San Leandro-Work</v>
      </c>
      <c r="B1053">
        <v>10</v>
      </c>
      <c r="C1053" t="str">
        <f t="shared" si="50"/>
        <v>Cupertino and Saratoga</v>
      </c>
      <c r="D1053">
        <v>17</v>
      </c>
      <c r="E1053" t="str">
        <f t="shared" si="50"/>
        <v>Hayward and San Leandro</v>
      </c>
      <c r="F1053" t="s">
        <v>30</v>
      </c>
      <c r="G1053">
        <f t="shared" si="48"/>
        <v>1</v>
      </c>
      <c r="H1053" t="s">
        <v>359</v>
      </c>
      <c r="I1053" t="s">
        <v>191</v>
      </c>
      <c r="J1053">
        <v>1</v>
      </c>
      <c r="K1053">
        <v>62.646773074254</v>
      </c>
      <c r="Z1053"/>
    </row>
    <row r="1054" spans="1:26" x14ac:dyDescent="0.25">
      <c r="A1054" s="159" t="str">
        <f t="shared" si="49"/>
        <v>LB-Cupertino and Saratoga-Oakland and Alameda-Missing</v>
      </c>
      <c r="B1054">
        <v>10</v>
      </c>
      <c r="C1054" t="str">
        <f t="shared" si="50"/>
        <v>Cupertino and Saratoga</v>
      </c>
      <c r="D1054">
        <v>18</v>
      </c>
      <c r="E1054" t="str">
        <f t="shared" si="50"/>
        <v>Oakland and Alameda</v>
      </c>
      <c r="F1054" t="s">
        <v>327</v>
      </c>
      <c r="G1054">
        <f t="shared" si="48"/>
        <v>0</v>
      </c>
      <c r="H1054" t="s">
        <v>359</v>
      </c>
      <c r="I1054" t="s">
        <v>191</v>
      </c>
      <c r="J1054">
        <v>1</v>
      </c>
      <c r="K1054">
        <v>185.366795366795</v>
      </c>
      <c r="Z1054"/>
    </row>
    <row r="1055" spans="1:26" x14ac:dyDescent="0.25">
      <c r="A1055" s="159" t="str">
        <f t="shared" si="49"/>
        <v>HR-Cupertino and Saratoga-Oakland and Alameda-Social recreation</v>
      </c>
      <c r="B1055">
        <v>10</v>
      </c>
      <c r="C1055" t="str">
        <f t="shared" si="50"/>
        <v>Cupertino and Saratoga</v>
      </c>
      <c r="D1055">
        <v>18</v>
      </c>
      <c r="E1055" t="str">
        <f t="shared" si="50"/>
        <v>Oakland and Alameda</v>
      </c>
      <c r="F1055" t="s">
        <v>324</v>
      </c>
      <c r="G1055">
        <f t="shared" si="48"/>
        <v>5</v>
      </c>
      <c r="H1055" t="s">
        <v>124</v>
      </c>
      <c r="I1055" t="s">
        <v>188</v>
      </c>
      <c r="J1055">
        <v>1</v>
      </c>
      <c r="K1055">
        <v>195.51395348837201</v>
      </c>
      <c r="Z1055"/>
    </row>
    <row r="1056" spans="1:26" x14ac:dyDescent="0.25">
      <c r="A1056" s="159" t="str">
        <f t="shared" si="49"/>
        <v>CR-Cupertino and Saratoga-Oakland and Alameda-Work</v>
      </c>
      <c r="B1056">
        <v>10</v>
      </c>
      <c r="C1056" t="str">
        <f t="shared" si="50"/>
        <v>Cupertino and Saratoga</v>
      </c>
      <c r="D1056">
        <v>18</v>
      </c>
      <c r="E1056" t="str">
        <f t="shared" si="50"/>
        <v>Oakland and Alameda</v>
      </c>
      <c r="F1056" t="s">
        <v>30</v>
      </c>
      <c r="G1056">
        <f t="shared" si="48"/>
        <v>1</v>
      </c>
      <c r="H1056" t="s">
        <v>125</v>
      </c>
      <c r="I1056" t="s">
        <v>178</v>
      </c>
      <c r="J1056">
        <v>1</v>
      </c>
      <c r="K1056">
        <v>23.4305084745763</v>
      </c>
      <c r="Z1056"/>
    </row>
    <row r="1057" spans="1:26" x14ac:dyDescent="0.25">
      <c r="A1057" s="159" t="str">
        <f t="shared" si="49"/>
        <v>HR-Cupertino and Saratoga-Oakland and Alameda-Work</v>
      </c>
      <c r="B1057">
        <v>10</v>
      </c>
      <c r="C1057" t="str">
        <f t="shared" si="50"/>
        <v>Cupertino and Saratoga</v>
      </c>
      <c r="D1057">
        <v>18</v>
      </c>
      <c r="E1057" t="str">
        <f t="shared" si="50"/>
        <v>Oakland and Alameda</v>
      </c>
      <c r="F1057" t="s">
        <v>30</v>
      </c>
      <c r="G1057">
        <f t="shared" si="48"/>
        <v>1</v>
      </c>
      <c r="H1057" t="s">
        <v>124</v>
      </c>
      <c r="I1057" t="s">
        <v>188</v>
      </c>
      <c r="J1057">
        <v>1</v>
      </c>
      <c r="K1057">
        <v>95.822099447513807</v>
      </c>
      <c r="Z1057"/>
    </row>
    <row r="1058" spans="1:26" x14ac:dyDescent="0.25">
      <c r="A1058" s="159" t="str">
        <f t="shared" si="49"/>
        <v>HR-Cupertino and Saratoga-Berkeley and Albany-High school</v>
      </c>
      <c r="B1058">
        <v>10</v>
      </c>
      <c r="C1058" t="str">
        <f t="shared" si="50"/>
        <v>Cupertino and Saratoga</v>
      </c>
      <c r="D1058">
        <v>19</v>
      </c>
      <c r="E1058" t="str">
        <f t="shared" si="50"/>
        <v>Berkeley and Albany</v>
      </c>
      <c r="F1058" t="s">
        <v>326</v>
      </c>
      <c r="G1058">
        <f t="shared" si="48"/>
        <v>3</v>
      </c>
      <c r="H1058" t="s">
        <v>124</v>
      </c>
      <c r="I1058" t="s">
        <v>188</v>
      </c>
      <c r="J1058">
        <v>1</v>
      </c>
      <c r="K1058">
        <v>95.822099447513807</v>
      </c>
      <c r="Z1058"/>
    </row>
    <row r="1059" spans="1:26" x14ac:dyDescent="0.25">
      <c r="A1059" s="159" t="str">
        <f t="shared" si="49"/>
        <v>LB-Cupertino and Saratoga-Berkeley and Albany-Work</v>
      </c>
      <c r="B1059">
        <v>10</v>
      </c>
      <c r="C1059" t="str">
        <f t="shared" si="50"/>
        <v>Cupertino and Saratoga</v>
      </c>
      <c r="D1059">
        <v>19</v>
      </c>
      <c r="E1059" t="str">
        <f t="shared" si="50"/>
        <v>Berkeley and Albany</v>
      </c>
      <c r="F1059" t="s">
        <v>30</v>
      </c>
      <c r="G1059">
        <f t="shared" si="48"/>
        <v>1</v>
      </c>
      <c r="H1059" t="s">
        <v>359</v>
      </c>
      <c r="I1059" t="s">
        <v>191</v>
      </c>
      <c r="J1059">
        <v>1</v>
      </c>
      <c r="K1059">
        <v>62.646773074254</v>
      </c>
      <c r="Z1059"/>
    </row>
    <row r="1060" spans="1:26" x14ac:dyDescent="0.25">
      <c r="A1060" s="159" t="str">
        <f t="shared" si="49"/>
        <v>CR-Cupertino and Saratoga-Walnut Creek-Work</v>
      </c>
      <c r="B1060">
        <v>10</v>
      </c>
      <c r="C1060" t="str">
        <f t="shared" si="50"/>
        <v>Cupertino and Saratoga</v>
      </c>
      <c r="D1060">
        <v>22</v>
      </c>
      <c r="E1060" t="str">
        <f t="shared" si="50"/>
        <v>Walnut Creek</v>
      </c>
      <c r="F1060" t="s">
        <v>30</v>
      </c>
      <c r="G1060">
        <f t="shared" si="48"/>
        <v>1</v>
      </c>
      <c r="H1060" t="s">
        <v>125</v>
      </c>
      <c r="I1060" t="s">
        <v>178</v>
      </c>
      <c r="J1060">
        <v>1</v>
      </c>
      <c r="K1060">
        <v>23.4305084745763</v>
      </c>
      <c r="Z1060"/>
    </row>
    <row r="1061" spans="1:26" x14ac:dyDescent="0.25">
      <c r="A1061" s="159" t="str">
        <f t="shared" si="49"/>
        <v>LB-Cupertino and Saratoga-Antioch and Pittsburg-Work</v>
      </c>
      <c r="B1061">
        <v>10</v>
      </c>
      <c r="C1061" t="str">
        <f t="shared" si="50"/>
        <v>Cupertino and Saratoga</v>
      </c>
      <c r="D1061">
        <v>24</v>
      </c>
      <c r="E1061" t="str">
        <f t="shared" si="50"/>
        <v>Antioch and Pittsburg</v>
      </c>
      <c r="F1061" t="s">
        <v>30</v>
      </c>
      <c r="G1061">
        <f t="shared" si="48"/>
        <v>1</v>
      </c>
      <c r="H1061" t="s">
        <v>359</v>
      </c>
      <c r="I1061" t="s">
        <v>191</v>
      </c>
      <c r="J1061">
        <v>1</v>
      </c>
      <c r="K1061">
        <v>14.4260563380282</v>
      </c>
      <c r="Z1061"/>
    </row>
    <row r="1062" spans="1:26" x14ac:dyDescent="0.25">
      <c r="A1062" s="159" t="str">
        <f t="shared" si="49"/>
        <v>CR-Central San Jose-Greater Downtown San Francisco-High school</v>
      </c>
      <c r="B1062">
        <v>11</v>
      </c>
      <c r="C1062" t="str">
        <f t="shared" si="50"/>
        <v>Central San Jose</v>
      </c>
      <c r="D1062">
        <v>1</v>
      </c>
      <c r="E1062" t="str">
        <f t="shared" si="50"/>
        <v>Greater Downtown San Francisco</v>
      </c>
      <c r="F1062" t="s">
        <v>326</v>
      </c>
      <c r="G1062">
        <f t="shared" si="48"/>
        <v>3</v>
      </c>
      <c r="H1062" t="s">
        <v>125</v>
      </c>
      <c r="I1062" t="s">
        <v>178</v>
      </c>
      <c r="J1062">
        <v>1</v>
      </c>
      <c r="K1062">
        <v>23.4305084745763</v>
      </c>
      <c r="Z1062"/>
    </row>
    <row r="1063" spans="1:26" x14ac:dyDescent="0.25">
      <c r="A1063" s="159" t="str">
        <f t="shared" si="49"/>
        <v>CR-Central San Jose-Greater Downtown San Francisco-Social recreation</v>
      </c>
      <c r="B1063">
        <v>11</v>
      </c>
      <c r="C1063" t="str">
        <f t="shared" si="50"/>
        <v>Central San Jose</v>
      </c>
      <c r="D1063">
        <v>1</v>
      </c>
      <c r="E1063" t="str">
        <f t="shared" si="50"/>
        <v>Greater Downtown San Francisco</v>
      </c>
      <c r="F1063" t="s">
        <v>324</v>
      </c>
      <c r="G1063">
        <f t="shared" si="48"/>
        <v>5</v>
      </c>
      <c r="H1063" t="s">
        <v>125</v>
      </c>
      <c r="I1063" t="s">
        <v>178</v>
      </c>
      <c r="J1063">
        <v>4</v>
      </c>
      <c r="K1063">
        <v>97.154923759188307</v>
      </c>
      <c r="Z1063"/>
    </row>
    <row r="1064" spans="1:26" x14ac:dyDescent="0.25">
      <c r="A1064" s="159" t="str">
        <f t="shared" si="49"/>
        <v>CR-Central San Jose-Greater Downtown San Francisco-Work</v>
      </c>
      <c r="B1064">
        <v>11</v>
      </c>
      <c r="C1064" t="str">
        <f t="shared" si="50"/>
        <v>Central San Jose</v>
      </c>
      <c r="D1064">
        <v>1</v>
      </c>
      <c r="E1064" t="str">
        <f t="shared" si="50"/>
        <v>Greater Downtown San Francisco</v>
      </c>
      <c r="F1064" t="s">
        <v>30</v>
      </c>
      <c r="G1064">
        <f t="shared" si="48"/>
        <v>1</v>
      </c>
      <c r="H1064" t="s">
        <v>125</v>
      </c>
      <c r="I1064" t="s">
        <v>178</v>
      </c>
      <c r="J1064">
        <v>4</v>
      </c>
      <c r="K1064">
        <v>93.722033898305199</v>
      </c>
      <c r="Z1064"/>
    </row>
    <row r="1065" spans="1:26" x14ac:dyDescent="0.25">
      <c r="A1065" s="159" t="str">
        <f t="shared" si="49"/>
        <v>LB-Central San Jose-Greater Downtown San Francisco-Work</v>
      </c>
      <c r="B1065">
        <v>11</v>
      </c>
      <c r="C1065" t="str">
        <f t="shared" si="50"/>
        <v>Central San Jose</v>
      </c>
      <c r="D1065">
        <v>1</v>
      </c>
      <c r="E1065" t="str">
        <f t="shared" si="50"/>
        <v>Greater Downtown San Francisco</v>
      </c>
      <c r="F1065" t="s">
        <v>30</v>
      </c>
      <c r="G1065">
        <f t="shared" si="48"/>
        <v>1</v>
      </c>
      <c r="H1065" t="s">
        <v>359</v>
      </c>
      <c r="I1065" t="s">
        <v>191</v>
      </c>
      <c r="J1065">
        <v>2</v>
      </c>
      <c r="K1065">
        <v>125.293546148508</v>
      </c>
      <c r="Z1065"/>
    </row>
    <row r="1066" spans="1:26" x14ac:dyDescent="0.25">
      <c r="A1066" s="159" t="str">
        <f t="shared" si="49"/>
        <v>CR-Central San Jose-San Francisco Richmond District-High school</v>
      </c>
      <c r="B1066">
        <v>11</v>
      </c>
      <c r="C1066" t="str">
        <f t="shared" si="50"/>
        <v>Central San Jose</v>
      </c>
      <c r="D1066">
        <v>2</v>
      </c>
      <c r="E1066" t="str">
        <f t="shared" si="50"/>
        <v>San Francisco Richmond District</v>
      </c>
      <c r="F1066" t="s">
        <v>326</v>
      </c>
      <c r="G1066">
        <f t="shared" si="48"/>
        <v>3</v>
      </c>
      <c r="H1066" t="s">
        <v>125</v>
      </c>
      <c r="I1066" t="s">
        <v>178</v>
      </c>
      <c r="J1066">
        <v>1</v>
      </c>
      <c r="K1066">
        <v>25.1469534050179</v>
      </c>
      <c r="Z1066"/>
    </row>
    <row r="1067" spans="1:26" x14ac:dyDescent="0.25">
      <c r="A1067" s="159" t="str">
        <f t="shared" si="49"/>
        <v>LR-Central San Jose-San Francisco Richmond District-Other maintenance</v>
      </c>
      <c r="B1067">
        <v>11</v>
      </c>
      <c r="C1067" t="str">
        <f t="shared" si="50"/>
        <v>Central San Jose</v>
      </c>
      <c r="D1067">
        <v>2</v>
      </c>
      <c r="E1067" t="str">
        <f t="shared" si="50"/>
        <v>San Francisco Richmond District</v>
      </c>
      <c r="F1067" t="s">
        <v>325</v>
      </c>
      <c r="G1067">
        <f t="shared" si="48"/>
        <v>4</v>
      </c>
      <c r="H1067" t="s">
        <v>353</v>
      </c>
      <c r="I1067" t="s">
        <v>194</v>
      </c>
      <c r="J1067">
        <v>1</v>
      </c>
      <c r="K1067">
        <v>185.366795366795</v>
      </c>
      <c r="Z1067"/>
    </row>
    <row r="1068" spans="1:26" x14ac:dyDescent="0.25">
      <c r="A1068" s="159" t="str">
        <f t="shared" si="49"/>
        <v>CR-Central San Jose-San Francisco Richmond District-Social recreation</v>
      </c>
      <c r="B1068">
        <v>11</v>
      </c>
      <c r="C1068" t="str">
        <f t="shared" si="50"/>
        <v>Central San Jose</v>
      </c>
      <c r="D1068">
        <v>2</v>
      </c>
      <c r="E1068" t="str">
        <f t="shared" si="50"/>
        <v>San Francisco Richmond District</v>
      </c>
      <c r="F1068" t="s">
        <v>324</v>
      </c>
      <c r="G1068">
        <f t="shared" si="48"/>
        <v>5</v>
      </c>
      <c r="H1068" t="s">
        <v>125</v>
      </c>
      <c r="I1068" t="s">
        <v>178</v>
      </c>
      <c r="J1068">
        <v>1</v>
      </c>
      <c r="K1068">
        <v>23.4305084745763</v>
      </c>
      <c r="Z1068"/>
    </row>
    <row r="1069" spans="1:26" x14ac:dyDescent="0.25">
      <c r="A1069" s="159" t="str">
        <f t="shared" si="49"/>
        <v>HR-Central San Jose-San Francisco Richmond District-Social recreation</v>
      </c>
      <c r="B1069">
        <v>11</v>
      </c>
      <c r="C1069" t="str">
        <f t="shared" si="50"/>
        <v>Central San Jose</v>
      </c>
      <c r="D1069">
        <v>2</v>
      </c>
      <c r="E1069" t="str">
        <f t="shared" si="50"/>
        <v>San Francisco Richmond District</v>
      </c>
      <c r="F1069" t="s">
        <v>324</v>
      </c>
      <c r="G1069">
        <f t="shared" si="48"/>
        <v>5</v>
      </c>
      <c r="H1069" t="s">
        <v>124</v>
      </c>
      <c r="I1069" t="s">
        <v>188</v>
      </c>
      <c r="J1069">
        <v>1</v>
      </c>
      <c r="K1069">
        <v>195.51395348837201</v>
      </c>
      <c r="Z1069"/>
    </row>
    <row r="1070" spans="1:26" x14ac:dyDescent="0.25">
      <c r="A1070" s="159" t="str">
        <f t="shared" si="49"/>
        <v>LR-Central San Jose-San Francisco Richmond District-Social recreation</v>
      </c>
      <c r="B1070">
        <v>11</v>
      </c>
      <c r="C1070" t="str">
        <f t="shared" si="50"/>
        <v>Central San Jose</v>
      </c>
      <c r="D1070">
        <v>2</v>
      </c>
      <c r="E1070" t="str">
        <f t="shared" si="50"/>
        <v>San Francisco Richmond District</v>
      </c>
      <c r="F1070" t="s">
        <v>324</v>
      </c>
      <c r="G1070">
        <f t="shared" si="48"/>
        <v>5</v>
      </c>
      <c r="H1070" t="s">
        <v>353</v>
      </c>
      <c r="I1070" t="s">
        <v>194</v>
      </c>
      <c r="J1070">
        <v>1</v>
      </c>
      <c r="K1070">
        <v>286.12835472578797</v>
      </c>
      <c r="Z1070"/>
    </row>
    <row r="1071" spans="1:26" x14ac:dyDescent="0.25">
      <c r="A1071" s="159" t="str">
        <f t="shared" si="49"/>
        <v>LR-Central San Jose-San Francisco Richmond District-Work</v>
      </c>
      <c r="B1071">
        <v>11</v>
      </c>
      <c r="C1071" t="str">
        <f t="shared" si="50"/>
        <v>Central San Jose</v>
      </c>
      <c r="D1071">
        <v>2</v>
      </c>
      <c r="E1071" t="str">
        <f t="shared" si="50"/>
        <v>San Francisco Richmond District</v>
      </c>
      <c r="F1071" t="s">
        <v>30</v>
      </c>
      <c r="G1071">
        <f t="shared" si="48"/>
        <v>1</v>
      </c>
      <c r="H1071" t="s">
        <v>353</v>
      </c>
      <c r="I1071" t="s">
        <v>194</v>
      </c>
      <c r="J1071">
        <v>1</v>
      </c>
      <c r="K1071">
        <v>286.12835472578797</v>
      </c>
      <c r="Z1071"/>
    </row>
    <row r="1072" spans="1:26" x14ac:dyDescent="0.25">
      <c r="A1072" s="159" t="str">
        <f t="shared" si="49"/>
        <v>CR-Central San Jose-San Francisco Mission District-High school</v>
      </c>
      <c r="B1072">
        <v>11</v>
      </c>
      <c r="C1072" t="str">
        <f t="shared" si="50"/>
        <v>Central San Jose</v>
      </c>
      <c r="D1072">
        <v>3</v>
      </c>
      <c r="E1072" t="str">
        <f t="shared" si="50"/>
        <v>San Francisco Mission District</v>
      </c>
      <c r="F1072" t="s">
        <v>326</v>
      </c>
      <c r="G1072">
        <f t="shared" si="48"/>
        <v>3</v>
      </c>
      <c r="H1072" t="s">
        <v>125</v>
      </c>
      <c r="I1072" t="s">
        <v>178</v>
      </c>
      <c r="J1072">
        <v>2</v>
      </c>
      <c r="K1072">
        <v>46.861016949152599</v>
      </c>
      <c r="Z1072"/>
    </row>
    <row r="1073" spans="1:26" x14ac:dyDescent="0.25">
      <c r="A1073" s="159" t="str">
        <f t="shared" si="49"/>
        <v>HR-Central San Jose-San Francisco Mission District-High school</v>
      </c>
      <c r="B1073">
        <v>11</v>
      </c>
      <c r="C1073" t="str">
        <f t="shared" si="50"/>
        <v>Central San Jose</v>
      </c>
      <c r="D1073">
        <v>3</v>
      </c>
      <c r="E1073" t="str">
        <f t="shared" si="50"/>
        <v>San Francisco Mission District</v>
      </c>
      <c r="F1073" t="s">
        <v>326</v>
      </c>
      <c r="G1073">
        <f t="shared" si="48"/>
        <v>3</v>
      </c>
      <c r="H1073" t="s">
        <v>124</v>
      </c>
      <c r="I1073" t="s">
        <v>188</v>
      </c>
      <c r="J1073">
        <v>1</v>
      </c>
      <c r="K1073">
        <v>95.822099447513807</v>
      </c>
      <c r="Z1073"/>
    </row>
    <row r="1074" spans="1:26" x14ac:dyDescent="0.25">
      <c r="A1074" s="159" t="str">
        <f t="shared" si="49"/>
        <v>CR-Central San Jose-San Francisco Mission District-Missing</v>
      </c>
      <c r="B1074">
        <v>11</v>
      </c>
      <c r="C1074" t="str">
        <f t="shared" si="50"/>
        <v>Central San Jose</v>
      </c>
      <c r="D1074">
        <v>3</v>
      </c>
      <c r="E1074" t="str">
        <f t="shared" si="50"/>
        <v>San Francisco Mission District</v>
      </c>
      <c r="F1074" t="s">
        <v>327</v>
      </c>
      <c r="G1074">
        <f t="shared" si="48"/>
        <v>0</v>
      </c>
      <c r="H1074" t="s">
        <v>125</v>
      </c>
      <c r="I1074" t="s">
        <v>178</v>
      </c>
      <c r="J1074">
        <v>1</v>
      </c>
      <c r="K1074">
        <v>23.4305084745763</v>
      </c>
      <c r="Z1074"/>
    </row>
    <row r="1075" spans="1:26" x14ac:dyDescent="0.25">
      <c r="A1075" s="159" t="str">
        <f t="shared" si="49"/>
        <v>CR-Central San Jose-San Francisco Mission District-Other maintenance</v>
      </c>
      <c r="B1075">
        <v>11</v>
      </c>
      <c r="C1075" t="str">
        <f t="shared" si="50"/>
        <v>Central San Jose</v>
      </c>
      <c r="D1075">
        <v>3</v>
      </c>
      <c r="E1075" t="str">
        <f t="shared" si="50"/>
        <v>San Francisco Mission District</v>
      </c>
      <c r="F1075" t="s">
        <v>325</v>
      </c>
      <c r="G1075">
        <f t="shared" si="48"/>
        <v>4</v>
      </c>
      <c r="H1075" t="s">
        <v>125</v>
      </c>
      <c r="I1075" t="s">
        <v>178</v>
      </c>
      <c r="J1075">
        <v>1</v>
      </c>
      <c r="K1075">
        <v>23.4305084745763</v>
      </c>
      <c r="Z1075"/>
    </row>
    <row r="1076" spans="1:26" x14ac:dyDescent="0.25">
      <c r="A1076" s="159" t="str">
        <f t="shared" si="49"/>
        <v>HR-Central San Jose-San Francisco Mission District-Other maintenance</v>
      </c>
      <c r="B1076">
        <v>11</v>
      </c>
      <c r="C1076" t="str">
        <f t="shared" si="50"/>
        <v>Central San Jose</v>
      </c>
      <c r="D1076">
        <v>3</v>
      </c>
      <c r="E1076" t="str">
        <f t="shared" si="50"/>
        <v>San Francisco Mission District</v>
      </c>
      <c r="F1076" t="s">
        <v>325</v>
      </c>
      <c r="G1076">
        <f t="shared" si="48"/>
        <v>4</v>
      </c>
      <c r="H1076" t="s">
        <v>124</v>
      </c>
      <c r="I1076" t="s">
        <v>188</v>
      </c>
      <c r="J1076">
        <v>1</v>
      </c>
      <c r="K1076">
        <v>195.51395348837201</v>
      </c>
      <c r="Z1076"/>
    </row>
    <row r="1077" spans="1:26" x14ac:dyDescent="0.25">
      <c r="A1077" s="159" t="str">
        <f t="shared" si="49"/>
        <v>LB-Central San Jose-San Francisco Mission District-Other maintenance</v>
      </c>
      <c r="B1077">
        <v>11</v>
      </c>
      <c r="C1077" t="str">
        <f t="shared" si="50"/>
        <v>Central San Jose</v>
      </c>
      <c r="D1077">
        <v>3</v>
      </c>
      <c r="E1077" t="str">
        <f t="shared" si="50"/>
        <v>San Francisco Mission District</v>
      </c>
      <c r="F1077" t="s">
        <v>325</v>
      </c>
      <c r="G1077">
        <f t="shared" si="48"/>
        <v>4</v>
      </c>
      <c r="H1077" t="s">
        <v>359</v>
      </c>
      <c r="I1077" t="s">
        <v>191</v>
      </c>
      <c r="J1077">
        <v>1</v>
      </c>
      <c r="K1077">
        <v>62.646773074254</v>
      </c>
      <c r="Z1077"/>
    </row>
    <row r="1078" spans="1:26" x14ac:dyDescent="0.25">
      <c r="A1078" s="159" t="str">
        <f t="shared" si="49"/>
        <v>HR-Central San Jose-San Francisco Mission District-Shopping</v>
      </c>
      <c r="B1078">
        <v>11</v>
      </c>
      <c r="C1078" t="str">
        <f t="shared" si="50"/>
        <v>Central San Jose</v>
      </c>
      <c r="D1078">
        <v>3</v>
      </c>
      <c r="E1078" t="str">
        <f t="shared" si="50"/>
        <v>San Francisco Mission District</v>
      </c>
      <c r="F1078" t="s">
        <v>106</v>
      </c>
      <c r="G1078">
        <f t="shared" si="48"/>
        <v>4</v>
      </c>
      <c r="H1078" t="s">
        <v>124</v>
      </c>
      <c r="I1078" t="s">
        <v>188</v>
      </c>
      <c r="J1078">
        <v>1</v>
      </c>
      <c r="K1078">
        <v>95.822099447513807</v>
      </c>
      <c r="Z1078"/>
    </row>
    <row r="1079" spans="1:26" x14ac:dyDescent="0.25">
      <c r="A1079" s="159" t="str">
        <f t="shared" si="49"/>
        <v>CR-Central San Jose-San Francisco Mission District-Social recreation</v>
      </c>
      <c r="B1079">
        <v>11</v>
      </c>
      <c r="C1079" t="str">
        <f t="shared" si="50"/>
        <v>Central San Jose</v>
      </c>
      <c r="D1079">
        <v>3</v>
      </c>
      <c r="E1079" t="str">
        <f t="shared" si="50"/>
        <v>San Francisco Mission District</v>
      </c>
      <c r="F1079" t="s">
        <v>324</v>
      </c>
      <c r="G1079">
        <f t="shared" si="48"/>
        <v>5</v>
      </c>
      <c r="H1079" t="s">
        <v>125</v>
      </c>
      <c r="I1079" t="s">
        <v>178</v>
      </c>
      <c r="J1079">
        <v>4</v>
      </c>
      <c r="K1079">
        <v>97.154923759188307</v>
      </c>
      <c r="Z1079"/>
    </row>
    <row r="1080" spans="1:26" x14ac:dyDescent="0.25">
      <c r="A1080" s="159" t="str">
        <f t="shared" si="49"/>
        <v>HR-Central San Jose-San Francisco Mission District-Social recreation</v>
      </c>
      <c r="B1080">
        <v>11</v>
      </c>
      <c r="C1080" t="str">
        <f t="shared" si="50"/>
        <v>Central San Jose</v>
      </c>
      <c r="D1080">
        <v>3</v>
      </c>
      <c r="E1080" t="str">
        <f t="shared" si="50"/>
        <v>San Francisco Mission District</v>
      </c>
      <c r="F1080" t="s">
        <v>324</v>
      </c>
      <c r="G1080">
        <f t="shared" si="48"/>
        <v>5</v>
      </c>
      <c r="H1080" t="s">
        <v>124</v>
      </c>
      <c r="I1080" t="s">
        <v>188</v>
      </c>
      <c r="J1080">
        <v>1</v>
      </c>
      <c r="K1080">
        <v>95.822099447513807</v>
      </c>
      <c r="Z1080"/>
    </row>
    <row r="1081" spans="1:26" x14ac:dyDescent="0.25">
      <c r="A1081" s="159" t="str">
        <f t="shared" si="49"/>
        <v>LB-Central San Jose-San Francisco Mission District-Social recreation</v>
      </c>
      <c r="B1081">
        <v>11</v>
      </c>
      <c r="C1081" t="str">
        <f t="shared" si="50"/>
        <v>Central San Jose</v>
      </c>
      <c r="D1081">
        <v>3</v>
      </c>
      <c r="E1081" t="str">
        <f t="shared" si="50"/>
        <v>San Francisco Mission District</v>
      </c>
      <c r="F1081" t="s">
        <v>324</v>
      </c>
      <c r="G1081">
        <f t="shared" si="48"/>
        <v>5</v>
      </c>
      <c r="H1081" t="s">
        <v>359</v>
      </c>
      <c r="I1081" t="s">
        <v>191</v>
      </c>
      <c r="J1081">
        <v>1</v>
      </c>
      <c r="K1081">
        <v>62.646773074254</v>
      </c>
      <c r="Z1081"/>
    </row>
    <row r="1082" spans="1:26" x14ac:dyDescent="0.25">
      <c r="A1082" s="159" t="str">
        <f t="shared" si="49"/>
        <v>CR-Central San Jose-San Francisco Mission District-Work</v>
      </c>
      <c r="B1082">
        <v>11</v>
      </c>
      <c r="C1082" t="str">
        <f t="shared" si="50"/>
        <v>Central San Jose</v>
      </c>
      <c r="D1082">
        <v>3</v>
      </c>
      <c r="E1082" t="str">
        <f t="shared" si="50"/>
        <v>San Francisco Mission District</v>
      </c>
      <c r="F1082" t="s">
        <v>30</v>
      </c>
      <c r="G1082">
        <f t="shared" si="48"/>
        <v>1</v>
      </c>
      <c r="H1082" t="s">
        <v>125</v>
      </c>
      <c r="I1082" t="s">
        <v>178</v>
      </c>
      <c r="J1082">
        <v>4</v>
      </c>
      <c r="K1082">
        <v>93.722033898305199</v>
      </c>
      <c r="Z1082"/>
    </row>
    <row r="1083" spans="1:26" x14ac:dyDescent="0.25">
      <c r="A1083" s="159" t="str">
        <f t="shared" si="49"/>
        <v>HR-Central San Jose-San Francisco Mission District-Work</v>
      </c>
      <c r="B1083">
        <v>11</v>
      </c>
      <c r="C1083" t="str">
        <f t="shared" si="50"/>
        <v>Central San Jose</v>
      </c>
      <c r="D1083">
        <v>3</v>
      </c>
      <c r="E1083" t="str">
        <f t="shared" si="50"/>
        <v>San Francisco Mission District</v>
      </c>
      <c r="F1083" t="s">
        <v>30</v>
      </c>
      <c r="G1083">
        <f t="shared" si="48"/>
        <v>1</v>
      </c>
      <c r="H1083" t="s">
        <v>124</v>
      </c>
      <c r="I1083" t="s">
        <v>188</v>
      </c>
      <c r="J1083">
        <v>1</v>
      </c>
      <c r="K1083">
        <v>95.822099447513807</v>
      </c>
      <c r="Z1083"/>
    </row>
    <row r="1084" spans="1:26" x14ac:dyDescent="0.25">
      <c r="A1084" s="159" t="str">
        <f t="shared" si="49"/>
        <v>CR-Central San Jose-San Francisco Sunset District-High school</v>
      </c>
      <c r="B1084">
        <v>11</v>
      </c>
      <c r="C1084" t="str">
        <f t="shared" si="50"/>
        <v>Central San Jose</v>
      </c>
      <c r="D1084">
        <v>4</v>
      </c>
      <c r="E1084" t="str">
        <f t="shared" si="50"/>
        <v>San Francisco Sunset District</v>
      </c>
      <c r="F1084" t="s">
        <v>326</v>
      </c>
      <c r="G1084">
        <f t="shared" si="48"/>
        <v>3</v>
      </c>
      <c r="H1084" t="s">
        <v>125</v>
      </c>
      <c r="I1084" t="s">
        <v>178</v>
      </c>
      <c r="J1084">
        <v>2</v>
      </c>
      <c r="K1084">
        <v>46.861016949152599</v>
      </c>
      <c r="Z1084"/>
    </row>
    <row r="1085" spans="1:26" x14ac:dyDescent="0.25">
      <c r="A1085" s="159" t="str">
        <f t="shared" si="49"/>
        <v>CR-Central San Jose-San Francisco Sunset District-Social recreation</v>
      </c>
      <c r="B1085">
        <v>11</v>
      </c>
      <c r="C1085" t="str">
        <f t="shared" si="50"/>
        <v>Central San Jose</v>
      </c>
      <c r="D1085">
        <v>4</v>
      </c>
      <c r="E1085" t="str">
        <f t="shared" si="50"/>
        <v>San Francisco Sunset District</v>
      </c>
      <c r="F1085" t="s">
        <v>324</v>
      </c>
      <c r="G1085">
        <f t="shared" si="48"/>
        <v>5</v>
      </c>
      <c r="H1085" t="s">
        <v>125</v>
      </c>
      <c r="I1085" t="s">
        <v>178</v>
      </c>
      <c r="J1085">
        <v>2</v>
      </c>
      <c r="K1085">
        <v>46.861016949152599</v>
      </c>
      <c r="Z1085"/>
    </row>
    <row r="1086" spans="1:26" x14ac:dyDescent="0.25">
      <c r="A1086" s="159" t="str">
        <f t="shared" si="49"/>
        <v>HR-Central San Jose-San Francisco Sunset District-Social recreation</v>
      </c>
      <c r="B1086">
        <v>11</v>
      </c>
      <c r="C1086" t="str">
        <f t="shared" si="50"/>
        <v>Central San Jose</v>
      </c>
      <c r="D1086">
        <v>4</v>
      </c>
      <c r="E1086" t="str">
        <f t="shared" si="50"/>
        <v>San Francisco Sunset District</v>
      </c>
      <c r="F1086" t="s">
        <v>324</v>
      </c>
      <c r="G1086">
        <f t="shared" si="48"/>
        <v>5</v>
      </c>
      <c r="H1086" t="s">
        <v>124</v>
      </c>
      <c r="I1086" t="s">
        <v>188</v>
      </c>
      <c r="J1086">
        <v>1</v>
      </c>
      <c r="K1086">
        <v>195.51395348837201</v>
      </c>
      <c r="Z1086"/>
    </row>
    <row r="1087" spans="1:26" x14ac:dyDescent="0.25">
      <c r="A1087" s="159" t="str">
        <f t="shared" si="49"/>
        <v>CR-Central San Jose-Daly City and San Bruno-High school</v>
      </c>
      <c r="B1087">
        <v>11</v>
      </c>
      <c r="C1087" t="str">
        <f t="shared" si="50"/>
        <v>Central San Jose</v>
      </c>
      <c r="D1087">
        <v>5</v>
      </c>
      <c r="E1087" t="str">
        <f t="shared" si="50"/>
        <v>Daly City and San Bruno</v>
      </c>
      <c r="F1087" t="s">
        <v>326</v>
      </c>
      <c r="G1087">
        <f t="shared" si="48"/>
        <v>3</v>
      </c>
      <c r="H1087" t="s">
        <v>125</v>
      </c>
      <c r="I1087" t="s">
        <v>178</v>
      </c>
      <c r="J1087">
        <v>1</v>
      </c>
      <c r="K1087">
        <v>23.4305084745763</v>
      </c>
      <c r="Z1087"/>
    </row>
    <row r="1088" spans="1:26" x14ac:dyDescent="0.25">
      <c r="A1088" s="159" t="str">
        <f t="shared" si="49"/>
        <v>HR-Central San Jose-Daly City and San Bruno-High school</v>
      </c>
      <c r="B1088">
        <v>11</v>
      </c>
      <c r="C1088" t="str">
        <f t="shared" si="50"/>
        <v>Central San Jose</v>
      </c>
      <c r="D1088">
        <v>5</v>
      </c>
      <c r="E1088" t="str">
        <f t="shared" si="50"/>
        <v>Daly City and San Bruno</v>
      </c>
      <c r="F1088" t="s">
        <v>326</v>
      </c>
      <c r="G1088">
        <f t="shared" si="48"/>
        <v>3</v>
      </c>
      <c r="H1088" t="s">
        <v>124</v>
      </c>
      <c r="I1088" t="s">
        <v>188</v>
      </c>
      <c r="J1088">
        <v>1</v>
      </c>
      <c r="K1088">
        <v>95.822099447513807</v>
      </c>
      <c r="Z1088"/>
    </row>
    <row r="1089" spans="1:26" x14ac:dyDescent="0.25">
      <c r="A1089" s="159" t="str">
        <f t="shared" si="49"/>
        <v>CR-Central San Jose-Daly City and San Bruno-Missing</v>
      </c>
      <c r="B1089">
        <v>11</v>
      </c>
      <c r="C1089" t="str">
        <f t="shared" si="50"/>
        <v>Central San Jose</v>
      </c>
      <c r="D1089">
        <v>5</v>
      </c>
      <c r="E1089" t="str">
        <f t="shared" si="50"/>
        <v>Daly City and San Bruno</v>
      </c>
      <c r="F1089" t="s">
        <v>327</v>
      </c>
      <c r="G1089">
        <f t="shared" si="48"/>
        <v>0</v>
      </c>
      <c r="H1089" t="s">
        <v>125</v>
      </c>
      <c r="I1089" t="s">
        <v>178</v>
      </c>
      <c r="J1089">
        <v>1</v>
      </c>
      <c r="K1089">
        <v>23.4305084745763</v>
      </c>
      <c r="Z1089"/>
    </row>
    <row r="1090" spans="1:26" x14ac:dyDescent="0.25">
      <c r="A1090" s="159" t="str">
        <f t="shared" si="49"/>
        <v>HR-Central San Jose-Daly City and San Bruno-Missing</v>
      </c>
      <c r="B1090">
        <v>11</v>
      </c>
      <c r="C1090" t="str">
        <f t="shared" si="50"/>
        <v>Central San Jose</v>
      </c>
      <c r="D1090">
        <v>5</v>
      </c>
      <c r="E1090" t="str">
        <f t="shared" si="50"/>
        <v>Daly City and San Bruno</v>
      </c>
      <c r="F1090" t="s">
        <v>327</v>
      </c>
      <c r="G1090">
        <f t="shared" ref="G1090:G1153" si="51">VLOOKUP(F1090,$V$2:$X$10, 3,FALSE)</f>
        <v>0</v>
      </c>
      <c r="H1090" t="s">
        <v>124</v>
      </c>
      <c r="I1090" t="s">
        <v>188</v>
      </c>
      <c r="J1090">
        <v>1</v>
      </c>
      <c r="K1090">
        <v>95.822099447513807</v>
      </c>
      <c r="Z1090"/>
    </row>
    <row r="1091" spans="1:26" x14ac:dyDescent="0.25">
      <c r="A1091" s="159" t="str">
        <f t="shared" ref="A1091:A1154" si="52" xml:space="preserve"> CONCATENATE(I1091,"-",C1091, "-",E1091, "-",F1091,)</f>
        <v>CR-Central San Jose-Daly City and San Bruno-Social recreation</v>
      </c>
      <c r="B1091">
        <v>11</v>
      </c>
      <c r="C1091" t="str">
        <f t="shared" ref="C1091:E1154" si="53">VLOOKUP(B1091,$S$2:$T$35,2,FALSE)</f>
        <v>Central San Jose</v>
      </c>
      <c r="D1091">
        <v>5</v>
      </c>
      <c r="E1091" t="str">
        <f t="shared" si="53"/>
        <v>Daly City and San Bruno</v>
      </c>
      <c r="F1091" t="s">
        <v>324</v>
      </c>
      <c r="G1091">
        <f t="shared" si="51"/>
        <v>5</v>
      </c>
      <c r="H1091" t="s">
        <v>125</v>
      </c>
      <c r="I1091" t="s">
        <v>178</v>
      </c>
      <c r="J1091">
        <v>2</v>
      </c>
      <c r="K1091">
        <v>50.2939068100358</v>
      </c>
      <c r="Z1091"/>
    </row>
    <row r="1092" spans="1:26" x14ac:dyDescent="0.25">
      <c r="A1092" s="159" t="str">
        <f t="shared" si="52"/>
        <v>LB-Central San Jose-Daly City and San Bruno-Work</v>
      </c>
      <c r="B1092">
        <v>11</v>
      </c>
      <c r="C1092" t="str">
        <f t="shared" si="53"/>
        <v>Central San Jose</v>
      </c>
      <c r="D1092">
        <v>5</v>
      </c>
      <c r="E1092" t="str">
        <f t="shared" si="53"/>
        <v>Daly City and San Bruno</v>
      </c>
      <c r="F1092" t="s">
        <v>30</v>
      </c>
      <c r="G1092">
        <f t="shared" si="51"/>
        <v>1</v>
      </c>
      <c r="H1092" t="s">
        <v>359</v>
      </c>
      <c r="I1092" t="s">
        <v>191</v>
      </c>
      <c r="J1092">
        <v>1</v>
      </c>
      <c r="K1092">
        <v>39.348891481913597</v>
      </c>
      <c r="Z1092"/>
    </row>
    <row r="1093" spans="1:26" x14ac:dyDescent="0.25">
      <c r="A1093" s="159" t="str">
        <f t="shared" si="52"/>
        <v>CR-Central San Jose-San Mateo and Burlingame-High school</v>
      </c>
      <c r="B1093">
        <v>11</v>
      </c>
      <c r="C1093" t="str">
        <f t="shared" si="53"/>
        <v>Central San Jose</v>
      </c>
      <c r="D1093">
        <v>6</v>
      </c>
      <c r="E1093" t="str">
        <f t="shared" si="53"/>
        <v>San Mateo and Burlingame</v>
      </c>
      <c r="F1093" t="s">
        <v>326</v>
      </c>
      <c r="G1093">
        <f t="shared" si="51"/>
        <v>3</v>
      </c>
      <c r="H1093" t="s">
        <v>125</v>
      </c>
      <c r="I1093" t="s">
        <v>178</v>
      </c>
      <c r="J1093">
        <v>3</v>
      </c>
      <c r="K1093">
        <v>70.291525423728899</v>
      </c>
      <c r="Z1093"/>
    </row>
    <row r="1094" spans="1:26" x14ac:dyDescent="0.25">
      <c r="A1094" s="159" t="str">
        <f t="shared" si="52"/>
        <v>CR-Central San Jose-San Mateo and Burlingame-Missing</v>
      </c>
      <c r="B1094">
        <v>11</v>
      </c>
      <c r="C1094" t="str">
        <f t="shared" si="53"/>
        <v>Central San Jose</v>
      </c>
      <c r="D1094">
        <v>6</v>
      </c>
      <c r="E1094" t="str">
        <f t="shared" si="53"/>
        <v>San Mateo and Burlingame</v>
      </c>
      <c r="F1094" t="s">
        <v>327</v>
      </c>
      <c r="G1094">
        <f t="shared" si="51"/>
        <v>0</v>
      </c>
      <c r="H1094" t="s">
        <v>125</v>
      </c>
      <c r="I1094" t="s">
        <v>178</v>
      </c>
      <c r="J1094">
        <v>1</v>
      </c>
      <c r="K1094">
        <v>23.4305084745763</v>
      </c>
      <c r="Z1094"/>
    </row>
    <row r="1095" spans="1:26" x14ac:dyDescent="0.25">
      <c r="A1095" s="159" t="str">
        <f t="shared" si="52"/>
        <v>CR-Central San Jose-San Mateo and Burlingame-Work</v>
      </c>
      <c r="B1095">
        <v>11</v>
      </c>
      <c r="C1095" t="str">
        <f t="shared" si="53"/>
        <v>Central San Jose</v>
      </c>
      <c r="D1095">
        <v>6</v>
      </c>
      <c r="E1095" t="str">
        <f t="shared" si="53"/>
        <v>San Mateo and Burlingame</v>
      </c>
      <c r="F1095" t="s">
        <v>30</v>
      </c>
      <c r="G1095">
        <f t="shared" si="51"/>
        <v>1</v>
      </c>
      <c r="H1095" t="s">
        <v>125</v>
      </c>
      <c r="I1095" t="s">
        <v>178</v>
      </c>
      <c r="J1095">
        <v>3</v>
      </c>
      <c r="K1095">
        <v>70.291525423728899</v>
      </c>
      <c r="Z1095"/>
    </row>
    <row r="1096" spans="1:26" x14ac:dyDescent="0.25">
      <c r="A1096" s="159" t="str">
        <f t="shared" si="52"/>
        <v>CR-Central San Jose-Redwood City and Menlo Park-High school</v>
      </c>
      <c r="B1096">
        <v>11</v>
      </c>
      <c r="C1096" t="str">
        <f t="shared" si="53"/>
        <v>Central San Jose</v>
      </c>
      <c r="D1096">
        <v>7</v>
      </c>
      <c r="E1096" t="str">
        <f t="shared" si="53"/>
        <v>Redwood City and Menlo Park</v>
      </c>
      <c r="F1096" t="s">
        <v>326</v>
      </c>
      <c r="G1096">
        <f t="shared" si="51"/>
        <v>3</v>
      </c>
      <c r="H1096" t="s">
        <v>125</v>
      </c>
      <c r="I1096" t="s">
        <v>178</v>
      </c>
      <c r="J1096">
        <v>8</v>
      </c>
      <c r="K1096">
        <v>187.44406779661</v>
      </c>
      <c r="Z1096"/>
    </row>
    <row r="1097" spans="1:26" x14ac:dyDescent="0.25">
      <c r="A1097" s="159" t="str">
        <f t="shared" si="52"/>
        <v>CR-Central San Jose-Redwood City and Menlo Park-Missing</v>
      </c>
      <c r="B1097">
        <v>11</v>
      </c>
      <c r="C1097" t="str">
        <f t="shared" si="53"/>
        <v>Central San Jose</v>
      </c>
      <c r="D1097">
        <v>7</v>
      </c>
      <c r="E1097" t="str">
        <f t="shared" si="53"/>
        <v>Redwood City and Menlo Park</v>
      </c>
      <c r="F1097" t="s">
        <v>327</v>
      </c>
      <c r="G1097">
        <f t="shared" si="51"/>
        <v>0</v>
      </c>
      <c r="H1097" t="s">
        <v>125</v>
      </c>
      <c r="I1097" t="s">
        <v>178</v>
      </c>
      <c r="J1097">
        <v>1</v>
      </c>
      <c r="K1097">
        <v>23.4305084745763</v>
      </c>
      <c r="Z1097"/>
    </row>
    <row r="1098" spans="1:26" x14ac:dyDescent="0.25">
      <c r="A1098" s="159" t="str">
        <f t="shared" si="52"/>
        <v>CR-Central San Jose-Redwood City and Menlo Park-Work</v>
      </c>
      <c r="B1098">
        <v>11</v>
      </c>
      <c r="C1098" t="str">
        <f t="shared" si="53"/>
        <v>Central San Jose</v>
      </c>
      <c r="D1098">
        <v>7</v>
      </c>
      <c r="E1098" t="str">
        <f t="shared" si="53"/>
        <v>Redwood City and Menlo Park</v>
      </c>
      <c r="F1098" t="s">
        <v>30</v>
      </c>
      <c r="G1098">
        <f t="shared" si="51"/>
        <v>1</v>
      </c>
      <c r="H1098" t="s">
        <v>125</v>
      </c>
      <c r="I1098" t="s">
        <v>178</v>
      </c>
      <c r="J1098">
        <v>9</v>
      </c>
      <c r="K1098">
        <v>210.87457627118599</v>
      </c>
      <c r="Z1098"/>
    </row>
    <row r="1099" spans="1:26" x14ac:dyDescent="0.25">
      <c r="A1099" s="159" t="str">
        <f t="shared" si="52"/>
        <v>LB-Central San Jose-Redwood City and Menlo Park-Work</v>
      </c>
      <c r="B1099">
        <v>11</v>
      </c>
      <c r="C1099" t="str">
        <f t="shared" si="53"/>
        <v>Central San Jose</v>
      </c>
      <c r="D1099">
        <v>7</v>
      </c>
      <c r="E1099" t="str">
        <f t="shared" si="53"/>
        <v>Redwood City and Menlo Park</v>
      </c>
      <c r="F1099" t="s">
        <v>30</v>
      </c>
      <c r="G1099">
        <f t="shared" si="51"/>
        <v>1</v>
      </c>
      <c r="H1099" t="s">
        <v>359</v>
      </c>
      <c r="I1099" t="s">
        <v>191</v>
      </c>
      <c r="J1099">
        <v>4</v>
      </c>
      <c r="K1099">
        <v>203.99132911233499</v>
      </c>
      <c r="Z1099"/>
    </row>
    <row r="1100" spans="1:26" x14ac:dyDescent="0.25">
      <c r="A1100" s="159" t="str">
        <f t="shared" si="52"/>
        <v>CR-Central San Jose-Palo Alto and Los Altos-High school</v>
      </c>
      <c r="B1100">
        <v>11</v>
      </c>
      <c r="C1100" t="str">
        <f t="shared" si="53"/>
        <v>Central San Jose</v>
      </c>
      <c r="D1100">
        <v>8</v>
      </c>
      <c r="E1100" t="str">
        <f t="shared" si="53"/>
        <v>Palo Alto and Los Altos</v>
      </c>
      <c r="F1100" t="s">
        <v>326</v>
      </c>
      <c r="G1100">
        <f t="shared" si="51"/>
        <v>3</v>
      </c>
      <c r="H1100" t="s">
        <v>125</v>
      </c>
      <c r="I1100" t="s">
        <v>178</v>
      </c>
      <c r="J1100">
        <v>3</v>
      </c>
      <c r="K1100">
        <v>70.291525423728899</v>
      </c>
      <c r="Z1100"/>
    </row>
    <row r="1101" spans="1:26" x14ac:dyDescent="0.25">
      <c r="A1101" s="159" t="str">
        <f t="shared" si="52"/>
        <v>LB-Central San Jose-Palo Alto and Los Altos-High school</v>
      </c>
      <c r="B1101">
        <v>11</v>
      </c>
      <c r="C1101" t="str">
        <f t="shared" si="53"/>
        <v>Central San Jose</v>
      </c>
      <c r="D1101">
        <v>8</v>
      </c>
      <c r="E1101" t="str">
        <f t="shared" si="53"/>
        <v>Palo Alto and Los Altos</v>
      </c>
      <c r="F1101" t="s">
        <v>326</v>
      </c>
      <c r="G1101">
        <f t="shared" si="51"/>
        <v>3</v>
      </c>
      <c r="H1101" t="s">
        <v>359</v>
      </c>
      <c r="I1101" t="s">
        <v>191</v>
      </c>
      <c r="J1101">
        <v>1</v>
      </c>
      <c r="K1101">
        <v>62.646773074254</v>
      </c>
      <c r="Z1101"/>
    </row>
    <row r="1102" spans="1:26" x14ac:dyDescent="0.25">
      <c r="A1102" s="159" t="str">
        <f t="shared" si="52"/>
        <v>LR-Central San Jose-Palo Alto and Los Altos-Missing</v>
      </c>
      <c r="B1102">
        <v>11</v>
      </c>
      <c r="C1102" t="str">
        <f t="shared" si="53"/>
        <v>Central San Jose</v>
      </c>
      <c r="D1102">
        <v>8</v>
      </c>
      <c r="E1102" t="str">
        <f t="shared" si="53"/>
        <v>Palo Alto and Los Altos</v>
      </c>
      <c r="F1102" t="s">
        <v>327</v>
      </c>
      <c r="G1102">
        <f t="shared" si="51"/>
        <v>0</v>
      </c>
      <c r="H1102" t="s">
        <v>353</v>
      </c>
      <c r="I1102" t="s">
        <v>194</v>
      </c>
      <c r="J1102">
        <v>1</v>
      </c>
      <c r="K1102">
        <v>62.646773074254</v>
      </c>
      <c r="Z1102"/>
    </row>
    <row r="1103" spans="1:26" x14ac:dyDescent="0.25">
      <c r="A1103" s="159" t="str">
        <f t="shared" si="52"/>
        <v>LB-Central San Jose-Palo Alto and Los Altos-Missing</v>
      </c>
      <c r="B1103">
        <v>11</v>
      </c>
      <c r="C1103" t="str">
        <f t="shared" si="53"/>
        <v>Central San Jose</v>
      </c>
      <c r="D1103">
        <v>8</v>
      </c>
      <c r="E1103" t="str">
        <f t="shared" si="53"/>
        <v>Palo Alto and Los Altos</v>
      </c>
      <c r="F1103" t="s">
        <v>327</v>
      </c>
      <c r="G1103">
        <f t="shared" si="51"/>
        <v>0</v>
      </c>
      <c r="H1103" t="s">
        <v>359</v>
      </c>
      <c r="I1103" t="s">
        <v>191</v>
      </c>
      <c r="J1103">
        <v>2</v>
      </c>
      <c r="K1103">
        <v>125.293546148508</v>
      </c>
      <c r="Z1103"/>
    </row>
    <row r="1104" spans="1:26" x14ac:dyDescent="0.25">
      <c r="A1104" s="159" t="str">
        <f t="shared" si="52"/>
        <v>CR-Central San Jose-Palo Alto and Los Altos-Other maintenance</v>
      </c>
      <c r="B1104">
        <v>11</v>
      </c>
      <c r="C1104" t="str">
        <f t="shared" si="53"/>
        <v>Central San Jose</v>
      </c>
      <c r="D1104">
        <v>8</v>
      </c>
      <c r="E1104" t="str">
        <f t="shared" si="53"/>
        <v>Palo Alto and Los Altos</v>
      </c>
      <c r="F1104" t="s">
        <v>325</v>
      </c>
      <c r="G1104">
        <f t="shared" si="51"/>
        <v>4</v>
      </c>
      <c r="H1104" t="s">
        <v>125</v>
      </c>
      <c r="I1104" t="s">
        <v>178</v>
      </c>
      <c r="J1104">
        <v>1</v>
      </c>
      <c r="K1104">
        <v>25.1469534050179</v>
      </c>
      <c r="Z1104"/>
    </row>
    <row r="1105" spans="1:26" x14ac:dyDescent="0.25">
      <c r="A1105" s="159" t="str">
        <f t="shared" si="52"/>
        <v>LR-Central San Jose-Palo Alto and Los Altos-Other maintenance</v>
      </c>
      <c r="B1105">
        <v>11</v>
      </c>
      <c r="C1105" t="str">
        <f t="shared" si="53"/>
        <v>Central San Jose</v>
      </c>
      <c r="D1105">
        <v>8</v>
      </c>
      <c r="E1105" t="str">
        <f t="shared" si="53"/>
        <v>Palo Alto and Los Altos</v>
      </c>
      <c r="F1105" t="s">
        <v>325</v>
      </c>
      <c r="G1105">
        <f t="shared" si="51"/>
        <v>4</v>
      </c>
      <c r="H1105" t="s">
        <v>353</v>
      </c>
      <c r="I1105" t="s">
        <v>194</v>
      </c>
      <c r="J1105">
        <v>2</v>
      </c>
      <c r="K1105">
        <v>370.73359073359001</v>
      </c>
      <c r="Z1105"/>
    </row>
    <row r="1106" spans="1:26" x14ac:dyDescent="0.25">
      <c r="A1106" s="159" t="str">
        <f t="shared" si="52"/>
        <v>CR-Central San Jose-Palo Alto and Los Altos-Social recreation</v>
      </c>
      <c r="B1106">
        <v>11</v>
      </c>
      <c r="C1106" t="str">
        <f t="shared" si="53"/>
        <v>Central San Jose</v>
      </c>
      <c r="D1106">
        <v>8</v>
      </c>
      <c r="E1106" t="str">
        <f t="shared" si="53"/>
        <v>Palo Alto and Los Altos</v>
      </c>
      <c r="F1106" t="s">
        <v>324</v>
      </c>
      <c r="G1106">
        <f t="shared" si="51"/>
        <v>5</v>
      </c>
      <c r="H1106" t="s">
        <v>125</v>
      </c>
      <c r="I1106" t="s">
        <v>178</v>
      </c>
      <c r="J1106">
        <v>2</v>
      </c>
      <c r="K1106">
        <v>48.577461879594097</v>
      </c>
      <c r="Z1106"/>
    </row>
    <row r="1107" spans="1:26" x14ac:dyDescent="0.25">
      <c r="A1107" s="159" t="str">
        <f t="shared" si="52"/>
        <v>LR-Central San Jose-Palo Alto and Los Altos-Social recreation</v>
      </c>
      <c r="B1107">
        <v>11</v>
      </c>
      <c r="C1107" t="str">
        <f t="shared" si="53"/>
        <v>Central San Jose</v>
      </c>
      <c r="D1107">
        <v>8</v>
      </c>
      <c r="E1107" t="str">
        <f t="shared" si="53"/>
        <v>Palo Alto and Los Altos</v>
      </c>
      <c r="F1107" t="s">
        <v>324</v>
      </c>
      <c r="G1107">
        <f t="shared" si="51"/>
        <v>5</v>
      </c>
      <c r="H1107" t="s">
        <v>353</v>
      </c>
      <c r="I1107" t="s">
        <v>194</v>
      </c>
      <c r="J1107">
        <v>1</v>
      </c>
      <c r="K1107">
        <v>185.366795366795</v>
      </c>
      <c r="Z1107"/>
    </row>
    <row r="1108" spans="1:26" x14ac:dyDescent="0.25">
      <c r="A1108" s="159" t="str">
        <f t="shared" si="52"/>
        <v>LB-Central San Jose-Palo Alto and Los Altos-Social recreation</v>
      </c>
      <c r="B1108">
        <v>11</v>
      </c>
      <c r="C1108" t="str">
        <f t="shared" si="53"/>
        <v>Central San Jose</v>
      </c>
      <c r="D1108">
        <v>8</v>
      </c>
      <c r="E1108" t="str">
        <f t="shared" si="53"/>
        <v>Palo Alto and Los Altos</v>
      </c>
      <c r="F1108" t="s">
        <v>324</v>
      </c>
      <c r="G1108">
        <f t="shared" si="51"/>
        <v>5</v>
      </c>
      <c r="H1108" t="s">
        <v>359</v>
      </c>
      <c r="I1108" t="s">
        <v>191</v>
      </c>
      <c r="J1108">
        <v>3</v>
      </c>
      <c r="K1108">
        <v>310.660341515303</v>
      </c>
      <c r="Z1108"/>
    </row>
    <row r="1109" spans="1:26" x14ac:dyDescent="0.25">
      <c r="A1109" s="159" t="str">
        <f t="shared" si="52"/>
        <v>CR-Central San Jose-Palo Alto and Los Altos-Work</v>
      </c>
      <c r="B1109">
        <v>11</v>
      </c>
      <c r="C1109" t="str">
        <f t="shared" si="53"/>
        <v>Central San Jose</v>
      </c>
      <c r="D1109">
        <v>8</v>
      </c>
      <c r="E1109" t="str">
        <f t="shared" si="53"/>
        <v>Palo Alto and Los Altos</v>
      </c>
      <c r="F1109" t="s">
        <v>30</v>
      </c>
      <c r="G1109">
        <f t="shared" si="51"/>
        <v>1</v>
      </c>
      <c r="H1109" t="s">
        <v>125</v>
      </c>
      <c r="I1109" t="s">
        <v>178</v>
      </c>
      <c r="J1109">
        <v>16</v>
      </c>
      <c r="K1109">
        <v>374.88813559322</v>
      </c>
      <c r="Z1109"/>
    </row>
    <row r="1110" spans="1:26" x14ac:dyDescent="0.25">
      <c r="A1110" s="159" t="str">
        <f t="shared" si="52"/>
        <v>LR-Central San Jose-Palo Alto and Los Altos-Work</v>
      </c>
      <c r="B1110">
        <v>11</v>
      </c>
      <c r="C1110" t="str">
        <f t="shared" si="53"/>
        <v>Central San Jose</v>
      </c>
      <c r="D1110">
        <v>8</v>
      </c>
      <c r="E1110" t="str">
        <f t="shared" si="53"/>
        <v>Palo Alto and Los Altos</v>
      </c>
      <c r="F1110" t="s">
        <v>30</v>
      </c>
      <c r="G1110">
        <f t="shared" si="51"/>
        <v>1</v>
      </c>
      <c r="H1110" t="s">
        <v>353</v>
      </c>
      <c r="I1110" t="s">
        <v>194</v>
      </c>
      <c r="J1110">
        <v>6</v>
      </c>
      <c r="K1110">
        <v>498.60066073806502</v>
      </c>
      <c r="Z1110"/>
    </row>
    <row r="1111" spans="1:26" x14ac:dyDescent="0.25">
      <c r="A1111" s="159" t="str">
        <f t="shared" si="52"/>
        <v>LB-Central San Jose-Palo Alto and Los Altos-Work</v>
      </c>
      <c r="B1111">
        <v>11</v>
      </c>
      <c r="C1111" t="str">
        <f t="shared" si="53"/>
        <v>Central San Jose</v>
      </c>
      <c r="D1111">
        <v>8</v>
      </c>
      <c r="E1111" t="str">
        <f t="shared" si="53"/>
        <v>Palo Alto and Los Altos</v>
      </c>
      <c r="F1111" t="s">
        <v>30</v>
      </c>
      <c r="G1111">
        <f t="shared" si="51"/>
        <v>1</v>
      </c>
      <c r="H1111" t="s">
        <v>359</v>
      </c>
      <c r="I1111" t="s">
        <v>191</v>
      </c>
      <c r="J1111">
        <v>11</v>
      </c>
      <c r="K1111">
        <v>689.11450381679401</v>
      </c>
      <c r="Z1111"/>
    </row>
    <row r="1112" spans="1:26" x14ac:dyDescent="0.25">
      <c r="A1112" s="159" t="str">
        <f t="shared" si="52"/>
        <v>CR-Central San Jose-Sunnyvale and Mountain View-High school</v>
      </c>
      <c r="B1112">
        <v>11</v>
      </c>
      <c r="C1112" t="str">
        <f t="shared" si="53"/>
        <v>Central San Jose</v>
      </c>
      <c r="D1112">
        <v>9</v>
      </c>
      <c r="E1112" t="str">
        <f t="shared" si="53"/>
        <v>Sunnyvale and Mountain View</v>
      </c>
      <c r="F1112" t="s">
        <v>326</v>
      </c>
      <c r="G1112">
        <f t="shared" si="51"/>
        <v>3</v>
      </c>
      <c r="H1112" t="s">
        <v>125</v>
      </c>
      <c r="I1112" t="s">
        <v>178</v>
      </c>
      <c r="J1112">
        <v>1</v>
      </c>
      <c r="K1112">
        <v>25.1469534050179</v>
      </c>
      <c r="Z1112"/>
    </row>
    <row r="1113" spans="1:26" x14ac:dyDescent="0.25">
      <c r="A1113" s="159" t="str">
        <f t="shared" si="52"/>
        <v>LR-Central San Jose-Sunnyvale and Mountain View-High school</v>
      </c>
      <c r="B1113">
        <v>11</v>
      </c>
      <c r="C1113" t="str">
        <f t="shared" si="53"/>
        <v>Central San Jose</v>
      </c>
      <c r="D1113">
        <v>9</v>
      </c>
      <c r="E1113" t="str">
        <f t="shared" si="53"/>
        <v>Sunnyvale and Mountain View</v>
      </c>
      <c r="F1113" t="s">
        <v>326</v>
      </c>
      <c r="G1113">
        <f t="shared" si="51"/>
        <v>3</v>
      </c>
      <c r="H1113" t="s">
        <v>353</v>
      </c>
      <c r="I1113" t="s">
        <v>194</v>
      </c>
      <c r="J1113">
        <v>2</v>
      </c>
      <c r="K1113">
        <v>125.293546148508</v>
      </c>
      <c r="Z1113"/>
    </row>
    <row r="1114" spans="1:26" x14ac:dyDescent="0.25">
      <c r="A1114" s="159" t="str">
        <f t="shared" si="52"/>
        <v>LB-Central San Jose-Sunnyvale and Mountain View-High school</v>
      </c>
      <c r="B1114">
        <v>11</v>
      </c>
      <c r="C1114" t="str">
        <f t="shared" si="53"/>
        <v>Central San Jose</v>
      </c>
      <c r="D1114">
        <v>9</v>
      </c>
      <c r="E1114" t="str">
        <f t="shared" si="53"/>
        <v>Sunnyvale and Mountain View</v>
      </c>
      <c r="F1114" t="s">
        <v>326</v>
      </c>
      <c r="G1114">
        <f t="shared" si="51"/>
        <v>3</v>
      </c>
      <c r="H1114" t="s">
        <v>359</v>
      </c>
      <c r="I1114" t="s">
        <v>191</v>
      </c>
      <c r="J1114">
        <v>4</v>
      </c>
      <c r="K1114">
        <v>263.51558176651901</v>
      </c>
      <c r="Z1114"/>
    </row>
    <row r="1115" spans="1:26" x14ac:dyDescent="0.25">
      <c r="A1115" s="159" t="str">
        <f t="shared" si="52"/>
        <v>LR-Central San Jose-Sunnyvale and Mountain View-Missing</v>
      </c>
      <c r="B1115">
        <v>11</v>
      </c>
      <c r="C1115" t="str">
        <f t="shared" si="53"/>
        <v>Central San Jose</v>
      </c>
      <c r="D1115">
        <v>9</v>
      </c>
      <c r="E1115" t="str">
        <f t="shared" si="53"/>
        <v>Sunnyvale and Mountain View</v>
      </c>
      <c r="F1115" t="s">
        <v>327</v>
      </c>
      <c r="G1115">
        <f t="shared" si="51"/>
        <v>0</v>
      </c>
      <c r="H1115" t="s">
        <v>353</v>
      </c>
      <c r="I1115" t="s">
        <v>194</v>
      </c>
      <c r="J1115">
        <v>3</v>
      </c>
      <c r="K1115">
        <v>187.94031922276201</v>
      </c>
      <c r="Z1115"/>
    </row>
    <row r="1116" spans="1:26" x14ac:dyDescent="0.25">
      <c r="A1116" s="159" t="str">
        <f t="shared" si="52"/>
        <v>LB-Central San Jose-Sunnyvale and Mountain View-Missing</v>
      </c>
      <c r="B1116">
        <v>11</v>
      </c>
      <c r="C1116" t="str">
        <f t="shared" si="53"/>
        <v>Central San Jose</v>
      </c>
      <c r="D1116">
        <v>9</v>
      </c>
      <c r="E1116" t="str">
        <f t="shared" si="53"/>
        <v>Sunnyvale and Mountain View</v>
      </c>
      <c r="F1116" t="s">
        <v>327</v>
      </c>
      <c r="G1116">
        <f t="shared" si="51"/>
        <v>0</v>
      </c>
      <c r="H1116" t="s">
        <v>359</v>
      </c>
      <c r="I1116" t="s">
        <v>191</v>
      </c>
      <c r="J1116">
        <v>6</v>
      </c>
      <c r="K1116">
        <v>375.88063844552403</v>
      </c>
      <c r="Z1116"/>
    </row>
    <row r="1117" spans="1:26" x14ac:dyDescent="0.25">
      <c r="A1117" s="159" t="str">
        <f t="shared" si="52"/>
        <v>LR-Central San Jose-Sunnyvale and Mountain View-Other maintenance</v>
      </c>
      <c r="B1117">
        <v>11</v>
      </c>
      <c r="C1117" t="str">
        <f t="shared" si="53"/>
        <v>Central San Jose</v>
      </c>
      <c r="D1117">
        <v>9</v>
      </c>
      <c r="E1117" t="str">
        <f t="shared" si="53"/>
        <v>Sunnyvale and Mountain View</v>
      </c>
      <c r="F1117" t="s">
        <v>325</v>
      </c>
      <c r="G1117">
        <f t="shared" si="51"/>
        <v>4</v>
      </c>
      <c r="H1117" t="s">
        <v>353</v>
      </c>
      <c r="I1117" t="s">
        <v>194</v>
      </c>
      <c r="J1117">
        <v>3</v>
      </c>
      <c r="K1117">
        <v>433.38036380784399</v>
      </c>
      <c r="Z1117"/>
    </row>
    <row r="1118" spans="1:26" x14ac:dyDescent="0.25">
      <c r="A1118" s="159" t="str">
        <f t="shared" si="52"/>
        <v>LB-Central San Jose-Sunnyvale and Mountain View-Other maintenance</v>
      </c>
      <c r="B1118">
        <v>11</v>
      </c>
      <c r="C1118" t="str">
        <f t="shared" si="53"/>
        <v>Central San Jose</v>
      </c>
      <c r="D1118">
        <v>9</v>
      </c>
      <c r="E1118" t="str">
        <f t="shared" si="53"/>
        <v>Sunnyvale and Mountain View</v>
      </c>
      <c r="F1118" t="s">
        <v>325</v>
      </c>
      <c r="G1118">
        <f t="shared" si="51"/>
        <v>4</v>
      </c>
      <c r="H1118" t="s">
        <v>359</v>
      </c>
      <c r="I1118" t="s">
        <v>191</v>
      </c>
      <c r="J1118">
        <v>6</v>
      </c>
      <c r="K1118">
        <v>498.60066073806502</v>
      </c>
      <c r="Z1118"/>
    </row>
    <row r="1119" spans="1:26" x14ac:dyDescent="0.25">
      <c r="A1119" s="159" t="str">
        <f t="shared" si="52"/>
        <v>LB-Central San Jose-Sunnyvale and Mountain View-Shopping</v>
      </c>
      <c r="B1119">
        <v>11</v>
      </c>
      <c r="C1119" t="str">
        <f t="shared" si="53"/>
        <v>Central San Jose</v>
      </c>
      <c r="D1119">
        <v>9</v>
      </c>
      <c r="E1119" t="str">
        <f t="shared" si="53"/>
        <v>Sunnyvale and Mountain View</v>
      </c>
      <c r="F1119" t="s">
        <v>106</v>
      </c>
      <c r="G1119">
        <f t="shared" si="51"/>
        <v>4</v>
      </c>
      <c r="H1119" t="s">
        <v>359</v>
      </c>
      <c r="I1119" t="s">
        <v>191</v>
      </c>
      <c r="J1119">
        <v>3</v>
      </c>
      <c r="K1119">
        <v>187.94031922276201</v>
      </c>
      <c r="Z1119"/>
    </row>
    <row r="1120" spans="1:26" x14ac:dyDescent="0.25">
      <c r="A1120" s="159" t="str">
        <f t="shared" si="52"/>
        <v>CR-Central San Jose-Sunnyvale and Mountain View-Social recreation</v>
      </c>
      <c r="B1120">
        <v>11</v>
      </c>
      <c r="C1120" t="str">
        <f t="shared" si="53"/>
        <v>Central San Jose</v>
      </c>
      <c r="D1120">
        <v>9</v>
      </c>
      <c r="E1120" t="str">
        <f t="shared" si="53"/>
        <v>Sunnyvale and Mountain View</v>
      </c>
      <c r="F1120" t="s">
        <v>324</v>
      </c>
      <c r="G1120">
        <f t="shared" si="51"/>
        <v>5</v>
      </c>
      <c r="H1120" t="s">
        <v>125</v>
      </c>
      <c r="I1120" t="s">
        <v>178</v>
      </c>
      <c r="J1120">
        <v>1</v>
      </c>
      <c r="K1120">
        <v>23.4305084745763</v>
      </c>
      <c r="Z1120"/>
    </row>
    <row r="1121" spans="1:26" x14ac:dyDescent="0.25">
      <c r="A1121" s="159" t="str">
        <f t="shared" si="52"/>
        <v>LB-Central San Jose-Sunnyvale and Mountain View-Social recreation</v>
      </c>
      <c r="B1121">
        <v>11</v>
      </c>
      <c r="C1121" t="str">
        <f t="shared" si="53"/>
        <v>Central San Jose</v>
      </c>
      <c r="D1121">
        <v>9</v>
      </c>
      <c r="E1121" t="str">
        <f t="shared" si="53"/>
        <v>Sunnyvale and Mountain View</v>
      </c>
      <c r="F1121" t="s">
        <v>324</v>
      </c>
      <c r="G1121">
        <f t="shared" si="51"/>
        <v>5</v>
      </c>
      <c r="H1121" t="s">
        <v>359</v>
      </c>
      <c r="I1121" t="s">
        <v>191</v>
      </c>
      <c r="J1121">
        <v>2</v>
      </c>
      <c r="K1121">
        <v>125.293546148508</v>
      </c>
      <c r="Z1121"/>
    </row>
    <row r="1122" spans="1:26" x14ac:dyDescent="0.25">
      <c r="A1122" s="159" t="str">
        <f t="shared" si="52"/>
        <v>CR-Central San Jose-Sunnyvale and Mountain View-Work</v>
      </c>
      <c r="B1122">
        <v>11</v>
      </c>
      <c r="C1122" t="str">
        <f t="shared" si="53"/>
        <v>Central San Jose</v>
      </c>
      <c r="D1122">
        <v>9</v>
      </c>
      <c r="E1122" t="str">
        <f t="shared" si="53"/>
        <v>Sunnyvale and Mountain View</v>
      </c>
      <c r="F1122" t="s">
        <v>30</v>
      </c>
      <c r="G1122">
        <f t="shared" si="51"/>
        <v>1</v>
      </c>
      <c r="H1122" t="s">
        <v>125</v>
      </c>
      <c r="I1122" t="s">
        <v>178</v>
      </c>
      <c r="J1122">
        <v>4</v>
      </c>
      <c r="K1122">
        <v>93.722033898305199</v>
      </c>
      <c r="Z1122"/>
    </row>
    <row r="1123" spans="1:26" x14ac:dyDescent="0.25">
      <c r="A1123" s="159" t="str">
        <f t="shared" si="52"/>
        <v>LR-Central San Jose-Sunnyvale and Mountain View-Work</v>
      </c>
      <c r="B1123">
        <v>11</v>
      </c>
      <c r="C1123" t="str">
        <f t="shared" si="53"/>
        <v>Central San Jose</v>
      </c>
      <c r="D1123">
        <v>9</v>
      </c>
      <c r="E1123" t="str">
        <f t="shared" si="53"/>
        <v>Sunnyvale and Mountain View</v>
      </c>
      <c r="F1123" t="s">
        <v>30</v>
      </c>
      <c r="G1123">
        <f t="shared" si="51"/>
        <v>1</v>
      </c>
      <c r="H1123" t="s">
        <v>353</v>
      </c>
      <c r="I1123" t="s">
        <v>194</v>
      </c>
      <c r="J1123">
        <v>10</v>
      </c>
      <c r="K1123">
        <v>871.90777532762195</v>
      </c>
      <c r="Z1123"/>
    </row>
    <row r="1124" spans="1:26" x14ac:dyDescent="0.25">
      <c r="A1124" s="159" t="str">
        <f t="shared" si="52"/>
        <v>LB-Central San Jose-Sunnyvale and Mountain View-Work</v>
      </c>
      <c r="B1124">
        <v>11</v>
      </c>
      <c r="C1124" t="str">
        <f t="shared" si="53"/>
        <v>Central San Jose</v>
      </c>
      <c r="D1124">
        <v>9</v>
      </c>
      <c r="E1124" t="str">
        <f t="shared" si="53"/>
        <v>Sunnyvale and Mountain View</v>
      </c>
      <c r="F1124" t="s">
        <v>30</v>
      </c>
      <c r="G1124">
        <f t="shared" si="51"/>
        <v>1</v>
      </c>
      <c r="H1124" t="s">
        <v>359</v>
      </c>
      <c r="I1124" t="s">
        <v>191</v>
      </c>
      <c r="J1124">
        <v>12</v>
      </c>
      <c r="K1124">
        <v>874.48129918358904</v>
      </c>
      <c r="Z1124"/>
    </row>
    <row r="1125" spans="1:26" x14ac:dyDescent="0.25">
      <c r="A1125" s="159" t="str">
        <f t="shared" si="52"/>
        <v>LB-Central San Jose-Cupertino and Saratoga-High school</v>
      </c>
      <c r="B1125">
        <v>11</v>
      </c>
      <c r="C1125" t="str">
        <f t="shared" si="53"/>
        <v>Central San Jose</v>
      </c>
      <c r="D1125">
        <v>10</v>
      </c>
      <c r="E1125" t="str">
        <f t="shared" si="53"/>
        <v>Cupertino and Saratoga</v>
      </c>
      <c r="F1125" t="s">
        <v>326</v>
      </c>
      <c r="G1125">
        <f t="shared" si="51"/>
        <v>3</v>
      </c>
      <c r="H1125" t="s">
        <v>359</v>
      </c>
      <c r="I1125" t="s">
        <v>191</v>
      </c>
      <c r="J1125">
        <v>15</v>
      </c>
      <c r="K1125">
        <v>939.70159611380996</v>
      </c>
      <c r="Z1125"/>
    </row>
    <row r="1126" spans="1:26" x14ac:dyDescent="0.25">
      <c r="A1126" s="159" t="str">
        <f t="shared" si="52"/>
        <v>LB-Central San Jose-Cupertino and Saratoga-Missing</v>
      </c>
      <c r="B1126">
        <v>11</v>
      </c>
      <c r="C1126" t="str">
        <f t="shared" si="53"/>
        <v>Central San Jose</v>
      </c>
      <c r="D1126">
        <v>10</v>
      </c>
      <c r="E1126" t="str">
        <f t="shared" si="53"/>
        <v>Cupertino and Saratoga</v>
      </c>
      <c r="F1126" t="s">
        <v>327</v>
      </c>
      <c r="G1126">
        <f t="shared" si="51"/>
        <v>0</v>
      </c>
      <c r="H1126" t="s">
        <v>359</v>
      </c>
      <c r="I1126" t="s">
        <v>191</v>
      </c>
      <c r="J1126">
        <v>6</v>
      </c>
      <c r="K1126">
        <v>375.88063844552403</v>
      </c>
      <c r="Z1126"/>
    </row>
    <row r="1127" spans="1:26" x14ac:dyDescent="0.25">
      <c r="A1127" s="159" t="str">
        <f t="shared" si="52"/>
        <v>LR-Central San Jose-Cupertino and Saratoga-Other maintenance</v>
      </c>
      <c r="B1127">
        <v>11</v>
      </c>
      <c r="C1127" t="str">
        <f t="shared" si="53"/>
        <v>Central San Jose</v>
      </c>
      <c r="D1127">
        <v>10</v>
      </c>
      <c r="E1127" t="str">
        <f t="shared" si="53"/>
        <v>Cupertino and Saratoga</v>
      </c>
      <c r="F1127" t="s">
        <v>325</v>
      </c>
      <c r="G1127">
        <f t="shared" si="51"/>
        <v>4</v>
      </c>
      <c r="H1127" t="s">
        <v>353</v>
      </c>
      <c r="I1127" t="s">
        <v>194</v>
      </c>
      <c r="J1127">
        <v>1</v>
      </c>
      <c r="K1127">
        <v>185.366795366795</v>
      </c>
      <c r="Z1127"/>
    </row>
    <row r="1128" spans="1:26" x14ac:dyDescent="0.25">
      <c r="A1128" s="159" t="str">
        <f t="shared" si="52"/>
        <v>LB-Central San Jose-Cupertino and Saratoga-Other maintenance</v>
      </c>
      <c r="B1128">
        <v>11</v>
      </c>
      <c r="C1128" t="str">
        <f t="shared" si="53"/>
        <v>Central San Jose</v>
      </c>
      <c r="D1128">
        <v>10</v>
      </c>
      <c r="E1128" t="str">
        <f t="shared" si="53"/>
        <v>Cupertino and Saratoga</v>
      </c>
      <c r="F1128" t="s">
        <v>325</v>
      </c>
      <c r="G1128">
        <f t="shared" si="51"/>
        <v>4</v>
      </c>
      <c r="H1128" t="s">
        <v>359</v>
      </c>
      <c r="I1128" t="s">
        <v>191</v>
      </c>
      <c r="J1128">
        <v>7</v>
      </c>
      <c r="K1128">
        <v>561.24743381231895</v>
      </c>
      <c r="Z1128"/>
    </row>
    <row r="1129" spans="1:26" x14ac:dyDescent="0.25">
      <c r="A1129" s="159" t="str">
        <f t="shared" si="52"/>
        <v>LB-Central San Jose-Cupertino and Saratoga-Shopping</v>
      </c>
      <c r="B1129">
        <v>11</v>
      </c>
      <c r="C1129" t="str">
        <f t="shared" si="53"/>
        <v>Central San Jose</v>
      </c>
      <c r="D1129">
        <v>10</v>
      </c>
      <c r="E1129" t="str">
        <f t="shared" si="53"/>
        <v>Cupertino and Saratoga</v>
      </c>
      <c r="F1129" t="s">
        <v>106</v>
      </c>
      <c r="G1129">
        <f t="shared" si="51"/>
        <v>4</v>
      </c>
      <c r="H1129" t="s">
        <v>359</v>
      </c>
      <c r="I1129" t="s">
        <v>191</v>
      </c>
      <c r="J1129">
        <v>2</v>
      </c>
      <c r="K1129">
        <v>248.01356844104899</v>
      </c>
      <c r="Z1129"/>
    </row>
    <row r="1130" spans="1:26" x14ac:dyDescent="0.25">
      <c r="A1130" s="159" t="str">
        <f t="shared" si="52"/>
        <v>LB-Central San Jose-Cupertino and Saratoga-Social recreation</v>
      </c>
      <c r="B1130">
        <v>11</v>
      </c>
      <c r="C1130" t="str">
        <f t="shared" si="53"/>
        <v>Central San Jose</v>
      </c>
      <c r="D1130">
        <v>10</v>
      </c>
      <c r="E1130" t="str">
        <f t="shared" si="53"/>
        <v>Cupertino and Saratoga</v>
      </c>
      <c r="F1130" t="s">
        <v>324</v>
      </c>
      <c r="G1130">
        <f t="shared" si="51"/>
        <v>5</v>
      </c>
      <c r="H1130" t="s">
        <v>359</v>
      </c>
      <c r="I1130" t="s">
        <v>191</v>
      </c>
      <c r="J1130">
        <v>1</v>
      </c>
      <c r="K1130">
        <v>185.366795366795</v>
      </c>
      <c r="Z1130"/>
    </row>
    <row r="1131" spans="1:26" x14ac:dyDescent="0.25">
      <c r="A1131" s="159" t="str">
        <f t="shared" si="52"/>
        <v>LR-Central San Jose-Cupertino and Saratoga-Work</v>
      </c>
      <c r="B1131">
        <v>11</v>
      </c>
      <c r="C1131" t="str">
        <f t="shared" si="53"/>
        <v>Central San Jose</v>
      </c>
      <c r="D1131">
        <v>10</v>
      </c>
      <c r="E1131" t="str">
        <f t="shared" si="53"/>
        <v>Cupertino and Saratoga</v>
      </c>
      <c r="F1131" t="s">
        <v>30</v>
      </c>
      <c r="G1131">
        <f t="shared" si="51"/>
        <v>1</v>
      </c>
      <c r="H1131" t="s">
        <v>353</v>
      </c>
      <c r="I1131" t="s">
        <v>194</v>
      </c>
      <c r="J1131">
        <v>4</v>
      </c>
      <c r="K1131">
        <v>250.587092297016</v>
      </c>
      <c r="Z1131"/>
    </row>
    <row r="1132" spans="1:26" x14ac:dyDescent="0.25">
      <c r="A1132" s="159" t="str">
        <f t="shared" si="52"/>
        <v>LB-Central San Jose-Cupertino and Saratoga-Work</v>
      </c>
      <c r="B1132">
        <v>11</v>
      </c>
      <c r="C1132" t="str">
        <f t="shared" si="53"/>
        <v>Central San Jose</v>
      </c>
      <c r="D1132">
        <v>10</v>
      </c>
      <c r="E1132" t="str">
        <f t="shared" si="53"/>
        <v>Cupertino and Saratoga</v>
      </c>
      <c r="F1132" t="s">
        <v>30</v>
      </c>
      <c r="G1132">
        <f t="shared" si="51"/>
        <v>1</v>
      </c>
      <c r="H1132" t="s">
        <v>359</v>
      </c>
      <c r="I1132" t="s">
        <v>191</v>
      </c>
      <c r="J1132">
        <v>11</v>
      </c>
      <c r="K1132">
        <v>934.55454840187599</v>
      </c>
      <c r="Z1132"/>
    </row>
    <row r="1133" spans="1:26" x14ac:dyDescent="0.25">
      <c r="A1133" s="159" t="str">
        <f t="shared" si="52"/>
        <v>LR-Central San Jose-Central San Jose-High school</v>
      </c>
      <c r="B1133">
        <v>11</v>
      </c>
      <c r="C1133" t="str">
        <f t="shared" si="53"/>
        <v>Central San Jose</v>
      </c>
      <c r="D1133">
        <v>11</v>
      </c>
      <c r="E1133" t="str">
        <f t="shared" si="53"/>
        <v>Central San Jose</v>
      </c>
      <c r="F1133" t="s">
        <v>326</v>
      </c>
      <c r="G1133">
        <f t="shared" si="51"/>
        <v>3</v>
      </c>
      <c r="H1133" t="s">
        <v>353</v>
      </c>
      <c r="I1133" t="s">
        <v>194</v>
      </c>
      <c r="J1133">
        <v>4</v>
      </c>
      <c r="K1133">
        <v>618.74715917463902</v>
      </c>
      <c r="Z1133"/>
    </row>
    <row r="1134" spans="1:26" x14ac:dyDescent="0.25">
      <c r="A1134" s="159" t="str">
        <f t="shared" si="52"/>
        <v>LB-Central San Jose-Central San Jose-High school</v>
      </c>
      <c r="B1134">
        <v>11</v>
      </c>
      <c r="C1134" t="str">
        <f t="shared" si="53"/>
        <v>Central San Jose</v>
      </c>
      <c r="D1134">
        <v>11</v>
      </c>
      <c r="E1134" t="str">
        <f t="shared" si="53"/>
        <v>Central San Jose</v>
      </c>
      <c r="F1134" t="s">
        <v>326</v>
      </c>
      <c r="G1134">
        <f t="shared" si="51"/>
        <v>3</v>
      </c>
      <c r="H1134" t="s">
        <v>359</v>
      </c>
      <c r="I1134" t="s">
        <v>191</v>
      </c>
      <c r="J1134">
        <v>36</v>
      </c>
      <c r="K1134">
        <v>3114.32398672093</v>
      </c>
      <c r="Z1134"/>
    </row>
    <row r="1135" spans="1:26" x14ac:dyDescent="0.25">
      <c r="A1135" s="159" t="str">
        <f t="shared" si="52"/>
        <v>CR-Central San Jose-Central San Jose-Missing</v>
      </c>
      <c r="B1135">
        <v>11</v>
      </c>
      <c r="C1135" t="str">
        <f t="shared" si="53"/>
        <v>Central San Jose</v>
      </c>
      <c r="D1135">
        <v>11</v>
      </c>
      <c r="E1135" t="str">
        <f t="shared" si="53"/>
        <v>Central San Jose</v>
      </c>
      <c r="F1135" t="s">
        <v>327</v>
      </c>
      <c r="G1135">
        <f t="shared" si="51"/>
        <v>0</v>
      </c>
      <c r="H1135" t="s">
        <v>125</v>
      </c>
      <c r="I1135" t="s">
        <v>178</v>
      </c>
      <c r="J1135">
        <v>1</v>
      </c>
      <c r="K1135">
        <v>23.4305084745763</v>
      </c>
      <c r="Z1135"/>
    </row>
    <row r="1136" spans="1:26" x14ac:dyDescent="0.25">
      <c r="A1136" s="159" t="str">
        <f t="shared" si="52"/>
        <v>LR-Central San Jose-Central San Jose-Missing</v>
      </c>
      <c r="B1136">
        <v>11</v>
      </c>
      <c r="C1136" t="str">
        <f t="shared" si="53"/>
        <v>Central San Jose</v>
      </c>
      <c r="D1136">
        <v>11</v>
      </c>
      <c r="E1136" t="str">
        <f t="shared" si="53"/>
        <v>Central San Jose</v>
      </c>
      <c r="F1136" t="s">
        <v>327</v>
      </c>
      <c r="G1136">
        <f t="shared" si="51"/>
        <v>0</v>
      </c>
      <c r="H1136" t="s">
        <v>353</v>
      </c>
      <c r="I1136" t="s">
        <v>194</v>
      </c>
      <c r="J1136">
        <v>2</v>
      </c>
      <c r="K1136">
        <v>125.293546148508</v>
      </c>
      <c r="Z1136"/>
    </row>
    <row r="1137" spans="1:26" x14ac:dyDescent="0.25">
      <c r="A1137" s="159" t="str">
        <f t="shared" si="52"/>
        <v>LB-Central San Jose-Central San Jose-Missing</v>
      </c>
      <c r="B1137">
        <v>11</v>
      </c>
      <c r="C1137" t="str">
        <f t="shared" si="53"/>
        <v>Central San Jose</v>
      </c>
      <c r="D1137">
        <v>11</v>
      </c>
      <c r="E1137" t="str">
        <f t="shared" si="53"/>
        <v>Central San Jose</v>
      </c>
      <c r="F1137" t="s">
        <v>327</v>
      </c>
      <c r="G1137">
        <f t="shared" si="51"/>
        <v>0</v>
      </c>
      <c r="H1137" t="s">
        <v>359</v>
      </c>
      <c r="I1137" t="s">
        <v>191</v>
      </c>
      <c r="J1137">
        <v>26</v>
      </c>
      <c r="K1137">
        <v>2733.2963005634701</v>
      </c>
      <c r="Z1137"/>
    </row>
    <row r="1138" spans="1:26" x14ac:dyDescent="0.25">
      <c r="A1138" s="159" t="str">
        <f t="shared" si="52"/>
        <v>CR-Central San Jose-Central San Jose-Other maintenance</v>
      </c>
      <c r="B1138">
        <v>11</v>
      </c>
      <c r="C1138" t="str">
        <f t="shared" si="53"/>
        <v>Central San Jose</v>
      </c>
      <c r="D1138">
        <v>11</v>
      </c>
      <c r="E1138" t="str">
        <f t="shared" si="53"/>
        <v>Central San Jose</v>
      </c>
      <c r="F1138" t="s">
        <v>325</v>
      </c>
      <c r="G1138">
        <f t="shared" si="51"/>
        <v>4</v>
      </c>
      <c r="H1138" t="s">
        <v>125</v>
      </c>
      <c r="I1138" t="s">
        <v>178</v>
      </c>
      <c r="J1138">
        <v>2</v>
      </c>
      <c r="K1138">
        <v>50.2939068100358</v>
      </c>
      <c r="Z1138"/>
    </row>
    <row r="1139" spans="1:26" x14ac:dyDescent="0.25">
      <c r="A1139" s="159" t="str">
        <f t="shared" si="52"/>
        <v>LR-Central San Jose-Central San Jose-Other maintenance</v>
      </c>
      <c r="B1139">
        <v>11</v>
      </c>
      <c r="C1139" t="str">
        <f t="shared" si="53"/>
        <v>Central San Jose</v>
      </c>
      <c r="D1139">
        <v>11</v>
      </c>
      <c r="E1139" t="str">
        <f t="shared" si="53"/>
        <v>Central San Jose</v>
      </c>
      <c r="F1139" t="s">
        <v>325</v>
      </c>
      <c r="G1139">
        <f t="shared" si="51"/>
        <v>4</v>
      </c>
      <c r="H1139" t="s">
        <v>353</v>
      </c>
      <c r="I1139" t="s">
        <v>194</v>
      </c>
      <c r="J1139">
        <v>8</v>
      </c>
      <c r="K1139">
        <v>623.89420688657299</v>
      </c>
      <c r="Z1139"/>
    </row>
    <row r="1140" spans="1:26" x14ac:dyDescent="0.25">
      <c r="A1140" s="159" t="str">
        <f t="shared" si="52"/>
        <v>LB-Central San Jose-Central San Jose-Other maintenance</v>
      </c>
      <c r="B1140">
        <v>11</v>
      </c>
      <c r="C1140" t="str">
        <f t="shared" si="53"/>
        <v>Central San Jose</v>
      </c>
      <c r="D1140">
        <v>11</v>
      </c>
      <c r="E1140" t="str">
        <f t="shared" si="53"/>
        <v>Central San Jose</v>
      </c>
      <c r="F1140" t="s">
        <v>325</v>
      </c>
      <c r="G1140">
        <f t="shared" si="51"/>
        <v>4</v>
      </c>
      <c r="H1140" t="s">
        <v>359</v>
      </c>
      <c r="I1140" t="s">
        <v>191</v>
      </c>
      <c r="J1140">
        <v>21</v>
      </c>
      <c r="K1140">
        <v>1749.6772527829</v>
      </c>
      <c r="Z1140"/>
    </row>
    <row r="1141" spans="1:26" x14ac:dyDescent="0.25">
      <c r="A1141" s="159" t="str">
        <f t="shared" si="52"/>
        <v>LR-Central San Jose-Central San Jose-Shopping</v>
      </c>
      <c r="B1141">
        <v>11</v>
      </c>
      <c r="C1141" t="str">
        <f t="shared" si="53"/>
        <v>Central San Jose</v>
      </c>
      <c r="D1141">
        <v>11</v>
      </c>
      <c r="E1141" t="str">
        <f t="shared" si="53"/>
        <v>Central San Jose</v>
      </c>
      <c r="F1141" t="s">
        <v>106</v>
      </c>
      <c r="G1141">
        <f t="shared" si="51"/>
        <v>4</v>
      </c>
      <c r="H1141" t="s">
        <v>353</v>
      </c>
      <c r="I1141" t="s">
        <v>194</v>
      </c>
      <c r="J1141">
        <v>1</v>
      </c>
      <c r="K1141">
        <v>185.366795366795</v>
      </c>
      <c r="Z1141"/>
    </row>
    <row r="1142" spans="1:26" x14ac:dyDescent="0.25">
      <c r="A1142" s="159" t="str">
        <f t="shared" si="52"/>
        <v>LB-Central San Jose-Central San Jose-Shopping</v>
      </c>
      <c r="B1142">
        <v>11</v>
      </c>
      <c r="C1142" t="str">
        <f t="shared" si="53"/>
        <v>Central San Jose</v>
      </c>
      <c r="D1142">
        <v>11</v>
      </c>
      <c r="E1142" t="str">
        <f t="shared" si="53"/>
        <v>Central San Jose</v>
      </c>
      <c r="F1142" t="s">
        <v>106</v>
      </c>
      <c r="G1142">
        <f t="shared" si="51"/>
        <v>4</v>
      </c>
      <c r="H1142" t="s">
        <v>359</v>
      </c>
      <c r="I1142" t="s">
        <v>191</v>
      </c>
      <c r="J1142">
        <v>13</v>
      </c>
      <c r="K1142">
        <v>1059.84809455038</v>
      </c>
      <c r="Z1142"/>
    </row>
    <row r="1143" spans="1:26" x14ac:dyDescent="0.25">
      <c r="A1143" s="159" t="str">
        <f t="shared" si="52"/>
        <v>CR-Central San Jose-Central San Jose-Social recreation</v>
      </c>
      <c r="B1143">
        <v>11</v>
      </c>
      <c r="C1143" t="str">
        <f t="shared" si="53"/>
        <v>Central San Jose</v>
      </c>
      <c r="D1143">
        <v>11</v>
      </c>
      <c r="E1143" t="str">
        <f t="shared" si="53"/>
        <v>Central San Jose</v>
      </c>
      <c r="F1143" t="s">
        <v>324</v>
      </c>
      <c r="G1143">
        <f t="shared" si="51"/>
        <v>5</v>
      </c>
      <c r="H1143" t="s">
        <v>125</v>
      </c>
      <c r="I1143" t="s">
        <v>178</v>
      </c>
      <c r="J1143">
        <v>1</v>
      </c>
      <c r="K1143">
        <v>25.1469534050179</v>
      </c>
      <c r="Z1143"/>
    </row>
    <row r="1144" spans="1:26" x14ac:dyDescent="0.25">
      <c r="A1144" s="159" t="str">
        <f t="shared" si="52"/>
        <v>LR-Central San Jose-Central San Jose-Social recreation</v>
      </c>
      <c r="B1144">
        <v>11</v>
      </c>
      <c r="C1144" t="str">
        <f t="shared" si="53"/>
        <v>Central San Jose</v>
      </c>
      <c r="D1144">
        <v>11</v>
      </c>
      <c r="E1144" t="str">
        <f t="shared" si="53"/>
        <v>Central San Jose</v>
      </c>
      <c r="F1144" t="s">
        <v>324</v>
      </c>
      <c r="G1144">
        <f t="shared" si="51"/>
        <v>5</v>
      </c>
      <c r="H1144" t="s">
        <v>353</v>
      </c>
      <c r="I1144" t="s">
        <v>194</v>
      </c>
      <c r="J1144">
        <v>5</v>
      </c>
      <c r="K1144">
        <v>659.43546931534502</v>
      </c>
      <c r="Z1144"/>
    </row>
    <row r="1145" spans="1:26" x14ac:dyDescent="0.25">
      <c r="A1145" s="159" t="str">
        <f t="shared" si="52"/>
        <v>LB-Central San Jose-Central San Jose-Social recreation</v>
      </c>
      <c r="B1145">
        <v>11</v>
      </c>
      <c r="C1145" t="str">
        <f t="shared" si="53"/>
        <v>Central San Jose</v>
      </c>
      <c r="D1145">
        <v>11</v>
      </c>
      <c r="E1145" t="str">
        <f t="shared" si="53"/>
        <v>Central San Jose</v>
      </c>
      <c r="F1145" t="s">
        <v>324</v>
      </c>
      <c r="G1145">
        <f t="shared" si="51"/>
        <v>5</v>
      </c>
      <c r="H1145" t="s">
        <v>359</v>
      </c>
      <c r="I1145" t="s">
        <v>191</v>
      </c>
      <c r="J1145">
        <v>10</v>
      </c>
      <c r="K1145">
        <v>994.62779762016203</v>
      </c>
      <c r="Z1145"/>
    </row>
    <row r="1146" spans="1:26" x14ac:dyDescent="0.25">
      <c r="A1146" s="159" t="str">
        <f t="shared" si="52"/>
        <v>HR-Central San Jose-Central San Jose-Work</v>
      </c>
      <c r="B1146">
        <v>11</v>
      </c>
      <c r="C1146" t="str">
        <f t="shared" si="53"/>
        <v>Central San Jose</v>
      </c>
      <c r="D1146">
        <v>11</v>
      </c>
      <c r="E1146" t="str">
        <f t="shared" si="53"/>
        <v>Central San Jose</v>
      </c>
      <c r="F1146" t="s">
        <v>30</v>
      </c>
      <c r="G1146">
        <f t="shared" si="51"/>
        <v>1</v>
      </c>
      <c r="H1146" t="s">
        <v>124</v>
      </c>
      <c r="I1146" t="s">
        <v>188</v>
      </c>
      <c r="J1146">
        <v>2</v>
      </c>
      <c r="K1146">
        <v>191.64419889502699</v>
      </c>
      <c r="Z1146"/>
    </row>
    <row r="1147" spans="1:26" x14ac:dyDescent="0.25">
      <c r="A1147" s="159" t="str">
        <f t="shared" si="52"/>
        <v>LR-Central San Jose-Central San Jose-Work</v>
      </c>
      <c r="B1147">
        <v>11</v>
      </c>
      <c r="C1147" t="str">
        <f t="shared" si="53"/>
        <v>Central San Jose</v>
      </c>
      <c r="D1147">
        <v>11</v>
      </c>
      <c r="E1147" t="str">
        <f t="shared" si="53"/>
        <v>Central San Jose</v>
      </c>
      <c r="F1147" t="s">
        <v>30</v>
      </c>
      <c r="G1147">
        <f t="shared" si="51"/>
        <v>1</v>
      </c>
      <c r="H1147" t="s">
        <v>353</v>
      </c>
      <c r="I1147" t="s">
        <v>194</v>
      </c>
      <c r="J1147">
        <v>20</v>
      </c>
      <c r="K1147">
        <v>1375.65548377762</v>
      </c>
      <c r="Z1147"/>
    </row>
    <row r="1148" spans="1:26" x14ac:dyDescent="0.25">
      <c r="A1148" s="159" t="str">
        <f t="shared" si="52"/>
        <v>LB-Central San Jose-Central San Jose-Work</v>
      </c>
      <c r="B1148">
        <v>11</v>
      </c>
      <c r="C1148" t="str">
        <f t="shared" si="53"/>
        <v>Central San Jose</v>
      </c>
      <c r="D1148">
        <v>11</v>
      </c>
      <c r="E1148" t="str">
        <f t="shared" si="53"/>
        <v>Central San Jose</v>
      </c>
      <c r="F1148" t="s">
        <v>30</v>
      </c>
      <c r="G1148">
        <f t="shared" si="51"/>
        <v>1</v>
      </c>
      <c r="H1148" t="s">
        <v>359</v>
      </c>
      <c r="I1148" t="s">
        <v>191</v>
      </c>
      <c r="J1148">
        <v>53</v>
      </c>
      <c r="K1148">
        <v>3811.1590621056198</v>
      </c>
      <c r="Z1148"/>
    </row>
    <row r="1149" spans="1:26" x14ac:dyDescent="0.25">
      <c r="A1149" s="159" t="str">
        <f t="shared" si="52"/>
        <v>CR-Central San Jose-Milpitas and East San Jose-High school</v>
      </c>
      <c r="B1149">
        <v>11</v>
      </c>
      <c r="C1149" t="str">
        <f t="shared" si="53"/>
        <v>Central San Jose</v>
      </c>
      <c r="D1149">
        <v>12</v>
      </c>
      <c r="E1149" t="str">
        <f t="shared" si="53"/>
        <v>Milpitas and East San Jose</v>
      </c>
      <c r="F1149" t="s">
        <v>326</v>
      </c>
      <c r="G1149">
        <f t="shared" si="51"/>
        <v>3</v>
      </c>
      <c r="H1149" t="s">
        <v>125</v>
      </c>
      <c r="I1149" t="s">
        <v>178</v>
      </c>
      <c r="J1149">
        <v>1</v>
      </c>
      <c r="K1149">
        <v>23.4305084745763</v>
      </c>
      <c r="Z1149"/>
    </row>
    <row r="1150" spans="1:26" x14ac:dyDescent="0.25">
      <c r="A1150" s="159" t="str">
        <f t="shared" si="52"/>
        <v>LR-Central San Jose-Milpitas and East San Jose-High school</v>
      </c>
      <c r="B1150">
        <v>11</v>
      </c>
      <c r="C1150" t="str">
        <f t="shared" si="53"/>
        <v>Central San Jose</v>
      </c>
      <c r="D1150">
        <v>12</v>
      </c>
      <c r="E1150" t="str">
        <f t="shared" si="53"/>
        <v>Milpitas and East San Jose</v>
      </c>
      <c r="F1150" t="s">
        <v>326</v>
      </c>
      <c r="G1150">
        <f t="shared" si="51"/>
        <v>3</v>
      </c>
      <c r="H1150" t="s">
        <v>353</v>
      </c>
      <c r="I1150" t="s">
        <v>194</v>
      </c>
      <c r="J1150">
        <v>1</v>
      </c>
      <c r="K1150">
        <v>185.366795366795</v>
      </c>
      <c r="Z1150"/>
    </row>
    <row r="1151" spans="1:26" x14ac:dyDescent="0.25">
      <c r="A1151" s="159" t="str">
        <f t="shared" si="52"/>
        <v>LB-Central San Jose-Milpitas and East San Jose-High school</v>
      </c>
      <c r="B1151">
        <v>11</v>
      </c>
      <c r="C1151" t="str">
        <f t="shared" si="53"/>
        <v>Central San Jose</v>
      </c>
      <c r="D1151">
        <v>12</v>
      </c>
      <c r="E1151" t="str">
        <f t="shared" si="53"/>
        <v>Milpitas and East San Jose</v>
      </c>
      <c r="F1151" t="s">
        <v>326</v>
      </c>
      <c r="G1151">
        <f t="shared" si="51"/>
        <v>3</v>
      </c>
      <c r="H1151" t="s">
        <v>359</v>
      </c>
      <c r="I1151" t="s">
        <v>191</v>
      </c>
      <c r="J1151">
        <v>7</v>
      </c>
      <c r="K1151">
        <v>438.52741151977801</v>
      </c>
      <c r="Z1151"/>
    </row>
    <row r="1152" spans="1:26" x14ac:dyDescent="0.25">
      <c r="A1152" s="159" t="str">
        <f t="shared" si="52"/>
        <v>LR-Central San Jose-Milpitas and East San Jose-Missing</v>
      </c>
      <c r="B1152">
        <v>11</v>
      </c>
      <c r="C1152" t="str">
        <f t="shared" si="53"/>
        <v>Central San Jose</v>
      </c>
      <c r="D1152">
        <v>12</v>
      </c>
      <c r="E1152" t="str">
        <f t="shared" si="53"/>
        <v>Milpitas and East San Jose</v>
      </c>
      <c r="F1152" t="s">
        <v>327</v>
      </c>
      <c r="G1152">
        <f t="shared" si="51"/>
        <v>0</v>
      </c>
      <c r="H1152" t="s">
        <v>353</v>
      </c>
      <c r="I1152" t="s">
        <v>194</v>
      </c>
      <c r="J1152">
        <v>1</v>
      </c>
      <c r="K1152">
        <v>185.366795366795</v>
      </c>
      <c r="Z1152"/>
    </row>
    <row r="1153" spans="1:26" x14ac:dyDescent="0.25">
      <c r="A1153" s="159" t="str">
        <f t="shared" si="52"/>
        <v>LB-Central San Jose-Milpitas and East San Jose-Missing</v>
      </c>
      <c r="B1153">
        <v>11</v>
      </c>
      <c r="C1153" t="str">
        <f t="shared" si="53"/>
        <v>Central San Jose</v>
      </c>
      <c r="D1153">
        <v>12</v>
      </c>
      <c r="E1153" t="str">
        <f t="shared" si="53"/>
        <v>Milpitas and East San Jose</v>
      </c>
      <c r="F1153" t="s">
        <v>327</v>
      </c>
      <c r="G1153">
        <f t="shared" si="51"/>
        <v>0</v>
      </c>
      <c r="H1153" t="s">
        <v>359</v>
      </c>
      <c r="I1153" t="s">
        <v>191</v>
      </c>
      <c r="J1153">
        <v>5</v>
      </c>
      <c r="K1153">
        <v>435.95388766381097</v>
      </c>
      <c r="Z1153"/>
    </row>
    <row r="1154" spans="1:26" x14ac:dyDescent="0.25">
      <c r="A1154" s="159" t="str">
        <f t="shared" si="52"/>
        <v>LR-Central San Jose-Milpitas and East San Jose-Other maintenance</v>
      </c>
      <c r="B1154">
        <v>11</v>
      </c>
      <c r="C1154" t="str">
        <f t="shared" si="53"/>
        <v>Central San Jose</v>
      </c>
      <c r="D1154">
        <v>12</v>
      </c>
      <c r="E1154" t="str">
        <f t="shared" si="53"/>
        <v>Milpitas and East San Jose</v>
      </c>
      <c r="F1154" t="s">
        <v>325</v>
      </c>
      <c r="G1154">
        <f t="shared" ref="G1154:G1217" si="54">VLOOKUP(F1154,$V$2:$X$10, 3,FALSE)</f>
        <v>4</v>
      </c>
      <c r="H1154" t="s">
        <v>353</v>
      </c>
      <c r="I1154" t="s">
        <v>194</v>
      </c>
      <c r="J1154">
        <v>1</v>
      </c>
      <c r="K1154">
        <v>185.366795366795</v>
      </c>
      <c r="Z1154"/>
    </row>
    <row r="1155" spans="1:26" x14ac:dyDescent="0.25">
      <c r="A1155" s="159" t="str">
        <f t="shared" ref="A1155:A1218" si="55" xml:space="preserve"> CONCATENATE(I1155,"-",C1155, "-",E1155, "-",F1155,)</f>
        <v>LB-Central San Jose-Milpitas and East San Jose-Other maintenance</v>
      </c>
      <c r="B1155">
        <v>11</v>
      </c>
      <c r="C1155" t="str">
        <f t="shared" ref="C1155:E1218" si="56">VLOOKUP(B1155,$S$2:$T$35,2,FALSE)</f>
        <v>Central San Jose</v>
      </c>
      <c r="D1155">
        <v>12</v>
      </c>
      <c r="E1155" t="str">
        <f t="shared" si="56"/>
        <v>Milpitas and East San Jose</v>
      </c>
      <c r="F1155" t="s">
        <v>325</v>
      </c>
      <c r="G1155">
        <f t="shared" si="54"/>
        <v>4</v>
      </c>
      <c r="H1155" t="s">
        <v>359</v>
      </c>
      <c r="I1155" t="s">
        <v>191</v>
      </c>
      <c r="J1155">
        <v>11</v>
      </c>
      <c r="K1155">
        <v>1179.99459298695</v>
      </c>
      <c r="Z1155"/>
    </row>
    <row r="1156" spans="1:26" x14ac:dyDescent="0.25">
      <c r="A1156" s="159" t="str">
        <f t="shared" si="55"/>
        <v>LR-Central San Jose-Milpitas and East San Jose-Shopping</v>
      </c>
      <c r="B1156">
        <v>11</v>
      </c>
      <c r="C1156" t="str">
        <f t="shared" si="56"/>
        <v>Central San Jose</v>
      </c>
      <c r="D1156">
        <v>12</v>
      </c>
      <c r="E1156" t="str">
        <f t="shared" si="56"/>
        <v>Milpitas and East San Jose</v>
      </c>
      <c r="F1156" t="s">
        <v>106</v>
      </c>
      <c r="G1156">
        <f t="shared" si="54"/>
        <v>4</v>
      </c>
      <c r="H1156" t="s">
        <v>353</v>
      </c>
      <c r="I1156" t="s">
        <v>194</v>
      </c>
      <c r="J1156">
        <v>1</v>
      </c>
      <c r="K1156">
        <v>62.646773074254</v>
      </c>
      <c r="Z1156"/>
    </row>
    <row r="1157" spans="1:26" x14ac:dyDescent="0.25">
      <c r="A1157" s="159" t="str">
        <f t="shared" si="55"/>
        <v>LB-Central San Jose-Milpitas and East San Jose-Shopping</v>
      </c>
      <c r="B1157">
        <v>11</v>
      </c>
      <c r="C1157" t="str">
        <f t="shared" si="56"/>
        <v>Central San Jose</v>
      </c>
      <c r="D1157">
        <v>12</v>
      </c>
      <c r="E1157" t="str">
        <f t="shared" si="56"/>
        <v>Milpitas and East San Jose</v>
      </c>
      <c r="F1157" t="s">
        <v>106</v>
      </c>
      <c r="G1157">
        <f t="shared" si="54"/>
        <v>4</v>
      </c>
      <c r="H1157" t="s">
        <v>359</v>
      </c>
      <c r="I1157" t="s">
        <v>191</v>
      </c>
      <c r="J1157">
        <v>3</v>
      </c>
      <c r="K1157">
        <v>310.660341515303</v>
      </c>
      <c r="Z1157"/>
    </row>
    <row r="1158" spans="1:26" x14ac:dyDescent="0.25">
      <c r="A1158" s="159" t="str">
        <f t="shared" si="55"/>
        <v>LB-Central San Jose-Milpitas and East San Jose-Social recreation</v>
      </c>
      <c r="B1158">
        <v>11</v>
      </c>
      <c r="C1158" t="str">
        <f t="shared" si="56"/>
        <v>Central San Jose</v>
      </c>
      <c r="D1158">
        <v>12</v>
      </c>
      <c r="E1158" t="str">
        <f t="shared" si="56"/>
        <v>Milpitas and East San Jose</v>
      </c>
      <c r="F1158" t="s">
        <v>324</v>
      </c>
      <c r="G1158">
        <f t="shared" si="54"/>
        <v>5</v>
      </c>
      <c r="H1158" t="s">
        <v>359</v>
      </c>
      <c r="I1158" t="s">
        <v>191</v>
      </c>
      <c r="J1158">
        <v>5</v>
      </c>
      <c r="K1158">
        <v>558.67390995635196</v>
      </c>
      <c r="Z1158"/>
    </row>
    <row r="1159" spans="1:26" x14ac:dyDescent="0.25">
      <c r="A1159" s="159" t="str">
        <f t="shared" si="55"/>
        <v>LR-Central San Jose-Milpitas and East San Jose-Work</v>
      </c>
      <c r="B1159">
        <v>11</v>
      </c>
      <c r="C1159" t="str">
        <f t="shared" si="56"/>
        <v>Central San Jose</v>
      </c>
      <c r="D1159">
        <v>12</v>
      </c>
      <c r="E1159" t="str">
        <f t="shared" si="56"/>
        <v>Milpitas and East San Jose</v>
      </c>
      <c r="F1159" t="s">
        <v>30</v>
      </c>
      <c r="G1159">
        <f t="shared" si="54"/>
        <v>1</v>
      </c>
      <c r="H1159" t="s">
        <v>353</v>
      </c>
      <c r="I1159" t="s">
        <v>194</v>
      </c>
      <c r="J1159">
        <v>3</v>
      </c>
      <c r="K1159">
        <v>187.94031922276201</v>
      </c>
      <c r="Z1159"/>
    </row>
    <row r="1160" spans="1:26" x14ac:dyDescent="0.25">
      <c r="A1160" s="159" t="str">
        <f t="shared" si="55"/>
        <v>LB-Central San Jose-Milpitas and East San Jose-Work</v>
      </c>
      <c r="B1160">
        <v>11</v>
      </c>
      <c r="C1160" t="str">
        <f t="shared" si="56"/>
        <v>Central San Jose</v>
      </c>
      <c r="D1160">
        <v>12</v>
      </c>
      <c r="E1160" t="str">
        <f t="shared" si="56"/>
        <v>Milpitas and East San Jose</v>
      </c>
      <c r="F1160" t="s">
        <v>30</v>
      </c>
      <c r="G1160">
        <f t="shared" si="54"/>
        <v>1</v>
      </c>
      <c r="H1160" t="s">
        <v>359</v>
      </c>
      <c r="I1160" t="s">
        <v>191</v>
      </c>
      <c r="J1160">
        <v>18</v>
      </c>
      <c r="K1160">
        <v>1250.3619376291099</v>
      </c>
      <c r="Z1160"/>
    </row>
    <row r="1161" spans="1:26" x14ac:dyDescent="0.25">
      <c r="A1161" s="159" t="str">
        <f t="shared" si="55"/>
        <v>LB-Central San Jose-South San Jose-High school</v>
      </c>
      <c r="B1161">
        <v>11</v>
      </c>
      <c r="C1161" t="str">
        <f t="shared" si="56"/>
        <v>Central San Jose</v>
      </c>
      <c r="D1161">
        <v>13</v>
      </c>
      <c r="E1161" t="str">
        <f t="shared" si="56"/>
        <v>South San Jose</v>
      </c>
      <c r="F1161" t="s">
        <v>326</v>
      </c>
      <c r="G1161">
        <f t="shared" si="54"/>
        <v>3</v>
      </c>
      <c r="H1161" t="s">
        <v>359</v>
      </c>
      <c r="I1161" t="s">
        <v>191</v>
      </c>
      <c r="J1161">
        <v>1</v>
      </c>
      <c r="K1161">
        <v>62.646773074254</v>
      </c>
      <c r="Z1161"/>
    </row>
    <row r="1162" spans="1:26" x14ac:dyDescent="0.25">
      <c r="A1162" s="159" t="str">
        <f t="shared" si="55"/>
        <v>LB-Central San Jose-South San Jose-Missing</v>
      </c>
      <c r="B1162">
        <v>11</v>
      </c>
      <c r="C1162" t="str">
        <f t="shared" si="56"/>
        <v>Central San Jose</v>
      </c>
      <c r="D1162">
        <v>13</v>
      </c>
      <c r="E1162" t="str">
        <f t="shared" si="56"/>
        <v>South San Jose</v>
      </c>
      <c r="F1162" t="s">
        <v>327</v>
      </c>
      <c r="G1162">
        <f t="shared" si="54"/>
        <v>0</v>
      </c>
      <c r="H1162" t="s">
        <v>359</v>
      </c>
      <c r="I1162" t="s">
        <v>191</v>
      </c>
      <c r="J1162">
        <v>2</v>
      </c>
      <c r="K1162">
        <v>125.293546148508</v>
      </c>
      <c r="Z1162"/>
    </row>
    <row r="1163" spans="1:26" x14ac:dyDescent="0.25">
      <c r="A1163" s="159" t="str">
        <f t="shared" si="55"/>
        <v>LB-Central San Jose-South San Jose-Other maintenance</v>
      </c>
      <c r="B1163">
        <v>11</v>
      </c>
      <c r="C1163" t="str">
        <f t="shared" si="56"/>
        <v>Central San Jose</v>
      </c>
      <c r="D1163">
        <v>13</v>
      </c>
      <c r="E1163" t="str">
        <f t="shared" si="56"/>
        <v>South San Jose</v>
      </c>
      <c r="F1163" t="s">
        <v>325</v>
      </c>
      <c r="G1163">
        <f t="shared" si="54"/>
        <v>4</v>
      </c>
      <c r="H1163" t="s">
        <v>359</v>
      </c>
      <c r="I1163" t="s">
        <v>191</v>
      </c>
      <c r="J1163">
        <v>2</v>
      </c>
      <c r="K1163">
        <v>125.293546148508</v>
      </c>
      <c r="Z1163"/>
    </row>
    <row r="1164" spans="1:26" x14ac:dyDescent="0.25">
      <c r="A1164" s="159" t="str">
        <f t="shared" si="55"/>
        <v>LR-Central San Jose-South San Jose-Work</v>
      </c>
      <c r="B1164">
        <v>11</v>
      </c>
      <c r="C1164" t="str">
        <f t="shared" si="56"/>
        <v>Central San Jose</v>
      </c>
      <c r="D1164">
        <v>13</v>
      </c>
      <c r="E1164" t="str">
        <f t="shared" si="56"/>
        <v>South San Jose</v>
      </c>
      <c r="F1164" t="s">
        <v>30</v>
      </c>
      <c r="G1164">
        <f t="shared" si="54"/>
        <v>1</v>
      </c>
      <c r="H1164" t="s">
        <v>353</v>
      </c>
      <c r="I1164" t="s">
        <v>194</v>
      </c>
      <c r="J1164">
        <v>2</v>
      </c>
      <c r="K1164">
        <v>125.293546148508</v>
      </c>
      <c r="Z1164"/>
    </row>
    <row r="1165" spans="1:26" x14ac:dyDescent="0.25">
      <c r="A1165" s="159" t="str">
        <f t="shared" si="55"/>
        <v>LB-Central San Jose-South San Jose-Work</v>
      </c>
      <c r="B1165">
        <v>11</v>
      </c>
      <c r="C1165" t="str">
        <f t="shared" si="56"/>
        <v>Central San Jose</v>
      </c>
      <c r="D1165">
        <v>13</v>
      </c>
      <c r="E1165" t="str">
        <f t="shared" si="56"/>
        <v>South San Jose</v>
      </c>
      <c r="F1165" t="s">
        <v>30</v>
      </c>
      <c r="G1165">
        <f t="shared" si="54"/>
        <v>1</v>
      </c>
      <c r="H1165" t="s">
        <v>359</v>
      </c>
      <c r="I1165" t="s">
        <v>191</v>
      </c>
      <c r="J1165">
        <v>1</v>
      </c>
      <c r="K1165">
        <v>62.646773074254</v>
      </c>
      <c r="Z1165"/>
    </row>
    <row r="1166" spans="1:26" x14ac:dyDescent="0.25">
      <c r="A1166" s="159" t="str">
        <f t="shared" si="55"/>
        <v>LB-Central San Jose-Gilroy and Morgan Hill-High school</v>
      </c>
      <c r="B1166">
        <v>11</v>
      </c>
      <c r="C1166" t="str">
        <f t="shared" si="56"/>
        <v>Central San Jose</v>
      </c>
      <c r="D1166">
        <v>14</v>
      </c>
      <c r="E1166" t="str">
        <f t="shared" si="56"/>
        <v>Gilroy and Morgan Hill</v>
      </c>
      <c r="F1166" t="s">
        <v>326</v>
      </c>
      <c r="G1166">
        <f t="shared" si="54"/>
        <v>3</v>
      </c>
      <c r="H1166" t="s">
        <v>359</v>
      </c>
      <c r="I1166" t="s">
        <v>191</v>
      </c>
      <c r="J1166">
        <v>2</v>
      </c>
      <c r="K1166">
        <v>125.293546148508</v>
      </c>
      <c r="Z1166"/>
    </row>
    <row r="1167" spans="1:26" x14ac:dyDescent="0.25">
      <c r="A1167" s="159" t="str">
        <f t="shared" si="55"/>
        <v>LB-Central San Jose-Gilroy and Morgan Hill-Missing</v>
      </c>
      <c r="B1167">
        <v>11</v>
      </c>
      <c r="C1167" t="str">
        <f t="shared" si="56"/>
        <v>Central San Jose</v>
      </c>
      <c r="D1167">
        <v>14</v>
      </c>
      <c r="E1167" t="str">
        <f t="shared" si="56"/>
        <v>Gilroy and Morgan Hill</v>
      </c>
      <c r="F1167" t="s">
        <v>327</v>
      </c>
      <c r="G1167">
        <f t="shared" si="54"/>
        <v>0</v>
      </c>
      <c r="H1167" t="s">
        <v>359</v>
      </c>
      <c r="I1167" t="s">
        <v>191</v>
      </c>
      <c r="J1167">
        <v>2</v>
      </c>
      <c r="K1167">
        <v>248.01356844104899</v>
      </c>
      <c r="Z1167"/>
    </row>
    <row r="1168" spans="1:26" x14ac:dyDescent="0.25">
      <c r="A1168" s="159" t="str">
        <f t="shared" si="55"/>
        <v>LB-Central San Jose-Gilroy and Morgan Hill-Other maintenance</v>
      </c>
      <c r="B1168">
        <v>11</v>
      </c>
      <c r="C1168" t="str">
        <f t="shared" si="56"/>
        <v>Central San Jose</v>
      </c>
      <c r="D1168">
        <v>14</v>
      </c>
      <c r="E1168" t="str">
        <f t="shared" si="56"/>
        <v>Gilroy and Morgan Hill</v>
      </c>
      <c r="F1168" t="s">
        <v>325</v>
      </c>
      <c r="G1168">
        <f t="shared" si="54"/>
        <v>4</v>
      </c>
      <c r="H1168" t="s">
        <v>359</v>
      </c>
      <c r="I1168" t="s">
        <v>191</v>
      </c>
      <c r="J1168">
        <v>1</v>
      </c>
      <c r="K1168">
        <v>62.646773074254</v>
      </c>
      <c r="Z1168"/>
    </row>
    <row r="1169" spans="1:26" x14ac:dyDescent="0.25">
      <c r="A1169" s="159" t="str">
        <f t="shared" si="55"/>
        <v>LB-Central San Jose-Gilroy and Morgan Hill-Shopping</v>
      </c>
      <c r="B1169">
        <v>11</v>
      </c>
      <c r="C1169" t="str">
        <f t="shared" si="56"/>
        <v>Central San Jose</v>
      </c>
      <c r="D1169">
        <v>14</v>
      </c>
      <c r="E1169" t="str">
        <f t="shared" si="56"/>
        <v>Gilroy and Morgan Hill</v>
      </c>
      <c r="F1169" t="s">
        <v>106</v>
      </c>
      <c r="G1169">
        <f t="shared" si="54"/>
        <v>4</v>
      </c>
      <c r="H1169" t="s">
        <v>359</v>
      </c>
      <c r="I1169" t="s">
        <v>191</v>
      </c>
      <c r="J1169">
        <v>1</v>
      </c>
      <c r="K1169">
        <v>62.646773074254</v>
      </c>
      <c r="Z1169"/>
    </row>
    <row r="1170" spans="1:26" x14ac:dyDescent="0.25">
      <c r="A1170" s="159" t="str">
        <f t="shared" si="55"/>
        <v>LB-Central San Jose-Gilroy and Morgan Hill-Work</v>
      </c>
      <c r="B1170">
        <v>11</v>
      </c>
      <c r="C1170" t="str">
        <f t="shared" si="56"/>
        <v>Central San Jose</v>
      </c>
      <c r="D1170">
        <v>14</v>
      </c>
      <c r="E1170" t="str">
        <f t="shared" si="56"/>
        <v>Gilroy and Morgan Hill</v>
      </c>
      <c r="F1170" t="s">
        <v>30</v>
      </c>
      <c r="G1170">
        <f t="shared" si="54"/>
        <v>1</v>
      </c>
      <c r="H1170" t="s">
        <v>359</v>
      </c>
      <c r="I1170" t="s">
        <v>191</v>
      </c>
      <c r="J1170">
        <v>5</v>
      </c>
      <c r="K1170">
        <v>313.23386537126999</v>
      </c>
      <c r="Z1170"/>
    </row>
    <row r="1171" spans="1:26" x14ac:dyDescent="0.25">
      <c r="A1171" s="159" t="str">
        <f t="shared" si="55"/>
        <v>HR-Central San Jose-Livermore and Pleasanton-High school</v>
      </c>
      <c r="B1171">
        <v>11</v>
      </c>
      <c r="C1171" t="str">
        <f t="shared" si="56"/>
        <v>Central San Jose</v>
      </c>
      <c r="D1171">
        <v>15</v>
      </c>
      <c r="E1171" t="str">
        <f t="shared" si="56"/>
        <v>Livermore and Pleasanton</v>
      </c>
      <c r="F1171" t="s">
        <v>326</v>
      </c>
      <c r="G1171">
        <f t="shared" si="54"/>
        <v>3</v>
      </c>
      <c r="H1171" t="s">
        <v>124</v>
      </c>
      <c r="I1171" t="s">
        <v>188</v>
      </c>
      <c r="J1171">
        <v>1</v>
      </c>
      <c r="K1171">
        <v>95.822099447513807</v>
      </c>
      <c r="Z1171"/>
    </row>
    <row r="1172" spans="1:26" x14ac:dyDescent="0.25">
      <c r="A1172" s="159" t="str">
        <f t="shared" si="55"/>
        <v>LB-Central San Jose-Livermore and Pleasanton-High school</v>
      </c>
      <c r="B1172">
        <v>11</v>
      </c>
      <c r="C1172" t="str">
        <f t="shared" si="56"/>
        <v>Central San Jose</v>
      </c>
      <c r="D1172">
        <v>15</v>
      </c>
      <c r="E1172" t="str">
        <f t="shared" si="56"/>
        <v>Livermore and Pleasanton</v>
      </c>
      <c r="F1172" t="s">
        <v>326</v>
      </c>
      <c r="G1172">
        <f t="shared" si="54"/>
        <v>3</v>
      </c>
      <c r="H1172" t="s">
        <v>359</v>
      </c>
      <c r="I1172" t="s">
        <v>191</v>
      </c>
      <c r="J1172">
        <v>1</v>
      </c>
      <c r="K1172">
        <v>62.646773074254</v>
      </c>
      <c r="Z1172"/>
    </row>
    <row r="1173" spans="1:26" x14ac:dyDescent="0.25">
      <c r="A1173" s="159" t="str">
        <f t="shared" si="55"/>
        <v>HR-Central San Jose-Livermore and Pleasanton-Social recreation</v>
      </c>
      <c r="B1173">
        <v>11</v>
      </c>
      <c r="C1173" t="str">
        <f t="shared" si="56"/>
        <v>Central San Jose</v>
      </c>
      <c r="D1173">
        <v>15</v>
      </c>
      <c r="E1173" t="str">
        <f t="shared" si="56"/>
        <v>Livermore and Pleasanton</v>
      </c>
      <c r="F1173" t="s">
        <v>324</v>
      </c>
      <c r="G1173">
        <f t="shared" si="54"/>
        <v>5</v>
      </c>
      <c r="H1173" t="s">
        <v>124</v>
      </c>
      <c r="I1173" t="s">
        <v>188</v>
      </c>
      <c r="J1173">
        <v>1</v>
      </c>
      <c r="K1173">
        <v>195.51395348837201</v>
      </c>
      <c r="Z1173"/>
    </row>
    <row r="1174" spans="1:26" x14ac:dyDescent="0.25">
      <c r="A1174" s="159" t="str">
        <f t="shared" si="55"/>
        <v>HR-Central San Jose-Livermore and Pleasanton-Work</v>
      </c>
      <c r="B1174">
        <v>11</v>
      </c>
      <c r="C1174" t="str">
        <f t="shared" si="56"/>
        <v>Central San Jose</v>
      </c>
      <c r="D1174">
        <v>15</v>
      </c>
      <c r="E1174" t="str">
        <f t="shared" si="56"/>
        <v>Livermore and Pleasanton</v>
      </c>
      <c r="F1174" t="s">
        <v>30</v>
      </c>
      <c r="G1174">
        <f t="shared" si="54"/>
        <v>1</v>
      </c>
      <c r="H1174" t="s">
        <v>124</v>
      </c>
      <c r="I1174" t="s">
        <v>188</v>
      </c>
      <c r="J1174">
        <v>2</v>
      </c>
      <c r="K1174">
        <v>191.64419889502699</v>
      </c>
      <c r="Z1174"/>
    </row>
    <row r="1175" spans="1:26" x14ac:dyDescent="0.25">
      <c r="A1175" s="159" t="str">
        <f t="shared" si="55"/>
        <v>HR-Central San Jose-Fremont and Union City-High school</v>
      </c>
      <c r="B1175">
        <v>11</v>
      </c>
      <c r="C1175" t="str">
        <f t="shared" si="56"/>
        <v>Central San Jose</v>
      </c>
      <c r="D1175">
        <v>16</v>
      </c>
      <c r="E1175" t="str">
        <f t="shared" si="56"/>
        <v>Fremont and Union City</v>
      </c>
      <c r="F1175" t="s">
        <v>326</v>
      </c>
      <c r="G1175">
        <f t="shared" si="54"/>
        <v>3</v>
      </c>
      <c r="H1175" t="s">
        <v>124</v>
      </c>
      <c r="I1175" t="s">
        <v>188</v>
      </c>
      <c r="J1175">
        <v>1</v>
      </c>
      <c r="K1175">
        <v>95.822099447513807</v>
      </c>
      <c r="Z1175"/>
    </row>
    <row r="1176" spans="1:26" x14ac:dyDescent="0.25">
      <c r="A1176" s="159" t="str">
        <f t="shared" si="55"/>
        <v>LB-Central San Jose-Fremont and Union City-High school</v>
      </c>
      <c r="B1176">
        <v>11</v>
      </c>
      <c r="C1176" t="str">
        <f t="shared" si="56"/>
        <v>Central San Jose</v>
      </c>
      <c r="D1176">
        <v>16</v>
      </c>
      <c r="E1176" t="str">
        <f t="shared" si="56"/>
        <v>Fremont and Union City</v>
      </c>
      <c r="F1176" t="s">
        <v>326</v>
      </c>
      <c r="G1176">
        <f t="shared" si="54"/>
        <v>3</v>
      </c>
      <c r="H1176" t="s">
        <v>359</v>
      </c>
      <c r="I1176" t="s">
        <v>191</v>
      </c>
      <c r="J1176">
        <v>2</v>
      </c>
      <c r="K1176">
        <v>125.293546148508</v>
      </c>
      <c r="Z1176"/>
    </row>
    <row r="1177" spans="1:26" x14ac:dyDescent="0.25">
      <c r="A1177" s="159" t="str">
        <f t="shared" si="55"/>
        <v>LB-Central San Jose-Fremont and Union City-Missing</v>
      </c>
      <c r="B1177">
        <v>11</v>
      </c>
      <c r="C1177" t="str">
        <f t="shared" si="56"/>
        <v>Central San Jose</v>
      </c>
      <c r="D1177">
        <v>16</v>
      </c>
      <c r="E1177" t="str">
        <f t="shared" si="56"/>
        <v>Fremont and Union City</v>
      </c>
      <c r="F1177" t="s">
        <v>327</v>
      </c>
      <c r="G1177">
        <f t="shared" si="54"/>
        <v>0</v>
      </c>
      <c r="H1177" t="s">
        <v>359</v>
      </c>
      <c r="I1177" t="s">
        <v>191</v>
      </c>
      <c r="J1177">
        <v>1</v>
      </c>
      <c r="K1177">
        <v>185.366795366795</v>
      </c>
      <c r="Z1177"/>
    </row>
    <row r="1178" spans="1:26" x14ac:dyDescent="0.25">
      <c r="A1178" s="159" t="str">
        <f t="shared" si="55"/>
        <v>LB-Central San Jose-Fremont and Union City-Social recreation</v>
      </c>
      <c r="B1178">
        <v>11</v>
      </c>
      <c r="C1178" t="str">
        <f t="shared" si="56"/>
        <v>Central San Jose</v>
      </c>
      <c r="D1178">
        <v>16</v>
      </c>
      <c r="E1178" t="str">
        <f t="shared" si="56"/>
        <v>Fremont and Union City</v>
      </c>
      <c r="F1178" t="s">
        <v>324</v>
      </c>
      <c r="G1178">
        <f t="shared" si="54"/>
        <v>5</v>
      </c>
      <c r="H1178" t="s">
        <v>359</v>
      </c>
      <c r="I1178" t="s">
        <v>191</v>
      </c>
      <c r="J1178">
        <v>1</v>
      </c>
      <c r="K1178">
        <v>75.575262543757304</v>
      </c>
      <c r="Z1178"/>
    </row>
    <row r="1179" spans="1:26" x14ac:dyDescent="0.25">
      <c r="A1179" s="159" t="str">
        <f t="shared" si="55"/>
        <v>LB-Central San Jose-Fremont and Union City-Work</v>
      </c>
      <c r="B1179">
        <v>11</v>
      </c>
      <c r="C1179" t="str">
        <f t="shared" si="56"/>
        <v>Central San Jose</v>
      </c>
      <c r="D1179">
        <v>16</v>
      </c>
      <c r="E1179" t="str">
        <f t="shared" si="56"/>
        <v>Fremont and Union City</v>
      </c>
      <c r="F1179" t="s">
        <v>30</v>
      </c>
      <c r="G1179">
        <f t="shared" si="54"/>
        <v>1</v>
      </c>
      <c r="H1179" t="s">
        <v>359</v>
      </c>
      <c r="I1179" t="s">
        <v>191</v>
      </c>
      <c r="J1179">
        <v>6</v>
      </c>
      <c r="K1179">
        <v>345.351713875494</v>
      </c>
      <c r="Z1179"/>
    </row>
    <row r="1180" spans="1:26" x14ac:dyDescent="0.25">
      <c r="A1180" s="159" t="str">
        <f t="shared" si="55"/>
        <v>HR-Central San Jose-Hayward and San Leandro-High school</v>
      </c>
      <c r="B1180">
        <v>11</v>
      </c>
      <c r="C1180" t="str">
        <f t="shared" si="56"/>
        <v>Central San Jose</v>
      </c>
      <c r="D1180">
        <v>17</v>
      </c>
      <c r="E1180" t="str">
        <f t="shared" si="56"/>
        <v>Hayward and San Leandro</v>
      </c>
      <c r="F1180" t="s">
        <v>326</v>
      </c>
      <c r="G1180">
        <f t="shared" si="54"/>
        <v>3</v>
      </c>
      <c r="H1180" t="s">
        <v>124</v>
      </c>
      <c r="I1180" t="s">
        <v>188</v>
      </c>
      <c r="J1180">
        <v>2</v>
      </c>
      <c r="K1180">
        <v>191.64419889502699</v>
      </c>
      <c r="Z1180"/>
    </row>
    <row r="1181" spans="1:26" x14ac:dyDescent="0.25">
      <c r="A1181" s="159" t="str">
        <f t="shared" si="55"/>
        <v>LB-Central San Jose-Hayward and San Leandro-High school</v>
      </c>
      <c r="B1181">
        <v>11</v>
      </c>
      <c r="C1181" t="str">
        <f t="shared" si="56"/>
        <v>Central San Jose</v>
      </c>
      <c r="D1181">
        <v>17</v>
      </c>
      <c r="E1181" t="str">
        <f t="shared" si="56"/>
        <v>Hayward and San Leandro</v>
      </c>
      <c r="F1181" t="s">
        <v>326</v>
      </c>
      <c r="G1181">
        <f t="shared" si="54"/>
        <v>3</v>
      </c>
      <c r="H1181" t="s">
        <v>359</v>
      </c>
      <c r="I1181" t="s">
        <v>191</v>
      </c>
      <c r="J1181">
        <v>2</v>
      </c>
      <c r="K1181">
        <v>138.22203561801101</v>
      </c>
      <c r="Z1181"/>
    </row>
    <row r="1182" spans="1:26" x14ac:dyDescent="0.25">
      <c r="A1182" s="159" t="str">
        <f t="shared" si="55"/>
        <v>HR-Central San Jose-Hayward and San Leandro-Missing</v>
      </c>
      <c r="B1182">
        <v>11</v>
      </c>
      <c r="C1182" t="str">
        <f t="shared" si="56"/>
        <v>Central San Jose</v>
      </c>
      <c r="D1182">
        <v>17</v>
      </c>
      <c r="E1182" t="str">
        <f t="shared" si="56"/>
        <v>Hayward and San Leandro</v>
      </c>
      <c r="F1182" t="s">
        <v>327</v>
      </c>
      <c r="G1182">
        <f t="shared" si="54"/>
        <v>0</v>
      </c>
      <c r="H1182" t="s">
        <v>124</v>
      </c>
      <c r="I1182" t="s">
        <v>188</v>
      </c>
      <c r="J1182">
        <v>1</v>
      </c>
      <c r="K1182">
        <v>95.822099447513807</v>
      </c>
      <c r="Z1182"/>
    </row>
    <row r="1183" spans="1:26" x14ac:dyDescent="0.25">
      <c r="A1183" s="159" t="str">
        <f t="shared" si="55"/>
        <v>LB-Central San Jose-Hayward and San Leandro-Missing</v>
      </c>
      <c r="B1183">
        <v>11</v>
      </c>
      <c r="C1183" t="str">
        <f t="shared" si="56"/>
        <v>Central San Jose</v>
      </c>
      <c r="D1183">
        <v>17</v>
      </c>
      <c r="E1183" t="str">
        <f t="shared" si="56"/>
        <v>Hayward and San Leandro</v>
      </c>
      <c r="F1183" t="s">
        <v>327</v>
      </c>
      <c r="G1183">
        <f t="shared" si="54"/>
        <v>0</v>
      </c>
      <c r="H1183" t="s">
        <v>359</v>
      </c>
      <c r="I1183" t="s">
        <v>191</v>
      </c>
      <c r="J1183">
        <v>1</v>
      </c>
      <c r="K1183">
        <v>75.575262543757304</v>
      </c>
      <c r="Z1183"/>
    </row>
    <row r="1184" spans="1:26" x14ac:dyDescent="0.25">
      <c r="A1184" s="159" t="str">
        <f t="shared" si="55"/>
        <v>LB-Central San Jose-Hayward and San Leandro-Shopping</v>
      </c>
      <c r="B1184">
        <v>11</v>
      </c>
      <c r="C1184" t="str">
        <f t="shared" si="56"/>
        <v>Central San Jose</v>
      </c>
      <c r="D1184">
        <v>17</v>
      </c>
      <c r="E1184" t="str">
        <f t="shared" si="56"/>
        <v>Hayward and San Leandro</v>
      </c>
      <c r="F1184" t="s">
        <v>106</v>
      </c>
      <c r="G1184">
        <f t="shared" si="54"/>
        <v>4</v>
      </c>
      <c r="H1184" t="s">
        <v>359</v>
      </c>
      <c r="I1184" t="s">
        <v>191</v>
      </c>
      <c r="J1184">
        <v>1</v>
      </c>
      <c r="K1184">
        <v>62.646773074254</v>
      </c>
      <c r="Z1184"/>
    </row>
    <row r="1185" spans="1:26" x14ac:dyDescent="0.25">
      <c r="A1185" s="159" t="str">
        <f t="shared" si="55"/>
        <v>LB-Central San Jose-Hayward and San Leandro-Work</v>
      </c>
      <c r="B1185">
        <v>11</v>
      </c>
      <c r="C1185" t="str">
        <f t="shared" si="56"/>
        <v>Central San Jose</v>
      </c>
      <c r="D1185">
        <v>17</v>
      </c>
      <c r="E1185" t="str">
        <f t="shared" si="56"/>
        <v>Hayward and San Leandro</v>
      </c>
      <c r="F1185" t="s">
        <v>30</v>
      </c>
      <c r="G1185">
        <f t="shared" si="54"/>
        <v>1</v>
      </c>
      <c r="H1185" t="s">
        <v>359</v>
      </c>
      <c r="I1185" t="s">
        <v>191</v>
      </c>
      <c r="J1185">
        <v>3</v>
      </c>
      <c r="K1185">
        <v>409.15417847515403</v>
      </c>
      <c r="Z1185"/>
    </row>
    <row r="1186" spans="1:26" x14ac:dyDescent="0.25">
      <c r="A1186" s="159" t="str">
        <f t="shared" si="55"/>
        <v>LB-Central San Jose-Oakland and Alameda-High school</v>
      </c>
      <c r="B1186">
        <v>11</v>
      </c>
      <c r="C1186" t="str">
        <f t="shared" si="56"/>
        <v>Central San Jose</v>
      </c>
      <c r="D1186">
        <v>18</v>
      </c>
      <c r="E1186" t="str">
        <f t="shared" si="56"/>
        <v>Oakland and Alameda</v>
      </c>
      <c r="F1186" t="s">
        <v>326</v>
      </c>
      <c r="G1186">
        <f t="shared" si="54"/>
        <v>3</v>
      </c>
      <c r="H1186" t="s">
        <v>359</v>
      </c>
      <c r="I1186" t="s">
        <v>191</v>
      </c>
      <c r="J1186">
        <v>1</v>
      </c>
      <c r="K1186">
        <v>185.366795366795</v>
      </c>
      <c r="Z1186"/>
    </row>
    <row r="1187" spans="1:26" x14ac:dyDescent="0.25">
      <c r="A1187" s="159" t="str">
        <f t="shared" si="55"/>
        <v>HR-Central San Jose-Oakland and Alameda-Other maintenance</v>
      </c>
      <c r="B1187">
        <v>11</v>
      </c>
      <c r="C1187" t="str">
        <f t="shared" si="56"/>
        <v>Central San Jose</v>
      </c>
      <c r="D1187">
        <v>18</v>
      </c>
      <c r="E1187" t="str">
        <f t="shared" si="56"/>
        <v>Oakland and Alameda</v>
      </c>
      <c r="F1187" t="s">
        <v>325</v>
      </c>
      <c r="G1187">
        <f t="shared" si="54"/>
        <v>4</v>
      </c>
      <c r="H1187" t="s">
        <v>124</v>
      </c>
      <c r="I1187" t="s">
        <v>188</v>
      </c>
      <c r="J1187">
        <v>1</v>
      </c>
      <c r="K1187">
        <v>195.51395348837201</v>
      </c>
      <c r="Z1187"/>
    </row>
    <row r="1188" spans="1:26" x14ac:dyDescent="0.25">
      <c r="A1188" s="159" t="str">
        <f t="shared" si="55"/>
        <v>HR-Central San Jose-Oakland and Alameda-Work</v>
      </c>
      <c r="B1188">
        <v>11</v>
      </c>
      <c r="C1188" t="str">
        <f t="shared" si="56"/>
        <v>Central San Jose</v>
      </c>
      <c r="D1188">
        <v>18</v>
      </c>
      <c r="E1188" t="str">
        <f t="shared" si="56"/>
        <v>Oakland and Alameda</v>
      </c>
      <c r="F1188" t="s">
        <v>30</v>
      </c>
      <c r="G1188">
        <f t="shared" si="54"/>
        <v>1</v>
      </c>
      <c r="H1188" t="s">
        <v>124</v>
      </c>
      <c r="I1188" t="s">
        <v>188</v>
      </c>
      <c r="J1188">
        <v>6</v>
      </c>
      <c r="K1188">
        <v>774.31630476679902</v>
      </c>
      <c r="Z1188"/>
    </row>
    <row r="1189" spans="1:26" x14ac:dyDescent="0.25">
      <c r="A1189" s="159" t="str">
        <f t="shared" si="55"/>
        <v>LB-Central San Jose-Oakland and Alameda-Work</v>
      </c>
      <c r="B1189">
        <v>11</v>
      </c>
      <c r="C1189" t="str">
        <f t="shared" si="56"/>
        <v>Central San Jose</v>
      </c>
      <c r="D1189">
        <v>18</v>
      </c>
      <c r="E1189" t="str">
        <f t="shared" si="56"/>
        <v>Oakland and Alameda</v>
      </c>
      <c r="F1189" t="s">
        <v>30</v>
      </c>
      <c r="G1189">
        <f t="shared" si="54"/>
        <v>1</v>
      </c>
      <c r="H1189" t="s">
        <v>359</v>
      </c>
      <c r="I1189" t="s">
        <v>191</v>
      </c>
      <c r="J1189">
        <v>1</v>
      </c>
      <c r="K1189">
        <v>62.646773074254</v>
      </c>
      <c r="Z1189"/>
    </row>
    <row r="1190" spans="1:26" x14ac:dyDescent="0.25">
      <c r="A1190" s="159" t="str">
        <f t="shared" si="55"/>
        <v>HR-Central San Jose-Berkeley and Albany-High school</v>
      </c>
      <c r="B1190">
        <v>11</v>
      </c>
      <c r="C1190" t="str">
        <f t="shared" si="56"/>
        <v>Central San Jose</v>
      </c>
      <c r="D1190">
        <v>19</v>
      </c>
      <c r="E1190" t="str">
        <f t="shared" si="56"/>
        <v>Berkeley and Albany</v>
      </c>
      <c r="F1190" t="s">
        <v>326</v>
      </c>
      <c r="G1190">
        <f t="shared" si="54"/>
        <v>3</v>
      </c>
      <c r="H1190" t="s">
        <v>124</v>
      </c>
      <c r="I1190" t="s">
        <v>188</v>
      </c>
      <c r="J1190">
        <v>2</v>
      </c>
      <c r="K1190">
        <v>191.64419889502699</v>
      </c>
      <c r="Z1190"/>
    </row>
    <row r="1191" spans="1:26" x14ac:dyDescent="0.25">
      <c r="A1191" s="159" t="str">
        <f t="shared" si="55"/>
        <v>HR-Central San Jose-Berkeley and Albany-Social recreation</v>
      </c>
      <c r="B1191">
        <v>11</v>
      </c>
      <c r="C1191" t="str">
        <f t="shared" si="56"/>
        <v>Central San Jose</v>
      </c>
      <c r="D1191">
        <v>19</v>
      </c>
      <c r="E1191" t="str">
        <f t="shared" si="56"/>
        <v>Berkeley and Albany</v>
      </c>
      <c r="F1191" t="s">
        <v>324</v>
      </c>
      <c r="G1191">
        <f t="shared" si="54"/>
        <v>5</v>
      </c>
      <c r="H1191" t="s">
        <v>124</v>
      </c>
      <c r="I1191" t="s">
        <v>188</v>
      </c>
      <c r="J1191">
        <v>1</v>
      </c>
      <c r="K1191">
        <v>95.822099447513807</v>
      </c>
      <c r="Z1191"/>
    </row>
    <row r="1192" spans="1:26" x14ac:dyDescent="0.25">
      <c r="A1192" s="159" t="str">
        <f t="shared" si="55"/>
        <v>HR-Central San Jose-Richmond and El Cerrito-High school</v>
      </c>
      <c r="B1192">
        <v>11</v>
      </c>
      <c r="C1192" t="str">
        <f t="shared" si="56"/>
        <v>Central San Jose</v>
      </c>
      <c r="D1192">
        <v>20</v>
      </c>
      <c r="E1192" t="str">
        <f t="shared" si="56"/>
        <v>Richmond and El Cerrito</v>
      </c>
      <c r="F1192" t="s">
        <v>326</v>
      </c>
      <c r="G1192">
        <f t="shared" si="54"/>
        <v>3</v>
      </c>
      <c r="H1192" t="s">
        <v>124</v>
      </c>
      <c r="I1192" t="s">
        <v>188</v>
      </c>
      <c r="J1192">
        <v>1</v>
      </c>
      <c r="K1192">
        <v>95.822099447513807</v>
      </c>
      <c r="Z1192"/>
    </row>
    <row r="1193" spans="1:26" x14ac:dyDescent="0.25">
      <c r="A1193" s="159" t="str">
        <f t="shared" si="55"/>
        <v>LB-Central San Jose-Concord and Martinez-High school</v>
      </c>
      <c r="B1193">
        <v>11</v>
      </c>
      <c r="C1193" t="str">
        <f t="shared" si="56"/>
        <v>Central San Jose</v>
      </c>
      <c r="D1193">
        <v>21</v>
      </c>
      <c r="E1193" t="str">
        <f t="shared" si="56"/>
        <v>Concord and Martinez</v>
      </c>
      <c r="F1193" t="s">
        <v>326</v>
      </c>
      <c r="G1193">
        <f t="shared" si="54"/>
        <v>3</v>
      </c>
      <c r="H1193" t="s">
        <v>359</v>
      </c>
      <c r="I1193" t="s">
        <v>191</v>
      </c>
      <c r="J1193">
        <v>1</v>
      </c>
      <c r="K1193">
        <v>62.646773074254</v>
      </c>
      <c r="Z1193"/>
    </row>
    <row r="1194" spans="1:26" x14ac:dyDescent="0.25">
      <c r="A1194" s="159" t="str">
        <f t="shared" si="55"/>
        <v>LB-Central San Jose-Danville and San Ramon-Social recreation</v>
      </c>
      <c r="B1194">
        <v>11</v>
      </c>
      <c r="C1194" t="str">
        <f t="shared" si="56"/>
        <v>Central San Jose</v>
      </c>
      <c r="D1194">
        <v>23</v>
      </c>
      <c r="E1194" t="str">
        <f t="shared" si="56"/>
        <v>Danville and San Ramon</v>
      </c>
      <c r="F1194" t="s">
        <v>324</v>
      </c>
      <c r="G1194">
        <f t="shared" si="54"/>
        <v>5</v>
      </c>
      <c r="H1194" t="s">
        <v>359</v>
      </c>
      <c r="I1194" t="s">
        <v>191</v>
      </c>
      <c r="J1194">
        <v>1</v>
      </c>
      <c r="K1194">
        <v>62.646773074254</v>
      </c>
      <c r="Z1194"/>
    </row>
    <row r="1195" spans="1:26" x14ac:dyDescent="0.25">
      <c r="A1195" s="159" t="str">
        <f t="shared" si="55"/>
        <v>LB-Central San Jose-Antioch and Pittsburg-High school</v>
      </c>
      <c r="B1195">
        <v>11</v>
      </c>
      <c r="C1195" t="str">
        <f t="shared" si="56"/>
        <v>Central San Jose</v>
      </c>
      <c r="D1195">
        <v>24</v>
      </c>
      <c r="E1195" t="str">
        <f t="shared" si="56"/>
        <v>Antioch and Pittsburg</v>
      </c>
      <c r="F1195" t="s">
        <v>326</v>
      </c>
      <c r="G1195">
        <f t="shared" si="54"/>
        <v>3</v>
      </c>
      <c r="H1195" t="s">
        <v>359</v>
      </c>
      <c r="I1195" t="s">
        <v>191</v>
      </c>
      <c r="J1195">
        <v>1</v>
      </c>
      <c r="K1195">
        <v>62.646773074254</v>
      </c>
      <c r="Z1195"/>
    </row>
    <row r="1196" spans="1:26" x14ac:dyDescent="0.25">
      <c r="A1196" s="159" t="str">
        <f t="shared" si="55"/>
        <v>FR-Central San Jose-Vallejo and Benicia-High school</v>
      </c>
      <c r="B1196">
        <v>11</v>
      </c>
      <c r="C1196" t="str">
        <f t="shared" si="56"/>
        <v>Central San Jose</v>
      </c>
      <c r="D1196">
        <v>25</v>
      </c>
      <c r="E1196" t="str">
        <f t="shared" si="56"/>
        <v>Vallejo and Benicia</v>
      </c>
      <c r="F1196" t="s">
        <v>326</v>
      </c>
      <c r="G1196">
        <f t="shared" si="54"/>
        <v>3</v>
      </c>
      <c r="H1196" t="s">
        <v>360</v>
      </c>
      <c r="I1196" t="s">
        <v>185</v>
      </c>
      <c r="J1196">
        <v>1</v>
      </c>
      <c r="K1196">
        <v>11.719387755102</v>
      </c>
      <c r="Z1196"/>
    </row>
    <row r="1197" spans="1:26" x14ac:dyDescent="0.25">
      <c r="A1197" s="159" t="str">
        <f t="shared" si="55"/>
        <v>HR-Central San Jose-Vallejo and Benicia-Social recreation</v>
      </c>
      <c r="B1197">
        <v>11</v>
      </c>
      <c r="C1197" t="str">
        <f t="shared" si="56"/>
        <v>Central San Jose</v>
      </c>
      <c r="D1197">
        <v>25</v>
      </c>
      <c r="E1197" t="str">
        <f t="shared" si="56"/>
        <v>Vallejo and Benicia</v>
      </c>
      <c r="F1197" t="s">
        <v>324</v>
      </c>
      <c r="G1197">
        <f t="shared" si="54"/>
        <v>5</v>
      </c>
      <c r="H1197" t="s">
        <v>124</v>
      </c>
      <c r="I1197" t="s">
        <v>188</v>
      </c>
      <c r="J1197">
        <v>1</v>
      </c>
      <c r="K1197">
        <v>95.822099447513807</v>
      </c>
      <c r="Z1197"/>
    </row>
    <row r="1198" spans="1:26" x14ac:dyDescent="0.25">
      <c r="A1198" s="159" t="str">
        <f t="shared" si="55"/>
        <v>CR-Milpitas and East San Jose-Greater Downtown San Francisco-Social recreation</v>
      </c>
      <c r="B1198">
        <v>12</v>
      </c>
      <c r="C1198" t="str">
        <f t="shared" si="56"/>
        <v>Milpitas and East San Jose</v>
      </c>
      <c r="D1198">
        <v>1</v>
      </c>
      <c r="E1198" t="str">
        <f t="shared" si="56"/>
        <v>Greater Downtown San Francisco</v>
      </c>
      <c r="F1198" t="s">
        <v>324</v>
      </c>
      <c r="G1198">
        <f t="shared" si="54"/>
        <v>5</v>
      </c>
      <c r="H1198" t="s">
        <v>125</v>
      </c>
      <c r="I1198" t="s">
        <v>178</v>
      </c>
      <c r="J1198">
        <v>1</v>
      </c>
      <c r="K1198">
        <v>23.4305084745763</v>
      </c>
      <c r="Z1198"/>
    </row>
    <row r="1199" spans="1:26" x14ac:dyDescent="0.25">
      <c r="A1199" s="159" t="str">
        <f t="shared" si="55"/>
        <v>HR-Milpitas and East San Jose-Greater Downtown San Francisco-Social recreation</v>
      </c>
      <c r="B1199">
        <v>12</v>
      </c>
      <c r="C1199" t="str">
        <f t="shared" si="56"/>
        <v>Milpitas and East San Jose</v>
      </c>
      <c r="D1199">
        <v>1</v>
      </c>
      <c r="E1199" t="str">
        <f t="shared" si="56"/>
        <v>Greater Downtown San Francisco</v>
      </c>
      <c r="F1199" t="s">
        <v>324</v>
      </c>
      <c r="G1199">
        <f t="shared" si="54"/>
        <v>5</v>
      </c>
      <c r="H1199" t="s">
        <v>124</v>
      </c>
      <c r="I1199" t="s">
        <v>188</v>
      </c>
      <c r="J1199">
        <v>2</v>
      </c>
      <c r="K1199">
        <v>391.02790697674402</v>
      </c>
      <c r="Z1199"/>
    </row>
    <row r="1200" spans="1:26" x14ac:dyDescent="0.25">
      <c r="A1200" s="159" t="str">
        <f t="shared" si="55"/>
        <v>CR-Milpitas and East San Jose-Greater Downtown San Francisco-Work</v>
      </c>
      <c r="B1200">
        <v>12</v>
      </c>
      <c r="C1200" t="str">
        <f t="shared" si="56"/>
        <v>Milpitas and East San Jose</v>
      </c>
      <c r="D1200">
        <v>1</v>
      </c>
      <c r="E1200" t="str">
        <f t="shared" si="56"/>
        <v>Greater Downtown San Francisco</v>
      </c>
      <c r="F1200" t="s">
        <v>30</v>
      </c>
      <c r="G1200">
        <f t="shared" si="54"/>
        <v>1</v>
      </c>
      <c r="H1200" t="s">
        <v>125</v>
      </c>
      <c r="I1200" t="s">
        <v>178</v>
      </c>
      <c r="J1200">
        <v>1</v>
      </c>
      <c r="K1200">
        <v>23.4305084745763</v>
      </c>
      <c r="Z1200"/>
    </row>
    <row r="1201" spans="1:26" x14ac:dyDescent="0.25">
      <c r="A1201" s="159" t="str">
        <f t="shared" si="55"/>
        <v>HR-Milpitas and East San Jose-Greater Downtown San Francisco-Work</v>
      </c>
      <c r="B1201">
        <v>12</v>
      </c>
      <c r="C1201" t="str">
        <f t="shared" si="56"/>
        <v>Milpitas and East San Jose</v>
      </c>
      <c r="D1201">
        <v>1</v>
      </c>
      <c r="E1201" t="str">
        <f t="shared" si="56"/>
        <v>Greater Downtown San Francisco</v>
      </c>
      <c r="F1201" t="s">
        <v>30</v>
      </c>
      <c r="G1201">
        <f t="shared" si="54"/>
        <v>1</v>
      </c>
      <c r="H1201" t="s">
        <v>124</v>
      </c>
      <c r="I1201" t="s">
        <v>188</v>
      </c>
      <c r="J1201">
        <v>3</v>
      </c>
      <c r="K1201">
        <v>387.158152383399</v>
      </c>
      <c r="Z1201"/>
    </row>
    <row r="1202" spans="1:26" x14ac:dyDescent="0.25">
      <c r="A1202" s="159" t="str">
        <f t="shared" si="55"/>
        <v>HR-Milpitas and East San Jose-San Francisco Richmond District-High school</v>
      </c>
      <c r="B1202">
        <v>12</v>
      </c>
      <c r="C1202" t="str">
        <f t="shared" si="56"/>
        <v>Milpitas and East San Jose</v>
      </c>
      <c r="D1202">
        <v>2</v>
      </c>
      <c r="E1202" t="str">
        <f t="shared" si="56"/>
        <v>San Francisco Richmond District</v>
      </c>
      <c r="F1202" t="s">
        <v>326</v>
      </c>
      <c r="G1202">
        <f t="shared" si="54"/>
        <v>3</v>
      </c>
      <c r="H1202" t="s">
        <v>124</v>
      </c>
      <c r="I1202" t="s">
        <v>188</v>
      </c>
      <c r="J1202">
        <v>1</v>
      </c>
      <c r="K1202">
        <v>95.822099447513807</v>
      </c>
      <c r="Z1202"/>
    </row>
    <row r="1203" spans="1:26" x14ac:dyDescent="0.25">
      <c r="A1203" s="159" t="str">
        <f t="shared" si="55"/>
        <v>LB-Milpitas and East San Jose-San Francisco Richmond District-Missing</v>
      </c>
      <c r="B1203">
        <v>12</v>
      </c>
      <c r="C1203" t="str">
        <f t="shared" si="56"/>
        <v>Milpitas and East San Jose</v>
      </c>
      <c r="D1203">
        <v>2</v>
      </c>
      <c r="E1203" t="str">
        <f t="shared" si="56"/>
        <v>San Francisco Richmond District</v>
      </c>
      <c r="F1203" t="s">
        <v>327</v>
      </c>
      <c r="G1203">
        <f t="shared" si="54"/>
        <v>0</v>
      </c>
      <c r="H1203" t="s">
        <v>359</v>
      </c>
      <c r="I1203" t="s">
        <v>191</v>
      </c>
      <c r="J1203">
        <v>1</v>
      </c>
      <c r="K1203">
        <v>286.12835472578797</v>
      </c>
      <c r="Z1203"/>
    </row>
    <row r="1204" spans="1:26" x14ac:dyDescent="0.25">
      <c r="A1204" s="159" t="str">
        <f t="shared" si="55"/>
        <v>CR-Milpitas and East San Jose-San Francisco Richmond District-Other maintenance</v>
      </c>
      <c r="B1204">
        <v>12</v>
      </c>
      <c r="C1204" t="str">
        <f t="shared" si="56"/>
        <v>Milpitas and East San Jose</v>
      </c>
      <c r="D1204">
        <v>2</v>
      </c>
      <c r="E1204" t="str">
        <f t="shared" si="56"/>
        <v>San Francisco Richmond District</v>
      </c>
      <c r="F1204" t="s">
        <v>325</v>
      </c>
      <c r="G1204">
        <f t="shared" si="54"/>
        <v>4</v>
      </c>
      <c r="H1204" t="s">
        <v>125</v>
      </c>
      <c r="I1204" t="s">
        <v>178</v>
      </c>
      <c r="J1204">
        <v>1</v>
      </c>
      <c r="K1204">
        <v>25.1469534050179</v>
      </c>
      <c r="Z1204"/>
    </row>
    <row r="1205" spans="1:26" x14ac:dyDescent="0.25">
      <c r="A1205" s="159" t="str">
        <f t="shared" si="55"/>
        <v>HR-Milpitas and East San Jose-San Francisco Richmond District-Social recreation</v>
      </c>
      <c r="B1205">
        <v>12</v>
      </c>
      <c r="C1205" t="str">
        <f t="shared" si="56"/>
        <v>Milpitas and East San Jose</v>
      </c>
      <c r="D1205">
        <v>2</v>
      </c>
      <c r="E1205" t="str">
        <f t="shared" si="56"/>
        <v>San Francisco Richmond District</v>
      </c>
      <c r="F1205" t="s">
        <v>324</v>
      </c>
      <c r="G1205">
        <f t="shared" si="54"/>
        <v>5</v>
      </c>
      <c r="H1205" t="s">
        <v>124</v>
      </c>
      <c r="I1205" t="s">
        <v>188</v>
      </c>
      <c r="J1205">
        <v>1</v>
      </c>
      <c r="K1205">
        <v>195.51395348837201</v>
      </c>
      <c r="Z1205"/>
    </row>
    <row r="1206" spans="1:26" x14ac:dyDescent="0.25">
      <c r="A1206" s="159" t="str">
        <f t="shared" si="55"/>
        <v>LB-Milpitas and East San Jose-San Francisco Mission District-Social recreation</v>
      </c>
      <c r="B1206">
        <v>12</v>
      </c>
      <c r="C1206" t="str">
        <f t="shared" si="56"/>
        <v>Milpitas and East San Jose</v>
      </c>
      <c r="D1206">
        <v>3</v>
      </c>
      <c r="E1206" t="str">
        <f t="shared" si="56"/>
        <v>San Francisco Mission District</v>
      </c>
      <c r="F1206" t="s">
        <v>324</v>
      </c>
      <c r="G1206">
        <f t="shared" si="54"/>
        <v>5</v>
      </c>
      <c r="H1206" t="s">
        <v>359</v>
      </c>
      <c r="I1206" t="s">
        <v>191</v>
      </c>
      <c r="J1206">
        <v>1</v>
      </c>
      <c r="K1206">
        <v>270.93214285714299</v>
      </c>
      <c r="Z1206"/>
    </row>
    <row r="1207" spans="1:26" x14ac:dyDescent="0.25">
      <c r="A1207" s="159" t="str">
        <f t="shared" si="55"/>
        <v>CR-Milpitas and East San Jose-Daly City and San Bruno-Social recreation</v>
      </c>
      <c r="B1207">
        <v>12</v>
      </c>
      <c r="C1207" t="str">
        <f t="shared" si="56"/>
        <v>Milpitas and East San Jose</v>
      </c>
      <c r="D1207">
        <v>5</v>
      </c>
      <c r="E1207" t="str">
        <f t="shared" si="56"/>
        <v>Daly City and San Bruno</v>
      </c>
      <c r="F1207" t="s">
        <v>324</v>
      </c>
      <c r="G1207">
        <f t="shared" si="54"/>
        <v>5</v>
      </c>
      <c r="H1207" t="s">
        <v>125</v>
      </c>
      <c r="I1207" t="s">
        <v>178</v>
      </c>
      <c r="J1207">
        <v>1</v>
      </c>
      <c r="K1207">
        <v>23.4305084745763</v>
      </c>
      <c r="Z1207"/>
    </row>
    <row r="1208" spans="1:26" x14ac:dyDescent="0.25">
      <c r="A1208" s="159" t="str">
        <f t="shared" si="55"/>
        <v>CR-Milpitas and East San Jose-Daly City and San Bruno-Work</v>
      </c>
      <c r="B1208">
        <v>12</v>
      </c>
      <c r="C1208" t="str">
        <f t="shared" si="56"/>
        <v>Milpitas and East San Jose</v>
      </c>
      <c r="D1208">
        <v>5</v>
      </c>
      <c r="E1208" t="str">
        <f t="shared" si="56"/>
        <v>Daly City and San Bruno</v>
      </c>
      <c r="F1208" t="s">
        <v>30</v>
      </c>
      <c r="G1208">
        <f t="shared" si="54"/>
        <v>1</v>
      </c>
      <c r="H1208" t="s">
        <v>125</v>
      </c>
      <c r="I1208" t="s">
        <v>178</v>
      </c>
      <c r="J1208">
        <v>1</v>
      </c>
      <c r="K1208">
        <v>23.4305084745763</v>
      </c>
      <c r="Z1208"/>
    </row>
    <row r="1209" spans="1:26" x14ac:dyDescent="0.25">
      <c r="A1209" s="159" t="str">
        <f t="shared" si="55"/>
        <v>CR-Milpitas and East San Jose-San Mateo and Burlingame-Work</v>
      </c>
      <c r="B1209">
        <v>12</v>
      </c>
      <c r="C1209" t="str">
        <f t="shared" si="56"/>
        <v>Milpitas and East San Jose</v>
      </c>
      <c r="D1209">
        <v>6</v>
      </c>
      <c r="E1209" t="str">
        <f t="shared" si="56"/>
        <v>San Mateo and Burlingame</v>
      </c>
      <c r="F1209" t="s">
        <v>30</v>
      </c>
      <c r="G1209">
        <f t="shared" si="54"/>
        <v>1</v>
      </c>
      <c r="H1209" t="s">
        <v>125</v>
      </c>
      <c r="I1209" t="s">
        <v>178</v>
      </c>
      <c r="J1209">
        <v>1</v>
      </c>
      <c r="K1209">
        <v>23.4305084745763</v>
      </c>
      <c r="Z1209"/>
    </row>
    <row r="1210" spans="1:26" x14ac:dyDescent="0.25">
      <c r="A1210" s="159" t="str">
        <f t="shared" si="55"/>
        <v>CR-Milpitas and East San Jose-Redwood City and Menlo Park-Work</v>
      </c>
      <c r="B1210">
        <v>12</v>
      </c>
      <c r="C1210" t="str">
        <f t="shared" si="56"/>
        <v>Milpitas and East San Jose</v>
      </c>
      <c r="D1210">
        <v>7</v>
      </c>
      <c r="E1210" t="str">
        <f t="shared" si="56"/>
        <v>Redwood City and Menlo Park</v>
      </c>
      <c r="F1210" t="s">
        <v>30</v>
      </c>
      <c r="G1210">
        <f t="shared" si="54"/>
        <v>1</v>
      </c>
      <c r="H1210" t="s">
        <v>125</v>
      </c>
      <c r="I1210" t="s">
        <v>178</v>
      </c>
      <c r="J1210">
        <v>2</v>
      </c>
      <c r="K1210">
        <v>48.577461879594097</v>
      </c>
      <c r="Z1210"/>
    </row>
    <row r="1211" spans="1:26" x14ac:dyDescent="0.25">
      <c r="A1211" s="159" t="str">
        <f t="shared" si="55"/>
        <v>LR-Milpitas and East San Jose-Redwood City and Menlo Park-Work</v>
      </c>
      <c r="B1211">
        <v>12</v>
      </c>
      <c r="C1211" t="str">
        <f t="shared" si="56"/>
        <v>Milpitas and East San Jose</v>
      </c>
      <c r="D1211">
        <v>7</v>
      </c>
      <c r="E1211" t="str">
        <f t="shared" si="56"/>
        <v>Redwood City and Menlo Park</v>
      </c>
      <c r="F1211" t="s">
        <v>30</v>
      </c>
      <c r="G1211">
        <f t="shared" si="54"/>
        <v>1</v>
      </c>
      <c r="H1211" t="s">
        <v>353</v>
      </c>
      <c r="I1211" t="s">
        <v>194</v>
      </c>
      <c r="J1211">
        <v>1</v>
      </c>
      <c r="K1211">
        <v>62.646773074254</v>
      </c>
      <c r="Z1211"/>
    </row>
    <row r="1212" spans="1:26" x14ac:dyDescent="0.25">
      <c r="A1212" s="159" t="str">
        <f t="shared" si="55"/>
        <v>LB-Milpitas and East San Jose-Palo Alto and Los Altos-High school</v>
      </c>
      <c r="B1212">
        <v>12</v>
      </c>
      <c r="C1212" t="str">
        <f t="shared" si="56"/>
        <v>Milpitas and East San Jose</v>
      </c>
      <c r="D1212">
        <v>8</v>
      </c>
      <c r="E1212" t="str">
        <f t="shared" si="56"/>
        <v>Palo Alto and Los Altos</v>
      </c>
      <c r="F1212" t="s">
        <v>326</v>
      </c>
      <c r="G1212">
        <f t="shared" si="54"/>
        <v>3</v>
      </c>
      <c r="H1212" t="s">
        <v>359</v>
      </c>
      <c r="I1212" t="s">
        <v>191</v>
      </c>
      <c r="J1212">
        <v>1</v>
      </c>
      <c r="K1212">
        <v>62.646773074254</v>
      </c>
      <c r="Z1212"/>
    </row>
    <row r="1213" spans="1:26" x14ac:dyDescent="0.25">
      <c r="A1213" s="159" t="str">
        <f t="shared" si="55"/>
        <v>LR-Milpitas and East San Jose-Palo Alto and Los Altos-Other maintenance</v>
      </c>
      <c r="B1213">
        <v>12</v>
      </c>
      <c r="C1213" t="str">
        <f t="shared" si="56"/>
        <v>Milpitas and East San Jose</v>
      </c>
      <c r="D1213">
        <v>8</v>
      </c>
      <c r="E1213" t="str">
        <f t="shared" si="56"/>
        <v>Palo Alto and Los Altos</v>
      </c>
      <c r="F1213" t="s">
        <v>325</v>
      </c>
      <c r="G1213">
        <f t="shared" si="54"/>
        <v>4</v>
      </c>
      <c r="H1213" t="s">
        <v>353</v>
      </c>
      <c r="I1213" t="s">
        <v>194</v>
      </c>
      <c r="J1213">
        <v>1</v>
      </c>
      <c r="K1213">
        <v>62.646773074254</v>
      </c>
      <c r="Z1213"/>
    </row>
    <row r="1214" spans="1:26" x14ac:dyDescent="0.25">
      <c r="A1214" s="159" t="str">
        <f t="shared" si="55"/>
        <v>LR-Milpitas and East San Jose-Palo Alto and Los Altos-Shopping</v>
      </c>
      <c r="B1214">
        <v>12</v>
      </c>
      <c r="C1214" t="str">
        <f t="shared" si="56"/>
        <v>Milpitas and East San Jose</v>
      </c>
      <c r="D1214">
        <v>8</v>
      </c>
      <c r="E1214" t="str">
        <f t="shared" si="56"/>
        <v>Palo Alto and Los Altos</v>
      </c>
      <c r="F1214" t="s">
        <v>106</v>
      </c>
      <c r="G1214">
        <f t="shared" si="54"/>
        <v>4</v>
      </c>
      <c r="H1214" t="s">
        <v>353</v>
      </c>
      <c r="I1214" t="s">
        <v>194</v>
      </c>
      <c r="J1214">
        <v>2</v>
      </c>
      <c r="K1214">
        <v>125.293546148508</v>
      </c>
      <c r="Z1214"/>
    </row>
    <row r="1215" spans="1:26" x14ac:dyDescent="0.25">
      <c r="A1215" s="159" t="str">
        <f t="shared" si="55"/>
        <v>LB-Milpitas and East San Jose-Palo Alto and Los Altos-Social recreation</v>
      </c>
      <c r="B1215">
        <v>12</v>
      </c>
      <c r="C1215" t="str">
        <f t="shared" si="56"/>
        <v>Milpitas and East San Jose</v>
      </c>
      <c r="D1215">
        <v>8</v>
      </c>
      <c r="E1215" t="str">
        <f t="shared" si="56"/>
        <v>Palo Alto and Los Altos</v>
      </c>
      <c r="F1215" t="s">
        <v>324</v>
      </c>
      <c r="G1215">
        <f t="shared" si="54"/>
        <v>5</v>
      </c>
      <c r="H1215" t="s">
        <v>359</v>
      </c>
      <c r="I1215" t="s">
        <v>191</v>
      </c>
      <c r="J1215">
        <v>1</v>
      </c>
      <c r="K1215">
        <v>62.646773074254</v>
      </c>
      <c r="Z1215"/>
    </row>
    <row r="1216" spans="1:26" x14ac:dyDescent="0.25">
      <c r="A1216" s="159" t="str">
        <f t="shared" si="55"/>
        <v>LR-Milpitas and East San Jose-Palo Alto and Los Altos-Work</v>
      </c>
      <c r="B1216">
        <v>12</v>
      </c>
      <c r="C1216" t="str">
        <f t="shared" si="56"/>
        <v>Milpitas and East San Jose</v>
      </c>
      <c r="D1216">
        <v>8</v>
      </c>
      <c r="E1216" t="str">
        <f t="shared" si="56"/>
        <v>Palo Alto and Los Altos</v>
      </c>
      <c r="F1216" t="s">
        <v>30</v>
      </c>
      <c r="G1216">
        <f t="shared" si="54"/>
        <v>1</v>
      </c>
      <c r="H1216" t="s">
        <v>353</v>
      </c>
      <c r="I1216" t="s">
        <v>194</v>
      </c>
      <c r="J1216">
        <v>3</v>
      </c>
      <c r="K1216">
        <v>187.94031922276201</v>
      </c>
      <c r="Z1216"/>
    </row>
    <row r="1217" spans="1:26" x14ac:dyDescent="0.25">
      <c r="A1217" s="159" t="str">
        <f t="shared" si="55"/>
        <v>LB-Milpitas and East San Jose-Palo Alto and Los Altos-Work</v>
      </c>
      <c r="B1217">
        <v>12</v>
      </c>
      <c r="C1217" t="str">
        <f t="shared" si="56"/>
        <v>Milpitas and East San Jose</v>
      </c>
      <c r="D1217">
        <v>8</v>
      </c>
      <c r="E1217" t="str">
        <f t="shared" si="56"/>
        <v>Palo Alto and Los Altos</v>
      </c>
      <c r="F1217" t="s">
        <v>30</v>
      </c>
      <c r="G1217">
        <f t="shared" si="54"/>
        <v>1</v>
      </c>
      <c r="H1217" t="s">
        <v>359</v>
      </c>
      <c r="I1217" t="s">
        <v>191</v>
      </c>
      <c r="J1217">
        <v>6</v>
      </c>
      <c r="K1217">
        <v>475.302779145724</v>
      </c>
      <c r="Z1217"/>
    </row>
    <row r="1218" spans="1:26" x14ac:dyDescent="0.25">
      <c r="A1218" s="159" t="str">
        <f t="shared" si="55"/>
        <v>LB-Milpitas and East San Jose-Sunnyvale and Mountain View-High school</v>
      </c>
      <c r="B1218">
        <v>12</v>
      </c>
      <c r="C1218" t="str">
        <f t="shared" si="56"/>
        <v>Milpitas and East San Jose</v>
      </c>
      <c r="D1218">
        <v>9</v>
      </c>
      <c r="E1218" t="str">
        <f t="shared" si="56"/>
        <v>Sunnyvale and Mountain View</v>
      </c>
      <c r="F1218" t="s">
        <v>326</v>
      </c>
      <c r="G1218">
        <f t="shared" ref="G1218:G1281" si="57">VLOOKUP(F1218,$V$2:$X$10, 3,FALSE)</f>
        <v>3</v>
      </c>
      <c r="H1218" t="s">
        <v>359</v>
      </c>
      <c r="I1218" t="s">
        <v>191</v>
      </c>
      <c r="J1218">
        <v>6</v>
      </c>
      <c r="K1218">
        <v>375.88063844552403</v>
      </c>
      <c r="Z1218"/>
    </row>
    <row r="1219" spans="1:26" x14ac:dyDescent="0.25">
      <c r="A1219" s="159" t="str">
        <f t="shared" ref="A1219:A1282" si="58" xml:space="preserve"> CONCATENATE(I1219,"-",C1219, "-",E1219, "-",F1219,)</f>
        <v>LR-Milpitas and East San Jose-Sunnyvale and Mountain View-Missing</v>
      </c>
      <c r="B1219">
        <v>12</v>
      </c>
      <c r="C1219" t="str">
        <f t="shared" ref="C1219:E1282" si="59">VLOOKUP(B1219,$S$2:$T$35,2,FALSE)</f>
        <v>Milpitas and East San Jose</v>
      </c>
      <c r="D1219">
        <v>9</v>
      </c>
      <c r="E1219" t="str">
        <f t="shared" si="59"/>
        <v>Sunnyvale and Mountain View</v>
      </c>
      <c r="F1219" t="s">
        <v>327</v>
      </c>
      <c r="G1219">
        <f t="shared" si="57"/>
        <v>0</v>
      </c>
      <c r="H1219" t="s">
        <v>353</v>
      </c>
      <c r="I1219" t="s">
        <v>194</v>
      </c>
      <c r="J1219">
        <v>2</v>
      </c>
      <c r="K1219">
        <v>125.293546148508</v>
      </c>
      <c r="Z1219"/>
    </row>
    <row r="1220" spans="1:26" x14ac:dyDescent="0.25">
      <c r="A1220" s="159" t="str">
        <f t="shared" si="58"/>
        <v>LB-Milpitas and East San Jose-Sunnyvale and Mountain View-Missing</v>
      </c>
      <c r="B1220">
        <v>12</v>
      </c>
      <c r="C1220" t="str">
        <f t="shared" si="59"/>
        <v>Milpitas and East San Jose</v>
      </c>
      <c r="D1220">
        <v>9</v>
      </c>
      <c r="E1220" t="str">
        <f t="shared" si="59"/>
        <v>Sunnyvale and Mountain View</v>
      </c>
      <c r="F1220" t="s">
        <v>327</v>
      </c>
      <c r="G1220">
        <f t="shared" si="57"/>
        <v>0</v>
      </c>
      <c r="H1220" t="s">
        <v>359</v>
      </c>
      <c r="I1220" t="s">
        <v>191</v>
      </c>
      <c r="J1220">
        <v>4</v>
      </c>
      <c r="K1220">
        <v>250.587092297016</v>
      </c>
      <c r="Z1220"/>
    </row>
    <row r="1221" spans="1:26" x14ac:dyDescent="0.25">
      <c r="A1221" s="159" t="str">
        <f t="shared" si="58"/>
        <v>LB-Milpitas and East San Jose-Sunnyvale and Mountain View-Other maintenance</v>
      </c>
      <c r="B1221">
        <v>12</v>
      </c>
      <c r="C1221" t="str">
        <f t="shared" si="59"/>
        <v>Milpitas and East San Jose</v>
      </c>
      <c r="D1221">
        <v>9</v>
      </c>
      <c r="E1221" t="str">
        <f t="shared" si="59"/>
        <v>Sunnyvale and Mountain View</v>
      </c>
      <c r="F1221" t="s">
        <v>325</v>
      </c>
      <c r="G1221">
        <f t="shared" si="57"/>
        <v>4</v>
      </c>
      <c r="H1221" t="s">
        <v>359</v>
      </c>
      <c r="I1221" t="s">
        <v>191</v>
      </c>
      <c r="J1221">
        <v>5</v>
      </c>
      <c r="K1221">
        <v>435.95388766381097</v>
      </c>
      <c r="Z1221"/>
    </row>
    <row r="1222" spans="1:26" x14ac:dyDescent="0.25">
      <c r="A1222" s="159" t="str">
        <f t="shared" si="58"/>
        <v>LR-Milpitas and East San Jose-Sunnyvale and Mountain View-Social recreation</v>
      </c>
      <c r="B1222">
        <v>12</v>
      </c>
      <c r="C1222" t="str">
        <f t="shared" si="59"/>
        <v>Milpitas and East San Jose</v>
      </c>
      <c r="D1222">
        <v>9</v>
      </c>
      <c r="E1222" t="str">
        <f t="shared" si="59"/>
        <v>Sunnyvale and Mountain View</v>
      </c>
      <c r="F1222" t="s">
        <v>324</v>
      </c>
      <c r="G1222">
        <f t="shared" si="57"/>
        <v>5</v>
      </c>
      <c r="H1222" t="s">
        <v>353</v>
      </c>
      <c r="I1222" t="s">
        <v>194</v>
      </c>
      <c r="J1222">
        <v>1</v>
      </c>
      <c r="K1222">
        <v>62.646773074254</v>
      </c>
      <c r="Z1222"/>
    </row>
    <row r="1223" spans="1:26" x14ac:dyDescent="0.25">
      <c r="A1223" s="159" t="str">
        <f t="shared" si="58"/>
        <v>LB-Milpitas and East San Jose-Sunnyvale and Mountain View-Social recreation</v>
      </c>
      <c r="B1223">
        <v>12</v>
      </c>
      <c r="C1223" t="str">
        <f t="shared" si="59"/>
        <v>Milpitas and East San Jose</v>
      </c>
      <c r="D1223">
        <v>9</v>
      </c>
      <c r="E1223" t="str">
        <f t="shared" si="59"/>
        <v>Sunnyvale and Mountain View</v>
      </c>
      <c r="F1223" t="s">
        <v>324</v>
      </c>
      <c r="G1223">
        <f t="shared" si="57"/>
        <v>5</v>
      </c>
      <c r="H1223" t="s">
        <v>359</v>
      </c>
      <c r="I1223" t="s">
        <v>191</v>
      </c>
      <c r="J1223">
        <v>1</v>
      </c>
      <c r="K1223">
        <v>62.646773074254</v>
      </c>
      <c r="Z1223"/>
    </row>
    <row r="1224" spans="1:26" x14ac:dyDescent="0.25">
      <c r="A1224" s="159" t="str">
        <f t="shared" si="58"/>
        <v>LR-Milpitas and East San Jose-Sunnyvale and Mountain View-Work</v>
      </c>
      <c r="B1224">
        <v>12</v>
      </c>
      <c r="C1224" t="str">
        <f t="shared" si="59"/>
        <v>Milpitas and East San Jose</v>
      </c>
      <c r="D1224">
        <v>9</v>
      </c>
      <c r="E1224" t="str">
        <f t="shared" si="59"/>
        <v>Sunnyvale and Mountain View</v>
      </c>
      <c r="F1224" t="s">
        <v>30</v>
      </c>
      <c r="G1224">
        <f t="shared" si="57"/>
        <v>1</v>
      </c>
      <c r="H1224" t="s">
        <v>353</v>
      </c>
      <c r="I1224" t="s">
        <v>194</v>
      </c>
      <c r="J1224">
        <v>9</v>
      </c>
      <c r="K1224">
        <v>563.82095766828604</v>
      </c>
      <c r="Z1224"/>
    </row>
    <row r="1225" spans="1:26" x14ac:dyDescent="0.25">
      <c r="A1225" s="159" t="str">
        <f t="shared" si="58"/>
        <v>LB-Milpitas and East San Jose-Sunnyvale and Mountain View-Work</v>
      </c>
      <c r="B1225">
        <v>12</v>
      </c>
      <c r="C1225" t="str">
        <f t="shared" si="59"/>
        <v>Milpitas and East San Jose</v>
      </c>
      <c r="D1225">
        <v>9</v>
      </c>
      <c r="E1225" t="str">
        <f t="shared" si="59"/>
        <v>Sunnyvale and Mountain View</v>
      </c>
      <c r="F1225" t="s">
        <v>30</v>
      </c>
      <c r="G1225">
        <f t="shared" si="57"/>
        <v>1</v>
      </c>
      <c r="H1225" t="s">
        <v>359</v>
      </c>
      <c r="I1225" t="s">
        <v>191</v>
      </c>
      <c r="J1225">
        <v>18</v>
      </c>
      <c r="K1225">
        <v>1373.08195992165</v>
      </c>
      <c r="Z1225"/>
    </row>
    <row r="1226" spans="1:26" x14ac:dyDescent="0.25">
      <c r="A1226" s="159" t="str">
        <f t="shared" si="58"/>
        <v>LR-Milpitas and East San Jose-Cupertino and Saratoga-High school</v>
      </c>
      <c r="B1226">
        <v>12</v>
      </c>
      <c r="C1226" t="str">
        <f t="shared" si="59"/>
        <v>Milpitas and East San Jose</v>
      </c>
      <c r="D1226">
        <v>10</v>
      </c>
      <c r="E1226" t="str">
        <f t="shared" si="59"/>
        <v>Cupertino and Saratoga</v>
      </c>
      <c r="F1226" t="s">
        <v>326</v>
      </c>
      <c r="G1226">
        <f t="shared" si="57"/>
        <v>3</v>
      </c>
      <c r="H1226" t="s">
        <v>353</v>
      </c>
      <c r="I1226" t="s">
        <v>194</v>
      </c>
      <c r="J1226">
        <v>2</v>
      </c>
      <c r="K1226">
        <v>125.293546148508</v>
      </c>
      <c r="Z1226"/>
    </row>
    <row r="1227" spans="1:26" x14ac:dyDescent="0.25">
      <c r="A1227" s="159" t="str">
        <f t="shared" si="58"/>
        <v>LB-Milpitas and East San Jose-Cupertino and Saratoga-High school</v>
      </c>
      <c r="B1227">
        <v>12</v>
      </c>
      <c r="C1227" t="str">
        <f t="shared" si="59"/>
        <v>Milpitas and East San Jose</v>
      </c>
      <c r="D1227">
        <v>10</v>
      </c>
      <c r="E1227" t="str">
        <f t="shared" si="59"/>
        <v>Cupertino and Saratoga</v>
      </c>
      <c r="F1227" t="s">
        <v>326</v>
      </c>
      <c r="G1227">
        <f t="shared" si="57"/>
        <v>3</v>
      </c>
      <c r="H1227" t="s">
        <v>359</v>
      </c>
      <c r="I1227" t="s">
        <v>191</v>
      </c>
      <c r="J1227">
        <v>2</v>
      </c>
      <c r="K1227">
        <v>125.293546148508</v>
      </c>
      <c r="Z1227"/>
    </row>
    <row r="1228" spans="1:26" x14ac:dyDescent="0.25">
      <c r="A1228" s="159" t="str">
        <f t="shared" si="58"/>
        <v>LB-Milpitas and East San Jose-Cupertino and Saratoga-Missing</v>
      </c>
      <c r="B1228">
        <v>12</v>
      </c>
      <c r="C1228" t="str">
        <f t="shared" si="59"/>
        <v>Milpitas and East San Jose</v>
      </c>
      <c r="D1228">
        <v>10</v>
      </c>
      <c r="E1228" t="str">
        <f t="shared" si="59"/>
        <v>Cupertino and Saratoga</v>
      </c>
      <c r="F1228" t="s">
        <v>327</v>
      </c>
      <c r="G1228">
        <f t="shared" si="57"/>
        <v>0</v>
      </c>
      <c r="H1228" t="s">
        <v>359</v>
      </c>
      <c r="I1228" t="s">
        <v>191</v>
      </c>
      <c r="J1228">
        <v>2</v>
      </c>
      <c r="K1228">
        <v>248.01356844104899</v>
      </c>
      <c r="Z1228"/>
    </row>
    <row r="1229" spans="1:26" x14ac:dyDescent="0.25">
      <c r="A1229" s="159" t="str">
        <f t="shared" si="58"/>
        <v>LB-Milpitas and East San Jose-Cupertino and Saratoga-Other maintenance</v>
      </c>
      <c r="B1229">
        <v>12</v>
      </c>
      <c r="C1229" t="str">
        <f t="shared" si="59"/>
        <v>Milpitas and East San Jose</v>
      </c>
      <c r="D1229">
        <v>10</v>
      </c>
      <c r="E1229" t="str">
        <f t="shared" si="59"/>
        <v>Cupertino and Saratoga</v>
      </c>
      <c r="F1229" t="s">
        <v>325</v>
      </c>
      <c r="G1229">
        <f t="shared" si="57"/>
        <v>4</v>
      </c>
      <c r="H1229" t="s">
        <v>359</v>
      </c>
      <c r="I1229" t="s">
        <v>191</v>
      </c>
      <c r="J1229">
        <v>1</v>
      </c>
      <c r="K1229">
        <v>62.646773074254</v>
      </c>
      <c r="Z1229"/>
    </row>
    <row r="1230" spans="1:26" x14ac:dyDescent="0.25">
      <c r="A1230" s="159" t="str">
        <f t="shared" si="58"/>
        <v>LB-Milpitas and East San Jose-Cupertino and Saratoga-Work</v>
      </c>
      <c r="B1230">
        <v>12</v>
      </c>
      <c r="C1230" t="str">
        <f t="shared" si="59"/>
        <v>Milpitas and East San Jose</v>
      </c>
      <c r="D1230">
        <v>10</v>
      </c>
      <c r="E1230" t="str">
        <f t="shared" si="59"/>
        <v>Cupertino and Saratoga</v>
      </c>
      <c r="F1230" t="s">
        <v>30</v>
      </c>
      <c r="G1230">
        <f t="shared" si="57"/>
        <v>1</v>
      </c>
      <c r="H1230" t="s">
        <v>359</v>
      </c>
      <c r="I1230" t="s">
        <v>191</v>
      </c>
      <c r="J1230">
        <v>8</v>
      </c>
      <c r="K1230">
        <v>746.61422917911398</v>
      </c>
      <c r="Z1230"/>
    </row>
    <row r="1231" spans="1:26" x14ac:dyDescent="0.25">
      <c r="A1231" s="159" t="str">
        <f t="shared" si="58"/>
        <v>LR-Milpitas and East San Jose-Central San Jose-High school</v>
      </c>
      <c r="B1231">
        <v>12</v>
      </c>
      <c r="C1231" t="str">
        <f t="shared" si="59"/>
        <v>Milpitas and East San Jose</v>
      </c>
      <c r="D1231">
        <v>11</v>
      </c>
      <c r="E1231" t="str">
        <f t="shared" si="59"/>
        <v>Central San Jose</v>
      </c>
      <c r="F1231" t="s">
        <v>326</v>
      </c>
      <c r="G1231">
        <f t="shared" si="57"/>
        <v>3</v>
      </c>
      <c r="H1231" t="s">
        <v>353</v>
      </c>
      <c r="I1231" t="s">
        <v>194</v>
      </c>
      <c r="J1231">
        <v>1</v>
      </c>
      <c r="K1231">
        <v>62.646773074254</v>
      </c>
      <c r="Z1231"/>
    </row>
    <row r="1232" spans="1:26" x14ac:dyDescent="0.25">
      <c r="A1232" s="159" t="str">
        <f t="shared" si="58"/>
        <v>LB-Milpitas and East San Jose-Central San Jose-High school</v>
      </c>
      <c r="B1232">
        <v>12</v>
      </c>
      <c r="C1232" t="str">
        <f t="shared" si="59"/>
        <v>Milpitas and East San Jose</v>
      </c>
      <c r="D1232">
        <v>11</v>
      </c>
      <c r="E1232" t="str">
        <f t="shared" si="59"/>
        <v>Central San Jose</v>
      </c>
      <c r="F1232" t="s">
        <v>326</v>
      </c>
      <c r="G1232">
        <f t="shared" si="57"/>
        <v>3</v>
      </c>
      <c r="H1232" t="s">
        <v>359</v>
      </c>
      <c r="I1232" t="s">
        <v>191</v>
      </c>
      <c r="J1232">
        <v>13</v>
      </c>
      <c r="K1232">
        <v>937.12807225784297</v>
      </c>
      <c r="Z1232"/>
    </row>
    <row r="1233" spans="1:26" x14ac:dyDescent="0.25">
      <c r="A1233" s="159" t="str">
        <f t="shared" si="58"/>
        <v>LR-Milpitas and East San Jose-Central San Jose-Missing</v>
      </c>
      <c r="B1233">
        <v>12</v>
      </c>
      <c r="C1233" t="str">
        <f t="shared" si="59"/>
        <v>Milpitas and East San Jose</v>
      </c>
      <c r="D1233">
        <v>11</v>
      </c>
      <c r="E1233" t="str">
        <f t="shared" si="59"/>
        <v>Central San Jose</v>
      </c>
      <c r="F1233" t="s">
        <v>327</v>
      </c>
      <c r="G1233">
        <f t="shared" si="57"/>
        <v>0</v>
      </c>
      <c r="H1233" t="s">
        <v>353</v>
      </c>
      <c r="I1233" t="s">
        <v>194</v>
      </c>
      <c r="J1233">
        <v>2</v>
      </c>
      <c r="K1233">
        <v>125.293546148508</v>
      </c>
      <c r="Z1233"/>
    </row>
    <row r="1234" spans="1:26" x14ac:dyDescent="0.25">
      <c r="A1234" s="159" t="str">
        <f t="shared" si="58"/>
        <v>LB-Milpitas and East San Jose-Central San Jose-Missing</v>
      </c>
      <c r="B1234">
        <v>12</v>
      </c>
      <c r="C1234" t="str">
        <f t="shared" si="59"/>
        <v>Milpitas and East San Jose</v>
      </c>
      <c r="D1234">
        <v>11</v>
      </c>
      <c r="E1234" t="str">
        <f t="shared" si="59"/>
        <v>Central San Jose</v>
      </c>
      <c r="F1234" t="s">
        <v>327</v>
      </c>
      <c r="G1234">
        <f t="shared" si="57"/>
        <v>0</v>
      </c>
      <c r="H1234" t="s">
        <v>359</v>
      </c>
      <c r="I1234" t="s">
        <v>191</v>
      </c>
      <c r="J1234">
        <v>7</v>
      </c>
      <c r="K1234">
        <v>683.96745610486005</v>
      </c>
      <c r="Z1234"/>
    </row>
    <row r="1235" spans="1:26" x14ac:dyDescent="0.25">
      <c r="A1235" s="159" t="str">
        <f t="shared" si="58"/>
        <v>LR-Milpitas and East San Jose-Central San Jose-Other maintenance</v>
      </c>
      <c r="B1235">
        <v>12</v>
      </c>
      <c r="C1235" t="str">
        <f t="shared" si="59"/>
        <v>Milpitas and East San Jose</v>
      </c>
      <c r="D1235">
        <v>11</v>
      </c>
      <c r="E1235" t="str">
        <f t="shared" si="59"/>
        <v>Central San Jose</v>
      </c>
      <c r="F1235" t="s">
        <v>325</v>
      </c>
      <c r="G1235">
        <f t="shared" si="57"/>
        <v>4</v>
      </c>
      <c r="H1235" t="s">
        <v>353</v>
      </c>
      <c r="I1235" t="s">
        <v>194</v>
      </c>
      <c r="J1235">
        <v>2</v>
      </c>
      <c r="K1235">
        <v>125.293546148508</v>
      </c>
      <c r="Z1235"/>
    </row>
    <row r="1236" spans="1:26" x14ac:dyDescent="0.25">
      <c r="A1236" s="159" t="str">
        <f t="shared" si="58"/>
        <v>LB-Milpitas and East San Jose-Central San Jose-Other maintenance</v>
      </c>
      <c r="B1236">
        <v>12</v>
      </c>
      <c r="C1236" t="str">
        <f t="shared" si="59"/>
        <v>Milpitas and East San Jose</v>
      </c>
      <c r="D1236">
        <v>11</v>
      </c>
      <c r="E1236" t="str">
        <f t="shared" si="59"/>
        <v>Central San Jose</v>
      </c>
      <c r="F1236" t="s">
        <v>325</v>
      </c>
      <c r="G1236">
        <f t="shared" si="57"/>
        <v>4</v>
      </c>
      <c r="H1236" t="s">
        <v>359</v>
      </c>
      <c r="I1236" t="s">
        <v>191</v>
      </c>
      <c r="J1236">
        <v>6</v>
      </c>
      <c r="K1236">
        <v>498.60066073806502</v>
      </c>
      <c r="Z1236"/>
    </row>
    <row r="1237" spans="1:26" x14ac:dyDescent="0.25">
      <c r="A1237" s="159" t="str">
        <f t="shared" si="58"/>
        <v>LB-Milpitas and East San Jose-Central San Jose-Shopping</v>
      </c>
      <c r="B1237">
        <v>12</v>
      </c>
      <c r="C1237" t="str">
        <f t="shared" si="59"/>
        <v>Milpitas and East San Jose</v>
      </c>
      <c r="D1237">
        <v>11</v>
      </c>
      <c r="E1237" t="str">
        <f t="shared" si="59"/>
        <v>Central San Jose</v>
      </c>
      <c r="F1237" t="s">
        <v>106</v>
      </c>
      <c r="G1237">
        <f t="shared" si="57"/>
        <v>4</v>
      </c>
      <c r="H1237" t="s">
        <v>359</v>
      </c>
      <c r="I1237" t="s">
        <v>191</v>
      </c>
      <c r="J1237">
        <v>1</v>
      </c>
      <c r="K1237">
        <v>185.366795366795</v>
      </c>
      <c r="Z1237"/>
    </row>
    <row r="1238" spans="1:26" x14ac:dyDescent="0.25">
      <c r="A1238" s="159" t="str">
        <f t="shared" si="58"/>
        <v>LR-Milpitas and East San Jose-Central San Jose-Social recreation</v>
      </c>
      <c r="B1238">
        <v>12</v>
      </c>
      <c r="C1238" t="str">
        <f t="shared" si="59"/>
        <v>Milpitas and East San Jose</v>
      </c>
      <c r="D1238">
        <v>11</v>
      </c>
      <c r="E1238" t="str">
        <f t="shared" si="59"/>
        <v>Central San Jose</v>
      </c>
      <c r="F1238" t="s">
        <v>324</v>
      </c>
      <c r="G1238">
        <f t="shared" si="57"/>
        <v>5</v>
      </c>
      <c r="H1238" t="s">
        <v>353</v>
      </c>
      <c r="I1238" t="s">
        <v>194</v>
      </c>
      <c r="J1238">
        <v>2</v>
      </c>
      <c r="K1238">
        <v>125.293546148508</v>
      </c>
      <c r="Z1238"/>
    </row>
    <row r="1239" spans="1:26" x14ac:dyDescent="0.25">
      <c r="A1239" s="159" t="str">
        <f t="shared" si="58"/>
        <v>LB-Milpitas and East San Jose-Central San Jose-Social recreation</v>
      </c>
      <c r="B1239">
        <v>12</v>
      </c>
      <c r="C1239" t="str">
        <f t="shared" si="59"/>
        <v>Milpitas and East San Jose</v>
      </c>
      <c r="D1239">
        <v>11</v>
      </c>
      <c r="E1239" t="str">
        <f t="shared" si="59"/>
        <v>Central San Jose</v>
      </c>
      <c r="F1239" t="s">
        <v>324</v>
      </c>
      <c r="G1239">
        <f t="shared" si="57"/>
        <v>5</v>
      </c>
      <c r="H1239" t="s">
        <v>359</v>
      </c>
      <c r="I1239" t="s">
        <v>191</v>
      </c>
      <c r="J1239">
        <v>3</v>
      </c>
      <c r="K1239">
        <v>310.660341515303</v>
      </c>
      <c r="Z1239"/>
    </row>
    <row r="1240" spans="1:26" x14ac:dyDescent="0.25">
      <c r="A1240" s="159" t="str">
        <f t="shared" si="58"/>
        <v>HR-Milpitas and East San Jose-Central San Jose-Work</v>
      </c>
      <c r="B1240">
        <v>12</v>
      </c>
      <c r="C1240" t="str">
        <f t="shared" si="59"/>
        <v>Milpitas and East San Jose</v>
      </c>
      <c r="D1240">
        <v>11</v>
      </c>
      <c r="E1240" t="str">
        <f t="shared" si="59"/>
        <v>Central San Jose</v>
      </c>
      <c r="F1240" t="s">
        <v>30</v>
      </c>
      <c r="G1240">
        <f t="shared" si="57"/>
        <v>1</v>
      </c>
      <c r="H1240" t="s">
        <v>124</v>
      </c>
      <c r="I1240" t="s">
        <v>188</v>
      </c>
      <c r="J1240">
        <v>1</v>
      </c>
      <c r="K1240">
        <v>195.51395348837201</v>
      </c>
      <c r="Z1240"/>
    </row>
    <row r="1241" spans="1:26" x14ac:dyDescent="0.25">
      <c r="A1241" s="159" t="str">
        <f t="shared" si="58"/>
        <v>LR-Milpitas and East San Jose-Central San Jose-Work</v>
      </c>
      <c r="B1241">
        <v>12</v>
      </c>
      <c r="C1241" t="str">
        <f t="shared" si="59"/>
        <v>Milpitas and East San Jose</v>
      </c>
      <c r="D1241">
        <v>11</v>
      </c>
      <c r="E1241" t="str">
        <f t="shared" si="59"/>
        <v>Central San Jose</v>
      </c>
      <c r="F1241" t="s">
        <v>30</v>
      </c>
      <c r="G1241">
        <f t="shared" si="57"/>
        <v>1</v>
      </c>
      <c r="H1241" t="s">
        <v>353</v>
      </c>
      <c r="I1241" t="s">
        <v>194</v>
      </c>
      <c r="J1241">
        <v>5</v>
      </c>
      <c r="K1241">
        <v>313.23386537126999</v>
      </c>
      <c r="Z1241"/>
    </row>
    <row r="1242" spans="1:26" x14ac:dyDescent="0.25">
      <c r="A1242" s="159" t="str">
        <f t="shared" si="58"/>
        <v>LB-Milpitas and East San Jose-Central San Jose-Work</v>
      </c>
      <c r="B1242">
        <v>12</v>
      </c>
      <c r="C1242" t="str">
        <f t="shared" si="59"/>
        <v>Milpitas and East San Jose</v>
      </c>
      <c r="D1242">
        <v>11</v>
      </c>
      <c r="E1242" t="str">
        <f t="shared" si="59"/>
        <v>Central San Jose</v>
      </c>
      <c r="F1242" t="s">
        <v>30</v>
      </c>
      <c r="G1242">
        <f t="shared" si="57"/>
        <v>1</v>
      </c>
      <c r="H1242" t="s">
        <v>359</v>
      </c>
      <c r="I1242" t="s">
        <v>191</v>
      </c>
      <c r="J1242">
        <v>14</v>
      </c>
      <c r="K1242">
        <v>1188.5532469544401</v>
      </c>
      <c r="Z1242"/>
    </row>
    <row r="1243" spans="1:26" x14ac:dyDescent="0.25">
      <c r="A1243" s="159" t="str">
        <f t="shared" si="58"/>
        <v>HR-Milpitas and East San Jose-Milpitas and East San Jose-High school</v>
      </c>
      <c r="B1243">
        <v>12</v>
      </c>
      <c r="C1243" t="str">
        <f t="shared" si="59"/>
        <v>Milpitas and East San Jose</v>
      </c>
      <c r="D1243">
        <v>12</v>
      </c>
      <c r="E1243" t="str">
        <f t="shared" si="59"/>
        <v>Milpitas and East San Jose</v>
      </c>
      <c r="F1243" t="s">
        <v>326</v>
      </c>
      <c r="G1243">
        <f t="shared" si="57"/>
        <v>3</v>
      </c>
      <c r="H1243" t="s">
        <v>124</v>
      </c>
      <c r="I1243" t="s">
        <v>188</v>
      </c>
      <c r="J1243">
        <v>1</v>
      </c>
      <c r="K1243">
        <v>95.822099447513807</v>
      </c>
      <c r="Z1243"/>
    </row>
    <row r="1244" spans="1:26" x14ac:dyDescent="0.25">
      <c r="A1244" s="159" t="str">
        <f t="shared" si="58"/>
        <v>LB-Milpitas and East San Jose-Milpitas and East San Jose-High school</v>
      </c>
      <c r="B1244">
        <v>12</v>
      </c>
      <c r="C1244" t="str">
        <f t="shared" si="59"/>
        <v>Milpitas and East San Jose</v>
      </c>
      <c r="D1244">
        <v>12</v>
      </c>
      <c r="E1244" t="str">
        <f t="shared" si="59"/>
        <v>Milpitas and East San Jose</v>
      </c>
      <c r="F1244" t="s">
        <v>326</v>
      </c>
      <c r="G1244">
        <f t="shared" si="57"/>
        <v>3</v>
      </c>
      <c r="H1244" t="s">
        <v>359</v>
      </c>
      <c r="I1244" t="s">
        <v>191</v>
      </c>
      <c r="J1244">
        <v>22</v>
      </c>
      <c r="K1244">
        <v>1378.2290076335801</v>
      </c>
      <c r="Z1244"/>
    </row>
    <row r="1245" spans="1:26" x14ac:dyDescent="0.25">
      <c r="A1245" s="159" t="str">
        <f t="shared" si="58"/>
        <v>LR-Milpitas and East San Jose-Milpitas and East San Jose-Missing</v>
      </c>
      <c r="B1245">
        <v>12</v>
      </c>
      <c r="C1245" t="str">
        <f t="shared" si="59"/>
        <v>Milpitas and East San Jose</v>
      </c>
      <c r="D1245">
        <v>12</v>
      </c>
      <c r="E1245" t="str">
        <f t="shared" si="59"/>
        <v>Milpitas and East San Jose</v>
      </c>
      <c r="F1245" t="s">
        <v>327</v>
      </c>
      <c r="G1245">
        <f t="shared" si="57"/>
        <v>0</v>
      </c>
      <c r="H1245" t="s">
        <v>353</v>
      </c>
      <c r="I1245" t="s">
        <v>194</v>
      </c>
      <c r="J1245">
        <v>2</v>
      </c>
      <c r="K1245">
        <v>125.293546148508</v>
      </c>
      <c r="Z1245"/>
    </row>
    <row r="1246" spans="1:26" x14ac:dyDescent="0.25">
      <c r="A1246" s="159" t="str">
        <f t="shared" si="58"/>
        <v>LB-Milpitas and East San Jose-Milpitas and East San Jose-Missing</v>
      </c>
      <c r="B1246">
        <v>12</v>
      </c>
      <c r="C1246" t="str">
        <f t="shared" si="59"/>
        <v>Milpitas and East San Jose</v>
      </c>
      <c r="D1246">
        <v>12</v>
      </c>
      <c r="E1246" t="str">
        <f t="shared" si="59"/>
        <v>Milpitas and East San Jose</v>
      </c>
      <c r="F1246" t="s">
        <v>327</v>
      </c>
      <c r="G1246">
        <f t="shared" si="57"/>
        <v>0</v>
      </c>
      <c r="H1246" t="s">
        <v>359</v>
      </c>
      <c r="I1246" t="s">
        <v>191</v>
      </c>
      <c r="J1246">
        <v>9</v>
      </c>
      <c r="K1246">
        <v>809.26100225336802</v>
      </c>
      <c r="Z1246"/>
    </row>
    <row r="1247" spans="1:26" x14ac:dyDescent="0.25">
      <c r="A1247" s="159" t="str">
        <f t="shared" si="58"/>
        <v>LR-Milpitas and East San Jose-Milpitas and East San Jose-Other maintenance</v>
      </c>
      <c r="B1247">
        <v>12</v>
      </c>
      <c r="C1247" t="str">
        <f t="shared" si="59"/>
        <v>Milpitas and East San Jose</v>
      </c>
      <c r="D1247">
        <v>12</v>
      </c>
      <c r="E1247" t="str">
        <f t="shared" si="59"/>
        <v>Milpitas and East San Jose</v>
      </c>
      <c r="F1247" t="s">
        <v>325</v>
      </c>
      <c r="G1247">
        <f t="shared" si="57"/>
        <v>4</v>
      </c>
      <c r="H1247" t="s">
        <v>353</v>
      </c>
      <c r="I1247" t="s">
        <v>194</v>
      </c>
      <c r="J1247">
        <v>2</v>
      </c>
      <c r="K1247">
        <v>125.293546148508</v>
      </c>
      <c r="Z1247"/>
    </row>
    <row r="1248" spans="1:26" x14ac:dyDescent="0.25">
      <c r="A1248" s="159" t="str">
        <f t="shared" si="58"/>
        <v>LB-Milpitas and East San Jose-Milpitas and East San Jose-Other maintenance</v>
      </c>
      <c r="B1248">
        <v>12</v>
      </c>
      <c r="C1248" t="str">
        <f t="shared" si="59"/>
        <v>Milpitas and East San Jose</v>
      </c>
      <c r="D1248">
        <v>12</v>
      </c>
      <c r="E1248" t="str">
        <f t="shared" si="59"/>
        <v>Milpitas and East San Jose</v>
      </c>
      <c r="F1248" t="s">
        <v>325</v>
      </c>
      <c r="G1248">
        <f t="shared" si="57"/>
        <v>4</v>
      </c>
      <c r="H1248" t="s">
        <v>359</v>
      </c>
      <c r="I1248" t="s">
        <v>191</v>
      </c>
      <c r="J1248">
        <v>10</v>
      </c>
      <c r="K1248">
        <v>871.90777532762195</v>
      </c>
      <c r="Z1248"/>
    </row>
    <row r="1249" spans="1:26" x14ac:dyDescent="0.25">
      <c r="A1249" s="159" t="str">
        <f t="shared" si="58"/>
        <v>LR-Milpitas and East San Jose-Milpitas and East San Jose-Shopping</v>
      </c>
      <c r="B1249">
        <v>12</v>
      </c>
      <c r="C1249" t="str">
        <f t="shared" si="59"/>
        <v>Milpitas and East San Jose</v>
      </c>
      <c r="D1249">
        <v>12</v>
      </c>
      <c r="E1249" t="str">
        <f t="shared" si="59"/>
        <v>Milpitas and East San Jose</v>
      </c>
      <c r="F1249" t="s">
        <v>106</v>
      </c>
      <c r="G1249">
        <f t="shared" si="57"/>
        <v>4</v>
      </c>
      <c r="H1249" t="s">
        <v>353</v>
      </c>
      <c r="I1249" t="s">
        <v>194</v>
      </c>
      <c r="J1249">
        <v>1</v>
      </c>
      <c r="K1249">
        <v>62.646773074254</v>
      </c>
      <c r="Z1249"/>
    </row>
    <row r="1250" spans="1:26" x14ac:dyDescent="0.25">
      <c r="A1250" s="159" t="str">
        <f t="shared" si="58"/>
        <v>LB-Milpitas and East San Jose-Milpitas and East San Jose-Shopping</v>
      </c>
      <c r="B1250">
        <v>12</v>
      </c>
      <c r="C1250" t="str">
        <f t="shared" si="59"/>
        <v>Milpitas and East San Jose</v>
      </c>
      <c r="D1250">
        <v>12</v>
      </c>
      <c r="E1250" t="str">
        <f t="shared" si="59"/>
        <v>Milpitas and East San Jose</v>
      </c>
      <c r="F1250" t="s">
        <v>106</v>
      </c>
      <c r="G1250">
        <f t="shared" si="57"/>
        <v>4</v>
      </c>
      <c r="H1250" t="s">
        <v>359</v>
      </c>
      <c r="I1250" t="s">
        <v>191</v>
      </c>
      <c r="J1250">
        <v>10</v>
      </c>
      <c r="K1250">
        <v>1325.6331896955901</v>
      </c>
      <c r="Z1250"/>
    </row>
    <row r="1251" spans="1:26" x14ac:dyDescent="0.25">
      <c r="A1251" s="159" t="str">
        <f t="shared" si="58"/>
        <v>LR-Milpitas and East San Jose-Milpitas and East San Jose-Social recreation</v>
      </c>
      <c r="B1251">
        <v>12</v>
      </c>
      <c r="C1251" t="str">
        <f t="shared" si="59"/>
        <v>Milpitas and East San Jose</v>
      </c>
      <c r="D1251">
        <v>12</v>
      </c>
      <c r="E1251" t="str">
        <f t="shared" si="59"/>
        <v>Milpitas and East San Jose</v>
      </c>
      <c r="F1251" t="s">
        <v>324</v>
      </c>
      <c r="G1251">
        <f t="shared" si="57"/>
        <v>5</v>
      </c>
      <c r="H1251" t="s">
        <v>353</v>
      </c>
      <c r="I1251" t="s">
        <v>194</v>
      </c>
      <c r="J1251">
        <v>1</v>
      </c>
      <c r="K1251">
        <v>62.646773074254</v>
      </c>
      <c r="Z1251"/>
    </row>
    <row r="1252" spans="1:26" x14ac:dyDescent="0.25">
      <c r="A1252" s="159" t="str">
        <f t="shared" si="58"/>
        <v>LB-Milpitas and East San Jose-Milpitas and East San Jose-Social recreation</v>
      </c>
      <c r="B1252">
        <v>12</v>
      </c>
      <c r="C1252" t="str">
        <f t="shared" si="59"/>
        <v>Milpitas and East San Jose</v>
      </c>
      <c r="D1252">
        <v>12</v>
      </c>
      <c r="E1252" t="str">
        <f t="shared" si="59"/>
        <v>Milpitas and East San Jose</v>
      </c>
      <c r="F1252" t="s">
        <v>324</v>
      </c>
      <c r="G1252">
        <f t="shared" si="57"/>
        <v>5</v>
      </c>
      <c r="H1252" t="s">
        <v>359</v>
      </c>
      <c r="I1252" t="s">
        <v>191</v>
      </c>
      <c r="J1252">
        <v>5</v>
      </c>
      <c r="K1252">
        <v>313.23386537126999</v>
      </c>
      <c r="Z1252"/>
    </row>
    <row r="1253" spans="1:26" x14ac:dyDescent="0.25">
      <c r="A1253" s="159" t="str">
        <f t="shared" si="58"/>
        <v>HR-Milpitas and East San Jose-Milpitas and East San Jose-Work</v>
      </c>
      <c r="B1253">
        <v>12</v>
      </c>
      <c r="C1253" t="str">
        <f t="shared" si="59"/>
        <v>Milpitas and East San Jose</v>
      </c>
      <c r="D1253">
        <v>12</v>
      </c>
      <c r="E1253" t="str">
        <f t="shared" si="59"/>
        <v>Milpitas and East San Jose</v>
      </c>
      <c r="F1253" t="s">
        <v>30</v>
      </c>
      <c r="G1253">
        <f t="shared" si="57"/>
        <v>1</v>
      </c>
      <c r="H1253" t="s">
        <v>124</v>
      </c>
      <c r="I1253" t="s">
        <v>188</v>
      </c>
      <c r="J1253">
        <v>1</v>
      </c>
      <c r="K1253">
        <v>95.822099447513807</v>
      </c>
      <c r="Z1253"/>
    </row>
    <row r="1254" spans="1:26" x14ac:dyDescent="0.25">
      <c r="A1254" s="159" t="str">
        <f t="shared" si="58"/>
        <v>LR-Milpitas and East San Jose-Milpitas and East San Jose-Work</v>
      </c>
      <c r="B1254">
        <v>12</v>
      </c>
      <c r="C1254" t="str">
        <f t="shared" si="59"/>
        <v>Milpitas and East San Jose</v>
      </c>
      <c r="D1254">
        <v>12</v>
      </c>
      <c r="E1254" t="str">
        <f t="shared" si="59"/>
        <v>Milpitas and East San Jose</v>
      </c>
      <c r="F1254" t="s">
        <v>30</v>
      </c>
      <c r="G1254">
        <f t="shared" si="57"/>
        <v>1</v>
      </c>
      <c r="H1254" t="s">
        <v>353</v>
      </c>
      <c r="I1254" t="s">
        <v>194</v>
      </c>
      <c r="J1254">
        <v>6</v>
      </c>
      <c r="K1254">
        <v>375.88063844552403</v>
      </c>
      <c r="Z1254"/>
    </row>
    <row r="1255" spans="1:26" x14ac:dyDescent="0.25">
      <c r="A1255" s="159" t="str">
        <f t="shared" si="58"/>
        <v>LB-Milpitas and East San Jose-Milpitas and East San Jose-Work</v>
      </c>
      <c r="B1255">
        <v>12</v>
      </c>
      <c r="C1255" t="str">
        <f t="shared" si="59"/>
        <v>Milpitas and East San Jose</v>
      </c>
      <c r="D1255">
        <v>12</v>
      </c>
      <c r="E1255" t="str">
        <f t="shared" si="59"/>
        <v>Milpitas and East San Jose</v>
      </c>
      <c r="F1255" t="s">
        <v>30</v>
      </c>
      <c r="G1255">
        <f t="shared" si="57"/>
        <v>1</v>
      </c>
      <c r="H1255" t="s">
        <v>359</v>
      </c>
      <c r="I1255" t="s">
        <v>191</v>
      </c>
      <c r="J1255">
        <v>43</v>
      </c>
      <c r="K1255">
        <v>3675.5714205332501</v>
      </c>
      <c r="Z1255"/>
    </row>
    <row r="1256" spans="1:26" x14ac:dyDescent="0.25">
      <c r="A1256" s="159" t="str">
        <f t="shared" si="58"/>
        <v>LB-Milpitas and East San Jose-South San Jose-Missing</v>
      </c>
      <c r="B1256">
        <v>12</v>
      </c>
      <c r="C1256" t="str">
        <f t="shared" si="59"/>
        <v>Milpitas and East San Jose</v>
      </c>
      <c r="D1256">
        <v>13</v>
      </c>
      <c r="E1256" t="str">
        <f t="shared" si="59"/>
        <v>South San Jose</v>
      </c>
      <c r="F1256" t="s">
        <v>327</v>
      </c>
      <c r="G1256">
        <f t="shared" si="57"/>
        <v>0</v>
      </c>
      <c r="H1256" t="s">
        <v>359</v>
      </c>
      <c r="I1256" t="s">
        <v>191</v>
      </c>
      <c r="J1256">
        <v>1</v>
      </c>
      <c r="K1256">
        <v>62.646773074254</v>
      </c>
      <c r="Z1256"/>
    </row>
    <row r="1257" spans="1:26" x14ac:dyDescent="0.25">
      <c r="A1257" s="159" t="str">
        <f t="shared" si="58"/>
        <v>LB-Milpitas and East San Jose-South San Jose-Other maintenance</v>
      </c>
      <c r="B1257">
        <v>12</v>
      </c>
      <c r="C1257" t="str">
        <f t="shared" si="59"/>
        <v>Milpitas and East San Jose</v>
      </c>
      <c r="D1257">
        <v>13</v>
      </c>
      <c r="E1257" t="str">
        <f t="shared" si="59"/>
        <v>South San Jose</v>
      </c>
      <c r="F1257" t="s">
        <v>325</v>
      </c>
      <c r="G1257">
        <f t="shared" si="57"/>
        <v>4</v>
      </c>
      <c r="H1257" t="s">
        <v>359</v>
      </c>
      <c r="I1257" t="s">
        <v>191</v>
      </c>
      <c r="J1257">
        <v>1</v>
      </c>
      <c r="K1257">
        <v>185.366795366795</v>
      </c>
      <c r="Z1257"/>
    </row>
    <row r="1258" spans="1:26" x14ac:dyDescent="0.25">
      <c r="A1258" s="159" t="str">
        <f t="shared" si="58"/>
        <v>LB-Milpitas and East San Jose-South San Jose-Shopping</v>
      </c>
      <c r="B1258">
        <v>12</v>
      </c>
      <c r="C1258" t="str">
        <f t="shared" si="59"/>
        <v>Milpitas and East San Jose</v>
      </c>
      <c r="D1258">
        <v>13</v>
      </c>
      <c r="E1258" t="str">
        <f t="shared" si="59"/>
        <v>South San Jose</v>
      </c>
      <c r="F1258" t="s">
        <v>106</v>
      </c>
      <c r="G1258">
        <f t="shared" si="57"/>
        <v>4</v>
      </c>
      <c r="H1258" t="s">
        <v>359</v>
      </c>
      <c r="I1258" t="s">
        <v>191</v>
      </c>
      <c r="J1258">
        <v>1</v>
      </c>
      <c r="K1258">
        <v>185.366795366795</v>
      </c>
      <c r="Z1258"/>
    </row>
    <row r="1259" spans="1:26" x14ac:dyDescent="0.25">
      <c r="A1259" s="159" t="str">
        <f t="shared" si="58"/>
        <v>LR-Milpitas and East San Jose-South San Jose-Work</v>
      </c>
      <c r="B1259">
        <v>12</v>
      </c>
      <c r="C1259" t="str">
        <f t="shared" si="59"/>
        <v>Milpitas and East San Jose</v>
      </c>
      <c r="D1259">
        <v>13</v>
      </c>
      <c r="E1259" t="str">
        <f t="shared" si="59"/>
        <v>South San Jose</v>
      </c>
      <c r="F1259" t="s">
        <v>30</v>
      </c>
      <c r="G1259">
        <f t="shared" si="57"/>
        <v>1</v>
      </c>
      <c r="H1259" t="s">
        <v>353</v>
      </c>
      <c r="I1259" t="s">
        <v>194</v>
      </c>
      <c r="J1259">
        <v>1</v>
      </c>
      <c r="K1259">
        <v>185.366795366795</v>
      </c>
      <c r="Z1259"/>
    </row>
    <row r="1260" spans="1:26" x14ac:dyDescent="0.25">
      <c r="A1260" s="159" t="str">
        <f t="shared" si="58"/>
        <v>LB-Milpitas and East San Jose-South San Jose-Work</v>
      </c>
      <c r="B1260">
        <v>12</v>
      </c>
      <c r="C1260" t="str">
        <f t="shared" si="59"/>
        <v>Milpitas and East San Jose</v>
      </c>
      <c r="D1260">
        <v>13</v>
      </c>
      <c r="E1260" t="str">
        <f t="shared" si="59"/>
        <v>South San Jose</v>
      </c>
      <c r="F1260" t="s">
        <v>30</v>
      </c>
      <c r="G1260">
        <f t="shared" si="57"/>
        <v>1</v>
      </c>
      <c r="H1260" t="s">
        <v>359</v>
      </c>
      <c r="I1260" t="s">
        <v>191</v>
      </c>
      <c r="J1260">
        <v>1</v>
      </c>
      <c r="K1260">
        <v>62.646773074254</v>
      </c>
      <c r="Z1260"/>
    </row>
    <row r="1261" spans="1:26" x14ac:dyDescent="0.25">
      <c r="A1261" s="159" t="str">
        <f t="shared" si="58"/>
        <v>LB-Milpitas and East San Jose-Gilroy and Morgan Hill-High school</v>
      </c>
      <c r="B1261">
        <v>12</v>
      </c>
      <c r="C1261" t="str">
        <f t="shared" si="59"/>
        <v>Milpitas and East San Jose</v>
      </c>
      <c r="D1261">
        <v>14</v>
      </c>
      <c r="E1261" t="str">
        <f t="shared" si="59"/>
        <v>Gilroy and Morgan Hill</v>
      </c>
      <c r="F1261" t="s">
        <v>326</v>
      </c>
      <c r="G1261">
        <f t="shared" si="57"/>
        <v>3</v>
      </c>
      <c r="H1261" t="s">
        <v>359</v>
      </c>
      <c r="I1261" t="s">
        <v>191</v>
      </c>
      <c r="J1261">
        <v>1</v>
      </c>
      <c r="K1261">
        <v>62.646773074254</v>
      </c>
      <c r="Z1261"/>
    </row>
    <row r="1262" spans="1:26" x14ac:dyDescent="0.25">
      <c r="A1262" s="159" t="str">
        <f t="shared" si="58"/>
        <v>LB-Milpitas and East San Jose-Gilroy and Morgan Hill-Missing</v>
      </c>
      <c r="B1262">
        <v>12</v>
      </c>
      <c r="C1262" t="str">
        <f t="shared" si="59"/>
        <v>Milpitas and East San Jose</v>
      </c>
      <c r="D1262">
        <v>14</v>
      </c>
      <c r="E1262" t="str">
        <f t="shared" si="59"/>
        <v>Gilroy and Morgan Hill</v>
      </c>
      <c r="F1262" t="s">
        <v>327</v>
      </c>
      <c r="G1262">
        <f t="shared" si="57"/>
        <v>0</v>
      </c>
      <c r="H1262" t="s">
        <v>359</v>
      </c>
      <c r="I1262" t="s">
        <v>191</v>
      </c>
      <c r="J1262">
        <v>1</v>
      </c>
      <c r="K1262">
        <v>62.646773074254</v>
      </c>
      <c r="Z1262"/>
    </row>
    <row r="1263" spans="1:26" x14ac:dyDescent="0.25">
      <c r="A1263" s="159" t="str">
        <f t="shared" si="58"/>
        <v>HR-Milpitas and East San Jose-Livermore and Pleasanton-Other maintenance</v>
      </c>
      <c r="B1263">
        <v>12</v>
      </c>
      <c r="C1263" t="str">
        <f t="shared" si="59"/>
        <v>Milpitas and East San Jose</v>
      </c>
      <c r="D1263">
        <v>15</v>
      </c>
      <c r="E1263" t="str">
        <f t="shared" si="59"/>
        <v>Livermore and Pleasanton</v>
      </c>
      <c r="F1263" t="s">
        <v>325</v>
      </c>
      <c r="G1263">
        <f t="shared" si="57"/>
        <v>4</v>
      </c>
      <c r="H1263" t="s">
        <v>124</v>
      </c>
      <c r="I1263" t="s">
        <v>188</v>
      </c>
      <c r="J1263">
        <v>1</v>
      </c>
      <c r="K1263">
        <v>95.822099447513807</v>
      </c>
      <c r="Z1263"/>
    </row>
    <row r="1264" spans="1:26" x14ac:dyDescent="0.25">
      <c r="A1264" s="159" t="str">
        <f t="shared" si="58"/>
        <v>LB-Milpitas and East San Jose-Fremont and Union City-Missing</v>
      </c>
      <c r="B1264">
        <v>12</v>
      </c>
      <c r="C1264" t="str">
        <f t="shared" si="59"/>
        <v>Milpitas and East San Jose</v>
      </c>
      <c r="D1264">
        <v>16</v>
      </c>
      <c r="E1264" t="str">
        <f t="shared" si="59"/>
        <v>Fremont and Union City</v>
      </c>
      <c r="F1264" t="s">
        <v>327</v>
      </c>
      <c r="G1264">
        <f t="shared" si="57"/>
        <v>0</v>
      </c>
      <c r="H1264" t="s">
        <v>359</v>
      </c>
      <c r="I1264" t="s">
        <v>191</v>
      </c>
      <c r="J1264">
        <v>1</v>
      </c>
      <c r="K1264">
        <v>62.646773074254</v>
      </c>
      <c r="Z1264"/>
    </row>
    <row r="1265" spans="1:26" x14ac:dyDescent="0.25">
      <c r="A1265" s="159" t="str">
        <f t="shared" si="58"/>
        <v>HR-Milpitas and East San Jose-Fremont and Union City-Social recreation</v>
      </c>
      <c r="B1265">
        <v>12</v>
      </c>
      <c r="C1265" t="str">
        <f t="shared" si="59"/>
        <v>Milpitas and East San Jose</v>
      </c>
      <c r="D1265">
        <v>16</v>
      </c>
      <c r="E1265" t="str">
        <f t="shared" si="59"/>
        <v>Fremont and Union City</v>
      </c>
      <c r="F1265" t="s">
        <v>324</v>
      </c>
      <c r="G1265">
        <f t="shared" si="57"/>
        <v>5</v>
      </c>
      <c r="H1265" t="s">
        <v>124</v>
      </c>
      <c r="I1265" t="s">
        <v>188</v>
      </c>
      <c r="J1265">
        <v>1</v>
      </c>
      <c r="K1265">
        <v>195.51395348837201</v>
      </c>
      <c r="Z1265"/>
    </row>
    <row r="1266" spans="1:26" x14ac:dyDescent="0.25">
      <c r="A1266" s="159" t="str">
        <f t="shared" si="58"/>
        <v>LB-Milpitas and East San Jose-Fremont and Union City-Social recreation</v>
      </c>
      <c r="B1266">
        <v>12</v>
      </c>
      <c r="C1266" t="str">
        <f t="shared" si="59"/>
        <v>Milpitas and East San Jose</v>
      </c>
      <c r="D1266">
        <v>16</v>
      </c>
      <c r="E1266" t="str">
        <f t="shared" si="59"/>
        <v>Fremont and Union City</v>
      </c>
      <c r="F1266" t="s">
        <v>324</v>
      </c>
      <c r="G1266">
        <f t="shared" si="57"/>
        <v>5</v>
      </c>
      <c r="H1266" t="s">
        <v>359</v>
      </c>
      <c r="I1266" t="s">
        <v>191</v>
      </c>
      <c r="J1266">
        <v>2</v>
      </c>
      <c r="K1266">
        <v>248.01356844104899</v>
      </c>
      <c r="Z1266"/>
    </row>
    <row r="1267" spans="1:26" x14ac:dyDescent="0.25">
      <c r="A1267" s="159" t="str">
        <f t="shared" si="58"/>
        <v>HR-Milpitas and East San Jose-Fremont and Union City-Work</v>
      </c>
      <c r="B1267">
        <v>12</v>
      </c>
      <c r="C1267" t="str">
        <f t="shared" si="59"/>
        <v>Milpitas and East San Jose</v>
      </c>
      <c r="D1267">
        <v>16</v>
      </c>
      <c r="E1267" t="str">
        <f t="shared" si="59"/>
        <v>Fremont and Union City</v>
      </c>
      <c r="F1267" t="s">
        <v>30</v>
      </c>
      <c r="G1267">
        <f t="shared" si="57"/>
        <v>1</v>
      </c>
      <c r="H1267" t="s">
        <v>124</v>
      </c>
      <c r="I1267" t="s">
        <v>188</v>
      </c>
      <c r="J1267">
        <v>2</v>
      </c>
      <c r="K1267">
        <v>291.33605293588499</v>
      </c>
      <c r="Z1267"/>
    </row>
    <row r="1268" spans="1:26" x14ac:dyDescent="0.25">
      <c r="A1268" s="159" t="str">
        <f t="shared" si="58"/>
        <v>LB-Milpitas and East San Jose-Fremont and Union City-Work</v>
      </c>
      <c r="B1268">
        <v>12</v>
      </c>
      <c r="C1268" t="str">
        <f t="shared" si="59"/>
        <v>Milpitas and East San Jose</v>
      </c>
      <c r="D1268">
        <v>16</v>
      </c>
      <c r="E1268" t="str">
        <f t="shared" si="59"/>
        <v>Fremont and Union City</v>
      </c>
      <c r="F1268" t="s">
        <v>30</v>
      </c>
      <c r="G1268">
        <f t="shared" si="57"/>
        <v>1</v>
      </c>
      <c r="H1268" t="s">
        <v>359</v>
      </c>
      <c r="I1268" t="s">
        <v>191</v>
      </c>
      <c r="J1268">
        <v>3</v>
      </c>
      <c r="K1268">
        <v>200.86880869226499</v>
      </c>
      <c r="Z1268"/>
    </row>
    <row r="1269" spans="1:26" x14ac:dyDescent="0.25">
      <c r="A1269" s="159" t="str">
        <f t="shared" si="58"/>
        <v>HR-Milpitas and East San Jose-Hayward and San Leandro-Social recreation</v>
      </c>
      <c r="B1269">
        <v>12</v>
      </c>
      <c r="C1269" t="str">
        <f t="shared" si="59"/>
        <v>Milpitas and East San Jose</v>
      </c>
      <c r="D1269">
        <v>17</v>
      </c>
      <c r="E1269" t="str">
        <f t="shared" si="59"/>
        <v>Hayward and San Leandro</v>
      </c>
      <c r="F1269" t="s">
        <v>324</v>
      </c>
      <c r="G1269">
        <f t="shared" si="57"/>
        <v>5</v>
      </c>
      <c r="H1269" t="s">
        <v>124</v>
      </c>
      <c r="I1269" t="s">
        <v>188</v>
      </c>
      <c r="J1269">
        <v>1</v>
      </c>
      <c r="K1269">
        <v>195.51395348837201</v>
      </c>
      <c r="Z1269"/>
    </row>
    <row r="1270" spans="1:26" x14ac:dyDescent="0.25">
      <c r="A1270" s="159" t="str">
        <f t="shared" si="58"/>
        <v>LB-Milpitas and East San Jose-Hayward and San Leandro-Social recreation</v>
      </c>
      <c r="B1270">
        <v>12</v>
      </c>
      <c r="C1270" t="str">
        <f t="shared" si="59"/>
        <v>Milpitas and East San Jose</v>
      </c>
      <c r="D1270">
        <v>17</v>
      </c>
      <c r="E1270" t="str">
        <f t="shared" si="59"/>
        <v>Hayward and San Leandro</v>
      </c>
      <c r="F1270" t="s">
        <v>324</v>
      </c>
      <c r="G1270">
        <f t="shared" si="57"/>
        <v>5</v>
      </c>
      <c r="H1270" t="s">
        <v>359</v>
      </c>
      <c r="I1270" t="s">
        <v>191</v>
      </c>
      <c r="J1270">
        <v>1</v>
      </c>
      <c r="K1270">
        <v>62.646773074254</v>
      </c>
      <c r="Z1270"/>
    </row>
    <row r="1271" spans="1:26" x14ac:dyDescent="0.25">
      <c r="A1271" s="159" t="str">
        <f t="shared" si="58"/>
        <v>LB-Milpitas and East San Jose-Hayward and San Leandro-Work</v>
      </c>
      <c r="B1271">
        <v>12</v>
      </c>
      <c r="C1271" t="str">
        <f t="shared" si="59"/>
        <v>Milpitas and East San Jose</v>
      </c>
      <c r="D1271">
        <v>17</v>
      </c>
      <c r="E1271" t="str">
        <f t="shared" si="59"/>
        <v>Hayward and San Leandro</v>
      </c>
      <c r="F1271" t="s">
        <v>30</v>
      </c>
      <c r="G1271">
        <f t="shared" si="57"/>
        <v>1</v>
      </c>
      <c r="H1271" t="s">
        <v>359</v>
      </c>
      <c r="I1271" t="s">
        <v>191</v>
      </c>
      <c r="J1271">
        <v>1</v>
      </c>
      <c r="K1271">
        <v>62.646773074254</v>
      </c>
      <c r="Z1271"/>
    </row>
    <row r="1272" spans="1:26" x14ac:dyDescent="0.25">
      <c r="A1272" s="159" t="str">
        <f t="shared" si="58"/>
        <v>HR-Milpitas and East San Jose-Oakland and Alameda-High school</v>
      </c>
      <c r="B1272">
        <v>12</v>
      </c>
      <c r="C1272" t="str">
        <f t="shared" si="59"/>
        <v>Milpitas and East San Jose</v>
      </c>
      <c r="D1272">
        <v>18</v>
      </c>
      <c r="E1272" t="str">
        <f t="shared" si="59"/>
        <v>Oakland and Alameda</v>
      </c>
      <c r="F1272" t="s">
        <v>326</v>
      </c>
      <c r="G1272">
        <f t="shared" si="57"/>
        <v>3</v>
      </c>
      <c r="H1272" t="s">
        <v>124</v>
      </c>
      <c r="I1272" t="s">
        <v>188</v>
      </c>
      <c r="J1272">
        <v>1</v>
      </c>
      <c r="K1272">
        <v>95.822099447513807</v>
      </c>
      <c r="Z1272"/>
    </row>
    <row r="1273" spans="1:26" x14ac:dyDescent="0.25">
      <c r="A1273" s="159" t="str">
        <f t="shared" si="58"/>
        <v>HR-Milpitas and East San Jose-Oakland and Alameda-Shopping</v>
      </c>
      <c r="B1273">
        <v>12</v>
      </c>
      <c r="C1273" t="str">
        <f t="shared" si="59"/>
        <v>Milpitas and East San Jose</v>
      </c>
      <c r="D1273">
        <v>18</v>
      </c>
      <c r="E1273" t="str">
        <f t="shared" si="59"/>
        <v>Oakland and Alameda</v>
      </c>
      <c r="F1273" t="s">
        <v>106</v>
      </c>
      <c r="G1273">
        <f t="shared" si="57"/>
        <v>4</v>
      </c>
      <c r="H1273" t="s">
        <v>124</v>
      </c>
      <c r="I1273" t="s">
        <v>188</v>
      </c>
      <c r="J1273">
        <v>1</v>
      </c>
      <c r="K1273">
        <v>195.51395348837201</v>
      </c>
      <c r="Z1273"/>
    </row>
    <row r="1274" spans="1:26" x14ac:dyDescent="0.25">
      <c r="A1274" s="159" t="str">
        <f t="shared" si="58"/>
        <v>HR-Milpitas and East San Jose-Oakland and Alameda-Social recreation</v>
      </c>
      <c r="B1274">
        <v>12</v>
      </c>
      <c r="C1274" t="str">
        <f t="shared" si="59"/>
        <v>Milpitas and East San Jose</v>
      </c>
      <c r="D1274">
        <v>18</v>
      </c>
      <c r="E1274" t="str">
        <f t="shared" si="59"/>
        <v>Oakland and Alameda</v>
      </c>
      <c r="F1274" t="s">
        <v>324</v>
      </c>
      <c r="G1274">
        <f t="shared" si="57"/>
        <v>5</v>
      </c>
      <c r="H1274" t="s">
        <v>124</v>
      </c>
      <c r="I1274" t="s">
        <v>188</v>
      </c>
      <c r="J1274">
        <v>1</v>
      </c>
      <c r="K1274">
        <v>95.822099447513807</v>
      </c>
      <c r="Z1274"/>
    </row>
    <row r="1275" spans="1:26" x14ac:dyDescent="0.25">
      <c r="A1275" s="159" t="str">
        <f t="shared" si="58"/>
        <v>HR-Milpitas and East San Jose-Berkeley and Albany-High school</v>
      </c>
      <c r="B1275">
        <v>12</v>
      </c>
      <c r="C1275" t="str">
        <f t="shared" si="59"/>
        <v>Milpitas and East San Jose</v>
      </c>
      <c r="D1275">
        <v>19</v>
      </c>
      <c r="E1275" t="str">
        <f t="shared" si="59"/>
        <v>Berkeley and Albany</v>
      </c>
      <c r="F1275" t="s">
        <v>326</v>
      </c>
      <c r="G1275">
        <f t="shared" si="57"/>
        <v>3</v>
      </c>
      <c r="H1275" t="s">
        <v>124</v>
      </c>
      <c r="I1275" t="s">
        <v>188</v>
      </c>
      <c r="J1275">
        <v>1</v>
      </c>
      <c r="K1275">
        <v>95.822099447513807</v>
      </c>
      <c r="Z1275"/>
    </row>
    <row r="1276" spans="1:26" x14ac:dyDescent="0.25">
      <c r="A1276" s="159" t="str">
        <f t="shared" si="58"/>
        <v>LB-Milpitas and East San Jose-Berkeley and Albany-High school</v>
      </c>
      <c r="B1276">
        <v>12</v>
      </c>
      <c r="C1276" t="str">
        <f t="shared" si="59"/>
        <v>Milpitas and East San Jose</v>
      </c>
      <c r="D1276">
        <v>19</v>
      </c>
      <c r="E1276" t="str">
        <f t="shared" si="59"/>
        <v>Berkeley and Albany</v>
      </c>
      <c r="F1276" t="s">
        <v>326</v>
      </c>
      <c r="G1276">
        <f t="shared" si="57"/>
        <v>3</v>
      </c>
      <c r="H1276" t="s">
        <v>359</v>
      </c>
      <c r="I1276" t="s">
        <v>191</v>
      </c>
      <c r="J1276">
        <v>1</v>
      </c>
      <c r="K1276">
        <v>185.366795366795</v>
      </c>
      <c r="Z1276"/>
    </row>
    <row r="1277" spans="1:26" x14ac:dyDescent="0.25">
      <c r="A1277" s="159" t="str">
        <f t="shared" si="58"/>
        <v>HR-Milpitas and East San Jose-Berkeley and Albany-Social recreation</v>
      </c>
      <c r="B1277">
        <v>12</v>
      </c>
      <c r="C1277" t="str">
        <f t="shared" si="59"/>
        <v>Milpitas and East San Jose</v>
      </c>
      <c r="D1277">
        <v>19</v>
      </c>
      <c r="E1277" t="str">
        <f t="shared" si="59"/>
        <v>Berkeley and Albany</v>
      </c>
      <c r="F1277" t="s">
        <v>324</v>
      </c>
      <c r="G1277">
        <f t="shared" si="57"/>
        <v>5</v>
      </c>
      <c r="H1277" t="s">
        <v>124</v>
      </c>
      <c r="I1277" t="s">
        <v>188</v>
      </c>
      <c r="J1277">
        <v>1</v>
      </c>
      <c r="K1277">
        <v>95.822099447513807</v>
      </c>
      <c r="Z1277"/>
    </row>
    <row r="1278" spans="1:26" x14ac:dyDescent="0.25">
      <c r="A1278" s="159" t="str">
        <f t="shared" si="58"/>
        <v>HR-Milpitas and East San Jose-Berkeley and Albany-Work</v>
      </c>
      <c r="B1278">
        <v>12</v>
      </c>
      <c r="C1278" t="str">
        <f t="shared" si="59"/>
        <v>Milpitas and East San Jose</v>
      </c>
      <c r="D1278">
        <v>19</v>
      </c>
      <c r="E1278" t="str">
        <f t="shared" si="59"/>
        <v>Berkeley and Albany</v>
      </c>
      <c r="F1278" t="s">
        <v>30</v>
      </c>
      <c r="G1278">
        <f t="shared" si="57"/>
        <v>1</v>
      </c>
      <c r="H1278" t="s">
        <v>124</v>
      </c>
      <c r="I1278" t="s">
        <v>188</v>
      </c>
      <c r="J1278">
        <v>2</v>
      </c>
      <c r="K1278">
        <v>191.64419889502699</v>
      </c>
      <c r="Z1278"/>
    </row>
    <row r="1279" spans="1:26" x14ac:dyDescent="0.25">
      <c r="A1279" s="159" t="str">
        <f t="shared" si="58"/>
        <v>HR-Milpitas and East San Jose-Concord and Martinez-Work</v>
      </c>
      <c r="B1279">
        <v>12</v>
      </c>
      <c r="C1279" t="str">
        <f t="shared" si="59"/>
        <v>Milpitas and East San Jose</v>
      </c>
      <c r="D1279">
        <v>21</v>
      </c>
      <c r="E1279" t="str">
        <f t="shared" si="59"/>
        <v>Concord and Martinez</v>
      </c>
      <c r="F1279" t="s">
        <v>30</v>
      </c>
      <c r="G1279">
        <f t="shared" si="57"/>
        <v>1</v>
      </c>
      <c r="H1279" t="s">
        <v>124</v>
      </c>
      <c r="I1279" t="s">
        <v>188</v>
      </c>
      <c r="J1279">
        <v>1</v>
      </c>
      <c r="K1279">
        <v>95.822099447513807</v>
      </c>
      <c r="Z1279"/>
    </row>
    <row r="1280" spans="1:26" x14ac:dyDescent="0.25">
      <c r="A1280" s="159" t="str">
        <f t="shared" si="58"/>
        <v>LB-Milpitas and East San Jose-Concord and Martinez-Work</v>
      </c>
      <c r="B1280">
        <v>12</v>
      </c>
      <c r="C1280" t="str">
        <f t="shared" si="59"/>
        <v>Milpitas and East San Jose</v>
      </c>
      <c r="D1280">
        <v>21</v>
      </c>
      <c r="E1280" t="str">
        <f t="shared" si="59"/>
        <v>Concord and Martinez</v>
      </c>
      <c r="F1280" t="s">
        <v>30</v>
      </c>
      <c r="G1280">
        <f t="shared" si="57"/>
        <v>1</v>
      </c>
      <c r="H1280" t="s">
        <v>359</v>
      </c>
      <c r="I1280" t="s">
        <v>191</v>
      </c>
      <c r="J1280">
        <v>1</v>
      </c>
      <c r="K1280">
        <v>185.366795366795</v>
      </c>
      <c r="Z1280"/>
    </row>
    <row r="1281" spans="1:26" x14ac:dyDescent="0.25">
      <c r="A1281" s="159" t="str">
        <f t="shared" si="58"/>
        <v>HR-South San Jose-Greater Downtown San Francisco-Social recreation</v>
      </c>
      <c r="B1281">
        <v>13</v>
      </c>
      <c r="C1281" t="str">
        <f t="shared" si="59"/>
        <v>South San Jose</v>
      </c>
      <c r="D1281">
        <v>1</v>
      </c>
      <c r="E1281" t="str">
        <f t="shared" si="59"/>
        <v>Greater Downtown San Francisco</v>
      </c>
      <c r="F1281" t="s">
        <v>324</v>
      </c>
      <c r="G1281">
        <f t="shared" si="57"/>
        <v>5</v>
      </c>
      <c r="H1281" t="s">
        <v>124</v>
      </c>
      <c r="I1281" t="s">
        <v>188</v>
      </c>
      <c r="J1281">
        <v>1</v>
      </c>
      <c r="K1281">
        <v>195.51395348837201</v>
      </c>
      <c r="Z1281"/>
    </row>
    <row r="1282" spans="1:26" x14ac:dyDescent="0.25">
      <c r="A1282" s="159" t="str">
        <f t="shared" si="58"/>
        <v>CR-South San Jose-San Francisco Richmond District-Social recreation</v>
      </c>
      <c r="B1282">
        <v>13</v>
      </c>
      <c r="C1282" t="str">
        <f t="shared" si="59"/>
        <v>South San Jose</v>
      </c>
      <c r="D1282">
        <v>2</v>
      </c>
      <c r="E1282" t="str">
        <f t="shared" si="59"/>
        <v>San Francisco Richmond District</v>
      </c>
      <c r="F1282" t="s">
        <v>324</v>
      </c>
      <c r="G1282">
        <f t="shared" ref="G1282:G1345" si="60">VLOOKUP(F1282,$V$2:$X$10, 3,FALSE)</f>
        <v>5</v>
      </c>
      <c r="H1282" t="s">
        <v>125</v>
      </c>
      <c r="I1282" t="s">
        <v>178</v>
      </c>
      <c r="J1282">
        <v>1</v>
      </c>
      <c r="K1282">
        <v>25.1469534050179</v>
      </c>
      <c r="Z1282"/>
    </row>
    <row r="1283" spans="1:26" x14ac:dyDescent="0.25">
      <c r="A1283" s="159" t="str">
        <f t="shared" ref="A1283:A1346" si="61" xml:space="preserve"> CONCATENATE(I1283,"-",C1283, "-",E1283, "-",F1283,)</f>
        <v>CR-South San Jose-San Mateo and Burlingame-Work</v>
      </c>
      <c r="B1283">
        <v>13</v>
      </c>
      <c r="C1283" t="str">
        <f t="shared" ref="C1283:E1346" si="62">VLOOKUP(B1283,$S$2:$T$35,2,FALSE)</f>
        <v>South San Jose</v>
      </c>
      <c r="D1283">
        <v>6</v>
      </c>
      <c r="E1283" t="str">
        <f t="shared" si="62"/>
        <v>San Mateo and Burlingame</v>
      </c>
      <c r="F1283" t="s">
        <v>30</v>
      </c>
      <c r="G1283">
        <f t="shared" si="60"/>
        <v>1</v>
      </c>
      <c r="H1283" t="s">
        <v>125</v>
      </c>
      <c r="I1283" t="s">
        <v>178</v>
      </c>
      <c r="J1283">
        <v>1</v>
      </c>
      <c r="K1283">
        <v>23.4305084745763</v>
      </c>
      <c r="Z1283"/>
    </row>
    <row r="1284" spans="1:26" x14ac:dyDescent="0.25">
      <c r="A1284" s="159" t="str">
        <f t="shared" si="61"/>
        <v>LB-South San Jose-Palo Alto and Los Altos-Missing</v>
      </c>
      <c r="B1284">
        <v>13</v>
      </c>
      <c r="C1284" t="str">
        <f t="shared" si="62"/>
        <v>South San Jose</v>
      </c>
      <c r="D1284">
        <v>8</v>
      </c>
      <c r="E1284" t="str">
        <f t="shared" si="62"/>
        <v>Palo Alto and Los Altos</v>
      </c>
      <c r="F1284" t="s">
        <v>327</v>
      </c>
      <c r="G1284">
        <f t="shared" si="60"/>
        <v>0</v>
      </c>
      <c r="H1284" t="s">
        <v>359</v>
      </c>
      <c r="I1284" t="s">
        <v>191</v>
      </c>
      <c r="J1284">
        <v>1</v>
      </c>
      <c r="K1284">
        <v>62.646773074254</v>
      </c>
      <c r="Z1284"/>
    </row>
    <row r="1285" spans="1:26" x14ac:dyDescent="0.25">
      <c r="A1285" s="159" t="str">
        <f t="shared" si="61"/>
        <v>CR-South San Jose-Palo Alto and Los Altos-Work</v>
      </c>
      <c r="B1285">
        <v>13</v>
      </c>
      <c r="C1285" t="str">
        <f t="shared" si="62"/>
        <v>South San Jose</v>
      </c>
      <c r="D1285">
        <v>8</v>
      </c>
      <c r="E1285" t="str">
        <f t="shared" si="62"/>
        <v>Palo Alto and Los Altos</v>
      </c>
      <c r="F1285" t="s">
        <v>30</v>
      </c>
      <c r="G1285">
        <f t="shared" si="60"/>
        <v>1</v>
      </c>
      <c r="H1285" t="s">
        <v>125</v>
      </c>
      <c r="I1285" t="s">
        <v>178</v>
      </c>
      <c r="J1285">
        <v>1</v>
      </c>
      <c r="K1285">
        <v>23.4305084745763</v>
      </c>
      <c r="Z1285"/>
    </row>
    <row r="1286" spans="1:26" x14ac:dyDescent="0.25">
      <c r="A1286" s="159" t="str">
        <f t="shared" si="61"/>
        <v>LR-South San Jose-Sunnyvale and Mountain View-Work</v>
      </c>
      <c r="B1286">
        <v>13</v>
      </c>
      <c r="C1286" t="str">
        <f t="shared" si="62"/>
        <v>South San Jose</v>
      </c>
      <c r="D1286">
        <v>9</v>
      </c>
      <c r="E1286" t="str">
        <f t="shared" si="62"/>
        <v>Sunnyvale and Mountain View</v>
      </c>
      <c r="F1286" t="s">
        <v>30</v>
      </c>
      <c r="G1286">
        <f t="shared" si="60"/>
        <v>1</v>
      </c>
      <c r="H1286" t="s">
        <v>353</v>
      </c>
      <c r="I1286" t="s">
        <v>194</v>
      </c>
      <c r="J1286">
        <v>3</v>
      </c>
      <c r="K1286">
        <v>187.94031922276201</v>
      </c>
      <c r="Z1286"/>
    </row>
    <row r="1287" spans="1:26" x14ac:dyDescent="0.25">
      <c r="A1287" s="159" t="str">
        <f t="shared" si="61"/>
        <v>LB-South San Jose-Sunnyvale and Mountain View-Work</v>
      </c>
      <c r="B1287">
        <v>13</v>
      </c>
      <c r="C1287" t="str">
        <f t="shared" si="62"/>
        <v>South San Jose</v>
      </c>
      <c r="D1287">
        <v>9</v>
      </c>
      <c r="E1287" t="str">
        <f t="shared" si="62"/>
        <v>Sunnyvale and Mountain View</v>
      </c>
      <c r="F1287" t="s">
        <v>30</v>
      </c>
      <c r="G1287">
        <f t="shared" si="60"/>
        <v>1</v>
      </c>
      <c r="H1287" t="s">
        <v>359</v>
      </c>
      <c r="I1287" t="s">
        <v>191</v>
      </c>
      <c r="J1287">
        <v>6</v>
      </c>
      <c r="K1287">
        <v>744.04070532314699</v>
      </c>
      <c r="Z1287"/>
    </row>
    <row r="1288" spans="1:26" x14ac:dyDescent="0.25">
      <c r="A1288" s="159" t="str">
        <f t="shared" si="61"/>
        <v>LB-South San Jose-Cupertino and Saratoga-High school</v>
      </c>
      <c r="B1288">
        <v>13</v>
      </c>
      <c r="C1288" t="str">
        <f t="shared" si="62"/>
        <v>South San Jose</v>
      </c>
      <c r="D1288">
        <v>10</v>
      </c>
      <c r="E1288" t="str">
        <f t="shared" si="62"/>
        <v>Cupertino and Saratoga</v>
      </c>
      <c r="F1288" t="s">
        <v>326</v>
      </c>
      <c r="G1288">
        <f t="shared" si="60"/>
        <v>3</v>
      </c>
      <c r="H1288" t="s">
        <v>359</v>
      </c>
      <c r="I1288" t="s">
        <v>191</v>
      </c>
      <c r="J1288">
        <v>3</v>
      </c>
      <c r="K1288">
        <v>187.94031922276201</v>
      </c>
      <c r="Z1288"/>
    </row>
    <row r="1289" spans="1:26" x14ac:dyDescent="0.25">
      <c r="A1289" s="159" t="str">
        <f t="shared" si="61"/>
        <v>LB-South San Jose-Cupertino and Saratoga-Social recreation</v>
      </c>
      <c r="B1289">
        <v>13</v>
      </c>
      <c r="C1289" t="str">
        <f t="shared" si="62"/>
        <v>South San Jose</v>
      </c>
      <c r="D1289">
        <v>10</v>
      </c>
      <c r="E1289" t="str">
        <f t="shared" si="62"/>
        <v>Cupertino and Saratoga</v>
      </c>
      <c r="F1289" t="s">
        <v>324</v>
      </c>
      <c r="G1289">
        <f t="shared" si="60"/>
        <v>5</v>
      </c>
      <c r="H1289" t="s">
        <v>359</v>
      </c>
      <c r="I1289" t="s">
        <v>191</v>
      </c>
      <c r="J1289">
        <v>1</v>
      </c>
      <c r="K1289">
        <v>185.366795366795</v>
      </c>
      <c r="Z1289"/>
    </row>
    <row r="1290" spans="1:26" x14ac:dyDescent="0.25">
      <c r="A1290" s="159" t="str">
        <f t="shared" si="61"/>
        <v>LR-South San Jose-Cupertino and Saratoga-Work</v>
      </c>
      <c r="B1290">
        <v>13</v>
      </c>
      <c r="C1290" t="str">
        <f t="shared" si="62"/>
        <v>South San Jose</v>
      </c>
      <c r="D1290">
        <v>10</v>
      </c>
      <c r="E1290" t="str">
        <f t="shared" si="62"/>
        <v>Cupertino and Saratoga</v>
      </c>
      <c r="F1290" t="s">
        <v>30</v>
      </c>
      <c r="G1290">
        <f t="shared" si="60"/>
        <v>1</v>
      </c>
      <c r="H1290" t="s">
        <v>353</v>
      </c>
      <c r="I1290" t="s">
        <v>194</v>
      </c>
      <c r="J1290">
        <v>1</v>
      </c>
      <c r="K1290">
        <v>62.646773074254</v>
      </c>
      <c r="Z1290"/>
    </row>
    <row r="1291" spans="1:26" x14ac:dyDescent="0.25">
      <c r="A1291" s="159" t="str">
        <f t="shared" si="61"/>
        <v>LB-South San Jose-Cupertino and Saratoga-Work</v>
      </c>
      <c r="B1291">
        <v>13</v>
      </c>
      <c r="C1291" t="str">
        <f t="shared" si="62"/>
        <v>South San Jose</v>
      </c>
      <c r="D1291">
        <v>10</v>
      </c>
      <c r="E1291" t="str">
        <f t="shared" si="62"/>
        <v>Cupertino and Saratoga</v>
      </c>
      <c r="F1291" t="s">
        <v>30</v>
      </c>
      <c r="G1291">
        <f t="shared" si="60"/>
        <v>1</v>
      </c>
      <c r="H1291" t="s">
        <v>359</v>
      </c>
      <c r="I1291" t="s">
        <v>191</v>
      </c>
      <c r="J1291">
        <v>2</v>
      </c>
      <c r="K1291">
        <v>125.293546148508</v>
      </c>
      <c r="Z1291"/>
    </row>
    <row r="1292" spans="1:26" x14ac:dyDescent="0.25">
      <c r="A1292" s="159" t="str">
        <f t="shared" si="61"/>
        <v>LR-South San Jose-Central San Jose-High school</v>
      </c>
      <c r="B1292">
        <v>13</v>
      </c>
      <c r="C1292" t="str">
        <f t="shared" si="62"/>
        <v>South San Jose</v>
      </c>
      <c r="D1292">
        <v>11</v>
      </c>
      <c r="E1292" t="str">
        <f t="shared" si="62"/>
        <v>Central San Jose</v>
      </c>
      <c r="F1292" t="s">
        <v>326</v>
      </c>
      <c r="G1292">
        <f t="shared" si="60"/>
        <v>3</v>
      </c>
      <c r="H1292" t="s">
        <v>353</v>
      </c>
      <c r="I1292" t="s">
        <v>194</v>
      </c>
      <c r="J1292">
        <v>2</v>
      </c>
      <c r="K1292">
        <v>125.293546148508</v>
      </c>
      <c r="Z1292"/>
    </row>
    <row r="1293" spans="1:26" x14ac:dyDescent="0.25">
      <c r="A1293" s="159" t="str">
        <f t="shared" si="61"/>
        <v>LB-South San Jose-Central San Jose-High school</v>
      </c>
      <c r="B1293">
        <v>13</v>
      </c>
      <c r="C1293" t="str">
        <f t="shared" si="62"/>
        <v>South San Jose</v>
      </c>
      <c r="D1293">
        <v>11</v>
      </c>
      <c r="E1293" t="str">
        <f t="shared" si="62"/>
        <v>Central San Jose</v>
      </c>
      <c r="F1293" t="s">
        <v>326</v>
      </c>
      <c r="G1293">
        <f t="shared" si="60"/>
        <v>3</v>
      </c>
      <c r="H1293" t="s">
        <v>359</v>
      </c>
      <c r="I1293" t="s">
        <v>191</v>
      </c>
      <c r="J1293">
        <v>4</v>
      </c>
      <c r="K1293">
        <v>250.587092297016</v>
      </c>
      <c r="Z1293"/>
    </row>
    <row r="1294" spans="1:26" x14ac:dyDescent="0.25">
      <c r="A1294" s="159" t="str">
        <f t="shared" si="61"/>
        <v>LR-South San Jose-Central San Jose-Missing</v>
      </c>
      <c r="B1294">
        <v>13</v>
      </c>
      <c r="C1294" t="str">
        <f t="shared" si="62"/>
        <v>South San Jose</v>
      </c>
      <c r="D1294">
        <v>11</v>
      </c>
      <c r="E1294" t="str">
        <f t="shared" si="62"/>
        <v>Central San Jose</v>
      </c>
      <c r="F1294" t="s">
        <v>327</v>
      </c>
      <c r="G1294">
        <f t="shared" si="60"/>
        <v>0</v>
      </c>
      <c r="H1294" t="s">
        <v>353</v>
      </c>
      <c r="I1294" t="s">
        <v>194</v>
      </c>
      <c r="J1294">
        <v>1</v>
      </c>
      <c r="K1294">
        <v>62.646773074254</v>
      </c>
      <c r="Z1294"/>
    </row>
    <row r="1295" spans="1:26" x14ac:dyDescent="0.25">
      <c r="A1295" s="159" t="str">
        <f t="shared" si="61"/>
        <v>LB-South San Jose-Central San Jose-Missing</v>
      </c>
      <c r="B1295">
        <v>13</v>
      </c>
      <c r="C1295" t="str">
        <f t="shared" si="62"/>
        <v>South San Jose</v>
      </c>
      <c r="D1295">
        <v>11</v>
      </c>
      <c r="E1295" t="str">
        <f t="shared" si="62"/>
        <v>Central San Jose</v>
      </c>
      <c r="F1295" t="s">
        <v>327</v>
      </c>
      <c r="G1295">
        <f t="shared" si="60"/>
        <v>0</v>
      </c>
      <c r="H1295" t="s">
        <v>359</v>
      </c>
      <c r="I1295" t="s">
        <v>191</v>
      </c>
      <c r="J1295">
        <v>3</v>
      </c>
      <c r="K1295">
        <v>187.94031922276201</v>
      </c>
      <c r="Z1295"/>
    </row>
    <row r="1296" spans="1:26" x14ac:dyDescent="0.25">
      <c r="A1296" s="159" t="str">
        <f t="shared" si="61"/>
        <v>LB-South San Jose-Central San Jose-Other maintenance</v>
      </c>
      <c r="B1296">
        <v>13</v>
      </c>
      <c r="C1296" t="str">
        <f t="shared" si="62"/>
        <v>South San Jose</v>
      </c>
      <c r="D1296">
        <v>11</v>
      </c>
      <c r="E1296" t="str">
        <f t="shared" si="62"/>
        <v>Central San Jose</v>
      </c>
      <c r="F1296" t="s">
        <v>325</v>
      </c>
      <c r="G1296">
        <f t="shared" si="60"/>
        <v>4</v>
      </c>
      <c r="H1296" t="s">
        <v>359</v>
      </c>
      <c r="I1296" t="s">
        <v>191</v>
      </c>
      <c r="J1296">
        <v>1</v>
      </c>
      <c r="K1296">
        <v>62.646773074254</v>
      </c>
      <c r="Z1296"/>
    </row>
    <row r="1297" spans="1:26" x14ac:dyDescent="0.25">
      <c r="A1297" s="159" t="str">
        <f t="shared" si="61"/>
        <v>LB-South San Jose-Central San Jose-Social recreation</v>
      </c>
      <c r="B1297">
        <v>13</v>
      </c>
      <c r="C1297" t="str">
        <f t="shared" si="62"/>
        <v>South San Jose</v>
      </c>
      <c r="D1297">
        <v>11</v>
      </c>
      <c r="E1297" t="str">
        <f t="shared" si="62"/>
        <v>Central San Jose</v>
      </c>
      <c r="F1297" t="s">
        <v>324</v>
      </c>
      <c r="G1297">
        <f t="shared" si="60"/>
        <v>5</v>
      </c>
      <c r="H1297" t="s">
        <v>359</v>
      </c>
      <c r="I1297" t="s">
        <v>191</v>
      </c>
      <c r="J1297">
        <v>2</v>
      </c>
      <c r="K1297">
        <v>248.01356844104899</v>
      </c>
      <c r="Z1297"/>
    </row>
    <row r="1298" spans="1:26" x14ac:dyDescent="0.25">
      <c r="A1298" s="159" t="str">
        <f t="shared" si="61"/>
        <v>LR-South San Jose-Central San Jose-Work</v>
      </c>
      <c r="B1298">
        <v>13</v>
      </c>
      <c r="C1298" t="str">
        <f t="shared" si="62"/>
        <v>South San Jose</v>
      </c>
      <c r="D1298">
        <v>11</v>
      </c>
      <c r="E1298" t="str">
        <f t="shared" si="62"/>
        <v>Central San Jose</v>
      </c>
      <c r="F1298" t="s">
        <v>30</v>
      </c>
      <c r="G1298">
        <f t="shared" si="60"/>
        <v>1</v>
      </c>
      <c r="H1298" t="s">
        <v>353</v>
      </c>
      <c r="I1298" t="s">
        <v>194</v>
      </c>
      <c r="J1298">
        <v>2</v>
      </c>
      <c r="K1298">
        <v>248.01356844104899</v>
      </c>
      <c r="Z1298"/>
    </row>
    <row r="1299" spans="1:26" x14ac:dyDescent="0.25">
      <c r="A1299" s="159" t="str">
        <f t="shared" si="61"/>
        <v>LB-South San Jose-Central San Jose-Work</v>
      </c>
      <c r="B1299">
        <v>13</v>
      </c>
      <c r="C1299" t="str">
        <f t="shared" si="62"/>
        <v>South San Jose</v>
      </c>
      <c r="D1299">
        <v>11</v>
      </c>
      <c r="E1299" t="str">
        <f t="shared" si="62"/>
        <v>Central San Jose</v>
      </c>
      <c r="F1299" t="s">
        <v>30</v>
      </c>
      <c r="G1299">
        <f t="shared" si="60"/>
        <v>1</v>
      </c>
      <c r="H1299" t="s">
        <v>359</v>
      </c>
      <c r="I1299" t="s">
        <v>191</v>
      </c>
      <c r="J1299">
        <v>7</v>
      </c>
      <c r="K1299">
        <v>561.24743381231895</v>
      </c>
      <c r="Z1299"/>
    </row>
    <row r="1300" spans="1:26" x14ac:dyDescent="0.25">
      <c r="A1300" s="159" t="str">
        <f t="shared" si="61"/>
        <v>LB-South San Jose-Milpitas and East San Jose-Work</v>
      </c>
      <c r="B1300">
        <v>13</v>
      </c>
      <c r="C1300" t="str">
        <f t="shared" si="62"/>
        <v>South San Jose</v>
      </c>
      <c r="D1300">
        <v>12</v>
      </c>
      <c r="E1300" t="str">
        <f t="shared" si="62"/>
        <v>Milpitas and East San Jose</v>
      </c>
      <c r="F1300" t="s">
        <v>30</v>
      </c>
      <c r="G1300">
        <f t="shared" si="60"/>
        <v>1</v>
      </c>
      <c r="H1300" t="s">
        <v>359</v>
      </c>
      <c r="I1300" t="s">
        <v>191</v>
      </c>
      <c r="J1300">
        <v>3</v>
      </c>
      <c r="K1300">
        <v>187.94031922276201</v>
      </c>
      <c r="Z1300"/>
    </row>
    <row r="1301" spans="1:26" x14ac:dyDescent="0.25">
      <c r="A1301" s="159" t="str">
        <f t="shared" si="61"/>
        <v>LB-South San Jose-South San Jose-High school</v>
      </c>
      <c r="B1301">
        <v>13</v>
      </c>
      <c r="C1301" t="str">
        <f t="shared" si="62"/>
        <v>South San Jose</v>
      </c>
      <c r="D1301">
        <v>13</v>
      </c>
      <c r="E1301" t="str">
        <f t="shared" si="62"/>
        <v>South San Jose</v>
      </c>
      <c r="F1301" t="s">
        <v>326</v>
      </c>
      <c r="G1301">
        <f t="shared" si="60"/>
        <v>3</v>
      </c>
      <c r="H1301" t="s">
        <v>359</v>
      </c>
      <c r="I1301" t="s">
        <v>191</v>
      </c>
      <c r="J1301">
        <v>2</v>
      </c>
      <c r="K1301">
        <v>125.293546148508</v>
      </c>
      <c r="Z1301"/>
    </row>
    <row r="1302" spans="1:26" x14ac:dyDescent="0.25">
      <c r="A1302" s="159" t="str">
        <f t="shared" si="61"/>
        <v>LB-South San Jose-South San Jose-Missing</v>
      </c>
      <c r="B1302">
        <v>13</v>
      </c>
      <c r="C1302" t="str">
        <f t="shared" si="62"/>
        <v>South San Jose</v>
      </c>
      <c r="D1302">
        <v>13</v>
      </c>
      <c r="E1302" t="str">
        <f t="shared" si="62"/>
        <v>South San Jose</v>
      </c>
      <c r="F1302" t="s">
        <v>327</v>
      </c>
      <c r="G1302">
        <f t="shared" si="60"/>
        <v>0</v>
      </c>
      <c r="H1302" t="s">
        <v>359</v>
      </c>
      <c r="I1302" t="s">
        <v>191</v>
      </c>
      <c r="J1302">
        <v>2</v>
      </c>
      <c r="K1302">
        <v>125.293546148508</v>
      </c>
      <c r="Z1302"/>
    </row>
    <row r="1303" spans="1:26" x14ac:dyDescent="0.25">
      <c r="A1303" s="159" t="str">
        <f t="shared" si="61"/>
        <v>LB-South San Jose-South San Jose-Other maintenance</v>
      </c>
      <c r="B1303">
        <v>13</v>
      </c>
      <c r="C1303" t="str">
        <f t="shared" si="62"/>
        <v>South San Jose</v>
      </c>
      <c r="D1303">
        <v>13</v>
      </c>
      <c r="E1303" t="str">
        <f t="shared" si="62"/>
        <v>South San Jose</v>
      </c>
      <c r="F1303" t="s">
        <v>325</v>
      </c>
      <c r="G1303">
        <f t="shared" si="60"/>
        <v>4</v>
      </c>
      <c r="H1303" t="s">
        <v>359</v>
      </c>
      <c r="I1303" t="s">
        <v>191</v>
      </c>
      <c r="J1303">
        <v>1</v>
      </c>
      <c r="K1303">
        <v>62.646773074254</v>
      </c>
      <c r="Z1303"/>
    </row>
    <row r="1304" spans="1:26" x14ac:dyDescent="0.25">
      <c r="A1304" s="159" t="str">
        <f t="shared" si="61"/>
        <v>LB-South San Jose-South San Jose-Social recreation</v>
      </c>
      <c r="B1304">
        <v>13</v>
      </c>
      <c r="C1304" t="str">
        <f t="shared" si="62"/>
        <v>South San Jose</v>
      </c>
      <c r="D1304">
        <v>13</v>
      </c>
      <c r="E1304" t="str">
        <f t="shared" si="62"/>
        <v>South San Jose</v>
      </c>
      <c r="F1304" t="s">
        <v>324</v>
      </c>
      <c r="G1304">
        <f t="shared" si="60"/>
        <v>5</v>
      </c>
      <c r="H1304" t="s">
        <v>359</v>
      </c>
      <c r="I1304" t="s">
        <v>191</v>
      </c>
      <c r="J1304">
        <v>2</v>
      </c>
      <c r="K1304">
        <v>248.01356844104899</v>
      </c>
      <c r="Z1304"/>
    </row>
    <row r="1305" spans="1:26" x14ac:dyDescent="0.25">
      <c r="A1305" s="159" t="str">
        <f t="shared" si="61"/>
        <v>LR-South San Jose-South San Jose-Work</v>
      </c>
      <c r="B1305">
        <v>13</v>
      </c>
      <c r="C1305" t="str">
        <f t="shared" si="62"/>
        <v>South San Jose</v>
      </c>
      <c r="D1305">
        <v>13</v>
      </c>
      <c r="E1305" t="str">
        <f t="shared" si="62"/>
        <v>South San Jose</v>
      </c>
      <c r="F1305" t="s">
        <v>30</v>
      </c>
      <c r="G1305">
        <f t="shared" si="60"/>
        <v>1</v>
      </c>
      <c r="H1305" t="s">
        <v>353</v>
      </c>
      <c r="I1305" t="s">
        <v>194</v>
      </c>
      <c r="J1305">
        <v>1</v>
      </c>
      <c r="K1305">
        <v>62.646773074254</v>
      </c>
      <c r="Z1305"/>
    </row>
    <row r="1306" spans="1:26" x14ac:dyDescent="0.25">
      <c r="A1306" s="159" t="str">
        <f t="shared" si="61"/>
        <v>LB-South San Jose-South San Jose-Work</v>
      </c>
      <c r="B1306">
        <v>13</v>
      </c>
      <c r="C1306" t="str">
        <f t="shared" si="62"/>
        <v>South San Jose</v>
      </c>
      <c r="D1306">
        <v>13</v>
      </c>
      <c r="E1306" t="str">
        <f t="shared" si="62"/>
        <v>South San Jose</v>
      </c>
      <c r="F1306" t="s">
        <v>30</v>
      </c>
      <c r="G1306">
        <f t="shared" si="60"/>
        <v>1</v>
      </c>
      <c r="H1306" t="s">
        <v>359</v>
      </c>
      <c r="I1306" t="s">
        <v>191</v>
      </c>
      <c r="J1306">
        <v>4</v>
      </c>
      <c r="K1306">
        <v>250.587092297016</v>
      </c>
      <c r="Z1306"/>
    </row>
    <row r="1307" spans="1:26" x14ac:dyDescent="0.25">
      <c r="A1307" s="159" t="str">
        <f t="shared" si="61"/>
        <v>LB-South San Jose-Gilroy and Morgan Hill-Work</v>
      </c>
      <c r="B1307">
        <v>13</v>
      </c>
      <c r="C1307" t="str">
        <f t="shared" si="62"/>
        <v>South San Jose</v>
      </c>
      <c r="D1307">
        <v>14</v>
      </c>
      <c r="E1307" t="str">
        <f t="shared" si="62"/>
        <v>Gilroy and Morgan Hill</v>
      </c>
      <c r="F1307" t="s">
        <v>30</v>
      </c>
      <c r="G1307">
        <f t="shared" si="60"/>
        <v>1</v>
      </c>
      <c r="H1307" t="s">
        <v>359</v>
      </c>
      <c r="I1307" t="s">
        <v>191</v>
      </c>
      <c r="J1307">
        <v>1</v>
      </c>
      <c r="K1307">
        <v>62.646773074254</v>
      </c>
      <c r="Z1307"/>
    </row>
    <row r="1308" spans="1:26" x14ac:dyDescent="0.25">
      <c r="A1308" s="159" t="str">
        <f t="shared" si="61"/>
        <v>FR-South San Jose-Vallejo and Benicia-Social recreation</v>
      </c>
      <c r="B1308">
        <v>13</v>
      </c>
      <c r="C1308" t="str">
        <f t="shared" si="62"/>
        <v>South San Jose</v>
      </c>
      <c r="D1308">
        <v>25</v>
      </c>
      <c r="E1308" t="str">
        <f t="shared" si="62"/>
        <v>Vallejo and Benicia</v>
      </c>
      <c r="F1308" t="s">
        <v>324</v>
      </c>
      <c r="G1308">
        <f t="shared" si="60"/>
        <v>5</v>
      </c>
      <c r="H1308" t="s">
        <v>360</v>
      </c>
      <c r="I1308" t="s">
        <v>185</v>
      </c>
      <c r="J1308">
        <v>1</v>
      </c>
      <c r="K1308">
        <v>16.498422712933699</v>
      </c>
      <c r="Z1308"/>
    </row>
    <row r="1309" spans="1:26" x14ac:dyDescent="0.25">
      <c r="A1309" s="159" t="str">
        <f t="shared" si="61"/>
        <v>LB-Gilroy and Morgan Hill-San Francisco Richmond District-Other maintenance</v>
      </c>
      <c r="B1309">
        <v>14</v>
      </c>
      <c r="C1309" t="str">
        <f t="shared" si="62"/>
        <v>Gilroy and Morgan Hill</v>
      </c>
      <c r="D1309">
        <v>2</v>
      </c>
      <c r="E1309" t="str">
        <f t="shared" si="62"/>
        <v>San Francisco Richmond District</v>
      </c>
      <c r="F1309" t="s">
        <v>325</v>
      </c>
      <c r="G1309">
        <f t="shared" si="60"/>
        <v>4</v>
      </c>
      <c r="H1309" t="s">
        <v>359</v>
      </c>
      <c r="I1309" t="s">
        <v>191</v>
      </c>
      <c r="J1309">
        <v>1</v>
      </c>
      <c r="K1309">
        <v>62.646773074254</v>
      </c>
      <c r="Z1309"/>
    </row>
    <row r="1310" spans="1:26" x14ac:dyDescent="0.25">
      <c r="A1310" s="159" t="str">
        <f t="shared" si="61"/>
        <v>LB-Gilroy and Morgan Hill-San Francisco Richmond District-Social recreation</v>
      </c>
      <c r="B1310">
        <v>14</v>
      </c>
      <c r="C1310" t="str">
        <f t="shared" si="62"/>
        <v>Gilroy and Morgan Hill</v>
      </c>
      <c r="D1310">
        <v>2</v>
      </c>
      <c r="E1310" t="str">
        <f t="shared" si="62"/>
        <v>San Francisco Richmond District</v>
      </c>
      <c r="F1310" t="s">
        <v>324</v>
      </c>
      <c r="G1310">
        <f t="shared" si="60"/>
        <v>5</v>
      </c>
      <c r="H1310" t="s">
        <v>359</v>
      </c>
      <c r="I1310" t="s">
        <v>191</v>
      </c>
      <c r="J1310">
        <v>1</v>
      </c>
      <c r="K1310">
        <v>62.646773074254</v>
      </c>
      <c r="Z1310"/>
    </row>
    <row r="1311" spans="1:26" x14ac:dyDescent="0.25">
      <c r="A1311" s="159" t="str">
        <f t="shared" si="61"/>
        <v>CR-Gilroy and Morgan Hill-San Francisco Mission District-Other maintenance</v>
      </c>
      <c r="B1311">
        <v>14</v>
      </c>
      <c r="C1311" t="str">
        <f t="shared" si="62"/>
        <v>Gilroy and Morgan Hill</v>
      </c>
      <c r="D1311">
        <v>3</v>
      </c>
      <c r="E1311" t="str">
        <f t="shared" si="62"/>
        <v>San Francisco Mission District</v>
      </c>
      <c r="F1311" t="s">
        <v>325</v>
      </c>
      <c r="G1311">
        <f t="shared" si="60"/>
        <v>4</v>
      </c>
      <c r="H1311" t="s">
        <v>125</v>
      </c>
      <c r="I1311" t="s">
        <v>178</v>
      </c>
      <c r="J1311">
        <v>1</v>
      </c>
      <c r="K1311">
        <v>23.4305084745763</v>
      </c>
      <c r="Z1311"/>
    </row>
    <row r="1312" spans="1:26" x14ac:dyDescent="0.25">
      <c r="A1312" s="159" t="str">
        <f t="shared" si="61"/>
        <v>CR-Gilroy and Morgan Hill-Daly City and San Bruno-Work</v>
      </c>
      <c r="B1312">
        <v>14</v>
      </c>
      <c r="C1312" t="str">
        <f t="shared" si="62"/>
        <v>Gilroy and Morgan Hill</v>
      </c>
      <c r="D1312">
        <v>5</v>
      </c>
      <c r="E1312" t="str">
        <f t="shared" si="62"/>
        <v>Daly City and San Bruno</v>
      </c>
      <c r="F1312" t="s">
        <v>30</v>
      </c>
      <c r="G1312">
        <f t="shared" si="60"/>
        <v>1</v>
      </c>
      <c r="H1312" t="s">
        <v>125</v>
      </c>
      <c r="I1312" t="s">
        <v>178</v>
      </c>
      <c r="J1312">
        <v>1</v>
      </c>
      <c r="K1312">
        <v>23.4305084745763</v>
      </c>
      <c r="Z1312"/>
    </row>
    <row r="1313" spans="1:26" x14ac:dyDescent="0.25">
      <c r="A1313" s="159" t="str">
        <f t="shared" si="61"/>
        <v>CR-Gilroy and Morgan Hill-Redwood City and Menlo Park-High school</v>
      </c>
      <c r="B1313">
        <v>14</v>
      </c>
      <c r="C1313" t="str">
        <f t="shared" si="62"/>
        <v>Gilroy and Morgan Hill</v>
      </c>
      <c r="D1313">
        <v>7</v>
      </c>
      <c r="E1313" t="str">
        <f t="shared" si="62"/>
        <v>Redwood City and Menlo Park</v>
      </c>
      <c r="F1313" t="s">
        <v>326</v>
      </c>
      <c r="G1313">
        <f t="shared" si="60"/>
        <v>3</v>
      </c>
      <c r="H1313" t="s">
        <v>125</v>
      </c>
      <c r="I1313" t="s">
        <v>178</v>
      </c>
      <c r="J1313">
        <v>1</v>
      </c>
      <c r="K1313">
        <v>23.4305084745763</v>
      </c>
      <c r="Z1313"/>
    </row>
    <row r="1314" spans="1:26" x14ac:dyDescent="0.25">
      <c r="A1314" s="159" t="str">
        <f t="shared" si="61"/>
        <v>CR-Gilroy and Morgan Hill-Palo Alto and Los Altos-Work</v>
      </c>
      <c r="B1314">
        <v>14</v>
      </c>
      <c r="C1314" t="str">
        <f t="shared" si="62"/>
        <v>Gilroy and Morgan Hill</v>
      </c>
      <c r="D1314">
        <v>8</v>
      </c>
      <c r="E1314" t="str">
        <f t="shared" si="62"/>
        <v>Palo Alto and Los Altos</v>
      </c>
      <c r="F1314" t="s">
        <v>30</v>
      </c>
      <c r="G1314">
        <f t="shared" si="60"/>
        <v>1</v>
      </c>
      <c r="H1314" t="s">
        <v>125</v>
      </c>
      <c r="I1314" t="s">
        <v>178</v>
      </c>
      <c r="J1314">
        <v>1</v>
      </c>
      <c r="K1314">
        <v>23.4305084745763</v>
      </c>
      <c r="Z1314"/>
    </row>
    <row r="1315" spans="1:26" x14ac:dyDescent="0.25">
      <c r="A1315" s="159" t="str">
        <f t="shared" si="61"/>
        <v>LB-Gilroy and Morgan Hill-Palo Alto and Los Altos-Work</v>
      </c>
      <c r="B1315">
        <v>14</v>
      </c>
      <c r="C1315" t="str">
        <f t="shared" si="62"/>
        <v>Gilroy and Morgan Hill</v>
      </c>
      <c r="D1315">
        <v>8</v>
      </c>
      <c r="E1315" t="str">
        <f t="shared" si="62"/>
        <v>Palo Alto and Los Altos</v>
      </c>
      <c r="F1315" t="s">
        <v>30</v>
      </c>
      <c r="G1315">
        <f t="shared" si="60"/>
        <v>1</v>
      </c>
      <c r="H1315" t="s">
        <v>359</v>
      </c>
      <c r="I1315" t="s">
        <v>191</v>
      </c>
      <c r="J1315">
        <v>1</v>
      </c>
      <c r="K1315">
        <v>286.12835472578797</v>
      </c>
      <c r="Z1315"/>
    </row>
    <row r="1316" spans="1:26" x14ac:dyDescent="0.25">
      <c r="A1316" s="159" t="str">
        <f t="shared" si="61"/>
        <v>LB-Gilroy and Morgan Hill-Sunnyvale and Mountain View-Missing</v>
      </c>
      <c r="B1316">
        <v>14</v>
      </c>
      <c r="C1316" t="str">
        <f t="shared" si="62"/>
        <v>Gilroy and Morgan Hill</v>
      </c>
      <c r="D1316">
        <v>9</v>
      </c>
      <c r="E1316" t="str">
        <f t="shared" si="62"/>
        <v>Sunnyvale and Mountain View</v>
      </c>
      <c r="F1316" t="s">
        <v>327</v>
      </c>
      <c r="G1316">
        <f t="shared" si="60"/>
        <v>0</v>
      </c>
      <c r="H1316" t="s">
        <v>359</v>
      </c>
      <c r="I1316" t="s">
        <v>191</v>
      </c>
      <c r="J1316">
        <v>2</v>
      </c>
      <c r="K1316">
        <v>248.01356844104899</v>
      </c>
      <c r="Z1316"/>
    </row>
    <row r="1317" spans="1:26" x14ac:dyDescent="0.25">
      <c r="A1317" s="159" t="str">
        <f t="shared" si="61"/>
        <v>LR-Gilroy and Morgan Hill-Sunnyvale and Mountain View-Work</v>
      </c>
      <c r="B1317">
        <v>14</v>
      </c>
      <c r="C1317" t="str">
        <f t="shared" si="62"/>
        <v>Gilroy and Morgan Hill</v>
      </c>
      <c r="D1317">
        <v>9</v>
      </c>
      <c r="E1317" t="str">
        <f t="shared" si="62"/>
        <v>Sunnyvale and Mountain View</v>
      </c>
      <c r="F1317" t="s">
        <v>30</v>
      </c>
      <c r="G1317">
        <f t="shared" si="60"/>
        <v>1</v>
      </c>
      <c r="H1317" t="s">
        <v>353</v>
      </c>
      <c r="I1317" t="s">
        <v>194</v>
      </c>
      <c r="J1317">
        <v>1</v>
      </c>
      <c r="K1317">
        <v>62.646773074254</v>
      </c>
      <c r="Z1317"/>
    </row>
    <row r="1318" spans="1:26" x14ac:dyDescent="0.25">
      <c r="A1318" s="159" t="str">
        <f t="shared" si="61"/>
        <v>LB-Gilroy and Morgan Hill-Cupertino and Saratoga-High school</v>
      </c>
      <c r="B1318">
        <v>14</v>
      </c>
      <c r="C1318" t="str">
        <f t="shared" si="62"/>
        <v>Gilroy and Morgan Hill</v>
      </c>
      <c r="D1318">
        <v>10</v>
      </c>
      <c r="E1318" t="str">
        <f t="shared" si="62"/>
        <v>Cupertino and Saratoga</v>
      </c>
      <c r="F1318" t="s">
        <v>326</v>
      </c>
      <c r="G1318">
        <f t="shared" si="60"/>
        <v>3</v>
      </c>
      <c r="H1318" t="s">
        <v>359</v>
      </c>
      <c r="I1318" t="s">
        <v>191</v>
      </c>
      <c r="J1318">
        <v>1</v>
      </c>
      <c r="K1318">
        <v>62.646773074254</v>
      </c>
      <c r="Z1318"/>
    </row>
    <row r="1319" spans="1:26" x14ac:dyDescent="0.25">
      <c r="A1319" s="159" t="str">
        <f t="shared" si="61"/>
        <v>LR-Gilroy and Morgan Hill-Cupertino and Saratoga-Missing</v>
      </c>
      <c r="B1319">
        <v>14</v>
      </c>
      <c r="C1319" t="str">
        <f t="shared" si="62"/>
        <v>Gilroy and Morgan Hill</v>
      </c>
      <c r="D1319">
        <v>10</v>
      </c>
      <c r="E1319" t="str">
        <f t="shared" si="62"/>
        <v>Cupertino and Saratoga</v>
      </c>
      <c r="F1319" t="s">
        <v>327</v>
      </c>
      <c r="G1319">
        <f t="shared" si="60"/>
        <v>0</v>
      </c>
      <c r="H1319" t="s">
        <v>353</v>
      </c>
      <c r="I1319" t="s">
        <v>194</v>
      </c>
      <c r="J1319">
        <v>1</v>
      </c>
      <c r="K1319">
        <v>185.366795366795</v>
      </c>
      <c r="Z1319"/>
    </row>
    <row r="1320" spans="1:26" x14ac:dyDescent="0.25">
      <c r="A1320" s="159" t="str">
        <f t="shared" si="61"/>
        <v>LB-Gilroy and Morgan Hill-Cupertino and Saratoga-Shopping</v>
      </c>
      <c r="B1320">
        <v>14</v>
      </c>
      <c r="C1320" t="str">
        <f t="shared" si="62"/>
        <v>Gilroy and Morgan Hill</v>
      </c>
      <c r="D1320">
        <v>10</v>
      </c>
      <c r="E1320" t="str">
        <f t="shared" si="62"/>
        <v>Cupertino and Saratoga</v>
      </c>
      <c r="F1320" t="s">
        <v>106</v>
      </c>
      <c r="G1320">
        <f t="shared" si="60"/>
        <v>4</v>
      </c>
      <c r="H1320" t="s">
        <v>359</v>
      </c>
      <c r="I1320" t="s">
        <v>191</v>
      </c>
      <c r="J1320">
        <v>1</v>
      </c>
      <c r="K1320">
        <v>62.646773074254</v>
      </c>
      <c r="Z1320"/>
    </row>
    <row r="1321" spans="1:26" x14ac:dyDescent="0.25">
      <c r="A1321" s="159" t="str">
        <f t="shared" si="61"/>
        <v>CR-Gilroy and Morgan Hill-Cupertino and Saratoga-Work</v>
      </c>
      <c r="B1321">
        <v>14</v>
      </c>
      <c r="C1321" t="str">
        <f t="shared" si="62"/>
        <v>Gilroy and Morgan Hill</v>
      </c>
      <c r="D1321">
        <v>10</v>
      </c>
      <c r="E1321" t="str">
        <f t="shared" si="62"/>
        <v>Cupertino and Saratoga</v>
      </c>
      <c r="F1321" t="s">
        <v>30</v>
      </c>
      <c r="G1321">
        <f t="shared" si="60"/>
        <v>1</v>
      </c>
      <c r="H1321" t="s">
        <v>125</v>
      </c>
      <c r="I1321" t="s">
        <v>178</v>
      </c>
      <c r="J1321">
        <v>1</v>
      </c>
      <c r="K1321">
        <v>23.4305084745763</v>
      </c>
      <c r="Z1321"/>
    </row>
    <row r="1322" spans="1:26" x14ac:dyDescent="0.25">
      <c r="A1322" s="159" t="str">
        <f t="shared" si="61"/>
        <v>LB-Gilroy and Morgan Hill-Central San Jose-High school</v>
      </c>
      <c r="B1322">
        <v>14</v>
      </c>
      <c r="C1322" t="str">
        <f t="shared" si="62"/>
        <v>Gilroy and Morgan Hill</v>
      </c>
      <c r="D1322">
        <v>11</v>
      </c>
      <c r="E1322" t="str">
        <f t="shared" si="62"/>
        <v>Central San Jose</v>
      </c>
      <c r="F1322" t="s">
        <v>326</v>
      </c>
      <c r="G1322">
        <f t="shared" si="60"/>
        <v>3</v>
      </c>
      <c r="H1322" t="s">
        <v>359</v>
      </c>
      <c r="I1322" t="s">
        <v>191</v>
      </c>
      <c r="J1322">
        <v>2</v>
      </c>
      <c r="K1322">
        <v>125.293546148508</v>
      </c>
      <c r="Z1322"/>
    </row>
    <row r="1323" spans="1:26" x14ac:dyDescent="0.25">
      <c r="A1323" s="159" t="str">
        <f t="shared" si="61"/>
        <v>LB-Gilroy and Morgan Hill-Central San Jose-Missing</v>
      </c>
      <c r="B1323">
        <v>14</v>
      </c>
      <c r="C1323" t="str">
        <f t="shared" si="62"/>
        <v>Gilroy and Morgan Hill</v>
      </c>
      <c r="D1323">
        <v>11</v>
      </c>
      <c r="E1323" t="str">
        <f t="shared" si="62"/>
        <v>Central San Jose</v>
      </c>
      <c r="F1323" t="s">
        <v>327</v>
      </c>
      <c r="G1323">
        <f t="shared" si="60"/>
        <v>0</v>
      </c>
      <c r="H1323" t="s">
        <v>359</v>
      </c>
      <c r="I1323" t="s">
        <v>191</v>
      </c>
      <c r="J1323">
        <v>1</v>
      </c>
      <c r="K1323">
        <v>62.646773074254</v>
      </c>
      <c r="Z1323"/>
    </row>
    <row r="1324" spans="1:26" x14ac:dyDescent="0.25">
      <c r="A1324" s="159" t="str">
        <f t="shared" si="61"/>
        <v>LB-Gilroy and Morgan Hill-Central San Jose-Other maintenance</v>
      </c>
      <c r="B1324">
        <v>14</v>
      </c>
      <c r="C1324" t="str">
        <f t="shared" si="62"/>
        <v>Gilroy and Morgan Hill</v>
      </c>
      <c r="D1324">
        <v>11</v>
      </c>
      <c r="E1324" t="str">
        <f t="shared" si="62"/>
        <v>Central San Jose</v>
      </c>
      <c r="F1324" t="s">
        <v>325</v>
      </c>
      <c r="G1324">
        <f t="shared" si="60"/>
        <v>4</v>
      </c>
      <c r="H1324" t="s">
        <v>359</v>
      </c>
      <c r="I1324" t="s">
        <v>191</v>
      </c>
      <c r="J1324">
        <v>2</v>
      </c>
      <c r="K1324">
        <v>125.293546148508</v>
      </c>
      <c r="Z1324"/>
    </row>
    <row r="1325" spans="1:26" x14ac:dyDescent="0.25">
      <c r="A1325" s="159" t="str">
        <f t="shared" si="61"/>
        <v>LB-Gilroy and Morgan Hill-Central San Jose-Shopping</v>
      </c>
      <c r="B1325">
        <v>14</v>
      </c>
      <c r="C1325" t="str">
        <f t="shared" si="62"/>
        <v>Gilroy and Morgan Hill</v>
      </c>
      <c r="D1325">
        <v>11</v>
      </c>
      <c r="E1325" t="str">
        <f t="shared" si="62"/>
        <v>Central San Jose</v>
      </c>
      <c r="F1325" t="s">
        <v>106</v>
      </c>
      <c r="G1325">
        <f t="shared" si="60"/>
        <v>4</v>
      </c>
      <c r="H1325" t="s">
        <v>359</v>
      </c>
      <c r="I1325" t="s">
        <v>191</v>
      </c>
      <c r="J1325">
        <v>1</v>
      </c>
      <c r="K1325">
        <v>62.646773074254</v>
      </c>
      <c r="Z1325"/>
    </row>
    <row r="1326" spans="1:26" x14ac:dyDescent="0.25">
      <c r="A1326" s="159" t="str">
        <f t="shared" si="61"/>
        <v>LB-Gilroy and Morgan Hill-Milpitas and East San Jose-Other maintenance</v>
      </c>
      <c r="B1326">
        <v>14</v>
      </c>
      <c r="C1326" t="str">
        <f t="shared" si="62"/>
        <v>Gilroy and Morgan Hill</v>
      </c>
      <c r="D1326">
        <v>12</v>
      </c>
      <c r="E1326" t="str">
        <f t="shared" si="62"/>
        <v>Milpitas and East San Jose</v>
      </c>
      <c r="F1326" t="s">
        <v>325</v>
      </c>
      <c r="G1326">
        <f t="shared" si="60"/>
        <v>4</v>
      </c>
      <c r="H1326" t="s">
        <v>359</v>
      </c>
      <c r="I1326" t="s">
        <v>191</v>
      </c>
      <c r="J1326">
        <v>1</v>
      </c>
      <c r="K1326">
        <v>62.646773074254</v>
      </c>
      <c r="Z1326"/>
    </row>
    <row r="1327" spans="1:26" x14ac:dyDescent="0.25">
      <c r="A1327" s="159" t="str">
        <f t="shared" si="61"/>
        <v>LB-Gilroy and Morgan Hill-Gilroy and Morgan Hill-High school</v>
      </c>
      <c r="B1327">
        <v>14</v>
      </c>
      <c r="C1327" t="str">
        <f t="shared" si="62"/>
        <v>Gilroy and Morgan Hill</v>
      </c>
      <c r="D1327">
        <v>14</v>
      </c>
      <c r="E1327" t="str">
        <f t="shared" si="62"/>
        <v>Gilroy and Morgan Hill</v>
      </c>
      <c r="F1327" t="s">
        <v>326</v>
      </c>
      <c r="G1327">
        <f t="shared" si="60"/>
        <v>3</v>
      </c>
      <c r="H1327" t="s">
        <v>359</v>
      </c>
      <c r="I1327" t="s">
        <v>191</v>
      </c>
      <c r="J1327">
        <v>7</v>
      </c>
      <c r="K1327">
        <v>438.52741151977801</v>
      </c>
      <c r="Z1327"/>
    </row>
    <row r="1328" spans="1:26" x14ac:dyDescent="0.25">
      <c r="A1328" s="159" t="str">
        <f t="shared" si="61"/>
        <v>LB-Gilroy and Morgan Hill-Gilroy and Morgan Hill-Missing</v>
      </c>
      <c r="B1328">
        <v>14</v>
      </c>
      <c r="C1328" t="str">
        <f t="shared" si="62"/>
        <v>Gilroy and Morgan Hill</v>
      </c>
      <c r="D1328">
        <v>14</v>
      </c>
      <c r="E1328" t="str">
        <f t="shared" si="62"/>
        <v>Gilroy and Morgan Hill</v>
      </c>
      <c r="F1328" t="s">
        <v>327</v>
      </c>
      <c r="G1328">
        <f t="shared" si="60"/>
        <v>0</v>
      </c>
      <c r="H1328" t="s">
        <v>359</v>
      </c>
      <c r="I1328" t="s">
        <v>191</v>
      </c>
      <c r="J1328">
        <v>2</v>
      </c>
      <c r="K1328">
        <v>125.293546148508</v>
      </c>
      <c r="Z1328"/>
    </row>
    <row r="1329" spans="1:26" x14ac:dyDescent="0.25">
      <c r="A1329" s="159" t="str">
        <f t="shared" si="61"/>
        <v>LB-Gilroy and Morgan Hill-Gilroy and Morgan Hill-Other maintenance</v>
      </c>
      <c r="B1329">
        <v>14</v>
      </c>
      <c r="C1329" t="str">
        <f t="shared" si="62"/>
        <v>Gilroy and Morgan Hill</v>
      </c>
      <c r="D1329">
        <v>14</v>
      </c>
      <c r="E1329" t="str">
        <f t="shared" si="62"/>
        <v>Gilroy and Morgan Hill</v>
      </c>
      <c r="F1329" t="s">
        <v>325</v>
      </c>
      <c r="G1329">
        <f t="shared" si="60"/>
        <v>4</v>
      </c>
      <c r="H1329" t="s">
        <v>359</v>
      </c>
      <c r="I1329" t="s">
        <v>191</v>
      </c>
      <c r="J1329">
        <v>3</v>
      </c>
      <c r="K1329">
        <v>310.660341515303</v>
      </c>
      <c r="Z1329"/>
    </row>
    <row r="1330" spans="1:26" x14ac:dyDescent="0.25">
      <c r="A1330" s="159" t="str">
        <f t="shared" si="61"/>
        <v>LB-Gilroy and Morgan Hill-Gilroy and Morgan Hill-Shopping</v>
      </c>
      <c r="B1330">
        <v>14</v>
      </c>
      <c r="C1330" t="str">
        <f t="shared" si="62"/>
        <v>Gilroy and Morgan Hill</v>
      </c>
      <c r="D1330">
        <v>14</v>
      </c>
      <c r="E1330" t="str">
        <f t="shared" si="62"/>
        <v>Gilroy and Morgan Hill</v>
      </c>
      <c r="F1330" t="s">
        <v>106</v>
      </c>
      <c r="G1330">
        <f t="shared" si="60"/>
        <v>4</v>
      </c>
      <c r="H1330" t="s">
        <v>359</v>
      </c>
      <c r="I1330" t="s">
        <v>191</v>
      </c>
      <c r="J1330">
        <v>1</v>
      </c>
      <c r="K1330">
        <v>62.646773074254</v>
      </c>
      <c r="Z1330"/>
    </row>
    <row r="1331" spans="1:26" x14ac:dyDescent="0.25">
      <c r="A1331" s="159" t="str">
        <f t="shared" si="61"/>
        <v>CR-Gilroy and Morgan Hill-Gilroy and Morgan Hill-Social recreation</v>
      </c>
      <c r="B1331">
        <v>14</v>
      </c>
      <c r="C1331" t="str">
        <f t="shared" si="62"/>
        <v>Gilroy and Morgan Hill</v>
      </c>
      <c r="D1331">
        <v>14</v>
      </c>
      <c r="E1331" t="str">
        <f t="shared" si="62"/>
        <v>Gilroy and Morgan Hill</v>
      </c>
      <c r="F1331" t="s">
        <v>324</v>
      </c>
      <c r="G1331">
        <f t="shared" si="60"/>
        <v>5</v>
      </c>
      <c r="H1331" t="s">
        <v>125</v>
      </c>
      <c r="I1331" t="s">
        <v>178</v>
      </c>
      <c r="J1331">
        <v>1</v>
      </c>
      <c r="K1331">
        <v>25.1469534050179</v>
      </c>
      <c r="Z1331"/>
    </row>
    <row r="1332" spans="1:26" x14ac:dyDescent="0.25">
      <c r="A1332" s="159" t="str">
        <f t="shared" si="61"/>
        <v>LB-Gilroy and Morgan Hill-Gilroy and Morgan Hill-Social recreation</v>
      </c>
      <c r="B1332">
        <v>14</v>
      </c>
      <c r="C1332" t="str">
        <f t="shared" si="62"/>
        <v>Gilroy and Morgan Hill</v>
      </c>
      <c r="D1332">
        <v>14</v>
      </c>
      <c r="E1332" t="str">
        <f t="shared" si="62"/>
        <v>Gilroy and Morgan Hill</v>
      </c>
      <c r="F1332" t="s">
        <v>324</v>
      </c>
      <c r="G1332">
        <f t="shared" si="60"/>
        <v>5</v>
      </c>
      <c r="H1332" t="s">
        <v>359</v>
      </c>
      <c r="I1332" t="s">
        <v>191</v>
      </c>
      <c r="J1332">
        <v>1</v>
      </c>
      <c r="K1332">
        <v>62.646773074254</v>
      </c>
      <c r="Z1332"/>
    </row>
    <row r="1333" spans="1:26" x14ac:dyDescent="0.25">
      <c r="A1333" s="159" t="str">
        <f t="shared" si="61"/>
        <v>LB-Gilroy and Morgan Hill-Gilroy and Morgan Hill-Work</v>
      </c>
      <c r="B1333">
        <v>14</v>
      </c>
      <c r="C1333" t="str">
        <f t="shared" si="62"/>
        <v>Gilroy and Morgan Hill</v>
      </c>
      <c r="D1333">
        <v>14</v>
      </c>
      <c r="E1333" t="str">
        <f t="shared" si="62"/>
        <v>Gilroy and Morgan Hill</v>
      </c>
      <c r="F1333" t="s">
        <v>30</v>
      </c>
      <c r="G1333">
        <f t="shared" si="60"/>
        <v>1</v>
      </c>
      <c r="H1333" t="s">
        <v>359</v>
      </c>
      <c r="I1333" t="s">
        <v>191</v>
      </c>
      <c r="J1333">
        <v>3</v>
      </c>
      <c r="K1333">
        <v>187.94031922276201</v>
      </c>
      <c r="Z1333"/>
    </row>
    <row r="1334" spans="1:26" x14ac:dyDescent="0.25">
      <c r="A1334" s="159" t="str">
        <f t="shared" si="61"/>
        <v>LB-Gilroy and Morgan Hill-Oakland and Alameda-Shopping</v>
      </c>
      <c r="B1334">
        <v>14</v>
      </c>
      <c r="C1334" t="str">
        <f t="shared" si="62"/>
        <v>Gilroy and Morgan Hill</v>
      </c>
      <c r="D1334">
        <v>18</v>
      </c>
      <c r="E1334" t="str">
        <f t="shared" si="62"/>
        <v>Oakland and Alameda</v>
      </c>
      <c r="F1334" t="s">
        <v>106</v>
      </c>
      <c r="G1334">
        <f t="shared" si="60"/>
        <v>4</v>
      </c>
      <c r="H1334" t="s">
        <v>359</v>
      </c>
      <c r="I1334" t="s">
        <v>191</v>
      </c>
      <c r="J1334">
        <v>1</v>
      </c>
      <c r="K1334">
        <v>62.646773074254</v>
      </c>
      <c r="Z1334"/>
    </row>
    <row r="1335" spans="1:26" x14ac:dyDescent="0.25">
      <c r="A1335" s="159" t="str">
        <f t="shared" si="61"/>
        <v>HR-Livermore and Pleasanton-Greater Downtown San Francisco-Other maintenance</v>
      </c>
      <c r="B1335">
        <v>15</v>
      </c>
      <c r="C1335" t="str">
        <f t="shared" si="62"/>
        <v>Livermore and Pleasanton</v>
      </c>
      <c r="D1335">
        <v>1</v>
      </c>
      <c r="E1335" t="str">
        <f t="shared" si="62"/>
        <v>Greater Downtown San Francisco</v>
      </c>
      <c r="F1335" t="s">
        <v>325</v>
      </c>
      <c r="G1335">
        <f t="shared" si="60"/>
        <v>4</v>
      </c>
      <c r="H1335" t="s">
        <v>124</v>
      </c>
      <c r="I1335" t="s">
        <v>188</v>
      </c>
      <c r="J1335">
        <v>1</v>
      </c>
      <c r="K1335">
        <v>95.822099447513807</v>
      </c>
      <c r="Z1335"/>
    </row>
    <row r="1336" spans="1:26" x14ac:dyDescent="0.25">
      <c r="A1336" s="159" t="str">
        <f t="shared" si="61"/>
        <v>HR-Livermore and Pleasanton-Greater Downtown San Francisco-Shopping</v>
      </c>
      <c r="B1336">
        <v>15</v>
      </c>
      <c r="C1336" t="str">
        <f t="shared" si="62"/>
        <v>Livermore and Pleasanton</v>
      </c>
      <c r="D1336">
        <v>1</v>
      </c>
      <c r="E1336" t="str">
        <f t="shared" si="62"/>
        <v>Greater Downtown San Francisco</v>
      </c>
      <c r="F1336" t="s">
        <v>106</v>
      </c>
      <c r="G1336">
        <f t="shared" si="60"/>
        <v>4</v>
      </c>
      <c r="H1336" t="s">
        <v>124</v>
      </c>
      <c r="I1336" t="s">
        <v>188</v>
      </c>
      <c r="J1336">
        <v>1</v>
      </c>
      <c r="K1336">
        <v>195.51395348837201</v>
      </c>
      <c r="Z1336"/>
    </row>
    <row r="1337" spans="1:26" x14ac:dyDescent="0.25">
      <c r="A1337" s="159" t="str">
        <f t="shared" si="61"/>
        <v>HR-Livermore and Pleasanton-Greater Downtown San Francisco-Social recreation</v>
      </c>
      <c r="B1337">
        <v>15</v>
      </c>
      <c r="C1337" t="str">
        <f t="shared" si="62"/>
        <v>Livermore and Pleasanton</v>
      </c>
      <c r="D1337">
        <v>1</v>
      </c>
      <c r="E1337" t="str">
        <f t="shared" si="62"/>
        <v>Greater Downtown San Francisco</v>
      </c>
      <c r="F1337" t="s">
        <v>324</v>
      </c>
      <c r="G1337">
        <f t="shared" si="60"/>
        <v>5</v>
      </c>
      <c r="H1337" t="s">
        <v>124</v>
      </c>
      <c r="I1337" t="s">
        <v>188</v>
      </c>
      <c r="J1337">
        <v>3</v>
      </c>
      <c r="K1337">
        <v>486.850006424257</v>
      </c>
      <c r="Z1337"/>
    </row>
    <row r="1338" spans="1:26" x14ac:dyDescent="0.25">
      <c r="A1338" s="159" t="str">
        <f t="shared" si="61"/>
        <v>HR-Livermore and Pleasanton-Greater Downtown San Francisco-Work</v>
      </c>
      <c r="B1338">
        <v>15</v>
      </c>
      <c r="C1338" t="str">
        <f t="shared" si="62"/>
        <v>Livermore and Pleasanton</v>
      </c>
      <c r="D1338">
        <v>1</v>
      </c>
      <c r="E1338" t="str">
        <f t="shared" si="62"/>
        <v>Greater Downtown San Francisco</v>
      </c>
      <c r="F1338" t="s">
        <v>30</v>
      </c>
      <c r="G1338">
        <f t="shared" si="60"/>
        <v>1</v>
      </c>
      <c r="H1338" t="s">
        <v>124</v>
      </c>
      <c r="I1338" t="s">
        <v>188</v>
      </c>
      <c r="J1338">
        <v>15</v>
      </c>
      <c r="K1338">
        <v>1437.3314917127</v>
      </c>
      <c r="Z1338"/>
    </row>
    <row r="1339" spans="1:26" x14ac:dyDescent="0.25">
      <c r="A1339" s="159" t="str">
        <f t="shared" si="61"/>
        <v>LB-Livermore and Pleasanton-Greater Downtown San Francisco-Work</v>
      </c>
      <c r="B1339">
        <v>15</v>
      </c>
      <c r="C1339" t="str">
        <f t="shared" si="62"/>
        <v>Livermore and Pleasanton</v>
      </c>
      <c r="D1339">
        <v>1</v>
      </c>
      <c r="E1339" t="str">
        <f t="shared" si="62"/>
        <v>Greater Downtown San Francisco</v>
      </c>
      <c r="F1339" t="s">
        <v>30</v>
      </c>
      <c r="G1339">
        <f t="shared" si="60"/>
        <v>1</v>
      </c>
      <c r="H1339" t="s">
        <v>359</v>
      </c>
      <c r="I1339" t="s">
        <v>191</v>
      </c>
      <c r="J1339">
        <v>2</v>
      </c>
      <c r="K1339">
        <v>300.239465836899</v>
      </c>
      <c r="Z1339"/>
    </row>
    <row r="1340" spans="1:26" x14ac:dyDescent="0.25">
      <c r="A1340" s="159" t="str">
        <f t="shared" si="61"/>
        <v>EB-Livermore and Pleasanton-San Francisco Richmond District-Missing</v>
      </c>
      <c r="B1340">
        <v>15</v>
      </c>
      <c r="C1340" t="str">
        <f t="shared" si="62"/>
        <v>Livermore and Pleasanton</v>
      </c>
      <c r="D1340">
        <v>2</v>
      </c>
      <c r="E1340" t="str">
        <f t="shared" si="62"/>
        <v>San Francisco Richmond District</v>
      </c>
      <c r="F1340" t="s">
        <v>327</v>
      </c>
      <c r="G1340">
        <f t="shared" si="60"/>
        <v>0</v>
      </c>
      <c r="H1340" t="s">
        <v>123</v>
      </c>
      <c r="I1340" t="s">
        <v>182</v>
      </c>
      <c r="J1340">
        <v>1</v>
      </c>
      <c r="K1340">
        <v>75.575262543757304</v>
      </c>
      <c r="Z1340"/>
    </row>
    <row r="1341" spans="1:26" x14ac:dyDescent="0.25">
      <c r="A1341" s="159" t="str">
        <f t="shared" si="61"/>
        <v>LB-Livermore and Pleasanton-San Francisco Richmond District-Social recreation</v>
      </c>
      <c r="B1341">
        <v>15</v>
      </c>
      <c r="C1341" t="str">
        <f t="shared" si="62"/>
        <v>Livermore and Pleasanton</v>
      </c>
      <c r="D1341">
        <v>2</v>
      </c>
      <c r="E1341" t="str">
        <f t="shared" si="62"/>
        <v>San Francisco Richmond District</v>
      </c>
      <c r="F1341" t="s">
        <v>324</v>
      </c>
      <c r="G1341">
        <f t="shared" si="60"/>
        <v>5</v>
      </c>
      <c r="H1341" t="s">
        <v>359</v>
      </c>
      <c r="I1341" t="s">
        <v>191</v>
      </c>
      <c r="J1341">
        <v>1</v>
      </c>
      <c r="K1341">
        <v>33.269230769230802</v>
      </c>
      <c r="Z1341"/>
    </row>
    <row r="1342" spans="1:26" x14ac:dyDescent="0.25">
      <c r="A1342" s="159" t="str">
        <f t="shared" si="61"/>
        <v>HR-Livermore and Pleasanton-San Francisco Richmond District-Work</v>
      </c>
      <c r="B1342">
        <v>15</v>
      </c>
      <c r="C1342" t="str">
        <f t="shared" si="62"/>
        <v>Livermore and Pleasanton</v>
      </c>
      <c r="D1342">
        <v>2</v>
      </c>
      <c r="E1342" t="str">
        <f t="shared" si="62"/>
        <v>San Francisco Richmond District</v>
      </c>
      <c r="F1342" t="s">
        <v>30</v>
      </c>
      <c r="G1342">
        <f t="shared" si="60"/>
        <v>1</v>
      </c>
      <c r="H1342" t="s">
        <v>124</v>
      </c>
      <c r="I1342" t="s">
        <v>188</v>
      </c>
      <c r="J1342">
        <v>3</v>
      </c>
      <c r="K1342">
        <v>287.46629834254099</v>
      </c>
      <c r="Z1342"/>
    </row>
    <row r="1343" spans="1:26" x14ac:dyDescent="0.25">
      <c r="A1343" s="159" t="str">
        <f t="shared" si="61"/>
        <v>HR-Livermore and Pleasanton-San Francisco Mission District-High school</v>
      </c>
      <c r="B1343">
        <v>15</v>
      </c>
      <c r="C1343" t="str">
        <f t="shared" si="62"/>
        <v>Livermore and Pleasanton</v>
      </c>
      <c r="D1343">
        <v>3</v>
      </c>
      <c r="E1343" t="str">
        <f t="shared" si="62"/>
        <v>San Francisco Mission District</v>
      </c>
      <c r="F1343" t="s">
        <v>326</v>
      </c>
      <c r="G1343">
        <f t="shared" si="60"/>
        <v>3</v>
      </c>
      <c r="H1343" t="s">
        <v>124</v>
      </c>
      <c r="I1343" t="s">
        <v>188</v>
      </c>
      <c r="J1343">
        <v>1</v>
      </c>
      <c r="K1343">
        <v>95.822099447513807</v>
      </c>
      <c r="Z1343"/>
    </row>
    <row r="1344" spans="1:26" x14ac:dyDescent="0.25">
      <c r="A1344" s="159" t="str">
        <f t="shared" si="61"/>
        <v>HR-Livermore and Pleasanton-San Francisco Mission District-Other maintenance</v>
      </c>
      <c r="B1344">
        <v>15</v>
      </c>
      <c r="C1344" t="str">
        <f t="shared" si="62"/>
        <v>Livermore and Pleasanton</v>
      </c>
      <c r="D1344">
        <v>3</v>
      </c>
      <c r="E1344" t="str">
        <f t="shared" si="62"/>
        <v>San Francisco Mission District</v>
      </c>
      <c r="F1344" t="s">
        <v>325</v>
      </c>
      <c r="G1344">
        <f t="shared" si="60"/>
        <v>4</v>
      </c>
      <c r="H1344" t="s">
        <v>124</v>
      </c>
      <c r="I1344" t="s">
        <v>188</v>
      </c>
      <c r="J1344">
        <v>1</v>
      </c>
      <c r="K1344">
        <v>95.822099447513807</v>
      </c>
      <c r="Z1344"/>
    </row>
    <row r="1345" spans="1:26" x14ac:dyDescent="0.25">
      <c r="A1345" s="159" t="str">
        <f t="shared" si="61"/>
        <v>HR-Livermore and Pleasanton-San Francisco Mission District-Social recreation</v>
      </c>
      <c r="B1345">
        <v>15</v>
      </c>
      <c r="C1345" t="str">
        <f t="shared" si="62"/>
        <v>Livermore and Pleasanton</v>
      </c>
      <c r="D1345">
        <v>3</v>
      </c>
      <c r="E1345" t="str">
        <f t="shared" si="62"/>
        <v>San Francisco Mission District</v>
      </c>
      <c r="F1345" t="s">
        <v>324</v>
      </c>
      <c r="G1345">
        <f t="shared" si="60"/>
        <v>5</v>
      </c>
      <c r="H1345" t="s">
        <v>124</v>
      </c>
      <c r="I1345" t="s">
        <v>188</v>
      </c>
      <c r="J1345">
        <v>1</v>
      </c>
      <c r="K1345">
        <v>95.822099447513807</v>
      </c>
      <c r="Z1345"/>
    </row>
    <row r="1346" spans="1:26" x14ac:dyDescent="0.25">
      <c r="A1346" s="159" t="str">
        <f t="shared" si="61"/>
        <v>HR-Livermore and Pleasanton-San Francisco Mission District-Work</v>
      </c>
      <c r="B1346">
        <v>15</v>
      </c>
      <c r="C1346" t="str">
        <f t="shared" si="62"/>
        <v>Livermore and Pleasanton</v>
      </c>
      <c r="D1346">
        <v>3</v>
      </c>
      <c r="E1346" t="str">
        <f t="shared" si="62"/>
        <v>San Francisco Mission District</v>
      </c>
      <c r="F1346" t="s">
        <v>30</v>
      </c>
      <c r="G1346">
        <f t="shared" ref="G1346:G1409" si="63">VLOOKUP(F1346,$V$2:$X$10, 3,FALSE)</f>
        <v>1</v>
      </c>
      <c r="H1346" t="s">
        <v>124</v>
      </c>
      <c r="I1346" t="s">
        <v>188</v>
      </c>
      <c r="J1346">
        <v>5</v>
      </c>
      <c r="K1346">
        <v>479.11049723756901</v>
      </c>
      <c r="Z1346"/>
    </row>
    <row r="1347" spans="1:26" x14ac:dyDescent="0.25">
      <c r="A1347" s="159" t="str">
        <f t="shared" ref="A1347:A1410" si="64" xml:space="preserve"> CONCATENATE(I1347,"-",C1347, "-",E1347, "-",F1347,)</f>
        <v>HR-Livermore and Pleasanton-Daly City and San Bruno-Missing</v>
      </c>
      <c r="B1347">
        <v>15</v>
      </c>
      <c r="C1347" t="str">
        <f t="shared" ref="C1347:E1410" si="65">VLOOKUP(B1347,$S$2:$T$35,2,FALSE)</f>
        <v>Livermore and Pleasanton</v>
      </c>
      <c r="D1347">
        <v>5</v>
      </c>
      <c r="E1347" t="str">
        <f t="shared" si="65"/>
        <v>Daly City and San Bruno</v>
      </c>
      <c r="F1347" t="s">
        <v>327</v>
      </c>
      <c r="G1347">
        <f t="shared" si="63"/>
        <v>0</v>
      </c>
      <c r="H1347" t="s">
        <v>124</v>
      </c>
      <c r="I1347" t="s">
        <v>188</v>
      </c>
      <c r="J1347">
        <v>2</v>
      </c>
      <c r="K1347">
        <v>191.64419889502699</v>
      </c>
      <c r="Z1347"/>
    </row>
    <row r="1348" spans="1:26" x14ac:dyDescent="0.25">
      <c r="A1348" s="159" t="str">
        <f t="shared" si="64"/>
        <v>LB-Livermore and Pleasanton-Daly City and San Bruno-Shopping</v>
      </c>
      <c r="B1348">
        <v>15</v>
      </c>
      <c r="C1348" t="str">
        <f t="shared" si="65"/>
        <v>Livermore and Pleasanton</v>
      </c>
      <c r="D1348">
        <v>5</v>
      </c>
      <c r="E1348" t="str">
        <f t="shared" si="65"/>
        <v>Daly City and San Bruno</v>
      </c>
      <c r="F1348" t="s">
        <v>106</v>
      </c>
      <c r="G1348">
        <f t="shared" si="63"/>
        <v>4</v>
      </c>
      <c r="H1348" t="s">
        <v>359</v>
      </c>
      <c r="I1348" t="s">
        <v>191</v>
      </c>
      <c r="J1348">
        <v>1</v>
      </c>
      <c r="K1348">
        <v>14.1111111111111</v>
      </c>
      <c r="Z1348"/>
    </row>
    <row r="1349" spans="1:26" x14ac:dyDescent="0.25">
      <c r="A1349" s="159" t="str">
        <f t="shared" si="64"/>
        <v>HR-Livermore and Pleasanton-Daly City and San Bruno-Work</v>
      </c>
      <c r="B1349">
        <v>15</v>
      </c>
      <c r="C1349" t="str">
        <f t="shared" si="65"/>
        <v>Livermore and Pleasanton</v>
      </c>
      <c r="D1349">
        <v>5</v>
      </c>
      <c r="E1349" t="str">
        <f t="shared" si="65"/>
        <v>Daly City and San Bruno</v>
      </c>
      <c r="F1349" t="s">
        <v>30</v>
      </c>
      <c r="G1349">
        <f t="shared" si="63"/>
        <v>1</v>
      </c>
      <c r="H1349" t="s">
        <v>124</v>
      </c>
      <c r="I1349" t="s">
        <v>188</v>
      </c>
      <c r="J1349">
        <v>2</v>
      </c>
      <c r="K1349">
        <v>191.64419889502699</v>
      </c>
      <c r="Z1349"/>
    </row>
    <row r="1350" spans="1:26" x14ac:dyDescent="0.25">
      <c r="A1350" s="159" t="str">
        <f t="shared" si="64"/>
        <v>HR-Livermore and Pleasanton-Redwood City and Menlo Park-Other maintenance</v>
      </c>
      <c r="B1350">
        <v>15</v>
      </c>
      <c r="C1350" t="str">
        <f t="shared" si="65"/>
        <v>Livermore and Pleasanton</v>
      </c>
      <c r="D1350">
        <v>7</v>
      </c>
      <c r="E1350" t="str">
        <f t="shared" si="65"/>
        <v>Redwood City and Menlo Park</v>
      </c>
      <c r="F1350" t="s">
        <v>325</v>
      </c>
      <c r="G1350">
        <f t="shared" si="63"/>
        <v>4</v>
      </c>
      <c r="H1350" t="s">
        <v>124</v>
      </c>
      <c r="I1350" t="s">
        <v>188</v>
      </c>
      <c r="J1350">
        <v>1</v>
      </c>
      <c r="K1350">
        <v>95.822099447513807</v>
      </c>
      <c r="Z1350"/>
    </row>
    <row r="1351" spans="1:26" x14ac:dyDescent="0.25">
      <c r="A1351" s="159" t="str">
        <f t="shared" si="64"/>
        <v>LB-Livermore and Pleasanton-Redwood City and Menlo Park-Work</v>
      </c>
      <c r="B1351">
        <v>15</v>
      </c>
      <c r="C1351" t="str">
        <f t="shared" si="65"/>
        <v>Livermore and Pleasanton</v>
      </c>
      <c r="D1351">
        <v>7</v>
      </c>
      <c r="E1351" t="str">
        <f t="shared" si="65"/>
        <v>Redwood City and Menlo Park</v>
      </c>
      <c r="F1351" t="s">
        <v>30</v>
      </c>
      <c r="G1351">
        <f t="shared" si="63"/>
        <v>1</v>
      </c>
      <c r="H1351" t="s">
        <v>359</v>
      </c>
      <c r="I1351" t="s">
        <v>191</v>
      </c>
      <c r="J1351">
        <v>1</v>
      </c>
      <c r="K1351">
        <v>14.1111111111111</v>
      </c>
      <c r="Z1351"/>
    </row>
    <row r="1352" spans="1:26" x14ac:dyDescent="0.25">
      <c r="A1352" s="159" t="str">
        <f t="shared" si="64"/>
        <v>LB-Livermore and Pleasanton-Sunnyvale and Mountain View-Missing</v>
      </c>
      <c r="B1352">
        <v>15</v>
      </c>
      <c r="C1352" t="str">
        <f t="shared" si="65"/>
        <v>Livermore and Pleasanton</v>
      </c>
      <c r="D1352">
        <v>9</v>
      </c>
      <c r="E1352" t="str">
        <f t="shared" si="65"/>
        <v>Sunnyvale and Mountain View</v>
      </c>
      <c r="F1352" t="s">
        <v>327</v>
      </c>
      <c r="G1352">
        <f t="shared" si="63"/>
        <v>0</v>
      </c>
      <c r="H1352" t="s">
        <v>359</v>
      </c>
      <c r="I1352" t="s">
        <v>191</v>
      </c>
      <c r="J1352">
        <v>1</v>
      </c>
      <c r="K1352">
        <v>62.646773074254</v>
      </c>
      <c r="Z1352"/>
    </row>
    <row r="1353" spans="1:26" x14ac:dyDescent="0.25">
      <c r="A1353" s="159" t="str">
        <f t="shared" si="64"/>
        <v>LB-Livermore and Pleasanton-Sunnyvale and Mountain View-Work</v>
      </c>
      <c r="B1353">
        <v>15</v>
      </c>
      <c r="C1353" t="str">
        <f t="shared" si="65"/>
        <v>Livermore and Pleasanton</v>
      </c>
      <c r="D1353">
        <v>9</v>
      </c>
      <c r="E1353" t="str">
        <f t="shared" si="65"/>
        <v>Sunnyvale and Mountain View</v>
      </c>
      <c r="F1353" t="s">
        <v>30</v>
      </c>
      <c r="G1353">
        <f t="shared" si="63"/>
        <v>1</v>
      </c>
      <c r="H1353" t="s">
        <v>359</v>
      </c>
      <c r="I1353" t="s">
        <v>191</v>
      </c>
      <c r="J1353">
        <v>1</v>
      </c>
      <c r="K1353">
        <v>62.646773074254</v>
      </c>
      <c r="Z1353"/>
    </row>
    <row r="1354" spans="1:26" x14ac:dyDescent="0.25">
      <c r="A1354" s="159" t="str">
        <f t="shared" si="64"/>
        <v>LB-Livermore and Pleasanton-Cupertino and Saratoga-Work</v>
      </c>
      <c r="B1354">
        <v>15</v>
      </c>
      <c r="C1354" t="str">
        <f t="shared" si="65"/>
        <v>Livermore and Pleasanton</v>
      </c>
      <c r="D1354">
        <v>10</v>
      </c>
      <c r="E1354" t="str">
        <f t="shared" si="65"/>
        <v>Cupertino and Saratoga</v>
      </c>
      <c r="F1354" t="s">
        <v>30</v>
      </c>
      <c r="G1354">
        <f t="shared" si="63"/>
        <v>1</v>
      </c>
      <c r="H1354" t="s">
        <v>359</v>
      </c>
      <c r="I1354" t="s">
        <v>191</v>
      </c>
      <c r="J1354">
        <v>1</v>
      </c>
      <c r="K1354">
        <v>62.646773074254</v>
      </c>
      <c r="Z1354"/>
    </row>
    <row r="1355" spans="1:26" x14ac:dyDescent="0.25">
      <c r="A1355" s="159" t="str">
        <f t="shared" si="64"/>
        <v>HR-Livermore and Pleasanton-Central San Jose-High school</v>
      </c>
      <c r="B1355">
        <v>15</v>
      </c>
      <c r="C1355" t="str">
        <f t="shared" si="65"/>
        <v>Livermore and Pleasanton</v>
      </c>
      <c r="D1355">
        <v>11</v>
      </c>
      <c r="E1355" t="str">
        <f t="shared" si="65"/>
        <v>Central San Jose</v>
      </c>
      <c r="F1355" t="s">
        <v>326</v>
      </c>
      <c r="G1355">
        <f t="shared" si="63"/>
        <v>3</v>
      </c>
      <c r="H1355" t="s">
        <v>124</v>
      </c>
      <c r="I1355" t="s">
        <v>188</v>
      </c>
      <c r="J1355">
        <v>1</v>
      </c>
      <c r="K1355">
        <v>95.822099447513807</v>
      </c>
      <c r="Z1355"/>
    </row>
    <row r="1356" spans="1:26" x14ac:dyDescent="0.25">
      <c r="A1356" s="159" t="str">
        <f t="shared" si="64"/>
        <v>LB-Livermore and Pleasanton-Central San Jose-High school</v>
      </c>
      <c r="B1356">
        <v>15</v>
      </c>
      <c r="C1356" t="str">
        <f t="shared" si="65"/>
        <v>Livermore and Pleasanton</v>
      </c>
      <c r="D1356">
        <v>11</v>
      </c>
      <c r="E1356" t="str">
        <f t="shared" si="65"/>
        <v>Central San Jose</v>
      </c>
      <c r="F1356" t="s">
        <v>326</v>
      </c>
      <c r="G1356">
        <f t="shared" si="63"/>
        <v>3</v>
      </c>
      <c r="H1356" t="s">
        <v>359</v>
      </c>
      <c r="I1356" t="s">
        <v>191</v>
      </c>
      <c r="J1356">
        <v>1</v>
      </c>
      <c r="K1356">
        <v>62.646773074254</v>
      </c>
      <c r="Z1356"/>
    </row>
    <row r="1357" spans="1:26" x14ac:dyDescent="0.25">
      <c r="A1357" s="159" t="str">
        <f t="shared" si="64"/>
        <v>HR-Livermore and Pleasanton-Central San Jose-Missing</v>
      </c>
      <c r="B1357">
        <v>15</v>
      </c>
      <c r="C1357" t="str">
        <f t="shared" si="65"/>
        <v>Livermore and Pleasanton</v>
      </c>
      <c r="D1357">
        <v>11</v>
      </c>
      <c r="E1357" t="str">
        <f t="shared" si="65"/>
        <v>Central San Jose</v>
      </c>
      <c r="F1357" t="s">
        <v>327</v>
      </c>
      <c r="G1357">
        <f t="shared" si="63"/>
        <v>0</v>
      </c>
      <c r="H1357" t="s">
        <v>124</v>
      </c>
      <c r="I1357" t="s">
        <v>188</v>
      </c>
      <c r="J1357">
        <v>1</v>
      </c>
      <c r="K1357">
        <v>95.822099447513807</v>
      </c>
      <c r="Z1357"/>
    </row>
    <row r="1358" spans="1:26" x14ac:dyDescent="0.25">
      <c r="A1358" s="159" t="str">
        <f t="shared" si="64"/>
        <v>HR-Livermore and Pleasanton-Central San Jose-Work</v>
      </c>
      <c r="B1358">
        <v>15</v>
      </c>
      <c r="C1358" t="str">
        <f t="shared" si="65"/>
        <v>Livermore and Pleasanton</v>
      </c>
      <c r="D1358">
        <v>11</v>
      </c>
      <c r="E1358" t="str">
        <f t="shared" si="65"/>
        <v>Central San Jose</v>
      </c>
      <c r="F1358" t="s">
        <v>30</v>
      </c>
      <c r="G1358">
        <f t="shared" si="63"/>
        <v>1</v>
      </c>
      <c r="H1358" t="s">
        <v>124</v>
      </c>
      <c r="I1358" t="s">
        <v>188</v>
      </c>
      <c r="J1358">
        <v>1</v>
      </c>
      <c r="K1358">
        <v>95.822099447513807</v>
      </c>
      <c r="Z1358"/>
    </row>
    <row r="1359" spans="1:26" x14ac:dyDescent="0.25">
      <c r="A1359" s="159" t="str">
        <f t="shared" si="64"/>
        <v>LR-Livermore and Pleasanton-Milpitas and East San Jose-Missing</v>
      </c>
      <c r="B1359">
        <v>15</v>
      </c>
      <c r="C1359" t="str">
        <f t="shared" si="65"/>
        <v>Livermore and Pleasanton</v>
      </c>
      <c r="D1359">
        <v>12</v>
      </c>
      <c r="E1359" t="str">
        <f t="shared" si="65"/>
        <v>Milpitas and East San Jose</v>
      </c>
      <c r="F1359" t="s">
        <v>327</v>
      </c>
      <c r="G1359">
        <f t="shared" si="63"/>
        <v>0</v>
      </c>
      <c r="H1359" t="s">
        <v>353</v>
      </c>
      <c r="I1359" t="s">
        <v>194</v>
      </c>
      <c r="J1359">
        <v>1</v>
      </c>
      <c r="K1359">
        <v>62.646773074254</v>
      </c>
      <c r="Z1359"/>
    </row>
    <row r="1360" spans="1:26" x14ac:dyDescent="0.25">
      <c r="A1360" s="159" t="str">
        <f t="shared" si="64"/>
        <v>HR-Livermore and Pleasanton-Milpitas and East San Jose-Other maintenance</v>
      </c>
      <c r="B1360">
        <v>15</v>
      </c>
      <c r="C1360" t="str">
        <f t="shared" si="65"/>
        <v>Livermore and Pleasanton</v>
      </c>
      <c r="D1360">
        <v>12</v>
      </c>
      <c r="E1360" t="str">
        <f t="shared" si="65"/>
        <v>Milpitas and East San Jose</v>
      </c>
      <c r="F1360" t="s">
        <v>325</v>
      </c>
      <c r="G1360">
        <f t="shared" si="63"/>
        <v>4</v>
      </c>
      <c r="H1360" t="s">
        <v>124</v>
      </c>
      <c r="I1360" t="s">
        <v>188</v>
      </c>
      <c r="J1360">
        <v>1</v>
      </c>
      <c r="K1360">
        <v>95.822099447513807</v>
      </c>
      <c r="Z1360"/>
    </row>
    <row r="1361" spans="1:26" x14ac:dyDescent="0.25">
      <c r="A1361" s="159" t="str">
        <f t="shared" si="64"/>
        <v>LB-Livermore and Pleasanton-Milpitas and East San Jose-Work</v>
      </c>
      <c r="B1361">
        <v>15</v>
      </c>
      <c r="C1361" t="str">
        <f t="shared" si="65"/>
        <v>Livermore and Pleasanton</v>
      </c>
      <c r="D1361">
        <v>12</v>
      </c>
      <c r="E1361" t="str">
        <f t="shared" si="65"/>
        <v>Milpitas and East San Jose</v>
      </c>
      <c r="F1361" t="s">
        <v>30</v>
      </c>
      <c r="G1361">
        <f t="shared" si="63"/>
        <v>1</v>
      </c>
      <c r="H1361" t="s">
        <v>359</v>
      </c>
      <c r="I1361" t="s">
        <v>191</v>
      </c>
      <c r="J1361">
        <v>1</v>
      </c>
      <c r="K1361">
        <v>14.1111111111111</v>
      </c>
      <c r="Z1361"/>
    </row>
    <row r="1362" spans="1:26" x14ac:dyDescent="0.25">
      <c r="A1362" s="159" t="str">
        <f t="shared" si="64"/>
        <v>CR-Livermore and Pleasanton-Livermore and Pleasanton-High school</v>
      </c>
      <c r="B1362">
        <v>15</v>
      </c>
      <c r="C1362" t="str">
        <f t="shared" si="65"/>
        <v>Livermore and Pleasanton</v>
      </c>
      <c r="D1362">
        <v>15</v>
      </c>
      <c r="E1362" t="str">
        <f t="shared" si="65"/>
        <v>Livermore and Pleasanton</v>
      </c>
      <c r="F1362" t="s">
        <v>326</v>
      </c>
      <c r="G1362">
        <f t="shared" si="63"/>
        <v>3</v>
      </c>
      <c r="H1362" t="s">
        <v>125</v>
      </c>
      <c r="I1362" t="s">
        <v>178</v>
      </c>
      <c r="J1362">
        <v>1</v>
      </c>
      <c r="K1362">
        <v>12.22</v>
      </c>
      <c r="Z1362"/>
    </row>
    <row r="1363" spans="1:26" x14ac:dyDescent="0.25">
      <c r="A1363" s="159" t="str">
        <f t="shared" si="64"/>
        <v>LB-Livermore and Pleasanton-Livermore and Pleasanton-High school</v>
      </c>
      <c r="B1363">
        <v>15</v>
      </c>
      <c r="C1363" t="str">
        <f t="shared" si="65"/>
        <v>Livermore and Pleasanton</v>
      </c>
      <c r="D1363">
        <v>15</v>
      </c>
      <c r="E1363" t="str">
        <f t="shared" si="65"/>
        <v>Livermore and Pleasanton</v>
      </c>
      <c r="F1363" t="s">
        <v>326</v>
      </c>
      <c r="G1363">
        <f t="shared" si="63"/>
        <v>3</v>
      </c>
      <c r="H1363" t="s">
        <v>359</v>
      </c>
      <c r="I1363" t="s">
        <v>191</v>
      </c>
      <c r="J1363">
        <v>46</v>
      </c>
      <c r="K1363">
        <v>657.26229508196604</v>
      </c>
      <c r="Z1363"/>
    </row>
    <row r="1364" spans="1:26" x14ac:dyDescent="0.25">
      <c r="A1364" s="159" t="str">
        <f t="shared" si="64"/>
        <v>LB-Livermore and Pleasanton-Livermore and Pleasanton-Missing</v>
      </c>
      <c r="B1364">
        <v>15</v>
      </c>
      <c r="C1364" t="str">
        <f t="shared" si="65"/>
        <v>Livermore and Pleasanton</v>
      </c>
      <c r="D1364">
        <v>15</v>
      </c>
      <c r="E1364" t="str">
        <f t="shared" si="65"/>
        <v>Livermore and Pleasanton</v>
      </c>
      <c r="F1364" t="s">
        <v>327</v>
      </c>
      <c r="G1364">
        <f t="shared" si="63"/>
        <v>0</v>
      </c>
      <c r="H1364" t="s">
        <v>359</v>
      </c>
      <c r="I1364" t="s">
        <v>191</v>
      </c>
      <c r="J1364">
        <v>38</v>
      </c>
      <c r="K1364">
        <v>1852.00090058978</v>
      </c>
      <c r="Z1364"/>
    </row>
    <row r="1365" spans="1:26" x14ac:dyDescent="0.25">
      <c r="A1365" s="159" t="str">
        <f t="shared" si="64"/>
        <v>LB-Livermore and Pleasanton-Livermore and Pleasanton-Other maintenance</v>
      </c>
      <c r="B1365">
        <v>15</v>
      </c>
      <c r="C1365" t="str">
        <f t="shared" si="65"/>
        <v>Livermore and Pleasanton</v>
      </c>
      <c r="D1365">
        <v>15</v>
      </c>
      <c r="E1365" t="str">
        <f t="shared" si="65"/>
        <v>Livermore and Pleasanton</v>
      </c>
      <c r="F1365" t="s">
        <v>325</v>
      </c>
      <c r="G1365">
        <f t="shared" si="63"/>
        <v>4</v>
      </c>
      <c r="H1365" t="s">
        <v>359</v>
      </c>
      <c r="I1365" t="s">
        <v>191</v>
      </c>
      <c r="J1365">
        <v>28</v>
      </c>
      <c r="K1365">
        <v>427.71584699453501</v>
      </c>
      <c r="Z1365"/>
    </row>
    <row r="1366" spans="1:26" x14ac:dyDescent="0.25">
      <c r="A1366" s="159" t="str">
        <f t="shared" si="64"/>
        <v>HR-Livermore and Pleasanton-Livermore and Pleasanton-Shopping</v>
      </c>
      <c r="B1366">
        <v>15</v>
      </c>
      <c r="C1366" t="str">
        <f t="shared" si="65"/>
        <v>Livermore and Pleasanton</v>
      </c>
      <c r="D1366">
        <v>15</v>
      </c>
      <c r="E1366" t="str">
        <f t="shared" si="65"/>
        <v>Livermore and Pleasanton</v>
      </c>
      <c r="F1366" t="s">
        <v>106</v>
      </c>
      <c r="G1366">
        <f t="shared" si="63"/>
        <v>4</v>
      </c>
      <c r="H1366" t="s">
        <v>124</v>
      </c>
      <c r="I1366" t="s">
        <v>188</v>
      </c>
      <c r="J1366">
        <v>1</v>
      </c>
      <c r="K1366">
        <v>195.51395348837201</v>
      </c>
      <c r="Z1366"/>
    </row>
    <row r="1367" spans="1:26" x14ac:dyDescent="0.25">
      <c r="A1367" s="159" t="str">
        <f t="shared" si="64"/>
        <v>LB-Livermore and Pleasanton-Livermore and Pleasanton-Shopping</v>
      </c>
      <c r="B1367">
        <v>15</v>
      </c>
      <c r="C1367" t="str">
        <f t="shared" si="65"/>
        <v>Livermore and Pleasanton</v>
      </c>
      <c r="D1367">
        <v>15</v>
      </c>
      <c r="E1367" t="str">
        <f t="shared" si="65"/>
        <v>Livermore and Pleasanton</v>
      </c>
      <c r="F1367" t="s">
        <v>106</v>
      </c>
      <c r="G1367">
        <f t="shared" si="63"/>
        <v>4</v>
      </c>
      <c r="H1367" t="s">
        <v>359</v>
      </c>
      <c r="I1367" t="s">
        <v>191</v>
      </c>
      <c r="J1367">
        <v>13</v>
      </c>
      <c r="K1367">
        <v>199.74681238615599</v>
      </c>
      <c r="Z1367"/>
    </row>
    <row r="1368" spans="1:26" x14ac:dyDescent="0.25">
      <c r="A1368" s="159" t="str">
        <f t="shared" si="64"/>
        <v>HR-Livermore and Pleasanton-Livermore and Pleasanton-Social recreation</v>
      </c>
      <c r="B1368">
        <v>15</v>
      </c>
      <c r="C1368" t="str">
        <f t="shared" si="65"/>
        <v>Livermore and Pleasanton</v>
      </c>
      <c r="D1368">
        <v>15</v>
      </c>
      <c r="E1368" t="str">
        <f t="shared" si="65"/>
        <v>Livermore and Pleasanton</v>
      </c>
      <c r="F1368" t="s">
        <v>324</v>
      </c>
      <c r="G1368">
        <f t="shared" si="63"/>
        <v>5</v>
      </c>
      <c r="H1368" t="s">
        <v>124</v>
      </c>
      <c r="I1368" t="s">
        <v>188</v>
      </c>
      <c r="J1368">
        <v>1</v>
      </c>
      <c r="K1368">
        <v>195.51395348837201</v>
      </c>
      <c r="Z1368"/>
    </row>
    <row r="1369" spans="1:26" x14ac:dyDescent="0.25">
      <c r="A1369" s="159" t="str">
        <f t="shared" si="64"/>
        <v>LB-Livermore and Pleasanton-Livermore and Pleasanton-Social recreation</v>
      </c>
      <c r="B1369">
        <v>15</v>
      </c>
      <c r="C1369" t="str">
        <f t="shared" si="65"/>
        <v>Livermore and Pleasanton</v>
      </c>
      <c r="D1369">
        <v>15</v>
      </c>
      <c r="E1369" t="str">
        <f t="shared" si="65"/>
        <v>Livermore and Pleasanton</v>
      </c>
      <c r="F1369" t="s">
        <v>324</v>
      </c>
      <c r="G1369">
        <f t="shared" si="63"/>
        <v>5</v>
      </c>
      <c r="H1369" t="s">
        <v>359</v>
      </c>
      <c r="I1369" t="s">
        <v>191</v>
      </c>
      <c r="J1369">
        <v>28</v>
      </c>
      <c r="K1369">
        <v>1678.28505359525</v>
      </c>
      <c r="Z1369"/>
    </row>
    <row r="1370" spans="1:26" x14ac:dyDescent="0.25">
      <c r="A1370" s="159" t="str">
        <f t="shared" si="64"/>
        <v>HR-Livermore and Pleasanton-Livermore and Pleasanton-Work</v>
      </c>
      <c r="B1370">
        <v>15</v>
      </c>
      <c r="C1370" t="str">
        <f t="shared" si="65"/>
        <v>Livermore and Pleasanton</v>
      </c>
      <c r="D1370">
        <v>15</v>
      </c>
      <c r="E1370" t="str">
        <f t="shared" si="65"/>
        <v>Livermore and Pleasanton</v>
      </c>
      <c r="F1370" t="s">
        <v>30</v>
      </c>
      <c r="G1370">
        <f t="shared" si="63"/>
        <v>1</v>
      </c>
      <c r="H1370" t="s">
        <v>124</v>
      </c>
      <c r="I1370" t="s">
        <v>188</v>
      </c>
      <c r="J1370">
        <v>3</v>
      </c>
      <c r="K1370">
        <v>287.46629834254099</v>
      </c>
      <c r="Z1370"/>
    </row>
    <row r="1371" spans="1:26" x14ac:dyDescent="0.25">
      <c r="A1371" s="159" t="str">
        <f t="shared" si="64"/>
        <v>LB-Livermore and Pleasanton-Livermore and Pleasanton-Work</v>
      </c>
      <c r="B1371">
        <v>15</v>
      </c>
      <c r="C1371" t="str">
        <f t="shared" si="65"/>
        <v>Livermore and Pleasanton</v>
      </c>
      <c r="D1371">
        <v>15</v>
      </c>
      <c r="E1371" t="str">
        <f t="shared" si="65"/>
        <v>Livermore and Pleasanton</v>
      </c>
      <c r="F1371" t="s">
        <v>30</v>
      </c>
      <c r="G1371">
        <f t="shared" si="63"/>
        <v>1</v>
      </c>
      <c r="H1371" t="s">
        <v>359</v>
      </c>
      <c r="I1371" t="s">
        <v>191</v>
      </c>
      <c r="J1371">
        <v>114</v>
      </c>
      <c r="K1371">
        <v>1730.9344262295001</v>
      </c>
      <c r="Z1371"/>
    </row>
    <row r="1372" spans="1:26" x14ac:dyDescent="0.25">
      <c r="A1372" s="159" t="str">
        <f t="shared" si="64"/>
        <v>HR-Livermore and Pleasanton-Fremont and Union City-Work</v>
      </c>
      <c r="B1372">
        <v>15</v>
      </c>
      <c r="C1372" t="str">
        <f t="shared" si="65"/>
        <v>Livermore and Pleasanton</v>
      </c>
      <c r="D1372">
        <v>16</v>
      </c>
      <c r="E1372" t="str">
        <f t="shared" si="65"/>
        <v>Fremont and Union City</v>
      </c>
      <c r="F1372" t="s">
        <v>30</v>
      </c>
      <c r="G1372">
        <f t="shared" si="63"/>
        <v>1</v>
      </c>
      <c r="H1372" t="s">
        <v>124</v>
      </c>
      <c r="I1372" t="s">
        <v>188</v>
      </c>
      <c r="J1372">
        <v>2</v>
      </c>
      <c r="K1372">
        <v>191.64419889502699</v>
      </c>
      <c r="Z1372"/>
    </row>
    <row r="1373" spans="1:26" x14ac:dyDescent="0.25">
      <c r="A1373" s="159" t="str">
        <f t="shared" si="64"/>
        <v>LB-Livermore and Pleasanton-Fremont and Union City-Work</v>
      </c>
      <c r="B1373">
        <v>15</v>
      </c>
      <c r="C1373" t="str">
        <f t="shared" si="65"/>
        <v>Livermore and Pleasanton</v>
      </c>
      <c r="D1373">
        <v>16</v>
      </c>
      <c r="E1373" t="str">
        <f t="shared" si="65"/>
        <v>Fremont and Union City</v>
      </c>
      <c r="F1373" t="s">
        <v>30</v>
      </c>
      <c r="G1373">
        <f t="shared" si="63"/>
        <v>1</v>
      </c>
      <c r="H1373" t="s">
        <v>359</v>
      </c>
      <c r="I1373" t="s">
        <v>191</v>
      </c>
      <c r="J1373">
        <v>1</v>
      </c>
      <c r="K1373">
        <v>14.1111111111111</v>
      </c>
      <c r="Z1373"/>
    </row>
    <row r="1374" spans="1:26" x14ac:dyDescent="0.25">
      <c r="A1374" s="159" t="str">
        <f t="shared" si="64"/>
        <v>LB-Livermore and Pleasanton-Hayward and San Leandro-High school</v>
      </c>
      <c r="B1374">
        <v>15</v>
      </c>
      <c r="C1374" t="str">
        <f t="shared" si="65"/>
        <v>Livermore and Pleasanton</v>
      </c>
      <c r="D1374">
        <v>17</v>
      </c>
      <c r="E1374" t="str">
        <f t="shared" si="65"/>
        <v>Hayward and San Leandro</v>
      </c>
      <c r="F1374" t="s">
        <v>326</v>
      </c>
      <c r="G1374">
        <f t="shared" si="63"/>
        <v>3</v>
      </c>
      <c r="H1374" t="s">
        <v>359</v>
      </c>
      <c r="I1374" t="s">
        <v>191</v>
      </c>
      <c r="J1374">
        <v>2</v>
      </c>
      <c r="K1374">
        <v>28.2222222222222</v>
      </c>
      <c r="Z1374"/>
    </row>
    <row r="1375" spans="1:26" x14ac:dyDescent="0.25">
      <c r="A1375" s="159" t="str">
        <f t="shared" si="64"/>
        <v>HR-Livermore and Pleasanton-Hayward and San Leandro-Missing</v>
      </c>
      <c r="B1375">
        <v>15</v>
      </c>
      <c r="C1375" t="str">
        <f t="shared" si="65"/>
        <v>Livermore and Pleasanton</v>
      </c>
      <c r="D1375">
        <v>17</v>
      </c>
      <c r="E1375" t="str">
        <f t="shared" si="65"/>
        <v>Hayward and San Leandro</v>
      </c>
      <c r="F1375" t="s">
        <v>327</v>
      </c>
      <c r="G1375">
        <f t="shared" si="63"/>
        <v>0</v>
      </c>
      <c r="H1375" t="s">
        <v>124</v>
      </c>
      <c r="I1375" t="s">
        <v>188</v>
      </c>
      <c r="J1375">
        <v>1</v>
      </c>
      <c r="K1375">
        <v>95.822099447513807</v>
      </c>
      <c r="Z1375"/>
    </row>
    <row r="1376" spans="1:26" x14ac:dyDescent="0.25">
      <c r="A1376" s="159" t="str">
        <f t="shared" si="64"/>
        <v>HR-Livermore and Pleasanton-Hayward and San Leandro-Other maintenance</v>
      </c>
      <c r="B1376">
        <v>15</v>
      </c>
      <c r="C1376" t="str">
        <f t="shared" si="65"/>
        <v>Livermore and Pleasanton</v>
      </c>
      <c r="D1376">
        <v>17</v>
      </c>
      <c r="E1376" t="str">
        <f t="shared" si="65"/>
        <v>Hayward and San Leandro</v>
      </c>
      <c r="F1376" t="s">
        <v>325</v>
      </c>
      <c r="G1376">
        <f t="shared" si="63"/>
        <v>4</v>
      </c>
      <c r="H1376" t="s">
        <v>124</v>
      </c>
      <c r="I1376" t="s">
        <v>188</v>
      </c>
      <c r="J1376">
        <v>1</v>
      </c>
      <c r="K1376">
        <v>95.822099447513807</v>
      </c>
      <c r="Z1376"/>
    </row>
    <row r="1377" spans="1:26" x14ac:dyDescent="0.25">
      <c r="A1377" s="159" t="str">
        <f t="shared" si="64"/>
        <v>LB-Livermore and Pleasanton-Hayward and San Leandro-Other maintenance</v>
      </c>
      <c r="B1377">
        <v>15</v>
      </c>
      <c r="C1377" t="str">
        <f t="shared" si="65"/>
        <v>Livermore and Pleasanton</v>
      </c>
      <c r="D1377">
        <v>17</v>
      </c>
      <c r="E1377" t="str">
        <f t="shared" si="65"/>
        <v>Hayward and San Leandro</v>
      </c>
      <c r="F1377" t="s">
        <v>325</v>
      </c>
      <c r="G1377">
        <f t="shared" si="63"/>
        <v>4</v>
      </c>
      <c r="H1377" t="s">
        <v>359</v>
      </c>
      <c r="I1377" t="s">
        <v>191</v>
      </c>
      <c r="J1377">
        <v>1</v>
      </c>
      <c r="K1377">
        <v>22.262295081967199</v>
      </c>
      <c r="Z1377"/>
    </row>
    <row r="1378" spans="1:26" x14ac:dyDescent="0.25">
      <c r="A1378" s="159" t="str">
        <f t="shared" si="64"/>
        <v>HR-Livermore and Pleasanton-Hayward and San Leandro-Social recreation</v>
      </c>
      <c r="B1378">
        <v>15</v>
      </c>
      <c r="C1378" t="str">
        <f t="shared" si="65"/>
        <v>Livermore and Pleasanton</v>
      </c>
      <c r="D1378">
        <v>17</v>
      </c>
      <c r="E1378" t="str">
        <f t="shared" si="65"/>
        <v>Hayward and San Leandro</v>
      </c>
      <c r="F1378" t="s">
        <v>324</v>
      </c>
      <c r="G1378">
        <f t="shared" si="63"/>
        <v>5</v>
      </c>
      <c r="H1378" t="s">
        <v>124</v>
      </c>
      <c r="I1378" t="s">
        <v>188</v>
      </c>
      <c r="J1378">
        <v>1</v>
      </c>
      <c r="K1378">
        <v>95.822099447513807</v>
      </c>
      <c r="Z1378"/>
    </row>
    <row r="1379" spans="1:26" x14ac:dyDescent="0.25">
      <c r="A1379" s="159" t="str">
        <f t="shared" si="64"/>
        <v>LB-Livermore and Pleasanton-Hayward and San Leandro-Social recreation</v>
      </c>
      <c r="B1379">
        <v>15</v>
      </c>
      <c r="C1379" t="str">
        <f t="shared" si="65"/>
        <v>Livermore and Pleasanton</v>
      </c>
      <c r="D1379">
        <v>17</v>
      </c>
      <c r="E1379" t="str">
        <f t="shared" si="65"/>
        <v>Hayward and San Leandro</v>
      </c>
      <c r="F1379" t="s">
        <v>324</v>
      </c>
      <c r="G1379">
        <f t="shared" si="63"/>
        <v>5</v>
      </c>
      <c r="H1379" t="s">
        <v>359</v>
      </c>
      <c r="I1379" t="s">
        <v>191</v>
      </c>
      <c r="J1379">
        <v>1</v>
      </c>
      <c r="K1379">
        <v>270.93214285714299</v>
      </c>
      <c r="Z1379"/>
    </row>
    <row r="1380" spans="1:26" x14ac:dyDescent="0.25">
      <c r="A1380" s="159" t="str">
        <f t="shared" si="64"/>
        <v>HR-Livermore and Pleasanton-Hayward and San Leandro-Work</v>
      </c>
      <c r="B1380">
        <v>15</v>
      </c>
      <c r="C1380" t="str">
        <f t="shared" si="65"/>
        <v>Livermore and Pleasanton</v>
      </c>
      <c r="D1380">
        <v>17</v>
      </c>
      <c r="E1380" t="str">
        <f t="shared" si="65"/>
        <v>Hayward and San Leandro</v>
      </c>
      <c r="F1380" t="s">
        <v>30</v>
      </c>
      <c r="G1380">
        <f t="shared" si="63"/>
        <v>1</v>
      </c>
      <c r="H1380" t="s">
        <v>124</v>
      </c>
      <c r="I1380" t="s">
        <v>188</v>
      </c>
      <c r="J1380">
        <v>1</v>
      </c>
      <c r="K1380">
        <v>95.822099447513807</v>
      </c>
      <c r="Z1380"/>
    </row>
    <row r="1381" spans="1:26" x14ac:dyDescent="0.25">
      <c r="A1381" s="159" t="str">
        <f t="shared" si="64"/>
        <v>LB-Livermore and Pleasanton-Hayward and San Leandro-Work</v>
      </c>
      <c r="B1381">
        <v>15</v>
      </c>
      <c r="C1381" t="str">
        <f t="shared" si="65"/>
        <v>Livermore and Pleasanton</v>
      </c>
      <c r="D1381">
        <v>17</v>
      </c>
      <c r="E1381" t="str">
        <f t="shared" si="65"/>
        <v>Hayward and San Leandro</v>
      </c>
      <c r="F1381" t="s">
        <v>30</v>
      </c>
      <c r="G1381">
        <f t="shared" si="63"/>
        <v>1</v>
      </c>
      <c r="H1381" t="s">
        <v>359</v>
      </c>
      <c r="I1381" t="s">
        <v>191</v>
      </c>
      <c r="J1381">
        <v>4</v>
      </c>
      <c r="K1381">
        <v>117.90859587708999</v>
      </c>
      <c r="Z1381"/>
    </row>
    <row r="1382" spans="1:26" x14ac:dyDescent="0.25">
      <c r="A1382" s="159" t="str">
        <f t="shared" si="64"/>
        <v>HR-Livermore and Pleasanton-Oakland and Alameda-Missing</v>
      </c>
      <c r="B1382">
        <v>15</v>
      </c>
      <c r="C1382" t="str">
        <f t="shared" si="65"/>
        <v>Livermore and Pleasanton</v>
      </c>
      <c r="D1382">
        <v>18</v>
      </c>
      <c r="E1382" t="str">
        <f t="shared" si="65"/>
        <v>Oakland and Alameda</v>
      </c>
      <c r="F1382" t="s">
        <v>327</v>
      </c>
      <c r="G1382">
        <f t="shared" si="63"/>
        <v>0</v>
      </c>
      <c r="H1382" t="s">
        <v>124</v>
      </c>
      <c r="I1382" t="s">
        <v>188</v>
      </c>
      <c r="J1382">
        <v>1</v>
      </c>
      <c r="K1382">
        <v>95.822099447513807</v>
      </c>
      <c r="Z1382"/>
    </row>
    <row r="1383" spans="1:26" x14ac:dyDescent="0.25">
      <c r="A1383" s="159" t="str">
        <f t="shared" si="64"/>
        <v>LB-Livermore and Pleasanton-Oakland and Alameda-Other maintenance</v>
      </c>
      <c r="B1383">
        <v>15</v>
      </c>
      <c r="C1383" t="str">
        <f t="shared" si="65"/>
        <v>Livermore and Pleasanton</v>
      </c>
      <c r="D1383">
        <v>18</v>
      </c>
      <c r="E1383" t="str">
        <f t="shared" si="65"/>
        <v>Oakland and Alameda</v>
      </c>
      <c r="F1383" t="s">
        <v>325</v>
      </c>
      <c r="G1383">
        <f t="shared" si="63"/>
        <v>4</v>
      </c>
      <c r="H1383" t="s">
        <v>359</v>
      </c>
      <c r="I1383" t="s">
        <v>191</v>
      </c>
      <c r="J1383">
        <v>4</v>
      </c>
      <c r="K1383">
        <v>64.595628415300496</v>
      </c>
      <c r="Z1383"/>
    </row>
    <row r="1384" spans="1:26" x14ac:dyDescent="0.25">
      <c r="A1384" s="159" t="str">
        <f t="shared" si="64"/>
        <v>HR-Livermore and Pleasanton-Oakland and Alameda-Social recreation</v>
      </c>
      <c r="B1384">
        <v>15</v>
      </c>
      <c r="C1384" t="str">
        <f t="shared" si="65"/>
        <v>Livermore and Pleasanton</v>
      </c>
      <c r="D1384">
        <v>18</v>
      </c>
      <c r="E1384" t="str">
        <f t="shared" si="65"/>
        <v>Oakland and Alameda</v>
      </c>
      <c r="F1384" t="s">
        <v>324</v>
      </c>
      <c r="G1384">
        <f t="shared" si="63"/>
        <v>5</v>
      </c>
      <c r="H1384" t="s">
        <v>124</v>
      </c>
      <c r="I1384" t="s">
        <v>188</v>
      </c>
      <c r="J1384">
        <v>1</v>
      </c>
      <c r="K1384">
        <v>95.822099447513807</v>
      </c>
      <c r="Z1384"/>
    </row>
    <row r="1385" spans="1:26" x14ac:dyDescent="0.25">
      <c r="A1385" s="159" t="str">
        <f t="shared" si="64"/>
        <v>LB-Livermore and Pleasanton-Oakland and Alameda-Social recreation</v>
      </c>
      <c r="B1385">
        <v>15</v>
      </c>
      <c r="C1385" t="str">
        <f t="shared" si="65"/>
        <v>Livermore and Pleasanton</v>
      </c>
      <c r="D1385">
        <v>18</v>
      </c>
      <c r="E1385" t="str">
        <f t="shared" si="65"/>
        <v>Oakland and Alameda</v>
      </c>
      <c r="F1385" t="s">
        <v>324</v>
      </c>
      <c r="G1385">
        <f t="shared" si="63"/>
        <v>5</v>
      </c>
      <c r="H1385" t="s">
        <v>359</v>
      </c>
      <c r="I1385" t="s">
        <v>191</v>
      </c>
      <c r="J1385">
        <v>3</v>
      </c>
      <c r="K1385">
        <v>50.484517304189303</v>
      </c>
      <c r="Z1385"/>
    </row>
    <row r="1386" spans="1:26" x14ac:dyDescent="0.25">
      <c r="A1386" s="159" t="str">
        <f t="shared" si="64"/>
        <v>HR-Livermore and Pleasanton-Oakland and Alameda-Work</v>
      </c>
      <c r="B1386">
        <v>15</v>
      </c>
      <c r="C1386" t="str">
        <f t="shared" si="65"/>
        <v>Livermore and Pleasanton</v>
      </c>
      <c r="D1386">
        <v>18</v>
      </c>
      <c r="E1386" t="str">
        <f t="shared" si="65"/>
        <v>Oakland and Alameda</v>
      </c>
      <c r="F1386" t="s">
        <v>30</v>
      </c>
      <c r="G1386">
        <f t="shared" si="63"/>
        <v>1</v>
      </c>
      <c r="H1386" t="s">
        <v>124</v>
      </c>
      <c r="I1386" t="s">
        <v>188</v>
      </c>
      <c r="J1386">
        <v>12</v>
      </c>
      <c r="K1386">
        <v>1149.8651933701599</v>
      </c>
      <c r="Z1386"/>
    </row>
    <row r="1387" spans="1:26" x14ac:dyDescent="0.25">
      <c r="A1387" s="159" t="str">
        <f t="shared" si="64"/>
        <v>LB-Livermore and Pleasanton-Oakland and Alameda-Work</v>
      </c>
      <c r="B1387">
        <v>15</v>
      </c>
      <c r="C1387" t="str">
        <f t="shared" si="65"/>
        <v>Livermore and Pleasanton</v>
      </c>
      <c r="D1387">
        <v>18</v>
      </c>
      <c r="E1387" t="str">
        <f t="shared" si="65"/>
        <v>Oakland and Alameda</v>
      </c>
      <c r="F1387" t="s">
        <v>30</v>
      </c>
      <c r="G1387">
        <f t="shared" si="63"/>
        <v>1</v>
      </c>
      <c r="H1387" t="s">
        <v>359</v>
      </c>
      <c r="I1387" t="s">
        <v>191</v>
      </c>
      <c r="J1387">
        <v>2</v>
      </c>
      <c r="K1387">
        <v>89.686373654868405</v>
      </c>
      <c r="Z1387"/>
    </row>
    <row r="1388" spans="1:26" x14ac:dyDescent="0.25">
      <c r="A1388" s="159" t="str">
        <f t="shared" si="64"/>
        <v>HR-Livermore and Pleasanton-Berkeley and Albany-High school</v>
      </c>
      <c r="B1388">
        <v>15</v>
      </c>
      <c r="C1388" t="str">
        <f t="shared" si="65"/>
        <v>Livermore and Pleasanton</v>
      </c>
      <c r="D1388">
        <v>19</v>
      </c>
      <c r="E1388" t="str">
        <f t="shared" si="65"/>
        <v>Berkeley and Albany</v>
      </c>
      <c r="F1388" t="s">
        <v>326</v>
      </c>
      <c r="G1388">
        <f t="shared" si="63"/>
        <v>3</v>
      </c>
      <c r="H1388" t="s">
        <v>124</v>
      </c>
      <c r="I1388" t="s">
        <v>188</v>
      </c>
      <c r="J1388">
        <v>1</v>
      </c>
      <c r="K1388">
        <v>95.822099447513807</v>
      </c>
      <c r="Z1388"/>
    </row>
    <row r="1389" spans="1:26" x14ac:dyDescent="0.25">
      <c r="A1389" s="159" t="str">
        <f t="shared" si="64"/>
        <v>HR-Livermore and Pleasanton-Berkeley and Albany-Missing</v>
      </c>
      <c r="B1389">
        <v>15</v>
      </c>
      <c r="C1389" t="str">
        <f t="shared" si="65"/>
        <v>Livermore and Pleasanton</v>
      </c>
      <c r="D1389">
        <v>19</v>
      </c>
      <c r="E1389" t="str">
        <f t="shared" si="65"/>
        <v>Berkeley and Albany</v>
      </c>
      <c r="F1389" t="s">
        <v>327</v>
      </c>
      <c r="G1389">
        <f t="shared" si="63"/>
        <v>0</v>
      </c>
      <c r="H1389" t="s">
        <v>124</v>
      </c>
      <c r="I1389" t="s">
        <v>188</v>
      </c>
      <c r="J1389">
        <v>1</v>
      </c>
      <c r="K1389">
        <v>95.822099447513807</v>
      </c>
      <c r="Z1389"/>
    </row>
    <row r="1390" spans="1:26" x14ac:dyDescent="0.25">
      <c r="A1390" s="159" t="str">
        <f t="shared" si="64"/>
        <v>LB-Livermore and Pleasanton-Berkeley and Albany-Social recreation</v>
      </c>
      <c r="B1390">
        <v>15</v>
      </c>
      <c r="C1390" t="str">
        <f t="shared" si="65"/>
        <v>Livermore and Pleasanton</v>
      </c>
      <c r="D1390">
        <v>19</v>
      </c>
      <c r="E1390" t="str">
        <f t="shared" si="65"/>
        <v>Berkeley and Albany</v>
      </c>
      <c r="F1390" t="s">
        <v>324</v>
      </c>
      <c r="G1390">
        <f t="shared" si="63"/>
        <v>5</v>
      </c>
      <c r="H1390" t="s">
        <v>359</v>
      </c>
      <c r="I1390" t="s">
        <v>191</v>
      </c>
      <c r="J1390">
        <v>1</v>
      </c>
      <c r="K1390">
        <v>14.1111111111111</v>
      </c>
      <c r="Z1390"/>
    </row>
    <row r="1391" spans="1:26" x14ac:dyDescent="0.25">
      <c r="A1391" s="159" t="str">
        <f t="shared" si="64"/>
        <v>HR-Livermore and Pleasanton-Berkeley and Albany-Work</v>
      </c>
      <c r="B1391">
        <v>15</v>
      </c>
      <c r="C1391" t="str">
        <f t="shared" si="65"/>
        <v>Livermore and Pleasanton</v>
      </c>
      <c r="D1391">
        <v>19</v>
      </c>
      <c r="E1391" t="str">
        <f t="shared" si="65"/>
        <v>Berkeley and Albany</v>
      </c>
      <c r="F1391" t="s">
        <v>30</v>
      </c>
      <c r="G1391">
        <f t="shared" si="63"/>
        <v>1</v>
      </c>
      <c r="H1391" t="s">
        <v>124</v>
      </c>
      <c r="I1391" t="s">
        <v>188</v>
      </c>
      <c r="J1391">
        <v>2</v>
      </c>
      <c r="K1391">
        <v>291.33605293588499</v>
      </c>
      <c r="Z1391"/>
    </row>
    <row r="1392" spans="1:26" x14ac:dyDescent="0.25">
      <c r="A1392" s="159" t="str">
        <f t="shared" si="64"/>
        <v>LB-Livermore and Pleasanton-Berkeley and Albany-Work</v>
      </c>
      <c r="B1392">
        <v>15</v>
      </c>
      <c r="C1392" t="str">
        <f t="shared" si="65"/>
        <v>Livermore and Pleasanton</v>
      </c>
      <c r="D1392">
        <v>19</v>
      </c>
      <c r="E1392" t="str">
        <f t="shared" si="65"/>
        <v>Berkeley and Albany</v>
      </c>
      <c r="F1392" t="s">
        <v>30</v>
      </c>
      <c r="G1392">
        <f t="shared" si="63"/>
        <v>1</v>
      </c>
      <c r="H1392" t="s">
        <v>359</v>
      </c>
      <c r="I1392" t="s">
        <v>191</v>
      </c>
      <c r="J1392">
        <v>1</v>
      </c>
      <c r="K1392">
        <v>22.262295081967199</v>
      </c>
      <c r="Z1392"/>
    </row>
    <row r="1393" spans="1:26" x14ac:dyDescent="0.25">
      <c r="A1393" s="159" t="str">
        <f t="shared" si="64"/>
        <v>HR-Livermore and Pleasanton-Richmond and El Cerrito-Other maintenance</v>
      </c>
      <c r="B1393">
        <v>15</v>
      </c>
      <c r="C1393" t="str">
        <f t="shared" si="65"/>
        <v>Livermore and Pleasanton</v>
      </c>
      <c r="D1393">
        <v>20</v>
      </c>
      <c r="E1393" t="str">
        <f t="shared" si="65"/>
        <v>Richmond and El Cerrito</v>
      </c>
      <c r="F1393" t="s">
        <v>325</v>
      </c>
      <c r="G1393">
        <f t="shared" si="63"/>
        <v>4</v>
      </c>
      <c r="H1393" t="s">
        <v>124</v>
      </c>
      <c r="I1393" t="s">
        <v>188</v>
      </c>
      <c r="J1393">
        <v>2</v>
      </c>
      <c r="K1393">
        <v>191.64419889502699</v>
      </c>
      <c r="Z1393"/>
    </row>
    <row r="1394" spans="1:26" x14ac:dyDescent="0.25">
      <c r="A1394" s="159" t="str">
        <f t="shared" si="64"/>
        <v>LB-Livermore and Pleasanton-Richmond and El Cerrito-Social recreation</v>
      </c>
      <c r="B1394">
        <v>15</v>
      </c>
      <c r="C1394" t="str">
        <f t="shared" si="65"/>
        <v>Livermore and Pleasanton</v>
      </c>
      <c r="D1394">
        <v>20</v>
      </c>
      <c r="E1394" t="str">
        <f t="shared" si="65"/>
        <v>Richmond and El Cerrito</v>
      </c>
      <c r="F1394" t="s">
        <v>324</v>
      </c>
      <c r="G1394">
        <f t="shared" si="63"/>
        <v>5</v>
      </c>
      <c r="H1394" t="s">
        <v>359</v>
      </c>
      <c r="I1394" t="s">
        <v>191</v>
      </c>
      <c r="J1394">
        <v>1</v>
      </c>
      <c r="K1394">
        <v>22.262295081967199</v>
      </c>
      <c r="Z1394"/>
    </row>
    <row r="1395" spans="1:26" x14ac:dyDescent="0.25">
      <c r="A1395" s="159" t="str">
        <f t="shared" si="64"/>
        <v>HR-Livermore and Pleasanton-Richmond and El Cerrito-Work</v>
      </c>
      <c r="B1395">
        <v>15</v>
      </c>
      <c r="C1395" t="str">
        <f t="shared" si="65"/>
        <v>Livermore and Pleasanton</v>
      </c>
      <c r="D1395">
        <v>20</v>
      </c>
      <c r="E1395" t="str">
        <f t="shared" si="65"/>
        <v>Richmond and El Cerrito</v>
      </c>
      <c r="F1395" t="s">
        <v>30</v>
      </c>
      <c r="G1395">
        <f t="shared" si="63"/>
        <v>1</v>
      </c>
      <c r="H1395" t="s">
        <v>124</v>
      </c>
      <c r="I1395" t="s">
        <v>188</v>
      </c>
      <c r="J1395">
        <v>1</v>
      </c>
      <c r="K1395">
        <v>95.822099447513807</v>
      </c>
      <c r="Z1395"/>
    </row>
    <row r="1396" spans="1:26" x14ac:dyDescent="0.25">
      <c r="A1396" s="159" t="str">
        <f t="shared" si="64"/>
        <v>LB-Livermore and Pleasanton-Richmond and El Cerrito-Work</v>
      </c>
      <c r="B1396">
        <v>15</v>
      </c>
      <c r="C1396" t="str">
        <f t="shared" si="65"/>
        <v>Livermore and Pleasanton</v>
      </c>
      <c r="D1396">
        <v>20</v>
      </c>
      <c r="E1396" t="str">
        <f t="shared" si="65"/>
        <v>Richmond and El Cerrito</v>
      </c>
      <c r="F1396" t="s">
        <v>30</v>
      </c>
      <c r="G1396">
        <f t="shared" si="63"/>
        <v>1</v>
      </c>
      <c r="H1396" t="s">
        <v>359</v>
      </c>
      <c r="I1396" t="s">
        <v>191</v>
      </c>
      <c r="J1396">
        <v>1</v>
      </c>
      <c r="K1396">
        <v>14.1111111111111</v>
      </c>
      <c r="Z1396"/>
    </row>
    <row r="1397" spans="1:26" x14ac:dyDescent="0.25">
      <c r="A1397" s="159" t="str">
        <f t="shared" si="64"/>
        <v>LB-Livermore and Pleasanton-Concord and Martinez-Other maintenance</v>
      </c>
      <c r="B1397">
        <v>15</v>
      </c>
      <c r="C1397" t="str">
        <f t="shared" si="65"/>
        <v>Livermore and Pleasanton</v>
      </c>
      <c r="D1397">
        <v>21</v>
      </c>
      <c r="E1397" t="str">
        <f t="shared" si="65"/>
        <v>Concord and Martinez</v>
      </c>
      <c r="F1397" t="s">
        <v>325</v>
      </c>
      <c r="G1397">
        <f t="shared" si="63"/>
        <v>4</v>
      </c>
      <c r="H1397" t="s">
        <v>359</v>
      </c>
      <c r="I1397" t="s">
        <v>191</v>
      </c>
      <c r="J1397">
        <v>1</v>
      </c>
      <c r="K1397">
        <v>14.1111111111111</v>
      </c>
      <c r="Z1397"/>
    </row>
    <row r="1398" spans="1:26" x14ac:dyDescent="0.25">
      <c r="A1398" s="159" t="str">
        <f t="shared" si="64"/>
        <v>HR-Livermore and Pleasanton-Concord and Martinez-Work</v>
      </c>
      <c r="B1398">
        <v>15</v>
      </c>
      <c r="C1398" t="str">
        <f t="shared" si="65"/>
        <v>Livermore and Pleasanton</v>
      </c>
      <c r="D1398">
        <v>21</v>
      </c>
      <c r="E1398" t="str">
        <f t="shared" si="65"/>
        <v>Concord and Martinez</v>
      </c>
      <c r="F1398" t="s">
        <v>30</v>
      </c>
      <c r="G1398">
        <f t="shared" si="63"/>
        <v>1</v>
      </c>
      <c r="H1398" t="s">
        <v>124</v>
      </c>
      <c r="I1398" t="s">
        <v>188</v>
      </c>
      <c r="J1398">
        <v>3</v>
      </c>
      <c r="K1398">
        <v>287.46629834254099</v>
      </c>
      <c r="Z1398"/>
    </row>
    <row r="1399" spans="1:26" x14ac:dyDescent="0.25">
      <c r="A1399" s="159" t="str">
        <f t="shared" si="64"/>
        <v>LB-Livermore and Pleasanton-Concord and Martinez-Work</v>
      </c>
      <c r="B1399">
        <v>15</v>
      </c>
      <c r="C1399" t="str">
        <f t="shared" si="65"/>
        <v>Livermore and Pleasanton</v>
      </c>
      <c r="D1399">
        <v>21</v>
      </c>
      <c r="E1399" t="str">
        <f t="shared" si="65"/>
        <v>Concord and Martinez</v>
      </c>
      <c r="F1399" t="s">
        <v>30</v>
      </c>
      <c r="G1399">
        <f t="shared" si="63"/>
        <v>1</v>
      </c>
      <c r="H1399" t="s">
        <v>359</v>
      </c>
      <c r="I1399" t="s">
        <v>191</v>
      </c>
      <c r="J1399">
        <v>6</v>
      </c>
      <c r="K1399">
        <v>84.6666666666666</v>
      </c>
      <c r="Z1399"/>
    </row>
    <row r="1400" spans="1:26" x14ac:dyDescent="0.25">
      <c r="A1400" s="159" t="str">
        <f t="shared" si="64"/>
        <v>LB-Livermore and Pleasanton-Walnut Creek-High school</v>
      </c>
      <c r="B1400">
        <v>15</v>
      </c>
      <c r="C1400" t="str">
        <f t="shared" si="65"/>
        <v>Livermore and Pleasanton</v>
      </c>
      <c r="D1400">
        <v>22</v>
      </c>
      <c r="E1400" t="str">
        <f t="shared" si="65"/>
        <v>Walnut Creek</v>
      </c>
      <c r="F1400" t="s">
        <v>326</v>
      </c>
      <c r="G1400">
        <f t="shared" si="63"/>
        <v>3</v>
      </c>
      <c r="H1400" t="s">
        <v>359</v>
      </c>
      <c r="I1400" t="s">
        <v>191</v>
      </c>
      <c r="J1400">
        <v>2</v>
      </c>
      <c r="K1400">
        <v>28.2222222222222</v>
      </c>
      <c r="Z1400"/>
    </row>
    <row r="1401" spans="1:26" x14ac:dyDescent="0.25">
      <c r="A1401" s="159" t="str">
        <f t="shared" si="64"/>
        <v>LB-Livermore and Pleasanton-Walnut Creek-Work</v>
      </c>
      <c r="B1401">
        <v>15</v>
      </c>
      <c r="C1401" t="str">
        <f t="shared" si="65"/>
        <v>Livermore and Pleasanton</v>
      </c>
      <c r="D1401">
        <v>22</v>
      </c>
      <c r="E1401" t="str">
        <f t="shared" si="65"/>
        <v>Walnut Creek</v>
      </c>
      <c r="F1401" t="s">
        <v>30</v>
      </c>
      <c r="G1401">
        <f t="shared" si="63"/>
        <v>1</v>
      </c>
      <c r="H1401" t="s">
        <v>359</v>
      </c>
      <c r="I1401" t="s">
        <v>191</v>
      </c>
      <c r="J1401">
        <v>4</v>
      </c>
      <c r="K1401">
        <v>56.4444444444444</v>
      </c>
      <c r="Z1401"/>
    </row>
    <row r="1402" spans="1:26" x14ac:dyDescent="0.25">
      <c r="A1402" s="159" t="str">
        <f t="shared" si="64"/>
        <v>LB-Livermore and Pleasanton-Danville and San Ramon-High school</v>
      </c>
      <c r="B1402">
        <v>15</v>
      </c>
      <c r="C1402" t="str">
        <f t="shared" si="65"/>
        <v>Livermore and Pleasanton</v>
      </c>
      <c r="D1402">
        <v>23</v>
      </c>
      <c r="E1402" t="str">
        <f t="shared" si="65"/>
        <v>Danville and San Ramon</v>
      </c>
      <c r="F1402" t="s">
        <v>326</v>
      </c>
      <c r="G1402">
        <f t="shared" si="63"/>
        <v>3</v>
      </c>
      <c r="H1402" t="s">
        <v>359</v>
      </c>
      <c r="I1402" t="s">
        <v>191</v>
      </c>
      <c r="J1402">
        <v>2</v>
      </c>
      <c r="K1402">
        <v>33.839095455533801</v>
      </c>
      <c r="Z1402"/>
    </row>
    <row r="1403" spans="1:26" x14ac:dyDescent="0.25">
      <c r="A1403" s="159" t="str">
        <f t="shared" si="64"/>
        <v>LB-Livermore and Pleasanton-Danville and San Ramon-Missing</v>
      </c>
      <c r="B1403">
        <v>15</v>
      </c>
      <c r="C1403" t="str">
        <f t="shared" si="65"/>
        <v>Livermore and Pleasanton</v>
      </c>
      <c r="D1403">
        <v>23</v>
      </c>
      <c r="E1403" t="str">
        <f t="shared" si="65"/>
        <v>Danville and San Ramon</v>
      </c>
      <c r="F1403" t="s">
        <v>327</v>
      </c>
      <c r="G1403">
        <f t="shared" si="63"/>
        <v>0</v>
      </c>
      <c r="H1403" t="s">
        <v>359</v>
      </c>
      <c r="I1403" t="s">
        <v>191</v>
      </c>
      <c r="J1403">
        <v>1</v>
      </c>
      <c r="K1403">
        <v>19.727984344422701</v>
      </c>
      <c r="Z1403"/>
    </row>
    <row r="1404" spans="1:26" x14ac:dyDescent="0.25">
      <c r="A1404" s="159" t="str">
        <f t="shared" si="64"/>
        <v>LB-Livermore and Pleasanton-Danville and San Ramon-Shopping</v>
      </c>
      <c r="B1404">
        <v>15</v>
      </c>
      <c r="C1404" t="str">
        <f t="shared" si="65"/>
        <v>Livermore and Pleasanton</v>
      </c>
      <c r="D1404">
        <v>23</v>
      </c>
      <c r="E1404" t="str">
        <f t="shared" si="65"/>
        <v>Danville and San Ramon</v>
      </c>
      <c r="F1404" t="s">
        <v>106</v>
      </c>
      <c r="G1404">
        <f t="shared" si="63"/>
        <v>4</v>
      </c>
      <c r="H1404" t="s">
        <v>359</v>
      </c>
      <c r="I1404" t="s">
        <v>191</v>
      </c>
      <c r="J1404">
        <v>1</v>
      </c>
      <c r="K1404">
        <v>19.727984344422701</v>
      </c>
      <c r="Z1404"/>
    </row>
    <row r="1405" spans="1:26" x14ac:dyDescent="0.25">
      <c r="A1405" s="159" t="str">
        <f t="shared" si="64"/>
        <v>LB-Livermore and Pleasanton-Danville and San Ramon-Work</v>
      </c>
      <c r="B1405">
        <v>15</v>
      </c>
      <c r="C1405" t="str">
        <f t="shared" si="65"/>
        <v>Livermore and Pleasanton</v>
      </c>
      <c r="D1405">
        <v>23</v>
      </c>
      <c r="E1405" t="str">
        <f t="shared" si="65"/>
        <v>Danville and San Ramon</v>
      </c>
      <c r="F1405" t="s">
        <v>30</v>
      </c>
      <c r="G1405">
        <f t="shared" si="63"/>
        <v>1</v>
      </c>
      <c r="H1405" t="s">
        <v>359</v>
      </c>
      <c r="I1405" t="s">
        <v>191</v>
      </c>
      <c r="J1405">
        <v>7</v>
      </c>
      <c r="K1405">
        <v>132.47901717764699</v>
      </c>
      <c r="Z1405"/>
    </row>
    <row r="1406" spans="1:26" x14ac:dyDescent="0.25">
      <c r="A1406" s="159" t="str">
        <f t="shared" si="64"/>
        <v>LB-Livermore and Pleasanton-Antioch and Pittsburg-High school</v>
      </c>
      <c r="B1406">
        <v>15</v>
      </c>
      <c r="C1406" t="str">
        <f t="shared" si="65"/>
        <v>Livermore and Pleasanton</v>
      </c>
      <c r="D1406">
        <v>24</v>
      </c>
      <c r="E1406" t="str">
        <f t="shared" si="65"/>
        <v>Antioch and Pittsburg</v>
      </c>
      <c r="F1406" t="s">
        <v>326</v>
      </c>
      <c r="G1406">
        <f t="shared" si="63"/>
        <v>3</v>
      </c>
      <c r="H1406" t="s">
        <v>359</v>
      </c>
      <c r="I1406" t="s">
        <v>191</v>
      </c>
      <c r="J1406">
        <v>1</v>
      </c>
      <c r="K1406">
        <v>14.4260563380282</v>
      </c>
      <c r="Z1406"/>
    </row>
    <row r="1407" spans="1:26" x14ac:dyDescent="0.25">
      <c r="A1407" s="159" t="str">
        <f t="shared" si="64"/>
        <v>LB-Livermore and Pleasanton-Antioch and Pittsburg-Work</v>
      </c>
      <c r="B1407">
        <v>15</v>
      </c>
      <c r="C1407" t="str">
        <f t="shared" si="65"/>
        <v>Livermore and Pleasanton</v>
      </c>
      <c r="D1407">
        <v>24</v>
      </c>
      <c r="E1407" t="str">
        <f t="shared" si="65"/>
        <v>Antioch and Pittsburg</v>
      </c>
      <c r="F1407" t="s">
        <v>30</v>
      </c>
      <c r="G1407">
        <f t="shared" si="63"/>
        <v>1</v>
      </c>
      <c r="H1407" t="s">
        <v>359</v>
      </c>
      <c r="I1407" t="s">
        <v>191</v>
      </c>
      <c r="J1407">
        <v>1</v>
      </c>
      <c r="K1407">
        <v>14.1111111111111</v>
      </c>
      <c r="Z1407"/>
    </row>
    <row r="1408" spans="1:26" x14ac:dyDescent="0.25">
      <c r="A1408" s="159" t="str">
        <f t="shared" si="64"/>
        <v>LB-Livermore and Pleasanton-Napa-Missing</v>
      </c>
      <c r="B1408">
        <v>15</v>
      </c>
      <c r="C1408" t="str">
        <f t="shared" si="65"/>
        <v>Livermore and Pleasanton</v>
      </c>
      <c r="D1408">
        <v>27</v>
      </c>
      <c r="E1408" t="str">
        <f t="shared" si="65"/>
        <v>Napa</v>
      </c>
      <c r="F1408" t="s">
        <v>327</v>
      </c>
      <c r="G1408">
        <f t="shared" si="63"/>
        <v>0</v>
      </c>
      <c r="H1408" t="s">
        <v>359</v>
      </c>
      <c r="I1408" t="s">
        <v>191</v>
      </c>
      <c r="J1408">
        <v>1</v>
      </c>
      <c r="K1408">
        <v>14.1111111111111</v>
      </c>
      <c r="Z1408"/>
    </row>
    <row r="1409" spans="1:26" x14ac:dyDescent="0.25">
      <c r="A1409" s="159" t="str">
        <f t="shared" si="64"/>
        <v>FR-Livermore and Pleasanton-Mill Valley and Sausalito-Social recreation</v>
      </c>
      <c r="B1409">
        <v>15</v>
      </c>
      <c r="C1409" t="str">
        <f t="shared" si="65"/>
        <v>Livermore and Pleasanton</v>
      </c>
      <c r="D1409">
        <v>34</v>
      </c>
      <c r="E1409" t="str">
        <f t="shared" si="65"/>
        <v>Mill Valley and Sausalito</v>
      </c>
      <c r="F1409" t="s">
        <v>324</v>
      </c>
      <c r="G1409">
        <f t="shared" si="63"/>
        <v>5</v>
      </c>
      <c r="H1409" t="s">
        <v>360</v>
      </c>
      <c r="I1409" t="s">
        <v>185</v>
      </c>
      <c r="J1409">
        <v>1</v>
      </c>
      <c r="K1409">
        <v>16.498422712933699</v>
      </c>
      <c r="Z1409"/>
    </row>
    <row r="1410" spans="1:26" x14ac:dyDescent="0.25">
      <c r="A1410" s="159" t="str">
        <f t="shared" si="64"/>
        <v>HR-Fremont and Union City-Greater Downtown San Francisco-Social recreation</v>
      </c>
      <c r="B1410">
        <v>16</v>
      </c>
      <c r="C1410" t="str">
        <f t="shared" si="65"/>
        <v>Fremont and Union City</v>
      </c>
      <c r="D1410">
        <v>1</v>
      </c>
      <c r="E1410" t="str">
        <f t="shared" si="65"/>
        <v>Greater Downtown San Francisco</v>
      </c>
      <c r="F1410" t="s">
        <v>324</v>
      </c>
      <c r="G1410">
        <f t="shared" ref="G1410:G1473" si="66">VLOOKUP(F1410,$V$2:$X$10, 3,FALSE)</f>
        <v>5</v>
      </c>
      <c r="H1410" t="s">
        <v>124</v>
      </c>
      <c r="I1410" t="s">
        <v>188</v>
      </c>
      <c r="J1410">
        <v>3</v>
      </c>
      <c r="K1410">
        <v>287.46629834254099</v>
      </c>
      <c r="Z1410"/>
    </row>
    <row r="1411" spans="1:26" x14ac:dyDescent="0.25">
      <c r="A1411" s="159" t="str">
        <f t="shared" ref="A1411:A1474" si="67" xml:space="preserve"> CONCATENATE(I1411,"-",C1411, "-",E1411, "-",F1411,)</f>
        <v>HR-Fremont and Union City-Greater Downtown San Francisco-Work</v>
      </c>
      <c r="B1411">
        <v>16</v>
      </c>
      <c r="C1411" t="str">
        <f t="shared" ref="C1411:E1474" si="68">VLOOKUP(B1411,$S$2:$T$35,2,FALSE)</f>
        <v>Fremont and Union City</v>
      </c>
      <c r="D1411">
        <v>1</v>
      </c>
      <c r="E1411" t="str">
        <f t="shared" si="68"/>
        <v>Greater Downtown San Francisco</v>
      </c>
      <c r="F1411" t="s">
        <v>30</v>
      </c>
      <c r="G1411">
        <f t="shared" si="66"/>
        <v>1</v>
      </c>
      <c r="H1411" t="s">
        <v>124</v>
      </c>
      <c r="I1411" t="s">
        <v>188</v>
      </c>
      <c r="J1411">
        <v>6</v>
      </c>
      <c r="K1411">
        <v>774.31630476679902</v>
      </c>
      <c r="Z1411"/>
    </row>
    <row r="1412" spans="1:26" x14ac:dyDescent="0.25">
      <c r="A1412" s="159" t="str">
        <f t="shared" si="67"/>
        <v>LB-Fremont and Union City-Greater Downtown San Francisco-Work</v>
      </c>
      <c r="B1412">
        <v>16</v>
      </c>
      <c r="C1412" t="str">
        <f t="shared" si="68"/>
        <v>Fremont and Union City</v>
      </c>
      <c r="D1412">
        <v>1</v>
      </c>
      <c r="E1412" t="str">
        <f t="shared" si="68"/>
        <v>Greater Downtown San Francisco</v>
      </c>
      <c r="F1412" t="s">
        <v>30</v>
      </c>
      <c r="G1412">
        <f t="shared" si="66"/>
        <v>1</v>
      </c>
      <c r="H1412" t="s">
        <v>359</v>
      </c>
      <c r="I1412" t="s">
        <v>191</v>
      </c>
      <c r="J1412">
        <v>2</v>
      </c>
      <c r="K1412">
        <v>12.5217391304347</v>
      </c>
      <c r="Z1412"/>
    </row>
    <row r="1413" spans="1:26" x14ac:dyDescent="0.25">
      <c r="A1413" s="159" t="str">
        <f t="shared" si="67"/>
        <v>HR-Fremont and Union City-San Francisco Richmond District-High school</v>
      </c>
      <c r="B1413">
        <v>16</v>
      </c>
      <c r="C1413" t="str">
        <f t="shared" si="68"/>
        <v>Fremont and Union City</v>
      </c>
      <c r="D1413">
        <v>2</v>
      </c>
      <c r="E1413" t="str">
        <f t="shared" si="68"/>
        <v>San Francisco Richmond District</v>
      </c>
      <c r="F1413" t="s">
        <v>326</v>
      </c>
      <c r="G1413">
        <f t="shared" si="66"/>
        <v>3</v>
      </c>
      <c r="H1413" t="s">
        <v>124</v>
      </c>
      <c r="I1413" t="s">
        <v>188</v>
      </c>
      <c r="J1413">
        <v>1</v>
      </c>
      <c r="K1413">
        <v>95.822099447513807</v>
      </c>
      <c r="Z1413"/>
    </row>
    <row r="1414" spans="1:26" x14ac:dyDescent="0.25">
      <c r="A1414" s="159" t="str">
        <f t="shared" si="67"/>
        <v>HR-Fremont and Union City-San Francisco Richmond District-Missing</v>
      </c>
      <c r="B1414">
        <v>16</v>
      </c>
      <c r="C1414" t="str">
        <f t="shared" si="68"/>
        <v>Fremont and Union City</v>
      </c>
      <c r="D1414">
        <v>2</v>
      </c>
      <c r="E1414" t="str">
        <f t="shared" si="68"/>
        <v>San Francisco Richmond District</v>
      </c>
      <c r="F1414" t="s">
        <v>327</v>
      </c>
      <c r="G1414">
        <f t="shared" si="66"/>
        <v>0</v>
      </c>
      <c r="H1414" t="s">
        <v>124</v>
      </c>
      <c r="I1414" t="s">
        <v>188</v>
      </c>
      <c r="J1414">
        <v>1</v>
      </c>
      <c r="K1414">
        <v>195.51395348837201</v>
      </c>
      <c r="Z1414"/>
    </row>
    <row r="1415" spans="1:26" x14ac:dyDescent="0.25">
      <c r="A1415" s="159" t="str">
        <f t="shared" si="67"/>
        <v>EB-Fremont and Union City-San Francisco Richmond District-Other maintenance</v>
      </c>
      <c r="B1415">
        <v>16</v>
      </c>
      <c r="C1415" t="str">
        <f t="shared" si="68"/>
        <v>Fremont and Union City</v>
      </c>
      <c r="D1415">
        <v>2</v>
      </c>
      <c r="E1415" t="str">
        <f t="shared" si="68"/>
        <v>San Francisco Richmond District</v>
      </c>
      <c r="F1415" t="s">
        <v>325</v>
      </c>
      <c r="G1415">
        <f t="shared" si="66"/>
        <v>4</v>
      </c>
      <c r="H1415" t="s">
        <v>123</v>
      </c>
      <c r="I1415" t="s">
        <v>182</v>
      </c>
      <c r="J1415">
        <v>1</v>
      </c>
      <c r="K1415">
        <v>75.575262543757304</v>
      </c>
      <c r="Z1415"/>
    </row>
    <row r="1416" spans="1:26" x14ac:dyDescent="0.25">
      <c r="A1416" s="159" t="str">
        <f t="shared" si="67"/>
        <v>HR-Fremont and Union City-San Francisco Richmond District-Social recreation</v>
      </c>
      <c r="B1416">
        <v>16</v>
      </c>
      <c r="C1416" t="str">
        <f t="shared" si="68"/>
        <v>Fremont and Union City</v>
      </c>
      <c r="D1416">
        <v>2</v>
      </c>
      <c r="E1416" t="str">
        <f t="shared" si="68"/>
        <v>San Francisco Richmond District</v>
      </c>
      <c r="F1416" t="s">
        <v>324</v>
      </c>
      <c r="G1416">
        <f t="shared" si="66"/>
        <v>5</v>
      </c>
      <c r="H1416" t="s">
        <v>124</v>
      </c>
      <c r="I1416" t="s">
        <v>188</v>
      </c>
      <c r="J1416">
        <v>3</v>
      </c>
      <c r="K1416">
        <v>387.158152383399</v>
      </c>
      <c r="Z1416"/>
    </row>
    <row r="1417" spans="1:26" x14ac:dyDescent="0.25">
      <c r="A1417" s="159" t="str">
        <f t="shared" si="67"/>
        <v>HR-Fremont and Union City-San Francisco Richmond District-Work</v>
      </c>
      <c r="B1417">
        <v>16</v>
      </c>
      <c r="C1417" t="str">
        <f t="shared" si="68"/>
        <v>Fremont and Union City</v>
      </c>
      <c r="D1417">
        <v>2</v>
      </c>
      <c r="E1417" t="str">
        <f t="shared" si="68"/>
        <v>San Francisco Richmond District</v>
      </c>
      <c r="F1417" t="s">
        <v>30</v>
      </c>
      <c r="G1417">
        <f t="shared" si="66"/>
        <v>1</v>
      </c>
      <c r="H1417" t="s">
        <v>124</v>
      </c>
      <c r="I1417" t="s">
        <v>188</v>
      </c>
      <c r="J1417">
        <v>1</v>
      </c>
      <c r="K1417">
        <v>195.51395348837201</v>
      </c>
      <c r="Z1417"/>
    </row>
    <row r="1418" spans="1:26" x14ac:dyDescent="0.25">
      <c r="A1418" s="159" t="str">
        <f t="shared" si="67"/>
        <v>LB-Fremont and Union City-San Francisco Richmond District-Work</v>
      </c>
      <c r="B1418">
        <v>16</v>
      </c>
      <c r="C1418" t="str">
        <f t="shared" si="68"/>
        <v>Fremont and Union City</v>
      </c>
      <c r="D1418">
        <v>2</v>
      </c>
      <c r="E1418" t="str">
        <f t="shared" si="68"/>
        <v>San Francisco Richmond District</v>
      </c>
      <c r="F1418" t="s">
        <v>30</v>
      </c>
      <c r="G1418">
        <f t="shared" si="66"/>
        <v>1</v>
      </c>
      <c r="H1418" t="s">
        <v>359</v>
      </c>
      <c r="I1418" t="s">
        <v>191</v>
      </c>
      <c r="J1418">
        <v>3</v>
      </c>
      <c r="K1418">
        <v>298.65009385622199</v>
      </c>
      <c r="Z1418"/>
    </row>
    <row r="1419" spans="1:26" x14ac:dyDescent="0.25">
      <c r="A1419" s="159" t="str">
        <f t="shared" si="67"/>
        <v>HR-Fremont and Union City-San Francisco Mission District-High school</v>
      </c>
      <c r="B1419">
        <v>16</v>
      </c>
      <c r="C1419" t="str">
        <f t="shared" si="68"/>
        <v>Fremont and Union City</v>
      </c>
      <c r="D1419">
        <v>3</v>
      </c>
      <c r="E1419" t="str">
        <f t="shared" si="68"/>
        <v>San Francisco Mission District</v>
      </c>
      <c r="F1419" t="s">
        <v>326</v>
      </c>
      <c r="G1419">
        <f t="shared" si="66"/>
        <v>3</v>
      </c>
      <c r="H1419" t="s">
        <v>124</v>
      </c>
      <c r="I1419" t="s">
        <v>188</v>
      </c>
      <c r="J1419">
        <v>1</v>
      </c>
      <c r="K1419">
        <v>95.822099447513807</v>
      </c>
      <c r="Z1419"/>
    </row>
    <row r="1420" spans="1:26" x14ac:dyDescent="0.25">
      <c r="A1420" s="159" t="str">
        <f t="shared" si="67"/>
        <v>HR-Fremont and Union City-San Francisco Mission District-Missing</v>
      </c>
      <c r="B1420">
        <v>16</v>
      </c>
      <c r="C1420" t="str">
        <f t="shared" si="68"/>
        <v>Fremont and Union City</v>
      </c>
      <c r="D1420">
        <v>3</v>
      </c>
      <c r="E1420" t="str">
        <f t="shared" si="68"/>
        <v>San Francisco Mission District</v>
      </c>
      <c r="F1420" t="s">
        <v>327</v>
      </c>
      <c r="G1420">
        <f t="shared" si="66"/>
        <v>0</v>
      </c>
      <c r="H1420" t="s">
        <v>124</v>
      </c>
      <c r="I1420" t="s">
        <v>188</v>
      </c>
      <c r="J1420">
        <v>1</v>
      </c>
      <c r="K1420">
        <v>95.822099447513807</v>
      </c>
      <c r="Z1420"/>
    </row>
    <row r="1421" spans="1:26" x14ac:dyDescent="0.25">
      <c r="A1421" s="159" t="str">
        <f t="shared" si="67"/>
        <v>HR-Fremont and Union City-San Francisco Mission District-Work</v>
      </c>
      <c r="B1421">
        <v>16</v>
      </c>
      <c r="C1421" t="str">
        <f t="shared" si="68"/>
        <v>Fremont and Union City</v>
      </c>
      <c r="D1421">
        <v>3</v>
      </c>
      <c r="E1421" t="str">
        <f t="shared" si="68"/>
        <v>San Francisco Mission District</v>
      </c>
      <c r="F1421" t="s">
        <v>30</v>
      </c>
      <c r="G1421">
        <f t="shared" si="66"/>
        <v>1</v>
      </c>
      <c r="H1421" t="s">
        <v>124</v>
      </c>
      <c r="I1421" t="s">
        <v>188</v>
      </c>
      <c r="J1421">
        <v>2</v>
      </c>
      <c r="K1421">
        <v>191.64419889502699</v>
      </c>
      <c r="Z1421"/>
    </row>
    <row r="1422" spans="1:26" x14ac:dyDescent="0.25">
      <c r="A1422" s="159" t="str">
        <f t="shared" si="67"/>
        <v>HR-Fremont and Union City-San Francisco Sunset District-Missing</v>
      </c>
      <c r="B1422">
        <v>16</v>
      </c>
      <c r="C1422" t="str">
        <f t="shared" si="68"/>
        <v>Fremont and Union City</v>
      </c>
      <c r="D1422">
        <v>4</v>
      </c>
      <c r="E1422" t="str">
        <f t="shared" si="68"/>
        <v>San Francisco Sunset District</v>
      </c>
      <c r="F1422" t="s">
        <v>327</v>
      </c>
      <c r="G1422">
        <f t="shared" si="66"/>
        <v>0</v>
      </c>
      <c r="H1422" t="s">
        <v>124</v>
      </c>
      <c r="I1422" t="s">
        <v>188</v>
      </c>
      <c r="J1422">
        <v>1</v>
      </c>
      <c r="K1422">
        <v>95.822099447513807</v>
      </c>
      <c r="Z1422"/>
    </row>
    <row r="1423" spans="1:26" x14ac:dyDescent="0.25">
      <c r="A1423" s="159" t="str">
        <f t="shared" si="67"/>
        <v>EB-Fremont and Union City-San Francisco Sunset District-Social recreation</v>
      </c>
      <c r="B1423">
        <v>16</v>
      </c>
      <c r="C1423" t="str">
        <f t="shared" si="68"/>
        <v>Fremont and Union City</v>
      </c>
      <c r="D1423">
        <v>4</v>
      </c>
      <c r="E1423" t="str">
        <f t="shared" si="68"/>
        <v>San Francisco Sunset District</v>
      </c>
      <c r="F1423" t="s">
        <v>324</v>
      </c>
      <c r="G1423">
        <f t="shared" si="66"/>
        <v>5</v>
      </c>
      <c r="H1423" t="s">
        <v>123</v>
      </c>
      <c r="I1423" t="s">
        <v>182</v>
      </c>
      <c r="J1423">
        <v>1</v>
      </c>
      <c r="K1423">
        <v>75.575262543757304</v>
      </c>
      <c r="Z1423"/>
    </row>
    <row r="1424" spans="1:26" x14ac:dyDescent="0.25">
      <c r="A1424" s="159" t="str">
        <f t="shared" si="67"/>
        <v>HR-Fremont and Union City-Daly City and San Bruno-Other maintenance</v>
      </c>
      <c r="B1424">
        <v>16</v>
      </c>
      <c r="C1424" t="str">
        <f t="shared" si="68"/>
        <v>Fremont and Union City</v>
      </c>
      <c r="D1424">
        <v>5</v>
      </c>
      <c r="E1424" t="str">
        <f t="shared" si="68"/>
        <v>Daly City and San Bruno</v>
      </c>
      <c r="F1424" t="s">
        <v>325</v>
      </c>
      <c r="G1424">
        <f t="shared" si="66"/>
        <v>4</v>
      </c>
      <c r="H1424" t="s">
        <v>124</v>
      </c>
      <c r="I1424" t="s">
        <v>188</v>
      </c>
      <c r="J1424">
        <v>1</v>
      </c>
      <c r="K1424">
        <v>95.822099447513807</v>
      </c>
      <c r="Z1424"/>
    </row>
    <row r="1425" spans="1:26" x14ac:dyDescent="0.25">
      <c r="A1425" s="159" t="str">
        <f t="shared" si="67"/>
        <v>LB-Fremont and Union City-Daly City and San Bruno-Social recreation</v>
      </c>
      <c r="B1425">
        <v>16</v>
      </c>
      <c r="C1425" t="str">
        <f t="shared" si="68"/>
        <v>Fremont and Union City</v>
      </c>
      <c r="D1425">
        <v>5</v>
      </c>
      <c r="E1425" t="str">
        <f t="shared" si="68"/>
        <v>Daly City and San Bruno</v>
      </c>
      <c r="F1425" t="s">
        <v>324</v>
      </c>
      <c r="G1425">
        <f t="shared" si="66"/>
        <v>5</v>
      </c>
      <c r="H1425" t="s">
        <v>359</v>
      </c>
      <c r="I1425" t="s">
        <v>191</v>
      </c>
      <c r="J1425">
        <v>2</v>
      </c>
      <c r="K1425">
        <v>20.714285714285801</v>
      </c>
      <c r="Z1425"/>
    </row>
    <row r="1426" spans="1:26" x14ac:dyDescent="0.25">
      <c r="A1426" s="159" t="str">
        <f t="shared" si="67"/>
        <v>HR-Fremont and Union City-Daly City and San Bruno-Work</v>
      </c>
      <c r="B1426">
        <v>16</v>
      </c>
      <c r="C1426" t="str">
        <f t="shared" si="68"/>
        <v>Fremont and Union City</v>
      </c>
      <c r="D1426">
        <v>5</v>
      </c>
      <c r="E1426" t="str">
        <f t="shared" si="68"/>
        <v>Daly City and San Bruno</v>
      </c>
      <c r="F1426" t="s">
        <v>30</v>
      </c>
      <c r="G1426">
        <f t="shared" si="66"/>
        <v>1</v>
      </c>
      <c r="H1426" t="s">
        <v>124</v>
      </c>
      <c r="I1426" t="s">
        <v>188</v>
      </c>
      <c r="J1426">
        <v>2</v>
      </c>
      <c r="K1426">
        <v>191.64419889502699</v>
      </c>
      <c r="Z1426"/>
    </row>
    <row r="1427" spans="1:26" x14ac:dyDescent="0.25">
      <c r="A1427" s="159" t="str">
        <f t="shared" si="67"/>
        <v>LB-Fremont and Union City-Daly City and San Bruno-Work</v>
      </c>
      <c r="B1427">
        <v>16</v>
      </c>
      <c r="C1427" t="str">
        <f t="shared" si="68"/>
        <v>Fremont and Union City</v>
      </c>
      <c r="D1427">
        <v>5</v>
      </c>
      <c r="E1427" t="str">
        <f t="shared" si="68"/>
        <v>Daly City and San Bruno</v>
      </c>
      <c r="F1427" t="s">
        <v>30</v>
      </c>
      <c r="G1427">
        <f t="shared" si="66"/>
        <v>1</v>
      </c>
      <c r="H1427" t="s">
        <v>359</v>
      </c>
      <c r="I1427" t="s">
        <v>191</v>
      </c>
      <c r="J1427">
        <v>1</v>
      </c>
      <c r="K1427">
        <v>75.575262543757304</v>
      </c>
      <c r="Z1427"/>
    </row>
    <row r="1428" spans="1:26" x14ac:dyDescent="0.25">
      <c r="A1428" s="159" t="str">
        <f t="shared" si="67"/>
        <v>LB-Fremont and Union City-San Mateo and Burlingame-Other maintenance</v>
      </c>
      <c r="B1428">
        <v>16</v>
      </c>
      <c r="C1428" t="str">
        <f t="shared" si="68"/>
        <v>Fremont and Union City</v>
      </c>
      <c r="D1428">
        <v>6</v>
      </c>
      <c r="E1428" t="str">
        <f t="shared" si="68"/>
        <v>San Mateo and Burlingame</v>
      </c>
      <c r="F1428" t="s">
        <v>325</v>
      </c>
      <c r="G1428">
        <f t="shared" si="66"/>
        <v>4</v>
      </c>
      <c r="H1428" t="s">
        <v>359</v>
      </c>
      <c r="I1428" t="s">
        <v>191</v>
      </c>
      <c r="J1428">
        <v>1</v>
      </c>
      <c r="K1428">
        <v>39.348891481913597</v>
      </c>
      <c r="Z1428"/>
    </row>
    <row r="1429" spans="1:26" x14ac:dyDescent="0.25">
      <c r="A1429" s="159" t="str">
        <f t="shared" si="67"/>
        <v>EB-Fremont and Union City-Redwood City and Menlo Park-Work</v>
      </c>
      <c r="B1429">
        <v>16</v>
      </c>
      <c r="C1429" t="str">
        <f t="shared" si="68"/>
        <v>Fremont and Union City</v>
      </c>
      <c r="D1429">
        <v>7</v>
      </c>
      <c r="E1429" t="str">
        <f t="shared" si="68"/>
        <v>Redwood City and Menlo Park</v>
      </c>
      <c r="F1429" t="s">
        <v>30</v>
      </c>
      <c r="G1429">
        <f t="shared" si="66"/>
        <v>1</v>
      </c>
      <c r="H1429" t="s">
        <v>123</v>
      </c>
      <c r="I1429" t="s">
        <v>182</v>
      </c>
      <c r="J1429">
        <v>4</v>
      </c>
      <c r="K1429">
        <v>15.596153846153801</v>
      </c>
      <c r="Z1429"/>
    </row>
    <row r="1430" spans="1:26" x14ac:dyDescent="0.25">
      <c r="A1430" s="159" t="str">
        <f t="shared" si="67"/>
        <v>EB-Fremont and Union City-Palo Alto and Los Altos-High school</v>
      </c>
      <c r="B1430">
        <v>16</v>
      </c>
      <c r="C1430" t="str">
        <f t="shared" si="68"/>
        <v>Fremont and Union City</v>
      </c>
      <c r="D1430">
        <v>8</v>
      </c>
      <c r="E1430" t="str">
        <f t="shared" si="68"/>
        <v>Palo Alto and Los Altos</v>
      </c>
      <c r="F1430" t="s">
        <v>326</v>
      </c>
      <c r="G1430">
        <f t="shared" si="66"/>
        <v>3</v>
      </c>
      <c r="H1430" t="s">
        <v>123</v>
      </c>
      <c r="I1430" t="s">
        <v>182</v>
      </c>
      <c r="J1430">
        <v>3</v>
      </c>
      <c r="K1430">
        <v>11.6971153846153</v>
      </c>
      <c r="Z1430"/>
    </row>
    <row r="1431" spans="1:26" x14ac:dyDescent="0.25">
      <c r="A1431" s="159" t="str">
        <f t="shared" si="67"/>
        <v>LB-Fremont and Union City-Palo Alto and Los Altos-Other maintenance</v>
      </c>
      <c r="B1431">
        <v>16</v>
      </c>
      <c r="C1431" t="str">
        <f t="shared" si="68"/>
        <v>Fremont and Union City</v>
      </c>
      <c r="D1431">
        <v>8</v>
      </c>
      <c r="E1431" t="str">
        <f t="shared" si="68"/>
        <v>Palo Alto and Los Altos</v>
      </c>
      <c r="F1431" t="s">
        <v>325</v>
      </c>
      <c r="G1431">
        <f t="shared" si="66"/>
        <v>4</v>
      </c>
      <c r="H1431" t="s">
        <v>359</v>
      </c>
      <c r="I1431" t="s">
        <v>191</v>
      </c>
      <c r="J1431">
        <v>1</v>
      </c>
      <c r="K1431">
        <v>10.3571428571429</v>
      </c>
      <c r="Z1431"/>
    </row>
    <row r="1432" spans="1:26" x14ac:dyDescent="0.25">
      <c r="A1432" s="159" t="str">
        <f t="shared" si="67"/>
        <v>EB-Fremont and Union City-Palo Alto and Los Altos-Work</v>
      </c>
      <c r="B1432">
        <v>16</v>
      </c>
      <c r="C1432" t="str">
        <f t="shared" si="68"/>
        <v>Fremont and Union City</v>
      </c>
      <c r="D1432">
        <v>8</v>
      </c>
      <c r="E1432" t="str">
        <f t="shared" si="68"/>
        <v>Palo Alto and Los Altos</v>
      </c>
      <c r="F1432" t="s">
        <v>30</v>
      </c>
      <c r="G1432">
        <f t="shared" si="66"/>
        <v>1</v>
      </c>
      <c r="H1432" t="s">
        <v>123</v>
      </c>
      <c r="I1432" t="s">
        <v>182</v>
      </c>
      <c r="J1432">
        <v>69</v>
      </c>
      <c r="K1432">
        <v>842.44344650390406</v>
      </c>
      <c r="Z1432"/>
    </row>
    <row r="1433" spans="1:26" x14ac:dyDescent="0.25">
      <c r="A1433" s="159" t="str">
        <f t="shared" si="67"/>
        <v>LB-Fremont and Union City-Sunnyvale and Mountain View-Missing</v>
      </c>
      <c r="B1433">
        <v>16</v>
      </c>
      <c r="C1433" t="str">
        <f t="shared" si="68"/>
        <v>Fremont and Union City</v>
      </c>
      <c r="D1433">
        <v>9</v>
      </c>
      <c r="E1433" t="str">
        <f t="shared" si="68"/>
        <v>Sunnyvale and Mountain View</v>
      </c>
      <c r="F1433" t="s">
        <v>327</v>
      </c>
      <c r="G1433">
        <f t="shared" si="66"/>
        <v>0</v>
      </c>
      <c r="H1433" t="s">
        <v>359</v>
      </c>
      <c r="I1433" t="s">
        <v>191</v>
      </c>
      <c r="J1433">
        <v>4</v>
      </c>
      <c r="K1433">
        <v>194.20118878797899</v>
      </c>
      <c r="Z1433"/>
    </row>
    <row r="1434" spans="1:26" x14ac:dyDescent="0.25">
      <c r="A1434" s="159" t="str">
        <f t="shared" si="67"/>
        <v>LB-Fremont and Union City-Sunnyvale and Mountain View-Work</v>
      </c>
      <c r="B1434">
        <v>16</v>
      </c>
      <c r="C1434" t="str">
        <f t="shared" si="68"/>
        <v>Fremont and Union City</v>
      </c>
      <c r="D1434">
        <v>9</v>
      </c>
      <c r="E1434" t="str">
        <f t="shared" si="68"/>
        <v>Sunnyvale and Mountain View</v>
      </c>
      <c r="F1434" t="s">
        <v>30</v>
      </c>
      <c r="G1434">
        <f t="shared" si="66"/>
        <v>1</v>
      </c>
      <c r="H1434" t="s">
        <v>359</v>
      </c>
      <c r="I1434" t="s">
        <v>191</v>
      </c>
      <c r="J1434">
        <v>2</v>
      </c>
      <c r="K1434">
        <v>125.293546148508</v>
      </c>
      <c r="Z1434"/>
    </row>
    <row r="1435" spans="1:26" x14ac:dyDescent="0.25">
      <c r="A1435" s="159" t="str">
        <f t="shared" si="67"/>
        <v>LB-Fremont and Union City-Cupertino and Saratoga-High school</v>
      </c>
      <c r="B1435">
        <v>16</v>
      </c>
      <c r="C1435" t="str">
        <f t="shared" si="68"/>
        <v>Fremont and Union City</v>
      </c>
      <c r="D1435">
        <v>10</v>
      </c>
      <c r="E1435" t="str">
        <f t="shared" si="68"/>
        <v>Cupertino and Saratoga</v>
      </c>
      <c r="F1435" t="s">
        <v>326</v>
      </c>
      <c r="G1435">
        <f t="shared" si="66"/>
        <v>3</v>
      </c>
      <c r="H1435" t="s">
        <v>359</v>
      </c>
      <c r="I1435" t="s">
        <v>191</v>
      </c>
      <c r="J1435">
        <v>2</v>
      </c>
      <c r="K1435">
        <v>248.01356844104899</v>
      </c>
      <c r="Z1435"/>
    </row>
    <row r="1436" spans="1:26" x14ac:dyDescent="0.25">
      <c r="A1436" s="159" t="str">
        <f t="shared" si="67"/>
        <v>EB-Fremont and Union City-Cupertino and Saratoga-Work</v>
      </c>
      <c r="B1436">
        <v>16</v>
      </c>
      <c r="C1436" t="str">
        <f t="shared" si="68"/>
        <v>Fremont and Union City</v>
      </c>
      <c r="D1436">
        <v>10</v>
      </c>
      <c r="E1436" t="str">
        <f t="shared" si="68"/>
        <v>Cupertino and Saratoga</v>
      </c>
      <c r="F1436" t="s">
        <v>30</v>
      </c>
      <c r="G1436">
        <f t="shared" si="66"/>
        <v>1</v>
      </c>
      <c r="H1436" t="s">
        <v>123</v>
      </c>
      <c r="I1436" t="s">
        <v>182</v>
      </c>
      <c r="J1436">
        <v>1</v>
      </c>
      <c r="K1436">
        <v>3.8990384615384599</v>
      </c>
      <c r="Z1436"/>
    </row>
    <row r="1437" spans="1:26" x14ac:dyDescent="0.25">
      <c r="A1437" s="159" t="str">
        <f t="shared" si="67"/>
        <v>HR-Fremont and Union City-Central San Jose-High school</v>
      </c>
      <c r="B1437">
        <v>16</v>
      </c>
      <c r="C1437" t="str">
        <f t="shared" si="68"/>
        <v>Fremont and Union City</v>
      </c>
      <c r="D1437">
        <v>11</v>
      </c>
      <c r="E1437" t="str">
        <f t="shared" si="68"/>
        <v>Central San Jose</v>
      </c>
      <c r="F1437" t="s">
        <v>326</v>
      </c>
      <c r="G1437">
        <f t="shared" si="66"/>
        <v>3</v>
      </c>
      <c r="H1437" t="s">
        <v>124</v>
      </c>
      <c r="I1437" t="s">
        <v>188</v>
      </c>
      <c r="J1437">
        <v>3</v>
      </c>
      <c r="K1437">
        <v>287.46629834254099</v>
      </c>
      <c r="Z1437"/>
    </row>
    <row r="1438" spans="1:26" x14ac:dyDescent="0.25">
      <c r="A1438" s="159" t="str">
        <f t="shared" si="67"/>
        <v>LB-Fremont and Union City-Central San Jose-High school</v>
      </c>
      <c r="B1438">
        <v>16</v>
      </c>
      <c r="C1438" t="str">
        <f t="shared" si="68"/>
        <v>Fremont and Union City</v>
      </c>
      <c r="D1438">
        <v>11</v>
      </c>
      <c r="E1438" t="str">
        <f t="shared" si="68"/>
        <v>Central San Jose</v>
      </c>
      <c r="F1438" t="s">
        <v>326</v>
      </c>
      <c r="G1438">
        <f t="shared" si="66"/>
        <v>3</v>
      </c>
      <c r="H1438" t="s">
        <v>359</v>
      </c>
      <c r="I1438" t="s">
        <v>191</v>
      </c>
      <c r="J1438">
        <v>5</v>
      </c>
      <c r="K1438">
        <v>313.23386537126999</v>
      </c>
      <c r="Z1438"/>
    </row>
    <row r="1439" spans="1:26" x14ac:dyDescent="0.25">
      <c r="A1439" s="159" t="str">
        <f t="shared" si="67"/>
        <v>LB-Fremont and Union City-Central San Jose-Missing</v>
      </c>
      <c r="B1439">
        <v>16</v>
      </c>
      <c r="C1439" t="str">
        <f t="shared" si="68"/>
        <v>Fremont and Union City</v>
      </c>
      <c r="D1439">
        <v>11</v>
      </c>
      <c r="E1439" t="str">
        <f t="shared" si="68"/>
        <v>Central San Jose</v>
      </c>
      <c r="F1439" t="s">
        <v>327</v>
      </c>
      <c r="G1439">
        <f t="shared" si="66"/>
        <v>0</v>
      </c>
      <c r="H1439" t="s">
        <v>359</v>
      </c>
      <c r="I1439" t="s">
        <v>191</v>
      </c>
      <c r="J1439">
        <v>1</v>
      </c>
      <c r="K1439">
        <v>62.646773074254</v>
      </c>
      <c r="Z1439"/>
    </row>
    <row r="1440" spans="1:26" x14ac:dyDescent="0.25">
      <c r="A1440" s="159" t="str">
        <f t="shared" si="67"/>
        <v>LB-Fremont and Union City-Central San Jose-Work</v>
      </c>
      <c r="B1440">
        <v>16</v>
      </c>
      <c r="C1440" t="str">
        <f t="shared" si="68"/>
        <v>Fremont and Union City</v>
      </c>
      <c r="D1440">
        <v>11</v>
      </c>
      <c r="E1440" t="str">
        <f t="shared" si="68"/>
        <v>Central San Jose</v>
      </c>
      <c r="F1440" t="s">
        <v>30</v>
      </c>
      <c r="G1440">
        <f t="shared" si="66"/>
        <v>1</v>
      </c>
      <c r="H1440" t="s">
        <v>359</v>
      </c>
      <c r="I1440" t="s">
        <v>191</v>
      </c>
      <c r="J1440">
        <v>7</v>
      </c>
      <c r="K1440">
        <v>438.52741151977801</v>
      </c>
      <c r="Z1440"/>
    </row>
    <row r="1441" spans="1:26" x14ac:dyDescent="0.25">
      <c r="A1441" s="159" t="str">
        <f t="shared" si="67"/>
        <v>LB-Fremont and Union City-Milpitas and East San Jose-High school</v>
      </c>
      <c r="B1441">
        <v>16</v>
      </c>
      <c r="C1441" t="str">
        <f t="shared" si="68"/>
        <v>Fremont and Union City</v>
      </c>
      <c r="D1441">
        <v>12</v>
      </c>
      <c r="E1441" t="str">
        <f t="shared" si="68"/>
        <v>Milpitas and East San Jose</v>
      </c>
      <c r="F1441" t="s">
        <v>326</v>
      </c>
      <c r="G1441">
        <f t="shared" si="66"/>
        <v>3</v>
      </c>
      <c r="H1441" t="s">
        <v>359</v>
      </c>
      <c r="I1441" t="s">
        <v>191</v>
      </c>
      <c r="J1441">
        <v>1</v>
      </c>
      <c r="K1441">
        <v>270.93214285714299</v>
      </c>
      <c r="Z1441"/>
    </row>
    <row r="1442" spans="1:26" x14ac:dyDescent="0.25">
      <c r="A1442" s="159" t="str">
        <f t="shared" si="67"/>
        <v>LB-Fremont and Union City-Milpitas and East San Jose-Shopping</v>
      </c>
      <c r="B1442">
        <v>16</v>
      </c>
      <c r="C1442" t="str">
        <f t="shared" si="68"/>
        <v>Fremont and Union City</v>
      </c>
      <c r="D1442">
        <v>12</v>
      </c>
      <c r="E1442" t="str">
        <f t="shared" si="68"/>
        <v>Milpitas and East San Jose</v>
      </c>
      <c r="F1442" t="s">
        <v>106</v>
      </c>
      <c r="G1442">
        <f t="shared" si="66"/>
        <v>4</v>
      </c>
      <c r="H1442" t="s">
        <v>359</v>
      </c>
      <c r="I1442" t="s">
        <v>191</v>
      </c>
      <c r="J1442">
        <v>1</v>
      </c>
      <c r="K1442">
        <v>270.93214285714299</v>
      </c>
      <c r="Z1442"/>
    </row>
    <row r="1443" spans="1:26" x14ac:dyDescent="0.25">
      <c r="A1443" s="159" t="str">
        <f t="shared" si="67"/>
        <v>LB-Fremont and Union City-Milpitas and East San Jose-Social recreation</v>
      </c>
      <c r="B1443">
        <v>16</v>
      </c>
      <c r="C1443" t="str">
        <f t="shared" si="68"/>
        <v>Fremont and Union City</v>
      </c>
      <c r="D1443">
        <v>12</v>
      </c>
      <c r="E1443" t="str">
        <f t="shared" si="68"/>
        <v>Milpitas and East San Jose</v>
      </c>
      <c r="F1443" t="s">
        <v>324</v>
      </c>
      <c r="G1443">
        <f t="shared" si="66"/>
        <v>5</v>
      </c>
      <c r="H1443" t="s">
        <v>359</v>
      </c>
      <c r="I1443" t="s">
        <v>191</v>
      </c>
      <c r="J1443">
        <v>1</v>
      </c>
      <c r="K1443">
        <v>270.93214285714299</v>
      </c>
      <c r="Z1443"/>
    </row>
    <row r="1444" spans="1:26" x14ac:dyDescent="0.25">
      <c r="A1444" s="159" t="str">
        <f t="shared" si="67"/>
        <v>HR-Fremont and Union City-Milpitas and East San Jose-Work</v>
      </c>
      <c r="B1444">
        <v>16</v>
      </c>
      <c r="C1444" t="str">
        <f t="shared" si="68"/>
        <v>Fremont and Union City</v>
      </c>
      <c r="D1444">
        <v>12</v>
      </c>
      <c r="E1444" t="str">
        <f t="shared" si="68"/>
        <v>Milpitas and East San Jose</v>
      </c>
      <c r="F1444" t="s">
        <v>30</v>
      </c>
      <c r="G1444">
        <f t="shared" si="66"/>
        <v>1</v>
      </c>
      <c r="H1444" t="s">
        <v>124</v>
      </c>
      <c r="I1444" t="s">
        <v>188</v>
      </c>
      <c r="J1444">
        <v>1</v>
      </c>
      <c r="K1444">
        <v>95.822099447513807</v>
      </c>
      <c r="Z1444"/>
    </row>
    <row r="1445" spans="1:26" x14ac:dyDescent="0.25">
      <c r="A1445" s="159" t="str">
        <f t="shared" si="67"/>
        <v>LB-Fremont and Union City-Milpitas and East San Jose-Work</v>
      </c>
      <c r="B1445">
        <v>16</v>
      </c>
      <c r="C1445" t="str">
        <f t="shared" si="68"/>
        <v>Fremont and Union City</v>
      </c>
      <c r="D1445">
        <v>12</v>
      </c>
      <c r="E1445" t="str">
        <f t="shared" si="68"/>
        <v>Milpitas and East San Jose</v>
      </c>
      <c r="F1445" t="s">
        <v>30</v>
      </c>
      <c r="G1445">
        <f t="shared" si="66"/>
        <v>1</v>
      </c>
      <c r="H1445" t="s">
        <v>359</v>
      </c>
      <c r="I1445" t="s">
        <v>191</v>
      </c>
      <c r="J1445">
        <v>2</v>
      </c>
      <c r="K1445">
        <v>138.22203561801101</v>
      </c>
      <c r="Z1445"/>
    </row>
    <row r="1446" spans="1:26" x14ac:dyDescent="0.25">
      <c r="A1446" s="159" t="str">
        <f t="shared" si="67"/>
        <v>LB-Fremont and Union City-South San Jose-High school</v>
      </c>
      <c r="B1446">
        <v>16</v>
      </c>
      <c r="C1446" t="str">
        <f t="shared" si="68"/>
        <v>Fremont and Union City</v>
      </c>
      <c r="D1446">
        <v>13</v>
      </c>
      <c r="E1446" t="str">
        <f t="shared" si="68"/>
        <v>South San Jose</v>
      </c>
      <c r="F1446" t="s">
        <v>326</v>
      </c>
      <c r="G1446">
        <f t="shared" si="66"/>
        <v>3</v>
      </c>
      <c r="H1446" t="s">
        <v>359</v>
      </c>
      <c r="I1446" t="s">
        <v>191</v>
      </c>
      <c r="J1446">
        <v>1</v>
      </c>
      <c r="K1446">
        <v>62.646773074254</v>
      </c>
      <c r="Z1446"/>
    </row>
    <row r="1447" spans="1:26" x14ac:dyDescent="0.25">
      <c r="A1447" s="159" t="str">
        <f t="shared" si="67"/>
        <v>LB-Fremont and Union City-Livermore and Pleasanton-Other maintenance</v>
      </c>
      <c r="B1447">
        <v>16</v>
      </c>
      <c r="C1447" t="str">
        <f t="shared" si="68"/>
        <v>Fremont and Union City</v>
      </c>
      <c r="D1447">
        <v>15</v>
      </c>
      <c r="E1447" t="str">
        <f t="shared" si="68"/>
        <v>Livermore and Pleasanton</v>
      </c>
      <c r="F1447" t="s">
        <v>325</v>
      </c>
      <c r="G1447">
        <f t="shared" si="66"/>
        <v>4</v>
      </c>
      <c r="H1447" t="s">
        <v>359</v>
      </c>
      <c r="I1447" t="s">
        <v>191</v>
      </c>
      <c r="J1447">
        <v>2</v>
      </c>
      <c r="K1447">
        <v>89.686373654868405</v>
      </c>
      <c r="Z1447"/>
    </row>
    <row r="1448" spans="1:26" x14ac:dyDescent="0.25">
      <c r="A1448" s="159" t="str">
        <f t="shared" si="67"/>
        <v>HR-Fremont and Union City-Livermore and Pleasanton-Social recreation</v>
      </c>
      <c r="B1448">
        <v>16</v>
      </c>
      <c r="C1448" t="str">
        <f t="shared" si="68"/>
        <v>Fremont and Union City</v>
      </c>
      <c r="D1448">
        <v>15</v>
      </c>
      <c r="E1448" t="str">
        <f t="shared" si="68"/>
        <v>Livermore and Pleasanton</v>
      </c>
      <c r="F1448" t="s">
        <v>324</v>
      </c>
      <c r="G1448">
        <f t="shared" si="66"/>
        <v>5</v>
      </c>
      <c r="H1448" t="s">
        <v>124</v>
      </c>
      <c r="I1448" t="s">
        <v>188</v>
      </c>
      <c r="J1448">
        <v>1</v>
      </c>
      <c r="K1448">
        <v>195.51395348837201</v>
      </c>
      <c r="Z1448"/>
    </row>
    <row r="1449" spans="1:26" x14ac:dyDescent="0.25">
      <c r="A1449" s="159" t="str">
        <f t="shared" si="67"/>
        <v>HR-Fremont and Union City-Livermore and Pleasanton-Work</v>
      </c>
      <c r="B1449">
        <v>16</v>
      </c>
      <c r="C1449" t="str">
        <f t="shared" si="68"/>
        <v>Fremont and Union City</v>
      </c>
      <c r="D1449">
        <v>15</v>
      </c>
      <c r="E1449" t="str">
        <f t="shared" si="68"/>
        <v>Livermore and Pleasanton</v>
      </c>
      <c r="F1449" t="s">
        <v>30</v>
      </c>
      <c r="G1449">
        <f t="shared" si="66"/>
        <v>1</v>
      </c>
      <c r="H1449" t="s">
        <v>124</v>
      </c>
      <c r="I1449" t="s">
        <v>188</v>
      </c>
      <c r="J1449">
        <v>1</v>
      </c>
      <c r="K1449">
        <v>195.51395348837201</v>
      </c>
      <c r="Z1449"/>
    </row>
    <row r="1450" spans="1:26" x14ac:dyDescent="0.25">
      <c r="A1450" s="159" t="str">
        <f t="shared" si="67"/>
        <v>HR-Fremont and Union City-Fremont and Union City-High school</v>
      </c>
      <c r="B1450">
        <v>16</v>
      </c>
      <c r="C1450" t="str">
        <f t="shared" si="68"/>
        <v>Fremont and Union City</v>
      </c>
      <c r="D1450">
        <v>16</v>
      </c>
      <c r="E1450" t="str">
        <f t="shared" si="68"/>
        <v>Fremont and Union City</v>
      </c>
      <c r="F1450" t="s">
        <v>326</v>
      </c>
      <c r="G1450">
        <f t="shared" si="66"/>
        <v>3</v>
      </c>
      <c r="H1450" t="s">
        <v>124</v>
      </c>
      <c r="I1450" t="s">
        <v>188</v>
      </c>
      <c r="J1450">
        <v>1</v>
      </c>
      <c r="K1450">
        <v>195.51395348837201</v>
      </c>
      <c r="Z1450"/>
    </row>
    <row r="1451" spans="1:26" x14ac:dyDescent="0.25">
      <c r="A1451" s="159" t="str">
        <f t="shared" si="67"/>
        <v>LB-Fremont and Union City-Fremont and Union City-High school</v>
      </c>
      <c r="B1451">
        <v>16</v>
      </c>
      <c r="C1451" t="str">
        <f t="shared" si="68"/>
        <v>Fremont and Union City</v>
      </c>
      <c r="D1451">
        <v>16</v>
      </c>
      <c r="E1451" t="str">
        <f t="shared" si="68"/>
        <v>Fremont and Union City</v>
      </c>
      <c r="F1451" t="s">
        <v>326</v>
      </c>
      <c r="G1451">
        <f t="shared" si="66"/>
        <v>3</v>
      </c>
      <c r="H1451" t="s">
        <v>359</v>
      </c>
      <c r="I1451" t="s">
        <v>191</v>
      </c>
      <c r="J1451">
        <v>76</v>
      </c>
      <c r="K1451">
        <v>1926.6923966202</v>
      </c>
      <c r="Z1451"/>
    </row>
    <row r="1452" spans="1:26" x14ac:dyDescent="0.25">
      <c r="A1452" s="159" t="str">
        <f t="shared" si="67"/>
        <v>EB-Fremont and Union City-Fremont and Union City-Missing</v>
      </c>
      <c r="B1452">
        <v>16</v>
      </c>
      <c r="C1452" t="str">
        <f t="shared" si="68"/>
        <v>Fremont and Union City</v>
      </c>
      <c r="D1452">
        <v>16</v>
      </c>
      <c r="E1452" t="str">
        <f t="shared" si="68"/>
        <v>Fremont and Union City</v>
      </c>
      <c r="F1452" t="s">
        <v>327</v>
      </c>
      <c r="G1452">
        <f t="shared" si="66"/>
        <v>0</v>
      </c>
      <c r="H1452" t="s">
        <v>123</v>
      </c>
      <c r="I1452" t="s">
        <v>182</v>
      </c>
      <c r="J1452">
        <v>1</v>
      </c>
      <c r="K1452">
        <v>3.8990384615384599</v>
      </c>
      <c r="Z1452"/>
    </row>
    <row r="1453" spans="1:26" x14ac:dyDescent="0.25">
      <c r="A1453" s="159" t="str">
        <f t="shared" si="67"/>
        <v>HR-Fremont and Union City-Fremont and Union City-Missing</v>
      </c>
      <c r="B1453">
        <v>16</v>
      </c>
      <c r="C1453" t="str">
        <f t="shared" si="68"/>
        <v>Fremont and Union City</v>
      </c>
      <c r="D1453">
        <v>16</v>
      </c>
      <c r="E1453" t="str">
        <f t="shared" si="68"/>
        <v>Fremont and Union City</v>
      </c>
      <c r="F1453" t="s">
        <v>327</v>
      </c>
      <c r="G1453">
        <f t="shared" si="66"/>
        <v>0</v>
      </c>
      <c r="H1453" t="s">
        <v>124</v>
      </c>
      <c r="I1453" t="s">
        <v>188</v>
      </c>
      <c r="J1453">
        <v>1</v>
      </c>
      <c r="K1453">
        <v>195.51395348837201</v>
      </c>
      <c r="Z1453"/>
    </row>
    <row r="1454" spans="1:26" x14ac:dyDescent="0.25">
      <c r="A1454" s="159" t="str">
        <f t="shared" si="67"/>
        <v>LB-Fremont and Union City-Fremont and Union City-Missing</v>
      </c>
      <c r="B1454">
        <v>16</v>
      </c>
      <c r="C1454" t="str">
        <f t="shared" si="68"/>
        <v>Fremont and Union City</v>
      </c>
      <c r="D1454">
        <v>16</v>
      </c>
      <c r="E1454" t="str">
        <f t="shared" si="68"/>
        <v>Fremont and Union City</v>
      </c>
      <c r="F1454" t="s">
        <v>327</v>
      </c>
      <c r="G1454">
        <f t="shared" si="66"/>
        <v>0</v>
      </c>
      <c r="H1454" t="s">
        <v>359</v>
      </c>
      <c r="I1454" t="s">
        <v>191</v>
      </c>
      <c r="J1454">
        <v>16</v>
      </c>
      <c r="K1454">
        <v>671.07415003949905</v>
      </c>
      <c r="Z1454"/>
    </row>
    <row r="1455" spans="1:26" x14ac:dyDescent="0.25">
      <c r="A1455" s="159" t="str">
        <f t="shared" si="67"/>
        <v>EB-Fremont and Union City-Fremont and Union City-Other maintenance</v>
      </c>
      <c r="B1455">
        <v>16</v>
      </c>
      <c r="C1455" t="str">
        <f t="shared" si="68"/>
        <v>Fremont and Union City</v>
      </c>
      <c r="D1455">
        <v>16</v>
      </c>
      <c r="E1455" t="str">
        <f t="shared" si="68"/>
        <v>Fremont and Union City</v>
      </c>
      <c r="F1455" t="s">
        <v>325</v>
      </c>
      <c r="G1455">
        <f t="shared" si="66"/>
        <v>4</v>
      </c>
      <c r="H1455" t="s">
        <v>123</v>
      </c>
      <c r="I1455" t="s">
        <v>182</v>
      </c>
      <c r="J1455">
        <v>1</v>
      </c>
      <c r="K1455">
        <v>3.8990384615384599</v>
      </c>
      <c r="Z1455"/>
    </row>
    <row r="1456" spans="1:26" x14ac:dyDescent="0.25">
      <c r="A1456" s="159" t="str">
        <f t="shared" si="67"/>
        <v>HR-Fremont and Union City-Fremont and Union City-Other maintenance</v>
      </c>
      <c r="B1456">
        <v>16</v>
      </c>
      <c r="C1456" t="str">
        <f t="shared" si="68"/>
        <v>Fremont and Union City</v>
      </c>
      <c r="D1456">
        <v>16</v>
      </c>
      <c r="E1456" t="str">
        <f t="shared" si="68"/>
        <v>Fremont and Union City</v>
      </c>
      <c r="F1456" t="s">
        <v>325</v>
      </c>
      <c r="G1456">
        <f t="shared" si="66"/>
        <v>4</v>
      </c>
      <c r="H1456" t="s">
        <v>124</v>
      </c>
      <c r="I1456" t="s">
        <v>188</v>
      </c>
      <c r="J1456">
        <v>3</v>
      </c>
      <c r="K1456">
        <v>387.158152383399</v>
      </c>
      <c r="Z1456"/>
    </row>
    <row r="1457" spans="1:26" x14ac:dyDescent="0.25">
      <c r="A1457" s="159" t="str">
        <f t="shared" si="67"/>
        <v>LB-Fremont and Union City-Fremont and Union City-Other maintenance</v>
      </c>
      <c r="B1457">
        <v>16</v>
      </c>
      <c r="C1457" t="str">
        <f t="shared" si="68"/>
        <v>Fremont and Union City</v>
      </c>
      <c r="D1457">
        <v>16</v>
      </c>
      <c r="E1457" t="str">
        <f t="shared" si="68"/>
        <v>Fremont and Union City</v>
      </c>
      <c r="F1457" t="s">
        <v>325</v>
      </c>
      <c r="G1457">
        <f t="shared" si="66"/>
        <v>4</v>
      </c>
      <c r="H1457" t="s">
        <v>359</v>
      </c>
      <c r="I1457" t="s">
        <v>191</v>
      </c>
      <c r="J1457">
        <v>13</v>
      </c>
      <c r="K1457">
        <v>415.37697061829101</v>
      </c>
      <c r="Z1457"/>
    </row>
    <row r="1458" spans="1:26" x14ac:dyDescent="0.25">
      <c r="A1458" s="159" t="str">
        <f t="shared" si="67"/>
        <v>LB-Fremont and Union City-Fremont and Union City-Shopping</v>
      </c>
      <c r="B1458">
        <v>16</v>
      </c>
      <c r="C1458" t="str">
        <f t="shared" si="68"/>
        <v>Fremont and Union City</v>
      </c>
      <c r="D1458">
        <v>16</v>
      </c>
      <c r="E1458" t="str">
        <f t="shared" si="68"/>
        <v>Fremont and Union City</v>
      </c>
      <c r="F1458" t="s">
        <v>106</v>
      </c>
      <c r="G1458">
        <f t="shared" si="66"/>
        <v>4</v>
      </c>
      <c r="H1458" t="s">
        <v>359</v>
      </c>
      <c r="I1458" t="s">
        <v>191</v>
      </c>
      <c r="J1458">
        <v>8</v>
      </c>
      <c r="K1458">
        <v>404.85146799828902</v>
      </c>
      <c r="Z1458"/>
    </row>
    <row r="1459" spans="1:26" x14ac:dyDescent="0.25">
      <c r="A1459" s="159" t="str">
        <f t="shared" si="67"/>
        <v>EB-Fremont and Union City-Fremont and Union City-Social recreation</v>
      </c>
      <c r="B1459">
        <v>16</v>
      </c>
      <c r="C1459" t="str">
        <f t="shared" si="68"/>
        <v>Fremont and Union City</v>
      </c>
      <c r="D1459">
        <v>16</v>
      </c>
      <c r="E1459" t="str">
        <f t="shared" si="68"/>
        <v>Fremont and Union City</v>
      </c>
      <c r="F1459" t="s">
        <v>324</v>
      </c>
      <c r="G1459">
        <f t="shared" si="66"/>
        <v>5</v>
      </c>
      <c r="H1459" t="s">
        <v>123</v>
      </c>
      <c r="I1459" t="s">
        <v>182</v>
      </c>
      <c r="J1459">
        <v>1</v>
      </c>
      <c r="K1459">
        <v>15.051282051282</v>
      </c>
      <c r="Z1459"/>
    </row>
    <row r="1460" spans="1:26" x14ac:dyDescent="0.25">
      <c r="A1460" s="159" t="str">
        <f t="shared" si="67"/>
        <v>LB-Fremont and Union City-Fremont and Union City-Social recreation</v>
      </c>
      <c r="B1460">
        <v>16</v>
      </c>
      <c r="C1460" t="str">
        <f t="shared" si="68"/>
        <v>Fremont and Union City</v>
      </c>
      <c r="D1460">
        <v>16</v>
      </c>
      <c r="E1460" t="str">
        <f t="shared" si="68"/>
        <v>Fremont and Union City</v>
      </c>
      <c r="F1460" t="s">
        <v>324</v>
      </c>
      <c r="G1460">
        <f t="shared" si="66"/>
        <v>5</v>
      </c>
      <c r="H1460" t="s">
        <v>359</v>
      </c>
      <c r="I1460" t="s">
        <v>191</v>
      </c>
      <c r="J1460">
        <v>9</v>
      </c>
      <c r="K1460">
        <v>675.78361085543202</v>
      </c>
      <c r="Z1460"/>
    </row>
    <row r="1461" spans="1:26" x14ac:dyDescent="0.25">
      <c r="A1461" s="159" t="str">
        <f t="shared" si="67"/>
        <v>EB-Fremont and Union City-Fremont and Union City-Work</v>
      </c>
      <c r="B1461">
        <v>16</v>
      </c>
      <c r="C1461" t="str">
        <f t="shared" si="68"/>
        <v>Fremont and Union City</v>
      </c>
      <c r="D1461">
        <v>16</v>
      </c>
      <c r="E1461" t="str">
        <f t="shared" si="68"/>
        <v>Fremont and Union City</v>
      </c>
      <c r="F1461" t="s">
        <v>30</v>
      </c>
      <c r="G1461">
        <f t="shared" si="66"/>
        <v>1</v>
      </c>
      <c r="H1461" t="s">
        <v>123</v>
      </c>
      <c r="I1461" t="s">
        <v>182</v>
      </c>
      <c r="J1461">
        <v>11</v>
      </c>
      <c r="K1461">
        <v>114.56564715914099</v>
      </c>
      <c r="Z1461"/>
    </row>
    <row r="1462" spans="1:26" x14ac:dyDescent="0.25">
      <c r="A1462" s="159" t="str">
        <f t="shared" si="67"/>
        <v>HR-Fremont and Union City-Fremont and Union City-Work</v>
      </c>
      <c r="B1462">
        <v>16</v>
      </c>
      <c r="C1462" t="str">
        <f t="shared" si="68"/>
        <v>Fremont and Union City</v>
      </c>
      <c r="D1462">
        <v>16</v>
      </c>
      <c r="E1462" t="str">
        <f t="shared" si="68"/>
        <v>Fremont and Union City</v>
      </c>
      <c r="F1462" t="s">
        <v>30</v>
      </c>
      <c r="G1462">
        <f t="shared" si="66"/>
        <v>1</v>
      </c>
      <c r="H1462" t="s">
        <v>124</v>
      </c>
      <c r="I1462" t="s">
        <v>188</v>
      </c>
      <c r="J1462">
        <v>4</v>
      </c>
      <c r="K1462">
        <v>582.67210587177101</v>
      </c>
      <c r="Z1462"/>
    </row>
    <row r="1463" spans="1:26" x14ac:dyDescent="0.25">
      <c r="A1463" s="159" t="str">
        <f t="shared" si="67"/>
        <v>LB-Fremont and Union City-Fremont and Union City-Work</v>
      </c>
      <c r="B1463">
        <v>16</v>
      </c>
      <c r="C1463" t="str">
        <f t="shared" si="68"/>
        <v>Fremont and Union City</v>
      </c>
      <c r="D1463">
        <v>16</v>
      </c>
      <c r="E1463" t="str">
        <f t="shared" si="68"/>
        <v>Fremont and Union City</v>
      </c>
      <c r="F1463" t="s">
        <v>30</v>
      </c>
      <c r="G1463">
        <f t="shared" si="66"/>
        <v>1</v>
      </c>
      <c r="H1463" t="s">
        <v>359</v>
      </c>
      <c r="I1463" t="s">
        <v>191</v>
      </c>
      <c r="J1463">
        <v>58</v>
      </c>
      <c r="K1463">
        <v>2377.0466257057301</v>
      </c>
      <c r="Z1463"/>
    </row>
    <row r="1464" spans="1:26" x14ac:dyDescent="0.25">
      <c r="A1464" s="159" t="str">
        <f t="shared" si="67"/>
        <v>HR-Fremont and Union City-Hayward and San Leandro-High school</v>
      </c>
      <c r="B1464">
        <v>16</v>
      </c>
      <c r="C1464" t="str">
        <f t="shared" si="68"/>
        <v>Fremont and Union City</v>
      </c>
      <c r="D1464">
        <v>17</v>
      </c>
      <c r="E1464" t="str">
        <f t="shared" si="68"/>
        <v>Hayward and San Leandro</v>
      </c>
      <c r="F1464" t="s">
        <v>326</v>
      </c>
      <c r="G1464">
        <f t="shared" si="66"/>
        <v>3</v>
      </c>
      <c r="H1464" t="s">
        <v>124</v>
      </c>
      <c r="I1464" t="s">
        <v>188</v>
      </c>
      <c r="J1464">
        <v>3</v>
      </c>
      <c r="K1464">
        <v>287.46629834254099</v>
      </c>
      <c r="Z1464"/>
    </row>
    <row r="1465" spans="1:26" x14ac:dyDescent="0.25">
      <c r="A1465" s="159" t="str">
        <f t="shared" si="67"/>
        <v>LB-Fremont and Union City-Hayward and San Leandro-High school</v>
      </c>
      <c r="B1465">
        <v>16</v>
      </c>
      <c r="C1465" t="str">
        <f t="shared" si="68"/>
        <v>Fremont and Union City</v>
      </c>
      <c r="D1465">
        <v>17</v>
      </c>
      <c r="E1465" t="str">
        <f t="shared" si="68"/>
        <v>Hayward and San Leandro</v>
      </c>
      <c r="F1465" t="s">
        <v>326</v>
      </c>
      <c r="G1465">
        <f t="shared" si="66"/>
        <v>3</v>
      </c>
      <c r="H1465" t="s">
        <v>359</v>
      </c>
      <c r="I1465" t="s">
        <v>191</v>
      </c>
      <c r="J1465">
        <v>10</v>
      </c>
      <c r="K1465">
        <v>547.80944650195295</v>
      </c>
      <c r="Z1465"/>
    </row>
    <row r="1466" spans="1:26" x14ac:dyDescent="0.25">
      <c r="A1466" s="159" t="str">
        <f t="shared" si="67"/>
        <v>HR-Fremont and Union City-Hayward and San Leandro-Missing</v>
      </c>
      <c r="B1466">
        <v>16</v>
      </c>
      <c r="C1466" t="str">
        <f t="shared" si="68"/>
        <v>Fremont and Union City</v>
      </c>
      <c r="D1466">
        <v>17</v>
      </c>
      <c r="E1466" t="str">
        <f t="shared" si="68"/>
        <v>Hayward and San Leandro</v>
      </c>
      <c r="F1466" t="s">
        <v>327</v>
      </c>
      <c r="G1466">
        <f t="shared" si="66"/>
        <v>0</v>
      </c>
      <c r="H1466" t="s">
        <v>124</v>
      </c>
      <c r="I1466" t="s">
        <v>188</v>
      </c>
      <c r="J1466">
        <v>1</v>
      </c>
      <c r="K1466">
        <v>95.822099447513807</v>
      </c>
      <c r="Z1466"/>
    </row>
    <row r="1467" spans="1:26" x14ac:dyDescent="0.25">
      <c r="A1467" s="159" t="str">
        <f t="shared" si="67"/>
        <v>LB-Fremont and Union City-Hayward and San Leandro-Missing</v>
      </c>
      <c r="B1467">
        <v>16</v>
      </c>
      <c r="C1467" t="str">
        <f t="shared" si="68"/>
        <v>Fremont and Union City</v>
      </c>
      <c r="D1467">
        <v>17</v>
      </c>
      <c r="E1467" t="str">
        <f t="shared" si="68"/>
        <v>Hayward and San Leandro</v>
      </c>
      <c r="F1467" t="s">
        <v>327</v>
      </c>
      <c r="G1467">
        <f t="shared" si="66"/>
        <v>0</v>
      </c>
      <c r="H1467" t="s">
        <v>359</v>
      </c>
      <c r="I1467" t="s">
        <v>191</v>
      </c>
      <c r="J1467">
        <v>3</v>
      </c>
      <c r="K1467">
        <v>291.64642857142798</v>
      </c>
      <c r="Z1467"/>
    </row>
    <row r="1468" spans="1:26" x14ac:dyDescent="0.25">
      <c r="A1468" s="159" t="str">
        <f t="shared" si="67"/>
        <v>HR-Fremont and Union City-Hayward and San Leandro-Other maintenance</v>
      </c>
      <c r="B1468">
        <v>16</v>
      </c>
      <c r="C1468" t="str">
        <f t="shared" si="68"/>
        <v>Fremont and Union City</v>
      </c>
      <c r="D1468">
        <v>17</v>
      </c>
      <c r="E1468" t="str">
        <f t="shared" si="68"/>
        <v>Hayward and San Leandro</v>
      </c>
      <c r="F1468" t="s">
        <v>325</v>
      </c>
      <c r="G1468">
        <f t="shared" si="66"/>
        <v>4</v>
      </c>
      <c r="H1468" t="s">
        <v>124</v>
      </c>
      <c r="I1468" t="s">
        <v>188</v>
      </c>
      <c r="J1468">
        <v>2</v>
      </c>
      <c r="K1468">
        <v>291.33605293588499</v>
      </c>
      <c r="Z1468"/>
    </row>
    <row r="1469" spans="1:26" x14ac:dyDescent="0.25">
      <c r="A1469" s="159" t="str">
        <f t="shared" si="67"/>
        <v>LB-Fremont and Union City-Hayward and San Leandro-Other maintenance</v>
      </c>
      <c r="B1469">
        <v>16</v>
      </c>
      <c r="C1469" t="str">
        <f t="shared" si="68"/>
        <v>Fremont and Union City</v>
      </c>
      <c r="D1469">
        <v>17</v>
      </c>
      <c r="E1469" t="str">
        <f t="shared" si="68"/>
        <v>Hayward and San Leandro</v>
      </c>
      <c r="F1469" t="s">
        <v>325</v>
      </c>
      <c r="G1469">
        <f t="shared" si="66"/>
        <v>4</v>
      </c>
      <c r="H1469" t="s">
        <v>359</v>
      </c>
      <c r="I1469" t="s">
        <v>191</v>
      </c>
      <c r="J1469">
        <v>2</v>
      </c>
      <c r="K1469">
        <v>151.15052508751401</v>
      </c>
      <c r="Z1469"/>
    </row>
    <row r="1470" spans="1:26" x14ac:dyDescent="0.25">
      <c r="A1470" s="159" t="str">
        <f t="shared" si="67"/>
        <v>LB-Fremont and Union City-Hayward and San Leandro-Shopping</v>
      </c>
      <c r="B1470">
        <v>16</v>
      </c>
      <c r="C1470" t="str">
        <f t="shared" si="68"/>
        <v>Fremont and Union City</v>
      </c>
      <c r="D1470">
        <v>17</v>
      </c>
      <c r="E1470" t="str">
        <f t="shared" si="68"/>
        <v>Hayward and San Leandro</v>
      </c>
      <c r="F1470" t="s">
        <v>106</v>
      </c>
      <c r="G1470">
        <f t="shared" si="66"/>
        <v>4</v>
      </c>
      <c r="H1470" t="s">
        <v>359</v>
      </c>
      <c r="I1470" t="s">
        <v>191</v>
      </c>
      <c r="J1470">
        <v>1</v>
      </c>
      <c r="K1470">
        <v>75.575262543757304</v>
      </c>
      <c r="Z1470"/>
    </row>
    <row r="1471" spans="1:26" x14ac:dyDescent="0.25">
      <c r="A1471" s="159" t="str">
        <f t="shared" si="67"/>
        <v>LB-Fremont and Union City-Hayward and San Leandro-Social recreation</v>
      </c>
      <c r="B1471">
        <v>16</v>
      </c>
      <c r="C1471" t="str">
        <f t="shared" si="68"/>
        <v>Fremont and Union City</v>
      </c>
      <c r="D1471">
        <v>17</v>
      </c>
      <c r="E1471" t="str">
        <f t="shared" si="68"/>
        <v>Hayward and San Leandro</v>
      </c>
      <c r="F1471" t="s">
        <v>324</v>
      </c>
      <c r="G1471">
        <f t="shared" si="66"/>
        <v>5</v>
      </c>
      <c r="H1471" t="s">
        <v>359</v>
      </c>
      <c r="I1471" t="s">
        <v>191</v>
      </c>
      <c r="J1471">
        <v>1</v>
      </c>
      <c r="K1471">
        <v>6.2608695652173898</v>
      </c>
      <c r="Z1471"/>
    </row>
    <row r="1472" spans="1:26" x14ac:dyDescent="0.25">
      <c r="A1472" s="159" t="str">
        <f t="shared" si="67"/>
        <v>HR-Fremont and Union City-Hayward and San Leandro-Work</v>
      </c>
      <c r="B1472">
        <v>16</v>
      </c>
      <c r="C1472" t="str">
        <f t="shared" si="68"/>
        <v>Fremont and Union City</v>
      </c>
      <c r="D1472">
        <v>17</v>
      </c>
      <c r="E1472" t="str">
        <f t="shared" si="68"/>
        <v>Hayward and San Leandro</v>
      </c>
      <c r="F1472" t="s">
        <v>30</v>
      </c>
      <c r="G1472">
        <f t="shared" si="66"/>
        <v>1</v>
      </c>
      <c r="H1472" t="s">
        <v>124</v>
      </c>
      <c r="I1472" t="s">
        <v>188</v>
      </c>
      <c r="J1472">
        <v>7</v>
      </c>
      <c r="K1472">
        <v>770.44655017345406</v>
      </c>
      <c r="Z1472"/>
    </row>
    <row r="1473" spans="1:26" x14ac:dyDescent="0.25">
      <c r="A1473" s="159" t="str">
        <f t="shared" si="67"/>
        <v>LB-Fremont and Union City-Hayward and San Leandro-Work</v>
      </c>
      <c r="B1473">
        <v>16</v>
      </c>
      <c r="C1473" t="str">
        <f t="shared" si="68"/>
        <v>Fremont and Union City</v>
      </c>
      <c r="D1473">
        <v>17</v>
      </c>
      <c r="E1473" t="str">
        <f t="shared" si="68"/>
        <v>Hayward and San Leandro</v>
      </c>
      <c r="F1473" t="s">
        <v>30</v>
      </c>
      <c r="G1473">
        <f t="shared" si="66"/>
        <v>1</v>
      </c>
      <c r="H1473" t="s">
        <v>359</v>
      </c>
      <c r="I1473" t="s">
        <v>191</v>
      </c>
      <c r="J1473">
        <v>6</v>
      </c>
      <c r="K1473">
        <v>384.13718228400302</v>
      </c>
      <c r="Z1473"/>
    </row>
    <row r="1474" spans="1:26" x14ac:dyDescent="0.25">
      <c r="A1474" s="159" t="str">
        <f t="shared" si="67"/>
        <v>HR-Fremont and Union City-Oakland and Alameda-Missing</v>
      </c>
      <c r="B1474">
        <v>16</v>
      </c>
      <c r="C1474" t="str">
        <f t="shared" si="68"/>
        <v>Fremont and Union City</v>
      </c>
      <c r="D1474">
        <v>18</v>
      </c>
      <c r="E1474" t="str">
        <f t="shared" si="68"/>
        <v>Oakland and Alameda</v>
      </c>
      <c r="F1474" t="s">
        <v>327</v>
      </c>
      <c r="G1474">
        <f t="shared" ref="G1474:G1537" si="69">VLOOKUP(F1474,$V$2:$X$10, 3,FALSE)</f>
        <v>0</v>
      </c>
      <c r="H1474" t="s">
        <v>124</v>
      </c>
      <c r="I1474" t="s">
        <v>188</v>
      </c>
      <c r="J1474">
        <v>1</v>
      </c>
      <c r="K1474">
        <v>95.822099447513807</v>
      </c>
      <c r="Z1474"/>
    </row>
    <row r="1475" spans="1:26" x14ac:dyDescent="0.25">
      <c r="A1475" s="159" t="str">
        <f t="shared" ref="A1475:A1538" si="70" xml:space="preserve"> CONCATENATE(I1475,"-",C1475, "-",E1475, "-",F1475,)</f>
        <v>LB-Fremont and Union City-Oakland and Alameda-Missing</v>
      </c>
      <c r="B1475">
        <v>16</v>
      </c>
      <c r="C1475" t="str">
        <f t="shared" ref="C1475:E1538" si="71">VLOOKUP(B1475,$S$2:$T$35,2,FALSE)</f>
        <v>Fremont and Union City</v>
      </c>
      <c r="D1475">
        <v>18</v>
      </c>
      <c r="E1475" t="str">
        <f t="shared" si="71"/>
        <v>Oakland and Alameda</v>
      </c>
      <c r="F1475" t="s">
        <v>327</v>
      </c>
      <c r="G1475">
        <f t="shared" si="69"/>
        <v>0</v>
      </c>
      <c r="H1475" t="s">
        <v>359</v>
      </c>
      <c r="I1475" t="s">
        <v>191</v>
      </c>
      <c r="J1475">
        <v>1</v>
      </c>
      <c r="K1475">
        <v>286.12835472578797</v>
      </c>
      <c r="Z1475"/>
    </row>
    <row r="1476" spans="1:26" x14ac:dyDescent="0.25">
      <c r="A1476" s="159" t="str">
        <f t="shared" si="70"/>
        <v>HR-Fremont and Union City-Oakland and Alameda-Other maintenance</v>
      </c>
      <c r="B1476">
        <v>16</v>
      </c>
      <c r="C1476" t="str">
        <f t="shared" si="71"/>
        <v>Fremont and Union City</v>
      </c>
      <c r="D1476">
        <v>18</v>
      </c>
      <c r="E1476" t="str">
        <f t="shared" si="71"/>
        <v>Oakland and Alameda</v>
      </c>
      <c r="F1476" t="s">
        <v>325</v>
      </c>
      <c r="G1476">
        <f t="shared" si="69"/>
        <v>4</v>
      </c>
      <c r="H1476" t="s">
        <v>124</v>
      </c>
      <c r="I1476" t="s">
        <v>188</v>
      </c>
      <c r="J1476">
        <v>5</v>
      </c>
      <c r="K1476">
        <v>578.80235127842695</v>
      </c>
      <c r="Z1476"/>
    </row>
    <row r="1477" spans="1:26" x14ac:dyDescent="0.25">
      <c r="A1477" s="159" t="str">
        <f t="shared" si="70"/>
        <v>HR-Fremont and Union City-Oakland and Alameda-Social recreation</v>
      </c>
      <c r="B1477">
        <v>16</v>
      </c>
      <c r="C1477" t="str">
        <f t="shared" si="71"/>
        <v>Fremont and Union City</v>
      </c>
      <c r="D1477">
        <v>18</v>
      </c>
      <c r="E1477" t="str">
        <f t="shared" si="71"/>
        <v>Oakland and Alameda</v>
      </c>
      <c r="F1477" t="s">
        <v>324</v>
      </c>
      <c r="G1477">
        <f t="shared" si="69"/>
        <v>5</v>
      </c>
      <c r="H1477" t="s">
        <v>124</v>
      </c>
      <c r="I1477" t="s">
        <v>188</v>
      </c>
      <c r="J1477">
        <v>5</v>
      </c>
      <c r="K1477">
        <v>678.49420531928502</v>
      </c>
      <c r="Z1477"/>
    </row>
    <row r="1478" spans="1:26" x14ac:dyDescent="0.25">
      <c r="A1478" s="159" t="str">
        <f t="shared" si="70"/>
        <v>EB-Fremont and Union City-Oakland and Alameda-Work</v>
      </c>
      <c r="B1478">
        <v>16</v>
      </c>
      <c r="C1478" t="str">
        <f t="shared" si="71"/>
        <v>Fremont and Union City</v>
      </c>
      <c r="D1478">
        <v>18</v>
      </c>
      <c r="E1478" t="str">
        <f t="shared" si="71"/>
        <v>Oakland and Alameda</v>
      </c>
      <c r="F1478" t="s">
        <v>30</v>
      </c>
      <c r="G1478">
        <f t="shared" si="69"/>
        <v>1</v>
      </c>
      <c r="H1478" t="s">
        <v>123</v>
      </c>
      <c r="I1478" t="s">
        <v>182</v>
      </c>
      <c r="J1478">
        <v>3</v>
      </c>
      <c r="K1478">
        <v>226.725787631271</v>
      </c>
      <c r="Z1478"/>
    </row>
    <row r="1479" spans="1:26" x14ac:dyDescent="0.25">
      <c r="A1479" s="159" t="str">
        <f t="shared" si="70"/>
        <v>HR-Fremont and Union City-Oakland and Alameda-Work</v>
      </c>
      <c r="B1479">
        <v>16</v>
      </c>
      <c r="C1479" t="str">
        <f t="shared" si="71"/>
        <v>Fremont and Union City</v>
      </c>
      <c r="D1479">
        <v>18</v>
      </c>
      <c r="E1479" t="str">
        <f t="shared" si="71"/>
        <v>Oakland and Alameda</v>
      </c>
      <c r="F1479" t="s">
        <v>30</v>
      </c>
      <c r="G1479">
        <f t="shared" si="69"/>
        <v>1</v>
      </c>
      <c r="H1479" t="s">
        <v>124</v>
      </c>
      <c r="I1479" t="s">
        <v>188</v>
      </c>
      <c r="J1479">
        <v>12</v>
      </c>
      <c r="K1479">
        <v>1149.8651933701599</v>
      </c>
      <c r="Z1479"/>
    </row>
    <row r="1480" spans="1:26" x14ac:dyDescent="0.25">
      <c r="A1480" s="159" t="str">
        <f t="shared" si="70"/>
        <v>LB-Fremont and Union City-Oakland and Alameda-Work</v>
      </c>
      <c r="B1480">
        <v>16</v>
      </c>
      <c r="C1480" t="str">
        <f t="shared" si="71"/>
        <v>Fremont and Union City</v>
      </c>
      <c r="D1480">
        <v>18</v>
      </c>
      <c r="E1480" t="str">
        <f t="shared" si="71"/>
        <v>Oakland and Alameda</v>
      </c>
      <c r="F1480" t="s">
        <v>30</v>
      </c>
      <c r="G1480">
        <f t="shared" si="69"/>
        <v>1</v>
      </c>
      <c r="H1480" t="s">
        <v>359</v>
      </c>
      <c r="I1480" t="s">
        <v>191</v>
      </c>
      <c r="J1480">
        <v>1</v>
      </c>
      <c r="K1480">
        <v>6.2608695652173898</v>
      </c>
      <c r="Z1480"/>
    </row>
    <row r="1481" spans="1:26" x14ac:dyDescent="0.25">
      <c r="A1481" s="159" t="str">
        <f t="shared" si="70"/>
        <v>HR-Fremont and Union City-Berkeley and Albany-High school</v>
      </c>
      <c r="B1481">
        <v>16</v>
      </c>
      <c r="C1481" t="str">
        <f t="shared" si="71"/>
        <v>Fremont and Union City</v>
      </c>
      <c r="D1481">
        <v>19</v>
      </c>
      <c r="E1481" t="str">
        <f t="shared" si="71"/>
        <v>Berkeley and Albany</v>
      </c>
      <c r="F1481" t="s">
        <v>326</v>
      </c>
      <c r="G1481">
        <f t="shared" si="69"/>
        <v>3</v>
      </c>
      <c r="H1481" t="s">
        <v>124</v>
      </c>
      <c r="I1481" t="s">
        <v>188</v>
      </c>
      <c r="J1481">
        <v>2</v>
      </c>
      <c r="K1481">
        <v>191.64419889502699</v>
      </c>
      <c r="Z1481"/>
    </row>
    <row r="1482" spans="1:26" x14ac:dyDescent="0.25">
      <c r="A1482" s="159" t="str">
        <f t="shared" si="70"/>
        <v>LB-Fremont and Union City-Berkeley and Albany-High school</v>
      </c>
      <c r="B1482">
        <v>16</v>
      </c>
      <c r="C1482" t="str">
        <f t="shared" si="71"/>
        <v>Fremont and Union City</v>
      </c>
      <c r="D1482">
        <v>19</v>
      </c>
      <c r="E1482" t="str">
        <f t="shared" si="71"/>
        <v>Berkeley and Albany</v>
      </c>
      <c r="F1482" t="s">
        <v>326</v>
      </c>
      <c r="G1482">
        <f t="shared" si="69"/>
        <v>3</v>
      </c>
      <c r="H1482" t="s">
        <v>359</v>
      </c>
      <c r="I1482" t="s">
        <v>191</v>
      </c>
      <c r="J1482">
        <v>1</v>
      </c>
      <c r="K1482">
        <v>75.575262543757304</v>
      </c>
      <c r="Z1482"/>
    </row>
    <row r="1483" spans="1:26" x14ac:dyDescent="0.25">
      <c r="A1483" s="159" t="str">
        <f t="shared" si="70"/>
        <v>LB-Fremont and Union City-Berkeley and Albany-Missing</v>
      </c>
      <c r="B1483">
        <v>16</v>
      </c>
      <c r="C1483" t="str">
        <f t="shared" si="71"/>
        <v>Fremont and Union City</v>
      </c>
      <c r="D1483">
        <v>19</v>
      </c>
      <c r="E1483" t="str">
        <f t="shared" si="71"/>
        <v>Berkeley and Albany</v>
      </c>
      <c r="F1483" t="s">
        <v>327</v>
      </c>
      <c r="G1483">
        <f t="shared" si="69"/>
        <v>0</v>
      </c>
      <c r="H1483" t="s">
        <v>359</v>
      </c>
      <c r="I1483" t="s">
        <v>191</v>
      </c>
      <c r="J1483">
        <v>2</v>
      </c>
      <c r="K1483">
        <v>81.836132108974695</v>
      </c>
      <c r="Z1483"/>
    </row>
    <row r="1484" spans="1:26" x14ac:dyDescent="0.25">
      <c r="A1484" s="159" t="str">
        <f t="shared" si="70"/>
        <v>HR-Fremont and Union City-Berkeley and Albany-Work</v>
      </c>
      <c r="B1484">
        <v>16</v>
      </c>
      <c r="C1484" t="str">
        <f t="shared" si="71"/>
        <v>Fremont and Union City</v>
      </c>
      <c r="D1484">
        <v>19</v>
      </c>
      <c r="E1484" t="str">
        <f t="shared" si="71"/>
        <v>Berkeley and Albany</v>
      </c>
      <c r="F1484" t="s">
        <v>30</v>
      </c>
      <c r="G1484">
        <f t="shared" si="69"/>
        <v>1</v>
      </c>
      <c r="H1484" t="s">
        <v>124</v>
      </c>
      <c r="I1484" t="s">
        <v>188</v>
      </c>
      <c r="J1484">
        <v>2</v>
      </c>
      <c r="K1484">
        <v>191.64419889502699</v>
      </c>
      <c r="Z1484"/>
    </row>
    <row r="1485" spans="1:26" x14ac:dyDescent="0.25">
      <c r="A1485" s="159" t="str">
        <f t="shared" si="70"/>
        <v>HR-Fremont and Union City-Richmond and El Cerrito-High school</v>
      </c>
      <c r="B1485">
        <v>16</v>
      </c>
      <c r="C1485" t="str">
        <f t="shared" si="71"/>
        <v>Fremont and Union City</v>
      </c>
      <c r="D1485">
        <v>20</v>
      </c>
      <c r="E1485" t="str">
        <f t="shared" si="71"/>
        <v>Richmond and El Cerrito</v>
      </c>
      <c r="F1485" t="s">
        <v>326</v>
      </c>
      <c r="G1485">
        <f t="shared" si="69"/>
        <v>3</v>
      </c>
      <c r="H1485" t="s">
        <v>124</v>
      </c>
      <c r="I1485" t="s">
        <v>188</v>
      </c>
      <c r="J1485">
        <v>1</v>
      </c>
      <c r="K1485">
        <v>95.822099447513807</v>
      </c>
      <c r="Z1485"/>
    </row>
    <row r="1486" spans="1:26" x14ac:dyDescent="0.25">
      <c r="A1486" s="159" t="str">
        <f t="shared" si="70"/>
        <v>HR-Fremont and Union City-Richmond and El Cerrito-Missing</v>
      </c>
      <c r="B1486">
        <v>16</v>
      </c>
      <c r="C1486" t="str">
        <f t="shared" si="71"/>
        <v>Fremont and Union City</v>
      </c>
      <c r="D1486">
        <v>20</v>
      </c>
      <c r="E1486" t="str">
        <f t="shared" si="71"/>
        <v>Richmond and El Cerrito</v>
      </c>
      <c r="F1486" t="s">
        <v>327</v>
      </c>
      <c r="G1486">
        <f t="shared" si="69"/>
        <v>0</v>
      </c>
      <c r="H1486" t="s">
        <v>124</v>
      </c>
      <c r="I1486" t="s">
        <v>188</v>
      </c>
      <c r="J1486">
        <v>1</v>
      </c>
      <c r="K1486">
        <v>95.822099447513807</v>
      </c>
      <c r="Z1486"/>
    </row>
    <row r="1487" spans="1:26" x14ac:dyDescent="0.25">
      <c r="A1487" s="159" t="str">
        <f t="shared" si="70"/>
        <v>HR-Fremont and Union City-Richmond and El Cerrito-Shopping</v>
      </c>
      <c r="B1487">
        <v>16</v>
      </c>
      <c r="C1487" t="str">
        <f t="shared" si="71"/>
        <v>Fremont and Union City</v>
      </c>
      <c r="D1487">
        <v>20</v>
      </c>
      <c r="E1487" t="str">
        <f t="shared" si="71"/>
        <v>Richmond and El Cerrito</v>
      </c>
      <c r="F1487" t="s">
        <v>106</v>
      </c>
      <c r="G1487">
        <f t="shared" si="69"/>
        <v>4</v>
      </c>
      <c r="H1487" t="s">
        <v>124</v>
      </c>
      <c r="I1487" t="s">
        <v>188</v>
      </c>
      <c r="J1487">
        <v>1</v>
      </c>
      <c r="K1487">
        <v>195.51395348837201</v>
      </c>
      <c r="Z1487"/>
    </row>
    <row r="1488" spans="1:26" x14ac:dyDescent="0.25">
      <c r="A1488" s="159" t="str">
        <f t="shared" si="70"/>
        <v>HR-Fremont and Union City-Richmond and El Cerrito-Work</v>
      </c>
      <c r="B1488">
        <v>16</v>
      </c>
      <c r="C1488" t="str">
        <f t="shared" si="71"/>
        <v>Fremont and Union City</v>
      </c>
      <c r="D1488">
        <v>20</v>
      </c>
      <c r="E1488" t="str">
        <f t="shared" si="71"/>
        <v>Richmond and El Cerrito</v>
      </c>
      <c r="F1488" t="s">
        <v>30</v>
      </c>
      <c r="G1488">
        <f t="shared" si="69"/>
        <v>1</v>
      </c>
      <c r="H1488" t="s">
        <v>124</v>
      </c>
      <c r="I1488" t="s">
        <v>188</v>
      </c>
      <c r="J1488">
        <v>2</v>
      </c>
      <c r="K1488">
        <v>191.64419889502699</v>
      </c>
      <c r="Z1488"/>
    </row>
    <row r="1489" spans="1:26" x14ac:dyDescent="0.25">
      <c r="A1489" s="159" t="str">
        <f t="shared" si="70"/>
        <v>HR-Fremont and Union City-Walnut Creek-Social recreation</v>
      </c>
      <c r="B1489">
        <v>16</v>
      </c>
      <c r="C1489" t="str">
        <f t="shared" si="71"/>
        <v>Fremont and Union City</v>
      </c>
      <c r="D1489">
        <v>22</v>
      </c>
      <c r="E1489" t="str">
        <f t="shared" si="71"/>
        <v>Walnut Creek</v>
      </c>
      <c r="F1489" t="s">
        <v>324</v>
      </c>
      <c r="G1489">
        <f t="shared" si="69"/>
        <v>5</v>
      </c>
      <c r="H1489" t="s">
        <v>124</v>
      </c>
      <c r="I1489" t="s">
        <v>188</v>
      </c>
      <c r="J1489">
        <v>1</v>
      </c>
      <c r="K1489">
        <v>195.51395348837201</v>
      </c>
      <c r="Z1489"/>
    </row>
    <row r="1490" spans="1:26" x14ac:dyDescent="0.25">
      <c r="A1490" s="159" t="str">
        <f t="shared" si="70"/>
        <v>HR-Fremont and Union City-Antioch and Pittsburg-Missing</v>
      </c>
      <c r="B1490">
        <v>16</v>
      </c>
      <c r="C1490" t="str">
        <f t="shared" si="71"/>
        <v>Fremont and Union City</v>
      </c>
      <c r="D1490">
        <v>24</v>
      </c>
      <c r="E1490" t="str">
        <f t="shared" si="71"/>
        <v>Antioch and Pittsburg</v>
      </c>
      <c r="F1490" t="s">
        <v>327</v>
      </c>
      <c r="G1490">
        <f t="shared" si="69"/>
        <v>0</v>
      </c>
      <c r="H1490" t="s">
        <v>124</v>
      </c>
      <c r="I1490" t="s">
        <v>188</v>
      </c>
      <c r="J1490">
        <v>1</v>
      </c>
      <c r="K1490">
        <v>195.51395348837201</v>
      </c>
      <c r="Z1490"/>
    </row>
    <row r="1491" spans="1:26" x14ac:dyDescent="0.25">
      <c r="A1491" s="159" t="str">
        <f t="shared" si="70"/>
        <v>LB-Fremont and Union City-Antioch and Pittsburg-Missing</v>
      </c>
      <c r="B1491">
        <v>16</v>
      </c>
      <c r="C1491" t="str">
        <f t="shared" si="71"/>
        <v>Fremont and Union City</v>
      </c>
      <c r="D1491">
        <v>24</v>
      </c>
      <c r="E1491" t="str">
        <f t="shared" si="71"/>
        <v>Antioch and Pittsburg</v>
      </c>
      <c r="F1491" t="s">
        <v>327</v>
      </c>
      <c r="G1491">
        <f t="shared" si="69"/>
        <v>0</v>
      </c>
      <c r="H1491" t="s">
        <v>359</v>
      </c>
      <c r="I1491" t="s">
        <v>191</v>
      </c>
      <c r="J1491">
        <v>2</v>
      </c>
      <c r="K1491">
        <v>96.25</v>
      </c>
      <c r="Z1491"/>
    </row>
    <row r="1492" spans="1:26" x14ac:dyDescent="0.25">
      <c r="A1492" s="159" t="str">
        <f t="shared" si="70"/>
        <v>HR-Fremont and Union City-Antioch and Pittsburg-Work</v>
      </c>
      <c r="B1492">
        <v>16</v>
      </c>
      <c r="C1492" t="str">
        <f t="shared" si="71"/>
        <v>Fremont and Union City</v>
      </c>
      <c r="D1492">
        <v>24</v>
      </c>
      <c r="E1492" t="str">
        <f t="shared" si="71"/>
        <v>Antioch and Pittsburg</v>
      </c>
      <c r="F1492" t="s">
        <v>30</v>
      </c>
      <c r="G1492">
        <f t="shared" si="69"/>
        <v>1</v>
      </c>
      <c r="H1492" t="s">
        <v>124</v>
      </c>
      <c r="I1492" t="s">
        <v>188</v>
      </c>
      <c r="J1492">
        <v>1</v>
      </c>
      <c r="K1492">
        <v>95.822099447513807</v>
      </c>
      <c r="Z1492"/>
    </row>
    <row r="1493" spans="1:26" x14ac:dyDescent="0.25">
      <c r="A1493" s="159" t="str">
        <f t="shared" si="70"/>
        <v>HR-Fremont and Union City-Vallejo and Benicia-High school</v>
      </c>
      <c r="B1493">
        <v>16</v>
      </c>
      <c r="C1493" t="str">
        <f t="shared" si="71"/>
        <v>Fremont and Union City</v>
      </c>
      <c r="D1493">
        <v>25</v>
      </c>
      <c r="E1493" t="str">
        <f t="shared" si="71"/>
        <v>Vallejo and Benicia</v>
      </c>
      <c r="F1493" t="s">
        <v>326</v>
      </c>
      <c r="G1493">
        <f t="shared" si="69"/>
        <v>3</v>
      </c>
      <c r="H1493" t="s">
        <v>124</v>
      </c>
      <c r="I1493" t="s">
        <v>188</v>
      </c>
      <c r="J1493">
        <v>1</v>
      </c>
      <c r="K1493">
        <v>95.822099447513807</v>
      </c>
      <c r="Z1493"/>
    </row>
    <row r="1494" spans="1:26" x14ac:dyDescent="0.25">
      <c r="A1494" s="159" t="str">
        <f t="shared" si="70"/>
        <v>EB-Fremont and Union City-Fairfield and Vacaville-Other maintenance</v>
      </c>
      <c r="B1494">
        <v>16</v>
      </c>
      <c r="C1494" t="str">
        <f t="shared" si="71"/>
        <v>Fremont and Union City</v>
      </c>
      <c r="D1494">
        <v>26</v>
      </c>
      <c r="E1494" t="str">
        <f t="shared" si="71"/>
        <v>Fairfield and Vacaville</v>
      </c>
      <c r="F1494" t="s">
        <v>325</v>
      </c>
      <c r="G1494">
        <f t="shared" si="69"/>
        <v>4</v>
      </c>
      <c r="H1494" t="s">
        <v>123</v>
      </c>
      <c r="I1494" t="s">
        <v>182</v>
      </c>
      <c r="J1494">
        <v>1</v>
      </c>
      <c r="K1494">
        <v>12.3349397590361</v>
      </c>
      <c r="Z1494"/>
    </row>
    <row r="1495" spans="1:26" x14ac:dyDescent="0.25">
      <c r="A1495" s="159" t="str">
        <f t="shared" si="70"/>
        <v>HR-Hayward and San Leandro-Greater Downtown San Francisco-Missing</v>
      </c>
      <c r="B1495">
        <v>17</v>
      </c>
      <c r="C1495" t="str">
        <f t="shared" si="71"/>
        <v>Hayward and San Leandro</v>
      </c>
      <c r="D1495">
        <v>1</v>
      </c>
      <c r="E1495" t="str">
        <f t="shared" si="71"/>
        <v>Greater Downtown San Francisco</v>
      </c>
      <c r="F1495" t="s">
        <v>327</v>
      </c>
      <c r="G1495">
        <f t="shared" si="69"/>
        <v>0</v>
      </c>
      <c r="H1495" t="s">
        <v>124</v>
      </c>
      <c r="I1495" t="s">
        <v>188</v>
      </c>
      <c r="J1495">
        <v>1</v>
      </c>
      <c r="K1495">
        <v>95.822099447513807</v>
      </c>
      <c r="Z1495"/>
    </row>
    <row r="1496" spans="1:26" x14ac:dyDescent="0.25">
      <c r="A1496" s="159" t="str">
        <f t="shared" si="70"/>
        <v>LB-Hayward and San Leandro-Greater Downtown San Francisco-Missing</v>
      </c>
      <c r="B1496">
        <v>17</v>
      </c>
      <c r="C1496" t="str">
        <f t="shared" si="71"/>
        <v>Hayward and San Leandro</v>
      </c>
      <c r="D1496">
        <v>1</v>
      </c>
      <c r="E1496" t="str">
        <f t="shared" si="71"/>
        <v>Greater Downtown San Francisco</v>
      </c>
      <c r="F1496" t="s">
        <v>327</v>
      </c>
      <c r="G1496">
        <f t="shared" si="69"/>
        <v>0</v>
      </c>
      <c r="H1496" t="s">
        <v>359</v>
      </c>
      <c r="I1496" t="s">
        <v>191</v>
      </c>
      <c r="J1496">
        <v>1</v>
      </c>
      <c r="K1496">
        <v>75.575262543757304</v>
      </c>
      <c r="Z1496"/>
    </row>
    <row r="1497" spans="1:26" x14ac:dyDescent="0.25">
      <c r="A1497" s="159" t="str">
        <f t="shared" si="70"/>
        <v>LB-Hayward and San Leandro-Greater Downtown San Francisco-Other maintenance</v>
      </c>
      <c r="B1497">
        <v>17</v>
      </c>
      <c r="C1497" t="str">
        <f t="shared" si="71"/>
        <v>Hayward and San Leandro</v>
      </c>
      <c r="D1497">
        <v>1</v>
      </c>
      <c r="E1497" t="str">
        <f t="shared" si="71"/>
        <v>Greater Downtown San Francisco</v>
      </c>
      <c r="F1497" t="s">
        <v>325</v>
      </c>
      <c r="G1497">
        <f t="shared" si="69"/>
        <v>4</v>
      </c>
      <c r="H1497" t="s">
        <v>359</v>
      </c>
      <c r="I1497" t="s">
        <v>191</v>
      </c>
      <c r="J1497">
        <v>1</v>
      </c>
      <c r="K1497">
        <v>286.12835472578797</v>
      </c>
      <c r="Z1497"/>
    </row>
    <row r="1498" spans="1:26" x14ac:dyDescent="0.25">
      <c r="A1498" s="159" t="str">
        <f t="shared" si="70"/>
        <v>HR-Hayward and San Leandro-Greater Downtown San Francisco-Social recreation</v>
      </c>
      <c r="B1498">
        <v>17</v>
      </c>
      <c r="C1498" t="str">
        <f t="shared" si="71"/>
        <v>Hayward and San Leandro</v>
      </c>
      <c r="D1498">
        <v>1</v>
      </c>
      <c r="E1498" t="str">
        <f t="shared" si="71"/>
        <v>Greater Downtown San Francisco</v>
      </c>
      <c r="F1498" t="s">
        <v>324</v>
      </c>
      <c r="G1498">
        <f t="shared" si="69"/>
        <v>5</v>
      </c>
      <c r="H1498" t="s">
        <v>124</v>
      </c>
      <c r="I1498" t="s">
        <v>188</v>
      </c>
      <c r="J1498">
        <v>3</v>
      </c>
      <c r="K1498">
        <v>387.158152383399</v>
      </c>
      <c r="Z1498"/>
    </row>
    <row r="1499" spans="1:26" x14ac:dyDescent="0.25">
      <c r="A1499" s="159" t="str">
        <f t="shared" si="70"/>
        <v>LB-Hayward and San Leandro-Greater Downtown San Francisco-Social recreation</v>
      </c>
      <c r="B1499">
        <v>17</v>
      </c>
      <c r="C1499" t="str">
        <f t="shared" si="71"/>
        <v>Hayward and San Leandro</v>
      </c>
      <c r="D1499">
        <v>1</v>
      </c>
      <c r="E1499" t="str">
        <f t="shared" si="71"/>
        <v>Greater Downtown San Francisco</v>
      </c>
      <c r="F1499" t="s">
        <v>324</v>
      </c>
      <c r="G1499">
        <f t="shared" si="69"/>
        <v>5</v>
      </c>
      <c r="H1499" t="s">
        <v>359</v>
      </c>
      <c r="I1499" t="s">
        <v>191</v>
      </c>
      <c r="J1499">
        <v>1</v>
      </c>
      <c r="K1499">
        <v>75.575262543757304</v>
      </c>
      <c r="Z1499"/>
    </row>
    <row r="1500" spans="1:26" x14ac:dyDescent="0.25">
      <c r="A1500" s="159" t="str">
        <f t="shared" si="70"/>
        <v>FR-Hayward and San Leandro-Greater Downtown San Francisco-Work</v>
      </c>
      <c r="B1500">
        <v>17</v>
      </c>
      <c r="C1500" t="str">
        <f t="shared" si="71"/>
        <v>Hayward and San Leandro</v>
      </c>
      <c r="D1500">
        <v>1</v>
      </c>
      <c r="E1500" t="str">
        <f t="shared" si="71"/>
        <v>Greater Downtown San Francisco</v>
      </c>
      <c r="F1500" t="s">
        <v>30</v>
      </c>
      <c r="G1500">
        <f t="shared" si="69"/>
        <v>1</v>
      </c>
      <c r="H1500" t="s">
        <v>360</v>
      </c>
      <c r="I1500" t="s">
        <v>185</v>
      </c>
      <c r="J1500">
        <v>2</v>
      </c>
      <c r="K1500">
        <v>23.438775510204</v>
      </c>
      <c r="Z1500"/>
    </row>
    <row r="1501" spans="1:26" x14ac:dyDescent="0.25">
      <c r="A1501" s="159" t="str">
        <f t="shared" si="70"/>
        <v>HR-Hayward and San Leandro-Greater Downtown San Francisco-Work</v>
      </c>
      <c r="B1501">
        <v>17</v>
      </c>
      <c r="C1501" t="str">
        <f t="shared" si="71"/>
        <v>Hayward and San Leandro</v>
      </c>
      <c r="D1501">
        <v>1</v>
      </c>
      <c r="E1501" t="str">
        <f t="shared" si="71"/>
        <v>Greater Downtown San Francisco</v>
      </c>
      <c r="F1501" t="s">
        <v>30</v>
      </c>
      <c r="G1501">
        <f t="shared" si="69"/>
        <v>1</v>
      </c>
      <c r="H1501" t="s">
        <v>124</v>
      </c>
      <c r="I1501" t="s">
        <v>188</v>
      </c>
      <c r="J1501">
        <v>14</v>
      </c>
      <c r="K1501">
        <v>1341.5093922651899</v>
      </c>
      <c r="Z1501"/>
    </row>
    <row r="1502" spans="1:26" x14ac:dyDescent="0.25">
      <c r="A1502" s="159" t="str">
        <f t="shared" si="70"/>
        <v>LB-Hayward and San Leandro-Greater Downtown San Francisco-Work</v>
      </c>
      <c r="B1502">
        <v>17</v>
      </c>
      <c r="C1502" t="str">
        <f t="shared" si="71"/>
        <v>Hayward and San Leandro</v>
      </c>
      <c r="D1502">
        <v>1</v>
      </c>
      <c r="E1502" t="str">
        <f t="shared" si="71"/>
        <v>Greater Downtown San Francisco</v>
      </c>
      <c r="F1502" t="s">
        <v>30</v>
      </c>
      <c r="G1502">
        <f t="shared" si="69"/>
        <v>1</v>
      </c>
      <c r="H1502" t="s">
        <v>359</v>
      </c>
      <c r="I1502" t="s">
        <v>191</v>
      </c>
      <c r="J1502">
        <v>7</v>
      </c>
      <c r="K1502">
        <v>934.93681030171695</v>
      </c>
      <c r="Z1502"/>
    </row>
    <row r="1503" spans="1:26" x14ac:dyDescent="0.25">
      <c r="A1503" s="159" t="str">
        <f t="shared" si="70"/>
        <v>HR-Hayward and San Leandro-San Francisco Richmond District-High school</v>
      </c>
      <c r="B1503">
        <v>17</v>
      </c>
      <c r="C1503" t="str">
        <f t="shared" si="71"/>
        <v>Hayward and San Leandro</v>
      </c>
      <c r="D1503">
        <v>2</v>
      </c>
      <c r="E1503" t="str">
        <f t="shared" si="71"/>
        <v>San Francisco Richmond District</v>
      </c>
      <c r="F1503" t="s">
        <v>326</v>
      </c>
      <c r="G1503">
        <f t="shared" si="69"/>
        <v>3</v>
      </c>
      <c r="H1503" t="s">
        <v>124</v>
      </c>
      <c r="I1503" t="s">
        <v>188</v>
      </c>
      <c r="J1503">
        <v>1</v>
      </c>
      <c r="K1503">
        <v>95.822099447513807</v>
      </c>
      <c r="Z1503"/>
    </row>
    <row r="1504" spans="1:26" x14ac:dyDescent="0.25">
      <c r="A1504" s="159" t="str">
        <f t="shared" si="70"/>
        <v>LB-Hayward and San Leandro-San Francisco Richmond District-Missing</v>
      </c>
      <c r="B1504">
        <v>17</v>
      </c>
      <c r="C1504" t="str">
        <f t="shared" si="71"/>
        <v>Hayward and San Leandro</v>
      </c>
      <c r="D1504">
        <v>2</v>
      </c>
      <c r="E1504" t="str">
        <f t="shared" si="71"/>
        <v>San Francisco Richmond District</v>
      </c>
      <c r="F1504" t="s">
        <v>327</v>
      </c>
      <c r="G1504">
        <f t="shared" si="69"/>
        <v>0</v>
      </c>
      <c r="H1504" t="s">
        <v>359</v>
      </c>
      <c r="I1504" t="s">
        <v>191</v>
      </c>
      <c r="J1504">
        <v>1</v>
      </c>
      <c r="K1504">
        <v>75.575262543757304</v>
      </c>
      <c r="Z1504"/>
    </row>
    <row r="1505" spans="1:26" x14ac:dyDescent="0.25">
      <c r="A1505" s="159" t="str">
        <f t="shared" si="70"/>
        <v>HR-Hayward and San Leandro-San Francisco Richmond District-Other maintenance</v>
      </c>
      <c r="B1505">
        <v>17</v>
      </c>
      <c r="C1505" t="str">
        <f t="shared" si="71"/>
        <v>Hayward and San Leandro</v>
      </c>
      <c r="D1505">
        <v>2</v>
      </c>
      <c r="E1505" t="str">
        <f t="shared" si="71"/>
        <v>San Francisco Richmond District</v>
      </c>
      <c r="F1505" t="s">
        <v>325</v>
      </c>
      <c r="G1505">
        <f t="shared" si="69"/>
        <v>4</v>
      </c>
      <c r="H1505" t="s">
        <v>124</v>
      </c>
      <c r="I1505" t="s">
        <v>188</v>
      </c>
      <c r="J1505">
        <v>2</v>
      </c>
      <c r="K1505">
        <v>191.64419889502699</v>
      </c>
      <c r="Z1505"/>
    </row>
    <row r="1506" spans="1:26" x14ac:dyDescent="0.25">
      <c r="A1506" s="159" t="str">
        <f t="shared" si="70"/>
        <v>LB-Hayward and San Leandro-San Francisco Richmond District-Other maintenance</v>
      </c>
      <c r="B1506">
        <v>17</v>
      </c>
      <c r="C1506" t="str">
        <f t="shared" si="71"/>
        <v>Hayward and San Leandro</v>
      </c>
      <c r="D1506">
        <v>2</v>
      </c>
      <c r="E1506" t="str">
        <f t="shared" si="71"/>
        <v>San Francisco Richmond District</v>
      </c>
      <c r="F1506" t="s">
        <v>325</v>
      </c>
      <c r="G1506">
        <f t="shared" si="69"/>
        <v>4</v>
      </c>
      <c r="H1506" t="s">
        <v>359</v>
      </c>
      <c r="I1506" t="s">
        <v>191</v>
      </c>
      <c r="J1506">
        <v>1</v>
      </c>
      <c r="K1506">
        <v>75.575262543757304</v>
      </c>
      <c r="Z1506"/>
    </row>
    <row r="1507" spans="1:26" x14ac:dyDescent="0.25">
      <c r="A1507" s="159" t="str">
        <f t="shared" si="70"/>
        <v>HR-Hayward and San Leandro-San Francisco Richmond District-Social recreation</v>
      </c>
      <c r="B1507">
        <v>17</v>
      </c>
      <c r="C1507" t="str">
        <f t="shared" si="71"/>
        <v>Hayward and San Leandro</v>
      </c>
      <c r="D1507">
        <v>2</v>
      </c>
      <c r="E1507" t="str">
        <f t="shared" si="71"/>
        <v>San Francisco Richmond District</v>
      </c>
      <c r="F1507" t="s">
        <v>324</v>
      </c>
      <c r="G1507">
        <f t="shared" si="69"/>
        <v>5</v>
      </c>
      <c r="H1507" t="s">
        <v>124</v>
      </c>
      <c r="I1507" t="s">
        <v>188</v>
      </c>
      <c r="J1507">
        <v>1</v>
      </c>
      <c r="K1507">
        <v>95.822099447513807</v>
      </c>
      <c r="Z1507"/>
    </row>
    <row r="1508" spans="1:26" x14ac:dyDescent="0.25">
      <c r="A1508" s="159" t="str">
        <f t="shared" si="70"/>
        <v>HR-Hayward and San Leandro-San Francisco Richmond District-Work</v>
      </c>
      <c r="B1508">
        <v>17</v>
      </c>
      <c r="C1508" t="str">
        <f t="shared" si="71"/>
        <v>Hayward and San Leandro</v>
      </c>
      <c r="D1508">
        <v>2</v>
      </c>
      <c r="E1508" t="str">
        <f t="shared" si="71"/>
        <v>San Francisco Richmond District</v>
      </c>
      <c r="F1508" t="s">
        <v>30</v>
      </c>
      <c r="G1508">
        <f t="shared" si="69"/>
        <v>1</v>
      </c>
      <c r="H1508" t="s">
        <v>124</v>
      </c>
      <c r="I1508" t="s">
        <v>188</v>
      </c>
      <c r="J1508">
        <v>2</v>
      </c>
      <c r="K1508">
        <v>191.64419889502699</v>
      </c>
      <c r="Z1508"/>
    </row>
    <row r="1509" spans="1:26" x14ac:dyDescent="0.25">
      <c r="A1509" s="159" t="str">
        <f t="shared" si="70"/>
        <v>LB-Hayward and San Leandro-San Francisco Richmond District-Work</v>
      </c>
      <c r="B1509">
        <v>17</v>
      </c>
      <c r="C1509" t="str">
        <f t="shared" si="71"/>
        <v>Hayward and San Leandro</v>
      </c>
      <c r="D1509">
        <v>2</v>
      </c>
      <c r="E1509" t="str">
        <f t="shared" si="71"/>
        <v>San Francisco Richmond District</v>
      </c>
      <c r="F1509" t="s">
        <v>30</v>
      </c>
      <c r="G1509">
        <f t="shared" si="69"/>
        <v>1</v>
      </c>
      <c r="H1509" t="s">
        <v>359</v>
      </c>
      <c r="I1509" t="s">
        <v>191</v>
      </c>
      <c r="J1509">
        <v>1</v>
      </c>
      <c r="K1509">
        <v>75.575262543757304</v>
      </c>
      <c r="Z1509"/>
    </row>
    <row r="1510" spans="1:26" x14ac:dyDescent="0.25">
      <c r="A1510" s="159" t="str">
        <f t="shared" si="70"/>
        <v>HR-Hayward and San Leandro-San Francisco Mission District-High school</v>
      </c>
      <c r="B1510">
        <v>17</v>
      </c>
      <c r="C1510" t="str">
        <f t="shared" si="71"/>
        <v>Hayward and San Leandro</v>
      </c>
      <c r="D1510">
        <v>3</v>
      </c>
      <c r="E1510" t="str">
        <f t="shared" si="71"/>
        <v>San Francisco Mission District</v>
      </c>
      <c r="F1510" t="s">
        <v>326</v>
      </c>
      <c r="G1510">
        <f t="shared" si="69"/>
        <v>3</v>
      </c>
      <c r="H1510" t="s">
        <v>124</v>
      </c>
      <c r="I1510" t="s">
        <v>188</v>
      </c>
      <c r="J1510">
        <v>2</v>
      </c>
      <c r="K1510">
        <v>191.64419889502699</v>
      </c>
      <c r="Z1510"/>
    </row>
    <row r="1511" spans="1:26" x14ac:dyDescent="0.25">
      <c r="A1511" s="159" t="str">
        <f t="shared" si="70"/>
        <v>HR-Hayward and San Leandro-San Francisco Mission District-Other maintenance</v>
      </c>
      <c r="B1511">
        <v>17</v>
      </c>
      <c r="C1511" t="str">
        <f t="shared" si="71"/>
        <v>Hayward and San Leandro</v>
      </c>
      <c r="D1511">
        <v>3</v>
      </c>
      <c r="E1511" t="str">
        <f t="shared" si="71"/>
        <v>San Francisco Mission District</v>
      </c>
      <c r="F1511" t="s">
        <v>325</v>
      </c>
      <c r="G1511">
        <f t="shared" si="69"/>
        <v>4</v>
      </c>
      <c r="H1511" t="s">
        <v>124</v>
      </c>
      <c r="I1511" t="s">
        <v>188</v>
      </c>
      <c r="J1511">
        <v>1</v>
      </c>
      <c r="K1511">
        <v>95.822099447513807</v>
      </c>
      <c r="Z1511"/>
    </row>
    <row r="1512" spans="1:26" x14ac:dyDescent="0.25">
      <c r="A1512" s="159" t="str">
        <f t="shared" si="70"/>
        <v>HR-Hayward and San Leandro-San Francisco Mission District-Social recreation</v>
      </c>
      <c r="B1512">
        <v>17</v>
      </c>
      <c r="C1512" t="str">
        <f t="shared" si="71"/>
        <v>Hayward and San Leandro</v>
      </c>
      <c r="D1512">
        <v>3</v>
      </c>
      <c r="E1512" t="str">
        <f t="shared" si="71"/>
        <v>San Francisco Mission District</v>
      </c>
      <c r="F1512" t="s">
        <v>324</v>
      </c>
      <c r="G1512">
        <f t="shared" si="69"/>
        <v>5</v>
      </c>
      <c r="H1512" t="s">
        <v>124</v>
      </c>
      <c r="I1512" t="s">
        <v>188</v>
      </c>
      <c r="J1512">
        <v>2</v>
      </c>
      <c r="K1512">
        <v>291.33605293588499</v>
      </c>
      <c r="Z1512"/>
    </row>
    <row r="1513" spans="1:26" x14ac:dyDescent="0.25">
      <c r="A1513" s="159" t="str">
        <f t="shared" si="70"/>
        <v>HR-Hayward and San Leandro-San Francisco Mission District-Work</v>
      </c>
      <c r="B1513">
        <v>17</v>
      </c>
      <c r="C1513" t="str">
        <f t="shared" si="71"/>
        <v>Hayward and San Leandro</v>
      </c>
      <c r="D1513">
        <v>3</v>
      </c>
      <c r="E1513" t="str">
        <f t="shared" si="71"/>
        <v>San Francisco Mission District</v>
      </c>
      <c r="F1513" t="s">
        <v>30</v>
      </c>
      <c r="G1513">
        <f t="shared" si="69"/>
        <v>1</v>
      </c>
      <c r="H1513" t="s">
        <v>124</v>
      </c>
      <c r="I1513" t="s">
        <v>188</v>
      </c>
      <c r="J1513">
        <v>9</v>
      </c>
      <c r="K1513">
        <v>1061.78260310934</v>
      </c>
      <c r="Z1513"/>
    </row>
    <row r="1514" spans="1:26" x14ac:dyDescent="0.25">
      <c r="A1514" s="159" t="str">
        <f t="shared" si="70"/>
        <v>LB-Hayward and San Leandro-San Francisco Mission District-Work</v>
      </c>
      <c r="B1514">
        <v>17</v>
      </c>
      <c r="C1514" t="str">
        <f t="shared" si="71"/>
        <v>Hayward and San Leandro</v>
      </c>
      <c r="D1514">
        <v>3</v>
      </c>
      <c r="E1514" t="str">
        <f t="shared" si="71"/>
        <v>San Francisco Mission District</v>
      </c>
      <c r="F1514" t="s">
        <v>30</v>
      </c>
      <c r="G1514">
        <f t="shared" si="69"/>
        <v>1</v>
      </c>
      <c r="H1514" t="s">
        <v>359</v>
      </c>
      <c r="I1514" t="s">
        <v>191</v>
      </c>
      <c r="J1514">
        <v>1</v>
      </c>
      <c r="K1514">
        <v>286.12835472578797</v>
      </c>
      <c r="Z1514"/>
    </row>
    <row r="1515" spans="1:26" x14ac:dyDescent="0.25">
      <c r="A1515" s="159" t="str">
        <f t="shared" si="70"/>
        <v>HR-Hayward and San Leandro-San Francisco Sunset District-High school</v>
      </c>
      <c r="B1515">
        <v>17</v>
      </c>
      <c r="C1515" t="str">
        <f t="shared" si="71"/>
        <v>Hayward and San Leandro</v>
      </c>
      <c r="D1515">
        <v>4</v>
      </c>
      <c r="E1515" t="str">
        <f t="shared" si="71"/>
        <v>San Francisco Sunset District</v>
      </c>
      <c r="F1515" t="s">
        <v>326</v>
      </c>
      <c r="G1515">
        <f t="shared" si="69"/>
        <v>3</v>
      </c>
      <c r="H1515" t="s">
        <v>124</v>
      </c>
      <c r="I1515" t="s">
        <v>188</v>
      </c>
      <c r="J1515">
        <v>2</v>
      </c>
      <c r="K1515">
        <v>191.64419889502699</v>
      </c>
      <c r="Z1515"/>
    </row>
    <row r="1516" spans="1:26" x14ac:dyDescent="0.25">
      <c r="A1516" s="159" t="str">
        <f t="shared" si="70"/>
        <v>LR-Hayward and San Leandro-San Francisco Sunset District-High school</v>
      </c>
      <c r="B1516">
        <v>17</v>
      </c>
      <c r="C1516" t="str">
        <f t="shared" si="71"/>
        <v>Hayward and San Leandro</v>
      </c>
      <c r="D1516">
        <v>4</v>
      </c>
      <c r="E1516" t="str">
        <f t="shared" si="71"/>
        <v>San Francisco Sunset District</v>
      </c>
      <c r="F1516" t="s">
        <v>326</v>
      </c>
      <c r="G1516">
        <f t="shared" si="69"/>
        <v>3</v>
      </c>
      <c r="H1516" t="s">
        <v>353</v>
      </c>
      <c r="I1516" t="s">
        <v>194</v>
      </c>
      <c r="J1516">
        <v>1</v>
      </c>
      <c r="K1516">
        <v>286.12835472578797</v>
      </c>
      <c r="Z1516"/>
    </row>
    <row r="1517" spans="1:26" x14ac:dyDescent="0.25">
      <c r="A1517" s="159" t="str">
        <f t="shared" si="70"/>
        <v>LB-Hayward and San Leandro-San Francisco Sunset District-High school</v>
      </c>
      <c r="B1517">
        <v>17</v>
      </c>
      <c r="C1517" t="str">
        <f t="shared" si="71"/>
        <v>Hayward and San Leandro</v>
      </c>
      <c r="D1517">
        <v>4</v>
      </c>
      <c r="E1517" t="str">
        <f t="shared" si="71"/>
        <v>San Francisco Sunset District</v>
      </c>
      <c r="F1517" t="s">
        <v>326</v>
      </c>
      <c r="G1517">
        <f t="shared" si="69"/>
        <v>3</v>
      </c>
      <c r="H1517" t="s">
        <v>359</v>
      </c>
      <c r="I1517" t="s">
        <v>191</v>
      </c>
      <c r="J1517">
        <v>2</v>
      </c>
      <c r="K1517">
        <v>151.15052508751401</v>
      </c>
      <c r="Z1517"/>
    </row>
    <row r="1518" spans="1:26" x14ac:dyDescent="0.25">
      <c r="A1518" s="159" t="str">
        <f t="shared" si="70"/>
        <v>LB-Hayward and San Leandro-San Francisco Sunset District-Missing</v>
      </c>
      <c r="B1518">
        <v>17</v>
      </c>
      <c r="C1518" t="str">
        <f t="shared" si="71"/>
        <v>Hayward and San Leandro</v>
      </c>
      <c r="D1518">
        <v>4</v>
      </c>
      <c r="E1518" t="str">
        <f t="shared" si="71"/>
        <v>San Francisco Sunset District</v>
      </c>
      <c r="F1518" t="s">
        <v>327</v>
      </c>
      <c r="G1518">
        <f t="shared" si="69"/>
        <v>0</v>
      </c>
      <c r="H1518" t="s">
        <v>359</v>
      </c>
      <c r="I1518" t="s">
        <v>191</v>
      </c>
      <c r="J1518">
        <v>1</v>
      </c>
      <c r="K1518">
        <v>75.575262543757304</v>
      </c>
      <c r="Z1518"/>
    </row>
    <row r="1519" spans="1:26" x14ac:dyDescent="0.25">
      <c r="A1519" s="159" t="str">
        <f t="shared" si="70"/>
        <v>LR-Hayward and San Leandro-San Francisco Sunset District-Work</v>
      </c>
      <c r="B1519">
        <v>17</v>
      </c>
      <c r="C1519" t="str">
        <f t="shared" si="71"/>
        <v>Hayward and San Leandro</v>
      </c>
      <c r="D1519">
        <v>4</v>
      </c>
      <c r="E1519" t="str">
        <f t="shared" si="71"/>
        <v>San Francisco Sunset District</v>
      </c>
      <c r="F1519" t="s">
        <v>30</v>
      </c>
      <c r="G1519">
        <f t="shared" si="69"/>
        <v>1</v>
      </c>
      <c r="H1519" t="s">
        <v>353</v>
      </c>
      <c r="I1519" t="s">
        <v>194</v>
      </c>
      <c r="J1519">
        <v>1</v>
      </c>
      <c r="K1519">
        <v>286.12835472578797</v>
      </c>
      <c r="Z1519"/>
    </row>
    <row r="1520" spans="1:26" x14ac:dyDescent="0.25">
      <c r="A1520" s="159" t="str">
        <f t="shared" si="70"/>
        <v>LB-Hayward and San Leandro-San Francisco Sunset District-Work</v>
      </c>
      <c r="B1520">
        <v>17</v>
      </c>
      <c r="C1520" t="str">
        <f t="shared" si="71"/>
        <v>Hayward and San Leandro</v>
      </c>
      <c r="D1520">
        <v>4</v>
      </c>
      <c r="E1520" t="str">
        <f t="shared" si="71"/>
        <v>San Francisco Sunset District</v>
      </c>
      <c r="F1520" t="s">
        <v>30</v>
      </c>
      <c r="G1520">
        <f t="shared" si="69"/>
        <v>1</v>
      </c>
      <c r="H1520" t="s">
        <v>359</v>
      </c>
      <c r="I1520" t="s">
        <v>191</v>
      </c>
      <c r="J1520">
        <v>1</v>
      </c>
      <c r="K1520">
        <v>286.12835472578797</v>
      </c>
      <c r="Z1520"/>
    </row>
    <row r="1521" spans="1:26" x14ac:dyDescent="0.25">
      <c r="A1521" s="159" t="str">
        <f t="shared" si="70"/>
        <v>HR-Hayward and San Leandro-Daly City and San Bruno-High school</v>
      </c>
      <c r="B1521">
        <v>17</v>
      </c>
      <c r="C1521" t="str">
        <f t="shared" si="71"/>
        <v>Hayward and San Leandro</v>
      </c>
      <c r="D1521">
        <v>5</v>
      </c>
      <c r="E1521" t="str">
        <f t="shared" si="71"/>
        <v>Daly City and San Bruno</v>
      </c>
      <c r="F1521" t="s">
        <v>326</v>
      </c>
      <c r="G1521">
        <f t="shared" si="69"/>
        <v>3</v>
      </c>
      <c r="H1521" t="s">
        <v>124</v>
      </c>
      <c r="I1521" t="s">
        <v>188</v>
      </c>
      <c r="J1521">
        <v>2</v>
      </c>
      <c r="K1521">
        <v>191.64419889502699</v>
      </c>
      <c r="Z1521"/>
    </row>
    <row r="1522" spans="1:26" x14ac:dyDescent="0.25">
      <c r="A1522" s="159" t="str">
        <f t="shared" si="70"/>
        <v>HR-Hayward and San Leandro-Daly City and San Bruno-Other maintenance</v>
      </c>
      <c r="B1522">
        <v>17</v>
      </c>
      <c r="C1522" t="str">
        <f t="shared" si="71"/>
        <v>Hayward and San Leandro</v>
      </c>
      <c r="D1522">
        <v>5</v>
      </c>
      <c r="E1522" t="str">
        <f t="shared" si="71"/>
        <v>Daly City and San Bruno</v>
      </c>
      <c r="F1522" t="s">
        <v>325</v>
      </c>
      <c r="G1522">
        <f t="shared" si="69"/>
        <v>4</v>
      </c>
      <c r="H1522" t="s">
        <v>124</v>
      </c>
      <c r="I1522" t="s">
        <v>188</v>
      </c>
      <c r="J1522">
        <v>1</v>
      </c>
      <c r="K1522">
        <v>95.822099447513807</v>
      </c>
      <c r="Z1522"/>
    </row>
    <row r="1523" spans="1:26" x14ac:dyDescent="0.25">
      <c r="A1523" s="159" t="str">
        <f t="shared" si="70"/>
        <v>HR-Hayward and San Leandro-Daly City and San Bruno-Work</v>
      </c>
      <c r="B1523">
        <v>17</v>
      </c>
      <c r="C1523" t="str">
        <f t="shared" si="71"/>
        <v>Hayward and San Leandro</v>
      </c>
      <c r="D1523">
        <v>5</v>
      </c>
      <c r="E1523" t="str">
        <f t="shared" si="71"/>
        <v>Daly City and San Bruno</v>
      </c>
      <c r="F1523" t="s">
        <v>30</v>
      </c>
      <c r="G1523">
        <f t="shared" si="69"/>
        <v>1</v>
      </c>
      <c r="H1523" t="s">
        <v>124</v>
      </c>
      <c r="I1523" t="s">
        <v>188</v>
      </c>
      <c r="J1523">
        <v>3</v>
      </c>
      <c r="K1523">
        <v>387.158152383399</v>
      </c>
      <c r="Z1523"/>
    </row>
    <row r="1524" spans="1:26" x14ac:dyDescent="0.25">
      <c r="A1524" s="159" t="str">
        <f t="shared" si="70"/>
        <v>CR-Hayward and San Leandro-San Mateo and Burlingame-Work</v>
      </c>
      <c r="B1524">
        <v>17</v>
      </c>
      <c r="C1524" t="str">
        <f t="shared" si="71"/>
        <v>Hayward and San Leandro</v>
      </c>
      <c r="D1524">
        <v>6</v>
      </c>
      <c r="E1524" t="str">
        <f t="shared" si="71"/>
        <v>San Mateo and Burlingame</v>
      </c>
      <c r="F1524" t="s">
        <v>30</v>
      </c>
      <c r="G1524">
        <f t="shared" si="69"/>
        <v>1</v>
      </c>
      <c r="H1524" t="s">
        <v>125</v>
      </c>
      <c r="I1524" t="s">
        <v>178</v>
      </c>
      <c r="J1524">
        <v>1</v>
      </c>
      <c r="K1524">
        <v>23.4305084745763</v>
      </c>
      <c r="Z1524"/>
    </row>
    <row r="1525" spans="1:26" x14ac:dyDescent="0.25">
      <c r="A1525" s="159" t="str">
        <f t="shared" si="70"/>
        <v>LB-Hayward and San Leandro-San Mateo and Burlingame-Work</v>
      </c>
      <c r="B1525">
        <v>17</v>
      </c>
      <c r="C1525" t="str">
        <f t="shared" si="71"/>
        <v>Hayward and San Leandro</v>
      </c>
      <c r="D1525">
        <v>6</v>
      </c>
      <c r="E1525" t="str">
        <f t="shared" si="71"/>
        <v>San Mateo and Burlingame</v>
      </c>
      <c r="F1525" t="s">
        <v>30</v>
      </c>
      <c r="G1525">
        <f t="shared" si="69"/>
        <v>1</v>
      </c>
      <c r="H1525" t="s">
        <v>359</v>
      </c>
      <c r="I1525" t="s">
        <v>191</v>
      </c>
      <c r="J1525">
        <v>1</v>
      </c>
      <c r="K1525">
        <v>39.348891481913597</v>
      </c>
      <c r="Z1525"/>
    </row>
    <row r="1526" spans="1:26" x14ac:dyDescent="0.25">
      <c r="A1526" s="159" t="str">
        <f t="shared" si="70"/>
        <v>EB-Hayward and San Leandro-Redwood City and Menlo Park-Work</v>
      </c>
      <c r="B1526">
        <v>17</v>
      </c>
      <c r="C1526" t="str">
        <f t="shared" si="71"/>
        <v>Hayward and San Leandro</v>
      </c>
      <c r="D1526">
        <v>7</v>
      </c>
      <c r="E1526" t="str">
        <f t="shared" si="71"/>
        <v>Redwood City and Menlo Park</v>
      </c>
      <c r="F1526" t="s">
        <v>30</v>
      </c>
      <c r="G1526">
        <f t="shared" si="69"/>
        <v>1</v>
      </c>
      <c r="H1526" t="s">
        <v>123</v>
      </c>
      <c r="I1526" t="s">
        <v>182</v>
      </c>
      <c r="J1526">
        <v>1</v>
      </c>
      <c r="K1526">
        <v>3.8990384615384599</v>
      </c>
      <c r="Z1526"/>
    </row>
    <row r="1527" spans="1:26" x14ac:dyDescent="0.25">
      <c r="A1527" s="159" t="str">
        <f t="shared" si="70"/>
        <v>LB-Hayward and San Leandro-Redwood City and Menlo Park-Work</v>
      </c>
      <c r="B1527">
        <v>17</v>
      </c>
      <c r="C1527" t="str">
        <f t="shared" si="71"/>
        <v>Hayward and San Leandro</v>
      </c>
      <c r="D1527">
        <v>7</v>
      </c>
      <c r="E1527" t="str">
        <f t="shared" si="71"/>
        <v>Redwood City and Menlo Park</v>
      </c>
      <c r="F1527" t="s">
        <v>30</v>
      </c>
      <c r="G1527">
        <f t="shared" si="69"/>
        <v>1</v>
      </c>
      <c r="H1527" t="s">
        <v>359</v>
      </c>
      <c r="I1527" t="s">
        <v>191</v>
      </c>
      <c r="J1527">
        <v>1</v>
      </c>
      <c r="K1527">
        <v>62.646773074254</v>
      </c>
      <c r="Z1527"/>
    </row>
    <row r="1528" spans="1:26" x14ac:dyDescent="0.25">
      <c r="A1528" s="159" t="str">
        <f t="shared" si="70"/>
        <v>EB-Hayward and San Leandro-Palo Alto and Los Altos-Other maintenance</v>
      </c>
      <c r="B1528">
        <v>17</v>
      </c>
      <c r="C1528" t="str">
        <f t="shared" si="71"/>
        <v>Hayward and San Leandro</v>
      </c>
      <c r="D1528">
        <v>8</v>
      </c>
      <c r="E1528" t="str">
        <f t="shared" si="71"/>
        <v>Palo Alto and Los Altos</v>
      </c>
      <c r="F1528" t="s">
        <v>325</v>
      </c>
      <c r="G1528">
        <f t="shared" si="69"/>
        <v>4</v>
      </c>
      <c r="H1528" t="s">
        <v>123</v>
      </c>
      <c r="I1528" t="s">
        <v>182</v>
      </c>
      <c r="J1528">
        <v>1</v>
      </c>
      <c r="K1528">
        <v>3.8990384615384599</v>
      </c>
      <c r="Z1528"/>
    </row>
    <row r="1529" spans="1:26" x14ac:dyDescent="0.25">
      <c r="A1529" s="159" t="str">
        <f t="shared" si="70"/>
        <v>EB-Hayward and San Leandro-Palo Alto and Los Altos-Work</v>
      </c>
      <c r="B1529">
        <v>17</v>
      </c>
      <c r="C1529" t="str">
        <f t="shared" si="71"/>
        <v>Hayward and San Leandro</v>
      </c>
      <c r="D1529">
        <v>8</v>
      </c>
      <c r="E1529" t="str">
        <f t="shared" si="71"/>
        <v>Palo Alto and Los Altos</v>
      </c>
      <c r="F1529" t="s">
        <v>30</v>
      </c>
      <c r="G1529">
        <f t="shared" si="69"/>
        <v>1</v>
      </c>
      <c r="H1529" t="s">
        <v>123</v>
      </c>
      <c r="I1529" t="s">
        <v>182</v>
      </c>
      <c r="J1529">
        <v>12</v>
      </c>
      <c r="K1529">
        <v>190.14090970289899</v>
      </c>
      <c r="Z1529"/>
    </row>
    <row r="1530" spans="1:26" x14ac:dyDescent="0.25">
      <c r="A1530" s="159" t="str">
        <f t="shared" si="70"/>
        <v>HR-Hayward and San Leandro-Palo Alto and Los Altos-Work</v>
      </c>
      <c r="B1530">
        <v>17</v>
      </c>
      <c r="C1530" t="str">
        <f t="shared" si="71"/>
        <v>Hayward and San Leandro</v>
      </c>
      <c r="D1530">
        <v>8</v>
      </c>
      <c r="E1530" t="str">
        <f t="shared" si="71"/>
        <v>Palo Alto and Los Altos</v>
      </c>
      <c r="F1530" t="s">
        <v>30</v>
      </c>
      <c r="G1530">
        <f t="shared" si="69"/>
        <v>1</v>
      </c>
      <c r="H1530" t="s">
        <v>124</v>
      </c>
      <c r="I1530" t="s">
        <v>188</v>
      </c>
      <c r="J1530">
        <v>1</v>
      </c>
      <c r="K1530">
        <v>95.822099447513807</v>
      </c>
      <c r="Z1530"/>
    </row>
    <row r="1531" spans="1:26" x14ac:dyDescent="0.25">
      <c r="A1531" s="159" t="str">
        <f t="shared" si="70"/>
        <v>LR-Hayward and San Leandro-Palo Alto and Los Altos-Work</v>
      </c>
      <c r="B1531">
        <v>17</v>
      </c>
      <c r="C1531" t="str">
        <f t="shared" si="71"/>
        <v>Hayward and San Leandro</v>
      </c>
      <c r="D1531">
        <v>8</v>
      </c>
      <c r="E1531" t="str">
        <f t="shared" si="71"/>
        <v>Palo Alto and Los Altos</v>
      </c>
      <c r="F1531" t="s">
        <v>30</v>
      </c>
      <c r="G1531">
        <f t="shared" si="69"/>
        <v>1</v>
      </c>
      <c r="H1531" t="s">
        <v>353</v>
      </c>
      <c r="I1531" t="s">
        <v>194</v>
      </c>
      <c r="J1531">
        <v>1</v>
      </c>
      <c r="K1531">
        <v>62.646773074254</v>
      </c>
      <c r="Z1531"/>
    </row>
    <row r="1532" spans="1:26" x14ac:dyDescent="0.25">
      <c r="A1532" s="159" t="str">
        <f t="shared" si="70"/>
        <v>LB-Hayward and San Leandro-Sunnyvale and Mountain View-Other maintenance</v>
      </c>
      <c r="B1532">
        <v>17</v>
      </c>
      <c r="C1532" t="str">
        <f t="shared" si="71"/>
        <v>Hayward and San Leandro</v>
      </c>
      <c r="D1532">
        <v>9</v>
      </c>
      <c r="E1532" t="str">
        <f t="shared" si="71"/>
        <v>Sunnyvale and Mountain View</v>
      </c>
      <c r="F1532" t="s">
        <v>325</v>
      </c>
      <c r="G1532">
        <f t="shared" si="69"/>
        <v>4</v>
      </c>
      <c r="H1532" t="s">
        <v>359</v>
      </c>
      <c r="I1532" t="s">
        <v>191</v>
      </c>
      <c r="J1532">
        <v>1</v>
      </c>
      <c r="K1532">
        <v>185.366795366795</v>
      </c>
      <c r="Z1532"/>
    </row>
    <row r="1533" spans="1:26" x14ac:dyDescent="0.25">
      <c r="A1533" s="159" t="str">
        <f t="shared" si="70"/>
        <v>LR-Hayward and San Leandro-Sunnyvale and Mountain View-Social recreation</v>
      </c>
      <c r="B1533">
        <v>17</v>
      </c>
      <c r="C1533" t="str">
        <f t="shared" si="71"/>
        <v>Hayward and San Leandro</v>
      </c>
      <c r="D1533">
        <v>9</v>
      </c>
      <c r="E1533" t="str">
        <f t="shared" si="71"/>
        <v>Sunnyvale and Mountain View</v>
      </c>
      <c r="F1533" t="s">
        <v>324</v>
      </c>
      <c r="G1533">
        <f t="shared" si="69"/>
        <v>5</v>
      </c>
      <c r="H1533" t="s">
        <v>353</v>
      </c>
      <c r="I1533" t="s">
        <v>194</v>
      </c>
      <c r="J1533">
        <v>1</v>
      </c>
      <c r="K1533">
        <v>62.646773074254</v>
      </c>
      <c r="Z1533"/>
    </row>
    <row r="1534" spans="1:26" x14ac:dyDescent="0.25">
      <c r="A1534" s="159" t="str">
        <f t="shared" si="70"/>
        <v>HR-Hayward and San Leandro-Sunnyvale and Mountain View-Work</v>
      </c>
      <c r="B1534">
        <v>17</v>
      </c>
      <c r="C1534" t="str">
        <f t="shared" si="71"/>
        <v>Hayward and San Leandro</v>
      </c>
      <c r="D1534">
        <v>9</v>
      </c>
      <c r="E1534" t="str">
        <f t="shared" si="71"/>
        <v>Sunnyvale and Mountain View</v>
      </c>
      <c r="F1534" t="s">
        <v>30</v>
      </c>
      <c r="G1534">
        <f t="shared" si="69"/>
        <v>1</v>
      </c>
      <c r="H1534" t="s">
        <v>124</v>
      </c>
      <c r="I1534" t="s">
        <v>188</v>
      </c>
      <c r="J1534">
        <v>2</v>
      </c>
      <c r="K1534">
        <v>191.64419889502699</v>
      </c>
      <c r="Z1534"/>
    </row>
    <row r="1535" spans="1:26" x14ac:dyDescent="0.25">
      <c r="A1535" s="159" t="str">
        <f t="shared" si="70"/>
        <v>LR-Hayward and San Leandro-Sunnyvale and Mountain View-Work</v>
      </c>
      <c r="B1535">
        <v>17</v>
      </c>
      <c r="C1535" t="str">
        <f t="shared" si="71"/>
        <v>Hayward and San Leandro</v>
      </c>
      <c r="D1535">
        <v>9</v>
      </c>
      <c r="E1535" t="str">
        <f t="shared" si="71"/>
        <v>Sunnyvale and Mountain View</v>
      </c>
      <c r="F1535" t="s">
        <v>30</v>
      </c>
      <c r="G1535">
        <f t="shared" si="69"/>
        <v>1</v>
      </c>
      <c r="H1535" t="s">
        <v>353</v>
      </c>
      <c r="I1535" t="s">
        <v>194</v>
      </c>
      <c r="J1535">
        <v>2</v>
      </c>
      <c r="K1535">
        <v>125.293546148508</v>
      </c>
      <c r="Z1535"/>
    </row>
    <row r="1536" spans="1:26" x14ac:dyDescent="0.25">
      <c r="A1536" s="159" t="str">
        <f t="shared" si="70"/>
        <v>LB-Hayward and San Leandro-Sunnyvale and Mountain View-Work</v>
      </c>
      <c r="B1536">
        <v>17</v>
      </c>
      <c r="C1536" t="str">
        <f t="shared" si="71"/>
        <v>Hayward and San Leandro</v>
      </c>
      <c r="D1536">
        <v>9</v>
      </c>
      <c r="E1536" t="str">
        <f t="shared" si="71"/>
        <v>Sunnyvale and Mountain View</v>
      </c>
      <c r="F1536" t="s">
        <v>30</v>
      </c>
      <c r="G1536">
        <f t="shared" si="69"/>
        <v>1</v>
      </c>
      <c r="H1536" t="s">
        <v>359</v>
      </c>
      <c r="I1536" t="s">
        <v>191</v>
      </c>
      <c r="J1536">
        <v>2</v>
      </c>
      <c r="K1536">
        <v>138.22203561801101</v>
      </c>
      <c r="Z1536"/>
    </row>
    <row r="1537" spans="1:26" x14ac:dyDescent="0.25">
      <c r="A1537" s="159" t="str">
        <f t="shared" si="70"/>
        <v>LB-Hayward and San Leandro-Cupertino and Saratoga-Work</v>
      </c>
      <c r="B1537">
        <v>17</v>
      </c>
      <c r="C1537" t="str">
        <f t="shared" si="71"/>
        <v>Hayward and San Leandro</v>
      </c>
      <c r="D1537">
        <v>10</v>
      </c>
      <c r="E1537" t="str">
        <f t="shared" si="71"/>
        <v>Cupertino and Saratoga</v>
      </c>
      <c r="F1537" t="s">
        <v>30</v>
      </c>
      <c r="G1537">
        <f t="shared" si="69"/>
        <v>1</v>
      </c>
      <c r="H1537" t="s">
        <v>359</v>
      </c>
      <c r="I1537" t="s">
        <v>191</v>
      </c>
      <c r="J1537">
        <v>1</v>
      </c>
      <c r="K1537">
        <v>62.646773074254</v>
      </c>
      <c r="Z1537"/>
    </row>
    <row r="1538" spans="1:26" x14ac:dyDescent="0.25">
      <c r="A1538" s="159" t="str">
        <f t="shared" si="70"/>
        <v>HR-Hayward and San Leandro-Central San Jose-High school</v>
      </c>
      <c r="B1538">
        <v>17</v>
      </c>
      <c r="C1538" t="str">
        <f t="shared" si="71"/>
        <v>Hayward and San Leandro</v>
      </c>
      <c r="D1538">
        <v>11</v>
      </c>
      <c r="E1538" t="str">
        <f t="shared" si="71"/>
        <v>Central San Jose</v>
      </c>
      <c r="F1538" t="s">
        <v>326</v>
      </c>
      <c r="G1538">
        <f t="shared" ref="G1538:G1601" si="72">VLOOKUP(F1538,$V$2:$X$10, 3,FALSE)</f>
        <v>3</v>
      </c>
      <c r="H1538" t="s">
        <v>124</v>
      </c>
      <c r="I1538" t="s">
        <v>188</v>
      </c>
      <c r="J1538">
        <v>2</v>
      </c>
      <c r="K1538">
        <v>191.64419889502699</v>
      </c>
      <c r="Z1538"/>
    </row>
    <row r="1539" spans="1:26" x14ac:dyDescent="0.25">
      <c r="A1539" s="159" t="str">
        <f t="shared" ref="A1539:A1602" si="73" xml:space="preserve"> CONCATENATE(I1539,"-",C1539, "-",E1539, "-",F1539,)</f>
        <v>LB-Hayward and San Leandro-Central San Jose-High school</v>
      </c>
      <c r="B1539">
        <v>17</v>
      </c>
      <c r="C1539" t="str">
        <f t="shared" ref="C1539:E1602" si="74">VLOOKUP(B1539,$S$2:$T$35,2,FALSE)</f>
        <v>Hayward and San Leandro</v>
      </c>
      <c r="D1539">
        <v>11</v>
      </c>
      <c r="E1539" t="str">
        <f t="shared" si="74"/>
        <v>Central San Jose</v>
      </c>
      <c r="F1539" t="s">
        <v>326</v>
      </c>
      <c r="G1539">
        <f t="shared" si="72"/>
        <v>3</v>
      </c>
      <c r="H1539" t="s">
        <v>359</v>
      </c>
      <c r="I1539" t="s">
        <v>191</v>
      </c>
      <c r="J1539">
        <v>3</v>
      </c>
      <c r="K1539">
        <v>187.94031922276201</v>
      </c>
      <c r="Z1539"/>
    </row>
    <row r="1540" spans="1:26" x14ac:dyDescent="0.25">
      <c r="A1540" s="159" t="str">
        <f t="shared" si="73"/>
        <v>HR-Hayward and San Leandro-Central San Jose-Missing</v>
      </c>
      <c r="B1540">
        <v>17</v>
      </c>
      <c r="C1540" t="str">
        <f t="shared" si="74"/>
        <v>Hayward and San Leandro</v>
      </c>
      <c r="D1540">
        <v>11</v>
      </c>
      <c r="E1540" t="str">
        <f t="shared" si="74"/>
        <v>Central San Jose</v>
      </c>
      <c r="F1540" t="s">
        <v>327</v>
      </c>
      <c r="G1540">
        <f t="shared" si="72"/>
        <v>0</v>
      </c>
      <c r="H1540" t="s">
        <v>124</v>
      </c>
      <c r="I1540" t="s">
        <v>188</v>
      </c>
      <c r="J1540">
        <v>1</v>
      </c>
      <c r="K1540">
        <v>95.822099447513807</v>
      </c>
      <c r="Z1540"/>
    </row>
    <row r="1541" spans="1:26" x14ac:dyDescent="0.25">
      <c r="A1541" s="159" t="str">
        <f t="shared" si="73"/>
        <v>HR-Hayward and San Leandro-Central San Jose-Other maintenance</v>
      </c>
      <c r="B1541">
        <v>17</v>
      </c>
      <c r="C1541" t="str">
        <f t="shared" si="74"/>
        <v>Hayward and San Leandro</v>
      </c>
      <c r="D1541">
        <v>11</v>
      </c>
      <c r="E1541" t="str">
        <f t="shared" si="74"/>
        <v>Central San Jose</v>
      </c>
      <c r="F1541" t="s">
        <v>325</v>
      </c>
      <c r="G1541">
        <f t="shared" si="72"/>
        <v>4</v>
      </c>
      <c r="H1541" t="s">
        <v>124</v>
      </c>
      <c r="I1541" t="s">
        <v>188</v>
      </c>
      <c r="J1541">
        <v>1</v>
      </c>
      <c r="K1541">
        <v>95.822099447513807</v>
      </c>
      <c r="Z1541"/>
    </row>
    <row r="1542" spans="1:26" x14ac:dyDescent="0.25">
      <c r="A1542" s="159" t="str">
        <f t="shared" si="73"/>
        <v>HR-Hayward and San Leandro-Central San Jose-Social recreation</v>
      </c>
      <c r="B1542">
        <v>17</v>
      </c>
      <c r="C1542" t="str">
        <f t="shared" si="74"/>
        <v>Hayward and San Leandro</v>
      </c>
      <c r="D1542">
        <v>11</v>
      </c>
      <c r="E1542" t="str">
        <f t="shared" si="74"/>
        <v>Central San Jose</v>
      </c>
      <c r="F1542" t="s">
        <v>324</v>
      </c>
      <c r="G1542">
        <f t="shared" si="72"/>
        <v>5</v>
      </c>
      <c r="H1542" t="s">
        <v>124</v>
      </c>
      <c r="I1542" t="s">
        <v>188</v>
      </c>
      <c r="J1542">
        <v>1</v>
      </c>
      <c r="K1542">
        <v>195.51395348837201</v>
      </c>
      <c r="Z1542"/>
    </row>
    <row r="1543" spans="1:26" x14ac:dyDescent="0.25">
      <c r="A1543" s="159" t="str">
        <f t="shared" si="73"/>
        <v>HR-Hayward and San Leandro-Central San Jose-Work</v>
      </c>
      <c r="B1543">
        <v>17</v>
      </c>
      <c r="C1543" t="str">
        <f t="shared" si="74"/>
        <v>Hayward and San Leandro</v>
      </c>
      <c r="D1543">
        <v>11</v>
      </c>
      <c r="E1543" t="str">
        <f t="shared" si="74"/>
        <v>Central San Jose</v>
      </c>
      <c r="F1543" t="s">
        <v>30</v>
      </c>
      <c r="G1543">
        <f t="shared" si="72"/>
        <v>1</v>
      </c>
      <c r="H1543" t="s">
        <v>124</v>
      </c>
      <c r="I1543" t="s">
        <v>188</v>
      </c>
      <c r="J1543">
        <v>5</v>
      </c>
      <c r="K1543">
        <v>479.11049723756901</v>
      </c>
      <c r="Z1543"/>
    </row>
    <row r="1544" spans="1:26" x14ac:dyDescent="0.25">
      <c r="A1544" s="159" t="str">
        <f t="shared" si="73"/>
        <v>LB-Hayward and San Leandro-Central San Jose-Work</v>
      </c>
      <c r="B1544">
        <v>17</v>
      </c>
      <c r="C1544" t="str">
        <f t="shared" si="74"/>
        <v>Hayward and San Leandro</v>
      </c>
      <c r="D1544">
        <v>11</v>
      </c>
      <c r="E1544" t="str">
        <f t="shared" si="74"/>
        <v>Central San Jose</v>
      </c>
      <c r="F1544" t="s">
        <v>30</v>
      </c>
      <c r="G1544">
        <f t="shared" si="72"/>
        <v>1</v>
      </c>
      <c r="H1544" t="s">
        <v>359</v>
      </c>
      <c r="I1544" t="s">
        <v>191</v>
      </c>
      <c r="J1544">
        <v>1</v>
      </c>
      <c r="K1544">
        <v>62.646773074254</v>
      </c>
      <c r="Z1544"/>
    </row>
    <row r="1545" spans="1:26" x14ac:dyDescent="0.25">
      <c r="A1545" s="159" t="str">
        <f t="shared" si="73"/>
        <v>HR-Hayward and San Leandro-Milpitas and East San Jose-Work</v>
      </c>
      <c r="B1545">
        <v>17</v>
      </c>
      <c r="C1545" t="str">
        <f t="shared" si="74"/>
        <v>Hayward and San Leandro</v>
      </c>
      <c r="D1545">
        <v>12</v>
      </c>
      <c r="E1545" t="str">
        <f t="shared" si="74"/>
        <v>Milpitas and East San Jose</v>
      </c>
      <c r="F1545" t="s">
        <v>30</v>
      </c>
      <c r="G1545">
        <f t="shared" si="72"/>
        <v>1</v>
      </c>
      <c r="H1545" t="s">
        <v>124</v>
      </c>
      <c r="I1545" t="s">
        <v>188</v>
      </c>
      <c r="J1545">
        <v>3</v>
      </c>
      <c r="K1545">
        <v>287.46629834254099</v>
      </c>
      <c r="Z1545"/>
    </row>
    <row r="1546" spans="1:26" x14ac:dyDescent="0.25">
      <c r="A1546" s="159" t="str">
        <f t="shared" si="73"/>
        <v>LB-Hayward and San Leandro-Milpitas and East San Jose-Work</v>
      </c>
      <c r="B1546">
        <v>17</v>
      </c>
      <c r="C1546" t="str">
        <f t="shared" si="74"/>
        <v>Hayward and San Leandro</v>
      </c>
      <c r="D1546">
        <v>12</v>
      </c>
      <c r="E1546" t="str">
        <f t="shared" si="74"/>
        <v>Milpitas and East San Jose</v>
      </c>
      <c r="F1546" t="s">
        <v>30</v>
      </c>
      <c r="G1546">
        <f t="shared" si="72"/>
        <v>1</v>
      </c>
      <c r="H1546" t="s">
        <v>359</v>
      </c>
      <c r="I1546" t="s">
        <v>191</v>
      </c>
      <c r="J1546">
        <v>2</v>
      </c>
      <c r="K1546">
        <v>248.01356844104899</v>
      </c>
      <c r="Z1546"/>
    </row>
    <row r="1547" spans="1:26" x14ac:dyDescent="0.25">
      <c r="A1547" s="159" t="str">
        <f t="shared" si="73"/>
        <v>HR-Hayward and San Leandro-Livermore and Pleasanton-Missing</v>
      </c>
      <c r="B1547">
        <v>17</v>
      </c>
      <c r="C1547" t="str">
        <f t="shared" si="74"/>
        <v>Hayward and San Leandro</v>
      </c>
      <c r="D1547">
        <v>15</v>
      </c>
      <c r="E1547" t="str">
        <f t="shared" si="74"/>
        <v>Livermore and Pleasanton</v>
      </c>
      <c r="F1547" t="s">
        <v>327</v>
      </c>
      <c r="G1547">
        <f t="shared" si="72"/>
        <v>0</v>
      </c>
      <c r="H1547" t="s">
        <v>124</v>
      </c>
      <c r="I1547" t="s">
        <v>188</v>
      </c>
      <c r="J1547">
        <v>1</v>
      </c>
      <c r="K1547">
        <v>95.822099447513807</v>
      </c>
      <c r="Z1547"/>
    </row>
    <row r="1548" spans="1:26" x14ac:dyDescent="0.25">
      <c r="A1548" s="159" t="str">
        <f t="shared" si="73"/>
        <v>LB-Hayward and San Leandro-Livermore and Pleasanton-Other maintenance</v>
      </c>
      <c r="B1548">
        <v>17</v>
      </c>
      <c r="C1548" t="str">
        <f t="shared" si="74"/>
        <v>Hayward and San Leandro</v>
      </c>
      <c r="D1548">
        <v>15</v>
      </c>
      <c r="E1548" t="str">
        <f t="shared" si="74"/>
        <v>Livermore and Pleasanton</v>
      </c>
      <c r="F1548" t="s">
        <v>325</v>
      </c>
      <c r="G1548">
        <f t="shared" si="72"/>
        <v>4</v>
      </c>
      <c r="H1548" t="s">
        <v>359</v>
      </c>
      <c r="I1548" t="s">
        <v>191</v>
      </c>
      <c r="J1548">
        <v>1</v>
      </c>
      <c r="K1548">
        <v>75.575262543757304</v>
      </c>
      <c r="Z1548"/>
    </row>
    <row r="1549" spans="1:26" x14ac:dyDescent="0.25">
      <c r="A1549" s="159" t="str">
        <f t="shared" si="73"/>
        <v>LB-Hayward and San Leandro-Livermore and Pleasanton-Shopping</v>
      </c>
      <c r="B1549">
        <v>17</v>
      </c>
      <c r="C1549" t="str">
        <f t="shared" si="74"/>
        <v>Hayward and San Leandro</v>
      </c>
      <c r="D1549">
        <v>15</v>
      </c>
      <c r="E1549" t="str">
        <f t="shared" si="74"/>
        <v>Livermore and Pleasanton</v>
      </c>
      <c r="F1549" t="s">
        <v>106</v>
      </c>
      <c r="G1549">
        <f t="shared" si="72"/>
        <v>4</v>
      </c>
      <c r="H1549" t="s">
        <v>359</v>
      </c>
      <c r="I1549" t="s">
        <v>191</v>
      </c>
      <c r="J1549">
        <v>1</v>
      </c>
      <c r="K1549">
        <v>33.269230769230802</v>
      </c>
      <c r="Z1549"/>
    </row>
    <row r="1550" spans="1:26" x14ac:dyDescent="0.25">
      <c r="A1550" s="159" t="str">
        <f t="shared" si="73"/>
        <v>LB-Hayward and San Leandro-Livermore and Pleasanton-Social recreation</v>
      </c>
      <c r="B1550">
        <v>17</v>
      </c>
      <c r="C1550" t="str">
        <f t="shared" si="74"/>
        <v>Hayward and San Leandro</v>
      </c>
      <c r="D1550">
        <v>15</v>
      </c>
      <c r="E1550" t="str">
        <f t="shared" si="74"/>
        <v>Livermore and Pleasanton</v>
      </c>
      <c r="F1550" t="s">
        <v>324</v>
      </c>
      <c r="G1550">
        <f t="shared" si="72"/>
        <v>5</v>
      </c>
      <c r="H1550" t="s">
        <v>359</v>
      </c>
      <c r="I1550" t="s">
        <v>191</v>
      </c>
      <c r="J1550">
        <v>1</v>
      </c>
      <c r="K1550">
        <v>22.262295081967199</v>
      </c>
      <c r="Z1550"/>
    </row>
    <row r="1551" spans="1:26" x14ac:dyDescent="0.25">
      <c r="A1551" s="159" t="str">
        <f t="shared" si="73"/>
        <v>HR-Hayward and San Leandro-Livermore and Pleasanton-Work</v>
      </c>
      <c r="B1551">
        <v>17</v>
      </c>
      <c r="C1551" t="str">
        <f t="shared" si="74"/>
        <v>Hayward and San Leandro</v>
      </c>
      <c r="D1551">
        <v>15</v>
      </c>
      <c r="E1551" t="str">
        <f t="shared" si="74"/>
        <v>Livermore and Pleasanton</v>
      </c>
      <c r="F1551" t="s">
        <v>30</v>
      </c>
      <c r="G1551">
        <f t="shared" si="72"/>
        <v>1</v>
      </c>
      <c r="H1551" t="s">
        <v>124</v>
      </c>
      <c r="I1551" t="s">
        <v>188</v>
      </c>
      <c r="J1551">
        <v>5</v>
      </c>
      <c r="K1551">
        <v>578.80235127842695</v>
      </c>
      <c r="Z1551"/>
    </row>
    <row r="1552" spans="1:26" x14ac:dyDescent="0.25">
      <c r="A1552" s="159" t="str">
        <f t="shared" si="73"/>
        <v>LB-Hayward and San Leandro-Livermore and Pleasanton-Work</v>
      </c>
      <c r="B1552">
        <v>17</v>
      </c>
      <c r="C1552" t="str">
        <f t="shared" si="74"/>
        <v>Hayward and San Leandro</v>
      </c>
      <c r="D1552">
        <v>15</v>
      </c>
      <c r="E1552" t="str">
        <f t="shared" si="74"/>
        <v>Livermore and Pleasanton</v>
      </c>
      <c r="F1552" t="s">
        <v>30</v>
      </c>
      <c r="G1552">
        <f t="shared" si="72"/>
        <v>1</v>
      </c>
      <c r="H1552" t="s">
        <v>359</v>
      </c>
      <c r="I1552" t="s">
        <v>191</v>
      </c>
      <c r="J1552">
        <v>8</v>
      </c>
      <c r="K1552">
        <v>121.040072859744</v>
      </c>
      <c r="Z1552"/>
    </row>
    <row r="1553" spans="1:26" x14ac:dyDescent="0.25">
      <c r="A1553" s="159" t="str">
        <f t="shared" si="73"/>
        <v>HR-Hayward and San Leandro-Fremont and Union City-High school</v>
      </c>
      <c r="B1553">
        <v>17</v>
      </c>
      <c r="C1553" t="str">
        <f t="shared" si="74"/>
        <v>Hayward and San Leandro</v>
      </c>
      <c r="D1553">
        <v>16</v>
      </c>
      <c r="E1553" t="str">
        <f t="shared" si="74"/>
        <v>Fremont and Union City</v>
      </c>
      <c r="F1553" t="s">
        <v>326</v>
      </c>
      <c r="G1553">
        <f t="shared" si="72"/>
        <v>3</v>
      </c>
      <c r="H1553" t="s">
        <v>124</v>
      </c>
      <c r="I1553" t="s">
        <v>188</v>
      </c>
      <c r="J1553">
        <v>1</v>
      </c>
      <c r="K1553">
        <v>95.822099447513807</v>
      </c>
      <c r="Z1553"/>
    </row>
    <row r="1554" spans="1:26" x14ac:dyDescent="0.25">
      <c r="A1554" s="159" t="str">
        <f t="shared" si="73"/>
        <v>LB-Hayward and San Leandro-Fremont and Union City-High school</v>
      </c>
      <c r="B1554">
        <v>17</v>
      </c>
      <c r="C1554" t="str">
        <f t="shared" si="74"/>
        <v>Hayward and San Leandro</v>
      </c>
      <c r="D1554">
        <v>16</v>
      </c>
      <c r="E1554" t="str">
        <f t="shared" si="74"/>
        <v>Fremont and Union City</v>
      </c>
      <c r="F1554" t="s">
        <v>326</v>
      </c>
      <c r="G1554">
        <f t="shared" si="72"/>
        <v>3</v>
      </c>
      <c r="H1554" t="s">
        <v>359</v>
      </c>
      <c r="I1554" t="s">
        <v>191</v>
      </c>
      <c r="J1554">
        <v>7</v>
      </c>
      <c r="K1554">
        <v>255.86553918406699</v>
      </c>
      <c r="Z1554"/>
    </row>
    <row r="1555" spans="1:26" x14ac:dyDescent="0.25">
      <c r="A1555" s="159" t="str">
        <f t="shared" si="73"/>
        <v>HR-Hayward and San Leandro-Fremont and Union City-Missing</v>
      </c>
      <c r="B1555">
        <v>17</v>
      </c>
      <c r="C1555" t="str">
        <f t="shared" si="74"/>
        <v>Hayward and San Leandro</v>
      </c>
      <c r="D1555">
        <v>16</v>
      </c>
      <c r="E1555" t="str">
        <f t="shared" si="74"/>
        <v>Fremont and Union City</v>
      </c>
      <c r="F1555" t="s">
        <v>327</v>
      </c>
      <c r="G1555">
        <f t="shared" si="72"/>
        <v>0</v>
      </c>
      <c r="H1555" t="s">
        <v>124</v>
      </c>
      <c r="I1555" t="s">
        <v>188</v>
      </c>
      <c r="J1555">
        <v>2</v>
      </c>
      <c r="K1555">
        <v>191.64419889502699</v>
      </c>
      <c r="Z1555"/>
    </row>
    <row r="1556" spans="1:26" x14ac:dyDescent="0.25">
      <c r="A1556" s="159" t="str">
        <f t="shared" si="73"/>
        <v>LB-Hayward and San Leandro-Fremont and Union City-Missing</v>
      </c>
      <c r="B1556">
        <v>17</v>
      </c>
      <c r="C1556" t="str">
        <f t="shared" si="74"/>
        <v>Hayward and San Leandro</v>
      </c>
      <c r="D1556">
        <v>16</v>
      </c>
      <c r="E1556" t="str">
        <f t="shared" si="74"/>
        <v>Fremont and Union City</v>
      </c>
      <c r="F1556" t="s">
        <v>327</v>
      </c>
      <c r="G1556">
        <f t="shared" si="72"/>
        <v>0</v>
      </c>
      <c r="H1556" t="s">
        <v>359</v>
      </c>
      <c r="I1556" t="s">
        <v>191</v>
      </c>
      <c r="J1556">
        <v>3</v>
      </c>
      <c r="K1556">
        <v>157.41139465273099</v>
      </c>
      <c r="Z1556"/>
    </row>
    <row r="1557" spans="1:26" x14ac:dyDescent="0.25">
      <c r="A1557" s="159" t="str">
        <f t="shared" si="73"/>
        <v>HR-Hayward and San Leandro-Fremont and Union City-Other maintenance</v>
      </c>
      <c r="B1557">
        <v>17</v>
      </c>
      <c r="C1557" t="str">
        <f t="shared" si="74"/>
        <v>Hayward and San Leandro</v>
      </c>
      <c r="D1557">
        <v>16</v>
      </c>
      <c r="E1557" t="str">
        <f t="shared" si="74"/>
        <v>Fremont and Union City</v>
      </c>
      <c r="F1557" t="s">
        <v>325</v>
      </c>
      <c r="G1557">
        <f t="shared" si="72"/>
        <v>4</v>
      </c>
      <c r="H1557" t="s">
        <v>124</v>
      </c>
      <c r="I1557" t="s">
        <v>188</v>
      </c>
      <c r="J1557">
        <v>2</v>
      </c>
      <c r="K1557">
        <v>191.64419889502699</v>
      </c>
      <c r="Z1557"/>
    </row>
    <row r="1558" spans="1:26" x14ac:dyDescent="0.25">
      <c r="A1558" s="159" t="str">
        <f t="shared" si="73"/>
        <v>LB-Hayward and San Leandro-Fremont and Union City-Other maintenance</v>
      </c>
      <c r="B1558">
        <v>17</v>
      </c>
      <c r="C1558" t="str">
        <f t="shared" si="74"/>
        <v>Hayward and San Leandro</v>
      </c>
      <c r="D1558">
        <v>16</v>
      </c>
      <c r="E1558" t="str">
        <f t="shared" si="74"/>
        <v>Fremont and Union City</v>
      </c>
      <c r="F1558" t="s">
        <v>325</v>
      </c>
      <c r="G1558">
        <f t="shared" si="72"/>
        <v>4</v>
      </c>
      <c r="H1558" t="s">
        <v>359</v>
      </c>
      <c r="I1558" t="s">
        <v>191</v>
      </c>
      <c r="J1558">
        <v>1</v>
      </c>
      <c r="K1558">
        <v>75.575262543757304</v>
      </c>
      <c r="Z1558"/>
    </row>
    <row r="1559" spans="1:26" x14ac:dyDescent="0.25">
      <c r="A1559" s="159" t="str">
        <f t="shared" si="73"/>
        <v>LB-Hayward and San Leandro-Fremont and Union City-Shopping</v>
      </c>
      <c r="B1559">
        <v>17</v>
      </c>
      <c r="C1559" t="str">
        <f t="shared" si="74"/>
        <v>Hayward and San Leandro</v>
      </c>
      <c r="D1559">
        <v>16</v>
      </c>
      <c r="E1559" t="str">
        <f t="shared" si="74"/>
        <v>Fremont and Union City</v>
      </c>
      <c r="F1559" t="s">
        <v>106</v>
      </c>
      <c r="G1559">
        <f t="shared" si="72"/>
        <v>4</v>
      </c>
      <c r="H1559" t="s">
        <v>359</v>
      </c>
      <c r="I1559" t="s">
        <v>191</v>
      </c>
      <c r="J1559">
        <v>3</v>
      </c>
      <c r="K1559">
        <v>226.725787631271</v>
      </c>
      <c r="Z1559"/>
    </row>
    <row r="1560" spans="1:26" x14ac:dyDescent="0.25">
      <c r="A1560" s="159" t="str">
        <f t="shared" si="73"/>
        <v>EB-Hayward and San Leandro-Fremont and Union City-Work</v>
      </c>
      <c r="B1560">
        <v>17</v>
      </c>
      <c r="C1560" t="str">
        <f t="shared" si="74"/>
        <v>Hayward and San Leandro</v>
      </c>
      <c r="D1560">
        <v>16</v>
      </c>
      <c r="E1560" t="str">
        <f t="shared" si="74"/>
        <v>Fremont and Union City</v>
      </c>
      <c r="F1560" t="s">
        <v>30</v>
      </c>
      <c r="G1560">
        <f t="shared" si="72"/>
        <v>1</v>
      </c>
      <c r="H1560" t="s">
        <v>123</v>
      </c>
      <c r="I1560" t="s">
        <v>182</v>
      </c>
      <c r="J1560">
        <v>1</v>
      </c>
      <c r="K1560">
        <v>3.8990384615384599</v>
      </c>
      <c r="Z1560"/>
    </row>
    <row r="1561" spans="1:26" x14ac:dyDescent="0.25">
      <c r="A1561" s="159" t="str">
        <f t="shared" si="73"/>
        <v>HR-Hayward and San Leandro-Fremont and Union City-Work</v>
      </c>
      <c r="B1561">
        <v>17</v>
      </c>
      <c r="C1561" t="str">
        <f t="shared" si="74"/>
        <v>Hayward and San Leandro</v>
      </c>
      <c r="D1561">
        <v>16</v>
      </c>
      <c r="E1561" t="str">
        <f t="shared" si="74"/>
        <v>Fremont and Union City</v>
      </c>
      <c r="F1561" t="s">
        <v>30</v>
      </c>
      <c r="G1561">
        <f t="shared" si="72"/>
        <v>1</v>
      </c>
      <c r="H1561" t="s">
        <v>124</v>
      </c>
      <c r="I1561" t="s">
        <v>188</v>
      </c>
      <c r="J1561">
        <v>3</v>
      </c>
      <c r="K1561">
        <v>287.46629834254099</v>
      </c>
      <c r="Z1561"/>
    </row>
    <row r="1562" spans="1:26" x14ac:dyDescent="0.25">
      <c r="A1562" s="159" t="str">
        <f t="shared" si="73"/>
        <v>LB-Hayward and San Leandro-Fremont and Union City-Work</v>
      </c>
      <c r="B1562">
        <v>17</v>
      </c>
      <c r="C1562" t="str">
        <f t="shared" si="74"/>
        <v>Hayward and San Leandro</v>
      </c>
      <c r="D1562">
        <v>16</v>
      </c>
      <c r="E1562" t="str">
        <f t="shared" si="74"/>
        <v>Fremont and Union City</v>
      </c>
      <c r="F1562" t="s">
        <v>30</v>
      </c>
      <c r="G1562">
        <f t="shared" si="72"/>
        <v>1</v>
      </c>
      <c r="H1562" t="s">
        <v>359</v>
      </c>
      <c r="I1562" t="s">
        <v>191</v>
      </c>
      <c r="J1562">
        <v>13</v>
      </c>
      <c r="K1562">
        <v>635.90644817614498</v>
      </c>
      <c r="Z1562"/>
    </row>
    <row r="1563" spans="1:26" x14ac:dyDescent="0.25">
      <c r="A1563" s="159" t="str">
        <f t="shared" si="73"/>
        <v>EB-Hayward and San Leandro-Hayward and San Leandro-High school</v>
      </c>
      <c r="B1563">
        <v>17</v>
      </c>
      <c r="C1563" t="str">
        <f t="shared" si="74"/>
        <v>Hayward and San Leandro</v>
      </c>
      <c r="D1563">
        <v>17</v>
      </c>
      <c r="E1563" t="str">
        <f t="shared" si="74"/>
        <v>Hayward and San Leandro</v>
      </c>
      <c r="F1563" t="s">
        <v>326</v>
      </c>
      <c r="G1563">
        <f t="shared" si="72"/>
        <v>3</v>
      </c>
      <c r="H1563" t="s">
        <v>123</v>
      </c>
      <c r="I1563" t="s">
        <v>182</v>
      </c>
      <c r="J1563">
        <v>1</v>
      </c>
      <c r="K1563">
        <v>75.575262543757304</v>
      </c>
      <c r="Z1563"/>
    </row>
    <row r="1564" spans="1:26" x14ac:dyDescent="0.25">
      <c r="A1564" s="159" t="str">
        <f t="shared" si="73"/>
        <v>LB-Hayward and San Leandro-Hayward and San Leandro-High school</v>
      </c>
      <c r="B1564">
        <v>17</v>
      </c>
      <c r="C1564" t="str">
        <f t="shared" si="74"/>
        <v>Hayward and San Leandro</v>
      </c>
      <c r="D1564">
        <v>17</v>
      </c>
      <c r="E1564" t="str">
        <f t="shared" si="74"/>
        <v>Hayward and San Leandro</v>
      </c>
      <c r="F1564" t="s">
        <v>326</v>
      </c>
      <c r="G1564">
        <f t="shared" si="72"/>
        <v>3</v>
      </c>
      <c r="H1564" t="s">
        <v>359</v>
      </c>
      <c r="I1564" t="s">
        <v>191</v>
      </c>
      <c r="J1564">
        <v>49</v>
      </c>
      <c r="K1564">
        <v>3803.3733730399399</v>
      </c>
      <c r="Z1564"/>
    </row>
    <row r="1565" spans="1:26" x14ac:dyDescent="0.25">
      <c r="A1565" s="159" t="str">
        <f t="shared" si="73"/>
        <v>HR-Hayward and San Leandro-Hayward and San Leandro-Missing</v>
      </c>
      <c r="B1565">
        <v>17</v>
      </c>
      <c r="C1565" t="str">
        <f t="shared" si="74"/>
        <v>Hayward and San Leandro</v>
      </c>
      <c r="D1565">
        <v>17</v>
      </c>
      <c r="E1565" t="str">
        <f t="shared" si="74"/>
        <v>Hayward and San Leandro</v>
      </c>
      <c r="F1565" t="s">
        <v>327</v>
      </c>
      <c r="G1565">
        <f t="shared" si="72"/>
        <v>0</v>
      </c>
      <c r="H1565" t="s">
        <v>124</v>
      </c>
      <c r="I1565" t="s">
        <v>188</v>
      </c>
      <c r="J1565">
        <v>3</v>
      </c>
      <c r="K1565">
        <v>387.158152383399</v>
      </c>
      <c r="Z1565"/>
    </row>
    <row r="1566" spans="1:26" x14ac:dyDescent="0.25">
      <c r="A1566" s="159" t="str">
        <f t="shared" si="73"/>
        <v>LB-Hayward and San Leandro-Hayward and San Leandro-Missing</v>
      </c>
      <c r="B1566">
        <v>17</v>
      </c>
      <c r="C1566" t="str">
        <f t="shared" si="74"/>
        <v>Hayward and San Leandro</v>
      </c>
      <c r="D1566">
        <v>17</v>
      </c>
      <c r="E1566" t="str">
        <f t="shared" si="74"/>
        <v>Hayward and San Leandro</v>
      </c>
      <c r="F1566" t="s">
        <v>327</v>
      </c>
      <c r="G1566">
        <f t="shared" si="72"/>
        <v>0</v>
      </c>
      <c r="H1566" t="s">
        <v>359</v>
      </c>
      <c r="I1566" t="s">
        <v>191</v>
      </c>
      <c r="J1566">
        <v>28</v>
      </c>
      <c r="K1566">
        <v>3288.2486331055102</v>
      </c>
      <c r="Z1566"/>
    </row>
    <row r="1567" spans="1:26" x14ac:dyDescent="0.25">
      <c r="A1567" s="159" t="str">
        <f t="shared" si="73"/>
        <v>LB-Hayward and San Leandro-Hayward and San Leandro-Other</v>
      </c>
      <c r="B1567">
        <v>17</v>
      </c>
      <c r="C1567" t="str">
        <f t="shared" si="74"/>
        <v>Hayward and San Leandro</v>
      </c>
      <c r="D1567">
        <v>17</v>
      </c>
      <c r="E1567" t="str">
        <f t="shared" si="74"/>
        <v>Hayward and San Leandro</v>
      </c>
      <c r="F1567" t="s">
        <v>328</v>
      </c>
      <c r="G1567">
        <f t="shared" si="72"/>
        <v>0</v>
      </c>
      <c r="H1567" t="s">
        <v>359</v>
      </c>
      <c r="I1567" t="s">
        <v>191</v>
      </c>
      <c r="J1567">
        <v>1</v>
      </c>
      <c r="K1567">
        <v>14.1111111111111</v>
      </c>
      <c r="Z1567"/>
    </row>
    <row r="1568" spans="1:26" x14ac:dyDescent="0.25">
      <c r="A1568" s="159" t="str">
        <f t="shared" si="73"/>
        <v>HR-Hayward and San Leandro-Hayward and San Leandro-Other maintenance</v>
      </c>
      <c r="B1568">
        <v>17</v>
      </c>
      <c r="C1568" t="str">
        <f t="shared" si="74"/>
        <v>Hayward and San Leandro</v>
      </c>
      <c r="D1568">
        <v>17</v>
      </c>
      <c r="E1568" t="str">
        <f t="shared" si="74"/>
        <v>Hayward and San Leandro</v>
      </c>
      <c r="F1568" t="s">
        <v>325</v>
      </c>
      <c r="G1568">
        <f t="shared" si="72"/>
        <v>4</v>
      </c>
      <c r="H1568" t="s">
        <v>124</v>
      </c>
      <c r="I1568" t="s">
        <v>188</v>
      </c>
      <c r="J1568">
        <v>2</v>
      </c>
      <c r="K1568">
        <v>291.33605293588499</v>
      </c>
      <c r="Z1568"/>
    </row>
    <row r="1569" spans="1:26" x14ac:dyDescent="0.25">
      <c r="A1569" s="159" t="str">
        <f t="shared" si="73"/>
        <v>LR-Hayward and San Leandro-Hayward and San Leandro-Other maintenance</v>
      </c>
      <c r="B1569">
        <v>17</v>
      </c>
      <c r="C1569" t="str">
        <f t="shared" si="74"/>
        <v>Hayward and San Leandro</v>
      </c>
      <c r="D1569">
        <v>17</v>
      </c>
      <c r="E1569" t="str">
        <f t="shared" si="74"/>
        <v>Hayward and San Leandro</v>
      </c>
      <c r="F1569" t="s">
        <v>325</v>
      </c>
      <c r="G1569">
        <f t="shared" si="72"/>
        <v>4</v>
      </c>
      <c r="H1569" t="s">
        <v>353</v>
      </c>
      <c r="I1569" t="s">
        <v>194</v>
      </c>
      <c r="J1569">
        <v>1</v>
      </c>
      <c r="K1569">
        <v>62.646773074254</v>
      </c>
      <c r="Z1569"/>
    </row>
    <row r="1570" spans="1:26" x14ac:dyDescent="0.25">
      <c r="A1570" s="159" t="str">
        <f t="shared" si="73"/>
        <v>LB-Hayward and San Leandro-Hayward and San Leandro-Other maintenance</v>
      </c>
      <c r="B1570">
        <v>17</v>
      </c>
      <c r="C1570" t="str">
        <f t="shared" si="74"/>
        <v>Hayward and San Leandro</v>
      </c>
      <c r="D1570">
        <v>17</v>
      </c>
      <c r="E1570" t="str">
        <f t="shared" si="74"/>
        <v>Hayward and San Leandro</v>
      </c>
      <c r="F1570" t="s">
        <v>325</v>
      </c>
      <c r="G1570">
        <f t="shared" si="72"/>
        <v>4</v>
      </c>
      <c r="H1570" t="s">
        <v>359</v>
      </c>
      <c r="I1570" t="s">
        <v>191</v>
      </c>
      <c r="J1570">
        <v>22</v>
      </c>
      <c r="K1570">
        <v>2508.6616331184</v>
      </c>
      <c r="Z1570"/>
    </row>
    <row r="1571" spans="1:26" x14ac:dyDescent="0.25">
      <c r="A1571" s="159" t="str">
        <f t="shared" si="73"/>
        <v>HR-Hayward and San Leandro-Hayward and San Leandro-Shopping</v>
      </c>
      <c r="B1571">
        <v>17</v>
      </c>
      <c r="C1571" t="str">
        <f t="shared" si="74"/>
        <v>Hayward and San Leandro</v>
      </c>
      <c r="D1571">
        <v>17</v>
      </c>
      <c r="E1571" t="str">
        <f t="shared" si="74"/>
        <v>Hayward and San Leandro</v>
      </c>
      <c r="F1571" t="s">
        <v>106</v>
      </c>
      <c r="G1571">
        <f t="shared" si="72"/>
        <v>4</v>
      </c>
      <c r="H1571" t="s">
        <v>124</v>
      </c>
      <c r="I1571" t="s">
        <v>188</v>
      </c>
      <c r="J1571">
        <v>1</v>
      </c>
      <c r="K1571">
        <v>95.822099447513807</v>
      </c>
      <c r="Z1571"/>
    </row>
    <row r="1572" spans="1:26" x14ac:dyDescent="0.25">
      <c r="A1572" s="159" t="str">
        <f t="shared" si="73"/>
        <v>LB-Hayward and San Leandro-Hayward and San Leandro-Shopping</v>
      </c>
      <c r="B1572">
        <v>17</v>
      </c>
      <c r="C1572" t="str">
        <f t="shared" si="74"/>
        <v>Hayward and San Leandro</v>
      </c>
      <c r="D1572">
        <v>17</v>
      </c>
      <c r="E1572" t="str">
        <f t="shared" si="74"/>
        <v>Hayward and San Leandro</v>
      </c>
      <c r="F1572" t="s">
        <v>106</v>
      </c>
      <c r="G1572">
        <f t="shared" si="72"/>
        <v>4</v>
      </c>
      <c r="H1572" t="s">
        <v>359</v>
      </c>
      <c r="I1572" t="s">
        <v>191</v>
      </c>
      <c r="J1572">
        <v>13</v>
      </c>
      <c r="K1572">
        <v>1763.9059343223801</v>
      </c>
      <c r="Z1572"/>
    </row>
    <row r="1573" spans="1:26" x14ac:dyDescent="0.25">
      <c r="A1573" s="159" t="str">
        <f t="shared" si="73"/>
        <v>HR-Hayward and San Leandro-Hayward and San Leandro-Social recreation</v>
      </c>
      <c r="B1573">
        <v>17</v>
      </c>
      <c r="C1573" t="str">
        <f t="shared" si="74"/>
        <v>Hayward and San Leandro</v>
      </c>
      <c r="D1573">
        <v>17</v>
      </c>
      <c r="E1573" t="str">
        <f t="shared" si="74"/>
        <v>Hayward and San Leandro</v>
      </c>
      <c r="F1573" t="s">
        <v>324</v>
      </c>
      <c r="G1573">
        <f t="shared" si="72"/>
        <v>5</v>
      </c>
      <c r="H1573" t="s">
        <v>124</v>
      </c>
      <c r="I1573" t="s">
        <v>188</v>
      </c>
      <c r="J1573">
        <v>3</v>
      </c>
      <c r="K1573">
        <v>287.46629834254099</v>
      </c>
      <c r="Z1573"/>
    </row>
    <row r="1574" spans="1:26" x14ac:dyDescent="0.25">
      <c r="A1574" s="159" t="str">
        <f t="shared" si="73"/>
        <v>LR-Hayward and San Leandro-Hayward and San Leandro-Social recreation</v>
      </c>
      <c r="B1574">
        <v>17</v>
      </c>
      <c r="C1574" t="str">
        <f t="shared" si="74"/>
        <v>Hayward and San Leandro</v>
      </c>
      <c r="D1574">
        <v>17</v>
      </c>
      <c r="E1574" t="str">
        <f t="shared" si="74"/>
        <v>Hayward and San Leandro</v>
      </c>
      <c r="F1574" t="s">
        <v>324</v>
      </c>
      <c r="G1574">
        <f t="shared" si="72"/>
        <v>5</v>
      </c>
      <c r="H1574" t="s">
        <v>353</v>
      </c>
      <c r="I1574" t="s">
        <v>194</v>
      </c>
      <c r="J1574">
        <v>1</v>
      </c>
      <c r="K1574">
        <v>1240.22676579926</v>
      </c>
      <c r="Z1574"/>
    </row>
    <row r="1575" spans="1:26" x14ac:dyDescent="0.25">
      <c r="A1575" s="159" t="str">
        <f t="shared" si="73"/>
        <v>LB-Hayward and San Leandro-Hayward and San Leandro-Social recreation</v>
      </c>
      <c r="B1575">
        <v>17</v>
      </c>
      <c r="C1575" t="str">
        <f t="shared" si="74"/>
        <v>Hayward and San Leandro</v>
      </c>
      <c r="D1575">
        <v>17</v>
      </c>
      <c r="E1575" t="str">
        <f t="shared" si="74"/>
        <v>Hayward and San Leandro</v>
      </c>
      <c r="F1575" t="s">
        <v>324</v>
      </c>
      <c r="G1575">
        <f t="shared" si="72"/>
        <v>5</v>
      </c>
      <c r="H1575" t="s">
        <v>359</v>
      </c>
      <c r="I1575" t="s">
        <v>191</v>
      </c>
      <c r="J1575">
        <v>12</v>
      </c>
      <c r="K1575">
        <v>1480.0453019957399</v>
      </c>
      <c r="Z1575"/>
    </row>
    <row r="1576" spans="1:26" x14ac:dyDescent="0.25">
      <c r="A1576" s="159" t="str">
        <f t="shared" si="73"/>
        <v>EB-Hayward and San Leandro-Hayward and San Leandro-Work</v>
      </c>
      <c r="B1576">
        <v>17</v>
      </c>
      <c r="C1576" t="str">
        <f t="shared" si="74"/>
        <v>Hayward and San Leandro</v>
      </c>
      <c r="D1576">
        <v>17</v>
      </c>
      <c r="E1576" t="str">
        <f t="shared" si="74"/>
        <v>Hayward and San Leandro</v>
      </c>
      <c r="F1576" t="s">
        <v>30</v>
      </c>
      <c r="G1576">
        <f t="shared" si="72"/>
        <v>1</v>
      </c>
      <c r="H1576" t="s">
        <v>123</v>
      </c>
      <c r="I1576" t="s">
        <v>182</v>
      </c>
      <c r="J1576">
        <v>2</v>
      </c>
      <c r="K1576">
        <v>151.15052508751401</v>
      </c>
      <c r="Z1576"/>
    </row>
    <row r="1577" spans="1:26" x14ac:dyDescent="0.25">
      <c r="A1577" s="159" t="str">
        <f t="shared" si="73"/>
        <v>HR-Hayward and San Leandro-Hayward and San Leandro-Work</v>
      </c>
      <c r="B1577">
        <v>17</v>
      </c>
      <c r="C1577" t="str">
        <f t="shared" si="74"/>
        <v>Hayward and San Leandro</v>
      </c>
      <c r="D1577">
        <v>17</v>
      </c>
      <c r="E1577" t="str">
        <f t="shared" si="74"/>
        <v>Hayward and San Leandro</v>
      </c>
      <c r="F1577" t="s">
        <v>30</v>
      </c>
      <c r="G1577">
        <f t="shared" si="72"/>
        <v>1</v>
      </c>
      <c r="H1577" t="s">
        <v>124</v>
      </c>
      <c r="I1577" t="s">
        <v>188</v>
      </c>
      <c r="J1577">
        <v>10</v>
      </c>
      <c r="K1577">
        <v>958.22099447513801</v>
      </c>
      <c r="Z1577"/>
    </row>
    <row r="1578" spans="1:26" x14ac:dyDescent="0.25">
      <c r="A1578" s="159" t="str">
        <f t="shared" si="73"/>
        <v>LB-Hayward and San Leandro-Hayward and San Leandro-Work</v>
      </c>
      <c r="B1578">
        <v>17</v>
      </c>
      <c r="C1578" t="str">
        <f t="shared" si="74"/>
        <v>Hayward and San Leandro</v>
      </c>
      <c r="D1578">
        <v>17</v>
      </c>
      <c r="E1578" t="str">
        <f t="shared" si="74"/>
        <v>Hayward and San Leandro</v>
      </c>
      <c r="F1578" t="s">
        <v>30</v>
      </c>
      <c r="G1578">
        <f t="shared" si="72"/>
        <v>1</v>
      </c>
      <c r="H1578" t="s">
        <v>359</v>
      </c>
      <c r="I1578" t="s">
        <v>191</v>
      </c>
      <c r="J1578">
        <v>71</v>
      </c>
      <c r="K1578">
        <v>7844.0189332481305</v>
      </c>
      <c r="Z1578"/>
    </row>
    <row r="1579" spans="1:26" x14ac:dyDescent="0.25">
      <c r="A1579" s="159" t="str">
        <f t="shared" si="73"/>
        <v>EB-Hayward and San Leandro-Oakland and Alameda-High school</v>
      </c>
      <c r="B1579">
        <v>17</v>
      </c>
      <c r="C1579" t="str">
        <f t="shared" si="74"/>
        <v>Hayward and San Leandro</v>
      </c>
      <c r="D1579">
        <v>18</v>
      </c>
      <c r="E1579" t="str">
        <f t="shared" si="74"/>
        <v>Oakland and Alameda</v>
      </c>
      <c r="F1579" t="s">
        <v>326</v>
      </c>
      <c r="G1579">
        <f t="shared" si="72"/>
        <v>3</v>
      </c>
      <c r="H1579" t="s">
        <v>123</v>
      </c>
      <c r="I1579" t="s">
        <v>182</v>
      </c>
      <c r="J1579">
        <v>3</v>
      </c>
      <c r="K1579">
        <v>226.725787631271</v>
      </c>
      <c r="Z1579"/>
    </row>
    <row r="1580" spans="1:26" x14ac:dyDescent="0.25">
      <c r="A1580" s="159" t="str">
        <f t="shared" si="73"/>
        <v>HR-Hayward and San Leandro-Oakland and Alameda-High school</v>
      </c>
      <c r="B1580">
        <v>17</v>
      </c>
      <c r="C1580" t="str">
        <f t="shared" si="74"/>
        <v>Hayward and San Leandro</v>
      </c>
      <c r="D1580">
        <v>18</v>
      </c>
      <c r="E1580" t="str">
        <f t="shared" si="74"/>
        <v>Oakland and Alameda</v>
      </c>
      <c r="F1580" t="s">
        <v>326</v>
      </c>
      <c r="G1580">
        <f t="shared" si="72"/>
        <v>3</v>
      </c>
      <c r="H1580" t="s">
        <v>124</v>
      </c>
      <c r="I1580" t="s">
        <v>188</v>
      </c>
      <c r="J1580">
        <v>4</v>
      </c>
      <c r="K1580">
        <v>383.288397790055</v>
      </c>
      <c r="Z1580"/>
    </row>
    <row r="1581" spans="1:26" x14ac:dyDescent="0.25">
      <c r="A1581" s="159" t="str">
        <f t="shared" si="73"/>
        <v>LB-Hayward and San Leandro-Oakland and Alameda-High school</v>
      </c>
      <c r="B1581">
        <v>17</v>
      </c>
      <c r="C1581" t="str">
        <f t="shared" si="74"/>
        <v>Hayward and San Leandro</v>
      </c>
      <c r="D1581">
        <v>18</v>
      </c>
      <c r="E1581" t="str">
        <f t="shared" si="74"/>
        <v>Oakland and Alameda</v>
      </c>
      <c r="F1581" t="s">
        <v>326</v>
      </c>
      <c r="G1581">
        <f t="shared" si="72"/>
        <v>3</v>
      </c>
      <c r="H1581" t="s">
        <v>359</v>
      </c>
      <c r="I1581" t="s">
        <v>191</v>
      </c>
      <c r="J1581">
        <v>4</v>
      </c>
      <c r="K1581">
        <v>497.65793048841402</v>
      </c>
      <c r="Z1581"/>
    </row>
    <row r="1582" spans="1:26" x14ac:dyDescent="0.25">
      <c r="A1582" s="159" t="str">
        <f t="shared" si="73"/>
        <v>EB-Hayward and San Leandro-Oakland and Alameda-Missing</v>
      </c>
      <c r="B1582">
        <v>17</v>
      </c>
      <c r="C1582" t="str">
        <f t="shared" si="74"/>
        <v>Hayward and San Leandro</v>
      </c>
      <c r="D1582">
        <v>18</v>
      </c>
      <c r="E1582" t="str">
        <f t="shared" si="74"/>
        <v>Oakland and Alameda</v>
      </c>
      <c r="F1582" t="s">
        <v>327</v>
      </c>
      <c r="G1582">
        <f t="shared" si="72"/>
        <v>0</v>
      </c>
      <c r="H1582" t="s">
        <v>123</v>
      </c>
      <c r="I1582" t="s">
        <v>182</v>
      </c>
      <c r="J1582">
        <v>2</v>
      </c>
      <c r="K1582">
        <v>151.15052508751401</v>
      </c>
      <c r="Z1582"/>
    </row>
    <row r="1583" spans="1:26" x14ac:dyDescent="0.25">
      <c r="A1583" s="159" t="str">
        <f t="shared" si="73"/>
        <v>HR-Hayward and San Leandro-Oakland and Alameda-Missing</v>
      </c>
      <c r="B1583">
        <v>17</v>
      </c>
      <c r="C1583" t="str">
        <f t="shared" si="74"/>
        <v>Hayward and San Leandro</v>
      </c>
      <c r="D1583">
        <v>18</v>
      </c>
      <c r="E1583" t="str">
        <f t="shared" si="74"/>
        <v>Oakland and Alameda</v>
      </c>
      <c r="F1583" t="s">
        <v>327</v>
      </c>
      <c r="G1583">
        <f t="shared" si="72"/>
        <v>0</v>
      </c>
      <c r="H1583" t="s">
        <v>124</v>
      </c>
      <c r="I1583" t="s">
        <v>188</v>
      </c>
      <c r="J1583">
        <v>2</v>
      </c>
      <c r="K1583">
        <v>191.64419889502699</v>
      </c>
      <c r="Z1583"/>
    </row>
    <row r="1584" spans="1:26" x14ac:dyDescent="0.25">
      <c r="A1584" s="159" t="str">
        <f t="shared" si="73"/>
        <v>LB-Hayward and San Leandro-Oakland and Alameda-Missing</v>
      </c>
      <c r="B1584">
        <v>17</v>
      </c>
      <c r="C1584" t="str">
        <f t="shared" si="74"/>
        <v>Hayward and San Leandro</v>
      </c>
      <c r="D1584">
        <v>18</v>
      </c>
      <c r="E1584" t="str">
        <f t="shared" si="74"/>
        <v>Oakland and Alameda</v>
      </c>
      <c r="F1584" t="s">
        <v>327</v>
      </c>
      <c r="G1584">
        <f t="shared" si="72"/>
        <v>0</v>
      </c>
      <c r="H1584" t="s">
        <v>359</v>
      </c>
      <c r="I1584" t="s">
        <v>191</v>
      </c>
      <c r="J1584">
        <v>5</v>
      </c>
      <c r="K1584">
        <v>768.59007334555702</v>
      </c>
      <c r="Z1584"/>
    </row>
    <row r="1585" spans="1:26" x14ac:dyDescent="0.25">
      <c r="A1585" s="159" t="str">
        <f t="shared" si="73"/>
        <v>EB-Hayward and San Leandro-Oakland and Alameda-Other maintenance</v>
      </c>
      <c r="B1585">
        <v>17</v>
      </c>
      <c r="C1585" t="str">
        <f t="shared" si="74"/>
        <v>Hayward and San Leandro</v>
      </c>
      <c r="D1585">
        <v>18</v>
      </c>
      <c r="E1585" t="str">
        <f t="shared" si="74"/>
        <v>Oakland and Alameda</v>
      </c>
      <c r="F1585" t="s">
        <v>325</v>
      </c>
      <c r="G1585">
        <f t="shared" si="72"/>
        <v>4</v>
      </c>
      <c r="H1585" t="s">
        <v>123</v>
      </c>
      <c r="I1585" t="s">
        <v>182</v>
      </c>
      <c r="J1585">
        <v>3</v>
      </c>
      <c r="K1585">
        <v>226.725787631271</v>
      </c>
      <c r="Z1585"/>
    </row>
    <row r="1586" spans="1:26" x14ac:dyDescent="0.25">
      <c r="A1586" s="159" t="str">
        <f t="shared" si="73"/>
        <v>HR-Hayward and San Leandro-Oakland and Alameda-Other maintenance</v>
      </c>
      <c r="B1586">
        <v>17</v>
      </c>
      <c r="C1586" t="str">
        <f t="shared" si="74"/>
        <v>Hayward and San Leandro</v>
      </c>
      <c r="D1586">
        <v>18</v>
      </c>
      <c r="E1586" t="str">
        <f t="shared" si="74"/>
        <v>Oakland and Alameda</v>
      </c>
      <c r="F1586" t="s">
        <v>325</v>
      </c>
      <c r="G1586">
        <f t="shared" si="72"/>
        <v>4</v>
      </c>
      <c r="H1586" t="s">
        <v>124</v>
      </c>
      <c r="I1586" t="s">
        <v>188</v>
      </c>
      <c r="J1586">
        <v>7</v>
      </c>
      <c r="K1586">
        <v>770.44655017345406</v>
      </c>
      <c r="Z1586"/>
    </row>
    <row r="1587" spans="1:26" x14ac:dyDescent="0.25">
      <c r="A1587" s="159" t="str">
        <f t="shared" si="73"/>
        <v>LB-Hayward and San Leandro-Oakland and Alameda-Other maintenance</v>
      </c>
      <c r="B1587">
        <v>17</v>
      </c>
      <c r="C1587" t="str">
        <f t="shared" si="74"/>
        <v>Hayward and San Leandro</v>
      </c>
      <c r="D1587">
        <v>18</v>
      </c>
      <c r="E1587" t="str">
        <f t="shared" si="74"/>
        <v>Oakland and Alameda</v>
      </c>
      <c r="F1587" t="s">
        <v>325</v>
      </c>
      <c r="G1587">
        <f t="shared" si="72"/>
        <v>4</v>
      </c>
      <c r="H1587" t="s">
        <v>359</v>
      </c>
      <c r="I1587" t="s">
        <v>191</v>
      </c>
      <c r="J1587">
        <v>7</v>
      </c>
      <c r="K1587">
        <v>1310.45435905984</v>
      </c>
      <c r="Z1587"/>
    </row>
    <row r="1588" spans="1:26" x14ac:dyDescent="0.25">
      <c r="A1588" s="159" t="str">
        <f t="shared" si="73"/>
        <v>EB-Hayward and San Leandro-Oakland and Alameda-Shopping</v>
      </c>
      <c r="B1588">
        <v>17</v>
      </c>
      <c r="C1588" t="str">
        <f t="shared" si="74"/>
        <v>Hayward and San Leandro</v>
      </c>
      <c r="D1588">
        <v>18</v>
      </c>
      <c r="E1588" t="str">
        <f t="shared" si="74"/>
        <v>Oakland and Alameda</v>
      </c>
      <c r="F1588" t="s">
        <v>106</v>
      </c>
      <c r="G1588">
        <f t="shared" si="72"/>
        <v>4</v>
      </c>
      <c r="H1588" t="s">
        <v>123</v>
      </c>
      <c r="I1588" t="s">
        <v>182</v>
      </c>
      <c r="J1588">
        <v>1</v>
      </c>
      <c r="K1588">
        <v>75.575262543757304</v>
      </c>
      <c r="Z1588"/>
    </row>
    <row r="1589" spans="1:26" x14ac:dyDescent="0.25">
      <c r="A1589" s="159" t="str">
        <f t="shared" si="73"/>
        <v>HR-Hayward and San Leandro-Oakland and Alameda-Shopping</v>
      </c>
      <c r="B1589">
        <v>17</v>
      </c>
      <c r="C1589" t="str">
        <f t="shared" si="74"/>
        <v>Hayward and San Leandro</v>
      </c>
      <c r="D1589">
        <v>18</v>
      </c>
      <c r="E1589" t="str">
        <f t="shared" si="74"/>
        <v>Oakland and Alameda</v>
      </c>
      <c r="F1589" t="s">
        <v>106</v>
      </c>
      <c r="G1589">
        <f t="shared" si="72"/>
        <v>4</v>
      </c>
      <c r="H1589" t="s">
        <v>124</v>
      </c>
      <c r="I1589" t="s">
        <v>188</v>
      </c>
      <c r="J1589">
        <v>1</v>
      </c>
      <c r="K1589">
        <v>95.822099447513807</v>
      </c>
      <c r="Z1589"/>
    </row>
    <row r="1590" spans="1:26" x14ac:dyDescent="0.25">
      <c r="A1590" s="159" t="str">
        <f t="shared" si="73"/>
        <v>LB-Hayward and San Leandro-Oakland and Alameda-Shopping</v>
      </c>
      <c r="B1590">
        <v>17</v>
      </c>
      <c r="C1590" t="str">
        <f t="shared" si="74"/>
        <v>Hayward and San Leandro</v>
      </c>
      <c r="D1590">
        <v>18</v>
      </c>
      <c r="E1590" t="str">
        <f t="shared" si="74"/>
        <v>Oakland and Alameda</v>
      </c>
      <c r="F1590" t="s">
        <v>106</v>
      </c>
      <c r="G1590">
        <f t="shared" si="72"/>
        <v>4</v>
      </c>
      <c r="H1590" t="s">
        <v>359</v>
      </c>
      <c r="I1590" t="s">
        <v>191</v>
      </c>
      <c r="J1590">
        <v>1</v>
      </c>
      <c r="K1590">
        <v>75.575262543757304</v>
      </c>
      <c r="Z1590"/>
    </row>
    <row r="1591" spans="1:26" x14ac:dyDescent="0.25">
      <c r="A1591" s="159" t="str">
        <f t="shared" si="73"/>
        <v>EB-Hayward and San Leandro-Oakland and Alameda-Social recreation</v>
      </c>
      <c r="B1591">
        <v>17</v>
      </c>
      <c r="C1591" t="str">
        <f t="shared" si="74"/>
        <v>Hayward and San Leandro</v>
      </c>
      <c r="D1591">
        <v>18</v>
      </c>
      <c r="E1591" t="str">
        <f t="shared" si="74"/>
        <v>Oakland and Alameda</v>
      </c>
      <c r="F1591" t="s">
        <v>324</v>
      </c>
      <c r="G1591">
        <f t="shared" si="72"/>
        <v>5</v>
      </c>
      <c r="H1591" t="s">
        <v>123</v>
      </c>
      <c r="I1591" t="s">
        <v>182</v>
      </c>
      <c r="J1591">
        <v>1</v>
      </c>
      <c r="K1591">
        <v>75.575262543757304</v>
      </c>
      <c r="Z1591"/>
    </row>
    <row r="1592" spans="1:26" x14ac:dyDescent="0.25">
      <c r="A1592" s="159" t="str">
        <f t="shared" si="73"/>
        <v>HR-Hayward and San Leandro-Oakland and Alameda-Social recreation</v>
      </c>
      <c r="B1592">
        <v>17</v>
      </c>
      <c r="C1592" t="str">
        <f t="shared" si="74"/>
        <v>Hayward and San Leandro</v>
      </c>
      <c r="D1592">
        <v>18</v>
      </c>
      <c r="E1592" t="str">
        <f t="shared" si="74"/>
        <v>Oakland and Alameda</v>
      </c>
      <c r="F1592" t="s">
        <v>324</v>
      </c>
      <c r="G1592">
        <f t="shared" si="72"/>
        <v>5</v>
      </c>
      <c r="H1592" t="s">
        <v>124</v>
      </c>
      <c r="I1592" t="s">
        <v>188</v>
      </c>
      <c r="J1592">
        <v>4</v>
      </c>
      <c r="K1592">
        <v>582.67210587177101</v>
      </c>
      <c r="Z1592"/>
    </row>
    <row r="1593" spans="1:26" x14ac:dyDescent="0.25">
      <c r="A1593" s="159" t="str">
        <f t="shared" si="73"/>
        <v>LB-Hayward and San Leandro-Oakland and Alameda-Social recreation</v>
      </c>
      <c r="B1593">
        <v>17</v>
      </c>
      <c r="C1593" t="str">
        <f t="shared" si="74"/>
        <v>Hayward and San Leandro</v>
      </c>
      <c r="D1593">
        <v>18</v>
      </c>
      <c r="E1593" t="str">
        <f t="shared" si="74"/>
        <v>Oakland and Alameda</v>
      </c>
      <c r="F1593" t="s">
        <v>324</v>
      </c>
      <c r="G1593">
        <f t="shared" si="72"/>
        <v>5</v>
      </c>
      <c r="H1593" t="s">
        <v>359</v>
      </c>
      <c r="I1593" t="s">
        <v>191</v>
      </c>
      <c r="J1593">
        <v>1</v>
      </c>
      <c r="K1593">
        <v>75.575262543757304</v>
      </c>
      <c r="Z1593"/>
    </row>
    <row r="1594" spans="1:26" x14ac:dyDescent="0.25">
      <c r="A1594" s="159" t="str">
        <f t="shared" si="73"/>
        <v>EB-Hayward and San Leandro-Oakland and Alameda-Work</v>
      </c>
      <c r="B1594">
        <v>17</v>
      </c>
      <c r="C1594" t="str">
        <f t="shared" si="74"/>
        <v>Hayward and San Leandro</v>
      </c>
      <c r="D1594">
        <v>18</v>
      </c>
      <c r="E1594" t="str">
        <f t="shared" si="74"/>
        <v>Oakland and Alameda</v>
      </c>
      <c r="F1594" t="s">
        <v>30</v>
      </c>
      <c r="G1594">
        <f t="shared" si="72"/>
        <v>1</v>
      </c>
      <c r="H1594" t="s">
        <v>123</v>
      </c>
      <c r="I1594" t="s">
        <v>182</v>
      </c>
      <c r="J1594">
        <v>5</v>
      </c>
      <c r="K1594">
        <v>377.87631271878598</v>
      </c>
      <c r="Z1594"/>
    </row>
    <row r="1595" spans="1:26" x14ac:dyDescent="0.25">
      <c r="A1595" s="159" t="str">
        <f t="shared" si="73"/>
        <v>HR-Hayward and San Leandro-Oakland and Alameda-Work</v>
      </c>
      <c r="B1595">
        <v>17</v>
      </c>
      <c r="C1595" t="str">
        <f t="shared" si="74"/>
        <v>Hayward and San Leandro</v>
      </c>
      <c r="D1595">
        <v>18</v>
      </c>
      <c r="E1595" t="str">
        <f t="shared" si="74"/>
        <v>Oakland and Alameda</v>
      </c>
      <c r="F1595" t="s">
        <v>30</v>
      </c>
      <c r="G1595">
        <f t="shared" si="72"/>
        <v>1</v>
      </c>
      <c r="H1595" t="s">
        <v>124</v>
      </c>
      <c r="I1595" t="s">
        <v>188</v>
      </c>
      <c r="J1595">
        <v>27</v>
      </c>
      <c r="K1595">
        <v>2686.88853912373</v>
      </c>
      <c r="Z1595"/>
    </row>
    <row r="1596" spans="1:26" x14ac:dyDescent="0.25">
      <c r="A1596" s="159" t="str">
        <f t="shared" si="73"/>
        <v>LB-Hayward and San Leandro-Oakland and Alameda-Work</v>
      </c>
      <c r="B1596">
        <v>17</v>
      </c>
      <c r="C1596" t="str">
        <f t="shared" si="74"/>
        <v>Hayward and San Leandro</v>
      </c>
      <c r="D1596">
        <v>18</v>
      </c>
      <c r="E1596" t="str">
        <f t="shared" si="74"/>
        <v>Oakland and Alameda</v>
      </c>
      <c r="F1596" t="s">
        <v>30</v>
      </c>
      <c r="G1596">
        <f t="shared" si="72"/>
        <v>1</v>
      </c>
      <c r="H1596" t="s">
        <v>359</v>
      </c>
      <c r="I1596" t="s">
        <v>191</v>
      </c>
      <c r="J1596">
        <v>17</v>
      </c>
      <c r="K1596">
        <v>1785.28475669368</v>
      </c>
      <c r="Z1596"/>
    </row>
    <row r="1597" spans="1:26" x14ac:dyDescent="0.25">
      <c r="A1597" s="159" t="str">
        <f t="shared" si="73"/>
        <v>EB-Hayward and San Leandro-Berkeley and Albany-High school</v>
      </c>
      <c r="B1597">
        <v>17</v>
      </c>
      <c r="C1597" t="str">
        <f t="shared" si="74"/>
        <v>Hayward and San Leandro</v>
      </c>
      <c r="D1597">
        <v>19</v>
      </c>
      <c r="E1597" t="str">
        <f t="shared" si="74"/>
        <v>Berkeley and Albany</v>
      </c>
      <c r="F1597" t="s">
        <v>326</v>
      </c>
      <c r="G1597">
        <f t="shared" si="72"/>
        <v>3</v>
      </c>
      <c r="H1597" t="s">
        <v>123</v>
      </c>
      <c r="I1597" t="s">
        <v>182</v>
      </c>
      <c r="J1597">
        <v>1</v>
      </c>
      <c r="K1597">
        <v>75.575262543757304</v>
      </c>
      <c r="Z1597"/>
    </row>
    <row r="1598" spans="1:26" x14ac:dyDescent="0.25">
      <c r="A1598" s="159" t="str">
        <f t="shared" si="73"/>
        <v>HR-Hayward and San Leandro-Berkeley and Albany-High school</v>
      </c>
      <c r="B1598">
        <v>17</v>
      </c>
      <c r="C1598" t="str">
        <f t="shared" si="74"/>
        <v>Hayward and San Leandro</v>
      </c>
      <c r="D1598">
        <v>19</v>
      </c>
      <c r="E1598" t="str">
        <f t="shared" si="74"/>
        <v>Berkeley and Albany</v>
      </c>
      <c r="F1598" t="s">
        <v>326</v>
      </c>
      <c r="G1598">
        <f t="shared" si="72"/>
        <v>3</v>
      </c>
      <c r="H1598" t="s">
        <v>124</v>
      </c>
      <c r="I1598" t="s">
        <v>188</v>
      </c>
      <c r="J1598">
        <v>2</v>
      </c>
      <c r="K1598">
        <v>191.64419889502699</v>
      </c>
      <c r="Z1598"/>
    </row>
    <row r="1599" spans="1:26" x14ac:dyDescent="0.25">
      <c r="A1599" s="159" t="str">
        <f t="shared" si="73"/>
        <v>HR-Hayward and San Leandro-Berkeley and Albany-Other maintenance</v>
      </c>
      <c r="B1599">
        <v>17</v>
      </c>
      <c r="C1599" t="str">
        <f t="shared" si="74"/>
        <v>Hayward and San Leandro</v>
      </c>
      <c r="D1599">
        <v>19</v>
      </c>
      <c r="E1599" t="str">
        <f t="shared" si="74"/>
        <v>Berkeley and Albany</v>
      </c>
      <c r="F1599" t="s">
        <v>325</v>
      </c>
      <c r="G1599">
        <f t="shared" si="72"/>
        <v>4</v>
      </c>
      <c r="H1599" t="s">
        <v>124</v>
      </c>
      <c r="I1599" t="s">
        <v>188</v>
      </c>
      <c r="J1599">
        <v>1</v>
      </c>
      <c r="K1599">
        <v>95.822099447513807</v>
      </c>
      <c r="Z1599"/>
    </row>
    <row r="1600" spans="1:26" x14ac:dyDescent="0.25">
      <c r="A1600" s="159" t="str">
        <f t="shared" si="73"/>
        <v>HR-Hayward and San Leandro-Berkeley and Albany-Shopping</v>
      </c>
      <c r="B1600">
        <v>17</v>
      </c>
      <c r="C1600" t="str">
        <f t="shared" si="74"/>
        <v>Hayward and San Leandro</v>
      </c>
      <c r="D1600">
        <v>19</v>
      </c>
      <c r="E1600" t="str">
        <f t="shared" si="74"/>
        <v>Berkeley and Albany</v>
      </c>
      <c r="F1600" t="s">
        <v>106</v>
      </c>
      <c r="G1600">
        <f t="shared" si="72"/>
        <v>4</v>
      </c>
      <c r="H1600" t="s">
        <v>124</v>
      </c>
      <c r="I1600" t="s">
        <v>188</v>
      </c>
      <c r="J1600">
        <v>1</v>
      </c>
      <c r="K1600">
        <v>95.822099447513807</v>
      </c>
      <c r="Z1600"/>
    </row>
    <row r="1601" spans="1:26" x14ac:dyDescent="0.25">
      <c r="A1601" s="159" t="str">
        <f t="shared" si="73"/>
        <v>HR-Hayward and San Leandro-Berkeley and Albany-Social recreation</v>
      </c>
      <c r="B1601">
        <v>17</v>
      </c>
      <c r="C1601" t="str">
        <f t="shared" si="74"/>
        <v>Hayward and San Leandro</v>
      </c>
      <c r="D1601">
        <v>19</v>
      </c>
      <c r="E1601" t="str">
        <f t="shared" si="74"/>
        <v>Berkeley and Albany</v>
      </c>
      <c r="F1601" t="s">
        <v>324</v>
      </c>
      <c r="G1601">
        <f t="shared" si="72"/>
        <v>5</v>
      </c>
      <c r="H1601" t="s">
        <v>124</v>
      </c>
      <c r="I1601" t="s">
        <v>188</v>
      </c>
      <c r="J1601">
        <v>1</v>
      </c>
      <c r="K1601">
        <v>95.822099447513807</v>
      </c>
      <c r="Z1601"/>
    </row>
    <row r="1602" spans="1:26" x14ac:dyDescent="0.25">
      <c r="A1602" s="159" t="str">
        <f t="shared" si="73"/>
        <v>LB-Hayward and San Leandro-Berkeley and Albany-Social recreation</v>
      </c>
      <c r="B1602">
        <v>17</v>
      </c>
      <c r="C1602" t="str">
        <f t="shared" si="74"/>
        <v>Hayward and San Leandro</v>
      </c>
      <c r="D1602">
        <v>19</v>
      </c>
      <c r="E1602" t="str">
        <f t="shared" si="74"/>
        <v>Berkeley and Albany</v>
      </c>
      <c r="F1602" t="s">
        <v>324</v>
      </c>
      <c r="G1602">
        <f t="shared" ref="G1602:G1665" si="75">VLOOKUP(F1602,$V$2:$X$10, 3,FALSE)</f>
        <v>5</v>
      </c>
      <c r="H1602" t="s">
        <v>359</v>
      </c>
      <c r="I1602" t="s">
        <v>191</v>
      </c>
      <c r="J1602">
        <v>1</v>
      </c>
      <c r="K1602">
        <v>75.575262543757304</v>
      </c>
      <c r="Z1602"/>
    </row>
    <row r="1603" spans="1:26" x14ac:dyDescent="0.25">
      <c r="A1603" s="159" t="str">
        <f t="shared" ref="A1603:A1666" si="76" xml:space="preserve"> CONCATENATE(I1603,"-",C1603, "-",E1603, "-",F1603,)</f>
        <v>HR-Hayward and San Leandro-Berkeley and Albany-Work</v>
      </c>
      <c r="B1603">
        <v>17</v>
      </c>
      <c r="C1603" t="str">
        <f t="shared" ref="C1603:E1666" si="77">VLOOKUP(B1603,$S$2:$T$35,2,FALSE)</f>
        <v>Hayward and San Leandro</v>
      </c>
      <c r="D1603">
        <v>19</v>
      </c>
      <c r="E1603" t="str">
        <f t="shared" si="77"/>
        <v>Berkeley and Albany</v>
      </c>
      <c r="F1603" t="s">
        <v>30</v>
      </c>
      <c r="G1603">
        <f t="shared" si="75"/>
        <v>1</v>
      </c>
      <c r="H1603" t="s">
        <v>124</v>
      </c>
      <c r="I1603" t="s">
        <v>188</v>
      </c>
      <c r="J1603">
        <v>14</v>
      </c>
      <c r="K1603">
        <v>1341.5093922651899</v>
      </c>
      <c r="Z1603"/>
    </row>
    <row r="1604" spans="1:26" x14ac:dyDescent="0.25">
      <c r="A1604" s="159" t="str">
        <f t="shared" si="76"/>
        <v>LB-Hayward and San Leandro-Berkeley and Albany-Work</v>
      </c>
      <c r="B1604">
        <v>17</v>
      </c>
      <c r="C1604" t="str">
        <f t="shared" si="77"/>
        <v>Hayward and San Leandro</v>
      </c>
      <c r="D1604">
        <v>19</v>
      </c>
      <c r="E1604" t="str">
        <f t="shared" si="77"/>
        <v>Berkeley and Albany</v>
      </c>
      <c r="F1604" t="s">
        <v>30</v>
      </c>
      <c r="G1604">
        <f t="shared" si="75"/>
        <v>1</v>
      </c>
      <c r="H1604" t="s">
        <v>359</v>
      </c>
      <c r="I1604" t="s">
        <v>191</v>
      </c>
      <c r="J1604">
        <v>4</v>
      </c>
      <c r="K1604">
        <v>302.30105017502899</v>
      </c>
      <c r="Z1604"/>
    </row>
    <row r="1605" spans="1:26" x14ac:dyDescent="0.25">
      <c r="A1605" s="159" t="str">
        <f t="shared" si="76"/>
        <v>HR-Hayward and San Leandro-Richmond and El Cerrito-High school</v>
      </c>
      <c r="B1605">
        <v>17</v>
      </c>
      <c r="C1605" t="str">
        <f t="shared" si="77"/>
        <v>Hayward and San Leandro</v>
      </c>
      <c r="D1605">
        <v>20</v>
      </c>
      <c r="E1605" t="str">
        <f t="shared" si="77"/>
        <v>Richmond and El Cerrito</v>
      </c>
      <c r="F1605" t="s">
        <v>326</v>
      </c>
      <c r="G1605">
        <f t="shared" si="75"/>
        <v>3</v>
      </c>
      <c r="H1605" t="s">
        <v>124</v>
      </c>
      <c r="I1605" t="s">
        <v>188</v>
      </c>
      <c r="J1605">
        <v>1</v>
      </c>
      <c r="K1605">
        <v>95.822099447513807</v>
      </c>
      <c r="Z1605"/>
    </row>
    <row r="1606" spans="1:26" x14ac:dyDescent="0.25">
      <c r="A1606" s="159" t="str">
        <f t="shared" si="76"/>
        <v>EB-Hayward and San Leandro-Richmond and El Cerrito-Work</v>
      </c>
      <c r="B1606">
        <v>17</v>
      </c>
      <c r="C1606" t="str">
        <f t="shared" si="77"/>
        <v>Hayward and San Leandro</v>
      </c>
      <c r="D1606">
        <v>20</v>
      </c>
      <c r="E1606" t="str">
        <f t="shared" si="77"/>
        <v>Richmond and El Cerrito</v>
      </c>
      <c r="F1606" t="s">
        <v>30</v>
      </c>
      <c r="G1606">
        <f t="shared" si="75"/>
        <v>1</v>
      </c>
      <c r="H1606" t="s">
        <v>123</v>
      </c>
      <c r="I1606" t="s">
        <v>182</v>
      </c>
      <c r="J1606">
        <v>1</v>
      </c>
      <c r="K1606">
        <v>7.3684210526315796</v>
      </c>
      <c r="Z1606"/>
    </row>
    <row r="1607" spans="1:26" x14ac:dyDescent="0.25">
      <c r="A1607" s="159" t="str">
        <f t="shared" si="76"/>
        <v>HR-Hayward and San Leandro-Richmond and El Cerrito-Work</v>
      </c>
      <c r="B1607">
        <v>17</v>
      </c>
      <c r="C1607" t="str">
        <f t="shared" si="77"/>
        <v>Hayward and San Leandro</v>
      </c>
      <c r="D1607">
        <v>20</v>
      </c>
      <c r="E1607" t="str">
        <f t="shared" si="77"/>
        <v>Richmond and El Cerrito</v>
      </c>
      <c r="F1607" t="s">
        <v>30</v>
      </c>
      <c r="G1607">
        <f t="shared" si="75"/>
        <v>1</v>
      </c>
      <c r="H1607" t="s">
        <v>124</v>
      </c>
      <c r="I1607" t="s">
        <v>188</v>
      </c>
      <c r="J1607">
        <v>3</v>
      </c>
      <c r="K1607">
        <v>287.46629834254099</v>
      </c>
      <c r="Z1607"/>
    </row>
    <row r="1608" spans="1:26" x14ac:dyDescent="0.25">
      <c r="A1608" s="159" t="str">
        <f t="shared" si="76"/>
        <v>HR-Hayward and San Leandro-Concord and Martinez-High school</v>
      </c>
      <c r="B1608">
        <v>17</v>
      </c>
      <c r="C1608" t="str">
        <f t="shared" si="77"/>
        <v>Hayward and San Leandro</v>
      </c>
      <c r="D1608">
        <v>21</v>
      </c>
      <c r="E1608" t="str">
        <f t="shared" si="77"/>
        <v>Concord and Martinez</v>
      </c>
      <c r="F1608" t="s">
        <v>326</v>
      </c>
      <c r="G1608">
        <f t="shared" si="75"/>
        <v>3</v>
      </c>
      <c r="H1608" t="s">
        <v>124</v>
      </c>
      <c r="I1608" t="s">
        <v>188</v>
      </c>
      <c r="J1608">
        <v>1</v>
      </c>
      <c r="K1608">
        <v>95.822099447513807</v>
      </c>
      <c r="Z1608"/>
    </row>
    <row r="1609" spans="1:26" x14ac:dyDescent="0.25">
      <c r="A1609" s="159" t="str">
        <f t="shared" si="76"/>
        <v>LB-Hayward and San Leandro-Concord and Martinez-High school</v>
      </c>
      <c r="B1609">
        <v>17</v>
      </c>
      <c r="C1609" t="str">
        <f t="shared" si="77"/>
        <v>Hayward and San Leandro</v>
      </c>
      <c r="D1609">
        <v>21</v>
      </c>
      <c r="E1609" t="str">
        <f t="shared" si="77"/>
        <v>Concord and Martinez</v>
      </c>
      <c r="F1609" t="s">
        <v>326</v>
      </c>
      <c r="G1609">
        <f t="shared" si="75"/>
        <v>3</v>
      </c>
      <c r="H1609" t="s">
        <v>359</v>
      </c>
      <c r="I1609" t="s">
        <v>191</v>
      </c>
      <c r="J1609">
        <v>1</v>
      </c>
      <c r="K1609">
        <v>19.727984344422701</v>
      </c>
      <c r="Z1609"/>
    </row>
    <row r="1610" spans="1:26" x14ac:dyDescent="0.25">
      <c r="A1610" s="159" t="str">
        <f t="shared" si="76"/>
        <v>LB-Hayward and San Leandro-Concord and Martinez-Other maintenance</v>
      </c>
      <c r="B1610">
        <v>17</v>
      </c>
      <c r="C1610" t="str">
        <f t="shared" si="77"/>
        <v>Hayward and San Leandro</v>
      </c>
      <c r="D1610">
        <v>21</v>
      </c>
      <c r="E1610" t="str">
        <f t="shared" si="77"/>
        <v>Concord and Martinez</v>
      </c>
      <c r="F1610" t="s">
        <v>325</v>
      </c>
      <c r="G1610">
        <f t="shared" si="75"/>
        <v>4</v>
      </c>
      <c r="H1610" t="s">
        <v>359</v>
      </c>
      <c r="I1610" t="s">
        <v>191</v>
      </c>
      <c r="J1610">
        <v>1</v>
      </c>
      <c r="K1610">
        <v>19.727984344422701</v>
      </c>
      <c r="Z1610"/>
    </row>
    <row r="1611" spans="1:26" x14ac:dyDescent="0.25">
      <c r="A1611" s="159" t="str">
        <f t="shared" si="76"/>
        <v>HR-Hayward and San Leandro-Concord and Martinez-Work</v>
      </c>
      <c r="B1611">
        <v>17</v>
      </c>
      <c r="C1611" t="str">
        <f t="shared" si="77"/>
        <v>Hayward and San Leandro</v>
      </c>
      <c r="D1611">
        <v>21</v>
      </c>
      <c r="E1611" t="str">
        <f t="shared" si="77"/>
        <v>Concord and Martinez</v>
      </c>
      <c r="F1611" t="s">
        <v>30</v>
      </c>
      <c r="G1611">
        <f t="shared" si="75"/>
        <v>1</v>
      </c>
      <c r="H1611" t="s">
        <v>124</v>
      </c>
      <c r="I1611" t="s">
        <v>188</v>
      </c>
      <c r="J1611">
        <v>2</v>
      </c>
      <c r="K1611">
        <v>191.64419889502699</v>
      </c>
      <c r="Z1611"/>
    </row>
    <row r="1612" spans="1:26" x14ac:dyDescent="0.25">
      <c r="A1612" s="159" t="str">
        <f t="shared" si="76"/>
        <v>LB-Hayward and San Leandro-Concord and Martinez-Work</v>
      </c>
      <c r="B1612">
        <v>17</v>
      </c>
      <c r="C1612" t="str">
        <f t="shared" si="77"/>
        <v>Hayward and San Leandro</v>
      </c>
      <c r="D1612">
        <v>21</v>
      </c>
      <c r="E1612" t="str">
        <f t="shared" si="77"/>
        <v>Concord and Martinez</v>
      </c>
      <c r="F1612" t="s">
        <v>30</v>
      </c>
      <c r="G1612">
        <f t="shared" si="75"/>
        <v>1</v>
      </c>
      <c r="H1612" t="s">
        <v>359</v>
      </c>
      <c r="I1612" t="s">
        <v>191</v>
      </c>
      <c r="J1612">
        <v>1</v>
      </c>
      <c r="K1612">
        <v>19.727984344422701</v>
      </c>
      <c r="Z1612"/>
    </row>
    <row r="1613" spans="1:26" x14ac:dyDescent="0.25">
      <c r="A1613" s="159" t="str">
        <f t="shared" si="76"/>
        <v>LB-Hayward and San Leandro-Walnut Creek-High school</v>
      </c>
      <c r="B1613">
        <v>17</v>
      </c>
      <c r="C1613" t="str">
        <f t="shared" si="77"/>
        <v>Hayward and San Leandro</v>
      </c>
      <c r="D1613">
        <v>22</v>
      </c>
      <c r="E1613" t="str">
        <f t="shared" si="77"/>
        <v>Walnut Creek</v>
      </c>
      <c r="F1613" t="s">
        <v>326</v>
      </c>
      <c r="G1613">
        <f t="shared" si="75"/>
        <v>3</v>
      </c>
      <c r="H1613" t="s">
        <v>359</v>
      </c>
      <c r="I1613" t="s">
        <v>191</v>
      </c>
      <c r="J1613">
        <v>1</v>
      </c>
      <c r="K1613">
        <v>19.727984344422701</v>
      </c>
      <c r="Z1613"/>
    </row>
    <row r="1614" spans="1:26" x14ac:dyDescent="0.25">
      <c r="A1614" s="159" t="str">
        <f t="shared" si="76"/>
        <v>HR-Hayward and San Leandro-Walnut Creek-Missing</v>
      </c>
      <c r="B1614">
        <v>17</v>
      </c>
      <c r="C1614" t="str">
        <f t="shared" si="77"/>
        <v>Hayward and San Leandro</v>
      </c>
      <c r="D1614">
        <v>22</v>
      </c>
      <c r="E1614" t="str">
        <f t="shared" si="77"/>
        <v>Walnut Creek</v>
      </c>
      <c r="F1614" t="s">
        <v>327</v>
      </c>
      <c r="G1614">
        <f t="shared" si="75"/>
        <v>0</v>
      </c>
      <c r="H1614" t="s">
        <v>124</v>
      </c>
      <c r="I1614" t="s">
        <v>188</v>
      </c>
      <c r="J1614">
        <v>1</v>
      </c>
      <c r="K1614">
        <v>95.822099447513807</v>
      </c>
      <c r="Z1614"/>
    </row>
    <row r="1615" spans="1:26" x14ac:dyDescent="0.25">
      <c r="A1615" s="159" t="str">
        <f t="shared" si="76"/>
        <v>HR-Hayward and San Leandro-Walnut Creek-Work</v>
      </c>
      <c r="B1615">
        <v>17</v>
      </c>
      <c r="C1615" t="str">
        <f t="shared" si="77"/>
        <v>Hayward and San Leandro</v>
      </c>
      <c r="D1615">
        <v>22</v>
      </c>
      <c r="E1615" t="str">
        <f t="shared" si="77"/>
        <v>Walnut Creek</v>
      </c>
      <c r="F1615" t="s">
        <v>30</v>
      </c>
      <c r="G1615">
        <f t="shared" si="75"/>
        <v>1</v>
      </c>
      <c r="H1615" t="s">
        <v>124</v>
      </c>
      <c r="I1615" t="s">
        <v>188</v>
      </c>
      <c r="J1615">
        <v>3</v>
      </c>
      <c r="K1615">
        <v>387.158152383399</v>
      </c>
      <c r="Z1615"/>
    </row>
    <row r="1616" spans="1:26" x14ac:dyDescent="0.25">
      <c r="A1616" s="159" t="str">
        <f t="shared" si="76"/>
        <v>LB-Hayward and San Leandro-Danville and San Ramon-Work</v>
      </c>
      <c r="B1616">
        <v>17</v>
      </c>
      <c r="C1616" t="str">
        <f t="shared" si="77"/>
        <v>Hayward and San Leandro</v>
      </c>
      <c r="D1616">
        <v>23</v>
      </c>
      <c r="E1616" t="str">
        <f t="shared" si="77"/>
        <v>Danville and San Ramon</v>
      </c>
      <c r="F1616" t="s">
        <v>30</v>
      </c>
      <c r="G1616">
        <f t="shared" si="75"/>
        <v>1</v>
      </c>
      <c r="H1616" t="s">
        <v>359</v>
      </c>
      <c r="I1616" t="s">
        <v>191</v>
      </c>
      <c r="J1616">
        <v>3</v>
      </c>
      <c r="K1616">
        <v>115.031231232602</v>
      </c>
      <c r="Z1616"/>
    </row>
    <row r="1617" spans="1:26" x14ac:dyDescent="0.25">
      <c r="A1617" s="159" t="str">
        <f t="shared" si="76"/>
        <v>HR-Hayward and San Leandro-Antioch and Pittsburg-High school</v>
      </c>
      <c r="B1617">
        <v>17</v>
      </c>
      <c r="C1617" t="str">
        <f t="shared" si="77"/>
        <v>Hayward and San Leandro</v>
      </c>
      <c r="D1617">
        <v>24</v>
      </c>
      <c r="E1617" t="str">
        <f t="shared" si="77"/>
        <v>Antioch and Pittsburg</v>
      </c>
      <c r="F1617" t="s">
        <v>326</v>
      </c>
      <c r="G1617">
        <f t="shared" si="75"/>
        <v>3</v>
      </c>
      <c r="H1617" t="s">
        <v>124</v>
      </c>
      <c r="I1617" t="s">
        <v>188</v>
      </c>
      <c r="J1617">
        <v>1</v>
      </c>
      <c r="K1617">
        <v>95.822099447513807</v>
      </c>
      <c r="Z1617"/>
    </row>
    <row r="1618" spans="1:26" x14ac:dyDescent="0.25">
      <c r="A1618" s="159" t="str">
        <f t="shared" si="76"/>
        <v>HR-Hayward and San Leandro-Antioch and Pittsburg-Missing</v>
      </c>
      <c r="B1618">
        <v>17</v>
      </c>
      <c r="C1618" t="str">
        <f t="shared" si="77"/>
        <v>Hayward and San Leandro</v>
      </c>
      <c r="D1618">
        <v>24</v>
      </c>
      <c r="E1618" t="str">
        <f t="shared" si="77"/>
        <v>Antioch and Pittsburg</v>
      </c>
      <c r="F1618" t="s">
        <v>327</v>
      </c>
      <c r="G1618">
        <f t="shared" si="75"/>
        <v>0</v>
      </c>
      <c r="H1618" t="s">
        <v>124</v>
      </c>
      <c r="I1618" t="s">
        <v>188</v>
      </c>
      <c r="J1618">
        <v>1</v>
      </c>
      <c r="K1618">
        <v>95.822099447513807</v>
      </c>
      <c r="Z1618"/>
    </row>
    <row r="1619" spans="1:26" x14ac:dyDescent="0.25">
      <c r="A1619" s="159" t="str">
        <f t="shared" si="76"/>
        <v>LB-Hayward and San Leandro-Antioch and Pittsburg-Missing</v>
      </c>
      <c r="B1619">
        <v>17</v>
      </c>
      <c r="C1619" t="str">
        <f t="shared" si="77"/>
        <v>Hayward and San Leandro</v>
      </c>
      <c r="D1619">
        <v>24</v>
      </c>
      <c r="E1619" t="str">
        <f t="shared" si="77"/>
        <v>Antioch and Pittsburg</v>
      </c>
      <c r="F1619" t="s">
        <v>327</v>
      </c>
      <c r="G1619">
        <f t="shared" si="75"/>
        <v>0</v>
      </c>
      <c r="H1619" t="s">
        <v>359</v>
      </c>
      <c r="I1619" t="s">
        <v>191</v>
      </c>
      <c r="J1619">
        <v>1</v>
      </c>
      <c r="K1619">
        <v>75.575262543757304</v>
      </c>
      <c r="Z1619"/>
    </row>
    <row r="1620" spans="1:26" x14ac:dyDescent="0.25">
      <c r="A1620" s="159" t="str">
        <f t="shared" si="76"/>
        <v>HR-Hayward and San Leandro-Antioch and Pittsburg-Work</v>
      </c>
      <c r="B1620">
        <v>17</v>
      </c>
      <c r="C1620" t="str">
        <f t="shared" si="77"/>
        <v>Hayward and San Leandro</v>
      </c>
      <c r="D1620">
        <v>24</v>
      </c>
      <c r="E1620" t="str">
        <f t="shared" si="77"/>
        <v>Antioch and Pittsburg</v>
      </c>
      <c r="F1620" t="s">
        <v>30</v>
      </c>
      <c r="G1620">
        <f t="shared" si="75"/>
        <v>1</v>
      </c>
      <c r="H1620" t="s">
        <v>124</v>
      </c>
      <c r="I1620" t="s">
        <v>188</v>
      </c>
      <c r="J1620">
        <v>1</v>
      </c>
      <c r="K1620">
        <v>195.51395348837201</v>
      </c>
      <c r="Z1620"/>
    </row>
    <row r="1621" spans="1:26" x14ac:dyDescent="0.25">
      <c r="A1621" s="159" t="str">
        <f t="shared" si="76"/>
        <v>LB-Hayward and San Leandro-Antioch and Pittsburg-Work</v>
      </c>
      <c r="B1621">
        <v>17</v>
      </c>
      <c r="C1621" t="str">
        <f t="shared" si="77"/>
        <v>Hayward and San Leandro</v>
      </c>
      <c r="D1621">
        <v>24</v>
      </c>
      <c r="E1621" t="str">
        <f t="shared" si="77"/>
        <v>Antioch and Pittsburg</v>
      </c>
      <c r="F1621" t="s">
        <v>30</v>
      </c>
      <c r="G1621">
        <f t="shared" si="75"/>
        <v>1</v>
      </c>
      <c r="H1621" t="s">
        <v>359</v>
      </c>
      <c r="I1621" t="s">
        <v>191</v>
      </c>
      <c r="J1621">
        <v>2</v>
      </c>
      <c r="K1621">
        <v>28.8521126760564</v>
      </c>
      <c r="Z1621"/>
    </row>
    <row r="1622" spans="1:26" x14ac:dyDescent="0.25">
      <c r="A1622" s="159" t="str">
        <f t="shared" si="76"/>
        <v>LB-Hayward and San Leandro-Vallejo and Benicia-Missing</v>
      </c>
      <c r="B1622">
        <v>17</v>
      </c>
      <c r="C1622" t="str">
        <f t="shared" si="77"/>
        <v>Hayward and San Leandro</v>
      </c>
      <c r="D1622">
        <v>25</v>
      </c>
      <c r="E1622" t="str">
        <f t="shared" si="77"/>
        <v>Vallejo and Benicia</v>
      </c>
      <c r="F1622" t="s">
        <v>327</v>
      </c>
      <c r="G1622">
        <f t="shared" si="75"/>
        <v>0</v>
      </c>
      <c r="H1622" t="s">
        <v>359</v>
      </c>
      <c r="I1622" t="s">
        <v>191</v>
      </c>
      <c r="J1622">
        <v>1</v>
      </c>
      <c r="K1622">
        <v>75.575262543757304</v>
      </c>
      <c r="Z1622"/>
    </row>
    <row r="1623" spans="1:26" x14ac:dyDescent="0.25">
      <c r="A1623" s="159" t="str">
        <f t="shared" si="76"/>
        <v>LB-Hayward and San Leandro-Vallejo and Benicia-Work</v>
      </c>
      <c r="B1623">
        <v>17</v>
      </c>
      <c r="C1623" t="str">
        <f t="shared" si="77"/>
        <v>Hayward and San Leandro</v>
      </c>
      <c r="D1623">
        <v>25</v>
      </c>
      <c r="E1623" t="str">
        <f t="shared" si="77"/>
        <v>Vallejo and Benicia</v>
      </c>
      <c r="F1623" t="s">
        <v>30</v>
      </c>
      <c r="G1623">
        <f t="shared" si="75"/>
        <v>1</v>
      </c>
      <c r="H1623" t="s">
        <v>359</v>
      </c>
      <c r="I1623" t="s">
        <v>191</v>
      </c>
      <c r="J1623">
        <v>1</v>
      </c>
      <c r="K1623">
        <v>12.3349397590361</v>
      </c>
      <c r="Z1623"/>
    </row>
    <row r="1624" spans="1:26" x14ac:dyDescent="0.25">
      <c r="A1624" s="159" t="str">
        <f t="shared" si="76"/>
        <v>LB-Hayward and San Leandro-Fairfield and Vacaville-Social recreation</v>
      </c>
      <c r="B1624">
        <v>17</v>
      </c>
      <c r="C1624" t="str">
        <f t="shared" si="77"/>
        <v>Hayward and San Leandro</v>
      </c>
      <c r="D1624">
        <v>26</v>
      </c>
      <c r="E1624" t="str">
        <f t="shared" si="77"/>
        <v>Fairfield and Vacaville</v>
      </c>
      <c r="F1624" t="s">
        <v>324</v>
      </c>
      <c r="G1624">
        <f t="shared" si="75"/>
        <v>5</v>
      </c>
      <c r="H1624" t="s">
        <v>359</v>
      </c>
      <c r="I1624" t="s">
        <v>191</v>
      </c>
      <c r="J1624">
        <v>2</v>
      </c>
      <c r="K1624">
        <v>276.76547619047602</v>
      </c>
      <c r="Z1624"/>
    </row>
    <row r="1625" spans="1:26" x14ac:dyDescent="0.25">
      <c r="A1625" s="159" t="str">
        <f t="shared" si="76"/>
        <v>LB-Hayward and San Leandro-Fairfield and Vacaville-Work</v>
      </c>
      <c r="B1625">
        <v>17</v>
      </c>
      <c r="C1625" t="str">
        <f t="shared" si="77"/>
        <v>Hayward and San Leandro</v>
      </c>
      <c r="D1625">
        <v>26</v>
      </c>
      <c r="E1625" t="str">
        <f t="shared" si="77"/>
        <v>Fairfield and Vacaville</v>
      </c>
      <c r="F1625" t="s">
        <v>30</v>
      </c>
      <c r="G1625">
        <f t="shared" si="75"/>
        <v>1</v>
      </c>
      <c r="H1625" t="s">
        <v>359</v>
      </c>
      <c r="I1625" t="s">
        <v>191</v>
      </c>
      <c r="J1625">
        <v>1</v>
      </c>
      <c r="K1625">
        <v>4.83928571428571</v>
      </c>
      <c r="Z1625"/>
    </row>
    <row r="1626" spans="1:26" x14ac:dyDescent="0.25">
      <c r="A1626" s="159" t="str">
        <f t="shared" si="76"/>
        <v>CR-Hayward and San Leandro-Mill Valley and Sausalito-Social recreation</v>
      </c>
      <c r="B1626">
        <v>17</v>
      </c>
      <c r="C1626" t="str">
        <f t="shared" si="77"/>
        <v>Hayward and San Leandro</v>
      </c>
      <c r="D1626">
        <v>34</v>
      </c>
      <c r="E1626" t="str">
        <f t="shared" si="77"/>
        <v>Mill Valley and Sausalito</v>
      </c>
      <c r="F1626" t="s">
        <v>324</v>
      </c>
      <c r="G1626">
        <f t="shared" si="75"/>
        <v>5</v>
      </c>
      <c r="H1626" t="s">
        <v>125</v>
      </c>
      <c r="I1626" t="s">
        <v>178</v>
      </c>
      <c r="J1626">
        <v>1</v>
      </c>
      <c r="K1626">
        <v>12.22</v>
      </c>
      <c r="Z1626"/>
    </row>
    <row r="1627" spans="1:26" x14ac:dyDescent="0.25">
      <c r="A1627" s="159" t="str">
        <f t="shared" si="76"/>
        <v>HR-Oakland and Alameda-Greater Downtown San Francisco-High school</v>
      </c>
      <c r="B1627">
        <v>18</v>
      </c>
      <c r="C1627" t="str">
        <f t="shared" si="77"/>
        <v>Oakland and Alameda</v>
      </c>
      <c r="D1627">
        <v>1</v>
      </c>
      <c r="E1627" t="str">
        <f t="shared" si="77"/>
        <v>Greater Downtown San Francisco</v>
      </c>
      <c r="F1627" t="s">
        <v>326</v>
      </c>
      <c r="G1627">
        <f t="shared" si="75"/>
        <v>3</v>
      </c>
      <c r="H1627" t="s">
        <v>124</v>
      </c>
      <c r="I1627" t="s">
        <v>188</v>
      </c>
      <c r="J1627">
        <v>1</v>
      </c>
      <c r="K1627">
        <v>195.51395348837201</v>
      </c>
      <c r="Z1627"/>
    </row>
    <row r="1628" spans="1:26" x14ac:dyDescent="0.25">
      <c r="A1628" s="159" t="str">
        <f t="shared" si="76"/>
        <v>LB-Oakland and Alameda-Greater Downtown San Francisco-High school</v>
      </c>
      <c r="B1628">
        <v>18</v>
      </c>
      <c r="C1628" t="str">
        <f t="shared" si="77"/>
        <v>Oakland and Alameda</v>
      </c>
      <c r="D1628">
        <v>1</v>
      </c>
      <c r="E1628" t="str">
        <f t="shared" si="77"/>
        <v>Greater Downtown San Francisco</v>
      </c>
      <c r="F1628" t="s">
        <v>326</v>
      </c>
      <c r="G1628">
        <f t="shared" si="75"/>
        <v>3</v>
      </c>
      <c r="H1628" t="s">
        <v>359</v>
      </c>
      <c r="I1628" t="s">
        <v>191</v>
      </c>
      <c r="J1628">
        <v>1</v>
      </c>
      <c r="K1628">
        <v>75.575262543757304</v>
      </c>
      <c r="Z1628"/>
    </row>
    <row r="1629" spans="1:26" x14ac:dyDescent="0.25">
      <c r="A1629" s="159" t="str">
        <f t="shared" si="76"/>
        <v>HR-Oakland and Alameda-Greater Downtown San Francisco-Missing</v>
      </c>
      <c r="B1629">
        <v>18</v>
      </c>
      <c r="C1629" t="str">
        <f t="shared" si="77"/>
        <v>Oakland and Alameda</v>
      </c>
      <c r="D1629">
        <v>1</v>
      </c>
      <c r="E1629" t="str">
        <f t="shared" si="77"/>
        <v>Greater Downtown San Francisco</v>
      </c>
      <c r="F1629" t="s">
        <v>327</v>
      </c>
      <c r="G1629">
        <f t="shared" si="75"/>
        <v>0</v>
      </c>
      <c r="H1629" t="s">
        <v>124</v>
      </c>
      <c r="I1629" t="s">
        <v>188</v>
      </c>
      <c r="J1629">
        <v>3</v>
      </c>
      <c r="K1629">
        <v>287.46629834254099</v>
      </c>
      <c r="Z1629"/>
    </row>
    <row r="1630" spans="1:26" x14ac:dyDescent="0.25">
      <c r="A1630" s="159" t="str">
        <f t="shared" si="76"/>
        <v>LB-Oakland and Alameda-Greater Downtown San Francisco-Missing</v>
      </c>
      <c r="B1630">
        <v>18</v>
      </c>
      <c r="C1630" t="str">
        <f t="shared" si="77"/>
        <v>Oakland and Alameda</v>
      </c>
      <c r="D1630">
        <v>1</v>
      </c>
      <c r="E1630" t="str">
        <f t="shared" si="77"/>
        <v>Greater Downtown San Francisco</v>
      </c>
      <c r="F1630" t="s">
        <v>327</v>
      </c>
      <c r="G1630">
        <f t="shared" si="75"/>
        <v>0</v>
      </c>
      <c r="H1630" t="s">
        <v>359</v>
      </c>
      <c r="I1630" t="s">
        <v>191</v>
      </c>
      <c r="J1630">
        <v>1</v>
      </c>
      <c r="K1630">
        <v>270.93214285714299</v>
      </c>
      <c r="Z1630"/>
    </row>
    <row r="1631" spans="1:26" x14ac:dyDescent="0.25">
      <c r="A1631" s="159" t="str">
        <f t="shared" si="76"/>
        <v>EB-Oakland and Alameda-Greater Downtown San Francisco-Other maintenance</v>
      </c>
      <c r="B1631">
        <v>18</v>
      </c>
      <c r="C1631" t="str">
        <f t="shared" si="77"/>
        <v>Oakland and Alameda</v>
      </c>
      <c r="D1631">
        <v>1</v>
      </c>
      <c r="E1631" t="str">
        <f t="shared" si="77"/>
        <v>Greater Downtown San Francisco</v>
      </c>
      <c r="F1631" t="s">
        <v>325</v>
      </c>
      <c r="G1631">
        <f t="shared" si="75"/>
        <v>4</v>
      </c>
      <c r="H1631" t="s">
        <v>123</v>
      </c>
      <c r="I1631" t="s">
        <v>182</v>
      </c>
      <c r="J1631">
        <v>1</v>
      </c>
      <c r="K1631">
        <v>75.575262543757304</v>
      </c>
      <c r="Z1631"/>
    </row>
    <row r="1632" spans="1:26" x14ac:dyDescent="0.25">
      <c r="A1632" s="159" t="str">
        <f t="shared" si="76"/>
        <v>HR-Oakland and Alameda-Greater Downtown San Francisco-Other maintenance</v>
      </c>
      <c r="B1632">
        <v>18</v>
      </c>
      <c r="C1632" t="str">
        <f t="shared" si="77"/>
        <v>Oakland and Alameda</v>
      </c>
      <c r="D1632">
        <v>1</v>
      </c>
      <c r="E1632" t="str">
        <f t="shared" si="77"/>
        <v>Greater Downtown San Francisco</v>
      </c>
      <c r="F1632" t="s">
        <v>325</v>
      </c>
      <c r="G1632">
        <f t="shared" si="75"/>
        <v>4</v>
      </c>
      <c r="H1632" t="s">
        <v>124</v>
      </c>
      <c r="I1632" t="s">
        <v>188</v>
      </c>
      <c r="J1632">
        <v>4</v>
      </c>
      <c r="K1632">
        <v>582.67210587177101</v>
      </c>
      <c r="Z1632"/>
    </row>
    <row r="1633" spans="1:26" x14ac:dyDescent="0.25">
      <c r="A1633" s="159" t="str">
        <f t="shared" si="76"/>
        <v>LB-Oakland and Alameda-Greater Downtown San Francisco-Other maintenance</v>
      </c>
      <c r="B1633">
        <v>18</v>
      </c>
      <c r="C1633" t="str">
        <f t="shared" si="77"/>
        <v>Oakland and Alameda</v>
      </c>
      <c r="D1633">
        <v>1</v>
      </c>
      <c r="E1633" t="str">
        <f t="shared" si="77"/>
        <v>Greater Downtown San Francisco</v>
      </c>
      <c r="F1633" t="s">
        <v>325</v>
      </c>
      <c r="G1633">
        <f t="shared" si="75"/>
        <v>4</v>
      </c>
      <c r="H1633" t="s">
        <v>359</v>
      </c>
      <c r="I1633" t="s">
        <v>191</v>
      </c>
      <c r="J1633">
        <v>1</v>
      </c>
      <c r="K1633">
        <v>286.12835472578797</v>
      </c>
      <c r="Z1633"/>
    </row>
    <row r="1634" spans="1:26" x14ac:dyDescent="0.25">
      <c r="A1634" s="159" t="str">
        <f t="shared" si="76"/>
        <v>FR-Oakland and Alameda-Greater Downtown San Francisco-Shopping</v>
      </c>
      <c r="B1634">
        <v>18</v>
      </c>
      <c r="C1634" t="str">
        <f t="shared" si="77"/>
        <v>Oakland and Alameda</v>
      </c>
      <c r="D1634">
        <v>1</v>
      </c>
      <c r="E1634" t="str">
        <f t="shared" si="77"/>
        <v>Greater Downtown San Francisco</v>
      </c>
      <c r="F1634" t="s">
        <v>106</v>
      </c>
      <c r="G1634">
        <f t="shared" si="75"/>
        <v>4</v>
      </c>
      <c r="H1634" t="s">
        <v>360</v>
      </c>
      <c r="I1634" t="s">
        <v>185</v>
      </c>
      <c r="J1634">
        <v>1</v>
      </c>
      <c r="K1634">
        <v>16.498422712933699</v>
      </c>
      <c r="Z1634"/>
    </row>
    <row r="1635" spans="1:26" x14ac:dyDescent="0.25">
      <c r="A1635" s="159" t="str">
        <f t="shared" si="76"/>
        <v>LB-Oakland and Alameda-Greater Downtown San Francisco-Shopping</v>
      </c>
      <c r="B1635">
        <v>18</v>
      </c>
      <c r="C1635" t="str">
        <f t="shared" si="77"/>
        <v>Oakland and Alameda</v>
      </c>
      <c r="D1635">
        <v>1</v>
      </c>
      <c r="E1635" t="str">
        <f t="shared" si="77"/>
        <v>Greater Downtown San Francisco</v>
      </c>
      <c r="F1635" t="s">
        <v>106</v>
      </c>
      <c r="G1635">
        <f t="shared" si="75"/>
        <v>4</v>
      </c>
      <c r="H1635" t="s">
        <v>359</v>
      </c>
      <c r="I1635" t="s">
        <v>191</v>
      </c>
      <c r="J1635">
        <v>1</v>
      </c>
      <c r="K1635">
        <v>75.575262543757304</v>
      </c>
      <c r="Z1635"/>
    </row>
    <row r="1636" spans="1:26" x14ac:dyDescent="0.25">
      <c r="A1636" s="159" t="str">
        <f t="shared" si="76"/>
        <v>EB-Oakland and Alameda-Greater Downtown San Francisco-Social recreation</v>
      </c>
      <c r="B1636">
        <v>18</v>
      </c>
      <c r="C1636" t="str">
        <f t="shared" si="77"/>
        <v>Oakland and Alameda</v>
      </c>
      <c r="D1636">
        <v>1</v>
      </c>
      <c r="E1636" t="str">
        <f t="shared" si="77"/>
        <v>Greater Downtown San Francisco</v>
      </c>
      <c r="F1636" t="s">
        <v>324</v>
      </c>
      <c r="G1636">
        <f t="shared" si="75"/>
        <v>5</v>
      </c>
      <c r="H1636" t="s">
        <v>123</v>
      </c>
      <c r="I1636" t="s">
        <v>182</v>
      </c>
      <c r="J1636">
        <v>4</v>
      </c>
      <c r="K1636">
        <v>888.37169111518597</v>
      </c>
      <c r="Z1636"/>
    </row>
    <row r="1637" spans="1:26" x14ac:dyDescent="0.25">
      <c r="A1637" s="159" t="str">
        <f t="shared" si="76"/>
        <v>FR-Oakland and Alameda-Greater Downtown San Francisco-Social recreation</v>
      </c>
      <c r="B1637">
        <v>18</v>
      </c>
      <c r="C1637" t="str">
        <f t="shared" si="77"/>
        <v>Oakland and Alameda</v>
      </c>
      <c r="D1637">
        <v>1</v>
      </c>
      <c r="E1637" t="str">
        <f t="shared" si="77"/>
        <v>Greater Downtown San Francisco</v>
      </c>
      <c r="F1637" t="s">
        <v>324</v>
      </c>
      <c r="G1637">
        <f t="shared" si="75"/>
        <v>5</v>
      </c>
      <c r="H1637" t="s">
        <v>360</v>
      </c>
      <c r="I1637" t="s">
        <v>185</v>
      </c>
      <c r="J1637">
        <v>10</v>
      </c>
      <c r="K1637">
        <v>150.647122255841</v>
      </c>
      <c r="Z1637"/>
    </row>
    <row r="1638" spans="1:26" x14ac:dyDescent="0.25">
      <c r="A1638" s="159" t="str">
        <f t="shared" si="76"/>
        <v>HR-Oakland and Alameda-Greater Downtown San Francisco-Social recreation</v>
      </c>
      <c r="B1638">
        <v>18</v>
      </c>
      <c r="C1638" t="str">
        <f t="shared" si="77"/>
        <v>Oakland and Alameda</v>
      </c>
      <c r="D1638">
        <v>1</v>
      </c>
      <c r="E1638" t="str">
        <f t="shared" si="77"/>
        <v>Greater Downtown San Francisco</v>
      </c>
      <c r="F1638" t="s">
        <v>324</v>
      </c>
      <c r="G1638">
        <f t="shared" si="75"/>
        <v>5</v>
      </c>
      <c r="H1638" t="s">
        <v>124</v>
      </c>
      <c r="I1638" t="s">
        <v>188</v>
      </c>
      <c r="J1638">
        <v>14</v>
      </c>
      <c r="K1638">
        <v>1839.96866246948</v>
      </c>
      <c r="Z1638"/>
    </row>
    <row r="1639" spans="1:26" x14ac:dyDescent="0.25">
      <c r="A1639" s="159" t="str">
        <f t="shared" si="76"/>
        <v>LB-Oakland and Alameda-Greater Downtown San Francisco-Social recreation</v>
      </c>
      <c r="B1639">
        <v>18</v>
      </c>
      <c r="C1639" t="str">
        <f t="shared" si="77"/>
        <v>Oakland and Alameda</v>
      </c>
      <c r="D1639">
        <v>1</v>
      </c>
      <c r="E1639" t="str">
        <f t="shared" si="77"/>
        <v>Greater Downtown San Francisco</v>
      </c>
      <c r="F1639" t="s">
        <v>324</v>
      </c>
      <c r="G1639">
        <f t="shared" si="75"/>
        <v>5</v>
      </c>
      <c r="H1639" t="s">
        <v>359</v>
      </c>
      <c r="I1639" t="s">
        <v>191</v>
      </c>
      <c r="J1639">
        <v>1</v>
      </c>
      <c r="K1639">
        <v>75.575262543757304</v>
      </c>
      <c r="Z1639"/>
    </row>
    <row r="1640" spans="1:26" x14ac:dyDescent="0.25">
      <c r="A1640" s="159" t="str">
        <f t="shared" si="76"/>
        <v>EB-Oakland and Alameda-Greater Downtown San Francisco-Work</v>
      </c>
      <c r="B1640">
        <v>18</v>
      </c>
      <c r="C1640" t="str">
        <f t="shared" si="77"/>
        <v>Oakland and Alameda</v>
      </c>
      <c r="D1640">
        <v>1</v>
      </c>
      <c r="E1640" t="str">
        <f t="shared" si="77"/>
        <v>Greater Downtown San Francisco</v>
      </c>
      <c r="F1640" t="s">
        <v>30</v>
      </c>
      <c r="G1640">
        <f t="shared" si="75"/>
        <v>1</v>
      </c>
      <c r="H1640" t="s">
        <v>123</v>
      </c>
      <c r="I1640" t="s">
        <v>182</v>
      </c>
      <c r="J1640">
        <v>9</v>
      </c>
      <c r="K1640">
        <v>875.53424320720103</v>
      </c>
      <c r="Z1640"/>
    </row>
    <row r="1641" spans="1:26" x14ac:dyDescent="0.25">
      <c r="A1641" s="159" t="str">
        <f t="shared" si="76"/>
        <v>FR-Oakland and Alameda-Greater Downtown San Francisco-Work</v>
      </c>
      <c r="B1641">
        <v>18</v>
      </c>
      <c r="C1641" t="str">
        <f t="shared" si="77"/>
        <v>Oakland and Alameda</v>
      </c>
      <c r="D1641">
        <v>1</v>
      </c>
      <c r="E1641" t="str">
        <f t="shared" si="77"/>
        <v>Greater Downtown San Francisco</v>
      </c>
      <c r="F1641" t="s">
        <v>30</v>
      </c>
      <c r="G1641">
        <f t="shared" si="75"/>
        <v>1</v>
      </c>
      <c r="H1641" t="s">
        <v>360</v>
      </c>
      <c r="I1641" t="s">
        <v>185</v>
      </c>
      <c r="J1641">
        <v>18</v>
      </c>
      <c r="K1641">
        <v>210.94897959183601</v>
      </c>
      <c r="Z1641"/>
    </row>
    <row r="1642" spans="1:26" x14ac:dyDescent="0.25">
      <c r="A1642" s="159" t="str">
        <f t="shared" si="76"/>
        <v>HR-Oakland and Alameda-Greater Downtown San Francisco-Work</v>
      </c>
      <c r="B1642">
        <v>18</v>
      </c>
      <c r="C1642" t="str">
        <f t="shared" si="77"/>
        <v>Oakland and Alameda</v>
      </c>
      <c r="D1642">
        <v>1</v>
      </c>
      <c r="E1642" t="str">
        <f t="shared" si="77"/>
        <v>Greater Downtown San Francisco</v>
      </c>
      <c r="F1642" t="s">
        <v>30</v>
      </c>
      <c r="G1642">
        <f t="shared" si="75"/>
        <v>1</v>
      </c>
      <c r="H1642" t="s">
        <v>124</v>
      </c>
      <c r="I1642" t="s">
        <v>188</v>
      </c>
      <c r="J1642">
        <v>17</v>
      </c>
      <c r="K1642">
        <v>1928.0512527302999</v>
      </c>
      <c r="Z1642"/>
    </row>
    <row r="1643" spans="1:26" x14ac:dyDescent="0.25">
      <c r="A1643" s="159" t="str">
        <f t="shared" si="76"/>
        <v>LB-Oakland and Alameda-Greater Downtown San Francisco-Work</v>
      </c>
      <c r="B1643">
        <v>18</v>
      </c>
      <c r="C1643" t="str">
        <f t="shared" si="77"/>
        <v>Oakland and Alameda</v>
      </c>
      <c r="D1643">
        <v>1</v>
      </c>
      <c r="E1643" t="str">
        <f t="shared" si="77"/>
        <v>Greater Downtown San Francisco</v>
      </c>
      <c r="F1643" t="s">
        <v>30</v>
      </c>
      <c r="G1643">
        <f t="shared" si="75"/>
        <v>1</v>
      </c>
      <c r="H1643" t="s">
        <v>359</v>
      </c>
      <c r="I1643" t="s">
        <v>191</v>
      </c>
      <c r="J1643">
        <v>10</v>
      </c>
      <c r="K1643">
        <v>1387.4119019836601</v>
      </c>
      <c r="Z1643"/>
    </row>
    <row r="1644" spans="1:26" x14ac:dyDescent="0.25">
      <c r="A1644" s="159" t="str">
        <f t="shared" si="76"/>
        <v>LR-Oakland and Alameda-San Francisco Richmond District-High school</v>
      </c>
      <c r="B1644">
        <v>18</v>
      </c>
      <c r="C1644" t="str">
        <f t="shared" si="77"/>
        <v>Oakland and Alameda</v>
      </c>
      <c r="D1644">
        <v>2</v>
      </c>
      <c r="E1644" t="str">
        <f t="shared" si="77"/>
        <v>San Francisco Richmond District</v>
      </c>
      <c r="F1644" t="s">
        <v>326</v>
      </c>
      <c r="G1644">
        <f t="shared" si="75"/>
        <v>3</v>
      </c>
      <c r="H1644" t="s">
        <v>353</v>
      </c>
      <c r="I1644" t="s">
        <v>194</v>
      </c>
      <c r="J1644">
        <v>1</v>
      </c>
      <c r="K1644">
        <v>286.12835472578797</v>
      </c>
      <c r="Z1644"/>
    </row>
    <row r="1645" spans="1:26" x14ac:dyDescent="0.25">
      <c r="A1645" s="159" t="str">
        <f t="shared" si="76"/>
        <v>HR-Oakland and Alameda-San Francisco Richmond District-Missing</v>
      </c>
      <c r="B1645">
        <v>18</v>
      </c>
      <c r="C1645" t="str">
        <f t="shared" si="77"/>
        <v>Oakland and Alameda</v>
      </c>
      <c r="D1645">
        <v>2</v>
      </c>
      <c r="E1645" t="str">
        <f t="shared" si="77"/>
        <v>San Francisco Richmond District</v>
      </c>
      <c r="F1645" t="s">
        <v>327</v>
      </c>
      <c r="G1645">
        <f t="shared" si="75"/>
        <v>0</v>
      </c>
      <c r="H1645" t="s">
        <v>124</v>
      </c>
      <c r="I1645" t="s">
        <v>188</v>
      </c>
      <c r="J1645">
        <v>1</v>
      </c>
      <c r="K1645">
        <v>95.822099447513807</v>
      </c>
      <c r="Z1645"/>
    </row>
    <row r="1646" spans="1:26" x14ac:dyDescent="0.25">
      <c r="A1646" s="159" t="str">
        <f t="shared" si="76"/>
        <v>LB-Oakland and Alameda-San Francisco Richmond District-Other maintenance</v>
      </c>
      <c r="B1646">
        <v>18</v>
      </c>
      <c r="C1646" t="str">
        <f t="shared" si="77"/>
        <v>Oakland and Alameda</v>
      </c>
      <c r="D1646">
        <v>2</v>
      </c>
      <c r="E1646" t="str">
        <f t="shared" si="77"/>
        <v>San Francisco Richmond District</v>
      </c>
      <c r="F1646" t="s">
        <v>325</v>
      </c>
      <c r="G1646">
        <f t="shared" si="75"/>
        <v>4</v>
      </c>
      <c r="H1646" t="s">
        <v>359</v>
      </c>
      <c r="I1646" t="s">
        <v>191</v>
      </c>
      <c r="J1646">
        <v>2</v>
      </c>
      <c r="K1646">
        <v>572.25670945157594</v>
      </c>
      <c r="Z1646"/>
    </row>
    <row r="1647" spans="1:26" x14ac:dyDescent="0.25">
      <c r="A1647" s="159" t="str">
        <f t="shared" si="76"/>
        <v>HR-Oakland and Alameda-San Francisco Richmond District-Shopping</v>
      </c>
      <c r="B1647">
        <v>18</v>
      </c>
      <c r="C1647" t="str">
        <f t="shared" si="77"/>
        <v>Oakland and Alameda</v>
      </c>
      <c r="D1647">
        <v>2</v>
      </c>
      <c r="E1647" t="str">
        <f t="shared" si="77"/>
        <v>San Francisco Richmond District</v>
      </c>
      <c r="F1647" t="s">
        <v>106</v>
      </c>
      <c r="G1647">
        <f t="shared" si="75"/>
        <v>4</v>
      </c>
      <c r="H1647" t="s">
        <v>124</v>
      </c>
      <c r="I1647" t="s">
        <v>188</v>
      </c>
      <c r="J1647">
        <v>1</v>
      </c>
      <c r="K1647">
        <v>95.822099447513807</v>
      </c>
      <c r="Z1647"/>
    </row>
    <row r="1648" spans="1:26" x14ac:dyDescent="0.25">
      <c r="A1648" s="159" t="str">
        <f t="shared" si="76"/>
        <v>FR-Oakland and Alameda-San Francisco Richmond District-Social recreation</v>
      </c>
      <c r="B1648">
        <v>18</v>
      </c>
      <c r="C1648" t="str">
        <f t="shared" si="77"/>
        <v>Oakland and Alameda</v>
      </c>
      <c r="D1648">
        <v>2</v>
      </c>
      <c r="E1648" t="str">
        <f t="shared" si="77"/>
        <v>San Francisco Richmond District</v>
      </c>
      <c r="F1648" t="s">
        <v>324</v>
      </c>
      <c r="G1648">
        <f t="shared" si="75"/>
        <v>5</v>
      </c>
      <c r="H1648" t="s">
        <v>360</v>
      </c>
      <c r="I1648" t="s">
        <v>185</v>
      </c>
      <c r="J1648">
        <v>4</v>
      </c>
      <c r="K1648">
        <v>56.435620936071402</v>
      </c>
      <c r="Z1648"/>
    </row>
    <row r="1649" spans="1:26" x14ac:dyDescent="0.25">
      <c r="A1649" s="159" t="str">
        <f t="shared" si="76"/>
        <v>HR-Oakland and Alameda-San Francisco Richmond District-Social recreation</v>
      </c>
      <c r="B1649">
        <v>18</v>
      </c>
      <c r="C1649" t="str">
        <f t="shared" si="77"/>
        <v>Oakland and Alameda</v>
      </c>
      <c r="D1649">
        <v>2</v>
      </c>
      <c r="E1649" t="str">
        <f t="shared" si="77"/>
        <v>San Francisco Richmond District</v>
      </c>
      <c r="F1649" t="s">
        <v>324</v>
      </c>
      <c r="G1649">
        <f t="shared" si="75"/>
        <v>5</v>
      </c>
      <c r="H1649" t="s">
        <v>124</v>
      </c>
      <c r="I1649" t="s">
        <v>188</v>
      </c>
      <c r="J1649">
        <v>6</v>
      </c>
      <c r="K1649">
        <v>774.31630476679902</v>
      </c>
      <c r="Z1649"/>
    </row>
    <row r="1650" spans="1:26" x14ac:dyDescent="0.25">
      <c r="A1650" s="159" t="str">
        <f t="shared" si="76"/>
        <v>LR-Oakland and Alameda-San Francisco Richmond District-Social recreation</v>
      </c>
      <c r="B1650">
        <v>18</v>
      </c>
      <c r="C1650" t="str">
        <f t="shared" si="77"/>
        <v>Oakland and Alameda</v>
      </c>
      <c r="D1650">
        <v>2</v>
      </c>
      <c r="E1650" t="str">
        <f t="shared" si="77"/>
        <v>San Francisco Richmond District</v>
      </c>
      <c r="F1650" t="s">
        <v>324</v>
      </c>
      <c r="G1650">
        <f t="shared" si="75"/>
        <v>5</v>
      </c>
      <c r="H1650" t="s">
        <v>353</v>
      </c>
      <c r="I1650" t="s">
        <v>194</v>
      </c>
      <c r="J1650">
        <v>1</v>
      </c>
      <c r="K1650">
        <v>1240.22676579926</v>
      </c>
      <c r="Z1650"/>
    </row>
    <row r="1651" spans="1:26" x14ac:dyDescent="0.25">
      <c r="A1651" s="159" t="str">
        <f t="shared" si="76"/>
        <v>LB-Oakland and Alameda-San Francisco Richmond District-Social recreation</v>
      </c>
      <c r="B1651">
        <v>18</v>
      </c>
      <c r="C1651" t="str">
        <f t="shared" si="77"/>
        <v>Oakland and Alameda</v>
      </c>
      <c r="D1651">
        <v>2</v>
      </c>
      <c r="E1651" t="str">
        <f t="shared" si="77"/>
        <v>San Francisco Richmond District</v>
      </c>
      <c r="F1651" t="s">
        <v>324</v>
      </c>
      <c r="G1651">
        <f t="shared" si="75"/>
        <v>5</v>
      </c>
      <c r="H1651" t="s">
        <v>359</v>
      </c>
      <c r="I1651" t="s">
        <v>191</v>
      </c>
      <c r="J1651">
        <v>1</v>
      </c>
      <c r="K1651">
        <v>270.93214285714299</v>
      </c>
      <c r="Z1651"/>
    </row>
    <row r="1652" spans="1:26" x14ac:dyDescent="0.25">
      <c r="A1652" s="159" t="str">
        <f t="shared" si="76"/>
        <v>EB-Oakland and Alameda-San Francisco Richmond District-Work</v>
      </c>
      <c r="B1652">
        <v>18</v>
      </c>
      <c r="C1652" t="str">
        <f t="shared" si="77"/>
        <v>Oakland and Alameda</v>
      </c>
      <c r="D1652">
        <v>2</v>
      </c>
      <c r="E1652" t="str">
        <f t="shared" si="77"/>
        <v>San Francisco Richmond District</v>
      </c>
      <c r="F1652" t="s">
        <v>30</v>
      </c>
      <c r="G1652">
        <f t="shared" si="75"/>
        <v>1</v>
      </c>
      <c r="H1652" t="s">
        <v>123</v>
      </c>
      <c r="I1652" t="s">
        <v>182</v>
      </c>
      <c r="J1652">
        <v>1</v>
      </c>
      <c r="K1652">
        <v>270.93214285714299</v>
      </c>
      <c r="Z1652"/>
    </row>
    <row r="1653" spans="1:26" x14ac:dyDescent="0.25">
      <c r="A1653" s="159" t="str">
        <f t="shared" si="76"/>
        <v>FR-Oakland and Alameda-San Francisco Richmond District-Work</v>
      </c>
      <c r="B1653">
        <v>18</v>
      </c>
      <c r="C1653" t="str">
        <f t="shared" si="77"/>
        <v>Oakland and Alameda</v>
      </c>
      <c r="D1653">
        <v>2</v>
      </c>
      <c r="E1653" t="str">
        <f t="shared" si="77"/>
        <v>San Francisco Richmond District</v>
      </c>
      <c r="F1653" t="s">
        <v>30</v>
      </c>
      <c r="G1653">
        <f t="shared" si="75"/>
        <v>1</v>
      </c>
      <c r="H1653" t="s">
        <v>360</v>
      </c>
      <c r="I1653" t="s">
        <v>185</v>
      </c>
      <c r="J1653">
        <v>11</v>
      </c>
      <c r="K1653">
        <v>133.692300263953</v>
      </c>
      <c r="Z1653"/>
    </row>
    <row r="1654" spans="1:26" x14ac:dyDescent="0.25">
      <c r="A1654" s="159" t="str">
        <f t="shared" si="76"/>
        <v>HR-Oakland and Alameda-San Francisco Richmond District-Work</v>
      </c>
      <c r="B1654">
        <v>18</v>
      </c>
      <c r="C1654" t="str">
        <f t="shared" si="77"/>
        <v>Oakland and Alameda</v>
      </c>
      <c r="D1654">
        <v>2</v>
      </c>
      <c r="E1654" t="str">
        <f t="shared" si="77"/>
        <v>San Francisco Richmond District</v>
      </c>
      <c r="F1654" t="s">
        <v>30</v>
      </c>
      <c r="G1654">
        <f t="shared" si="75"/>
        <v>1</v>
      </c>
      <c r="H1654" t="s">
        <v>124</v>
      </c>
      <c r="I1654" t="s">
        <v>188</v>
      </c>
      <c r="J1654">
        <v>6</v>
      </c>
      <c r="K1654">
        <v>574.93259668508199</v>
      </c>
      <c r="Z1654"/>
    </row>
    <row r="1655" spans="1:26" x14ac:dyDescent="0.25">
      <c r="A1655" s="159" t="str">
        <f t="shared" si="76"/>
        <v>LR-Oakland and Alameda-San Francisco Richmond District-Work</v>
      </c>
      <c r="B1655">
        <v>18</v>
      </c>
      <c r="C1655" t="str">
        <f t="shared" si="77"/>
        <v>Oakland and Alameda</v>
      </c>
      <c r="D1655">
        <v>2</v>
      </c>
      <c r="E1655" t="str">
        <f t="shared" si="77"/>
        <v>San Francisco Richmond District</v>
      </c>
      <c r="F1655" t="s">
        <v>30</v>
      </c>
      <c r="G1655">
        <f t="shared" si="75"/>
        <v>1</v>
      </c>
      <c r="H1655" t="s">
        <v>353</v>
      </c>
      <c r="I1655" t="s">
        <v>194</v>
      </c>
      <c r="J1655">
        <v>1</v>
      </c>
      <c r="K1655">
        <v>286.12835472578797</v>
      </c>
      <c r="Z1655"/>
    </row>
    <row r="1656" spans="1:26" x14ac:dyDescent="0.25">
      <c r="A1656" s="159" t="str">
        <f t="shared" si="76"/>
        <v>LB-Oakland and Alameda-San Francisco Richmond District-Work</v>
      </c>
      <c r="B1656">
        <v>18</v>
      </c>
      <c r="C1656" t="str">
        <f t="shared" si="77"/>
        <v>Oakland and Alameda</v>
      </c>
      <c r="D1656">
        <v>2</v>
      </c>
      <c r="E1656" t="str">
        <f t="shared" si="77"/>
        <v>San Francisco Richmond District</v>
      </c>
      <c r="F1656" t="s">
        <v>30</v>
      </c>
      <c r="G1656">
        <f t="shared" si="75"/>
        <v>1</v>
      </c>
      <c r="H1656" t="s">
        <v>359</v>
      </c>
      <c r="I1656" t="s">
        <v>191</v>
      </c>
      <c r="J1656">
        <v>5</v>
      </c>
      <c r="K1656">
        <v>1220.0886814469</v>
      </c>
      <c r="Z1656"/>
    </row>
    <row r="1657" spans="1:26" x14ac:dyDescent="0.25">
      <c r="A1657" s="159" t="str">
        <f t="shared" si="76"/>
        <v>LB-Oakland and Alameda-San Francisco Mission District-High school</v>
      </c>
      <c r="B1657">
        <v>18</v>
      </c>
      <c r="C1657" t="str">
        <f t="shared" si="77"/>
        <v>Oakland and Alameda</v>
      </c>
      <c r="D1657">
        <v>3</v>
      </c>
      <c r="E1657" t="str">
        <f t="shared" si="77"/>
        <v>San Francisco Mission District</v>
      </c>
      <c r="F1657" t="s">
        <v>326</v>
      </c>
      <c r="G1657">
        <f t="shared" si="75"/>
        <v>3</v>
      </c>
      <c r="H1657" t="s">
        <v>359</v>
      </c>
      <c r="I1657" t="s">
        <v>191</v>
      </c>
      <c r="J1657">
        <v>1</v>
      </c>
      <c r="K1657">
        <v>75.575262543757304</v>
      </c>
      <c r="Z1657"/>
    </row>
    <row r="1658" spans="1:26" x14ac:dyDescent="0.25">
      <c r="A1658" s="159" t="str">
        <f t="shared" si="76"/>
        <v>FR-Oakland and Alameda-San Francisco Mission District-Other maintenance</v>
      </c>
      <c r="B1658">
        <v>18</v>
      </c>
      <c r="C1658" t="str">
        <f t="shared" si="77"/>
        <v>Oakland and Alameda</v>
      </c>
      <c r="D1658">
        <v>3</v>
      </c>
      <c r="E1658" t="str">
        <f t="shared" si="77"/>
        <v>San Francisco Mission District</v>
      </c>
      <c r="F1658" t="s">
        <v>325</v>
      </c>
      <c r="G1658">
        <f t="shared" si="75"/>
        <v>4</v>
      </c>
      <c r="H1658" t="s">
        <v>360</v>
      </c>
      <c r="I1658" t="s">
        <v>185</v>
      </c>
      <c r="J1658">
        <v>1</v>
      </c>
      <c r="K1658">
        <v>11.719387755102</v>
      </c>
      <c r="Z1658"/>
    </row>
    <row r="1659" spans="1:26" x14ac:dyDescent="0.25">
      <c r="A1659" s="159" t="str">
        <f t="shared" si="76"/>
        <v>HR-Oakland and Alameda-San Francisco Mission District-Other maintenance</v>
      </c>
      <c r="B1659">
        <v>18</v>
      </c>
      <c r="C1659" t="str">
        <f t="shared" si="77"/>
        <v>Oakland and Alameda</v>
      </c>
      <c r="D1659">
        <v>3</v>
      </c>
      <c r="E1659" t="str">
        <f t="shared" si="77"/>
        <v>San Francisco Mission District</v>
      </c>
      <c r="F1659" t="s">
        <v>325</v>
      </c>
      <c r="G1659">
        <f t="shared" si="75"/>
        <v>4</v>
      </c>
      <c r="H1659" t="s">
        <v>124</v>
      </c>
      <c r="I1659" t="s">
        <v>188</v>
      </c>
      <c r="J1659">
        <v>2</v>
      </c>
      <c r="K1659">
        <v>391.02790697674402</v>
      </c>
      <c r="Z1659"/>
    </row>
    <row r="1660" spans="1:26" x14ac:dyDescent="0.25">
      <c r="A1660" s="159" t="str">
        <f t="shared" si="76"/>
        <v>LB-Oakland and Alameda-San Francisco Mission District-Other maintenance</v>
      </c>
      <c r="B1660">
        <v>18</v>
      </c>
      <c r="C1660" t="str">
        <f t="shared" si="77"/>
        <v>Oakland and Alameda</v>
      </c>
      <c r="D1660">
        <v>3</v>
      </c>
      <c r="E1660" t="str">
        <f t="shared" si="77"/>
        <v>San Francisco Mission District</v>
      </c>
      <c r="F1660" t="s">
        <v>325</v>
      </c>
      <c r="G1660">
        <f t="shared" si="75"/>
        <v>4</v>
      </c>
      <c r="H1660" t="s">
        <v>359</v>
      </c>
      <c r="I1660" t="s">
        <v>191</v>
      </c>
      <c r="J1660">
        <v>1</v>
      </c>
      <c r="K1660">
        <v>75.575262543757304</v>
      </c>
      <c r="Z1660"/>
    </row>
    <row r="1661" spans="1:26" x14ac:dyDescent="0.25">
      <c r="A1661" s="159" t="str">
        <f t="shared" si="76"/>
        <v>EB-Oakland and Alameda-San Francisco Mission District-Shopping</v>
      </c>
      <c r="B1661">
        <v>18</v>
      </c>
      <c r="C1661" t="str">
        <f t="shared" si="77"/>
        <v>Oakland and Alameda</v>
      </c>
      <c r="D1661">
        <v>3</v>
      </c>
      <c r="E1661" t="str">
        <f t="shared" si="77"/>
        <v>San Francisco Mission District</v>
      </c>
      <c r="F1661" t="s">
        <v>106</v>
      </c>
      <c r="G1661">
        <f t="shared" si="75"/>
        <v>4</v>
      </c>
      <c r="H1661" t="s">
        <v>123</v>
      </c>
      <c r="I1661" t="s">
        <v>182</v>
      </c>
      <c r="J1661">
        <v>1</v>
      </c>
      <c r="K1661">
        <v>75.575262543757304</v>
      </c>
      <c r="Z1661"/>
    </row>
    <row r="1662" spans="1:26" x14ac:dyDescent="0.25">
      <c r="A1662" s="159" t="str">
        <f t="shared" si="76"/>
        <v>FR-Oakland and Alameda-San Francisco Mission District-Social recreation</v>
      </c>
      <c r="B1662">
        <v>18</v>
      </c>
      <c r="C1662" t="str">
        <f t="shared" si="77"/>
        <v>Oakland and Alameda</v>
      </c>
      <c r="D1662">
        <v>3</v>
      </c>
      <c r="E1662" t="str">
        <f t="shared" si="77"/>
        <v>San Francisco Mission District</v>
      </c>
      <c r="F1662" t="s">
        <v>324</v>
      </c>
      <c r="G1662">
        <f t="shared" si="75"/>
        <v>5</v>
      </c>
      <c r="H1662" t="s">
        <v>360</v>
      </c>
      <c r="I1662" t="s">
        <v>185</v>
      </c>
      <c r="J1662">
        <v>5</v>
      </c>
      <c r="K1662">
        <v>77.713078606836802</v>
      </c>
      <c r="Z1662"/>
    </row>
    <row r="1663" spans="1:26" x14ac:dyDescent="0.25">
      <c r="A1663" s="159" t="str">
        <f t="shared" si="76"/>
        <v>HR-Oakland and Alameda-San Francisco Mission District-Social recreation</v>
      </c>
      <c r="B1663">
        <v>18</v>
      </c>
      <c r="C1663" t="str">
        <f t="shared" si="77"/>
        <v>Oakland and Alameda</v>
      </c>
      <c r="D1663">
        <v>3</v>
      </c>
      <c r="E1663" t="str">
        <f t="shared" si="77"/>
        <v>San Francisco Mission District</v>
      </c>
      <c r="F1663" t="s">
        <v>324</v>
      </c>
      <c r="G1663">
        <f t="shared" si="75"/>
        <v>5</v>
      </c>
      <c r="H1663" t="s">
        <v>124</v>
      </c>
      <c r="I1663" t="s">
        <v>188</v>
      </c>
      <c r="J1663">
        <v>7</v>
      </c>
      <c r="K1663">
        <v>1169.21396633688</v>
      </c>
      <c r="Z1663"/>
    </row>
    <row r="1664" spans="1:26" x14ac:dyDescent="0.25">
      <c r="A1664" s="159" t="str">
        <f t="shared" si="76"/>
        <v>EB-Oakland and Alameda-San Francisco Mission District-Work</v>
      </c>
      <c r="B1664">
        <v>18</v>
      </c>
      <c r="C1664" t="str">
        <f t="shared" si="77"/>
        <v>Oakland and Alameda</v>
      </c>
      <c r="D1664">
        <v>3</v>
      </c>
      <c r="E1664" t="str">
        <f t="shared" si="77"/>
        <v>San Francisco Mission District</v>
      </c>
      <c r="F1664" t="s">
        <v>30</v>
      </c>
      <c r="G1664">
        <f t="shared" si="75"/>
        <v>1</v>
      </c>
      <c r="H1664" t="s">
        <v>123</v>
      </c>
      <c r="I1664" t="s">
        <v>182</v>
      </c>
      <c r="J1664">
        <v>1</v>
      </c>
      <c r="K1664">
        <v>75.575262543757304</v>
      </c>
      <c r="Z1664"/>
    </row>
    <row r="1665" spans="1:26" x14ac:dyDescent="0.25">
      <c r="A1665" s="159" t="str">
        <f t="shared" si="76"/>
        <v>FR-Oakland and Alameda-San Francisco Mission District-Work</v>
      </c>
      <c r="B1665">
        <v>18</v>
      </c>
      <c r="C1665" t="str">
        <f t="shared" si="77"/>
        <v>Oakland and Alameda</v>
      </c>
      <c r="D1665">
        <v>3</v>
      </c>
      <c r="E1665" t="str">
        <f t="shared" si="77"/>
        <v>San Francisco Mission District</v>
      </c>
      <c r="F1665" t="s">
        <v>30</v>
      </c>
      <c r="G1665">
        <f t="shared" si="75"/>
        <v>1</v>
      </c>
      <c r="H1665" t="s">
        <v>360</v>
      </c>
      <c r="I1665" t="s">
        <v>185</v>
      </c>
      <c r="J1665">
        <v>18</v>
      </c>
      <c r="K1665">
        <v>210.94897959183601</v>
      </c>
      <c r="Z1665"/>
    </row>
    <row r="1666" spans="1:26" x14ac:dyDescent="0.25">
      <c r="A1666" s="159" t="str">
        <f t="shared" si="76"/>
        <v>HR-Oakland and Alameda-San Francisco Mission District-Work</v>
      </c>
      <c r="B1666">
        <v>18</v>
      </c>
      <c r="C1666" t="str">
        <f t="shared" si="77"/>
        <v>Oakland and Alameda</v>
      </c>
      <c r="D1666">
        <v>3</v>
      </c>
      <c r="E1666" t="str">
        <f t="shared" si="77"/>
        <v>San Francisco Mission District</v>
      </c>
      <c r="F1666" t="s">
        <v>30</v>
      </c>
      <c r="G1666">
        <f t="shared" ref="G1666:G1729" si="78">VLOOKUP(F1666,$V$2:$X$10, 3,FALSE)</f>
        <v>1</v>
      </c>
      <c r="H1666" t="s">
        <v>124</v>
      </c>
      <c r="I1666" t="s">
        <v>188</v>
      </c>
      <c r="J1666">
        <v>7</v>
      </c>
      <c r="K1666">
        <v>770.44655017345406</v>
      </c>
      <c r="Z1666"/>
    </row>
    <row r="1667" spans="1:26" x14ac:dyDescent="0.25">
      <c r="A1667" s="159" t="str">
        <f t="shared" ref="A1667:A1730" si="79" xml:space="preserve"> CONCATENATE(I1667,"-",C1667, "-",E1667, "-",F1667,)</f>
        <v>LR-Oakland and Alameda-San Francisco Mission District-Work</v>
      </c>
      <c r="B1667">
        <v>18</v>
      </c>
      <c r="C1667" t="str">
        <f t="shared" ref="C1667:E1730" si="80">VLOOKUP(B1667,$S$2:$T$35,2,FALSE)</f>
        <v>Oakland and Alameda</v>
      </c>
      <c r="D1667">
        <v>3</v>
      </c>
      <c r="E1667" t="str">
        <f t="shared" si="80"/>
        <v>San Francisco Mission District</v>
      </c>
      <c r="F1667" t="s">
        <v>30</v>
      </c>
      <c r="G1667">
        <f t="shared" si="78"/>
        <v>1</v>
      </c>
      <c r="H1667" t="s">
        <v>353</v>
      </c>
      <c r="I1667" t="s">
        <v>194</v>
      </c>
      <c r="J1667">
        <v>1</v>
      </c>
      <c r="K1667">
        <v>286.12835472578797</v>
      </c>
      <c r="Z1667"/>
    </row>
    <row r="1668" spans="1:26" x14ac:dyDescent="0.25">
      <c r="A1668" s="159" t="str">
        <f t="shared" si="79"/>
        <v>LB-Oakland and Alameda-San Francisco Mission District-Work</v>
      </c>
      <c r="B1668">
        <v>18</v>
      </c>
      <c r="C1668" t="str">
        <f t="shared" si="80"/>
        <v>Oakland and Alameda</v>
      </c>
      <c r="D1668">
        <v>3</v>
      </c>
      <c r="E1668" t="str">
        <f t="shared" si="80"/>
        <v>San Francisco Mission District</v>
      </c>
      <c r="F1668" t="s">
        <v>30</v>
      </c>
      <c r="G1668">
        <f t="shared" si="78"/>
        <v>1</v>
      </c>
      <c r="H1668" t="s">
        <v>359</v>
      </c>
      <c r="I1668" t="s">
        <v>191</v>
      </c>
      <c r="J1668">
        <v>9</v>
      </c>
      <c r="K1668">
        <v>2364.60210035006</v>
      </c>
      <c r="Z1668"/>
    </row>
    <row r="1669" spans="1:26" x14ac:dyDescent="0.25">
      <c r="A1669" s="159" t="str">
        <f t="shared" si="79"/>
        <v>HR-Oakland and Alameda-San Francisco Sunset District-High school</v>
      </c>
      <c r="B1669">
        <v>18</v>
      </c>
      <c r="C1669" t="str">
        <f t="shared" si="80"/>
        <v>Oakland and Alameda</v>
      </c>
      <c r="D1669">
        <v>4</v>
      </c>
      <c r="E1669" t="str">
        <f t="shared" si="80"/>
        <v>San Francisco Sunset District</v>
      </c>
      <c r="F1669" t="s">
        <v>326</v>
      </c>
      <c r="G1669">
        <f t="shared" si="78"/>
        <v>3</v>
      </c>
      <c r="H1669" t="s">
        <v>124</v>
      </c>
      <c r="I1669" t="s">
        <v>188</v>
      </c>
      <c r="J1669">
        <v>2</v>
      </c>
      <c r="K1669">
        <v>191.64419889502699</v>
      </c>
      <c r="Z1669"/>
    </row>
    <row r="1670" spans="1:26" x14ac:dyDescent="0.25">
      <c r="A1670" s="159" t="str">
        <f t="shared" si="79"/>
        <v>LR-Oakland and Alameda-San Francisco Sunset District-High school</v>
      </c>
      <c r="B1670">
        <v>18</v>
      </c>
      <c r="C1670" t="str">
        <f t="shared" si="80"/>
        <v>Oakland and Alameda</v>
      </c>
      <c r="D1670">
        <v>4</v>
      </c>
      <c r="E1670" t="str">
        <f t="shared" si="80"/>
        <v>San Francisco Sunset District</v>
      </c>
      <c r="F1670" t="s">
        <v>326</v>
      </c>
      <c r="G1670">
        <f t="shared" si="78"/>
        <v>3</v>
      </c>
      <c r="H1670" t="s">
        <v>353</v>
      </c>
      <c r="I1670" t="s">
        <v>194</v>
      </c>
      <c r="J1670">
        <v>1</v>
      </c>
      <c r="K1670">
        <v>286.12835472578797</v>
      </c>
      <c r="Z1670"/>
    </row>
    <row r="1671" spans="1:26" x14ac:dyDescent="0.25">
      <c r="A1671" s="159" t="str">
        <f t="shared" si="79"/>
        <v>LB-Oakland and Alameda-San Francisco Sunset District-High school</v>
      </c>
      <c r="B1671">
        <v>18</v>
      </c>
      <c r="C1671" t="str">
        <f t="shared" si="80"/>
        <v>Oakland and Alameda</v>
      </c>
      <c r="D1671">
        <v>4</v>
      </c>
      <c r="E1671" t="str">
        <f t="shared" si="80"/>
        <v>San Francisco Sunset District</v>
      </c>
      <c r="F1671" t="s">
        <v>326</v>
      </c>
      <c r="G1671">
        <f t="shared" si="78"/>
        <v>3</v>
      </c>
      <c r="H1671" t="s">
        <v>359</v>
      </c>
      <c r="I1671" t="s">
        <v>191</v>
      </c>
      <c r="J1671">
        <v>1</v>
      </c>
      <c r="K1671">
        <v>75.575262543757304</v>
      </c>
      <c r="Z1671"/>
    </row>
    <row r="1672" spans="1:26" x14ac:dyDescent="0.25">
      <c r="A1672" s="159" t="str">
        <f t="shared" si="79"/>
        <v>HR-Oakland and Alameda-San Francisco Sunset District-Other maintenance</v>
      </c>
      <c r="B1672">
        <v>18</v>
      </c>
      <c r="C1672" t="str">
        <f t="shared" si="80"/>
        <v>Oakland and Alameda</v>
      </c>
      <c r="D1672">
        <v>4</v>
      </c>
      <c r="E1672" t="str">
        <f t="shared" si="80"/>
        <v>San Francisco Sunset District</v>
      </c>
      <c r="F1672" t="s">
        <v>325</v>
      </c>
      <c r="G1672">
        <f t="shared" si="78"/>
        <v>4</v>
      </c>
      <c r="H1672" t="s">
        <v>124</v>
      </c>
      <c r="I1672" t="s">
        <v>188</v>
      </c>
      <c r="J1672">
        <v>1</v>
      </c>
      <c r="K1672">
        <v>95.822099447513807</v>
      </c>
      <c r="Z1672"/>
    </row>
    <row r="1673" spans="1:26" x14ac:dyDescent="0.25">
      <c r="A1673" s="159" t="str">
        <f t="shared" si="79"/>
        <v>LR-Oakland and Alameda-San Francisco Sunset District-Other maintenance</v>
      </c>
      <c r="B1673">
        <v>18</v>
      </c>
      <c r="C1673" t="str">
        <f t="shared" si="80"/>
        <v>Oakland and Alameda</v>
      </c>
      <c r="D1673">
        <v>4</v>
      </c>
      <c r="E1673" t="str">
        <f t="shared" si="80"/>
        <v>San Francisco Sunset District</v>
      </c>
      <c r="F1673" t="s">
        <v>325</v>
      </c>
      <c r="G1673">
        <f t="shared" si="78"/>
        <v>4</v>
      </c>
      <c r="H1673" t="s">
        <v>353</v>
      </c>
      <c r="I1673" t="s">
        <v>194</v>
      </c>
      <c r="J1673">
        <v>1</v>
      </c>
      <c r="K1673">
        <v>1240.22676579926</v>
      </c>
      <c r="Z1673"/>
    </row>
    <row r="1674" spans="1:26" x14ac:dyDescent="0.25">
      <c r="A1674" s="159" t="str">
        <f t="shared" si="79"/>
        <v>EB-Oakland and Alameda-San Francisco Sunset District-Social recreation</v>
      </c>
      <c r="B1674">
        <v>18</v>
      </c>
      <c r="C1674" t="str">
        <f t="shared" si="80"/>
        <v>Oakland and Alameda</v>
      </c>
      <c r="D1674">
        <v>4</v>
      </c>
      <c r="E1674" t="str">
        <f t="shared" si="80"/>
        <v>San Francisco Sunset District</v>
      </c>
      <c r="F1674" t="s">
        <v>324</v>
      </c>
      <c r="G1674">
        <f t="shared" si="78"/>
        <v>5</v>
      </c>
      <c r="H1674" t="s">
        <v>123</v>
      </c>
      <c r="I1674" t="s">
        <v>182</v>
      </c>
      <c r="J1674">
        <v>1</v>
      </c>
      <c r="K1674">
        <v>75.575262543757304</v>
      </c>
      <c r="Z1674"/>
    </row>
    <row r="1675" spans="1:26" x14ac:dyDescent="0.25">
      <c r="A1675" s="159" t="str">
        <f t="shared" si="79"/>
        <v>LR-Oakland and Alameda-San Francisco Sunset District-Social recreation</v>
      </c>
      <c r="B1675">
        <v>18</v>
      </c>
      <c r="C1675" t="str">
        <f t="shared" si="80"/>
        <v>Oakland and Alameda</v>
      </c>
      <c r="D1675">
        <v>4</v>
      </c>
      <c r="E1675" t="str">
        <f t="shared" si="80"/>
        <v>San Francisco Sunset District</v>
      </c>
      <c r="F1675" t="s">
        <v>324</v>
      </c>
      <c r="G1675">
        <f t="shared" si="78"/>
        <v>5</v>
      </c>
      <c r="H1675" t="s">
        <v>353</v>
      </c>
      <c r="I1675" t="s">
        <v>194</v>
      </c>
      <c r="J1675">
        <v>2</v>
      </c>
      <c r="K1675">
        <v>2480.4535315985199</v>
      </c>
      <c r="Z1675"/>
    </row>
    <row r="1676" spans="1:26" x14ac:dyDescent="0.25">
      <c r="A1676" s="159" t="str">
        <f t="shared" si="79"/>
        <v>FR-Oakland and Alameda-San Francisco Sunset District-Work</v>
      </c>
      <c r="B1676">
        <v>18</v>
      </c>
      <c r="C1676" t="str">
        <f t="shared" si="80"/>
        <v>Oakland and Alameda</v>
      </c>
      <c r="D1676">
        <v>4</v>
      </c>
      <c r="E1676" t="str">
        <f t="shared" si="80"/>
        <v>San Francisco Sunset District</v>
      </c>
      <c r="F1676" t="s">
        <v>30</v>
      </c>
      <c r="G1676">
        <f t="shared" si="78"/>
        <v>1</v>
      </c>
      <c r="H1676" t="s">
        <v>360</v>
      </c>
      <c r="I1676" t="s">
        <v>185</v>
      </c>
      <c r="J1676">
        <v>2</v>
      </c>
      <c r="K1676">
        <v>23.438775510204</v>
      </c>
      <c r="Z1676"/>
    </row>
    <row r="1677" spans="1:26" x14ac:dyDescent="0.25">
      <c r="A1677" s="159" t="str">
        <f t="shared" si="79"/>
        <v>HR-Oakland and Alameda-San Francisco Sunset District-Work</v>
      </c>
      <c r="B1677">
        <v>18</v>
      </c>
      <c r="C1677" t="str">
        <f t="shared" si="80"/>
        <v>Oakland and Alameda</v>
      </c>
      <c r="D1677">
        <v>4</v>
      </c>
      <c r="E1677" t="str">
        <f t="shared" si="80"/>
        <v>San Francisco Sunset District</v>
      </c>
      <c r="F1677" t="s">
        <v>30</v>
      </c>
      <c r="G1677">
        <f t="shared" si="78"/>
        <v>1</v>
      </c>
      <c r="H1677" t="s">
        <v>124</v>
      </c>
      <c r="I1677" t="s">
        <v>188</v>
      </c>
      <c r="J1677">
        <v>3</v>
      </c>
      <c r="K1677">
        <v>287.46629834254099</v>
      </c>
      <c r="Z1677"/>
    </row>
    <row r="1678" spans="1:26" x14ac:dyDescent="0.25">
      <c r="A1678" s="159" t="str">
        <f t="shared" si="79"/>
        <v>LR-Oakland and Alameda-San Francisco Sunset District-Work</v>
      </c>
      <c r="B1678">
        <v>18</v>
      </c>
      <c r="C1678" t="str">
        <f t="shared" si="80"/>
        <v>Oakland and Alameda</v>
      </c>
      <c r="D1678">
        <v>4</v>
      </c>
      <c r="E1678" t="str">
        <f t="shared" si="80"/>
        <v>San Francisco Sunset District</v>
      </c>
      <c r="F1678" t="s">
        <v>30</v>
      </c>
      <c r="G1678">
        <f t="shared" si="78"/>
        <v>1</v>
      </c>
      <c r="H1678" t="s">
        <v>353</v>
      </c>
      <c r="I1678" t="s">
        <v>194</v>
      </c>
      <c r="J1678">
        <v>1</v>
      </c>
      <c r="K1678">
        <v>286.12835472578797</v>
      </c>
      <c r="Z1678"/>
    </row>
    <row r="1679" spans="1:26" x14ac:dyDescent="0.25">
      <c r="A1679" s="159" t="str">
        <f t="shared" si="79"/>
        <v>LB-Oakland and Alameda-San Francisco Sunset District-Work</v>
      </c>
      <c r="B1679">
        <v>18</v>
      </c>
      <c r="C1679" t="str">
        <f t="shared" si="80"/>
        <v>Oakland and Alameda</v>
      </c>
      <c r="D1679">
        <v>4</v>
      </c>
      <c r="E1679" t="str">
        <f t="shared" si="80"/>
        <v>San Francisco Sunset District</v>
      </c>
      <c r="F1679" t="s">
        <v>30</v>
      </c>
      <c r="G1679">
        <f t="shared" si="78"/>
        <v>1</v>
      </c>
      <c r="H1679" t="s">
        <v>359</v>
      </c>
      <c r="I1679" t="s">
        <v>191</v>
      </c>
      <c r="J1679">
        <v>1</v>
      </c>
      <c r="K1679">
        <v>75.575262543757304</v>
      </c>
      <c r="Z1679"/>
    </row>
    <row r="1680" spans="1:26" x14ac:dyDescent="0.25">
      <c r="A1680" s="159" t="str">
        <f t="shared" si="79"/>
        <v>HR-Oakland and Alameda-Daly City and San Bruno-High school</v>
      </c>
      <c r="B1680">
        <v>18</v>
      </c>
      <c r="C1680" t="str">
        <f t="shared" si="80"/>
        <v>Oakland and Alameda</v>
      </c>
      <c r="D1680">
        <v>5</v>
      </c>
      <c r="E1680" t="str">
        <f t="shared" si="80"/>
        <v>Daly City and San Bruno</v>
      </c>
      <c r="F1680" t="s">
        <v>326</v>
      </c>
      <c r="G1680">
        <f t="shared" si="78"/>
        <v>3</v>
      </c>
      <c r="H1680" t="s">
        <v>124</v>
      </c>
      <c r="I1680" t="s">
        <v>188</v>
      </c>
      <c r="J1680">
        <v>1</v>
      </c>
      <c r="K1680">
        <v>95.822099447513807</v>
      </c>
      <c r="Z1680"/>
    </row>
    <row r="1681" spans="1:26" x14ac:dyDescent="0.25">
      <c r="A1681" s="159" t="str">
        <f t="shared" si="79"/>
        <v>LB-Oakland and Alameda-Daly City and San Bruno-High school</v>
      </c>
      <c r="B1681">
        <v>18</v>
      </c>
      <c r="C1681" t="str">
        <f t="shared" si="80"/>
        <v>Oakland and Alameda</v>
      </c>
      <c r="D1681">
        <v>5</v>
      </c>
      <c r="E1681" t="str">
        <f t="shared" si="80"/>
        <v>Daly City and San Bruno</v>
      </c>
      <c r="F1681" t="s">
        <v>326</v>
      </c>
      <c r="G1681">
        <f t="shared" si="78"/>
        <v>3</v>
      </c>
      <c r="H1681" t="s">
        <v>359</v>
      </c>
      <c r="I1681" t="s">
        <v>191</v>
      </c>
      <c r="J1681">
        <v>2</v>
      </c>
      <c r="K1681">
        <v>325.477246207701</v>
      </c>
      <c r="Z1681"/>
    </row>
    <row r="1682" spans="1:26" x14ac:dyDescent="0.25">
      <c r="A1682" s="159" t="str">
        <f t="shared" si="79"/>
        <v>EB-Oakland and Alameda-Daly City and San Bruno-Missing</v>
      </c>
      <c r="B1682">
        <v>18</v>
      </c>
      <c r="C1682" t="str">
        <f t="shared" si="80"/>
        <v>Oakland and Alameda</v>
      </c>
      <c r="D1682">
        <v>5</v>
      </c>
      <c r="E1682" t="str">
        <f t="shared" si="80"/>
        <v>Daly City and San Bruno</v>
      </c>
      <c r="F1682" t="s">
        <v>327</v>
      </c>
      <c r="G1682">
        <f t="shared" si="78"/>
        <v>0</v>
      </c>
      <c r="H1682" t="s">
        <v>123</v>
      </c>
      <c r="I1682" t="s">
        <v>182</v>
      </c>
      <c r="J1682">
        <v>1</v>
      </c>
      <c r="K1682">
        <v>75.575262543757304</v>
      </c>
      <c r="Z1682"/>
    </row>
    <row r="1683" spans="1:26" x14ac:dyDescent="0.25">
      <c r="A1683" s="159" t="str">
        <f t="shared" si="79"/>
        <v>HR-Oakland and Alameda-Daly City and San Bruno-Missing</v>
      </c>
      <c r="B1683">
        <v>18</v>
      </c>
      <c r="C1683" t="str">
        <f t="shared" si="80"/>
        <v>Oakland and Alameda</v>
      </c>
      <c r="D1683">
        <v>5</v>
      </c>
      <c r="E1683" t="str">
        <f t="shared" si="80"/>
        <v>Daly City and San Bruno</v>
      </c>
      <c r="F1683" t="s">
        <v>327</v>
      </c>
      <c r="G1683">
        <f t="shared" si="78"/>
        <v>0</v>
      </c>
      <c r="H1683" t="s">
        <v>124</v>
      </c>
      <c r="I1683" t="s">
        <v>188</v>
      </c>
      <c r="J1683">
        <v>3</v>
      </c>
      <c r="K1683">
        <v>287.46629834254099</v>
      </c>
      <c r="Z1683"/>
    </row>
    <row r="1684" spans="1:26" x14ac:dyDescent="0.25">
      <c r="A1684" s="159" t="str">
        <f t="shared" si="79"/>
        <v>HR-Oakland and Alameda-Daly City and San Bruno-Other maintenance</v>
      </c>
      <c r="B1684">
        <v>18</v>
      </c>
      <c r="C1684" t="str">
        <f t="shared" si="80"/>
        <v>Oakland and Alameda</v>
      </c>
      <c r="D1684">
        <v>5</v>
      </c>
      <c r="E1684" t="str">
        <f t="shared" si="80"/>
        <v>Daly City and San Bruno</v>
      </c>
      <c r="F1684" t="s">
        <v>325</v>
      </c>
      <c r="G1684">
        <f t="shared" si="78"/>
        <v>4</v>
      </c>
      <c r="H1684" t="s">
        <v>124</v>
      </c>
      <c r="I1684" t="s">
        <v>188</v>
      </c>
      <c r="J1684">
        <v>1</v>
      </c>
      <c r="K1684">
        <v>95.822099447513807</v>
      </c>
      <c r="Z1684"/>
    </row>
    <row r="1685" spans="1:26" x14ac:dyDescent="0.25">
      <c r="A1685" s="159" t="str">
        <f t="shared" si="79"/>
        <v>FR-Oakland and Alameda-Daly City and San Bruno-Social recreation</v>
      </c>
      <c r="B1685">
        <v>18</v>
      </c>
      <c r="C1685" t="str">
        <f t="shared" si="80"/>
        <v>Oakland and Alameda</v>
      </c>
      <c r="D1685">
        <v>5</v>
      </c>
      <c r="E1685" t="str">
        <f t="shared" si="80"/>
        <v>Daly City and San Bruno</v>
      </c>
      <c r="F1685" t="s">
        <v>324</v>
      </c>
      <c r="G1685">
        <f t="shared" si="78"/>
        <v>5</v>
      </c>
      <c r="H1685" t="s">
        <v>360</v>
      </c>
      <c r="I1685" t="s">
        <v>185</v>
      </c>
      <c r="J1685">
        <v>1</v>
      </c>
      <c r="K1685">
        <v>11.719387755102</v>
      </c>
      <c r="Z1685"/>
    </row>
    <row r="1686" spans="1:26" x14ac:dyDescent="0.25">
      <c r="A1686" s="159" t="str">
        <f t="shared" si="79"/>
        <v>FR-Oakland and Alameda-Daly City and San Bruno-Work</v>
      </c>
      <c r="B1686">
        <v>18</v>
      </c>
      <c r="C1686" t="str">
        <f t="shared" si="80"/>
        <v>Oakland and Alameda</v>
      </c>
      <c r="D1686">
        <v>5</v>
      </c>
      <c r="E1686" t="str">
        <f t="shared" si="80"/>
        <v>Daly City and San Bruno</v>
      </c>
      <c r="F1686" t="s">
        <v>30</v>
      </c>
      <c r="G1686">
        <f t="shared" si="78"/>
        <v>1</v>
      </c>
      <c r="H1686" t="s">
        <v>360</v>
      </c>
      <c r="I1686" t="s">
        <v>185</v>
      </c>
      <c r="J1686">
        <v>30</v>
      </c>
      <c r="K1686">
        <v>351.58163265306001</v>
      </c>
      <c r="Z1686"/>
    </row>
    <row r="1687" spans="1:26" x14ac:dyDescent="0.25">
      <c r="A1687" s="159" t="str">
        <f t="shared" si="79"/>
        <v>HR-Oakland and Alameda-Daly City and San Bruno-Work</v>
      </c>
      <c r="B1687">
        <v>18</v>
      </c>
      <c r="C1687" t="str">
        <f t="shared" si="80"/>
        <v>Oakland and Alameda</v>
      </c>
      <c r="D1687">
        <v>5</v>
      </c>
      <c r="E1687" t="str">
        <f t="shared" si="80"/>
        <v>Daly City and San Bruno</v>
      </c>
      <c r="F1687" t="s">
        <v>30</v>
      </c>
      <c r="G1687">
        <f t="shared" si="78"/>
        <v>1</v>
      </c>
      <c r="H1687" t="s">
        <v>124</v>
      </c>
      <c r="I1687" t="s">
        <v>188</v>
      </c>
      <c r="J1687">
        <v>10</v>
      </c>
      <c r="K1687">
        <v>1057.9128485159899</v>
      </c>
      <c r="Z1687"/>
    </row>
    <row r="1688" spans="1:26" x14ac:dyDescent="0.25">
      <c r="A1688" s="159" t="str">
        <f t="shared" si="79"/>
        <v>CR-Oakland and Alameda-San Mateo and Burlingame-Work</v>
      </c>
      <c r="B1688">
        <v>18</v>
      </c>
      <c r="C1688" t="str">
        <f t="shared" si="80"/>
        <v>Oakland and Alameda</v>
      </c>
      <c r="D1688">
        <v>6</v>
      </c>
      <c r="E1688" t="str">
        <f t="shared" si="80"/>
        <v>San Mateo and Burlingame</v>
      </c>
      <c r="F1688" t="s">
        <v>30</v>
      </c>
      <c r="G1688">
        <f t="shared" si="78"/>
        <v>1</v>
      </c>
      <c r="H1688" t="s">
        <v>125</v>
      </c>
      <c r="I1688" t="s">
        <v>178</v>
      </c>
      <c r="J1688">
        <v>2</v>
      </c>
      <c r="K1688">
        <v>46.861016949152599</v>
      </c>
      <c r="Z1688"/>
    </row>
    <row r="1689" spans="1:26" x14ac:dyDescent="0.25">
      <c r="A1689" s="159" t="str">
        <f t="shared" si="79"/>
        <v>CR-Oakland and Alameda-Redwood City and Menlo Park-Work</v>
      </c>
      <c r="B1689">
        <v>18</v>
      </c>
      <c r="C1689" t="str">
        <f t="shared" si="80"/>
        <v>Oakland and Alameda</v>
      </c>
      <c r="D1689">
        <v>7</v>
      </c>
      <c r="E1689" t="str">
        <f t="shared" si="80"/>
        <v>Redwood City and Menlo Park</v>
      </c>
      <c r="F1689" t="s">
        <v>30</v>
      </c>
      <c r="G1689">
        <f t="shared" si="78"/>
        <v>1</v>
      </c>
      <c r="H1689" t="s">
        <v>125</v>
      </c>
      <c r="I1689" t="s">
        <v>178</v>
      </c>
      <c r="J1689">
        <v>3</v>
      </c>
      <c r="K1689">
        <v>72.007970354170496</v>
      </c>
      <c r="Z1689"/>
    </row>
    <row r="1690" spans="1:26" x14ac:dyDescent="0.25">
      <c r="A1690" s="159" t="str">
        <f t="shared" si="79"/>
        <v>HR-Oakland and Alameda-Redwood City and Menlo Park-Work</v>
      </c>
      <c r="B1690">
        <v>18</v>
      </c>
      <c r="C1690" t="str">
        <f t="shared" si="80"/>
        <v>Oakland and Alameda</v>
      </c>
      <c r="D1690">
        <v>7</v>
      </c>
      <c r="E1690" t="str">
        <f t="shared" si="80"/>
        <v>Redwood City and Menlo Park</v>
      </c>
      <c r="F1690" t="s">
        <v>30</v>
      </c>
      <c r="G1690">
        <f t="shared" si="78"/>
        <v>1</v>
      </c>
      <c r="H1690" t="s">
        <v>124</v>
      </c>
      <c r="I1690" t="s">
        <v>188</v>
      </c>
      <c r="J1690">
        <v>1</v>
      </c>
      <c r="K1690">
        <v>95.822099447513807</v>
      </c>
      <c r="Z1690"/>
    </row>
    <row r="1691" spans="1:26" x14ac:dyDescent="0.25">
      <c r="A1691" s="159" t="str">
        <f t="shared" si="79"/>
        <v>EB-Oakland and Alameda-Palo Alto and Los Altos-High school</v>
      </c>
      <c r="B1691">
        <v>18</v>
      </c>
      <c r="C1691" t="str">
        <f t="shared" si="80"/>
        <v>Oakland and Alameda</v>
      </c>
      <c r="D1691">
        <v>8</v>
      </c>
      <c r="E1691" t="str">
        <f t="shared" si="80"/>
        <v>Palo Alto and Los Altos</v>
      </c>
      <c r="F1691" t="s">
        <v>326</v>
      </c>
      <c r="G1691">
        <f t="shared" si="78"/>
        <v>3</v>
      </c>
      <c r="H1691" t="s">
        <v>123</v>
      </c>
      <c r="I1691" t="s">
        <v>182</v>
      </c>
      <c r="J1691">
        <v>1</v>
      </c>
      <c r="K1691">
        <v>3.8990384615384599</v>
      </c>
      <c r="Z1691"/>
    </row>
    <row r="1692" spans="1:26" x14ac:dyDescent="0.25">
      <c r="A1692" s="159" t="str">
        <f t="shared" si="79"/>
        <v>HR-Oakland and Alameda-Palo Alto and Los Altos-Missing</v>
      </c>
      <c r="B1692">
        <v>18</v>
      </c>
      <c r="C1692" t="str">
        <f t="shared" si="80"/>
        <v>Oakland and Alameda</v>
      </c>
      <c r="D1692">
        <v>8</v>
      </c>
      <c r="E1692" t="str">
        <f t="shared" si="80"/>
        <v>Palo Alto and Los Altos</v>
      </c>
      <c r="F1692" t="s">
        <v>327</v>
      </c>
      <c r="G1692">
        <f t="shared" si="78"/>
        <v>0</v>
      </c>
      <c r="H1692" t="s">
        <v>124</v>
      </c>
      <c r="I1692" t="s">
        <v>188</v>
      </c>
      <c r="J1692">
        <v>1</v>
      </c>
      <c r="K1692">
        <v>95.822099447513807</v>
      </c>
      <c r="Z1692"/>
    </row>
    <row r="1693" spans="1:26" x14ac:dyDescent="0.25">
      <c r="A1693" s="159" t="str">
        <f t="shared" si="79"/>
        <v>EB-Oakland and Alameda-Palo Alto and Los Altos-Other maintenance</v>
      </c>
      <c r="B1693">
        <v>18</v>
      </c>
      <c r="C1693" t="str">
        <f t="shared" si="80"/>
        <v>Oakland and Alameda</v>
      </c>
      <c r="D1693">
        <v>8</v>
      </c>
      <c r="E1693" t="str">
        <f t="shared" si="80"/>
        <v>Palo Alto and Los Altos</v>
      </c>
      <c r="F1693" t="s">
        <v>325</v>
      </c>
      <c r="G1693">
        <f t="shared" si="78"/>
        <v>4</v>
      </c>
      <c r="H1693" t="s">
        <v>123</v>
      </c>
      <c r="I1693" t="s">
        <v>182</v>
      </c>
      <c r="J1693">
        <v>1</v>
      </c>
      <c r="K1693">
        <v>3.8990384615384599</v>
      </c>
      <c r="Z1693"/>
    </row>
    <row r="1694" spans="1:26" x14ac:dyDescent="0.25">
      <c r="A1694" s="159" t="str">
        <f t="shared" si="79"/>
        <v>CR-Oakland and Alameda-Palo Alto and Los Altos-Social recreation</v>
      </c>
      <c r="B1694">
        <v>18</v>
      </c>
      <c r="C1694" t="str">
        <f t="shared" si="80"/>
        <v>Oakland and Alameda</v>
      </c>
      <c r="D1694">
        <v>8</v>
      </c>
      <c r="E1694" t="str">
        <f t="shared" si="80"/>
        <v>Palo Alto and Los Altos</v>
      </c>
      <c r="F1694" t="s">
        <v>324</v>
      </c>
      <c r="G1694">
        <f t="shared" si="78"/>
        <v>5</v>
      </c>
      <c r="H1694" t="s">
        <v>125</v>
      </c>
      <c r="I1694" t="s">
        <v>178</v>
      </c>
      <c r="J1694">
        <v>1</v>
      </c>
      <c r="K1694">
        <v>25.1469534050179</v>
      </c>
      <c r="Z1694"/>
    </row>
    <row r="1695" spans="1:26" x14ac:dyDescent="0.25">
      <c r="A1695" s="159" t="str">
        <f t="shared" si="79"/>
        <v>CR-Oakland and Alameda-Palo Alto and Los Altos-Work</v>
      </c>
      <c r="B1695">
        <v>18</v>
      </c>
      <c r="C1695" t="str">
        <f t="shared" si="80"/>
        <v>Oakland and Alameda</v>
      </c>
      <c r="D1695">
        <v>8</v>
      </c>
      <c r="E1695" t="str">
        <f t="shared" si="80"/>
        <v>Palo Alto and Los Altos</v>
      </c>
      <c r="F1695" t="s">
        <v>30</v>
      </c>
      <c r="G1695">
        <f t="shared" si="78"/>
        <v>1</v>
      </c>
      <c r="H1695" t="s">
        <v>125</v>
      </c>
      <c r="I1695" t="s">
        <v>178</v>
      </c>
      <c r="J1695">
        <v>1</v>
      </c>
      <c r="K1695">
        <v>23.4305084745763</v>
      </c>
      <c r="Z1695"/>
    </row>
    <row r="1696" spans="1:26" x14ac:dyDescent="0.25">
      <c r="A1696" s="159" t="str">
        <f t="shared" si="79"/>
        <v>EB-Oakland and Alameda-Palo Alto and Los Altos-Work</v>
      </c>
      <c r="B1696">
        <v>18</v>
      </c>
      <c r="C1696" t="str">
        <f t="shared" si="80"/>
        <v>Oakland and Alameda</v>
      </c>
      <c r="D1696">
        <v>8</v>
      </c>
      <c r="E1696" t="str">
        <f t="shared" si="80"/>
        <v>Palo Alto and Los Altos</v>
      </c>
      <c r="F1696" t="s">
        <v>30</v>
      </c>
      <c r="G1696">
        <f t="shared" si="78"/>
        <v>1</v>
      </c>
      <c r="H1696" t="s">
        <v>123</v>
      </c>
      <c r="I1696" t="s">
        <v>182</v>
      </c>
      <c r="J1696">
        <v>10</v>
      </c>
      <c r="K1696">
        <v>182.342832779822</v>
      </c>
      <c r="Z1696"/>
    </row>
    <row r="1697" spans="1:26" x14ac:dyDescent="0.25">
      <c r="A1697" s="159" t="str">
        <f t="shared" si="79"/>
        <v>LB-Oakland and Alameda-Sunnyvale and Mountain View-High school</v>
      </c>
      <c r="B1697">
        <v>18</v>
      </c>
      <c r="C1697" t="str">
        <f t="shared" si="80"/>
        <v>Oakland and Alameda</v>
      </c>
      <c r="D1697">
        <v>9</v>
      </c>
      <c r="E1697" t="str">
        <f t="shared" si="80"/>
        <v>Sunnyvale and Mountain View</v>
      </c>
      <c r="F1697" t="s">
        <v>326</v>
      </c>
      <c r="G1697">
        <f t="shared" si="78"/>
        <v>3</v>
      </c>
      <c r="H1697" t="s">
        <v>359</v>
      </c>
      <c r="I1697" t="s">
        <v>191</v>
      </c>
      <c r="J1697">
        <v>1</v>
      </c>
      <c r="K1697">
        <v>62.646773074254</v>
      </c>
      <c r="Z1697"/>
    </row>
    <row r="1698" spans="1:26" x14ac:dyDescent="0.25">
      <c r="A1698" s="159" t="str">
        <f t="shared" si="79"/>
        <v>LB-Oakland and Alameda-Sunnyvale and Mountain View-Social recreation</v>
      </c>
      <c r="B1698">
        <v>18</v>
      </c>
      <c r="C1698" t="str">
        <f t="shared" si="80"/>
        <v>Oakland and Alameda</v>
      </c>
      <c r="D1698">
        <v>9</v>
      </c>
      <c r="E1698" t="str">
        <f t="shared" si="80"/>
        <v>Sunnyvale and Mountain View</v>
      </c>
      <c r="F1698" t="s">
        <v>324</v>
      </c>
      <c r="G1698">
        <f t="shared" si="78"/>
        <v>5</v>
      </c>
      <c r="H1698" t="s">
        <v>359</v>
      </c>
      <c r="I1698" t="s">
        <v>191</v>
      </c>
      <c r="J1698">
        <v>1</v>
      </c>
      <c r="K1698">
        <v>62.646773074254</v>
      </c>
      <c r="Z1698"/>
    </row>
    <row r="1699" spans="1:26" x14ac:dyDescent="0.25">
      <c r="A1699" s="159" t="str">
        <f t="shared" si="79"/>
        <v>LR-Oakland and Alameda-Sunnyvale and Mountain View-Work</v>
      </c>
      <c r="B1699">
        <v>18</v>
      </c>
      <c r="C1699" t="str">
        <f t="shared" si="80"/>
        <v>Oakland and Alameda</v>
      </c>
      <c r="D1699">
        <v>9</v>
      </c>
      <c r="E1699" t="str">
        <f t="shared" si="80"/>
        <v>Sunnyvale and Mountain View</v>
      </c>
      <c r="F1699" t="s">
        <v>30</v>
      </c>
      <c r="G1699">
        <f t="shared" si="78"/>
        <v>1</v>
      </c>
      <c r="H1699" t="s">
        <v>353</v>
      </c>
      <c r="I1699" t="s">
        <v>194</v>
      </c>
      <c r="J1699">
        <v>1</v>
      </c>
      <c r="K1699">
        <v>62.646773074254</v>
      </c>
      <c r="Z1699"/>
    </row>
    <row r="1700" spans="1:26" x14ac:dyDescent="0.25">
      <c r="A1700" s="159" t="str">
        <f t="shared" si="79"/>
        <v>LB-Oakland and Alameda-Sunnyvale and Mountain View-Work</v>
      </c>
      <c r="B1700">
        <v>18</v>
      </c>
      <c r="C1700" t="str">
        <f t="shared" si="80"/>
        <v>Oakland and Alameda</v>
      </c>
      <c r="D1700">
        <v>9</v>
      </c>
      <c r="E1700" t="str">
        <f t="shared" si="80"/>
        <v>Sunnyvale and Mountain View</v>
      </c>
      <c r="F1700" t="s">
        <v>30</v>
      </c>
      <c r="G1700">
        <f t="shared" si="78"/>
        <v>1</v>
      </c>
      <c r="H1700" t="s">
        <v>359</v>
      </c>
      <c r="I1700" t="s">
        <v>191</v>
      </c>
      <c r="J1700">
        <v>3</v>
      </c>
      <c r="K1700">
        <v>200.86880869226499</v>
      </c>
      <c r="Z1700"/>
    </row>
    <row r="1701" spans="1:26" x14ac:dyDescent="0.25">
      <c r="A1701" s="159" t="str">
        <f t="shared" si="79"/>
        <v>HR-Oakland and Alameda-Cupertino and Saratoga-Work</v>
      </c>
      <c r="B1701">
        <v>18</v>
      </c>
      <c r="C1701" t="str">
        <f t="shared" si="80"/>
        <v>Oakland and Alameda</v>
      </c>
      <c r="D1701">
        <v>10</v>
      </c>
      <c r="E1701" t="str">
        <f t="shared" si="80"/>
        <v>Cupertino and Saratoga</v>
      </c>
      <c r="F1701" t="s">
        <v>30</v>
      </c>
      <c r="G1701">
        <f t="shared" si="78"/>
        <v>1</v>
      </c>
      <c r="H1701" t="s">
        <v>124</v>
      </c>
      <c r="I1701" t="s">
        <v>188</v>
      </c>
      <c r="J1701">
        <v>1</v>
      </c>
      <c r="K1701">
        <v>95.822099447513807</v>
      </c>
      <c r="Z1701"/>
    </row>
    <row r="1702" spans="1:26" x14ac:dyDescent="0.25">
      <c r="A1702" s="159" t="str">
        <f t="shared" si="79"/>
        <v>HR-Oakland and Alameda-Central San Jose-High school</v>
      </c>
      <c r="B1702">
        <v>18</v>
      </c>
      <c r="C1702" t="str">
        <f t="shared" si="80"/>
        <v>Oakland and Alameda</v>
      </c>
      <c r="D1702">
        <v>11</v>
      </c>
      <c r="E1702" t="str">
        <f t="shared" si="80"/>
        <v>Central San Jose</v>
      </c>
      <c r="F1702" t="s">
        <v>326</v>
      </c>
      <c r="G1702">
        <f t="shared" si="78"/>
        <v>3</v>
      </c>
      <c r="H1702" t="s">
        <v>124</v>
      </c>
      <c r="I1702" t="s">
        <v>188</v>
      </c>
      <c r="J1702">
        <v>4</v>
      </c>
      <c r="K1702">
        <v>383.288397790055</v>
      </c>
      <c r="Z1702"/>
    </row>
    <row r="1703" spans="1:26" x14ac:dyDescent="0.25">
      <c r="A1703" s="159" t="str">
        <f t="shared" si="79"/>
        <v>LB-Oakland and Alameda-Central San Jose-High school</v>
      </c>
      <c r="B1703">
        <v>18</v>
      </c>
      <c r="C1703" t="str">
        <f t="shared" si="80"/>
        <v>Oakland and Alameda</v>
      </c>
      <c r="D1703">
        <v>11</v>
      </c>
      <c r="E1703" t="str">
        <f t="shared" si="80"/>
        <v>Central San Jose</v>
      </c>
      <c r="F1703" t="s">
        <v>326</v>
      </c>
      <c r="G1703">
        <f t="shared" si="78"/>
        <v>3</v>
      </c>
      <c r="H1703" t="s">
        <v>359</v>
      </c>
      <c r="I1703" t="s">
        <v>191</v>
      </c>
      <c r="J1703">
        <v>2</v>
      </c>
      <c r="K1703">
        <v>125.293546148508</v>
      </c>
      <c r="Z1703"/>
    </row>
    <row r="1704" spans="1:26" x14ac:dyDescent="0.25">
      <c r="A1704" s="159" t="str">
        <f t="shared" si="79"/>
        <v>LB-Oakland and Alameda-Central San Jose-Missing</v>
      </c>
      <c r="B1704">
        <v>18</v>
      </c>
      <c r="C1704" t="str">
        <f t="shared" si="80"/>
        <v>Oakland and Alameda</v>
      </c>
      <c r="D1704">
        <v>11</v>
      </c>
      <c r="E1704" t="str">
        <f t="shared" si="80"/>
        <v>Central San Jose</v>
      </c>
      <c r="F1704" t="s">
        <v>327</v>
      </c>
      <c r="G1704">
        <f t="shared" si="78"/>
        <v>0</v>
      </c>
      <c r="H1704" t="s">
        <v>359</v>
      </c>
      <c r="I1704" t="s">
        <v>191</v>
      </c>
      <c r="J1704">
        <v>2</v>
      </c>
      <c r="K1704">
        <v>333.57891593139698</v>
      </c>
      <c r="Z1704"/>
    </row>
    <row r="1705" spans="1:26" x14ac:dyDescent="0.25">
      <c r="A1705" s="159" t="str">
        <f t="shared" si="79"/>
        <v>LB-Oakland and Alameda-Central San Jose-Social recreation</v>
      </c>
      <c r="B1705">
        <v>18</v>
      </c>
      <c r="C1705" t="str">
        <f t="shared" si="80"/>
        <v>Oakland and Alameda</v>
      </c>
      <c r="D1705">
        <v>11</v>
      </c>
      <c r="E1705" t="str">
        <f t="shared" si="80"/>
        <v>Central San Jose</v>
      </c>
      <c r="F1705" t="s">
        <v>324</v>
      </c>
      <c r="G1705">
        <f t="shared" si="78"/>
        <v>5</v>
      </c>
      <c r="H1705" t="s">
        <v>359</v>
      </c>
      <c r="I1705" t="s">
        <v>191</v>
      </c>
      <c r="J1705">
        <v>2</v>
      </c>
      <c r="K1705">
        <v>456.298938223937</v>
      </c>
      <c r="Z1705"/>
    </row>
    <row r="1706" spans="1:26" x14ac:dyDescent="0.25">
      <c r="A1706" s="159" t="str">
        <f t="shared" si="79"/>
        <v>HR-Oakland and Alameda-Central San Jose-Work</v>
      </c>
      <c r="B1706">
        <v>18</v>
      </c>
      <c r="C1706" t="str">
        <f t="shared" si="80"/>
        <v>Oakland and Alameda</v>
      </c>
      <c r="D1706">
        <v>11</v>
      </c>
      <c r="E1706" t="str">
        <f t="shared" si="80"/>
        <v>Central San Jose</v>
      </c>
      <c r="F1706" t="s">
        <v>30</v>
      </c>
      <c r="G1706">
        <f t="shared" si="78"/>
        <v>1</v>
      </c>
      <c r="H1706" t="s">
        <v>124</v>
      </c>
      <c r="I1706" t="s">
        <v>188</v>
      </c>
      <c r="J1706">
        <v>2</v>
      </c>
      <c r="K1706">
        <v>191.64419889502699</v>
      </c>
      <c r="Z1706"/>
    </row>
    <row r="1707" spans="1:26" x14ac:dyDescent="0.25">
      <c r="A1707" s="159" t="str">
        <f t="shared" si="79"/>
        <v>LB-Oakland and Alameda-Central San Jose-Work</v>
      </c>
      <c r="B1707">
        <v>18</v>
      </c>
      <c r="C1707" t="str">
        <f t="shared" si="80"/>
        <v>Oakland and Alameda</v>
      </c>
      <c r="D1707">
        <v>11</v>
      </c>
      <c r="E1707" t="str">
        <f t="shared" si="80"/>
        <v>Central San Jose</v>
      </c>
      <c r="F1707" t="s">
        <v>30</v>
      </c>
      <c r="G1707">
        <f t="shared" si="78"/>
        <v>1</v>
      </c>
      <c r="H1707" t="s">
        <v>359</v>
      </c>
      <c r="I1707" t="s">
        <v>191</v>
      </c>
      <c r="J1707">
        <v>4</v>
      </c>
      <c r="K1707">
        <v>373.30711458955699</v>
      </c>
      <c r="Z1707"/>
    </row>
    <row r="1708" spans="1:26" x14ac:dyDescent="0.25">
      <c r="A1708" s="159" t="str">
        <f t="shared" si="79"/>
        <v>LB-Oakland and Alameda-Milpitas and East San Jose-Missing</v>
      </c>
      <c r="B1708">
        <v>18</v>
      </c>
      <c r="C1708" t="str">
        <f t="shared" si="80"/>
        <v>Oakland and Alameda</v>
      </c>
      <c r="D1708">
        <v>12</v>
      </c>
      <c r="E1708" t="str">
        <f t="shared" si="80"/>
        <v>Milpitas and East San Jose</v>
      </c>
      <c r="F1708" t="s">
        <v>327</v>
      </c>
      <c r="G1708">
        <f t="shared" si="78"/>
        <v>0</v>
      </c>
      <c r="H1708" t="s">
        <v>359</v>
      </c>
      <c r="I1708" t="s">
        <v>191</v>
      </c>
      <c r="J1708">
        <v>1</v>
      </c>
      <c r="K1708">
        <v>62.646773074254</v>
      </c>
      <c r="Z1708"/>
    </row>
    <row r="1709" spans="1:26" x14ac:dyDescent="0.25">
      <c r="A1709" s="159" t="str">
        <f t="shared" si="79"/>
        <v>HR-Oakland and Alameda-Milpitas and East San Jose-Work</v>
      </c>
      <c r="B1709">
        <v>18</v>
      </c>
      <c r="C1709" t="str">
        <f t="shared" si="80"/>
        <v>Oakland and Alameda</v>
      </c>
      <c r="D1709">
        <v>12</v>
      </c>
      <c r="E1709" t="str">
        <f t="shared" si="80"/>
        <v>Milpitas and East San Jose</v>
      </c>
      <c r="F1709" t="s">
        <v>30</v>
      </c>
      <c r="G1709">
        <f t="shared" si="78"/>
        <v>1</v>
      </c>
      <c r="H1709" t="s">
        <v>124</v>
      </c>
      <c r="I1709" t="s">
        <v>188</v>
      </c>
      <c r="J1709">
        <v>1</v>
      </c>
      <c r="K1709">
        <v>95.822099447513807</v>
      </c>
      <c r="Z1709"/>
    </row>
    <row r="1710" spans="1:26" x14ac:dyDescent="0.25">
      <c r="A1710" s="159" t="str">
        <f t="shared" si="79"/>
        <v>LB-Oakland and Alameda-Milpitas and East San Jose-Work</v>
      </c>
      <c r="B1710">
        <v>18</v>
      </c>
      <c r="C1710" t="str">
        <f t="shared" si="80"/>
        <v>Oakland and Alameda</v>
      </c>
      <c r="D1710">
        <v>12</v>
      </c>
      <c r="E1710" t="str">
        <f t="shared" si="80"/>
        <v>Milpitas and East San Jose</v>
      </c>
      <c r="F1710" t="s">
        <v>30</v>
      </c>
      <c r="G1710">
        <f t="shared" si="78"/>
        <v>1</v>
      </c>
      <c r="H1710" t="s">
        <v>359</v>
      </c>
      <c r="I1710" t="s">
        <v>191</v>
      </c>
      <c r="J1710">
        <v>1</v>
      </c>
      <c r="K1710">
        <v>185.366795366795</v>
      </c>
      <c r="Z1710"/>
    </row>
    <row r="1711" spans="1:26" x14ac:dyDescent="0.25">
      <c r="A1711" s="159" t="str">
        <f t="shared" si="79"/>
        <v>HR-Oakland and Alameda-South San Jose-Social recreation</v>
      </c>
      <c r="B1711">
        <v>18</v>
      </c>
      <c r="C1711" t="str">
        <f t="shared" si="80"/>
        <v>Oakland and Alameda</v>
      </c>
      <c r="D1711">
        <v>13</v>
      </c>
      <c r="E1711" t="str">
        <f t="shared" si="80"/>
        <v>South San Jose</v>
      </c>
      <c r="F1711" t="s">
        <v>324</v>
      </c>
      <c r="G1711">
        <f t="shared" si="78"/>
        <v>5</v>
      </c>
      <c r="H1711" t="s">
        <v>124</v>
      </c>
      <c r="I1711" t="s">
        <v>188</v>
      </c>
      <c r="J1711">
        <v>1</v>
      </c>
      <c r="K1711">
        <v>95.822099447513807</v>
      </c>
      <c r="Z1711"/>
    </row>
    <row r="1712" spans="1:26" x14ac:dyDescent="0.25">
      <c r="A1712" s="159" t="str">
        <f t="shared" si="79"/>
        <v>LB-Oakland and Alameda-Livermore and Pleasanton-High school</v>
      </c>
      <c r="B1712">
        <v>18</v>
      </c>
      <c r="C1712" t="str">
        <f t="shared" si="80"/>
        <v>Oakland and Alameda</v>
      </c>
      <c r="D1712">
        <v>15</v>
      </c>
      <c r="E1712" t="str">
        <f t="shared" si="80"/>
        <v>Livermore and Pleasanton</v>
      </c>
      <c r="F1712" t="s">
        <v>326</v>
      </c>
      <c r="G1712">
        <f t="shared" si="78"/>
        <v>3</v>
      </c>
      <c r="H1712" t="s">
        <v>359</v>
      </c>
      <c r="I1712" t="s">
        <v>191</v>
      </c>
      <c r="J1712">
        <v>1</v>
      </c>
      <c r="K1712">
        <v>14.1111111111111</v>
      </c>
      <c r="Z1712"/>
    </row>
    <row r="1713" spans="1:26" x14ac:dyDescent="0.25">
      <c r="A1713" s="159" t="str">
        <f t="shared" si="79"/>
        <v>HR-Oakland and Alameda-Livermore and Pleasanton-Shopping</v>
      </c>
      <c r="B1713">
        <v>18</v>
      </c>
      <c r="C1713" t="str">
        <f t="shared" si="80"/>
        <v>Oakland and Alameda</v>
      </c>
      <c r="D1713">
        <v>15</v>
      </c>
      <c r="E1713" t="str">
        <f t="shared" si="80"/>
        <v>Livermore and Pleasanton</v>
      </c>
      <c r="F1713" t="s">
        <v>106</v>
      </c>
      <c r="G1713">
        <f t="shared" si="78"/>
        <v>4</v>
      </c>
      <c r="H1713" t="s">
        <v>124</v>
      </c>
      <c r="I1713" t="s">
        <v>188</v>
      </c>
      <c r="J1713">
        <v>1</v>
      </c>
      <c r="K1713">
        <v>95.822099447513807</v>
      </c>
      <c r="Z1713"/>
    </row>
    <row r="1714" spans="1:26" x14ac:dyDescent="0.25">
      <c r="A1714" s="159" t="str">
        <f t="shared" si="79"/>
        <v>LB-Oakland and Alameda-Livermore and Pleasanton-Social recreation</v>
      </c>
      <c r="B1714">
        <v>18</v>
      </c>
      <c r="C1714" t="str">
        <f t="shared" si="80"/>
        <v>Oakland and Alameda</v>
      </c>
      <c r="D1714">
        <v>15</v>
      </c>
      <c r="E1714" t="str">
        <f t="shared" si="80"/>
        <v>Livermore and Pleasanton</v>
      </c>
      <c r="F1714" t="s">
        <v>324</v>
      </c>
      <c r="G1714">
        <f t="shared" si="78"/>
        <v>5</v>
      </c>
      <c r="H1714" t="s">
        <v>359</v>
      </c>
      <c r="I1714" t="s">
        <v>191</v>
      </c>
      <c r="J1714">
        <v>1</v>
      </c>
      <c r="K1714">
        <v>14.1111111111111</v>
      </c>
      <c r="Z1714"/>
    </row>
    <row r="1715" spans="1:26" x14ac:dyDescent="0.25">
      <c r="A1715" s="159" t="str">
        <f t="shared" si="79"/>
        <v>HR-Oakland and Alameda-Livermore and Pleasanton-Work</v>
      </c>
      <c r="B1715">
        <v>18</v>
      </c>
      <c r="C1715" t="str">
        <f t="shared" si="80"/>
        <v>Oakland and Alameda</v>
      </c>
      <c r="D1715">
        <v>15</v>
      </c>
      <c r="E1715" t="str">
        <f t="shared" si="80"/>
        <v>Livermore and Pleasanton</v>
      </c>
      <c r="F1715" t="s">
        <v>30</v>
      </c>
      <c r="G1715">
        <f t="shared" si="78"/>
        <v>1</v>
      </c>
      <c r="H1715" t="s">
        <v>124</v>
      </c>
      <c r="I1715" t="s">
        <v>188</v>
      </c>
      <c r="J1715">
        <v>4</v>
      </c>
      <c r="K1715">
        <v>383.288397790055</v>
      </c>
      <c r="Z1715"/>
    </row>
    <row r="1716" spans="1:26" x14ac:dyDescent="0.25">
      <c r="A1716" s="159" t="str">
        <f t="shared" si="79"/>
        <v>LB-Oakland and Alameda-Livermore and Pleasanton-Work</v>
      </c>
      <c r="B1716">
        <v>18</v>
      </c>
      <c r="C1716" t="str">
        <f t="shared" si="80"/>
        <v>Oakland and Alameda</v>
      </c>
      <c r="D1716">
        <v>15</v>
      </c>
      <c r="E1716" t="str">
        <f t="shared" si="80"/>
        <v>Livermore and Pleasanton</v>
      </c>
      <c r="F1716" t="s">
        <v>30</v>
      </c>
      <c r="G1716">
        <f t="shared" si="78"/>
        <v>1</v>
      </c>
      <c r="H1716" t="s">
        <v>359</v>
      </c>
      <c r="I1716" t="s">
        <v>191</v>
      </c>
      <c r="J1716">
        <v>7</v>
      </c>
      <c r="K1716">
        <v>221.70608064307001</v>
      </c>
      <c r="Z1716"/>
    </row>
    <row r="1717" spans="1:26" x14ac:dyDescent="0.25">
      <c r="A1717" s="159" t="str">
        <f t="shared" si="79"/>
        <v>LB-Oakland and Alameda-Fremont and Union City-High school</v>
      </c>
      <c r="B1717">
        <v>18</v>
      </c>
      <c r="C1717" t="str">
        <f t="shared" si="80"/>
        <v>Oakland and Alameda</v>
      </c>
      <c r="D1717">
        <v>16</v>
      </c>
      <c r="E1717" t="str">
        <f t="shared" si="80"/>
        <v>Fremont and Union City</v>
      </c>
      <c r="F1717" t="s">
        <v>326</v>
      </c>
      <c r="G1717">
        <f t="shared" si="78"/>
        <v>3</v>
      </c>
      <c r="H1717" t="s">
        <v>359</v>
      </c>
      <c r="I1717" t="s">
        <v>191</v>
      </c>
      <c r="J1717">
        <v>3</v>
      </c>
      <c r="K1717">
        <v>157.41139465273099</v>
      </c>
      <c r="Z1717"/>
    </row>
    <row r="1718" spans="1:26" x14ac:dyDescent="0.25">
      <c r="A1718" s="159" t="str">
        <f t="shared" si="79"/>
        <v>HR-Oakland and Alameda-Fremont and Union City-Other maintenance</v>
      </c>
      <c r="B1718">
        <v>18</v>
      </c>
      <c r="C1718" t="str">
        <f t="shared" si="80"/>
        <v>Oakland and Alameda</v>
      </c>
      <c r="D1718">
        <v>16</v>
      </c>
      <c r="E1718" t="str">
        <f t="shared" si="80"/>
        <v>Fremont and Union City</v>
      </c>
      <c r="F1718" t="s">
        <v>325</v>
      </c>
      <c r="G1718">
        <f t="shared" si="78"/>
        <v>4</v>
      </c>
      <c r="H1718" t="s">
        <v>124</v>
      </c>
      <c r="I1718" t="s">
        <v>188</v>
      </c>
      <c r="J1718">
        <v>1</v>
      </c>
      <c r="K1718">
        <v>95.822099447513807</v>
      </c>
      <c r="Z1718"/>
    </row>
    <row r="1719" spans="1:26" x14ac:dyDescent="0.25">
      <c r="A1719" s="159" t="str">
        <f t="shared" si="79"/>
        <v>EB-Oakland and Alameda-Fremont and Union City-Work</v>
      </c>
      <c r="B1719">
        <v>18</v>
      </c>
      <c r="C1719" t="str">
        <f t="shared" si="80"/>
        <v>Oakland and Alameda</v>
      </c>
      <c r="D1719">
        <v>16</v>
      </c>
      <c r="E1719" t="str">
        <f t="shared" si="80"/>
        <v>Fremont and Union City</v>
      </c>
      <c r="F1719" t="s">
        <v>30</v>
      </c>
      <c r="G1719">
        <f t="shared" si="78"/>
        <v>1</v>
      </c>
      <c r="H1719" t="s">
        <v>123</v>
      </c>
      <c r="I1719" t="s">
        <v>182</v>
      </c>
      <c r="J1719">
        <v>1</v>
      </c>
      <c r="K1719">
        <v>3.8990384615384599</v>
      </c>
      <c r="Z1719"/>
    </row>
    <row r="1720" spans="1:26" x14ac:dyDescent="0.25">
      <c r="A1720" s="159" t="str">
        <f t="shared" si="79"/>
        <v>HR-Oakland and Alameda-Fremont and Union City-Work</v>
      </c>
      <c r="B1720">
        <v>18</v>
      </c>
      <c r="C1720" t="str">
        <f t="shared" si="80"/>
        <v>Oakland and Alameda</v>
      </c>
      <c r="D1720">
        <v>16</v>
      </c>
      <c r="E1720" t="str">
        <f t="shared" si="80"/>
        <v>Fremont and Union City</v>
      </c>
      <c r="F1720" t="s">
        <v>30</v>
      </c>
      <c r="G1720">
        <f t="shared" si="78"/>
        <v>1</v>
      </c>
      <c r="H1720" t="s">
        <v>124</v>
      </c>
      <c r="I1720" t="s">
        <v>188</v>
      </c>
      <c r="J1720">
        <v>10</v>
      </c>
      <c r="K1720">
        <v>958.22099447513801</v>
      </c>
      <c r="Z1720"/>
    </row>
    <row r="1721" spans="1:26" x14ac:dyDescent="0.25">
      <c r="A1721" s="159" t="str">
        <f t="shared" si="79"/>
        <v>LB-Oakland and Alameda-Fremont and Union City-Work</v>
      </c>
      <c r="B1721">
        <v>18</v>
      </c>
      <c r="C1721" t="str">
        <f t="shared" si="80"/>
        <v>Oakland and Alameda</v>
      </c>
      <c r="D1721">
        <v>16</v>
      </c>
      <c r="E1721" t="str">
        <f t="shared" si="80"/>
        <v>Fremont and Union City</v>
      </c>
      <c r="F1721" t="s">
        <v>30</v>
      </c>
      <c r="G1721">
        <f t="shared" si="78"/>
        <v>1</v>
      </c>
      <c r="H1721" t="s">
        <v>359</v>
      </c>
      <c r="I1721" t="s">
        <v>191</v>
      </c>
      <c r="J1721">
        <v>3</v>
      </c>
      <c r="K1721">
        <v>291.64642857142798</v>
      </c>
      <c r="Z1721"/>
    </row>
    <row r="1722" spans="1:26" x14ac:dyDescent="0.25">
      <c r="A1722" s="159" t="str">
        <f t="shared" si="79"/>
        <v>EB-Oakland and Alameda-Hayward and San Leandro-High school</v>
      </c>
      <c r="B1722">
        <v>18</v>
      </c>
      <c r="C1722" t="str">
        <f t="shared" si="80"/>
        <v>Oakland and Alameda</v>
      </c>
      <c r="D1722">
        <v>17</v>
      </c>
      <c r="E1722" t="str">
        <f t="shared" si="80"/>
        <v>Hayward and San Leandro</v>
      </c>
      <c r="F1722" t="s">
        <v>326</v>
      </c>
      <c r="G1722">
        <f t="shared" si="78"/>
        <v>3</v>
      </c>
      <c r="H1722" t="s">
        <v>123</v>
      </c>
      <c r="I1722" t="s">
        <v>182</v>
      </c>
      <c r="J1722">
        <v>1</v>
      </c>
      <c r="K1722">
        <v>75.575262543757304</v>
      </c>
      <c r="Z1722"/>
    </row>
    <row r="1723" spans="1:26" x14ac:dyDescent="0.25">
      <c r="A1723" s="159" t="str">
        <f t="shared" si="79"/>
        <v>HR-Oakland and Alameda-Hayward and San Leandro-High school</v>
      </c>
      <c r="B1723">
        <v>18</v>
      </c>
      <c r="C1723" t="str">
        <f t="shared" si="80"/>
        <v>Oakland and Alameda</v>
      </c>
      <c r="D1723">
        <v>17</v>
      </c>
      <c r="E1723" t="str">
        <f t="shared" si="80"/>
        <v>Hayward and San Leandro</v>
      </c>
      <c r="F1723" t="s">
        <v>326</v>
      </c>
      <c r="G1723">
        <f t="shared" si="78"/>
        <v>3</v>
      </c>
      <c r="H1723" t="s">
        <v>124</v>
      </c>
      <c r="I1723" t="s">
        <v>188</v>
      </c>
      <c r="J1723">
        <v>2</v>
      </c>
      <c r="K1723">
        <v>191.64419889502699</v>
      </c>
      <c r="Z1723"/>
    </row>
    <row r="1724" spans="1:26" x14ac:dyDescent="0.25">
      <c r="A1724" s="159" t="str">
        <f t="shared" si="79"/>
        <v>LB-Oakland and Alameda-Hayward and San Leandro-High school</v>
      </c>
      <c r="B1724">
        <v>18</v>
      </c>
      <c r="C1724" t="str">
        <f t="shared" si="80"/>
        <v>Oakland and Alameda</v>
      </c>
      <c r="D1724">
        <v>17</v>
      </c>
      <c r="E1724" t="str">
        <f t="shared" si="80"/>
        <v>Hayward and San Leandro</v>
      </c>
      <c r="F1724" t="s">
        <v>326</v>
      </c>
      <c r="G1724">
        <f t="shared" si="78"/>
        <v>3</v>
      </c>
      <c r="H1724" t="s">
        <v>359</v>
      </c>
      <c r="I1724" t="s">
        <v>191</v>
      </c>
      <c r="J1724">
        <v>1</v>
      </c>
      <c r="K1724">
        <v>75.575262543757304</v>
      </c>
      <c r="Z1724"/>
    </row>
    <row r="1725" spans="1:26" x14ac:dyDescent="0.25">
      <c r="A1725" s="159" t="str">
        <f t="shared" si="79"/>
        <v>EB-Oakland and Alameda-Hayward and San Leandro-Missing</v>
      </c>
      <c r="B1725">
        <v>18</v>
      </c>
      <c r="C1725" t="str">
        <f t="shared" si="80"/>
        <v>Oakland and Alameda</v>
      </c>
      <c r="D1725">
        <v>17</v>
      </c>
      <c r="E1725" t="str">
        <f t="shared" si="80"/>
        <v>Hayward and San Leandro</v>
      </c>
      <c r="F1725" t="s">
        <v>327</v>
      </c>
      <c r="G1725">
        <f t="shared" si="78"/>
        <v>0</v>
      </c>
      <c r="H1725" t="s">
        <v>123</v>
      </c>
      <c r="I1725" t="s">
        <v>182</v>
      </c>
      <c r="J1725">
        <v>4</v>
      </c>
      <c r="K1725">
        <v>497.65793048841402</v>
      </c>
      <c r="Z1725"/>
    </row>
    <row r="1726" spans="1:26" x14ac:dyDescent="0.25">
      <c r="A1726" s="159" t="str">
        <f t="shared" si="79"/>
        <v>LB-Oakland and Alameda-Hayward and San Leandro-Missing</v>
      </c>
      <c r="B1726">
        <v>18</v>
      </c>
      <c r="C1726" t="str">
        <f t="shared" si="80"/>
        <v>Oakland and Alameda</v>
      </c>
      <c r="D1726">
        <v>17</v>
      </c>
      <c r="E1726" t="str">
        <f t="shared" si="80"/>
        <v>Hayward and San Leandro</v>
      </c>
      <c r="F1726" t="s">
        <v>327</v>
      </c>
      <c r="G1726">
        <f t="shared" si="78"/>
        <v>0</v>
      </c>
      <c r="H1726" t="s">
        <v>359</v>
      </c>
      <c r="I1726" t="s">
        <v>191</v>
      </c>
      <c r="J1726">
        <v>5</v>
      </c>
      <c r="K1726">
        <v>963.94695365894302</v>
      </c>
      <c r="Z1726"/>
    </row>
    <row r="1727" spans="1:26" x14ac:dyDescent="0.25">
      <c r="A1727" s="159" t="str">
        <f t="shared" si="79"/>
        <v>EB-Oakland and Alameda-Hayward and San Leandro-Other maintenance</v>
      </c>
      <c r="B1727">
        <v>18</v>
      </c>
      <c r="C1727" t="str">
        <f t="shared" si="80"/>
        <v>Oakland and Alameda</v>
      </c>
      <c r="D1727">
        <v>17</v>
      </c>
      <c r="E1727" t="str">
        <f t="shared" si="80"/>
        <v>Hayward and San Leandro</v>
      </c>
      <c r="F1727" t="s">
        <v>325</v>
      </c>
      <c r="G1727">
        <f t="shared" si="78"/>
        <v>4</v>
      </c>
      <c r="H1727" t="s">
        <v>123</v>
      </c>
      <c r="I1727" t="s">
        <v>182</v>
      </c>
      <c r="J1727">
        <v>3</v>
      </c>
      <c r="K1727">
        <v>226.725787631271</v>
      </c>
      <c r="Z1727"/>
    </row>
    <row r="1728" spans="1:26" x14ac:dyDescent="0.25">
      <c r="A1728" s="159" t="str">
        <f t="shared" si="79"/>
        <v>HR-Oakland and Alameda-Hayward and San Leandro-Other maintenance</v>
      </c>
      <c r="B1728">
        <v>18</v>
      </c>
      <c r="C1728" t="str">
        <f t="shared" si="80"/>
        <v>Oakland and Alameda</v>
      </c>
      <c r="D1728">
        <v>17</v>
      </c>
      <c r="E1728" t="str">
        <f t="shared" si="80"/>
        <v>Hayward and San Leandro</v>
      </c>
      <c r="F1728" t="s">
        <v>325</v>
      </c>
      <c r="G1728">
        <f t="shared" si="78"/>
        <v>4</v>
      </c>
      <c r="H1728" t="s">
        <v>124</v>
      </c>
      <c r="I1728" t="s">
        <v>188</v>
      </c>
      <c r="J1728">
        <v>2</v>
      </c>
      <c r="K1728">
        <v>191.64419889502699</v>
      </c>
      <c r="Z1728"/>
    </row>
    <row r="1729" spans="1:26" x14ac:dyDescent="0.25">
      <c r="A1729" s="159" t="str">
        <f t="shared" si="79"/>
        <v>LB-Oakland and Alameda-Hayward and San Leandro-Other maintenance</v>
      </c>
      <c r="B1729">
        <v>18</v>
      </c>
      <c r="C1729" t="str">
        <f t="shared" si="80"/>
        <v>Oakland and Alameda</v>
      </c>
      <c r="D1729">
        <v>17</v>
      </c>
      <c r="E1729" t="str">
        <f t="shared" si="80"/>
        <v>Hayward and San Leandro</v>
      </c>
      <c r="F1729" t="s">
        <v>325</v>
      </c>
      <c r="G1729">
        <f t="shared" si="78"/>
        <v>4</v>
      </c>
      <c r="H1729" t="s">
        <v>359</v>
      </c>
      <c r="I1729" t="s">
        <v>191</v>
      </c>
      <c r="J1729">
        <v>4</v>
      </c>
      <c r="K1729">
        <v>497.65793048841402</v>
      </c>
      <c r="Z1729"/>
    </row>
    <row r="1730" spans="1:26" x14ac:dyDescent="0.25">
      <c r="A1730" s="159" t="str">
        <f t="shared" si="79"/>
        <v>EB-Oakland and Alameda-Hayward and San Leandro-Shopping</v>
      </c>
      <c r="B1730">
        <v>18</v>
      </c>
      <c r="C1730" t="str">
        <f t="shared" si="80"/>
        <v>Oakland and Alameda</v>
      </c>
      <c r="D1730">
        <v>17</v>
      </c>
      <c r="E1730" t="str">
        <f t="shared" si="80"/>
        <v>Hayward and San Leandro</v>
      </c>
      <c r="F1730" t="s">
        <v>106</v>
      </c>
      <c r="G1730">
        <f t="shared" ref="G1730:G1793" si="81">VLOOKUP(F1730,$V$2:$X$10, 3,FALSE)</f>
        <v>4</v>
      </c>
      <c r="H1730" t="s">
        <v>123</v>
      </c>
      <c r="I1730" t="s">
        <v>182</v>
      </c>
      <c r="J1730">
        <v>1</v>
      </c>
      <c r="K1730">
        <v>75.575262543757304</v>
      </c>
      <c r="Z1730"/>
    </row>
    <row r="1731" spans="1:26" x14ac:dyDescent="0.25">
      <c r="A1731" s="159" t="str">
        <f t="shared" ref="A1731:A1794" si="82" xml:space="preserve"> CONCATENATE(I1731,"-",C1731, "-",E1731, "-",F1731,)</f>
        <v>LB-Oakland and Alameda-Hayward and San Leandro-Shopping</v>
      </c>
      <c r="B1731">
        <v>18</v>
      </c>
      <c r="C1731" t="str">
        <f t="shared" ref="C1731:E1794" si="83">VLOOKUP(B1731,$S$2:$T$35,2,FALSE)</f>
        <v>Oakland and Alameda</v>
      </c>
      <c r="D1731">
        <v>17</v>
      </c>
      <c r="E1731" t="str">
        <f t="shared" si="83"/>
        <v>Hayward and San Leandro</v>
      </c>
      <c r="F1731" t="s">
        <v>106</v>
      </c>
      <c r="G1731">
        <f t="shared" si="81"/>
        <v>4</v>
      </c>
      <c r="H1731" t="s">
        <v>359</v>
      </c>
      <c r="I1731" t="s">
        <v>191</v>
      </c>
      <c r="J1731">
        <v>1</v>
      </c>
      <c r="K1731">
        <v>75.575262543757304</v>
      </c>
      <c r="Z1731"/>
    </row>
    <row r="1732" spans="1:26" x14ac:dyDescent="0.25">
      <c r="A1732" s="159" t="str">
        <f t="shared" si="82"/>
        <v>HR-Oakland and Alameda-Hayward and San Leandro-Social recreation</v>
      </c>
      <c r="B1732">
        <v>18</v>
      </c>
      <c r="C1732" t="str">
        <f t="shared" si="83"/>
        <v>Oakland and Alameda</v>
      </c>
      <c r="D1732">
        <v>17</v>
      </c>
      <c r="E1732" t="str">
        <f t="shared" si="83"/>
        <v>Hayward and San Leandro</v>
      </c>
      <c r="F1732" t="s">
        <v>324</v>
      </c>
      <c r="G1732">
        <f t="shared" si="81"/>
        <v>5</v>
      </c>
      <c r="H1732" t="s">
        <v>124</v>
      </c>
      <c r="I1732" t="s">
        <v>188</v>
      </c>
      <c r="J1732">
        <v>3</v>
      </c>
      <c r="K1732">
        <v>287.46629834254099</v>
      </c>
      <c r="Z1732"/>
    </row>
    <row r="1733" spans="1:26" x14ac:dyDescent="0.25">
      <c r="A1733" s="159" t="str">
        <f t="shared" si="82"/>
        <v>LB-Oakland and Alameda-Hayward and San Leandro-Social recreation</v>
      </c>
      <c r="B1733">
        <v>18</v>
      </c>
      <c r="C1733" t="str">
        <f t="shared" si="83"/>
        <v>Oakland and Alameda</v>
      </c>
      <c r="D1733">
        <v>17</v>
      </c>
      <c r="E1733" t="str">
        <f t="shared" si="83"/>
        <v>Hayward and San Leandro</v>
      </c>
      <c r="F1733" t="s">
        <v>324</v>
      </c>
      <c r="G1733">
        <f t="shared" si="81"/>
        <v>5</v>
      </c>
      <c r="H1733" t="s">
        <v>359</v>
      </c>
      <c r="I1733" t="s">
        <v>191</v>
      </c>
      <c r="J1733">
        <v>4</v>
      </c>
      <c r="K1733">
        <v>497.65793048841402</v>
      </c>
      <c r="Z1733"/>
    </row>
    <row r="1734" spans="1:26" x14ac:dyDescent="0.25">
      <c r="A1734" s="159" t="str">
        <f t="shared" si="82"/>
        <v>EB-Oakland and Alameda-Hayward and San Leandro-Work</v>
      </c>
      <c r="B1734">
        <v>18</v>
      </c>
      <c r="C1734" t="str">
        <f t="shared" si="83"/>
        <v>Oakland and Alameda</v>
      </c>
      <c r="D1734">
        <v>17</v>
      </c>
      <c r="E1734" t="str">
        <f t="shared" si="83"/>
        <v>Hayward and San Leandro</v>
      </c>
      <c r="F1734" t="s">
        <v>30</v>
      </c>
      <c r="G1734">
        <f t="shared" si="81"/>
        <v>1</v>
      </c>
      <c r="H1734" t="s">
        <v>123</v>
      </c>
      <c r="I1734" t="s">
        <v>182</v>
      </c>
      <c r="J1734">
        <v>6</v>
      </c>
      <c r="K1734">
        <v>453.45157526254297</v>
      </c>
      <c r="Z1734"/>
    </row>
    <row r="1735" spans="1:26" x14ac:dyDescent="0.25">
      <c r="A1735" s="159" t="str">
        <f t="shared" si="82"/>
        <v>HR-Oakland and Alameda-Hayward and San Leandro-Work</v>
      </c>
      <c r="B1735">
        <v>18</v>
      </c>
      <c r="C1735" t="str">
        <f t="shared" si="83"/>
        <v>Oakland and Alameda</v>
      </c>
      <c r="D1735">
        <v>17</v>
      </c>
      <c r="E1735" t="str">
        <f t="shared" si="83"/>
        <v>Hayward and San Leandro</v>
      </c>
      <c r="F1735" t="s">
        <v>30</v>
      </c>
      <c r="G1735">
        <f t="shared" si="81"/>
        <v>1</v>
      </c>
      <c r="H1735" t="s">
        <v>124</v>
      </c>
      <c r="I1735" t="s">
        <v>188</v>
      </c>
      <c r="J1735">
        <v>12</v>
      </c>
      <c r="K1735">
        <v>1249.55704741102</v>
      </c>
      <c r="Z1735"/>
    </row>
    <row r="1736" spans="1:26" x14ac:dyDescent="0.25">
      <c r="A1736" s="159" t="str">
        <f t="shared" si="82"/>
        <v>LB-Oakland and Alameda-Hayward and San Leandro-Work</v>
      </c>
      <c r="B1736">
        <v>18</v>
      </c>
      <c r="C1736" t="str">
        <f t="shared" si="83"/>
        <v>Oakland and Alameda</v>
      </c>
      <c r="D1736">
        <v>17</v>
      </c>
      <c r="E1736" t="str">
        <f t="shared" si="83"/>
        <v>Hayward and San Leandro</v>
      </c>
      <c r="F1736" t="s">
        <v>30</v>
      </c>
      <c r="G1736">
        <f t="shared" si="81"/>
        <v>1</v>
      </c>
      <c r="H1736" t="s">
        <v>359</v>
      </c>
      <c r="I1736" t="s">
        <v>191</v>
      </c>
      <c r="J1736">
        <v>15</v>
      </c>
      <c r="K1736">
        <v>1524.3426987831299</v>
      </c>
      <c r="Z1736"/>
    </row>
    <row r="1737" spans="1:26" x14ac:dyDescent="0.25">
      <c r="A1737" s="159" t="str">
        <f t="shared" si="82"/>
        <v>EB-Oakland and Alameda-Oakland and Alameda-High school</v>
      </c>
      <c r="B1737">
        <v>18</v>
      </c>
      <c r="C1737" t="str">
        <f t="shared" si="83"/>
        <v>Oakland and Alameda</v>
      </c>
      <c r="D1737">
        <v>18</v>
      </c>
      <c r="E1737" t="str">
        <f t="shared" si="83"/>
        <v>Oakland and Alameda</v>
      </c>
      <c r="F1737" t="s">
        <v>326</v>
      </c>
      <c r="G1737">
        <f t="shared" si="81"/>
        <v>3</v>
      </c>
      <c r="H1737" t="s">
        <v>123</v>
      </c>
      <c r="I1737" t="s">
        <v>182</v>
      </c>
      <c r="J1737">
        <v>7</v>
      </c>
      <c r="K1737">
        <v>529.02683780630105</v>
      </c>
      <c r="Z1737"/>
    </row>
    <row r="1738" spans="1:26" x14ac:dyDescent="0.25">
      <c r="A1738" s="159" t="str">
        <f t="shared" si="82"/>
        <v>HR-Oakland and Alameda-Oakland and Alameda-High school</v>
      </c>
      <c r="B1738">
        <v>18</v>
      </c>
      <c r="C1738" t="str">
        <f t="shared" si="83"/>
        <v>Oakland and Alameda</v>
      </c>
      <c r="D1738">
        <v>18</v>
      </c>
      <c r="E1738" t="str">
        <f t="shared" si="83"/>
        <v>Oakland and Alameda</v>
      </c>
      <c r="F1738" t="s">
        <v>326</v>
      </c>
      <c r="G1738">
        <f t="shared" si="81"/>
        <v>3</v>
      </c>
      <c r="H1738" t="s">
        <v>124</v>
      </c>
      <c r="I1738" t="s">
        <v>188</v>
      </c>
      <c r="J1738">
        <v>2</v>
      </c>
      <c r="K1738">
        <v>191.64419889502699</v>
      </c>
      <c r="Z1738"/>
    </row>
    <row r="1739" spans="1:26" x14ac:dyDescent="0.25">
      <c r="A1739" s="159" t="str">
        <f t="shared" si="82"/>
        <v>LB-Oakland and Alameda-Oakland and Alameda-High school</v>
      </c>
      <c r="B1739">
        <v>18</v>
      </c>
      <c r="C1739" t="str">
        <f t="shared" si="83"/>
        <v>Oakland and Alameda</v>
      </c>
      <c r="D1739">
        <v>18</v>
      </c>
      <c r="E1739" t="str">
        <f t="shared" si="83"/>
        <v>Oakland and Alameda</v>
      </c>
      <c r="F1739" t="s">
        <v>326</v>
      </c>
      <c r="G1739">
        <f t="shared" si="81"/>
        <v>3</v>
      </c>
      <c r="H1739" t="s">
        <v>359</v>
      </c>
      <c r="I1739" t="s">
        <v>191</v>
      </c>
      <c r="J1739">
        <v>32</v>
      </c>
      <c r="K1739">
        <v>3004.4790423403902</v>
      </c>
      <c r="Z1739"/>
    </row>
    <row r="1740" spans="1:26" x14ac:dyDescent="0.25">
      <c r="A1740" s="159" t="str">
        <f t="shared" si="82"/>
        <v>EB-Oakland and Alameda-Oakland and Alameda-Missing</v>
      </c>
      <c r="B1740">
        <v>18</v>
      </c>
      <c r="C1740" t="str">
        <f t="shared" si="83"/>
        <v>Oakland and Alameda</v>
      </c>
      <c r="D1740">
        <v>18</v>
      </c>
      <c r="E1740" t="str">
        <f t="shared" si="83"/>
        <v>Oakland and Alameda</v>
      </c>
      <c r="F1740" t="s">
        <v>327</v>
      </c>
      <c r="G1740">
        <f t="shared" si="81"/>
        <v>0</v>
      </c>
      <c r="H1740" t="s">
        <v>123</v>
      </c>
      <c r="I1740" t="s">
        <v>182</v>
      </c>
      <c r="J1740">
        <v>10</v>
      </c>
      <c r="K1740">
        <v>755.75262543757299</v>
      </c>
      <c r="Z1740"/>
    </row>
    <row r="1741" spans="1:26" x14ac:dyDescent="0.25">
      <c r="A1741" s="159" t="str">
        <f t="shared" si="82"/>
        <v>HR-Oakland and Alameda-Oakland and Alameda-Missing</v>
      </c>
      <c r="B1741">
        <v>18</v>
      </c>
      <c r="C1741" t="str">
        <f t="shared" si="83"/>
        <v>Oakland and Alameda</v>
      </c>
      <c r="D1741">
        <v>18</v>
      </c>
      <c r="E1741" t="str">
        <f t="shared" si="83"/>
        <v>Oakland and Alameda</v>
      </c>
      <c r="F1741" t="s">
        <v>327</v>
      </c>
      <c r="G1741">
        <f t="shared" si="81"/>
        <v>0</v>
      </c>
      <c r="H1741" t="s">
        <v>124</v>
      </c>
      <c r="I1741" t="s">
        <v>188</v>
      </c>
      <c r="J1741">
        <v>14</v>
      </c>
      <c r="K1741">
        <v>1441.2012463060501</v>
      </c>
      <c r="Z1741"/>
    </row>
    <row r="1742" spans="1:26" x14ac:dyDescent="0.25">
      <c r="A1742" s="159" t="str">
        <f t="shared" si="82"/>
        <v>LB-Oakland and Alameda-Oakland and Alameda-Missing</v>
      </c>
      <c r="B1742">
        <v>18</v>
      </c>
      <c r="C1742" t="str">
        <f t="shared" si="83"/>
        <v>Oakland and Alameda</v>
      </c>
      <c r="D1742">
        <v>18</v>
      </c>
      <c r="E1742" t="str">
        <f t="shared" si="83"/>
        <v>Oakland and Alameda</v>
      </c>
      <c r="F1742" t="s">
        <v>327</v>
      </c>
      <c r="G1742">
        <f t="shared" si="81"/>
        <v>0</v>
      </c>
      <c r="H1742" t="s">
        <v>359</v>
      </c>
      <c r="I1742" t="s">
        <v>191</v>
      </c>
      <c r="J1742">
        <v>33</v>
      </c>
      <c r="K1742">
        <v>4056.8387064510698</v>
      </c>
      <c r="Z1742"/>
    </row>
    <row r="1743" spans="1:26" x14ac:dyDescent="0.25">
      <c r="A1743" s="159" t="str">
        <f t="shared" si="82"/>
        <v>EB-Oakland and Alameda-Oakland and Alameda-Other</v>
      </c>
      <c r="B1743">
        <v>18</v>
      </c>
      <c r="C1743" t="str">
        <f t="shared" si="83"/>
        <v>Oakland and Alameda</v>
      </c>
      <c r="D1743">
        <v>18</v>
      </c>
      <c r="E1743" t="str">
        <f t="shared" si="83"/>
        <v>Oakland and Alameda</v>
      </c>
      <c r="F1743" t="s">
        <v>328</v>
      </c>
      <c r="G1743">
        <f t="shared" si="81"/>
        <v>0</v>
      </c>
      <c r="H1743" t="s">
        <v>123</v>
      </c>
      <c r="I1743" t="s">
        <v>182</v>
      </c>
      <c r="J1743">
        <v>1</v>
      </c>
      <c r="K1743">
        <v>75.575262543757304</v>
      </c>
      <c r="Z1743"/>
    </row>
    <row r="1744" spans="1:26" x14ac:dyDescent="0.25">
      <c r="A1744" s="159" t="str">
        <f t="shared" si="82"/>
        <v>LB-Oakland and Alameda-Oakland and Alameda-Other</v>
      </c>
      <c r="B1744">
        <v>18</v>
      </c>
      <c r="C1744" t="str">
        <f t="shared" si="83"/>
        <v>Oakland and Alameda</v>
      </c>
      <c r="D1744">
        <v>18</v>
      </c>
      <c r="E1744" t="str">
        <f t="shared" si="83"/>
        <v>Oakland and Alameda</v>
      </c>
      <c r="F1744" t="s">
        <v>328</v>
      </c>
      <c r="G1744">
        <f t="shared" si="81"/>
        <v>0</v>
      </c>
      <c r="H1744" t="s">
        <v>359</v>
      </c>
      <c r="I1744" t="s">
        <v>191</v>
      </c>
      <c r="J1744">
        <v>1</v>
      </c>
      <c r="K1744">
        <v>270.93214285714299</v>
      </c>
      <c r="Z1744"/>
    </row>
    <row r="1745" spans="1:26" x14ac:dyDescent="0.25">
      <c r="A1745" s="159" t="str">
        <f t="shared" si="82"/>
        <v>EB-Oakland and Alameda-Oakland and Alameda-Other maintenance</v>
      </c>
      <c r="B1745">
        <v>18</v>
      </c>
      <c r="C1745" t="str">
        <f t="shared" si="83"/>
        <v>Oakland and Alameda</v>
      </c>
      <c r="D1745">
        <v>18</v>
      </c>
      <c r="E1745" t="str">
        <f t="shared" si="83"/>
        <v>Oakland and Alameda</v>
      </c>
      <c r="F1745" t="s">
        <v>325</v>
      </c>
      <c r="G1745">
        <f t="shared" si="81"/>
        <v>4</v>
      </c>
      <c r="H1745" t="s">
        <v>123</v>
      </c>
      <c r="I1745" t="s">
        <v>182</v>
      </c>
      <c r="J1745">
        <v>10</v>
      </c>
      <c r="K1745">
        <v>887.86918296623696</v>
      </c>
      <c r="Z1745"/>
    </row>
    <row r="1746" spans="1:26" x14ac:dyDescent="0.25">
      <c r="A1746" s="159" t="str">
        <f t="shared" si="82"/>
        <v>HR-Oakland and Alameda-Oakland and Alameda-Other maintenance</v>
      </c>
      <c r="B1746">
        <v>18</v>
      </c>
      <c r="C1746" t="str">
        <f t="shared" si="83"/>
        <v>Oakland and Alameda</v>
      </c>
      <c r="D1746">
        <v>18</v>
      </c>
      <c r="E1746" t="str">
        <f t="shared" si="83"/>
        <v>Oakland and Alameda</v>
      </c>
      <c r="F1746" t="s">
        <v>325</v>
      </c>
      <c r="G1746">
        <f t="shared" si="81"/>
        <v>4</v>
      </c>
      <c r="H1746" t="s">
        <v>124</v>
      </c>
      <c r="I1746" t="s">
        <v>188</v>
      </c>
      <c r="J1746">
        <v>8</v>
      </c>
      <c r="K1746">
        <v>766.57679558011</v>
      </c>
      <c r="Z1746"/>
    </row>
    <row r="1747" spans="1:26" x14ac:dyDescent="0.25">
      <c r="A1747" s="159" t="str">
        <f t="shared" si="82"/>
        <v>LR-Oakland and Alameda-Oakland and Alameda-Other maintenance</v>
      </c>
      <c r="B1747">
        <v>18</v>
      </c>
      <c r="C1747" t="str">
        <f t="shared" si="83"/>
        <v>Oakland and Alameda</v>
      </c>
      <c r="D1747">
        <v>18</v>
      </c>
      <c r="E1747" t="str">
        <f t="shared" si="83"/>
        <v>Oakland and Alameda</v>
      </c>
      <c r="F1747" t="s">
        <v>325</v>
      </c>
      <c r="G1747">
        <f t="shared" si="81"/>
        <v>4</v>
      </c>
      <c r="H1747" t="s">
        <v>353</v>
      </c>
      <c r="I1747" t="s">
        <v>194</v>
      </c>
      <c r="J1747">
        <v>1</v>
      </c>
      <c r="K1747">
        <v>62.646773074254</v>
      </c>
      <c r="Z1747"/>
    </row>
    <row r="1748" spans="1:26" x14ac:dyDescent="0.25">
      <c r="A1748" s="159" t="str">
        <f t="shared" si="82"/>
        <v>LB-Oakland and Alameda-Oakland and Alameda-Other maintenance</v>
      </c>
      <c r="B1748">
        <v>18</v>
      </c>
      <c r="C1748" t="str">
        <f t="shared" si="83"/>
        <v>Oakland and Alameda</v>
      </c>
      <c r="D1748">
        <v>18</v>
      </c>
      <c r="E1748" t="str">
        <f t="shared" si="83"/>
        <v>Oakland and Alameda</v>
      </c>
      <c r="F1748" t="s">
        <v>325</v>
      </c>
      <c r="G1748">
        <f t="shared" si="81"/>
        <v>4</v>
      </c>
      <c r="H1748" t="s">
        <v>359</v>
      </c>
      <c r="I1748" t="s">
        <v>191</v>
      </c>
      <c r="J1748">
        <v>49</v>
      </c>
      <c r="K1748">
        <v>5852.1135480913499</v>
      </c>
      <c r="Z1748"/>
    </row>
    <row r="1749" spans="1:26" x14ac:dyDescent="0.25">
      <c r="A1749" s="159" t="str">
        <f t="shared" si="82"/>
        <v>EB-Oakland and Alameda-Oakland and Alameda-Shopping</v>
      </c>
      <c r="B1749">
        <v>18</v>
      </c>
      <c r="C1749" t="str">
        <f t="shared" si="83"/>
        <v>Oakland and Alameda</v>
      </c>
      <c r="D1749">
        <v>18</v>
      </c>
      <c r="E1749" t="str">
        <f t="shared" si="83"/>
        <v>Oakland and Alameda</v>
      </c>
      <c r="F1749" t="s">
        <v>106</v>
      </c>
      <c r="G1749">
        <f t="shared" si="81"/>
        <v>4</v>
      </c>
      <c r="H1749" t="s">
        <v>123</v>
      </c>
      <c r="I1749" t="s">
        <v>182</v>
      </c>
      <c r="J1749">
        <v>2</v>
      </c>
      <c r="K1749">
        <v>346.50740540089998</v>
      </c>
      <c r="Z1749"/>
    </row>
    <row r="1750" spans="1:26" x14ac:dyDescent="0.25">
      <c r="A1750" s="159" t="str">
        <f t="shared" si="82"/>
        <v>HR-Oakland and Alameda-Oakland and Alameda-Shopping</v>
      </c>
      <c r="B1750">
        <v>18</v>
      </c>
      <c r="C1750" t="str">
        <f t="shared" si="83"/>
        <v>Oakland and Alameda</v>
      </c>
      <c r="D1750">
        <v>18</v>
      </c>
      <c r="E1750" t="str">
        <f t="shared" si="83"/>
        <v>Oakland and Alameda</v>
      </c>
      <c r="F1750" t="s">
        <v>106</v>
      </c>
      <c r="G1750">
        <f t="shared" si="81"/>
        <v>4</v>
      </c>
      <c r="H1750" t="s">
        <v>124</v>
      </c>
      <c r="I1750" t="s">
        <v>188</v>
      </c>
      <c r="J1750">
        <v>2</v>
      </c>
      <c r="K1750">
        <v>191.64419889502699</v>
      </c>
      <c r="Z1750"/>
    </row>
    <row r="1751" spans="1:26" x14ac:dyDescent="0.25">
      <c r="A1751" s="159" t="str">
        <f t="shared" si="82"/>
        <v>LB-Oakland and Alameda-Oakland and Alameda-Shopping</v>
      </c>
      <c r="B1751">
        <v>18</v>
      </c>
      <c r="C1751" t="str">
        <f t="shared" si="83"/>
        <v>Oakland and Alameda</v>
      </c>
      <c r="D1751">
        <v>18</v>
      </c>
      <c r="E1751" t="str">
        <f t="shared" si="83"/>
        <v>Oakland and Alameda</v>
      </c>
      <c r="F1751" t="s">
        <v>106</v>
      </c>
      <c r="G1751">
        <f t="shared" si="81"/>
        <v>4</v>
      </c>
      <c r="H1751" t="s">
        <v>359</v>
      </c>
      <c r="I1751" t="s">
        <v>191</v>
      </c>
      <c r="J1751">
        <v>25</v>
      </c>
      <c r="K1751">
        <v>2614.9618066481398</v>
      </c>
      <c r="Z1751"/>
    </row>
    <row r="1752" spans="1:26" x14ac:dyDescent="0.25">
      <c r="A1752" s="159" t="str">
        <f t="shared" si="82"/>
        <v>EB-Oakland and Alameda-Oakland and Alameda-Social recreation</v>
      </c>
      <c r="B1752">
        <v>18</v>
      </c>
      <c r="C1752" t="str">
        <f t="shared" si="83"/>
        <v>Oakland and Alameda</v>
      </c>
      <c r="D1752">
        <v>18</v>
      </c>
      <c r="E1752" t="str">
        <f t="shared" si="83"/>
        <v>Oakland and Alameda</v>
      </c>
      <c r="F1752" t="s">
        <v>324</v>
      </c>
      <c r="G1752">
        <f t="shared" si="81"/>
        <v>5</v>
      </c>
      <c r="H1752" t="s">
        <v>123</v>
      </c>
      <c r="I1752" t="s">
        <v>182</v>
      </c>
      <c r="J1752">
        <v>8</v>
      </c>
      <c r="K1752">
        <v>932.32393176640505</v>
      </c>
      <c r="Z1752"/>
    </row>
    <row r="1753" spans="1:26" x14ac:dyDescent="0.25">
      <c r="A1753" s="159" t="str">
        <f t="shared" si="82"/>
        <v>FR-Oakland and Alameda-Oakland and Alameda-Social recreation</v>
      </c>
      <c r="B1753">
        <v>18</v>
      </c>
      <c r="C1753" t="str">
        <f t="shared" si="83"/>
        <v>Oakland and Alameda</v>
      </c>
      <c r="D1753">
        <v>18</v>
      </c>
      <c r="E1753" t="str">
        <f t="shared" si="83"/>
        <v>Oakland and Alameda</v>
      </c>
      <c r="F1753" t="s">
        <v>324</v>
      </c>
      <c r="G1753">
        <f t="shared" si="81"/>
        <v>5</v>
      </c>
      <c r="H1753" t="s">
        <v>360</v>
      </c>
      <c r="I1753" t="s">
        <v>185</v>
      </c>
      <c r="J1753">
        <v>3</v>
      </c>
      <c r="K1753">
        <v>49.495268138801002</v>
      </c>
      <c r="Z1753"/>
    </row>
    <row r="1754" spans="1:26" x14ac:dyDescent="0.25">
      <c r="A1754" s="159" t="str">
        <f t="shared" si="82"/>
        <v>HR-Oakland and Alameda-Oakland and Alameda-Social recreation</v>
      </c>
      <c r="B1754">
        <v>18</v>
      </c>
      <c r="C1754" t="str">
        <f t="shared" si="83"/>
        <v>Oakland and Alameda</v>
      </c>
      <c r="D1754">
        <v>18</v>
      </c>
      <c r="E1754" t="str">
        <f t="shared" si="83"/>
        <v>Oakland and Alameda</v>
      </c>
      <c r="F1754" t="s">
        <v>324</v>
      </c>
      <c r="G1754">
        <f t="shared" si="81"/>
        <v>5</v>
      </c>
      <c r="H1754" t="s">
        <v>124</v>
      </c>
      <c r="I1754" t="s">
        <v>188</v>
      </c>
      <c r="J1754">
        <v>3</v>
      </c>
      <c r="K1754">
        <v>486.850006424257</v>
      </c>
      <c r="Z1754"/>
    </row>
    <row r="1755" spans="1:26" x14ac:dyDescent="0.25">
      <c r="A1755" s="159" t="str">
        <f t="shared" si="82"/>
        <v>LR-Oakland and Alameda-Oakland and Alameda-Social recreation</v>
      </c>
      <c r="B1755">
        <v>18</v>
      </c>
      <c r="C1755" t="str">
        <f t="shared" si="83"/>
        <v>Oakland and Alameda</v>
      </c>
      <c r="D1755">
        <v>18</v>
      </c>
      <c r="E1755" t="str">
        <f t="shared" si="83"/>
        <v>Oakland and Alameda</v>
      </c>
      <c r="F1755" t="s">
        <v>324</v>
      </c>
      <c r="G1755">
        <f t="shared" si="81"/>
        <v>5</v>
      </c>
      <c r="H1755" t="s">
        <v>353</v>
      </c>
      <c r="I1755" t="s">
        <v>194</v>
      </c>
      <c r="J1755">
        <v>1</v>
      </c>
      <c r="K1755">
        <v>286.12835472578797</v>
      </c>
      <c r="Z1755"/>
    </row>
    <row r="1756" spans="1:26" x14ac:dyDescent="0.25">
      <c r="A1756" s="159" t="str">
        <f t="shared" si="82"/>
        <v>LB-Oakland and Alameda-Oakland and Alameda-Social recreation</v>
      </c>
      <c r="B1756">
        <v>18</v>
      </c>
      <c r="C1756" t="str">
        <f t="shared" si="83"/>
        <v>Oakland and Alameda</v>
      </c>
      <c r="D1756">
        <v>18</v>
      </c>
      <c r="E1756" t="str">
        <f t="shared" si="83"/>
        <v>Oakland and Alameda</v>
      </c>
      <c r="F1756" t="s">
        <v>324</v>
      </c>
      <c r="G1756">
        <f t="shared" si="81"/>
        <v>5</v>
      </c>
      <c r="H1756" t="s">
        <v>359</v>
      </c>
      <c r="I1756" t="s">
        <v>191</v>
      </c>
      <c r="J1756">
        <v>30</v>
      </c>
      <c r="K1756">
        <v>3860.50534255709</v>
      </c>
      <c r="Z1756"/>
    </row>
    <row r="1757" spans="1:26" x14ac:dyDescent="0.25">
      <c r="A1757" s="159" t="str">
        <f t="shared" si="82"/>
        <v>EB-Oakland and Alameda-Oakland and Alameda-Work</v>
      </c>
      <c r="B1757">
        <v>18</v>
      </c>
      <c r="C1757" t="str">
        <f t="shared" si="83"/>
        <v>Oakland and Alameda</v>
      </c>
      <c r="D1757">
        <v>18</v>
      </c>
      <c r="E1757" t="str">
        <f t="shared" si="83"/>
        <v>Oakland and Alameda</v>
      </c>
      <c r="F1757" t="s">
        <v>30</v>
      </c>
      <c r="G1757">
        <f t="shared" si="81"/>
        <v>1</v>
      </c>
      <c r="H1757" t="s">
        <v>123</v>
      </c>
      <c r="I1757" t="s">
        <v>182</v>
      </c>
      <c r="J1757">
        <v>27</v>
      </c>
      <c r="K1757">
        <v>2040.53208868144</v>
      </c>
      <c r="Z1757"/>
    </row>
    <row r="1758" spans="1:26" x14ac:dyDescent="0.25">
      <c r="A1758" s="159" t="str">
        <f t="shared" si="82"/>
        <v>HR-Oakland and Alameda-Oakland and Alameda-Work</v>
      </c>
      <c r="B1758">
        <v>18</v>
      </c>
      <c r="C1758" t="str">
        <f t="shared" si="83"/>
        <v>Oakland and Alameda</v>
      </c>
      <c r="D1758">
        <v>18</v>
      </c>
      <c r="E1758" t="str">
        <f t="shared" si="83"/>
        <v>Oakland and Alameda</v>
      </c>
      <c r="F1758" t="s">
        <v>30</v>
      </c>
      <c r="G1758">
        <f t="shared" si="81"/>
        <v>1</v>
      </c>
      <c r="H1758" t="s">
        <v>124</v>
      </c>
      <c r="I1758" t="s">
        <v>188</v>
      </c>
      <c r="J1758">
        <v>18</v>
      </c>
      <c r="K1758">
        <v>1824.4896440960999</v>
      </c>
      <c r="Z1758"/>
    </row>
    <row r="1759" spans="1:26" x14ac:dyDescent="0.25">
      <c r="A1759" s="159" t="str">
        <f t="shared" si="82"/>
        <v>LR-Oakland and Alameda-Oakland and Alameda-Work</v>
      </c>
      <c r="B1759">
        <v>18</v>
      </c>
      <c r="C1759" t="str">
        <f t="shared" si="83"/>
        <v>Oakland and Alameda</v>
      </c>
      <c r="D1759">
        <v>18</v>
      </c>
      <c r="E1759" t="str">
        <f t="shared" si="83"/>
        <v>Oakland and Alameda</v>
      </c>
      <c r="F1759" t="s">
        <v>30</v>
      </c>
      <c r="G1759">
        <f t="shared" si="81"/>
        <v>1</v>
      </c>
      <c r="H1759" t="s">
        <v>353</v>
      </c>
      <c r="I1759" t="s">
        <v>194</v>
      </c>
      <c r="J1759">
        <v>1</v>
      </c>
      <c r="K1759">
        <v>62.646773074254</v>
      </c>
      <c r="Z1759"/>
    </row>
    <row r="1760" spans="1:26" x14ac:dyDescent="0.25">
      <c r="A1760" s="159" t="str">
        <f t="shared" si="82"/>
        <v>LB-Oakland and Alameda-Oakland and Alameda-Work</v>
      </c>
      <c r="B1760">
        <v>18</v>
      </c>
      <c r="C1760" t="str">
        <f t="shared" si="83"/>
        <v>Oakland and Alameda</v>
      </c>
      <c r="D1760">
        <v>18</v>
      </c>
      <c r="E1760" t="str">
        <f t="shared" si="83"/>
        <v>Oakland and Alameda</v>
      </c>
      <c r="F1760" t="s">
        <v>30</v>
      </c>
      <c r="G1760">
        <f t="shared" si="81"/>
        <v>1</v>
      </c>
      <c r="H1760" t="s">
        <v>359</v>
      </c>
      <c r="I1760" t="s">
        <v>191</v>
      </c>
      <c r="J1760">
        <v>133</v>
      </c>
      <c r="K1760">
        <v>13041.4000862019</v>
      </c>
      <c r="Z1760"/>
    </row>
    <row r="1761" spans="1:26" x14ac:dyDescent="0.25">
      <c r="A1761" s="159" t="str">
        <f t="shared" si="82"/>
        <v>HR-Oakland and Alameda-Berkeley and Albany-High school</v>
      </c>
      <c r="B1761">
        <v>18</v>
      </c>
      <c r="C1761" t="str">
        <f t="shared" si="83"/>
        <v>Oakland and Alameda</v>
      </c>
      <c r="D1761">
        <v>19</v>
      </c>
      <c r="E1761" t="str">
        <f t="shared" si="83"/>
        <v>Berkeley and Albany</v>
      </c>
      <c r="F1761" t="s">
        <v>326</v>
      </c>
      <c r="G1761">
        <f t="shared" si="81"/>
        <v>3</v>
      </c>
      <c r="H1761" t="s">
        <v>124</v>
      </c>
      <c r="I1761" t="s">
        <v>188</v>
      </c>
      <c r="J1761">
        <v>3</v>
      </c>
      <c r="K1761">
        <v>287.46629834254099</v>
      </c>
      <c r="Z1761"/>
    </row>
    <row r="1762" spans="1:26" x14ac:dyDescent="0.25">
      <c r="A1762" s="159" t="str">
        <f t="shared" si="82"/>
        <v>LB-Oakland and Alameda-Berkeley and Albany-High school</v>
      </c>
      <c r="B1762">
        <v>18</v>
      </c>
      <c r="C1762" t="str">
        <f t="shared" si="83"/>
        <v>Oakland and Alameda</v>
      </c>
      <c r="D1762">
        <v>19</v>
      </c>
      <c r="E1762" t="str">
        <f t="shared" si="83"/>
        <v>Berkeley and Albany</v>
      </c>
      <c r="F1762" t="s">
        <v>326</v>
      </c>
      <c r="G1762">
        <f t="shared" si="81"/>
        <v>3</v>
      </c>
      <c r="H1762" t="s">
        <v>359</v>
      </c>
      <c r="I1762" t="s">
        <v>191</v>
      </c>
      <c r="J1762">
        <v>12</v>
      </c>
      <c r="K1762">
        <v>1297.61691115185</v>
      </c>
      <c r="Z1762"/>
    </row>
    <row r="1763" spans="1:26" x14ac:dyDescent="0.25">
      <c r="A1763" s="159" t="str">
        <f t="shared" si="82"/>
        <v>HR-Oakland and Alameda-Berkeley and Albany-Missing</v>
      </c>
      <c r="B1763">
        <v>18</v>
      </c>
      <c r="C1763" t="str">
        <f t="shared" si="83"/>
        <v>Oakland and Alameda</v>
      </c>
      <c r="D1763">
        <v>19</v>
      </c>
      <c r="E1763" t="str">
        <f t="shared" si="83"/>
        <v>Berkeley and Albany</v>
      </c>
      <c r="F1763" t="s">
        <v>327</v>
      </c>
      <c r="G1763">
        <f t="shared" si="81"/>
        <v>0</v>
      </c>
      <c r="H1763" t="s">
        <v>124</v>
      </c>
      <c r="I1763" t="s">
        <v>188</v>
      </c>
      <c r="J1763">
        <v>3</v>
      </c>
      <c r="K1763">
        <v>287.46629834254099</v>
      </c>
      <c r="Z1763"/>
    </row>
    <row r="1764" spans="1:26" x14ac:dyDescent="0.25">
      <c r="A1764" s="159" t="str">
        <f t="shared" si="82"/>
        <v>LB-Oakland and Alameda-Berkeley and Albany-Missing</v>
      </c>
      <c r="B1764">
        <v>18</v>
      </c>
      <c r="C1764" t="str">
        <f t="shared" si="83"/>
        <v>Oakland and Alameda</v>
      </c>
      <c r="D1764">
        <v>19</v>
      </c>
      <c r="E1764" t="str">
        <f t="shared" si="83"/>
        <v>Berkeley and Albany</v>
      </c>
      <c r="F1764" t="s">
        <v>327</v>
      </c>
      <c r="G1764">
        <f t="shared" si="81"/>
        <v>0</v>
      </c>
      <c r="H1764" t="s">
        <v>359</v>
      </c>
      <c r="I1764" t="s">
        <v>191</v>
      </c>
      <c r="J1764">
        <v>7</v>
      </c>
      <c r="K1764">
        <v>529.02683780630105</v>
      </c>
      <c r="Z1764"/>
    </row>
    <row r="1765" spans="1:26" x14ac:dyDescent="0.25">
      <c r="A1765" s="159" t="str">
        <f t="shared" si="82"/>
        <v>HR-Oakland and Alameda-Berkeley and Albany-Other maintenance</v>
      </c>
      <c r="B1765">
        <v>18</v>
      </c>
      <c r="C1765" t="str">
        <f t="shared" si="83"/>
        <v>Oakland and Alameda</v>
      </c>
      <c r="D1765">
        <v>19</v>
      </c>
      <c r="E1765" t="str">
        <f t="shared" si="83"/>
        <v>Berkeley and Albany</v>
      </c>
      <c r="F1765" t="s">
        <v>325</v>
      </c>
      <c r="G1765">
        <f t="shared" si="81"/>
        <v>4</v>
      </c>
      <c r="H1765" t="s">
        <v>124</v>
      </c>
      <c r="I1765" t="s">
        <v>188</v>
      </c>
      <c r="J1765">
        <v>1</v>
      </c>
      <c r="K1765">
        <v>95.822099447513807</v>
      </c>
      <c r="Z1765"/>
    </row>
    <row r="1766" spans="1:26" x14ac:dyDescent="0.25">
      <c r="A1766" s="159" t="str">
        <f t="shared" si="82"/>
        <v>LB-Oakland and Alameda-Berkeley and Albany-Other maintenance</v>
      </c>
      <c r="B1766">
        <v>18</v>
      </c>
      <c r="C1766" t="str">
        <f t="shared" si="83"/>
        <v>Oakland and Alameda</v>
      </c>
      <c r="D1766">
        <v>19</v>
      </c>
      <c r="E1766" t="str">
        <f t="shared" si="83"/>
        <v>Berkeley and Albany</v>
      </c>
      <c r="F1766" t="s">
        <v>325</v>
      </c>
      <c r="G1766">
        <f t="shared" si="81"/>
        <v>4</v>
      </c>
      <c r="H1766" t="s">
        <v>359</v>
      </c>
      <c r="I1766" t="s">
        <v>191</v>
      </c>
      <c r="J1766">
        <v>10</v>
      </c>
      <c r="K1766">
        <v>1341.8232663777301</v>
      </c>
      <c r="Z1766"/>
    </row>
    <row r="1767" spans="1:26" x14ac:dyDescent="0.25">
      <c r="A1767" s="159" t="str">
        <f t="shared" si="82"/>
        <v>LB-Oakland and Alameda-Berkeley and Albany-Shopping</v>
      </c>
      <c r="B1767">
        <v>18</v>
      </c>
      <c r="C1767" t="str">
        <f t="shared" si="83"/>
        <v>Oakland and Alameda</v>
      </c>
      <c r="D1767">
        <v>19</v>
      </c>
      <c r="E1767" t="str">
        <f t="shared" si="83"/>
        <v>Berkeley and Albany</v>
      </c>
      <c r="F1767" t="s">
        <v>106</v>
      </c>
      <c r="G1767">
        <f t="shared" si="81"/>
        <v>4</v>
      </c>
      <c r="H1767" t="s">
        <v>359</v>
      </c>
      <c r="I1767" t="s">
        <v>191</v>
      </c>
      <c r="J1767">
        <v>6</v>
      </c>
      <c r="K1767">
        <v>844.16533588931497</v>
      </c>
      <c r="Z1767"/>
    </row>
    <row r="1768" spans="1:26" x14ac:dyDescent="0.25">
      <c r="A1768" s="159" t="str">
        <f t="shared" si="82"/>
        <v>HR-Oakland and Alameda-Berkeley and Albany-Social recreation</v>
      </c>
      <c r="B1768">
        <v>18</v>
      </c>
      <c r="C1768" t="str">
        <f t="shared" si="83"/>
        <v>Oakland and Alameda</v>
      </c>
      <c r="D1768">
        <v>19</v>
      </c>
      <c r="E1768" t="str">
        <f t="shared" si="83"/>
        <v>Berkeley and Albany</v>
      </c>
      <c r="F1768" t="s">
        <v>324</v>
      </c>
      <c r="G1768">
        <f t="shared" si="81"/>
        <v>5</v>
      </c>
      <c r="H1768" t="s">
        <v>124</v>
      </c>
      <c r="I1768" t="s">
        <v>188</v>
      </c>
      <c r="J1768">
        <v>1</v>
      </c>
      <c r="K1768">
        <v>95.822099447513807</v>
      </c>
      <c r="Z1768"/>
    </row>
    <row r="1769" spans="1:26" x14ac:dyDescent="0.25">
      <c r="A1769" s="159" t="str">
        <f t="shared" si="82"/>
        <v>LB-Oakland and Alameda-Berkeley and Albany-Social recreation</v>
      </c>
      <c r="B1769">
        <v>18</v>
      </c>
      <c r="C1769" t="str">
        <f t="shared" si="83"/>
        <v>Oakland and Alameda</v>
      </c>
      <c r="D1769">
        <v>19</v>
      </c>
      <c r="E1769" t="str">
        <f t="shared" si="83"/>
        <v>Berkeley and Albany</v>
      </c>
      <c r="F1769" t="s">
        <v>324</v>
      </c>
      <c r="G1769">
        <f t="shared" si="81"/>
        <v>5</v>
      </c>
      <c r="H1769" t="s">
        <v>359</v>
      </c>
      <c r="I1769" t="s">
        <v>191</v>
      </c>
      <c r="J1769">
        <v>10</v>
      </c>
      <c r="K1769">
        <v>1146.46638606434</v>
      </c>
      <c r="Z1769"/>
    </row>
    <row r="1770" spans="1:26" x14ac:dyDescent="0.25">
      <c r="A1770" s="159" t="str">
        <f t="shared" si="82"/>
        <v>HR-Oakland and Alameda-Berkeley and Albany-Work</v>
      </c>
      <c r="B1770">
        <v>18</v>
      </c>
      <c r="C1770" t="str">
        <f t="shared" si="83"/>
        <v>Oakland and Alameda</v>
      </c>
      <c r="D1770">
        <v>19</v>
      </c>
      <c r="E1770" t="str">
        <f t="shared" si="83"/>
        <v>Berkeley and Albany</v>
      </c>
      <c r="F1770" t="s">
        <v>30</v>
      </c>
      <c r="G1770">
        <f t="shared" si="81"/>
        <v>1</v>
      </c>
      <c r="H1770" t="s">
        <v>124</v>
      </c>
      <c r="I1770" t="s">
        <v>188</v>
      </c>
      <c r="J1770">
        <v>14</v>
      </c>
      <c r="K1770">
        <v>1441.2012463060501</v>
      </c>
      <c r="Z1770"/>
    </row>
    <row r="1771" spans="1:26" x14ac:dyDescent="0.25">
      <c r="A1771" s="159" t="str">
        <f t="shared" si="82"/>
        <v>LB-Oakland and Alameda-Berkeley and Albany-Work</v>
      </c>
      <c r="B1771">
        <v>18</v>
      </c>
      <c r="C1771" t="str">
        <f t="shared" si="83"/>
        <v>Oakland and Alameda</v>
      </c>
      <c r="D1771">
        <v>19</v>
      </c>
      <c r="E1771" t="str">
        <f t="shared" si="83"/>
        <v>Berkeley and Albany</v>
      </c>
      <c r="F1771" t="s">
        <v>30</v>
      </c>
      <c r="G1771">
        <f t="shared" si="81"/>
        <v>1</v>
      </c>
      <c r="H1771" t="s">
        <v>359</v>
      </c>
      <c r="I1771" t="s">
        <v>191</v>
      </c>
      <c r="J1771">
        <v>36</v>
      </c>
      <c r="K1771">
        <v>3697.4938531421899</v>
      </c>
      <c r="Z1771"/>
    </row>
    <row r="1772" spans="1:26" x14ac:dyDescent="0.25">
      <c r="A1772" s="159" t="str">
        <f t="shared" si="82"/>
        <v>HR-Oakland and Alameda-Richmond and El Cerrito-High school</v>
      </c>
      <c r="B1772">
        <v>18</v>
      </c>
      <c r="C1772" t="str">
        <f t="shared" si="83"/>
        <v>Oakland and Alameda</v>
      </c>
      <c r="D1772">
        <v>20</v>
      </c>
      <c r="E1772" t="str">
        <f t="shared" si="83"/>
        <v>Richmond and El Cerrito</v>
      </c>
      <c r="F1772" t="s">
        <v>326</v>
      </c>
      <c r="G1772">
        <f t="shared" si="81"/>
        <v>3</v>
      </c>
      <c r="H1772" t="s">
        <v>124</v>
      </c>
      <c r="I1772" t="s">
        <v>188</v>
      </c>
      <c r="J1772">
        <v>1</v>
      </c>
      <c r="K1772">
        <v>95.822099447513807</v>
      </c>
      <c r="Z1772"/>
    </row>
    <row r="1773" spans="1:26" x14ac:dyDescent="0.25">
      <c r="A1773" s="159" t="str">
        <f t="shared" si="82"/>
        <v>LB-Oakland and Alameda-Richmond and El Cerrito-High school</v>
      </c>
      <c r="B1773">
        <v>18</v>
      </c>
      <c r="C1773" t="str">
        <f t="shared" si="83"/>
        <v>Oakland and Alameda</v>
      </c>
      <c r="D1773">
        <v>20</v>
      </c>
      <c r="E1773" t="str">
        <f t="shared" si="83"/>
        <v>Richmond and El Cerrito</v>
      </c>
      <c r="F1773" t="s">
        <v>326</v>
      </c>
      <c r="G1773">
        <f t="shared" si="81"/>
        <v>3</v>
      </c>
      <c r="H1773" t="s">
        <v>359</v>
      </c>
      <c r="I1773" t="s">
        <v>191</v>
      </c>
      <c r="J1773">
        <v>1</v>
      </c>
      <c r="K1773">
        <v>75.575262543757304</v>
      </c>
      <c r="Z1773"/>
    </row>
    <row r="1774" spans="1:26" x14ac:dyDescent="0.25">
      <c r="A1774" s="159" t="str">
        <f t="shared" si="82"/>
        <v>HR-Oakland and Alameda-Richmond and El Cerrito-Missing</v>
      </c>
      <c r="B1774">
        <v>18</v>
      </c>
      <c r="C1774" t="str">
        <f t="shared" si="83"/>
        <v>Oakland and Alameda</v>
      </c>
      <c r="D1774">
        <v>20</v>
      </c>
      <c r="E1774" t="str">
        <f t="shared" si="83"/>
        <v>Richmond and El Cerrito</v>
      </c>
      <c r="F1774" t="s">
        <v>327</v>
      </c>
      <c r="G1774">
        <f t="shared" si="81"/>
        <v>0</v>
      </c>
      <c r="H1774" t="s">
        <v>124</v>
      </c>
      <c r="I1774" t="s">
        <v>188</v>
      </c>
      <c r="J1774">
        <v>2</v>
      </c>
      <c r="K1774">
        <v>191.64419889502699</v>
      </c>
      <c r="Z1774"/>
    </row>
    <row r="1775" spans="1:26" x14ac:dyDescent="0.25">
      <c r="A1775" s="159" t="str">
        <f t="shared" si="82"/>
        <v>LB-Oakland and Alameda-Richmond and El Cerrito-Missing</v>
      </c>
      <c r="B1775">
        <v>18</v>
      </c>
      <c r="C1775" t="str">
        <f t="shared" si="83"/>
        <v>Oakland and Alameda</v>
      </c>
      <c r="D1775">
        <v>20</v>
      </c>
      <c r="E1775" t="str">
        <f t="shared" si="83"/>
        <v>Richmond and El Cerrito</v>
      </c>
      <c r="F1775" t="s">
        <v>327</v>
      </c>
      <c r="G1775">
        <f t="shared" si="81"/>
        <v>0</v>
      </c>
      <c r="H1775" t="s">
        <v>359</v>
      </c>
      <c r="I1775" t="s">
        <v>191</v>
      </c>
      <c r="J1775">
        <v>2</v>
      </c>
      <c r="K1775">
        <v>151.15052508751401</v>
      </c>
      <c r="Z1775"/>
    </row>
    <row r="1776" spans="1:26" x14ac:dyDescent="0.25">
      <c r="A1776" s="159" t="str">
        <f t="shared" si="82"/>
        <v>HR-Oakland and Alameda-Richmond and El Cerrito-Other maintenance</v>
      </c>
      <c r="B1776">
        <v>18</v>
      </c>
      <c r="C1776" t="str">
        <f t="shared" si="83"/>
        <v>Oakland and Alameda</v>
      </c>
      <c r="D1776">
        <v>20</v>
      </c>
      <c r="E1776" t="str">
        <f t="shared" si="83"/>
        <v>Richmond and El Cerrito</v>
      </c>
      <c r="F1776" t="s">
        <v>325</v>
      </c>
      <c r="G1776">
        <f t="shared" si="81"/>
        <v>4</v>
      </c>
      <c r="H1776" t="s">
        <v>124</v>
      </c>
      <c r="I1776" t="s">
        <v>188</v>
      </c>
      <c r="J1776">
        <v>1</v>
      </c>
      <c r="K1776">
        <v>95.822099447513807</v>
      </c>
      <c r="Z1776"/>
    </row>
    <row r="1777" spans="1:26" x14ac:dyDescent="0.25">
      <c r="A1777" s="159" t="str">
        <f t="shared" si="82"/>
        <v>LB-Oakland and Alameda-Richmond and El Cerrito-Other maintenance</v>
      </c>
      <c r="B1777">
        <v>18</v>
      </c>
      <c r="C1777" t="str">
        <f t="shared" si="83"/>
        <v>Oakland and Alameda</v>
      </c>
      <c r="D1777">
        <v>20</v>
      </c>
      <c r="E1777" t="str">
        <f t="shared" si="83"/>
        <v>Richmond and El Cerrito</v>
      </c>
      <c r="F1777" t="s">
        <v>325</v>
      </c>
      <c r="G1777">
        <f t="shared" si="81"/>
        <v>4</v>
      </c>
      <c r="H1777" t="s">
        <v>359</v>
      </c>
      <c r="I1777" t="s">
        <v>191</v>
      </c>
      <c r="J1777">
        <v>2</v>
      </c>
      <c r="K1777">
        <v>151.15052508751401</v>
      </c>
      <c r="Z1777"/>
    </row>
    <row r="1778" spans="1:26" x14ac:dyDescent="0.25">
      <c r="A1778" s="159" t="str">
        <f t="shared" si="82"/>
        <v>FR-Oakland and Alameda-Richmond and El Cerrito-Social recreation</v>
      </c>
      <c r="B1778">
        <v>18</v>
      </c>
      <c r="C1778" t="str">
        <f t="shared" si="83"/>
        <v>Oakland and Alameda</v>
      </c>
      <c r="D1778">
        <v>20</v>
      </c>
      <c r="E1778" t="str">
        <f t="shared" si="83"/>
        <v>Richmond and El Cerrito</v>
      </c>
      <c r="F1778" t="s">
        <v>324</v>
      </c>
      <c r="G1778">
        <f t="shared" si="81"/>
        <v>5</v>
      </c>
      <c r="H1778" t="s">
        <v>360</v>
      </c>
      <c r="I1778" t="s">
        <v>185</v>
      </c>
      <c r="J1778">
        <v>1</v>
      </c>
      <c r="K1778">
        <v>16.498422712933699</v>
      </c>
      <c r="Z1778"/>
    </row>
    <row r="1779" spans="1:26" x14ac:dyDescent="0.25">
      <c r="A1779" s="159" t="str">
        <f t="shared" si="82"/>
        <v>HR-Oakland and Alameda-Richmond and El Cerrito-Social recreation</v>
      </c>
      <c r="B1779">
        <v>18</v>
      </c>
      <c r="C1779" t="str">
        <f t="shared" si="83"/>
        <v>Oakland and Alameda</v>
      </c>
      <c r="D1779">
        <v>20</v>
      </c>
      <c r="E1779" t="str">
        <f t="shared" si="83"/>
        <v>Richmond and El Cerrito</v>
      </c>
      <c r="F1779" t="s">
        <v>324</v>
      </c>
      <c r="G1779">
        <f t="shared" si="81"/>
        <v>5</v>
      </c>
      <c r="H1779" t="s">
        <v>124</v>
      </c>
      <c r="I1779" t="s">
        <v>188</v>
      </c>
      <c r="J1779">
        <v>1</v>
      </c>
      <c r="K1779">
        <v>95.822099447513807</v>
      </c>
      <c r="Z1779"/>
    </row>
    <row r="1780" spans="1:26" x14ac:dyDescent="0.25">
      <c r="A1780" s="159" t="str">
        <f t="shared" si="82"/>
        <v>LB-Oakland and Alameda-Richmond and El Cerrito-Social recreation</v>
      </c>
      <c r="B1780">
        <v>18</v>
      </c>
      <c r="C1780" t="str">
        <f t="shared" si="83"/>
        <v>Oakland and Alameda</v>
      </c>
      <c r="D1780">
        <v>20</v>
      </c>
      <c r="E1780" t="str">
        <f t="shared" si="83"/>
        <v>Richmond and El Cerrito</v>
      </c>
      <c r="F1780" t="s">
        <v>324</v>
      </c>
      <c r="G1780">
        <f t="shared" si="81"/>
        <v>5</v>
      </c>
      <c r="H1780" t="s">
        <v>359</v>
      </c>
      <c r="I1780" t="s">
        <v>191</v>
      </c>
      <c r="J1780">
        <v>1</v>
      </c>
      <c r="K1780">
        <v>75.575262543757304</v>
      </c>
      <c r="Z1780"/>
    </row>
    <row r="1781" spans="1:26" x14ac:dyDescent="0.25">
      <c r="A1781" s="159" t="str">
        <f t="shared" si="82"/>
        <v>EB-Oakland and Alameda-Richmond and El Cerrito-Work</v>
      </c>
      <c r="B1781">
        <v>18</v>
      </c>
      <c r="C1781" t="str">
        <f t="shared" si="83"/>
        <v>Oakland and Alameda</v>
      </c>
      <c r="D1781">
        <v>20</v>
      </c>
      <c r="E1781" t="str">
        <f t="shared" si="83"/>
        <v>Richmond and El Cerrito</v>
      </c>
      <c r="F1781" t="s">
        <v>30</v>
      </c>
      <c r="G1781">
        <f t="shared" si="81"/>
        <v>1</v>
      </c>
      <c r="H1781" t="s">
        <v>123</v>
      </c>
      <c r="I1781" t="s">
        <v>182</v>
      </c>
      <c r="J1781">
        <v>3</v>
      </c>
      <c r="K1781">
        <v>22.105263157894701</v>
      </c>
      <c r="Z1781"/>
    </row>
    <row r="1782" spans="1:26" x14ac:dyDescent="0.25">
      <c r="A1782" s="159" t="str">
        <f t="shared" si="82"/>
        <v>HR-Oakland and Alameda-Richmond and El Cerrito-Work</v>
      </c>
      <c r="B1782">
        <v>18</v>
      </c>
      <c r="C1782" t="str">
        <f t="shared" si="83"/>
        <v>Oakland and Alameda</v>
      </c>
      <c r="D1782">
        <v>20</v>
      </c>
      <c r="E1782" t="str">
        <f t="shared" si="83"/>
        <v>Richmond and El Cerrito</v>
      </c>
      <c r="F1782" t="s">
        <v>30</v>
      </c>
      <c r="G1782">
        <f t="shared" si="81"/>
        <v>1</v>
      </c>
      <c r="H1782" t="s">
        <v>124</v>
      </c>
      <c r="I1782" t="s">
        <v>188</v>
      </c>
      <c r="J1782">
        <v>8</v>
      </c>
      <c r="K1782">
        <v>866.26864962096795</v>
      </c>
      <c r="Z1782"/>
    </row>
    <row r="1783" spans="1:26" x14ac:dyDescent="0.25">
      <c r="A1783" s="159" t="str">
        <f t="shared" si="82"/>
        <v>LB-Oakland and Alameda-Richmond and El Cerrito-Work</v>
      </c>
      <c r="B1783">
        <v>18</v>
      </c>
      <c r="C1783" t="str">
        <f t="shared" si="83"/>
        <v>Oakland and Alameda</v>
      </c>
      <c r="D1783">
        <v>20</v>
      </c>
      <c r="E1783" t="str">
        <f t="shared" si="83"/>
        <v>Richmond and El Cerrito</v>
      </c>
      <c r="F1783" t="s">
        <v>30</v>
      </c>
      <c r="G1783">
        <f t="shared" si="81"/>
        <v>1</v>
      </c>
      <c r="H1783" t="s">
        <v>359</v>
      </c>
      <c r="I1783" t="s">
        <v>191</v>
      </c>
      <c r="J1783">
        <v>3</v>
      </c>
      <c r="K1783">
        <v>226.725787631271</v>
      </c>
      <c r="Z1783"/>
    </row>
    <row r="1784" spans="1:26" x14ac:dyDescent="0.25">
      <c r="A1784" s="159" t="str">
        <f t="shared" si="82"/>
        <v>LB-Oakland and Alameda-Concord and Martinez-High school</v>
      </c>
      <c r="B1784">
        <v>18</v>
      </c>
      <c r="C1784" t="str">
        <f t="shared" si="83"/>
        <v>Oakland and Alameda</v>
      </c>
      <c r="D1784">
        <v>21</v>
      </c>
      <c r="E1784" t="str">
        <f t="shared" si="83"/>
        <v>Concord and Martinez</v>
      </c>
      <c r="F1784" t="s">
        <v>326</v>
      </c>
      <c r="G1784">
        <f t="shared" si="81"/>
        <v>3</v>
      </c>
      <c r="H1784" t="s">
        <v>359</v>
      </c>
      <c r="I1784" t="s">
        <v>191</v>
      </c>
      <c r="J1784">
        <v>1</v>
      </c>
      <c r="K1784">
        <v>75.575262543757304</v>
      </c>
      <c r="Z1784"/>
    </row>
    <row r="1785" spans="1:26" x14ac:dyDescent="0.25">
      <c r="A1785" s="159" t="str">
        <f t="shared" si="82"/>
        <v>HR-Oakland and Alameda-Concord and Martinez-Missing</v>
      </c>
      <c r="B1785">
        <v>18</v>
      </c>
      <c r="C1785" t="str">
        <f t="shared" si="83"/>
        <v>Oakland and Alameda</v>
      </c>
      <c r="D1785">
        <v>21</v>
      </c>
      <c r="E1785" t="str">
        <f t="shared" si="83"/>
        <v>Concord and Martinez</v>
      </c>
      <c r="F1785" t="s">
        <v>327</v>
      </c>
      <c r="G1785">
        <f t="shared" si="81"/>
        <v>0</v>
      </c>
      <c r="H1785" t="s">
        <v>124</v>
      </c>
      <c r="I1785" t="s">
        <v>188</v>
      </c>
      <c r="J1785">
        <v>1</v>
      </c>
      <c r="K1785">
        <v>95.822099447513807</v>
      </c>
      <c r="Z1785"/>
    </row>
    <row r="1786" spans="1:26" x14ac:dyDescent="0.25">
      <c r="A1786" s="159" t="str">
        <f t="shared" si="82"/>
        <v>LB-Oakland and Alameda-Concord and Martinez-Missing</v>
      </c>
      <c r="B1786">
        <v>18</v>
      </c>
      <c r="C1786" t="str">
        <f t="shared" si="83"/>
        <v>Oakland and Alameda</v>
      </c>
      <c r="D1786">
        <v>21</v>
      </c>
      <c r="E1786" t="str">
        <f t="shared" si="83"/>
        <v>Concord and Martinez</v>
      </c>
      <c r="F1786" t="s">
        <v>327</v>
      </c>
      <c r="G1786">
        <f t="shared" si="81"/>
        <v>0</v>
      </c>
      <c r="H1786" t="s">
        <v>359</v>
      </c>
      <c r="I1786" t="s">
        <v>191</v>
      </c>
      <c r="J1786">
        <v>1</v>
      </c>
      <c r="K1786">
        <v>19.727984344422701</v>
      </c>
      <c r="Z1786"/>
    </row>
    <row r="1787" spans="1:26" x14ac:dyDescent="0.25">
      <c r="A1787" s="159" t="str">
        <f t="shared" si="82"/>
        <v>HR-Oakland and Alameda-Concord and Martinez-Other maintenance</v>
      </c>
      <c r="B1787">
        <v>18</v>
      </c>
      <c r="C1787" t="str">
        <f t="shared" si="83"/>
        <v>Oakland and Alameda</v>
      </c>
      <c r="D1787">
        <v>21</v>
      </c>
      <c r="E1787" t="str">
        <f t="shared" si="83"/>
        <v>Concord and Martinez</v>
      </c>
      <c r="F1787" t="s">
        <v>325</v>
      </c>
      <c r="G1787">
        <f t="shared" si="81"/>
        <v>4</v>
      </c>
      <c r="H1787" t="s">
        <v>124</v>
      </c>
      <c r="I1787" t="s">
        <v>188</v>
      </c>
      <c r="J1787">
        <v>1</v>
      </c>
      <c r="K1787">
        <v>195.51395348837201</v>
      </c>
      <c r="Z1787"/>
    </row>
    <row r="1788" spans="1:26" x14ac:dyDescent="0.25">
      <c r="A1788" s="159" t="str">
        <f t="shared" si="82"/>
        <v>HR-Oakland and Alameda-Concord and Martinez-Social recreation</v>
      </c>
      <c r="B1788">
        <v>18</v>
      </c>
      <c r="C1788" t="str">
        <f t="shared" si="83"/>
        <v>Oakland and Alameda</v>
      </c>
      <c r="D1788">
        <v>21</v>
      </c>
      <c r="E1788" t="str">
        <f t="shared" si="83"/>
        <v>Concord and Martinez</v>
      </c>
      <c r="F1788" t="s">
        <v>324</v>
      </c>
      <c r="G1788">
        <f t="shared" si="81"/>
        <v>5</v>
      </c>
      <c r="H1788" t="s">
        <v>124</v>
      </c>
      <c r="I1788" t="s">
        <v>188</v>
      </c>
      <c r="J1788">
        <v>1</v>
      </c>
      <c r="K1788">
        <v>195.51395348837201</v>
      </c>
      <c r="Z1788"/>
    </row>
    <row r="1789" spans="1:26" x14ac:dyDescent="0.25">
      <c r="A1789" s="159" t="str">
        <f t="shared" si="82"/>
        <v>HR-Oakland and Alameda-Concord and Martinez-Work</v>
      </c>
      <c r="B1789">
        <v>18</v>
      </c>
      <c r="C1789" t="str">
        <f t="shared" si="83"/>
        <v>Oakland and Alameda</v>
      </c>
      <c r="D1789">
        <v>21</v>
      </c>
      <c r="E1789" t="str">
        <f t="shared" si="83"/>
        <v>Concord and Martinez</v>
      </c>
      <c r="F1789" t="s">
        <v>30</v>
      </c>
      <c r="G1789">
        <f t="shared" si="81"/>
        <v>1</v>
      </c>
      <c r="H1789" t="s">
        <v>124</v>
      </c>
      <c r="I1789" t="s">
        <v>188</v>
      </c>
      <c r="J1789">
        <v>4</v>
      </c>
      <c r="K1789">
        <v>383.288397790055</v>
      </c>
      <c r="Z1789"/>
    </row>
    <row r="1790" spans="1:26" x14ac:dyDescent="0.25">
      <c r="A1790" s="159" t="str">
        <f t="shared" si="82"/>
        <v>LB-Oakland and Alameda-Concord and Martinez-Work</v>
      </c>
      <c r="B1790">
        <v>18</v>
      </c>
      <c r="C1790" t="str">
        <f t="shared" si="83"/>
        <v>Oakland and Alameda</v>
      </c>
      <c r="D1790">
        <v>21</v>
      </c>
      <c r="E1790" t="str">
        <f t="shared" si="83"/>
        <v>Concord and Martinez</v>
      </c>
      <c r="F1790" t="s">
        <v>30</v>
      </c>
      <c r="G1790">
        <f t="shared" si="81"/>
        <v>1</v>
      </c>
      <c r="H1790" t="s">
        <v>359</v>
      </c>
      <c r="I1790" t="s">
        <v>191</v>
      </c>
      <c r="J1790">
        <v>3</v>
      </c>
      <c r="K1790">
        <v>59.183953033268097</v>
      </c>
      <c r="Z1790"/>
    </row>
    <row r="1791" spans="1:26" x14ac:dyDescent="0.25">
      <c r="A1791" s="159" t="str">
        <f t="shared" si="82"/>
        <v>LB-Oakland and Alameda-Walnut Creek-High school</v>
      </c>
      <c r="B1791">
        <v>18</v>
      </c>
      <c r="C1791" t="str">
        <f t="shared" si="83"/>
        <v>Oakland and Alameda</v>
      </c>
      <c r="D1791">
        <v>22</v>
      </c>
      <c r="E1791" t="str">
        <f t="shared" si="83"/>
        <v>Walnut Creek</v>
      </c>
      <c r="F1791" t="s">
        <v>326</v>
      </c>
      <c r="G1791">
        <f t="shared" si="81"/>
        <v>3</v>
      </c>
      <c r="H1791" t="s">
        <v>359</v>
      </c>
      <c r="I1791" t="s">
        <v>191</v>
      </c>
      <c r="J1791">
        <v>1</v>
      </c>
      <c r="K1791">
        <v>19.727984344422701</v>
      </c>
      <c r="Z1791"/>
    </row>
    <row r="1792" spans="1:26" x14ac:dyDescent="0.25">
      <c r="A1792" s="159" t="str">
        <f t="shared" si="82"/>
        <v>EB-Oakland and Alameda-Walnut Creek-Shopping</v>
      </c>
      <c r="B1792">
        <v>18</v>
      </c>
      <c r="C1792" t="str">
        <f t="shared" si="83"/>
        <v>Oakland and Alameda</v>
      </c>
      <c r="D1792">
        <v>22</v>
      </c>
      <c r="E1792" t="str">
        <f t="shared" si="83"/>
        <v>Walnut Creek</v>
      </c>
      <c r="F1792" t="s">
        <v>106</v>
      </c>
      <c r="G1792">
        <f t="shared" si="81"/>
        <v>4</v>
      </c>
      <c r="H1792" t="s">
        <v>123</v>
      </c>
      <c r="I1792" t="s">
        <v>182</v>
      </c>
      <c r="J1792">
        <v>1</v>
      </c>
      <c r="K1792">
        <v>12.3349397590361</v>
      </c>
      <c r="Z1792"/>
    </row>
    <row r="1793" spans="1:26" x14ac:dyDescent="0.25">
      <c r="A1793" s="159" t="str">
        <f t="shared" si="82"/>
        <v>LB-Oakland and Alameda-Walnut Creek-Shopping</v>
      </c>
      <c r="B1793">
        <v>18</v>
      </c>
      <c r="C1793" t="str">
        <f t="shared" si="83"/>
        <v>Oakland and Alameda</v>
      </c>
      <c r="D1793">
        <v>22</v>
      </c>
      <c r="E1793" t="str">
        <f t="shared" si="83"/>
        <v>Walnut Creek</v>
      </c>
      <c r="F1793" t="s">
        <v>106</v>
      </c>
      <c r="G1793">
        <f t="shared" si="81"/>
        <v>4</v>
      </c>
      <c r="H1793" t="s">
        <v>359</v>
      </c>
      <c r="I1793" t="s">
        <v>191</v>
      </c>
      <c r="J1793">
        <v>2</v>
      </c>
      <c r="K1793">
        <v>95.303246888179999</v>
      </c>
      <c r="Z1793"/>
    </row>
    <row r="1794" spans="1:26" x14ac:dyDescent="0.25">
      <c r="A1794" s="159" t="str">
        <f t="shared" si="82"/>
        <v>HR-Oakland and Alameda-Walnut Creek-Social recreation</v>
      </c>
      <c r="B1794">
        <v>18</v>
      </c>
      <c r="C1794" t="str">
        <f t="shared" si="83"/>
        <v>Oakland and Alameda</v>
      </c>
      <c r="D1794">
        <v>22</v>
      </c>
      <c r="E1794" t="str">
        <f t="shared" si="83"/>
        <v>Walnut Creek</v>
      </c>
      <c r="F1794" t="s">
        <v>324</v>
      </c>
      <c r="G1794">
        <f t="shared" ref="G1794:G1857" si="84">VLOOKUP(F1794,$V$2:$X$10, 3,FALSE)</f>
        <v>5</v>
      </c>
      <c r="H1794" t="s">
        <v>124</v>
      </c>
      <c r="I1794" t="s">
        <v>188</v>
      </c>
      <c r="J1794">
        <v>1</v>
      </c>
      <c r="K1794">
        <v>95.822099447513807</v>
      </c>
      <c r="Z1794"/>
    </row>
    <row r="1795" spans="1:26" x14ac:dyDescent="0.25">
      <c r="A1795" s="159" t="str">
        <f t="shared" ref="A1795:A1858" si="85" xml:space="preserve"> CONCATENATE(I1795,"-",C1795, "-",E1795, "-",F1795,)</f>
        <v>LB-Oakland and Alameda-Walnut Creek-Social recreation</v>
      </c>
      <c r="B1795">
        <v>18</v>
      </c>
      <c r="C1795" t="str">
        <f t="shared" ref="C1795:E1858" si="86">VLOOKUP(B1795,$S$2:$T$35,2,FALSE)</f>
        <v>Oakland and Alameda</v>
      </c>
      <c r="D1795">
        <v>22</v>
      </c>
      <c r="E1795" t="str">
        <f t="shared" si="86"/>
        <v>Walnut Creek</v>
      </c>
      <c r="F1795" t="s">
        <v>324</v>
      </c>
      <c r="G1795">
        <f t="shared" si="84"/>
        <v>5</v>
      </c>
      <c r="H1795" t="s">
        <v>359</v>
      </c>
      <c r="I1795" t="s">
        <v>191</v>
      </c>
      <c r="J1795">
        <v>2</v>
      </c>
      <c r="K1795">
        <v>39.455968688845402</v>
      </c>
      <c r="Z1795"/>
    </row>
    <row r="1796" spans="1:26" x14ac:dyDescent="0.25">
      <c r="A1796" s="159" t="str">
        <f t="shared" si="85"/>
        <v>HR-Oakland and Alameda-Walnut Creek-Work</v>
      </c>
      <c r="B1796">
        <v>18</v>
      </c>
      <c r="C1796" t="str">
        <f t="shared" si="86"/>
        <v>Oakland and Alameda</v>
      </c>
      <c r="D1796">
        <v>22</v>
      </c>
      <c r="E1796" t="str">
        <f t="shared" si="86"/>
        <v>Walnut Creek</v>
      </c>
      <c r="F1796" t="s">
        <v>30</v>
      </c>
      <c r="G1796">
        <f t="shared" si="84"/>
        <v>1</v>
      </c>
      <c r="H1796" t="s">
        <v>124</v>
      </c>
      <c r="I1796" t="s">
        <v>188</v>
      </c>
      <c r="J1796">
        <v>4</v>
      </c>
      <c r="K1796">
        <v>383.288397790055</v>
      </c>
      <c r="Z1796"/>
    </row>
    <row r="1797" spans="1:26" x14ac:dyDescent="0.25">
      <c r="A1797" s="159" t="str">
        <f t="shared" si="85"/>
        <v>LB-Oakland and Alameda-Walnut Creek-Work</v>
      </c>
      <c r="B1797">
        <v>18</v>
      </c>
      <c r="C1797" t="str">
        <f t="shared" si="86"/>
        <v>Oakland and Alameda</v>
      </c>
      <c r="D1797">
        <v>22</v>
      </c>
      <c r="E1797" t="str">
        <f t="shared" si="86"/>
        <v>Walnut Creek</v>
      </c>
      <c r="F1797" t="s">
        <v>30</v>
      </c>
      <c r="G1797">
        <f t="shared" si="84"/>
        <v>1</v>
      </c>
      <c r="H1797" t="s">
        <v>359</v>
      </c>
      <c r="I1797" t="s">
        <v>191</v>
      </c>
      <c r="J1797">
        <v>1</v>
      </c>
      <c r="K1797">
        <v>19.727984344422701</v>
      </c>
      <c r="Z1797"/>
    </row>
    <row r="1798" spans="1:26" x14ac:dyDescent="0.25">
      <c r="A1798" s="159" t="str">
        <f t="shared" si="85"/>
        <v>FR-Oakland and Alameda-Danville and San Ramon-Social recreation</v>
      </c>
      <c r="B1798">
        <v>18</v>
      </c>
      <c r="C1798" t="str">
        <f t="shared" si="86"/>
        <v>Oakland and Alameda</v>
      </c>
      <c r="D1798">
        <v>23</v>
      </c>
      <c r="E1798" t="str">
        <f t="shared" si="86"/>
        <v>Danville and San Ramon</v>
      </c>
      <c r="F1798" t="s">
        <v>324</v>
      </c>
      <c r="G1798">
        <f t="shared" si="84"/>
        <v>5</v>
      </c>
      <c r="H1798" t="s">
        <v>360</v>
      </c>
      <c r="I1798" t="s">
        <v>185</v>
      </c>
      <c r="J1798">
        <v>1</v>
      </c>
      <c r="K1798">
        <v>16.498422712933699</v>
      </c>
      <c r="Z1798"/>
    </row>
    <row r="1799" spans="1:26" x14ac:dyDescent="0.25">
      <c r="A1799" s="159" t="str">
        <f t="shared" si="85"/>
        <v>LB-Oakland and Alameda-Danville and San Ramon-Work</v>
      </c>
      <c r="B1799">
        <v>18</v>
      </c>
      <c r="C1799" t="str">
        <f t="shared" si="86"/>
        <v>Oakland and Alameda</v>
      </c>
      <c r="D1799">
        <v>23</v>
      </c>
      <c r="E1799" t="str">
        <f t="shared" si="86"/>
        <v>Danville and San Ramon</v>
      </c>
      <c r="F1799" t="s">
        <v>30</v>
      </c>
      <c r="G1799">
        <f t="shared" si="84"/>
        <v>1</v>
      </c>
      <c r="H1799" t="s">
        <v>359</v>
      </c>
      <c r="I1799" t="s">
        <v>191</v>
      </c>
      <c r="J1799">
        <v>5</v>
      </c>
      <c r="K1799">
        <v>98.639921722113499</v>
      </c>
      <c r="Z1799"/>
    </row>
    <row r="1800" spans="1:26" x14ac:dyDescent="0.25">
      <c r="A1800" s="159" t="str">
        <f t="shared" si="85"/>
        <v>LB-Oakland and Alameda-Antioch and Pittsburg-Missing</v>
      </c>
      <c r="B1800">
        <v>18</v>
      </c>
      <c r="C1800" t="str">
        <f t="shared" si="86"/>
        <v>Oakland and Alameda</v>
      </c>
      <c r="D1800">
        <v>24</v>
      </c>
      <c r="E1800" t="str">
        <f t="shared" si="86"/>
        <v>Antioch and Pittsburg</v>
      </c>
      <c r="F1800" t="s">
        <v>327</v>
      </c>
      <c r="G1800">
        <f t="shared" si="84"/>
        <v>0</v>
      </c>
      <c r="H1800" t="s">
        <v>359</v>
      </c>
      <c r="I1800" t="s">
        <v>191</v>
      </c>
      <c r="J1800">
        <v>1</v>
      </c>
      <c r="K1800">
        <v>14.4260563380282</v>
      </c>
      <c r="Z1800"/>
    </row>
    <row r="1801" spans="1:26" x14ac:dyDescent="0.25">
      <c r="A1801" s="159" t="str">
        <f t="shared" si="85"/>
        <v>HR-Oakland and Alameda-Antioch and Pittsburg-Other maintenance</v>
      </c>
      <c r="B1801">
        <v>18</v>
      </c>
      <c r="C1801" t="str">
        <f t="shared" si="86"/>
        <v>Oakland and Alameda</v>
      </c>
      <c r="D1801">
        <v>24</v>
      </c>
      <c r="E1801" t="str">
        <f t="shared" si="86"/>
        <v>Antioch and Pittsburg</v>
      </c>
      <c r="F1801" t="s">
        <v>325</v>
      </c>
      <c r="G1801">
        <f t="shared" si="84"/>
        <v>4</v>
      </c>
      <c r="H1801" t="s">
        <v>124</v>
      </c>
      <c r="I1801" t="s">
        <v>188</v>
      </c>
      <c r="J1801">
        <v>1</v>
      </c>
      <c r="K1801">
        <v>195.51395348837201</v>
      </c>
      <c r="Z1801"/>
    </row>
    <row r="1802" spans="1:26" x14ac:dyDescent="0.25">
      <c r="A1802" s="159" t="str">
        <f t="shared" si="85"/>
        <v>LB-Oakland and Alameda-Antioch and Pittsburg-Other maintenance</v>
      </c>
      <c r="B1802">
        <v>18</v>
      </c>
      <c r="C1802" t="str">
        <f t="shared" si="86"/>
        <v>Oakland and Alameda</v>
      </c>
      <c r="D1802">
        <v>24</v>
      </c>
      <c r="E1802" t="str">
        <f t="shared" si="86"/>
        <v>Antioch and Pittsburg</v>
      </c>
      <c r="F1802" t="s">
        <v>325</v>
      </c>
      <c r="G1802">
        <f t="shared" si="84"/>
        <v>4</v>
      </c>
      <c r="H1802" t="s">
        <v>359</v>
      </c>
      <c r="I1802" t="s">
        <v>191</v>
      </c>
      <c r="J1802">
        <v>1</v>
      </c>
      <c r="K1802">
        <v>14.4260563380282</v>
      </c>
      <c r="Z1802"/>
    </row>
    <row r="1803" spans="1:26" x14ac:dyDescent="0.25">
      <c r="A1803" s="159" t="str">
        <f t="shared" si="85"/>
        <v>LB-Oakland and Alameda-Antioch and Pittsburg-Work</v>
      </c>
      <c r="B1803">
        <v>18</v>
      </c>
      <c r="C1803" t="str">
        <f t="shared" si="86"/>
        <v>Oakland and Alameda</v>
      </c>
      <c r="D1803">
        <v>24</v>
      </c>
      <c r="E1803" t="str">
        <f t="shared" si="86"/>
        <v>Antioch and Pittsburg</v>
      </c>
      <c r="F1803" t="s">
        <v>30</v>
      </c>
      <c r="G1803">
        <f t="shared" si="84"/>
        <v>1</v>
      </c>
      <c r="H1803" t="s">
        <v>359</v>
      </c>
      <c r="I1803" t="s">
        <v>191</v>
      </c>
      <c r="J1803">
        <v>1</v>
      </c>
      <c r="K1803">
        <v>19.727984344422701</v>
      </c>
      <c r="Z1803"/>
    </row>
    <row r="1804" spans="1:26" x14ac:dyDescent="0.25">
      <c r="A1804" s="159" t="str">
        <f t="shared" si="85"/>
        <v>EB-Oakland and Alameda-Vallejo and Benicia-Missing</v>
      </c>
      <c r="B1804">
        <v>18</v>
      </c>
      <c r="C1804" t="str">
        <f t="shared" si="86"/>
        <v>Oakland and Alameda</v>
      </c>
      <c r="D1804">
        <v>25</v>
      </c>
      <c r="E1804" t="str">
        <f t="shared" si="86"/>
        <v>Vallejo and Benicia</v>
      </c>
      <c r="F1804" t="s">
        <v>327</v>
      </c>
      <c r="G1804">
        <f t="shared" si="84"/>
        <v>0</v>
      </c>
      <c r="H1804" t="s">
        <v>123</v>
      </c>
      <c r="I1804" t="s">
        <v>182</v>
      </c>
      <c r="J1804">
        <v>1</v>
      </c>
      <c r="K1804">
        <v>12.3349397590361</v>
      </c>
      <c r="Z1804"/>
    </row>
    <row r="1805" spans="1:26" x14ac:dyDescent="0.25">
      <c r="A1805" s="159" t="str">
        <f t="shared" si="85"/>
        <v>EB-Oakland and Alameda-Vallejo and Benicia-Work</v>
      </c>
      <c r="B1805">
        <v>18</v>
      </c>
      <c r="C1805" t="str">
        <f t="shared" si="86"/>
        <v>Oakland and Alameda</v>
      </c>
      <c r="D1805">
        <v>25</v>
      </c>
      <c r="E1805" t="str">
        <f t="shared" si="86"/>
        <v>Vallejo and Benicia</v>
      </c>
      <c r="F1805" t="s">
        <v>30</v>
      </c>
      <c r="G1805">
        <f t="shared" si="84"/>
        <v>1</v>
      </c>
      <c r="H1805" t="s">
        <v>123</v>
      </c>
      <c r="I1805" t="s">
        <v>182</v>
      </c>
      <c r="J1805">
        <v>2</v>
      </c>
      <c r="K1805">
        <v>27.386221810317998</v>
      </c>
      <c r="Z1805"/>
    </row>
    <row r="1806" spans="1:26" x14ac:dyDescent="0.25">
      <c r="A1806" s="159" t="str">
        <f t="shared" si="85"/>
        <v>HR-Oakland and Alameda-Vallejo and Benicia-Work</v>
      </c>
      <c r="B1806">
        <v>18</v>
      </c>
      <c r="C1806" t="str">
        <f t="shared" si="86"/>
        <v>Oakland and Alameda</v>
      </c>
      <c r="D1806">
        <v>25</v>
      </c>
      <c r="E1806" t="str">
        <f t="shared" si="86"/>
        <v>Vallejo and Benicia</v>
      </c>
      <c r="F1806" t="s">
        <v>30</v>
      </c>
      <c r="G1806">
        <f t="shared" si="84"/>
        <v>1</v>
      </c>
      <c r="H1806" t="s">
        <v>124</v>
      </c>
      <c r="I1806" t="s">
        <v>188</v>
      </c>
      <c r="J1806">
        <v>1</v>
      </c>
      <c r="K1806">
        <v>95.822099447513807</v>
      </c>
      <c r="Z1806"/>
    </row>
    <row r="1807" spans="1:26" x14ac:dyDescent="0.25">
      <c r="A1807" s="159" t="str">
        <f t="shared" si="85"/>
        <v>LB-Oakland and Alameda-Vallejo and Benicia-Work</v>
      </c>
      <c r="B1807">
        <v>18</v>
      </c>
      <c r="C1807" t="str">
        <f t="shared" si="86"/>
        <v>Oakland and Alameda</v>
      </c>
      <c r="D1807">
        <v>25</v>
      </c>
      <c r="E1807" t="str">
        <f t="shared" si="86"/>
        <v>Vallejo and Benicia</v>
      </c>
      <c r="F1807" t="s">
        <v>30</v>
      </c>
      <c r="G1807">
        <f t="shared" si="84"/>
        <v>1</v>
      </c>
      <c r="H1807" t="s">
        <v>359</v>
      </c>
      <c r="I1807" t="s">
        <v>191</v>
      </c>
      <c r="J1807">
        <v>2</v>
      </c>
      <c r="K1807">
        <v>27.386221810317998</v>
      </c>
      <c r="Z1807"/>
    </row>
    <row r="1808" spans="1:26" x14ac:dyDescent="0.25">
      <c r="A1808" s="159" t="str">
        <f t="shared" si="85"/>
        <v>EB-Oakland and Alameda-Fairfield and Vacaville-Missing</v>
      </c>
      <c r="B1808">
        <v>18</v>
      </c>
      <c r="C1808" t="str">
        <f t="shared" si="86"/>
        <v>Oakland and Alameda</v>
      </c>
      <c r="D1808">
        <v>26</v>
      </c>
      <c r="E1808" t="str">
        <f t="shared" si="86"/>
        <v>Fairfield and Vacaville</v>
      </c>
      <c r="F1808" t="s">
        <v>327</v>
      </c>
      <c r="G1808">
        <f t="shared" si="84"/>
        <v>0</v>
      </c>
      <c r="H1808" t="s">
        <v>123</v>
      </c>
      <c r="I1808" t="s">
        <v>182</v>
      </c>
      <c r="J1808">
        <v>1</v>
      </c>
      <c r="K1808">
        <v>15.051282051282</v>
      </c>
      <c r="Z1808"/>
    </row>
    <row r="1809" spans="1:26" x14ac:dyDescent="0.25">
      <c r="A1809" s="159" t="str">
        <f t="shared" si="85"/>
        <v>EB-Oakland and Alameda-Fairfield and Vacaville-Work</v>
      </c>
      <c r="B1809">
        <v>18</v>
      </c>
      <c r="C1809" t="str">
        <f t="shared" si="86"/>
        <v>Oakland and Alameda</v>
      </c>
      <c r="D1809">
        <v>26</v>
      </c>
      <c r="E1809" t="str">
        <f t="shared" si="86"/>
        <v>Fairfield and Vacaville</v>
      </c>
      <c r="F1809" t="s">
        <v>30</v>
      </c>
      <c r="G1809">
        <f t="shared" si="84"/>
        <v>1</v>
      </c>
      <c r="H1809" t="s">
        <v>123</v>
      </c>
      <c r="I1809" t="s">
        <v>182</v>
      </c>
      <c r="J1809">
        <v>2</v>
      </c>
      <c r="K1809">
        <v>24.6698795180722</v>
      </c>
      <c r="Z1809"/>
    </row>
    <row r="1810" spans="1:26" x14ac:dyDescent="0.25">
      <c r="A1810" s="159" t="str">
        <f t="shared" si="85"/>
        <v>LB-Oakland and Alameda-Napa-Social recreation</v>
      </c>
      <c r="B1810">
        <v>18</v>
      </c>
      <c r="C1810" t="str">
        <f t="shared" si="86"/>
        <v>Oakland and Alameda</v>
      </c>
      <c r="D1810">
        <v>27</v>
      </c>
      <c r="E1810" t="str">
        <f t="shared" si="86"/>
        <v>Napa</v>
      </c>
      <c r="F1810" t="s">
        <v>324</v>
      </c>
      <c r="G1810">
        <f t="shared" si="84"/>
        <v>5</v>
      </c>
      <c r="H1810" t="s">
        <v>359</v>
      </c>
      <c r="I1810" t="s">
        <v>191</v>
      </c>
      <c r="J1810">
        <v>1</v>
      </c>
      <c r="K1810">
        <v>5.9851301115241604</v>
      </c>
      <c r="Z1810"/>
    </row>
    <row r="1811" spans="1:26" x14ac:dyDescent="0.25">
      <c r="A1811" s="159" t="str">
        <f t="shared" si="85"/>
        <v>LB-Oakland and Alameda-Napa-Work</v>
      </c>
      <c r="B1811">
        <v>18</v>
      </c>
      <c r="C1811" t="str">
        <f t="shared" si="86"/>
        <v>Oakland and Alameda</v>
      </c>
      <c r="D1811">
        <v>27</v>
      </c>
      <c r="E1811" t="str">
        <f t="shared" si="86"/>
        <v>Napa</v>
      </c>
      <c r="F1811" t="s">
        <v>30</v>
      </c>
      <c r="G1811">
        <f t="shared" si="84"/>
        <v>1</v>
      </c>
      <c r="H1811" t="s">
        <v>359</v>
      </c>
      <c r="I1811" t="s">
        <v>191</v>
      </c>
      <c r="J1811">
        <v>1</v>
      </c>
      <c r="K1811">
        <v>5.9851301115241604</v>
      </c>
      <c r="Z1811"/>
    </row>
    <row r="1812" spans="1:26" x14ac:dyDescent="0.25">
      <c r="A1812" s="159" t="str">
        <f t="shared" si="85"/>
        <v>CR-Oakland and Alameda-Petaluma and Rohnert Park-Social recreation</v>
      </c>
      <c r="B1812">
        <v>18</v>
      </c>
      <c r="C1812" t="str">
        <f t="shared" si="86"/>
        <v>Oakland and Alameda</v>
      </c>
      <c r="D1812">
        <v>29</v>
      </c>
      <c r="E1812" t="str">
        <f t="shared" si="86"/>
        <v>Petaluma and Rohnert Park</v>
      </c>
      <c r="F1812" t="s">
        <v>324</v>
      </c>
      <c r="G1812">
        <f t="shared" si="84"/>
        <v>5</v>
      </c>
      <c r="H1812" t="s">
        <v>125</v>
      </c>
      <c r="I1812" t="s">
        <v>178</v>
      </c>
      <c r="J1812">
        <v>1</v>
      </c>
      <c r="K1812">
        <v>7.7247191011235996</v>
      </c>
      <c r="Z1812"/>
    </row>
    <row r="1813" spans="1:26" x14ac:dyDescent="0.25">
      <c r="A1813" s="159" t="str">
        <f t="shared" si="85"/>
        <v>CR-Oakland and Alameda-Santa Rosa and Sebastopol-Social recreation</v>
      </c>
      <c r="B1813">
        <v>18</v>
      </c>
      <c r="C1813" t="str">
        <f t="shared" si="86"/>
        <v>Oakland and Alameda</v>
      </c>
      <c r="D1813">
        <v>30</v>
      </c>
      <c r="E1813" t="str">
        <f t="shared" si="86"/>
        <v>Santa Rosa and Sebastopol</v>
      </c>
      <c r="F1813" t="s">
        <v>324</v>
      </c>
      <c r="G1813">
        <f t="shared" si="84"/>
        <v>5</v>
      </c>
      <c r="H1813" t="s">
        <v>125</v>
      </c>
      <c r="I1813" t="s">
        <v>178</v>
      </c>
      <c r="J1813">
        <v>1</v>
      </c>
      <c r="K1813">
        <v>12.22</v>
      </c>
      <c r="Z1813"/>
    </row>
    <row r="1814" spans="1:26" x14ac:dyDescent="0.25">
      <c r="A1814" s="159" t="str">
        <f t="shared" si="85"/>
        <v>CR-Oakland and Alameda-Novato-Other maintenance</v>
      </c>
      <c r="B1814">
        <v>18</v>
      </c>
      <c r="C1814" t="str">
        <f t="shared" si="86"/>
        <v>Oakland and Alameda</v>
      </c>
      <c r="D1814">
        <v>32</v>
      </c>
      <c r="E1814" t="str">
        <f t="shared" si="86"/>
        <v>Novato</v>
      </c>
      <c r="F1814" t="s">
        <v>325</v>
      </c>
      <c r="G1814">
        <f t="shared" si="84"/>
        <v>4</v>
      </c>
      <c r="H1814" t="s">
        <v>125</v>
      </c>
      <c r="I1814" t="s">
        <v>178</v>
      </c>
      <c r="J1814">
        <v>1</v>
      </c>
      <c r="K1814">
        <v>7.7247191011235996</v>
      </c>
      <c r="Z1814"/>
    </row>
    <row r="1815" spans="1:26" x14ac:dyDescent="0.25">
      <c r="A1815" s="159" t="str">
        <f t="shared" si="85"/>
        <v>LB-Oakland and Alameda-San Rafael-Social recreation</v>
      </c>
      <c r="B1815">
        <v>18</v>
      </c>
      <c r="C1815" t="str">
        <f t="shared" si="86"/>
        <v>Oakland and Alameda</v>
      </c>
      <c r="D1815">
        <v>33</v>
      </c>
      <c r="E1815" t="str">
        <f t="shared" si="86"/>
        <v>San Rafael</v>
      </c>
      <c r="F1815" t="s">
        <v>324</v>
      </c>
      <c r="G1815">
        <f t="shared" si="84"/>
        <v>5</v>
      </c>
      <c r="H1815" t="s">
        <v>359</v>
      </c>
      <c r="I1815" t="s">
        <v>191</v>
      </c>
      <c r="J1815">
        <v>1</v>
      </c>
      <c r="K1815">
        <v>19.725941422594101</v>
      </c>
      <c r="Z1815"/>
    </row>
    <row r="1816" spans="1:26" x14ac:dyDescent="0.25">
      <c r="A1816" s="159" t="str">
        <f t="shared" si="85"/>
        <v>FR-Oakland and Alameda-Mill Valley and Sausalito-Social recreation</v>
      </c>
      <c r="B1816">
        <v>18</v>
      </c>
      <c r="C1816" t="str">
        <f t="shared" si="86"/>
        <v>Oakland and Alameda</v>
      </c>
      <c r="D1816">
        <v>34</v>
      </c>
      <c r="E1816" t="str">
        <f t="shared" si="86"/>
        <v>Mill Valley and Sausalito</v>
      </c>
      <c r="F1816" t="s">
        <v>324</v>
      </c>
      <c r="G1816">
        <f t="shared" si="84"/>
        <v>5</v>
      </c>
      <c r="H1816" t="s">
        <v>360</v>
      </c>
      <c r="I1816" t="s">
        <v>185</v>
      </c>
      <c r="J1816">
        <v>1</v>
      </c>
      <c r="K1816">
        <v>16.498422712933699</v>
      </c>
      <c r="Z1816"/>
    </row>
    <row r="1817" spans="1:26" x14ac:dyDescent="0.25">
      <c r="A1817" s="159" t="str">
        <f t="shared" si="85"/>
        <v>EB-Berkeley and Albany-Greater Downtown San Francisco-High school</v>
      </c>
      <c r="B1817">
        <v>19</v>
      </c>
      <c r="C1817" t="str">
        <f t="shared" si="86"/>
        <v>Berkeley and Albany</v>
      </c>
      <c r="D1817">
        <v>1</v>
      </c>
      <c r="E1817" t="str">
        <f t="shared" si="86"/>
        <v>Greater Downtown San Francisco</v>
      </c>
      <c r="F1817" t="s">
        <v>326</v>
      </c>
      <c r="G1817">
        <f t="shared" si="84"/>
        <v>3</v>
      </c>
      <c r="H1817" t="s">
        <v>123</v>
      </c>
      <c r="I1817" t="s">
        <v>182</v>
      </c>
      <c r="J1817">
        <v>3</v>
      </c>
      <c r="K1817">
        <v>226.725787631271</v>
      </c>
      <c r="Z1817"/>
    </row>
    <row r="1818" spans="1:26" x14ac:dyDescent="0.25">
      <c r="A1818" s="159" t="str">
        <f t="shared" si="85"/>
        <v>HR-Berkeley and Albany-Greater Downtown San Francisco-Other maintenance</v>
      </c>
      <c r="B1818">
        <v>19</v>
      </c>
      <c r="C1818" t="str">
        <f t="shared" si="86"/>
        <v>Berkeley and Albany</v>
      </c>
      <c r="D1818">
        <v>1</v>
      </c>
      <c r="E1818" t="str">
        <f t="shared" si="86"/>
        <v>Greater Downtown San Francisco</v>
      </c>
      <c r="F1818" t="s">
        <v>325</v>
      </c>
      <c r="G1818">
        <f t="shared" si="84"/>
        <v>4</v>
      </c>
      <c r="H1818" t="s">
        <v>124</v>
      </c>
      <c r="I1818" t="s">
        <v>188</v>
      </c>
      <c r="J1818">
        <v>3</v>
      </c>
      <c r="K1818">
        <v>586.54186046511597</v>
      </c>
      <c r="Z1818"/>
    </row>
    <row r="1819" spans="1:26" x14ac:dyDescent="0.25">
      <c r="A1819" s="159" t="str">
        <f t="shared" si="85"/>
        <v>HR-Berkeley and Albany-Greater Downtown San Francisco-Shopping</v>
      </c>
      <c r="B1819">
        <v>19</v>
      </c>
      <c r="C1819" t="str">
        <f t="shared" si="86"/>
        <v>Berkeley and Albany</v>
      </c>
      <c r="D1819">
        <v>1</v>
      </c>
      <c r="E1819" t="str">
        <f t="shared" si="86"/>
        <v>Greater Downtown San Francisco</v>
      </c>
      <c r="F1819" t="s">
        <v>106</v>
      </c>
      <c r="G1819">
        <f t="shared" si="84"/>
        <v>4</v>
      </c>
      <c r="H1819" t="s">
        <v>124</v>
      </c>
      <c r="I1819" t="s">
        <v>188</v>
      </c>
      <c r="J1819">
        <v>2</v>
      </c>
      <c r="K1819">
        <v>191.64419889502699</v>
      </c>
      <c r="Z1819"/>
    </row>
    <row r="1820" spans="1:26" x14ac:dyDescent="0.25">
      <c r="A1820" s="159" t="str">
        <f t="shared" si="85"/>
        <v>EB-Berkeley and Albany-Greater Downtown San Francisco-Social recreation</v>
      </c>
      <c r="B1820">
        <v>19</v>
      </c>
      <c r="C1820" t="str">
        <f t="shared" si="86"/>
        <v>Berkeley and Albany</v>
      </c>
      <c r="D1820">
        <v>1</v>
      </c>
      <c r="E1820" t="str">
        <f t="shared" si="86"/>
        <v>Greater Downtown San Francisco</v>
      </c>
      <c r="F1820" t="s">
        <v>324</v>
      </c>
      <c r="G1820">
        <f t="shared" si="84"/>
        <v>5</v>
      </c>
      <c r="H1820" t="s">
        <v>123</v>
      </c>
      <c r="I1820" t="s">
        <v>182</v>
      </c>
      <c r="J1820">
        <v>1</v>
      </c>
      <c r="K1820">
        <v>75.575262543757304</v>
      </c>
      <c r="Z1820"/>
    </row>
    <row r="1821" spans="1:26" x14ac:dyDescent="0.25">
      <c r="A1821" s="159" t="str">
        <f t="shared" si="85"/>
        <v>HR-Berkeley and Albany-Greater Downtown San Francisco-Social recreation</v>
      </c>
      <c r="B1821">
        <v>19</v>
      </c>
      <c r="C1821" t="str">
        <f t="shared" si="86"/>
        <v>Berkeley and Albany</v>
      </c>
      <c r="D1821">
        <v>1</v>
      </c>
      <c r="E1821" t="str">
        <f t="shared" si="86"/>
        <v>Greater Downtown San Francisco</v>
      </c>
      <c r="F1821" t="s">
        <v>324</v>
      </c>
      <c r="G1821">
        <f t="shared" si="84"/>
        <v>5</v>
      </c>
      <c r="H1821" t="s">
        <v>124</v>
      </c>
      <c r="I1821" t="s">
        <v>188</v>
      </c>
      <c r="J1821">
        <v>15</v>
      </c>
      <c r="K1821">
        <v>2135.1744699987098</v>
      </c>
      <c r="Z1821"/>
    </row>
    <row r="1822" spans="1:26" x14ac:dyDescent="0.25">
      <c r="A1822" s="159" t="str">
        <f t="shared" si="85"/>
        <v>EB-Berkeley and Albany-Greater Downtown San Francisco-Work</v>
      </c>
      <c r="B1822">
        <v>19</v>
      </c>
      <c r="C1822" t="str">
        <f t="shared" si="86"/>
        <v>Berkeley and Albany</v>
      </c>
      <c r="D1822">
        <v>1</v>
      </c>
      <c r="E1822" t="str">
        <f t="shared" si="86"/>
        <v>Greater Downtown San Francisco</v>
      </c>
      <c r="F1822" t="s">
        <v>30</v>
      </c>
      <c r="G1822">
        <f t="shared" si="84"/>
        <v>1</v>
      </c>
      <c r="H1822" t="s">
        <v>123</v>
      </c>
      <c r="I1822" t="s">
        <v>182</v>
      </c>
      <c r="J1822">
        <v>5</v>
      </c>
      <c r="K1822">
        <v>377.87631271878598</v>
      </c>
      <c r="Z1822"/>
    </row>
    <row r="1823" spans="1:26" x14ac:dyDescent="0.25">
      <c r="A1823" s="159" t="str">
        <f t="shared" si="85"/>
        <v>HR-Berkeley and Albany-Greater Downtown San Francisco-Work</v>
      </c>
      <c r="B1823">
        <v>19</v>
      </c>
      <c r="C1823" t="str">
        <f t="shared" si="86"/>
        <v>Berkeley and Albany</v>
      </c>
      <c r="D1823">
        <v>1</v>
      </c>
      <c r="E1823" t="str">
        <f t="shared" si="86"/>
        <v>Greater Downtown San Francisco</v>
      </c>
      <c r="F1823" t="s">
        <v>30</v>
      </c>
      <c r="G1823">
        <f t="shared" si="84"/>
        <v>1</v>
      </c>
      <c r="H1823" t="s">
        <v>124</v>
      </c>
      <c r="I1823" t="s">
        <v>188</v>
      </c>
      <c r="J1823">
        <v>7</v>
      </c>
      <c r="K1823">
        <v>770.44655017345406</v>
      </c>
      <c r="Z1823"/>
    </row>
    <row r="1824" spans="1:26" x14ac:dyDescent="0.25">
      <c r="A1824" s="159" t="str">
        <f t="shared" si="85"/>
        <v>LB-Berkeley and Albany-Greater Downtown San Francisco-Work</v>
      </c>
      <c r="B1824">
        <v>19</v>
      </c>
      <c r="C1824" t="str">
        <f t="shared" si="86"/>
        <v>Berkeley and Albany</v>
      </c>
      <c r="D1824">
        <v>1</v>
      </c>
      <c r="E1824" t="str">
        <f t="shared" si="86"/>
        <v>Greater Downtown San Francisco</v>
      </c>
      <c r="F1824" t="s">
        <v>30</v>
      </c>
      <c r="G1824">
        <f t="shared" si="84"/>
        <v>1</v>
      </c>
      <c r="H1824" t="s">
        <v>359</v>
      </c>
      <c r="I1824" t="s">
        <v>191</v>
      </c>
      <c r="J1824">
        <v>2</v>
      </c>
      <c r="K1824">
        <v>361.70361726954502</v>
      </c>
      <c r="Z1824"/>
    </row>
    <row r="1825" spans="1:26" x14ac:dyDescent="0.25">
      <c r="A1825" s="159" t="str">
        <f t="shared" si="85"/>
        <v>EB-Berkeley and Albany-San Francisco Richmond District-High school</v>
      </c>
      <c r="B1825">
        <v>19</v>
      </c>
      <c r="C1825" t="str">
        <f t="shared" si="86"/>
        <v>Berkeley and Albany</v>
      </c>
      <c r="D1825">
        <v>2</v>
      </c>
      <c r="E1825" t="str">
        <f t="shared" si="86"/>
        <v>San Francisco Richmond District</v>
      </c>
      <c r="F1825" t="s">
        <v>326</v>
      </c>
      <c r="G1825">
        <f t="shared" si="84"/>
        <v>3</v>
      </c>
      <c r="H1825" t="s">
        <v>123</v>
      </c>
      <c r="I1825" t="s">
        <v>182</v>
      </c>
      <c r="J1825">
        <v>1</v>
      </c>
      <c r="K1825">
        <v>75.575262543757304</v>
      </c>
      <c r="Z1825"/>
    </row>
    <row r="1826" spans="1:26" x14ac:dyDescent="0.25">
      <c r="A1826" s="159" t="str">
        <f t="shared" si="85"/>
        <v>HR-Berkeley and Albany-San Francisco Richmond District-Missing</v>
      </c>
      <c r="B1826">
        <v>19</v>
      </c>
      <c r="C1826" t="str">
        <f t="shared" si="86"/>
        <v>Berkeley and Albany</v>
      </c>
      <c r="D1826">
        <v>2</v>
      </c>
      <c r="E1826" t="str">
        <f t="shared" si="86"/>
        <v>San Francisco Richmond District</v>
      </c>
      <c r="F1826" t="s">
        <v>327</v>
      </c>
      <c r="G1826">
        <f t="shared" si="84"/>
        <v>0</v>
      </c>
      <c r="H1826" t="s">
        <v>124</v>
      </c>
      <c r="I1826" t="s">
        <v>188</v>
      </c>
      <c r="J1826">
        <v>1</v>
      </c>
      <c r="K1826">
        <v>95.822099447513807</v>
      </c>
      <c r="Z1826"/>
    </row>
    <row r="1827" spans="1:26" x14ac:dyDescent="0.25">
      <c r="A1827" s="159" t="str">
        <f t="shared" si="85"/>
        <v>HR-Berkeley and Albany-San Francisco Richmond District-Other maintenance</v>
      </c>
      <c r="B1827">
        <v>19</v>
      </c>
      <c r="C1827" t="str">
        <f t="shared" si="86"/>
        <v>Berkeley and Albany</v>
      </c>
      <c r="D1827">
        <v>2</v>
      </c>
      <c r="E1827" t="str">
        <f t="shared" si="86"/>
        <v>San Francisco Richmond District</v>
      </c>
      <c r="F1827" t="s">
        <v>325</v>
      </c>
      <c r="G1827">
        <f t="shared" si="84"/>
        <v>4</v>
      </c>
      <c r="H1827" t="s">
        <v>124</v>
      </c>
      <c r="I1827" t="s">
        <v>188</v>
      </c>
      <c r="J1827">
        <v>2</v>
      </c>
      <c r="K1827">
        <v>191.64419889502699</v>
      </c>
      <c r="Z1827"/>
    </row>
    <row r="1828" spans="1:26" x14ac:dyDescent="0.25">
      <c r="A1828" s="159" t="str">
        <f t="shared" si="85"/>
        <v>EB-Berkeley and Albany-San Francisco Richmond District-Social recreation</v>
      </c>
      <c r="B1828">
        <v>19</v>
      </c>
      <c r="C1828" t="str">
        <f t="shared" si="86"/>
        <v>Berkeley and Albany</v>
      </c>
      <c r="D1828">
        <v>2</v>
      </c>
      <c r="E1828" t="str">
        <f t="shared" si="86"/>
        <v>San Francisco Richmond District</v>
      </c>
      <c r="F1828" t="s">
        <v>324</v>
      </c>
      <c r="G1828">
        <f t="shared" si="84"/>
        <v>5</v>
      </c>
      <c r="H1828" t="s">
        <v>123</v>
      </c>
      <c r="I1828" t="s">
        <v>182</v>
      </c>
      <c r="J1828">
        <v>1</v>
      </c>
      <c r="K1828">
        <v>3.8990384615384599</v>
      </c>
      <c r="Z1828"/>
    </row>
    <row r="1829" spans="1:26" x14ac:dyDescent="0.25">
      <c r="A1829" s="159" t="str">
        <f t="shared" si="85"/>
        <v>HR-Berkeley and Albany-San Francisco Richmond District-Social recreation</v>
      </c>
      <c r="B1829">
        <v>19</v>
      </c>
      <c r="C1829" t="str">
        <f t="shared" si="86"/>
        <v>Berkeley and Albany</v>
      </c>
      <c r="D1829">
        <v>2</v>
      </c>
      <c r="E1829" t="str">
        <f t="shared" si="86"/>
        <v>San Francisco Richmond District</v>
      </c>
      <c r="F1829" t="s">
        <v>324</v>
      </c>
      <c r="G1829">
        <f t="shared" si="84"/>
        <v>5</v>
      </c>
      <c r="H1829" t="s">
        <v>124</v>
      </c>
      <c r="I1829" t="s">
        <v>188</v>
      </c>
      <c r="J1829">
        <v>3</v>
      </c>
      <c r="K1829">
        <v>486.850006424257</v>
      </c>
      <c r="Z1829"/>
    </row>
    <row r="1830" spans="1:26" x14ac:dyDescent="0.25">
      <c r="A1830" s="159" t="str">
        <f t="shared" si="85"/>
        <v>LR-Berkeley and Albany-San Francisco Richmond District-Social recreation</v>
      </c>
      <c r="B1830">
        <v>19</v>
      </c>
      <c r="C1830" t="str">
        <f t="shared" si="86"/>
        <v>Berkeley and Albany</v>
      </c>
      <c r="D1830">
        <v>2</v>
      </c>
      <c r="E1830" t="str">
        <f t="shared" si="86"/>
        <v>San Francisco Richmond District</v>
      </c>
      <c r="F1830" t="s">
        <v>324</v>
      </c>
      <c r="G1830">
        <f t="shared" si="84"/>
        <v>5</v>
      </c>
      <c r="H1830" t="s">
        <v>353</v>
      </c>
      <c r="I1830" t="s">
        <v>194</v>
      </c>
      <c r="J1830">
        <v>2</v>
      </c>
      <c r="K1830">
        <v>2480.4535315985199</v>
      </c>
      <c r="Z1830"/>
    </row>
    <row r="1831" spans="1:26" x14ac:dyDescent="0.25">
      <c r="A1831" s="159" t="str">
        <f t="shared" si="85"/>
        <v>LB-Berkeley and Albany-San Francisco Richmond District-Social recreation</v>
      </c>
      <c r="B1831">
        <v>19</v>
      </c>
      <c r="C1831" t="str">
        <f t="shared" si="86"/>
        <v>Berkeley and Albany</v>
      </c>
      <c r="D1831">
        <v>2</v>
      </c>
      <c r="E1831" t="str">
        <f t="shared" si="86"/>
        <v>San Francisco Richmond District</v>
      </c>
      <c r="F1831" t="s">
        <v>324</v>
      </c>
      <c r="G1831">
        <f t="shared" si="84"/>
        <v>5</v>
      </c>
      <c r="H1831" t="s">
        <v>359</v>
      </c>
      <c r="I1831" t="s">
        <v>191</v>
      </c>
      <c r="J1831">
        <v>2</v>
      </c>
      <c r="K1831">
        <v>1526.3551205250401</v>
      </c>
      <c r="Z1831"/>
    </row>
    <row r="1832" spans="1:26" x14ac:dyDescent="0.25">
      <c r="A1832" s="159" t="str">
        <f t="shared" si="85"/>
        <v>HR-Berkeley and Albany-San Francisco Richmond District-Work</v>
      </c>
      <c r="B1832">
        <v>19</v>
      </c>
      <c r="C1832" t="str">
        <f t="shared" si="86"/>
        <v>Berkeley and Albany</v>
      </c>
      <c r="D1832">
        <v>2</v>
      </c>
      <c r="E1832" t="str">
        <f t="shared" si="86"/>
        <v>San Francisco Richmond District</v>
      </c>
      <c r="F1832" t="s">
        <v>30</v>
      </c>
      <c r="G1832">
        <f t="shared" si="84"/>
        <v>1</v>
      </c>
      <c r="H1832" t="s">
        <v>124</v>
      </c>
      <c r="I1832" t="s">
        <v>188</v>
      </c>
      <c r="J1832">
        <v>2</v>
      </c>
      <c r="K1832">
        <v>291.33605293588499</v>
      </c>
      <c r="Z1832"/>
    </row>
    <row r="1833" spans="1:26" x14ac:dyDescent="0.25">
      <c r="A1833" s="159" t="str">
        <f t="shared" si="85"/>
        <v>LB-Berkeley and Albany-San Francisco Richmond District-Work</v>
      </c>
      <c r="B1833">
        <v>19</v>
      </c>
      <c r="C1833" t="str">
        <f t="shared" si="86"/>
        <v>Berkeley and Albany</v>
      </c>
      <c r="D1833">
        <v>2</v>
      </c>
      <c r="E1833" t="str">
        <f t="shared" si="86"/>
        <v>San Francisco Richmond District</v>
      </c>
      <c r="F1833" t="s">
        <v>30</v>
      </c>
      <c r="G1833">
        <f t="shared" si="84"/>
        <v>1</v>
      </c>
      <c r="H1833" t="s">
        <v>359</v>
      </c>
      <c r="I1833" t="s">
        <v>191</v>
      </c>
      <c r="J1833">
        <v>4</v>
      </c>
      <c r="K1833">
        <v>933.96032672112096</v>
      </c>
      <c r="Z1833"/>
    </row>
    <row r="1834" spans="1:26" x14ac:dyDescent="0.25">
      <c r="A1834" s="159" t="str">
        <f t="shared" si="85"/>
        <v>EB-Berkeley and Albany-San Francisco Mission District-High school</v>
      </c>
      <c r="B1834">
        <v>19</v>
      </c>
      <c r="C1834" t="str">
        <f t="shared" si="86"/>
        <v>Berkeley and Albany</v>
      </c>
      <c r="D1834">
        <v>3</v>
      </c>
      <c r="E1834" t="str">
        <f t="shared" si="86"/>
        <v>San Francisco Mission District</v>
      </c>
      <c r="F1834" t="s">
        <v>326</v>
      </c>
      <c r="G1834">
        <f t="shared" si="84"/>
        <v>3</v>
      </c>
      <c r="H1834" t="s">
        <v>123</v>
      </c>
      <c r="I1834" t="s">
        <v>182</v>
      </c>
      <c r="J1834">
        <v>1</v>
      </c>
      <c r="K1834">
        <v>75.575262543757304</v>
      </c>
      <c r="Z1834"/>
    </row>
    <row r="1835" spans="1:26" x14ac:dyDescent="0.25">
      <c r="A1835" s="159" t="str">
        <f t="shared" si="85"/>
        <v>HR-Berkeley and Albany-San Francisco Mission District-High school</v>
      </c>
      <c r="B1835">
        <v>19</v>
      </c>
      <c r="C1835" t="str">
        <f t="shared" si="86"/>
        <v>Berkeley and Albany</v>
      </c>
      <c r="D1835">
        <v>3</v>
      </c>
      <c r="E1835" t="str">
        <f t="shared" si="86"/>
        <v>San Francisco Mission District</v>
      </c>
      <c r="F1835" t="s">
        <v>326</v>
      </c>
      <c r="G1835">
        <f t="shared" si="84"/>
        <v>3</v>
      </c>
      <c r="H1835" t="s">
        <v>124</v>
      </c>
      <c r="I1835" t="s">
        <v>188</v>
      </c>
      <c r="J1835">
        <v>2</v>
      </c>
      <c r="K1835">
        <v>191.64419889502699</v>
      </c>
      <c r="Z1835"/>
    </row>
    <row r="1836" spans="1:26" x14ac:dyDescent="0.25">
      <c r="A1836" s="159" t="str">
        <f t="shared" si="85"/>
        <v>HR-Berkeley and Albany-San Francisco Mission District-Missing</v>
      </c>
      <c r="B1836">
        <v>19</v>
      </c>
      <c r="C1836" t="str">
        <f t="shared" si="86"/>
        <v>Berkeley and Albany</v>
      </c>
      <c r="D1836">
        <v>3</v>
      </c>
      <c r="E1836" t="str">
        <f t="shared" si="86"/>
        <v>San Francisco Mission District</v>
      </c>
      <c r="F1836" t="s">
        <v>327</v>
      </c>
      <c r="G1836">
        <f t="shared" si="84"/>
        <v>0</v>
      </c>
      <c r="H1836" t="s">
        <v>124</v>
      </c>
      <c r="I1836" t="s">
        <v>188</v>
      </c>
      <c r="J1836">
        <v>1</v>
      </c>
      <c r="K1836">
        <v>95.822099447513807</v>
      </c>
      <c r="Z1836"/>
    </row>
    <row r="1837" spans="1:26" x14ac:dyDescent="0.25">
      <c r="A1837" s="159" t="str">
        <f t="shared" si="85"/>
        <v>HR-Berkeley and Albany-San Francisco Mission District-Other maintenance</v>
      </c>
      <c r="B1837">
        <v>19</v>
      </c>
      <c r="C1837" t="str">
        <f t="shared" si="86"/>
        <v>Berkeley and Albany</v>
      </c>
      <c r="D1837">
        <v>3</v>
      </c>
      <c r="E1837" t="str">
        <f t="shared" si="86"/>
        <v>San Francisco Mission District</v>
      </c>
      <c r="F1837" t="s">
        <v>325</v>
      </c>
      <c r="G1837">
        <f t="shared" si="84"/>
        <v>4</v>
      </c>
      <c r="H1837" t="s">
        <v>124</v>
      </c>
      <c r="I1837" t="s">
        <v>188</v>
      </c>
      <c r="J1837">
        <v>1</v>
      </c>
      <c r="K1837">
        <v>195.51395348837201</v>
      </c>
      <c r="Z1837"/>
    </row>
    <row r="1838" spans="1:26" x14ac:dyDescent="0.25">
      <c r="A1838" s="159" t="str">
        <f t="shared" si="85"/>
        <v>HR-Berkeley and Albany-San Francisco Mission District-Social recreation</v>
      </c>
      <c r="B1838">
        <v>19</v>
      </c>
      <c r="C1838" t="str">
        <f t="shared" si="86"/>
        <v>Berkeley and Albany</v>
      </c>
      <c r="D1838">
        <v>3</v>
      </c>
      <c r="E1838" t="str">
        <f t="shared" si="86"/>
        <v>San Francisco Mission District</v>
      </c>
      <c r="F1838" t="s">
        <v>324</v>
      </c>
      <c r="G1838">
        <f t="shared" si="84"/>
        <v>5</v>
      </c>
      <c r="H1838" t="s">
        <v>124</v>
      </c>
      <c r="I1838" t="s">
        <v>188</v>
      </c>
      <c r="J1838">
        <v>10</v>
      </c>
      <c r="K1838">
        <v>1456.6802646794199</v>
      </c>
      <c r="Z1838"/>
    </row>
    <row r="1839" spans="1:26" x14ac:dyDescent="0.25">
      <c r="A1839" s="159" t="str">
        <f t="shared" si="85"/>
        <v>LB-Berkeley and Albany-San Francisco Mission District-Social recreation</v>
      </c>
      <c r="B1839">
        <v>19</v>
      </c>
      <c r="C1839" t="str">
        <f t="shared" si="86"/>
        <v>Berkeley and Albany</v>
      </c>
      <c r="D1839">
        <v>3</v>
      </c>
      <c r="E1839" t="str">
        <f t="shared" si="86"/>
        <v>San Francisco Mission District</v>
      </c>
      <c r="F1839" t="s">
        <v>324</v>
      </c>
      <c r="G1839">
        <f t="shared" si="84"/>
        <v>5</v>
      </c>
      <c r="H1839" t="s">
        <v>359</v>
      </c>
      <c r="I1839" t="s">
        <v>191</v>
      </c>
      <c r="J1839">
        <v>1</v>
      </c>
      <c r="K1839">
        <v>1240.22676579926</v>
      </c>
      <c r="Z1839"/>
    </row>
    <row r="1840" spans="1:26" x14ac:dyDescent="0.25">
      <c r="A1840" s="159" t="str">
        <f t="shared" si="85"/>
        <v>HR-Berkeley and Albany-San Francisco Mission District-Work</v>
      </c>
      <c r="B1840">
        <v>19</v>
      </c>
      <c r="C1840" t="str">
        <f t="shared" si="86"/>
        <v>Berkeley and Albany</v>
      </c>
      <c r="D1840">
        <v>3</v>
      </c>
      <c r="E1840" t="str">
        <f t="shared" si="86"/>
        <v>San Francisco Mission District</v>
      </c>
      <c r="F1840" t="s">
        <v>30</v>
      </c>
      <c r="G1840">
        <f t="shared" si="84"/>
        <v>1</v>
      </c>
      <c r="H1840" t="s">
        <v>124</v>
      </c>
      <c r="I1840" t="s">
        <v>188</v>
      </c>
      <c r="J1840">
        <v>13</v>
      </c>
      <c r="K1840">
        <v>1445.0710008993899</v>
      </c>
      <c r="Z1840"/>
    </row>
    <row r="1841" spans="1:26" x14ac:dyDescent="0.25">
      <c r="A1841" s="159" t="str">
        <f t="shared" si="85"/>
        <v>LR-Berkeley and Albany-San Francisco Mission District-Work</v>
      </c>
      <c r="B1841">
        <v>19</v>
      </c>
      <c r="C1841" t="str">
        <f t="shared" si="86"/>
        <v>Berkeley and Albany</v>
      </c>
      <c r="D1841">
        <v>3</v>
      </c>
      <c r="E1841" t="str">
        <f t="shared" si="86"/>
        <v>San Francisco Mission District</v>
      </c>
      <c r="F1841" t="s">
        <v>30</v>
      </c>
      <c r="G1841">
        <f t="shared" si="84"/>
        <v>1</v>
      </c>
      <c r="H1841" t="s">
        <v>353</v>
      </c>
      <c r="I1841" t="s">
        <v>194</v>
      </c>
      <c r="J1841">
        <v>1</v>
      </c>
      <c r="K1841">
        <v>286.12835472578797</v>
      </c>
      <c r="Z1841"/>
    </row>
    <row r="1842" spans="1:26" x14ac:dyDescent="0.25">
      <c r="A1842" s="159" t="str">
        <f t="shared" si="85"/>
        <v>LB-Berkeley and Albany-San Francisco Mission District-Work</v>
      </c>
      <c r="B1842">
        <v>19</v>
      </c>
      <c r="C1842" t="str">
        <f t="shared" si="86"/>
        <v>Berkeley and Albany</v>
      </c>
      <c r="D1842">
        <v>3</v>
      </c>
      <c r="E1842" t="str">
        <f t="shared" si="86"/>
        <v>San Francisco Mission District</v>
      </c>
      <c r="F1842" t="s">
        <v>30</v>
      </c>
      <c r="G1842">
        <f t="shared" si="84"/>
        <v>1</v>
      </c>
      <c r="H1842" t="s">
        <v>359</v>
      </c>
      <c r="I1842" t="s">
        <v>191</v>
      </c>
      <c r="J1842">
        <v>3</v>
      </c>
      <c r="K1842">
        <v>437.27887981330201</v>
      </c>
      <c r="Z1842"/>
    </row>
    <row r="1843" spans="1:26" x14ac:dyDescent="0.25">
      <c r="A1843" s="159" t="str">
        <f t="shared" si="85"/>
        <v>HR-Berkeley and Albany-San Francisco Sunset District-High school</v>
      </c>
      <c r="B1843">
        <v>19</v>
      </c>
      <c r="C1843" t="str">
        <f t="shared" si="86"/>
        <v>Berkeley and Albany</v>
      </c>
      <c r="D1843">
        <v>4</v>
      </c>
      <c r="E1843" t="str">
        <f t="shared" si="86"/>
        <v>San Francisco Sunset District</v>
      </c>
      <c r="F1843" t="s">
        <v>326</v>
      </c>
      <c r="G1843">
        <f t="shared" si="84"/>
        <v>3</v>
      </c>
      <c r="H1843" t="s">
        <v>124</v>
      </c>
      <c r="I1843" t="s">
        <v>188</v>
      </c>
      <c r="J1843">
        <v>1</v>
      </c>
      <c r="K1843">
        <v>95.822099447513807</v>
      </c>
      <c r="Z1843"/>
    </row>
    <row r="1844" spans="1:26" x14ac:dyDescent="0.25">
      <c r="A1844" s="159" t="str">
        <f t="shared" si="85"/>
        <v>LB-Berkeley and Albany-San Francisco Sunset District-High school</v>
      </c>
      <c r="B1844">
        <v>19</v>
      </c>
      <c r="C1844" t="str">
        <f t="shared" si="86"/>
        <v>Berkeley and Albany</v>
      </c>
      <c r="D1844">
        <v>4</v>
      </c>
      <c r="E1844" t="str">
        <f t="shared" si="86"/>
        <v>San Francisco Sunset District</v>
      </c>
      <c r="F1844" t="s">
        <v>326</v>
      </c>
      <c r="G1844">
        <f t="shared" si="84"/>
        <v>3</v>
      </c>
      <c r="H1844" t="s">
        <v>359</v>
      </c>
      <c r="I1844" t="s">
        <v>191</v>
      </c>
      <c r="J1844">
        <v>1</v>
      </c>
      <c r="K1844">
        <v>75.575262543757304</v>
      </c>
      <c r="Z1844"/>
    </row>
    <row r="1845" spans="1:26" x14ac:dyDescent="0.25">
      <c r="A1845" s="159" t="str">
        <f t="shared" si="85"/>
        <v>HR-Berkeley and Albany-San Francisco Sunset District-Social recreation</v>
      </c>
      <c r="B1845">
        <v>19</v>
      </c>
      <c r="C1845" t="str">
        <f t="shared" si="86"/>
        <v>Berkeley and Albany</v>
      </c>
      <c r="D1845">
        <v>4</v>
      </c>
      <c r="E1845" t="str">
        <f t="shared" si="86"/>
        <v>San Francisco Sunset District</v>
      </c>
      <c r="F1845" t="s">
        <v>324</v>
      </c>
      <c r="G1845">
        <f t="shared" si="84"/>
        <v>5</v>
      </c>
      <c r="H1845" t="s">
        <v>124</v>
      </c>
      <c r="I1845" t="s">
        <v>188</v>
      </c>
      <c r="J1845">
        <v>1</v>
      </c>
      <c r="K1845">
        <v>195.51395348837201</v>
      </c>
    </row>
    <row r="1846" spans="1:26" x14ac:dyDescent="0.25">
      <c r="A1846" s="159" t="str">
        <f t="shared" si="85"/>
        <v>LR-Berkeley and Albany-San Francisco Sunset District-Social recreation</v>
      </c>
      <c r="B1846">
        <v>19</v>
      </c>
      <c r="C1846" t="str">
        <f t="shared" si="86"/>
        <v>Berkeley and Albany</v>
      </c>
      <c r="D1846">
        <v>4</v>
      </c>
      <c r="E1846" t="str">
        <f t="shared" si="86"/>
        <v>San Francisco Sunset District</v>
      </c>
      <c r="F1846" t="s">
        <v>324</v>
      </c>
      <c r="G1846">
        <f t="shared" si="84"/>
        <v>5</v>
      </c>
      <c r="H1846" t="s">
        <v>353</v>
      </c>
      <c r="I1846" t="s">
        <v>194</v>
      </c>
      <c r="J1846">
        <v>2</v>
      </c>
      <c r="K1846">
        <v>2480.4535315985199</v>
      </c>
    </row>
    <row r="1847" spans="1:26" x14ac:dyDescent="0.25">
      <c r="A1847" s="159" t="str">
        <f t="shared" si="85"/>
        <v>LR-Berkeley and Albany-San Francisco Sunset District-Work</v>
      </c>
      <c r="B1847">
        <v>19</v>
      </c>
      <c r="C1847" t="str">
        <f t="shared" si="86"/>
        <v>Berkeley and Albany</v>
      </c>
      <c r="D1847">
        <v>4</v>
      </c>
      <c r="E1847" t="str">
        <f t="shared" si="86"/>
        <v>San Francisco Sunset District</v>
      </c>
      <c r="F1847" t="s">
        <v>30</v>
      </c>
      <c r="G1847">
        <f t="shared" si="84"/>
        <v>1</v>
      </c>
      <c r="H1847" t="s">
        <v>353</v>
      </c>
      <c r="I1847" t="s">
        <v>194</v>
      </c>
      <c r="J1847">
        <v>2</v>
      </c>
      <c r="K1847">
        <v>572.25670945157594</v>
      </c>
    </row>
    <row r="1848" spans="1:26" x14ac:dyDescent="0.25">
      <c r="A1848" s="159" t="str">
        <f t="shared" si="85"/>
        <v>LB-Berkeley and Albany-San Francisco Sunset District-Work</v>
      </c>
      <c r="B1848">
        <v>19</v>
      </c>
      <c r="C1848" t="str">
        <f t="shared" si="86"/>
        <v>Berkeley and Albany</v>
      </c>
      <c r="D1848">
        <v>4</v>
      </c>
      <c r="E1848" t="str">
        <f t="shared" si="86"/>
        <v>San Francisco Sunset District</v>
      </c>
      <c r="F1848" t="s">
        <v>30</v>
      </c>
      <c r="G1848">
        <f t="shared" si="84"/>
        <v>1</v>
      </c>
      <c r="H1848" t="s">
        <v>359</v>
      </c>
      <c r="I1848" t="s">
        <v>191</v>
      </c>
      <c r="J1848">
        <v>1</v>
      </c>
      <c r="K1848">
        <v>75.575262543757304</v>
      </c>
    </row>
    <row r="1849" spans="1:26" x14ac:dyDescent="0.25">
      <c r="A1849" s="159" t="str">
        <f t="shared" si="85"/>
        <v>HR-Berkeley and Albany-Daly City and San Bruno-High school</v>
      </c>
      <c r="B1849">
        <v>19</v>
      </c>
      <c r="C1849" t="str">
        <f t="shared" si="86"/>
        <v>Berkeley and Albany</v>
      </c>
      <c r="D1849">
        <v>5</v>
      </c>
      <c r="E1849" t="str">
        <f t="shared" si="86"/>
        <v>Daly City and San Bruno</v>
      </c>
      <c r="F1849" t="s">
        <v>326</v>
      </c>
      <c r="G1849">
        <f t="shared" si="84"/>
        <v>3</v>
      </c>
      <c r="H1849" t="s">
        <v>124</v>
      </c>
      <c r="I1849" t="s">
        <v>188</v>
      </c>
      <c r="J1849">
        <v>2</v>
      </c>
      <c r="K1849">
        <v>191.64419889502699</v>
      </c>
    </row>
    <row r="1850" spans="1:26" x14ac:dyDescent="0.25">
      <c r="A1850" s="159" t="str">
        <f t="shared" si="85"/>
        <v>HR-Berkeley and Albany-Daly City and San Bruno-Other maintenance</v>
      </c>
      <c r="B1850">
        <v>19</v>
      </c>
      <c r="C1850" t="str">
        <f t="shared" si="86"/>
        <v>Berkeley and Albany</v>
      </c>
      <c r="D1850">
        <v>5</v>
      </c>
      <c r="E1850" t="str">
        <f t="shared" si="86"/>
        <v>Daly City and San Bruno</v>
      </c>
      <c r="F1850" t="s">
        <v>325</v>
      </c>
      <c r="G1850">
        <f t="shared" si="84"/>
        <v>4</v>
      </c>
      <c r="H1850" t="s">
        <v>124</v>
      </c>
      <c r="I1850" t="s">
        <v>188</v>
      </c>
      <c r="J1850">
        <v>1</v>
      </c>
      <c r="K1850">
        <v>95.822099447513807</v>
      </c>
    </row>
    <row r="1851" spans="1:26" x14ac:dyDescent="0.25">
      <c r="A1851" s="159" t="str">
        <f t="shared" si="85"/>
        <v>HR-Berkeley and Albany-Daly City and San Bruno-Social recreation</v>
      </c>
      <c r="B1851">
        <v>19</v>
      </c>
      <c r="C1851" t="str">
        <f t="shared" si="86"/>
        <v>Berkeley and Albany</v>
      </c>
      <c r="D1851">
        <v>5</v>
      </c>
      <c r="E1851" t="str">
        <f t="shared" si="86"/>
        <v>Daly City and San Bruno</v>
      </c>
      <c r="F1851" t="s">
        <v>324</v>
      </c>
      <c r="G1851">
        <f t="shared" si="84"/>
        <v>5</v>
      </c>
      <c r="H1851" t="s">
        <v>124</v>
      </c>
      <c r="I1851" t="s">
        <v>188</v>
      </c>
      <c r="J1851">
        <v>3</v>
      </c>
      <c r="K1851">
        <v>486.850006424257</v>
      </c>
    </row>
    <row r="1852" spans="1:26" x14ac:dyDescent="0.25">
      <c r="A1852" s="159" t="str">
        <f t="shared" si="85"/>
        <v>FR-Berkeley and Albany-Daly City and San Bruno-Work</v>
      </c>
      <c r="B1852">
        <v>19</v>
      </c>
      <c r="C1852" t="str">
        <f t="shared" si="86"/>
        <v>Berkeley and Albany</v>
      </c>
      <c r="D1852">
        <v>5</v>
      </c>
      <c r="E1852" t="str">
        <f t="shared" si="86"/>
        <v>Daly City and San Bruno</v>
      </c>
      <c r="F1852" t="s">
        <v>30</v>
      </c>
      <c r="G1852">
        <f t="shared" si="84"/>
        <v>1</v>
      </c>
      <c r="H1852" t="s">
        <v>360</v>
      </c>
      <c r="I1852" t="s">
        <v>185</v>
      </c>
      <c r="J1852">
        <v>4</v>
      </c>
      <c r="K1852">
        <v>46.877551020407999</v>
      </c>
    </row>
    <row r="1853" spans="1:26" x14ac:dyDescent="0.25">
      <c r="A1853" s="159" t="str">
        <f t="shared" si="85"/>
        <v>HR-Berkeley and Albany-Daly City and San Bruno-Work</v>
      </c>
      <c r="B1853">
        <v>19</v>
      </c>
      <c r="C1853" t="str">
        <f t="shared" si="86"/>
        <v>Berkeley and Albany</v>
      </c>
      <c r="D1853">
        <v>5</v>
      </c>
      <c r="E1853" t="str">
        <f t="shared" si="86"/>
        <v>Daly City and San Bruno</v>
      </c>
      <c r="F1853" t="s">
        <v>30</v>
      </c>
      <c r="G1853">
        <f t="shared" si="84"/>
        <v>1</v>
      </c>
      <c r="H1853" t="s">
        <v>124</v>
      </c>
      <c r="I1853" t="s">
        <v>188</v>
      </c>
      <c r="J1853">
        <v>3</v>
      </c>
      <c r="K1853">
        <v>486.850006424257</v>
      </c>
    </row>
    <row r="1854" spans="1:26" x14ac:dyDescent="0.25">
      <c r="A1854" s="159" t="str">
        <f t="shared" si="85"/>
        <v>LB-Berkeley and Albany-Daly City and San Bruno-Work</v>
      </c>
      <c r="B1854">
        <v>19</v>
      </c>
      <c r="C1854" t="str">
        <f t="shared" si="86"/>
        <v>Berkeley and Albany</v>
      </c>
      <c r="D1854">
        <v>5</v>
      </c>
      <c r="E1854" t="str">
        <f t="shared" si="86"/>
        <v>Daly City and San Bruno</v>
      </c>
      <c r="F1854" t="s">
        <v>30</v>
      </c>
      <c r="G1854">
        <f t="shared" si="84"/>
        <v>1</v>
      </c>
      <c r="H1854" t="s">
        <v>359</v>
      </c>
      <c r="I1854" t="s">
        <v>191</v>
      </c>
      <c r="J1854">
        <v>1</v>
      </c>
      <c r="K1854">
        <v>75.575262543757304</v>
      </c>
    </row>
    <row r="1855" spans="1:26" x14ac:dyDescent="0.25">
      <c r="A1855" s="159" t="str">
        <f t="shared" si="85"/>
        <v>HR-Berkeley and Albany-San Mateo and Burlingame-High school</v>
      </c>
      <c r="B1855">
        <v>19</v>
      </c>
      <c r="C1855" t="str">
        <f t="shared" si="86"/>
        <v>Berkeley and Albany</v>
      </c>
      <c r="D1855">
        <v>6</v>
      </c>
      <c r="E1855" t="str">
        <f t="shared" si="86"/>
        <v>San Mateo and Burlingame</v>
      </c>
      <c r="F1855" t="s">
        <v>326</v>
      </c>
      <c r="G1855">
        <f t="shared" si="84"/>
        <v>3</v>
      </c>
      <c r="H1855" t="s">
        <v>124</v>
      </c>
      <c r="I1855" t="s">
        <v>188</v>
      </c>
      <c r="J1855">
        <v>1</v>
      </c>
      <c r="K1855">
        <v>95.822099447513807</v>
      </c>
    </row>
    <row r="1856" spans="1:26" x14ac:dyDescent="0.25">
      <c r="A1856" s="159" t="str">
        <f t="shared" si="85"/>
        <v>HR-Berkeley and Albany-San Mateo and Burlingame-Social recreation</v>
      </c>
      <c r="B1856">
        <v>19</v>
      </c>
      <c r="C1856" t="str">
        <f t="shared" si="86"/>
        <v>Berkeley and Albany</v>
      </c>
      <c r="D1856">
        <v>6</v>
      </c>
      <c r="E1856" t="str">
        <f t="shared" si="86"/>
        <v>San Mateo and Burlingame</v>
      </c>
      <c r="F1856" t="s">
        <v>324</v>
      </c>
      <c r="G1856">
        <f t="shared" si="84"/>
        <v>5</v>
      </c>
      <c r="H1856" t="s">
        <v>124</v>
      </c>
      <c r="I1856" t="s">
        <v>188</v>
      </c>
      <c r="J1856">
        <v>1</v>
      </c>
      <c r="K1856">
        <v>95.822099447513807</v>
      </c>
    </row>
    <row r="1857" spans="1:11" x14ac:dyDescent="0.25">
      <c r="A1857" s="159" t="str">
        <f t="shared" si="85"/>
        <v>HR-Berkeley and Albany-Redwood City and Menlo Park-Social recreation</v>
      </c>
      <c r="B1857">
        <v>19</v>
      </c>
      <c r="C1857" t="str">
        <f t="shared" si="86"/>
        <v>Berkeley and Albany</v>
      </c>
      <c r="D1857">
        <v>7</v>
      </c>
      <c r="E1857" t="str">
        <f t="shared" si="86"/>
        <v>Redwood City and Menlo Park</v>
      </c>
      <c r="F1857" t="s">
        <v>324</v>
      </c>
      <c r="G1857">
        <f t="shared" si="84"/>
        <v>5</v>
      </c>
      <c r="H1857" t="s">
        <v>124</v>
      </c>
      <c r="I1857" t="s">
        <v>188</v>
      </c>
      <c r="J1857">
        <v>1</v>
      </c>
      <c r="K1857">
        <v>95.822099447513807</v>
      </c>
    </row>
    <row r="1858" spans="1:11" x14ac:dyDescent="0.25">
      <c r="A1858" s="159" t="str">
        <f t="shared" si="85"/>
        <v>EB-Berkeley and Albany-Palo Alto and Los Altos-High school</v>
      </c>
      <c r="B1858">
        <v>19</v>
      </c>
      <c r="C1858" t="str">
        <f t="shared" si="86"/>
        <v>Berkeley and Albany</v>
      </c>
      <c r="D1858">
        <v>8</v>
      </c>
      <c r="E1858" t="str">
        <f t="shared" si="86"/>
        <v>Palo Alto and Los Altos</v>
      </c>
      <c r="F1858" t="s">
        <v>326</v>
      </c>
      <c r="G1858">
        <f t="shared" ref="G1858:G1921" si="87">VLOOKUP(F1858,$V$2:$X$10, 3,FALSE)</f>
        <v>3</v>
      </c>
      <c r="H1858" t="s">
        <v>123</v>
      </c>
      <c r="I1858" t="s">
        <v>182</v>
      </c>
      <c r="J1858">
        <v>1</v>
      </c>
      <c r="K1858">
        <v>3.8990384615384599</v>
      </c>
    </row>
    <row r="1859" spans="1:11" x14ac:dyDescent="0.25">
      <c r="A1859" s="159" t="str">
        <f t="shared" ref="A1859:A1922" si="88" xml:space="preserve"> CONCATENATE(I1859,"-",C1859, "-",E1859, "-",F1859,)</f>
        <v>EB-Berkeley and Albany-Palo Alto and Los Altos-Social recreation</v>
      </c>
      <c r="B1859">
        <v>19</v>
      </c>
      <c r="C1859" t="str">
        <f t="shared" ref="C1859:E1922" si="89">VLOOKUP(B1859,$S$2:$T$35,2,FALSE)</f>
        <v>Berkeley and Albany</v>
      </c>
      <c r="D1859">
        <v>8</v>
      </c>
      <c r="E1859" t="str">
        <f t="shared" si="89"/>
        <v>Palo Alto and Los Altos</v>
      </c>
      <c r="F1859" t="s">
        <v>324</v>
      </c>
      <c r="G1859">
        <f t="shared" si="87"/>
        <v>5</v>
      </c>
      <c r="H1859" t="s">
        <v>123</v>
      </c>
      <c r="I1859" t="s">
        <v>182</v>
      </c>
      <c r="J1859">
        <v>2</v>
      </c>
      <c r="K1859">
        <v>7.7980769230769198</v>
      </c>
    </row>
    <row r="1860" spans="1:11" x14ac:dyDescent="0.25">
      <c r="A1860" s="159" t="str">
        <f t="shared" si="88"/>
        <v>EB-Berkeley and Albany-Palo Alto and Los Altos-Work</v>
      </c>
      <c r="B1860">
        <v>19</v>
      </c>
      <c r="C1860" t="str">
        <f t="shared" si="89"/>
        <v>Berkeley and Albany</v>
      </c>
      <c r="D1860">
        <v>8</v>
      </c>
      <c r="E1860" t="str">
        <f t="shared" si="89"/>
        <v>Palo Alto and Los Altos</v>
      </c>
      <c r="F1860" t="s">
        <v>30</v>
      </c>
      <c r="G1860">
        <f t="shared" si="87"/>
        <v>1</v>
      </c>
      <c r="H1860" t="s">
        <v>123</v>
      </c>
      <c r="I1860" t="s">
        <v>182</v>
      </c>
      <c r="J1860">
        <v>1</v>
      </c>
      <c r="K1860">
        <v>3.8990384615384599</v>
      </c>
    </row>
    <row r="1861" spans="1:11" x14ac:dyDescent="0.25">
      <c r="A1861" s="159" t="str">
        <f t="shared" si="88"/>
        <v>LB-Berkeley and Albany-Palo Alto and Los Altos-Work</v>
      </c>
      <c r="B1861">
        <v>19</v>
      </c>
      <c r="C1861" t="str">
        <f t="shared" si="89"/>
        <v>Berkeley and Albany</v>
      </c>
      <c r="D1861">
        <v>8</v>
      </c>
      <c r="E1861" t="str">
        <f t="shared" si="89"/>
        <v>Palo Alto and Los Altos</v>
      </c>
      <c r="F1861" t="s">
        <v>30</v>
      </c>
      <c r="G1861">
        <f t="shared" si="87"/>
        <v>1</v>
      </c>
      <c r="H1861" t="s">
        <v>359</v>
      </c>
      <c r="I1861" t="s">
        <v>191</v>
      </c>
      <c r="J1861">
        <v>1</v>
      </c>
      <c r="K1861">
        <v>75.575262543757304</v>
      </c>
    </row>
    <row r="1862" spans="1:11" x14ac:dyDescent="0.25">
      <c r="A1862" s="159" t="str">
        <f t="shared" si="88"/>
        <v>LB-Berkeley and Albany-Sunnyvale and Mountain View-Work</v>
      </c>
      <c r="B1862">
        <v>19</v>
      </c>
      <c r="C1862" t="str">
        <f t="shared" si="89"/>
        <v>Berkeley and Albany</v>
      </c>
      <c r="D1862">
        <v>9</v>
      </c>
      <c r="E1862" t="str">
        <f t="shared" si="89"/>
        <v>Sunnyvale and Mountain View</v>
      </c>
      <c r="F1862" t="s">
        <v>30</v>
      </c>
      <c r="G1862">
        <f t="shared" si="87"/>
        <v>1</v>
      </c>
      <c r="H1862" t="s">
        <v>359</v>
      </c>
      <c r="I1862" t="s">
        <v>191</v>
      </c>
      <c r="J1862">
        <v>1</v>
      </c>
      <c r="K1862">
        <v>62.646773074254</v>
      </c>
    </row>
    <row r="1863" spans="1:11" x14ac:dyDescent="0.25">
      <c r="A1863" s="159" t="str">
        <f t="shared" si="88"/>
        <v>HR-Berkeley and Albany-Central San Jose-Other maintenance</v>
      </c>
      <c r="B1863">
        <v>19</v>
      </c>
      <c r="C1863" t="str">
        <f t="shared" si="89"/>
        <v>Berkeley and Albany</v>
      </c>
      <c r="D1863">
        <v>11</v>
      </c>
      <c r="E1863" t="str">
        <f t="shared" si="89"/>
        <v>Central San Jose</v>
      </c>
      <c r="F1863" t="s">
        <v>325</v>
      </c>
      <c r="G1863">
        <f t="shared" si="87"/>
        <v>4</v>
      </c>
      <c r="H1863" t="s">
        <v>124</v>
      </c>
      <c r="I1863" t="s">
        <v>188</v>
      </c>
      <c r="J1863">
        <v>3</v>
      </c>
      <c r="K1863">
        <v>287.46629834254099</v>
      </c>
    </row>
    <row r="1864" spans="1:11" x14ac:dyDescent="0.25">
      <c r="A1864" s="159" t="str">
        <f t="shared" si="88"/>
        <v>HR-Berkeley and Albany-Central San Jose-Work</v>
      </c>
      <c r="B1864">
        <v>19</v>
      </c>
      <c r="C1864" t="str">
        <f t="shared" si="89"/>
        <v>Berkeley and Albany</v>
      </c>
      <c r="D1864">
        <v>11</v>
      </c>
      <c r="E1864" t="str">
        <f t="shared" si="89"/>
        <v>Central San Jose</v>
      </c>
      <c r="F1864" t="s">
        <v>30</v>
      </c>
      <c r="G1864">
        <f t="shared" si="87"/>
        <v>1</v>
      </c>
      <c r="H1864" t="s">
        <v>124</v>
      </c>
      <c r="I1864" t="s">
        <v>188</v>
      </c>
      <c r="J1864">
        <v>1</v>
      </c>
      <c r="K1864">
        <v>95.822099447513807</v>
      </c>
    </row>
    <row r="1865" spans="1:11" x14ac:dyDescent="0.25">
      <c r="A1865" s="159" t="str">
        <f t="shared" si="88"/>
        <v>LB-Berkeley and Albany-Central San Jose-Work</v>
      </c>
      <c r="B1865">
        <v>19</v>
      </c>
      <c r="C1865" t="str">
        <f t="shared" si="89"/>
        <v>Berkeley and Albany</v>
      </c>
      <c r="D1865">
        <v>11</v>
      </c>
      <c r="E1865" t="str">
        <f t="shared" si="89"/>
        <v>Central San Jose</v>
      </c>
      <c r="F1865" t="s">
        <v>30</v>
      </c>
      <c r="G1865">
        <f t="shared" si="87"/>
        <v>1</v>
      </c>
      <c r="H1865" t="s">
        <v>359</v>
      </c>
      <c r="I1865" t="s">
        <v>191</v>
      </c>
      <c r="J1865">
        <v>2</v>
      </c>
      <c r="K1865">
        <v>125.293546148508</v>
      </c>
    </row>
    <row r="1866" spans="1:11" x14ac:dyDescent="0.25">
      <c r="A1866" s="159" t="str">
        <f t="shared" si="88"/>
        <v>HR-Berkeley and Albany-Milpitas and East San Jose-Social recreation</v>
      </c>
      <c r="B1866">
        <v>19</v>
      </c>
      <c r="C1866" t="str">
        <f t="shared" si="89"/>
        <v>Berkeley and Albany</v>
      </c>
      <c r="D1866">
        <v>12</v>
      </c>
      <c r="E1866" t="str">
        <f t="shared" si="89"/>
        <v>Milpitas and East San Jose</v>
      </c>
      <c r="F1866" t="s">
        <v>324</v>
      </c>
      <c r="G1866">
        <f t="shared" si="87"/>
        <v>5</v>
      </c>
      <c r="H1866" t="s">
        <v>124</v>
      </c>
      <c r="I1866" t="s">
        <v>188</v>
      </c>
      <c r="J1866">
        <v>1</v>
      </c>
      <c r="K1866">
        <v>95.822099447513807</v>
      </c>
    </row>
    <row r="1867" spans="1:11" x14ac:dyDescent="0.25">
      <c r="A1867" s="159" t="str">
        <f t="shared" si="88"/>
        <v>HR-Berkeley and Albany-Milpitas and East San Jose-Work</v>
      </c>
      <c r="B1867">
        <v>19</v>
      </c>
      <c r="C1867" t="str">
        <f t="shared" si="89"/>
        <v>Berkeley and Albany</v>
      </c>
      <c r="D1867">
        <v>12</v>
      </c>
      <c r="E1867" t="str">
        <f t="shared" si="89"/>
        <v>Milpitas and East San Jose</v>
      </c>
      <c r="F1867" t="s">
        <v>30</v>
      </c>
      <c r="G1867">
        <f t="shared" si="87"/>
        <v>1</v>
      </c>
      <c r="H1867" t="s">
        <v>124</v>
      </c>
      <c r="I1867" t="s">
        <v>188</v>
      </c>
      <c r="J1867">
        <v>1</v>
      </c>
      <c r="K1867">
        <v>95.822099447513807</v>
      </c>
    </row>
    <row r="1868" spans="1:11" x14ac:dyDescent="0.25">
      <c r="A1868" s="159" t="str">
        <f t="shared" si="88"/>
        <v>LR-Berkeley and Albany-Milpitas and East San Jose-Work</v>
      </c>
      <c r="B1868">
        <v>19</v>
      </c>
      <c r="C1868" t="str">
        <f t="shared" si="89"/>
        <v>Berkeley and Albany</v>
      </c>
      <c r="D1868">
        <v>12</v>
      </c>
      <c r="E1868" t="str">
        <f t="shared" si="89"/>
        <v>Milpitas and East San Jose</v>
      </c>
      <c r="F1868" t="s">
        <v>30</v>
      </c>
      <c r="G1868">
        <f t="shared" si="87"/>
        <v>1</v>
      </c>
      <c r="H1868" t="s">
        <v>353</v>
      </c>
      <c r="I1868" t="s">
        <v>194</v>
      </c>
      <c r="J1868">
        <v>1</v>
      </c>
      <c r="K1868">
        <v>62.646773074254</v>
      </c>
    </row>
    <row r="1869" spans="1:11" x14ac:dyDescent="0.25">
      <c r="A1869" s="159" t="str">
        <f t="shared" si="88"/>
        <v>HR-Berkeley and Albany-South San Jose-High school</v>
      </c>
      <c r="B1869">
        <v>19</v>
      </c>
      <c r="C1869" t="str">
        <f t="shared" si="89"/>
        <v>Berkeley and Albany</v>
      </c>
      <c r="D1869">
        <v>13</v>
      </c>
      <c r="E1869" t="str">
        <f t="shared" si="89"/>
        <v>South San Jose</v>
      </c>
      <c r="F1869" t="s">
        <v>326</v>
      </c>
      <c r="G1869">
        <f t="shared" si="87"/>
        <v>3</v>
      </c>
      <c r="H1869" t="s">
        <v>124</v>
      </c>
      <c r="I1869" t="s">
        <v>188</v>
      </c>
      <c r="J1869">
        <v>1</v>
      </c>
      <c r="K1869">
        <v>95.822099447513807</v>
      </c>
    </row>
    <row r="1870" spans="1:11" x14ac:dyDescent="0.25">
      <c r="A1870" s="159" t="str">
        <f t="shared" si="88"/>
        <v>HR-Berkeley and Albany-Livermore and Pleasanton-Other maintenance</v>
      </c>
      <c r="B1870">
        <v>19</v>
      </c>
      <c r="C1870" t="str">
        <f t="shared" si="89"/>
        <v>Berkeley and Albany</v>
      </c>
      <c r="D1870">
        <v>15</v>
      </c>
      <c r="E1870" t="str">
        <f t="shared" si="89"/>
        <v>Livermore and Pleasanton</v>
      </c>
      <c r="F1870" t="s">
        <v>325</v>
      </c>
      <c r="G1870">
        <f t="shared" si="87"/>
        <v>4</v>
      </c>
      <c r="H1870" t="s">
        <v>124</v>
      </c>
      <c r="I1870" t="s">
        <v>188</v>
      </c>
      <c r="J1870">
        <v>1</v>
      </c>
      <c r="K1870">
        <v>195.51395348837201</v>
      </c>
    </row>
    <row r="1871" spans="1:11" x14ac:dyDescent="0.25">
      <c r="A1871" s="159" t="str">
        <f t="shared" si="88"/>
        <v>LB-Berkeley and Albany-Livermore and Pleasanton-Other maintenance</v>
      </c>
      <c r="B1871">
        <v>19</v>
      </c>
      <c r="C1871" t="str">
        <f t="shared" si="89"/>
        <v>Berkeley and Albany</v>
      </c>
      <c r="D1871">
        <v>15</v>
      </c>
      <c r="E1871" t="str">
        <f t="shared" si="89"/>
        <v>Livermore and Pleasanton</v>
      </c>
      <c r="F1871" t="s">
        <v>325</v>
      </c>
      <c r="G1871">
        <f t="shared" si="87"/>
        <v>4</v>
      </c>
      <c r="H1871" t="s">
        <v>359</v>
      </c>
      <c r="I1871" t="s">
        <v>191</v>
      </c>
      <c r="J1871">
        <v>1</v>
      </c>
      <c r="K1871">
        <v>14.1111111111111</v>
      </c>
    </row>
    <row r="1872" spans="1:11" x14ac:dyDescent="0.25">
      <c r="A1872" s="159" t="str">
        <f t="shared" si="88"/>
        <v>LB-Berkeley and Albany-Livermore and Pleasanton-Shopping</v>
      </c>
      <c r="B1872">
        <v>19</v>
      </c>
      <c r="C1872" t="str">
        <f t="shared" si="89"/>
        <v>Berkeley and Albany</v>
      </c>
      <c r="D1872">
        <v>15</v>
      </c>
      <c r="E1872" t="str">
        <f t="shared" si="89"/>
        <v>Livermore and Pleasanton</v>
      </c>
      <c r="F1872" t="s">
        <v>106</v>
      </c>
      <c r="G1872">
        <f t="shared" si="87"/>
        <v>4</v>
      </c>
      <c r="H1872" t="s">
        <v>359</v>
      </c>
      <c r="I1872" t="s">
        <v>191</v>
      </c>
      <c r="J1872">
        <v>1</v>
      </c>
      <c r="K1872">
        <v>14.1111111111111</v>
      </c>
    </row>
    <row r="1873" spans="1:11" x14ac:dyDescent="0.25">
      <c r="A1873" s="159" t="str">
        <f t="shared" si="88"/>
        <v>HR-Berkeley and Albany-Livermore and Pleasanton-Social recreation</v>
      </c>
      <c r="B1873">
        <v>19</v>
      </c>
      <c r="C1873" t="str">
        <f t="shared" si="89"/>
        <v>Berkeley and Albany</v>
      </c>
      <c r="D1873">
        <v>15</v>
      </c>
      <c r="E1873" t="str">
        <f t="shared" si="89"/>
        <v>Livermore and Pleasanton</v>
      </c>
      <c r="F1873" t="s">
        <v>324</v>
      </c>
      <c r="G1873">
        <f t="shared" si="87"/>
        <v>5</v>
      </c>
      <c r="H1873" t="s">
        <v>124</v>
      </c>
      <c r="I1873" t="s">
        <v>188</v>
      </c>
      <c r="J1873">
        <v>1</v>
      </c>
      <c r="K1873">
        <v>195.51395348837201</v>
      </c>
    </row>
    <row r="1874" spans="1:11" x14ac:dyDescent="0.25">
      <c r="A1874" s="159" t="str">
        <f t="shared" si="88"/>
        <v>HR-Berkeley and Albany-Livermore and Pleasanton-Work</v>
      </c>
      <c r="B1874">
        <v>19</v>
      </c>
      <c r="C1874" t="str">
        <f t="shared" si="89"/>
        <v>Berkeley and Albany</v>
      </c>
      <c r="D1874">
        <v>15</v>
      </c>
      <c r="E1874" t="str">
        <f t="shared" si="89"/>
        <v>Livermore and Pleasanton</v>
      </c>
      <c r="F1874" t="s">
        <v>30</v>
      </c>
      <c r="G1874">
        <f t="shared" si="87"/>
        <v>1</v>
      </c>
      <c r="H1874" t="s">
        <v>124</v>
      </c>
      <c r="I1874" t="s">
        <v>188</v>
      </c>
      <c r="J1874">
        <v>2</v>
      </c>
      <c r="K1874">
        <v>291.33605293588499</v>
      </c>
    </row>
    <row r="1875" spans="1:11" x14ac:dyDescent="0.25">
      <c r="A1875" s="159" t="str">
        <f t="shared" si="88"/>
        <v>LB-Berkeley and Albany-Livermore and Pleasanton-Work</v>
      </c>
      <c r="B1875">
        <v>19</v>
      </c>
      <c r="C1875" t="str">
        <f t="shared" si="89"/>
        <v>Berkeley and Albany</v>
      </c>
      <c r="D1875">
        <v>15</v>
      </c>
      <c r="E1875" t="str">
        <f t="shared" si="89"/>
        <v>Livermore and Pleasanton</v>
      </c>
      <c r="F1875" t="s">
        <v>30</v>
      </c>
      <c r="G1875">
        <f t="shared" si="87"/>
        <v>1</v>
      </c>
      <c r="H1875" t="s">
        <v>359</v>
      </c>
      <c r="I1875" t="s">
        <v>191</v>
      </c>
      <c r="J1875">
        <v>2</v>
      </c>
      <c r="K1875">
        <v>89.686373654868405</v>
      </c>
    </row>
    <row r="1876" spans="1:11" x14ac:dyDescent="0.25">
      <c r="A1876" s="159" t="str">
        <f t="shared" si="88"/>
        <v>HR-Berkeley and Albany-Fremont and Union City-High school</v>
      </c>
      <c r="B1876">
        <v>19</v>
      </c>
      <c r="C1876" t="str">
        <f t="shared" si="89"/>
        <v>Berkeley and Albany</v>
      </c>
      <c r="D1876">
        <v>16</v>
      </c>
      <c r="E1876" t="str">
        <f t="shared" si="89"/>
        <v>Fremont and Union City</v>
      </c>
      <c r="F1876" t="s">
        <v>326</v>
      </c>
      <c r="G1876">
        <f t="shared" si="87"/>
        <v>3</v>
      </c>
      <c r="H1876" t="s">
        <v>124</v>
      </c>
      <c r="I1876" t="s">
        <v>188</v>
      </c>
      <c r="J1876">
        <v>1</v>
      </c>
      <c r="K1876">
        <v>95.822099447513807</v>
      </c>
    </row>
    <row r="1877" spans="1:11" x14ac:dyDescent="0.25">
      <c r="A1877" s="159" t="str">
        <f t="shared" si="88"/>
        <v>EB-Berkeley and Albany-Fremont and Union City-Social recreation</v>
      </c>
      <c r="B1877">
        <v>19</v>
      </c>
      <c r="C1877" t="str">
        <f t="shared" si="89"/>
        <v>Berkeley and Albany</v>
      </c>
      <c r="D1877">
        <v>16</v>
      </c>
      <c r="E1877" t="str">
        <f t="shared" si="89"/>
        <v>Fremont and Union City</v>
      </c>
      <c r="F1877" t="s">
        <v>324</v>
      </c>
      <c r="G1877">
        <f t="shared" si="87"/>
        <v>5</v>
      </c>
      <c r="H1877" t="s">
        <v>123</v>
      </c>
      <c r="I1877" t="s">
        <v>182</v>
      </c>
      <c r="J1877">
        <v>1</v>
      </c>
      <c r="K1877">
        <v>12.3349397590361</v>
      </c>
    </row>
    <row r="1878" spans="1:11" x14ac:dyDescent="0.25">
      <c r="A1878" s="159" t="str">
        <f t="shared" si="88"/>
        <v>HR-Berkeley and Albany-Fremont and Union City-Social recreation</v>
      </c>
      <c r="B1878">
        <v>19</v>
      </c>
      <c r="C1878" t="str">
        <f t="shared" si="89"/>
        <v>Berkeley and Albany</v>
      </c>
      <c r="D1878">
        <v>16</v>
      </c>
      <c r="E1878" t="str">
        <f t="shared" si="89"/>
        <v>Fremont and Union City</v>
      </c>
      <c r="F1878" t="s">
        <v>324</v>
      </c>
      <c r="G1878">
        <f t="shared" si="87"/>
        <v>5</v>
      </c>
      <c r="H1878" t="s">
        <v>124</v>
      </c>
      <c r="I1878" t="s">
        <v>188</v>
      </c>
      <c r="J1878">
        <v>1</v>
      </c>
      <c r="K1878">
        <v>195.51395348837201</v>
      </c>
    </row>
    <row r="1879" spans="1:11" x14ac:dyDescent="0.25">
      <c r="A1879" s="159" t="str">
        <f t="shared" si="88"/>
        <v>EB-Berkeley and Albany-Fremont and Union City-Work</v>
      </c>
      <c r="B1879">
        <v>19</v>
      </c>
      <c r="C1879" t="str">
        <f t="shared" si="89"/>
        <v>Berkeley and Albany</v>
      </c>
      <c r="D1879">
        <v>16</v>
      </c>
      <c r="E1879" t="str">
        <f t="shared" si="89"/>
        <v>Fremont and Union City</v>
      </c>
      <c r="F1879" t="s">
        <v>30</v>
      </c>
      <c r="G1879">
        <f t="shared" si="87"/>
        <v>1</v>
      </c>
      <c r="H1879" t="s">
        <v>123</v>
      </c>
      <c r="I1879" t="s">
        <v>182</v>
      </c>
      <c r="J1879">
        <v>1</v>
      </c>
      <c r="K1879">
        <v>3.8990384615384599</v>
      </c>
    </row>
    <row r="1880" spans="1:11" x14ac:dyDescent="0.25">
      <c r="A1880" s="159" t="str">
        <f t="shared" si="88"/>
        <v>HR-Berkeley and Albany-Fremont and Union City-Work</v>
      </c>
      <c r="B1880">
        <v>19</v>
      </c>
      <c r="C1880" t="str">
        <f t="shared" si="89"/>
        <v>Berkeley and Albany</v>
      </c>
      <c r="D1880">
        <v>16</v>
      </c>
      <c r="E1880" t="str">
        <f t="shared" si="89"/>
        <v>Fremont and Union City</v>
      </c>
      <c r="F1880" t="s">
        <v>30</v>
      </c>
      <c r="G1880">
        <f t="shared" si="87"/>
        <v>1</v>
      </c>
      <c r="H1880" t="s">
        <v>124</v>
      </c>
      <c r="I1880" t="s">
        <v>188</v>
      </c>
      <c r="J1880">
        <v>1</v>
      </c>
      <c r="K1880">
        <v>95.822099447513807</v>
      </c>
    </row>
    <row r="1881" spans="1:11" x14ac:dyDescent="0.25">
      <c r="A1881" s="159" t="str">
        <f t="shared" si="88"/>
        <v>HR-Berkeley and Albany-Hayward and San Leandro-High school</v>
      </c>
      <c r="B1881">
        <v>19</v>
      </c>
      <c r="C1881" t="str">
        <f t="shared" si="89"/>
        <v>Berkeley and Albany</v>
      </c>
      <c r="D1881">
        <v>17</v>
      </c>
      <c r="E1881" t="str">
        <f t="shared" si="89"/>
        <v>Hayward and San Leandro</v>
      </c>
      <c r="F1881" t="s">
        <v>326</v>
      </c>
      <c r="G1881">
        <f t="shared" si="87"/>
        <v>3</v>
      </c>
      <c r="H1881" t="s">
        <v>124</v>
      </c>
      <c r="I1881" t="s">
        <v>188</v>
      </c>
      <c r="J1881">
        <v>2</v>
      </c>
      <c r="K1881">
        <v>191.64419889502699</v>
      </c>
    </row>
    <row r="1882" spans="1:11" x14ac:dyDescent="0.25">
      <c r="A1882" s="159" t="str">
        <f t="shared" si="88"/>
        <v>HR-Berkeley and Albany-Hayward and San Leandro-Other maintenance</v>
      </c>
      <c r="B1882">
        <v>19</v>
      </c>
      <c r="C1882" t="str">
        <f t="shared" si="89"/>
        <v>Berkeley and Albany</v>
      </c>
      <c r="D1882">
        <v>17</v>
      </c>
      <c r="E1882" t="str">
        <f t="shared" si="89"/>
        <v>Hayward and San Leandro</v>
      </c>
      <c r="F1882" t="s">
        <v>325</v>
      </c>
      <c r="G1882">
        <f t="shared" si="87"/>
        <v>4</v>
      </c>
      <c r="H1882" t="s">
        <v>124</v>
      </c>
      <c r="I1882" t="s">
        <v>188</v>
      </c>
      <c r="J1882">
        <v>1</v>
      </c>
      <c r="K1882">
        <v>95.822099447513807</v>
      </c>
    </row>
    <row r="1883" spans="1:11" x14ac:dyDescent="0.25">
      <c r="A1883" s="159" t="str">
        <f t="shared" si="88"/>
        <v>LB-Berkeley and Albany-Hayward and San Leandro-Other maintenance</v>
      </c>
      <c r="B1883">
        <v>19</v>
      </c>
      <c r="C1883" t="str">
        <f t="shared" si="89"/>
        <v>Berkeley and Albany</v>
      </c>
      <c r="D1883">
        <v>17</v>
      </c>
      <c r="E1883" t="str">
        <f t="shared" si="89"/>
        <v>Hayward and San Leandro</v>
      </c>
      <c r="F1883" t="s">
        <v>325</v>
      </c>
      <c r="G1883">
        <f t="shared" si="87"/>
        <v>4</v>
      </c>
      <c r="H1883" t="s">
        <v>359</v>
      </c>
      <c r="I1883" t="s">
        <v>191</v>
      </c>
      <c r="J1883">
        <v>1</v>
      </c>
      <c r="K1883">
        <v>270.93214285714299</v>
      </c>
    </row>
    <row r="1884" spans="1:11" x14ac:dyDescent="0.25">
      <c r="A1884" s="159" t="str">
        <f t="shared" si="88"/>
        <v>HR-Berkeley and Albany-Hayward and San Leandro-Social recreation</v>
      </c>
      <c r="B1884">
        <v>19</v>
      </c>
      <c r="C1884" t="str">
        <f t="shared" si="89"/>
        <v>Berkeley and Albany</v>
      </c>
      <c r="D1884">
        <v>17</v>
      </c>
      <c r="E1884" t="str">
        <f t="shared" si="89"/>
        <v>Hayward and San Leandro</v>
      </c>
      <c r="F1884" t="s">
        <v>324</v>
      </c>
      <c r="G1884">
        <f t="shared" si="87"/>
        <v>5</v>
      </c>
      <c r="H1884" t="s">
        <v>124</v>
      </c>
      <c r="I1884" t="s">
        <v>188</v>
      </c>
      <c r="J1884">
        <v>2</v>
      </c>
      <c r="K1884">
        <v>191.64419889502699</v>
      </c>
    </row>
    <row r="1885" spans="1:11" x14ac:dyDescent="0.25">
      <c r="A1885" s="159" t="str">
        <f t="shared" si="88"/>
        <v>HR-Berkeley and Albany-Hayward and San Leandro-Work</v>
      </c>
      <c r="B1885">
        <v>19</v>
      </c>
      <c r="C1885" t="str">
        <f t="shared" si="89"/>
        <v>Berkeley and Albany</v>
      </c>
      <c r="D1885">
        <v>17</v>
      </c>
      <c r="E1885" t="str">
        <f t="shared" si="89"/>
        <v>Hayward and San Leandro</v>
      </c>
      <c r="F1885" t="s">
        <v>30</v>
      </c>
      <c r="G1885">
        <f t="shared" si="87"/>
        <v>1</v>
      </c>
      <c r="H1885" t="s">
        <v>124</v>
      </c>
      <c r="I1885" t="s">
        <v>188</v>
      </c>
      <c r="J1885">
        <v>9</v>
      </c>
      <c r="K1885">
        <v>962.09074906848195</v>
      </c>
    </row>
    <row r="1886" spans="1:11" x14ac:dyDescent="0.25">
      <c r="A1886" s="159" t="str">
        <f t="shared" si="88"/>
        <v>LB-Berkeley and Albany-Hayward and San Leandro-Work</v>
      </c>
      <c r="B1886">
        <v>19</v>
      </c>
      <c r="C1886" t="str">
        <f t="shared" si="89"/>
        <v>Berkeley and Albany</v>
      </c>
      <c r="D1886">
        <v>17</v>
      </c>
      <c r="E1886" t="str">
        <f t="shared" si="89"/>
        <v>Hayward and San Leandro</v>
      </c>
      <c r="F1886" t="s">
        <v>30</v>
      </c>
      <c r="G1886">
        <f t="shared" si="87"/>
        <v>1</v>
      </c>
      <c r="H1886" t="s">
        <v>359</v>
      </c>
      <c r="I1886" t="s">
        <v>191</v>
      </c>
      <c r="J1886">
        <v>4</v>
      </c>
      <c r="K1886">
        <v>302.30105017502899</v>
      </c>
    </row>
    <row r="1887" spans="1:11" x14ac:dyDescent="0.25">
      <c r="A1887" s="159" t="str">
        <f t="shared" si="88"/>
        <v>EB-Berkeley and Albany-Oakland and Alameda-High school</v>
      </c>
      <c r="B1887">
        <v>19</v>
      </c>
      <c r="C1887" t="str">
        <f t="shared" si="89"/>
        <v>Berkeley and Albany</v>
      </c>
      <c r="D1887">
        <v>18</v>
      </c>
      <c r="E1887" t="str">
        <f t="shared" si="89"/>
        <v>Oakland and Alameda</v>
      </c>
      <c r="F1887" t="s">
        <v>326</v>
      </c>
      <c r="G1887">
        <f t="shared" si="87"/>
        <v>3</v>
      </c>
      <c r="H1887" t="s">
        <v>123</v>
      </c>
      <c r="I1887" t="s">
        <v>182</v>
      </c>
      <c r="J1887">
        <v>1</v>
      </c>
      <c r="K1887">
        <v>75.575262543757304</v>
      </c>
    </row>
    <row r="1888" spans="1:11" x14ac:dyDescent="0.25">
      <c r="A1888" s="159" t="str">
        <f t="shared" si="88"/>
        <v>HR-Berkeley and Albany-Oakland and Alameda-High school</v>
      </c>
      <c r="B1888">
        <v>19</v>
      </c>
      <c r="C1888" t="str">
        <f t="shared" si="89"/>
        <v>Berkeley and Albany</v>
      </c>
      <c r="D1888">
        <v>18</v>
      </c>
      <c r="E1888" t="str">
        <f t="shared" si="89"/>
        <v>Oakland and Alameda</v>
      </c>
      <c r="F1888" t="s">
        <v>326</v>
      </c>
      <c r="G1888">
        <f t="shared" si="87"/>
        <v>3</v>
      </c>
      <c r="H1888" t="s">
        <v>124</v>
      </c>
      <c r="I1888" t="s">
        <v>188</v>
      </c>
      <c r="J1888">
        <v>6</v>
      </c>
      <c r="K1888">
        <v>674.62445072594096</v>
      </c>
    </row>
    <row r="1889" spans="1:11" x14ac:dyDescent="0.25">
      <c r="A1889" s="159" t="str">
        <f t="shared" si="88"/>
        <v>LB-Berkeley and Albany-Oakland and Alameda-High school</v>
      </c>
      <c r="B1889">
        <v>19</v>
      </c>
      <c r="C1889" t="str">
        <f t="shared" si="89"/>
        <v>Berkeley and Albany</v>
      </c>
      <c r="D1889">
        <v>18</v>
      </c>
      <c r="E1889" t="str">
        <f t="shared" si="89"/>
        <v>Oakland and Alameda</v>
      </c>
      <c r="F1889" t="s">
        <v>326</v>
      </c>
      <c r="G1889">
        <f t="shared" si="87"/>
        <v>3</v>
      </c>
      <c r="H1889" t="s">
        <v>359</v>
      </c>
      <c r="I1889" t="s">
        <v>191</v>
      </c>
      <c r="J1889">
        <v>12</v>
      </c>
      <c r="K1889">
        <v>1102.2600308384699</v>
      </c>
    </row>
    <row r="1890" spans="1:11" x14ac:dyDescent="0.25">
      <c r="A1890" s="159" t="str">
        <f t="shared" si="88"/>
        <v>HR-Berkeley and Albany-Oakland and Alameda-Missing</v>
      </c>
      <c r="B1890">
        <v>19</v>
      </c>
      <c r="C1890" t="str">
        <f t="shared" si="89"/>
        <v>Berkeley and Albany</v>
      </c>
      <c r="D1890">
        <v>18</v>
      </c>
      <c r="E1890" t="str">
        <f t="shared" si="89"/>
        <v>Oakland and Alameda</v>
      </c>
      <c r="F1890" t="s">
        <v>327</v>
      </c>
      <c r="G1890">
        <f t="shared" si="87"/>
        <v>0</v>
      </c>
      <c r="H1890" t="s">
        <v>124</v>
      </c>
      <c r="I1890" t="s">
        <v>188</v>
      </c>
      <c r="J1890">
        <v>3</v>
      </c>
      <c r="K1890">
        <v>387.158152383399</v>
      </c>
    </row>
    <row r="1891" spans="1:11" x14ac:dyDescent="0.25">
      <c r="A1891" s="159" t="str">
        <f t="shared" si="88"/>
        <v>LB-Berkeley and Albany-Oakland and Alameda-Missing</v>
      </c>
      <c r="B1891">
        <v>19</v>
      </c>
      <c r="C1891" t="str">
        <f t="shared" si="89"/>
        <v>Berkeley and Albany</v>
      </c>
      <c r="D1891">
        <v>18</v>
      </c>
      <c r="E1891" t="str">
        <f t="shared" si="89"/>
        <v>Oakland and Alameda</v>
      </c>
      <c r="F1891" t="s">
        <v>327</v>
      </c>
      <c r="G1891">
        <f t="shared" si="87"/>
        <v>0</v>
      </c>
      <c r="H1891" t="s">
        <v>359</v>
      </c>
      <c r="I1891" t="s">
        <v>191</v>
      </c>
      <c r="J1891">
        <v>7</v>
      </c>
      <c r="K1891">
        <v>529.02683780630105</v>
      </c>
    </row>
    <row r="1892" spans="1:11" x14ac:dyDescent="0.25">
      <c r="A1892" s="159" t="str">
        <f t="shared" si="88"/>
        <v>HR-Berkeley and Albany-Oakland and Alameda-Other maintenance</v>
      </c>
      <c r="B1892">
        <v>19</v>
      </c>
      <c r="C1892" t="str">
        <f t="shared" si="89"/>
        <v>Berkeley and Albany</v>
      </c>
      <c r="D1892">
        <v>18</v>
      </c>
      <c r="E1892" t="str">
        <f t="shared" si="89"/>
        <v>Oakland and Alameda</v>
      </c>
      <c r="F1892" t="s">
        <v>325</v>
      </c>
      <c r="G1892">
        <f t="shared" si="87"/>
        <v>4</v>
      </c>
      <c r="H1892" t="s">
        <v>124</v>
      </c>
      <c r="I1892" t="s">
        <v>188</v>
      </c>
      <c r="J1892">
        <v>3</v>
      </c>
      <c r="K1892">
        <v>287.46629834254099</v>
      </c>
    </row>
    <row r="1893" spans="1:11" x14ac:dyDescent="0.25">
      <c r="A1893" s="159" t="str">
        <f t="shared" si="88"/>
        <v>LB-Berkeley and Albany-Oakland and Alameda-Other maintenance</v>
      </c>
      <c r="B1893">
        <v>19</v>
      </c>
      <c r="C1893" t="str">
        <f t="shared" si="89"/>
        <v>Berkeley and Albany</v>
      </c>
      <c r="D1893">
        <v>18</v>
      </c>
      <c r="E1893" t="str">
        <f t="shared" si="89"/>
        <v>Oakland and Alameda</v>
      </c>
      <c r="F1893" t="s">
        <v>325</v>
      </c>
      <c r="G1893">
        <f t="shared" si="87"/>
        <v>4</v>
      </c>
      <c r="H1893" t="s">
        <v>359</v>
      </c>
      <c r="I1893" t="s">
        <v>191</v>
      </c>
      <c r="J1893">
        <v>13</v>
      </c>
      <c r="K1893">
        <v>1177.83529338223</v>
      </c>
    </row>
    <row r="1894" spans="1:11" x14ac:dyDescent="0.25">
      <c r="A1894" s="159" t="str">
        <f t="shared" si="88"/>
        <v>LB-Berkeley and Albany-Oakland and Alameda-Shopping</v>
      </c>
      <c r="B1894">
        <v>19</v>
      </c>
      <c r="C1894" t="str">
        <f t="shared" si="89"/>
        <v>Berkeley and Albany</v>
      </c>
      <c r="D1894">
        <v>18</v>
      </c>
      <c r="E1894" t="str">
        <f t="shared" si="89"/>
        <v>Oakland and Alameda</v>
      </c>
      <c r="F1894" t="s">
        <v>106</v>
      </c>
      <c r="G1894">
        <f t="shared" si="87"/>
        <v>4</v>
      </c>
      <c r="H1894" t="s">
        <v>359</v>
      </c>
      <c r="I1894" t="s">
        <v>191</v>
      </c>
      <c r="J1894">
        <v>2</v>
      </c>
      <c r="K1894">
        <v>151.15052508751401</v>
      </c>
    </row>
    <row r="1895" spans="1:11" x14ac:dyDescent="0.25">
      <c r="A1895" s="159" t="str">
        <f t="shared" si="88"/>
        <v>HR-Berkeley and Albany-Oakland and Alameda-Social recreation</v>
      </c>
      <c r="B1895">
        <v>19</v>
      </c>
      <c r="C1895" t="str">
        <f t="shared" si="89"/>
        <v>Berkeley and Albany</v>
      </c>
      <c r="D1895">
        <v>18</v>
      </c>
      <c r="E1895" t="str">
        <f t="shared" si="89"/>
        <v>Oakland and Alameda</v>
      </c>
      <c r="F1895" t="s">
        <v>324</v>
      </c>
      <c r="G1895">
        <f t="shared" si="87"/>
        <v>5</v>
      </c>
      <c r="H1895" t="s">
        <v>124</v>
      </c>
      <c r="I1895" t="s">
        <v>188</v>
      </c>
      <c r="J1895">
        <v>9</v>
      </c>
      <c r="K1895">
        <v>962.09074906848195</v>
      </c>
    </row>
    <row r="1896" spans="1:11" x14ac:dyDescent="0.25">
      <c r="A1896" s="159" t="str">
        <f t="shared" si="88"/>
        <v>LB-Berkeley and Albany-Oakland and Alameda-Social recreation</v>
      </c>
      <c r="B1896">
        <v>19</v>
      </c>
      <c r="C1896" t="str">
        <f t="shared" si="89"/>
        <v>Berkeley and Albany</v>
      </c>
      <c r="D1896">
        <v>18</v>
      </c>
      <c r="E1896" t="str">
        <f t="shared" si="89"/>
        <v>Oakland and Alameda</v>
      </c>
      <c r="F1896" t="s">
        <v>324</v>
      </c>
      <c r="G1896">
        <f t="shared" si="87"/>
        <v>5</v>
      </c>
      <c r="H1896" t="s">
        <v>359</v>
      </c>
      <c r="I1896" t="s">
        <v>191</v>
      </c>
      <c r="J1896">
        <v>12</v>
      </c>
      <c r="K1896">
        <v>1508.17000333388</v>
      </c>
    </row>
    <row r="1897" spans="1:11" x14ac:dyDescent="0.25">
      <c r="A1897" s="159" t="str">
        <f t="shared" si="88"/>
        <v>EB-Berkeley and Albany-Oakland and Alameda-Work</v>
      </c>
      <c r="B1897">
        <v>19</v>
      </c>
      <c r="C1897" t="str">
        <f t="shared" si="89"/>
        <v>Berkeley and Albany</v>
      </c>
      <c r="D1897">
        <v>18</v>
      </c>
      <c r="E1897" t="str">
        <f t="shared" si="89"/>
        <v>Oakland and Alameda</v>
      </c>
      <c r="F1897" t="s">
        <v>30</v>
      </c>
      <c r="G1897">
        <f t="shared" si="87"/>
        <v>1</v>
      </c>
      <c r="H1897" t="s">
        <v>123</v>
      </c>
      <c r="I1897" t="s">
        <v>182</v>
      </c>
      <c r="J1897">
        <v>1</v>
      </c>
      <c r="K1897">
        <v>75.575262543757304</v>
      </c>
    </row>
    <row r="1898" spans="1:11" x14ac:dyDescent="0.25">
      <c r="A1898" s="159" t="str">
        <f t="shared" si="88"/>
        <v>HR-Berkeley and Albany-Oakland and Alameda-Work</v>
      </c>
      <c r="B1898">
        <v>19</v>
      </c>
      <c r="C1898" t="str">
        <f t="shared" si="89"/>
        <v>Berkeley and Albany</v>
      </c>
      <c r="D1898">
        <v>18</v>
      </c>
      <c r="E1898" t="str">
        <f t="shared" si="89"/>
        <v>Oakland and Alameda</v>
      </c>
      <c r="F1898" t="s">
        <v>30</v>
      </c>
      <c r="G1898">
        <f t="shared" si="87"/>
        <v>1</v>
      </c>
      <c r="H1898" t="s">
        <v>124</v>
      </c>
      <c r="I1898" t="s">
        <v>188</v>
      </c>
      <c r="J1898">
        <v>11</v>
      </c>
      <c r="K1898">
        <v>1153.73494796351</v>
      </c>
    </row>
    <row r="1899" spans="1:11" x14ac:dyDescent="0.25">
      <c r="A1899" s="159" t="str">
        <f t="shared" si="88"/>
        <v>LB-Berkeley and Albany-Oakland and Alameda-Work</v>
      </c>
      <c r="B1899">
        <v>19</v>
      </c>
      <c r="C1899" t="str">
        <f t="shared" si="89"/>
        <v>Berkeley and Albany</v>
      </c>
      <c r="D1899">
        <v>18</v>
      </c>
      <c r="E1899" t="str">
        <f t="shared" si="89"/>
        <v>Oakland and Alameda</v>
      </c>
      <c r="F1899" t="s">
        <v>30</v>
      </c>
      <c r="G1899">
        <f t="shared" si="87"/>
        <v>1</v>
      </c>
      <c r="H1899" t="s">
        <v>359</v>
      </c>
      <c r="I1899" t="s">
        <v>191</v>
      </c>
      <c r="J1899">
        <v>26</v>
      </c>
      <c r="K1899">
        <v>2355.67058676446</v>
      </c>
    </row>
    <row r="1900" spans="1:11" x14ac:dyDescent="0.25">
      <c r="A1900" s="159" t="str">
        <f t="shared" si="88"/>
        <v>EB-Berkeley and Albany-Berkeley and Albany-High school</v>
      </c>
      <c r="B1900">
        <v>19</v>
      </c>
      <c r="C1900" t="str">
        <f t="shared" si="89"/>
        <v>Berkeley and Albany</v>
      </c>
      <c r="D1900">
        <v>19</v>
      </c>
      <c r="E1900" t="str">
        <f t="shared" si="89"/>
        <v>Berkeley and Albany</v>
      </c>
      <c r="F1900" t="s">
        <v>326</v>
      </c>
      <c r="G1900">
        <f t="shared" si="87"/>
        <v>3</v>
      </c>
      <c r="H1900" t="s">
        <v>123</v>
      </c>
      <c r="I1900" t="s">
        <v>182</v>
      </c>
      <c r="J1900">
        <v>7</v>
      </c>
      <c r="K1900">
        <v>529.02683780630105</v>
      </c>
    </row>
    <row r="1901" spans="1:11" x14ac:dyDescent="0.25">
      <c r="A1901" s="159" t="str">
        <f t="shared" si="88"/>
        <v>HR-Berkeley and Albany-Berkeley and Albany-High school</v>
      </c>
      <c r="B1901">
        <v>19</v>
      </c>
      <c r="C1901" t="str">
        <f t="shared" si="89"/>
        <v>Berkeley and Albany</v>
      </c>
      <c r="D1901">
        <v>19</v>
      </c>
      <c r="E1901" t="str">
        <f t="shared" si="89"/>
        <v>Berkeley and Albany</v>
      </c>
      <c r="F1901" t="s">
        <v>326</v>
      </c>
      <c r="G1901">
        <f t="shared" si="87"/>
        <v>3</v>
      </c>
      <c r="H1901" t="s">
        <v>124</v>
      </c>
      <c r="I1901" t="s">
        <v>188</v>
      </c>
      <c r="J1901">
        <v>1</v>
      </c>
      <c r="K1901">
        <v>95.822099447513807</v>
      </c>
    </row>
    <row r="1902" spans="1:11" x14ac:dyDescent="0.25">
      <c r="A1902" s="159" t="str">
        <f t="shared" si="88"/>
        <v>LB-Berkeley and Albany-Berkeley and Albany-High school</v>
      </c>
      <c r="B1902">
        <v>19</v>
      </c>
      <c r="C1902" t="str">
        <f t="shared" si="89"/>
        <v>Berkeley and Albany</v>
      </c>
      <c r="D1902">
        <v>19</v>
      </c>
      <c r="E1902" t="str">
        <f t="shared" si="89"/>
        <v>Berkeley and Albany</v>
      </c>
      <c r="F1902" t="s">
        <v>326</v>
      </c>
      <c r="G1902">
        <f t="shared" si="87"/>
        <v>3</v>
      </c>
      <c r="H1902" t="s">
        <v>359</v>
      </c>
      <c r="I1902" t="s">
        <v>191</v>
      </c>
      <c r="J1902">
        <v>106</v>
      </c>
      <c r="K1902">
        <v>9892.0197573251407</v>
      </c>
    </row>
    <row r="1903" spans="1:11" x14ac:dyDescent="0.25">
      <c r="A1903" s="159" t="str">
        <f t="shared" si="88"/>
        <v>HR-Berkeley and Albany-Berkeley and Albany-Missing</v>
      </c>
      <c r="B1903">
        <v>19</v>
      </c>
      <c r="C1903" t="str">
        <f t="shared" si="89"/>
        <v>Berkeley and Albany</v>
      </c>
      <c r="D1903">
        <v>19</v>
      </c>
      <c r="E1903" t="str">
        <f t="shared" si="89"/>
        <v>Berkeley and Albany</v>
      </c>
      <c r="F1903" t="s">
        <v>327</v>
      </c>
      <c r="G1903">
        <f t="shared" si="87"/>
        <v>0</v>
      </c>
      <c r="H1903" t="s">
        <v>124</v>
      </c>
      <c r="I1903" t="s">
        <v>188</v>
      </c>
      <c r="J1903">
        <v>2</v>
      </c>
      <c r="K1903">
        <v>391.02790697674402</v>
      </c>
    </row>
    <row r="1904" spans="1:11" x14ac:dyDescent="0.25">
      <c r="A1904" s="159" t="str">
        <f t="shared" si="88"/>
        <v>LB-Berkeley and Albany-Berkeley and Albany-Missing</v>
      </c>
      <c r="B1904">
        <v>19</v>
      </c>
      <c r="C1904" t="str">
        <f t="shared" si="89"/>
        <v>Berkeley and Albany</v>
      </c>
      <c r="D1904">
        <v>19</v>
      </c>
      <c r="E1904" t="str">
        <f t="shared" si="89"/>
        <v>Berkeley and Albany</v>
      </c>
      <c r="F1904" t="s">
        <v>327</v>
      </c>
      <c r="G1904">
        <f t="shared" si="87"/>
        <v>0</v>
      </c>
      <c r="H1904" t="s">
        <v>359</v>
      </c>
      <c r="I1904" t="s">
        <v>191</v>
      </c>
      <c r="J1904">
        <v>21</v>
      </c>
      <c r="K1904">
        <v>2136.9247832972101</v>
      </c>
    </row>
    <row r="1905" spans="1:11" x14ac:dyDescent="0.25">
      <c r="A1905" s="159" t="str">
        <f t="shared" si="88"/>
        <v>EB-Berkeley and Albany-Berkeley and Albany-Other maintenance</v>
      </c>
      <c r="B1905">
        <v>19</v>
      </c>
      <c r="C1905" t="str">
        <f t="shared" si="89"/>
        <v>Berkeley and Albany</v>
      </c>
      <c r="D1905">
        <v>19</v>
      </c>
      <c r="E1905" t="str">
        <f t="shared" si="89"/>
        <v>Berkeley and Albany</v>
      </c>
      <c r="F1905" t="s">
        <v>325</v>
      </c>
      <c r="G1905">
        <f t="shared" si="87"/>
        <v>4</v>
      </c>
      <c r="H1905" t="s">
        <v>123</v>
      </c>
      <c r="I1905" t="s">
        <v>182</v>
      </c>
      <c r="J1905">
        <v>1</v>
      </c>
      <c r="K1905">
        <v>75.575262543757304</v>
      </c>
    </row>
    <row r="1906" spans="1:11" x14ac:dyDescent="0.25">
      <c r="A1906" s="159" t="str">
        <f t="shared" si="88"/>
        <v>HR-Berkeley and Albany-Berkeley and Albany-Other maintenance</v>
      </c>
      <c r="B1906">
        <v>19</v>
      </c>
      <c r="C1906" t="str">
        <f t="shared" si="89"/>
        <v>Berkeley and Albany</v>
      </c>
      <c r="D1906">
        <v>19</v>
      </c>
      <c r="E1906" t="str">
        <f t="shared" si="89"/>
        <v>Berkeley and Albany</v>
      </c>
      <c r="F1906" t="s">
        <v>325</v>
      </c>
      <c r="G1906">
        <f t="shared" si="87"/>
        <v>4</v>
      </c>
      <c r="H1906" t="s">
        <v>124</v>
      </c>
      <c r="I1906" t="s">
        <v>188</v>
      </c>
      <c r="J1906">
        <v>3</v>
      </c>
      <c r="K1906">
        <v>287.46629834254099</v>
      </c>
    </row>
    <row r="1907" spans="1:11" x14ac:dyDescent="0.25">
      <c r="A1907" s="159" t="str">
        <f t="shared" si="88"/>
        <v>LB-Berkeley and Albany-Berkeley and Albany-Other maintenance</v>
      </c>
      <c r="B1907">
        <v>19</v>
      </c>
      <c r="C1907" t="str">
        <f t="shared" si="89"/>
        <v>Berkeley and Albany</v>
      </c>
      <c r="D1907">
        <v>19</v>
      </c>
      <c r="E1907" t="str">
        <f t="shared" si="89"/>
        <v>Berkeley and Albany</v>
      </c>
      <c r="F1907" t="s">
        <v>325</v>
      </c>
      <c r="G1907">
        <f t="shared" si="87"/>
        <v>4</v>
      </c>
      <c r="H1907" t="s">
        <v>359</v>
      </c>
      <c r="I1907" t="s">
        <v>191</v>
      </c>
      <c r="J1907">
        <v>28</v>
      </c>
      <c r="K1907">
        <v>3288.2486331055102</v>
      </c>
    </row>
    <row r="1908" spans="1:11" x14ac:dyDescent="0.25">
      <c r="A1908" s="159" t="str">
        <f t="shared" si="88"/>
        <v>EB-Berkeley and Albany-Berkeley and Albany-Shopping</v>
      </c>
      <c r="B1908">
        <v>19</v>
      </c>
      <c r="C1908" t="str">
        <f t="shared" si="89"/>
        <v>Berkeley and Albany</v>
      </c>
      <c r="D1908">
        <v>19</v>
      </c>
      <c r="E1908" t="str">
        <f t="shared" si="89"/>
        <v>Berkeley and Albany</v>
      </c>
      <c r="F1908" t="s">
        <v>106</v>
      </c>
      <c r="G1908">
        <f t="shared" si="87"/>
        <v>4</v>
      </c>
      <c r="H1908" t="s">
        <v>123</v>
      </c>
      <c r="I1908" t="s">
        <v>182</v>
      </c>
      <c r="J1908">
        <v>2</v>
      </c>
      <c r="K1908">
        <v>151.15052508751401</v>
      </c>
    </row>
    <row r="1909" spans="1:11" x14ac:dyDescent="0.25">
      <c r="A1909" s="159" t="str">
        <f t="shared" si="88"/>
        <v>HR-Berkeley and Albany-Berkeley and Albany-Shopping</v>
      </c>
      <c r="B1909">
        <v>19</v>
      </c>
      <c r="C1909" t="str">
        <f t="shared" si="89"/>
        <v>Berkeley and Albany</v>
      </c>
      <c r="D1909">
        <v>19</v>
      </c>
      <c r="E1909" t="str">
        <f t="shared" si="89"/>
        <v>Berkeley and Albany</v>
      </c>
      <c r="F1909" t="s">
        <v>106</v>
      </c>
      <c r="G1909">
        <f t="shared" si="87"/>
        <v>4</v>
      </c>
      <c r="H1909" t="s">
        <v>124</v>
      </c>
      <c r="I1909" t="s">
        <v>188</v>
      </c>
      <c r="J1909">
        <v>1</v>
      </c>
      <c r="K1909">
        <v>95.822099447513807</v>
      </c>
    </row>
    <row r="1910" spans="1:11" x14ac:dyDescent="0.25">
      <c r="A1910" s="159" t="str">
        <f t="shared" si="88"/>
        <v>LB-Berkeley and Albany-Berkeley and Albany-Shopping</v>
      </c>
      <c r="B1910">
        <v>19</v>
      </c>
      <c r="C1910" t="str">
        <f t="shared" si="89"/>
        <v>Berkeley and Albany</v>
      </c>
      <c r="D1910">
        <v>19</v>
      </c>
      <c r="E1910" t="str">
        <f t="shared" si="89"/>
        <v>Berkeley and Albany</v>
      </c>
      <c r="F1910" t="s">
        <v>106</v>
      </c>
      <c r="G1910">
        <f t="shared" si="87"/>
        <v>4</v>
      </c>
      <c r="H1910" t="s">
        <v>359</v>
      </c>
      <c r="I1910" t="s">
        <v>191</v>
      </c>
      <c r="J1910">
        <v>21</v>
      </c>
      <c r="K1910">
        <v>3540.64931655276</v>
      </c>
    </row>
    <row r="1911" spans="1:11" x14ac:dyDescent="0.25">
      <c r="A1911" s="159" t="str">
        <f t="shared" si="88"/>
        <v>HR-Berkeley and Albany-Berkeley and Albany-Social recreation</v>
      </c>
      <c r="B1911">
        <v>19</v>
      </c>
      <c r="C1911" t="str">
        <f t="shared" si="89"/>
        <v>Berkeley and Albany</v>
      </c>
      <c r="D1911">
        <v>19</v>
      </c>
      <c r="E1911" t="str">
        <f t="shared" si="89"/>
        <v>Berkeley and Albany</v>
      </c>
      <c r="F1911" t="s">
        <v>324</v>
      </c>
      <c r="G1911">
        <f t="shared" si="87"/>
        <v>5</v>
      </c>
      <c r="H1911" t="s">
        <v>124</v>
      </c>
      <c r="I1911" t="s">
        <v>188</v>
      </c>
      <c r="J1911">
        <v>4</v>
      </c>
      <c r="K1911">
        <v>682.36395991262896</v>
      </c>
    </row>
    <row r="1912" spans="1:11" x14ac:dyDescent="0.25">
      <c r="A1912" s="159" t="str">
        <f t="shared" si="88"/>
        <v>LB-Berkeley and Albany-Berkeley and Albany-Social recreation</v>
      </c>
      <c r="B1912">
        <v>19</v>
      </c>
      <c r="C1912" t="str">
        <f t="shared" si="89"/>
        <v>Berkeley and Albany</v>
      </c>
      <c r="D1912">
        <v>19</v>
      </c>
      <c r="E1912" t="str">
        <f t="shared" si="89"/>
        <v>Berkeley and Albany</v>
      </c>
      <c r="F1912" t="s">
        <v>324</v>
      </c>
      <c r="G1912">
        <f t="shared" si="87"/>
        <v>5</v>
      </c>
      <c r="H1912" t="s">
        <v>359</v>
      </c>
      <c r="I1912" t="s">
        <v>191</v>
      </c>
      <c r="J1912">
        <v>43</v>
      </c>
      <c r="K1912">
        <v>6693.6332595755202</v>
      </c>
    </row>
    <row r="1913" spans="1:11" x14ac:dyDescent="0.25">
      <c r="A1913" s="159" t="str">
        <f t="shared" si="88"/>
        <v>EB-Berkeley and Albany-Berkeley and Albany-Work</v>
      </c>
      <c r="B1913">
        <v>19</v>
      </c>
      <c r="C1913" t="str">
        <f t="shared" si="89"/>
        <v>Berkeley and Albany</v>
      </c>
      <c r="D1913">
        <v>19</v>
      </c>
      <c r="E1913" t="str">
        <f t="shared" si="89"/>
        <v>Berkeley and Albany</v>
      </c>
      <c r="F1913" t="s">
        <v>30</v>
      </c>
      <c r="G1913">
        <f t="shared" si="87"/>
        <v>1</v>
      </c>
      <c r="H1913" t="s">
        <v>123</v>
      </c>
      <c r="I1913" t="s">
        <v>182</v>
      </c>
      <c r="J1913">
        <v>4</v>
      </c>
      <c r="K1913">
        <v>302.30105017502899</v>
      </c>
    </row>
    <row r="1914" spans="1:11" x14ac:dyDescent="0.25">
      <c r="A1914" s="159" t="str">
        <f t="shared" si="88"/>
        <v>HR-Berkeley and Albany-Berkeley and Albany-Work</v>
      </c>
      <c r="B1914">
        <v>19</v>
      </c>
      <c r="C1914" t="str">
        <f t="shared" si="89"/>
        <v>Berkeley and Albany</v>
      </c>
      <c r="D1914">
        <v>19</v>
      </c>
      <c r="E1914" t="str">
        <f t="shared" si="89"/>
        <v>Berkeley and Albany</v>
      </c>
      <c r="F1914" t="s">
        <v>30</v>
      </c>
      <c r="G1914">
        <f t="shared" si="87"/>
        <v>1</v>
      </c>
      <c r="H1914" t="s">
        <v>124</v>
      </c>
      <c r="I1914" t="s">
        <v>188</v>
      </c>
      <c r="J1914">
        <v>1</v>
      </c>
      <c r="K1914">
        <v>95.822099447513807</v>
      </c>
    </row>
    <row r="1915" spans="1:11" x14ac:dyDescent="0.25">
      <c r="A1915" s="159" t="str">
        <f t="shared" si="88"/>
        <v>LB-Berkeley and Albany-Berkeley and Albany-Work</v>
      </c>
      <c r="B1915">
        <v>19</v>
      </c>
      <c r="C1915" t="str">
        <f t="shared" si="89"/>
        <v>Berkeley and Albany</v>
      </c>
      <c r="D1915">
        <v>19</v>
      </c>
      <c r="E1915" t="str">
        <f t="shared" si="89"/>
        <v>Berkeley and Albany</v>
      </c>
      <c r="F1915" t="s">
        <v>30</v>
      </c>
      <c r="G1915">
        <f t="shared" si="87"/>
        <v>1</v>
      </c>
      <c r="H1915" t="s">
        <v>359</v>
      </c>
      <c r="I1915" t="s">
        <v>191</v>
      </c>
      <c r="J1915">
        <v>47</v>
      </c>
      <c r="K1915">
        <v>4528.82174112352</v>
      </c>
    </row>
    <row r="1916" spans="1:11" x14ac:dyDescent="0.25">
      <c r="A1916" s="159" t="str">
        <f t="shared" si="88"/>
        <v>LB-Berkeley and Albany-Richmond and El Cerrito-High school</v>
      </c>
      <c r="B1916">
        <v>19</v>
      </c>
      <c r="C1916" t="str">
        <f t="shared" si="89"/>
        <v>Berkeley and Albany</v>
      </c>
      <c r="D1916">
        <v>20</v>
      </c>
      <c r="E1916" t="str">
        <f t="shared" si="89"/>
        <v>Richmond and El Cerrito</v>
      </c>
      <c r="F1916" t="s">
        <v>326</v>
      </c>
      <c r="G1916">
        <f t="shared" si="87"/>
        <v>3</v>
      </c>
      <c r="H1916" t="s">
        <v>359</v>
      </c>
      <c r="I1916" t="s">
        <v>191</v>
      </c>
      <c r="J1916">
        <v>3</v>
      </c>
      <c r="K1916">
        <v>226.725787631271</v>
      </c>
    </row>
    <row r="1917" spans="1:11" x14ac:dyDescent="0.25">
      <c r="A1917" s="159" t="str">
        <f t="shared" si="88"/>
        <v>EB-Berkeley and Albany-Richmond and El Cerrito-Missing</v>
      </c>
      <c r="B1917">
        <v>19</v>
      </c>
      <c r="C1917" t="str">
        <f t="shared" si="89"/>
        <v>Berkeley and Albany</v>
      </c>
      <c r="D1917">
        <v>20</v>
      </c>
      <c r="E1917" t="str">
        <f t="shared" si="89"/>
        <v>Richmond and El Cerrito</v>
      </c>
      <c r="F1917" t="s">
        <v>327</v>
      </c>
      <c r="G1917">
        <f t="shared" si="87"/>
        <v>0</v>
      </c>
      <c r="H1917" t="s">
        <v>123</v>
      </c>
      <c r="I1917" t="s">
        <v>182</v>
      </c>
      <c r="J1917">
        <v>1</v>
      </c>
      <c r="K1917">
        <v>7.3684210526315796</v>
      </c>
    </row>
    <row r="1918" spans="1:11" x14ac:dyDescent="0.25">
      <c r="A1918" s="159" t="str">
        <f t="shared" si="88"/>
        <v>HR-Berkeley and Albany-Richmond and El Cerrito-Missing</v>
      </c>
      <c r="B1918">
        <v>19</v>
      </c>
      <c r="C1918" t="str">
        <f t="shared" si="89"/>
        <v>Berkeley and Albany</v>
      </c>
      <c r="D1918">
        <v>20</v>
      </c>
      <c r="E1918" t="str">
        <f t="shared" si="89"/>
        <v>Richmond and El Cerrito</v>
      </c>
      <c r="F1918" t="s">
        <v>327</v>
      </c>
      <c r="G1918">
        <f t="shared" si="87"/>
        <v>0</v>
      </c>
      <c r="H1918" t="s">
        <v>124</v>
      </c>
      <c r="I1918" t="s">
        <v>188</v>
      </c>
      <c r="J1918">
        <v>2</v>
      </c>
      <c r="K1918">
        <v>191.64419889502699</v>
      </c>
    </row>
    <row r="1919" spans="1:11" x14ac:dyDescent="0.25">
      <c r="A1919" s="159" t="str">
        <f t="shared" si="88"/>
        <v>LB-Berkeley and Albany-Richmond and El Cerrito-Missing</v>
      </c>
      <c r="B1919">
        <v>19</v>
      </c>
      <c r="C1919" t="str">
        <f t="shared" si="89"/>
        <v>Berkeley and Albany</v>
      </c>
      <c r="D1919">
        <v>20</v>
      </c>
      <c r="E1919" t="str">
        <f t="shared" si="89"/>
        <v>Richmond and El Cerrito</v>
      </c>
      <c r="F1919" t="s">
        <v>327</v>
      </c>
      <c r="G1919">
        <f t="shared" si="87"/>
        <v>0</v>
      </c>
      <c r="H1919" t="s">
        <v>359</v>
      </c>
      <c r="I1919" t="s">
        <v>191</v>
      </c>
      <c r="J1919">
        <v>1</v>
      </c>
      <c r="K1919">
        <v>75.575262543757304</v>
      </c>
    </row>
    <row r="1920" spans="1:11" x14ac:dyDescent="0.25">
      <c r="A1920" s="159" t="str">
        <f t="shared" si="88"/>
        <v>HR-Berkeley and Albany-Richmond and El Cerrito-Other maintenance</v>
      </c>
      <c r="B1920">
        <v>19</v>
      </c>
      <c r="C1920" t="str">
        <f t="shared" si="89"/>
        <v>Berkeley and Albany</v>
      </c>
      <c r="D1920">
        <v>20</v>
      </c>
      <c r="E1920" t="str">
        <f t="shared" si="89"/>
        <v>Richmond and El Cerrito</v>
      </c>
      <c r="F1920" t="s">
        <v>325</v>
      </c>
      <c r="G1920">
        <f t="shared" si="87"/>
        <v>4</v>
      </c>
      <c r="H1920" t="s">
        <v>124</v>
      </c>
      <c r="I1920" t="s">
        <v>188</v>
      </c>
      <c r="J1920">
        <v>1</v>
      </c>
      <c r="K1920">
        <v>95.822099447513807</v>
      </c>
    </row>
    <row r="1921" spans="1:11" x14ac:dyDescent="0.25">
      <c r="A1921" s="159" t="str">
        <f t="shared" si="88"/>
        <v>LB-Berkeley and Albany-Richmond and El Cerrito-Other maintenance</v>
      </c>
      <c r="B1921">
        <v>19</v>
      </c>
      <c r="C1921" t="str">
        <f t="shared" si="89"/>
        <v>Berkeley and Albany</v>
      </c>
      <c r="D1921">
        <v>20</v>
      </c>
      <c r="E1921" t="str">
        <f t="shared" si="89"/>
        <v>Richmond and El Cerrito</v>
      </c>
      <c r="F1921" t="s">
        <v>325</v>
      </c>
      <c r="G1921">
        <f t="shared" si="87"/>
        <v>4</v>
      </c>
      <c r="H1921" t="s">
        <v>359</v>
      </c>
      <c r="I1921" t="s">
        <v>191</v>
      </c>
      <c r="J1921">
        <v>1</v>
      </c>
      <c r="K1921">
        <v>75.575262543757304</v>
      </c>
    </row>
    <row r="1922" spans="1:11" x14ac:dyDescent="0.25">
      <c r="A1922" s="159" t="str">
        <f t="shared" si="88"/>
        <v>LB-Berkeley and Albany-Richmond and El Cerrito-Shopping</v>
      </c>
      <c r="B1922">
        <v>19</v>
      </c>
      <c r="C1922" t="str">
        <f t="shared" si="89"/>
        <v>Berkeley and Albany</v>
      </c>
      <c r="D1922">
        <v>20</v>
      </c>
      <c r="E1922" t="str">
        <f t="shared" si="89"/>
        <v>Richmond and El Cerrito</v>
      </c>
      <c r="F1922" t="s">
        <v>106</v>
      </c>
      <c r="G1922">
        <f t="shared" ref="G1922:G1985" si="90">VLOOKUP(F1922,$V$2:$X$10, 3,FALSE)</f>
        <v>4</v>
      </c>
      <c r="H1922" t="s">
        <v>359</v>
      </c>
      <c r="I1922" t="s">
        <v>191</v>
      </c>
      <c r="J1922">
        <v>3</v>
      </c>
      <c r="K1922">
        <v>422.08266794465698</v>
      </c>
    </row>
    <row r="1923" spans="1:11" x14ac:dyDescent="0.25">
      <c r="A1923" s="159" t="str">
        <f t="shared" ref="A1923:A1986" si="91" xml:space="preserve"> CONCATENATE(I1923,"-",C1923, "-",E1923, "-",F1923,)</f>
        <v>EB-Berkeley and Albany-Richmond and El Cerrito-Social recreation</v>
      </c>
      <c r="B1923">
        <v>19</v>
      </c>
      <c r="C1923" t="str">
        <f t="shared" ref="C1923:E1986" si="92">VLOOKUP(B1923,$S$2:$T$35,2,FALSE)</f>
        <v>Berkeley and Albany</v>
      </c>
      <c r="D1923">
        <v>20</v>
      </c>
      <c r="E1923" t="str">
        <f t="shared" si="92"/>
        <v>Richmond and El Cerrito</v>
      </c>
      <c r="F1923" t="s">
        <v>324</v>
      </c>
      <c r="G1923">
        <f t="shared" si="90"/>
        <v>5</v>
      </c>
      <c r="H1923" t="s">
        <v>123</v>
      </c>
      <c r="I1923" t="s">
        <v>182</v>
      </c>
      <c r="J1923">
        <v>1</v>
      </c>
      <c r="K1923">
        <v>15.051282051282</v>
      </c>
    </row>
    <row r="1924" spans="1:11" x14ac:dyDescent="0.25">
      <c r="A1924" s="159" t="str">
        <f t="shared" si="91"/>
        <v>HR-Berkeley and Albany-Richmond and El Cerrito-Social recreation</v>
      </c>
      <c r="B1924">
        <v>19</v>
      </c>
      <c r="C1924" t="str">
        <f t="shared" si="92"/>
        <v>Berkeley and Albany</v>
      </c>
      <c r="D1924">
        <v>20</v>
      </c>
      <c r="E1924" t="str">
        <f t="shared" si="92"/>
        <v>Richmond and El Cerrito</v>
      </c>
      <c r="F1924" t="s">
        <v>324</v>
      </c>
      <c r="G1924">
        <f t="shared" si="90"/>
        <v>5</v>
      </c>
      <c r="H1924" t="s">
        <v>124</v>
      </c>
      <c r="I1924" t="s">
        <v>188</v>
      </c>
      <c r="J1924">
        <v>1</v>
      </c>
      <c r="K1924">
        <v>95.822099447513807</v>
      </c>
    </row>
    <row r="1925" spans="1:11" x14ac:dyDescent="0.25">
      <c r="A1925" s="159" t="str">
        <f t="shared" si="91"/>
        <v>EB-Berkeley and Albany-Richmond and El Cerrito-Work</v>
      </c>
      <c r="B1925">
        <v>19</v>
      </c>
      <c r="C1925" t="str">
        <f t="shared" si="92"/>
        <v>Berkeley and Albany</v>
      </c>
      <c r="D1925">
        <v>20</v>
      </c>
      <c r="E1925" t="str">
        <f t="shared" si="92"/>
        <v>Richmond and El Cerrito</v>
      </c>
      <c r="F1925" t="s">
        <v>30</v>
      </c>
      <c r="G1925">
        <f t="shared" si="90"/>
        <v>1</v>
      </c>
      <c r="H1925" t="s">
        <v>123</v>
      </c>
      <c r="I1925" t="s">
        <v>182</v>
      </c>
      <c r="J1925">
        <v>1</v>
      </c>
      <c r="K1925">
        <v>7.3684210526315796</v>
      </c>
    </row>
    <row r="1926" spans="1:11" x14ac:dyDescent="0.25">
      <c r="A1926" s="159" t="str">
        <f t="shared" si="91"/>
        <v>HR-Berkeley and Albany-Richmond and El Cerrito-Work</v>
      </c>
      <c r="B1926">
        <v>19</v>
      </c>
      <c r="C1926" t="str">
        <f t="shared" si="92"/>
        <v>Berkeley and Albany</v>
      </c>
      <c r="D1926">
        <v>20</v>
      </c>
      <c r="E1926" t="str">
        <f t="shared" si="92"/>
        <v>Richmond and El Cerrito</v>
      </c>
      <c r="F1926" t="s">
        <v>30</v>
      </c>
      <c r="G1926">
        <f t="shared" si="90"/>
        <v>1</v>
      </c>
      <c r="H1926" t="s">
        <v>124</v>
      </c>
      <c r="I1926" t="s">
        <v>188</v>
      </c>
      <c r="J1926">
        <v>8</v>
      </c>
      <c r="K1926">
        <v>766.57679558011</v>
      </c>
    </row>
    <row r="1927" spans="1:11" x14ac:dyDescent="0.25">
      <c r="A1927" s="159" t="str">
        <f t="shared" si="91"/>
        <v>LB-Berkeley and Albany-Richmond and El Cerrito-Work</v>
      </c>
      <c r="B1927">
        <v>19</v>
      </c>
      <c r="C1927" t="str">
        <f t="shared" si="92"/>
        <v>Berkeley and Albany</v>
      </c>
      <c r="D1927">
        <v>20</v>
      </c>
      <c r="E1927" t="str">
        <f t="shared" si="92"/>
        <v>Richmond and El Cerrito</v>
      </c>
      <c r="F1927" t="s">
        <v>30</v>
      </c>
      <c r="G1927">
        <f t="shared" si="90"/>
        <v>1</v>
      </c>
      <c r="H1927" t="s">
        <v>359</v>
      </c>
      <c r="I1927" t="s">
        <v>191</v>
      </c>
      <c r="J1927">
        <v>8</v>
      </c>
      <c r="K1927">
        <v>799.95898066344398</v>
      </c>
    </row>
    <row r="1928" spans="1:11" x14ac:dyDescent="0.25">
      <c r="A1928" s="159" t="str">
        <f t="shared" si="91"/>
        <v>LB-Berkeley and Albany-Concord and Martinez-High school</v>
      </c>
      <c r="B1928">
        <v>19</v>
      </c>
      <c r="C1928" t="str">
        <f t="shared" si="92"/>
        <v>Berkeley and Albany</v>
      </c>
      <c r="D1928">
        <v>21</v>
      </c>
      <c r="E1928" t="str">
        <f t="shared" si="92"/>
        <v>Concord and Martinez</v>
      </c>
      <c r="F1928" t="s">
        <v>326</v>
      </c>
      <c r="G1928">
        <f t="shared" si="90"/>
        <v>3</v>
      </c>
      <c r="H1928" t="s">
        <v>359</v>
      </c>
      <c r="I1928" t="s">
        <v>191</v>
      </c>
      <c r="J1928">
        <v>2</v>
      </c>
      <c r="K1928">
        <v>39.455968688845402</v>
      </c>
    </row>
    <row r="1929" spans="1:11" x14ac:dyDescent="0.25">
      <c r="A1929" s="159" t="str">
        <f t="shared" si="91"/>
        <v>LB-Berkeley and Albany-Concord and Martinez-Missing</v>
      </c>
      <c r="B1929">
        <v>19</v>
      </c>
      <c r="C1929" t="str">
        <f t="shared" si="92"/>
        <v>Berkeley and Albany</v>
      </c>
      <c r="D1929">
        <v>21</v>
      </c>
      <c r="E1929" t="str">
        <f t="shared" si="92"/>
        <v>Concord and Martinez</v>
      </c>
      <c r="F1929" t="s">
        <v>327</v>
      </c>
      <c r="G1929">
        <f t="shared" si="90"/>
        <v>0</v>
      </c>
      <c r="H1929" t="s">
        <v>359</v>
      </c>
      <c r="I1929" t="s">
        <v>191</v>
      </c>
      <c r="J1929">
        <v>1</v>
      </c>
      <c r="K1929">
        <v>75.575262543757304</v>
      </c>
    </row>
    <row r="1930" spans="1:11" x14ac:dyDescent="0.25">
      <c r="A1930" s="159" t="str">
        <f t="shared" si="91"/>
        <v>HR-Berkeley and Albany-Concord and Martinez-Other maintenance</v>
      </c>
      <c r="B1930">
        <v>19</v>
      </c>
      <c r="C1930" t="str">
        <f t="shared" si="92"/>
        <v>Berkeley and Albany</v>
      </c>
      <c r="D1930">
        <v>21</v>
      </c>
      <c r="E1930" t="str">
        <f t="shared" si="92"/>
        <v>Concord and Martinez</v>
      </c>
      <c r="F1930" t="s">
        <v>325</v>
      </c>
      <c r="G1930">
        <f t="shared" si="90"/>
        <v>4</v>
      </c>
      <c r="H1930" t="s">
        <v>124</v>
      </c>
      <c r="I1930" t="s">
        <v>188</v>
      </c>
      <c r="J1930">
        <v>1</v>
      </c>
      <c r="K1930">
        <v>95.822099447513807</v>
      </c>
    </row>
    <row r="1931" spans="1:11" x14ac:dyDescent="0.25">
      <c r="A1931" s="159" t="str">
        <f t="shared" si="91"/>
        <v>HR-Berkeley and Albany-Concord and Martinez-Social recreation</v>
      </c>
      <c r="B1931">
        <v>19</v>
      </c>
      <c r="C1931" t="str">
        <f t="shared" si="92"/>
        <v>Berkeley and Albany</v>
      </c>
      <c r="D1931">
        <v>21</v>
      </c>
      <c r="E1931" t="str">
        <f t="shared" si="92"/>
        <v>Concord and Martinez</v>
      </c>
      <c r="F1931" t="s">
        <v>324</v>
      </c>
      <c r="G1931">
        <f t="shared" si="90"/>
        <v>5</v>
      </c>
      <c r="H1931" t="s">
        <v>124</v>
      </c>
      <c r="I1931" t="s">
        <v>188</v>
      </c>
      <c r="J1931">
        <v>1</v>
      </c>
      <c r="K1931">
        <v>95.822099447513807</v>
      </c>
    </row>
    <row r="1932" spans="1:11" x14ac:dyDescent="0.25">
      <c r="A1932" s="159" t="str">
        <f t="shared" si="91"/>
        <v>EB-Berkeley and Albany-Concord and Martinez-Work</v>
      </c>
      <c r="B1932">
        <v>19</v>
      </c>
      <c r="C1932" t="str">
        <f t="shared" si="92"/>
        <v>Berkeley and Albany</v>
      </c>
      <c r="D1932">
        <v>21</v>
      </c>
      <c r="E1932" t="str">
        <f t="shared" si="92"/>
        <v>Concord and Martinez</v>
      </c>
      <c r="F1932" t="s">
        <v>30</v>
      </c>
      <c r="G1932">
        <f t="shared" si="90"/>
        <v>1</v>
      </c>
      <c r="H1932" t="s">
        <v>123</v>
      </c>
      <c r="I1932" t="s">
        <v>182</v>
      </c>
      <c r="J1932">
        <v>1</v>
      </c>
      <c r="K1932">
        <v>7.3684210526315796</v>
      </c>
    </row>
    <row r="1933" spans="1:11" x14ac:dyDescent="0.25">
      <c r="A1933" s="159" t="str">
        <f t="shared" si="91"/>
        <v>LB-Berkeley and Albany-Concord and Martinez-Work</v>
      </c>
      <c r="B1933">
        <v>19</v>
      </c>
      <c r="C1933" t="str">
        <f t="shared" si="92"/>
        <v>Berkeley and Albany</v>
      </c>
      <c r="D1933">
        <v>21</v>
      </c>
      <c r="E1933" t="str">
        <f t="shared" si="92"/>
        <v>Concord and Martinez</v>
      </c>
      <c r="F1933" t="s">
        <v>30</v>
      </c>
      <c r="G1933">
        <f t="shared" si="90"/>
        <v>1</v>
      </c>
      <c r="H1933" t="s">
        <v>359</v>
      </c>
      <c r="I1933" t="s">
        <v>191</v>
      </c>
      <c r="J1933">
        <v>2</v>
      </c>
      <c r="K1933">
        <v>39.455968688845402</v>
      </c>
    </row>
    <row r="1934" spans="1:11" x14ac:dyDescent="0.25">
      <c r="A1934" s="159" t="str">
        <f t="shared" si="91"/>
        <v>LB-Berkeley and Albany-Walnut Creek-Missing</v>
      </c>
      <c r="B1934">
        <v>19</v>
      </c>
      <c r="C1934" t="str">
        <f t="shared" si="92"/>
        <v>Berkeley and Albany</v>
      </c>
      <c r="D1934">
        <v>22</v>
      </c>
      <c r="E1934" t="str">
        <f t="shared" si="92"/>
        <v>Walnut Creek</v>
      </c>
      <c r="F1934" t="s">
        <v>327</v>
      </c>
      <c r="G1934">
        <f t="shared" si="90"/>
        <v>0</v>
      </c>
      <c r="H1934" t="s">
        <v>359</v>
      </c>
      <c r="I1934" t="s">
        <v>191</v>
      </c>
      <c r="J1934">
        <v>1</v>
      </c>
      <c r="K1934">
        <v>19.727984344422701</v>
      </c>
    </row>
    <row r="1935" spans="1:11" x14ac:dyDescent="0.25">
      <c r="A1935" s="159" t="str">
        <f t="shared" si="91"/>
        <v>LB-Berkeley and Albany-Walnut Creek-Other maintenance</v>
      </c>
      <c r="B1935">
        <v>19</v>
      </c>
      <c r="C1935" t="str">
        <f t="shared" si="92"/>
        <v>Berkeley and Albany</v>
      </c>
      <c r="D1935">
        <v>22</v>
      </c>
      <c r="E1935" t="str">
        <f t="shared" si="92"/>
        <v>Walnut Creek</v>
      </c>
      <c r="F1935" t="s">
        <v>325</v>
      </c>
      <c r="G1935">
        <f t="shared" si="90"/>
        <v>4</v>
      </c>
      <c r="H1935" t="s">
        <v>359</v>
      </c>
      <c r="I1935" t="s">
        <v>191</v>
      </c>
      <c r="J1935">
        <v>1</v>
      </c>
      <c r="K1935">
        <v>19.727984344422701</v>
      </c>
    </row>
    <row r="1936" spans="1:11" x14ac:dyDescent="0.25">
      <c r="A1936" s="159" t="str">
        <f t="shared" si="91"/>
        <v>HR-Berkeley and Albany-Walnut Creek-Social recreation</v>
      </c>
      <c r="B1936">
        <v>19</v>
      </c>
      <c r="C1936" t="str">
        <f t="shared" si="92"/>
        <v>Berkeley and Albany</v>
      </c>
      <c r="D1936">
        <v>22</v>
      </c>
      <c r="E1936" t="str">
        <f t="shared" si="92"/>
        <v>Walnut Creek</v>
      </c>
      <c r="F1936" t="s">
        <v>324</v>
      </c>
      <c r="G1936">
        <f t="shared" si="90"/>
        <v>5</v>
      </c>
      <c r="H1936" t="s">
        <v>124</v>
      </c>
      <c r="I1936" t="s">
        <v>188</v>
      </c>
      <c r="J1936">
        <v>1</v>
      </c>
      <c r="K1936">
        <v>95.822099447513807</v>
      </c>
    </row>
    <row r="1937" spans="1:11" x14ac:dyDescent="0.25">
      <c r="A1937" s="159" t="str">
        <f t="shared" si="91"/>
        <v>HR-Berkeley and Albany-Walnut Creek-Work</v>
      </c>
      <c r="B1937">
        <v>19</v>
      </c>
      <c r="C1937" t="str">
        <f t="shared" si="92"/>
        <v>Berkeley and Albany</v>
      </c>
      <c r="D1937">
        <v>22</v>
      </c>
      <c r="E1937" t="str">
        <f t="shared" si="92"/>
        <v>Walnut Creek</v>
      </c>
      <c r="F1937" t="s">
        <v>30</v>
      </c>
      <c r="G1937">
        <f t="shared" si="90"/>
        <v>1</v>
      </c>
      <c r="H1937" t="s">
        <v>124</v>
      </c>
      <c r="I1937" t="s">
        <v>188</v>
      </c>
      <c r="J1937">
        <v>1</v>
      </c>
      <c r="K1937">
        <v>95.822099447513807</v>
      </c>
    </row>
    <row r="1938" spans="1:11" x14ac:dyDescent="0.25">
      <c r="A1938" s="159" t="str">
        <f t="shared" si="91"/>
        <v>LB-Berkeley and Albany-Walnut Creek-Work</v>
      </c>
      <c r="B1938">
        <v>19</v>
      </c>
      <c r="C1938" t="str">
        <f t="shared" si="92"/>
        <v>Berkeley and Albany</v>
      </c>
      <c r="D1938">
        <v>22</v>
      </c>
      <c r="E1938" t="str">
        <f t="shared" si="92"/>
        <v>Walnut Creek</v>
      </c>
      <c r="F1938" t="s">
        <v>30</v>
      </c>
      <c r="G1938">
        <f t="shared" si="90"/>
        <v>1</v>
      </c>
      <c r="H1938" t="s">
        <v>359</v>
      </c>
      <c r="I1938" t="s">
        <v>191</v>
      </c>
      <c r="J1938">
        <v>2</v>
      </c>
      <c r="K1938">
        <v>39.455968688845402</v>
      </c>
    </row>
    <row r="1939" spans="1:11" x14ac:dyDescent="0.25">
      <c r="A1939" s="159" t="str">
        <f t="shared" si="91"/>
        <v>LB-Berkeley and Albany-Danville and San Ramon-Social recreation</v>
      </c>
      <c r="B1939">
        <v>19</v>
      </c>
      <c r="C1939" t="str">
        <f t="shared" si="92"/>
        <v>Berkeley and Albany</v>
      </c>
      <c r="D1939">
        <v>23</v>
      </c>
      <c r="E1939" t="str">
        <f t="shared" si="92"/>
        <v>Danville and San Ramon</v>
      </c>
      <c r="F1939" t="s">
        <v>324</v>
      </c>
      <c r="G1939">
        <f t="shared" si="90"/>
        <v>5</v>
      </c>
      <c r="H1939" t="s">
        <v>359</v>
      </c>
      <c r="I1939" t="s">
        <v>191</v>
      </c>
      <c r="J1939">
        <v>1</v>
      </c>
      <c r="K1939">
        <v>19.727984344422701</v>
      </c>
    </row>
    <row r="1940" spans="1:11" x14ac:dyDescent="0.25">
      <c r="A1940" s="159" t="str">
        <f t="shared" si="91"/>
        <v>LB-Berkeley and Albany-Danville and San Ramon-Work</v>
      </c>
      <c r="B1940">
        <v>19</v>
      </c>
      <c r="C1940" t="str">
        <f t="shared" si="92"/>
        <v>Berkeley and Albany</v>
      </c>
      <c r="D1940">
        <v>23</v>
      </c>
      <c r="E1940" t="str">
        <f t="shared" si="92"/>
        <v>Danville and San Ramon</v>
      </c>
      <c r="F1940" t="s">
        <v>30</v>
      </c>
      <c r="G1940">
        <f t="shared" si="90"/>
        <v>1</v>
      </c>
      <c r="H1940" t="s">
        <v>359</v>
      </c>
      <c r="I1940" t="s">
        <v>191</v>
      </c>
      <c r="J1940">
        <v>1</v>
      </c>
      <c r="K1940">
        <v>19.727984344422701</v>
      </c>
    </row>
    <row r="1941" spans="1:11" x14ac:dyDescent="0.25">
      <c r="A1941" s="159" t="str">
        <f t="shared" si="91"/>
        <v>HR-Berkeley and Albany-Antioch and Pittsburg-High school</v>
      </c>
      <c r="B1941">
        <v>19</v>
      </c>
      <c r="C1941" t="str">
        <f t="shared" si="92"/>
        <v>Berkeley and Albany</v>
      </c>
      <c r="D1941">
        <v>24</v>
      </c>
      <c r="E1941" t="str">
        <f t="shared" si="92"/>
        <v>Antioch and Pittsburg</v>
      </c>
      <c r="F1941" t="s">
        <v>326</v>
      </c>
      <c r="G1941">
        <f t="shared" si="90"/>
        <v>3</v>
      </c>
      <c r="H1941" t="s">
        <v>124</v>
      </c>
      <c r="I1941" t="s">
        <v>188</v>
      </c>
      <c r="J1941">
        <v>1</v>
      </c>
      <c r="K1941">
        <v>95.822099447513807</v>
      </c>
    </row>
    <row r="1942" spans="1:11" x14ac:dyDescent="0.25">
      <c r="A1942" s="159" t="str">
        <f t="shared" si="91"/>
        <v>LB-Berkeley and Albany-Antioch and Pittsburg-High school</v>
      </c>
      <c r="B1942">
        <v>19</v>
      </c>
      <c r="C1942" t="str">
        <f t="shared" si="92"/>
        <v>Berkeley and Albany</v>
      </c>
      <c r="D1942">
        <v>24</v>
      </c>
      <c r="E1942" t="str">
        <f t="shared" si="92"/>
        <v>Antioch and Pittsburg</v>
      </c>
      <c r="F1942" t="s">
        <v>326</v>
      </c>
      <c r="G1942">
        <f t="shared" si="90"/>
        <v>3</v>
      </c>
      <c r="H1942" t="s">
        <v>359</v>
      </c>
      <c r="I1942" t="s">
        <v>191</v>
      </c>
      <c r="J1942">
        <v>1</v>
      </c>
      <c r="K1942">
        <v>75.575262543757304</v>
      </c>
    </row>
    <row r="1943" spans="1:11" x14ac:dyDescent="0.25">
      <c r="A1943" s="159" t="str">
        <f t="shared" si="91"/>
        <v>HR-Berkeley and Albany-Antioch and Pittsburg-Social recreation</v>
      </c>
      <c r="B1943">
        <v>19</v>
      </c>
      <c r="C1943" t="str">
        <f t="shared" si="92"/>
        <v>Berkeley and Albany</v>
      </c>
      <c r="D1943">
        <v>24</v>
      </c>
      <c r="E1943" t="str">
        <f t="shared" si="92"/>
        <v>Antioch and Pittsburg</v>
      </c>
      <c r="F1943" t="s">
        <v>324</v>
      </c>
      <c r="G1943">
        <f t="shared" si="90"/>
        <v>5</v>
      </c>
      <c r="H1943" t="s">
        <v>124</v>
      </c>
      <c r="I1943" t="s">
        <v>188</v>
      </c>
      <c r="J1943">
        <v>1</v>
      </c>
      <c r="K1943">
        <v>95.822099447513807</v>
      </c>
    </row>
    <row r="1944" spans="1:11" x14ac:dyDescent="0.25">
      <c r="A1944" s="159" t="str">
        <f t="shared" si="91"/>
        <v>HR-Berkeley and Albany-Antioch and Pittsburg-Work</v>
      </c>
      <c r="B1944">
        <v>19</v>
      </c>
      <c r="C1944" t="str">
        <f t="shared" si="92"/>
        <v>Berkeley and Albany</v>
      </c>
      <c r="D1944">
        <v>24</v>
      </c>
      <c r="E1944" t="str">
        <f t="shared" si="92"/>
        <v>Antioch and Pittsburg</v>
      </c>
      <c r="F1944" t="s">
        <v>30</v>
      </c>
      <c r="G1944">
        <f t="shared" si="90"/>
        <v>1</v>
      </c>
      <c r="H1944" t="s">
        <v>124</v>
      </c>
      <c r="I1944" t="s">
        <v>188</v>
      </c>
      <c r="J1944">
        <v>1</v>
      </c>
      <c r="K1944">
        <v>95.822099447513807</v>
      </c>
    </row>
    <row r="1945" spans="1:11" x14ac:dyDescent="0.25">
      <c r="A1945" s="159" t="str">
        <f t="shared" si="91"/>
        <v>LB-Berkeley and Albany-Antioch and Pittsburg-Work</v>
      </c>
      <c r="B1945">
        <v>19</v>
      </c>
      <c r="C1945" t="str">
        <f t="shared" si="92"/>
        <v>Berkeley and Albany</v>
      </c>
      <c r="D1945">
        <v>24</v>
      </c>
      <c r="E1945" t="str">
        <f t="shared" si="92"/>
        <v>Antioch and Pittsburg</v>
      </c>
      <c r="F1945" t="s">
        <v>30</v>
      </c>
      <c r="G1945">
        <f t="shared" si="90"/>
        <v>1</v>
      </c>
      <c r="H1945" t="s">
        <v>359</v>
      </c>
      <c r="I1945" t="s">
        <v>191</v>
      </c>
      <c r="J1945">
        <v>1</v>
      </c>
      <c r="K1945">
        <v>75.575262543757304</v>
      </c>
    </row>
    <row r="1946" spans="1:11" x14ac:dyDescent="0.25">
      <c r="A1946" s="159" t="str">
        <f t="shared" si="91"/>
        <v>LB-Berkeley and Albany-Vallejo and Benicia-Shopping</v>
      </c>
      <c r="B1946">
        <v>19</v>
      </c>
      <c r="C1946" t="str">
        <f t="shared" si="92"/>
        <v>Berkeley and Albany</v>
      </c>
      <c r="D1946">
        <v>25</v>
      </c>
      <c r="E1946" t="str">
        <f t="shared" si="92"/>
        <v>Vallejo and Benicia</v>
      </c>
      <c r="F1946" t="s">
        <v>106</v>
      </c>
      <c r="G1946">
        <f t="shared" si="90"/>
        <v>4</v>
      </c>
      <c r="H1946" t="s">
        <v>359</v>
      </c>
      <c r="I1946" t="s">
        <v>191</v>
      </c>
      <c r="J1946">
        <v>1</v>
      </c>
      <c r="K1946">
        <v>270.93214285714299</v>
      </c>
    </row>
    <row r="1947" spans="1:11" x14ac:dyDescent="0.25">
      <c r="A1947" s="159" t="str">
        <f t="shared" si="91"/>
        <v>CR-Berkeley and Albany-Santa Rosa and Sebastopol-Social recreation</v>
      </c>
      <c r="B1947">
        <v>19</v>
      </c>
      <c r="C1947" t="str">
        <f t="shared" si="92"/>
        <v>Berkeley and Albany</v>
      </c>
      <c r="D1947">
        <v>30</v>
      </c>
      <c r="E1947" t="str">
        <f t="shared" si="92"/>
        <v>Santa Rosa and Sebastopol</v>
      </c>
      <c r="F1947" t="s">
        <v>324</v>
      </c>
      <c r="G1947">
        <f t="shared" si="90"/>
        <v>5</v>
      </c>
      <c r="H1947" t="s">
        <v>125</v>
      </c>
      <c r="I1947" t="s">
        <v>178</v>
      </c>
      <c r="J1947">
        <v>1</v>
      </c>
      <c r="K1947">
        <v>7.7247191011235996</v>
      </c>
    </row>
    <row r="1948" spans="1:11" x14ac:dyDescent="0.25">
      <c r="A1948" s="159" t="str">
        <f t="shared" si="91"/>
        <v>LB-Berkeley and Albany-San Rafael-Work</v>
      </c>
      <c r="B1948">
        <v>19</v>
      </c>
      <c r="C1948" t="str">
        <f t="shared" si="92"/>
        <v>Berkeley and Albany</v>
      </c>
      <c r="D1948">
        <v>33</v>
      </c>
      <c r="E1948" t="str">
        <f t="shared" si="92"/>
        <v>San Rafael</v>
      </c>
      <c r="F1948" t="s">
        <v>30</v>
      </c>
      <c r="G1948">
        <f t="shared" si="90"/>
        <v>1</v>
      </c>
      <c r="H1948" t="s">
        <v>359</v>
      </c>
      <c r="I1948" t="s">
        <v>191</v>
      </c>
      <c r="J1948">
        <v>1</v>
      </c>
      <c r="K1948">
        <v>19.725941422594101</v>
      </c>
    </row>
    <row r="1949" spans="1:11" x14ac:dyDescent="0.25">
      <c r="A1949" s="159" t="str">
        <f t="shared" si="91"/>
        <v>HR-Richmond and El Cerrito-Greater Downtown San Francisco-High school</v>
      </c>
      <c r="B1949">
        <v>20</v>
      </c>
      <c r="C1949" t="str">
        <f t="shared" si="92"/>
        <v>Richmond and El Cerrito</v>
      </c>
      <c r="D1949">
        <v>1</v>
      </c>
      <c r="E1949" t="str">
        <f t="shared" si="92"/>
        <v>Greater Downtown San Francisco</v>
      </c>
      <c r="F1949" t="s">
        <v>326</v>
      </c>
      <c r="G1949">
        <f t="shared" si="90"/>
        <v>3</v>
      </c>
      <c r="H1949" t="s">
        <v>124</v>
      </c>
      <c r="I1949" t="s">
        <v>188</v>
      </c>
      <c r="J1949">
        <v>1</v>
      </c>
      <c r="K1949">
        <v>95.822099447513807</v>
      </c>
    </row>
    <row r="1950" spans="1:11" x14ac:dyDescent="0.25">
      <c r="A1950" s="159" t="str">
        <f t="shared" si="91"/>
        <v>EB-Richmond and El Cerrito-Greater Downtown San Francisco-Missing</v>
      </c>
      <c r="B1950">
        <v>20</v>
      </c>
      <c r="C1950" t="str">
        <f t="shared" si="92"/>
        <v>Richmond and El Cerrito</v>
      </c>
      <c r="D1950">
        <v>1</v>
      </c>
      <c r="E1950" t="str">
        <f t="shared" si="92"/>
        <v>Greater Downtown San Francisco</v>
      </c>
      <c r="F1950" t="s">
        <v>327</v>
      </c>
      <c r="G1950">
        <f t="shared" si="90"/>
        <v>0</v>
      </c>
      <c r="H1950" t="s">
        <v>123</v>
      </c>
      <c r="I1950" t="s">
        <v>182</v>
      </c>
      <c r="J1950">
        <v>1</v>
      </c>
      <c r="K1950">
        <v>7.3684210526315796</v>
      </c>
    </row>
    <row r="1951" spans="1:11" x14ac:dyDescent="0.25">
      <c r="A1951" s="159" t="str">
        <f t="shared" si="91"/>
        <v>HR-Richmond and El Cerrito-Greater Downtown San Francisco-Missing</v>
      </c>
      <c r="B1951">
        <v>20</v>
      </c>
      <c r="C1951" t="str">
        <f t="shared" si="92"/>
        <v>Richmond and El Cerrito</v>
      </c>
      <c r="D1951">
        <v>1</v>
      </c>
      <c r="E1951" t="str">
        <f t="shared" si="92"/>
        <v>Greater Downtown San Francisco</v>
      </c>
      <c r="F1951" t="s">
        <v>327</v>
      </c>
      <c r="G1951">
        <f t="shared" si="90"/>
        <v>0</v>
      </c>
      <c r="H1951" t="s">
        <v>124</v>
      </c>
      <c r="I1951" t="s">
        <v>188</v>
      </c>
      <c r="J1951">
        <v>1</v>
      </c>
      <c r="K1951">
        <v>95.822099447513807</v>
      </c>
    </row>
    <row r="1952" spans="1:11" x14ac:dyDescent="0.25">
      <c r="A1952" s="159" t="str">
        <f t="shared" si="91"/>
        <v>EB-Richmond and El Cerrito-Greater Downtown San Francisco-Other maintenance</v>
      </c>
      <c r="B1952">
        <v>20</v>
      </c>
      <c r="C1952" t="str">
        <f t="shared" si="92"/>
        <v>Richmond and El Cerrito</v>
      </c>
      <c r="D1952">
        <v>1</v>
      </c>
      <c r="E1952" t="str">
        <f t="shared" si="92"/>
        <v>Greater Downtown San Francisco</v>
      </c>
      <c r="F1952" t="s">
        <v>325</v>
      </c>
      <c r="G1952">
        <f t="shared" si="90"/>
        <v>4</v>
      </c>
      <c r="H1952" t="s">
        <v>123</v>
      </c>
      <c r="I1952" t="s">
        <v>182</v>
      </c>
      <c r="J1952">
        <v>2</v>
      </c>
      <c r="K1952">
        <v>14.736842105263101</v>
      </c>
    </row>
    <row r="1953" spans="1:11" x14ac:dyDescent="0.25">
      <c r="A1953" s="159" t="str">
        <f t="shared" si="91"/>
        <v>HR-Richmond and El Cerrito-Greater Downtown San Francisco-Other maintenance</v>
      </c>
      <c r="B1953">
        <v>20</v>
      </c>
      <c r="C1953" t="str">
        <f t="shared" si="92"/>
        <v>Richmond and El Cerrito</v>
      </c>
      <c r="D1953">
        <v>1</v>
      </c>
      <c r="E1953" t="str">
        <f t="shared" si="92"/>
        <v>Greater Downtown San Francisco</v>
      </c>
      <c r="F1953" t="s">
        <v>325</v>
      </c>
      <c r="G1953">
        <f t="shared" si="90"/>
        <v>4</v>
      </c>
      <c r="H1953" t="s">
        <v>124</v>
      </c>
      <c r="I1953" t="s">
        <v>188</v>
      </c>
      <c r="J1953">
        <v>1</v>
      </c>
      <c r="K1953">
        <v>95.822099447513807</v>
      </c>
    </row>
    <row r="1954" spans="1:11" x14ac:dyDescent="0.25">
      <c r="A1954" s="159" t="str">
        <f t="shared" si="91"/>
        <v>EB-Richmond and El Cerrito-Greater Downtown San Francisco-Social recreation</v>
      </c>
      <c r="B1954">
        <v>20</v>
      </c>
      <c r="C1954" t="str">
        <f t="shared" si="92"/>
        <v>Richmond and El Cerrito</v>
      </c>
      <c r="D1954">
        <v>1</v>
      </c>
      <c r="E1954" t="str">
        <f t="shared" si="92"/>
        <v>Greater Downtown San Francisco</v>
      </c>
      <c r="F1954" t="s">
        <v>324</v>
      </c>
      <c r="G1954">
        <f t="shared" si="90"/>
        <v>5</v>
      </c>
      <c r="H1954" t="s">
        <v>123</v>
      </c>
      <c r="I1954" t="s">
        <v>182</v>
      </c>
      <c r="J1954">
        <v>1</v>
      </c>
      <c r="K1954">
        <v>7.3684210526315796</v>
      </c>
    </row>
    <row r="1955" spans="1:11" x14ac:dyDescent="0.25">
      <c r="A1955" s="159" t="str">
        <f t="shared" si="91"/>
        <v>FR-Richmond and El Cerrito-Greater Downtown San Francisco-Social recreation</v>
      </c>
      <c r="B1955">
        <v>20</v>
      </c>
      <c r="C1955" t="str">
        <f t="shared" si="92"/>
        <v>Richmond and El Cerrito</v>
      </c>
      <c r="D1955">
        <v>1</v>
      </c>
      <c r="E1955" t="str">
        <f t="shared" si="92"/>
        <v>Greater Downtown San Francisco</v>
      </c>
      <c r="F1955" t="s">
        <v>324</v>
      </c>
      <c r="G1955">
        <f t="shared" si="90"/>
        <v>5</v>
      </c>
      <c r="H1955" t="s">
        <v>360</v>
      </c>
      <c r="I1955" t="s">
        <v>185</v>
      </c>
      <c r="J1955">
        <v>6</v>
      </c>
      <c r="K1955">
        <v>89.432466361938793</v>
      </c>
    </row>
    <row r="1956" spans="1:11" x14ac:dyDescent="0.25">
      <c r="A1956" s="159" t="str">
        <f t="shared" si="91"/>
        <v>HR-Richmond and El Cerrito-Greater Downtown San Francisco-Social recreation</v>
      </c>
      <c r="B1956">
        <v>20</v>
      </c>
      <c r="C1956" t="str">
        <f t="shared" si="92"/>
        <v>Richmond and El Cerrito</v>
      </c>
      <c r="D1956">
        <v>1</v>
      </c>
      <c r="E1956" t="str">
        <f t="shared" si="92"/>
        <v>Greater Downtown San Francisco</v>
      </c>
      <c r="F1956" t="s">
        <v>324</v>
      </c>
      <c r="G1956">
        <f t="shared" si="90"/>
        <v>5</v>
      </c>
      <c r="H1956" t="s">
        <v>124</v>
      </c>
      <c r="I1956" t="s">
        <v>188</v>
      </c>
      <c r="J1956">
        <v>1</v>
      </c>
      <c r="K1956">
        <v>195.51395348837201</v>
      </c>
    </row>
    <row r="1957" spans="1:11" x14ac:dyDescent="0.25">
      <c r="A1957" s="159" t="str">
        <f t="shared" si="91"/>
        <v>LB-Richmond and El Cerrito-Greater Downtown San Francisco-Social recreation</v>
      </c>
      <c r="B1957">
        <v>20</v>
      </c>
      <c r="C1957" t="str">
        <f t="shared" si="92"/>
        <v>Richmond and El Cerrito</v>
      </c>
      <c r="D1957">
        <v>1</v>
      </c>
      <c r="E1957" t="str">
        <f t="shared" si="92"/>
        <v>Greater Downtown San Francisco</v>
      </c>
      <c r="F1957" t="s">
        <v>324</v>
      </c>
      <c r="G1957">
        <f t="shared" si="90"/>
        <v>5</v>
      </c>
      <c r="H1957" t="s">
        <v>359</v>
      </c>
      <c r="I1957" t="s">
        <v>191</v>
      </c>
      <c r="J1957">
        <v>1</v>
      </c>
      <c r="K1957">
        <v>75.575262543757304</v>
      </c>
    </row>
    <row r="1958" spans="1:11" x14ac:dyDescent="0.25">
      <c r="A1958" s="159" t="str">
        <f t="shared" si="91"/>
        <v>EB-Richmond and El Cerrito-Greater Downtown San Francisco-Work</v>
      </c>
      <c r="B1958">
        <v>20</v>
      </c>
      <c r="C1958" t="str">
        <f t="shared" si="92"/>
        <v>Richmond and El Cerrito</v>
      </c>
      <c r="D1958">
        <v>1</v>
      </c>
      <c r="E1958" t="str">
        <f t="shared" si="92"/>
        <v>Greater Downtown San Francisco</v>
      </c>
      <c r="F1958" t="s">
        <v>30</v>
      </c>
      <c r="G1958">
        <f t="shared" si="90"/>
        <v>1</v>
      </c>
      <c r="H1958" t="s">
        <v>123</v>
      </c>
      <c r="I1958" t="s">
        <v>182</v>
      </c>
      <c r="J1958">
        <v>30</v>
      </c>
      <c r="K1958">
        <v>221.052631578947</v>
      </c>
    </row>
    <row r="1959" spans="1:11" x14ac:dyDescent="0.25">
      <c r="A1959" s="159" t="str">
        <f t="shared" si="91"/>
        <v>FR-Richmond and El Cerrito-Greater Downtown San Francisco-Work</v>
      </c>
      <c r="B1959">
        <v>20</v>
      </c>
      <c r="C1959" t="str">
        <f t="shared" si="92"/>
        <v>Richmond and El Cerrito</v>
      </c>
      <c r="D1959">
        <v>1</v>
      </c>
      <c r="E1959" t="str">
        <f t="shared" si="92"/>
        <v>Greater Downtown San Francisco</v>
      </c>
      <c r="F1959" t="s">
        <v>30</v>
      </c>
      <c r="G1959">
        <f t="shared" si="90"/>
        <v>1</v>
      </c>
      <c r="H1959" t="s">
        <v>360</v>
      </c>
      <c r="I1959" t="s">
        <v>185</v>
      </c>
      <c r="J1959">
        <v>5</v>
      </c>
      <c r="K1959">
        <v>58.596938775509997</v>
      </c>
    </row>
    <row r="1960" spans="1:11" x14ac:dyDescent="0.25">
      <c r="A1960" s="159" t="str">
        <f t="shared" si="91"/>
        <v>HR-Richmond and El Cerrito-Greater Downtown San Francisco-Work</v>
      </c>
      <c r="B1960">
        <v>20</v>
      </c>
      <c r="C1960" t="str">
        <f t="shared" si="92"/>
        <v>Richmond and El Cerrito</v>
      </c>
      <c r="D1960">
        <v>1</v>
      </c>
      <c r="E1960" t="str">
        <f t="shared" si="92"/>
        <v>Greater Downtown San Francisco</v>
      </c>
      <c r="F1960" t="s">
        <v>30</v>
      </c>
      <c r="G1960">
        <f t="shared" si="90"/>
        <v>1</v>
      </c>
      <c r="H1960" t="s">
        <v>124</v>
      </c>
      <c r="I1960" t="s">
        <v>188</v>
      </c>
      <c r="J1960">
        <v>12</v>
      </c>
      <c r="K1960">
        <v>1448.94075549274</v>
      </c>
    </row>
    <row r="1961" spans="1:11" x14ac:dyDescent="0.25">
      <c r="A1961" s="159" t="str">
        <f t="shared" si="91"/>
        <v>LB-Richmond and El Cerrito-Greater Downtown San Francisco-Work</v>
      </c>
      <c r="B1961">
        <v>20</v>
      </c>
      <c r="C1961" t="str">
        <f t="shared" si="92"/>
        <v>Richmond and El Cerrito</v>
      </c>
      <c r="D1961">
        <v>1</v>
      </c>
      <c r="E1961" t="str">
        <f t="shared" si="92"/>
        <v>Greater Downtown San Francisco</v>
      </c>
      <c r="F1961" t="s">
        <v>30</v>
      </c>
      <c r="G1961">
        <f t="shared" si="90"/>
        <v>1</v>
      </c>
      <c r="H1961" t="s">
        <v>359</v>
      </c>
      <c r="I1961" t="s">
        <v>191</v>
      </c>
      <c r="J1961">
        <v>1</v>
      </c>
      <c r="K1961">
        <v>7.3684210526315796</v>
      </c>
    </row>
    <row r="1962" spans="1:11" x14ac:dyDescent="0.25">
      <c r="A1962" s="159" t="str">
        <f t="shared" si="91"/>
        <v>EB-Richmond and El Cerrito-San Francisco Richmond District-High school</v>
      </c>
      <c r="B1962">
        <v>20</v>
      </c>
      <c r="C1962" t="str">
        <f t="shared" si="92"/>
        <v>Richmond and El Cerrito</v>
      </c>
      <c r="D1962">
        <v>2</v>
      </c>
      <c r="E1962" t="str">
        <f t="shared" si="92"/>
        <v>San Francisco Richmond District</v>
      </c>
      <c r="F1962" t="s">
        <v>326</v>
      </c>
      <c r="G1962">
        <f t="shared" si="90"/>
        <v>3</v>
      </c>
      <c r="H1962" t="s">
        <v>123</v>
      </c>
      <c r="I1962" t="s">
        <v>182</v>
      </c>
      <c r="J1962">
        <v>1</v>
      </c>
      <c r="K1962">
        <v>7.3684210526315796</v>
      </c>
    </row>
    <row r="1963" spans="1:11" x14ac:dyDescent="0.25">
      <c r="A1963" s="159" t="str">
        <f t="shared" si="91"/>
        <v>EB-Richmond and El Cerrito-San Francisco Richmond District-Work</v>
      </c>
      <c r="B1963">
        <v>20</v>
      </c>
      <c r="C1963" t="str">
        <f t="shared" si="92"/>
        <v>Richmond and El Cerrito</v>
      </c>
      <c r="D1963">
        <v>2</v>
      </c>
      <c r="E1963" t="str">
        <f t="shared" si="92"/>
        <v>San Francisco Richmond District</v>
      </c>
      <c r="F1963" t="s">
        <v>30</v>
      </c>
      <c r="G1963">
        <f t="shared" si="90"/>
        <v>1</v>
      </c>
      <c r="H1963" t="s">
        <v>123</v>
      </c>
      <c r="I1963" t="s">
        <v>182</v>
      </c>
      <c r="J1963">
        <v>1</v>
      </c>
      <c r="K1963">
        <v>7.3684210526315796</v>
      </c>
    </row>
    <row r="1964" spans="1:11" x14ac:dyDescent="0.25">
      <c r="A1964" s="159" t="str">
        <f t="shared" si="91"/>
        <v>FR-Richmond and El Cerrito-San Francisco Richmond District-Work</v>
      </c>
      <c r="B1964">
        <v>20</v>
      </c>
      <c r="C1964" t="str">
        <f t="shared" si="92"/>
        <v>Richmond and El Cerrito</v>
      </c>
      <c r="D1964">
        <v>2</v>
      </c>
      <c r="E1964" t="str">
        <f t="shared" si="92"/>
        <v>San Francisco Richmond District</v>
      </c>
      <c r="F1964" t="s">
        <v>30</v>
      </c>
      <c r="G1964">
        <f t="shared" si="90"/>
        <v>1</v>
      </c>
      <c r="H1964" t="s">
        <v>360</v>
      </c>
      <c r="I1964" t="s">
        <v>185</v>
      </c>
      <c r="J1964">
        <v>3</v>
      </c>
      <c r="K1964">
        <v>35.158163265306001</v>
      </c>
    </row>
    <row r="1965" spans="1:11" x14ac:dyDescent="0.25">
      <c r="A1965" s="159" t="str">
        <f t="shared" si="91"/>
        <v>HR-Richmond and El Cerrito-San Francisco Richmond District-Work</v>
      </c>
      <c r="B1965">
        <v>20</v>
      </c>
      <c r="C1965" t="str">
        <f t="shared" si="92"/>
        <v>Richmond and El Cerrito</v>
      </c>
      <c r="D1965">
        <v>2</v>
      </c>
      <c r="E1965" t="str">
        <f t="shared" si="92"/>
        <v>San Francisco Richmond District</v>
      </c>
      <c r="F1965" t="s">
        <v>30</v>
      </c>
      <c r="G1965">
        <f t="shared" si="90"/>
        <v>1</v>
      </c>
      <c r="H1965" t="s">
        <v>124</v>
      </c>
      <c r="I1965" t="s">
        <v>188</v>
      </c>
      <c r="J1965">
        <v>3</v>
      </c>
      <c r="K1965">
        <v>387.158152383399</v>
      </c>
    </row>
    <row r="1966" spans="1:11" x14ac:dyDescent="0.25">
      <c r="A1966" s="159" t="str">
        <f t="shared" si="91"/>
        <v>LB-Richmond and El Cerrito-San Francisco Richmond District-Work</v>
      </c>
      <c r="B1966">
        <v>20</v>
      </c>
      <c r="C1966" t="str">
        <f t="shared" si="92"/>
        <v>Richmond and El Cerrito</v>
      </c>
      <c r="D1966">
        <v>2</v>
      </c>
      <c r="E1966" t="str">
        <f t="shared" si="92"/>
        <v>San Francisco Richmond District</v>
      </c>
      <c r="F1966" t="s">
        <v>30</v>
      </c>
      <c r="G1966">
        <f t="shared" si="90"/>
        <v>1</v>
      </c>
      <c r="H1966" t="s">
        <v>359</v>
      </c>
      <c r="I1966" t="s">
        <v>191</v>
      </c>
      <c r="J1966">
        <v>1</v>
      </c>
      <c r="K1966">
        <v>286.12835472578797</v>
      </c>
    </row>
    <row r="1967" spans="1:11" x14ac:dyDescent="0.25">
      <c r="A1967" s="159" t="str">
        <f t="shared" si="91"/>
        <v>FR-Richmond and El Cerrito-San Francisco Mission District-Missing</v>
      </c>
      <c r="B1967">
        <v>20</v>
      </c>
      <c r="C1967" t="str">
        <f t="shared" si="92"/>
        <v>Richmond and El Cerrito</v>
      </c>
      <c r="D1967">
        <v>3</v>
      </c>
      <c r="E1967" t="str">
        <f t="shared" si="92"/>
        <v>San Francisco Mission District</v>
      </c>
      <c r="F1967" t="s">
        <v>327</v>
      </c>
      <c r="G1967">
        <f t="shared" si="90"/>
        <v>0</v>
      </c>
      <c r="H1967" t="s">
        <v>360</v>
      </c>
      <c r="I1967" t="s">
        <v>185</v>
      </c>
      <c r="J1967">
        <v>3</v>
      </c>
      <c r="K1967">
        <v>44.716233180969397</v>
      </c>
    </row>
    <row r="1968" spans="1:11" x14ac:dyDescent="0.25">
      <c r="A1968" s="159" t="str">
        <f t="shared" si="91"/>
        <v>HR-Richmond and El Cerrito-San Francisco Mission District-Other maintenance</v>
      </c>
      <c r="B1968">
        <v>20</v>
      </c>
      <c r="C1968" t="str">
        <f t="shared" si="92"/>
        <v>Richmond and El Cerrito</v>
      </c>
      <c r="D1968">
        <v>3</v>
      </c>
      <c r="E1968" t="str">
        <f t="shared" si="92"/>
        <v>San Francisco Mission District</v>
      </c>
      <c r="F1968" t="s">
        <v>325</v>
      </c>
      <c r="G1968">
        <f t="shared" si="90"/>
        <v>4</v>
      </c>
      <c r="H1968" t="s">
        <v>124</v>
      </c>
      <c r="I1968" t="s">
        <v>188</v>
      </c>
      <c r="J1968">
        <v>2</v>
      </c>
      <c r="K1968">
        <v>191.64419889502699</v>
      </c>
    </row>
    <row r="1969" spans="1:11" x14ac:dyDescent="0.25">
      <c r="A1969" s="159" t="str">
        <f t="shared" si="91"/>
        <v>FR-Richmond and El Cerrito-San Francisco Mission District-Social recreation</v>
      </c>
      <c r="B1969">
        <v>20</v>
      </c>
      <c r="C1969" t="str">
        <f t="shared" si="92"/>
        <v>Richmond and El Cerrito</v>
      </c>
      <c r="D1969">
        <v>3</v>
      </c>
      <c r="E1969" t="str">
        <f t="shared" si="92"/>
        <v>San Francisco Mission District</v>
      </c>
      <c r="F1969" t="s">
        <v>324</v>
      </c>
      <c r="G1969">
        <f t="shared" si="90"/>
        <v>5</v>
      </c>
      <c r="H1969" t="s">
        <v>360</v>
      </c>
      <c r="I1969" t="s">
        <v>185</v>
      </c>
      <c r="J1969">
        <v>1</v>
      </c>
      <c r="K1969">
        <v>16.498422712933699</v>
      </c>
    </row>
    <row r="1970" spans="1:11" x14ac:dyDescent="0.25">
      <c r="A1970" s="159" t="str">
        <f t="shared" si="91"/>
        <v>HR-Richmond and El Cerrito-San Francisco Mission District-Social recreation</v>
      </c>
      <c r="B1970">
        <v>20</v>
      </c>
      <c r="C1970" t="str">
        <f t="shared" si="92"/>
        <v>Richmond and El Cerrito</v>
      </c>
      <c r="D1970">
        <v>3</v>
      </c>
      <c r="E1970" t="str">
        <f t="shared" si="92"/>
        <v>San Francisco Mission District</v>
      </c>
      <c r="F1970" t="s">
        <v>324</v>
      </c>
      <c r="G1970">
        <f t="shared" si="90"/>
        <v>5</v>
      </c>
      <c r="H1970" t="s">
        <v>124</v>
      </c>
      <c r="I1970" t="s">
        <v>188</v>
      </c>
      <c r="J1970">
        <v>3</v>
      </c>
      <c r="K1970">
        <v>387.158152383399</v>
      </c>
    </row>
    <row r="1971" spans="1:11" x14ac:dyDescent="0.25">
      <c r="A1971" s="159" t="str">
        <f t="shared" si="91"/>
        <v>EB-Richmond and El Cerrito-San Francisco Mission District-Work</v>
      </c>
      <c r="B1971">
        <v>20</v>
      </c>
      <c r="C1971" t="str">
        <f t="shared" si="92"/>
        <v>Richmond and El Cerrito</v>
      </c>
      <c r="D1971">
        <v>3</v>
      </c>
      <c r="E1971" t="str">
        <f t="shared" si="92"/>
        <v>San Francisco Mission District</v>
      </c>
      <c r="F1971" t="s">
        <v>30</v>
      </c>
      <c r="G1971">
        <f t="shared" si="90"/>
        <v>1</v>
      </c>
      <c r="H1971" t="s">
        <v>123</v>
      </c>
      <c r="I1971" t="s">
        <v>182</v>
      </c>
      <c r="J1971">
        <v>7</v>
      </c>
      <c r="K1971">
        <v>51.578947368420998</v>
      </c>
    </row>
    <row r="1972" spans="1:11" x14ac:dyDescent="0.25">
      <c r="A1972" s="159" t="str">
        <f t="shared" si="91"/>
        <v>HR-Richmond and El Cerrito-San Francisco Mission District-Work</v>
      </c>
      <c r="B1972">
        <v>20</v>
      </c>
      <c r="C1972" t="str">
        <f t="shared" si="92"/>
        <v>Richmond and El Cerrito</v>
      </c>
      <c r="D1972">
        <v>3</v>
      </c>
      <c r="E1972" t="str">
        <f t="shared" si="92"/>
        <v>San Francisco Mission District</v>
      </c>
      <c r="F1972" t="s">
        <v>30</v>
      </c>
      <c r="G1972">
        <f t="shared" si="90"/>
        <v>1</v>
      </c>
      <c r="H1972" t="s">
        <v>124</v>
      </c>
      <c r="I1972" t="s">
        <v>188</v>
      </c>
      <c r="J1972">
        <v>3</v>
      </c>
      <c r="K1972">
        <v>387.158152383399</v>
      </c>
    </row>
    <row r="1973" spans="1:11" x14ac:dyDescent="0.25">
      <c r="A1973" s="159" t="str">
        <f t="shared" si="91"/>
        <v>LB-Richmond and El Cerrito-San Francisco Mission District-Work</v>
      </c>
      <c r="B1973">
        <v>20</v>
      </c>
      <c r="C1973" t="str">
        <f t="shared" si="92"/>
        <v>Richmond and El Cerrito</v>
      </c>
      <c r="D1973">
        <v>3</v>
      </c>
      <c r="E1973" t="str">
        <f t="shared" si="92"/>
        <v>San Francisco Mission District</v>
      </c>
      <c r="F1973" t="s">
        <v>30</v>
      </c>
      <c r="G1973">
        <f t="shared" si="90"/>
        <v>1</v>
      </c>
      <c r="H1973" t="s">
        <v>359</v>
      </c>
      <c r="I1973" t="s">
        <v>191</v>
      </c>
      <c r="J1973">
        <v>1</v>
      </c>
      <c r="K1973">
        <v>7.3684210526315796</v>
      </c>
    </row>
    <row r="1974" spans="1:11" x14ac:dyDescent="0.25">
      <c r="A1974" s="159" t="str">
        <f t="shared" si="91"/>
        <v>HR-Richmond and El Cerrito-San Francisco Sunset District-High school</v>
      </c>
      <c r="B1974">
        <v>20</v>
      </c>
      <c r="C1974" t="str">
        <f t="shared" si="92"/>
        <v>Richmond and El Cerrito</v>
      </c>
      <c r="D1974">
        <v>4</v>
      </c>
      <c r="E1974" t="str">
        <f t="shared" si="92"/>
        <v>San Francisco Sunset District</v>
      </c>
      <c r="F1974" t="s">
        <v>326</v>
      </c>
      <c r="G1974">
        <f t="shared" si="90"/>
        <v>3</v>
      </c>
      <c r="H1974" t="s">
        <v>124</v>
      </c>
      <c r="I1974" t="s">
        <v>188</v>
      </c>
      <c r="J1974">
        <v>3</v>
      </c>
      <c r="K1974">
        <v>287.46629834254099</v>
      </c>
    </row>
    <row r="1975" spans="1:11" x14ac:dyDescent="0.25">
      <c r="A1975" s="159" t="str">
        <f t="shared" si="91"/>
        <v>FR-Richmond and El Cerrito-San Francisco Sunset District-Work</v>
      </c>
      <c r="B1975">
        <v>20</v>
      </c>
      <c r="C1975" t="str">
        <f t="shared" si="92"/>
        <v>Richmond and El Cerrito</v>
      </c>
      <c r="D1975">
        <v>4</v>
      </c>
      <c r="E1975" t="str">
        <f t="shared" si="92"/>
        <v>San Francisco Sunset District</v>
      </c>
      <c r="F1975" t="s">
        <v>30</v>
      </c>
      <c r="G1975">
        <f t="shared" si="90"/>
        <v>1</v>
      </c>
      <c r="H1975" t="s">
        <v>360</v>
      </c>
      <c r="I1975" t="s">
        <v>185</v>
      </c>
      <c r="J1975">
        <v>1</v>
      </c>
      <c r="K1975">
        <v>11.719387755102</v>
      </c>
    </row>
    <row r="1976" spans="1:11" x14ac:dyDescent="0.25">
      <c r="A1976" s="159" t="str">
        <f t="shared" si="91"/>
        <v>LR-Richmond and El Cerrito-San Francisco Sunset District-Work</v>
      </c>
      <c r="B1976">
        <v>20</v>
      </c>
      <c r="C1976" t="str">
        <f t="shared" si="92"/>
        <v>Richmond and El Cerrito</v>
      </c>
      <c r="D1976">
        <v>4</v>
      </c>
      <c r="E1976" t="str">
        <f t="shared" si="92"/>
        <v>San Francisco Sunset District</v>
      </c>
      <c r="F1976" t="s">
        <v>30</v>
      </c>
      <c r="G1976">
        <f t="shared" si="90"/>
        <v>1</v>
      </c>
      <c r="H1976" t="s">
        <v>353</v>
      </c>
      <c r="I1976" t="s">
        <v>194</v>
      </c>
      <c r="J1976">
        <v>1</v>
      </c>
      <c r="K1976">
        <v>286.12835472578797</v>
      </c>
    </row>
    <row r="1977" spans="1:11" x14ac:dyDescent="0.25">
      <c r="A1977" s="159" t="str">
        <f t="shared" si="91"/>
        <v>HR-Richmond and El Cerrito-Daly City and San Bruno-High school</v>
      </c>
      <c r="B1977">
        <v>20</v>
      </c>
      <c r="C1977" t="str">
        <f t="shared" si="92"/>
        <v>Richmond and El Cerrito</v>
      </c>
      <c r="D1977">
        <v>5</v>
      </c>
      <c r="E1977" t="str">
        <f t="shared" si="92"/>
        <v>Daly City and San Bruno</v>
      </c>
      <c r="F1977" t="s">
        <v>326</v>
      </c>
      <c r="G1977">
        <f t="shared" si="90"/>
        <v>3</v>
      </c>
      <c r="H1977" t="s">
        <v>124</v>
      </c>
      <c r="I1977" t="s">
        <v>188</v>
      </c>
      <c r="J1977">
        <v>4</v>
      </c>
      <c r="K1977">
        <v>383.288397790055</v>
      </c>
    </row>
    <row r="1978" spans="1:11" x14ac:dyDescent="0.25">
      <c r="A1978" s="159" t="str">
        <f t="shared" si="91"/>
        <v>HR-Richmond and El Cerrito-Daly City and San Bruno-Other maintenance</v>
      </c>
      <c r="B1978">
        <v>20</v>
      </c>
      <c r="C1978" t="str">
        <f t="shared" si="92"/>
        <v>Richmond and El Cerrito</v>
      </c>
      <c r="D1978">
        <v>5</v>
      </c>
      <c r="E1978" t="str">
        <f t="shared" si="92"/>
        <v>Daly City and San Bruno</v>
      </c>
      <c r="F1978" t="s">
        <v>325</v>
      </c>
      <c r="G1978">
        <f t="shared" si="90"/>
        <v>4</v>
      </c>
      <c r="H1978" t="s">
        <v>124</v>
      </c>
      <c r="I1978" t="s">
        <v>188</v>
      </c>
      <c r="J1978">
        <v>1</v>
      </c>
      <c r="K1978">
        <v>95.822099447513807</v>
      </c>
    </row>
    <row r="1979" spans="1:11" x14ac:dyDescent="0.25">
      <c r="A1979" s="159" t="str">
        <f t="shared" si="91"/>
        <v>FR-Richmond and El Cerrito-Daly City and San Bruno-Social recreation</v>
      </c>
      <c r="B1979">
        <v>20</v>
      </c>
      <c r="C1979" t="str">
        <f t="shared" si="92"/>
        <v>Richmond and El Cerrito</v>
      </c>
      <c r="D1979">
        <v>5</v>
      </c>
      <c r="E1979" t="str">
        <f t="shared" si="92"/>
        <v>Daly City and San Bruno</v>
      </c>
      <c r="F1979" t="s">
        <v>324</v>
      </c>
      <c r="G1979">
        <f t="shared" si="90"/>
        <v>5</v>
      </c>
      <c r="H1979" t="s">
        <v>360</v>
      </c>
      <c r="I1979" t="s">
        <v>185</v>
      </c>
      <c r="J1979">
        <v>1</v>
      </c>
      <c r="K1979">
        <v>16.498422712933699</v>
      </c>
    </row>
    <row r="1980" spans="1:11" x14ac:dyDescent="0.25">
      <c r="A1980" s="159" t="str">
        <f t="shared" si="91"/>
        <v>HR-Richmond and El Cerrito-Daly City and San Bruno-Social recreation</v>
      </c>
      <c r="B1980">
        <v>20</v>
      </c>
      <c r="C1980" t="str">
        <f t="shared" si="92"/>
        <v>Richmond and El Cerrito</v>
      </c>
      <c r="D1980">
        <v>5</v>
      </c>
      <c r="E1980" t="str">
        <f t="shared" si="92"/>
        <v>Daly City and San Bruno</v>
      </c>
      <c r="F1980" t="s">
        <v>324</v>
      </c>
      <c r="G1980">
        <f t="shared" si="90"/>
        <v>5</v>
      </c>
      <c r="H1980" t="s">
        <v>124</v>
      </c>
      <c r="I1980" t="s">
        <v>188</v>
      </c>
      <c r="J1980">
        <v>1</v>
      </c>
      <c r="K1980">
        <v>195.51395348837201</v>
      </c>
    </row>
    <row r="1981" spans="1:11" x14ac:dyDescent="0.25">
      <c r="A1981" s="159" t="str">
        <f t="shared" si="91"/>
        <v>HR-Richmond and El Cerrito-Daly City and San Bruno-Work</v>
      </c>
      <c r="B1981">
        <v>20</v>
      </c>
      <c r="C1981" t="str">
        <f t="shared" si="92"/>
        <v>Richmond and El Cerrito</v>
      </c>
      <c r="D1981">
        <v>5</v>
      </c>
      <c r="E1981" t="str">
        <f t="shared" si="92"/>
        <v>Daly City and San Bruno</v>
      </c>
      <c r="F1981" t="s">
        <v>30</v>
      </c>
      <c r="G1981">
        <f t="shared" si="90"/>
        <v>1</v>
      </c>
      <c r="H1981" t="s">
        <v>124</v>
      </c>
      <c r="I1981" t="s">
        <v>188</v>
      </c>
      <c r="J1981">
        <v>6</v>
      </c>
      <c r="K1981">
        <v>574.93259668508199</v>
      </c>
    </row>
    <row r="1982" spans="1:11" x14ac:dyDescent="0.25">
      <c r="A1982" s="159" t="str">
        <f t="shared" si="91"/>
        <v>CR-Richmond and El Cerrito-Palo Alto and Los Altos-Other maintenance</v>
      </c>
      <c r="B1982">
        <v>20</v>
      </c>
      <c r="C1982" t="str">
        <f t="shared" si="92"/>
        <v>Richmond and El Cerrito</v>
      </c>
      <c r="D1982">
        <v>8</v>
      </c>
      <c r="E1982" t="str">
        <f t="shared" si="92"/>
        <v>Palo Alto and Los Altos</v>
      </c>
      <c r="F1982" t="s">
        <v>325</v>
      </c>
      <c r="G1982">
        <f t="shared" si="90"/>
        <v>4</v>
      </c>
      <c r="H1982" t="s">
        <v>125</v>
      </c>
      <c r="I1982" t="s">
        <v>178</v>
      </c>
      <c r="J1982">
        <v>1</v>
      </c>
      <c r="K1982">
        <v>23.4305084745763</v>
      </c>
    </row>
    <row r="1983" spans="1:11" x14ac:dyDescent="0.25">
      <c r="A1983" s="159" t="str">
        <f t="shared" si="91"/>
        <v>HR-Richmond and El Cerrito-Palo Alto and Los Altos-Work</v>
      </c>
      <c r="B1983">
        <v>20</v>
      </c>
      <c r="C1983" t="str">
        <f t="shared" si="92"/>
        <v>Richmond and El Cerrito</v>
      </c>
      <c r="D1983">
        <v>8</v>
      </c>
      <c r="E1983" t="str">
        <f t="shared" si="92"/>
        <v>Palo Alto and Los Altos</v>
      </c>
      <c r="F1983" t="s">
        <v>30</v>
      </c>
      <c r="G1983">
        <f t="shared" si="90"/>
        <v>1</v>
      </c>
      <c r="H1983" t="s">
        <v>124</v>
      </c>
      <c r="I1983" t="s">
        <v>188</v>
      </c>
      <c r="J1983">
        <v>1</v>
      </c>
      <c r="K1983">
        <v>95.822099447513807</v>
      </c>
    </row>
    <row r="1984" spans="1:11" x14ac:dyDescent="0.25">
      <c r="A1984" s="159" t="str">
        <f t="shared" si="91"/>
        <v>HR-Richmond and El Cerrito-Sunnyvale and Mountain View-Work</v>
      </c>
      <c r="B1984">
        <v>20</v>
      </c>
      <c r="C1984" t="str">
        <f t="shared" si="92"/>
        <v>Richmond and El Cerrito</v>
      </c>
      <c r="D1984">
        <v>9</v>
      </c>
      <c r="E1984" t="str">
        <f t="shared" si="92"/>
        <v>Sunnyvale and Mountain View</v>
      </c>
      <c r="F1984" t="s">
        <v>30</v>
      </c>
      <c r="G1984">
        <f t="shared" si="90"/>
        <v>1</v>
      </c>
      <c r="H1984" t="s">
        <v>124</v>
      </c>
      <c r="I1984" t="s">
        <v>188</v>
      </c>
      <c r="J1984">
        <v>1</v>
      </c>
      <c r="K1984">
        <v>95.822099447513807</v>
      </c>
    </row>
    <row r="1985" spans="1:11" x14ac:dyDescent="0.25">
      <c r="A1985" s="159" t="str">
        <f t="shared" si="91"/>
        <v>LB-Richmond and El Cerrito-Central San Jose-High school</v>
      </c>
      <c r="B1985">
        <v>20</v>
      </c>
      <c r="C1985" t="str">
        <f t="shared" si="92"/>
        <v>Richmond and El Cerrito</v>
      </c>
      <c r="D1985">
        <v>11</v>
      </c>
      <c r="E1985" t="str">
        <f t="shared" si="92"/>
        <v>Central San Jose</v>
      </c>
      <c r="F1985" t="s">
        <v>326</v>
      </c>
      <c r="G1985">
        <f t="shared" si="90"/>
        <v>3</v>
      </c>
      <c r="H1985" t="s">
        <v>359</v>
      </c>
      <c r="I1985" t="s">
        <v>191</v>
      </c>
      <c r="J1985">
        <v>1</v>
      </c>
      <c r="K1985">
        <v>286.12835472578797</v>
      </c>
    </row>
    <row r="1986" spans="1:11" x14ac:dyDescent="0.25">
      <c r="A1986" s="159" t="str">
        <f t="shared" si="91"/>
        <v>LB-Richmond and El Cerrito-Central San Jose-Work</v>
      </c>
      <c r="B1986">
        <v>20</v>
      </c>
      <c r="C1986" t="str">
        <f t="shared" si="92"/>
        <v>Richmond and El Cerrito</v>
      </c>
      <c r="D1986">
        <v>11</v>
      </c>
      <c r="E1986" t="str">
        <f t="shared" si="92"/>
        <v>Central San Jose</v>
      </c>
      <c r="F1986" t="s">
        <v>30</v>
      </c>
      <c r="G1986">
        <f t="shared" ref="G1986:G2049" si="93">VLOOKUP(F1986,$V$2:$X$10, 3,FALSE)</f>
        <v>1</v>
      </c>
      <c r="H1986" t="s">
        <v>359</v>
      </c>
      <c r="I1986" t="s">
        <v>191</v>
      </c>
      <c r="J1986">
        <v>1</v>
      </c>
      <c r="K1986">
        <v>62.646773074254</v>
      </c>
    </row>
    <row r="1987" spans="1:11" x14ac:dyDescent="0.25">
      <c r="A1987" s="159" t="str">
        <f t="shared" ref="A1987:A2050" si="94" xml:space="preserve"> CONCATENATE(I1987,"-",C1987, "-",E1987, "-",F1987,)</f>
        <v>EB-Richmond and El Cerrito-Livermore and Pleasanton-Work</v>
      </c>
      <c r="B1987">
        <v>20</v>
      </c>
      <c r="C1987" t="str">
        <f t="shared" ref="C1987:E2050" si="95">VLOOKUP(B1987,$S$2:$T$35,2,FALSE)</f>
        <v>Richmond and El Cerrito</v>
      </c>
      <c r="D1987">
        <v>15</v>
      </c>
      <c r="E1987" t="str">
        <f t="shared" si="95"/>
        <v>Livermore and Pleasanton</v>
      </c>
      <c r="F1987" t="s">
        <v>30</v>
      </c>
      <c r="G1987">
        <f t="shared" si="93"/>
        <v>1</v>
      </c>
      <c r="H1987" t="s">
        <v>123</v>
      </c>
      <c r="I1987" t="s">
        <v>182</v>
      </c>
      <c r="J1987">
        <v>1</v>
      </c>
      <c r="K1987">
        <v>7.3684210526315796</v>
      </c>
    </row>
    <row r="1988" spans="1:11" x14ac:dyDescent="0.25">
      <c r="A1988" s="159" t="str">
        <f t="shared" si="94"/>
        <v>LB-Richmond and El Cerrito-Fremont and Union City-Missing</v>
      </c>
      <c r="B1988">
        <v>20</v>
      </c>
      <c r="C1988" t="str">
        <f t="shared" si="95"/>
        <v>Richmond and El Cerrito</v>
      </c>
      <c r="D1988">
        <v>16</v>
      </c>
      <c r="E1988" t="str">
        <f t="shared" si="95"/>
        <v>Fremont and Union City</v>
      </c>
      <c r="F1988" t="s">
        <v>327</v>
      </c>
      <c r="G1988">
        <f t="shared" si="93"/>
        <v>0</v>
      </c>
      <c r="H1988" t="s">
        <v>359</v>
      </c>
      <c r="I1988" t="s">
        <v>191</v>
      </c>
      <c r="J1988">
        <v>1</v>
      </c>
      <c r="K1988">
        <v>270.93214285714299</v>
      </c>
    </row>
    <row r="1989" spans="1:11" x14ac:dyDescent="0.25">
      <c r="A1989" s="159" t="str">
        <f t="shared" si="94"/>
        <v>HR-Richmond and El Cerrito-Fremont and Union City-Social recreation</v>
      </c>
      <c r="B1989">
        <v>20</v>
      </c>
      <c r="C1989" t="str">
        <f t="shared" si="95"/>
        <v>Richmond and El Cerrito</v>
      </c>
      <c r="D1989">
        <v>16</v>
      </c>
      <c r="E1989" t="str">
        <f t="shared" si="95"/>
        <v>Fremont and Union City</v>
      </c>
      <c r="F1989" t="s">
        <v>324</v>
      </c>
      <c r="G1989">
        <f t="shared" si="93"/>
        <v>5</v>
      </c>
      <c r="H1989" t="s">
        <v>124</v>
      </c>
      <c r="I1989" t="s">
        <v>188</v>
      </c>
      <c r="J1989">
        <v>1</v>
      </c>
      <c r="K1989">
        <v>95.822099447513807</v>
      </c>
    </row>
    <row r="1990" spans="1:11" x14ac:dyDescent="0.25">
      <c r="A1990" s="159" t="str">
        <f t="shared" si="94"/>
        <v>HR-Richmond and El Cerrito-Fremont and Union City-Work</v>
      </c>
      <c r="B1990">
        <v>20</v>
      </c>
      <c r="C1990" t="str">
        <f t="shared" si="95"/>
        <v>Richmond and El Cerrito</v>
      </c>
      <c r="D1990">
        <v>16</v>
      </c>
      <c r="E1990" t="str">
        <f t="shared" si="95"/>
        <v>Fremont and Union City</v>
      </c>
      <c r="F1990" t="s">
        <v>30</v>
      </c>
      <c r="G1990">
        <f t="shared" si="93"/>
        <v>1</v>
      </c>
      <c r="H1990" t="s">
        <v>124</v>
      </c>
      <c r="I1990" t="s">
        <v>188</v>
      </c>
      <c r="J1990">
        <v>2</v>
      </c>
      <c r="K1990">
        <v>191.64419889502699</v>
      </c>
    </row>
    <row r="1991" spans="1:11" x14ac:dyDescent="0.25">
      <c r="A1991" s="159" t="str">
        <f t="shared" si="94"/>
        <v>HR-Richmond and El Cerrito-Hayward and San Leandro-High school</v>
      </c>
      <c r="B1991">
        <v>20</v>
      </c>
      <c r="C1991" t="str">
        <f t="shared" si="95"/>
        <v>Richmond and El Cerrito</v>
      </c>
      <c r="D1991">
        <v>17</v>
      </c>
      <c r="E1991" t="str">
        <f t="shared" si="95"/>
        <v>Hayward and San Leandro</v>
      </c>
      <c r="F1991" t="s">
        <v>326</v>
      </c>
      <c r="G1991">
        <f t="shared" si="93"/>
        <v>3</v>
      </c>
      <c r="H1991" t="s">
        <v>124</v>
      </c>
      <c r="I1991" t="s">
        <v>188</v>
      </c>
      <c r="J1991">
        <v>1</v>
      </c>
      <c r="K1991">
        <v>95.822099447513807</v>
      </c>
    </row>
    <row r="1992" spans="1:11" x14ac:dyDescent="0.25">
      <c r="A1992" s="159" t="str">
        <f t="shared" si="94"/>
        <v>LB-Richmond and El Cerrito-Hayward and San Leandro-Missing</v>
      </c>
      <c r="B1992">
        <v>20</v>
      </c>
      <c r="C1992" t="str">
        <f t="shared" si="95"/>
        <v>Richmond and El Cerrito</v>
      </c>
      <c r="D1992">
        <v>17</v>
      </c>
      <c r="E1992" t="str">
        <f t="shared" si="95"/>
        <v>Hayward and San Leandro</v>
      </c>
      <c r="F1992" t="s">
        <v>327</v>
      </c>
      <c r="G1992">
        <f t="shared" si="93"/>
        <v>0</v>
      </c>
      <c r="H1992" t="s">
        <v>359</v>
      </c>
      <c r="I1992" t="s">
        <v>191</v>
      </c>
      <c r="J1992">
        <v>1</v>
      </c>
      <c r="K1992">
        <v>75.575262543757304</v>
      </c>
    </row>
    <row r="1993" spans="1:11" x14ac:dyDescent="0.25">
      <c r="A1993" s="159" t="str">
        <f t="shared" si="94"/>
        <v>HR-Richmond and El Cerrito-Hayward and San Leandro-Social recreation</v>
      </c>
      <c r="B1993">
        <v>20</v>
      </c>
      <c r="C1993" t="str">
        <f t="shared" si="95"/>
        <v>Richmond and El Cerrito</v>
      </c>
      <c r="D1993">
        <v>17</v>
      </c>
      <c r="E1993" t="str">
        <f t="shared" si="95"/>
        <v>Hayward and San Leandro</v>
      </c>
      <c r="F1993" t="s">
        <v>324</v>
      </c>
      <c r="G1993">
        <f t="shared" si="93"/>
        <v>5</v>
      </c>
      <c r="H1993" t="s">
        <v>124</v>
      </c>
      <c r="I1993" t="s">
        <v>188</v>
      </c>
      <c r="J1993">
        <v>1</v>
      </c>
      <c r="K1993">
        <v>95.822099447513807</v>
      </c>
    </row>
    <row r="1994" spans="1:11" x14ac:dyDescent="0.25">
      <c r="A1994" s="159" t="str">
        <f t="shared" si="94"/>
        <v>EB-Richmond and El Cerrito-Hayward and San Leandro-Work</v>
      </c>
      <c r="B1994">
        <v>20</v>
      </c>
      <c r="C1994" t="str">
        <f t="shared" si="95"/>
        <v>Richmond and El Cerrito</v>
      </c>
      <c r="D1994">
        <v>17</v>
      </c>
      <c r="E1994" t="str">
        <f t="shared" si="95"/>
        <v>Hayward and San Leandro</v>
      </c>
      <c r="F1994" t="s">
        <v>30</v>
      </c>
      <c r="G1994">
        <f t="shared" si="93"/>
        <v>1</v>
      </c>
      <c r="H1994" t="s">
        <v>123</v>
      </c>
      <c r="I1994" t="s">
        <v>182</v>
      </c>
      <c r="J1994">
        <v>1</v>
      </c>
      <c r="K1994">
        <v>12.5833333333333</v>
      </c>
    </row>
    <row r="1995" spans="1:11" x14ac:dyDescent="0.25">
      <c r="A1995" s="159" t="str">
        <f t="shared" si="94"/>
        <v>HR-Richmond and El Cerrito-Hayward and San Leandro-Work</v>
      </c>
      <c r="B1995">
        <v>20</v>
      </c>
      <c r="C1995" t="str">
        <f t="shared" si="95"/>
        <v>Richmond and El Cerrito</v>
      </c>
      <c r="D1995">
        <v>17</v>
      </c>
      <c r="E1995" t="str">
        <f t="shared" si="95"/>
        <v>Hayward and San Leandro</v>
      </c>
      <c r="F1995" t="s">
        <v>30</v>
      </c>
      <c r="G1995">
        <f t="shared" si="93"/>
        <v>1</v>
      </c>
      <c r="H1995" t="s">
        <v>124</v>
      </c>
      <c r="I1995" t="s">
        <v>188</v>
      </c>
      <c r="J1995">
        <v>2</v>
      </c>
      <c r="K1995">
        <v>291.33605293588499</v>
      </c>
    </row>
    <row r="1996" spans="1:11" x14ac:dyDescent="0.25">
      <c r="A1996" s="159" t="str">
        <f t="shared" si="94"/>
        <v>LB-Richmond and El Cerrito-Hayward and San Leandro-Work</v>
      </c>
      <c r="B1996">
        <v>20</v>
      </c>
      <c r="C1996" t="str">
        <f t="shared" si="95"/>
        <v>Richmond and El Cerrito</v>
      </c>
      <c r="D1996">
        <v>17</v>
      </c>
      <c r="E1996" t="str">
        <f t="shared" si="95"/>
        <v>Hayward and San Leandro</v>
      </c>
      <c r="F1996" t="s">
        <v>30</v>
      </c>
      <c r="G1996">
        <f t="shared" si="93"/>
        <v>1</v>
      </c>
      <c r="H1996" t="s">
        <v>359</v>
      </c>
      <c r="I1996" t="s">
        <v>191</v>
      </c>
      <c r="J1996">
        <v>1</v>
      </c>
      <c r="K1996">
        <v>75.575262543757304</v>
      </c>
    </row>
    <row r="1997" spans="1:11" x14ac:dyDescent="0.25">
      <c r="A1997" s="159" t="str">
        <f t="shared" si="94"/>
        <v>HR-Richmond and El Cerrito-Oakland and Alameda-High school</v>
      </c>
      <c r="B1997">
        <v>20</v>
      </c>
      <c r="C1997" t="str">
        <f t="shared" si="95"/>
        <v>Richmond and El Cerrito</v>
      </c>
      <c r="D1997">
        <v>18</v>
      </c>
      <c r="E1997" t="str">
        <f t="shared" si="95"/>
        <v>Oakland and Alameda</v>
      </c>
      <c r="F1997" t="s">
        <v>326</v>
      </c>
      <c r="G1997">
        <f t="shared" si="93"/>
        <v>3</v>
      </c>
      <c r="H1997" t="s">
        <v>124</v>
      </c>
      <c r="I1997" t="s">
        <v>188</v>
      </c>
      <c r="J1997">
        <v>2</v>
      </c>
      <c r="K1997">
        <v>191.64419889502699</v>
      </c>
    </row>
    <row r="1998" spans="1:11" x14ac:dyDescent="0.25">
      <c r="A1998" s="159" t="str">
        <f t="shared" si="94"/>
        <v>HR-Richmond and El Cerrito-Oakland and Alameda-Missing</v>
      </c>
      <c r="B1998">
        <v>20</v>
      </c>
      <c r="C1998" t="str">
        <f t="shared" si="95"/>
        <v>Richmond and El Cerrito</v>
      </c>
      <c r="D1998">
        <v>18</v>
      </c>
      <c r="E1998" t="str">
        <f t="shared" si="95"/>
        <v>Oakland and Alameda</v>
      </c>
      <c r="F1998" t="s">
        <v>327</v>
      </c>
      <c r="G1998">
        <f t="shared" si="93"/>
        <v>0</v>
      </c>
      <c r="H1998" t="s">
        <v>124</v>
      </c>
      <c r="I1998" t="s">
        <v>188</v>
      </c>
      <c r="J1998">
        <v>1</v>
      </c>
      <c r="K1998">
        <v>95.822099447513807</v>
      </c>
    </row>
    <row r="1999" spans="1:11" x14ac:dyDescent="0.25">
      <c r="A1999" s="159" t="str">
        <f t="shared" si="94"/>
        <v>LB-Richmond and El Cerrito-Oakland and Alameda-Missing</v>
      </c>
      <c r="B1999">
        <v>20</v>
      </c>
      <c r="C1999" t="str">
        <f t="shared" si="95"/>
        <v>Richmond and El Cerrito</v>
      </c>
      <c r="D1999">
        <v>18</v>
      </c>
      <c r="E1999" t="str">
        <f t="shared" si="95"/>
        <v>Oakland and Alameda</v>
      </c>
      <c r="F1999" t="s">
        <v>327</v>
      </c>
      <c r="G1999">
        <f t="shared" si="93"/>
        <v>0</v>
      </c>
      <c r="H1999" t="s">
        <v>359</v>
      </c>
      <c r="I1999" t="s">
        <v>191</v>
      </c>
      <c r="J1999">
        <v>3</v>
      </c>
      <c r="K1999">
        <v>226.725787631271</v>
      </c>
    </row>
    <row r="2000" spans="1:11" x14ac:dyDescent="0.25">
      <c r="A2000" s="159" t="str">
        <f t="shared" si="94"/>
        <v>HR-Richmond and El Cerrito-Oakland and Alameda-Other maintenance</v>
      </c>
      <c r="B2000">
        <v>20</v>
      </c>
      <c r="C2000" t="str">
        <f t="shared" si="95"/>
        <v>Richmond and El Cerrito</v>
      </c>
      <c r="D2000">
        <v>18</v>
      </c>
      <c r="E2000" t="str">
        <f t="shared" si="95"/>
        <v>Oakland and Alameda</v>
      </c>
      <c r="F2000" t="s">
        <v>325</v>
      </c>
      <c r="G2000">
        <f t="shared" si="93"/>
        <v>4</v>
      </c>
      <c r="H2000" t="s">
        <v>124</v>
      </c>
      <c r="I2000" t="s">
        <v>188</v>
      </c>
      <c r="J2000">
        <v>5</v>
      </c>
      <c r="K2000">
        <v>479.11049723756901</v>
      </c>
    </row>
    <row r="2001" spans="1:11" x14ac:dyDescent="0.25">
      <c r="A2001" s="159" t="str">
        <f t="shared" si="94"/>
        <v>HR-Richmond and El Cerrito-Oakland and Alameda-Social recreation</v>
      </c>
      <c r="B2001">
        <v>20</v>
      </c>
      <c r="C2001" t="str">
        <f t="shared" si="95"/>
        <v>Richmond and El Cerrito</v>
      </c>
      <c r="D2001">
        <v>18</v>
      </c>
      <c r="E2001" t="str">
        <f t="shared" si="95"/>
        <v>Oakland and Alameda</v>
      </c>
      <c r="F2001" t="s">
        <v>324</v>
      </c>
      <c r="G2001">
        <f t="shared" si="93"/>
        <v>5</v>
      </c>
      <c r="H2001" t="s">
        <v>124</v>
      </c>
      <c r="I2001" t="s">
        <v>188</v>
      </c>
      <c r="J2001">
        <v>1</v>
      </c>
      <c r="K2001">
        <v>95.822099447513807</v>
      </c>
    </row>
    <row r="2002" spans="1:11" x14ac:dyDescent="0.25">
      <c r="A2002" s="159" t="str">
        <f t="shared" si="94"/>
        <v>EB-Richmond and El Cerrito-Oakland and Alameda-Work</v>
      </c>
      <c r="B2002">
        <v>20</v>
      </c>
      <c r="C2002" t="str">
        <f t="shared" si="95"/>
        <v>Richmond and El Cerrito</v>
      </c>
      <c r="D2002">
        <v>18</v>
      </c>
      <c r="E2002" t="str">
        <f t="shared" si="95"/>
        <v>Oakland and Alameda</v>
      </c>
      <c r="F2002" t="s">
        <v>30</v>
      </c>
      <c r="G2002">
        <f t="shared" si="93"/>
        <v>1</v>
      </c>
      <c r="H2002" t="s">
        <v>123</v>
      </c>
      <c r="I2002" t="s">
        <v>182</v>
      </c>
      <c r="J2002">
        <v>5</v>
      </c>
      <c r="K2002">
        <v>36.842105263157897</v>
      </c>
    </row>
    <row r="2003" spans="1:11" x14ac:dyDescent="0.25">
      <c r="A2003" s="159" t="str">
        <f t="shared" si="94"/>
        <v>HR-Richmond and El Cerrito-Oakland and Alameda-Work</v>
      </c>
      <c r="B2003">
        <v>20</v>
      </c>
      <c r="C2003" t="str">
        <f t="shared" si="95"/>
        <v>Richmond and El Cerrito</v>
      </c>
      <c r="D2003">
        <v>18</v>
      </c>
      <c r="E2003" t="str">
        <f t="shared" si="95"/>
        <v>Oakland and Alameda</v>
      </c>
      <c r="F2003" t="s">
        <v>30</v>
      </c>
      <c r="G2003">
        <f t="shared" si="93"/>
        <v>1</v>
      </c>
      <c r="H2003" t="s">
        <v>124</v>
      </c>
      <c r="I2003" t="s">
        <v>188</v>
      </c>
      <c r="J2003">
        <v>20</v>
      </c>
      <c r="K2003">
        <v>2115.8256970319899</v>
      </c>
    </row>
    <row r="2004" spans="1:11" x14ac:dyDescent="0.25">
      <c r="A2004" s="159" t="str">
        <f t="shared" si="94"/>
        <v>LB-Richmond and El Cerrito-Oakland and Alameda-Work</v>
      </c>
      <c r="B2004">
        <v>20</v>
      </c>
      <c r="C2004" t="str">
        <f t="shared" si="95"/>
        <v>Richmond and El Cerrito</v>
      </c>
      <c r="D2004">
        <v>18</v>
      </c>
      <c r="E2004" t="str">
        <f t="shared" si="95"/>
        <v>Oakland and Alameda</v>
      </c>
      <c r="F2004" t="s">
        <v>30</v>
      </c>
      <c r="G2004">
        <f t="shared" si="93"/>
        <v>1</v>
      </c>
      <c r="H2004" t="s">
        <v>359</v>
      </c>
      <c r="I2004" t="s">
        <v>191</v>
      </c>
      <c r="J2004">
        <v>6</v>
      </c>
      <c r="K2004">
        <v>385.244733771418</v>
      </c>
    </row>
    <row r="2005" spans="1:11" x14ac:dyDescent="0.25">
      <c r="A2005" s="159" t="str">
        <f t="shared" si="94"/>
        <v>EB-Richmond and El Cerrito-Berkeley and Albany-High school</v>
      </c>
      <c r="B2005">
        <v>20</v>
      </c>
      <c r="C2005" t="str">
        <f t="shared" si="95"/>
        <v>Richmond and El Cerrito</v>
      </c>
      <c r="D2005">
        <v>19</v>
      </c>
      <c r="E2005" t="str">
        <f t="shared" si="95"/>
        <v>Berkeley and Albany</v>
      </c>
      <c r="F2005" t="s">
        <v>326</v>
      </c>
      <c r="G2005">
        <f t="shared" si="93"/>
        <v>3</v>
      </c>
      <c r="H2005" t="s">
        <v>123</v>
      </c>
      <c r="I2005" t="s">
        <v>182</v>
      </c>
      <c r="J2005">
        <v>2</v>
      </c>
      <c r="K2005">
        <v>14.736842105263101</v>
      </c>
    </row>
    <row r="2006" spans="1:11" x14ac:dyDescent="0.25">
      <c r="A2006" s="159" t="str">
        <f t="shared" si="94"/>
        <v>HR-Richmond and El Cerrito-Berkeley and Albany-High school</v>
      </c>
      <c r="B2006">
        <v>20</v>
      </c>
      <c r="C2006" t="str">
        <f t="shared" si="95"/>
        <v>Richmond and El Cerrito</v>
      </c>
      <c r="D2006">
        <v>19</v>
      </c>
      <c r="E2006" t="str">
        <f t="shared" si="95"/>
        <v>Berkeley and Albany</v>
      </c>
      <c r="F2006" t="s">
        <v>326</v>
      </c>
      <c r="G2006">
        <f t="shared" si="93"/>
        <v>3</v>
      </c>
      <c r="H2006" t="s">
        <v>124</v>
      </c>
      <c r="I2006" t="s">
        <v>188</v>
      </c>
      <c r="J2006">
        <v>5</v>
      </c>
      <c r="K2006">
        <v>678.49420531928502</v>
      </c>
    </row>
    <row r="2007" spans="1:11" x14ac:dyDescent="0.25">
      <c r="A2007" s="159" t="str">
        <f t="shared" si="94"/>
        <v>LB-Richmond and El Cerrito-Berkeley and Albany-High school</v>
      </c>
      <c r="B2007">
        <v>20</v>
      </c>
      <c r="C2007" t="str">
        <f t="shared" si="95"/>
        <v>Richmond and El Cerrito</v>
      </c>
      <c r="D2007">
        <v>19</v>
      </c>
      <c r="E2007" t="str">
        <f t="shared" si="95"/>
        <v>Berkeley and Albany</v>
      </c>
      <c r="F2007" t="s">
        <v>326</v>
      </c>
      <c r="G2007">
        <f t="shared" si="93"/>
        <v>3</v>
      </c>
      <c r="H2007" t="s">
        <v>359</v>
      </c>
      <c r="I2007" t="s">
        <v>191</v>
      </c>
      <c r="J2007">
        <v>6</v>
      </c>
      <c r="K2007">
        <v>453.45157526254297</v>
      </c>
    </row>
    <row r="2008" spans="1:11" x14ac:dyDescent="0.25">
      <c r="A2008" s="159" t="str">
        <f t="shared" si="94"/>
        <v>EB-Richmond and El Cerrito-Berkeley and Albany-Missing</v>
      </c>
      <c r="B2008">
        <v>20</v>
      </c>
      <c r="C2008" t="str">
        <f t="shared" si="95"/>
        <v>Richmond and El Cerrito</v>
      </c>
      <c r="D2008">
        <v>19</v>
      </c>
      <c r="E2008" t="str">
        <f t="shared" si="95"/>
        <v>Berkeley and Albany</v>
      </c>
      <c r="F2008" t="s">
        <v>327</v>
      </c>
      <c r="G2008">
        <f t="shared" si="93"/>
        <v>0</v>
      </c>
      <c r="H2008" t="s">
        <v>123</v>
      </c>
      <c r="I2008" t="s">
        <v>182</v>
      </c>
      <c r="J2008">
        <v>1</v>
      </c>
      <c r="K2008">
        <v>7.3684210526315796</v>
      </c>
    </row>
    <row r="2009" spans="1:11" x14ac:dyDescent="0.25">
      <c r="A2009" s="159" t="str">
        <f t="shared" si="94"/>
        <v>HR-Richmond and El Cerrito-Berkeley and Albany-Missing</v>
      </c>
      <c r="B2009">
        <v>20</v>
      </c>
      <c r="C2009" t="str">
        <f t="shared" si="95"/>
        <v>Richmond and El Cerrito</v>
      </c>
      <c r="D2009">
        <v>19</v>
      </c>
      <c r="E2009" t="str">
        <f t="shared" si="95"/>
        <v>Berkeley and Albany</v>
      </c>
      <c r="F2009" t="s">
        <v>327</v>
      </c>
      <c r="G2009">
        <f t="shared" si="93"/>
        <v>0</v>
      </c>
      <c r="H2009" t="s">
        <v>124</v>
      </c>
      <c r="I2009" t="s">
        <v>188</v>
      </c>
      <c r="J2009">
        <v>1</v>
      </c>
      <c r="K2009">
        <v>95.822099447513807</v>
      </c>
    </row>
    <row r="2010" spans="1:11" x14ac:dyDescent="0.25">
      <c r="A2010" s="159" t="str">
        <f t="shared" si="94"/>
        <v>LB-Richmond and El Cerrito-Berkeley and Albany-Missing</v>
      </c>
      <c r="B2010">
        <v>20</v>
      </c>
      <c r="C2010" t="str">
        <f t="shared" si="95"/>
        <v>Richmond and El Cerrito</v>
      </c>
      <c r="D2010">
        <v>19</v>
      </c>
      <c r="E2010" t="str">
        <f t="shared" si="95"/>
        <v>Berkeley and Albany</v>
      </c>
      <c r="F2010" t="s">
        <v>327</v>
      </c>
      <c r="G2010">
        <f t="shared" si="93"/>
        <v>0</v>
      </c>
      <c r="H2010" t="s">
        <v>359</v>
      </c>
      <c r="I2010" t="s">
        <v>191</v>
      </c>
      <c r="J2010">
        <v>3</v>
      </c>
      <c r="K2010">
        <v>163.73385842084701</v>
      </c>
    </row>
    <row r="2011" spans="1:11" x14ac:dyDescent="0.25">
      <c r="A2011" s="159" t="str">
        <f t="shared" si="94"/>
        <v>HR-Richmond and El Cerrito-Berkeley and Albany-Other maintenance</v>
      </c>
      <c r="B2011">
        <v>20</v>
      </c>
      <c r="C2011" t="str">
        <f t="shared" si="95"/>
        <v>Richmond and El Cerrito</v>
      </c>
      <c r="D2011">
        <v>19</v>
      </c>
      <c r="E2011" t="str">
        <f t="shared" si="95"/>
        <v>Berkeley and Albany</v>
      </c>
      <c r="F2011" t="s">
        <v>325</v>
      </c>
      <c r="G2011">
        <f t="shared" si="93"/>
        <v>4</v>
      </c>
      <c r="H2011" t="s">
        <v>124</v>
      </c>
      <c r="I2011" t="s">
        <v>188</v>
      </c>
      <c r="J2011">
        <v>1</v>
      </c>
      <c r="K2011">
        <v>95.822099447513807</v>
      </c>
    </row>
    <row r="2012" spans="1:11" x14ac:dyDescent="0.25">
      <c r="A2012" s="159" t="str">
        <f t="shared" si="94"/>
        <v>LB-Richmond and El Cerrito-Berkeley and Albany-Other maintenance</v>
      </c>
      <c r="B2012">
        <v>20</v>
      </c>
      <c r="C2012" t="str">
        <f t="shared" si="95"/>
        <v>Richmond and El Cerrito</v>
      </c>
      <c r="D2012">
        <v>19</v>
      </c>
      <c r="E2012" t="str">
        <f t="shared" si="95"/>
        <v>Berkeley and Albany</v>
      </c>
      <c r="F2012" t="s">
        <v>325</v>
      </c>
      <c r="G2012">
        <f t="shared" si="93"/>
        <v>4</v>
      </c>
      <c r="H2012" t="s">
        <v>359</v>
      </c>
      <c r="I2012" t="s">
        <v>191</v>
      </c>
      <c r="J2012">
        <v>7</v>
      </c>
      <c r="K2012">
        <v>851.53375694194597</v>
      </c>
    </row>
    <row r="2013" spans="1:11" x14ac:dyDescent="0.25">
      <c r="A2013" s="159" t="str">
        <f t="shared" si="94"/>
        <v>LB-Richmond and El Cerrito-Berkeley and Albany-Shopping</v>
      </c>
      <c r="B2013">
        <v>20</v>
      </c>
      <c r="C2013" t="str">
        <f t="shared" si="95"/>
        <v>Richmond and El Cerrito</v>
      </c>
      <c r="D2013">
        <v>19</v>
      </c>
      <c r="E2013" t="str">
        <f t="shared" si="95"/>
        <v>Berkeley and Albany</v>
      </c>
      <c r="F2013" t="s">
        <v>106</v>
      </c>
      <c r="G2013">
        <f t="shared" si="93"/>
        <v>4</v>
      </c>
      <c r="H2013" t="s">
        <v>359</v>
      </c>
      <c r="I2013" t="s">
        <v>191</v>
      </c>
      <c r="J2013">
        <v>2</v>
      </c>
      <c r="K2013">
        <v>151.15052508751401</v>
      </c>
    </row>
    <row r="2014" spans="1:11" x14ac:dyDescent="0.25">
      <c r="A2014" s="159" t="str">
        <f t="shared" si="94"/>
        <v>EB-Richmond and El Cerrito-Berkeley and Albany-Social recreation</v>
      </c>
      <c r="B2014">
        <v>20</v>
      </c>
      <c r="C2014" t="str">
        <f t="shared" si="95"/>
        <v>Richmond and El Cerrito</v>
      </c>
      <c r="D2014">
        <v>19</v>
      </c>
      <c r="E2014" t="str">
        <f t="shared" si="95"/>
        <v>Berkeley and Albany</v>
      </c>
      <c r="F2014" t="s">
        <v>324</v>
      </c>
      <c r="G2014">
        <f t="shared" si="93"/>
        <v>5</v>
      </c>
      <c r="H2014" t="s">
        <v>123</v>
      </c>
      <c r="I2014" t="s">
        <v>182</v>
      </c>
      <c r="J2014">
        <v>1</v>
      </c>
      <c r="K2014">
        <v>12.5833333333333</v>
      </c>
    </row>
    <row r="2015" spans="1:11" x14ac:dyDescent="0.25">
      <c r="A2015" s="159" t="str">
        <f t="shared" si="94"/>
        <v>LB-Richmond and El Cerrito-Berkeley and Albany-Social recreation</v>
      </c>
      <c r="B2015">
        <v>20</v>
      </c>
      <c r="C2015" t="str">
        <f t="shared" si="95"/>
        <v>Richmond and El Cerrito</v>
      </c>
      <c r="D2015">
        <v>19</v>
      </c>
      <c r="E2015" t="str">
        <f t="shared" si="95"/>
        <v>Berkeley and Albany</v>
      </c>
      <c r="F2015" t="s">
        <v>324</v>
      </c>
      <c r="G2015">
        <f t="shared" si="93"/>
        <v>5</v>
      </c>
      <c r="H2015" t="s">
        <v>359</v>
      </c>
      <c r="I2015" t="s">
        <v>191</v>
      </c>
      <c r="J2015">
        <v>8</v>
      </c>
      <c r="K2015">
        <v>1190.6727412902101</v>
      </c>
    </row>
    <row r="2016" spans="1:11" x14ac:dyDescent="0.25">
      <c r="A2016" s="159" t="str">
        <f t="shared" si="94"/>
        <v>EB-Richmond and El Cerrito-Berkeley and Albany-Work</v>
      </c>
      <c r="B2016">
        <v>20</v>
      </c>
      <c r="C2016" t="str">
        <f t="shared" si="95"/>
        <v>Richmond and El Cerrito</v>
      </c>
      <c r="D2016">
        <v>19</v>
      </c>
      <c r="E2016" t="str">
        <f t="shared" si="95"/>
        <v>Berkeley and Albany</v>
      </c>
      <c r="F2016" t="s">
        <v>30</v>
      </c>
      <c r="G2016">
        <f t="shared" si="93"/>
        <v>1</v>
      </c>
      <c r="H2016" t="s">
        <v>123</v>
      </c>
      <c r="I2016" t="s">
        <v>182</v>
      </c>
      <c r="J2016">
        <v>3</v>
      </c>
      <c r="K2016">
        <v>22.105263157894701</v>
      </c>
    </row>
    <row r="2017" spans="1:11" x14ac:dyDescent="0.25">
      <c r="A2017" s="159" t="str">
        <f t="shared" si="94"/>
        <v>HR-Richmond and El Cerrito-Berkeley and Albany-Work</v>
      </c>
      <c r="B2017">
        <v>20</v>
      </c>
      <c r="C2017" t="str">
        <f t="shared" si="95"/>
        <v>Richmond and El Cerrito</v>
      </c>
      <c r="D2017">
        <v>19</v>
      </c>
      <c r="E2017" t="str">
        <f t="shared" si="95"/>
        <v>Berkeley and Albany</v>
      </c>
      <c r="F2017" t="s">
        <v>30</v>
      </c>
      <c r="G2017">
        <f t="shared" si="93"/>
        <v>1</v>
      </c>
      <c r="H2017" t="s">
        <v>124</v>
      </c>
      <c r="I2017" t="s">
        <v>188</v>
      </c>
      <c r="J2017">
        <v>12</v>
      </c>
      <c r="K2017">
        <v>1249.55704741102</v>
      </c>
    </row>
    <row r="2018" spans="1:11" x14ac:dyDescent="0.25">
      <c r="A2018" s="159" t="str">
        <f t="shared" si="94"/>
        <v>LB-Richmond and El Cerrito-Berkeley and Albany-Work</v>
      </c>
      <c r="B2018">
        <v>20</v>
      </c>
      <c r="C2018" t="str">
        <f t="shared" si="95"/>
        <v>Richmond and El Cerrito</v>
      </c>
      <c r="D2018">
        <v>19</v>
      </c>
      <c r="E2018" t="str">
        <f t="shared" si="95"/>
        <v>Berkeley and Albany</v>
      </c>
      <c r="F2018" t="s">
        <v>30</v>
      </c>
      <c r="G2018">
        <f t="shared" si="93"/>
        <v>1</v>
      </c>
      <c r="H2018" t="s">
        <v>359</v>
      </c>
      <c r="I2018" t="s">
        <v>191</v>
      </c>
      <c r="J2018">
        <v>9</v>
      </c>
      <c r="K2018">
        <v>611.97052140269</v>
      </c>
    </row>
    <row r="2019" spans="1:11" x14ac:dyDescent="0.25">
      <c r="A2019" s="159" t="str">
        <f t="shared" si="94"/>
        <v>EB-Richmond and El Cerrito-Richmond and El Cerrito-High school</v>
      </c>
      <c r="B2019">
        <v>20</v>
      </c>
      <c r="C2019" t="str">
        <f t="shared" si="95"/>
        <v>Richmond and El Cerrito</v>
      </c>
      <c r="D2019">
        <v>20</v>
      </c>
      <c r="E2019" t="str">
        <f t="shared" si="95"/>
        <v>Richmond and El Cerrito</v>
      </c>
      <c r="F2019" t="s">
        <v>326</v>
      </c>
      <c r="G2019">
        <f t="shared" si="93"/>
        <v>3</v>
      </c>
      <c r="H2019" t="s">
        <v>123</v>
      </c>
      <c r="I2019" t="s">
        <v>182</v>
      </c>
      <c r="J2019">
        <v>27</v>
      </c>
      <c r="K2019">
        <v>198.947368421052</v>
      </c>
    </row>
    <row r="2020" spans="1:11" x14ac:dyDescent="0.25">
      <c r="A2020" s="159" t="str">
        <f t="shared" si="94"/>
        <v>LB-Richmond and El Cerrito-Richmond and El Cerrito-High school</v>
      </c>
      <c r="B2020">
        <v>20</v>
      </c>
      <c r="C2020" t="str">
        <f t="shared" si="95"/>
        <v>Richmond and El Cerrito</v>
      </c>
      <c r="D2020">
        <v>20</v>
      </c>
      <c r="E2020" t="str">
        <f t="shared" si="95"/>
        <v>Richmond and El Cerrito</v>
      </c>
      <c r="F2020" t="s">
        <v>326</v>
      </c>
      <c r="G2020">
        <f t="shared" si="93"/>
        <v>3</v>
      </c>
      <c r="H2020" t="s">
        <v>359</v>
      </c>
      <c r="I2020" t="s">
        <v>191</v>
      </c>
      <c r="J2020">
        <v>45</v>
      </c>
      <c r="K2020">
        <v>2451.9236013019699</v>
      </c>
    </row>
    <row r="2021" spans="1:11" x14ac:dyDescent="0.25">
      <c r="A2021" s="159" t="str">
        <f t="shared" si="94"/>
        <v>EB-Richmond and El Cerrito-Richmond and El Cerrito-Missing</v>
      </c>
      <c r="B2021">
        <v>20</v>
      </c>
      <c r="C2021" t="str">
        <f t="shared" si="95"/>
        <v>Richmond and El Cerrito</v>
      </c>
      <c r="D2021">
        <v>20</v>
      </c>
      <c r="E2021" t="str">
        <f t="shared" si="95"/>
        <v>Richmond and El Cerrito</v>
      </c>
      <c r="F2021" t="s">
        <v>327</v>
      </c>
      <c r="G2021">
        <f t="shared" si="93"/>
        <v>0</v>
      </c>
      <c r="H2021" t="s">
        <v>123</v>
      </c>
      <c r="I2021" t="s">
        <v>182</v>
      </c>
      <c r="J2021">
        <v>13</v>
      </c>
      <c r="K2021">
        <v>116.40072923272</v>
      </c>
    </row>
    <row r="2022" spans="1:11" x14ac:dyDescent="0.25">
      <c r="A2022" s="159" t="str">
        <f t="shared" si="94"/>
        <v>LB-Richmond and El Cerrito-Richmond and El Cerrito-Missing</v>
      </c>
      <c r="B2022">
        <v>20</v>
      </c>
      <c r="C2022" t="str">
        <f t="shared" si="95"/>
        <v>Richmond and El Cerrito</v>
      </c>
      <c r="D2022">
        <v>20</v>
      </c>
      <c r="E2022" t="str">
        <f t="shared" si="95"/>
        <v>Richmond and El Cerrito</v>
      </c>
      <c r="F2022" t="s">
        <v>327</v>
      </c>
      <c r="G2022">
        <f t="shared" si="93"/>
        <v>0</v>
      </c>
      <c r="H2022" t="s">
        <v>359</v>
      </c>
      <c r="I2022" t="s">
        <v>191</v>
      </c>
      <c r="J2022">
        <v>12</v>
      </c>
      <c r="K2022">
        <v>445.099996929312</v>
      </c>
    </row>
    <row r="2023" spans="1:11" x14ac:dyDescent="0.25">
      <c r="A2023" s="159" t="str">
        <f t="shared" si="94"/>
        <v>EB-Richmond and El Cerrito-Richmond and El Cerrito-Other</v>
      </c>
      <c r="B2023">
        <v>20</v>
      </c>
      <c r="C2023" t="str">
        <f t="shared" si="95"/>
        <v>Richmond and El Cerrito</v>
      </c>
      <c r="D2023">
        <v>20</v>
      </c>
      <c r="E2023" t="str">
        <f t="shared" si="95"/>
        <v>Richmond and El Cerrito</v>
      </c>
      <c r="F2023" t="s">
        <v>328</v>
      </c>
      <c r="G2023">
        <f t="shared" si="93"/>
        <v>0</v>
      </c>
      <c r="H2023" t="s">
        <v>123</v>
      </c>
      <c r="I2023" t="s">
        <v>182</v>
      </c>
      <c r="J2023">
        <v>1</v>
      </c>
      <c r="K2023">
        <v>7.3684210526315796</v>
      </c>
    </row>
    <row r="2024" spans="1:11" x14ac:dyDescent="0.25">
      <c r="A2024" s="159" t="str">
        <f t="shared" si="94"/>
        <v>EB-Richmond and El Cerrito-Richmond and El Cerrito-Other maintenance</v>
      </c>
      <c r="B2024">
        <v>20</v>
      </c>
      <c r="C2024" t="str">
        <f t="shared" si="95"/>
        <v>Richmond and El Cerrito</v>
      </c>
      <c r="D2024">
        <v>20</v>
      </c>
      <c r="E2024" t="str">
        <f t="shared" si="95"/>
        <v>Richmond and El Cerrito</v>
      </c>
      <c r="F2024" t="s">
        <v>325</v>
      </c>
      <c r="G2024">
        <f t="shared" si="93"/>
        <v>4</v>
      </c>
      <c r="H2024" t="s">
        <v>123</v>
      </c>
      <c r="I2024" t="s">
        <v>182</v>
      </c>
      <c r="J2024">
        <v>10</v>
      </c>
      <c r="K2024">
        <v>84.114035087719202</v>
      </c>
    </row>
    <row r="2025" spans="1:11" x14ac:dyDescent="0.25">
      <c r="A2025" s="159" t="str">
        <f t="shared" si="94"/>
        <v>LB-Richmond and El Cerrito-Richmond and El Cerrito-Other maintenance</v>
      </c>
      <c r="B2025">
        <v>20</v>
      </c>
      <c r="C2025" t="str">
        <f t="shared" si="95"/>
        <v>Richmond and El Cerrito</v>
      </c>
      <c r="D2025">
        <v>20</v>
      </c>
      <c r="E2025" t="str">
        <f t="shared" si="95"/>
        <v>Richmond and El Cerrito</v>
      </c>
      <c r="F2025" t="s">
        <v>325</v>
      </c>
      <c r="G2025">
        <f t="shared" si="93"/>
        <v>4</v>
      </c>
      <c r="H2025" t="s">
        <v>359</v>
      </c>
      <c r="I2025" t="s">
        <v>191</v>
      </c>
      <c r="J2025">
        <v>7</v>
      </c>
      <c r="K2025">
        <v>397.82806710475103</v>
      </c>
    </row>
    <row r="2026" spans="1:11" x14ac:dyDescent="0.25">
      <c r="A2026" s="159" t="str">
        <f t="shared" si="94"/>
        <v>EB-Richmond and El Cerrito-Richmond and El Cerrito-Shopping</v>
      </c>
      <c r="B2026">
        <v>20</v>
      </c>
      <c r="C2026" t="str">
        <f t="shared" si="95"/>
        <v>Richmond and El Cerrito</v>
      </c>
      <c r="D2026">
        <v>20</v>
      </c>
      <c r="E2026" t="str">
        <f t="shared" si="95"/>
        <v>Richmond and El Cerrito</v>
      </c>
      <c r="F2026" t="s">
        <v>106</v>
      </c>
      <c r="G2026">
        <f t="shared" si="93"/>
        <v>4</v>
      </c>
      <c r="H2026" t="s">
        <v>123</v>
      </c>
      <c r="I2026" t="s">
        <v>182</v>
      </c>
      <c r="J2026">
        <v>5</v>
      </c>
      <c r="K2026">
        <v>52.486842105263001</v>
      </c>
    </row>
    <row r="2027" spans="1:11" x14ac:dyDescent="0.25">
      <c r="A2027" s="159" t="str">
        <f t="shared" si="94"/>
        <v>HR-Richmond and El Cerrito-Richmond and El Cerrito-Shopping</v>
      </c>
      <c r="B2027">
        <v>20</v>
      </c>
      <c r="C2027" t="str">
        <f t="shared" si="95"/>
        <v>Richmond and El Cerrito</v>
      </c>
      <c r="D2027">
        <v>20</v>
      </c>
      <c r="E2027" t="str">
        <f t="shared" si="95"/>
        <v>Richmond and El Cerrito</v>
      </c>
      <c r="F2027" t="s">
        <v>106</v>
      </c>
      <c r="G2027">
        <f t="shared" si="93"/>
        <v>4</v>
      </c>
      <c r="H2027" t="s">
        <v>124</v>
      </c>
      <c r="I2027" t="s">
        <v>188</v>
      </c>
      <c r="J2027">
        <v>2</v>
      </c>
      <c r="K2027">
        <v>191.64419889502699</v>
      </c>
    </row>
    <row r="2028" spans="1:11" x14ac:dyDescent="0.25">
      <c r="A2028" s="159" t="str">
        <f t="shared" si="94"/>
        <v>LB-Richmond and El Cerrito-Richmond and El Cerrito-Shopping</v>
      </c>
      <c r="B2028">
        <v>20</v>
      </c>
      <c r="C2028" t="str">
        <f t="shared" si="95"/>
        <v>Richmond and El Cerrito</v>
      </c>
      <c r="D2028">
        <v>20</v>
      </c>
      <c r="E2028" t="str">
        <f t="shared" si="95"/>
        <v>Richmond and El Cerrito</v>
      </c>
      <c r="F2028" t="s">
        <v>106</v>
      </c>
      <c r="G2028">
        <f t="shared" si="93"/>
        <v>4</v>
      </c>
      <c r="H2028" t="s">
        <v>359</v>
      </c>
      <c r="I2028" t="s">
        <v>191</v>
      </c>
      <c r="J2028">
        <v>15</v>
      </c>
      <c r="K2028">
        <v>873.69934547120795</v>
      </c>
    </row>
    <row r="2029" spans="1:11" x14ac:dyDescent="0.25">
      <c r="A2029" s="159" t="str">
        <f t="shared" si="94"/>
        <v>EB-Richmond and El Cerrito-Richmond and El Cerrito-Social recreation</v>
      </c>
      <c r="B2029">
        <v>20</v>
      </c>
      <c r="C2029" t="str">
        <f t="shared" si="95"/>
        <v>Richmond and El Cerrito</v>
      </c>
      <c r="D2029">
        <v>20</v>
      </c>
      <c r="E2029" t="str">
        <f t="shared" si="95"/>
        <v>Richmond and El Cerrito</v>
      </c>
      <c r="F2029" t="s">
        <v>324</v>
      </c>
      <c r="G2029">
        <f t="shared" si="93"/>
        <v>5</v>
      </c>
      <c r="H2029" t="s">
        <v>123</v>
      </c>
      <c r="I2029" t="s">
        <v>182</v>
      </c>
      <c r="J2029">
        <v>4</v>
      </c>
      <c r="K2029">
        <v>39.903508771929701</v>
      </c>
    </row>
    <row r="2030" spans="1:11" x14ac:dyDescent="0.25">
      <c r="A2030" s="159" t="str">
        <f t="shared" si="94"/>
        <v>FR-Richmond and El Cerrito-Richmond and El Cerrito-Social recreation</v>
      </c>
      <c r="B2030">
        <v>20</v>
      </c>
      <c r="C2030" t="str">
        <f t="shared" si="95"/>
        <v>Richmond and El Cerrito</v>
      </c>
      <c r="D2030">
        <v>20</v>
      </c>
      <c r="E2030" t="str">
        <f t="shared" si="95"/>
        <v>Richmond and El Cerrito</v>
      </c>
      <c r="F2030" t="s">
        <v>324</v>
      </c>
      <c r="G2030">
        <f t="shared" si="93"/>
        <v>5</v>
      </c>
      <c r="H2030" t="s">
        <v>360</v>
      </c>
      <c r="I2030" t="s">
        <v>185</v>
      </c>
      <c r="J2030">
        <v>1</v>
      </c>
      <c r="K2030">
        <v>16.498422712933699</v>
      </c>
    </row>
    <row r="2031" spans="1:11" x14ac:dyDescent="0.25">
      <c r="A2031" s="159" t="str">
        <f t="shared" si="94"/>
        <v>HR-Richmond and El Cerrito-Richmond and El Cerrito-Social recreation</v>
      </c>
      <c r="B2031">
        <v>20</v>
      </c>
      <c r="C2031" t="str">
        <f t="shared" si="95"/>
        <v>Richmond and El Cerrito</v>
      </c>
      <c r="D2031">
        <v>20</v>
      </c>
      <c r="E2031" t="str">
        <f t="shared" si="95"/>
        <v>Richmond and El Cerrito</v>
      </c>
      <c r="F2031" t="s">
        <v>324</v>
      </c>
      <c r="G2031">
        <f t="shared" si="93"/>
        <v>5</v>
      </c>
      <c r="H2031" t="s">
        <v>124</v>
      </c>
      <c r="I2031" t="s">
        <v>188</v>
      </c>
      <c r="J2031">
        <v>1</v>
      </c>
      <c r="K2031">
        <v>195.51395348837201</v>
      </c>
    </row>
    <row r="2032" spans="1:11" x14ac:dyDescent="0.25">
      <c r="A2032" s="159" t="str">
        <f t="shared" si="94"/>
        <v>LB-Richmond and El Cerrito-Richmond and El Cerrito-Social recreation</v>
      </c>
      <c r="B2032">
        <v>20</v>
      </c>
      <c r="C2032" t="str">
        <f t="shared" si="95"/>
        <v>Richmond and El Cerrito</v>
      </c>
      <c r="D2032">
        <v>20</v>
      </c>
      <c r="E2032" t="str">
        <f t="shared" si="95"/>
        <v>Richmond and El Cerrito</v>
      </c>
      <c r="F2032" t="s">
        <v>324</v>
      </c>
      <c r="G2032">
        <f t="shared" si="93"/>
        <v>5</v>
      </c>
      <c r="H2032" t="s">
        <v>359</v>
      </c>
      <c r="I2032" t="s">
        <v>191</v>
      </c>
      <c r="J2032">
        <v>6</v>
      </c>
      <c r="K2032">
        <v>594.41453501234105</v>
      </c>
    </row>
    <row r="2033" spans="1:11" x14ac:dyDescent="0.25">
      <c r="A2033" s="159" t="str">
        <f t="shared" si="94"/>
        <v>EB-Richmond and El Cerrito-Richmond and El Cerrito-Work</v>
      </c>
      <c r="B2033">
        <v>20</v>
      </c>
      <c r="C2033" t="str">
        <f t="shared" si="95"/>
        <v>Richmond and El Cerrito</v>
      </c>
      <c r="D2033">
        <v>20</v>
      </c>
      <c r="E2033" t="str">
        <f t="shared" si="95"/>
        <v>Richmond and El Cerrito</v>
      </c>
      <c r="F2033" t="s">
        <v>30</v>
      </c>
      <c r="G2033">
        <f t="shared" si="93"/>
        <v>1</v>
      </c>
      <c r="H2033" t="s">
        <v>123</v>
      </c>
      <c r="I2033" t="s">
        <v>182</v>
      </c>
      <c r="J2033">
        <v>27</v>
      </c>
      <c r="K2033">
        <v>214.59210526315701</v>
      </c>
    </row>
    <row r="2034" spans="1:11" x14ac:dyDescent="0.25">
      <c r="A2034" s="159" t="str">
        <f t="shared" si="94"/>
        <v>HR-Richmond and El Cerrito-Richmond and El Cerrito-Work</v>
      </c>
      <c r="B2034">
        <v>20</v>
      </c>
      <c r="C2034" t="str">
        <f t="shared" si="95"/>
        <v>Richmond and El Cerrito</v>
      </c>
      <c r="D2034">
        <v>20</v>
      </c>
      <c r="E2034" t="str">
        <f t="shared" si="95"/>
        <v>Richmond and El Cerrito</v>
      </c>
      <c r="F2034" t="s">
        <v>30</v>
      </c>
      <c r="G2034">
        <f t="shared" si="93"/>
        <v>1</v>
      </c>
      <c r="H2034" t="s">
        <v>124</v>
      </c>
      <c r="I2034" t="s">
        <v>188</v>
      </c>
      <c r="J2034">
        <v>5</v>
      </c>
      <c r="K2034">
        <v>479.11049723756901</v>
      </c>
    </row>
    <row r="2035" spans="1:11" x14ac:dyDescent="0.25">
      <c r="A2035" s="159" t="str">
        <f t="shared" si="94"/>
        <v>LB-Richmond and El Cerrito-Richmond and El Cerrito-Work</v>
      </c>
      <c r="B2035">
        <v>20</v>
      </c>
      <c r="C2035" t="str">
        <f t="shared" si="95"/>
        <v>Richmond and El Cerrito</v>
      </c>
      <c r="D2035">
        <v>20</v>
      </c>
      <c r="E2035" t="str">
        <f t="shared" si="95"/>
        <v>Richmond and El Cerrito</v>
      </c>
      <c r="F2035" t="s">
        <v>30</v>
      </c>
      <c r="G2035">
        <f t="shared" si="93"/>
        <v>1</v>
      </c>
      <c r="H2035" t="s">
        <v>359</v>
      </c>
      <c r="I2035" t="s">
        <v>191</v>
      </c>
      <c r="J2035">
        <v>36</v>
      </c>
      <c r="K2035">
        <v>1894.51377649295</v>
      </c>
    </row>
    <row r="2036" spans="1:11" x14ac:dyDescent="0.25">
      <c r="A2036" s="159" t="str">
        <f t="shared" si="94"/>
        <v>EB-Richmond and El Cerrito-Concord and Martinez-High school</v>
      </c>
      <c r="B2036">
        <v>20</v>
      </c>
      <c r="C2036" t="str">
        <f t="shared" si="95"/>
        <v>Richmond and El Cerrito</v>
      </c>
      <c r="D2036">
        <v>21</v>
      </c>
      <c r="E2036" t="str">
        <f t="shared" si="95"/>
        <v>Concord and Martinez</v>
      </c>
      <c r="F2036" t="s">
        <v>326</v>
      </c>
      <c r="G2036">
        <f t="shared" si="93"/>
        <v>3</v>
      </c>
      <c r="H2036" t="s">
        <v>123</v>
      </c>
      <c r="I2036" t="s">
        <v>182</v>
      </c>
      <c r="J2036">
        <v>2</v>
      </c>
      <c r="K2036">
        <v>14.736842105263101</v>
      </c>
    </row>
    <row r="2037" spans="1:11" x14ac:dyDescent="0.25">
      <c r="A2037" s="159" t="str">
        <f t="shared" si="94"/>
        <v>LB-Richmond and El Cerrito-Concord and Martinez-High school</v>
      </c>
      <c r="B2037">
        <v>20</v>
      </c>
      <c r="C2037" t="str">
        <f t="shared" si="95"/>
        <v>Richmond and El Cerrito</v>
      </c>
      <c r="D2037">
        <v>21</v>
      </c>
      <c r="E2037" t="str">
        <f t="shared" si="95"/>
        <v>Concord and Martinez</v>
      </c>
      <c r="F2037" t="s">
        <v>326</v>
      </c>
      <c r="G2037">
        <f t="shared" si="93"/>
        <v>3</v>
      </c>
      <c r="H2037" t="s">
        <v>359</v>
      </c>
      <c r="I2037" t="s">
        <v>191</v>
      </c>
      <c r="J2037">
        <v>1</v>
      </c>
      <c r="K2037">
        <v>7.3684210526315796</v>
      </c>
    </row>
    <row r="2038" spans="1:11" x14ac:dyDescent="0.25">
      <c r="A2038" s="159" t="str">
        <f t="shared" si="94"/>
        <v>LB-Richmond and El Cerrito-Concord and Martinez-Missing</v>
      </c>
      <c r="B2038">
        <v>20</v>
      </c>
      <c r="C2038" t="str">
        <f t="shared" si="95"/>
        <v>Richmond and El Cerrito</v>
      </c>
      <c r="D2038">
        <v>21</v>
      </c>
      <c r="E2038" t="str">
        <f t="shared" si="95"/>
        <v>Concord and Martinez</v>
      </c>
      <c r="F2038" t="s">
        <v>327</v>
      </c>
      <c r="G2038">
        <f t="shared" si="93"/>
        <v>0</v>
      </c>
      <c r="H2038" t="s">
        <v>359</v>
      </c>
      <c r="I2038" t="s">
        <v>191</v>
      </c>
      <c r="J2038">
        <v>1</v>
      </c>
      <c r="K2038">
        <v>19.727984344422701</v>
      </c>
    </row>
    <row r="2039" spans="1:11" x14ac:dyDescent="0.25">
      <c r="A2039" s="159" t="str">
        <f t="shared" si="94"/>
        <v>EB-Richmond and El Cerrito-Concord and Martinez-Other maintenance</v>
      </c>
      <c r="B2039">
        <v>20</v>
      </c>
      <c r="C2039" t="str">
        <f t="shared" si="95"/>
        <v>Richmond and El Cerrito</v>
      </c>
      <c r="D2039">
        <v>21</v>
      </c>
      <c r="E2039" t="str">
        <f t="shared" si="95"/>
        <v>Concord and Martinez</v>
      </c>
      <c r="F2039" t="s">
        <v>325</v>
      </c>
      <c r="G2039">
        <f t="shared" si="93"/>
        <v>4</v>
      </c>
      <c r="H2039" t="s">
        <v>123</v>
      </c>
      <c r="I2039" t="s">
        <v>182</v>
      </c>
      <c r="J2039">
        <v>1</v>
      </c>
      <c r="K2039">
        <v>7.3684210526315796</v>
      </c>
    </row>
    <row r="2040" spans="1:11" x14ac:dyDescent="0.25">
      <c r="A2040" s="159" t="str">
        <f t="shared" si="94"/>
        <v>LB-Richmond and El Cerrito-Concord and Martinez-Other maintenance</v>
      </c>
      <c r="B2040">
        <v>20</v>
      </c>
      <c r="C2040" t="str">
        <f t="shared" si="95"/>
        <v>Richmond and El Cerrito</v>
      </c>
      <c r="D2040">
        <v>21</v>
      </c>
      <c r="E2040" t="str">
        <f t="shared" si="95"/>
        <v>Concord and Martinez</v>
      </c>
      <c r="F2040" t="s">
        <v>325</v>
      </c>
      <c r="G2040">
        <f t="shared" si="93"/>
        <v>4</v>
      </c>
      <c r="H2040" t="s">
        <v>359</v>
      </c>
      <c r="I2040" t="s">
        <v>191</v>
      </c>
      <c r="J2040">
        <v>2</v>
      </c>
      <c r="K2040">
        <v>95.303246888179999</v>
      </c>
    </row>
    <row r="2041" spans="1:11" x14ac:dyDescent="0.25">
      <c r="A2041" s="159" t="str">
        <f t="shared" si="94"/>
        <v>EB-Richmond and El Cerrito-Concord and Martinez-Work</v>
      </c>
      <c r="B2041">
        <v>20</v>
      </c>
      <c r="C2041" t="str">
        <f t="shared" si="95"/>
        <v>Richmond and El Cerrito</v>
      </c>
      <c r="D2041">
        <v>21</v>
      </c>
      <c r="E2041" t="str">
        <f t="shared" si="95"/>
        <v>Concord and Martinez</v>
      </c>
      <c r="F2041" t="s">
        <v>30</v>
      </c>
      <c r="G2041">
        <f t="shared" si="93"/>
        <v>1</v>
      </c>
      <c r="H2041" t="s">
        <v>123</v>
      </c>
      <c r="I2041" t="s">
        <v>182</v>
      </c>
      <c r="J2041">
        <v>1</v>
      </c>
      <c r="K2041">
        <v>7.3684210526315796</v>
      </c>
    </row>
    <row r="2042" spans="1:11" x14ac:dyDescent="0.25">
      <c r="A2042" s="159" t="str">
        <f t="shared" si="94"/>
        <v>LB-Richmond and El Cerrito-Concord and Martinez-Work</v>
      </c>
      <c r="B2042">
        <v>20</v>
      </c>
      <c r="C2042" t="str">
        <f t="shared" si="95"/>
        <v>Richmond and El Cerrito</v>
      </c>
      <c r="D2042">
        <v>21</v>
      </c>
      <c r="E2042" t="str">
        <f t="shared" si="95"/>
        <v>Concord and Martinez</v>
      </c>
      <c r="F2042" t="s">
        <v>30</v>
      </c>
      <c r="G2042">
        <f t="shared" si="93"/>
        <v>1</v>
      </c>
      <c r="H2042" t="s">
        <v>359</v>
      </c>
      <c r="I2042" t="s">
        <v>191</v>
      </c>
      <c r="J2042">
        <v>1</v>
      </c>
      <c r="K2042">
        <v>19.727984344422701</v>
      </c>
    </row>
    <row r="2043" spans="1:11" x14ac:dyDescent="0.25">
      <c r="A2043" s="159" t="str">
        <f t="shared" si="94"/>
        <v>LB-Richmond and El Cerrito-Walnut Creek-High school</v>
      </c>
      <c r="B2043">
        <v>20</v>
      </c>
      <c r="C2043" t="str">
        <f t="shared" si="95"/>
        <v>Richmond and El Cerrito</v>
      </c>
      <c r="D2043">
        <v>22</v>
      </c>
      <c r="E2043" t="str">
        <f t="shared" si="95"/>
        <v>Walnut Creek</v>
      </c>
      <c r="F2043" t="s">
        <v>326</v>
      </c>
      <c r="G2043">
        <f t="shared" si="93"/>
        <v>3</v>
      </c>
      <c r="H2043" t="s">
        <v>359</v>
      </c>
      <c r="I2043" t="s">
        <v>191</v>
      </c>
      <c r="J2043">
        <v>1</v>
      </c>
      <c r="K2043">
        <v>7.3684210526315796</v>
      </c>
    </row>
    <row r="2044" spans="1:11" x14ac:dyDescent="0.25">
      <c r="A2044" s="159" t="str">
        <f t="shared" si="94"/>
        <v>EB-Richmond and El Cerrito-Walnut Creek-Other maintenance</v>
      </c>
      <c r="B2044">
        <v>20</v>
      </c>
      <c r="C2044" t="str">
        <f t="shared" si="95"/>
        <v>Richmond and El Cerrito</v>
      </c>
      <c r="D2044">
        <v>22</v>
      </c>
      <c r="E2044" t="str">
        <f t="shared" si="95"/>
        <v>Walnut Creek</v>
      </c>
      <c r="F2044" t="s">
        <v>325</v>
      </c>
      <c r="G2044">
        <f t="shared" si="93"/>
        <v>4</v>
      </c>
      <c r="H2044" t="s">
        <v>123</v>
      </c>
      <c r="I2044" t="s">
        <v>182</v>
      </c>
      <c r="J2044">
        <v>2</v>
      </c>
      <c r="K2044">
        <v>14.736842105263101</v>
      </c>
    </row>
    <row r="2045" spans="1:11" x14ac:dyDescent="0.25">
      <c r="A2045" s="159" t="str">
        <f t="shared" si="94"/>
        <v>HR-Richmond and El Cerrito-Walnut Creek-Other maintenance</v>
      </c>
      <c r="B2045">
        <v>20</v>
      </c>
      <c r="C2045" t="str">
        <f t="shared" si="95"/>
        <v>Richmond and El Cerrito</v>
      </c>
      <c r="D2045">
        <v>22</v>
      </c>
      <c r="E2045" t="str">
        <f t="shared" si="95"/>
        <v>Walnut Creek</v>
      </c>
      <c r="F2045" t="s">
        <v>325</v>
      </c>
      <c r="G2045">
        <f t="shared" si="93"/>
        <v>4</v>
      </c>
      <c r="H2045" t="s">
        <v>124</v>
      </c>
      <c r="I2045" t="s">
        <v>188</v>
      </c>
      <c r="J2045">
        <v>1</v>
      </c>
      <c r="K2045">
        <v>95.822099447513807</v>
      </c>
    </row>
    <row r="2046" spans="1:11" x14ac:dyDescent="0.25">
      <c r="A2046" s="159" t="str">
        <f t="shared" si="94"/>
        <v>HR-Richmond and El Cerrito-Walnut Creek-Work</v>
      </c>
      <c r="B2046">
        <v>20</v>
      </c>
      <c r="C2046" t="str">
        <f t="shared" si="95"/>
        <v>Richmond and El Cerrito</v>
      </c>
      <c r="D2046">
        <v>22</v>
      </c>
      <c r="E2046" t="str">
        <f t="shared" si="95"/>
        <v>Walnut Creek</v>
      </c>
      <c r="F2046" t="s">
        <v>30</v>
      </c>
      <c r="G2046">
        <f t="shared" si="93"/>
        <v>1</v>
      </c>
      <c r="H2046" t="s">
        <v>124</v>
      </c>
      <c r="I2046" t="s">
        <v>188</v>
      </c>
      <c r="J2046">
        <v>1</v>
      </c>
      <c r="K2046">
        <v>95.822099447513807</v>
      </c>
    </row>
    <row r="2047" spans="1:11" x14ac:dyDescent="0.25">
      <c r="A2047" s="159" t="str">
        <f t="shared" si="94"/>
        <v>LB-Richmond and El Cerrito-Walnut Creek-Work</v>
      </c>
      <c r="B2047">
        <v>20</v>
      </c>
      <c r="C2047" t="str">
        <f t="shared" si="95"/>
        <v>Richmond and El Cerrito</v>
      </c>
      <c r="D2047">
        <v>22</v>
      </c>
      <c r="E2047" t="str">
        <f t="shared" si="95"/>
        <v>Walnut Creek</v>
      </c>
      <c r="F2047" t="s">
        <v>30</v>
      </c>
      <c r="G2047">
        <f t="shared" si="93"/>
        <v>1</v>
      </c>
      <c r="H2047" t="s">
        <v>359</v>
      </c>
      <c r="I2047" t="s">
        <v>191</v>
      </c>
      <c r="J2047">
        <v>1</v>
      </c>
      <c r="K2047">
        <v>75.575262543757304</v>
      </c>
    </row>
    <row r="2048" spans="1:11" x14ac:dyDescent="0.25">
      <c r="A2048" s="159" t="str">
        <f t="shared" si="94"/>
        <v>LB-Richmond and El Cerrito-Danville and San Ramon-Work</v>
      </c>
      <c r="B2048">
        <v>20</v>
      </c>
      <c r="C2048" t="str">
        <f t="shared" si="95"/>
        <v>Richmond and El Cerrito</v>
      </c>
      <c r="D2048">
        <v>23</v>
      </c>
      <c r="E2048" t="str">
        <f t="shared" si="95"/>
        <v>Danville and San Ramon</v>
      </c>
      <c r="F2048" t="s">
        <v>30</v>
      </c>
      <c r="G2048">
        <f t="shared" si="93"/>
        <v>1</v>
      </c>
      <c r="H2048" t="s">
        <v>359</v>
      </c>
      <c r="I2048" t="s">
        <v>191</v>
      </c>
      <c r="J2048">
        <v>1</v>
      </c>
      <c r="K2048">
        <v>19.727984344422701</v>
      </c>
    </row>
    <row r="2049" spans="1:11" x14ac:dyDescent="0.25">
      <c r="A2049" s="159" t="str">
        <f t="shared" si="94"/>
        <v>LB-Richmond and El Cerrito-Antioch and Pittsburg-High school</v>
      </c>
      <c r="B2049">
        <v>20</v>
      </c>
      <c r="C2049" t="str">
        <f t="shared" si="95"/>
        <v>Richmond and El Cerrito</v>
      </c>
      <c r="D2049">
        <v>24</v>
      </c>
      <c r="E2049" t="str">
        <f t="shared" si="95"/>
        <v>Antioch and Pittsburg</v>
      </c>
      <c r="F2049" t="s">
        <v>326</v>
      </c>
      <c r="G2049">
        <f t="shared" si="93"/>
        <v>3</v>
      </c>
      <c r="H2049" t="s">
        <v>359</v>
      </c>
      <c r="I2049" t="s">
        <v>191</v>
      </c>
      <c r="J2049">
        <v>2</v>
      </c>
      <c r="K2049">
        <v>28.8521126760564</v>
      </c>
    </row>
    <row r="2050" spans="1:11" x14ac:dyDescent="0.25">
      <c r="A2050" s="159" t="str">
        <f t="shared" si="94"/>
        <v>HR-Richmond and El Cerrito-Antioch and Pittsburg-Social recreation</v>
      </c>
      <c r="B2050">
        <v>20</v>
      </c>
      <c r="C2050" t="str">
        <f t="shared" si="95"/>
        <v>Richmond and El Cerrito</v>
      </c>
      <c r="D2050">
        <v>24</v>
      </c>
      <c r="E2050" t="str">
        <f t="shared" si="95"/>
        <v>Antioch and Pittsburg</v>
      </c>
      <c r="F2050" t="s">
        <v>324</v>
      </c>
      <c r="G2050">
        <f t="shared" ref="G2050:G2113" si="96">VLOOKUP(F2050,$V$2:$X$10, 3,FALSE)</f>
        <v>5</v>
      </c>
      <c r="H2050" t="s">
        <v>124</v>
      </c>
      <c r="I2050" t="s">
        <v>188</v>
      </c>
      <c r="J2050">
        <v>1</v>
      </c>
      <c r="K2050">
        <v>95.822099447513807</v>
      </c>
    </row>
    <row r="2051" spans="1:11" x14ac:dyDescent="0.25">
      <c r="A2051" s="159" t="str">
        <f t="shared" ref="A2051:A2114" si="97" xml:space="preserve"> CONCATENATE(I2051,"-",C2051, "-",E2051, "-",F2051,)</f>
        <v>HR-Richmond and El Cerrito-Antioch and Pittsburg-Work</v>
      </c>
      <c r="B2051">
        <v>20</v>
      </c>
      <c r="C2051" t="str">
        <f t="shared" ref="C2051:E2114" si="98">VLOOKUP(B2051,$S$2:$T$35,2,FALSE)</f>
        <v>Richmond and El Cerrito</v>
      </c>
      <c r="D2051">
        <v>24</v>
      </c>
      <c r="E2051" t="str">
        <f t="shared" si="98"/>
        <v>Antioch and Pittsburg</v>
      </c>
      <c r="F2051" t="s">
        <v>30</v>
      </c>
      <c r="G2051">
        <f t="shared" si="96"/>
        <v>1</v>
      </c>
      <c r="H2051" t="s">
        <v>124</v>
      </c>
      <c r="I2051" t="s">
        <v>188</v>
      </c>
      <c r="J2051">
        <v>1</v>
      </c>
      <c r="K2051">
        <v>95.822099447513807</v>
      </c>
    </row>
    <row r="2052" spans="1:11" x14ac:dyDescent="0.25">
      <c r="A2052" s="159" t="str">
        <f t="shared" si="97"/>
        <v>LB-Richmond and El Cerrito-Vallejo and Benicia-Shopping</v>
      </c>
      <c r="B2052">
        <v>20</v>
      </c>
      <c r="C2052" t="str">
        <f t="shared" si="98"/>
        <v>Richmond and El Cerrito</v>
      </c>
      <c r="D2052">
        <v>25</v>
      </c>
      <c r="E2052" t="str">
        <f t="shared" si="98"/>
        <v>Vallejo and Benicia</v>
      </c>
      <c r="F2052" t="s">
        <v>106</v>
      </c>
      <c r="G2052">
        <f t="shared" si="96"/>
        <v>4</v>
      </c>
      <c r="H2052" t="s">
        <v>359</v>
      </c>
      <c r="I2052" t="s">
        <v>191</v>
      </c>
      <c r="J2052">
        <v>1</v>
      </c>
      <c r="K2052">
        <v>15.051282051282</v>
      </c>
    </row>
    <row r="2053" spans="1:11" x14ac:dyDescent="0.25">
      <c r="A2053" s="159" t="str">
        <f t="shared" si="97"/>
        <v>EB-Richmond and El Cerrito-Vallejo and Benicia-Work</v>
      </c>
      <c r="B2053">
        <v>20</v>
      </c>
      <c r="C2053" t="str">
        <f t="shared" si="98"/>
        <v>Richmond and El Cerrito</v>
      </c>
      <c r="D2053">
        <v>25</v>
      </c>
      <c r="E2053" t="str">
        <f t="shared" si="98"/>
        <v>Vallejo and Benicia</v>
      </c>
      <c r="F2053" t="s">
        <v>30</v>
      </c>
      <c r="G2053">
        <f t="shared" si="96"/>
        <v>1</v>
      </c>
      <c r="H2053" t="s">
        <v>123</v>
      </c>
      <c r="I2053" t="s">
        <v>182</v>
      </c>
      <c r="J2053">
        <v>4</v>
      </c>
      <c r="K2053">
        <v>49.3397590361444</v>
      </c>
    </row>
    <row r="2054" spans="1:11" x14ac:dyDescent="0.25">
      <c r="A2054" s="159" t="str">
        <f t="shared" si="97"/>
        <v>LB-Richmond and El Cerrito-Vallejo and Benicia-Work</v>
      </c>
      <c r="B2054">
        <v>20</v>
      </c>
      <c r="C2054" t="str">
        <f t="shared" si="98"/>
        <v>Richmond and El Cerrito</v>
      </c>
      <c r="D2054">
        <v>25</v>
      </c>
      <c r="E2054" t="str">
        <f t="shared" si="98"/>
        <v>Vallejo and Benicia</v>
      </c>
      <c r="F2054" t="s">
        <v>30</v>
      </c>
      <c r="G2054">
        <f t="shared" si="96"/>
        <v>1</v>
      </c>
      <c r="H2054" t="s">
        <v>359</v>
      </c>
      <c r="I2054" t="s">
        <v>191</v>
      </c>
      <c r="J2054">
        <v>1</v>
      </c>
      <c r="K2054">
        <v>12.3349397590361</v>
      </c>
    </row>
    <row r="2055" spans="1:11" x14ac:dyDescent="0.25">
      <c r="A2055" s="159" t="str">
        <f t="shared" si="97"/>
        <v>EB-Richmond and El Cerrito-Fairfield and Vacaville-Other maintenance</v>
      </c>
      <c r="B2055">
        <v>20</v>
      </c>
      <c r="C2055" t="str">
        <f t="shared" si="98"/>
        <v>Richmond and El Cerrito</v>
      </c>
      <c r="D2055">
        <v>26</v>
      </c>
      <c r="E2055" t="str">
        <f t="shared" si="98"/>
        <v>Fairfield and Vacaville</v>
      </c>
      <c r="F2055" t="s">
        <v>325</v>
      </c>
      <c r="G2055">
        <f t="shared" si="96"/>
        <v>4</v>
      </c>
      <c r="H2055" t="s">
        <v>123</v>
      </c>
      <c r="I2055" t="s">
        <v>182</v>
      </c>
      <c r="J2055">
        <v>1</v>
      </c>
      <c r="K2055">
        <v>12.3349397590361</v>
      </c>
    </row>
    <row r="2056" spans="1:11" x14ac:dyDescent="0.25">
      <c r="A2056" s="159" t="str">
        <f t="shared" si="97"/>
        <v>LB-Richmond and El Cerrito-Fairfield and Vacaville-Other maintenance</v>
      </c>
      <c r="B2056">
        <v>20</v>
      </c>
      <c r="C2056" t="str">
        <f t="shared" si="98"/>
        <v>Richmond and El Cerrito</v>
      </c>
      <c r="D2056">
        <v>26</v>
      </c>
      <c r="E2056" t="str">
        <f t="shared" si="98"/>
        <v>Fairfield and Vacaville</v>
      </c>
      <c r="F2056" t="s">
        <v>325</v>
      </c>
      <c r="G2056">
        <f t="shared" si="96"/>
        <v>4</v>
      </c>
      <c r="H2056" t="s">
        <v>359</v>
      </c>
      <c r="I2056" t="s">
        <v>191</v>
      </c>
      <c r="J2056">
        <v>1</v>
      </c>
      <c r="K2056">
        <v>4.83928571428571</v>
      </c>
    </row>
    <row r="2057" spans="1:11" x14ac:dyDescent="0.25">
      <c r="A2057" s="159" t="str">
        <f t="shared" si="97"/>
        <v>EB-Richmond and El Cerrito-Fairfield and Vacaville-Social recreation</v>
      </c>
      <c r="B2057">
        <v>20</v>
      </c>
      <c r="C2057" t="str">
        <f t="shared" si="98"/>
        <v>Richmond and El Cerrito</v>
      </c>
      <c r="D2057">
        <v>26</v>
      </c>
      <c r="E2057" t="str">
        <f t="shared" si="98"/>
        <v>Fairfield and Vacaville</v>
      </c>
      <c r="F2057" t="s">
        <v>324</v>
      </c>
      <c r="G2057">
        <f t="shared" si="96"/>
        <v>5</v>
      </c>
      <c r="H2057" t="s">
        <v>123</v>
      </c>
      <c r="I2057" t="s">
        <v>182</v>
      </c>
      <c r="J2057">
        <v>2</v>
      </c>
      <c r="K2057">
        <v>24.6698795180722</v>
      </c>
    </row>
    <row r="2058" spans="1:11" x14ac:dyDescent="0.25">
      <c r="A2058" s="159" t="str">
        <f t="shared" si="97"/>
        <v>EB-Richmond and El Cerrito-Fairfield and Vacaville-Work</v>
      </c>
      <c r="B2058">
        <v>20</v>
      </c>
      <c r="C2058" t="str">
        <f t="shared" si="98"/>
        <v>Richmond and El Cerrito</v>
      </c>
      <c r="D2058">
        <v>26</v>
      </c>
      <c r="E2058" t="str">
        <f t="shared" si="98"/>
        <v>Fairfield and Vacaville</v>
      </c>
      <c r="F2058" t="s">
        <v>30</v>
      </c>
      <c r="G2058">
        <f t="shared" si="96"/>
        <v>1</v>
      </c>
      <c r="H2058" t="s">
        <v>123</v>
      </c>
      <c r="I2058" t="s">
        <v>182</v>
      </c>
      <c r="J2058">
        <v>4</v>
      </c>
      <c r="K2058">
        <v>52.056101328390298</v>
      </c>
    </row>
    <row r="2059" spans="1:11" x14ac:dyDescent="0.25">
      <c r="A2059" s="159" t="str">
        <f t="shared" si="97"/>
        <v>LB-Richmond and El Cerrito-Fairfield and Vacaville-Work</v>
      </c>
      <c r="B2059">
        <v>20</v>
      </c>
      <c r="C2059" t="str">
        <f t="shared" si="98"/>
        <v>Richmond and El Cerrito</v>
      </c>
      <c r="D2059">
        <v>26</v>
      </c>
      <c r="E2059" t="str">
        <f t="shared" si="98"/>
        <v>Fairfield and Vacaville</v>
      </c>
      <c r="F2059" t="s">
        <v>30</v>
      </c>
      <c r="G2059">
        <f t="shared" si="96"/>
        <v>1</v>
      </c>
      <c r="H2059" t="s">
        <v>359</v>
      </c>
      <c r="I2059" t="s">
        <v>191</v>
      </c>
      <c r="J2059">
        <v>2</v>
      </c>
      <c r="K2059">
        <v>87.910202302793394</v>
      </c>
    </row>
    <row r="2060" spans="1:11" x14ac:dyDescent="0.25">
      <c r="A2060" s="159" t="str">
        <f t="shared" si="97"/>
        <v>LB-Richmond and El Cerrito-Napa-Other maintenance</v>
      </c>
      <c r="B2060">
        <v>20</v>
      </c>
      <c r="C2060" t="str">
        <f t="shared" si="98"/>
        <v>Richmond and El Cerrito</v>
      </c>
      <c r="D2060">
        <v>27</v>
      </c>
      <c r="E2060" t="str">
        <f t="shared" si="98"/>
        <v>Napa</v>
      </c>
      <c r="F2060" t="s">
        <v>325</v>
      </c>
      <c r="G2060">
        <f t="shared" si="96"/>
        <v>4</v>
      </c>
      <c r="H2060" t="s">
        <v>359</v>
      </c>
      <c r="I2060" t="s">
        <v>191</v>
      </c>
      <c r="J2060">
        <v>1</v>
      </c>
      <c r="K2060">
        <v>5.9851301115241604</v>
      </c>
    </row>
    <row r="2061" spans="1:11" x14ac:dyDescent="0.25">
      <c r="A2061" s="159" t="str">
        <f t="shared" si="97"/>
        <v>LB-Richmond and El Cerrito-Napa-Work</v>
      </c>
      <c r="B2061">
        <v>20</v>
      </c>
      <c r="C2061" t="str">
        <f t="shared" si="98"/>
        <v>Richmond and El Cerrito</v>
      </c>
      <c r="D2061">
        <v>27</v>
      </c>
      <c r="E2061" t="str">
        <f t="shared" si="98"/>
        <v>Napa</v>
      </c>
      <c r="F2061" t="s">
        <v>30</v>
      </c>
      <c r="G2061">
        <f t="shared" si="96"/>
        <v>1</v>
      </c>
      <c r="H2061" t="s">
        <v>359</v>
      </c>
      <c r="I2061" t="s">
        <v>191</v>
      </c>
      <c r="J2061">
        <v>3</v>
      </c>
      <c r="K2061">
        <v>17.9553903345724</v>
      </c>
    </row>
    <row r="2062" spans="1:11" x14ac:dyDescent="0.25">
      <c r="A2062" s="159" t="str">
        <f t="shared" si="97"/>
        <v>CR-Richmond and El Cerrito-Healdsburg and Cloverdale-Social recreation</v>
      </c>
      <c r="B2062">
        <v>20</v>
      </c>
      <c r="C2062" t="str">
        <f t="shared" si="98"/>
        <v>Richmond and El Cerrito</v>
      </c>
      <c r="D2062">
        <v>31</v>
      </c>
      <c r="E2062" t="str">
        <f t="shared" si="98"/>
        <v>Healdsburg and Cloverdale</v>
      </c>
      <c r="F2062" t="s">
        <v>324</v>
      </c>
      <c r="G2062">
        <f t="shared" si="96"/>
        <v>5</v>
      </c>
      <c r="H2062" t="s">
        <v>125</v>
      </c>
      <c r="I2062" t="s">
        <v>178</v>
      </c>
      <c r="J2062">
        <v>1</v>
      </c>
      <c r="K2062">
        <v>7.7247191011235996</v>
      </c>
    </row>
    <row r="2063" spans="1:11" x14ac:dyDescent="0.25">
      <c r="A2063" s="159" t="str">
        <f t="shared" si="97"/>
        <v>LB-Richmond and El Cerrito-San Rafael-Work</v>
      </c>
      <c r="B2063">
        <v>20</v>
      </c>
      <c r="C2063" t="str">
        <f t="shared" si="98"/>
        <v>Richmond and El Cerrito</v>
      </c>
      <c r="D2063">
        <v>33</v>
      </c>
      <c r="E2063" t="str">
        <f t="shared" si="98"/>
        <v>San Rafael</v>
      </c>
      <c r="F2063" t="s">
        <v>30</v>
      </c>
      <c r="G2063">
        <f t="shared" si="96"/>
        <v>1</v>
      </c>
      <c r="H2063" t="s">
        <v>359</v>
      </c>
      <c r="I2063" t="s">
        <v>191</v>
      </c>
      <c r="J2063">
        <v>8</v>
      </c>
      <c r="K2063">
        <v>157.80753138075201</v>
      </c>
    </row>
    <row r="2064" spans="1:11" x14ac:dyDescent="0.25">
      <c r="A2064" s="159" t="str">
        <f t="shared" si="97"/>
        <v>LB-Richmond and El Cerrito-Mill Valley and Sausalito-Work</v>
      </c>
      <c r="B2064">
        <v>20</v>
      </c>
      <c r="C2064" t="str">
        <f t="shared" si="98"/>
        <v>Richmond and El Cerrito</v>
      </c>
      <c r="D2064">
        <v>34</v>
      </c>
      <c r="E2064" t="str">
        <f t="shared" si="98"/>
        <v>Mill Valley and Sausalito</v>
      </c>
      <c r="F2064" t="s">
        <v>30</v>
      </c>
      <c r="G2064">
        <f t="shared" si="96"/>
        <v>1</v>
      </c>
      <c r="H2064" t="s">
        <v>359</v>
      </c>
      <c r="I2064" t="s">
        <v>191</v>
      </c>
      <c r="J2064">
        <v>1</v>
      </c>
      <c r="K2064">
        <v>19.725941422594101</v>
      </c>
    </row>
    <row r="2065" spans="1:11" x14ac:dyDescent="0.25">
      <c r="A2065" s="159" t="str">
        <f t="shared" si="97"/>
        <v>HR-Concord and Martinez-Greater Downtown San Francisco-Other maintenance</v>
      </c>
      <c r="B2065">
        <v>21</v>
      </c>
      <c r="C2065" t="str">
        <f t="shared" si="98"/>
        <v>Concord and Martinez</v>
      </c>
      <c r="D2065">
        <v>1</v>
      </c>
      <c r="E2065" t="str">
        <f t="shared" si="98"/>
        <v>Greater Downtown San Francisco</v>
      </c>
      <c r="F2065" t="s">
        <v>325</v>
      </c>
      <c r="G2065">
        <f t="shared" si="96"/>
        <v>4</v>
      </c>
      <c r="H2065" t="s">
        <v>124</v>
      </c>
      <c r="I2065" t="s">
        <v>188</v>
      </c>
      <c r="J2065">
        <v>1</v>
      </c>
      <c r="K2065">
        <v>95.822099447513807</v>
      </c>
    </row>
    <row r="2066" spans="1:11" x14ac:dyDescent="0.25">
      <c r="A2066" s="159" t="str">
        <f t="shared" si="97"/>
        <v>LB-Concord and Martinez-Greater Downtown San Francisco-Shopping</v>
      </c>
      <c r="B2066">
        <v>21</v>
      </c>
      <c r="C2066" t="str">
        <f t="shared" si="98"/>
        <v>Concord and Martinez</v>
      </c>
      <c r="D2066">
        <v>1</v>
      </c>
      <c r="E2066" t="str">
        <f t="shared" si="98"/>
        <v>Greater Downtown San Francisco</v>
      </c>
      <c r="F2066" t="s">
        <v>106</v>
      </c>
      <c r="G2066">
        <f t="shared" si="96"/>
        <v>4</v>
      </c>
      <c r="H2066" t="s">
        <v>359</v>
      </c>
      <c r="I2066" t="s">
        <v>191</v>
      </c>
      <c r="J2066">
        <v>1</v>
      </c>
      <c r="K2066">
        <v>33.269230769230802</v>
      </c>
    </row>
    <row r="2067" spans="1:11" x14ac:dyDescent="0.25">
      <c r="A2067" s="159" t="str">
        <f t="shared" si="97"/>
        <v>FR-Concord and Martinez-Greater Downtown San Francisco-Social recreation</v>
      </c>
      <c r="B2067">
        <v>21</v>
      </c>
      <c r="C2067" t="str">
        <f t="shared" si="98"/>
        <v>Concord and Martinez</v>
      </c>
      <c r="D2067">
        <v>1</v>
      </c>
      <c r="E2067" t="str">
        <f t="shared" si="98"/>
        <v>Greater Downtown San Francisco</v>
      </c>
      <c r="F2067" t="s">
        <v>324</v>
      </c>
      <c r="G2067">
        <f t="shared" si="96"/>
        <v>5</v>
      </c>
      <c r="H2067" t="s">
        <v>360</v>
      </c>
      <c r="I2067" t="s">
        <v>185</v>
      </c>
      <c r="J2067">
        <v>1</v>
      </c>
      <c r="K2067">
        <v>16.498422712933699</v>
      </c>
    </row>
    <row r="2068" spans="1:11" x14ac:dyDescent="0.25">
      <c r="A2068" s="159" t="str">
        <f t="shared" si="97"/>
        <v>EB-Concord and Martinez-Greater Downtown San Francisco-Work</v>
      </c>
      <c r="B2068">
        <v>21</v>
      </c>
      <c r="C2068" t="str">
        <f t="shared" si="98"/>
        <v>Concord and Martinez</v>
      </c>
      <c r="D2068">
        <v>1</v>
      </c>
      <c r="E2068" t="str">
        <f t="shared" si="98"/>
        <v>Greater Downtown San Francisco</v>
      </c>
      <c r="F2068" t="s">
        <v>30</v>
      </c>
      <c r="G2068">
        <f t="shared" si="96"/>
        <v>1</v>
      </c>
      <c r="H2068" t="s">
        <v>123</v>
      </c>
      <c r="I2068" t="s">
        <v>182</v>
      </c>
      <c r="J2068">
        <v>1</v>
      </c>
      <c r="K2068">
        <v>7.3684210526315796</v>
      </c>
    </row>
    <row r="2069" spans="1:11" x14ac:dyDescent="0.25">
      <c r="A2069" s="159" t="str">
        <f t="shared" si="97"/>
        <v>HR-Concord and Martinez-Greater Downtown San Francisco-Work</v>
      </c>
      <c r="B2069">
        <v>21</v>
      </c>
      <c r="C2069" t="str">
        <f t="shared" si="98"/>
        <v>Concord and Martinez</v>
      </c>
      <c r="D2069">
        <v>1</v>
      </c>
      <c r="E2069" t="str">
        <f t="shared" si="98"/>
        <v>Greater Downtown San Francisco</v>
      </c>
      <c r="F2069" t="s">
        <v>30</v>
      </c>
      <c r="G2069">
        <f t="shared" si="96"/>
        <v>1</v>
      </c>
      <c r="H2069" t="s">
        <v>124</v>
      </c>
      <c r="I2069" t="s">
        <v>188</v>
      </c>
      <c r="J2069">
        <v>10</v>
      </c>
      <c r="K2069">
        <v>958.22099447513801</v>
      </c>
    </row>
    <row r="2070" spans="1:11" x14ac:dyDescent="0.25">
      <c r="A2070" s="159" t="str">
        <f t="shared" si="97"/>
        <v>LB-Concord and Martinez-Greater Downtown San Francisco-Work</v>
      </c>
      <c r="B2070">
        <v>21</v>
      </c>
      <c r="C2070" t="str">
        <f t="shared" si="98"/>
        <v>Concord and Martinez</v>
      </c>
      <c r="D2070">
        <v>1</v>
      </c>
      <c r="E2070" t="str">
        <f t="shared" si="98"/>
        <v>Greater Downtown San Francisco</v>
      </c>
      <c r="F2070" t="s">
        <v>30</v>
      </c>
      <c r="G2070">
        <f t="shared" si="96"/>
        <v>1</v>
      </c>
      <c r="H2070" t="s">
        <v>359</v>
      </c>
      <c r="I2070" t="s">
        <v>191</v>
      </c>
      <c r="J2070">
        <v>2</v>
      </c>
      <c r="K2070">
        <v>39.455968688845402</v>
      </c>
    </row>
    <row r="2071" spans="1:11" x14ac:dyDescent="0.25">
      <c r="A2071" s="159" t="str">
        <f t="shared" si="97"/>
        <v>LB-Concord and Martinez-San Francisco Richmond District-Other maintenance</v>
      </c>
      <c r="B2071">
        <v>21</v>
      </c>
      <c r="C2071" t="str">
        <f t="shared" si="98"/>
        <v>Concord and Martinez</v>
      </c>
      <c r="D2071">
        <v>2</v>
      </c>
      <c r="E2071" t="str">
        <f t="shared" si="98"/>
        <v>San Francisco Richmond District</v>
      </c>
      <c r="F2071" t="s">
        <v>325</v>
      </c>
      <c r="G2071">
        <f t="shared" si="96"/>
        <v>4</v>
      </c>
      <c r="H2071" t="s">
        <v>359</v>
      </c>
      <c r="I2071" t="s">
        <v>191</v>
      </c>
      <c r="J2071">
        <v>1</v>
      </c>
      <c r="K2071">
        <v>286.12835472578797</v>
      </c>
    </row>
    <row r="2072" spans="1:11" x14ac:dyDescent="0.25">
      <c r="A2072" s="159" t="str">
        <f t="shared" si="97"/>
        <v>LB-Concord and Martinez-San Francisco Richmond District-Social recreation</v>
      </c>
      <c r="B2072">
        <v>21</v>
      </c>
      <c r="C2072" t="str">
        <f t="shared" si="98"/>
        <v>Concord and Martinez</v>
      </c>
      <c r="D2072">
        <v>2</v>
      </c>
      <c r="E2072" t="str">
        <f t="shared" si="98"/>
        <v>San Francisco Richmond District</v>
      </c>
      <c r="F2072" t="s">
        <v>324</v>
      </c>
      <c r="G2072">
        <f t="shared" si="96"/>
        <v>5</v>
      </c>
      <c r="H2072" t="s">
        <v>359</v>
      </c>
      <c r="I2072" t="s">
        <v>191</v>
      </c>
      <c r="J2072">
        <v>1</v>
      </c>
      <c r="K2072">
        <v>286.12835472578797</v>
      </c>
    </row>
    <row r="2073" spans="1:11" x14ac:dyDescent="0.25">
      <c r="A2073" s="159" t="str">
        <f t="shared" si="97"/>
        <v>HR-Concord and Martinez-San Francisco Richmond District-Work</v>
      </c>
      <c r="B2073">
        <v>21</v>
      </c>
      <c r="C2073" t="str">
        <f t="shared" si="98"/>
        <v>Concord and Martinez</v>
      </c>
      <c r="D2073">
        <v>2</v>
      </c>
      <c r="E2073" t="str">
        <f t="shared" si="98"/>
        <v>San Francisco Richmond District</v>
      </c>
      <c r="F2073" t="s">
        <v>30</v>
      </c>
      <c r="G2073">
        <f t="shared" si="96"/>
        <v>1</v>
      </c>
      <c r="H2073" t="s">
        <v>124</v>
      </c>
      <c r="I2073" t="s">
        <v>188</v>
      </c>
      <c r="J2073">
        <v>2</v>
      </c>
      <c r="K2073">
        <v>291.33605293588499</v>
      </c>
    </row>
    <row r="2074" spans="1:11" x14ac:dyDescent="0.25">
      <c r="A2074" s="159" t="str">
        <f t="shared" si="97"/>
        <v>LB-Concord and Martinez-San Francisco Richmond District-Work</v>
      </c>
      <c r="B2074">
        <v>21</v>
      </c>
      <c r="C2074" t="str">
        <f t="shared" si="98"/>
        <v>Concord and Martinez</v>
      </c>
      <c r="D2074">
        <v>2</v>
      </c>
      <c r="E2074" t="str">
        <f t="shared" si="98"/>
        <v>San Francisco Richmond District</v>
      </c>
      <c r="F2074" t="s">
        <v>30</v>
      </c>
      <c r="G2074">
        <f t="shared" si="96"/>
        <v>1</v>
      </c>
      <c r="H2074" t="s">
        <v>359</v>
      </c>
      <c r="I2074" t="s">
        <v>191</v>
      </c>
      <c r="J2074">
        <v>1</v>
      </c>
      <c r="K2074">
        <v>19.727984344422701</v>
      </c>
    </row>
    <row r="2075" spans="1:11" x14ac:dyDescent="0.25">
      <c r="A2075" s="159" t="str">
        <f t="shared" si="97"/>
        <v>HR-Concord and Martinez-San Francisco Mission District-Work</v>
      </c>
      <c r="B2075">
        <v>21</v>
      </c>
      <c r="C2075" t="str">
        <f t="shared" si="98"/>
        <v>Concord and Martinez</v>
      </c>
      <c r="D2075">
        <v>3</v>
      </c>
      <c r="E2075" t="str">
        <f t="shared" si="98"/>
        <v>San Francisco Mission District</v>
      </c>
      <c r="F2075" t="s">
        <v>30</v>
      </c>
      <c r="G2075">
        <f t="shared" si="96"/>
        <v>1</v>
      </c>
      <c r="H2075" t="s">
        <v>124</v>
      </c>
      <c r="I2075" t="s">
        <v>188</v>
      </c>
      <c r="J2075">
        <v>1</v>
      </c>
      <c r="K2075">
        <v>95.822099447513807</v>
      </c>
    </row>
    <row r="2076" spans="1:11" x14ac:dyDescent="0.25">
      <c r="A2076" s="159" t="str">
        <f t="shared" si="97"/>
        <v>LR-Concord and Martinez-San Francisco Mission District-Work</v>
      </c>
      <c r="B2076">
        <v>21</v>
      </c>
      <c r="C2076" t="str">
        <f t="shared" si="98"/>
        <v>Concord and Martinez</v>
      </c>
      <c r="D2076">
        <v>3</v>
      </c>
      <c r="E2076" t="str">
        <f t="shared" si="98"/>
        <v>San Francisco Mission District</v>
      </c>
      <c r="F2076" t="s">
        <v>30</v>
      </c>
      <c r="G2076">
        <f t="shared" si="96"/>
        <v>1</v>
      </c>
      <c r="H2076" t="s">
        <v>353</v>
      </c>
      <c r="I2076" t="s">
        <v>194</v>
      </c>
      <c r="J2076">
        <v>1</v>
      </c>
      <c r="K2076">
        <v>286.12835472578797</v>
      </c>
    </row>
    <row r="2077" spans="1:11" x14ac:dyDescent="0.25">
      <c r="A2077" s="159" t="str">
        <f t="shared" si="97"/>
        <v>LB-Concord and Martinez-San Francisco Mission District-Work</v>
      </c>
      <c r="B2077">
        <v>21</v>
      </c>
      <c r="C2077" t="str">
        <f t="shared" si="98"/>
        <v>Concord and Martinez</v>
      </c>
      <c r="D2077">
        <v>3</v>
      </c>
      <c r="E2077" t="str">
        <f t="shared" si="98"/>
        <v>San Francisco Mission District</v>
      </c>
      <c r="F2077" t="s">
        <v>30</v>
      </c>
      <c r="G2077">
        <f t="shared" si="96"/>
        <v>1</v>
      </c>
      <c r="H2077" t="s">
        <v>359</v>
      </c>
      <c r="I2077" t="s">
        <v>191</v>
      </c>
      <c r="J2077">
        <v>3</v>
      </c>
      <c r="K2077">
        <v>591.98469379599806</v>
      </c>
    </row>
    <row r="2078" spans="1:11" x14ac:dyDescent="0.25">
      <c r="A2078" s="159" t="str">
        <f t="shared" si="97"/>
        <v>HR-Concord and Martinez-San Francisco Sunset District-High school</v>
      </c>
      <c r="B2078">
        <v>21</v>
      </c>
      <c r="C2078" t="str">
        <f t="shared" si="98"/>
        <v>Concord and Martinez</v>
      </c>
      <c r="D2078">
        <v>4</v>
      </c>
      <c r="E2078" t="str">
        <f t="shared" si="98"/>
        <v>San Francisco Sunset District</v>
      </c>
      <c r="F2078" t="s">
        <v>326</v>
      </c>
      <c r="G2078">
        <f t="shared" si="96"/>
        <v>3</v>
      </c>
      <c r="H2078" t="s">
        <v>124</v>
      </c>
      <c r="I2078" t="s">
        <v>188</v>
      </c>
      <c r="J2078">
        <v>1</v>
      </c>
      <c r="K2078">
        <v>95.822099447513807</v>
      </c>
    </row>
    <row r="2079" spans="1:11" x14ac:dyDescent="0.25">
      <c r="A2079" s="159" t="str">
        <f t="shared" si="97"/>
        <v>HR-Concord and Martinez-Daly City and San Bruno-High school</v>
      </c>
      <c r="B2079">
        <v>21</v>
      </c>
      <c r="C2079" t="str">
        <f t="shared" si="98"/>
        <v>Concord and Martinez</v>
      </c>
      <c r="D2079">
        <v>5</v>
      </c>
      <c r="E2079" t="str">
        <f t="shared" si="98"/>
        <v>Daly City and San Bruno</v>
      </c>
      <c r="F2079" t="s">
        <v>326</v>
      </c>
      <c r="G2079">
        <f t="shared" si="96"/>
        <v>3</v>
      </c>
      <c r="H2079" t="s">
        <v>124</v>
      </c>
      <c r="I2079" t="s">
        <v>188</v>
      </c>
      <c r="J2079">
        <v>1</v>
      </c>
      <c r="K2079">
        <v>95.822099447513807</v>
      </c>
    </row>
    <row r="2080" spans="1:11" x14ac:dyDescent="0.25">
      <c r="A2080" s="159" t="str">
        <f t="shared" si="97"/>
        <v>HR-Concord and Martinez-Daly City and San Bruno-Missing</v>
      </c>
      <c r="B2080">
        <v>21</v>
      </c>
      <c r="C2080" t="str">
        <f t="shared" si="98"/>
        <v>Concord and Martinez</v>
      </c>
      <c r="D2080">
        <v>5</v>
      </c>
      <c r="E2080" t="str">
        <f t="shared" si="98"/>
        <v>Daly City and San Bruno</v>
      </c>
      <c r="F2080" t="s">
        <v>327</v>
      </c>
      <c r="G2080">
        <f t="shared" si="96"/>
        <v>0</v>
      </c>
      <c r="H2080" t="s">
        <v>124</v>
      </c>
      <c r="I2080" t="s">
        <v>188</v>
      </c>
      <c r="J2080">
        <v>1</v>
      </c>
      <c r="K2080">
        <v>95.822099447513807</v>
      </c>
    </row>
    <row r="2081" spans="1:11" x14ac:dyDescent="0.25">
      <c r="A2081" s="159" t="str">
        <f t="shared" si="97"/>
        <v>HR-Concord and Martinez-Daly City and San Bruno-Social recreation</v>
      </c>
      <c r="B2081">
        <v>21</v>
      </c>
      <c r="C2081" t="str">
        <f t="shared" si="98"/>
        <v>Concord and Martinez</v>
      </c>
      <c r="D2081">
        <v>5</v>
      </c>
      <c r="E2081" t="str">
        <f t="shared" si="98"/>
        <v>Daly City and San Bruno</v>
      </c>
      <c r="F2081" t="s">
        <v>324</v>
      </c>
      <c r="G2081">
        <f t="shared" si="96"/>
        <v>5</v>
      </c>
      <c r="H2081" t="s">
        <v>124</v>
      </c>
      <c r="I2081" t="s">
        <v>188</v>
      </c>
      <c r="J2081">
        <v>4</v>
      </c>
      <c r="K2081">
        <v>383.288397790055</v>
      </c>
    </row>
    <row r="2082" spans="1:11" x14ac:dyDescent="0.25">
      <c r="A2082" s="159" t="str">
        <f t="shared" si="97"/>
        <v>HR-Concord and Martinez-Daly City and San Bruno-Work</v>
      </c>
      <c r="B2082">
        <v>21</v>
      </c>
      <c r="C2082" t="str">
        <f t="shared" si="98"/>
        <v>Concord and Martinez</v>
      </c>
      <c r="D2082">
        <v>5</v>
      </c>
      <c r="E2082" t="str">
        <f t="shared" si="98"/>
        <v>Daly City and San Bruno</v>
      </c>
      <c r="F2082" t="s">
        <v>30</v>
      </c>
      <c r="G2082">
        <f t="shared" si="96"/>
        <v>1</v>
      </c>
      <c r="H2082" t="s">
        <v>124</v>
      </c>
      <c r="I2082" t="s">
        <v>188</v>
      </c>
      <c r="J2082">
        <v>2</v>
      </c>
      <c r="K2082">
        <v>191.64419889502699</v>
      </c>
    </row>
    <row r="2083" spans="1:11" x14ac:dyDescent="0.25">
      <c r="A2083" s="159" t="str">
        <f t="shared" si="97"/>
        <v>LB-Concord and Martinez-Palo Alto and Los Altos-Work</v>
      </c>
      <c r="B2083">
        <v>21</v>
      </c>
      <c r="C2083" t="str">
        <f t="shared" si="98"/>
        <v>Concord and Martinez</v>
      </c>
      <c r="D2083">
        <v>8</v>
      </c>
      <c r="E2083" t="str">
        <f t="shared" si="98"/>
        <v>Palo Alto and Los Altos</v>
      </c>
      <c r="F2083" t="s">
        <v>30</v>
      </c>
      <c r="G2083">
        <f t="shared" si="96"/>
        <v>1</v>
      </c>
      <c r="H2083" t="s">
        <v>359</v>
      </c>
      <c r="I2083" t="s">
        <v>191</v>
      </c>
      <c r="J2083">
        <v>1</v>
      </c>
      <c r="K2083">
        <v>19.727984344422701</v>
      </c>
    </row>
    <row r="2084" spans="1:11" x14ac:dyDescent="0.25">
      <c r="A2084" s="159" t="str">
        <f t="shared" si="97"/>
        <v>LB-Concord and Martinez-Central San Jose-High school</v>
      </c>
      <c r="B2084">
        <v>21</v>
      </c>
      <c r="C2084" t="str">
        <f t="shared" si="98"/>
        <v>Concord and Martinez</v>
      </c>
      <c r="D2084">
        <v>11</v>
      </c>
      <c r="E2084" t="str">
        <f t="shared" si="98"/>
        <v>Central San Jose</v>
      </c>
      <c r="F2084" t="s">
        <v>326</v>
      </c>
      <c r="G2084">
        <f t="shared" si="96"/>
        <v>3</v>
      </c>
      <c r="H2084" t="s">
        <v>359</v>
      </c>
      <c r="I2084" t="s">
        <v>191</v>
      </c>
      <c r="J2084">
        <v>1</v>
      </c>
      <c r="K2084">
        <v>19.727984344422701</v>
      </c>
    </row>
    <row r="2085" spans="1:11" x14ac:dyDescent="0.25">
      <c r="A2085" s="159" t="str">
        <f t="shared" si="97"/>
        <v>LB-Concord and Martinez-Central San Jose-Work</v>
      </c>
      <c r="B2085">
        <v>21</v>
      </c>
      <c r="C2085" t="str">
        <f t="shared" si="98"/>
        <v>Concord and Martinez</v>
      </c>
      <c r="D2085">
        <v>11</v>
      </c>
      <c r="E2085" t="str">
        <f t="shared" si="98"/>
        <v>Central San Jose</v>
      </c>
      <c r="F2085" t="s">
        <v>30</v>
      </c>
      <c r="G2085">
        <f t="shared" si="96"/>
        <v>1</v>
      </c>
      <c r="H2085" t="s">
        <v>359</v>
      </c>
      <c r="I2085" t="s">
        <v>191</v>
      </c>
      <c r="J2085">
        <v>1</v>
      </c>
      <c r="K2085">
        <v>62.646773074254</v>
      </c>
    </row>
    <row r="2086" spans="1:11" x14ac:dyDescent="0.25">
      <c r="A2086" s="159" t="str">
        <f t="shared" si="97"/>
        <v>CR-Concord and Martinez-Gilroy and Morgan Hill-Social recreation</v>
      </c>
      <c r="B2086">
        <v>21</v>
      </c>
      <c r="C2086" t="str">
        <f t="shared" si="98"/>
        <v>Concord and Martinez</v>
      </c>
      <c r="D2086">
        <v>14</v>
      </c>
      <c r="E2086" t="str">
        <f t="shared" si="98"/>
        <v>Gilroy and Morgan Hill</v>
      </c>
      <c r="F2086" t="s">
        <v>324</v>
      </c>
      <c r="G2086">
        <f t="shared" si="96"/>
        <v>5</v>
      </c>
      <c r="H2086" t="s">
        <v>125</v>
      </c>
      <c r="I2086" t="s">
        <v>178</v>
      </c>
      <c r="J2086">
        <v>1</v>
      </c>
      <c r="K2086">
        <v>23.4305084745763</v>
      </c>
    </row>
    <row r="2087" spans="1:11" x14ac:dyDescent="0.25">
      <c r="A2087" s="159" t="str">
        <f t="shared" si="97"/>
        <v>LB-Concord and Martinez-Livermore and Pleasanton-Missing</v>
      </c>
      <c r="B2087">
        <v>21</v>
      </c>
      <c r="C2087" t="str">
        <f t="shared" si="98"/>
        <v>Concord and Martinez</v>
      </c>
      <c r="D2087">
        <v>15</v>
      </c>
      <c r="E2087" t="str">
        <f t="shared" si="98"/>
        <v>Livermore and Pleasanton</v>
      </c>
      <c r="F2087" t="s">
        <v>327</v>
      </c>
      <c r="G2087">
        <f t="shared" si="96"/>
        <v>0</v>
      </c>
      <c r="H2087" t="s">
        <v>359</v>
      </c>
      <c r="I2087" t="s">
        <v>191</v>
      </c>
      <c r="J2087">
        <v>1</v>
      </c>
      <c r="K2087">
        <v>14.1111111111111</v>
      </c>
    </row>
    <row r="2088" spans="1:11" x14ac:dyDescent="0.25">
      <c r="A2088" s="159" t="str">
        <f t="shared" si="97"/>
        <v>LB-Concord and Martinez-Livermore and Pleasanton-Work</v>
      </c>
      <c r="B2088">
        <v>21</v>
      </c>
      <c r="C2088" t="str">
        <f t="shared" si="98"/>
        <v>Concord and Martinez</v>
      </c>
      <c r="D2088">
        <v>15</v>
      </c>
      <c r="E2088" t="str">
        <f t="shared" si="98"/>
        <v>Livermore and Pleasanton</v>
      </c>
      <c r="F2088" t="s">
        <v>30</v>
      </c>
      <c r="G2088">
        <f t="shared" si="96"/>
        <v>1</v>
      </c>
      <c r="H2088" t="s">
        <v>359</v>
      </c>
      <c r="I2088" t="s">
        <v>191</v>
      </c>
      <c r="J2088">
        <v>4</v>
      </c>
      <c r="K2088">
        <v>56.4444444444444</v>
      </c>
    </row>
    <row r="2089" spans="1:11" x14ac:dyDescent="0.25">
      <c r="A2089" s="159" t="str">
        <f t="shared" si="97"/>
        <v>LB-Concord and Martinez-Fremont and Union City-High school</v>
      </c>
      <c r="B2089">
        <v>21</v>
      </c>
      <c r="C2089" t="str">
        <f t="shared" si="98"/>
        <v>Concord and Martinez</v>
      </c>
      <c r="D2089">
        <v>16</v>
      </c>
      <c r="E2089" t="str">
        <f t="shared" si="98"/>
        <v>Fremont and Union City</v>
      </c>
      <c r="F2089" t="s">
        <v>326</v>
      </c>
      <c r="G2089">
        <f t="shared" si="96"/>
        <v>3</v>
      </c>
      <c r="H2089" t="s">
        <v>359</v>
      </c>
      <c r="I2089" t="s">
        <v>191</v>
      </c>
      <c r="J2089">
        <v>1</v>
      </c>
      <c r="K2089">
        <v>75.575262543757304</v>
      </c>
    </row>
    <row r="2090" spans="1:11" x14ac:dyDescent="0.25">
      <c r="A2090" s="159" t="str">
        <f t="shared" si="97"/>
        <v>HR-Concord and Martinez-Fremont and Union City-Work</v>
      </c>
      <c r="B2090">
        <v>21</v>
      </c>
      <c r="C2090" t="str">
        <f t="shared" si="98"/>
        <v>Concord and Martinez</v>
      </c>
      <c r="D2090">
        <v>16</v>
      </c>
      <c r="E2090" t="str">
        <f t="shared" si="98"/>
        <v>Fremont and Union City</v>
      </c>
      <c r="F2090" t="s">
        <v>30</v>
      </c>
      <c r="G2090">
        <f t="shared" si="96"/>
        <v>1</v>
      </c>
      <c r="H2090" t="s">
        <v>124</v>
      </c>
      <c r="I2090" t="s">
        <v>188</v>
      </c>
      <c r="J2090">
        <v>1</v>
      </c>
      <c r="K2090">
        <v>95.822099447513807</v>
      </c>
    </row>
    <row r="2091" spans="1:11" x14ac:dyDescent="0.25">
      <c r="A2091" s="159" t="str">
        <f t="shared" si="97"/>
        <v>EB-Concord and Martinez-Hayward and San Leandro-Missing</v>
      </c>
      <c r="B2091">
        <v>21</v>
      </c>
      <c r="C2091" t="str">
        <f t="shared" si="98"/>
        <v>Concord and Martinez</v>
      </c>
      <c r="D2091">
        <v>17</v>
      </c>
      <c r="E2091" t="str">
        <f t="shared" si="98"/>
        <v>Hayward and San Leandro</v>
      </c>
      <c r="F2091" t="s">
        <v>327</v>
      </c>
      <c r="G2091">
        <f t="shared" si="96"/>
        <v>0</v>
      </c>
      <c r="H2091" t="s">
        <v>123</v>
      </c>
      <c r="I2091" t="s">
        <v>182</v>
      </c>
      <c r="J2091">
        <v>1</v>
      </c>
      <c r="K2091">
        <v>7.3684210526315796</v>
      </c>
    </row>
    <row r="2092" spans="1:11" x14ac:dyDescent="0.25">
      <c r="A2092" s="159" t="str">
        <f t="shared" si="97"/>
        <v>HR-Concord and Martinez-Hayward and San Leandro-Work</v>
      </c>
      <c r="B2092">
        <v>21</v>
      </c>
      <c r="C2092" t="str">
        <f t="shared" si="98"/>
        <v>Concord and Martinez</v>
      </c>
      <c r="D2092">
        <v>17</v>
      </c>
      <c r="E2092" t="str">
        <f t="shared" si="98"/>
        <v>Hayward and San Leandro</v>
      </c>
      <c r="F2092" t="s">
        <v>30</v>
      </c>
      <c r="G2092">
        <f t="shared" si="96"/>
        <v>1</v>
      </c>
      <c r="H2092" t="s">
        <v>124</v>
      </c>
      <c r="I2092" t="s">
        <v>188</v>
      </c>
      <c r="J2092">
        <v>4</v>
      </c>
      <c r="K2092">
        <v>383.288397790055</v>
      </c>
    </row>
    <row r="2093" spans="1:11" x14ac:dyDescent="0.25">
      <c r="A2093" s="159" t="str">
        <f t="shared" si="97"/>
        <v>LB-Concord and Martinez-Oakland and Alameda-High school</v>
      </c>
      <c r="B2093">
        <v>21</v>
      </c>
      <c r="C2093" t="str">
        <f t="shared" si="98"/>
        <v>Concord and Martinez</v>
      </c>
      <c r="D2093">
        <v>18</v>
      </c>
      <c r="E2093" t="str">
        <f t="shared" si="98"/>
        <v>Oakland and Alameda</v>
      </c>
      <c r="F2093" t="s">
        <v>326</v>
      </c>
      <c r="G2093">
        <f t="shared" si="96"/>
        <v>3</v>
      </c>
      <c r="H2093" t="s">
        <v>359</v>
      </c>
      <c r="I2093" t="s">
        <v>191</v>
      </c>
      <c r="J2093">
        <v>2</v>
      </c>
      <c r="K2093">
        <v>39.455968688845402</v>
      </c>
    </row>
    <row r="2094" spans="1:11" x14ac:dyDescent="0.25">
      <c r="A2094" s="159" t="str">
        <f t="shared" si="97"/>
        <v>LB-Concord and Martinez-Oakland and Alameda-Missing</v>
      </c>
      <c r="B2094">
        <v>21</v>
      </c>
      <c r="C2094" t="str">
        <f t="shared" si="98"/>
        <v>Concord and Martinez</v>
      </c>
      <c r="D2094">
        <v>18</v>
      </c>
      <c r="E2094" t="str">
        <f t="shared" si="98"/>
        <v>Oakland and Alameda</v>
      </c>
      <c r="F2094" t="s">
        <v>327</v>
      </c>
      <c r="G2094">
        <f t="shared" si="96"/>
        <v>0</v>
      </c>
      <c r="H2094" t="s">
        <v>359</v>
      </c>
      <c r="I2094" t="s">
        <v>191</v>
      </c>
      <c r="J2094">
        <v>3</v>
      </c>
      <c r="K2094">
        <v>115.031231232602</v>
      </c>
    </row>
    <row r="2095" spans="1:11" x14ac:dyDescent="0.25">
      <c r="A2095" s="159" t="str">
        <f t="shared" si="97"/>
        <v>HR-Concord and Martinez-Oakland and Alameda-Other maintenance</v>
      </c>
      <c r="B2095">
        <v>21</v>
      </c>
      <c r="C2095" t="str">
        <f t="shared" si="98"/>
        <v>Concord and Martinez</v>
      </c>
      <c r="D2095">
        <v>18</v>
      </c>
      <c r="E2095" t="str">
        <f t="shared" si="98"/>
        <v>Oakland and Alameda</v>
      </c>
      <c r="F2095" t="s">
        <v>325</v>
      </c>
      <c r="G2095">
        <f t="shared" si="96"/>
        <v>4</v>
      </c>
      <c r="H2095" t="s">
        <v>124</v>
      </c>
      <c r="I2095" t="s">
        <v>188</v>
      </c>
      <c r="J2095">
        <v>1</v>
      </c>
      <c r="K2095">
        <v>95.822099447513807</v>
      </c>
    </row>
    <row r="2096" spans="1:11" x14ac:dyDescent="0.25">
      <c r="A2096" s="159" t="str">
        <f t="shared" si="97"/>
        <v>HR-Concord and Martinez-Oakland and Alameda-Social recreation</v>
      </c>
      <c r="B2096">
        <v>21</v>
      </c>
      <c r="C2096" t="str">
        <f t="shared" si="98"/>
        <v>Concord and Martinez</v>
      </c>
      <c r="D2096">
        <v>18</v>
      </c>
      <c r="E2096" t="str">
        <f t="shared" si="98"/>
        <v>Oakland and Alameda</v>
      </c>
      <c r="F2096" t="s">
        <v>324</v>
      </c>
      <c r="G2096">
        <f t="shared" si="96"/>
        <v>5</v>
      </c>
      <c r="H2096" t="s">
        <v>124</v>
      </c>
      <c r="I2096" t="s">
        <v>188</v>
      </c>
      <c r="J2096">
        <v>1</v>
      </c>
      <c r="K2096">
        <v>95.822099447513807</v>
      </c>
    </row>
    <row r="2097" spans="1:11" x14ac:dyDescent="0.25">
      <c r="A2097" s="159" t="str">
        <f t="shared" si="97"/>
        <v>LB-Concord and Martinez-Oakland and Alameda-Social recreation</v>
      </c>
      <c r="B2097">
        <v>21</v>
      </c>
      <c r="C2097" t="str">
        <f t="shared" si="98"/>
        <v>Concord and Martinez</v>
      </c>
      <c r="D2097">
        <v>18</v>
      </c>
      <c r="E2097" t="str">
        <f t="shared" si="98"/>
        <v>Oakland and Alameda</v>
      </c>
      <c r="F2097" t="s">
        <v>324</v>
      </c>
      <c r="G2097">
        <f t="shared" si="96"/>
        <v>5</v>
      </c>
      <c r="H2097" t="s">
        <v>359</v>
      </c>
      <c r="I2097" t="s">
        <v>191</v>
      </c>
      <c r="J2097">
        <v>1</v>
      </c>
      <c r="K2097">
        <v>33.269230769230802</v>
      </c>
    </row>
    <row r="2098" spans="1:11" x14ac:dyDescent="0.25">
      <c r="A2098" s="159" t="str">
        <f t="shared" si="97"/>
        <v>HR-Concord and Martinez-Oakland and Alameda-Work</v>
      </c>
      <c r="B2098">
        <v>21</v>
      </c>
      <c r="C2098" t="str">
        <f t="shared" si="98"/>
        <v>Concord and Martinez</v>
      </c>
      <c r="D2098">
        <v>18</v>
      </c>
      <c r="E2098" t="str">
        <f t="shared" si="98"/>
        <v>Oakland and Alameda</v>
      </c>
      <c r="F2098" t="s">
        <v>30</v>
      </c>
      <c r="G2098">
        <f t="shared" si="96"/>
        <v>1</v>
      </c>
      <c r="H2098" t="s">
        <v>124</v>
      </c>
      <c r="I2098" t="s">
        <v>188</v>
      </c>
      <c r="J2098">
        <v>4</v>
      </c>
      <c r="K2098">
        <v>383.288397790055</v>
      </c>
    </row>
    <row r="2099" spans="1:11" x14ac:dyDescent="0.25">
      <c r="A2099" s="159" t="str">
        <f t="shared" si="97"/>
        <v>LB-Concord and Martinez-Oakland and Alameda-Work</v>
      </c>
      <c r="B2099">
        <v>21</v>
      </c>
      <c r="C2099" t="str">
        <f t="shared" si="98"/>
        <v>Concord and Martinez</v>
      </c>
      <c r="D2099">
        <v>18</v>
      </c>
      <c r="E2099" t="str">
        <f t="shared" si="98"/>
        <v>Oakland and Alameda</v>
      </c>
      <c r="F2099" t="s">
        <v>30</v>
      </c>
      <c r="G2099">
        <f t="shared" si="96"/>
        <v>1</v>
      </c>
      <c r="H2099" t="s">
        <v>359</v>
      </c>
      <c r="I2099" t="s">
        <v>191</v>
      </c>
      <c r="J2099">
        <v>3</v>
      </c>
      <c r="K2099">
        <v>67.4232714516817</v>
      </c>
    </row>
    <row r="2100" spans="1:11" x14ac:dyDescent="0.25">
      <c r="A2100" s="159" t="str">
        <f t="shared" si="97"/>
        <v>HR-Concord and Martinez-Berkeley and Albany-High school</v>
      </c>
      <c r="B2100">
        <v>21</v>
      </c>
      <c r="C2100" t="str">
        <f t="shared" si="98"/>
        <v>Concord and Martinez</v>
      </c>
      <c r="D2100">
        <v>19</v>
      </c>
      <c r="E2100" t="str">
        <f t="shared" si="98"/>
        <v>Berkeley and Albany</v>
      </c>
      <c r="F2100" t="s">
        <v>326</v>
      </c>
      <c r="G2100">
        <f t="shared" si="96"/>
        <v>3</v>
      </c>
      <c r="H2100" t="s">
        <v>124</v>
      </c>
      <c r="I2100" t="s">
        <v>188</v>
      </c>
      <c r="J2100">
        <v>1</v>
      </c>
      <c r="K2100">
        <v>95.822099447513807</v>
      </c>
    </row>
    <row r="2101" spans="1:11" x14ac:dyDescent="0.25">
      <c r="A2101" s="159" t="str">
        <f t="shared" si="97"/>
        <v>LB-Concord and Martinez-Berkeley and Albany-Missing</v>
      </c>
      <c r="B2101">
        <v>21</v>
      </c>
      <c r="C2101" t="str">
        <f t="shared" si="98"/>
        <v>Concord and Martinez</v>
      </c>
      <c r="D2101">
        <v>19</v>
      </c>
      <c r="E2101" t="str">
        <f t="shared" si="98"/>
        <v>Berkeley and Albany</v>
      </c>
      <c r="F2101" t="s">
        <v>327</v>
      </c>
      <c r="G2101">
        <f t="shared" si="96"/>
        <v>0</v>
      </c>
      <c r="H2101" t="s">
        <v>359</v>
      </c>
      <c r="I2101" t="s">
        <v>191</v>
      </c>
      <c r="J2101">
        <v>1</v>
      </c>
      <c r="K2101">
        <v>75.575262543757304</v>
      </c>
    </row>
    <row r="2102" spans="1:11" x14ac:dyDescent="0.25">
      <c r="A2102" s="159" t="str">
        <f t="shared" si="97"/>
        <v>HR-Concord and Martinez-Berkeley and Albany-Other maintenance</v>
      </c>
      <c r="B2102">
        <v>21</v>
      </c>
      <c r="C2102" t="str">
        <f t="shared" si="98"/>
        <v>Concord and Martinez</v>
      </c>
      <c r="D2102">
        <v>19</v>
      </c>
      <c r="E2102" t="str">
        <f t="shared" si="98"/>
        <v>Berkeley and Albany</v>
      </c>
      <c r="F2102" t="s">
        <v>325</v>
      </c>
      <c r="G2102">
        <f t="shared" si="96"/>
        <v>4</v>
      </c>
      <c r="H2102" t="s">
        <v>124</v>
      </c>
      <c r="I2102" t="s">
        <v>188</v>
      </c>
      <c r="J2102">
        <v>1</v>
      </c>
      <c r="K2102">
        <v>95.822099447513807</v>
      </c>
    </row>
    <row r="2103" spans="1:11" x14ac:dyDescent="0.25">
      <c r="A2103" s="159" t="str">
        <f t="shared" si="97"/>
        <v>HR-Concord and Martinez-Berkeley and Albany-Work</v>
      </c>
      <c r="B2103">
        <v>21</v>
      </c>
      <c r="C2103" t="str">
        <f t="shared" si="98"/>
        <v>Concord and Martinez</v>
      </c>
      <c r="D2103">
        <v>19</v>
      </c>
      <c r="E2103" t="str">
        <f t="shared" si="98"/>
        <v>Berkeley and Albany</v>
      </c>
      <c r="F2103" t="s">
        <v>30</v>
      </c>
      <c r="G2103">
        <f t="shared" si="96"/>
        <v>1</v>
      </c>
      <c r="H2103" t="s">
        <v>124</v>
      </c>
      <c r="I2103" t="s">
        <v>188</v>
      </c>
      <c r="J2103">
        <v>2</v>
      </c>
      <c r="K2103">
        <v>191.64419889502699</v>
      </c>
    </row>
    <row r="2104" spans="1:11" x14ac:dyDescent="0.25">
      <c r="A2104" s="159" t="str">
        <f t="shared" si="97"/>
        <v>LB-Concord and Martinez-Berkeley and Albany-Work</v>
      </c>
      <c r="B2104">
        <v>21</v>
      </c>
      <c r="C2104" t="str">
        <f t="shared" si="98"/>
        <v>Concord and Martinez</v>
      </c>
      <c r="D2104">
        <v>19</v>
      </c>
      <c r="E2104" t="str">
        <f t="shared" si="98"/>
        <v>Berkeley and Albany</v>
      </c>
      <c r="F2104" t="s">
        <v>30</v>
      </c>
      <c r="G2104">
        <f t="shared" si="96"/>
        <v>1</v>
      </c>
      <c r="H2104" t="s">
        <v>359</v>
      </c>
      <c r="I2104" t="s">
        <v>191</v>
      </c>
      <c r="J2104">
        <v>1</v>
      </c>
      <c r="K2104">
        <v>19.727984344422701</v>
      </c>
    </row>
    <row r="2105" spans="1:11" x14ac:dyDescent="0.25">
      <c r="A2105" s="159" t="str">
        <f t="shared" si="97"/>
        <v>LB-Concord and Martinez-Richmond and El Cerrito-High school</v>
      </c>
      <c r="B2105">
        <v>21</v>
      </c>
      <c r="C2105" t="str">
        <f t="shared" si="98"/>
        <v>Concord and Martinez</v>
      </c>
      <c r="D2105">
        <v>20</v>
      </c>
      <c r="E2105" t="str">
        <f t="shared" si="98"/>
        <v>Richmond and El Cerrito</v>
      </c>
      <c r="F2105" t="s">
        <v>326</v>
      </c>
      <c r="G2105">
        <f t="shared" si="96"/>
        <v>3</v>
      </c>
      <c r="H2105" t="s">
        <v>359</v>
      </c>
      <c r="I2105" t="s">
        <v>191</v>
      </c>
      <c r="J2105">
        <v>1</v>
      </c>
      <c r="K2105">
        <v>75.575262543757304</v>
      </c>
    </row>
    <row r="2106" spans="1:11" x14ac:dyDescent="0.25">
      <c r="A2106" s="159" t="str">
        <f t="shared" si="97"/>
        <v>EB-Concord and Martinez-Richmond and El Cerrito-Other maintenance</v>
      </c>
      <c r="B2106">
        <v>21</v>
      </c>
      <c r="C2106" t="str">
        <f t="shared" si="98"/>
        <v>Concord and Martinez</v>
      </c>
      <c r="D2106">
        <v>20</v>
      </c>
      <c r="E2106" t="str">
        <f t="shared" si="98"/>
        <v>Richmond and El Cerrito</v>
      </c>
      <c r="F2106" t="s">
        <v>325</v>
      </c>
      <c r="G2106">
        <f t="shared" si="96"/>
        <v>4</v>
      </c>
      <c r="H2106" t="s">
        <v>123</v>
      </c>
      <c r="I2106" t="s">
        <v>182</v>
      </c>
      <c r="J2106">
        <v>1</v>
      </c>
      <c r="K2106">
        <v>7.3684210526315796</v>
      </c>
    </row>
    <row r="2107" spans="1:11" x14ac:dyDescent="0.25">
      <c r="A2107" s="159" t="str">
        <f t="shared" si="97"/>
        <v>LB-Concord and Martinez-Concord and Martinez-High school</v>
      </c>
      <c r="B2107">
        <v>21</v>
      </c>
      <c r="C2107" t="str">
        <f t="shared" si="98"/>
        <v>Concord and Martinez</v>
      </c>
      <c r="D2107">
        <v>21</v>
      </c>
      <c r="E2107" t="str">
        <f t="shared" si="98"/>
        <v>Concord and Martinez</v>
      </c>
      <c r="F2107" t="s">
        <v>326</v>
      </c>
      <c r="G2107">
        <f t="shared" si="96"/>
        <v>3</v>
      </c>
      <c r="H2107" t="s">
        <v>359</v>
      </c>
      <c r="I2107" t="s">
        <v>191</v>
      </c>
      <c r="J2107">
        <v>42</v>
      </c>
      <c r="K2107">
        <v>863.89715373378294</v>
      </c>
    </row>
    <row r="2108" spans="1:11" x14ac:dyDescent="0.25">
      <c r="A2108" s="159" t="str">
        <f t="shared" si="97"/>
        <v>EB-Concord and Martinez-Concord and Martinez-Missing</v>
      </c>
      <c r="B2108">
        <v>21</v>
      </c>
      <c r="C2108" t="str">
        <f t="shared" si="98"/>
        <v>Concord and Martinez</v>
      </c>
      <c r="D2108">
        <v>21</v>
      </c>
      <c r="E2108" t="str">
        <f t="shared" si="98"/>
        <v>Concord and Martinez</v>
      </c>
      <c r="F2108" t="s">
        <v>327</v>
      </c>
      <c r="G2108">
        <f t="shared" si="96"/>
        <v>0</v>
      </c>
      <c r="H2108" t="s">
        <v>123</v>
      </c>
      <c r="I2108" t="s">
        <v>182</v>
      </c>
      <c r="J2108">
        <v>1</v>
      </c>
      <c r="K2108">
        <v>12.3349397590361</v>
      </c>
    </row>
    <row r="2109" spans="1:11" x14ac:dyDescent="0.25">
      <c r="A2109" s="159" t="str">
        <f t="shared" si="97"/>
        <v>LB-Concord and Martinez-Concord and Martinez-Missing</v>
      </c>
      <c r="B2109">
        <v>21</v>
      </c>
      <c r="C2109" t="str">
        <f t="shared" si="98"/>
        <v>Concord and Martinez</v>
      </c>
      <c r="D2109">
        <v>21</v>
      </c>
      <c r="E2109" t="str">
        <f t="shared" si="98"/>
        <v>Concord and Martinez</v>
      </c>
      <c r="F2109" t="s">
        <v>327</v>
      </c>
      <c r="G2109">
        <f t="shared" si="96"/>
        <v>0</v>
      </c>
      <c r="H2109" t="s">
        <v>359</v>
      </c>
      <c r="I2109" t="s">
        <v>191</v>
      </c>
      <c r="J2109">
        <v>20</v>
      </c>
      <c r="K2109">
        <v>402.799005306867</v>
      </c>
    </row>
    <row r="2110" spans="1:11" x14ac:dyDescent="0.25">
      <c r="A2110" s="159" t="str">
        <f t="shared" si="97"/>
        <v>LB-Concord and Martinez-Concord and Martinez-Other maintenance</v>
      </c>
      <c r="B2110">
        <v>21</v>
      </c>
      <c r="C2110" t="str">
        <f t="shared" si="98"/>
        <v>Concord and Martinez</v>
      </c>
      <c r="D2110">
        <v>21</v>
      </c>
      <c r="E2110" t="str">
        <f t="shared" si="98"/>
        <v>Concord and Martinez</v>
      </c>
      <c r="F2110" t="s">
        <v>325</v>
      </c>
      <c r="G2110">
        <f t="shared" si="96"/>
        <v>4</v>
      </c>
      <c r="H2110" t="s">
        <v>359</v>
      </c>
      <c r="I2110" t="s">
        <v>191</v>
      </c>
      <c r="J2110">
        <v>31</v>
      </c>
      <c r="K2110">
        <v>603.90104907633304</v>
      </c>
    </row>
    <row r="2111" spans="1:11" x14ac:dyDescent="0.25">
      <c r="A2111" s="159" t="str">
        <f t="shared" si="97"/>
        <v>LB-Concord and Martinez-Concord and Martinez-Shopping</v>
      </c>
      <c r="B2111">
        <v>21</v>
      </c>
      <c r="C2111" t="str">
        <f t="shared" si="98"/>
        <v>Concord and Martinez</v>
      </c>
      <c r="D2111">
        <v>21</v>
      </c>
      <c r="E2111" t="str">
        <f t="shared" si="98"/>
        <v>Concord and Martinez</v>
      </c>
      <c r="F2111" t="s">
        <v>106</v>
      </c>
      <c r="G2111">
        <f t="shared" si="96"/>
        <v>4</v>
      </c>
      <c r="H2111" t="s">
        <v>359</v>
      </c>
      <c r="I2111" t="s">
        <v>191</v>
      </c>
      <c r="J2111">
        <v>15</v>
      </c>
      <c r="K2111">
        <v>350.084750865572</v>
      </c>
    </row>
    <row r="2112" spans="1:11" x14ac:dyDescent="0.25">
      <c r="A2112" s="159" t="str">
        <f t="shared" si="97"/>
        <v>HR-Concord and Martinez-Concord and Martinez-Social recreation</v>
      </c>
      <c r="B2112">
        <v>21</v>
      </c>
      <c r="C2112" t="str">
        <f t="shared" si="98"/>
        <v>Concord and Martinez</v>
      </c>
      <c r="D2112">
        <v>21</v>
      </c>
      <c r="E2112" t="str">
        <f t="shared" si="98"/>
        <v>Concord and Martinez</v>
      </c>
      <c r="F2112" t="s">
        <v>324</v>
      </c>
      <c r="G2112">
        <f t="shared" si="96"/>
        <v>5</v>
      </c>
      <c r="H2112" t="s">
        <v>124</v>
      </c>
      <c r="I2112" t="s">
        <v>188</v>
      </c>
      <c r="J2112">
        <v>2</v>
      </c>
      <c r="K2112">
        <v>391.02790697674402</v>
      </c>
    </row>
    <row r="2113" spans="1:11" x14ac:dyDescent="0.25">
      <c r="A2113" s="159" t="str">
        <f t="shared" si="97"/>
        <v>LB-Concord and Martinez-Concord and Martinez-Social recreation</v>
      </c>
      <c r="B2113">
        <v>21</v>
      </c>
      <c r="C2113" t="str">
        <f t="shared" si="98"/>
        <v>Concord and Martinez</v>
      </c>
      <c r="D2113">
        <v>21</v>
      </c>
      <c r="E2113" t="str">
        <f t="shared" si="98"/>
        <v>Concord and Martinez</v>
      </c>
      <c r="F2113" t="s">
        <v>324</v>
      </c>
      <c r="G2113">
        <f t="shared" si="96"/>
        <v>5</v>
      </c>
      <c r="H2113" t="s">
        <v>359</v>
      </c>
      <c r="I2113" t="s">
        <v>191</v>
      </c>
      <c r="J2113">
        <v>10</v>
      </c>
      <c r="K2113">
        <v>264.98607556826698</v>
      </c>
    </row>
    <row r="2114" spans="1:11" x14ac:dyDescent="0.25">
      <c r="A2114" s="159" t="str">
        <f t="shared" si="97"/>
        <v>LB-Concord and Martinez-Concord and Martinez-Work</v>
      </c>
      <c r="B2114">
        <v>21</v>
      </c>
      <c r="C2114" t="str">
        <f t="shared" si="98"/>
        <v>Concord and Martinez</v>
      </c>
      <c r="D2114">
        <v>21</v>
      </c>
      <c r="E2114" t="str">
        <f t="shared" si="98"/>
        <v>Concord and Martinez</v>
      </c>
      <c r="F2114" t="s">
        <v>30</v>
      </c>
      <c r="G2114">
        <f t="shared" ref="G2114:G2177" si="99">VLOOKUP(F2114,$V$2:$X$10, 3,FALSE)</f>
        <v>1</v>
      </c>
      <c r="H2114" t="s">
        <v>359</v>
      </c>
      <c r="I2114" t="s">
        <v>191</v>
      </c>
      <c r="J2114">
        <v>80</v>
      </c>
      <c r="K2114">
        <v>1627.67465806429</v>
      </c>
    </row>
    <row r="2115" spans="1:11" x14ac:dyDescent="0.25">
      <c r="A2115" s="159" t="str">
        <f t="shared" ref="A2115:A2178" si="100" xml:space="preserve"> CONCATENATE(I2115,"-",C2115, "-",E2115, "-",F2115,)</f>
        <v>LB-Concord and Martinez-Walnut Creek-High school</v>
      </c>
      <c r="B2115">
        <v>21</v>
      </c>
      <c r="C2115" t="str">
        <f t="shared" ref="C2115:E2178" si="101">VLOOKUP(B2115,$S$2:$T$35,2,FALSE)</f>
        <v>Concord and Martinez</v>
      </c>
      <c r="D2115">
        <v>22</v>
      </c>
      <c r="E2115" t="str">
        <f t="shared" si="101"/>
        <v>Walnut Creek</v>
      </c>
      <c r="F2115" t="s">
        <v>326</v>
      </c>
      <c r="G2115">
        <f t="shared" si="99"/>
        <v>3</v>
      </c>
      <c r="H2115" t="s">
        <v>359</v>
      </c>
      <c r="I2115" t="s">
        <v>191</v>
      </c>
      <c r="J2115">
        <v>8</v>
      </c>
      <c r="K2115">
        <v>157.82387475538101</v>
      </c>
    </row>
    <row r="2116" spans="1:11" x14ac:dyDescent="0.25">
      <c r="A2116" s="159" t="str">
        <f t="shared" si="100"/>
        <v>LB-Concord and Martinez-Walnut Creek-Missing</v>
      </c>
      <c r="B2116">
        <v>21</v>
      </c>
      <c r="C2116" t="str">
        <f t="shared" si="101"/>
        <v>Concord and Martinez</v>
      </c>
      <c r="D2116">
        <v>22</v>
      </c>
      <c r="E2116" t="str">
        <f t="shared" si="101"/>
        <v>Walnut Creek</v>
      </c>
      <c r="F2116" t="s">
        <v>327</v>
      </c>
      <c r="G2116">
        <f t="shared" si="99"/>
        <v>0</v>
      </c>
      <c r="H2116" t="s">
        <v>359</v>
      </c>
      <c r="I2116" t="s">
        <v>191</v>
      </c>
      <c r="J2116">
        <v>3</v>
      </c>
      <c r="K2116">
        <v>59.183953033268097</v>
      </c>
    </row>
    <row r="2117" spans="1:11" x14ac:dyDescent="0.25">
      <c r="A2117" s="159" t="str">
        <f t="shared" si="100"/>
        <v>LB-Concord and Martinez-Walnut Creek-Other maintenance</v>
      </c>
      <c r="B2117">
        <v>21</v>
      </c>
      <c r="C2117" t="str">
        <f t="shared" si="101"/>
        <v>Concord and Martinez</v>
      </c>
      <c r="D2117">
        <v>22</v>
      </c>
      <c r="E2117" t="str">
        <f t="shared" si="101"/>
        <v>Walnut Creek</v>
      </c>
      <c r="F2117" t="s">
        <v>325</v>
      </c>
      <c r="G2117">
        <f t="shared" si="99"/>
        <v>4</v>
      </c>
      <c r="H2117" t="s">
        <v>359</v>
      </c>
      <c r="I2117" t="s">
        <v>191</v>
      </c>
      <c r="J2117">
        <v>5</v>
      </c>
      <c r="K2117">
        <v>120.10554133841801</v>
      </c>
    </row>
    <row r="2118" spans="1:11" x14ac:dyDescent="0.25">
      <c r="A2118" s="159" t="str">
        <f t="shared" si="100"/>
        <v>LB-Concord and Martinez-Walnut Creek-Social recreation</v>
      </c>
      <c r="B2118">
        <v>21</v>
      </c>
      <c r="C2118" t="str">
        <f t="shared" si="101"/>
        <v>Concord and Martinez</v>
      </c>
      <c r="D2118">
        <v>22</v>
      </c>
      <c r="E2118" t="str">
        <f t="shared" si="101"/>
        <v>Walnut Creek</v>
      </c>
      <c r="F2118" t="s">
        <v>324</v>
      </c>
      <c r="G2118">
        <f t="shared" si="99"/>
        <v>5</v>
      </c>
      <c r="H2118" t="s">
        <v>359</v>
      </c>
      <c r="I2118" t="s">
        <v>191</v>
      </c>
      <c r="J2118">
        <v>6</v>
      </c>
      <c r="K2118">
        <v>145.45039891615201</v>
      </c>
    </row>
    <row r="2119" spans="1:11" x14ac:dyDescent="0.25">
      <c r="A2119" s="159" t="str">
        <f t="shared" si="100"/>
        <v>LB-Concord and Martinez-Walnut Creek-Work</v>
      </c>
      <c r="B2119">
        <v>21</v>
      </c>
      <c r="C2119" t="str">
        <f t="shared" si="101"/>
        <v>Concord and Martinez</v>
      </c>
      <c r="D2119">
        <v>22</v>
      </c>
      <c r="E2119" t="str">
        <f t="shared" si="101"/>
        <v>Walnut Creek</v>
      </c>
      <c r="F2119" t="s">
        <v>30</v>
      </c>
      <c r="G2119">
        <f t="shared" si="99"/>
        <v>1</v>
      </c>
      <c r="H2119" t="s">
        <v>359</v>
      </c>
      <c r="I2119" t="s">
        <v>191</v>
      </c>
      <c r="J2119">
        <v>18</v>
      </c>
      <c r="K2119">
        <v>382.18621104922403</v>
      </c>
    </row>
    <row r="2120" spans="1:11" x14ac:dyDescent="0.25">
      <c r="A2120" s="159" t="str">
        <f t="shared" si="100"/>
        <v>LB-Concord and Martinez-Danville and San Ramon-High school</v>
      </c>
      <c r="B2120">
        <v>21</v>
      </c>
      <c r="C2120" t="str">
        <f t="shared" si="101"/>
        <v>Concord and Martinez</v>
      </c>
      <c r="D2120">
        <v>23</v>
      </c>
      <c r="E2120" t="str">
        <f t="shared" si="101"/>
        <v>Danville and San Ramon</v>
      </c>
      <c r="F2120" t="s">
        <v>326</v>
      </c>
      <c r="G2120">
        <f t="shared" si="99"/>
        <v>3</v>
      </c>
      <c r="H2120" t="s">
        <v>359</v>
      </c>
      <c r="I2120" t="s">
        <v>191</v>
      </c>
      <c r="J2120">
        <v>2</v>
      </c>
      <c r="K2120">
        <v>39.455968688845402</v>
      </c>
    </row>
    <row r="2121" spans="1:11" x14ac:dyDescent="0.25">
      <c r="A2121" s="159" t="str">
        <f t="shared" si="100"/>
        <v>LB-Concord and Martinez-Danville and San Ramon-Missing</v>
      </c>
      <c r="B2121">
        <v>21</v>
      </c>
      <c r="C2121" t="str">
        <f t="shared" si="101"/>
        <v>Concord and Martinez</v>
      </c>
      <c r="D2121">
        <v>23</v>
      </c>
      <c r="E2121" t="str">
        <f t="shared" si="101"/>
        <v>Danville and San Ramon</v>
      </c>
      <c r="F2121" t="s">
        <v>327</v>
      </c>
      <c r="G2121">
        <f t="shared" si="99"/>
        <v>0</v>
      </c>
      <c r="H2121" t="s">
        <v>359</v>
      </c>
      <c r="I2121" t="s">
        <v>191</v>
      </c>
      <c r="J2121">
        <v>1</v>
      </c>
      <c r="K2121">
        <v>33.269230769230802</v>
      </c>
    </row>
    <row r="2122" spans="1:11" x14ac:dyDescent="0.25">
      <c r="A2122" s="159" t="str">
        <f t="shared" si="100"/>
        <v>LB-Concord and Martinez-Danville and San Ramon-Shopping</v>
      </c>
      <c r="B2122">
        <v>21</v>
      </c>
      <c r="C2122" t="str">
        <f t="shared" si="101"/>
        <v>Concord and Martinez</v>
      </c>
      <c r="D2122">
        <v>23</v>
      </c>
      <c r="E2122" t="str">
        <f t="shared" si="101"/>
        <v>Danville and San Ramon</v>
      </c>
      <c r="F2122" t="s">
        <v>106</v>
      </c>
      <c r="G2122">
        <f t="shared" si="99"/>
        <v>4</v>
      </c>
      <c r="H2122" t="s">
        <v>359</v>
      </c>
      <c r="I2122" t="s">
        <v>191</v>
      </c>
      <c r="J2122">
        <v>1</v>
      </c>
      <c r="K2122">
        <v>19.727984344422701</v>
      </c>
    </row>
    <row r="2123" spans="1:11" x14ac:dyDescent="0.25">
      <c r="A2123" s="159" t="str">
        <f t="shared" si="100"/>
        <v>LB-Concord and Martinez-Danville and San Ramon-Work</v>
      </c>
      <c r="B2123">
        <v>21</v>
      </c>
      <c r="C2123" t="str">
        <f t="shared" si="101"/>
        <v>Concord and Martinez</v>
      </c>
      <c r="D2123">
        <v>23</v>
      </c>
      <c r="E2123" t="str">
        <f t="shared" si="101"/>
        <v>Danville and San Ramon</v>
      </c>
      <c r="F2123" t="s">
        <v>30</v>
      </c>
      <c r="G2123">
        <f t="shared" si="99"/>
        <v>1</v>
      </c>
      <c r="H2123" t="s">
        <v>359</v>
      </c>
      <c r="I2123" t="s">
        <v>191</v>
      </c>
      <c r="J2123">
        <v>8</v>
      </c>
      <c r="K2123">
        <v>157.82387475538101</v>
      </c>
    </row>
    <row r="2124" spans="1:11" x14ac:dyDescent="0.25">
      <c r="A2124" s="159" t="str">
        <f t="shared" si="100"/>
        <v>LB-Concord and Martinez-Antioch and Pittsburg-High school</v>
      </c>
      <c r="B2124">
        <v>21</v>
      </c>
      <c r="C2124" t="str">
        <f t="shared" si="101"/>
        <v>Concord and Martinez</v>
      </c>
      <c r="D2124">
        <v>24</v>
      </c>
      <c r="E2124" t="str">
        <f t="shared" si="101"/>
        <v>Antioch and Pittsburg</v>
      </c>
      <c r="F2124" t="s">
        <v>326</v>
      </c>
      <c r="G2124">
        <f t="shared" si="99"/>
        <v>3</v>
      </c>
      <c r="H2124" t="s">
        <v>359</v>
      </c>
      <c r="I2124" t="s">
        <v>191</v>
      </c>
      <c r="J2124">
        <v>2</v>
      </c>
      <c r="K2124">
        <v>39.455968688845402</v>
      </c>
    </row>
    <row r="2125" spans="1:11" x14ac:dyDescent="0.25">
      <c r="A2125" s="159" t="str">
        <f t="shared" si="100"/>
        <v>LB-Concord and Martinez-Antioch and Pittsburg-Missing</v>
      </c>
      <c r="B2125">
        <v>21</v>
      </c>
      <c r="C2125" t="str">
        <f t="shared" si="101"/>
        <v>Concord and Martinez</v>
      </c>
      <c r="D2125">
        <v>24</v>
      </c>
      <c r="E2125" t="str">
        <f t="shared" si="101"/>
        <v>Antioch and Pittsburg</v>
      </c>
      <c r="F2125" t="s">
        <v>327</v>
      </c>
      <c r="G2125">
        <f t="shared" si="99"/>
        <v>0</v>
      </c>
      <c r="H2125" t="s">
        <v>359</v>
      </c>
      <c r="I2125" t="s">
        <v>191</v>
      </c>
      <c r="J2125">
        <v>2</v>
      </c>
      <c r="K2125">
        <v>47.695287107258999</v>
      </c>
    </row>
    <row r="2126" spans="1:11" x14ac:dyDescent="0.25">
      <c r="A2126" s="159" t="str">
        <f t="shared" si="100"/>
        <v>LB-Concord and Martinez-Antioch and Pittsburg-Social recreation</v>
      </c>
      <c r="B2126">
        <v>21</v>
      </c>
      <c r="C2126" t="str">
        <f t="shared" si="101"/>
        <v>Concord and Martinez</v>
      </c>
      <c r="D2126">
        <v>24</v>
      </c>
      <c r="E2126" t="str">
        <f t="shared" si="101"/>
        <v>Antioch and Pittsburg</v>
      </c>
      <c r="F2126" t="s">
        <v>324</v>
      </c>
      <c r="G2126">
        <f t="shared" si="99"/>
        <v>5</v>
      </c>
      <c r="H2126" t="s">
        <v>359</v>
      </c>
      <c r="I2126" t="s">
        <v>191</v>
      </c>
      <c r="J2126">
        <v>1</v>
      </c>
      <c r="K2126">
        <v>48.125</v>
      </c>
    </row>
    <row r="2127" spans="1:11" x14ac:dyDescent="0.25">
      <c r="A2127" s="159" t="str">
        <f t="shared" si="100"/>
        <v>HR-Concord and Martinez-Antioch and Pittsburg-Work</v>
      </c>
      <c r="B2127">
        <v>21</v>
      </c>
      <c r="C2127" t="str">
        <f t="shared" si="101"/>
        <v>Concord and Martinez</v>
      </c>
      <c r="D2127">
        <v>24</v>
      </c>
      <c r="E2127" t="str">
        <f t="shared" si="101"/>
        <v>Antioch and Pittsburg</v>
      </c>
      <c r="F2127" t="s">
        <v>30</v>
      </c>
      <c r="G2127">
        <f t="shared" si="99"/>
        <v>1</v>
      </c>
      <c r="H2127" t="s">
        <v>124</v>
      </c>
      <c r="I2127" t="s">
        <v>188</v>
      </c>
      <c r="J2127">
        <v>1</v>
      </c>
      <c r="K2127">
        <v>95.822099447513807</v>
      </c>
    </row>
    <row r="2128" spans="1:11" x14ac:dyDescent="0.25">
      <c r="A2128" s="159" t="str">
        <f t="shared" si="100"/>
        <v>LB-Concord and Martinez-Antioch and Pittsburg-Work</v>
      </c>
      <c r="B2128">
        <v>21</v>
      </c>
      <c r="C2128" t="str">
        <f t="shared" si="101"/>
        <v>Concord and Martinez</v>
      </c>
      <c r="D2128">
        <v>24</v>
      </c>
      <c r="E2128" t="str">
        <f t="shared" si="101"/>
        <v>Antioch and Pittsburg</v>
      </c>
      <c r="F2128" t="s">
        <v>30</v>
      </c>
      <c r="G2128">
        <f t="shared" si="99"/>
        <v>1</v>
      </c>
      <c r="H2128" t="s">
        <v>359</v>
      </c>
      <c r="I2128" t="s">
        <v>191</v>
      </c>
      <c r="J2128">
        <v>17</v>
      </c>
      <c r="K2128">
        <v>339.15048510239501</v>
      </c>
    </row>
    <row r="2129" spans="1:11" x14ac:dyDescent="0.25">
      <c r="A2129" s="159" t="str">
        <f t="shared" si="100"/>
        <v>EB-Concord and Martinez-Vallejo and Benicia-Work</v>
      </c>
      <c r="B2129">
        <v>21</v>
      </c>
      <c r="C2129" t="str">
        <f t="shared" si="101"/>
        <v>Concord and Martinez</v>
      </c>
      <c r="D2129">
        <v>25</v>
      </c>
      <c r="E2129" t="str">
        <f t="shared" si="101"/>
        <v>Vallejo and Benicia</v>
      </c>
      <c r="F2129" t="s">
        <v>30</v>
      </c>
      <c r="G2129">
        <f t="shared" si="99"/>
        <v>1</v>
      </c>
      <c r="H2129" t="s">
        <v>123</v>
      </c>
      <c r="I2129" t="s">
        <v>182</v>
      </c>
      <c r="J2129">
        <v>3</v>
      </c>
      <c r="K2129">
        <v>37.004819277108297</v>
      </c>
    </row>
    <row r="2130" spans="1:11" x14ac:dyDescent="0.25">
      <c r="A2130" s="159" t="str">
        <f t="shared" si="100"/>
        <v>LB-Concord and Martinez-Vallejo and Benicia-Work</v>
      </c>
      <c r="B2130">
        <v>21</v>
      </c>
      <c r="C2130" t="str">
        <f t="shared" si="101"/>
        <v>Concord and Martinez</v>
      </c>
      <c r="D2130">
        <v>25</v>
      </c>
      <c r="E2130" t="str">
        <f t="shared" si="101"/>
        <v>Vallejo and Benicia</v>
      </c>
      <c r="F2130" t="s">
        <v>30</v>
      </c>
      <c r="G2130">
        <f t="shared" si="99"/>
        <v>1</v>
      </c>
      <c r="H2130" t="s">
        <v>359</v>
      </c>
      <c r="I2130" t="s">
        <v>191</v>
      </c>
      <c r="J2130">
        <v>1</v>
      </c>
      <c r="K2130">
        <v>19.727984344422701</v>
      </c>
    </row>
    <row r="2131" spans="1:11" x14ac:dyDescent="0.25">
      <c r="A2131" s="159" t="str">
        <f t="shared" si="100"/>
        <v>FR-Walnut Creek-Greater Downtown San Francisco-Social recreation</v>
      </c>
      <c r="B2131">
        <v>22</v>
      </c>
      <c r="C2131" t="str">
        <f t="shared" si="101"/>
        <v>Walnut Creek</v>
      </c>
      <c r="D2131">
        <v>1</v>
      </c>
      <c r="E2131" t="str">
        <f t="shared" si="101"/>
        <v>Greater Downtown San Francisco</v>
      </c>
      <c r="F2131" t="s">
        <v>324</v>
      </c>
      <c r="G2131">
        <f t="shared" si="99"/>
        <v>5</v>
      </c>
      <c r="H2131" t="s">
        <v>360</v>
      </c>
      <c r="I2131" t="s">
        <v>185</v>
      </c>
      <c r="J2131">
        <v>1</v>
      </c>
      <c r="K2131">
        <v>11.719387755102</v>
      </c>
    </row>
    <row r="2132" spans="1:11" x14ac:dyDescent="0.25">
      <c r="A2132" s="159" t="str">
        <f t="shared" si="100"/>
        <v>HR-Walnut Creek-Greater Downtown San Francisco-Social recreation</v>
      </c>
      <c r="B2132">
        <v>22</v>
      </c>
      <c r="C2132" t="str">
        <f t="shared" si="101"/>
        <v>Walnut Creek</v>
      </c>
      <c r="D2132">
        <v>1</v>
      </c>
      <c r="E2132" t="str">
        <f t="shared" si="101"/>
        <v>Greater Downtown San Francisco</v>
      </c>
      <c r="F2132" t="s">
        <v>324</v>
      </c>
      <c r="G2132">
        <f t="shared" si="99"/>
        <v>5</v>
      </c>
      <c r="H2132" t="s">
        <v>124</v>
      </c>
      <c r="I2132" t="s">
        <v>188</v>
      </c>
      <c r="J2132">
        <v>3</v>
      </c>
      <c r="K2132">
        <v>586.54186046511597</v>
      </c>
    </row>
    <row r="2133" spans="1:11" x14ac:dyDescent="0.25">
      <c r="A2133" s="159" t="str">
        <f t="shared" si="100"/>
        <v>HR-Walnut Creek-Greater Downtown San Francisco-Work</v>
      </c>
      <c r="B2133">
        <v>22</v>
      </c>
      <c r="C2133" t="str">
        <f t="shared" si="101"/>
        <v>Walnut Creek</v>
      </c>
      <c r="D2133">
        <v>1</v>
      </c>
      <c r="E2133" t="str">
        <f t="shared" si="101"/>
        <v>Greater Downtown San Francisco</v>
      </c>
      <c r="F2133" t="s">
        <v>30</v>
      </c>
      <c r="G2133">
        <f t="shared" si="99"/>
        <v>1</v>
      </c>
      <c r="H2133" t="s">
        <v>124</v>
      </c>
      <c r="I2133" t="s">
        <v>188</v>
      </c>
      <c r="J2133">
        <v>5</v>
      </c>
      <c r="K2133">
        <v>578.80235127842695</v>
      </c>
    </row>
    <row r="2134" spans="1:11" x14ac:dyDescent="0.25">
      <c r="A2134" s="159" t="str">
        <f t="shared" si="100"/>
        <v>LB-Walnut Creek-Greater Downtown San Francisco-Work</v>
      </c>
      <c r="B2134">
        <v>22</v>
      </c>
      <c r="C2134" t="str">
        <f t="shared" si="101"/>
        <v>Walnut Creek</v>
      </c>
      <c r="D2134">
        <v>1</v>
      </c>
      <c r="E2134" t="str">
        <f t="shared" si="101"/>
        <v>Greater Downtown San Francisco</v>
      </c>
      <c r="F2134" t="s">
        <v>30</v>
      </c>
      <c r="G2134">
        <f t="shared" si="99"/>
        <v>1</v>
      </c>
      <c r="H2134" t="s">
        <v>359</v>
      </c>
      <c r="I2134" t="s">
        <v>191</v>
      </c>
      <c r="J2134">
        <v>2</v>
      </c>
      <c r="K2134">
        <v>39.455968688845402</v>
      </c>
    </row>
    <row r="2135" spans="1:11" x14ac:dyDescent="0.25">
      <c r="A2135" s="159" t="str">
        <f t="shared" si="100"/>
        <v>HR-Walnut Creek-San Francisco Richmond District-Social recreation</v>
      </c>
      <c r="B2135">
        <v>22</v>
      </c>
      <c r="C2135" t="str">
        <f t="shared" si="101"/>
        <v>Walnut Creek</v>
      </c>
      <c r="D2135">
        <v>2</v>
      </c>
      <c r="E2135" t="str">
        <f t="shared" si="101"/>
        <v>San Francisco Richmond District</v>
      </c>
      <c r="F2135" t="s">
        <v>324</v>
      </c>
      <c r="G2135">
        <f t="shared" si="99"/>
        <v>5</v>
      </c>
      <c r="H2135" t="s">
        <v>124</v>
      </c>
      <c r="I2135" t="s">
        <v>188</v>
      </c>
      <c r="J2135">
        <v>1</v>
      </c>
      <c r="K2135">
        <v>95.822099447513807</v>
      </c>
    </row>
    <row r="2136" spans="1:11" x14ac:dyDescent="0.25">
      <c r="A2136" s="159" t="str">
        <f t="shared" si="100"/>
        <v>HR-Walnut Creek-San Francisco Richmond District-Work</v>
      </c>
      <c r="B2136">
        <v>22</v>
      </c>
      <c r="C2136" t="str">
        <f t="shared" si="101"/>
        <v>Walnut Creek</v>
      </c>
      <c r="D2136">
        <v>2</v>
      </c>
      <c r="E2136" t="str">
        <f t="shared" si="101"/>
        <v>San Francisco Richmond District</v>
      </c>
      <c r="F2136" t="s">
        <v>30</v>
      </c>
      <c r="G2136">
        <f t="shared" si="99"/>
        <v>1</v>
      </c>
      <c r="H2136" t="s">
        <v>124</v>
      </c>
      <c r="I2136" t="s">
        <v>188</v>
      </c>
      <c r="J2136">
        <v>1</v>
      </c>
      <c r="K2136">
        <v>95.822099447513807</v>
      </c>
    </row>
    <row r="2137" spans="1:11" x14ac:dyDescent="0.25">
      <c r="A2137" s="159" t="str">
        <f t="shared" si="100"/>
        <v>HR-Walnut Creek-San Francisco Mission District-Work</v>
      </c>
      <c r="B2137">
        <v>22</v>
      </c>
      <c r="C2137" t="str">
        <f t="shared" si="101"/>
        <v>Walnut Creek</v>
      </c>
      <c r="D2137">
        <v>3</v>
      </c>
      <c r="E2137" t="str">
        <f t="shared" si="101"/>
        <v>San Francisco Mission District</v>
      </c>
      <c r="F2137" t="s">
        <v>30</v>
      </c>
      <c r="G2137">
        <f t="shared" si="99"/>
        <v>1</v>
      </c>
      <c r="H2137" t="s">
        <v>124</v>
      </c>
      <c r="I2137" t="s">
        <v>188</v>
      </c>
      <c r="J2137">
        <v>1</v>
      </c>
      <c r="K2137">
        <v>95.822099447513807</v>
      </c>
    </row>
    <row r="2138" spans="1:11" x14ac:dyDescent="0.25">
      <c r="A2138" s="159" t="str">
        <f t="shared" si="100"/>
        <v>LR-Walnut Creek-San Francisco Mission District-Work</v>
      </c>
      <c r="B2138">
        <v>22</v>
      </c>
      <c r="C2138" t="str">
        <f t="shared" si="101"/>
        <v>Walnut Creek</v>
      </c>
      <c r="D2138">
        <v>3</v>
      </c>
      <c r="E2138" t="str">
        <f t="shared" si="101"/>
        <v>San Francisco Mission District</v>
      </c>
      <c r="F2138" t="s">
        <v>30</v>
      </c>
      <c r="G2138">
        <f t="shared" si="99"/>
        <v>1</v>
      </c>
      <c r="H2138" t="s">
        <v>353</v>
      </c>
      <c r="I2138" t="s">
        <v>194</v>
      </c>
      <c r="J2138">
        <v>1</v>
      </c>
      <c r="K2138">
        <v>286.12835472578797</v>
      </c>
    </row>
    <row r="2139" spans="1:11" x14ac:dyDescent="0.25">
      <c r="A2139" s="159" t="str">
        <f t="shared" si="100"/>
        <v>LB-Walnut Creek-San Francisco Sunset District-High school</v>
      </c>
      <c r="B2139">
        <v>22</v>
      </c>
      <c r="C2139" t="str">
        <f t="shared" si="101"/>
        <v>Walnut Creek</v>
      </c>
      <c r="D2139">
        <v>4</v>
      </c>
      <c r="E2139" t="str">
        <f t="shared" si="101"/>
        <v>San Francisco Sunset District</v>
      </c>
      <c r="F2139" t="s">
        <v>326</v>
      </c>
      <c r="G2139">
        <f t="shared" si="99"/>
        <v>3</v>
      </c>
      <c r="H2139" t="s">
        <v>359</v>
      </c>
      <c r="I2139" t="s">
        <v>191</v>
      </c>
      <c r="J2139">
        <v>1</v>
      </c>
      <c r="K2139">
        <v>19.727984344422701</v>
      </c>
    </row>
    <row r="2140" spans="1:11" x14ac:dyDescent="0.25">
      <c r="A2140" s="159" t="str">
        <f t="shared" si="100"/>
        <v>LB-Walnut Creek-San Francisco Sunset District-Work</v>
      </c>
      <c r="B2140">
        <v>22</v>
      </c>
      <c r="C2140" t="str">
        <f t="shared" si="101"/>
        <v>Walnut Creek</v>
      </c>
      <c r="D2140">
        <v>4</v>
      </c>
      <c r="E2140" t="str">
        <f t="shared" si="101"/>
        <v>San Francisco Sunset District</v>
      </c>
      <c r="F2140" t="s">
        <v>30</v>
      </c>
      <c r="G2140">
        <f t="shared" si="99"/>
        <v>1</v>
      </c>
      <c r="H2140" t="s">
        <v>359</v>
      </c>
      <c r="I2140" t="s">
        <v>191</v>
      </c>
      <c r="J2140">
        <v>1</v>
      </c>
      <c r="K2140">
        <v>286.12835472578797</v>
      </c>
    </row>
    <row r="2141" spans="1:11" x14ac:dyDescent="0.25">
      <c r="A2141" s="159" t="str">
        <f t="shared" si="100"/>
        <v>HR-Walnut Creek-Daly City and San Bruno-Other maintenance</v>
      </c>
      <c r="B2141">
        <v>22</v>
      </c>
      <c r="C2141" t="str">
        <f t="shared" si="101"/>
        <v>Walnut Creek</v>
      </c>
      <c r="D2141">
        <v>5</v>
      </c>
      <c r="E2141" t="str">
        <f t="shared" si="101"/>
        <v>Daly City and San Bruno</v>
      </c>
      <c r="F2141" t="s">
        <v>325</v>
      </c>
      <c r="G2141">
        <f t="shared" si="99"/>
        <v>4</v>
      </c>
      <c r="H2141" t="s">
        <v>124</v>
      </c>
      <c r="I2141" t="s">
        <v>188</v>
      </c>
      <c r="J2141">
        <v>3</v>
      </c>
      <c r="K2141">
        <v>287.46629834254099</v>
      </c>
    </row>
    <row r="2142" spans="1:11" x14ac:dyDescent="0.25">
      <c r="A2142" s="159" t="str">
        <f t="shared" si="100"/>
        <v>HR-Walnut Creek-Daly City and San Bruno-Social recreation</v>
      </c>
      <c r="B2142">
        <v>22</v>
      </c>
      <c r="C2142" t="str">
        <f t="shared" si="101"/>
        <v>Walnut Creek</v>
      </c>
      <c r="D2142">
        <v>5</v>
      </c>
      <c r="E2142" t="str">
        <f t="shared" si="101"/>
        <v>Daly City and San Bruno</v>
      </c>
      <c r="F2142" t="s">
        <v>324</v>
      </c>
      <c r="G2142">
        <f t="shared" si="99"/>
        <v>5</v>
      </c>
      <c r="H2142" t="s">
        <v>124</v>
      </c>
      <c r="I2142" t="s">
        <v>188</v>
      </c>
      <c r="J2142">
        <v>2</v>
      </c>
      <c r="K2142">
        <v>191.64419889502699</v>
      </c>
    </row>
    <row r="2143" spans="1:11" x14ac:dyDescent="0.25">
      <c r="A2143" s="159" t="str">
        <f t="shared" si="100"/>
        <v>HR-Walnut Creek-Daly City and San Bruno-Work</v>
      </c>
      <c r="B2143">
        <v>22</v>
      </c>
      <c r="C2143" t="str">
        <f t="shared" si="101"/>
        <v>Walnut Creek</v>
      </c>
      <c r="D2143">
        <v>5</v>
      </c>
      <c r="E2143" t="str">
        <f t="shared" si="101"/>
        <v>Daly City and San Bruno</v>
      </c>
      <c r="F2143" t="s">
        <v>30</v>
      </c>
      <c r="G2143">
        <f t="shared" si="99"/>
        <v>1</v>
      </c>
      <c r="H2143" t="s">
        <v>124</v>
      </c>
      <c r="I2143" t="s">
        <v>188</v>
      </c>
      <c r="J2143">
        <v>1</v>
      </c>
      <c r="K2143">
        <v>95.822099447513807</v>
      </c>
    </row>
    <row r="2144" spans="1:11" x14ac:dyDescent="0.25">
      <c r="A2144" s="159" t="str">
        <f t="shared" si="100"/>
        <v>LB-Walnut Creek-Daly City and San Bruno-Work</v>
      </c>
      <c r="B2144">
        <v>22</v>
      </c>
      <c r="C2144" t="str">
        <f t="shared" si="101"/>
        <v>Walnut Creek</v>
      </c>
      <c r="D2144">
        <v>5</v>
      </c>
      <c r="E2144" t="str">
        <f t="shared" si="101"/>
        <v>Daly City and San Bruno</v>
      </c>
      <c r="F2144" t="s">
        <v>30</v>
      </c>
      <c r="G2144">
        <f t="shared" si="99"/>
        <v>1</v>
      </c>
      <c r="H2144" t="s">
        <v>359</v>
      </c>
      <c r="I2144" t="s">
        <v>191</v>
      </c>
      <c r="J2144">
        <v>1</v>
      </c>
      <c r="K2144">
        <v>19.727984344422701</v>
      </c>
    </row>
    <row r="2145" spans="1:11" x14ac:dyDescent="0.25">
      <c r="A2145" s="159" t="str">
        <f t="shared" si="100"/>
        <v>LB-Walnut Creek-San Mateo and Burlingame-Work</v>
      </c>
      <c r="B2145">
        <v>22</v>
      </c>
      <c r="C2145" t="str">
        <f t="shared" si="101"/>
        <v>Walnut Creek</v>
      </c>
      <c r="D2145">
        <v>6</v>
      </c>
      <c r="E2145" t="str">
        <f t="shared" si="101"/>
        <v>San Mateo and Burlingame</v>
      </c>
      <c r="F2145" t="s">
        <v>30</v>
      </c>
      <c r="G2145">
        <f t="shared" si="99"/>
        <v>1</v>
      </c>
      <c r="H2145" t="s">
        <v>359</v>
      </c>
      <c r="I2145" t="s">
        <v>191</v>
      </c>
      <c r="J2145">
        <v>1</v>
      </c>
      <c r="K2145">
        <v>19.727984344422701</v>
      </c>
    </row>
    <row r="2146" spans="1:11" x14ac:dyDescent="0.25">
      <c r="A2146" s="159" t="str">
        <f t="shared" si="100"/>
        <v>EB-Walnut Creek-Palo Alto and Los Altos-Work</v>
      </c>
      <c r="B2146">
        <v>22</v>
      </c>
      <c r="C2146" t="str">
        <f t="shared" si="101"/>
        <v>Walnut Creek</v>
      </c>
      <c r="D2146">
        <v>8</v>
      </c>
      <c r="E2146" t="str">
        <f t="shared" si="101"/>
        <v>Palo Alto and Los Altos</v>
      </c>
      <c r="F2146" t="s">
        <v>30</v>
      </c>
      <c r="G2146">
        <f t="shared" si="99"/>
        <v>1</v>
      </c>
      <c r="H2146" t="s">
        <v>123</v>
      </c>
      <c r="I2146" t="s">
        <v>182</v>
      </c>
      <c r="J2146">
        <v>2</v>
      </c>
      <c r="K2146">
        <v>7.7980769230769198</v>
      </c>
    </row>
    <row r="2147" spans="1:11" x14ac:dyDescent="0.25">
      <c r="A2147" s="159" t="str">
        <f t="shared" si="100"/>
        <v>LB-Walnut Creek-Central San Jose-Work</v>
      </c>
      <c r="B2147">
        <v>22</v>
      </c>
      <c r="C2147" t="str">
        <f t="shared" si="101"/>
        <v>Walnut Creek</v>
      </c>
      <c r="D2147">
        <v>11</v>
      </c>
      <c r="E2147" t="str">
        <f t="shared" si="101"/>
        <v>Central San Jose</v>
      </c>
      <c r="F2147" t="s">
        <v>30</v>
      </c>
      <c r="G2147">
        <f t="shared" si="99"/>
        <v>1</v>
      </c>
      <c r="H2147" t="s">
        <v>359</v>
      </c>
      <c r="I2147" t="s">
        <v>191</v>
      </c>
      <c r="J2147">
        <v>1</v>
      </c>
      <c r="K2147">
        <v>62.646773074254</v>
      </c>
    </row>
    <row r="2148" spans="1:11" x14ac:dyDescent="0.25">
      <c r="A2148" s="159" t="str">
        <f t="shared" si="100"/>
        <v>LB-Walnut Creek-Livermore and Pleasanton-High school</v>
      </c>
      <c r="B2148">
        <v>22</v>
      </c>
      <c r="C2148" t="str">
        <f t="shared" si="101"/>
        <v>Walnut Creek</v>
      </c>
      <c r="D2148">
        <v>15</v>
      </c>
      <c r="E2148" t="str">
        <f t="shared" si="101"/>
        <v>Livermore and Pleasanton</v>
      </c>
      <c r="F2148" t="s">
        <v>326</v>
      </c>
      <c r="G2148">
        <f t="shared" si="99"/>
        <v>3</v>
      </c>
      <c r="H2148" t="s">
        <v>359</v>
      </c>
      <c r="I2148" t="s">
        <v>191</v>
      </c>
      <c r="J2148">
        <v>2</v>
      </c>
      <c r="K2148">
        <v>28.2222222222222</v>
      </c>
    </row>
    <row r="2149" spans="1:11" x14ac:dyDescent="0.25">
      <c r="A2149" s="159" t="str">
        <f t="shared" si="100"/>
        <v>LB-Walnut Creek-Livermore and Pleasanton-Missing</v>
      </c>
      <c r="B2149">
        <v>22</v>
      </c>
      <c r="C2149" t="str">
        <f t="shared" si="101"/>
        <v>Walnut Creek</v>
      </c>
      <c r="D2149">
        <v>15</v>
      </c>
      <c r="E2149" t="str">
        <f t="shared" si="101"/>
        <v>Livermore and Pleasanton</v>
      </c>
      <c r="F2149" t="s">
        <v>327</v>
      </c>
      <c r="G2149">
        <f t="shared" si="99"/>
        <v>0</v>
      </c>
      <c r="H2149" t="s">
        <v>359</v>
      </c>
      <c r="I2149" t="s">
        <v>191</v>
      </c>
      <c r="J2149">
        <v>1</v>
      </c>
      <c r="K2149">
        <v>14.1111111111111</v>
      </c>
    </row>
    <row r="2150" spans="1:11" x14ac:dyDescent="0.25">
      <c r="A2150" s="159" t="str">
        <f t="shared" si="100"/>
        <v>HR-Walnut Creek-Livermore and Pleasanton-Work</v>
      </c>
      <c r="B2150">
        <v>22</v>
      </c>
      <c r="C2150" t="str">
        <f t="shared" si="101"/>
        <v>Walnut Creek</v>
      </c>
      <c r="D2150">
        <v>15</v>
      </c>
      <c r="E2150" t="str">
        <f t="shared" si="101"/>
        <v>Livermore and Pleasanton</v>
      </c>
      <c r="F2150" t="s">
        <v>30</v>
      </c>
      <c r="G2150">
        <f t="shared" si="99"/>
        <v>1</v>
      </c>
      <c r="H2150" t="s">
        <v>124</v>
      </c>
      <c r="I2150" t="s">
        <v>188</v>
      </c>
      <c r="J2150">
        <v>1</v>
      </c>
      <c r="K2150">
        <v>95.822099447513807</v>
      </c>
    </row>
    <row r="2151" spans="1:11" x14ac:dyDescent="0.25">
      <c r="A2151" s="159" t="str">
        <f t="shared" si="100"/>
        <v>LB-Walnut Creek-Livermore and Pleasanton-Work</v>
      </c>
      <c r="B2151">
        <v>22</v>
      </c>
      <c r="C2151" t="str">
        <f t="shared" si="101"/>
        <v>Walnut Creek</v>
      </c>
      <c r="D2151">
        <v>15</v>
      </c>
      <c r="E2151" t="str">
        <f t="shared" si="101"/>
        <v>Livermore and Pleasanton</v>
      </c>
      <c r="F2151" t="s">
        <v>30</v>
      </c>
      <c r="G2151">
        <f t="shared" si="99"/>
        <v>1</v>
      </c>
      <c r="H2151" t="s">
        <v>359</v>
      </c>
      <c r="I2151" t="s">
        <v>191</v>
      </c>
      <c r="J2151">
        <v>2</v>
      </c>
      <c r="K2151">
        <v>28.2222222222222</v>
      </c>
    </row>
    <row r="2152" spans="1:11" x14ac:dyDescent="0.25">
      <c r="A2152" s="159" t="str">
        <f t="shared" si="100"/>
        <v>LB-Walnut Creek-Hayward and San Leandro-Social recreation</v>
      </c>
      <c r="B2152">
        <v>22</v>
      </c>
      <c r="C2152" t="str">
        <f t="shared" si="101"/>
        <v>Walnut Creek</v>
      </c>
      <c r="D2152">
        <v>17</v>
      </c>
      <c r="E2152" t="str">
        <f t="shared" si="101"/>
        <v>Hayward and San Leandro</v>
      </c>
      <c r="F2152" t="s">
        <v>324</v>
      </c>
      <c r="G2152">
        <f t="shared" si="99"/>
        <v>5</v>
      </c>
      <c r="H2152" t="s">
        <v>359</v>
      </c>
      <c r="I2152" t="s">
        <v>191</v>
      </c>
      <c r="J2152">
        <v>1</v>
      </c>
      <c r="K2152">
        <v>19.727984344422701</v>
      </c>
    </row>
    <row r="2153" spans="1:11" x14ac:dyDescent="0.25">
      <c r="A2153" s="159" t="str">
        <f t="shared" si="100"/>
        <v>LB-Walnut Creek-Hayward and San Leandro-Work</v>
      </c>
      <c r="B2153">
        <v>22</v>
      </c>
      <c r="C2153" t="str">
        <f t="shared" si="101"/>
        <v>Walnut Creek</v>
      </c>
      <c r="D2153">
        <v>17</v>
      </c>
      <c r="E2153" t="str">
        <f t="shared" si="101"/>
        <v>Hayward and San Leandro</v>
      </c>
      <c r="F2153" t="s">
        <v>30</v>
      </c>
      <c r="G2153">
        <f t="shared" si="99"/>
        <v>1</v>
      </c>
      <c r="H2153" t="s">
        <v>359</v>
      </c>
      <c r="I2153" t="s">
        <v>191</v>
      </c>
      <c r="J2153">
        <v>1</v>
      </c>
      <c r="K2153">
        <v>75.575262543757304</v>
      </c>
    </row>
    <row r="2154" spans="1:11" x14ac:dyDescent="0.25">
      <c r="A2154" s="159" t="str">
        <f t="shared" si="100"/>
        <v>HR-Walnut Creek-Oakland and Alameda-High school</v>
      </c>
      <c r="B2154">
        <v>22</v>
      </c>
      <c r="C2154" t="str">
        <f t="shared" si="101"/>
        <v>Walnut Creek</v>
      </c>
      <c r="D2154">
        <v>18</v>
      </c>
      <c r="E2154" t="str">
        <f t="shared" si="101"/>
        <v>Oakland and Alameda</v>
      </c>
      <c r="F2154" t="s">
        <v>326</v>
      </c>
      <c r="G2154">
        <f t="shared" si="99"/>
        <v>3</v>
      </c>
      <c r="H2154" t="s">
        <v>124</v>
      </c>
      <c r="I2154" t="s">
        <v>188</v>
      </c>
      <c r="J2154">
        <v>2</v>
      </c>
      <c r="K2154">
        <v>191.64419889502699</v>
      </c>
    </row>
    <row r="2155" spans="1:11" x14ac:dyDescent="0.25">
      <c r="A2155" s="159" t="str">
        <f t="shared" si="100"/>
        <v>HR-Walnut Creek-Oakland and Alameda-Missing</v>
      </c>
      <c r="B2155">
        <v>22</v>
      </c>
      <c r="C2155" t="str">
        <f t="shared" si="101"/>
        <v>Walnut Creek</v>
      </c>
      <c r="D2155">
        <v>18</v>
      </c>
      <c r="E2155" t="str">
        <f t="shared" si="101"/>
        <v>Oakland and Alameda</v>
      </c>
      <c r="F2155" t="s">
        <v>327</v>
      </c>
      <c r="G2155">
        <f t="shared" si="99"/>
        <v>0</v>
      </c>
      <c r="H2155" t="s">
        <v>124</v>
      </c>
      <c r="I2155" t="s">
        <v>188</v>
      </c>
      <c r="J2155">
        <v>1</v>
      </c>
      <c r="K2155">
        <v>95.822099447513807</v>
      </c>
    </row>
    <row r="2156" spans="1:11" x14ac:dyDescent="0.25">
      <c r="A2156" s="159" t="str">
        <f t="shared" si="100"/>
        <v>EB-Walnut Creek-Oakland and Alameda-Other maintenance</v>
      </c>
      <c r="B2156">
        <v>22</v>
      </c>
      <c r="C2156" t="str">
        <f t="shared" si="101"/>
        <v>Walnut Creek</v>
      </c>
      <c r="D2156">
        <v>18</v>
      </c>
      <c r="E2156" t="str">
        <f t="shared" si="101"/>
        <v>Oakland and Alameda</v>
      </c>
      <c r="F2156" t="s">
        <v>325</v>
      </c>
      <c r="G2156">
        <f t="shared" si="99"/>
        <v>4</v>
      </c>
      <c r="H2156" t="s">
        <v>123</v>
      </c>
      <c r="I2156" t="s">
        <v>182</v>
      </c>
      <c r="J2156">
        <v>1</v>
      </c>
      <c r="K2156">
        <v>75.575262543757304</v>
      </c>
    </row>
    <row r="2157" spans="1:11" x14ac:dyDescent="0.25">
      <c r="A2157" s="159" t="str">
        <f t="shared" si="100"/>
        <v>LB-Walnut Creek-Oakland and Alameda-Other maintenance</v>
      </c>
      <c r="B2157">
        <v>22</v>
      </c>
      <c r="C2157" t="str">
        <f t="shared" si="101"/>
        <v>Walnut Creek</v>
      </c>
      <c r="D2157">
        <v>18</v>
      </c>
      <c r="E2157" t="str">
        <f t="shared" si="101"/>
        <v>Oakland and Alameda</v>
      </c>
      <c r="F2157" t="s">
        <v>325</v>
      </c>
      <c r="G2157">
        <f t="shared" si="99"/>
        <v>4</v>
      </c>
      <c r="H2157" t="s">
        <v>359</v>
      </c>
      <c r="I2157" t="s">
        <v>191</v>
      </c>
      <c r="J2157">
        <v>1</v>
      </c>
      <c r="K2157">
        <v>19.727984344422701</v>
      </c>
    </row>
    <row r="2158" spans="1:11" x14ac:dyDescent="0.25">
      <c r="A2158" s="159" t="str">
        <f t="shared" si="100"/>
        <v>HR-Walnut Creek-Oakland and Alameda-Social recreation</v>
      </c>
      <c r="B2158">
        <v>22</v>
      </c>
      <c r="C2158" t="str">
        <f t="shared" si="101"/>
        <v>Walnut Creek</v>
      </c>
      <c r="D2158">
        <v>18</v>
      </c>
      <c r="E2158" t="str">
        <f t="shared" si="101"/>
        <v>Oakland and Alameda</v>
      </c>
      <c r="F2158" t="s">
        <v>324</v>
      </c>
      <c r="G2158">
        <f t="shared" si="99"/>
        <v>5</v>
      </c>
      <c r="H2158" t="s">
        <v>124</v>
      </c>
      <c r="I2158" t="s">
        <v>188</v>
      </c>
      <c r="J2158">
        <v>2</v>
      </c>
      <c r="K2158">
        <v>191.64419889502699</v>
      </c>
    </row>
    <row r="2159" spans="1:11" x14ac:dyDescent="0.25">
      <c r="A2159" s="159" t="str">
        <f t="shared" si="100"/>
        <v>HR-Walnut Creek-Oakland and Alameda-Work</v>
      </c>
      <c r="B2159">
        <v>22</v>
      </c>
      <c r="C2159" t="str">
        <f t="shared" si="101"/>
        <v>Walnut Creek</v>
      </c>
      <c r="D2159">
        <v>18</v>
      </c>
      <c r="E2159" t="str">
        <f t="shared" si="101"/>
        <v>Oakland and Alameda</v>
      </c>
      <c r="F2159" t="s">
        <v>30</v>
      </c>
      <c r="G2159">
        <f t="shared" si="99"/>
        <v>1</v>
      </c>
      <c r="H2159" t="s">
        <v>124</v>
      </c>
      <c r="I2159" t="s">
        <v>188</v>
      </c>
      <c r="J2159">
        <v>6</v>
      </c>
      <c r="K2159">
        <v>674.62445072594096</v>
      </c>
    </row>
    <row r="2160" spans="1:11" x14ac:dyDescent="0.25">
      <c r="A2160" s="159" t="str">
        <f t="shared" si="100"/>
        <v>LB-Walnut Creek-Oakland and Alameda-Work</v>
      </c>
      <c r="B2160">
        <v>22</v>
      </c>
      <c r="C2160" t="str">
        <f t="shared" si="101"/>
        <v>Walnut Creek</v>
      </c>
      <c r="D2160">
        <v>18</v>
      </c>
      <c r="E2160" t="str">
        <f t="shared" si="101"/>
        <v>Oakland and Alameda</v>
      </c>
      <c r="F2160" t="s">
        <v>30</v>
      </c>
      <c r="G2160">
        <f t="shared" si="99"/>
        <v>1</v>
      </c>
      <c r="H2160" t="s">
        <v>359</v>
      </c>
      <c r="I2160" t="s">
        <v>191</v>
      </c>
      <c r="J2160">
        <v>1</v>
      </c>
      <c r="K2160">
        <v>19.727984344422701</v>
      </c>
    </row>
    <row r="2161" spans="1:11" x14ac:dyDescent="0.25">
      <c r="A2161" s="159" t="str">
        <f t="shared" si="100"/>
        <v>HR-Walnut Creek-Berkeley and Albany-Other maintenance</v>
      </c>
      <c r="B2161">
        <v>22</v>
      </c>
      <c r="C2161" t="str">
        <f t="shared" si="101"/>
        <v>Walnut Creek</v>
      </c>
      <c r="D2161">
        <v>19</v>
      </c>
      <c r="E2161" t="str">
        <f t="shared" si="101"/>
        <v>Berkeley and Albany</v>
      </c>
      <c r="F2161" t="s">
        <v>325</v>
      </c>
      <c r="G2161">
        <f t="shared" si="99"/>
        <v>4</v>
      </c>
      <c r="H2161" t="s">
        <v>124</v>
      </c>
      <c r="I2161" t="s">
        <v>188</v>
      </c>
      <c r="J2161">
        <v>1</v>
      </c>
      <c r="K2161">
        <v>95.822099447513807</v>
      </c>
    </row>
    <row r="2162" spans="1:11" x14ac:dyDescent="0.25">
      <c r="A2162" s="159" t="str">
        <f t="shared" si="100"/>
        <v>HR-Walnut Creek-Berkeley and Albany-Social recreation</v>
      </c>
      <c r="B2162">
        <v>22</v>
      </c>
      <c r="C2162" t="str">
        <f t="shared" si="101"/>
        <v>Walnut Creek</v>
      </c>
      <c r="D2162">
        <v>19</v>
      </c>
      <c r="E2162" t="str">
        <f t="shared" si="101"/>
        <v>Berkeley and Albany</v>
      </c>
      <c r="F2162" t="s">
        <v>324</v>
      </c>
      <c r="G2162">
        <f t="shared" si="99"/>
        <v>5</v>
      </c>
      <c r="H2162" t="s">
        <v>124</v>
      </c>
      <c r="I2162" t="s">
        <v>188</v>
      </c>
      <c r="J2162">
        <v>2</v>
      </c>
      <c r="K2162">
        <v>291.33605293588499</v>
      </c>
    </row>
    <row r="2163" spans="1:11" x14ac:dyDescent="0.25">
      <c r="A2163" s="159" t="str">
        <f t="shared" si="100"/>
        <v>LB-Walnut Creek-Berkeley and Albany-Work</v>
      </c>
      <c r="B2163">
        <v>22</v>
      </c>
      <c r="C2163" t="str">
        <f t="shared" si="101"/>
        <v>Walnut Creek</v>
      </c>
      <c r="D2163">
        <v>19</v>
      </c>
      <c r="E2163" t="str">
        <f t="shared" si="101"/>
        <v>Berkeley and Albany</v>
      </c>
      <c r="F2163" t="s">
        <v>30</v>
      </c>
      <c r="G2163">
        <f t="shared" si="99"/>
        <v>1</v>
      </c>
      <c r="H2163" t="s">
        <v>359</v>
      </c>
      <c r="I2163" t="s">
        <v>191</v>
      </c>
      <c r="J2163">
        <v>3</v>
      </c>
      <c r="K2163">
        <v>59.183953033268097</v>
      </c>
    </row>
    <row r="2164" spans="1:11" x14ac:dyDescent="0.25">
      <c r="A2164" s="159" t="str">
        <f t="shared" si="100"/>
        <v>EB-Walnut Creek-Richmond and El Cerrito-Missing</v>
      </c>
      <c r="B2164">
        <v>22</v>
      </c>
      <c r="C2164" t="str">
        <f t="shared" si="101"/>
        <v>Walnut Creek</v>
      </c>
      <c r="D2164">
        <v>20</v>
      </c>
      <c r="E2164" t="str">
        <f t="shared" si="101"/>
        <v>Richmond and El Cerrito</v>
      </c>
      <c r="F2164" t="s">
        <v>327</v>
      </c>
      <c r="G2164">
        <f t="shared" si="99"/>
        <v>0</v>
      </c>
      <c r="H2164" t="s">
        <v>123</v>
      </c>
      <c r="I2164" t="s">
        <v>182</v>
      </c>
      <c r="J2164">
        <v>1</v>
      </c>
      <c r="K2164">
        <v>7.3684210526315796</v>
      </c>
    </row>
    <row r="2165" spans="1:11" x14ac:dyDescent="0.25">
      <c r="A2165" s="159" t="str">
        <f t="shared" si="100"/>
        <v>LB-Walnut Creek-Concord and Martinez-High school</v>
      </c>
      <c r="B2165">
        <v>22</v>
      </c>
      <c r="C2165" t="str">
        <f t="shared" si="101"/>
        <v>Walnut Creek</v>
      </c>
      <c r="D2165">
        <v>21</v>
      </c>
      <c r="E2165" t="str">
        <f t="shared" si="101"/>
        <v>Concord and Martinez</v>
      </c>
      <c r="F2165" t="s">
        <v>326</v>
      </c>
      <c r="G2165">
        <f t="shared" si="99"/>
        <v>3</v>
      </c>
      <c r="H2165" t="s">
        <v>359</v>
      </c>
      <c r="I2165" t="s">
        <v>191</v>
      </c>
      <c r="J2165">
        <v>5</v>
      </c>
      <c r="K2165">
        <v>98.639921722113499</v>
      </c>
    </row>
    <row r="2166" spans="1:11" x14ac:dyDescent="0.25">
      <c r="A2166" s="159" t="str">
        <f t="shared" si="100"/>
        <v>LB-Walnut Creek-Concord and Martinez-Other maintenance</v>
      </c>
      <c r="B2166">
        <v>22</v>
      </c>
      <c r="C2166" t="str">
        <f t="shared" si="101"/>
        <v>Walnut Creek</v>
      </c>
      <c r="D2166">
        <v>21</v>
      </c>
      <c r="E2166" t="str">
        <f t="shared" si="101"/>
        <v>Concord and Martinez</v>
      </c>
      <c r="F2166" t="s">
        <v>325</v>
      </c>
      <c r="G2166">
        <f t="shared" si="99"/>
        <v>4</v>
      </c>
      <c r="H2166" t="s">
        <v>359</v>
      </c>
      <c r="I2166" t="s">
        <v>191</v>
      </c>
      <c r="J2166">
        <v>6</v>
      </c>
      <c r="K2166">
        <v>131.909152491344</v>
      </c>
    </row>
    <row r="2167" spans="1:11" x14ac:dyDescent="0.25">
      <c r="A2167" s="159" t="str">
        <f t="shared" si="100"/>
        <v>LB-Walnut Creek-Concord and Martinez-Shopping</v>
      </c>
      <c r="B2167">
        <v>22</v>
      </c>
      <c r="C2167" t="str">
        <f t="shared" si="101"/>
        <v>Walnut Creek</v>
      </c>
      <c r="D2167">
        <v>21</v>
      </c>
      <c r="E2167" t="str">
        <f t="shared" si="101"/>
        <v>Concord and Martinez</v>
      </c>
      <c r="F2167" t="s">
        <v>106</v>
      </c>
      <c r="G2167">
        <f t="shared" si="99"/>
        <v>4</v>
      </c>
      <c r="H2167" t="s">
        <v>359</v>
      </c>
      <c r="I2167" t="s">
        <v>191</v>
      </c>
      <c r="J2167">
        <v>1</v>
      </c>
      <c r="K2167">
        <v>19.727984344422701</v>
      </c>
    </row>
    <row r="2168" spans="1:11" x14ac:dyDescent="0.25">
      <c r="A2168" s="159" t="str">
        <f t="shared" si="100"/>
        <v>LB-Walnut Creek-Concord and Martinez-Social recreation</v>
      </c>
      <c r="B2168">
        <v>22</v>
      </c>
      <c r="C2168" t="str">
        <f t="shared" si="101"/>
        <v>Walnut Creek</v>
      </c>
      <c r="D2168">
        <v>21</v>
      </c>
      <c r="E2168" t="str">
        <f t="shared" si="101"/>
        <v>Concord and Martinez</v>
      </c>
      <c r="F2168" t="s">
        <v>324</v>
      </c>
      <c r="G2168">
        <f t="shared" si="99"/>
        <v>5</v>
      </c>
      <c r="H2168" t="s">
        <v>359</v>
      </c>
      <c r="I2168" t="s">
        <v>191</v>
      </c>
      <c r="J2168">
        <v>2</v>
      </c>
      <c r="K2168">
        <v>39.455968688845402</v>
      </c>
    </row>
    <row r="2169" spans="1:11" x14ac:dyDescent="0.25">
      <c r="A2169" s="159" t="str">
        <f t="shared" si="100"/>
        <v>LB-Walnut Creek-Concord and Martinez-Work</v>
      </c>
      <c r="B2169">
        <v>22</v>
      </c>
      <c r="C2169" t="str">
        <f t="shared" si="101"/>
        <v>Walnut Creek</v>
      </c>
      <c r="D2169">
        <v>21</v>
      </c>
      <c r="E2169" t="str">
        <f t="shared" si="101"/>
        <v>Concord and Martinez</v>
      </c>
      <c r="F2169" t="s">
        <v>30</v>
      </c>
      <c r="G2169">
        <f t="shared" si="99"/>
        <v>1</v>
      </c>
      <c r="H2169" t="s">
        <v>359</v>
      </c>
      <c r="I2169" t="s">
        <v>191</v>
      </c>
      <c r="J2169">
        <v>11</v>
      </c>
      <c r="K2169">
        <v>224.93220098014601</v>
      </c>
    </row>
    <row r="2170" spans="1:11" x14ac:dyDescent="0.25">
      <c r="A2170" s="159" t="str">
        <f t="shared" si="100"/>
        <v>LB-Walnut Creek-Walnut Creek-High school</v>
      </c>
      <c r="B2170">
        <v>22</v>
      </c>
      <c r="C2170" t="str">
        <f t="shared" si="101"/>
        <v>Walnut Creek</v>
      </c>
      <c r="D2170">
        <v>22</v>
      </c>
      <c r="E2170" t="str">
        <f t="shared" si="101"/>
        <v>Walnut Creek</v>
      </c>
      <c r="F2170" t="s">
        <v>326</v>
      </c>
      <c r="G2170">
        <f t="shared" si="99"/>
        <v>3</v>
      </c>
      <c r="H2170" t="s">
        <v>359</v>
      </c>
      <c r="I2170" t="s">
        <v>191</v>
      </c>
      <c r="J2170">
        <v>3</v>
      </c>
      <c r="K2170">
        <v>59.183953033268097</v>
      </c>
    </row>
    <row r="2171" spans="1:11" x14ac:dyDescent="0.25">
      <c r="A2171" s="159" t="str">
        <f t="shared" si="100"/>
        <v>LB-Walnut Creek-Walnut Creek-Missing</v>
      </c>
      <c r="B2171">
        <v>22</v>
      </c>
      <c r="C2171" t="str">
        <f t="shared" si="101"/>
        <v>Walnut Creek</v>
      </c>
      <c r="D2171">
        <v>22</v>
      </c>
      <c r="E2171" t="str">
        <f t="shared" si="101"/>
        <v>Walnut Creek</v>
      </c>
      <c r="F2171" t="s">
        <v>327</v>
      </c>
      <c r="G2171">
        <f t="shared" si="99"/>
        <v>0</v>
      </c>
      <c r="H2171" t="s">
        <v>359</v>
      </c>
      <c r="I2171" t="s">
        <v>191</v>
      </c>
      <c r="J2171">
        <v>5</v>
      </c>
      <c r="K2171">
        <v>125.722414571729</v>
      </c>
    </row>
    <row r="2172" spans="1:11" x14ac:dyDescent="0.25">
      <c r="A2172" s="159" t="str">
        <f t="shared" si="100"/>
        <v>LB-Walnut Creek-Walnut Creek-Other maintenance</v>
      </c>
      <c r="B2172">
        <v>22</v>
      </c>
      <c r="C2172" t="str">
        <f t="shared" si="101"/>
        <v>Walnut Creek</v>
      </c>
      <c r="D2172">
        <v>22</v>
      </c>
      <c r="E2172" t="str">
        <f t="shared" si="101"/>
        <v>Walnut Creek</v>
      </c>
      <c r="F2172" t="s">
        <v>325</v>
      </c>
      <c r="G2172">
        <f t="shared" si="99"/>
        <v>4</v>
      </c>
      <c r="H2172" t="s">
        <v>359</v>
      </c>
      <c r="I2172" t="s">
        <v>191</v>
      </c>
      <c r="J2172">
        <v>8</v>
      </c>
      <c r="K2172">
        <v>171.36512118018899</v>
      </c>
    </row>
    <row r="2173" spans="1:11" x14ac:dyDescent="0.25">
      <c r="A2173" s="159" t="str">
        <f t="shared" si="100"/>
        <v>LB-Walnut Creek-Walnut Creek-Shopping</v>
      </c>
      <c r="B2173">
        <v>22</v>
      </c>
      <c r="C2173" t="str">
        <f t="shared" si="101"/>
        <v>Walnut Creek</v>
      </c>
      <c r="D2173">
        <v>22</v>
      </c>
      <c r="E2173" t="str">
        <f t="shared" si="101"/>
        <v>Walnut Creek</v>
      </c>
      <c r="F2173" t="s">
        <v>106</v>
      </c>
      <c r="G2173">
        <f t="shared" si="99"/>
        <v>4</v>
      </c>
      <c r="H2173" t="s">
        <v>359</v>
      </c>
      <c r="I2173" t="s">
        <v>191</v>
      </c>
      <c r="J2173">
        <v>5</v>
      </c>
      <c r="K2173">
        <v>98.639921722113499</v>
      </c>
    </row>
    <row r="2174" spans="1:11" x14ac:dyDescent="0.25">
      <c r="A2174" s="159" t="str">
        <f t="shared" si="100"/>
        <v>HR-Walnut Creek-Walnut Creek-Social recreation</v>
      </c>
      <c r="B2174">
        <v>22</v>
      </c>
      <c r="C2174" t="str">
        <f t="shared" si="101"/>
        <v>Walnut Creek</v>
      </c>
      <c r="D2174">
        <v>22</v>
      </c>
      <c r="E2174" t="str">
        <f t="shared" si="101"/>
        <v>Walnut Creek</v>
      </c>
      <c r="F2174" t="s">
        <v>324</v>
      </c>
      <c r="G2174">
        <f t="shared" si="99"/>
        <v>5</v>
      </c>
      <c r="H2174" t="s">
        <v>124</v>
      </c>
      <c r="I2174" t="s">
        <v>188</v>
      </c>
      <c r="J2174">
        <v>1</v>
      </c>
      <c r="K2174">
        <v>195.51395348837201</v>
      </c>
    </row>
    <row r="2175" spans="1:11" x14ac:dyDescent="0.25">
      <c r="A2175" s="159" t="str">
        <f t="shared" si="100"/>
        <v>LB-Walnut Creek-Walnut Creek-Social recreation</v>
      </c>
      <c r="B2175">
        <v>22</v>
      </c>
      <c r="C2175" t="str">
        <f t="shared" si="101"/>
        <v>Walnut Creek</v>
      </c>
      <c r="D2175">
        <v>22</v>
      </c>
      <c r="E2175" t="str">
        <f t="shared" si="101"/>
        <v>Walnut Creek</v>
      </c>
      <c r="F2175" t="s">
        <v>324</v>
      </c>
      <c r="G2175">
        <f t="shared" si="99"/>
        <v>5</v>
      </c>
      <c r="H2175" t="s">
        <v>359</v>
      </c>
      <c r="I2175" t="s">
        <v>191</v>
      </c>
      <c r="J2175">
        <v>2</v>
      </c>
      <c r="K2175">
        <v>52.997215113653503</v>
      </c>
    </row>
    <row r="2176" spans="1:11" x14ac:dyDescent="0.25">
      <c r="A2176" s="159" t="str">
        <f t="shared" si="100"/>
        <v>HR-Walnut Creek-Walnut Creek-Work</v>
      </c>
      <c r="B2176">
        <v>22</v>
      </c>
      <c r="C2176" t="str">
        <f t="shared" si="101"/>
        <v>Walnut Creek</v>
      </c>
      <c r="D2176">
        <v>22</v>
      </c>
      <c r="E2176" t="str">
        <f t="shared" si="101"/>
        <v>Walnut Creek</v>
      </c>
      <c r="F2176" t="s">
        <v>30</v>
      </c>
      <c r="G2176">
        <f t="shared" si="99"/>
        <v>1</v>
      </c>
      <c r="H2176" t="s">
        <v>124</v>
      </c>
      <c r="I2176" t="s">
        <v>188</v>
      </c>
      <c r="J2176">
        <v>1</v>
      </c>
      <c r="K2176">
        <v>95.822099447513807</v>
      </c>
    </row>
    <row r="2177" spans="1:11" x14ac:dyDescent="0.25">
      <c r="A2177" s="159" t="str">
        <f t="shared" si="100"/>
        <v>LB-Walnut Creek-Walnut Creek-Work</v>
      </c>
      <c r="B2177">
        <v>22</v>
      </c>
      <c r="C2177" t="str">
        <f t="shared" si="101"/>
        <v>Walnut Creek</v>
      </c>
      <c r="D2177">
        <v>22</v>
      </c>
      <c r="E2177" t="str">
        <f t="shared" si="101"/>
        <v>Walnut Creek</v>
      </c>
      <c r="F2177" t="s">
        <v>30</v>
      </c>
      <c r="G2177">
        <f t="shared" si="99"/>
        <v>1</v>
      </c>
      <c r="H2177" t="s">
        <v>359</v>
      </c>
      <c r="I2177" t="s">
        <v>191</v>
      </c>
      <c r="J2177">
        <v>20</v>
      </c>
      <c r="K2177">
        <v>435.18342616287799</v>
      </c>
    </row>
    <row r="2178" spans="1:11" x14ac:dyDescent="0.25">
      <c r="A2178" s="159" t="str">
        <f t="shared" si="100"/>
        <v>LB-Walnut Creek-Danville and San Ramon-High school</v>
      </c>
      <c r="B2178">
        <v>22</v>
      </c>
      <c r="C2178" t="str">
        <f t="shared" si="101"/>
        <v>Walnut Creek</v>
      </c>
      <c r="D2178">
        <v>23</v>
      </c>
      <c r="E2178" t="str">
        <f t="shared" si="101"/>
        <v>Danville and San Ramon</v>
      </c>
      <c r="F2178" t="s">
        <v>326</v>
      </c>
      <c r="G2178">
        <f t="shared" ref="G2178:G2241" si="102">VLOOKUP(F2178,$V$2:$X$10, 3,FALSE)</f>
        <v>3</v>
      </c>
      <c r="H2178" t="s">
        <v>359</v>
      </c>
      <c r="I2178" t="s">
        <v>191</v>
      </c>
      <c r="J2178">
        <v>1</v>
      </c>
      <c r="K2178">
        <v>19.727984344422701</v>
      </c>
    </row>
    <row r="2179" spans="1:11" x14ac:dyDescent="0.25">
      <c r="A2179" s="159" t="str">
        <f t="shared" ref="A2179:A2242" si="103" xml:space="preserve"> CONCATENATE(I2179,"-",C2179, "-",E2179, "-",F2179,)</f>
        <v>LB-Walnut Creek-Danville and San Ramon-Missing</v>
      </c>
      <c r="B2179">
        <v>22</v>
      </c>
      <c r="C2179" t="str">
        <f t="shared" ref="C2179:E2242" si="104">VLOOKUP(B2179,$S$2:$T$35,2,FALSE)</f>
        <v>Walnut Creek</v>
      </c>
      <c r="D2179">
        <v>23</v>
      </c>
      <c r="E2179" t="str">
        <f t="shared" si="104"/>
        <v>Danville and San Ramon</v>
      </c>
      <c r="F2179" t="s">
        <v>327</v>
      </c>
      <c r="G2179">
        <f t="shared" si="102"/>
        <v>0</v>
      </c>
      <c r="H2179" t="s">
        <v>359</v>
      </c>
      <c r="I2179" t="s">
        <v>191</v>
      </c>
      <c r="J2179">
        <v>2</v>
      </c>
      <c r="K2179">
        <v>39.455968688845402</v>
      </c>
    </row>
    <row r="2180" spans="1:11" x14ac:dyDescent="0.25">
      <c r="A2180" s="159" t="str">
        <f t="shared" si="103"/>
        <v>LB-Walnut Creek-Danville and San Ramon-Work</v>
      </c>
      <c r="B2180">
        <v>22</v>
      </c>
      <c r="C2180" t="str">
        <f t="shared" si="104"/>
        <v>Walnut Creek</v>
      </c>
      <c r="D2180">
        <v>23</v>
      </c>
      <c r="E2180" t="str">
        <f t="shared" si="104"/>
        <v>Danville and San Ramon</v>
      </c>
      <c r="F2180" t="s">
        <v>30</v>
      </c>
      <c r="G2180">
        <f t="shared" si="102"/>
        <v>1</v>
      </c>
      <c r="H2180" t="s">
        <v>359</v>
      </c>
      <c r="I2180" t="s">
        <v>191</v>
      </c>
      <c r="J2180">
        <v>4</v>
      </c>
      <c r="K2180">
        <v>78.911937377690805</v>
      </c>
    </row>
    <row r="2181" spans="1:11" x14ac:dyDescent="0.25">
      <c r="A2181" s="159" t="str">
        <f t="shared" si="103"/>
        <v>HR-Walnut Creek-Antioch and Pittsburg-High school</v>
      </c>
      <c r="B2181">
        <v>22</v>
      </c>
      <c r="C2181" t="str">
        <f t="shared" si="104"/>
        <v>Walnut Creek</v>
      </c>
      <c r="D2181">
        <v>24</v>
      </c>
      <c r="E2181" t="str">
        <f t="shared" si="104"/>
        <v>Antioch and Pittsburg</v>
      </c>
      <c r="F2181" t="s">
        <v>326</v>
      </c>
      <c r="G2181">
        <f t="shared" si="102"/>
        <v>3</v>
      </c>
      <c r="H2181" t="s">
        <v>124</v>
      </c>
      <c r="I2181" t="s">
        <v>188</v>
      </c>
      <c r="J2181">
        <v>1</v>
      </c>
      <c r="K2181">
        <v>95.822099447513807</v>
      </c>
    </row>
    <row r="2182" spans="1:11" x14ac:dyDescent="0.25">
      <c r="A2182" s="159" t="str">
        <f t="shared" si="103"/>
        <v>LB-Walnut Creek-Antioch and Pittsburg-Other maintenance</v>
      </c>
      <c r="B2182">
        <v>22</v>
      </c>
      <c r="C2182" t="str">
        <f t="shared" si="104"/>
        <v>Walnut Creek</v>
      </c>
      <c r="D2182">
        <v>24</v>
      </c>
      <c r="E2182" t="str">
        <f t="shared" si="104"/>
        <v>Antioch and Pittsburg</v>
      </c>
      <c r="F2182" t="s">
        <v>325</v>
      </c>
      <c r="G2182">
        <f t="shared" si="102"/>
        <v>4</v>
      </c>
      <c r="H2182" t="s">
        <v>359</v>
      </c>
      <c r="I2182" t="s">
        <v>191</v>
      </c>
      <c r="J2182">
        <v>1</v>
      </c>
      <c r="K2182">
        <v>14.4260563380282</v>
      </c>
    </row>
    <row r="2183" spans="1:11" x14ac:dyDescent="0.25">
      <c r="A2183" s="159" t="str">
        <f t="shared" si="103"/>
        <v>HR-Walnut Creek-Antioch and Pittsburg-Work</v>
      </c>
      <c r="B2183">
        <v>22</v>
      </c>
      <c r="C2183" t="str">
        <f t="shared" si="104"/>
        <v>Walnut Creek</v>
      </c>
      <c r="D2183">
        <v>24</v>
      </c>
      <c r="E2183" t="str">
        <f t="shared" si="104"/>
        <v>Antioch and Pittsburg</v>
      </c>
      <c r="F2183" t="s">
        <v>30</v>
      </c>
      <c r="G2183">
        <f t="shared" si="102"/>
        <v>1</v>
      </c>
      <c r="H2183" t="s">
        <v>124</v>
      </c>
      <c r="I2183" t="s">
        <v>188</v>
      </c>
      <c r="J2183">
        <v>1</v>
      </c>
      <c r="K2183">
        <v>95.822099447513807</v>
      </c>
    </row>
    <row r="2184" spans="1:11" x14ac:dyDescent="0.25">
      <c r="A2184" s="159" t="str">
        <f t="shared" si="103"/>
        <v>LB-Walnut Creek-Antioch and Pittsburg-Work</v>
      </c>
      <c r="B2184">
        <v>22</v>
      </c>
      <c r="C2184" t="str">
        <f t="shared" si="104"/>
        <v>Walnut Creek</v>
      </c>
      <c r="D2184">
        <v>24</v>
      </c>
      <c r="E2184" t="str">
        <f t="shared" si="104"/>
        <v>Antioch and Pittsburg</v>
      </c>
      <c r="F2184" t="s">
        <v>30</v>
      </c>
      <c r="G2184">
        <f t="shared" si="102"/>
        <v>1</v>
      </c>
      <c r="H2184" t="s">
        <v>359</v>
      </c>
      <c r="I2184" t="s">
        <v>191</v>
      </c>
      <c r="J2184">
        <v>2</v>
      </c>
      <c r="K2184">
        <v>39.455968688845402</v>
      </c>
    </row>
    <row r="2185" spans="1:11" x14ac:dyDescent="0.25">
      <c r="A2185" s="159" t="str">
        <f t="shared" si="103"/>
        <v>EB-Walnut Creek-Vallejo and Benicia-High school</v>
      </c>
      <c r="B2185">
        <v>22</v>
      </c>
      <c r="C2185" t="str">
        <f t="shared" si="104"/>
        <v>Walnut Creek</v>
      </c>
      <c r="D2185">
        <v>25</v>
      </c>
      <c r="E2185" t="str">
        <f t="shared" si="104"/>
        <v>Vallejo and Benicia</v>
      </c>
      <c r="F2185" t="s">
        <v>326</v>
      </c>
      <c r="G2185">
        <f t="shared" si="102"/>
        <v>3</v>
      </c>
      <c r="H2185" t="s">
        <v>123</v>
      </c>
      <c r="I2185" t="s">
        <v>182</v>
      </c>
      <c r="J2185">
        <v>1</v>
      </c>
      <c r="K2185">
        <v>12.3349397590361</v>
      </c>
    </row>
    <row r="2186" spans="1:11" x14ac:dyDescent="0.25">
      <c r="A2186" s="159" t="str">
        <f t="shared" si="103"/>
        <v>EB-Walnut Creek-Vallejo and Benicia-Work</v>
      </c>
      <c r="B2186">
        <v>22</v>
      </c>
      <c r="C2186" t="str">
        <f t="shared" si="104"/>
        <v>Walnut Creek</v>
      </c>
      <c r="D2186">
        <v>25</v>
      </c>
      <c r="E2186" t="str">
        <f t="shared" si="104"/>
        <v>Vallejo and Benicia</v>
      </c>
      <c r="F2186" t="s">
        <v>30</v>
      </c>
      <c r="G2186">
        <f t="shared" si="102"/>
        <v>1</v>
      </c>
      <c r="H2186" t="s">
        <v>123</v>
      </c>
      <c r="I2186" t="s">
        <v>182</v>
      </c>
      <c r="J2186">
        <v>2</v>
      </c>
      <c r="K2186">
        <v>27.386221810317998</v>
      </c>
    </row>
    <row r="2187" spans="1:11" x14ac:dyDescent="0.25">
      <c r="A2187" s="159" t="str">
        <f t="shared" si="103"/>
        <v>EB-Walnut Creek-Fairfield and Vacaville-Missing</v>
      </c>
      <c r="B2187">
        <v>22</v>
      </c>
      <c r="C2187" t="str">
        <f t="shared" si="104"/>
        <v>Walnut Creek</v>
      </c>
      <c r="D2187">
        <v>26</v>
      </c>
      <c r="E2187" t="str">
        <f t="shared" si="104"/>
        <v>Fairfield and Vacaville</v>
      </c>
      <c r="F2187" t="s">
        <v>327</v>
      </c>
      <c r="G2187">
        <f t="shared" si="102"/>
        <v>0</v>
      </c>
      <c r="H2187" t="s">
        <v>123</v>
      </c>
      <c r="I2187" t="s">
        <v>182</v>
      </c>
      <c r="J2187">
        <v>1</v>
      </c>
      <c r="K2187">
        <v>12.3349397590361</v>
      </c>
    </row>
    <row r="2188" spans="1:11" x14ac:dyDescent="0.25">
      <c r="A2188" s="159" t="str">
        <f t="shared" si="103"/>
        <v>EB-Walnut Creek-Fairfield and Vacaville-Work</v>
      </c>
      <c r="B2188">
        <v>22</v>
      </c>
      <c r="C2188" t="str">
        <f t="shared" si="104"/>
        <v>Walnut Creek</v>
      </c>
      <c r="D2188">
        <v>26</v>
      </c>
      <c r="E2188" t="str">
        <f t="shared" si="104"/>
        <v>Fairfield and Vacaville</v>
      </c>
      <c r="F2188" t="s">
        <v>30</v>
      </c>
      <c r="G2188">
        <f t="shared" si="102"/>
        <v>1</v>
      </c>
      <c r="H2188" t="s">
        <v>123</v>
      </c>
      <c r="I2188" t="s">
        <v>182</v>
      </c>
      <c r="J2188">
        <v>7</v>
      </c>
      <c r="K2188">
        <v>89.060920605498595</v>
      </c>
    </row>
    <row r="2189" spans="1:11" x14ac:dyDescent="0.25">
      <c r="A2189" s="159" t="str">
        <f t="shared" si="103"/>
        <v>HR-Danville and San Ramon-Greater Downtown San Francisco-Work</v>
      </c>
      <c r="B2189">
        <v>23</v>
      </c>
      <c r="C2189" t="str">
        <f t="shared" si="104"/>
        <v>Danville and San Ramon</v>
      </c>
      <c r="D2189">
        <v>1</v>
      </c>
      <c r="E2189" t="str">
        <f t="shared" si="104"/>
        <v>Greater Downtown San Francisco</v>
      </c>
      <c r="F2189" t="s">
        <v>30</v>
      </c>
      <c r="G2189">
        <f t="shared" si="102"/>
        <v>1</v>
      </c>
      <c r="H2189" t="s">
        <v>124</v>
      </c>
      <c r="I2189" t="s">
        <v>188</v>
      </c>
      <c r="J2189">
        <v>6</v>
      </c>
      <c r="K2189">
        <v>574.93259668508199</v>
      </c>
    </row>
    <row r="2190" spans="1:11" x14ac:dyDescent="0.25">
      <c r="A2190" s="159" t="str">
        <f t="shared" si="103"/>
        <v>HR-Danville and San Ramon-San Francisco Richmond District-High school</v>
      </c>
      <c r="B2190">
        <v>23</v>
      </c>
      <c r="C2190" t="str">
        <f t="shared" si="104"/>
        <v>Danville and San Ramon</v>
      </c>
      <c r="D2190">
        <v>2</v>
      </c>
      <c r="E2190" t="str">
        <f t="shared" si="104"/>
        <v>San Francisco Richmond District</v>
      </c>
      <c r="F2190" t="s">
        <v>326</v>
      </c>
      <c r="G2190">
        <f t="shared" si="102"/>
        <v>3</v>
      </c>
      <c r="H2190" t="s">
        <v>124</v>
      </c>
      <c r="I2190" t="s">
        <v>188</v>
      </c>
      <c r="J2190">
        <v>1</v>
      </c>
      <c r="K2190">
        <v>95.822099447513807</v>
      </c>
    </row>
    <row r="2191" spans="1:11" x14ac:dyDescent="0.25">
      <c r="A2191" s="159" t="str">
        <f t="shared" si="103"/>
        <v>HR-Danville and San Ramon-San Francisco Richmond District-Social recreation</v>
      </c>
      <c r="B2191">
        <v>23</v>
      </c>
      <c r="C2191" t="str">
        <f t="shared" si="104"/>
        <v>Danville and San Ramon</v>
      </c>
      <c r="D2191">
        <v>2</v>
      </c>
      <c r="E2191" t="str">
        <f t="shared" si="104"/>
        <v>San Francisco Richmond District</v>
      </c>
      <c r="F2191" t="s">
        <v>324</v>
      </c>
      <c r="G2191">
        <f t="shared" si="102"/>
        <v>5</v>
      </c>
      <c r="H2191" t="s">
        <v>124</v>
      </c>
      <c r="I2191" t="s">
        <v>188</v>
      </c>
      <c r="J2191">
        <v>1</v>
      </c>
      <c r="K2191">
        <v>95.822099447513807</v>
      </c>
    </row>
    <row r="2192" spans="1:11" x14ac:dyDescent="0.25">
      <c r="A2192" s="159" t="str">
        <f t="shared" si="103"/>
        <v>LB-Danville and San Ramon-San Francisco Mission District-Work</v>
      </c>
      <c r="B2192">
        <v>23</v>
      </c>
      <c r="C2192" t="str">
        <f t="shared" si="104"/>
        <v>Danville and San Ramon</v>
      </c>
      <c r="D2192">
        <v>3</v>
      </c>
      <c r="E2192" t="str">
        <f t="shared" si="104"/>
        <v>San Francisco Mission District</v>
      </c>
      <c r="F2192" t="s">
        <v>30</v>
      </c>
      <c r="G2192">
        <f t="shared" si="102"/>
        <v>1</v>
      </c>
      <c r="H2192" t="s">
        <v>359</v>
      </c>
      <c r="I2192" t="s">
        <v>191</v>
      </c>
      <c r="J2192">
        <v>1</v>
      </c>
      <c r="K2192">
        <v>33.269230769230802</v>
      </c>
    </row>
    <row r="2193" spans="1:11" x14ac:dyDescent="0.25">
      <c r="A2193" s="159" t="str">
        <f t="shared" si="103"/>
        <v>HR-Danville and San Ramon-Daly City and San Bruno-Social recreation</v>
      </c>
      <c r="B2193">
        <v>23</v>
      </c>
      <c r="C2193" t="str">
        <f t="shared" si="104"/>
        <v>Danville and San Ramon</v>
      </c>
      <c r="D2193">
        <v>5</v>
      </c>
      <c r="E2193" t="str">
        <f t="shared" si="104"/>
        <v>Daly City and San Bruno</v>
      </c>
      <c r="F2193" t="s">
        <v>324</v>
      </c>
      <c r="G2193">
        <f t="shared" si="102"/>
        <v>5</v>
      </c>
      <c r="H2193" t="s">
        <v>124</v>
      </c>
      <c r="I2193" t="s">
        <v>188</v>
      </c>
      <c r="J2193">
        <v>1</v>
      </c>
      <c r="K2193">
        <v>195.51395348837201</v>
      </c>
    </row>
    <row r="2194" spans="1:11" x14ac:dyDescent="0.25">
      <c r="A2194" s="159" t="str">
        <f t="shared" si="103"/>
        <v>EB-Danville and San Ramon-Palo Alto and Los Altos-Work</v>
      </c>
      <c r="B2194">
        <v>23</v>
      </c>
      <c r="C2194" t="str">
        <f t="shared" si="104"/>
        <v>Danville and San Ramon</v>
      </c>
      <c r="D2194">
        <v>8</v>
      </c>
      <c r="E2194" t="str">
        <f t="shared" si="104"/>
        <v>Palo Alto and Los Altos</v>
      </c>
      <c r="F2194" t="s">
        <v>30</v>
      </c>
      <c r="G2194">
        <f t="shared" si="102"/>
        <v>1</v>
      </c>
      <c r="H2194" t="s">
        <v>123</v>
      </c>
      <c r="I2194" t="s">
        <v>182</v>
      </c>
      <c r="J2194">
        <v>1</v>
      </c>
      <c r="K2194">
        <v>3.8990384615384599</v>
      </c>
    </row>
    <row r="2195" spans="1:11" x14ac:dyDescent="0.25">
      <c r="A2195" s="159" t="str">
        <f t="shared" si="103"/>
        <v>LB-Danville and San Ramon-Livermore and Pleasanton-High school</v>
      </c>
      <c r="B2195">
        <v>23</v>
      </c>
      <c r="C2195" t="str">
        <f t="shared" si="104"/>
        <v>Danville and San Ramon</v>
      </c>
      <c r="D2195">
        <v>15</v>
      </c>
      <c r="E2195" t="str">
        <f t="shared" si="104"/>
        <v>Livermore and Pleasanton</v>
      </c>
      <c r="F2195" t="s">
        <v>326</v>
      </c>
      <c r="G2195">
        <f t="shared" si="102"/>
        <v>3</v>
      </c>
      <c r="H2195" t="s">
        <v>359</v>
      </c>
      <c r="I2195" t="s">
        <v>191</v>
      </c>
      <c r="J2195">
        <v>1</v>
      </c>
      <c r="K2195">
        <v>19.727984344422701</v>
      </c>
    </row>
    <row r="2196" spans="1:11" x14ac:dyDescent="0.25">
      <c r="A2196" s="159" t="str">
        <f t="shared" si="103"/>
        <v>LB-Danville and San Ramon-Livermore and Pleasanton-Missing</v>
      </c>
      <c r="B2196">
        <v>23</v>
      </c>
      <c r="C2196" t="str">
        <f t="shared" si="104"/>
        <v>Danville and San Ramon</v>
      </c>
      <c r="D2196">
        <v>15</v>
      </c>
      <c r="E2196" t="str">
        <f t="shared" si="104"/>
        <v>Livermore and Pleasanton</v>
      </c>
      <c r="F2196" t="s">
        <v>327</v>
      </c>
      <c r="G2196">
        <f t="shared" si="102"/>
        <v>0</v>
      </c>
      <c r="H2196" t="s">
        <v>359</v>
      </c>
      <c r="I2196" t="s">
        <v>191</v>
      </c>
      <c r="J2196">
        <v>1</v>
      </c>
      <c r="K2196">
        <v>14.1111111111111</v>
      </c>
    </row>
    <row r="2197" spans="1:11" x14ac:dyDescent="0.25">
      <c r="A2197" s="159" t="str">
        <f t="shared" si="103"/>
        <v>LB-Danville and San Ramon-Livermore and Pleasanton-Shopping</v>
      </c>
      <c r="B2197">
        <v>23</v>
      </c>
      <c r="C2197" t="str">
        <f t="shared" si="104"/>
        <v>Danville and San Ramon</v>
      </c>
      <c r="D2197">
        <v>15</v>
      </c>
      <c r="E2197" t="str">
        <f t="shared" si="104"/>
        <v>Livermore and Pleasanton</v>
      </c>
      <c r="F2197" t="s">
        <v>106</v>
      </c>
      <c r="G2197">
        <f t="shared" si="102"/>
        <v>4</v>
      </c>
      <c r="H2197" t="s">
        <v>359</v>
      </c>
      <c r="I2197" t="s">
        <v>191</v>
      </c>
      <c r="J2197">
        <v>1</v>
      </c>
      <c r="K2197">
        <v>14.1111111111111</v>
      </c>
    </row>
    <row r="2198" spans="1:11" x14ac:dyDescent="0.25">
      <c r="A2198" s="159" t="str">
        <f t="shared" si="103"/>
        <v>LB-Danville and San Ramon-Livermore and Pleasanton-Social recreation</v>
      </c>
      <c r="B2198">
        <v>23</v>
      </c>
      <c r="C2198" t="str">
        <f t="shared" si="104"/>
        <v>Danville and San Ramon</v>
      </c>
      <c r="D2198">
        <v>15</v>
      </c>
      <c r="E2198" t="str">
        <f t="shared" si="104"/>
        <v>Livermore and Pleasanton</v>
      </c>
      <c r="F2198" t="s">
        <v>324</v>
      </c>
      <c r="G2198">
        <f t="shared" si="102"/>
        <v>5</v>
      </c>
      <c r="H2198" t="s">
        <v>359</v>
      </c>
      <c r="I2198" t="s">
        <v>191</v>
      </c>
      <c r="J2198">
        <v>2</v>
      </c>
      <c r="K2198">
        <v>39.455968688845402</v>
      </c>
    </row>
    <row r="2199" spans="1:11" x14ac:dyDescent="0.25">
      <c r="A2199" s="159" t="str">
        <f t="shared" si="103"/>
        <v>LB-Danville and San Ramon-Livermore and Pleasanton-Work</v>
      </c>
      <c r="B2199">
        <v>23</v>
      </c>
      <c r="C2199" t="str">
        <f t="shared" si="104"/>
        <v>Danville and San Ramon</v>
      </c>
      <c r="D2199">
        <v>15</v>
      </c>
      <c r="E2199" t="str">
        <f t="shared" si="104"/>
        <v>Livermore and Pleasanton</v>
      </c>
      <c r="F2199" t="s">
        <v>30</v>
      </c>
      <c r="G2199">
        <f t="shared" si="102"/>
        <v>1</v>
      </c>
      <c r="H2199" t="s">
        <v>359</v>
      </c>
      <c r="I2199" t="s">
        <v>191</v>
      </c>
      <c r="J2199">
        <v>2</v>
      </c>
      <c r="K2199">
        <v>33.839095455533801</v>
      </c>
    </row>
    <row r="2200" spans="1:11" x14ac:dyDescent="0.25">
      <c r="A2200" s="159" t="str">
        <f t="shared" si="103"/>
        <v>LB-Danville and San Ramon-Richmond and El Cerrito-Work</v>
      </c>
      <c r="B2200">
        <v>23</v>
      </c>
      <c r="C2200" t="str">
        <f t="shared" si="104"/>
        <v>Danville and San Ramon</v>
      </c>
      <c r="D2200">
        <v>20</v>
      </c>
      <c r="E2200" t="str">
        <f t="shared" si="104"/>
        <v>Richmond and El Cerrito</v>
      </c>
      <c r="F2200" t="s">
        <v>30</v>
      </c>
      <c r="G2200">
        <f t="shared" si="102"/>
        <v>1</v>
      </c>
      <c r="H2200" t="s">
        <v>359</v>
      </c>
      <c r="I2200" t="s">
        <v>191</v>
      </c>
      <c r="J2200">
        <v>1</v>
      </c>
      <c r="K2200">
        <v>19.727984344422701</v>
      </c>
    </row>
    <row r="2201" spans="1:11" x14ac:dyDescent="0.25">
      <c r="A2201" s="159" t="str">
        <f t="shared" si="103"/>
        <v>LB-Danville and San Ramon-Concord and Martinez-High school</v>
      </c>
      <c r="B2201">
        <v>23</v>
      </c>
      <c r="C2201" t="str">
        <f t="shared" si="104"/>
        <v>Danville and San Ramon</v>
      </c>
      <c r="D2201">
        <v>21</v>
      </c>
      <c r="E2201" t="str">
        <f t="shared" si="104"/>
        <v>Concord and Martinez</v>
      </c>
      <c r="F2201" t="s">
        <v>326</v>
      </c>
      <c r="G2201">
        <f t="shared" si="102"/>
        <v>3</v>
      </c>
      <c r="H2201" t="s">
        <v>359</v>
      </c>
      <c r="I2201" t="s">
        <v>191</v>
      </c>
      <c r="J2201">
        <v>3</v>
      </c>
      <c r="K2201">
        <v>59.183953033268097</v>
      </c>
    </row>
    <row r="2202" spans="1:11" x14ac:dyDescent="0.25">
      <c r="A2202" s="159" t="str">
        <f t="shared" si="103"/>
        <v>LB-Danville and San Ramon-Concord and Martinez-Other maintenance</v>
      </c>
      <c r="B2202">
        <v>23</v>
      </c>
      <c r="C2202" t="str">
        <f t="shared" si="104"/>
        <v>Danville and San Ramon</v>
      </c>
      <c r="D2202">
        <v>21</v>
      </c>
      <c r="E2202" t="str">
        <f t="shared" si="104"/>
        <v>Concord and Martinez</v>
      </c>
      <c r="F2202" t="s">
        <v>325</v>
      </c>
      <c r="G2202">
        <f t="shared" si="102"/>
        <v>4</v>
      </c>
      <c r="H2202" t="s">
        <v>359</v>
      </c>
      <c r="I2202" t="s">
        <v>191</v>
      </c>
      <c r="J2202">
        <v>1</v>
      </c>
      <c r="K2202">
        <v>19.727984344422701</v>
      </c>
    </row>
    <row r="2203" spans="1:11" x14ac:dyDescent="0.25">
      <c r="A2203" s="159" t="str">
        <f t="shared" si="103"/>
        <v>LB-Danville and San Ramon-Concord and Martinez-Social recreation</v>
      </c>
      <c r="B2203">
        <v>23</v>
      </c>
      <c r="C2203" t="str">
        <f t="shared" si="104"/>
        <v>Danville and San Ramon</v>
      </c>
      <c r="D2203">
        <v>21</v>
      </c>
      <c r="E2203" t="str">
        <f t="shared" si="104"/>
        <v>Concord and Martinez</v>
      </c>
      <c r="F2203" t="s">
        <v>324</v>
      </c>
      <c r="G2203">
        <f t="shared" si="102"/>
        <v>5</v>
      </c>
      <c r="H2203" t="s">
        <v>359</v>
      </c>
      <c r="I2203" t="s">
        <v>191</v>
      </c>
      <c r="J2203">
        <v>1</v>
      </c>
      <c r="K2203">
        <v>19.727984344422701</v>
      </c>
    </row>
    <row r="2204" spans="1:11" x14ac:dyDescent="0.25">
      <c r="A2204" s="159" t="str">
        <f t="shared" si="103"/>
        <v>LB-Danville and San Ramon-Concord and Martinez-Work</v>
      </c>
      <c r="B2204">
        <v>23</v>
      </c>
      <c r="C2204" t="str">
        <f t="shared" si="104"/>
        <v>Danville and San Ramon</v>
      </c>
      <c r="D2204">
        <v>21</v>
      </c>
      <c r="E2204" t="str">
        <f t="shared" si="104"/>
        <v>Concord and Martinez</v>
      </c>
      <c r="F2204" t="s">
        <v>30</v>
      </c>
      <c r="G2204">
        <f t="shared" si="102"/>
        <v>1</v>
      </c>
      <c r="H2204" t="s">
        <v>359</v>
      </c>
      <c r="I2204" t="s">
        <v>191</v>
      </c>
      <c r="J2204">
        <v>2</v>
      </c>
      <c r="K2204">
        <v>39.455968688845402</v>
      </c>
    </row>
    <row r="2205" spans="1:11" x14ac:dyDescent="0.25">
      <c r="A2205" s="159" t="str">
        <f t="shared" si="103"/>
        <v>LB-Danville and San Ramon-Walnut Creek-High school</v>
      </c>
      <c r="B2205">
        <v>23</v>
      </c>
      <c r="C2205" t="str">
        <f t="shared" si="104"/>
        <v>Danville and San Ramon</v>
      </c>
      <c r="D2205">
        <v>22</v>
      </c>
      <c r="E2205" t="str">
        <f t="shared" si="104"/>
        <v>Walnut Creek</v>
      </c>
      <c r="F2205" t="s">
        <v>326</v>
      </c>
      <c r="G2205">
        <f t="shared" si="102"/>
        <v>3</v>
      </c>
      <c r="H2205" t="s">
        <v>359</v>
      </c>
      <c r="I2205" t="s">
        <v>191</v>
      </c>
      <c r="J2205">
        <v>1</v>
      </c>
      <c r="K2205">
        <v>19.727984344422701</v>
      </c>
    </row>
    <row r="2206" spans="1:11" x14ac:dyDescent="0.25">
      <c r="A2206" s="159" t="str">
        <f t="shared" si="103"/>
        <v>LB-Danville and San Ramon-Walnut Creek-Other maintenance</v>
      </c>
      <c r="B2206">
        <v>23</v>
      </c>
      <c r="C2206" t="str">
        <f t="shared" si="104"/>
        <v>Danville and San Ramon</v>
      </c>
      <c r="D2206">
        <v>22</v>
      </c>
      <c r="E2206" t="str">
        <f t="shared" si="104"/>
        <v>Walnut Creek</v>
      </c>
      <c r="F2206" t="s">
        <v>325</v>
      </c>
      <c r="G2206">
        <f t="shared" si="102"/>
        <v>4</v>
      </c>
      <c r="H2206" t="s">
        <v>359</v>
      </c>
      <c r="I2206" t="s">
        <v>191</v>
      </c>
      <c r="J2206">
        <v>2</v>
      </c>
      <c r="K2206">
        <v>39.455968688845402</v>
      </c>
    </row>
    <row r="2207" spans="1:11" x14ac:dyDescent="0.25">
      <c r="A2207" s="159" t="str">
        <f t="shared" si="103"/>
        <v>LB-Danville and San Ramon-Walnut Creek-Shopping</v>
      </c>
      <c r="B2207">
        <v>23</v>
      </c>
      <c r="C2207" t="str">
        <f t="shared" si="104"/>
        <v>Danville and San Ramon</v>
      </c>
      <c r="D2207">
        <v>22</v>
      </c>
      <c r="E2207" t="str">
        <f t="shared" si="104"/>
        <v>Walnut Creek</v>
      </c>
      <c r="F2207" t="s">
        <v>106</v>
      </c>
      <c r="G2207">
        <f t="shared" si="102"/>
        <v>4</v>
      </c>
      <c r="H2207" t="s">
        <v>359</v>
      </c>
      <c r="I2207" t="s">
        <v>191</v>
      </c>
      <c r="J2207">
        <v>1</v>
      </c>
      <c r="K2207">
        <v>33.269230769230802</v>
      </c>
    </row>
    <row r="2208" spans="1:11" x14ac:dyDescent="0.25">
      <c r="A2208" s="159" t="str">
        <f t="shared" si="103"/>
        <v>LB-Danville and San Ramon-Walnut Creek-Social recreation</v>
      </c>
      <c r="B2208">
        <v>23</v>
      </c>
      <c r="C2208" t="str">
        <f t="shared" si="104"/>
        <v>Danville and San Ramon</v>
      </c>
      <c r="D2208">
        <v>22</v>
      </c>
      <c r="E2208" t="str">
        <f t="shared" si="104"/>
        <v>Walnut Creek</v>
      </c>
      <c r="F2208" t="s">
        <v>324</v>
      </c>
      <c r="G2208">
        <f t="shared" si="102"/>
        <v>5</v>
      </c>
      <c r="H2208" t="s">
        <v>359</v>
      </c>
      <c r="I2208" t="s">
        <v>191</v>
      </c>
      <c r="J2208">
        <v>1</v>
      </c>
      <c r="K2208">
        <v>19.727984344422701</v>
      </c>
    </row>
    <row r="2209" spans="1:11" x14ac:dyDescent="0.25">
      <c r="A2209" s="159" t="str">
        <f t="shared" si="103"/>
        <v>LB-Danville and San Ramon-Walnut Creek-Work</v>
      </c>
      <c r="B2209">
        <v>23</v>
      </c>
      <c r="C2209" t="str">
        <f t="shared" si="104"/>
        <v>Danville and San Ramon</v>
      </c>
      <c r="D2209">
        <v>22</v>
      </c>
      <c r="E2209" t="str">
        <f t="shared" si="104"/>
        <v>Walnut Creek</v>
      </c>
      <c r="F2209" t="s">
        <v>30</v>
      </c>
      <c r="G2209">
        <f t="shared" si="102"/>
        <v>1</v>
      </c>
      <c r="H2209" t="s">
        <v>359</v>
      </c>
      <c r="I2209" t="s">
        <v>191</v>
      </c>
      <c r="J2209">
        <v>10</v>
      </c>
      <c r="K2209">
        <v>210.82108986903501</v>
      </c>
    </row>
    <row r="2210" spans="1:11" x14ac:dyDescent="0.25">
      <c r="A2210" s="159" t="str">
        <f t="shared" si="103"/>
        <v>LB-Danville and San Ramon-Danville and San Ramon-High school</v>
      </c>
      <c r="B2210">
        <v>23</v>
      </c>
      <c r="C2210" t="str">
        <f t="shared" si="104"/>
        <v>Danville and San Ramon</v>
      </c>
      <c r="D2210">
        <v>23</v>
      </c>
      <c r="E2210" t="str">
        <f t="shared" si="104"/>
        <v>Danville and San Ramon</v>
      </c>
      <c r="F2210" t="s">
        <v>326</v>
      </c>
      <c r="G2210">
        <f t="shared" si="102"/>
        <v>3</v>
      </c>
      <c r="H2210" t="s">
        <v>359</v>
      </c>
      <c r="I2210" t="s">
        <v>191</v>
      </c>
      <c r="J2210">
        <v>3</v>
      </c>
      <c r="K2210">
        <v>59.183953033268097</v>
      </c>
    </row>
    <row r="2211" spans="1:11" x14ac:dyDescent="0.25">
      <c r="A2211" s="159" t="str">
        <f t="shared" si="103"/>
        <v>LB-Danville and San Ramon-Danville and San Ramon-Missing</v>
      </c>
      <c r="B2211">
        <v>23</v>
      </c>
      <c r="C2211" t="str">
        <f t="shared" si="104"/>
        <v>Danville and San Ramon</v>
      </c>
      <c r="D2211">
        <v>23</v>
      </c>
      <c r="E2211" t="str">
        <f t="shared" si="104"/>
        <v>Danville and San Ramon</v>
      </c>
      <c r="F2211" t="s">
        <v>327</v>
      </c>
      <c r="G2211">
        <f t="shared" si="102"/>
        <v>0</v>
      </c>
      <c r="H2211" t="s">
        <v>359</v>
      </c>
      <c r="I2211" t="s">
        <v>191</v>
      </c>
      <c r="J2211">
        <v>1</v>
      </c>
      <c r="K2211">
        <v>19.727984344422701</v>
      </c>
    </row>
    <row r="2212" spans="1:11" x14ac:dyDescent="0.25">
      <c r="A2212" s="159" t="str">
        <f t="shared" si="103"/>
        <v>HR-Danville and San Ramon-Danville and San Ramon-Other maintenance</v>
      </c>
      <c r="B2212">
        <v>23</v>
      </c>
      <c r="C2212" t="str">
        <f t="shared" si="104"/>
        <v>Danville and San Ramon</v>
      </c>
      <c r="D2212">
        <v>23</v>
      </c>
      <c r="E2212" t="str">
        <f t="shared" si="104"/>
        <v>Danville and San Ramon</v>
      </c>
      <c r="F2212" t="s">
        <v>325</v>
      </c>
      <c r="G2212">
        <f t="shared" si="102"/>
        <v>4</v>
      </c>
      <c r="H2212" t="s">
        <v>124</v>
      </c>
      <c r="I2212" t="s">
        <v>188</v>
      </c>
      <c r="J2212">
        <v>1</v>
      </c>
      <c r="K2212">
        <v>95.822099447513807</v>
      </c>
    </row>
    <row r="2213" spans="1:11" x14ac:dyDescent="0.25">
      <c r="A2213" s="159" t="str">
        <f t="shared" si="103"/>
        <v>LB-Danville and San Ramon-Danville and San Ramon-Other maintenance</v>
      </c>
      <c r="B2213">
        <v>23</v>
      </c>
      <c r="C2213" t="str">
        <f t="shared" si="104"/>
        <v>Danville and San Ramon</v>
      </c>
      <c r="D2213">
        <v>23</v>
      </c>
      <c r="E2213" t="str">
        <f t="shared" si="104"/>
        <v>Danville and San Ramon</v>
      </c>
      <c r="F2213" t="s">
        <v>325</v>
      </c>
      <c r="G2213">
        <f t="shared" si="102"/>
        <v>4</v>
      </c>
      <c r="H2213" t="s">
        <v>359</v>
      </c>
      <c r="I2213" t="s">
        <v>191</v>
      </c>
      <c r="J2213">
        <v>2</v>
      </c>
      <c r="K2213">
        <v>39.455968688845402</v>
      </c>
    </row>
    <row r="2214" spans="1:11" x14ac:dyDescent="0.25">
      <c r="A2214" s="159" t="str">
        <f t="shared" si="103"/>
        <v>LB-Danville and San Ramon-Danville and San Ramon-Work</v>
      </c>
      <c r="B2214">
        <v>23</v>
      </c>
      <c r="C2214" t="str">
        <f t="shared" si="104"/>
        <v>Danville and San Ramon</v>
      </c>
      <c r="D2214">
        <v>23</v>
      </c>
      <c r="E2214" t="str">
        <f t="shared" si="104"/>
        <v>Danville and San Ramon</v>
      </c>
      <c r="F2214" t="s">
        <v>30</v>
      </c>
      <c r="G2214">
        <f t="shared" si="102"/>
        <v>1</v>
      </c>
      <c r="H2214" t="s">
        <v>359</v>
      </c>
      <c r="I2214" t="s">
        <v>191</v>
      </c>
      <c r="J2214">
        <v>9</v>
      </c>
      <c r="K2214">
        <v>218.175598374228</v>
      </c>
    </row>
    <row r="2215" spans="1:11" x14ac:dyDescent="0.25">
      <c r="A2215" s="159" t="str">
        <f t="shared" si="103"/>
        <v>LB-Danville and San Ramon-Antioch and Pittsburg-Work</v>
      </c>
      <c r="B2215">
        <v>23</v>
      </c>
      <c r="C2215" t="str">
        <f t="shared" si="104"/>
        <v>Danville and San Ramon</v>
      </c>
      <c r="D2215">
        <v>24</v>
      </c>
      <c r="E2215" t="str">
        <f t="shared" si="104"/>
        <v>Antioch and Pittsburg</v>
      </c>
      <c r="F2215" t="s">
        <v>30</v>
      </c>
      <c r="G2215">
        <f t="shared" si="102"/>
        <v>1</v>
      </c>
      <c r="H2215" t="s">
        <v>359</v>
      </c>
      <c r="I2215" t="s">
        <v>191</v>
      </c>
      <c r="J2215">
        <v>2</v>
      </c>
      <c r="K2215">
        <v>39.455968688845402</v>
      </c>
    </row>
    <row r="2216" spans="1:11" x14ac:dyDescent="0.25">
      <c r="A2216" s="159" t="str">
        <f t="shared" si="103"/>
        <v>LB-Antioch and Pittsburg-Greater Downtown San Francisco-Missing</v>
      </c>
      <c r="B2216">
        <v>24</v>
      </c>
      <c r="C2216" t="str">
        <f t="shared" si="104"/>
        <v>Antioch and Pittsburg</v>
      </c>
      <c r="D2216">
        <v>1</v>
      </c>
      <c r="E2216" t="str">
        <f t="shared" si="104"/>
        <v>Greater Downtown San Francisco</v>
      </c>
      <c r="F2216" t="s">
        <v>327</v>
      </c>
      <c r="G2216">
        <f t="shared" si="102"/>
        <v>0</v>
      </c>
      <c r="H2216" t="s">
        <v>359</v>
      </c>
      <c r="I2216" t="s">
        <v>191</v>
      </c>
      <c r="J2216">
        <v>1</v>
      </c>
      <c r="K2216">
        <v>14.4260563380282</v>
      </c>
    </row>
    <row r="2217" spans="1:11" x14ac:dyDescent="0.25">
      <c r="A2217" s="159" t="str">
        <f t="shared" si="103"/>
        <v>HR-Antioch and Pittsburg-Greater Downtown San Francisco-Other maintenance</v>
      </c>
      <c r="B2217">
        <v>24</v>
      </c>
      <c r="C2217" t="str">
        <f t="shared" si="104"/>
        <v>Antioch and Pittsburg</v>
      </c>
      <c r="D2217">
        <v>1</v>
      </c>
      <c r="E2217" t="str">
        <f t="shared" si="104"/>
        <v>Greater Downtown San Francisco</v>
      </c>
      <c r="F2217" t="s">
        <v>325</v>
      </c>
      <c r="G2217">
        <f t="shared" si="102"/>
        <v>4</v>
      </c>
      <c r="H2217" t="s">
        <v>124</v>
      </c>
      <c r="I2217" t="s">
        <v>188</v>
      </c>
      <c r="J2217">
        <v>1</v>
      </c>
      <c r="K2217">
        <v>95.822099447513807</v>
      </c>
    </row>
    <row r="2218" spans="1:11" x14ac:dyDescent="0.25">
      <c r="A2218" s="159" t="str">
        <f t="shared" si="103"/>
        <v>HR-Antioch and Pittsburg-Greater Downtown San Francisco-Social recreation</v>
      </c>
      <c r="B2218">
        <v>24</v>
      </c>
      <c r="C2218" t="str">
        <f t="shared" si="104"/>
        <v>Antioch and Pittsburg</v>
      </c>
      <c r="D2218">
        <v>1</v>
      </c>
      <c r="E2218" t="str">
        <f t="shared" si="104"/>
        <v>Greater Downtown San Francisco</v>
      </c>
      <c r="F2218" t="s">
        <v>324</v>
      </c>
      <c r="G2218">
        <f t="shared" si="102"/>
        <v>5</v>
      </c>
      <c r="H2218" t="s">
        <v>124</v>
      </c>
      <c r="I2218" t="s">
        <v>188</v>
      </c>
      <c r="J2218">
        <v>2</v>
      </c>
      <c r="K2218">
        <v>391.02790697674402</v>
      </c>
    </row>
    <row r="2219" spans="1:11" x14ac:dyDescent="0.25">
      <c r="A2219" s="159" t="str">
        <f t="shared" si="103"/>
        <v>HR-Antioch and Pittsburg-Greater Downtown San Francisco-Work</v>
      </c>
      <c r="B2219">
        <v>24</v>
      </c>
      <c r="C2219" t="str">
        <f t="shared" si="104"/>
        <v>Antioch and Pittsburg</v>
      </c>
      <c r="D2219">
        <v>1</v>
      </c>
      <c r="E2219" t="str">
        <f t="shared" si="104"/>
        <v>Greater Downtown San Francisco</v>
      </c>
      <c r="F2219" t="s">
        <v>30</v>
      </c>
      <c r="G2219">
        <f t="shared" si="102"/>
        <v>1</v>
      </c>
      <c r="H2219" t="s">
        <v>124</v>
      </c>
      <c r="I2219" t="s">
        <v>188</v>
      </c>
      <c r="J2219">
        <v>6</v>
      </c>
      <c r="K2219">
        <v>674.62445072594096</v>
      </c>
    </row>
    <row r="2220" spans="1:11" x14ac:dyDescent="0.25">
      <c r="A2220" s="159" t="str">
        <f t="shared" si="103"/>
        <v>HR-Antioch and Pittsburg-San Francisco Richmond District-Work</v>
      </c>
      <c r="B2220">
        <v>24</v>
      </c>
      <c r="C2220" t="str">
        <f t="shared" si="104"/>
        <v>Antioch and Pittsburg</v>
      </c>
      <c r="D2220">
        <v>2</v>
      </c>
      <c r="E2220" t="str">
        <f t="shared" si="104"/>
        <v>San Francisco Richmond District</v>
      </c>
      <c r="F2220" t="s">
        <v>30</v>
      </c>
      <c r="G2220">
        <f t="shared" si="102"/>
        <v>1</v>
      </c>
      <c r="H2220" t="s">
        <v>124</v>
      </c>
      <c r="I2220" t="s">
        <v>188</v>
      </c>
      <c r="J2220">
        <v>3</v>
      </c>
      <c r="K2220">
        <v>287.46629834254099</v>
      </c>
    </row>
    <row r="2221" spans="1:11" x14ac:dyDescent="0.25">
      <c r="A2221" s="159" t="str">
        <f t="shared" si="103"/>
        <v>LB-Antioch and Pittsburg-San Francisco Richmond District-Work</v>
      </c>
      <c r="B2221">
        <v>24</v>
      </c>
      <c r="C2221" t="str">
        <f t="shared" si="104"/>
        <v>Antioch and Pittsburg</v>
      </c>
      <c r="D2221">
        <v>2</v>
      </c>
      <c r="E2221" t="str">
        <f t="shared" si="104"/>
        <v>San Francisco Richmond District</v>
      </c>
      <c r="F2221" t="s">
        <v>30</v>
      </c>
      <c r="G2221">
        <f t="shared" si="102"/>
        <v>1</v>
      </c>
      <c r="H2221" t="s">
        <v>359</v>
      </c>
      <c r="I2221" t="s">
        <v>191</v>
      </c>
      <c r="J2221">
        <v>3</v>
      </c>
      <c r="K2221">
        <v>314.98046740184401</v>
      </c>
    </row>
    <row r="2222" spans="1:11" x14ac:dyDescent="0.25">
      <c r="A2222" s="159" t="str">
        <f t="shared" si="103"/>
        <v>HR-Antioch and Pittsburg-San Francisco Mission District-High school</v>
      </c>
      <c r="B2222">
        <v>24</v>
      </c>
      <c r="C2222" t="str">
        <f t="shared" si="104"/>
        <v>Antioch and Pittsburg</v>
      </c>
      <c r="D2222">
        <v>3</v>
      </c>
      <c r="E2222" t="str">
        <f t="shared" si="104"/>
        <v>San Francisco Mission District</v>
      </c>
      <c r="F2222" t="s">
        <v>326</v>
      </c>
      <c r="G2222">
        <f t="shared" si="102"/>
        <v>3</v>
      </c>
      <c r="H2222" t="s">
        <v>124</v>
      </c>
      <c r="I2222" t="s">
        <v>188</v>
      </c>
      <c r="J2222">
        <v>1</v>
      </c>
      <c r="K2222">
        <v>95.822099447513807</v>
      </c>
    </row>
    <row r="2223" spans="1:11" x14ac:dyDescent="0.25">
      <c r="A2223" s="159" t="str">
        <f t="shared" si="103"/>
        <v>HR-Antioch and Pittsburg-San Francisco Mission District-Other maintenance</v>
      </c>
      <c r="B2223">
        <v>24</v>
      </c>
      <c r="C2223" t="str">
        <f t="shared" si="104"/>
        <v>Antioch and Pittsburg</v>
      </c>
      <c r="D2223">
        <v>3</v>
      </c>
      <c r="E2223" t="str">
        <f t="shared" si="104"/>
        <v>San Francisco Mission District</v>
      </c>
      <c r="F2223" t="s">
        <v>325</v>
      </c>
      <c r="G2223">
        <f t="shared" si="102"/>
        <v>4</v>
      </c>
      <c r="H2223" t="s">
        <v>124</v>
      </c>
      <c r="I2223" t="s">
        <v>188</v>
      </c>
      <c r="J2223">
        <v>2</v>
      </c>
      <c r="K2223">
        <v>191.64419889502699</v>
      </c>
    </row>
    <row r="2224" spans="1:11" x14ac:dyDescent="0.25">
      <c r="A2224" s="159" t="str">
        <f t="shared" si="103"/>
        <v>HR-Antioch and Pittsburg-San Francisco Mission District-Work</v>
      </c>
      <c r="B2224">
        <v>24</v>
      </c>
      <c r="C2224" t="str">
        <f t="shared" si="104"/>
        <v>Antioch and Pittsburg</v>
      </c>
      <c r="D2224">
        <v>3</v>
      </c>
      <c r="E2224" t="str">
        <f t="shared" si="104"/>
        <v>San Francisco Mission District</v>
      </c>
      <c r="F2224" t="s">
        <v>30</v>
      </c>
      <c r="G2224">
        <f t="shared" si="102"/>
        <v>1</v>
      </c>
      <c r="H2224" t="s">
        <v>124</v>
      </c>
      <c r="I2224" t="s">
        <v>188</v>
      </c>
      <c r="J2224">
        <v>4</v>
      </c>
      <c r="K2224">
        <v>383.288397790055</v>
      </c>
    </row>
    <row r="2225" spans="1:11" x14ac:dyDescent="0.25">
      <c r="A2225" s="159" t="str">
        <f t="shared" si="103"/>
        <v>LB-Antioch and Pittsburg-San Francisco Mission District-Work</v>
      </c>
      <c r="B2225">
        <v>24</v>
      </c>
      <c r="C2225" t="str">
        <f t="shared" si="104"/>
        <v>Antioch and Pittsburg</v>
      </c>
      <c r="D2225">
        <v>3</v>
      </c>
      <c r="E2225" t="str">
        <f t="shared" si="104"/>
        <v>San Francisco Mission District</v>
      </c>
      <c r="F2225" t="s">
        <v>30</v>
      </c>
      <c r="G2225">
        <f t="shared" si="102"/>
        <v>1</v>
      </c>
      <c r="H2225" t="s">
        <v>359</v>
      </c>
      <c r="I2225" t="s">
        <v>191</v>
      </c>
      <c r="J2225">
        <v>1</v>
      </c>
      <c r="K2225">
        <v>286.12835472578797</v>
      </c>
    </row>
    <row r="2226" spans="1:11" x14ac:dyDescent="0.25">
      <c r="A2226" s="159" t="str">
        <f t="shared" si="103"/>
        <v>LB-Antioch and Pittsburg-Daly City and San Bruno-Shopping</v>
      </c>
      <c r="B2226">
        <v>24</v>
      </c>
      <c r="C2226" t="str">
        <f t="shared" si="104"/>
        <v>Antioch and Pittsburg</v>
      </c>
      <c r="D2226">
        <v>5</v>
      </c>
      <c r="E2226" t="str">
        <f t="shared" si="104"/>
        <v>Daly City and San Bruno</v>
      </c>
      <c r="F2226" t="s">
        <v>106</v>
      </c>
      <c r="G2226">
        <f t="shared" si="102"/>
        <v>4</v>
      </c>
      <c r="H2226" t="s">
        <v>359</v>
      </c>
      <c r="I2226" t="s">
        <v>191</v>
      </c>
      <c r="J2226">
        <v>1</v>
      </c>
      <c r="K2226">
        <v>48.125</v>
      </c>
    </row>
    <row r="2227" spans="1:11" x14ac:dyDescent="0.25">
      <c r="A2227" s="159" t="str">
        <f t="shared" si="103"/>
        <v>HR-Antioch and Pittsburg-Daly City and San Bruno-Social recreation</v>
      </c>
      <c r="B2227">
        <v>24</v>
      </c>
      <c r="C2227" t="str">
        <f t="shared" si="104"/>
        <v>Antioch and Pittsburg</v>
      </c>
      <c r="D2227">
        <v>5</v>
      </c>
      <c r="E2227" t="str">
        <f t="shared" si="104"/>
        <v>Daly City and San Bruno</v>
      </c>
      <c r="F2227" t="s">
        <v>324</v>
      </c>
      <c r="G2227">
        <f t="shared" si="102"/>
        <v>5</v>
      </c>
      <c r="H2227" t="s">
        <v>124</v>
      </c>
      <c r="I2227" t="s">
        <v>188</v>
      </c>
      <c r="J2227">
        <v>1</v>
      </c>
      <c r="K2227">
        <v>195.51395348837201</v>
      </c>
    </row>
    <row r="2228" spans="1:11" x14ac:dyDescent="0.25">
      <c r="A2228" s="159" t="str">
        <f t="shared" si="103"/>
        <v>HR-Antioch and Pittsburg-Daly City and San Bruno-Work</v>
      </c>
      <c r="B2228">
        <v>24</v>
      </c>
      <c r="C2228" t="str">
        <f t="shared" si="104"/>
        <v>Antioch and Pittsburg</v>
      </c>
      <c r="D2228">
        <v>5</v>
      </c>
      <c r="E2228" t="str">
        <f t="shared" si="104"/>
        <v>Daly City and San Bruno</v>
      </c>
      <c r="F2228" t="s">
        <v>30</v>
      </c>
      <c r="G2228">
        <f t="shared" si="102"/>
        <v>1</v>
      </c>
      <c r="H2228" t="s">
        <v>124</v>
      </c>
      <c r="I2228" t="s">
        <v>188</v>
      </c>
      <c r="J2228">
        <v>4</v>
      </c>
      <c r="K2228">
        <v>383.288397790055</v>
      </c>
    </row>
    <row r="2229" spans="1:11" x14ac:dyDescent="0.25">
      <c r="A2229" s="159" t="str">
        <f t="shared" si="103"/>
        <v>HR-Antioch and Pittsburg-San Mateo and Burlingame-Work</v>
      </c>
      <c r="B2229">
        <v>24</v>
      </c>
      <c r="C2229" t="str">
        <f t="shared" si="104"/>
        <v>Antioch and Pittsburg</v>
      </c>
      <c r="D2229">
        <v>6</v>
      </c>
      <c r="E2229" t="str">
        <f t="shared" si="104"/>
        <v>San Mateo and Burlingame</v>
      </c>
      <c r="F2229" t="s">
        <v>30</v>
      </c>
      <c r="G2229">
        <f t="shared" si="102"/>
        <v>1</v>
      </c>
      <c r="H2229" t="s">
        <v>124</v>
      </c>
      <c r="I2229" t="s">
        <v>188</v>
      </c>
      <c r="J2229">
        <v>1</v>
      </c>
      <c r="K2229">
        <v>195.51395348837201</v>
      </c>
    </row>
    <row r="2230" spans="1:11" x14ac:dyDescent="0.25">
      <c r="A2230" s="159" t="str">
        <f t="shared" si="103"/>
        <v>CR-Antioch and Pittsburg-Palo Alto and Los Altos-Work</v>
      </c>
      <c r="B2230">
        <v>24</v>
      </c>
      <c r="C2230" t="str">
        <f t="shared" si="104"/>
        <v>Antioch and Pittsburg</v>
      </c>
      <c r="D2230">
        <v>8</v>
      </c>
      <c r="E2230" t="str">
        <f t="shared" si="104"/>
        <v>Palo Alto and Los Altos</v>
      </c>
      <c r="F2230" t="s">
        <v>30</v>
      </c>
      <c r="G2230">
        <f t="shared" si="102"/>
        <v>1</v>
      </c>
      <c r="H2230" t="s">
        <v>125</v>
      </c>
      <c r="I2230" t="s">
        <v>178</v>
      </c>
      <c r="J2230">
        <v>1</v>
      </c>
      <c r="K2230">
        <v>23.4305084745763</v>
      </c>
    </row>
    <row r="2231" spans="1:11" x14ac:dyDescent="0.25">
      <c r="A2231" s="159" t="str">
        <f t="shared" si="103"/>
        <v>LR-Antioch and Pittsburg-Sunnyvale and Mountain View-Work</v>
      </c>
      <c r="B2231">
        <v>24</v>
      </c>
      <c r="C2231" t="str">
        <f t="shared" si="104"/>
        <v>Antioch and Pittsburg</v>
      </c>
      <c r="D2231">
        <v>9</v>
      </c>
      <c r="E2231" t="str">
        <f t="shared" si="104"/>
        <v>Sunnyvale and Mountain View</v>
      </c>
      <c r="F2231" t="s">
        <v>30</v>
      </c>
      <c r="G2231">
        <f t="shared" si="102"/>
        <v>1</v>
      </c>
      <c r="H2231" t="s">
        <v>353</v>
      </c>
      <c r="I2231" t="s">
        <v>194</v>
      </c>
      <c r="J2231">
        <v>1</v>
      </c>
      <c r="K2231">
        <v>62.646773074254</v>
      </c>
    </row>
    <row r="2232" spans="1:11" x14ac:dyDescent="0.25">
      <c r="A2232" s="159" t="str">
        <f t="shared" si="103"/>
        <v>HR-Antioch and Pittsburg-Central San Jose-High school</v>
      </c>
      <c r="B2232">
        <v>24</v>
      </c>
      <c r="C2232" t="str">
        <f t="shared" si="104"/>
        <v>Antioch and Pittsburg</v>
      </c>
      <c r="D2232">
        <v>11</v>
      </c>
      <c r="E2232" t="str">
        <f t="shared" si="104"/>
        <v>Central San Jose</v>
      </c>
      <c r="F2232" t="s">
        <v>326</v>
      </c>
      <c r="G2232">
        <f t="shared" si="102"/>
        <v>3</v>
      </c>
      <c r="H2232" t="s">
        <v>124</v>
      </c>
      <c r="I2232" t="s">
        <v>188</v>
      </c>
      <c r="J2232">
        <v>1</v>
      </c>
      <c r="K2232">
        <v>95.822099447513807</v>
      </c>
    </row>
    <row r="2233" spans="1:11" x14ac:dyDescent="0.25">
      <c r="A2233" s="159" t="str">
        <f t="shared" si="103"/>
        <v>HR-Antioch and Pittsburg-Milpitas and East San Jose-Other maintenance</v>
      </c>
      <c r="B2233">
        <v>24</v>
      </c>
      <c r="C2233" t="str">
        <f t="shared" si="104"/>
        <v>Antioch and Pittsburg</v>
      </c>
      <c r="D2233">
        <v>12</v>
      </c>
      <c r="E2233" t="str">
        <f t="shared" si="104"/>
        <v>Milpitas and East San Jose</v>
      </c>
      <c r="F2233" t="s">
        <v>325</v>
      </c>
      <c r="G2233">
        <f t="shared" si="102"/>
        <v>4</v>
      </c>
      <c r="H2233" t="s">
        <v>124</v>
      </c>
      <c r="I2233" t="s">
        <v>188</v>
      </c>
      <c r="J2233">
        <v>1</v>
      </c>
      <c r="K2233">
        <v>95.822099447513807</v>
      </c>
    </row>
    <row r="2234" spans="1:11" x14ac:dyDescent="0.25">
      <c r="A2234" s="159" t="str">
        <f t="shared" si="103"/>
        <v>HR-Antioch and Pittsburg-Milpitas and East San Jose-Work</v>
      </c>
      <c r="B2234">
        <v>24</v>
      </c>
      <c r="C2234" t="str">
        <f t="shared" si="104"/>
        <v>Antioch and Pittsburg</v>
      </c>
      <c r="D2234">
        <v>12</v>
      </c>
      <c r="E2234" t="str">
        <f t="shared" si="104"/>
        <v>Milpitas and East San Jose</v>
      </c>
      <c r="F2234" t="s">
        <v>30</v>
      </c>
      <c r="G2234">
        <f t="shared" si="102"/>
        <v>1</v>
      </c>
      <c r="H2234" t="s">
        <v>124</v>
      </c>
      <c r="I2234" t="s">
        <v>188</v>
      </c>
      <c r="J2234">
        <v>1</v>
      </c>
      <c r="K2234">
        <v>195.51395348837201</v>
      </c>
    </row>
    <row r="2235" spans="1:11" x14ac:dyDescent="0.25">
      <c r="A2235" s="159" t="str">
        <f t="shared" si="103"/>
        <v>LB-Antioch and Pittsburg-Livermore and Pleasanton-High school</v>
      </c>
      <c r="B2235">
        <v>24</v>
      </c>
      <c r="C2235" t="str">
        <f t="shared" si="104"/>
        <v>Antioch and Pittsburg</v>
      </c>
      <c r="D2235">
        <v>15</v>
      </c>
      <c r="E2235" t="str">
        <f t="shared" si="104"/>
        <v>Livermore and Pleasanton</v>
      </c>
      <c r="F2235" t="s">
        <v>326</v>
      </c>
      <c r="G2235">
        <f t="shared" si="102"/>
        <v>3</v>
      </c>
      <c r="H2235" t="s">
        <v>359</v>
      </c>
      <c r="I2235" t="s">
        <v>191</v>
      </c>
      <c r="J2235">
        <v>3</v>
      </c>
      <c r="K2235">
        <v>42.3333333333333</v>
      </c>
    </row>
    <row r="2236" spans="1:11" x14ac:dyDescent="0.25">
      <c r="A2236" s="159" t="str">
        <f t="shared" si="103"/>
        <v>LB-Antioch and Pittsburg-Livermore and Pleasanton-Other maintenance</v>
      </c>
      <c r="B2236">
        <v>24</v>
      </c>
      <c r="C2236" t="str">
        <f t="shared" si="104"/>
        <v>Antioch and Pittsburg</v>
      </c>
      <c r="D2236">
        <v>15</v>
      </c>
      <c r="E2236" t="str">
        <f t="shared" si="104"/>
        <v>Livermore and Pleasanton</v>
      </c>
      <c r="F2236" t="s">
        <v>325</v>
      </c>
      <c r="G2236">
        <f t="shared" si="102"/>
        <v>4</v>
      </c>
      <c r="H2236" t="s">
        <v>359</v>
      </c>
      <c r="I2236" t="s">
        <v>191</v>
      </c>
      <c r="J2236">
        <v>2</v>
      </c>
      <c r="K2236">
        <v>28.2222222222222</v>
      </c>
    </row>
    <row r="2237" spans="1:11" x14ac:dyDescent="0.25">
      <c r="A2237" s="159" t="str">
        <f t="shared" si="103"/>
        <v>LB-Antioch and Pittsburg-Livermore and Pleasanton-Work</v>
      </c>
      <c r="B2237">
        <v>24</v>
      </c>
      <c r="C2237" t="str">
        <f t="shared" si="104"/>
        <v>Antioch and Pittsburg</v>
      </c>
      <c r="D2237">
        <v>15</v>
      </c>
      <c r="E2237" t="str">
        <f t="shared" si="104"/>
        <v>Livermore and Pleasanton</v>
      </c>
      <c r="F2237" t="s">
        <v>30</v>
      </c>
      <c r="G2237">
        <f t="shared" si="102"/>
        <v>1</v>
      </c>
      <c r="H2237" t="s">
        <v>359</v>
      </c>
      <c r="I2237" t="s">
        <v>191</v>
      </c>
      <c r="J2237">
        <v>3</v>
      </c>
      <c r="K2237">
        <v>42.3333333333333</v>
      </c>
    </row>
    <row r="2238" spans="1:11" x14ac:dyDescent="0.25">
      <c r="A2238" s="159" t="str">
        <f t="shared" si="103"/>
        <v>LB-Antioch and Pittsburg-Fremont and Union City-High school</v>
      </c>
      <c r="B2238">
        <v>24</v>
      </c>
      <c r="C2238" t="str">
        <f t="shared" si="104"/>
        <v>Antioch and Pittsburg</v>
      </c>
      <c r="D2238">
        <v>16</v>
      </c>
      <c r="E2238" t="str">
        <f t="shared" si="104"/>
        <v>Fremont and Union City</v>
      </c>
      <c r="F2238" t="s">
        <v>326</v>
      </c>
      <c r="G2238">
        <f t="shared" si="102"/>
        <v>3</v>
      </c>
      <c r="H2238" t="s">
        <v>359</v>
      </c>
      <c r="I2238" t="s">
        <v>191</v>
      </c>
      <c r="J2238">
        <v>1</v>
      </c>
      <c r="K2238">
        <v>14.4260563380282</v>
      </c>
    </row>
    <row r="2239" spans="1:11" x14ac:dyDescent="0.25">
      <c r="A2239" s="159" t="str">
        <f t="shared" si="103"/>
        <v>HR-Antioch and Pittsburg-Fremont and Union City-Work</v>
      </c>
      <c r="B2239">
        <v>24</v>
      </c>
      <c r="C2239" t="str">
        <f t="shared" si="104"/>
        <v>Antioch and Pittsburg</v>
      </c>
      <c r="D2239">
        <v>16</v>
      </c>
      <c r="E2239" t="str">
        <f t="shared" si="104"/>
        <v>Fremont and Union City</v>
      </c>
      <c r="F2239" t="s">
        <v>30</v>
      </c>
      <c r="G2239">
        <f t="shared" si="102"/>
        <v>1</v>
      </c>
      <c r="H2239" t="s">
        <v>124</v>
      </c>
      <c r="I2239" t="s">
        <v>188</v>
      </c>
      <c r="J2239">
        <v>1</v>
      </c>
      <c r="K2239">
        <v>95.822099447513807</v>
      </c>
    </row>
    <row r="2240" spans="1:11" x14ac:dyDescent="0.25">
      <c r="A2240" s="159" t="str">
        <f t="shared" si="103"/>
        <v>LB-Antioch and Pittsburg-Hayward and San Leandro-Shopping</v>
      </c>
      <c r="B2240">
        <v>24</v>
      </c>
      <c r="C2240" t="str">
        <f t="shared" si="104"/>
        <v>Antioch and Pittsburg</v>
      </c>
      <c r="D2240">
        <v>17</v>
      </c>
      <c r="E2240" t="str">
        <f t="shared" si="104"/>
        <v>Hayward and San Leandro</v>
      </c>
      <c r="F2240" t="s">
        <v>106</v>
      </c>
      <c r="G2240">
        <f t="shared" si="102"/>
        <v>4</v>
      </c>
      <c r="H2240" t="s">
        <v>359</v>
      </c>
      <c r="I2240" t="s">
        <v>191</v>
      </c>
      <c r="J2240">
        <v>1</v>
      </c>
      <c r="K2240">
        <v>14.4260563380282</v>
      </c>
    </row>
    <row r="2241" spans="1:11" x14ac:dyDescent="0.25">
      <c r="A2241" s="159" t="str">
        <f t="shared" si="103"/>
        <v>LB-Antioch and Pittsburg-Oakland and Alameda-Missing</v>
      </c>
      <c r="B2241">
        <v>24</v>
      </c>
      <c r="C2241" t="str">
        <f t="shared" si="104"/>
        <v>Antioch and Pittsburg</v>
      </c>
      <c r="D2241">
        <v>18</v>
      </c>
      <c r="E2241" t="str">
        <f t="shared" si="104"/>
        <v>Oakland and Alameda</v>
      </c>
      <c r="F2241" t="s">
        <v>327</v>
      </c>
      <c r="G2241">
        <f t="shared" si="102"/>
        <v>0</v>
      </c>
      <c r="H2241" t="s">
        <v>359</v>
      </c>
      <c r="I2241" t="s">
        <v>191</v>
      </c>
      <c r="J2241">
        <v>1</v>
      </c>
      <c r="K2241">
        <v>14.4260563380282</v>
      </c>
    </row>
    <row r="2242" spans="1:11" x14ac:dyDescent="0.25">
      <c r="A2242" s="159" t="str">
        <f t="shared" si="103"/>
        <v>LB-Antioch and Pittsburg-Oakland and Alameda-Other maintenance</v>
      </c>
      <c r="B2242">
        <v>24</v>
      </c>
      <c r="C2242" t="str">
        <f t="shared" si="104"/>
        <v>Antioch and Pittsburg</v>
      </c>
      <c r="D2242">
        <v>18</v>
      </c>
      <c r="E2242" t="str">
        <f t="shared" si="104"/>
        <v>Oakland and Alameda</v>
      </c>
      <c r="F2242" t="s">
        <v>325</v>
      </c>
      <c r="G2242">
        <f t="shared" ref="G2242:G2305" si="105">VLOOKUP(F2242,$V$2:$X$10, 3,FALSE)</f>
        <v>4</v>
      </c>
      <c r="H2242" t="s">
        <v>359</v>
      </c>
      <c r="I2242" t="s">
        <v>191</v>
      </c>
      <c r="J2242">
        <v>1</v>
      </c>
      <c r="K2242">
        <v>75.575262543757304</v>
      </c>
    </row>
    <row r="2243" spans="1:11" x14ac:dyDescent="0.25">
      <c r="A2243" s="159" t="str">
        <f t="shared" ref="A2243:A2306" si="106" xml:space="preserve"> CONCATENATE(I2243,"-",C2243, "-",E2243, "-",F2243,)</f>
        <v>HR-Antioch and Pittsburg-Oakland and Alameda-Shopping</v>
      </c>
      <c r="B2243">
        <v>24</v>
      </c>
      <c r="C2243" t="str">
        <f t="shared" ref="C2243:E2306" si="107">VLOOKUP(B2243,$S$2:$T$35,2,FALSE)</f>
        <v>Antioch and Pittsburg</v>
      </c>
      <c r="D2243">
        <v>18</v>
      </c>
      <c r="E2243" t="str">
        <f t="shared" si="107"/>
        <v>Oakland and Alameda</v>
      </c>
      <c r="F2243" t="s">
        <v>106</v>
      </c>
      <c r="G2243">
        <f t="shared" si="105"/>
        <v>4</v>
      </c>
      <c r="H2243" t="s">
        <v>124</v>
      </c>
      <c r="I2243" t="s">
        <v>188</v>
      </c>
      <c r="J2243">
        <v>1</v>
      </c>
      <c r="K2243">
        <v>195.51395348837201</v>
      </c>
    </row>
    <row r="2244" spans="1:11" x14ac:dyDescent="0.25">
      <c r="A2244" s="159" t="str">
        <f t="shared" si="106"/>
        <v>LB-Antioch and Pittsburg-Oakland and Alameda-Social recreation</v>
      </c>
      <c r="B2244">
        <v>24</v>
      </c>
      <c r="C2244" t="str">
        <f t="shared" si="107"/>
        <v>Antioch and Pittsburg</v>
      </c>
      <c r="D2244">
        <v>18</v>
      </c>
      <c r="E2244" t="str">
        <f t="shared" si="107"/>
        <v>Oakland and Alameda</v>
      </c>
      <c r="F2244" t="s">
        <v>324</v>
      </c>
      <c r="G2244">
        <f t="shared" si="105"/>
        <v>5</v>
      </c>
      <c r="H2244" t="s">
        <v>359</v>
      </c>
      <c r="I2244" t="s">
        <v>191</v>
      </c>
      <c r="J2244">
        <v>1</v>
      </c>
      <c r="K2244">
        <v>14.4260563380282</v>
      </c>
    </row>
    <row r="2245" spans="1:11" x14ac:dyDescent="0.25">
      <c r="A2245" s="159" t="str">
        <f t="shared" si="106"/>
        <v>EB-Antioch and Pittsburg-Oakland and Alameda-Work</v>
      </c>
      <c r="B2245">
        <v>24</v>
      </c>
      <c r="C2245" t="str">
        <f t="shared" si="107"/>
        <v>Antioch and Pittsburg</v>
      </c>
      <c r="D2245">
        <v>18</v>
      </c>
      <c r="E2245" t="str">
        <f t="shared" si="107"/>
        <v>Oakland and Alameda</v>
      </c>
      <c r="F2245" t="s">
        <v>30</v>
      </c>
      <c r="G2245">
        <f t="shared" si="105"/>
        <v>1</v>
      </c>
      <c r="H2245" t="s">
        <v>123</v>
      </c>
      <c r="I2245" t="s">
        <v>182</v>
      </c>
      <c r="J2245">
        <v>1</v>
      </c>
      <c r="K2245">
        <v>3.8990384615384599</v>
      </c>
    </row>
    <row r="2246" spans="1:11" x14ac:dyDescent="0.25">
      <c r="A2246" s="159" t="str">
        <f t="shared" si="106"/>
        <v>HR-Antioch and Pittsburg-Oakland and Alameda-Work</v>
      </c>
      <c r="B2246">
        <v>24</v>
      </c>
      <c r="C2246" t="str">
        <f t="shared" si="107"/>
        <v>Antioch and Pittsburg</v>
      </c>
      <c r="D2246">
        <v>18</v>
      </c>
      <c r="E2246" t="str">
        <f t="shared" si="107"/>
        <v>Oakland and Alameda</v>
      </c>
      <c r="F2246" t="s">
        <v>30</v>
      </c>
      <c r="G2246">
        <f t="shared" si="105"/>
        <v>1</v>
      </c>
      <c r="H2246" t="s">
        <v>124</v>
      </c>
      <c r="I2246" t="s">
        <v>188</v>
      </c>
      <c r="J2246">
        <v>11</v>
      </c>
      <c r="K2246">
        <v>1153.73494796351</v>
      </c>
    </row>
    <row r="2247" spans="1:11" x14ac:dyDescent="0.25">
      <c r="A2247" s="159" t="str">
        <f t="shared" si="106"/>
        <v>LB-Antioch and Pittsburg-Oakland and Alameda-Work</v>
      </c>
      <c r="B2247">
        <v>24</v>
      </c>
      <c r="C2247" t="str">
        <f t="shared" si="107"/>
        <v>Antioch and Pittsburg</v>
      </c>
      <c r="D2247">
        <v>18</v>
      </c>
      <c r="E2247" t="str">
        <f t="shared" si="107"/>
        <v>Oakland and Alameda</v>
      </c>
      <c r="F2247" t="s">
        <v>30</v>
      </c>
      <c r="G2247">
        <f t="shared" si="105"/>
        <v>1</v>
      </c>
      <c r="H2247" t="s">
        <v>359</v>
      </c>
      <c r="I2247" t="s">
        <v>191</v>
      </c>
      <c r="J2247">
        <v>3</v>
      </c>
      <c r="K2247">
        <v>48.580097020479101</v>
      </c>
    </row>
    <row r="2248" spans="1:11" x14ac:dyDescent="0.25">
      <c r="A2248" s="159" t="str">
        <f t="shared" si="106"/>
        <v>HR-Antioch and Pittsburg-Berkeley and Albany-High school</v>
      </c>
      <c r="B2248">
        <v>24</v>
      </c>
      <c r="C2248" t="str">
        <f t="shared" si="107"/>
        <v>Antioch and Pittsburg</v>
      </c>
      <c r="D2248">
        <v>19</v>
      </c>
      <c r="E2248" t="str">
        <f t="shared" si="107"/>
        <v>Berkeley and Albany</v>
      </c>
      <c r="F2248" t="s">
        <v>326</v>
      </c>
      <c r="G2248">
        <f t="shared" si="105"/>
        <v>3</v>
      </c>
      <c r="H2248" t="s">
        <v>124</v>
      </c>
      <c r="I2248" t="s">
        <v>188</v>
      </c>
      <c r="J2248">
        <v>1</v>
      </c>
      <c r="K2248">
        <v>95.822099447513807</v>
      </c>
    </row>
    <row r="2249" spans="1:11" x14ac:dyDescent="0.25">
      <c r="A2249" s="159" t="str">
        <f t="shared" si="106"/>
        <v>LB-Antioch and Pittsburg-Berkeley and Albany-Missing</v>
      </c>
      <c r="B2249">
        <v>24</v>
      </c>
      <c r="C2249" t="str">
        <f t="shared" si="107"/>
        <v>Antioch and Pittsburg</v>
      </c>
      <c r="D2249">
        <v>19</v>
      </c>
      <c r="E2249" t="str">
        <f t="shared" si="107"/>
        <v>Berkeley and Albany</v>
      </c>
      <c r="F2249" t="s">
        <v>327</v>
      </c>
      <c r="G2249">
        <f t="shared" si="105"/>
        <v>0</v>
      </c>
      <c r="H2249" t="s">
        <v>359</v>
      </c>
      <c r="I2249" t="s">
        <v>191</v>
      </c>
      <c r="J2249">
        <v>1</v>
      </c>
      <c r="K2249">
        <v>14.4260563380282</v>
      </c>
    </row>
    <row r="2250" spans="1:11" x14ac:dyDescent="0.25">
      <c r="A2250" s="159" t="str">
        <f t="shared" si="106"/>
        <v>HR-Antioch and Pittsburg-Berkeley and Albany-Other</v>
      </c>
      <c r="B2250">
        <v>24</v>
      </c>
      <c r="C2250" t="str">
        <f t="shared" si="107"/>
        <v>Antioch and Pittsburg</v>
      </c>
      <c r="D2250">
        <v>19</v>
      </c>
      <c r="E2250" t="str">
        <f t="shared" si="107"/>
        <v>Berkeley and Albany</v>
      </c>
      <c r="F2250" t="s">
        <v>328</v>
      </c>
      <c r="G2250">
        <f t="shared" si="105"/>
        <v>0</v>
      </c>
      <c r="H2250" t="s">
        <v>124</v>
      </c>
      <c r="I2250" t="s">
        <v>188</v>
      </c>
      <c r="J2250">
        <v>1</v>
      </c>
      <c r="K2250">
        <v>95.822099447513807</v>
      </c>
    </row>
    <row r="2251" spans="1:11" x14ac:dyDescent="0.25">
      <c r="A2251" s="159" t="str">
        <f t="shared" si="106"/>
        <v>HR-Antioch and Pittsburg-Berkeley and Albany-Other maintenance</v>
      </c>
      <c r="B2251">
        <v>24</v>
      </c>
      <c r="C2251" t="str">
        <f t="shared" si="107"/>
        <v>Antioch and Pittsburg</v>
      </c>
      <c r="D2251">
        <v>19</v>
      </c>
      <c r="E2251" t="str">
        <f t="shared" si="107"/>
        <v>Berkeley and Albany</v>
      </c>
      <c r="F2251" t="s">
        <v>325</v>
      </c>
      <c r="G2251">
        <f t="shared" si="105"/>
        <v>4</v>
      </c>
      <c r="H2251" t="s">
        <v>124</v>
      </c>
      <c r="I2251" t="s">
        <v>188</v>
      </c>
      <c r="J2251">
        <v>1</v>
      </c>
      <c r="K2251">
        <v>195.51395348837201</v>
      </c>
    </row>
    <row r="2252" spans="1:11" x14ac:dyDescent="0.25">
      <c r="A2252" s="159" t="str">
        <f t="shared" si="106"/>
        <v>HR-Antioch and Pittsburg-Berkeley and Albany-Work</v>
      </c>
      <c r="B2252">
        <v>24</v>
      </c>
      <c r="C2252" t="str">
        <f t="shared" si="107"/>
        <v>Antioch and Pittsburg</v>
      </c>
      <c r="D2252">
        <v>19</v>
      </c>
      <c r="E2252" t="str">
        <f t="shared" si="107"/>
        <v>Berkeley and Albany</v>
      </c>
      <c r="F2252" t="s">
        <v>30</v>
      </c>
      <c r="G2252">
        <f t="shared" si="105"/>
        <v>1</v>
      </c>
      <c r="H2252" t="s">
        <v>124</v>
      </c>
      <c r="I2252" t="s">
        <v>188</v>
      </c>
      <c r="J2252">
        <v>2</v>
      </c>
      <c r="K2252">
        <v>191.64419889502699</v>
      </c>
    </row>
    <row r="2253" spans="1:11" x14ac:dyDescent="0.25">
      <c r="A2253" s="159" t="str">
        <f t="shared" si="106"/>
        <v>HR-Antioch and Pittsburg-Richmond and El Cerrito-Missing</v>
      </c>
      <c r="B2253">
        <v>24</v>
      </c>
      <c r="C2253" t="str">
        <f t="shared" si="107"/>
        <v>Antioch and Pittsburg</v>
      </c>
      <c r="D2253">
        <v>20</v>
      </c>
      <c r="E2253" t="str">
        <f t="shared" si="107"/>
        <v>Richmond and El Cerrito</v>
      </c>
      <c r="F2253" t="s">
        <v>327</v>
      </c>
      <c r="G2253">
        <f t="shared" si="105"/>
        <v>0</v>
      </c>
      <c r="H2253" t="s">
        <v>124</v>
      </c>
      <c r="I2253" t="s">
        <v>188</v>
      </c>
      <c r="J2253">
        <v>1</v>
      </c>
      <c r="K2253">
        <v>95.822099447513807</v>
      </c>
    </row>
    <row r="2254" spans="1:11" x14ac:dyDescent="0.25">
      <c r="A2254" s="159" t="str">
        <f t="shared" si="106"/>
        <v>EB-Antioch and Pittsburg-Richmond and El Cerrito-Other maintenance</v>
      </c>
      <c r="B2254">
        <v>24</v>
      </c>
      <c r="C2254" t="str">
        <f t="shared" si="107"/>
        <v>Antioch and Pittsburg</v>
      </c>
      <c r="D2254">
        <v>20</v>
      </c>
      <c r="E2254" t="str">
        <f t="shared" si="107"/>
        <v>Richmond and El Cerrito</v>
      </c>
      <c r="F2254" t="s">
        <v>325</v>
      </c>
      <c r="G2254">
        <f t="shared" si="105"/>
        <v>4</v>
      </c>
      <c r="H2254" t="s">
        <v>123</v>
      </c>
      <c r="I2254" t="s">
        <v>182</v>
      </c>
      <c r="J2254">
        <v>1</v>
      </c>
      <c r="K2254">
        <v>7.3684210526315796</v>
      </c>
    </row>
    <row r="2255" spans="1:11" x14ac:dyDescent="0.25">
      <c r="A2255" s="159" t="str">
        <f t="shared" si="106"/>
        <v>HR-Antioch and Pittsburg-Richmond and El Cerrito-Other maintenance</v>
      </c>
      <c r="B2255">
        <v>24</v>
      </c>
      <c r="C2255" t="str">
        <f t="shared" si="107"/>
        <v>Antioch and Pittsburg</v>
      </c>
      <c r="D2255">
        <v>20</v>
      </c>
      <c r="E2255" t="str">
        <f t="shared" si="107"/>
        <v>Richmond and El Cerrito</v>
      </c>
      <c r="F2255" t="s">
        <v>325</v>
      </c>
      <c r="G2255">
        <f t="shared" si="105"/>
        <v>4</v>
      </c>
      <c r="H2255" t="s">
        <v>124</v>
      </c>
      <c r="I2255" t="s">
        <v>188</v>
      </c>
      <c r="J2255">
        <v>1</v>
      </c>
      <c r="K2255">
        <v>95.822099447513807</v>
      </c>
    </row>
    <row r="2256" spans="1:11" x14ac:dyDescent="0.25">
      <c r="A2256" s="159" t="str">
        <f t="shared" si="106"/>
        <v>HR-Antioch and Pittsburg-Richmond and El Cerrito-Social recreation</v>
      </c>
      <c r="B2256">
        <v>24</v>
      </c>
      <c r="C2256" t="str">
        <f t="shared" si="107"/>
        <v>Antioch and Pittsburg</v>
      </c>
      <c r="D2256">
        <v>20</v>
      </c>
      <c r="E2256" t="str">
        <f t="shared" si="107"/>
        <v>Richmond and El Cerrito</v>
      </c>
      <c r="F2256" t="s">
        <v>324</v>
      </c>
      <c r="G2256">
        <f t="shared" si="105"/>
        <v>5</v>
      </c>
      <c r="H2256" t="s">
        <v>124</v>
      </c>
      <c r="I2256" t="s">
        <v>188</v>
      </c>
      <c r="J2256">
        <v>1</v>
      </c>
      <c r="K2256">
        <v>95.822099447513807</v>
      </c>
    </row>
    <row r="2257" spans="1:11" x14ac:dyDescent="0.25">
      <c r="A2257" s="159" t="str">
        <f t="shared" si="106"/>
        <v>EB-Antioch and Pittsburg-Richmond and El Cerrito-Work</v>
      </c>
      <c r="B2257">
        <v>24</v>
      </c>
      <c r="C2257" t="str">
        <f t="shared" si="107"/>
        <v>Antioch and Pittsburg</v>
      </c>
      <c r="D2257">
        <v>20</v>
      </c>
      <c r="E2257" t="str">
        <f t="shared" si="107"/>
        <v>Richmond and El Cerrito</v>
      </c>
      <c r="F2257" t="s">
        <v>30</v>
      </c>
      <c r="G2257">
        <f t="shared" si="105"/>
        <v>1</v>
      </c>
      <c r="H2257" t="s">
        <v>123</v>
      </c>
      <c r="I2257" t="s">
        <v>182</v>
      </c>
      <c r="J2257">
        <v>1</v>
      </c>
      <c r="K2257">
        <v>7.3684210526315796</v>
      </c>
    </row>
    <row r="2258" spans="1:11" x14ac:dyDescent="0.25">
      <c r="A2258" s="159" t="str">
        <f t="shared" si="106"/>
        <v>HR-Antioch and Pittsburg-Richmond and El Cerrito-Work</v>
      </c>
      <c r="B2258">
        <v>24</v>
      </c>
      <c r="C2258" t="str">
        <f t="shared" si="107"/>
        <v>Antioch and Pittsburg</v>
      </c>
      <c r="D2258">
        <v>20</v>
      </c>
      <c r="E2258" t="str">
        <f t="shared" si="107"/>
        <v>Richmond and El Cerrito</v>
      </c>
      <c r="F2258" t="s">
        <v>30</v>
      </c>
      <c r="G2258">
        <f t="shared" si="105"/>
        <v>1</v>
      </c>
      <c r="H2258" t="s">
        <v>124</v>
      </c>
      <c r="I2258" t="s">
        <v>188</v>
      </c>
      <c r="J2258">
        <v>2</v>
      </c>
      <c r="K2258">
        <v>191.64419889502699</v>
      </c>
    </row>
    <row r="2259" spans="1:11" x14ac:dyDescent="0.25">
      <c r="A2259" s="159" t="str">
        <f t="shared" si="106"/>
        <v>LB-Antioch and Pittsburg-Concord and Martinez-High school</v>
      </c>
      <c r="B2259">
        <v>24</v>
      </c>
      <c r="C2259" t="str">
        <f t="shared" si="107"/>
        <v>Antioch and Pittsburg</v>
      </c>
      <c r="D2259">
        <v>21</v>
      </c>
      <c r="E2259" t="str">
        <f t="shared" si="107"/>
        <v>Concord and Martinez</v>
      </c>
      <c r="F2259" t="s">
        <v>326</v>
      </c>
      <c r="G2259">
        <f t="shared" si="105"/>
        <v>3</v>
      </c>
      <c r="H2259" t="s">
        <v>359</v>
      </c>
      <c r="I2259" t="s">
        <v>191</v>
      </c>
      <c r="J2259">
        <v>8</v>
      </c>
      <c r="K2259">
        <v>184.83687946602899</v>
      </c>
    </row>
    <row r="2260" spans="1:11" x14ac:dyDescent="0.25">
      <c r="A2260" s="159" t="str">
        <f t="shared" si="106"/>
        <v>HR-Antioch and Pittsburg-Concord and Martinez-Missing</v>
      </c>
      <c r="B2260">
        <v>24</v>
      </c>
      <c r="C2260" t="str">
        <f t="shared" si="107"/>
        <v>Antioch and Pittsburg</v>
      </c>
      <c r="D2260">
        <v>21</v>
      </c>
      <c r="E2260" t="str">
        <f t="shared" si="107"/>
        <v>Concord and Martinez</v>
      </c>
      <c r="F2260" t="s">
        <v>327</v>
      </c>
      <c r="G2260">
        <f t="shared" si="105"/>
        <v>0</v>
      </c>
      <c r="H2260" t="s">
        <v>124</v>
      </c>
      <c r="I2260" t="s">
        <v>188</v>
      </c>
      <c r="J2260">
        <v>1</v>
      </c>
      <c r="K2260">
        <v>195.51395348837201</v>
      </c>
    </row>
    <row r="2261" spans="1:11" x14ac:dyDescent="0.25">
      <c r="A2261" s="159" t="str">
        <f t="shared" si="106"/>
        <v>LB-Antioch and Pittsburg-Concord and Martinez-Missing</v>
      </c>
      <c r="B2261">
        <v>24</v>
      </c>
      <c r="C2261" t="str">
        <f t="shared" si="107"/>
        <v>Antioch and Pittsburg</v>
      </c>
      <c r="D2261">
        <v>21</v>
      </c>
      <c r="E2261" t="str">
        <f t="shared" si="107"/>
        <v>Concord and Martinez</v>
      </c>
      <c r="F2261" t="s">
        <v>327</v>
      </c>
      <c r="G2261">
        <f t="shared" si="105"/>
        <v>0</v>
      </c>
      <c r="H2261" t="s">
        <v>359</v>
      </c>
      <c r="I2261" t="s">
        <v>191</v>
      </c>
      <c r="J2261">
        <v>4</v>
      </c>
      <c r="K2261">
        <v>73.6100093712963</v>
      </c>
    </row>
    <row r="2262" spans="1:11" x14ac:dyDescent="0.25">
      <c r="A2262" s="159" t="str">
        <f t="shared" si="106"/>
        <v>LB-Antioch and Pittsburg-Concord and Martinez-Other maintenance</v>
      </c>
      <c r="B2262">
        <v>24</v>
      </c>
      <c r="C2262" t="str">
        <f t="shared" si="107"/>
        <v>Antioch and Pittsburg</v>
      </c>
      <c r="D2262">
        <v>21</v>
      </c>
      <c r="E2262" t="str">
        <f t="shared" si="107"/>
        <v>Concord and Martinez</v>
      </c>
      <c r="F2262" t="s">
        <v>325</v>
      </c>
      <c r="G2262">
        <f t="shared" si="105"/>
        <v>4</v>
      </c>
      <c r="H2262" t="s">
        <v>359</v>
      </c>
      <c r="I2262" t="s">
        <v>191</v>
      </c>
      <c r="J2262">
        <v>4</v>
      </c>
      <c r="K2262">
        <v>57.7042253521128</v>
      </c>
    </row>
    <row r="2263" spans="1:11" x14ac:dyDescent="0.25">
      <c r="A2263" s="159" t="str">
        <f t="shared" si="106"/>
        <v>LB-Antioch and Pittsburg-Concord and Martinez-Shopping</v>
      </c>
      <c r="B2263">
        <v>24</v>
      </c>
      <c r="C2263" t="str">
        <f t="shared" si="107"/>
        <v>Antioch and Pittsburg</v>
      </c>
      <c r="D2263">
        <v>21</v>
      </c>
      <c r="E2263" t="str">
        <f t="shared" si="107"/>
        <v>Concord and Martinez</v>
      </c>
      <c r="F2263" t="s">
        <v>106</v>
      </c>
      <c r="G2263">
        <f t="shared" si="105"/>
        <v>4</v>
      </c>
      <c r="H2263" t="s">
        <v>359</v>
      </c>
      <c r="I2263" t="s">
        <v>191</v>
      </c>
      <c r="J2263">
        <v>1</v>
      </c>
      <c r="K2263">
        <v>14.4260563380282</v>
      </c>
    </row>
    <row r="2264" spans="1:11" x14ac:dyDescent="0.25">
      <c r="A2264" s="159" t="str">
        <f t="shared" si="106"/>
        <v>HR-Antioch and Pittsburg-Concord and Martinez-Work</v>
      </c>
      <c r="B2264">
        <v>24</v>
      </c>
      <c r="C2264" t="str">
        <f t="shared" si="107"/>
        <v>Antioch and Pittsburg</v>
      </c>
      <c r="D2264">
        <v>21</v>
      </c>
      <c r="E2264" t="str">
        <f t="shared" si="107"/>
        <v>Concord and Martinez</v>
      </c>
      <c r="F2264" t="s">
        <v>30</v>
      </c>
      <c r="G2264">
        <f t="shared" si="105"/>
        <v>1</v>
      </c>
      <c r="H2264" t="s">
        <v>124</v>
      </c>
      <c r="I2264" t="s">
        <v>188</v>
      </c>
      <c r="J2264">
        <v>1</v>
      </c>
      <c r="K2264">
        <v>95.822099447513807</v>
      </c>
    </row>
    <row r="2265" spans="1:11" x14ac:dyDescent="0.25">
      <c r="A2265" s="159" t="str">
        <f t="shared" si="106"/>
        <v>LB-Antioch and Pittsburg-Concord and Martinez-Work</v>
      </c>
      <c r="B2265">
        <v>24</v>
      </c>
      <c r="C2265" t="str">
        <f t="shared" si="107"/>
        <v>Antioch and Pittsburg</v>
      </c>
      <c r="D2265">
        <v>21</v>
      </c>
      <c r="E2265" t="str">
        <f t="shared" si="107"/>
        <v>Concord and Martinez</v>
      </c>
      <c r="F2265" t="s">
        <v>30</v>
      </c>
      <c r="G2265">
        <f t="shared" si="105"/>
        <v>1</v>
      </c>
      <c r="H2265" t="s">
        <v>359</v>
      </c>
      <c r="I2265" t="s">
        <v>191</v>
      </c>
      <c r="J2265">
        <v>17</v>
      </c>
      <c r="K2265">
        <v>277.05452578484602</v>
      </c>
    </row>
    <row r="2266" spans="1:11" x14ac:dyDescent="0.25">
      <c r="A2266" s="159" t="str">
        <f t="shared" si="106"/>
        <v>LB-Antioch and Pittsburg-Walnut Creek-High school</v>
      </c>
      <c r="B2266">
        <v>24</v>
      </c>
      <c r="C2266" t="str">
        <f t="shared" si="107"/>
        <v>Antioch and Pittsburg</v>
      </c>
      <c r="D2266">
        <v>22</v>
      </c>
      <c r="E2266" t="str">
        <f t="shared" si="107"/>
        <v>Walnut Creek</v>
      </c>
      <c r="F2266" t="s">
        <v>326</v>
      </c>
      <c r="G2266">
        <f t="shared" si="105"/>
        <v>3</v>
      </c>
      <c r="H2266" t="s">
        <v>359</v>
      </c>
      <c r="I2266" t="s">
        <v>191</v>
      </c>
      <c r="J2266">
        <v>3</v>
      </c>
      <c r="K2266">
        <v>59.183953033268097</v>
      </c>
    </row>
    <row r="2267" spans="1:11" x14ac:dyDescent="0.25">
      <c r="A2267" s="159" t="str">
        <f t="shared" si="106"/>
        <v>HR-Antioch and Pittsburg-Walnut Creek-Other maintenance</v>
      </c>
      <c r="B2267">
        <v>24</v>
      </c>
      <c r="C2267" t="str">
        <f t="shared" si="107"/>
        <v>Antioch and Pittsburg</v>
      </c>
      <c r="D2267">
        <v>22</v>
      </c>
      <c r="E2267" t="str">
        <f t="shared" si="107"/>
        <v>Walnut Creek</v>
      </c>
      <c r="F2267" t="s">
        <v>325</v>
      </c>
      <c r="G2267">
        <f t="shared" si="105"/>
        <v>4</v>
      </c>
      <c r="H2267" t="s">
        <v>124</v>
      </c>
      <c r="I2267" t="s">
        <v>188</v>
      </c>
      <c r="J2267">
        <v>1</v>
      </c>
      <c r="K2267">
        <v>95.822099447513807</v>
      </c>
    </row>
    <row r="2268" spans="1:11" x14ac:dyDescent="0.25">
      <c r="A2268" s="159" t="str">
        <f t="shared" si="106"/>
        <v>HR-Antioch and Pittsburg-Walnut Creek-Work</v>
      </c>
      <c r="B2268">
        <v>24</v>
      </c>
      <c r="C2268" t="str">
        <f t="shared" si="107"/>
        <v>Antioch and Pittsburg</v>
      </c>
      <c r="D2268">
        <v>22</v>
      </c>
      <c r="E2268" t="str">
        <f t="shared" si="107"/>
        <v>Walnut Creek</v>
      </c>
      <c r="F2268" t="s">
        <v>30</v>
      </c>
      <c r="G2268">
        <f t="shared" si="105"/>
        <v>1</v>
      </c>
      <c r="H2268" t="s">
        <v>124</v>
      </c>
      <c r="I2268" t="s">
        <v>188</v>
      </c>
      <c r="J2268">
        <v>2</v>
      </c>
      <c r="K2268">
        <v>291.33605293588499</v>
      </c>
    </row>
    <row r="2269" spans="1:11" x14ac:dyDescent="0.25">
      <c r="A2269" s="159" t="str">
        <f t="shared" si="106"/>
        <v>LB-Antioch and Pittsburg-Walnut Creek-Work</v>
      </c>
      <c r="B2269">
        <v>24</v>
      </c>
      <c r="C2269" t="str">
        <f t="shared" si="107"/>
        <v>Antioch and Pittsburg</v>
      </c>
      <c r="D2269">
        <v>22</v>
      </c>
      <c r="E2269" t="str">
        <f t="shared" si="107"/>
        <v>Walnut Creek</v>
      </c>
      <c r="F2269" t="s">
        <v>30</v>
      </c>
      <c r="G2269">
        <f t="shared" si="105"/>
        <v>1</v>
      </c>
      <c r="H2269" t="s">
        <v>359</v>
      </c>
      <c r="I2269" t="s">
        <v>191</v>
      </c>
      <c r="J2269">
        <v>9</v>
      </c>
      <c r="K2269">
        <v>161.64607508061999</v>
      </c>
    </row>
    <row r="2270" spans="1:11" x14ac:dyDescent="0.25">
      <c r="A2270" s="159" t="str">
        <f t="shared" si="106"/>
        <v>HR-Antioch and Pittsburg-Danville and San Ramon-Work</v>
      </c>
      <c r="B2270">
        <v>24</v>
      </c>
      <c r="C2270" t="str">
        <f t="shared" si="107"/>
        <v>Antioch and Pittsburg</v>
      </c>
      <c r="D2270">
        <v>23</v>
      </c>
      <c r="E2270" t="str">
        <f t="shared" si="107"/>
        <v>Danville and San Ramon</v>
      </c>
      <c r="F2270" t="s">
        <v>30</v>
      </c>
      <c r="G2270">
        <f t="shared" si="105"/>
        <v>1</v>
      </c>
      <c r="H2270" t="s">
        <v>124</v>
      </c>
      <c r="I2270" t="s">
        <v>188</v>
      </c>
      <c r="J2270">
        <v>1</v>
      </c>
      <c r="K2270">
        <v>95.822099447513807</v>
      </c>
    </row>
    <row r="2271" spans="1:11" x14ac:dyDescent="0.25">
      <c r="A2271" s="159" t="str">
        <f t="shared" si="106"/>
        <v>LB-Antioch and Pittsburg-Danville and San Ramon-Work</v>
      </c>
      <c r="B2271">
        <v>24</v>
      </c>
      <c r="C2271" t="str">
        <f t="shared" si="107"/>
        <v>Antioch and Pittsburg</v>
      </c>
      <c r="D2271">
        <v>23</v>
      </c>
      <c r="E2271" t="str">
        <f t="shared" si="107"/>
        <v>Danville and San Ramon</v>
      </c>
      <c r="F2271" t="s">
        <v>30</v>
      </c>
      <c r="G2271">
        <f t="shared" si="105"/>
        <v>1</v>
      </c>
      <c r="H2271" t="s">
        <v>359</v>
      </c>
      <c r="I2271" t="s">
        <v>191</v>
      </c>
      <c r="J2271">
        <v>4</v>
      </c>
      <c r="K2271">
        <v>78.911937377690805</v>
      </c>
    </row>
    <row r="2272" spans="1:11" x14ac:dyDescent="0.25">
      <c r="A2272" s="159" t="str">
        <f t="shared" si="106"/>
        <v>LB-Antioch and Pittsburg-Antioch and Pittsburg-High school</v>
      </c>
      <c r="B2272">
        <v>24</v>
      </c>
      <c r="C2272" t="str">
        <f t="shared" si="107"/>
        <v>Antioch and Pittsburg</v>
      </c>
      <c r="D2272">
        <v>24</v>
      </c>
      <c r="E2272" t="str">
        <f t="shared" si="107"/>
        <v>Antioch and Pittsburg</v>
      </c>
      <c r="F2272" t="s">
        <v>326</v>
      </c>
      <c r="G2272">
        <f t="shared" si="105"/>
        <v>3</v>
      </c>
      <c r="H2272" t="s">
        <v>359</v>
      </c>
      <c r="I2272" t="s">
        <v>191</v>
      </c>
      <c r="J2272">
        <v>42</v>
      </c>
      <c r="K2272">
        <v>639.59330985915597</v>
      </c>
    </row>
    <row r="2273" spans="1:11" x14ac:dyDescent="0.25">
      <c r="A2273" s="159" t="str">
        <f t="shared" si="106"/>
        <v>LB-Antioch and Pittsburg-Antioch and Pittsburg-Missing</v>
      </c>
      <c r="B2273">
        <v>24</v>
      </c>
      <c r="C2273" t="str">
        <f t="shared" si="107"/>
        <v>Antioch and Pittsburg</v>
      </c>
      <c r="D2273">
        <v>24</v>
      </c>
      <c r="E2273" t="str">
        <f t="shared" si="107"/>
        <v>Antioch and Pittsburg</v>
      </c>
      <c r="F2273" t="s">
        <v>327</v>
      </c>
      <c r="G2273">
        <f t="shared" si="105"/>
        <v>0</v>
      </c>
      <c r="H2273" t="s">
        <v>359</v>
      </c>
      <c r="I2273" t="s">
        <v>191</v>
      </c>
      <c r="J2273">
        <v>19</v>
      </c>
      <c r="K2273">
        <v>341.49295774647902</v>
      </c>
    </row>
    <row r="2274" spans="1:11" x14ac:dyDescent="0.25">
      <c r="A2274" s="159" t="str">
        <f t="shared" si="106"/>
        <v>LB-Antioch and Pittsburg-Antioch and Pittsburg-Other maintenance</v>
      </c>
      <c r="B2274">
        <v>24</v>
      </c>
      <c r="C2274" t="str">
        <f t="shared" si="107"/>
        <v>Antioch and Pittsburg</v>
      </c>
      <c r="D2274">
        <v>24</v>
      </c>
      <c r="E2274" t="str">
        <f t="shared" si="107"/>
        <v>Antioch and Pittsburg</v>
      </c>
      <c r="F2274" t="s">
        <v>325</v>
      </c>
      <c r="G2274">
        <f t="shared" si="105"/>
        <v>4</v>
      </c>
      <c r="H2274" t="s">
        <v>359</v>
      </c>
      <c r="I2274" t="s">
        <v>191</v>
      </c>
      <c r="J2274">
        <v>27</v>
      </c>
      <c r="K2274">
        <v>524.29929577464804</v>
      </c>
    </row>
    <row r="2275" spans="1:11" x14ac:dyDescent="0.25">
      <c r="A2275" s="159" t="str">
        <f t="shared" si="106"/>
        <v>HR-Antioch and Pittsburg-Antioch and Pittsburg-Shopping</v>
      </c>
      <c r="B2275">
        <v>24</v>
      </c>
      <c r="C2275" t="str">
        <f t="shared" si="107"/>
        <v>Antioch and Pittsburg</v>
      </c>
      <c r="D2275">
        <v>24</v>
      </c>
      <c r="E2275" t="str">
        <f t="shared" si="107"/>
        <v>Antioch and Pittsburg</v>
      </c>
      <c r="F2275" t="s">
        <v>106</v>
      </c>
      <c r="G2275">
        <f t="shared" si="105"/>
        <v>4</v>
      </c>
      <c r="H2275" t="s">
        <v>124</v>
      </c>
      <c r="I2275" t="s">
        <v>188</v>
      </c>
      <c r="J2275">
        <v>1</v>
      </c>
      <c r="K2275">
        <v>95.822099447513807</v>
      </c>
    </row>
    <row r="2276" spans="1:11" x14ac:dyDescent="0.25">
      <c r="A2276" s="159" t="str">
        <f t="shared" si="106"/>
        <v>LB-Antioch and Pittsburg-Antioch and Pittsburg-Shopping</v>
      </c>
      <c r="B2276">
        <v>24</v>
      </c>
      <c r="C2276" t="str">
        <f t="shared" si="107"/>
        <v>Antioch and Pittsburg</v>
      </c>
      <c r="D2276">
        <v>24</v>
      </c>
      <c r="E2276" t="str">
        <f t="shared" si="107"/>
        <v>Antioch and Pittsburg</v>
      </c>
      <c r="F2276" t="s">
        <v>106</v>
      </c>
      <c r="G2276">
        <f t="shared" si="105"/>
        <v>4</v>
      </c>
      <c r="H2276" t="s">
        <v>359</v>
      </c>
      <c r="I2276" t="s">
        <v>191</v>
      </c>
      <c r="J2276">
        <v>13</v>
      </c>
      <c r="K2276">
        <v>288.63556338028201</v>
      </c>
    </row>
    <row r="2277" spans="1:11" x14ac:dyDescent="0.25">
      <c r="A2277" s="159" t="str">
        <f t="shared" si="106"/>
        <v>HR-Antioch and Pittsburg-Antioch and Pittsburg-Social recreation</v>
      </c>
      <c r="B2277">
        <v>24</v>
      </c>
      <c r="C2277" t="str">
        <f t="shared" si="107"/>
        <v>Antioch and Pittsburg</v>
      </c>
      <c r="D2277">
        <v>24</v>
      </c>
      <c r="E2277" t="str">
        <f t="shared" si="107"/>
        <v>Antioch and Pittsburg</v>
      </c>
      <c r="F2277" t="s">
        <v>324</v>
      </c>
      <c r="G2277">
        <f t="shared" si="105"/>
        <v>5</v>
      </c>
      <c r="H2277" t="s">
        <v>124</v>
      </c>
      <c r="I2277" t="s">
        <v>188</v>
      </c>
      <c r="J2277">
        <v>2</v>
      </c>
      <c r="K2277">
        <v>391.02790697674402</v>
      </c>
    </row>
    <row r="2278" spans="1:11" x14ac:dyDescent="0.25">
      <c r="A2278" s="159" t="str">
        <f t="shared" si="106"/>
        <v>LB-Antioch and Pittsburg-Antioch and Pittsburg-Social recreation</v>
      </c>
      <c r="B2278">
        <v>24</v>
      </c>
      <c r="C2278" t="str">
        <f t="shared" si="107"/>
        <v>Antioch and Pittsburg</v>
      </c>
      <c r="D2278">
        <v>24</v>
      </c>
      <c r="E2278" t="str">
        <f t="shared" si="107"/>
        <v>Antioch and Pittsburg</v>
      </c>
      <c r="F2278" t="s">
        <v>324</v>
      </c>
      <c r="G2278">
        <f t="shared" si="105"/>
        <v>5</v>
      </c>
      <c r="H2278" t="s">
        <v>359</v>
      </c>
      <c r="I2278" t="s">
        <v>191</v>
      </c>
      <c r="J2278">
        <v>7</v>
      </c>
      <c r="K2278">
        <v>100.982394366197</v>
      </c>
    </row>
    <row r="2279" spans="1:11" x14ac:dyDescent="0.25">
      <c r="A2279" s="159" t="str">
        <f t="shared" si="106"/>
        <v>HR-Antioch and Pittsburg-Antioch and Pittsburg-Work</v>
      </c>
      <c r="B2279">
        <v>24</v>
      </c>
      <c r="C2279" t="str">
        <f t="shared" si="107"/>
        <v>Antioch and Pittsburg</v>
      </c>
      <c r="D2279">
        <v>24</v>
      </c>
      <c r="E2279" t="str">
        <f t="shared" si="107"/>
        <v>Antioch and Pittsburg</v>
      </c>
      <c r="F2279" t="s">
        <v>30</v>
      </c>
      <c r="G2279">
        <f t="shared" si="105"/>
        <v>1</v>
      </c>
      <c r="H2279" t="s">
        <v>124</v>
      </c>
      <c r="I2279" t="s">
        <v>188</v>
      </c>
      <c r="J2279">
        <v>4</v>
      </c>
      <c r="K2279">
        <v>383.288397790055</v>
      </c>
    </row>
    <row r="2280" spans="1:11" x14ac:dyDescent="0.25">
      <c r="A2280" s="159" t="str">
        <f t="shared" si="106"/>
        <v>LB-Antioch and Pittsburg-Antioch and Pittsburg-Work</v>
      </c>
      <c r="B2280">
        <v>24</v>
      </c>
      <c r="C2280" t="str">
        <f t="shared" si="107"/>
        <v>Antioch and Pittsburg</v>
      </c>
      <c r="D2280">
        <v>24</v>
      </c>
      <c r="E2280" t="str">
        <f t="shared" si="107"/>
        <v>Antioch and Pittsburg</v>
      </c>
      <c r="F2280" t="s">
        <v>30</v>
      </c>
      <c r="G2280">
        <f t="shared" si="105"/>
        <v>1</v>
      </c>
      <c r="H2280" t="s">
        <v>359</v>
      </c>
      <c r="I2280" t="s">
        <v>191</v>
      </c>
      <c r="J2280">
        <v>65</v>
      </c>
      <c r="K2280">
        <v>1150.49117995645</v>
      </c>
    </row>
    <row r="2281" spans="1:11" x14ac:dyDescent="0.25">
      <c r="A2281" s="159" t="str">
        <f t="shared" si="106"/>
        <v>EB-Vallejo and Benicia-Greater Downtown San Francisco-Missing</v>
      </c>
      <c r="B2281">
        <v>25</v>
      </c>
      <c r="C2281" t="str">
        <f t="shared" si="107"/>
        <v>Vallejo and Benicia</v>
      </c>
      <c r="D2281">
        <v>1</v>
      </c>
      <c r="E2281" t="str">
        <f t="shared" si="107"/>
        <v>Greater Downtown San Francisco</v>
      </c>
      <c r="F2281" t="s">
        <v>327</v>
      </c>
      <c r="G2281">
        <f t="shared" si="105"/>
        <v>0</v>
      </c>
      <c r="H2281" t="s">
        <v>123</v>
      </c>
      <c r="I2281" t="s">
        <v>182</v>
      </c>
      <c r="J2281">
        <v>3</v>
      </c>
      <c r="K2281">
        <v>37.004819277108297</v>
      </c>
    </row>
    <row r="2282" spans="1:11" x14ac:dyDescent="0.25">
      <c r="A2282" s="159" t="str">
        <f t="shared" si="106"/>
        <v>FR-Vallejo and Benicia-Greater Downtown San Francisco-Missing</v>
      </c>
      <c r="B2282">
        <v>25</v>
      </c>
      <c r="C2282" t="str">
        <f t="shared" si="107"/>
        <v>Vallejo and Benicia</v>
      </c>
      <c r="D2282">
        <v>1</v>
      </c>
      <c r="E2282" t="str">
        <f t="shared" si="107"/>
        <v>Greater Downtown San Francisco</v>
      </c>
      <c r="F2282" t="s">
        <v>327</v>
      </c>
      <c r="G2282">
        <f t="shared" si="105"/>
        <v>0</v>
      </c>
      <c r="H2282" t="s">
        <v>360</v>
      </c>
      <c r="I2282" t="s">
        <v>185</v>
      </c>
      <c r="J2282">
        <v>2</v>
      </c>
      <c r="K2282">
        <v>28.217810468035701</v>
      </c>
    </row>
    <row r="2283" spans="1:11" x14ac:dyDescent="0.25">
      <c r="A2283" s="159" t="str">
        <f t="shared" si="106"/>
        <v>FR-Vallejo and Benicia-Greater Downtown San Francisco-Social recreation</v>
      </c>
      <c r="B2283">
        <v>25</v>
      </c>
      <c r="C2283" t="str">
        <f t="shared" si="107"/>
        <v>Vallejo and Benicia</v>
      </c>
      <c r="D2283">
        <v>1</v>
      </c>
      <c r="E2283" t="str">
        <f t="shared" si="107"/>
        <v>Greater Downtown San Francisco</v>
      </c>
      <c r="F2283" t="s">
        <v>324</v>
      </c>
      <c r="G2283">
        <f t="shared" si="105"/>
        <v>5</v>
      </c>
      <c r="H2283" t="s">
        <v>360</v>
      </c>
      <c r="I2283" t="s">
        <v>185</v>
      </c>
      <c r="J2283">
        <v>3</v>
      </c>
      <c r="K2283">
        <v>49.495268138801002</v>
      </c>
    </row>
    <row r="2284" spans="1:11" x14ac:dyDescent="0.25">
      <c r="A2284" s="159" t="str">
        <f t="shared" si="106"/>
        <v>EB-Vallejo and Benicia-Greater Downtown San Francisco-Work</v>
      </c>
      <c r="B2284">
        <v>25</v>
      </c>
      <c r="C2284" t="str">
        <f t="shared" si="107"/>
        <v>Vallejo and Benicia</v>
      </c>
      <c r="D2284">
        <v>1</v>
      </c>
      <c r="E2284" t="str">
        <f t="shared" si="107"/>
        <v>Greater Downtown San Francisco</v>
      </c>
      <c r="F2284" t="s">
        <v>30</v>
      </c>
      <c r="G2284">
        <f t="shared" si="105"/>
        <v>1</v>
      </c>
      <c r="H2284" t="s">
        <v>123</v>
      </c>
      <c r="I2284" t="s">
        <v>182</v>
      </c>
      <c r="J2284">
        <v>2</v>
      </c>
      <c r="K2284">
        <v>19.703360811667601</v>
      </c>
    </row>
    <row r="2285" spans="1:11" x14ac:dyDescent="0.25">
      <c r="A2285" s="159" t="str">
        <f t="shared" si="106"/>
        <v>FR-Vallejo and Benicia-Greater Downtown San Francisco-Work</v>
      </c>
      <c r="B2285">
        <v>25</v>
      </c>
      <c r="C2285" t="str">
        <f t="shared" si="107"/>
        <v>Vallejo and Benicia</v>
      </c>
      <c r="D2285">
        <v>1</v>
      </c>
      <c r="E2285" t="str">
        <f t="shared" si="107"/>
        <v>Greater Downtown San Francisco</v>
      </c>
      <c r="F2285" t="s">
        <v>30</v>
      </c>
      <c r="G2285">
        <f t="shared" si="105"/>
        <v>1</v>
      </c>
      <c r="H2285" t="s">
        <v>360</v>
      </c>
      <c r="I2285" t="s">
        <v>185</v>
      </c>
      <c r="J2285">
        <v>3</v>
      </c>
      <c r="K2285">
        <v>35.158163265306001</v>
      </c>
    </row>
    <row r="2286" spans="1:11" x14ac:dyDescent="0.25">
      <c r="A2286" s="159" t="str">
        <f t="shared" si="106"/>
        <v>FR-Vallejo and Benicia-San Francisco Richmond District-Missing</v>
      </c>
      <c r="B2286">
        <v>25</v>
      </c>
      <c r="C2286" t="str">
        <f t="shared" si="107"/>
        <v>Vallejo and Benicia</v>
      </c>
      <c r="D2286">
        <v>2</v>
      </c>
      <c r="E2286" t="str">
        <f t="shared" si="107"/>
        <v>San Francisco Richmond District</v>
      </c>
      <c r="F2286" t="s">
        <v>327</v>
      </c>
      <c r="G2286">
        <f t="shared" si="105"/>
        <v>0</v>
      </c>
      <c r="H2286" t="s">
        <v>360</v>
      </c>
      <c r="I2286" t="s">
        <v>185</v>
      </c>
      <c r="J2286">
        <v>1</v>
      </c>
      <c r="K2286">
        <v>16.498422712933699</v>
      </c>
    </row>
    <row r="2287" spans="1:11" x14ac:dyDescent="0.25">
      <c r="A2287" s="159" t="str">
        <f t="shared" si="106"/>
        <v>HR-Vallejo and Benicia-San Francisco Richmond District-Missing</v>
      </c>
      <c r="B2287">
        <v>25</v>
      </c>
      <c r="C2287" t="str">
        <f t="shared" si="107"/>
        <v>Vallejo and Benicia</v>
      </c>
      <c r="D2287">
        <v>2</v>
      </c>
      <c r="E2287" t="str">
        <f t="shared" si="107"/>
        <v>San Francisco Richmond District</v>
      </c>
      <c r="F2287" t="s">
        <v>327</v>
      </c>
      <c r="G2287">
        <f t="shared" si="105"/>
        <v>0</v>
      </c>
      <c r="H2287" t="s">
        <v>124</v>
      </c>
      <c r="I2287" t="s">
        <v>188</v>
      </c>
      <c r="J2287">
        <v>1</v>
      </c>
      <c r="K2287">
        <v>95.822099447513807</v>
      </c>
    </row>
    <row r="2288" spans="1:11" x14ac:dyDescent="0.25">
      <c r="A2288" s="159" t="str">
        <f t="shared" si="106"/>
        <v>EB-Vallejo and Benicia-San Francisco Richmond District-Work</v>
      </c>
      <c r="B2288">
        <v>25</v>
      </c>
      <c r="C2288" t="str">
        <f t="shared" si="107"/>
        <v>Vallejo and Benicia</v>
      </c>
      <c r="D2288">
        <v>2</v>
      </c>
      <c r="E2288" t="str">
        <f t="shared" si="107"/>
        <v>San Francisco Richmond District</v>
      </c>
      <c r="F2288" t="s">
        <v>30</v>
      </c>
      <c r="G2288">
        <f t="shared" si="105"/>
        <v>1</v>
      </c>
      <c r="H2288" t="s">
        <v>123</v>
      </c>
      <c r="I2288" t="s">
        <v>182</v>
      </c>
      <c r="J2288">
        <v>1</v>
      </c>
      <c r="K2288">
        <v>12.3349397590361</v>
      </c>
    </row>
    <row r="2289" spans="1:11" x14ac:dyDescent="0.25">
      <c r="A2289" s="159" t="str">
        <f t="shared" si="106"/>
        <v>FR-Vallejo and Benicia-San Francisco Richmond District-Work</v>
      </c>
      <c r="B2289">
        <v>25</v>
      </c>
      <c r="C2289" t="str">
        <f t="shared" si="107"/>
        <v>Vallejo and Benicia</v>
      </c>
      <c r="D2289">
        <v>2</v>
      </c>
      <c r="E2289" t="str">
        <f t="shared" si="107"/>
        <v>San Francisco Richmond District</v>
      </c>
      <c r="F2289" t="s">
        <v>30</v>
      </c>
      <c r="G2289">
        <f t="shared" si="105"/>
        <v>1</v>
      </c>
      <c r="H2289" t="s">
        <v>360</v>
      </c>
      <c r="I2289" t="s">
        <v>185</v>
      </c>
      <c r="J2289">
        <v>2</v>
      </c>
      <c r="K2289">
        <v>23.438775510204</v>
      </c>
    </row>
    <row r="2290" spans="1:11" x14ac:dyDescent="0.25">
      <c r="A2290" s="159" t="str">
        <f t="shared" si="106"/>
        <v>EB-Vallejo and Benicia-San Francisco Mission District-High school</v>
      </c>
      <c r="B2290">
        <v>25</v>
      </c>
      <c r="C2290" t="str">
        <f t="shared" si="107"/>
        <v>Vallejo and Benicia</v>
      </c>
      <c r="D2290">
        <v>3</v>
      </c>
      <c r="E2290" t="str">
        <f t="shared" si="107"/>
        <v>San Francisco Mission District</v>
      </c>
      <c r="F2290" t="s">
        <v>326</v>
      </c>
      <c r="G2290">
        <f t="shared" si="105"/>
        <v>3</v>
      </c>
      <c r="H2290" t="s">
        <v>123</v>
      </c>
      <c r="I2290" t="s">
        <v>182</v>
      </c>
      <c r="J2290">
        <v>1</v>
      </c>
      <c r="K2290">
        <v>12.3349397590361</v>
      </c>
    </row>
    <row r="2291" spans="1:11" x14ac:dyDescent="0.25">
      <c r="A2291" s="159" t="str">
        <f t="shared" si="106"/>
        <v>LB-Vallejo and Benicia-San Francisco Mission District-Other maintenance</v>
      </c>
      <c r="B2291">
        <v>25</v>
      </c>
      <c r="C2291" t="str">
        <f t="shared" si="107"/>
        <v>Vallejo and Benicia</v>
      </c>
      <c r="D2291">
        <v>3</v>
      </c>
      <c r="E2291" t="str">
        <f t="shared" si="107"/>
        <v>San Francisco Mission District</v>
      </c>
      <c r="F2291" t="s">
        <v>325</v>
      </c>
      <c r="G2291">
        <f t="shared" si="105"/>
        <v>4</v>
      </c>
      <c r="H2291" t="s">
        <v>359</v>
      </c>
      <c r="I2291" t="s">
        <v>191</v>
      </c>
      <c r="J2291">
        <v>1</v>
      </c>
      <c r="K2291">
        <v>4.83928571428571</v>
      </c>
    </row>
    <row r="2292" spans="1:11" x14ac:dyDescent="0.25">
      <c r="A2292" s="159" t="str">
        <f t="shared" si="106"/>
        <v>FR-Vallejo and Benicia-San Francisco Mission District-Social recreation</v>
      </c>
      <c r="B2292">
        <v>25</v>
      </c>
      <c r="C2292" t="str">
        <f t="shared" si="107"/>
        <v>Vallejo and Benicia</v>
      </c>
      <c r="D2292">
        <v>3</v>
      </c>
      <c r="E2292" t="str">
        <f t="shared" si="107"/>
        <v>San Francisco Mission District</v>
      </c>
      <c r="F2292" t="s">
        <v>324</v>
      </c>
      <c r="G2292">
        <f t="shared" si="105"/>
        <v>5</v>
      </c>
      <c r="H2292" t="s">
        <v>360</v>
      </c>
      <c r="I2292" t="s">
        <v>185</v>
      </c>
      <c r="J2292">
        <v>1</v>
      </c>
      <c r="K2292">
        <v>11.719387755102</v>
      </c>
    </row>
    <row r="2293" spans="1:11" x14ac:dyDescent="0.25">
      <c r="A2293" s="159" t="str">
        <f t="shared" si="106"/>
        <v>EB-Vallejo and Benicia-San Francisco Mission District-Work</v>
      </c>
      <c r="B2293">
        <v>25</v>
      </c>
      <c r="C2293" t="str">
        <f t="shared" si="107"/>
        <v>Vallejo and Benicia</v>
      </c>
      <c r="D2293">
        <v>3</v>
      </c>
      <c r="E2293" t="str">
        <f t="shared" si="107"/>
        <v>San Francisco Mission District</v>
      </c>
      <c r="F2293" t="s">
        <v>30</v>
      </c>
      <c r="G2293">
        <f t="shared" si="105"/>
        <v>1</v>
      </c>
      <c r="H2293" t="s">
        <v>123</v>
      </c>
      <c r="I2293" t="s">
        <v>182</v>
      </c>
      <c r="J2293">
        <v>1</v>
      </c>
      <c r="K2293">
        <v>12.3349397590361</v>
      </c>
    </row>
    <row r="2294" spans="1:11" x14ac:dyDescent="0.25">
      <c r="A2294" s="159" t="str">
        <f t="shared" si="106"/>
        <v>FR-Vallejo and Benicia-San Francisco Mission District-Work</v>
      </c>
      <c r="B2294">
        <v>25</v>
      </c>
      <c r="C2294" t="str">
        <f t="shared" si="107"/>
        <v>Vallejo and Benicia</v>
      </c>
      <c r="D2294">
        <v>3</v>
      </c>
      <c r="E2294" t="str">
        <f t="shared" si="107"/>
        <v>San Francisco Mission District</v>
      </c>
      <c r="F2294" t="s">
        <v>30</v>
      </c>
      <c r="G2294">
        <f t="shared" si="105"/>
        <v>1</v>
      </c>
      <c r="H2294" t="s">
        <v>360</v>
      </c>
      <c r="I2294" t="s">
        <v>185</v>
      </c>
      <c r="J2294">
        <v>3</v>
      </c>
      <c r="K2294">
        <v>35.158163265306001</v>
      </c>
    </row>
    <row r="2295" spans="1:11" x14ac:dyDescent="0.25">
      <c r="A2295" s="159" t="str">
        <f t="shared" si="106"/>
        <v>LB-Vallejo and Benicia-San Francisco Mission District-Work</v>
      </c>
      <c r="B2295">
        <v>25</v>
      </c>
      <c r="C2295" t="str">
        <f t="shared" si="107"/>
        <v>Vallejo and Benicia</v>
      </c>
      <c r="D2295">
        <v>3</v>
      </c>
      <c r="E2295" t="str">
        <f t="shared" si="107"/>
        <v>San Francisco Mission District</v>
      </c>
      <c r="F2295" t="s">
        <v>30</v>
      </c>
      <c r="G2295">
        <f t="shared" si="105"/>
        <v>1</v>
      </c>
      <c r="H2295" t="s">
        <v>359</v>
      </c>
      <c r="I2295" t="s">
        <v>191</v>
      </c>
      <c r="J2295">
        <v>2</v>
      </c>
      <c r="K2295">
        <v>298.46329448482402</v>
      </c>
    </row>
    <row r="2296" spans="1:11" x14ac:dyDescent="0.25">
      <c r="A2296" s="159" t="str">
        <f t="shared" si="106"/>
        <v>HR-Vallejo and Benicia-Daly City and San Bruno-Other maintenance</v>
      </c>
      <c r="B2296">
        <v>25</v>
      </c>
      <c r="C2296" t="str">
        <f t="shared" si="107"/>
        <v>Vallejo and Benicia</v>
      </c>
      <c r="D2296">
        <v>5</v>
      </c>
      <c r="E2296" t="str">
        <f t="shared" si="107"/>
        <v>Daly City and San Bruno</v>
      </c>
      <c r="F2296" t="s">
        <v>325</v>
      </c>
      <c r="G2296">
        <f t="shared" si="105"/>
        <v>4</v>
      </c>
      <c r="H2296" t="s">
        <v>124</v>
      </c>
      <c r="I2296" t="s">
        <v>188</v>
      </c>
      <c r="J2296">
        <v>1</v>
      </c>
      <c r="K2296">
        <v>95.822099447513807</v>
      </c>
    </row>
    <row r="2297" spans="1:11" x14ac:dyDescent="0.25">
      <c r="A2297" s="159" t="str">
        <f t="shared" si="106"/>
        <v>LB-Vallejo and Benicia-Daly City and San Bruno-Work</v>
      </c>
      <c r="B2297">
        <v>25</v>
      </c>
      <c r="C2297" t="str">
        <f t="shared" si="107"/>
        <v>Vallejo and Benicia</v>
      </c>
      <c r="D2297">
        <v>5</v>
      </c>
      <c r="E2297" t="str">
        <f t="shared" si="107"/>
        <v>Daly City and San Bruno</v>
      </c>
      <c r="F2297" t="s">
        <v>30</v>
      </c>
      <c r="G2297">
        <f t="shared" si="105"/>
        <v>1</v>
      </c>
      <c r="H2297" t="s">
        <v>359</v>
      </c>
      <c r="I2297" t="s">
        <v>191</v>
      </c>
      <c r="J2297">
        <v>1</v>
      </c>
      <c r="K2297">
        <v>12.3349397590361</v>
      </c>
    </row>
    <row r="2298" spans="1:11" x14ac:dyDescent="0.25">
      <c r="A2298" s="159" t="str">
        <f t="shared" si="106"/>
        <v>LB-Vallejo and Benicia-San Mateo and Burlingame-Work</v>
      </c>
      <c r="B2298">
        <v>25</v>
      </c>
      <c r="C2298" t="str">
        <f t="shared" si="107"/>
        <v>Vallejo and Benicia</v>
      </c>
      <c r="D2298">
        <v>6</v>
      </c>
      <c r="E2298" t="str">
        <f t="shared" si="107"/>
        <v>San Mateo and Burlingame</v>
      </c>
      <c r="F2298" t="s">
        <v>30</v>
      </c>
      <c r="G2298">
        <f t="shared" si="105"/>
        <v>1</v>
      </c>
      <c r="H2298" t="s">
        <v>359</v>
      </c>
      <c r="I2298" t="s">
        <v>191</v>
      </c>
      <c r="J2298">
        <v>1</v>
      </c>
      <c r="K2298">
        <v>4.83928571428571</v>
      </c>
    </row>
    <row r="2299" spans="1:11" x14ac:dyDescent="0.25">
      <c r="A2299" s="159" t="str">
        <f t="shared" si="106"/>
        <v>EB-Vallejo and Benicia-Livermore and Pleasanton-Social recreation</v>
      </c>
      <c r="B2299">
        <v>25</v>
      </c>
      <c r="C2299" t="str">
        <f t="shared" si="107"/>
        <v>Vallejo and Benicia</v>
      </c>
      <c r="D2299">
        <v>15</v>
      </c>
      <c r="E2299" t="str">
        <f t="shared" si="107"/>
        <v>Livermore and Pleasanton</v>
      </c>
      <c r="F2299" t="s">
        <v>324</v>
      </c>
      <c r="G2299">
        <f t="shared" si="105"/>
        <v>5</v>
      </c>
      <c r="H2299" t="s">
        <v>123</v>
      </c>
      <c r="I2299" t="s">
        <v>182</v>
      </c>
      <c r="J2299">
        <v>1</v>
      </c>
      <c r="K2299">
        <v>12.3349397590361</v>
      </c>
    </row>
    <row r="2300" spans="1:11" x14ac:dyDescent="0.25">
      <c r="A2300" s="159" t="str">
        <f t="shared" si="106"/>
        <v>LB-Vallejo and Benicia-Livermore and Pleasanton-Work</v>
      </c>
      <c r="B2300">
        <v>25</v>
      </c>
      <c r="C2300" t="str">
        <f t="shared" si="107"/>
        <v>Vallejo and Benicia</v>
      </c>
      <c r="D2300">
        <v>15</v>
      </c>
      <c r="E2300" t="str">
        <f t="shared" si="107"/>
        <v>Livermore and Pleasanton</v>
      </c>
      <c r="F2300" t="s">
        <v>30</v>
      </c>
      <c r="G2300">
        <f t="shared" si="105"/>
        <v>1</v>
      </c>
      <c r="H2300" t="s">
        <v>359</v>
      </c>
      <c r="I2300" t="s">
        <v>191</v>
      </c>
      <c r="J2300">
        <v>1</v>
      </c>
      <c r="K2300">
        <v>14.1111111111111</v>
      </c>
    </row>
    <row r="2301" spans="1:11" x14ac:dyDescent="0.25">
      <c r="A2301" s="159" t="str">
        <f t="shared" si="106"/>
        <v>EB-Vallejo and Benicia-Fremont and Union City-Missing</v>
      </c>
      <c r="B2301">
        <v>25</v>
      </c>
      <c r="C2301" t="str">
        <f t="shared" si="107"/>
        <v>Vallejo and Benicia</v>
      </c>
      <c r="D2301">
        <v>16</v>
      </c>
      <c r="E2301" t="str">
        <f t="shared" si="107"/>
        <v>Fremont and Union City</v>
      </c>
      <c r="F2301" t="s">
        <v>327</v>
      </c>
      <c r="G2301">
        <f t="shared" si="105"/>
        <v>0</v>
      </c>
      <c r="H2301" t="s">
        <v>123</v>
      </c>
      <c r="I2301" t="s">
        <v>182</v>
      </c>
      <c r="J2301">
        <v>1</v>
      </c>
      <c r="K2301">
        <v>12.3349397590361</v>
      </c>
    </row>
    <row r="2302" spans="1:11" x14ac:dyDescent="0.25">
      <c r="A2302" s="159" t="str">
        <f t="shared" si="106"/>
        <v>EB-Vallejo and Benicia-Fremont and Union City-Work</v>
      </c>
      <c r="B2302">
        <v>25</v>
      </c>
      <c r="C2302" t="str">
        <f t="shared" si="107"/>
        <v>Vallejo and Benicia</v>
      </c>
      <c r="D2302">
        <v>16</v>
      </c>
      <c r="E2302" t="str">
        <f t="shared" si="107"/>
        <v>Fremont and Union City</v>
      </c>
      <c r="F2302" t="s">
        <v>30</v>
      </c>
      <c r="G2302">
        <f t="shared" si="105"/>
        <v>1</v>
      </c>
      <c r="H2302" t="s">
        <v>123</v>
      </c>
      <c r="I2302" t="s">
        <v>182</v>
      </c>
      <c r="J2302">
        <v>1</v>
      </c>
      <c r="K2302">
        <v>12.3349397590361</v>
      </c>
    </row>
    <row r="2303" spans="1:11" x14ac:dyDescent="0.25">
      <c r="A2303" s="159" t="str">
        <f t="shared" si="106"/>
        <v>EB-Vallejo and Benicia-Hayward and San Leandro-High school</v>
      </c>
      <c r="B2303">
        <v>25</v>
      </c>
      <c r="C2303" t="str">
        <f t="shared" si="107"/>
        <v>Vallejo and Benicia</v>
      </c>
      <c r="D2303">
        <v>17</v>
      </c>
      <c r="E2303" t="str">
        <f t="shared" si="107"/>
        <v>Hayward and San Leandro</v>
      </c>
      <c r="F2303" t="s">
        <v>326</v>
      </c>
      <c r="G2303">
        <f t="shared" si="105"/>
        <v>3</v>
      </c>
      <c r="H2303" t="s">
        <v>123</v>
      </c>
      <c r="I2303" t="s">
        <v>182</v>
      </c>
      <c r="J2303">
        <v>1</v>
      </c>
      <c r="K2303">
        <v>12.3349397590361</v>
      </c>
    </row>
    <row r="2304" spans="1:11" x14ac:dyDescent="0.25">
      <c r="A2304" s="159" t="str">
        <f t="shared" si="106"/>
        <v>HR-Vallejo and Benicia-Hayward and San Leandro-Missing</v>
      </c>
      <c r="B2304">
        <v>25</v>
      </c>
      <c r="C2304" t="str">
        <f t="shared" si="107"/>
        <v>Vallejo and Benicia</v>
      </c>
      <c r="D2304">
        <v>17</v>
      </c>
      <c r="E2304" t="str">
        <f t="shared" si="107"/>
        <v>Hayward and San Leandro</v>
      </c>
      <c r="F2304" t="s">
        <v>327</v>
      </c>
      <c r="G2304">
        <f t="shared" si="105"/>
        <v>0</v>
      </c>
      <c r="H2304" t="s">
        <v>124</v>
      </c>
      <c r="I2304" t="s">
        <v>188</v>
      </c>
      <c r="J2304">
        <v>1</v>
      </c>
      <c r="K2304">
        <v>95.822099447513807</v>
      </c>
    </row>
    <row r="2305" spans="1:11" x14ac:dyDescent="0.25">
      <c r="A2305" s="159" t="str">
        <f t="shared" si="106"/>
        <v>EB-Vallejo and Benicia-Hayward and San Leandro-Work</v>
      </c>
      <c r="B2305">
        <v>25</v>
      </c>
      <c r="C2305" t="str">
        <f t="shared" si="107"/>
        <v>Vallejo and Benicia</v>
      </c>
      <c r="D2305">
        <v>17</v>
      </c>
      <c r="E2305" t="str">
        <f t="shared" si="107"/>
        <v>Hayward and San Leandro</v>
      </c>
      <c r="F2305" t="s">
        <v>30</v>
      </c>
      <c r="G2305">
        <f t="shared" si="105"/>
        <v>1</v>
      </c>
      <c r="H2305" t="s">
        <v>123</v>
      </c>
      <c r="I2305" t="s">
        <v>182</v>
      </c>
      <c r="J2305">
        <v>1</v>
      </c>
      <c r="K2305">
        <v>12.3349397590361</v>
      </c>
    </row>
    <row r="2306" spans="1:11" x14ac:dyDescent="0.25">
      <c r="A2306" s="159" t="str">
        <f t="shared" si="106"/>
        <v>EB-Vallejo and Benicia-Oakland and Alameda-High school</v>
      </c>
      <c r="B2306">
        <v>25</v>
      </c>
      <c r="C2306" t="str">
        <f t="shared" si="107"/>
        <v>Vallejo and Benicia</v>
      </c>
      <c r="D2306">
        <v>18</v>
      </c>
      <c r="E2306" t="str">
        <f t="shared" si="107"/>
        <v>Oakland and Alameda</v>
      </c>
      <c r="F2306" t="s">
        <v>326</v>
      </c>
      <c r="G2306">
        <f t="shared" ref="G2306:G2369" si="108">VLOOKUP(F2306,$V$2:$X$10, 3,FALSE)</f>
        <v>3</v>
      </c>
      <c r="H2306" t="s">
        <v>123</v>
      </c>
      <c r="I2306" t="s">
        <v>182</v>
      </c>
      <c r="J2306">
        <v>1</v>
      </c>
      <c r="K2306">
        <v>12.3349397590361</v>
      </c>
    </row>
    <row r="2307" spans="1:11" x14ac:dyDescent="0.25">
      <c r="A2307" s="159" t="str">
        <f t="shared" ref="A2307:A2370" si="109" xml:space="preserve"> CONCATENATE(I2307,"-",C2307, "-",E2307, "-",F2307,)</f>
        <v>EB-Vallejo and Benicia-Oakland and Alameda-Missing</v>
      </c>
      <c r="B2307">
        <v>25</v>
      </c>
      <c r="C2307" t="str">
        <f t="shared" ref="C2307:E2370" si="110">VLOOKUP(B2307,$S$2:$T$35,2,FALSE)</f>
        <v>Vallejo and Benicia</v>
      </c>
      <c r="D2307">
        <v>18</v>
      </c>
      <c r="E2307" t="str">
        <f t="shared" si="110"/>
        <v>Oakland and Alameda</v>
      </c>
      <c r="F2307" t="s">
        <v>327</v>
      </c>
      <c r="G2307">
        <f t="shared" si="108"/>
        <v>0</v>
      </c>
      <c r="H2307" t="s">
        <v>123</v>
      </c>
      <c r="I2307" t="s">
        <v>182</v>
      </c>
      <c r="J2307">
        <v>1</v>
      </c>
      <c r="K2307">
        <v>12.3349397590361</v>
      </c>
    </row>
    <row r="2308" spans="1:11" x14ac:dyDescent="0.25">
      <c r="A2308" s="159" t="str">
        <f t="shared" si="109"/>
        <v>LB-Vallejo and Benicia-Oakland and Alameda-Missing</v>
      </c>
      <c r="B2308">
        <v>25</v>
      </c>
      <c r="C2308" t="str">
        <f t="shared" si="110"/>
        <v>Vallejo and Benicia</v>
      </c>
      <c r="D2308">
        <v>18</v>
      </c>
      <c r="E2308" t="str">
        <f t="shared" si="110"/>
        <v>Oakland and Alameda</v>
      </c>
      <c r="F2308" t="s">
        <v>327</v>
      </c>
      <c r="G2308">
        <f t="shared" si="108"/>
        <v>0</v>
      </c>
      <c r="H2308" t="s">
        <v>359</v>
      </c>
      <c r="I2308" t="s">
        <v>191</v>
      </c>
      <c r="J2308">
        <v>1</v>
      </c>
      <c r="K2308">
        <v>12.3349397590361</v>
      </c>
    </row>
    <row r="2309" spans="1:11" x14ac:dyDescent="0.25">
      <c r="A2309" s="159" t="str">
        <f t="shared" si="109"/>
        <v>EB-Vallejo and Benicia-Oakland and Alameda-Other maintenance</v>
      </c>
      <c r="B2309">
        <v>25</v>
      </c>
      <c r="C2309" t="str">
        <f t="shared" si="110"/>
        <v>Vallejo and Benicia</v>
      </c>
      <c r="D2309">
        <v>18</v>
      </c>
      <c r="E2309" t="str">
        <f t="shared" si="110"/>
        <v>Oakland and Alameda</v>
      </c>
      <c r="F2309" t="s">
        <v>325</v>
      </c>
      <c r="G2309">
        <f t="shared" si="108"/>
        <v>4</v>
      </c>
      <c r="H2309" t="s">
        <v>123</v>
      </c>
      <c r="I2309" t="s">
        <v>182</v>
      </c>
      <c r="J2309">
        <v>1</v>
      </c>
      <c r="K2309">
        <v>12.3349397590361</v>
      </c>
    </row>
    <row r="2310" spans="1:11" x14ac:dyDescent="0.25">
      <c r="A2310" s="159" t="str">
        <f t="shared" si="109"/>
        <v>HR-Vallejo and Benicia-Oakland and Alameda-Other maintenance</v>
      </c>
      <c r="B2310">
        <v>25</v>
      </c>
      <c r="C2310" t="str">
        <f t="shared" si="110"/>
        <v>Vallejo and Benicia</v>
      </c>
      <c r="D2310">
        <v>18</v>
      </c>
      <c r="E2310" t="str">
        <f t="shared" si="110"/>
        <v>Oakland and Alameda</v>
      </c>
      <c r="F2310" t="s">
        <v>325</v>
      </c>
      <c r="G2310">
        <f t="shared" si="108"/>
        <v>4</v>
      </c>
      <c r="H2310" t="s">
        <v>124</v>
      </c>
      <c r="I2310" t="s">
        <v>188</v>
      </c>
      <c r="J2310">
        <v>2</v>
      </c>
      <c r="K2310">
        <v>191.64419889502699</v>
      </c>
    </row>
    <row r="2311" spans="1:11" x14ac:dyDescent="0.25">
      <c r="A2311" s="159" t="str">
        <f t="shared" si="109"/>
        <v>EB-Vallejo and Benicia-Oakland and Alameda-Work</v>
      </c>
      <c r="B2311">
        <v>25</v>
      </c>
      <c r="C2311" t="str">
        <f t="shared" si="110"/>
        <v>Vallejo and Benicia</v>
      </c>
      <c r="D2311">
        <v>18</v>
      </c>
      <c r="E2311" t="str">
        <f t="shared" si="110"/>
        <v>Oakland and Alameda</v>
      </c>
      <c r="F2311" t="s">
        <v>30</v>
      </c>
      <c r="G2311">
        <f t="shared" si="108"/>
        <v>1</v>
      </c>
      <c r="H2311" t="s">
        <v>123</v>
      </c>
      <c r="I2311" t="s">
        <v>182</v>
      </c>
      <c r="J2311">
        <v>3</v>
      </c>
      <c r="K2311">
        <v>32.038300570703697</v>
      </c>
    </row>
    <row r="2312" spans="1:11" x14ac:dyDescent="0.25">
      <c r="A2312" s="159" t="str">
        <f t="shared" si="109"/>
        <v>HR-Vallejo and Benicia-Oakland and Alameda-Work</v>
      </c>
      <c r="B2312">
        <v>25</v>
      </c>
      <c r="C2312" t="str">
        <f t="shared" si="110"/>
        <v>Vallejo and Benicia</v>
      </c>
      <c r="D2312">
        <v>18</v>
      </c>
      <c r="E2312" t="str">
        <f t="shared" si="110"/>
        <v>Oakland and Alameda</v>
      </c>
      <c r="F2312" t="s">
        <v>30</v>
      </c>
      <c r="G2312">
        <f t="shared" si="108"/>
        <v>1</v>
      </c>
      <c r="H2312" t="s">
        <v>124</v>
      </c>
      <c r="I2312" t="s">
        <v>188</v>
      </c>
      <c r="J2312">
        <v>1</v>
      </c>
      <c r="K2312">
        <v>95.822099447513807</v>
      </c>
    </row>
    <row r="2313" spans="1:11" x14ac:dyDescent="0.25">
      <c r="A2313" s="159" t="str">
        <f t="shared" si="109"/>
        <v>EB-Vallejo and Benicia-Berkeley and Albany-Missing</v>
      </c>
      <c r="B2313">
        <v>25</v>
      </c>
      <c r="C2313" t="str">
        <f t="shared" si="110"/>
        <v>Vallejo and Benicia</v>
      </c>
      <c r="D2313">
        <v>19</v>
      </c>
      <c r="E2313" t="str">
        <f t="shared" si="110"/>
        <v>Berkeley and Albany</v>
      </c>
      <c r="F2313" t="s">
        <v>327</v>
      </c>
      <c r="G2313">
        <f t="shared" si="108"/>
        <v>0</v>
      </c>
      <c r="H2313" t="s">
        <v>123</v>
      </c>
      <c r="I2313" t="s">
        <v>182</v>
      </c>
      <c r="J2313">
        <v>2</v>
      </c>
      <c r="K2313">
        <v>24.6698795180722</v>
      </c>
    </row>
    <row r="2314" spans="1:11" x14ac:dyDescent="0.25">
      <c r="A2314" s="159" t="str">
        <f t="shared" si="109"/>
        <v>LB-Vallejo and Benicia-Berkeley and Albany-Missing</v>
      </c>
      <c r="B2314">
        <v>25</v>
      </c>
      <c r="C2314" t="str">
        <f t="shared" si="110"/>
        <v>Vallejo and Benicia</v>
      </c>
      <c r="D2314">
        <v>19</v>
      </c>
      <c r="E2314" t="str">
        <f t="shared" si="110"/>
        <v>Berkeley and Albany</v>
      </c>
      <c r="F2314" t="s">
        <v>327</v>
      </c>
      <c r="G2314">
        <f t="shared" si="108"/>
        <v>0</v>
      </c>
      <c r="H2314" t="s">
        <v>359</v>
      </c>
      <c r="I2314" t="s">
        <v>191</v>
      </c>
      <c r="J2314">
        <v>1</v>
      </c>
      <c r="K2314">
        <v>12.3349397590361</v>
      </c>
    </row>
    <row r="2315" spans="1:11" x14ac:dyDescent="0.25">
      <c r="A2315" s="159" t="str">
        <f t="shared" si="109"/>
        <v>HR-Vallejo and Benicia-Berkeley and Albany-Work</v>
      </c>
      <c r="B2315">
        <v>25</v>
      </c>
      <c r="C2315" t="str">
        <f t="shared" si="110"/>
        <v>Vallejo and Benicia</v>
      </c>
      <c r="D2315">
        <v>19</v>
      </c>
      <c r="E2315" t="str">
        <f t="shared" si="110"/>
        <v>Berkeley and Albany</v>
      </c>
      <c r="F2315" t="s">
        <v>30</v>
      </c>
      <c r="G2315">
        <f t="shared" si="108"/>
        <v>1</v>
      </c>
      <c r="H2315" t="s">
        <v>124</v>
      </c>
      <c r="I2315" t="s">
        <v>188</v>
      </c>
      <c r="J2315">
        <v>1</v>
      </c>
      <c r="K2315">
        <v>95.822099447513807</v>
      </c>
    </row>
    <row r="2316" spans="1:11" x14ac:dyDescent="0.25">
      <c r="A2316" s="159" t="str">
        <f t="shared" si="109"/>
        <v>EB-Vallejo and Benicia-Richmond and El Cerrito-High school</v>
      </c>
      <c r="B2316">
        <v>25</v>
      </c>
      <c r="C2316" t="str">
        <f t="shared" si="110"/>
        <v>Vallejo and Benicia</v>
      </c>
      <c r="D2316">
        <v>20</v>
      </c>
      <c r="E2316" t="str">
        <f t="shared" si="110"/>
        <v>Richmond and El Cerrito</v>
      </c>
      <c r="F2316" t="s">
        <v>326</v>
      </c>
      <c r="G2316">
        <f t="shared" si="108"/>
        <v>3</v>
      </c>
      <c r="H2316" t="s">
        <v>123</v>
      </c>
      <c r="I2316" t="s">
        <v>182</v>
      </c>
      <c r="J2316">
        <v>2</v>
      </c>
      <c r="K2316">
        <v>24.6698795180722</v>
      </c>
    </row>
    <row r="2317" spans="1:11" x14ac:dyDescent="0.25">
      <c r="A2317" s="159" t="str">
        <f t="shared" si="109"/>
        <v>EB-Vallejo and Benicia-Richmond and El Cerrito-Other</v>
      </c>
      <c r="B2317">
        <v>25</v>
      </c>
      <c r="C2317" t="str">
        <f t="shared" si="110"/>
        <v>Vallejo and Benicia</v>
      </c>
      <c r="D2317">
        <v>20</v>
      </c>
      <c r="E2317" t="str">
        <f t="shared" si="110"/>
        <v>Richmond and El Cerrito</v>
      </c>
      <c r="F2317" t="s">
        <v>328</v>
      </c>
      <c r="G2317">
        <f t="shared" si="108"/>
        <v>0</v>
      </c>
      <c r="H2317" t="s">
        <v>123</v>
      </c>
      <c r="I2317" t="s">
        <v>182</v>
      </c>
      <c r="J2317">
        <v>1</v>
      </c>
      <c r="K2317">
        <v>12.3349397590361</v>
      </c>
    </row>
    <row r="2318" spans="1:11" x14ac:dyDescent="0.25">
      <c r="A2318" s="159" t="str">
        <f t="shared" si="109"/>
        <v>EB-Vallejo and Benicia-Richmond and El Cerrito-Other maintenance</v>
      </c>
      <c r="B2318">
        <v>25</v>
      </c>
      <c r="C2318" t="str">
        <f t="shared" si="110"/>
        <v>Vallejo and Benicia</v>
      </c>
      <c r="D2318">
        <v>20</v>
      </c>
      <c r="E2318" t="str">
        <f t="shared" si="110"/>
        <v>Richmond and El Cerrito</v>
      </c>
      <c r="F2318" t="s">
        <v>325</v>
      </c>
      <c r="G2318">
        <f t="shared" si="108"/>
        <v>4</v>
      </c>
      <c r="H2318" t="s">
        <v>123</v>
      </c>
      <c r="I2318" t="s">
        <v>182</v>
      </c>
      <c r="J2318">
        <v>3</v>
      </c>
      <c r="K2318">
        <v>37.004819277108297</v>
      </c>
    </row>
    <row r="2319" spans="1:11" x14ac:dyDescent="0.25">
      <c r="A2319" s="159" t="str">
        <f t="shared" si="109"/>
        <v>LB-Vallejo and Benicia-Richmond and El Cerrito-Shopping</v>
      </c>
      <c r="B2319">
        <v>25</v>
      </c>
      <c r="C2319" t="str">
        <f t="shared" si="110"/>
        <v>Vallejo and Benicia</v>
      </c>
      <c r="D2319">
        <v>20</v>
      </c>
      <c r="E2319" t="str">
        <f t="shared" si="110"/>
        <v>Richmond and El Cerrito</v>
      </c>
      <c r="F2319" t="s">
        <v>106</v>
      </c>
      <c r="G2319">
        <f t="shared" si="108"/>
        <v>4</v>
      </c>
      <c r="H2319" t="s">
        <v>359</v>
      </c>
      <c r="I2319" t="s">
        <v>191</v>
      </c>
      <c r="J2319">
        <v>1</v>
      </c>
      <c r="K2319">
        <v>12.3349397590361</v>
      </c>
    </row>
    <row r="2320" spans="1:11" x14ac:dyDescent="0.25">
      <c r="A2320" s="159" t="str">
        <f t="shared" si="109"/>
        <v>EB-Vallejo and Benicia-Richmond and El Cerrito-Social recreation</v>
      </c>
      <c r="B2320">
        <v>25</v>
      </c>
      <c r="C2320" t="str">
        <f t="shared" si="110"/>
        <v>Vallejo and Benicia</v>
      </c>
      <c r="D2320">
        <v>20</v>
      </c>
      <c r="E2320" t="str">
        <f t="shared" si="110"/>
        <v>Richmond and El Cerrito</v>
      </c>
      <c r="F2320" t="s">
        <v>324</v>
      </c>
      <c r="G2320">
        <f t="shared" si="108"/>
        <v>5</v>
      </c>
      <c r="H2320" t="s">
        <v>123</v>
      </c>
      <c r="I2320" t="s">
        <v>182</v>
      </c>
      <c r="J2320">
        <v>2</v>
      </c>
      <c r="K2320">
        <v>24.6698795180722</v>
      </c>
    </row>
    <row r="2321" spans="1:11" x14ac:dyDescent="0.25">
      <c r="A2321" s="159" t="str">
        <f t="shared" si="109"/>
        <v>FR-Vallejo and Benicia-Richmond and El Cerrito-Social recreation</v>
      </c>
      <c r="B2321">
        <v>25</v>
      </c>
      <c r="C2321" t="str">
        <f t="shared" si="110"/>
        <v>Vallejo and Benicia</v>
      </c>
      <c r="D2321">
        <v>20</v>
      </c>
      <c r="E2321" t="str">
        <f t="shared" si="110"/>
        <v>Richmond and El Cerrito</v>
      </c>
      <c r="F2321" t="s">
        <v>324</v>
      </c>
      <c r="G2321">
        <f t="shared" si="108"/>
        <v>5</v>
      </c>
      <c r="H2321" t="s">
        <v>360</v>
      </c>
      <c r="I2321" t="s">
        <v>185</v>
      </c>
      <c r="J2321">
        <v>1</v>
      </c>
      <c r="K2321">
        <v>16.498422712933699</v>
      </c>
    </row>
    <row r="2322" spans="1:11" x14ac:dyDescent="0.25">
      <c r="A2322" s="159" t="str">
        <f t="shared" si="109"/>
        <v>EB-Vallejo and Benicia-Richmond and El Cerrito-Work</v>
      </c>
      <c r="B2322">
        <v>25</v>
      </c>
      <c r="C2322" t="str">
        <f t="shared" si="110"/>
        <v>Vallejo and Benicia</v>
      </c>
      <c r="D2322">
        <v>20</v>
      </c>
      <c r="E2322" t="str">
        <f t="shared" si="110"/>
        <v>Richmond and El Cerrito</v>
      </c>
      <c r="F2322" t="s">
        <v>30</v>
      </c>
      <c r="G2322">
        <f t="shared" si="108"/>
        <v>1</v>
      </c>
      <c r="H2322" t="s">
        <v>123</v>
      </c>
      <c r="I2322" t="s">
        <v>182</v>
      </c>
      <c r="J2322">
        <v>8</v>
      </c>
      <c r="K2322">
        <v>93.712999365884201</v>
      </c>
    </row>
    <row r="2323" spans="1:11" x14ac:dyDescent="0.25">
      <c r="A2323" s="159" t="str">
        <f t="shared" si="109"/>
        <v>LB-Vallejo and Benicia-Richmond and El Cerrito-Work</v>
      </c>
      <c r="B2323">
        <v>25</v>
      </c>
      <c r="C2323" t="str">
        <f t="shared" si="110"/>
        <v>Vallejo and Benicia</v>
      </c>
      <c r="D2323">
        <v>20</v>
      </c>
      <c r="E2323" t="str">
        <f t="shared" si="110"/>
        <v>Richmond and El Cerrito</v>
      </c>
      <c r="F2323" t="s">
        <v>30</v>
      </c>
      <c r="G2323">
        <f t="shared" si="108"/>
        <v>1</v>
      </c>
      <c r="H2323" t="s">
        <v>359</v>
      </c>
      <c r="I2323" t="s">
        <v>191</v>
      </c>
      <c r="J2323">
        <v>1</v>
      </c>
      <c r="K2323">
        <v>5.9851301115241604</v>
      </c>
    </row>
    <row r="2324" spans="1:11" x14ac:dyDescent="0.25">
      <c r="A2324" s="159" t="str">
        <f t="shared" si="109"/>
        <v>LB-Vallejo and Benicia-Concord and Martinez-High school</v>
      </c>
      <c r="B2324">
        <v>25</v>
      </c>
      <c r="C2324" t="str">
        <f t="shared" si="110"/>
        <v>Vallejo and Benicia</v>
      </c>
      <c r="D2324">
        <v>21</v>
      </c>
      <c r="E2324" t="str">
        <f t="shared" si="110"/>
        <v>Concord and Martinez</v>
      </c>
      <c r="F2324" t="s">
        <v>326</v>
      </c>
      <c r="G2324">
        <f t="shared" si="108"/>
        <v>3</v>
      </c>
      <c r="H2324" t="s">
        <v>359</v>
      </c>
      <c r="I2324" t="s">
        <v>191</v>
      </c>
      <c r="J2324">
        <v>1</v>
      </c>
      <c r="K2324">
        <v>4.83928571428571</v>
      </c>
    </row>
    <row r="2325" spans="1:11" x14ac:dyDescent="0.25">
      <c r="A2325" s="159" t="str">
        <f t="shared" si="109"/>
        <v>EB-Vallejo and Benicia-Concord and Martinez-Missing</v>
      </c>
      <c r="B2325">
        <v>25</v>
      </c>
      <c r="C2325" t="str">
        <f t="shared" si="110"/>
        <v>Vallejo and Benicia</v>
      </c>
      <c r="D2325">
        <v>21</v>
      </c>
      <c r="E2325" t="str">
        <f t="shared" si="110"/>
        <v>Concord and Martinez</v>
      </c>
      <c r="F2325" t="s">
        <v>327</v>
      </c>
      <c r="G2325">
        <f t="shared" si="108"/>
        <v>0</v>
      </c>
      <c r="H2325" t="s">
        <v>123</v>
      </c>
      <c r="I2325" t="s">
        <v>182</v>
      </c>
      <c r="J2325">
        <v>2</v>
      </c>
      <c r="K2325">
        <v>24.6698795180722</v>
      </c>
    </row>
    <row r="2326" spans="1:11" x14ac:dyDescent="0.25">
      <c r="A2326" s="159" t="str">
        <f t="shared" si="109"/>
        <v>EB-Vallejo and Benicia-Concord and Martinez-Shopping</v>
      </c>
      <c r="B2326">
        <v>25</v>
      </c>
      <c r="C2326" t="str">
        <f t="shared" si="110"/>
        <v>Vallejo and Benicia</v>
      </c>
      <c r="D2326">
        <v>21</v>
      </c>
      <c r="E2326" t="str">
        <f t="shared" si="110"/>
        <v>Concord and Martinez</v>
      </c>
      <c r="F2326" t="s">
        <v>106</v>
      </c>
      <c r="G2326">
        <f t="shared" si="108"/>
        <v>4</v>
      </c>
      <c r="H2326" t="s">
        <v>123</v>
      </c>
      <c r="I2326" t="s">
        <v>182</v>
      </c>
      <c r="J2326">
        <v>1</v>
      </c>
      <c r="K2326">
        <v>12.3349397590361</v>
      </c>
    </row>
    <row r="2327" spans="1:11" x14ac:dyDescent="0.25">
      <c r="A2327" s="159" t="str">
        <f t="shared" si="109"/>
        <v>EB-Vallejo and Benicia-Concord and Martinez-Social recreation</v>
      </c>
      <c r="B2327">
        <v>25</v>
      </c>
      <c r="C2327" t="str">
        <f t="shared" si="110"/>
        <v>Vallejo and Benicia</v>
      </c>
      <c r="D2327">
        <v>21</v>
      </c>
      <c r="E2327" t="str">
        <f t="shared" si="110"/>
        <v>Concord and Martinez</v>
      </c>
      <c r="F2327" t="s">
        <v>324</v>
      </c>
      <c r="G2327">
        <f t="shared" si="108"/>
        <v>5</v>
      </c>
      <c r="H2327" t="s">
        <v>123</v>
      </c>
      <c r="I2327" t="s">
        <v>182</v>
      </c>
      <c r="J2327">
        <v>1</v>
      </c>
      <c r="K2327">
        <v>12.3349397590361</v>
      </c>
    </row>
    <row r="2328" spans="1:11" x14ac:dyDescent="0.25">
      <c r="A2328" s="159" t="str">
        <f t="shared" si="109"/>
        <v>EB-Vallejo and Benicia-Concord and Martinez-Work</v>
      </c>
      <c r="B2328">
        <v>25</v>
      </c>
      <c r="C2328" t="str">
        <f t="shared" si="110"/>
        <v>Vallejo and Benicia</v>
      </c>
      <c r="D2328">
        <v>21</v>
      </c>
      <c r="E2328" t="str">
        <f t="shared" si="110"/>
        <v>Concord and Martinez</v>
      </c>
      <c r="F2328" t="s">
        <v>30</v>
      </c>
      <c r="G2328">
        <f t="shared" si="108"/>
        <v>1</v>
      </c>
      <c r="H2328" t="s">
        <v>123</v>
      </c>
      <c r="I2328" t="s">
        <v>182</v>
      </c>
      <c r="J2328">
        <v>2</v>
      </c>
      <c r="K2328">
        <v>24.6698795180722</v>
      </c>
    </row>
    <row r="2329" spans="1:11" x14ac:dyDescent="0.25">
      <c r="A2329" s="159" t="str">
        <f t="shared" si="109"/>
        <v>EB-Vallejo and Benicia-Walnut Creek-High school</v>
      </c>
      <c r="B2329">
        <v>25</v>
      </c>
      <c r="C2329" t="str">
        <f t="shared" si="110"/>
        <v>Vallejo and Benicia</v>
      </c>
      <c r="D2329">
        <v>22</v>
      </c>
      <c r="E2329" t="str">
        <f t="shared" si="110"/>
        <v>Walnut Creek</v>
      </c>
      <c r="F2329" t="s">
        <v>326</v>
      </c>
      <c r="G2329">
        <f t="shared" si="108"/>
        <v>3</v>
      </c>
      <c r="H2329" t="s">
        <v>123</v>
      </c>
      <c r="I2329" t="s">
        <v>182</v>
      </c>
      <c r="J2329">
        <v>1</v>
      </c>
      <c r="K2329">
        <v>12.3349397590361</v>
      </c>
    </row>
    <row r="2330" spans="1:11" x14ac:dyDescent="0.25">
      <c r="A2330" s="159" t="str">
        <f t="shared" si="109"/>
        <v>EB-Vallejo and Benicia-Walnut Creek-Missing</v>
      </c>
      <c r="B2330">
        <v>25</v>
      </c>
      <c r="C2330" t="str">
        <f t="shared" si="110"/>
        <v>Vallejo and Benicia</v>
      </c>
      <c r="D2330">
        <v>22</v>
      </c>
      <c r="E2330" t="str">
        <f t="shared" si="110"/>
        <v>Walnut Creek</v>
      </c>
      <c r="F2330" t="s">
        <v>327</v>
      </c>
      <c r="G2330">
        <f t="shared" si="108"/>
        <v>0</v>
      </c>
      <c r="H2330" t="s">
        <v>123</v>
      </c>
      <c r="I2330" t="s">
        <v>182</v>
      </c>
      <c r="J2330">
        <v>1</v>
      </c>
      <c r="K2330">
        <v>12.3349397590361</v>
      </c>
    </row>
    <row r="2331" spans="1:11" x14ac:dyDescent="0.25">
      <c r="A2331" s="159" t="str">
        <f t="shared" si="109"/>
        <v>EB-Vallejo and Benicia-Walnut Creek-Social recreation</v>
      </c>
      <c r="B2331">
        <v>25</v>
      </c>
      <c r="C2331" t="str">
        <f t="shared" si="110"/>
        <v>Vallejo and Benicia</v>
      </c>
      <c r="D2331">
        <v>22</v>
      </c>
      <c r="E2331" t="str">
        <f t="shared" si="110"/>
        <v>Walnut Creek</v>
      </c>
      <c r="F2331" t="s">
        <v>324</v>
      </c>
      <c r="G2331">
        <f t="shared" si="108"/>
        <v>5</v>
      </c>
      <c r="H2331" t="s">
        <v>123</v>
      </c>
      <c r="I2331" t="s">
        <v>182</v>
      </c>
      <c r="J2331">
        <v>3</v>
      </c>
      <c r="K2331">
        <v>37.004819277108297</v>
      </c>
    </row>
    <row r="2332" spans="1:11" x14ac:dyDescent="0.25">
      <c r="A2332" s="159" t="str">
        <f t="shared" si="109"/>
        <v>EB-Vallejo and Benicia-Walnut Creek-Work</v>
      </c>
      <c r="B2332">
        <v>25</v>
      </c>
      <c r="C2332" t="str">
        <f t="shared" si="110"/>
        <v>Vallejo and Benicia</v>
      </c>
      <c r="D2332">
        <v>22</v>
      </c>
      <c r="E2332" t="str">
        <f t="shared" si="110"/>
        <v>Walnut Creek</v>
      </c>
      <c r="F2332" t="s">
        <v>30</v>
      </c>
      <c r="G2332">
        <f t="shared" si="108"/>
        <v>1</v>
      </c>
      <c r="H2332" t="s">
        <v>123</v>
      </c>
      <c r="I2332" t="s">
        <v>182</v>
      </c>
      <c r="J2332">
        <v>7</v>
      </c>
      <c r="K2332">
        <v>86.344578313252697</v>
      </c>
    </row>
    <row r="2333" spans="1:11" x14ac:dyDescent="0.25">
      <c r="A2333" s="159" t="str">
        <f t="shared" si="109"/>
        <v>LB-Vallejo and Benicia-Walnut Creek-Work</v>
      </c>
      <c r="B2333">
        <v>25</v>
      </c>
      <c r="C2333" t="str">
        <f t="shared" si="110"/>
        <v>Vallejo and Benicia</v>
      </c>
      <c r="D2333">
        <v>22</v>
      </c>
      <c r="E2333" t="str">
        <f t="shared" si="110"/>
        <v>Walnut Creek</v>
      </c>
      <c r="F2333" t="s">
        <v>30</v>
      </c>
      <c r="G2333">
        <f t="shared" si="108"/>
        <v>1</v>
      </c>
      <c r="H2333" t="s">
        <v>359</v>
      </c>
      <c r="I2333" t="s">
        <v>191</v>
      </c>
      <c r="J2333">
        <v>2</v>
      </c>
      <c r="K2333">
        <v>39.455968688845402</v>
      </c>
    </row>
    <row r="2334" spans="1:11" x14ac:dyDescent="0.25">
      <c r="A2334" s="159" t="str">
        <f t="shared" si="109"/>
        <v>EB-Vallejo and Benicia-Antioch and Pittsburg-Work</v>
      </c>
      <c r="B2334">
        <v>25</v>
      </c>
      <c r="C2334" t="str">
        <f t="shared" si="110"/>
        <v>Vallejo and Benicia</v>
      </c>
      <c r="D2334">
        <v>24</v>
      </c>
      <c r="E2334" t="str">
        <f t="shared" si="110"/>
        <v>Antioch and Pittsburg</v>
      </c>
      <c r="F2334" t="s">
        <v>30</v>
      </c>
      <c r="G2334">
        <f t="shared" si="108"/>
        <v>1</v>
      </c>
      <c r="H2334" t="s">
        <v>123</v>
      </c>
      <c r="I2334" t="s">
        <v>182</v>
      </c>
      <c r="J2334">
        <v>1</v>
      </c>
      <c r="K2334">
        <v>12.3349397590361</v>
      </c>
    </row>
    <row r="2335" spans="1:11" x14ac:dyDescent="0.25">
      <c r="A2335" s="159" t="str">
        <f t="shared" si="109"/>
        <v>LB-Vallejo and Benicia-Antioch and Pittsburg-Work</v>
      </c>
      <c r="B2335">
        <v>25</v>
      </c>
      <c r="C2335" t="str">
        <f t="shared" si="110"/>
        <v>Vallejo and Benicia</v>
      </c>
      <c r="D2335">
        <v>24</v>
      </c>
      <c r="E2335" t="str">
        <f t="shared" si="110"/>
        <v>Antioch and Pittsburg</v>
      </c>
      <c r="F2335" t="s">
        <v>30</v>
      </c>
      <c r="G2335">
        <f t="shared" si="108"/>
        <v>1</v>
      </c>
      <c r="H2335" t="s">
        <v>359</v>
      </c>
      <c r="I2335" t="s">
        <v>191</v>
      </c>
      <c r="J2335">
        <v>1</v>
      </c>
      <c r="K2335">
        <v>12.3349397590361</v>
      </c>
    </row>
    <row r="2336" spans="1:11" x14ac:dyDescent="0.25">
      <c r="A2336" s="159" t="str">
        <f t="shared" si="109"/>
        <v>LB-Vallejo and Benicia-Vallejo and Benicia-High school</v>
      </c>
      <c r="B2336">
        <v>25</v>
      </c>
      <c r="C2336" t="str">
        <f t="shared" si="110"/>
        <v>Vallejo and Benicia</v>
      </c>
      <c r="D2336">
        <v>25</v>
      </c>
      <c r="E2336" t="str">
        <f t="shared" si="110"/>
        <v>Vallejo and Benicia</v>
      </c>
      <c r="F2336" t="s">
        <v>326</v>
      </c>
      <c r="G2336">
        <f t="shared" si="108"/>
        <v>3</v>
      </c>
      <c r="H2336" t="s">
        <v>359</v>
      </c>
      <c r="I2336" t="s">
        <v>191</v>
      </c>
      <c r="J2336">
        <v>20</v>
      </c>
      <c r="K2336">
        <v>246.69879518072199</v>
      </c>
    </row>
    <row r="2337" spans="1:11" x14ac:dyDescent="0.25">
      <c r="A2337" s="159" t="str">
        <f t="shared" si="109"/>
        <v>EB-Vallejo and Benicia-Vallejo and Benicia-Missing</v>
      </c>
      <c r="B2337">
        <v>25</v>
      </c>
      <c r="C2337" t="str">
        <f t="shared" si="110"/>
        <v>Vallejo and Benicia</v>
      </c>
      <c r="D2337">
        <v>25</v>
      </c>
      <c r="E2337" t="str">
        <f t="shared" si="110"/>
        <v>Vallejo and Benicia</v>
      </c>
      <c r="F2337" t="s">
        <v>327</v>
      </c>
      <c r="G2337">
        <f t="shared" si="108"/>
        <v>0</v>
      </c>
      <c r="H2337" t="s">
        <v>123</v>
      </c>
      <c r="I2337" t="s">
        <v>182</v>
      </c>
      <c r="J2337">
        <v>3</v>
      </c>
      <c r="K2337">
        <v>102.961484354075</v>
      </c>
    </row>
    <row r="2338" spans="1:11" x14ac:dyDescent="0.25">
      <c r="A2338" s="159" t="str">
        <f t="shared" si="109"/>
        <v>LB-Vallejo and Benicia-Vallejo and Benicia-Missing</v>
      </c>
      <c r="B2338">
        <v>25</v>
      </c>
      <c r="C2338" t="str">
        <f t="shared" si="110"/>
        <v>Vallejo and Benicia</v>
      </c>
      <c r="D2338">
        <v>25</v>
      </c>
      <c r="E2338" t="str">
        <f t="shared" si="110"/>
        <v>Vallejo and Benicia</v>
      </c>
      <c r="F2338" t="s">
        <v>327</v>
      </c>
      <c r="G2338">
        <f t="shared" si="108"/>
        <v>0</v>
      </c>
      <c r="H2338" t="s">
        <v>359</v>
      </c>
      <c r="I2338" t="s">
        <v>191</v>
      </c>
      <c r="J2338">
        <v>27</v>
      </c>
      <c r="K2338">
        <v>328.26406174147002</v>
      </c>
    </row>
    <row r="2339" spans="1:11" x14ac:dyDescent="0.25">
      <c r="A2339" s="159" t="str">
        <f t="shared" si="109"/>
        <v>LB-Vallejo and Benicia-Vallejo and Benicia-Other</v>
      </c>
      <c r="B2339">
        <v>25</v>
      </c>
      <c r="C2339" t="str">
        <f t="shared" si="110"/>
        <v>Vallejo and Benicia</v>
      </c>
      <c r="D2339">
        <v>25</v>
      </c>
      <c r="E2339" t="str">
        <f t="shared" si="110"/>
        <v>Vallejo and Benicia</v>
      </c>
      <c r="F2339" t="s">
        <v>328</v>
      </c>
      <c r="G2339">
        <f t="shared" si="108"/>
        <v>0</v>
      </c>
      <c r="H2339" t="s">
        <v>359</v>
      </c>
      <c r="I2339" t="s">
        <v>191</v>
      </c>
      <c r="J2339">
        <v>1</v>
      </c>
      <c r="K2339">
        <v>12.3349397590361</v>
      </c>
    </row>
    <row r="2340" spans="1:11" x14ac:dyDescent="0.25">
      <c r="A2340" s="159" t="str">
        <f t="shared" si="109"/>
        <v>EB-Vallejo and Benicia-Vallejo and Benicia-Other maintenance</v>
      </c>
      <c r="B2340">
        <v>25</v>
      </c>
      <c r="C2340" t="str">
        <f t="shared" si="110"/>
        <v>Vallejo and Benicia</v>
      </c>
      <c r="D2340">
        <v>25</v>
      </c>
      <c r="E2340" t="str">
        <f t="shared" si="110"/>
        <v>Vallejo and Benicia</v>
      </c>
      <c r="F2340" t="s">
        <v>325</v>
      </c>
      <c r="G2340">
        <f t="shared" si="108"/>
        <v>4</v>
      </c>
      <c r="H2340" t="s">
        <v>123</v>
      </c>
      <c r="I2340" t="s">
        <v>182</v>
      </c>
      <c r="J2340">
        <v>1</v>
      </c>
      <c r="K2340">
        <v>12.3349397590361</v>
      </c>
    </row>
    <row r="2341" spans="1:11" x14ac:dyDescent="0.25">
      <c r="A2341" s="159" t="str">
        <f t="shared" si="109"/>
        <v>LB-Vallejo and Benicia-Vallejo and Benicia-Other maintenance</v>
      </c>
      <c r="B2341">
        <v>25</v>
      </c>
      <c r="C2341" t="str">
        <f t="shared" si="110"/>
        <v>Vallejo and Benicia</v>
      </c>
      <c r="D2341">
        <v>25</v>
      </c>
      <c r="E2341" t="str">
        <f t="shared" si="110"/>
        <v>Vallejo and Benicia</v>
      </c>
      <c r="F2341" t="s">
        <v>325</v>
      </c>
      <c r="G2341">
        <f t="shared" si="108"/>
        <v>4</v>
      </c>
      <c r="H2341" t="s">
        <v>359</v>
      </c>
      <c r="I2341" t="s">
        <v>191</v>
      </c>
      <c r="J2341">
        <v>23</v>
      </c>
      <c r="K2341">
        <v>291.85264133456798</v>
      </c>
    </row>
    <row r="2342" spans="1:11" x14ac:dyDescent="0.25">
      <c r="A2342" s="159" t="str">
        <f t="shared" si="109"/>
        <v>LB-Vallejo and Benicia-Vallejo and Benicia-Shopping</v>
      </c>
      <c r="B2342">
        <v>25</v>
      </c>
      <c r="C2342" t="str">
        <f t="shared" si="110"/>
        <v>Vallejo and Benicia</v>
      </c>
      <c r="D2342">
        <v>25</v>
      </c>
      <c r="E2342" t="str">
        <f t="shared" si="110"/>
        <v>Vallejo and Benicia</v>
      </c>
      <c r="F2342" t="s">
        <v>106</v>
      </c>
      <c r="G2342">
        <f t="shared" si="108"/>
        <v>4</v>
      </c>
      <c r="H2342" t="s">
        <v>359</v>
      </c>
      <c r="I2342" t="s">
        <v>191</v>
      </c>
      <c r="J2342">
        <v>16</v>
      </c>
      <c r="K2342">
        <v>200.075378436823</v>
      </c>
    </row>
    <row r="2343" spans="1:11" x14ac:dyDescent="0.25">
      <c r="A2343" s="159" t="str">
        <f t="shared" si="109"/>
        <v>EB-Vallejo and Benicia-Vallejo and Benicia-Social recreation</v>
      </c>
      <c r="B2343">
        <v>25</v>
      </c>
      <c r="C2343" t="str">
        <f t="shared" si="110"/>
        <v>Vallejo and Benicia</v>
      </c>
      <c r="D2343">
        <v>25</v>
      </c>
      <c r="E2343" t="str">
        <f t="shared" si="110"/>
        <v>Vallejo and Benicia</v>
      </c>
      <c r="F2343" t="s">
        <v>324</v>
      </c>
      <c r="G2343">
        <f t="shared" si="108"/>
        <v>5</v>
      </c>
      <c r="H2343" t="s">
        <v>123</v>
      </c>
      <c r="I2343" t="s">
        <v>182</v>
      </c>
      <c r="J2343">
        <v>1</v>
      </c>
      <c r="K2343">
        <v>12.3349397590361</v>
      </c>
    </row>
    <row r="2344" spans="1:11" x14ac:dyDescent="0.25">
      <c r="A2344" s="159" t="str">
        <f t="shared" si="109"/>
        <v>FR-Vallejo and Benicia-Vallejo and Benicia-Social recreation</v>
      </c>
      <c r="B2344">
        <v>25</v>
      </c>
      <c r="C2344" t="str">
        <f t="shared" si="110"/>
        <v>Vallejo and Benicia</v>
      </c>
      <c r="D2344">
        <v>25</v>
      </c>
      <c r="E2344" t="str">
        <f t="shared" si="110"/>
        <v>Vallejo and Benicia</v>
      </c>
      <c r="F2344" t="s">
        <v>324</v>
      </c>
      <c r="G2344">
        <f t="shared" si="108"/>
        <v>5</v>
      </c>
      <c r="H2344" t="s">
        <v>360</v>
      </c>
      <c r="I2344" t="s">
        <v>185</v>
      </c>
      <c r="J2344">
        <v>3</v>
      </c>
      <c r="K2344">
        <v>44.716233180969397</v>
      </c>
    </row>
    <row r="2345" spans="1:11" x14ac:dyDescent="0.25">
      <c r="A2345" s="159" t="str">
        <f t="shared" si="109"/>
        <v>LB-Vallejo and Benicia-Vallejo and Benicia-Social recreation</v>
      </c>
      <c r="B2345">
        <v>25</v>
      </c>
      <c r="C2345" t="str">
        <f t="shared" si="110"/>
        <v>Vallejo and Benicia</v>
      </c>
      <c r="D2345">
        <v>25</v>
      </c>
      <c r="E2345" t="str">
        <f t="shared" si="110"/>
        <v>Vallejo and Benicia</v>
      </c>
      <c r="F2345" t="s">
        <v>324</v>
      </c>
      <c r="G2345">
        <f t="shared" si="108"/>
        <v>5</v>
      </c>
      <c r="H2345" t="s">
        <v>359</v>
      </c>
      <c r="I2345" t="s">
        <v>191</v>
      </c>
      <c r="J2345">
        <v>8</v>
      </c>
      <c r="K2345">
        <v>92.329708424776797</v>
      </c>
    </row>
    <row r="2346" spans="1:11" x14ac:dyDescent="0.25">
      <c r="A2346" s="159" t="str">
        <f t="shared" si="109"/>
        <v>EB-Vallejo and Benicia-Vallejo and Benicia-Work</v>
      </c>
      <c r="B2346">
        <v>25</v>
      </c>
      <c r="C2346" t="str">
        <f t="shared" si="110"/>
        <v>Vallejo and Benicia</v>
      </c>
      <c r="D2346">
        <v>25</v>
      </c>
      <c r="E2346" t="str">
        <f t="shared" si="110"/>
        <v>Vallejo and Benicia</v>
      </c>
      <c r="F2346" t="s">
        <v>30</v>
      </c>
      <c r="G2346">
        <f t="shared" si="108"/>
        <v>1</v>
      </c>
      <c r="H2346" t="s">
        <v>123</v>
      </c>
      <c r="I2346" t="s">
        <v>182</v>
      </c>
      <c r="J2346">
        <v>4</v>
      </c>
      <c r="K2346">
        <v>52.056101328390298</v>
      </c>
    </row>
    <row r="2347" spans="1:11" x14ac:dyDescent="0.25">
      <c r="A2347" s="159" t="str">
        <f t="shared" si="109"/>
        <v>LB-Vallejo and Benicia-Vallejo and Benicia-Work</v>
      </c>
      <c r="B2347">
        <v>25</v>
      </c>
      <c r="C2347" t="str">
        <f t="shared" si="110"/>
        <v>Vallejo and Benicia</v>
      </c>
      <c r="D2347">
        <v>25</v>
      </c>
      <c r="E2347" t="str">
        <f t="shared" si="110"/>
        <v>Vallejo and Benicia</v>
      </c>
      <c r="F2347" t="s">
        <v>30</v>
      </c>
      <c r="G2347">
        <f t="shared" si="108"/>
        <v>1</v>
      </c>
      <c r="H2347" t="s">
        <v>359</v>
      </c>
      <c r="I2347" t="s">
        <v>191</v>
      </c>
      <c r="J2347">
        <v>41</v>
      </c>
      <c r="K2347">
        <v>505.57199794315699</v>
      </c>
    </row>
    <row r="2348" spans="1:11" x14ac:dyDescent="0.25">
      <c r="A2348" s="159" t="str">
        <f t="shared" si="109"/>
        <v>EB-Vallejo and Benicia-Fairfield and Vacaville-High school</v>
      </c>
      <c r="B2348">
        <v>25</v>
      </c>
      <c r="C2348" t="str">
        <f t="shared" si="110"/>
        <v>Vallejo and Benicia</v>
      </c>
      <c r="D2348">
        <v>26</v>
      </c>
      <c r="E2348" t="str">
        <f t="shared" si="110"/>
        <v>Fairfield and Vacaville</v>
      </c>
      <c r="F2348" t="s">
        <v>326</v>
      </c>
      <c r="G2348">
        <f t="shared" si="108"/>
        <v>3</v>
      </c>
      <c r="H2348" t="s">
        <v>123</v>
      </c>
      <c r="I2348" t="s">
        <v>182</v>
      </c>
      <c r="J2348">
        <v>4</v>
      </c>
      <c r="K2348">
        <v>49.3397590361444</v>
      </c>
    </row>
    <row r="2349" spans="1:11" x14ac:dyDescent="0.25">
      <c r="A2349" s="159" t="str">
        <f t="shared" si="109"/>
        <v>EB-Vallejo and Benicia-Fairfield and Vacaville-Missing</v>
      </c>
      <c r="B2349">
        <v>25</v>
      </c>
      <c r="C2349" t="str">
        <f t="shared" si="110"/>
        <v>Vallejo and Benicia</v>
      </c>
      <c r="D2349">
        <v>26</v>
      </c>
      <c r="E2349" t="str">
        <f t="shared" si="110"/>
        <v>Fairfield and Vacaville</v>
      </c>
      <c r="F2349" t="s">
        <v>327</v>
      </c>
      <c r="G2349">
        <f t="shared" si="108"/>
        <v>0</v>
      </c>
      <c r="H2349" t="s">
        <v>123</v>
      </c>
      <c r="I2349" t="s">
        <v>182</v>
      </c>
      <c r="J2349">
        <v>2</v>
      </c>
      <c r="K2349">
        <v>24.6698795180722</v>
      </c>
    </row>
    <row r="2350" spans="1:11" x14ac:dyDescent="0.25">
      <c r="A2350" s="159" t="str">
        <f t="shared" si="109"/>
        <v>EB-Vallejo and Benicia-Fairfield and Vacaville-Other maintenance</v>
      </c>
      <c r="B2350">
        <v>25</v>
      </c>
      <c r="C2350" t="str">
        <f t="shared" si="110"/>
        <v>Vallejo and Benicia</v>
      </c>
      <c r="D2350">
        <v>26</v>
      </c>
      <c r="E2350" t="str">
        <f t="shared" si="110"/>
        <v>Fairfield and Vacaville</v>
      </c>
      <c r="F2350" t="s">
        <v>325</v>
      </c>
      <c r="G2350">
        <f t="shared" si="108"/>
        <v>4</v>
      </c>
      <c r="H2350" t="s">
        <v>123</v>
      </c>
      <c r="I2350" t="s">
        <v>182</v>
      </c>
      <c r="J2350">
        <v>1</v>
      </c>
      <c r="K2350">
        <v>12.3349397590361</v>
      </c>
    </row>
    <row r="2351" spans="1:11" x14ac:dyDescent="0.25">
      <c r="A2351" s="159" t="str">
        <f t="shared" si="109"/>
        <v>HR-Vallejo and Benicia-Fairfield and Vacaville-Other maintenance</v>
      </c>
      <c r="B2351">
        <v>25</v>
      </c>
      <c r="C2351" t="str">
        <f t="shared" si="110"/>
        <v>Vallejo and Benicia</v>
      </c>
      <c r="D2351">
        <v>26</v>
      </c>
      <c r="E2351" t="str">
        <f t="shared" si="110"/>
        <v>Fairfield and Vacaville</v>
      </c>
      <c r="F2351" t="s">
        <v>325</v>
      </c>
      <c r="G2351">
        <f t="shared" si="108"/>
        <v>4</v>
      </c>
      <c r="H2351" t="s">
        <v>124</v>
      </c>
      <c r="I2351" t="s">
        <v>188</v>
      </c>
      <c r="J2351">
        <v>1</v>
      </c>
      <c r="K2351">
        <v>95.822099447513807</v>
      </c>
    </row>
    <row r="2352" spans="1:11" x14ac:dyDescent="0.25">
      <c r="A2352" s="159" t="str">
        <f t="shared" si="109"/>
        <v>FR-Vallejo and Benicia-Fairfield and Vacaville-Social recreation</v>
      </c>
      <c r="B2352">
        <v>25</v>
      </c>
      <c r="C2352" t="str">
        <f t="shared" si="110"/>
        <v>Vallejo and Benicia</v>
      </c>
      <c r="D2352">
        <v>26</v>
      </c>
      <c r="E2352" t="str">
        <f t="shared" si="110"/>
        <v>Fairfield and Vacaville</v>
      </c>
      <c r="F2352" t="s">
        <v>324</v>
      </c>
      <c r="G2352">
        <f t="shared" si="108"/>
        <v>5</v>
      </c>
      <c r="H2352" t="s">
        <v>360</v>
      </c>
      <c r="I2352" t="s">
        <v>185</v>
      </c>
      <c r="J2352">
        <v>1</v>
      </c>
      <c r="K2352">
        <v>16.498422712933699</v>
      </c>
    </row>
    <row r="2353" spans="1:11" x14ac:dyDescent="0.25">
      <c r="A2353" s="159" t="str">
        <f t="shared" si="109"/>
        <v>LB-Vallejo and Benicia-Fairfield and Vacaville-Social recreation</v>
      </c>
      <c r="B2353">
        <v>25</v>
      </c>
      <c r="C2353" t="str">
        <f t="shared" si="110"/>
        <v>Vallejo and Benicia</v>
      </c>
      <c r="D2353">
        <v>26</v>
      </c>
      <c r="E2353" t="str">
        <f t="shared" si="110"/>
        <v>Fairfield and Vacaville</v>
      </c>
      <c r="F2353" t="s">
        <v>324</v>
      </c>
      <c r="G2353">
        <f t="shared" si="108"/>
        <v>5</v>
      </c>
      <c r="H2353" t="s">
        <v>359</v>
      </c>
      <c r="I2353" t="s">
        <v>191</v>
      </c>
      <c r="J2353">
        <v>1</v>
      </c>
      <c r="K2353">
        <v>5.9851301115241604</v>
      </c>
    </row>
    <row r="2354" spans="1:11" x14ac:dyDescent="0.25">
      <c r="A2354" s="159" t="str">
        <f t="shared" si="109"/>
        <v>EB-Vallejo and Benicia-Fairfield and Vacaville-Work</v>
      </c>
      <c r="B2354">
        <v>25</v>
      </c>
      <c r="C2354" t="str">
        <f t="shared" si="110"/>
        <v>Vallejo and Benicia</v>
      </c>
      <c r="D2354">
        <v>26</v>
      </c>
      <c r="E2354" t="str">
        <f t="shared" si="110"/>
        <v>Fairfield and Vacaville</v>
      </c>
      <c r="F2354" t="s">
        <v>30</v>
      </c>
      <c r="G2354">
        <f t="shared" si="108"/>
        <v>1</v>
      </c>
      <c r="H2354" t="s">
        <v>123</v>
      </c>
      <c r="I2354" t="s">
        <v>182</v>
      </c>
      <c r="J2354">
        <v>5</v>
      </c>
      <c r="K2354">
        <v>61.674698795180497</v>
      </c>
    </row>
    <row r="2355" spans="1:11" x14ac:dyDescent="0.25">
      <c r="A2355" s="159" t="str">
        <f t="shared" si="109"/>
        <v>LB-Vallejo and Benicia-Fairfield and Vacaville-Work</v>
      </c>
      <c r="B2355">
        <v>25</v>
      </c>
      <c r="C2355" t="str">
        <f t="shared" si="110"/>
        <v>Vallejo and Benicia</v>
      </c>
      <c r="D2355">
        <v>26</v>
      </c>
      <c r="E2355" t="str">
        <f t="shared" si="110"/>
        <v>Fairfield and Vacaville</v>
      </c>
      <c r="F2355" t="s">
        <v>30</v>
      </c>
      <c r="G2355">
        <f t="shared" si="108"/>
        <v>1</v>
      </c>
      <c r="H2355" t="s">
        <v>359</v>
      </c>
      <c r="I2355" t="s">
        <v>191</v>
      </c>
      <c r="J2355">
        <v>3</v>
      </c>
      <c r="K2355">
        <v>22.013511187607499</v>
      </c>
    </row>
    <row r="2356" spans="1:11" x14ac:dyDescent="0.25">
      <c r="A2356" s="159" t="str">
        <f t="shared" si="109"/>
        <v>LB-Vallejo and Benicia-Napa-High school</v>
      </c>
      <c r="B2356">
        <v>25</v>
      </c>
      <c r="C2356" t="str">
        <f t="shared" si="110"/>
        <v>Vallejo and Benicia</v>
      </c>
      <c r="D2356">
        <v>27</v>
      </c>
      <c r="E2356" t="str">
        <f t="shared" si="110"/>
        <v>Napa</v>
      </c>
      <c r="F2356" t="s">
        <v>326</v>
      </c>
      <c r="G2356">
        <f t="shared" si="108"/>
        <v>3</v>
      </c>
      <c r="H2356" t="s">
        <v>359</v>
      </c>
      <c r="I2356" t="s">
        <v>191</v>
      </c>
      <c r="J2356">
        <v>3</v>
      </c>
      <c r="K2356">
        <v>24.3051999820844</v>
      </c>
    </row>
    <row r="2357" spans="1:11" x14ac:dyDescent="0.25">
      <c r="A2357" s="159" t="str">
        <f t="shared" si="109"/>
        <v>LB-Vallejo and Benicia-Napa-Missing</v>
      </c>
      <c r="B2357">
        <v>25</v>
      </c>
      <c r="C2357" t="str">
        <f t="shared" si="110"/>
        <v>Vallejo and Benicia</v>
      </c>
      <c r="D2357">
        <v>27</v>
      </c>
      <c r="E2357" t="str">
        <f t="shared" si="110"/>
        <v>Napa</v>
      </c>
      <c r="F2357" t="s">
        <v>327</v>
      </c>
      <c r="G2357">
        <f t="shared" si="108"/>
        <v>0</v>
      </c>
      <c r="H2357" t="s">
        <v>359</v>
      </c>
      <c r="I2357" t="s">
        <v>191</v>
      </c>
      <c r="J2357">
        <v>2</v>
      </c>
      <c r="K2357">
        <v>29.059939759036101</v>
      </c>
    </row>
    <row r="2358" spans="1:11" x14ac:dyDescent="0.25">
      <c r="A2358" s="159" t="str">
        <f t="shared" si="109"/>
        <v>LB-Vallejo and Benicia-Napa-Other maintenance</v>
      </c>
      <c r="B2358">
        <v>25</v>
      </c>
      <c r="C2358" t="str">
        <f t="shared" si="110"/>
        <v>Vallejo and Benicia</v>
      </c>
      <c r="D2358">
        <v>27</v>
      </c>
      <c r="E2358" t="str">
        <f t="shared" si="110"/>
        <v>Napa</v>
      </c>
      <c r="F2358" t="s">
        <v>325</v>
      </c>
      <c r="G2358">
        <f t="shared" si="108"/>
        <v>4</v>
      </c>
      <c r="H2358" t="s">
        <v>359</v>
      </c>
      <c r="I2358" t="s">
        <v>191</v>
      </c>
      <c r="J2358">
        <v>1</v>
      </c>
      <c r="K2358">
        <v>5.9851301115241604</v>
      </c>
    </row>
    <row r="2359" spans="1:11" x14ac:dyDescent="0.25">
      <c r="A2359" s="159" t="str">
        <f t="shared" si="109"/>
        <v>LB-Vallejo and Benicia-Napa-Shopping</v>
      </c>
      <c r="B2359">
        <v>25</v>
      </c>
      <c r="C2359" t="str">
        <f t="shared" si="110"/>
        <v>Vallejo and Benicia</v>
      </c>
      <c r="D2359">
        <v>27</v>
      </c>
      <c r="E2359" t="str">
        <f t="shared" si="110"/>
        <v>Napa</v>
      </c>
      <c r="F2359" t="s">
        <v>106</v>
      </c>
      <c r="G2359">
        <f t="shared" si="108"/>
        <v>4</v>
      </c>
      <c r="H2359" t="s">
        <v>359</v>
      </c>
      <c r="I2359" t="s">
        <v>191</v>
      </c>
      <c r="J2359">
        <v>1</v>
      </c>
      <c r="K2359">
        <v>16.725000000000001</v>
      </c>
    </row>
    <row r="2360" spans="1:11" x14ac:dyDescent="0.25">
      <c r="A2360" s="159" t="str">
        <f t="shared" si="109"/>
        <v>LB-Vallejo and Benicia-Napa-Social recreation</v>
      </c>
      <c r="B2360">
        <v>25</v>
      </c>
      <c r="C2360" t="str">
        <f t="shared" si="110"/>
        <v>Vallejo and Benicia</v>
      </c>
      <c r="D2360">
        <v>27</v>
      </c>
      <c r="E2360" t="str">
        <f t="shared" si="110"/>
        <v>Napa</v>
      </c>
      <c r="F2360" t="s">
        <v>324</v>
      </c>
      <c r="G2360">
        <f t="shared" si="108"/>
        <v>5</v>
      </c>
      <c r="H2360" t="s">
        <v>359</v>
      </c>
      <c r="I2360" t="s">
        <v>191</v>
      </c>
      <c r="J2360">
        <v>2</v>
      </c>
      <c r="K2360">
        <v>11.9702602230483</v>
      </c>
    </row>
    <row r="2361" spans="1:11" x14ac:dyDescent="0.25">
      <c r="A2361" s="159" t="str">
        <f t="shared" si="109"/>
        <v>LB-Vallejo and Benicia-Napa-Work</v>
      </c>
      <c r="B2361">
        <v>25</v>
      </c>
      <c r="C2361" t="str">
        <f t="shared" si="110"/>
        <v>Vallejo and Benicia</v>
      </c>
      <c r="D2361">
        <v>27</v>
      </c>
      <c r="E2361" t="str">
        <f t="shared" si="110"/>
        <v>Napa</v>
      </c>
      <c r="F2361" t="s">
        <v>30</v>
      </c>
      <c r="G2361">
        <f t="shared" si="108"/>
        <v>1</v>
      </c>
      <c r="H2361" t="s">
        <v>359</v>
      </c>
      <c r="I2361" t="s">
        <v>191</v>
      </c>
      <c r="J2361">
        <v>8</v>
      </c>
      <c r="K2361">
        <v>90.840520446096605</v>
      </c>
    </row>
    <row r="2362" spans="1:11" x14ac:dyDescent="0.25">
      <c r="A2362" s="159" t="str">
        <f t="shared" si="109"/>
        <v>LB-Fairfield and Vacaville-Greater Downtown San Francisco-High school</v>
      </c>
      <c r="B2362">
        <v>26</v>
      </c>
      <c r="C2362" t="str">
        <f t="shared" si="110"/>
        <v>Fairfield and Vacaville</v>
      </c>
      <c r="D2362">
        <v>1</v>
      </c>
      <c r="E2362" t="str">
        <f t="shared" si="110"/>
        <v>Greater Downtown San Francisco</v>
      </c>
      <c r="F2362" t="s">
        <v>326</v>
      </c>
      <c r="G2362">
        <f t="shared" si="108"/>
        <v>3</v>
      </c>
      <c r="H2362" t="s">
        <v>359</v>
      </c>
      <c r="I2362" t="s">
        <v>191</v>
      </c>
      <c r="J2362">
        <v>1</v>
      </c>
      <c r="K2362">
        <v>4.83928571428571</v>
      </c>
    </row>
    <row r="2363" spans="1:11" x14ac:dyDescent="0.25">
      <c r="A2363" s="159" t="str">
        <f t="shared" si="109"/>
        <v>EB-Fairfield and Vacaville-Greater Downtown San Francisco-Social recreation</v>
      </c>
      <c r="B2363">
        <v>26</v>
      </c>
      <c r="C2363" t="str">
        <f t="shared" si="110"/>
        <v>Fairfield and Vacaville</v>
      </c>
      <c r="D2363">
        <v>1</v>
      </c>
      <c r="E2363" t="str">
        <f t="shared" si="110"/>
        <v>Greater Downtown San Francisco</v>
      </c>
      <c r="F2363" t="s">
        <v>324</v>
      </c>
      <c r="G2363">
        <f t="shared" si="108"/>
        <v>5</v>
      </c>
      <c r="H2363" t="s">
        <v>123</v>
      </c>
      <c r="I2363" t="s">
        <v>182</v>
      </c>
      <c r="J2363">
        <v>1</v>
      </c>
      <c r="K2363">
        <v>12.3349397590361</v>
      </c>
    </row>
    <row r="2364" spans="1:11" x14ac:dyDescent="0.25">
      <c r="A2364" s="159" t="str">
        <f t="shared" si="109"/>
        <v>FR-Fairfield and Vacaville-Greater Downtown San Francisco-Social recreation</v>
      </c>
      <c r="B2364">
        <v>26</v>
      </c>
      <c r="C2364" t="str">
        <f t="shared" si="110"/>
        <v>Fairfield and Vacaville</v>
      </c>
      <c r="D2364">
        <v>1</v>
      </c>
      <c r="E2364" t="str">
        <f t="shared" si="110"/>
        <v>Greater Downtown San Francisco</v>
      </c>
      <c r="F2364" t="s">
        <v>324</v>
      </c>
      <c r="G2364">
        <f t="shared" si="108"/>
        <v>5</v>
      </c>
      <c r="H2364" t="s">
        <v>360</v>
      </c>
      <c r="I2364" t="s">
        <v>185</v>
      </c>
      <c r="J2364">
        <v>2</v>
      </c>
      <c r="K2364">
        <v>32.996845425867399</v>
      </c>
    </row>
    <row r="2365" spans="1:11" x14ac:dyDescent="0.25">
      <c r="A2365" s="159" t="str">
        <f t="shared" si="109"/>
        <v>HR-Fairfield and Vacaville-Greater Downtown San Francisco-Social recreation</v>
      </c>
      <c r="B2365">
        <v>26</v>
      </c>
      <c r="C2365" t="str">
        <f t="shared" si="110"/>
        <v>Fairfield and Vacaville</v>
      </c>
      <c r="D2365">
        <v>1</v>
      </c>
      <c r="E2365" t="str">
        <f t="shared" si="110"/>
        <v>Greater Downtown San Francisco</v>
      </c>
      <c r="F2365" t="s">
        <v>324</v>
      </c>
      <c r="G2365">
        <f t="shared" si="108"/>
        <v>5</v>
      </c>
      <c r="H2365" t="s">
        <v>124</v>
      </c>
      <c r="I2365" t="s">
        <v>188</v>
      </c>
      <c r="J2365">
        <v>1</v>
      </c>
      <c r="K2365">
        <v>95.822099447513807</v>
      </c>
    </row>
    <row r="2366" spans="1:11" x14ac:dyDescent="0.25">
      <c r="A2366" s="159" t="str">
        <f t="shared" si="109"/>
        <v>EB-Fairfield and Vacaville-Greater Downtown San Francisco-Work</v>
      </c>
      <c r="B2366">
        <v>26</v>
      </c>
      <c r="C2366" t="str">
        <f t="shared" si="110"/>
        <v>Fairfield and Vacaville</v>
      </c>
      <c r="D2366">
        <v>1</v>
      </c>
      <c r="E2366" t="str">
        <f t="shared" si="110"/>
        <v>Greater Downtown San Francisco</v>
      </c>
      <c r="F2366" t="s">
        <v>30</v>
      </c>
      <c r="G2366">
        <f t="shared" si="108"/>
        <v>1</v>
      </c>
      <c r="H2366" t="s">
        <v>123</v>
      </c>
      <c r="I2366" t="s">
        <v>182</v>
      </c>
      <c r="J2366">
        <v>4</v>
      </c>
      <c r="K2366">
        <v>39.406721623335301</v>
      </c>
    </row>
    <row r="2367" spans="1:11" x14ac:dyDescent="0.25">
      <c r="A2367" s="159" t="str">
        <f t="shared" si="109"/>
        <v>HR-Fairfield and Vacaville-Greater Downtown San Francisco-Work</v>
      </c>
      <c r="B2367">
        <v>26</v>
      </c>
      <c r="C2367" t="str">
        <f t="shared" si="110"/>
        <v>Fairfield and Vacaville</v>
      </c>
      <c r="D2367">
        <v>1</v>
      </c>
      <c r="E2367" t="str">
        <f t="shared" si="110"/>
        <v>Greater Downtown San Francisco</v>
      </c>
      <c r="F2367" t="s">
        <v>30</v>
      </c>
      <c r="G2367">
        <f t="shared" si="108"/>
        <v>1</v>
      </c>
      <c r="H2367" t="s">
        <v>124</v>
      </c>
      <c r="I2367" t="s">
        <v>188</v>
      </c>
      <c r="J2367">
        <v>2</v>
      </c>
      <c r="K2367">
        <v>191.64419889502699</v>
      </c>
    </row>
    <row r="2368" spans="1:11" x14ac:dyDescent="0.25">
      <c r="A2368" s="159" t="str">
        <f t="shared" si="109"/>
        <v>FR-Fairfield and Vacaville-San Francisco Richmond District-Social recreation</v>
      </c>
      <c r="B2368">
        <v>26</v>
      </c>
      <c r="C2368" t="str">
        <f t="shared" si="110"/>
        <v>Fairfield and Vacaville</v>
      </c>
      <c r="D2368">
        <v>2</v>
      </c>
      <c r="E2368" t="str">
        <f t="shared" si="110"/>
        <v>San Francisco Richmond District</v>
      </c>
      <c r="F2368" t="s">
        <v>324</v>
      </c>
      <c r="G2368">
        <f t="shared" si="108"/>
        <v>5</v>
      </c>
      <c r="H2368" t="s">
        <v>360</v>
      </c>
      <c r="I2368" t="s">
        <v>185</v>
      </c>
      <c r="J2368">
        <v>1</v>
      </c>
      <c r="K2368">
        <v>16.498422712933699</v>
      </c>
    </row>
    <row r="2369" spans="1:11" x14ac:dyDescent="0.25">
      <c r="A2369" s="159" t="str">
        <f t="shared" si="109"/>
        <v>EB-Fairfield and Vacaville-San Francisco Richmond District-Work</v>
      </c>
      <c r="B2369">
        <v>26</v>
      </c>
      <c r="C2369" t="str">
        <f t="shared" si="110"/>
        <v>Fairfield and Vacaville</v>
      </c>
      <c r="D2369">
        <v>2</v>
      </c>
      <c r="E2369" t="str">
        <f t="shared" si="110"/>
        <v>San Francisco Richmond District</v>
      </c>
      <c r="F2369" t="s">
        <v>30</v>
      </c>
      <c r="G2369">
        <f t="shared" si="108"/>
        <v>1</v>
      </c>
      <c r="H2369" t="s">
        <v>123</v>
      </c>
      <c r="I2369" t="s">
        <v>182</v>
      </c>
      <c r="J2369">
        <v>1</v>
      </c>
      <c r="K2369">
        <v>12.3349397590361</v>
      </c>
    </row>
    <row r="2370" spans="1:11" x14ac:dyDescent="0.25">
      <c r="A2370" s="159" t="str">
        <f t="shared" si="109"/>
        <v>LB-Fairfield and Vacaville-San Francisco Richmond District-Work</v>
      </c>
      <c r="B2370">
        <v>26</v>
      </c>
      <c r="C2370" t="str">
        <f t="shared" si="110"/>
        <v>Fairfield and Vacaville</v>
      </c>
      <c r="D2370">
        <v>2</v>
      </c>
      <c r="E2370" t="str">
        <f t="shared" si="110"/>
        <v>San Francisco Richmond District</v>
      </c>
      <c r="F2370" t="s">
        <v>30</v>
      </c>
      <c r="G2370">
        <f t="shared" ref="G2370:G2433" si="111">VLOOKUP(F2370,$V$2:$X$10, 3,FALSE)</f>
        <v>1</v>
      </c>
      <c r="H2370" t="s">
        <v>359</v>
      </c>
      <c r="I2370" t="s">
        <v>191</v>
      </c>
      <c r="J2370">
        <v>2</v>
      </c>
      <c r="K2370">
        <v>572.25670945157594</v>
      </c>
    </row>
    <row r="2371" spans="1:11" x14ac:dyDescent="0.25">
      <c r="A2371" s="159" t="str">
        <f t="shared" ref="A2371:A2434" si="112" xml:space="preserve"> CONCATENATE(I2371,"-",C2371, "-",E2371, "-",F2371,)</f>
        <v>EB-Fairfield and Vacaville-San Francisco Mission District-High school</v>
      </c>
      <c r="B2371">
        <v>26</v>
      </c>
      <c r="C2371" t="str">
        <f t="shared" ref="C2371:E2434" si="113">VLOOKUP(B2371,$S$2:$T$35,2,FALSE)</f>
        <v>Fairfield and Vacaville</v>
      </c>
      <c r="D2371">
        <v>3</v>
      </c>
      <c r="E2371" t="str">
        <f t="shared" si="113"/>
        <v>San Francisco Mission District</v>
      </c>
      <c r="F2371" t="s">
        <v>326</v>
      </c>
      <c r="G2371">
        <f t="shared" si="111"/>
        <v>3</v>
      </c>
      <c r="H2371" t="s">
        <v>123</v>
      </c>
      <c r="I2371" t="s">
        <v>182</v>
      </c>
      <c r="J2371">
        <v>1</v>
      </c>
      <c r="K2371">
        <v>12.3349397590361</v>
      </c>
    </row>
    <row r="2372" spans="1:11" x14ac:dyDescent="0.25">
      <c r="A2372" s="159" t="str">
        <f t="shared" si="112"/>
        <v>HR-Fairfield and Vacaville-San Francisco Sunset District-Other maintenance</v>
      </c>
      <c r="B2372">
        <v>26</v>
      </c>
      <c r="C2372" t="str">
        <f t="shared" si="113"/>
        <v>Fairfield and Vacaville</v>
      </c>
      <c r="D2372">
        <v>4</v>
      </c>
      <c r="E2372" t="str">
        <f t="shared" si="113"/>
        <v>San Francisco Sunset District</v>
      </c>
      <c r="F2372" t="s">
        <v>325</v>
      </c>
      <c r="G2372">
        <f t="shared" si="111"/>
        <v>4</v>
      </c>
      <c r="H2372" t="s">
        <v>124</v>
      </c>
      <c r="I2372" t="s">
        <v>188</v>
      </c>
      <c r="J2372">
        <v>1</v>
      </c>
      <c r="K2372">
        <v>95.822099447513807</v>
      </c>
    </row>
    <row r="2373" spans="1:11" x14ac:dyDescent="0.25">
      <c r="A2373" s="159" t="str">
        <f t="shared" si="112"/>
        <v>LR-Fairfield and Vacaville-Palo Alto and Los Altos-Work</v>
      </c>
      <c r="B2373">
        <v>26</v>
      </c>
      <c r="C2373" t="str">
        <f t="shared" si="113"/>
        <v>Fairfield and Vacaville</v>
      </c>
      <c r="D2373">
        <v>8</v>
      </c>
      <c r="E2373" t="str">
        <f t="shared" si="113"/>
        <v>Palo Alto and Los Altos</v>
      </c>
      <c r="F2373" t="s">
        <v>30</v>
      </c>
      <c r="G2373">
        <f t="shared" si="111"/>
        <v>1</v>
      </c>
      <c r="H2373" t="s">
        <v>353</v>
      </c>
      <c r="I2373" t="s">
        <v>194</v>
      </c>
      <c r="J2373">
        <v>1</v>
      </c>
      <c r="K2373">
        <v>62.646773074254</v>
      </c>
    </row>
    <row r="2374" spans="1:11" x14ac:dyDescent="0.25">
      <c r="A2374" s="159" t="str">
        <f t="shared" si="112"/>
        <v>LR-Fairfield and Vacaville-Sunnyvale and Mountain View-Work</v>
      </c>
      <c r="B2374">
        <v>26</v>
      </c>
      <c r="C2374" t="str">
        <f t="shared" si="113"/>
        <v>Fairfield and Vacaville</v>
      </c>
      <c r="D2374">
        <v>9</v>
      </c>
      <c r="E2374" t="str">
        <f t="shared" si="113"/>
        <v>Sunnyvale and Mountain View</v>
      </c>
      <c r="F2374" t="s">
        <v>30</v>
      </c>
      <c r="G2374">
        <f t="shared" si="111"/>
        <v>1</v>
      </c>
      <c r="H2374" t="s">
        <v>353</v>
      </c>
      <c r="I2374" t="s">
        <v>194</v>
      </c>
      <c r="J2374">
        <v>1</v>
      </c>
      <c r="K2374">
        <v>62.646773074254</v>
      </c>
    </row>
    <row r="2375" spans="1:11" x14ac:dyDescent="0.25">
      <c r="A2375" s="159" t="str">
        <f t="shared" si="112"/>
        <v>EB-Fairfield and Vacaville-Fremont and Union City-Social recreation</v>
      </c>
      <c r="B2375">
        <v>26</v>
      </c>
      <c r="C2375" t="str">
        <f t="shared" si="113"/>
        <v>Fairfield and Vacaville</v>
      </c>
      <c r="D2375">
        <v>16</v>
      </c>
      <c r="E2375" t="str">
        <f t="shared" si="113"/>
        <v>Fremont and Union City</v>
      </c>
      <c r="F2375" t="s">
        <v>324</v>
      </c>
      <c r="G2375">
        <f t="shared" si="111"/>
        <v>5</v>
      </c>
      <c r="H2375" t="s">
        <v>123</v>
      </c>
      <c r="I2375" t="s">
        <v>182</v>
      </c>
      <c r="J2375">
        <v>1</v>
      </c>
      <c r="K2375">
        <v>12.3349397590361</v>
      </c>
    </row>
    <row r="2376" spans="1:11" x14ac:dyDescent="0.25">
      <c r="A2376" s="159" t="str">
        <f t="shared" si="112"/>
        <v>EB-Fairfield and Vacaville-Fremont and Union City-Work</v>
      </c>
      <c r="B2376">
        <v>26</v>
      </c>
      <c r="C2376" t="str">
        <f t="shared" si="113"/>
        <v>Fairfield and Vacaville</v>
      </c>
      <c r="D2376">
        <v>16</v>
      </c>
      <c r="E2376" t="str">
        <f t="shared" si="113"/>
        <v>Fremont and Union City</v>
      </c>
      <c r="F2376" t="s">
        <v>30</v>
      </c>
      <c r="G2376">
        <f t="shared" si="111"/>
        <v>1</v>
      </c>
      <c r="H2376" t="s">
        <v>123</v>
      </c>
      <c r="I2376" t="s">
        <v>182</v>
      </c>
      <c r="J2376">
        <v>1</v>
      </c>
      <c r="K2376">
        <v>12.3349397590361</v>
      </c>
    </row>
    <row r="2377" spans="1:11" x14ac:dyDescent="0.25">
      <c r="A2377" s="159" t="str">
        <f t="shared" si="112"/>
        <v>EB-Fairfield and Vacaville-Oakland and Alameda-Missing</v>
      </c>
      <c r="B2377">
        <v>26</v>
      </c>
      <c r="C2377" t="str">
        <f t="shared" si="113"/>
        <v>Fairfield and Vacaville</v>
      </c>
      <c r="D2377">
        <v>18</v>
      </c>
      <c r="E2377" t="str">
        <f t="shared" si="113"/>
        <v>Oakland and Alameda</v>
      </c>
      <c r="F2377" t="s">
        <v>327</v>
      </c>
      <c r="G2377">
        <f t="shared" si="111"/>
        <v>0</v>
      </c>
      <c r="H2377" t="s">
        <v>123</v>
      </c>
      <c r="I2377" t="s">
        <v>182</v>
      </c>
      <c r="J2377">
        <v>1</v>
      </c>
      <c r="K2377">
        <v>12.3349397590361</v>
      </c>
    </row>
    <row r="2378" spans="1:11" x14ac:dyDescent="0.25">
      <c r="A2378" s="159" t="str">
        <f t="shared" si="112"/>
        <v>EB-Fairfield and Vacaville-Oakland and Alameda-Other maintenance</v>
      </c>
      <c r="B2378">
        <v>26</v>
      </c>
      <c r="C2378" t="str">
        <f t="shared" si="113"/>
        <v>Fairfield and Vacaville</v>
      </c>
      <c r="D2378">
        <v>18</v>
      </c>
      <c r="E2378" t="str">
        <f t="shared" si="113"/>
        <v>Oakland and Alameda</v>
      </c>
      <c r="F2378" t="s">
        <v>325</v>
      </c>
      <c r="G2378">
        <f t="shared" si="111"/>
        <v>4</v>
      </c>
      <c r="H2378" t="s">
        <v>123</v>
      </c>
      <c r="I2378" t="s">
        <v>182</v>
      </c>
      <c r="J2378">
        <v>1</v>
      </c>
      <c r="K2378">
        <v>12.3349397590361</v>
      </c>
    </row>
    <row r="2379" spans="1:11" x14ac:dyDescent="0.25">
      <c r="A2379" s="159" t="str">
        <f t="shared" si="112"/>
        <v>HR-Fairfield and Vacaville-Oakland and Alameda-Social recreation</v>
      </c>
      <c r="B2379">
        <v>26</v>
      </c>
      <c r="C2379" t="str">
        <f t="shared" si="113"/>
        <v>Fairfield and Vacaville</v>
      </c>
      <c r="D2379">
        <v>18</v>
      </c>
      <c r="E2379" t="str">
        <f t="shared" si="113"/>
        <v>Oakland and Alameda</v>
      </c>
      <c r="F2379" t="s">
        <v>324</v>
      </c>
      <c r="G2379">
        <f t="shared" si="111"/>
        <v>5</v>
      </c>
      <c r="H2379" t="s">
        <v>124</v>
      </c>
      <c r="I2379" t="s">
        <v>188</v>
      </c>
      <c r="J2379">
        <v>2</v>
      </c>
      <c r="K2379">
        <v>291.33605293588499</v>
      </c>
    </row>
    <row r="2380" spans="1:11" x14ac:dyDescent="0.25">
      <c r="A2380" s="159" t="str">
        <f t="shared" si="112"/>
        <v>EB-Fairfield and Vacaville-Oakland and Alameda-Work</v>
      </c>
      <c r="B2380">
        <v>26</v>
      </c>
      <c r="C2380" t="str">
        <f t="shared" si="113"/>
        <v>Fairfield and Vacaville</v>
      </c>
      <c r="D2380">
        <v>18</v>
      </c>
      <c r="E2380" t="str">
        <f t="shared" si="113"/>
        <v>Oakland and Alameda</v>
      </c>
      <c r="F2380" t="s">
        <v>30</v>
      </c>
      <c r="G2380">
        <f t="shared" si="111"/>
        <v>1</v>
      </c>
      <c r="H2380" t="s">
        <v>123</v>
      </c>
      <c r="I2380" t="s">
        <v>182</v>
      </c>
      <c r="J2380">
        <v>1</v>
      </c>
      <c r="K2380">
        <v>12.3349397590361</v>
      </c>
    </row>
    <row r="2381" spans="1:11" x14ac:dyDescent="0.25">
      <c r="A2381" s="159" t="str">
        <f t="shared" si="112"/>
        <v>EB-Fairfield and Vacaville-Richmond and El Cerrito-High school</v>
      </c>
      <c r="B2381">
        <v>26</v>
      </c>
      <c r="C2381" t="str">
        <f t="shared" si="113"/>
        <v>Fairfield and Vacaville</v>
      </c>
      <c r="D2381">
        <v>20</v>
      </c>
      <c r="E2381" t="str">
        <f t="shared" si="113"/>
        <v>Richmond and El Cerrito</v>
      </c>
      <c r="F2381" t="s">
        <v>326</v>
      </c>
      <c r="G2381">
        <f t="shared" si="111"/>
        <v>3</v>
      </c>
      <c r="H2381" t="s">
        <v>123</v>
      </c>
      <c r="I2381" t="s">
        <v>182</v>
      </c>
      <c r="J2381">
        <v>2</v>
      </c>
      <c r="K2381">
        <v>24.6698795180722</v>
      </c>
    </row>
    <row r="2382" spans="1:11" x14ac:dyDescent="0.25">
      <c r="A2382" s="159" t="str">
        <f t="shared" si="112"/>
        <v>EB-Fairfield and Vacaville-Richmond and El Cerrito-Missing</v>
      </c>
      <c r="B2382">
        <v>26</v>
      </c>
      <c r="C2382" t="str">
        <f t="shared" si="113"/>
        <v>Fairfield and Vacaville</v>
      </c>
      <c r="D2382">
        <v>20</v>
      </c>
      <c r="E2382" t="str">
        <f t="shared" si="113"/>
        <v>Richmond and El Cerrito</v>
      </c>
      <c r="F2382" t="s">
        <v>327</v>
      </c>
      <c r="G2382">
        <f t="shared" si="111"/>
        <v>0</v>
      </c>
      <c r="H2382" t="s">
        <v>123</v>
      </c>
      <c r="I2382" t="s">
        <v>182</v>
      </c>
      <c r="J2382">
        <v>1</v>
      </c>
      <c r="K2382">
        <v>12.3349397590361</v>
      </c>
    </row>
    <row r="2383" spans="1:11" x14ac:dyDescent="0.25">
      <c r="A2383" s="159" t="str">
        <f t="shared" si="112"/>
        <v>LB-Fairfield and Vacaville-Richmond and El Cerrito-Missing</v>
      </c>
      <c r="B2383">
        <v>26</v>
      </c>
      <c r="C2383" t="str">
        <f t="shared" si="113"/>
        <v>Fairfield and Vacaville</v>
      </c>
      <c r="D2383">
        <v>20</v>
      </c>
      <c r="E2383" t="str">
        <f t="shared" si="113"/>
        <v>Richmond and El Cerrito</v>
      </c>
      <c r="F2383" t="s">
        <v>327</v>
      </c>
      <c r="G2383">
        <f t="shared" si="111"/>
        <v>0</v>
      </c>
      <c r="H2383" t="s">
        <v>359</v>
      </c>
      <c r="I2383" t="s">
        <v>191</v>
      </c>
      <c r="J2383">
        <v>1</v>
      </c>
      <c r="K2383">
        <v>5.8333333333333304</v>
      </c>
    </row>
    <row r="2384" spans="1:11" x14ac:dyDescent="0.25">
      <c r="A2384" s="159" t="str">
        <f t="shared" si="112"/>
        <v>EB-Fairfield and Vacaville-Richmond and El Cerrito-Other maintenance</v>
      </c>
      <c r="B2384">
        <v>26</v>
      </c>
      <c r="C2384" t="str">
        <f t="shared" si="113"/>
        <v>Fairfield and Vacaville</v>
      </c>
      <c r="D2384">
        <v>20</v>
      </c>
      <c r="E2384" t="str">
        <f t="shared" si="113"/>
        <v>Richmond and El Cerrito</v>
      </c>
      <c r="F2384" t="s">
        <v>325</v>
      </c>
      <c r="G2384">
        <f t="shared" si="111"/>
        <v>4</v>
      </c>
      <c r="H2384" t="s">
        <v>123</v>
      </c>
      <c r="I2384" t="s">
        <v>182</v>
      </c>
      <c r="J2384">
        <v>2</v>
      </c>
      <c r="K2384">
        <v>24.6698795180722</v>
      </c>
    </row>
    <row r="2385" spans="1:11" x14ac:dyDescent="0.25">
      <c r="A2385" s="159" t="str">
        <f t="shared" si="112"/>
        <v>EB-Fairfield and Vacaville-Richmond and El Cerrito-Social recreation</v>
      </c>
      <c r="B2385">
        <v>26</v>
      </c>
      <c r="C2385" t="str">
        <f t="shared" si="113"/>
        <v>Fairfield and Vacaville</v>
      </c>
      <c r="D2385">
        <v>20</v>
      </c>
      <c r="E2385" t="str">
        <f t="shared" si="113"/>
        <v>Richmond and El Cerrito</v>
      </c>
      <c r="F2385" t="s">
        <v>324</v>
      </c>
      <c r="G2385">
        <f t="shared" si="111"/>
        <v>5</v>
      </c>
      <c r="H2385" t="s">
        <v>123</v>
      </c>
      <c r="I2385" t="s">
        <v>182</v>
      </c>
      <c r="J2385">
        <v>4</v>
      </c>
      <c r="K2385">
        <v>49.3397590361444</v>
      </c>
    </row>
    <row r="2386" spans="1:11" x14ac:dyDescent="0.25">
      <c r="A2386" s="159" t="str">
        <f t="shared" si="112"/>
        <v>EB-Fairfield and Vacaville-Richmond and El Cerrito-Work</v>
      </c>
      <c r="B2386">
        <v>26</v>
      </c>
      <c r="C2386" t="str">
        <f t="shared" si="113"/>
        <v>Fairfield and Vacaville</v>
      </c>
      <c r="D2386">
        <v>20</v>
      </c>
      <c r="E2386" t="str">
        <f t="shared" si="113"/>
        <v>Richmond and El Cerrito</v>
      </c>
      <c r="F2386" t="s">
        <v>30</v>
      </c>
      <c r="G2386">
        <f t="shared" si="111"/>
        <v>1</v>
      </c>
      <c r="H2386" t="s">
        <v>123</v>
      </c>
      <c r="I2386" t="s">
        <v>182</v>
      </c>
      <c r="J2386">
        <v>10</v>
      </c>
      <c r="K2386">
        <v>123.34939759036099</v>
      </c>
    </row>
    <row r="2387" spans="1:11" x14ac:dyDescent="0.25">
      <c r="A2387" s="159" t="str">
        <f t="shared" si="112"/>
        <v>LB-Fairfield and Vacaville-Concord and Martinez-Work</v>
      </c>
      <c r="B2387">
        <v>26</v>
      </c>
      <c r="C2387" t="str">
        <f t="shared" si="113"/>
        <v>Fairfield and Vacaville</v>
      </c>
      <c r="D2387">
        <v>21</v>
      </c>
      <c r="E2387" t="str">
        <f t="shared" si="113"/>
        <v>Concord and Martinez</v>
      </c>
      <c r="F2387" t="s">
        <v>30</v>
      </c>
      <c r="G2387">
        <f t="shared" si="111"/>
        <v>1</v>
      </c>
      <c r="H2387" t="s">
        <v>359</v>
      </c>
      <c r="I2387" t="s">
        <v>191</v>
      </c>
      <c r="J2387">
        <v>1</v>
      </c>
      <c r="K2387">
        <v>19.727984344422701</v>
      </c>
    </row>
    <row r="2388" spans="1:11" x14ac:dyDescent="0.25">
      <c r="A2388" s="159" t="str">
        <f t="shared" si="112"/>
        <v>EB-Fairfield and Vacaville-Walnut Creek-Missing</v>
      </c>
      <c r="B2388">
        <v>26</v>
      </c>
      <c r="C2388" t="str">
        <f t="shared" si="113"/>
        <v>Fairfield and Vacaville</v>
      </c>
      <c r="D2388">
        <v>22</v>
      </c>
      <c r="E2388" t="str">
        <f t="shared" si="113"/>
        <v>Walnut Creek</v>
      </c>
      <c r="F2388" t="s">
        <v>327</v>
      </c>
      <c r="G2388">
        <f t="shared" si="111"/>
        <v>0</v>
      </c>
      <c r="H2388" t="s">
        <v>123</v>
      </c>
      <c r="I2388" t="s">
        <v>182</v>
      </c>
      <c r="J2388">
        <v>1</v>
      </c>
      <c r="K2388">
        <v>12.3349397590361</v>
      </c>
    </row>
    <row r="2389" spans="1:11" x14ac:dyDescent="0.25">
      <c r="A2389" s="159" t="str">
        <f t="shared" si="112"/>
        <v>EB-Fairfield and Vacaville-Walnut Creek-Other maintenance</v>
      </c>
      <c r="B2389">
        <v>26</v>
      </c>
      <c r="C2389" t="str">
        <f t="shared" si="113"/>
        <v>Fairfield and Vacaville</v>
      </c>
      <c r="D2389">
        <v>22</v>
      </c>
      <c r="E2389" t="str">
        <f t="shared" si="113"/>
        <v>Walnut Creek</v>
      </c>
      <c r="F2389" t="s">
        <v>325</v>
      </c>
      <c r="G2389">
        <f t="shared" si="111"/>
        <v>4</v>
      </c>
      <c r="H2389" t="s">
        <v>123</v>
      </c>
      <c r="I2389" t="s">
        <v>182</v>
      </c>
      <c r="J2389">
        <v>1</v>
      </c>
      <c r="K2389">
        <v>12.3349397590361</v>
      </c>
    </row>
    <row r="2390" spans="1:11" x14ac:dyDescent="0.25">
      <c r="A2390" s="159" t="str">
        <f t="shared" si="112"/>
        <v>LB-Fairfield and Vacaville-Walnut Creek-Other maintenance</v>
      </c>
      <c r="B2390">
        <v>26</v>
      </c>
      <c r="C2390" t="str">
        <f t="shared" si="113"/>
        <v>Fairfield and Vacaville</v>
      </c>
      <c r="D2390">
        <v>22</v>
      </c>
      <c r="E2390" t="str">
        <f t="shared" si="113"/>
        <v>Walnut Creek</v>
      </c>
      <c r="F2390" t="s">
        <v>325</v>
      </c>
      <c r="G2390">
        <f t="shared" si="111"/>
        <v>4</v>
      </c>
      <c r="H2390" t="s">
        <v>359</v>
      </c>
      <c r="I2390" t="s">
        <v>191</v>
      </c>
      <c r="J2390">
        <v>1</v>
      </c>
      <c r="K2390">
        <v>19.727984344422701</v>
      </c>
    </row>
    <row r="2391" spans="1:11" x14ac:dyDescent="0.25">
      <c r="A2391" s="159" t="str">
        <f t="shared" si="112"/>
        <v>EB-Fairfield and Vacaville-Walnut Creek-Social recreation</v>
      </c>
      <c r="B2391">
        <v>26</v>
      </c>
      <c r="C2391" t="str">
        <f t="shared" si="113"/>
        <v>Fairfield and Vacaville</v>
      </c>
      <c r="D2391">
        <v>22</v>
      </c>
      <c r="E2391" t="str">
        <f t="shared" si="113"/>
        <v>Walnut Creek</v>
      </c>
      <c r="F2391" t="s">
        <v>324</v>
      </c>
      <c r="G2391">
        <f t="shared" si="111"/>
        <v>5</v>
      </c>
      <c r="H2391" t="s">
        <v>123</v>
      </c>
      <c r="I2391" t="s">
        <v>182</v>
      </c>
      <c r="J2391">
        <v>1</v>
      </c>
      <c r="K2391">
        <v>15.051282051282</v>
      </c>
    </row>
    <row r="2392" spans="1:11" x14ac:dyDescent="0.25">
      <c r="A2392" s="159" t="str">
        <f t="shared" si="112"/>
        <v>EB-Fairfield and Vacaville-Walnut Creek-Work</v>
      </c>
      <c r="B2392">
        <v>26</v>
      </c>
      <c r="C2392" t="str">
        <f t="shared" si="113"/>
        <v>Fairfield and Vacaville</v>
      </c>
      <c r="D2392">
        <v>22</v>
      </c>
      <c r="E2392" t="str">
        <f t="shared" si="113"/>
        <v>Walnut Creek</v>
      </c>
      <c r="F2392" t="s">
        <v>30</v>
      </c>
      <c r="G2392">
        <f t="shared" si="111"/>
        <v>1</v>
      </c>
      <c r="H2392" t="s">
        <v>123</v>
      </c>
      <c r="I2392" t="s">
        <v>182</v>
      </c>
      <c r="J2392">
        <v>4</v>
      </c>
      <c r="K2392">
        <v>49.3397590361444</v>
      </c>
    </row>
    <row r="2393" spans="1:11" x14ac:dyDescent="0.25">
      <c r="A2393" s="159" t="str">
        <f t="shared" si="112"/>
        <v>LB-Fairfield and Vacaville-Walnut Creek-Work</v>
      </c>
      <c r="B2393">
        <v>26</v>
      </c>
      <c r="C2393" t="str">
        <f t="shared" si="113"/>
        <v>Fairfield and Vacaville</v>
      </c>
      <c r="D2393">
        <v>22</v>
      </c>
      <c r="E2393" t="str">
        <f t="shared" si="113"/>
        <v>Walnut Creek</v>
      </c>
      <c r="F2393" t="s">
        <v>30</v>
      </c>
      <c r="G2393">
        <f t="shared" si="111"/>
        <v>1</v>
      </c>
      <c r="H2393" t="s">
        <v>359</v>
      </c>
      <c r="I2393" t="s">
        <v>191</v>
      </c>
      <c r="J2393">
        <v>1</v>
      </c>
      <c r="K2393">
        <v>4.83928571428571</v>
      </c>
    </row>
    <row r="2394" spans="1:11" x14ac:dyDescent="0.25">
      <c r="A2394" s="159" t="str">
        <f t="shared" si="112"/>
        <v>LB-Fairfield and Vacaville-Danville and San Ramon-Work</v>
      </c>
      <c r="B2394">
        <v>26</v>
      </c>
      <c r="C2394" t="str">
        <f t="shared" si="113"/>
        <v>Fairfield and Vacaville</v>
      </c>
      <c r="D2394">
        <v>23</v>
      </c>
      <c r="E2394" t="str">
        <f t="shared" si="113"/>
        <v>Danville and San Ramon</v>
      </c>
      <c r="F2394" t="s">
        <v>30</v>
      </c>
      <c r="G2394">
        <f t="shared" si="111"/>
        <v>1</v>
      </c>
      <c r="H2394" t="s">
        <v>359</v>
      </c>
      <c r="I2394" t="s">
        <v>191</v>
      </c>
      <c r="J2394">
        <v>1</v>
      </c>
      <c r="K2394">
        <v>19.727984344422701</v>
      </c>
    </row>
    <row r="2395" spans="1:11" x14ac:dyDescent="0.25">
      <c r="A2395" s="159" t="str">
        <f t="shared" si="112"/>
        <v>LB-Fairfield and Vacaville-Antioch and Pittsburg-Other maintenance</v>
      </c>
      <c r="B2395">
        <v>26</v>
      </c>
      <c r="C2395" t="str">
        <f t="shared" si="113"/>
        <v>Fairfield and Vacaville</v>
      </c>
      <c r="D2395">
        <v>24</v>
      </c>
      <c r="E2395" t="str">
        <f t="shared" si="113"/>
        <v>Antioch and Pittsburg</v>
      </c>
      <c r="F2395" t="s">
        <v>325</v>
      </c>
      <c r="G2395">
        <f t="shared" si="111"/>
        <v>4</v>
      </c>
      <c r="H2395" t="s">
        <v>359</v>
      </c>
      <c r="I2395" t="s">
        <v>191</v>
      </c>
      <c r="J2395">
        <v>1</v>
      </c>
      <c r="K2395">
        <v>14.4260563380282</v>
      </c>
    </row>
    <row r="2396" spans="1:11" x14ac:dyDescent="0.25">
      <c r="A2396" s="159" t="str">
        <f t="shared" si="112"/>
        <v>EB-Fairfield and Vacaville-Antioch and Pittsburg-Work</v>
      </c>
      <c r="B2396">
        <v>26</v>
      </c>
      <c r="C2396" t="str">
        <f t="shared" si="113"/>
        <v>Fairfield and Vacaville</v>
      </c>
      <c r="D2396">
        <v>24</v>
      </c>
      <c r="E2396" t="str">
        <f t="shared" si="113"/>
        <v>Antioch and Pittsburg</v>
      </c>
      <c r="F2396" t="s">
        <v>30</v>
      </c>
      <c r="G2396">
        <f t="shared" si="111"/>
        <v>1</v>
      </c>
      <c r="H2396" t="s">
        <v>123</v>
      </c>
      <c r="I2396" t="s">
        <v>182</v>
      </c>
      <c r="J2396">
        <v>1</v>
      </c>
      <c r="K2396">
        <v>15.051282051282</v>
      </c>
    </row>
    <row r="2397" spans="1:11" x14ac:dyDescent="0.25">
      <c r="A2397" s="159" t="str">
        <f t="shared" si="112"/>
        <v>EB-Fairfield and Vacaville-Vallejo and Benicia-High school</v>
      </c>
      <c r="B2397">
        <v>26</v>
      </c>
      <c r="C2397" t="str">
        <f t="shared" si="113"/>
        <v>Fairfield and Vacaville</v>
      </c>
      <c r="D2397">
        <v>25</v>
      </c>
      <c r="E2397" t="str">
        <f t="shared" si="113"/>
        <v>Vallejo and Benicia</v>
      </c>
      <c r="F2397" t="s">
        <v>326</v>
      </c>
      <c r="G2397">
        <f t="shared" si="111"/>
        <v>3</v>
      </c>
      <c r="H2397" t="s">
        <v>123</v>
      </c>
      <c r="I2397" t="s">
        <v>182</v>
      </c>
      <c r="J2397">
        <v>3</v>
      </c>
      <c r="K2397">
        <v>37.004819277108297</v>
      </c>
    </row>
    <row r="2398" spans="1:11" x14ac:dyDescent="0.25">
      <c r="A2398" s="159" t="str">
        <f t="shared" si="112"/>
        <v>LB-Fairfield and Vacaville-Vallejo and Benicia-High school</v>
      </c>
      <c r="B2398">
        <v>26</v>
      </c>
      <c r="C2398" t="str">
        <f t="shared" si="113"/>
        <v>Fairfield and Vacaville</v>
      </c>
      <c r="D2398">
        <v>25</v>
      </c>
      <c r="E2398" t="str">
        <f t="shared" si="113"/>
        <v>Vallejo and Benicia</v>
      </c>
      <c r="F2398" t="s">
        <v>326</v>
      </c>
      <c r="G2398">
        <f t="shared" si="111"/>
        <v>3</v>
      </c>
      <c r="H2398" t="s">
        <v>359</v>
      </c>
      <c r="I2398" t="s">
        <v>191</v>
      </c>
      <c r="J2398">
        <v>1</v>
      </c>
      <c r="K2398">
        <v>12.3349397590361</v>
      </c>
    </row>
    <row r="2399" spans="1:11" x14ac:dyDescent="0.25">
      <c r="A2399" s="159" t="str">
        <f t="shared" si="112"/>
        <v>EB-Fairfield and Vacaville-Vallejo and Benicia-Missing</v>
      </c>
      <c r="B2399">
        <v>26</v>
      </c>
      <c r="C2399" t="str">
        <f t="shared" si="113"/>
        <v>Fairfield and Vacaville</v>
      </c>
      <c r="D2399">
        <v>25</v>
      </c>
      <c r="E2399" t="str">
        <f t="shared" si="113"/>
        <v>Vallejo and Benicia</v>
      </c>
      <c r="F2399" t="s">
        <v>327</v>
      </c>
      <c r="G2399">
        <f t="shared" si="111"/>
        <v>0</v>
      </c>
      <c r="H2399" t="s">
        <v>123</v>
      </c>
      <c r="I2399" t="s">
        <v>182</v>
      </c>
      <c r="J2399">
        <v>2</v>
      </c>
      <c r="K2399">
        <v>24.6698795180722</v>
      </c>
    </row>
    <row r="2400" spans="1:11" x14ac:dyDescent="0.25">
      <c r="A2400" s="159" t="str">
        <f t="shared" si="112"/>
        <v>LB-Fairfield and Vacaville-Vallejo and Benicia-Missing</v>
      </c>
      <c r="B2400">
        <v>26</v>
      </c>
      <c r="C2400" t="str">
        <f t="shared" si="113"/>
        <v>Fairfield and Vacaville</v>
      </c>
      <c r="D2400">
        <v>25</v>
      </c>
      <c r="E2400" t="str">
        <f t="shared" si="113"/>
        <v>Vallejo and Benicia</v>
      </c>
      <c r="F2400" t="s">
        <v>327</v>
      </c>
      <c r="G2400">
        <f t="shared" si="111"/>
        <v>0</v>
      </c>
      <c r="H2400" t="s">
        <v>359</v>
      </c>
      <c r="I2400" t="s">
        <v>191</v>
      </c>
      <c r="J2400">
        <v>1</v>
      </c>
      <c r="K2400">
        <v>12.3349397590361</v>
      </c>
    </row>
    <row r="2401" spans="1:11" x14ac:dyDescent="0.25">
      <c r="A2401" s="159" t="str">
        <f t="shared" si="112"/>
        <v>EB-Fairfield and Vacaville-Vallejo and Benicia-Other maintenance</v>
      </c>
      <c r="B2401">
        <v>26</v>
      </c>
      <c r="C2401" t="str">
        <f t="shared" si="113"/>
        <v>Fairfield and Vacaville</v>
      </c>
      <c r="D2401">
        <v>25</v>
      </c>
      <c r="E2401" t="str">
        <f t="shared" si="113"/>
        <v>Vallejo and Benicia</v>
      </c>
      <c r="F2401" t="s">
        <v>325</v>
      </c>
      <c r="G2401">
        <f t="shared" si="111"/>
        <v>4</v>
      </c>
      <c r="H2401" t="s">
        <v>123</v>
      </c>
      <c r="I2401" t="s">
        <v>182</v>
      </c>
      <c r="J2401">
        <v>1</v>
      </c>
      <c r="K2401">
        <v>12.3349397590361</v>
      </c>
    </row>
    <row r="2402" spans="1:11" x14ac:dyDescent="0.25">
      <c r="A2402" s="159" t="str">
        <f t="shared" si="112"/>
        <v>EB-Fairfield and Vacaville-Vallejo and Benicia-Social recreation</v>
      </c>
      <c r="B2402">
        <v>26</v>
      </c>
      <c r="C2402" t="str">
        <f t="shared" si="113"/>
        <v>Fairfield and Vacaville</v>
      </c>
      <c r="D2402">
        <v>25</v>
      </c>
      <c r="E2402" t="str">
        <f t="shared" si="113"/>
        <v>Vallejo and Benicia</v>
      </c>
      <c r="F2402" t="s">
        <v>324</v>
      </c>
      <c r="G2402">
        <f t="shared" si="111"/>
        <v>5</v>
      </c>
      <c r="H2402" t="s">
        <v>123</v>
      </c>
      <c r="I2402" t="s">
        <v>182</v>
      </c>
      <c r="J2402">
        <v>3</v>
      </c>
      <c r="K2402">
        <v>37.004819277108297</v>
      </c>
    </row>
    <row r="2403" spans="1:11" x14ac:dyDescent="0.25">
      <c r="A2403" s="159" t="str">
        <f t="shared" si="112"/>
        <v>EB-Fairfield and Vacaville-Vallejo and Benicia-Work</v>
      </c>
      <c r="B2403">
        <v>26</v>
      </c>
      <c r="C2403" t="str">
        <f t="shared" si="113"/>
        <v>Fairfield and Vacaville</v>
      </c>
      <c r="D2403">
        <v>25</v>
      </c>
      <c r="E2403" t="str">
        <f t="shared" si="113"/>
        <v>Vallejo and Benicia</v>
      </c>
      <c r="F2403" t="s">
        <v>30</v>
      </c>
      <c r="G2403">
        <f t="shared" si="111"/>
        <v>1</v>
      </c>
      <c r="H2403" t="s">
        <v>123</v>
      </c>
      <c r="I2403" t="s">
        <v>182</v>
      </c>
      <c r="J2403">
        <v>8</v>
      </c>
      <c r="K2403">
        <v>98.679518072288801</v>
      </c>
    </row>
    <row r="2404" spans="1:11" x14ac:dyDescent="0.25">
      <c r="A2404" s="159" t="str">
        <f t="shared" si="112"/>
        <v>LB-Fairfield and Vacaville-Vallejo and Benicia-Work</v>
      </c>
      <c r="B2404">
        <v>26</v>
      </c>
      <c r="C2404" t="str">
        <f t="shared" si="113"/>
        <v>Fairfield and Vacaville</v>
      </c>
      <c r="D2404">
        <v>25</v>
      </c>
      <c r="E2404" t="str">
        <f t="shared" si="113"/>
        <v>Vallejo and Benicia</v>
      </c>
      <c r="F2404" t="s">
        <v>30</v>
      </c>
      <c r="G2404">
        <f t="shared" si="111"/>
        <v>1</v>
      </c>
      <c r="H2404" t="s">
        <v>359</v>
      </c>
      <c r="I2404" t="s">
        <v>191</v>
      </c>
      <c r="J2404">
        <v>2</v>
      </c>
      <c r="K2404">
        <v>10.672619047618999</v>
      </c>
    </row>
    <row r="2405" spans="1:11" x14ac:dyDescent="0.25">
      <c r="A2405" s="159" t="str">
        <f t="shared" si="112"/>
        <v>EB-Fairfield and Vacaville-Fairfield and Vacaville-High school</v>
      </c>
      <c r="B2405">
        <v>26</v>
      </c>
      <c r="C2405" t="str">
        <f t="shared" si="113"/>
        <v>Fairfield and Vacaville</v>
      </c>
      <c r="D2405">
        <v>26</v>
      </c>
      <c r="E2405" t="str">
        <f t="shared" si="113"/>
        <v>Fairfield and Vacaville</v>
      </c>
      <c r="F2405" t="s">
        <v>326</v>
      </c>
      <c r="G2405">
        <f t="shared" si="111"/>
        <v>3</v>
      </c>
      <c r="H2405" t="s">
        <v>123</v>
      </c>
      <c r="I2405" t="s">
        <v>182</v>
      </c>
      <c r="J2405">
        <v>4</v>
      </c>
      <c r="K2405">
        <v>49.3397590361444</v>
      </c>
    </row>
    <row r="2406" spans="1:11" x14ac:dyDescent="0.25">
      <c r="A2406" s="159" t="str">
        <f t="shared" si="112"/>
        <v>LB-Fairfield and Vacaville-Fairfield and Vacaville-High school</v>
      </c>
      <c r="B2406">
        <v>26</v>
      </c>
      <c r="C2406" t="str">
        <f t="shared" si="113"/>
        <v>Fairfield and Vacaville</v>
      </c>
      <c r="D2406">
        <v>26</v>
      </c>
      <c r="E2406" t="str">
        <f t="shared" si="113"/>
        <v>Fairfield and Vacaville</v>
      </c>
      <c r="F2406" t="s">
        <v>326</v>
      </c>
      <c r="G2406">
        <f t="shared" si="111"/>
        <v>3</v>
      </c>
      <c r="H2406" t="s">
        <v>359</v>
      </c>
      <c r="I2406" t="s">
        <v>191</v>
      </c>
      <c r="J2406">
        <v>116</v>
      </c>
      <c r="K2406">
        <v>638.93668831168702</v>
      </c>
    </row>
    <row r="2407" spans="1:11" x14ac:dyDescent="0.25">
      <c r="A2407" s="159" t="str">
        <f t="shared" si="112"/>
        <v>EB-Fairfield and Vacaville-Fairfield and Vacaville-Missing</v>
      </c>
      <c r="B2407">
        <v>26</v>
      </c>
      <c r="C2407" t="str">
        <f t="shared" si="113"/>
        <v>Fairfield and Vacaville</v>
      </c>
      <c r="D2407">
        <v>26</v>
      </c>
      <c r="E2407" t="str">
        <f t="shared" si="113"/>
        <v>Fairfield and Vacaville</v>
      </c>
      <c r="F2407" t="s">
        <v>327</v>
      </c>
      <c r="G2407">
        <f t="shared" si="111"/>
        <v>0</v>
      </c>
      <c r="H2407" t="s">
        <v>123</v>
      </c>
      <c r="I2407" t="s">
        <v>182</v>
      </c>
      <c r="J2407">
        <v>7</v>
      </c>
      <c r="K2407">
        <v>86.344578313252697</v>
      </c>
    </row>
    <row r="2408" spans="1:11" x14ac:dyDescent="0.25">
      <c r="A2408" s="159" t="str">
        <f t="shared" si="112"/>
        <v>LB-Fairfield and Vacaville-Fairfield and Vacaville-Missing</v>
      </c>
      <c r="B2408">
        <v>26</v>
      </c>
      <c r="C2408" t="str">
        <f t="shared" si="113"/>
        <v>Fairfield and Vacaville</v>
      </c>
      <c r="D2408">
        <v>26</v>
      </c>
      <c r="E2408" t="str">
        <f t="shared" si="113"/>
        <v>Fairfield and Vacaville</v>
      </c>
      <c r="F2408" t="s">
        <v>327</v>
      </c>
      <c r="G2408">
        <f t="shared" si="111"/>
        <v>0</v>
      </c>
      <c r="H2408" t="s">
        <v>359</v>
      </c>
      <c r="I2408" t="s">
        <v>191</v>
      </c>
      <c r="J2408">
        <v>37</v>
      </c>
      <c r="K2408">
        <v>206.42532467532399</v>
      </c>
    </row>
    <row r="2409" spans="1:11" x14ac:dyDescent="0.25">
      <c r="A2409" s="159" t="str">
        <f t="shared" si="112"/>
        <v>EB-Fairfield and Vacaville-Fairfield and Vacaville-Other maintenance</v>
      </c>
      <c r="B2409">
        <v>26</v>
      </c>
      <c r="C2409" t="str">
        <f t="shared" si="113"/>
        <v>Fairfield and Vacaville</v>
      </c>
      <c r="D2409">
        <v>26</v>
      </c>
      <c r="E2409" t="str">
        <f t="shared" si="113"/>
        <v>Fairfield and Vacaville</v>
      </c>
      <c r="F2409" t="s">
        <v>325</v>
      </c>
      <c r="G2409">
        <f t="shared" si="111"/>
        <v>4</v>
      </c>
      <c r="H2409" t="s">
        <v>123</v>
      </c>
      <c r="I2409" t="s">
        <v>182</v>
      </c>
      <c r="J2409">
        <v>4</v>
      </c>
      <c r="K2409">
        <v>54.772443620636103</v>
      </c>
    </row>
    <row r="2410" spans="1:11" x14ac:dyDescent="0.25">
      <c r="A2410" s="159" t="str">
        <f t="shared" si="112"/>
        <v>LB-Fairfield and Vacaville-Fairfield and Vacaville-Other maintenance</v>
      </c>
      <c r="B2410">
        <v>26</v>
      </c>
      <c r="C2410" t="str">
        <f t="shared" si="113"/>
        <v>Fairfield and Vacaville</v>
      </c>
      <c r="D2410">
        <v>26</v>
      </c>
      <c r="E2410" t="str">
        <f t="shared" si="113"/>
        <v>Fairfield and Vacaville</v>
      </c>
      <c r="F2410" t="s">
        <v>325</v>
      </c>
      <c r="G2410">
        <f t="shared" si="111"/>
        <v>4</v>
      </c>
      <c r="H2410" t="s">
        <v>359</v>
      </c>
      <c r="I2410" t="s">
        <v>191</v>
      </c>
      <c r="J2410">
        <v>33</v>
      </c>
      <c r="K2410">
        <v>236.83169300578899</v>
      </c>
    </row>
    <row r="2411" spans="1:11" x14ac:dyDescent="0.25">
      <c r="A2411" s="159" t="str">
        <f t="shared" si="112"/>
        <v>EB-Fairfield and Vacaville-Fairfield and Vacaville-Shopping</v>
      </c>
      <c r="B2411">
        <v>26</v>
      </c>
      <c r="C2411" t="str">
        <f t="shared" si="113"/>
        <v>Fairfield and Vacaville</v>
      </c>
      <c r="D2411">
        <v>26</v>
      </c>
      <c r="E2411" t="str">
        <f t="shared" si="113"/>
        <v>Fairfield and Vacaville</v>
      </c>
      <c r="F2411" t="s">
        <v>106</v>
      </c>
      <c r="G2411">
        <f t="shared" si="111"/>
        <v>4</v>
      </c>
      <c r="H2411" t="s">
        <v>123</v>
      </c>
      <c r="I2411" t="s">
        <v>182</v>
      </c>
      <c r="J2411">
        <v>1</v>
      </c>
      <c r="K2411">
        <v>15.051282051282</v>
      </c>
    </row>
    <row r="2412" spans="1:11" x14ac:dyDescent="0.25">
      <c r="A2412" s="159" t="str">
        <f t="shared" si="112"/>
        <v>LB-Fairfield and Vacaville-Fairfield and Vacaville-Shopping</v>
      </c>
      <c r="B2412">
        <v>26</v>
      </c>
      <c r="C2412" t="str">
        <f t="shared" si="113"/>
        <v>Fairfield and Vacaville</v>
      </c>
      <c r="D2412">
        <v>26</v>
      </c>
      <c r="E2412" t="str">
        <f t="shared" si="113"/>
        <v>Fairfield and Vacaville</v>
      </c>
      <c r="F2412" t="s">
        <v>106</v>
      </c>
      <c r="G2412">
        <f t="shared" si="111"/>
        <v>4</v>
      </c>
      <c r="H2412" t="s">
        <v>359</v>
      </c>
      <c r="I2412" t="s">
        <v>191</v>
      </c>
      <c r="J2412">
        <v>12</v>
      </c>
      <c r="K2412">
        <v>80.117424242424207</v>
      </c>
    </row>
    <row r="2413" spans="1:11" x14ac:dyDescent="0.25">
      <c r="A2413" s="159" t="str">
        <f t="shared" si="112"/>
        <v>EB-Fairfield and Vacaville-Fairfield and Vacaville-Social recreation</v>
      </c>
      <c r="B2413">
        <v>26</v>
      </c>
      <c r="C2413" t="str">
        <f t="shared" si="113"/>
        <v>Fairfield and Vacaville</v>
      </c>
      <c r="D2413">
        <v>26</v>
      </c>
      <c r="E2413" t="str">
        <f t="shared" si="113"/>
        <v>Fairfield and Vacaville</v>
      </c>
      <c r="F2413" t="s">
        <v>324</v>
      </c>
      <c r="G2413">
        <f t="shared" si="111"/>
        <v>5</v>
      </c>
      <c r="H2413" t="s">
        <v>123</v>
      </c>
      <c r="I2413" t="s">
        <v>182</v>
      </c>
      <c r="J2413">
        <v>2</v>
      </c>
      <c r="K2413">
        <v>27.386221810317998</v>
      </c>
    </row>
    <row r="2414" spans="1:11" x14ac:dyDescent="0.25">
      <c r="A2414" s="159" t="str">
        <f t="shared" si="112"/>
        <v>LB-Fairfield and Vacaville-Fairfield and Vacaville-Social recreation</v>
      </c>
      <c r="B2414">
        <v>26</v>
      </c>
      <c r="C2414" t="str">
        <f t="shared" si="113"/>
        <v>Fairfield and Vacaville</v>
      </c>
      <c r="D2414">
        <v>26</v>
      </c>
      <c r="E2414" t="str">
        <f t="shared" si="113"/>
        <v>Fairfield and Vacaville</v>
      </c>
      <c r="F2414" t="s">
        <v>324</v>
      </c>
      <c r="G2414">
        <f t="shared" si="111"/>
        <v>5</v>
      </c>
      <c r="H2414" t="s">
        <v>359</v>
      </c>
      <c r="I2414" t="s">
        <v>191</v>
      </c>
      <c r="J2414">
        <v>13</v>
      </c>
      <c r="K2414">
        <v>78.996212121212096</v>
      </c>
    </row>
    <row r="2415" spans="1:11" x14ac:dyDescent="0.25">
      <c r="A2415" s="159" t="str">
        <f t="shared" si="112"/>
        <v>EB-Fairfield and Vacaville-Fairfield and Vacaville-Work</v>
      </c>
      <c r="B2415">
        <v>26</v>
      </c>
      <c r="C2415" t="str">
        <f t="shared" si="113"/>
        <v>Fairfield and Vacaville</v>
      </c>
      <c r="D2415">
        <v>26</v>
      </c>
      <c r="E2415" t="str">
        <f t="shared" si="113"/>
        <v>Fairfield and Vacaville</v>
      </c>
      <c r="F2415" t="s">
        <v>30</v>
      </c>
      <c r="G2415">
        <f t="shared" si="111"/>
        <v>1</v>
      </c>
      <c r="H2415" t="s">
        <v>123</v>
      </c>
      <c r="I2415" t="s">
        <v>182</v>
      </c>
      <c r="J2415">
        <v>13</v>
      </c>
      <c r="K2415">
        <v>163.070559159715</v>
      </c>
    </row>
    <row r="2416" spans="1:11" x14ac:dyDescent="0.25">
      <c r="A2416" s="159" t="str">
        <f t="shared" si="112"/>
        <v>LB-Fairfield and Vacaville-Fairfield and Vacaville-Work</v>
      </c>
      <c r="B2416">
        <v>26</v>
      </c>
      <c r="C2416" t="str">
        <f t="shared" si="113"/>
        <v>Fairfield and Vacaville</v>
      </c>
      <c r="D2416">
        <v>26</v>
      </c>
      <c r="E2416" t="str">
        <f t="shared" si="113"/>
        <v>Fairfield and Vacaville</v>
      </c>
      <c r="F2416" t="s">
        <v>30</v>
      </c>
      <c r="G2416">
        <f t="shared" si="111"/>
        <v>1</v>
      </c>
      <c r="H2416" t="s">
        <v>359</v>
      </c>
      <c r="I2416" t="s">
        <v>191</v>
      </c>
      <c r="J2416">
        <v>49</v>
      </c>
      <c r="K2416">
        <v>318.81222943722901</v>
      </c>
    </row>
    <row r="2417" spans="1:11" x14ac:dyDescent="0.25">
      <c r="A2417" s="159" t="str">
        <f t="shared" si="112"/>
        <v>EB-Fairfield and Vacaville-Napa-Missing</v>
      </c>
      <c r="B2417">
        <v>26</v>
      </c>
      <c r="C2417" t="str">
        <f t="shared" si="113"/>
        <v>Fairfield and Vacaville</v>
      </c>
      <c r="D2417">
        <v>27</v>
      </c>
      <c r="E2417" t="str">
        <f t="shared" si="113"/>
        <v>Napa</v>
      </c>
      <c r="F2417" t="s">
        <v>327</v>
      </c>
      <c r="G2417">
        <f t="shared" si="111"/>
        <v>0</v>
      </c>
      <c r="H2417" t="s">
        <v>123</v>
      </c>
      <c r="I2417" t="s">
        <v>182</v>
      </c>
      <c r="J2417">
        <v>1</v>
      </c>
      <c r="K2417">
        <v>12.3349397590361</v>
      </c>
    </row>
    <row r="2418" spans="1:11" x14ac:dyDescent="0.25">
      <c r="A2418" s="159" t="str">
        <f t="shared" si="112"/>
        <v>LB-Fairfield and Vacaville-Napa-Work</v>
      </c>
      <c r="B2418">
        <v>26</v>
      </c>
      <c r="C2418" t="str">
        <f t="shared" si="113"/>
        <v>Fairfield and Vacaville</v>
      </c>
      <c r="D2418">
        <v>27</v>
      </c>
      <c r="E2418" t="str">
        <f t="shared" si="113"/>
        <v>Napa</v>
      </c>
      <c r="F2418" t="s">
        <v>30</v>
      </c>
      <c r="G2418">
        <f t="shared" si="111"/>
        <v>1</v>
      </c>
      <c r="H2418" t="s">
        <v>359</v>
      </c>
      <c r="I2418" t="s">
        <v>191</v>
      </c>
      <c r="J2418">
        <v>5</v>
      </c>
      <c r="K2418">
        <v>39.519676048858102</v>
      </c>
    </row>
    <row r="2419" spans="1:11" x14ac:dyDescent="0.25">
      <c r="A2419" s="159" t="str">
        <f t="shared" si="112"/>
        <v>LB-Fairfield and Vacaville-St Helena-Work</v>
      </c>
      <c r="B2419">
        <v>26</v>
      </c>
      <c r="C2419" t="str">
        <f t="shared" si="113"/>
        <v>Fairfield and Vacaville</v>
      </c>
      <c r="D2419">
        <v>28</v>
      </c>
      <c r="E2419" t="str">
        <f t="shared" si="113"/>
        <v>St Helena</v>
      </c>
      <c r="F2419" t="s">
        <v>30</v>
      </c>
      <c r="G2419">
        <f t="shared" si="111"/>
        <v>1</v>
      </c>
      <c r="H2419" t="s">
        <v>359</v>
      </c>
      <c r="I2419" t="s">
        <v>191</v>
      </c>
      <c r="J2419">
        <v>1</v>
      </c>
      <c r="K2419">
        <v>5.9851301115241604</v>
      </c>
    </row>
    <row r="2420" spans="1:11" x14ac:dyDescent="0.25">
      <c r="A2420" s="159" t="str">
        <f t="shared" si="112"/>
        <v>EB-Napa-Greater Downtown San Francisco-Missing</v>
      </c>
      <c r="B2420">
        <v>27</v>
      </c>
      <c r="C2420" t="str">
        <f t="shared" si="113"/>
        <v>Napa</v>
      </c>
      <c r="D2420">
        <v>1</v>
      </c>
      <c r="E2420" t="str">
        <f t="shared" si="113"/>
        <v>Greater Downtown San Francisco</v>
      </c>
      <c r="F2420" t="s">
        <v>327</v>
      </c>
      <c r="G2420">
        <f t="shared" si="111"/>
        <v>0</v>
      </c>
      <c r="H2420" t="s">
        <v>123</v>
      </c>
      <c r="I2420" t="s">
        <v>182</v>
      </c>
      <c r="J2420">
        <v>1</v>
      </c>
      <c r="K2420">
        <v>12.3349397590361</v>
      </c>
    </row>
    <row r="2421" spans="1:11" x14ac:dyDescent="0.25">
      <c r="A2421" s="159" t="str">
        <f t="shared" si="112"/>
        <v>FR-Napa-Greater Downtown San Francisco-Social recreation</v>
      </c>
      <c r="B2421">
        <v>27</v>
      </c>
      <c r="C2421" t="str">
        <f t="shared" si="113"/>
        <v>Napa</v>
      </c>
      <c r="D2421">
        <v>1</v>
      </c>
      <c r="E2421" t="str">
        <f t="shared" si="113"/>
        <v>Greater Downtown San Francisco</v>
      </c>
      <c r="F2421" t="s">
        <v>324</v>
      </c>
      <c r="G2421">
        <f t="shared" si="111"/>
        <v>5</v>
      </c>
      <c r="H2421" t="s">
        <v>360</v>
      </c>
      <c r="I2421" t="s">
        <v>185</v>
      </c>
      <c r="J2421">
        <v>1</v>
      </c>
      <c r="K2421">
        <v>16.498422712933699</v>
      </c>
    </row>
    <row r="2422" spans="1:11" x14ac:dyDescent="0.25">
      <c r="A2422" s="159" t="str">
        <f t="shared" si="112"/>
        <v>LB-Napa-Greater Downtown San Francisco-Work</v>
      </c>
      <c r="B2422">
        <v>27</v>
      </c>
      <c r="C2422" t="str">
        <f t="shared" si="113"/>
        <v>Napa</v>
      </c>
      <c r="D2422">
        <v>1</v>
      </c>
      <c r="E2422" t="str">
        <f t="shared" si="113"/>
        <v>Greater Downtown San Francisco</v>
      </c>
      <c r="F2422" t="s">
        <v>30</v>
      </c>
      <c r="G2422">
        <f t="shared" si="111"/>
        <v>1</v>
      </c>
      <c r="H2422" t="s">
        <v>359</v>
      </c>
      <c r="I2422" t="s">
        <v>191</v>
      </c>
      <c r="J2422">
        <v>3</v>
      </c>
      <c r="K2422">
        <v>28.695260223048301</v>
      </c>
    </row>
    <row r="2423" spans="1:11" x14ac:dyDescent="0.25">
      <c r="A2423" s="159" t="str">
        <f t="shared" si="112"/>
        <v>FR-Napa-San Francisco Richmond District-Other maintenance</v>
      </c>
      <c r="B2423">
        <v>27</v>
      </c>
      <c r="C2423" t="str">
        <f t="shared" si="113"/>
        <v>Napa</v>
      </c>
      <c r="D2423">
        <v>2</v>
      </c>
      <c r="E2423" t="str">
        <f t="shared" si="113"/>
        <v>San Francisco Richmond District</v>
      </c>
      <c r="F2423" t="s">
        <v>325</v>
      </c>
      <c r="G2423">
        <f t="shared" si="111"/>
        <v>4</v>
      </c>
      <c r="H2423" t="s">
        <v>360</v>
      </c>
      <c r="I2423" t="s">
        <v>185</v>
      </c>
      <c r="J2423">
        <v>1</v>
      </c>
      <c r="K2423">
        <v>11.719387755102</v>
      </c>
    </row>
    <row r="2424" spans="1:11" x14ac:dyDescent="0.25">
      <c r="A2424" s="159" t="str">
        <f t="shared" si="112"/>
        <v>FR-Napa-San Francisco Richmond District-Social recreation</v>
      </c>
      <c r="B2424">
        <v>27</v>
      </c>
      <c r="C2424" t="str">
        <f t="shared" si="113"/>
        <v>Napa</v>
      </c>
      <c r="D2424">
        <v>2</v>
      </c>
      <c r="E2424" t="str">
        <f t="shared" si="113"/>
        <v>San Francisco Richmond District</v>
      </c>
      <c r="F2424" t="s">
        <v>324</v>
      </c>
      <c r="G2424">
        <f t="shared" si="111"/>
        <v>5</v>
      </c>
      <c r="H2424" t="s">
        <v>360</v>
      </c>
      <c r="I2424" t="s">
        <v>185</v>
      </c>
      <c r="J2424">
        <v>2</v>
      </c>
      <c r="K2424">
        <v>32.996845425867399</v>
      </c>
    </row>
    <row r="2425" spans="1:11" x14ac:dyDescent="0.25">
      <c r="A2425" s="159" t="str">
        <f t="shared" si="112"/>
        <v>LB-Napa-San Francisco Richmond District-Work</v>
      </c>
      <c r="B2425">
        <v>27</v>
      </c>
      <c r="C2425" t="str">
        <f t="shared" si="113"/>
        <v>Napa</v>
      </c>
      <c r="D2425">
        <v>2</v>
      </c>
      <c r="E2425" t="str">
        <f t="shared" si="113"/>
        <v>San Francisco Richmond District</v>
      </c>
      <c r="F2425" t="s">
        <v>30</v>
      </c>
      <c r="G2425">
        <f t="shared" si="111"/>
        <v>1</v>
      </c>
      <c r="H2425" t="s">
        <v>359</v>
      </c>
      <c r="I2425" t="s">
        <v>191</v>
      </c>
      <c r="J2425">
        <v>1</v>
      </c>
      <c r="K2425">
        <v>5.9851301115241604</v>
      </c>
    </row>
    <row r="2426" spans="1:11" x14ac:dyDescent="0.25">
      <c r="A2426" s="159" t="str">
        <f t="shared" si="112"/>
        <v>FR-Napa-San Francisco Mission District-Social recreation</v>
      </c>
      <c r="B2426">
        <v>27</v>
      </c>
      <c r="C2426" t="str">
        <f t="shared" si="113"/>
        <v>Napa</v>
      </c>
      <c r="D2426">
        <v>3</v>
      </c>
      <c r="E2426" t="str">
        <f t="shared" si="113"/>
        <v>San Francisco Mission District</v>
      </c>
      <c r="F2426" t="s">
        <v>324</v>
      </c>
      <c r="G2426">
        <f t="shared" si="111"/>
        <v>5</v>
      </c>
      <c r="H2426" t="s">
        <v>360</v>
      </c>
      <c r="I2426" t="s">
        <v>185</v>
      </c>
      <c r="J2426">
        <v>1</v>
      </c>
      <c r="K2426">
        <v>16.498422712933699</v>
      </c>
    </row>
    <row r="2427" spans="1:11" x14ac:dyDescent="0.25">
      <c r="A2427" s="159" t="str">
        <f t="shared" si="112"/>
        <v>FR-Napa-San Francisco Mission District-Work</v>
      </c>
      <c r="B2427">
        <v>27</v>
      </c>
      <c r="C2427" t="str">
        <f t="shared" si="113"/>
        <v>Napa</v>
      </c>
      <c r="D2427">
        <v>3</v>
      </c>
      <c r="E2427" t="str">
        <f t="shared" si="113"/>
        <v>San Francisco Mission District</v>
      </c>
      <c r="F2427" t="s">
        <v>30</v>
      </c>
      <c r="G2427">
        <f t="shared" si="111"/>
        <v>1</v>
      </c>
      <c r="H2427" t="s">
        <v>360</v>
      </c>
      <c r="I2427" t="s">
        <v>185</v>
      </c>
      <c r="J2427">
        <v>3</v>
      </c>
      <c r="K2427">
        <v>44.716233180969397</v>
      </c>
    </row>
    <row r="2428" spans="1:11" x14ac:dyDescent="0.25">
      <c r="A2428" s="159" t="str">
        <f t="shared" si="112"/>
        <v>LB-Napa-San Francisco Mission District-Work</v>
      </c>
      <c r="B2428">
        <v>27</v>
      </c>
      <c r="C2428" t="str">
        <f t="shared" si="113"/>
        <v>Napa</v>
      </c>
      <c r="D2428">
        <v>3</v>
      </c>
      <c r="E2428" t="str">
        <f t="shared" si="113"/>
        <v>San Francisco Mission District</v>
      </c>
      <c r="F2428" t="s">
        <v>30</v>
      </c>
      <c r="G2428">
        <f t="shared" si="111"/>
        <v>1</v>
      </c>
      <c r="H2428" t="s">
        <v>359</v>
      </c>
      <c r="I2428" t="s">
        <v>191</v>
      </c>
      <c r="J2428">
        <v>1</v>
      </c>
      <c r="K2428">
        <v>5.9851301115241604</v>
      </c>
    </row>
    <row r="2429" spans="1:11" x14ac:dyDescent="0.25">
      <c r="A2429" s="159" t="str">
        <f t="shared" si="112"/>
        <v>LB-Napa-Redwood City and Menlo Park-Social recreation</v>
      </c>
      <c r="B2429">
        <v>27</v>
      </c>
      <c r="C2429" t="str">
        <f t="shared" si="113"/>
        <v>Napa</v>
      </c>
      <c r="D2429">
        <v>7</v>
      </c>
      <c r="E2429" t="str">
        <f t="shared" si="113"/>
        <v>Redwood City and Menlo Park</v>
      </c>
      <c r="F2429" t="s">
        <v>324</v>
      </c>
      <c r="G2429">
        <f t="shared" si="111"/>
        <v>5</v>
      </c>
      <c r="H2429" t="s">
        <v>359</v>
      </c>
      <c r="I2429" t="s">
        <v>191</v>
      </c>
      <c r="J2429">
        <v>1</v>
      </c>
      <c r="K2429">
        <v>5.9851301115241604</v>
      </c>
    </row>
    <row r="2430" spans="1:11" x14ac:dyDescent="0.25">
      <c r="A2430" s="159" t="str">
        <f t="shared" si="112"/>
        <v>EB-Napa-Sunnyvale and Mountain View-Work</v>
      </c>
      <c r="B2430">
        <v>27</v>
      </c>
      <c r="C2430" t="str">
        <f t="shared" si="113"/>
        <v>Napa</v>
      </c>
      <c r="D2430">
        <v>9</v>
      </c>
      <c r="E2430" t="str">
        <f t="shared" si="113"/>
        <v>Sunnyvale and Mountain View</v>
      </c>
      <c r="F2430" t="s">
        <v>30</v>
      </c>
      <c r="G2430">
        <f t="shared" si="111"/>
        <v>1</v>
      </c>
      <c r="H2430" t="s">
        <v>123</v>
      </c>
      <c r="I2430" t="s">
        <v>182</v>
      </c>
      <c r="J2430">
        <v>1</v>
      </c>
      <c r="K2430">
        <v>12.3349397590361</v>
      </c>
    </row>
    <row r="2431" spans="1:11" x14ac:dyDescent="0.25">
      <c r="A2431" s="159" t="str">
        <f t="shared" si="112"/>
        <v>HR-Napa-Oakland and Alameda-Work</v>
      </c>
      <c r="B2431">
        <v>27</v>
      </c>
      <c r="C2431" t="str">
        <f t="shared" si="113"/>
        <v>Napa</v>
      </c>
      <c r="D2431">
        <v>18</v>
      </c>
      <c r="E2431" t="str">
        <f t="shared" si="113"/>
        <v>Oakland and Alameda</v>
      </c>
      <c r="F2431" t="s">
        <v>30</v>
      </c>
      <c r="G2431">
        <f t="shared" si="111"/>
        <v>1</v>
      </c>
      <c r="H2431" t="s">
        <v>124</v>
      </c>
      <c r="I2431" t="s">
        <v>188</v>
      </c>
      <c r="J2431">
        <v>1</v>
      </c>
      <c r="K2431">
        <v>95.822099447513807</v>
      </c>
    </row>
    <row r="2432" spans="1:11" x14ac:dyDescent="0.25">
      <c r="A2432" s="159" t="str">
        <f t="shared" si="112"/>
        <v>LB-Napa-Oakland and Alameda-Work</v>
      </c>
      <c r="B2432">
        <v>27</v>
      </c>
      <c r="C2432" t="str">
        <f t="shared" si="113"/>
        <v>Napa</v>
      </c>
      <c r="D2432">
        <v>18</v>
      </c>
      <c r="E2432" t="str">
        <f t="shared" si="113"/>
        <v>Oakland and Alameda</v>
      </c>
      <c r="F2432" t="s">
        <v>30</v>
      </c>
      <c r="G2432">
        <f t="shared" si="111"/>
        <v>1</v>
      </c>
      <c r="H2432" t="s">
        <v>359</v>
      </c>
      <c r="I2432" t="s">
        <v>191</v>
      </c>
      <c r="J2432">
        <v>1</v>
      </c>
      <c r="K2432">
        <v>16.725000000000001</v>
      </c>
    </row>
    <row r="2433" spans="1:11" x14ac:dyDescent="0.25">
      <c r="A2433" s="159" t="str">
        <f t="shared" si="112"/>
        <v>LB-Napa-Berkeley and Albany-Work</v>
      </c>
      <c r="B2433">
        <v>27</v>
      </c>
      <c r="C2433" t="str">
        <f t="shared" si="113"/>
        <v>Napa</v>
      </c>
      <c r="D2433">
        <v>19</v>
      </c>
      <c r="E2433" t="str">
        <f t="shared" si="113"/>
        <v>Berkeley and Albany</v>
      </c>
      <c r="F2433" t="s">
        <v>30</v>
      </c>
      <c r="G2433">
        <f t="shared" si="111"/>
        <v>1</v>
      </c>
      <c r="H2433" t="s">
        <v>359</v>
      </c>
      <c r="I2433" t="s">
        <v>191</v>
      </c>
      <c r="J2433">
        <v>2</v>
      </c>
      <c r="K2433">
        <v>11.9702602230483</v>
      </c>
    </row>
    <row r="2434" spans="1:11" x14ac:dyDescent="0.25">
      <c r="A2434" s="159" t="str">
        <f t="shared" si="112"/>
        <v>LB-Napa-Richmond and El Cerrito-High school</v>
      </c>
      <c r="B2434">
        <v>27</v>
      </c>
      <c r="C2434" t="str">
        <f t="shared" si="113"/>
        <v>Napa</v>
      </c>
      <c r="D2434">
        <v>20</v>
      </c>
      <c r="E2434" t="str">
        <f t="shared" si="113"/>
        <v>Richmond and El Cerrito</v>
      </c>
      <c r="F2434" t="s">
        <v>326</v>
      </c>
      <c r="G2434">
        <f t="shared" ref="G2434:G2497" si="114">VLOOKUP(F2434,$V$2:$X$10, 3,FALSE)</f>
        <v>3</v>
      </c>
      <c r="H2434" t="s">
        <v>359</v>
      </c>
      <c r="I2434" t="s">
        <v>191</v>
      </c>
      <c r="J2434">
        <v>1</v>
      </c>
      <c r="K2434">
        <v>5.9851301115241604</v>
      </c>
    </row>
    <row r="2435" spans="1:11" x14ac:dyDescent="0.25">
      <c r="A2435" s="159" t="str">
        <f t="shared" ref="A2435:A2498" si="115" xml:space="preserve"> CONCATENATE(I2435,"-",C2435, "-",E2435, "-",F2435,)</f>
        <v>LB-Napa-Richmond and El Cerrito-Missing</v>
      </c>
      <c r="B2435">
        <v>27</v>
      </c>
      <c r="C2435" t="str">
        <f t="shared" ref="C2435:E2498" si="116">VLOOKUP(B2435,$S$2:$T$35,2,FALSE)</f>
        <v>Napa</v>
      </c>
      <c r="D2435">
        <v>20</v>
      </c>
      <c r="E2435" t="str">
        <f t="shared" si="116"/>
        <v>Richmond and El Cerrito</v>
      </c>
      <c r="F2435" t="s">
        <v>327</v>
      </c>
      <c r="G2435">
        <f t="shared" si="114"/>
        <v>0</v>
      </c>
      <c r="H2435" t="s">
        <v>359</v>
      </c>
      <c r="I2435" t="s">
        <v>191</v>
      </c>
      <c r="J2435">
        <v>1</v>
      </c>
      <c r="K2435">
        <v>5.9851301115241604</v>
      </c>
    </row>
    <row r="2436" spans="1:11" x14ac:dyDescent="0.25">
      <c r="A2436" s="159" t="str">
        <f t="shared" si="115"/>
        <v>LB-Napa-Richmond and El Cerrito-Other maintenance</v>
      </c>
      <c r="B2436">
        <v>27</v>
      </c>
      <c r="C2436" t="str">
        <f t="shared" si="116"/>
        <v>Napa</v>
      </c>
      <c r="D2436">
        <v>20</v>
      </c>
      <c r="E2436" t="str">
        <f t="shared" si="116"/>
        <v>Richmond and El Cerrito</v>
      </c>
      <c r="F2436" t="s">
        <v>325</v>
      </c>
      <c r="G2436">
        <f t="shared" si="114"/>
        <v>4</v>
      </c>
      <c r="H2436" t="s">
        <v>359</v>
      </c>
      <c r="I2436" t="s">
        <v>191</v>
      </c>
      <c r="J2436">
        <v>1</v>
      </c>
      <c r="K2436">
        <v>5.9851301115241604</v>
      </c>
    </row>
    <row r="2437" spans="1:11" x14ac:dyDescent="0.25">
      <c r="A2437" s="159" t="str">
        <f t="shared" si="115"/>
        <v>LB-Napa-Richmond and El Cerrito-Social recreation</v>
      </c>
      <c r="B2437">
        <v>27</v>
      </c>
      <c r="C2437" t="str">
        <f t="shared" si="116"/>
        <v>Napa</v>
      </c>
      <c r="D2437">
        <v>20</v>
      </c>
      <c r="E2437" t="str">
        <f t="shared" si="116"/>
        <v>Richmond and El Cerrito</v>
      </c>
      <c r="F2437" t="s">
        <v>324</v>
      </c>
      <c r="G2437">
        <f t="shared" si="114"/>
        <v>5</v>
      </c>
      <c r="H2437" t="s">
        <v>359</v>
      </c>
      <c r="I2437" t="s">
        <v>191</v>
      </c>
      <c r="J2437">
        <v>1</v>
      </c>
      <c r="K2437">
        <v>5.9851301115241604</v>
      </c>
    </row>
    <row r="2438" spans="1:11" x14ac:dyDescent="0.25">
      <c r="A2438" s="159" t="str">
        <f t="shared" si="115"/>
        <v>LB-Napa-Richmond and El Cerrito-Work</v>
      </c>
      <c r="B2438">
        <v>27</v>
      </c>
      <c r="C2438" t="str">
        <f t="shared" si="116"/>
        <v>Napa</v>
      </c>
      <c r="D2438">
        <v>20</v>
      </c>
      <c r="E2438" t="str">
        <f t="shared" si="116"/>
        <v>Richmond and El Cerrito</v>
      </c>
      <c r="F2438" t="s">
        <v>30</v>
      </c>
      <c r="G2438">
        <f t="shared" si="114"/>
        <v>1</v>
      </c>
      <c r="H2438" t="s">
        <v>359</v>
      </c>
      <c r="I2438" t="s">
        <v>191</v>
      </c>
      <c r="J2438">
        <v>6</v>
      </c>
      <c r="K2438">
        <v>35.910780669144899</v>
      </c>
    </row>
    <row r="2439" spans="1:11" x14ac:dyDescent="0.25">
      <c r="A2439" s="159" t="str">
        <f t="shared" si="115"/>
        <v>LB-Napa-Vallejo and Benicia-High school</v>
      </c>
      <c r="B2439">
        <v>27</v>
      </c>
      <c r="C2439" t="str">
        <f t="shared" si="116"/>
        <v>Napa</v>
      </c>
      <c r="D2439">
        <v>25</v>
      </c>
      <c r="E2439" t="str">
        <f t="shared" si="116"/>
        <v>Vallejo and Benicia</v>
      </c>
      <c r="F2439" t="s">
        <v>326</v>
      </c>
      <c r="G2439">
        <f t="shared" si="114"/>
        <v>3</v>
      </c>
      <c r="H2439" t="s">
        <v>359</v>
      </c>
      <c r="I2439" t="s">
        <v>191</v>
      </c>
      <c r="J2439">
        <v>1</v>
      </c>
      <c r="K2439">
        <v>5.9851301115241604</v>
      </c>
    </row>
    <row r="2440" spans="1:11" x14ac:dyDescent="0.25">
      <c r="A2440" s="159" t="str">
        <f t="shared" si="115"/>
        <v>LB-Napa-Vallejo and Benicia-Missing</v>
      </c>
      <c r="B2440">
        <v>27</v>
      </c>
      <c r="C2440" t="str">
        <f t="shared" si="116"/>
        <v>Napa</v>
      </c>
      <c r="D2440">
        <v>25</v>
      </c>
      <c r="E2440" t="str">
        <f t="shared" si="116"/>
        <v>Vallejo and Benicia</v>
      </c>
      <c r="F2440" t="s">
        <v>327</v>
      </c>
      <c r="G2440">
        <f t="shared" si="114"/>
        <v>0</v>
      </c>
      <c r="H2440" t="s">
        <v>359</v>
      </c>
      <c r="I2440" t="s">
        <v>191</v>
      </c>
      <c r="J2440">
        <v>1</v>
      </c>
      <c r="K2440">
        <v>16.725000000000001</v>
      </c>
    </row>
    <row r="2441" spans="1:11" x14ac:dyDescent="0.25">
      <c r="A2441" s="159" t="str">
        <f t="shared" si="115"/>
        <v>LB-Napa-Vallejo and Benicia-Other maintenance</v>
      </c>
      <c r="B2441">
        <v>27</v>
      </c>
      <c r="C2441" t="str">
        <f t="shared" si="116"/>
        <v>Napa</v>
      </c>
      <c r="D2441">
        <v>25</v>
      </c>
      <c r="E2441" t="str">
        <f t="shared" si="116"/>
        <v>Vallejo and Benicia</v>
      </c>
      <c r="F2441" t="s">
        <v>325</v>
      </c>
      <c r="G2441">
        <f t="shared" si="114"/>
        <v>4</v>
      </c>
      <c r="H2441" t="s">
        <v>359</v>
      </c>
      <c r="I2441" t="s">
        <v>191</v>
      </c>
      <c r="J2441">
        <v>1</v>
      </c>
      <c r="K2441">
        <v>16.725000000000001</v>
      </c>
    </row>
    <row r="2442" spans="1:11" x14ac:dyDescent="0.25">
      <c r="A2442" s="159" t="str">
        <f t="shared" si="115"/>
        <v>LB-Napa-Vallejo and Benicia-Shopping</v>
      </c>
      <c r="B2442">
        <v>27</v>
      </c>
      <c r="C2442" t="str">
        <f t="shared" si="116"/>
        <v>Napa</v>
      </c>
      <c r="D2442">
        <v>25</v>
      </c>
      <c r="E2442" t="str">
        <f t="shared" si="116"/>
        <v>Vallejo and Benicia</v>
      </c>
      <c r="F2442" t="s">
        <v>106</v>
      </c>
      <c r="G2442">
        <f t="shared" si="114"/>
        <v>4</v>
      </c>
      <c r="H2442" t="s">
        <v>359</v>
      </c>
      <c r="I2442" t="s">
        <v>191</v>
      </c>
      <c r="J2442">
        <v>3</v>
      </c>
      <c r="K2442">
        <v>39.435130111524103</v>
      </c>
    </row>
    <row r="2443" spans="1:11" x14ac:dyDescent="0.25">
      <c r="A2443" s="159" t="str">
        <f t="shared" si="115"/>
        <v>LB-Napa-Vallejo and Benicia-Social recreation</v>
      </c>
      <c r="B2443">
        <v>27</v>
      </c>
      <c r="C2443" t="str">
        <f t="shared" si="116"/>
        <v>Napa</v>
      </c>
      <c r="D2443">
        <v>25</v>
      </c>
      <c r="E2443" t="str">
        <f t="shared" si="116"/>
        <v>Vallejo and Benicia</v>
      </c>
      <c r="F2443" t="s">
        <v>324</v>
      </c>
      <c r="G2443">
        <f t="shared" si="114"/>
        <v>5</v>
      </c>
      <c r="H2443" t="s">
        <v>359</v>
      </c>
      <c r="I2443" t="s">
        <v>191</v>
      </c>
      <c r="J2443">
        <v>2</v>
      </c>
      <c r="K2443">
        <v>11.9702602230483</v>
      </c>
    </row>
    <row r="2444" spans="1:11" x14ac:dyDescent="0.25">
      <c r="A2444" s="159" t="str">
        <f t="shared" si="115"/>
        <v>LB-Napa-Vallejo and Benicia-Work</v>
      </c>
      <c r="B2444">
        <v>27</v>
      </c>
      <c r="C2444" t="str">
        <f t="shared" si="116"/>
        <v>Napa</v>
      </c>
      <c r="D2444">
        <v>25</v>
      </c>
      <c r="E2444" t="str">
        <f t="shared" si="116"/>
        <v>Vallejo and Benicia</v>
      </c>
      <c r="F2444" t="s">
        <v>30</v>
      </c>
      <c r="G2444">
        <f t="shared" si="114"/>
        <v>1</v>
      </c>
      <c r="H2444" t="s">
        <v>359</v>
      </c>
      <c r="I2444" t="s">
        <v>191</v>
      </c>
      <c r="J2444">
        <v>11</v>
      </c>
      <c r="K2444">
        <v>130.27565055762</v>
      </c>
    </row>
    <row r="2445" spans="1:11" x14ac:dyDescent="0.25">
      <c r="A2445" s="159" t="str">
        <f t="shared" si="115"/>
        <v>LB-Napa-Fairfield and Vacaville-High school</v>
      </c>
      <c r="B2445">
        <v>27</v>
      </c>
      <c r="C2445" t="str">
        <f t="shared" si="116"/>
        <v>Napa</v>
      </c>
      <c r="D2445">
        <v>26</v>
      </c>
      <c r="E2445" t="str">
        <f t="shared" si="116"/>
        <v>Fairfield and Vacaville</v>
      </c>
      <c r="F2445" t="s">
        <v>326</v>
      </c>
      <c r="G2445">
        <f t="shared" si="114"/>
        <v>3</v>
      </c>
      <c r="H2445" t="s">
        <v>359</v>
      </c>
      <c r="I2445" t="s">
        <v>191</v>
      </c>
      <c r="J2445">
        <v>1</v>
      </c>
      <c r="K2445">
        <v>5.9851301115241604</v>
      </c>
    </row>
    <row r="2446" spans="1:11" x14ac:dyDescent="0.25">
      <c r="A2446" s="159" t="str">
        <f t="shared" si="115"/>
        <v>LB-Napa-Fairfield and Vacaville-Missing</v>
      </c>
      <c r="B2446">
        <v>27</v>
      </c>
      <c r="C2446" t="str">
        <f t="shared" si="116"/>
        <v>Napa</v>
      </c>
      <c r="D2446">
        <v>26</v>
      </c>
      <c r="E2446" t="str">
        <f t="shared" si="116"/>
        <v>Fairfield and Vacaville</v>
      </c>
      <c r="F2446" t="s">
        <v>327</v>
      </c>
      <c r="G2446">
        <f t="shared" si="114"/>
        <v>0</v>
      </c>
      <c r="H2446" t="s">
        <v>359</v>
      </c>
      <c r="I2446" t="s">
        <v>191</v>
      </c>
      <c r="J2446">
        <v>1</v>
      </c>
      <c r="K2446">
        <v>5.9851301115241604</v>
      </c>
    </row>
    <row r="2447" spans="1:11" x14ac:dyDescent="0.25">
      <c r="A2447" s="159" t="str">
        <f t="shared" si="115"/>
        <v>LB-Napa-Fairfield and Vacaville-Work</v>
      </c>
      <c r="B2447">
        <v>27</v>
      </c>
      <c r="C2447" t="str">
        <f t="shared" si="116"/>
        <v>Napa</v>
      </c>
      <c r="D2447">
        <v>26</v>
      </c>
      <c r="E2447" t="str">
        <f t="shared" si="116"/>
        <v>Fairfield and Vacaville</v>
      </c>
      <c r="F2447" t="s">
        <v>30</v>
      </c>
      <c r="G2447">
        <f t="shared" si="114"/>
        <v>1</v>
      </c>
      <c r="H2447" t="s">
        <v>359</v>
      </c>
      <c r="I2447" t="s">
        <v>191</v>
      </c>
      <c r="J2447">
        <v>1</v>
      </c>
      <c r="K2447">
        <v>5.9851301115241604</v>
      </c>
    </row>
    <row r="2448" spans="1:11" x14ac:dyDescent="0.25">
      <c r="A2448" s="159" t="str">
        <f t="shared" si="115"/>
        <v>LB-Napa-Napa-High school</v>
      </c>
      <c r="B2448">
        <v>27</v>
      </c>
      <c r="C2448" t="str">
        <f t="shared" si="116"/>
        <v>Napa</v>
      </c>
      <c r="D2448">
        <v>27</v>
      </c>
      <c r="E2448" t="str">
        <f t="shared" si="116"/>
        <v>Napa</v>
      </c>
      <c r="F2448" t="s">
        <v>326</v>
      </c>
      <c r="G2448">
        <f t="shared" si="114"/>
        <v>3</v>
      </c>
      <c r="H2448" t="s">
        <v>359</v>
      </c>
      <c r="I2448" t="s">
        <v>191</v>
      </c>
      <c r="J2448">
        <v>25</v>
      </c>
      <c r="K2448">
        <v>149.62825278810399</v>
      </c>
    </row>
    <row r="2449" spans="1:11" x14ac:dyDescent="0.25">
      <c r="A2449" s="159" t="str">
        <f t="shared" si="115"/>
        <v>FR-Napa-Napa-Missing</v>
      </c>
      <c r="B2449">
        <v>27</v>
      </c>
      <c r="C2449" t="str">
        <f t="shared" si="116"/>
        <v>Napa</v>
      </c>
      <c r="D2449">
        <v>27</v>
      </c>
      <c r="E2449" t="str">
        <f t="shared" si="116"/>
        <v>Napa</v>
      </c>
      <c r="F2449" t="s">
        <v>327</v>
      </c>
      <c r="G2449">
        <f t="shared" si="114"/>
        <v>0</v>
      </c>
      <c r="H2449" t="s">
        <v>360</v>
      </c>
      <c r="I2449" t="s">
        <v>185</v>
      </c>
      <c r="J2449">
        <v>1</v>
      </c>
      <c r="K2449">
        <v>16.498422712933699</v>
      </c>
    </row>
    <row r="2450" spans="1:11" x14ac:dyDescent="0.25">
      <c r="A2450" s="159" t="str">
        <f t="shared" si="115"/>
        <v>LB-Napa-Napa-Missing</v>
      </c>
      <c r="B2450">
        <v>27</v>
      </c>
      <c r="C2450" t="str">
        <f t="shared" si="116"/>
        <v>Napa</v>
      </c>
      <c r="D2450">
        <v>27</v>
      </c>
      <c r="E2450" t="str">
        <f t="shared" si="116"/>
        <v>Napa</v>
      </c>
      <c r="F2450" t="s">
        <v>327</v>
      </c>
      <c r="G2450">
        <f t="shared" si="114"/>
        <v>0</v>
      </c>
      <c r="H2450" t="s">
        <v>359</v>
      </c>
      <c r="I2450" t="s">
        <v>191</v>
      </c>
      <c r="J2450">
        <v>18</v>
      </c>
      <c r="K2450">
        <v>118.47221189590999</v>
      </c>
    </row>
    <row r="2451" spans="1:11" x14ac:dyDescent="0.25">
      <c r="A2451" s="159" t="str">
        <f t="shared" si="115"/>
        <v>LB-Napa-Napa-Other maintenance</v>
      </c>
      <c r="B2451">
        <v>27</v>
      </c>
      <c r="C2451" t="str">
        <f t="shared" si="116"/>
        <v>Napa</v>
      </c>
      <c r="D2451">
        <v>27</v>
      </c>
      <c r="E2451" t="str">
        <f t="shared" si="116"/>
        <v>Napa</v>
      </c>
      <c r="F2451" t="s">
        <v>325</v>
      </c>
      <c r="G2451">
        <f t="shared" si="114"/>
        <v>4</v>
      </c>
      <c r="H2451" t="s">
        <v>359</v>
      </c>
      <c r="I2451" t="s">
        <v>191</v>
      </c>
      <c r="J2451">
        <v>18</v>
      </c>
      <c r="K2451">
        <v>118.47221189590999</v>
      </c>
    </row>
    <row r="2452" spans="1:11" x14ac:dyDescent="0.25">
      <c r="A2452" s="159" t="str">
        <f t="shared" si="115"/>
        <v>FR-Napa-Napa-Shopping</v>
      </c>
      <c r="B2452">
        <v>27</v>
      </c>
      <c r="C2452" t="str">
        <f t="shared" si="116"/>
        <v>Napa</v>
      </c>
      <c r="D2452">
        <v>27</v>
      </c>
      <c r="E2452" t="str">
        <f t="shared" si="116"/>
        <v>Napa</v>
      </c>
      <c r="F2452" t="s">
        <v>106</v>
      </c>
      <c r="G2452">
        <f t="shared" si="114"/>
        <v>4</v>
      </c>
      <c r="H2452" t="s">
        <v>360</v>
      </c>
      <c r="I2452" t="s">
        <v>185</v>
      </c>
      <c r="J2452">
        <v>1</v>
      </c>
      <c r="K2452">
        <v>11.719387755102</v>
      </c>
    </row>
    <row r="2453" spans="1:11" x14ac:dyDescent="0.25">
      <c r="A2453" s="159" t="str">
        <f t="shared" si="115"/>
        <v>LB-Napa-Napa-Shopping</v>
      </c>
      <c r="B2453">
        <v>27</v>
      </c>
      <c r="C2453" t="str">
        <f t="shared" si="116"/>
        <v>Napa</v>
      </c>
      <c r="D2453">
        <v>27</v>
      </c>
      <c r="E2453" t="str">
        <f t="shared" si="116"/>
        <v>Napa</v>
      </c>
      <c r="F2453" t="s">
        <v>106</v>
      </c>
      <c r="G2453">
        <f t="shared" si="114"/>
        <v>4</v>
      </c>
      <c r="H2453" t="s">
        <v>359</v>
      </c>
      <c r="I2453" t="s">
        <v>191</v>
      </c>
      <c r="J2453">
        <v>13</v>
      </c>
      <c r="K2453">
        <v>88.546561338289905</v>
      </c>
    </row>
    <row r="2454" spans="1:11" x14ac:dyDescent="0.25">
      <c r="A2454" s="159" t="str">
        <f t="shared" si="115"/>
        <v>LB-Napa-Napa-Social recreation</v>
      </c>
      <c r="B2454">
        <v>27</v>
      </c>
      <c r="C2454" t="str">
        <f t="shared" si="116"/>
        <v>Napa</v>
      </c>
      <c r="D2454">
        <v>27</v>
      </c>
      <c r="E2454" t="str">
        <f t="shared" si="116"/>
        <v>Napa</v>
      </c>
      <c r="F2454" t="s">
        <v>324</v>
      </c>
      <c r="G2454">
        <f t="shared" si="114"/>
        <v>5</v>
      </c>
      <c r="H2454" t="s">
        <v>359</v>
      </c>
      <c r="I2454" t="s">
        <v>191</v>
      </c>
      <c r="J2454">
        <v>3</v>
      </c>
      <c r="K2454">
        <v>17.9553903345724</v>
      </c>
    </row>
    <row r="2455" spans="1:11" x14ac:dyDescent="0.25">
      <c r="A2455" s="159" t="str">
        <f t="shared" si="115"/>
        <v>LB-Napa-Napa-Work</v>
      </c>
      <c r="B2455">
        <v>27</v>
      </c>
      <c r="C2455" t="str">
        <f t="shared" si="116"/>
        <v>Napa</v>
      </c>
      <c r="D2455">
        <v>27</v>
      </c>
      <c r="E2455" t="str">
        <f t="shared" si="116"/>
        <v>Napa</v>
      </c>
      <c r="F2455" t="s">
        <v>30</v>
      </c>
      <c r="G2455">
        <f t="shared" si="114"/>
        <v>1</v>
      </c>
      <c r="H2455" t="s">
        <v>359</v>
      </c>
      <c r="I2455" t="s">
        <v>191</v>
      </c>
      <c r="J2455">
        <v>27</v>
      </c>
      <c r="K2455">
        <v>204.557992565055</v>
      </c>
    </row>
    <row r="2456" spans="1:11" x14ac:dyDescent="0.25">
      <c r="A2456" s="159" t="str">
        <f t="shared" si="115"/>
        <v>LB-Napa-St Helena-Missing</v>
      </c>
      <c r="B2456">
        <v>27</v>
      </c>
      <c r="C2456" t="str">
        <f t="shared" si="116"/>
        <v>Napa</v>
      </c>
      <c r="D2456">
        <v>28</v>
      </c>
      <c r="E2456" t="str">
        <f t="shared" si="116"/>
        <v>St Helena</v>
      </c>
      <c r="F2456" t="s">
        <v>327</v>
      </c>
      <c r="G2456">
        <f t="shared" si="114"/>
        <v>0</v>
      </c>
      <c r="H2456" t="s">
        <v>359</v>
      </c>
      <c r="I2456" t="s">
        <v>191</v>
      </c>
      <c r="J2456">
        <v>2</v>
      </c>
      <c r="K2456">
        <v>11.9702602230483</v>
      </c>
    </row>
    <row r="2457" spans="1:11" x14ac:dyDescent="0.25">
      <c r="A2457" s="159" t="str">
        <f t="shared" si="115"/>
        <v>LB-Napa-St Helena-Other maintenance</v>
      </c>
      <c r="B2457">
        <v>27</v>
      </c>
      <c r="C2457" t="str">
        <f t="shared" si="116"/>
        <v>Napa</v>
      </c>
      <c r="D2457">
        <v>28</v>
      </c>
      <c r="E2457" t="str">
        <f t="shared" si="116"/>
        <v>St Helena</v>
      </c>
      <c r="F2457" t="s">
        <v>325</v>
      </c>
      <c r="G2457">
        <f t="shared" si="114"/>
        <v>4</v>
      </c>
      <c r="H2457" t="s">
        <v>359</v>
      </c>
      <c r="I2457" t="s">
        <v>191</v>
      </c>
      <c r="J2457">
        <v>1</v>
      </c>
      <c r="K2457">
        <v>5.9851301115241604</v>
      </c>
    </row>
    <row r="2458" spans="1:11" x14ac:dyDescent="0.25">
      <c r="A2458" s="159" t="str">
        <f t="shared" si="115"/>
        <v>LB-Napa-St Helena-Social recreation</v>
      </c>
      <c r="B2458">
        <v>27</v>
      </c>
      <c r="C2458" t="str">
        <f t="shared" si="116"/>
        <v>Napa</v>
      </c>
      <c r="D2458">
        <v>28</v>
      </c>
      <c r="E2458" t="str">
        <f t="shared" si="116"/>
        <v>St Helena</v>
      </c>
      <c r="F2458" t="s">
        <v>324</v>
      </c>
      <c r="G2458">
        <f t="shared" si="114"/>
        <v>5</v>
      </c>
      <c r="H2458" t="s">
        <v>359</v>
      </c>
      <c r="I2458" t="s">
        <v>191</v>
      </c>
      <c r="J2458">
        <v>2</v>
      </c>
      <c r="K2458">
        <v>11.9702602230483</v>
      </c>
    </row>
    <row r="2459" spans="1:11" x14ac:dyDescent="0.25">
      <c r="A2459" s="159" t="str">
        <f t="shared" si="115"/>
        <v>LB-Napa-St Helena-Work</v>
      </c>
      <c r="B2459">
        <v>27</v>
      </c>
      <c r="C2459" t="str">
        <f t="shared" si="116"/>
        <v>Napa</v>
      </c>
      <c r="D2459">
        <v>28</v>
      </c>
      <c r="E2459" t="str">
        <f t="shared" si="116"/>
        <v>St Helena</v>
      </c>
      <c r="F2459" t="s">
        <v>30</v>
      </c>
      <c r="G2459">
        <f t="shared" si="114"/>
        <v>1</v>
      </c>
      <c r="H2459" t="s">
        <v>359</v>
      </c>
      <c r="I2459" t="s">
        <v>191</v>
      </c>
      <c r="J2459">
        <v>8</v>
      </c>
      <c r="K2459">
        <v>69.360780669144901</v>
      </c>
    </row>
    <row r="2460" spans="1:11" x14ac:dyDescent="0.25">
      <c r="A2460" s="159" t="str">
        <f t="shared" si="115"/>
        <v>LB-Napa-Santa Rosa and Sebastopol-Missing</v>
      </c>
      <c r="B2460">
        <v>27</v>
      </c>
      <c r="C2460" t="str">
        <f t="shared" si="116"/>
        <v>Napa</v>
      </c>
      <c r="D2460">
        <v>30</v>
      </c>
      <c r="E2460" t="str">
        <f t="shared" si="116"/>
        <v>Santa Rosa and Sebastopol</v>
      </c>
      <c r="F2460" t="s">
        <v>327</v>
      </c>
      <c r="G2460">
        <f t="shared" si="114"/>
        <v>0</v>
      </c>
      <c r="H2460" t="s">
        <v>359</v>
      </c>
      <c r="I2460" t="s">
        <v>191</v>
      </c>
      <c r="J2460">
        <v>1</v>
      </c>
      <c r="K2460">
        <v>10.9430379746835</v>
      </c>
    </row>
    <row r="2461" spans="1:11" x14ac:dyDescent="0.25">
      <c r="A2461" s="159" t="str">
        <f t="shared" si="115"/>
        <v>LB-St Helena-Greater Downtown San Francisco-Other maintenance</v>
      </c>
      <c r="B2461">
        <v>28</v>
      </c>
      <c r="C2461" t="str">
        <f t="shared" si="116"/>
        <v>St Helena</v>
      </c>
      <c r="D2461">
        <v>1</v>
      </c>
      <c r="E2461" t="str">
        <f t="shared" si="116"/>
        <v>Greater Downtown San Francisco</v>
      </c>
      <c r="F2461" t="s">
        <v>325</v>
      </c>
      <c r="G2461">
        <f t="shared" si="114"/>
        <v>4</v>
      </c>
      <c r="H2461" t="s">
        <v>359</v>
      </c>
      <c r="I2461" t="s">
        <v>191</v>
      </c>
      <c r="J2461">
        <v>1</v>
      </c>
      <c r="K2461">
        <v>5.9851301115241604</v>
      </c>
    </row>
    <row r="2462" spans="1:11" x14ac:dyDescent="0.25">
      <c r="A2462" s="159" t="str">
        <f t="shared" si="115"/>
        <v>LB-St Helena-San Francisco Richmond District-Work</v>
      </c>
      <c r="B2462">
        <v>28</v>
      </c>
      <c r="C2462" t="str">
        <f t="shared" si="116"/>
        <v>St Helena</v>
      </c>
      <c r="D2462">
        <v>2</v>
      </c>
      <c r="E2462" t="str">
        <f t="shared" si="116"/>
        <v>San Francisco Richmond District</v>
      </c>
      <c r="F2462" t="s">
        <v>30</v>
      </c>
      <c r="G2462">
        <f t="shared" si="114"/>
        <v>1</v>
      </c>
      <c r="H2462" t="s">
        <v>359</v>
      </c>
      <c r="I2462" t="s">
        <v>191</v>
      </c>
      <c r="J2462">
        <v>1</v>
      </c>
      <c r="K2462">
        <v>5.9851301115241604</v>
      </c>
    </row>
    <row r="2463" spans="1:11" x14ac:dyDescent="0.25">
      <c r="A2463" s="159" t="str">
        <f t="shared" si="115"/>
        <v>LB-St Helena-Richmond and El Cerrito-Work</v>
      </c>
      <c r="B2463">
        <v>28</v>
      </c>
      <c r="C2463" t="str">
        <f t="shared" si="116"/>
        <v>St Helena</v>
      </c>
      <c r="D2463">
        <v>20</v>
      </c>
      <c r="E2463" t="str">
        <f t="shared" si="116"/>
        <v>Richmond and El Cerrito</v>
      </c>
      <c r="F2463" t="s">
        <v>30</v>
      </c>
      <c r="G2463">
        <f t="shared" si="114"/>
        <v>1</v>
      </c>
      <c r="H2463" t="s">
        <v>359</v>
      </c>
      <c r="I2463" t="s">
        <v>191</v>
      </c>
      <c r="J2463">
        <v>1</v>
      </c>
      <c r="K2463">
        <v>5.9851301115241604</v>
      </c>
    </row>
    <row r="2464" spans="1:11" x14ac:dyDescent="0.25">
      <c r="A2464" s="159" t="str">
        <f t="shared" si="115"/>
        <v>LB-St Helena-Napa-High school</v>
      </c>
      <c r="B2464">
        <v>28</v>
      </c>
      <c r="C2464" t="str">
        <f t="shared" si="116"/>
        <v>St Helena</v>
      </c>
      <c r="D2464">
        <v>27</v>
      </c>
      <c r="E2464" t="str">
        <f t="shared" si="116"/>
        <v>Napa</v>
      </c>
      <c r="F2464" t="s">
        <v>326</v>
      </c>
      <c r="G2464">
        <f t="shared" si="114"/>
        <v>3</v>
      </c>
      <c r="H2464" t="s">
        <v>359</v>
      </c>
      <c r="I2464" t="s">
        <v>191</v>
      </c>
      <c r="J2464">
        <v>5</v>
      </c>
      <c r="K2464">
        <v>29.925650557620799</v>
      </c>
    </row>
    <row r="2465" spans="1:11" x14ac:dyDescent="0.25">
      <c r="A2465" s="159" t="str">
        <f t="shared" si="115"/>
        <v>LB-St Helena-Napa-Missing</v>
      </c>
      <c r="B2465">
        <v>28</v>
      </c>
      <c r="C2465" t="str">
        <f t="shared" si="116"/>
        <v>St Helena</v>
      </c>
      <c r="D2465">
        <v>27</v>
      </c>
      <c r="E2465" t="str">
        <f t="shared" si="116"/>
        <v>Napa</v>
      </c>
      <c r="F2465" t="s">
        <v>327</v>
      </c>
      <c r="G2465">
        <f t="shared" si="114"/>
        <v>0</v>
      </c>
      <c r="H2465" t="s">
        <v>359</v>
      </c>
      <c r="I2465" t="s">
        <v>191</v>
      </c>
      <c r="J2465">
        <v>6</v>
      </c>
      <c r="K2465">
        <v>57.390520446096602</v>
      </c>
    </row>
    <row r="2466" spans="1:11" x14ac:dyDescent="0.25">
      <c r="A2466" s="159" t="str">
        <f t="shared" si="115"/>
        <v>LB-St Helena-Napa-Other maintenance</v>
      </c>
      <c r="B2466">
        <v>28</v>
      </c>
      <c r="C2466" t="str">
        <f t="shared" si="116"/>
        <v>St Helena</v>
      </c>
      <c r="D2466">
        <v>27</v>
      </c>
      <c r="E2466" t="str">
        <f t="shared" si="116"/>
        <v>Napa</v>
      </c>
      <c r="F2466" t="s">
        <v>325</v>
      </c>
      <c r="G2466">
        <f t="shared" si="114"/>
        <v>4</v>
      </c>
      <c r="H2466" t="s">
        <v>359</v>
      </c>
      <c r="I2466" t="s">
        <v>191</v>
      </c>
      <c r="J2466">
        <v>1</v>
      </c>
      <c r="K2466">
        <v>5.9851301115241604</v>
      </c>
    </row>
    <row r="2467" spans="1:11" x14ac:dyDescent="0.25">
      <c r="A2467" s="159" t="str">
        <f t="shared" si="115"/>
        <v>LB-St Helena-Napa-Shopping</v>
      </c>
      <c r="B2467">
        <v>28</v>
      </c>
      <c r="C2467" t="str">
        <f t="shared" si="116"/>
        <v>St Helena</v>
      </c>
      <c r="D2467">
        <v>27</v>
      </c>
      <c r="E2467" t="str">
        <f t="shared" si="116"/>
        <v>Napa</v>
      </c>
      <c r="F2467" t="s">
        <v>106</v>
      </c>
      <c r="G2467">
        <f t="shared" si="114"/>
        <v>4</v>
      </c>
      <c r="H2467" t="s">
        <v>359</v>
      </c>
      <c r="I2467" t="s">
        <v>191</v>
      </c>
      <c r="J2467">
        <v>4</v>
      </c>
      <c r="K2467">
        <v>23.940520446096599</v>
      </c>
    </row>
    <row r="2468" spans="1:11" x14ac:dyDescent="0.25">
      <c r="A2468" s="159" t="str">
        <f t="shared" si="115"/>
        <v>LB-St Helena-Napa-Social recreation</v>
      </c>
      <c r="B2468">
        <v>28</v>
      </c>
      <c r="C2468" t="str">
        <f t="shared" si="116"/>
        <v>St Helena</v>
      </c>
      <c r="D2468">
        <v>27</v>
      </c>
      <c r="E2468" t="str">
        <f t="shared" si="116"/>
        <v>Napa</v>
      </c>
      <c r="F2468" t="s">
        <v>324</v>
      </c>
      <c r="G2468">
        <f t="shared" si="114"/>
        <v>5</v>
      </c>
      <c r="H2468" t="s">
        <v>359</v>
      </c>
      <c r="I2468" t="s">
        <v>191</v>
      </c>
      <c r="J2468">
        <v>4</v>
      </c>
      <c r="K2468">
        <v>23.940520446096599</v>
      </c>
    </row>
    <row r="2469" spans="1:11" x14ac:dyDescent="0.25">
      <c r="A2469" s="159" t="str">
        <f t="shared" si="115"/>
        <v>LB-St Helena-Napa-Work</v>
      </c>
      <c r="B2469">
        <v>28</v>
      </c>
      <c r="C2469" t="str">
        <f t="shared" si="116"/>
        <v>St Helena</v>
      </c>
      <c r="D2469">
        <v>27</v>
      </c>
      <c r="E2469" t="str">
        <f t="shared" si="116"/>
        <v>Napa</v>
      </c>
      <c r="F2469" t="s">
        <v>30</v>
      </c>
      <c r="G2469">
        <f t="shared" si="114"/>
        <v>1</v>
      </c>
      <c r="H2469" t="s">
        <v>359</v>
      </c>
      <c r="I2469" t="s">
        <v>191</v>
      </c>
      <c r="J2469">
        <v>17</v>
      </c>
      <c r="K2469">
        <v>123.226951672862</v>
      </c>
    </row>
    <row r="2470" spans="1:11" x14ac:dyDescent="0.25">
      <c r="A2470" s="159" t="str">
        <f t="shared" si="115"/>
        <v>LB-St Helena-St Helena-High school</v>
      </c>
      <c r="B2470">
        <v>28</v>
      </c>
      <c r="C2470" t="str">
        <f t="shared" si="116"/>
        <v>St Helena</v>
      </c>
      <c r="D2470">
        <v>28</v>
      </c>
      <c r="E2470" t="str">
        <f t="shared" si="116"/>
        <v>St Helena</v>
      </c>
      <c r="F2470" t="s">
        <v>326</v>
      </c>
      <c r="G2470">
        <f t="shared" si="114"/>
        <v>3</v>
      </c>
      <c r="H2470" t="s">
        <v>359</v>
      </c>
      <c r="I2470" t="s">
        <v>191</v>
      </c>
      <c r="J2470">
        <v>2</v>
      </c>
      <c r="K2470">
        <v>11.9702602230483</v>
      </c>
    </row>
    <row r="2471" spans="1:11" x14ac:dyDescent="0.25">
      <c r="A2471" s="159" t="str">
        <f t="shared" si="115"/>
        <v>LB-St Helena-St Helena-Missing</v>
      </c>
      <c r="B2471">
        <v>28</v>
      </c>
      <c r="C2471" t="str">
        <f t="shared" si="116"/>
        <v>St Helena</v>
      </c>
      <c r="D2471">
        <v>28</v>
      </c>
      <c r="E2471" t="str">
        <f t="shared" si="116"/>
        <v>St Helena</v>
      </c>
      <c r="F2471" t="s">
        <v>327</v>
      </c>
      <c r="G2471">
        <f t="shared" si="114"/>
        <v>0</v>
      </c>
      <c r="H2471" t="s">
        <v>359</v>
      </c>
      <c r="I2471" t="s">
        <v>191</v>
      </c>
      <c r="J2471">
        <v>6</v>
      </c>
      <c r="K2471">
        <v>57.390520446096602</v>
      </c>
    </row>
    <row r="2472" spans="1:11" x14ac:dyDescent="0.25">
      <c r="A2472" s="159" t="str">
        <f t="shared" si="115"/>
        <v>LB-St Helena-St Helena-Other maintenance</v>
      </c>
      <c r="B2472">
        <v>28</v>
      </c>
      <c r="C2472" t="str">
        <f t="shared" si="116"/>
        <v>St Helena</v>
      </c>
      <c r="D2472">
        <v>28</v>
      </c>
      <c r="E2472" t="str">
        <f t="shared" si="116"/>
        <v>St Helena</v>
      </c>
      <c r="F2472" t="s">
        <v>325</v>
      </c>
      <c r="G2472">
        <f t="shared" si="114"/>
        <v>4</v>
      </c>
      <c r="H2472" t="s">
        <v>359</v>
      </c>
      <c r="I2472" t="s">
        <v>191</v>
      </c>
      <c r="J2472">
        <v>4</v>
      </c>
      <c r="K2472">
        <v>23.940520446096599</v>
      </c>
    </row>
    <row r="2473" spans="1:11" x14ac:dyDescent="0.25">
      <c r="A2473" s="159" t="str">
        <f t="shared" si="115"/>
        <v>LB-St Helena-St Helena-Shopping</v>
      </c>
      <c r="B2473">
        <v>28</v>
      </c>
      <c r="C2473" t="str">
        <f t="shared" si="116"/>
        <v>St Helena</v>
      </c>
      <c r="D2473">
        <v>28</v>
      </c>
      <c r="E2473" t="str">
        <f t="shared" si="116"/>
        <v>St Helena</v>
      </c>
      <c r="F2473" t="s">
        <v>106</v>
      </c>
      <c r="G2473">
        <f t="shared" si="114"/>
        <v>4</v>
      </c>
      <c r="H2473" t="s">
        <v>359</v>
      </c>
      <c r="I2473" t="s">
        <v>191</v>
      </c>
      <c r="J2473">
        <v>4</v>
      </c>
      <c r="K2473">
        <v>23.940520446096599</v>
      </c>
    </row>
    <row r="2474" spans="1:11" x14ac:dyDescent="0.25">
      <c r="A2474" s="159" t="str">
        <f t="shared" si="115"/>
        <v>LB-St Helena-St Helena-Social recreation</v>
      </c>
      <c r="B2474">
        <v>28</v>
      </c>
      <c r="C2474" t="str">
        <f t="shared" si="116"/>
        <v>St Helena</v>
      </c>
      <c r="D2474">
        <v>28</v>
      </c>
      <c r="E2474" t="str">
        <f t="shared" si="116"/>
        <v>St Helena</v>
      </c>
      <c r="F2474" t="s">
        <v>324</v>
      </c>
      <c r="G2474">
        <f t="shared" si="114"/>
        <v>5</v>
      </c>
      <c r="H2474" t="s">
        <v>359</v>
      </c>
      <c r="I2474" t="s">
        <v>191</v>
      </c>
      <c r="J2474">
        <v>2</v>
      </c>
      <c r="K2474">
        <v>22.710130111524101</v>
      </c>
    </row>
    <row r="2475" spans="1:11" x14ac:dyDescent="0.25">
      <c r="A2475" s="159" t="str">
        <f t="shared" si="115"/>
        <v>LB-St Helena-St Helena-Work</v>
      </c>
      <c r="B2475">
        <v>28</v>
      </c>
      <c r="C2475" t="str">
        <f t="shared" si="116"/>
        <v>St Helena</v>
      </c>
      <c r="D2475">
        <v>28</v>
      </c>
      <c r="E2475" t="str">
        <f t="shared" si="116"/>
        <v>St Helena</v>
      </c>
      <c r="F2475" t="s">
        <v>30</v>
      </c>
      <c r="G2475">
        <f t="shared" si="114"/>
        <v>1</v>
      </c>
      <c r="H2475" t="s">
        <v>359</v>
      </c>
      <c r="I2475" t="s">
        <v>191</v>
      </c>
      <c r="J2475">
        <v>7</v>
      </c>
      <c r="K2475">
        <v>41.895910780669098</v>
      </c>
    </row>
    <row r="2476" spans="1:11" x14ac:dyDescent="0.25">
      <c r="A2476" s="159" t="str">
        <f t="shared" si="115"/>
        <v>CR-Petaluma and Rohnert Park-Greater Downtown San Francisco-Work</v>
      </c>
      <c r="B2476">
        <v>29</v>
      </c>
      <c r="C2476" t="str">
        <f t="shared" si="116"/>
        <v>Petaluma and Rohnert Park</v>
      </c>
      <c r="D2476">
        <v>1</v>
      </c>
      <c r="E2476" t="str">
        <f t="shared" si="116"/>
        <v>Greater Downtown San Francisco</v>
      </c>
      <c r="F2476" t="s">
        <v>30</v>
      </c>
      <c r="G2476">
        <f t="shared" si="114"/>
        <v>1</v>
      </c>
      <c r="H2476" t="s">
        <v>125</v>
      </c>
      <c r="I2476" t="s">
        <v>178</v>
      </c>
      <c r="J2476">
        <v>2</v>
      </c>
      <c r="K2476">
        <v>15.449438202247199</v>
      </c>
    </row>
    <row r="2477" spans="1:11" x14ac:dyDescent="0.25">
      <c r="A2477" s="159" t="str">
        <f t="shared" si="115"/>
        <v>LB-Petaluma and Rohnert Park-San Francisco Mission District-Social recreation</v>
      </c>
      <c r="B2477">
        <v>29</v>
      </c>
      <c r="C2477" t="str">
        <f t="shared" si="116"/>
        <v>Petaluma and Rohnert Park</v>
      </c>
      <c r="D2477">
        <v>3</v>
      </c>
      <c r="E2477" t="str">
        <f t="shared" si="116"/>
        <v>San Francisco Mission District</v>
      </c>
      <c r="F2477" t="s">
        <v>324</v>
      </c>
      <c r="G2477">
        <f t="shared" si="114"/>
        <v>5</v>
      </c>
      <c r="H2477" t="s">
        <v>359</v>
      </c>
      <c r="I2477" t="s">
        <v>191</v>
      </c>
      <c r="J2477">
        <v>1</v>
      </c>
      <c r="K2477">
        <v>3.04838709677419</v>
      </c>
    </row>
    <row r="2478" spans="1:11" x14ac:dyDescent="0.25">
      <c r="A2478" s="159" t="str">
        <f t="shared" si="115"/>
        <v>CR-Petaluma and Rohnert Park-Redwood City and Menlo Park-Social recreation</v>
      </c>
      <c r="B2478">
        <v>29</v>
      </c>
      <c r="C2478" t="str">
        <f t="shared" si="116"/>
        <v>Petaluma and Rohnert Park</v>
      </c>
      <c r="D2478">
        <v>7</v>
      </c>
      <c r="E2478" t="str">
        <f t="shared" si="116"/>
        <v>Redwood City and Menlo Park</v>
      </c>
      <c r="F2478" t="s">
        <v>324</v>
      </c>
      <c r="G2478">
        <f t="shared" si="114"/>
        <v>5</v>
      </c>
      <c r="H2478" t="s">
        <v>125</v>
      </c>
      <c r="I2478" t="s">
        <v>178</v>
      </c>
      <c r="J2478">
        <v>1</v>
      </c>
      <c r="K2478">
        <v>7.7247191011235996</v>
      </c>
    </row>
    <row r="2479" spans="1:11" x14ac:dyDescent="0.25">
      <c r="A2479" s="159" t="str">
        <f t="shared" si="115"/>
        <v>LB-Petaluma and Rohnert Park-Oakland and Alameda-Other maintenance</v>
      </c>
      <c r="B2479">
        <v>29</v>
      </c>
      <c r="C2479" t="str">
        <f t="shared" si="116"/>
        <v>Petaluma and Rohnert Park</v>
      </c>
      <c r="D2479">
        <v>18</v>
      </c>
      <c r="E2479" t="str">
        <f t="shared" si="116"/>
        <v>Oakland and Alameda</v>
      </c>
      <c r="F2479" t="s">
        <v>325</v>
      </c>
      <c r="G2479">
        <f t="shared" si="114"/>
        <v>4</v>
      </c>
      <c r="H2479" t="s">
        <v>359</v>
      </c>
      <c r="I2479" t="s">
        <v>191</v>
      </c>
      <c r="J2479">
        <v>1</v>
      </c>
      <c r="K2479">
        <v>5.5995670995670999</v>
      </c>
    </row>
    <row r="2480" spans="1:11" x14ac:dyDescent="0.25">
      <c r="A2480" s="159" t="str">
        <f t="shared" si="115"/>
        <v>LB-Petaluma and Rohnert Park-Richmond and El Cerrito-Work</v>
      </c>
      <c r="B2480">
        <v>29</v>
      </c>
      <c r="C2480" t="str">
        <f t="shared" si="116"/>
        <v>Petaluma and Rohnert Park</v>
      </c>
      <c r="D2480">
        <v>20</v>
      </c>
      <c r="E2480" t="str">
        <f t="shared" si="116"/>
        <v>Richmond and El Cerrito</v>
      </c>
      <c r="F2480" t="s">
        <v>30</v>
      </c>
      <c r="G2480">
        <f t="shared" si="114"/>
        <v>1</v>
      </c>
      <c r="H2480" t="s">
        <v>359</v>
      </c>
      <c r="I2480" t="s">
        <v>191</v>
      </c>
      <c r="J2480">
        <v>1</v>
      </c>
      <c r="K2480">
        <v>5.8617021276595702</v>
      </c>
    </row>
    <row r="2481" spans="1:11" x14ac:dyDescent="0.25">
      <c r="A2481" s="159" t="str">
        <f t="shared" si="115"/>
        <v>LB-Petaluma and Rohnert Park-Vallejo and Benicia-Missing</v>
      </c>
      <c r="B2481">
        <v>29</v>
      </c>
      <c r="C2481" t="str">
        <f t="shared" si="116"/>
        <v>Petaluma and Rohnert Park</v>
      </c>
      <c r="D2481">
        <v>25</v>
      </c>
      <c r="E2481" t="str">
        <f t="shared" si="116"/>
        <v>Vallejo and Benicia</v>
      </c>
      <c r="F2481" t="s">
        <v>327</v>
      </c>
      <c r="G2481">
        <f t="shared" si="114"/>
        <v>0</v>
      </c>
      <c r="H2481" t="s">
        <v>359</v>
      </c>
      <c r="I2481" t="s">
        <v>191</v>
      </c>
      <c r="J2481">
        <v>1</v>
      </c>
      <c r="K2481">
        <v>5.5995670995670999</v>
      </c>
    </row>
    <row r="2482" spans="1:11" x14ac:dyDescent="0.25">
      <c r="A2482" s="159" t="str">
        <f t="shared" si="115"/>
        <v>CR-Petaluma and Rohnert Park-Petaluma and Rohnert Park-High school</v>
      </c>
      <c r="B2482">
        <v>29</v>
      </c>
      <c r="C2482" t="str">
        <f t="shared" si="116"/>
        <v>Petaluma and Rohnert Park</v>
      </c>
      <c r="D2482">
        <v>29</v>
      </c>
      <c r="E2482" t="str">
        <f t="shared" si="116"/>
        <v>Petaluma and Rohnert Park</v>
      </c>
      <c r="F2482" t="s">
        <v>326</v>
      </c>
      <c r="G2482">
        <f t="shared" si="114"/>
        <v>3</v>
      </c>
      <c r="H2482" t="s">
        <v>125</v>
      </c>
      <c r="I2482" t="s">
        <v>178</v>
      </c>
      <c r="J2482">
        <v>5</v>
      </c>
      <c r="K2482">
        <v>38.623595505617999</v>
      </c>
    </row>
    <row r="2483" spans="1:11" x14ac:dyDescent="0.25">
      <c r="A2483" s="159" t="str">
        <f t="shared" si="115"/>
        <v>LB-Petaluma and Rohnert Park-Petaluma and Rohnert Park-High school</v>
      </c>
      <c r="B2483">
        <v>29</v>
      </c>
      <c r="C2483" t="str">
        <f t="shared" si="116"/>
        <v>Petaluma and Rohnert Park</v>
      </c>
      <c r="D2483">
        <v>29</v>
      </c>
      <c r="E2483" t="str">
        <f t="shared" si="116"/>
        <v>Petaluma and Rohnert Park</v>
      </c>
      <c r="F2483" t="s">
        <v>326</v>
      </c>
      <c r="G2483">
        <f t="shared" si="114"/>
        <v>3</v>
      </c>
      <c r="H2483" t="s">
        <v>359</v>
      </c>
      <c r="I2483" t="s">
        <v>191</v>
      </c>
      <c r="J2483">
        <v>57</v>
      </c>
      <c r="K2483">
        <v>341.86273746988002</v>
      </c>
    </row>
    <row r="2484" spans="1:11" x14ac:dyDescent="0.25">
      <c r="A2484" s="159" t="str">
        <f t="shared" si="115"/>
        <v>LB-Petaluma and Rohnert Park-Petaluma and Rohnert Park-Missing</v>
      </c>
      <c r="B2484">
        <v>29</v>
      </c>
      <c r="C2484" t="str">
        <f t="shared" si="116"/>
        <v>Petaluma and Rohnert Park</v>
      </c>
      <c r="D2484">
        <v>29</v>
      </c>
      <c r="E2484" t="str">
        <f t="shared" si="116"/>
        <v>Petaluma and Rohnert Park</v>
      </c>
      <c r="F2484" t="s">
        <v>327</v>
      </c>
      <c r="G2484">
        <f t="shared" si="114"/>
        <v>0</v>
      </c>
      <c r="H2484" t="s">
        <v>359</v>
      </c>
      <c r="I2484" t="s">
        <v>191</v>
      </c>
      <c r="J2484">
        <v>41</v>
      </c>
      <c r="K2484">
        <v>268.89125493586698</v>
      </c>
    </row>
    <row r="2485" spans="1:11" x14ac:dyDescent="0.25">
      <c r="A2485" s="159" t="str">
        <f t="shared" si="115"/>
        <v>CR-Petaluma and Rohnert Park-Petaluma and Rohnert Park-Other maintenance</v>
      </c>
      <c r="B2485">
        <v>29</v>
      </c>
      <c r="C2485" t="str">
        <f t="shared" si="116"/>
        <v>Petaluma and Rohnert Park</v>
      </c>
      <c r="D2485">
        <v>29</v>
      </c>
      <c r="E2485" t="str">
        <f t="shared" si="116"/>
        <v>Petaluma and Rohnert Park</v>
      </c>
      <c r="F2485" t="s">
        <v>325</v>
      </c>
      <c r="G2485">
        <f t="shared" si="114"/>
        <v>4</v>
      </c>
      <c r="H2485" t="s">
        <v>125</v>
      </c>
      <c r="I2485" t="s">
        <v>178</v>
      </c>
      <c r="J2485">
        <v>2</v>
      </c>
      <c r="K2485">
        <v>15.449438202247199</v>
      </c>
    </row>
    <row r="2486" spans="1:11" x14ac:dyDescent="0.25">
      <c r="A2486" s="159" t="str">
        <f t="shared" si="115"/>
        <v>LB-Petaluma and Rohnert Park-Petaluma and Rohnert Park-Other maintenance</v>
      </c>
      <c r="B2486">
        <v>29</v>
      </c>
      <c r="C2486" t="str">
        <f t="shared" si="116"/>
        <v>Petaluma and Rohnert Park</v>
      </c>
      <c r="D2486">
        <v>29</v>
      </c>
      <c r="E2486" t="str">
        <f t="shared" si="116"/>
        <v>Petaluma and Rohnert Park</v>
      </c>
      <c r="F2486" t="s">
        <v>325</v>
      </c>
      <c r="G2486">
        <f t="shared" si="114"/>
        <v>4</v>
      </c>
      <c r="H2486" t="s">
        <v>359</v>
      </c>
      <c r="I2486" t="s">
        <v>191</v>
      </c>
      <c r="J2486">
        <v>34</v>
      </c>
      <c r="K2486">
        <v>182.200510704392</v>
      </c>
    </row>
    <row r="2487" spans="1:11" x14ac:dyDescent="0.25">
      <c r="A2487" s="159" t="str">
        <f t="shared" si="115"/>
        <v>LB-Petaluma and Rohnert Park-Petaluma and Rohnert Park-Shopping</v>
      </c>
      <c r="B2487">
        <v>29</v>
      </c>
      <c r="C2487" t="str">
        <f t="shared" si="116"/>
        <v>Petaluma and Rohnert Park</v>
      </c>
      <c r="D2487">
        <v>29</v>
      </c>
      <c r="E2487" t="str">
        <f t="shared" si="116"/>
        <v>Petaluma and Rohnert Park</v>
      </c>
      <c r="F2487" t="s">
        <v>106</v>
      </c>
      <c r="G2487">
        <f t="shared" si="114"/>
        <v>4</v>
      </c>
      <c r="H2487" t="s">
        <v>359</v>
      </c>
      <c r="I2487" t="s">
        <v>191</v>
      </c>
      <c r="J2487">
        <v>23</v>
      </c>
      <c r="K2487">
        <v>128.39751966176101</v>
      </c>
    </row>
    <row r="2488" spans="1:11" x14ac:dyDescent="0.25">
      <c r="A2488" s="159" t="str">
        <f t="shared" si="115"/>
        <v>CR-Petaluma and Rohnert Park-Petaluma and Rohnert Park-Social recreation</v>
      </c>
      <c r="B2488">
        <v>29</v>
      </c>
      <c r="C2488" t="str">
        <f t="shared" si="116"/>
        <v>Petaluma and Rohnert Park</v>
      </c>
      <c r="D2488">
        <v>29</v>
      </c>
      <c r="E2488" t="str">
        <f t="shared" si="116"/>
        <v>Petaluma and Rohnert Park</v>
      </c>
      <c r="F2488" t="s">
        <v>324</v>
      </c>
      <c r="G2488">
        <f t="shared" si="114"/>
        <v>5</v>
      </c>
      <c r="H2488" t="s">
        <v>125</v>
      </c>
      <c r="I2488" t="s">
        <v>178</v>
      </c>
      <c r="J2488">
        <v>5</v>
      </c>
      <c r="K2488">
        <v>47.614157303370803</v>
      </c>
    </row>
    <row r="2489" spans="1:11" x14ac:dyDescent="0.25">
      <c r="A2489" s="159" t="str">
        <f t="shared" si="115"/>
        <v>LB-Petaluma and Rohnert Park-Petaluma and Rohnert Park-Social recreation</v>
      </c>
      <c r="B2489">
        <v>29</v>
      </c>
      <c r="C2489" t="str">
        <f t="shared" si="116"/>
        <v>Petaluma and Rohnert Park</v>
      </c>
      <c r="D2489">
        <v>29</v>
      </c>
      <c r="E2489" t="str">
        <f t="shared" si="116"/>
        <v>Petaluma and Rohnert Park</v>
      </c>
      <c r="F2489" t="s">
        <v>324</v>
      </c>
      <c r="G2489">
        <f t="shared" si="114"/>
        <v>5</v>
      </c>
      <c r="H2489" t="s">
        <v>359</v>
      </c>
      <c r="I2489" t="s">
        <v>191</v>
      </c>
      <c r="J2489">
        <v>24</v>
      </c>
      <c r="K2489">
        <v>156.23287785195799</v>
      </c>
    </row>
    <row r="2490" spans="1:11" x14ac:dyDescent="0.25">
      <c r="A2490" s="159" t="str">
        <f t="shared" si="115"/>
        <v>CR-Petaluma and Rohnert Park-Petaluma and Rohnert Park-Work</v>
      </c>
      <c r="B2490">
        <v>29</v>
      </c>
      <c r="C2490" t="str">
        <f t="shared" si="116"/>
        <v>Petaluma and Rohnert Park</v>
      </c>
      <c r="D2490">
        <v>29</v>
      </c>
      <c r="E2490" t="str">
        <f t="shared" si="116"/>
        <v>Petaluma and Rohnert Park</v>
      </c>
      <c r="F2490" t="s">
        <v>30</v>
      </c>
      <c r="G2490">
        <f t="shared" si="114"/>
        <v>1</v>
      </c>
      <c r="H2490" t="s">
        <v>125</v>
      </c>
      <c r="I2490" t="s">
        <v>178</v>
      </c>
      <c r="J2490">
        <v>5</v>
      </c>
      <c r="K2490">
        <v>47.614157303370803</v>
      </c>
    </row>
    <row r="2491" spans="1:11" x14ac:dyDescent="0.25">
      <c r="A2491" s="159" t="str">
        <f t="shared" si="115"/>
        <v>LB-Petaluma and Rohnert Park-Petaluma and Rohnert Park-Work</v>
      </c>
      <c r="B2491">
        <v>29</v>
      </c>
      <c r="C2491" t="str">
        <f t="shared" si="116"/>
        <v>Petaluma and Rohnert Park</v>
      </c>
      <c r="D2491">
        <v>29</v>
      </c>
      <c r="E2491" t="str">
        <f t="shared" si="116"/>
        <v>Petaluma and Rohnert Park</v>
      </c>
      <c r="F2491" t="s">
        <v>30</v>
      </c>
      <c r="G2491">
        <f t="shared" si="114"/>
        <v>1</v>
      </c>
      <c r="H2491" t="s">
        <v>359</v>
      </c>
      <c r="I2491" t="s">
        <v>191</v>
      </c>
      <c r="J2491">
        <v>74</v>
      </c>
      <c r="K2491">
        <v>480.661371699553</v>
      </c>
    </row>
    <row r="2492" spans="1:11" x14ac:dyDescent="0.25">
      <c r="A2492" s="159" t="str">
        <f t="shared" si="115"/>
        <v>CR-Petaluma and Rohnert Park-Santa Rosa and Sebastopol-High school</v>
      </c>
      <c r="B2492">
        <v>29</v>
      </c>
      <c r="C2492" t="str">
        <f t="shared" si="116"/>
        <v>Petaluma and Rohnert Park</v>
      </c>
      <c r="D2492">
        <v>30</v>
      </c>
      <c r="E2492" t="str">
        <f t="shared" si="116"/>
        <v>Santa Rosa and Sebastopol</v>
      </c>
      <c r="F2492" t="s">
        <v>326</v>
      </c>
      <c r="G2492">
        <f t="shared" si="114"/>
        <v>3</v>
      </c>
      <c r="H2492" t="s">
        <v>125</v>
      </c>
      <c r="I2492" t="s">
        <v>178</v>
      </c>
      <c r="J2492">
        <v>16</v>
      </c>
      <c r="K2492">
        <v>128.090786516854</v>
      </c>
    </row>
    <row r="2493" spans="1:11" x14ac:dyDescent="0.25">
      <c r="A2493" s="159" t="str">
        <f t="shared" si="115"/>
        <v>LB-Petaluma and Rohnert Park-Santa Rosa and Sebastopol-High school</v>
      </c>
      <c r="B2493">
        <v>29</v>
      </c>
      <c r="C2493" t="str">
        <f t="shared" si="116"/>
        <v>Petaluma and Rohnert Park</v>
      </c>
      <c r="D2493">
        <v>30</v>
      </c>
      <c r="E2493" t="str">
        <f t="shared" si="116"/>
        <v>Santa Rosa and Sebastopol</v>
      </c>
      <c r="F2493" t="s">
        <v>326</v>
      </c>
      <c r="G2493">
        <f t="shared" si="114"/>
        <v>3</v>
      </c>
      <c r="H2493" t="s">
        <v>359</v>
      </c>
      <c r="I2493" t="s">
        <v>191</v>
      </c>
      <c r="J2493">
        <v>14</v>
      </c>
      <c r="K2493">
        <v>127.484163515809</v>
      </c>
    </row>
    <row r="2494" spans="1:11" x14ac:dyDescent="0.25">
      <c r="A2494" s="159" t="str">
        <f t="shared" si="115"/>
        <v>CR-Petaluma and Rohnert Park-Santa Rosa and Sebastopol-Missing</v>
      </c>
      <c r="B2494">
        <v>29</v>
      </c>
      <c r="C2494" t="str">
        <f t="shared" si="116"/>
        <v>Petaluma and Rohnert Park</v>
      </c>
      <c r="D2494">
        <v>30</v>
      </c>
      <c r="E2494" t="str">
        <f t="shared" si="116"/>
        <v>Santa Rosa and Sebastopol</v>
      </c>
      <c r="F2494" t="s">
        <v>327</v>
      </c>
      <c r="G2494">
        <f t="shared" si="114"/>
        <v>0</v>
      </c>
      <c r="H2494" t="s">
        <v>125</v>
      </c>
      <c r="I2494" t="s">
        <v>178</v>
      </c>
      <c r="J2494">
        <v>1</v>
      </c>
      <c r="K2494">
        <v>12.22</v>
      </c>
    </row>
    <row r="2495" spans="1:11" x14ac:dyDescent="0.25">
      <c r="A2495" s="159" t="str">
        <f t="shared" si="115"/>
        <v>LB-Petaluma and Rohnert Park-Santa Rosa and Sebastopol-Missing</v>
      </c>
      <c r="B2495">
        <v>29</v>
      </c>
      <c r="C2495" t="str">
        <f t="shared" si="116"/>
        <v>Petaluma and Rohnert Park</v>
      </c>
      <c r="D2495">
        <v>30</v>
      </c>
      <c r="E2495" t="str">
        <f t="shared" si="116"/>
        <v>Santa Rosa and Sebastopol</v>
      </c>
      <c r="F2495" t="s">
        <v>327</v>
      </c>
      <c r="G2495">
        <f t="shared" si="114"/>
        <v>0</v>
      </c>
      <c r="H2495" t="s">
        <v>359</v>
      </c>
      <c r="I2495" t="s">
        <v>191</v>
      </c>
      <c r="J2495">
        <v>11</v>
      </c>
      <c r="K2495">
        <v>117.37306242144901</v>
      </c>
    </row>
    <row r="2496" spans="1:11" x14ac:dyDescent="0.25">
      <c r="A2496" s="159" t="str">
        <f t="shared" si="115"/>
        <v>CR-Petaluma and Rohnert Park-Santa Rosa and Sebastopol-Other maintenance</v>
      </c>
      <c r="B2496">
        <v>29</v>
      </c>
      <c r="C2496" t="str">
        <f t="shared" si="116"/>
        <v>Petaluma and Rohnert Park</v>
      </c>
      <c r="D2496">
        <v>30</v>
      </c>
      <c r="E2496" t="str">
        <f t="shared" si="116"/>
        <v>Santa Rosa and Sebastopol</v>
      </c>
      <c r="F2496" t="s">
        <v>325</v>
      </c>
      <c r="G2496">
        <f t="shared" si="114"/>
        <v>4</v>
      </c>
      <c r="H2496" t="s">
        <v>125</v>
      </c>
      <c r="I2496" t="s">
        <v>178</v>
      </c>
      <c r="J2496">
        <v>1</v>
      </c>
      <c r="K2496">
        <v>12.22</v>
      </c>
    </row>
    <row r="2497" spans="1:11" x14ac:dyDescent="0.25">
      <c r="A2497" s="159" t="str">
        <f t="shared" si="115"/>
        <v>LB-Petaluma and Rohnert Park-Santa Rosa and Sebastopol-Other maintenance</v>
      </c>
      <c r="B2497">
        <v>29</v>
      </c>
      <c r="C2497" t="str">
        <f t="shared" si="116"/>
        <v>Petaluma and Rohnert Park</v>
      </c>
      <c r="D2497">
        <v>30</v>
      </c>
      <c r="E2497" t="str">
        <f t="shared" si="116"/>
        <v>Santa Rosa and Sebastopol</v>
      </c>
      <c r="F2497" t="s">
        <v>325</v>
      </c>
      <c r="G2497">
        <f t="shared" si="114"/>
        <v>4</v>
      </c>
      <c r="H2497" t="s">
        <v>359</v>
      </c>
      <c r="I2497" t="s">
        <v>191</v>
      </c>
      <c r="J2497">
        <v>8</v>
      </c>
      <c r="K2497">
        <v>74.223173989131396</v>
      </c>
    </row>
    <row r="2498" spans="1:11" x14ac:dyDescent="0.25">
      <c r="A2498" s="159" t="str">
        <f t="shared" si="115"/>
        <v>CR-Petaluma and Rohnert Park-Santa Rosa and Sebastopol-Shopping</v>
      </c>
      <c r="B2498">
        <v>29</v>
      </c>
      <c r="C2498" t="str">
        <f t="shared" si="116"/>
        <v>Petaluma and Rohnert Park</v>
      </c>
      <c r="D2498">
        <v>30</v>
      </c>
      <c r="E2498" t="str">
        <f t="shared" si="116"/>
        <v>Santa Rosa and Sebastopol</v>
      </c>
      <c r="F2498" t="s">
        <v>106</v>
      </c>
      <c r="G2498">
        <f t="shared" ref="G2498:G2561" si="117">VLOOKUP(F2498,$V$2:$X$10, 3,FALSE)</f>
        <v>4</v>
      </c>
      <c r="H2498" t="s">
        <v>125</v>
      </c>
      <c r="I2498" t="s">
        <v>178</v>
      </c>
      <c r="J2498">
        <v>2</v>
      </c>
      <c r="K2498">
        <v>24.44</v>
      </c>
    </row>
    <row r="2499" spans="1:11" x14ac:dyDescent="0.25">
      <c r="A2499" s="159" t="str">
        <f t="shared" ref="A2499:A2562" si="118" xml:space="preserve"> CONCATENATE(I2499,"-",C2499, "-",E2499, "-",F2499,)</f>
        <v>LB-Petaluma and Rohnert Park-Santa Rosa and Sebastopol-Shopping</v>
      </c>
      <c r="B2499">
        <v>29</v>
      </c>
      <c r="C2499" t="str">
        <f t="shared" ref="C2499:E2562" si="119">VLOOKUP(B2499,$S$2:$T$35,2,FALSE)</f>
        <v>Petaluma and Rohnert Park</v>
      </c>
      <c r="D2499">
        <v>30</v>
      </c>
      <c r="E2499" t="str">
        <f t="shared" si="119"/>
        <v>Santa Rosa and Sebastopol</v>
      </c>
      <c r="F2499" t="s">
        <v>106</v>
      </c>
      <c r="G2499">
        <f t="shared" si="117"/>
        <v>4</v>
      </c>
      <c r="H2499" t="s">
        <v>359</v>
      </c>
      <c r="I2499" t="s">
        <v>191</v>
      </c>
      <c r="J2499">
        <v>4</v>
      </c>
      <c r="K2499">
        <v>27.741739273384798</v>
      </c>
    </row>
    <row r="2500" spans="1:11" x14ac:dyDescent="0.25">
      <c r="A2500" s="159" t="str">
        <f t="shared" si="118"/>
        <v>CR-Petaluma and Rohnert Park-Santa Rosa and Sebastopol-Social recreation</v>
      </c>
      <c r="B2500">
        <v>29</v>
      </c>
      <c r="C2500" t="str">
        <f t="shared" si="119"/>
        <v>Petaluma and Rohnert Park</v>
      </c>
      <c r="D2500">
        <v>30</v>
      </c>
      <c r="E2500" t="str">
        <f t="shared" si="119"/>
        <v>Santa Rosa and Sebastopol</v>
      </c>
      <c r="F2500" t="s">
        <v>324</v>
      </c>
      <c r="G2500">
        <f t="shared" si="117"/>
        <v>5</v>
      </c>
      <c r="H2500" t="s">
        <v>125</v>
      </c>
      <c r="I2500" t="s">
        <v>178</v>
      </c>
      <c r="J2500">
        <v>3</v>
      </c>
      <c r="K2500">
        <v>32.164719101123602</v>
      </c>
    </row>
    <row r="2501" spans="1:11" x14ac:dyDescent="0.25">
      <c r="A2501" s="159" t="str">
        <f t="shared" si="118"/>
        <v>LB-Petaluma and Rohnert Park-Santa Rosa and Sebastopol-Social recreation</v>
      </c>
      <c r="B2501">
        <v>29</v>
      </c>
      <c r="C2501" t="str">
        <f t="shared" si="119"/>
        <v>Petaluma and Rohnert Park</v>
      </c>
      <c r="D2501">
        <v>30</v>
      </c>
      <c r="E2501" t="str">
        <f t="shared" si="119"/>
        <v>Santa Rosa and Sebastopol</v>
      </c>
      <c r="F2501" t="s">
        <v>324</v>
      </c>
      <c r="G2501">
        <f t="shared" si="117"/>
        <v>5</v>
      </c>
      <c r="H2501" t="s">
        <v>359</v>
      </c>
      <c r="I2501" t="s">
        <v>191</v>
      </c>
      <c r="J2501">
        <v>8</v>
      </c>
      <c r="K2501">
        <v>55.483478546769597</v>
      </c>
    </row>
    <row r="2502" spans="1:11" x14ac:dyDescent="0.25">
      <c r="A2502" s="159" t="str">
        <f t="shared" si="118"/>
        <v>CR-Petaluma and Rohnert Park-Santa Rosa and Sebastopol-Work</v>
      </c>
      <c r="B2502">
        <v>29</v>
      </c>
      <c r="C2502" t="str">
        <f t="shared" si="119"/>
        <v>Petaluma and Rohnert Park</v>
      </c>
      <c r="D2502">
        <v>30</v>
      </c>
      <c r="E2502" t="str">
        <f t="shared" si="119"/>
        <v>Santa Rosa and Sebastopol</v>
      </c>
      <c r="F2502" t="s">
        <v>30</v>
      </c>
      <c r="G2502">
        <f t="shared" si="117"/>
        <v>1</v>
      </c>
      <c r="H2502" t="s">
        <v>125</v>
      </c>
      <c r="I2502" t="s">
        <v>178</v>
      </c>
      <c r="J2502">
        <v>7</v>
      </c>
      <c r="K2502">
        <v>63.063595505617997</v>
      </c>
    </row>
    <row r="2503" spans="1:11" x14ac:dyDescent="0.25">
      <c r="A2503" s="159" t="str">
        <f t="shared" si="118"/>
        <v>LB-Petaluma and Rohnert Park-Santa Rosa and Sebastopol-Work</v>
      </c>
      <c r="B2503">
        <v>29</v>
      </c>
      <c r="C2503" t="str">
        <f t="shared" si="119"/>
        <v>Petaluma and Rohnert Park</v>
      </c>
      <c r="D2503">
        <v>30</v>
      </c>
      <c r="E2503" t="str">
        <f t="shared" si="119"/>
        <v>Santa Rosa and Sebastopol</v>
      </c>
      <c r="F2503" t="s">
        <v>30</v>
      </c>
      <c r="G2503">
        <f t="shared" si="117"/>
        <v>1</v>
      </c>
      <c r="H2503" t="s">
        <v>359</v>
      </c>
      <c r="I2503" t="s">
        <v>191</v>
      </c>
      <c r="J2503">
        <v>19</v>
      </c>
      <c r="K2503">
        <v>176.03563034997401</v>
      </c>
    </row>
    <row r="2504" spans="1:11" x14ac:dyDescent="0.25">
      <c r="A2504" s="159" t="str">
        <f t="shared" si="118"/>
        <v>CR-Petaluma and Rohnert Park-Healdsburg and Cloverdale-High school</v>
      </c>
      <c r="B2504">
        <v>29</v>
      </c>
      <c r="C2504" t="str">
        <f t="shared" si="119"/>
        <v>Petaluma and Rohnert Park</v>
      </c>
      <c r="D2504">
        <v>31</v>
      </c>
      <c r="E2504" t="str">
        <f t="shared" si="119"/>
        <v>Healdsburg and Cloverdale</v>
      </c>
      <c r="F2504" t="s">
        <v>326</v>
      </c>
      <c r="G2504">
        <f t="shared" si="117"/>
        <v>3</v>
      </c>
      <c r="H2504" t="s">
        <v>125</v>
      </c>
      <c r="I2504" t="s">
        <v>178</v>
      </c>
      <c r="J2504">
        <v>2</v>
      </c>
      <c r="K2504">
        <v>15.449438202247199</v>
      </c>
    </row>
    <row r="2505" spans="1:11" x14ac:dyDescent="0.25">
      <c r="A2505" s="159" t="str">
        <f t="shared" si="118"/>
        <v>LB-Petaluma and Rohnert Park-Healdsburg and Cloverdale-Missing</v>
      </c>
      <c r="B2505">
        <v>29</v>
      </c>
      <c r="C2505" t="str">
        <f t="shared" si="119"/>
        <v>Petaluma and Rohnert Park</v>
      </c>
      <c r="D2505">
        <v>31</v>
      </c>
      <c r="E2505" t="str">
        <f t="shared" si="119"/>
        <v>Healdsburg and Cloverdale</v>
      </c>
      <c r="F2505" t="s">
        <v>327</v>
      </c>
      <c r="G2505">
        <f t="shared" si="117"/>
        <v>0</v>
      </c>
      <c r="H2505" t="s">
        <v>359</v>
      </c>
      <c r="I2505" t="s">
        <v>191</v>
      </c>
      <c r="J2505">
        <v>1</v>
      </c>
      <c r="K2505">
        <v>5.5995670995670999</v>
      </c>
    </row>
    <row r="2506" spans="1:11" x14ac:dyDescent="0.25">
      <c r="A2506" s="159" t="str">
        <f t="shared" si="118"/>
        <v>LB-Petaluma and Rohnert Park-Healdsburg and Cloverdale-Other maintenance</v>
      </c>
      <c r="B2506">
        <v>29</v>
      </c>
      <c r="C2506" t="str">
        <f t="shared" si="119"/>
        <v>Petaluma and Rohnert Park</v>
      </c>
      <c r="D2506">
        <v>31</v>
      </c>
      <c r="E2506" t="str">
        <f t="shared" si="119"/>
        <v>Healdsburg and Cloverdale</v>
      </c>
      <c r="F2506" t="s">
        <v>325</v>
      </c>
      <c r="G2506">
        <f t="shared" si="117"/>
        <v>4</v>
      </c>
      <c r="H2506" t="s">
        <v>359</v>
      </c>
      <c r="I2506" t="s">
        <v>191</v>
      </c>
      <c r="J2506">
        <v>1</v>
      </c>
      <c r="K2506">
        <v>5.5995670995670999</v>
      </c>
    </row>
    <row r="2507" spans="1:11" x14ac:dyDescent="0.25">
      <c r="A2507" s="159" t="str">
        <f t="shared" si="118"/>
        <v>LB-Petaluma and Rohnert Park-Healdsburg and Cloverdale-Social recreation</v>
      </c>
      <c r="B2507">
        <v>29</v>
      </c>
      <c r="C2507" t="str">
        <f t="shared" si="119"/>
        <v>Petaluma and Rohnert Park</v>
      </c>
      <c r="D2507">
        <v>31</v>
      </c>
      <c r="E2507" t="str">
        <f t="shared" si="119"/>
        <v>Healdsburg and Cloverdale</v>
      </c>
      <c r="F2507" t="s">
        <v>324</v>
      </c>
      <c r="G2507">
        <f t="shared" si="117"/>
        <v>5</v>
      </c>
      <c r="H2507" t="s">
        <v>359</v>
      </c>
      <c r="I2507" t="s">
        <v>191</v>
      </c>
      <c r="J2507">
        <v>1</v>
      </c>
      <c r="K2507">
        <v>5.5995670995670999</v>
      </c>
    </row>
    <row r="2508" spans="1:11" x14ac:dyDescent="0.25">
      <c r="A2508" s="159" t="str">
        <f t="shared" si="118"/>
        <v>LB-Petaluma and Rohnert Park-Healdsburg and Cloverdale-Work</v>
      </c>
      <c r="B2508">
        <v>29</v>
      </c>
      <c r="C2508" t="str">
        <f t="shared" si="119"/>
        <v>Petaluma and Rohnert Park</v>
      </c>
      <c r="D2508">
        <v>31</v>
      </c>
      <c r="E2508" t="str">
        <f t="shared" si="119"/>
        <v>Healdsburg and Cloverdale</v>
      </c>
      <c r="F2508" t="s">
        <v>30</v>
      </c>
      <c r="G2508">
        <f t="shared" si="117"/>
        <v>1</v>
      </c>
      <c r="H2508" t="s">
        <v>359</v>
      </c>
      <c r="I2508" t="s">
        <v>191</v>
      </c>
      <c r="J2508">
        <v>3</v>
      </c>
      <c r="K2508">
        <v>16.7987012987013</v>
      </c>
    </row>
    <row r="2509" spans="1:11" x14ac:dyDescent="0.25">
      <c r="A2509" s="159" t="str">
        <f t="shared" si="118"/>
        <v>CR-Petaluma and Rohnert Park-Novato-High school</v>
      </c>
      <c r="B2509">
        <v>29</v>
      </c>
      <c r="C2509" t="str">
        <f t="shared" si="119"/>
        <v>Petaluma and Rohnert Park</v>
      </c>
      <c r="D2509">
        <v>32</v>
      </c>
      <c r="E2509" t="str">
        <f t="shared" si="119"/>
        <v>Novato</v>
      </c>
      <c r="F2509" t="s">
        <v>326</v>
      </c>
      <c r="G2509">
        <f t="shared" si="117"/>
        <v>3</v>
      </c>
      <c r="H2509" t="s">
        <v>125</v>
      </c>
      <c r="I2509" t="s">
        <v>178</v>
      </c>
      <c r="J2509">
        <v>5</v>
      </c>
      <c r="K2509">
        <v>38.623595505617999</v>
      </c>
    </row>
    <row r="2510" spans="1:11" x14ac:dyDescent="0.25">
      <c r="A2510" s="159" t="str">
        <f t="shared" si="118"/>
        <v>CR-Petaluma and Rohnert Park-Novato-Missing</v>
      </c>
      <c r="B2510">
        <v>29</v>
      </c>
      <c r="C2510" t="str">
        <f t="shared" si="119"/>
        <v>Petaluma and Rohnert Park</v>
      </c>
      <c r="D2510">
        <v>32</v>
      </c>
      <c r="E2510" t="str">
        <f t="shared" si="119"/>
        <v>Novato</v>
      </c>
      <c r="F2510" t="s">
        <v>327</v>
      </c>
      <c r="G2510">
        <f t="shared" si="117"/>
        <v>0</v>
      </c>
      <c r="H2510" t="s">
        <v>125</v>
      </c>
      <c r="I2510" t="s">
        <v>178</v>
      </c>
      <c r="J2510">
        <v>3</v>
      </c>
      <c r="K2510">
        <v>23.174157303370698</v>
      </c>
    </row>
    <row r="2511" spans="1:11" x14ac:dyDescent="0.25">
      <c r="A2511" s="159" t="str">
        <f t="shared" si="118"/>
        <v>LB-Petaluma and Rohnert Park-Novato-Missing</v>
      </c>
      <c r="B2511">
        <v>29</v>
      </c>
      <c r="C2511" t="str">
        <f t="shared" si="119"/>
        <v>Petaluma and Rohnert Park</v>
      </c>
      <c r="D2511">
        <v>32</v>
      </c>
      <c r="E2511" t="str">
        <f t="shared" si="119"/>
        <v>Novato</v>
      </c>
      <c r="F2511" t="s">
        <v>327</v>
      </c>
      <c r="G2511">
        <f t="shared" si="117"/>
        <v>0</v>
      </c>
      <c r="H2511" t="s">
        <v>359</v>
      </c>
      <c r="I2511" t="s">
        <v>191</v>
      </c>
      <c r="J2511">
        <v>1</v>
      </c>
      <c r="K2511">
        <v>3.04838709677419</v>
      </c>
    </row>
    <row r="2512" spans="1:11" x14ac:dyDescent="0.25">
      <c r="A2512" s="159" t="str">
        <f t="shared" si="118"/>
        <v>CR-Petaluma and Rohnert Park-Novato-Other maintenance</v>
      </c>
      <c r="B2512">
        <v>29</v>
      </c>
      <c r="C2512" t="str">
        <f t="shared" si="119"/>
        <v>Petaluma and Rohnert Park</v>
      </c>
      <c r="D2512">
        <v>32</v>
      </c>
      <c r="E2512" t="str">
        <f t="shared" si="119"/>
        <v>Novato</v>
      </c>
      <c r="F2512" t="s">
        <v>325</v>
      </c>
      <c r="G2512">
        <f t="shared" si="117"/>
        <v>4</v>
      </c>
      <c r="H2512" t="s">
        <v>125</v>
      </c>
      <c r="I2512" t="s">
        <v>178</v>
      </c>
      <c r="J2512">
        <v>1</v>
      </c>
      <c r="K2512">
        <v>7.7247191011235996</v>
      </c>
    </row>
    <row r="2513" spans="1:11" x14ac:dyDescent="0.25">
      <c r="A2513" s="159" t="str">
        <f t="shared" si="118"/>
        <v>CR-Petaluma and Rohnert Park-Novato-Social recreation</v>
      </c>
      <c r="B2513">
        <v>29</v>
      </c>
      <c r="C2513" t="str">
        <f t="shared" si="119"/>
        <v>Petaluma and Rohnert Park</v>
      </c>
      <c r="D2513">
        <v>32</v>
      </c>
      <c r="E2513" t="str">
        <f t="shared" si="119"/>
        <v>Novato</v>
      </c>
      <c r="F2513" t="s">
        <v>324</v>
      </c>
      <c r="G2513">
        <f t="shared" si="117"/>
        <v>5</v>
      </c>
      <c r="H2513" t="s">
        <v>125</v>
      </c>
      <c r="I2513" t="s">
        <v>178</v>
      </c>
      <c r="J2513">
        <v>4</v>
      </c>
      <c r="K2513">
        <v>35.394157303370797</v>
      </c>
    </row>
    <row r="2514" spans="1:11" x14ac:dyDescent="0.25">
      <c r="A2514" s="159" t="str">
        <f t="shared" si="118"/>
        <v>LB-Petaluma and Rohnert Park-Novato-Social recreation</v>
      </c>
      <c r="B2514">
        <v>29</v>
      </c>
      <c r="C2514" t="str">
        <f t="shared" si="119"/>
        <v>Petaluma and Rohnert Park</v>
      </c>
      <c r="D2514">
        <v>32</v>
      </c>
      <c r="E2514" t="str">
        <f t="shared" si="119"/>
        <v>Novato</v>
      </c>
      <c r="F2514" t="s">
        <v>324</v>
      </c>
      <c r="G2514">
        <f t="shared" si="117"/>
        <v>5</v>
      </c>
      <c r="H2514" t="s">
        <v>359</v>
      </c>
      <c r="I2514" t="s">
        <v>191</v>
      </c>
      <c r="J2514">
        <v>1</v>
      </c>
      <c r="K2514">
        <v>3.04838709677419</v>
      </c>
    </row>
    <row r="2515" spans="1:11" x14ac:dyDescent="0.25">
      <c r="A2515" s="159" t="str">
        <f t="shared" si="118"/>
        <v>CR-Petaluma and Rohnert Park-Novato-Work</v>
      </c>
      <c r="B2515">
        <v>29</v>
      </c>
      <c r="C2515" t="str">
        <f t="shared" si="119"/>
        <v>Petaluma and Rohnert Park</v>
      </c>
      <c r="D2515">
        <v>32</v>
      </c>
      <c r="E2515" t="str">
        <f t="shared" si="119"/>
        <v>Novato</v>
      </c>
      <c r="F2515" t="s">
        <v>30</v>
      </c>
      <c r="G2515">
        <f t="shared" si="117"/>
        <v>1</v>
      </c>
      <c r="H2515" t="s">
        <v>125</v>
      </c>
      <c r="I2515" t="s">
        <v>178</v>
      </c>
      <c r="J2515">
        <v>13</v>
      </c>
      <c r="K2515">
        <v>109.411910112359</v>
      </c>
    </row>
    <row r="2516" spans="1:11" x14ac:dyDescent="0.25">
      <c r="A2516" s="159" t="str">
        <f t="shared" si="118"/>
        <v>CR-Petaluma and Rohnert Park-San Rafael-High school</v>
      </c>
      <c r="B2516">
        <v>29</v>
      </c>
      <c r="C2516" t="str">
        <f t="shared" si="119"/>
        <v>Petaluma and Rohnert Park</v>
      </c>
      <c r="D2516">
        <v>33</v>
      </c>
      <c r="E2516" t="str">
        <f t="shared" si="119"/>
        <v>San Rafael</v>
      </c>
      <c r="F2516" t="s">
        <v>326</v>
      </c>
      <c r="G2516">
        <f t="shared" si="117"/>
        <v>3</v>
      </c>
      <c r="H2516" t="s">
        <v>125</v>
      </c>
      <c r="I2516" t="s">
        <v>178</v>
      </c>
      <c r="J2516">
        <v>2</v>
      </c>
      <c r="K2516">
        <v>15.449438202247199</v>
      </c>
    </row>
    <row r="2517" spans="1:11" x14ac:dyDescent="0.25">
      <c r="A2517" s="159" t="str">
        <f t="shared" si="118"/>
        <v>CR-Petaluma and Rohnert Park-San Rafael-Missing</v>
      </c>
      <c r="B2517">
        <v>29</v>
      </c>
      <c r="C2517" t="str">
        <f t="shared" si="119"/>
        <v>Petaluma and Rohnert Park</v>
      </c>
      <c r="D2517">
        <v>33</v>
      </c>
      <c r="E2517" t="str">
        <f t="shared" si="119"/>
        <v>San Rafael</v>
      </c>
      <c r="F2517" t="s">
        <v>327</v>
      </c>
      <c r="G2517">
        <f t="shared" si="117"/>
        <v>0</v>
      </c>
      <c r="H2517" t="s">
        <v>125</v>
      </c>
      <c r="I2517" t="s">
        <v>178</v>
      </c>
      <c r="J2517">
        <v>2</v>
      </c>
      <c r="K2517">
        <v>19.944719101123599</v>
      </c>
    </row>
    <row r="2518" spans="1:11" x14ac:dyDescent="0.25">
      <c r="A2518" s="159" t="str">
        <f t="shared" si="118"/>
        <v>CR-Petaluma and Rohnert Park-San Rafael-Social recreation</v>
      </c>
      <c r="B2518">
        <v>29</v>
      </c>
      <c r="C2518" t="str">
        <f t="shared" si="119"/>
        <v>Petaluma and Rohnert Park</v>
      </c>
      <c r="D2518">
        <v>33</v>
      </c>
      <c r="E2518" t="str">
        <f t="shared" si="119"/>
        <v>San Rafael</v>
      </c>
      <c r="F2518" t="s">
        <v>324</v>
      </c>
      <c r="G2518">
        <f t="shared" si="117"/>
        <v>5</v>
      </c>
      <c r="H2518" t="s">
        <v>125</v>
      </c>
      <c r="I2518" t="s">
        <v>178</v>
      </c>
      <c r="J2518">
        <v>6</v>
      </c>
      <c r="K2518">
        <v>46.348314606741503</v>
      </c>
    </row>
    <row r="2519" spans="1:11" x14ac:dyDescent="0.25">
      <c r="A2519" s="159" t="str">
        <f t="shared" si="118"/>
        <v>CR-Petaluma and Rohnert Park-San Rafael-Work</v>
      </c>
      <c r="B2519">
        <v>29</v>
      </c>
      <c r="C2519" t="str">
        <f t="shared" si="119"/>
        <v>Petaluma and Rohnert Park</v>
      </c>
      <c r="D2519">
        <v>33</v>
      </c>
      <c r="E2519" t="str">
        <f t="shared" si="119"/>
        <v>San Rafael</v>
      </c>
      <c r="F2519" t="s">
        <v>30</v>
      </c>
      <c r="G2519">
        <f t="shared" si="117"/>
        <v>1</v>
      </c>
      <c r="H2519" t="s">
        <v>125</v>
      </c>
      <c r="I2519" t="s">
        <v>178</v>
      </c>
      <c r="J2519">
        <v>22</v>
      </c>
      <c r="K2519">
        <v>169.94382022471899</v>
      </c>
    </row>
    <row r="2520" spans="1:11" x14ac:dyDescent="0.25">
      <c r="A2520" s="159" t="str">
        <f t="shared" si="118"/>
        <v>LB-Petaluma and Rohnert Park-San Rafael-Work</v>
      </c>
      <c r="B2520">
        <v>29</v>
      </c>
      <c r="C2520" t="str">
        <f t="shared" si="119"/>
        <v>Petaluma and Rohnert Park</v>
      </c>
      <c r="D2520">
        <v>33</v>
      </c>
      <c r="E2520" t="str">
        <f t="shared" si="119"/>
        <v>San Rafael</v>
      </c>
      <c r="F2520" t="s">
        <v>30</v>
      </c>
      <c r="G2520">
        <f t="shared" si="117"/>
        <v>1</v>
      </c>
      <c r="H2520" t="s">
        <v>359</v>
      </c>
      <c r="I2520" t="s">
        <v>191</v>
      </c>
      <c r="J2520">
        <v>4</v>
      </c>
      <c r="K2520">
        <v>34.4977327746874</v>
      </c>
    </row>
    <row r="2521" spans="1:11" x14ac:dyDescent="0.25">
      <c r="A2521" s="159" t="str">
        <f t="shared" si="118"/>
        <v>CR-Petaluma and Rohnert Park-Mill Valley and Sausalito-High school</v>
      </c>
      <c r="B2521">
        <v>29</v>
      </c>
      <c r="C2521" t="str">
        <f t="shared" si="119"/>
        <v>Petaluma and Rohnert Park</v>
      </c>
      <c r="D2521">
        <v>34</v>
      </c>
      <c r="E2521" t="str">
        <f t="shared" si="119"/>
        <v>Mill Valley and Sausalito</v>
      </c>
      <c r="F2521" t="s">
        <v>326</v>
      </c>
      <c r="G2521">
        <f t="shared" si="117"/>
        <v>3</v>
      </c>
      <c r="H2521" t="s">
        <v>125</v>
      </c>
      <c r="I2521" t="s">
        <v>178</v>
      </c>
      <c r="J2521">
        <v>1</v>
      </c>
      <c r="K2521">
        <v>7.7247191011235996</v>
      </c>
    </row>
    <row r="2522" spans="1:11" x14ac:dyDescent="0.25">
      <c r="A2522" s="159" t="str">
        <f t="shared" si="118"/>
        <v>LB-Petaluma and Rohnert Park-Mill Valley and Sausalito-High school</v>
      </c>
      <c r="B2522">
        <v>29</v>
      </c>
      <c r="C2522" t="str">
        <f t="shared" si="119"/>
        <v>Petaluma and Rohnert Park</v>
      </c>
      <c r="D2522">
        <v>34</v>
      </c>
      <c r="E2522" t="str">
        <f t="shared" si="119"/>
        <v>Mill Valley and Sausalito</v>
      </c>
      <c r="F2522" t="s">
        <v>326</v>
      </c>
      <c r="G2522">
        <f t="shared" si="117"/>
        <v>3</v>
      </c>
      <c r="H2522" t="s">
        <v>359</v>
      </c>
      <c r="I2522" t="s">
        <v>191</v>
      </c>
      <c r="J2522">
        <v>1</v>
      </c>
      <c r="K2522">
        <v>19.725941422594101</v>
      </c>
    </row>
    <row r="2523" spans="1:11" x14ac:dyDescent="0.25">
      <c r="A2523" s="159" t="str">
        <f t="shared" si="118"/>
        <v>CR-Petaluma and Rohnert Park-Mill Valley and Sausalito-Missing</v>
      </c>
      <c r="B2523">
        <v>29</v>
      </c>
      <c r="C2523" t="str">
        <f t="shared" si="119"/>
        <v>Petaluma and Rohnert Park</v>
      </c>
      <c r="D2523">
        <v>34</v>
      </c>
      <c r="E2523" t="str">
        <f t="shared" si="119"/>
        <v>Mill Valley and Sausalito</v>
      </c>
      <c r="F2523" t="s">
        <v>327</v>
      </c>
      <c r="G2523">
        <f t="shared" si="117"/>
        <v>0</v>
      </c>
      <c r="H2523" t="s">
        <v>125</v>
      </c>
      <c r="I2523" t="s">
        <v>178</v>
      </c>
      <c r="J2523">
        <v>2</v>
      </c>
      <c r="K2523">
        <v>15.449438202247199</v>
      </c>
    </row>
    <row r="2524" spans="1:11" x14ac:dyDescent="0.25">
      <c r="A2524" s="159" t="str">
        <f t="shared" si="118"/>
        <v>LB-Petaluma and Rohnert Park-Mill Valley and Sausalito-Other maintenance</v>
      </c>
      <c r="B2524">
        <v>29</v>
      </c>
      <c r="C2524" t="str">
        <f t="shared" si="119"/>
        <v>Petaluma and Rohnert Park</v>
      </c>
      <c r="D2524">
        <v>34</v>
      </c>
      <c r="E2524" t="str">
        <f t="shared" si="119"/>
        <v>Mill Valley and Sausalito</v>
      </c>
      <c r="F2524" t="s">
        <v>325</v>
      </c>
      <c r="G2524">
        <f t="shared" si="117"/>
        <v>4</v>
      </c>
      <c r="H2524" t="s">
        <v>359</v>
      </c>
      <c r="I2524" t="s">
        <v>191</v>
      </c>
      <c r="J2524">
        <v>1</v>
      </c>
      <c r="K2524">
        <v>19.725941422594101</v>
      </c>
    </row>
    <row r="2525" spans="1:11" x14ac:dyDescent="0.25">
      <c r="A2525" s="159" t="str">
        <f t="shared" si="118"/>
        <v>CR-Petaluma and Rohnert Park-Mill Valley and Sausalito-Shopping</v>
      </c>
      <c r="B2525">
        <v>29</v>
      </c>
      <c r="C2525" t="str">
        <f t="shared" si="119"/>
        <v>Petaluma and Rohnert Park</v>
      </c>
      <c r="D2525">
        <v>34</v>
      </c>
      <c r="E2525" t="str">
        <f t="shared" si="119"/>
        <v>Mill Valley and Sausalito</v>
      </c>
      <c r="F2525" t="s">
        <v>106</v>
      </c>
      <c r="G2525">
        <f t="shared" si="117"/>
        <v>4</v>
      </c>
      <c r="H2525" t="s">
        <v>125</v>
      </c>
      <c r="I2525" t="s">
        <v>178</v>
      </c>
      <c r="J2525">
        <v>1</v>
      </c>
      <c r="K2525">
        <v>12.22</v>
      </c>
    </row>
    <row r="2526" spans="1:11" x14ac:dyDescent="0.25">
      <c r="A2526" s="159" t="str">
        <f t="shared" si="118"/>
        <v>CR-Petaluma and Rohnert Park-Mill Valley and Sausalito-Social recreation</v>
      </c>
      <c r="B2526">
        <v>29</v>
      </c>
      <c r="C2526" t="str">
        <f t="shared" si="119"/>
        <v>Petaluma and Rohnert Park</v>
      </c>
      <c r="D2526">
        <v>34</v>
      </c>
      <c r="E2526" t="str">
        <f t="shared" si="119"/>
        <v>Mill Valley and Sausalito</v>
      </c>
      <c r="F2526" t="s">
        <v>324</v>
      </c>
      <c r="G2526">
        <f t="shared" si="117"/>
        <v>5</v>
      </c>
      <c r="H2526" t="s">
        <v>125</v>
      </c>
      <c r="I2526" t="s">
        <v>178</v>
      </c>
      <c r="J2526">
        <v>4</v>
      </c>
      <c r="K2526">
        <v>35.394157303370797</v>
      </c>
    </row>
    <row r="2527" spans="1:11" x14ac:dyDescent="0.25">
      <c r="A2527" s="159" t="str">
        <f t="shared" si="118"/>
        <v>CR-Petaluma and Rohnert Park-Mill Valley and Sausalito-Work</v>
      </c>
      <c r="B2527">
        <v>29</v>
      </c>
      <c r="C2527" t="str">
        <f t="shared" si="119"/>
        <v>Petaluma and Rohnert Park</v>
      </c>
      <c r="D2527">
        <v>34</v>
      </c>
      <c r="E2527" t="str">
        <f t="shared" si="119"/>
        <v>Mill Valley and Sausalito</v>
      </c>
      <c r="F2527" t="s">
        <v>30</v>
      </c>
      <c r="G2527">
        <f t="shared" si="117"/>
        <v>1</v>
      </c>
      <c r="H2527" t="s">
        <v>125</v>
      </c>
      <c r="I2527" t="s">
        <v>178</v>
      </c>
      <c r="J2527">
        <v>7</v>
      </c>
      <c r="K2527">
        <v>54.0730337078652</v>
      </c>
    </row>
    <row r="2528" spans="1:11" x14ac:dyDescent="0.25">
      <c r="A2528" s="159" t="str">
        <f t="shared" si="118"/>
        <v>CR-Santa Rosa and Sebastopol-Greater Downtown San Francisco-Social recreation</v>
      </c>
      <c r="B2528">
        <v>30</v>
      </c>
      <c r="C2528" t="str">
        <f t="shared" si="119"/>
        <v>Santa Rosa and Sebastopol</v>
      </c>
      <c r="D2528">
        <v>1</v>
      </c>
      <c r="E2528" t="str">
        <f t="shared" si="119"/>
        <v>Greater Downtown San Francisco</v>
      </c>
      <c r="F2528" t="s">
        <v>324</v>
      </c>
      <c r="G2528">
        <f t="shared" si="117"/>
        <v>5</v>
      </c>
      <c r="H2528" t="s">
        <v>125</v>
      </c>
      <c r="I2528" t="s">
        <v>178</v>
      </c>
      <c r="J2528">
        <v>2</v>
      </c>
      <c r="K2528">
        <v>15.449438202247199</v>
      </c>
    </row>
    <row r="2529" spans="1:11" x14ac:dyDescent="0.25">
      <c r="A2529" s="159" t="str">
        <f t="shared" si="118"/>
        <v>CR-Santa Rosa and Sebastopol-Greater Downtown San Francisco-Work</v>
      </c>
      <c r="B2529">
        <v>30</v>
      </c>
      <c r="C2529" t="str">
        <f t="shared" si="119"/>
        <v>Santa Rosa and Sebastopol</v>
      </c>
      <c r="D2529">
        <v>1</v>
      </c>
      <c r="E2529" t="str">
        <f t="shared" si="119"/>
        <v>Greater Downtown San Francisco</v>
      </c>
      <c r="F2529" t="s">
        <v>30</v>
      </c>
      <c r="G2529">
        <f t="shared" si="117"/>
        <v>1</v>
      </c>
      <c r="H2529" t="s">
        <v>125</v>
      </c>
      <c r="I2529" t="s">
        <v>178</v>
      </c>
      <c r="J2529">
        <v>1</v>
      </c>
      <c r="K2529">
        <v>7.7247191011235996</v>
      </c>
    </row>
    <row r="2530" spans="1:11" x14ac:dyDescent="0.25">
      <c r="A2530" s="159" t="str">
        <f t="shared" si="118"/>
        <v>LB-Santa Rosa and Sebastopol-Greater Downtown San Francisco-Work</v>
      </c>
      <c r="B2530">
        <v>30</v>
      </c>
      <c r="C2530" t="str">
        <f t="shared" si="119"/>
        <v>Santa Rosa and Sebastopol</v>
      </c>
      <c r="D2530">
        <v>1</v>
      </c>
      <c r="E2530" t="str">
        <f t="shared" si="119"/>
        <v>Greater Downtown San Francisco</v>
      </c>
      <c r="F2530" t="s">
        <v>30</v>
      </c>
      <c r="G2530">
        <f t="shared" si="117"/>
        <v>1</v>
      </c>
      <c r="H2530" t="s">
        <v>359</v>
      </c>
      <c r="I2530" t="s">
        <v>191</v>
      </c>
      <c r="J2530">
        <v>1</v>
      </c>
      <c r="K2530">
        <v>10.9430379746835</v>
      </c>
    </row>
    <row r="2531" spans="1:11" x14ac:dyDescent="0.25">
      <c r="A2531" s="159" t="str">
        <f t="shared" si="118"/>
        <v>CR-Santa Rosa and Sebastopol-San Francisco Richmond District-Other maintenance</v>
      </c>
      <c r="B2531">
        <v>30</v>
      </c>
      <c r="C2531" t="str">
        <f t="shared" si="119"/>
        <v>Santa Rosa and Sebastopol</v>
      </c>
      <c r="D2531">
        <v>2</v>
      </c>
      <c r="E2531" t="str">
        <f t="shared" si="119"/>
        <v>San Francisco Richmond District</v>
      </c>
      <c r="F2531" t="s">
        <v>325</v>
      </c>
      <c r="G2531">
        <f t="shared" si="117"/>
        <v>4</v>
      </c>
      <c r="H2531" t="s">
        <v>125</v>
      </c>
      <c r="I2531" t="s">
        <v>178</v>
      </c>
      <c r="J2531">
        <v>1</v>
      </c>
      <c r="K2531">
        <v>12.22</v>
      </c>
    </row>
    <row r="2532" spans="1:11" x14ac:dyDescent="0.25">
      <c r="A2532" s="159" t="str">
        <f t="shared" si="118"/>
        <v>CR-Santa Rosa and Sebastopol-San Francisco Richmond District-Social recreation</v>
      </c>
      <c r="B2532">
        <v>30</v>
      </c>
      <c r="C2532" t="str">
        <f t="shared" si="119"/>
        <v>Santa Rosa and Sebastopol</v>
      </c>
      <c r="D2532">
        <v>2</v>
      </c>
      <c r="E2532" t="str">
        <f t="shared" si="119"/>
        <v>San Francisco Richmond District</v>
      </c>
      <c r="F2532" t="s">
        <v>324</v>
      </c>
      <c r="G2532">
        <f t="shared" si="117"/>
        <v>5</v>
      </c>
      <c r="H2532" t="s">
        <v>125</v>
      </c>
      <c r="I2532" t="s">
        <v>178</v>
      </c>
      <c r="J2532">
        <v>2</v>
      </c>
      <c r="K2532">
        <v>24.44</v>
      </c>
    </row>
    <row r="2533" spans="1:11" x14ac:dyDescent="0.25">
      <c r="A2533" s="159" t="str">
        <f t="shared" si="118"/>
        <v>CR-Santa Rosa and Sebastopol-San Francisco Mission District-Social recreation</v>
      </c>
      <c r="B2533">
        <v>30</v>
      </c>
      <c r="C2533" t="str">
        <f t="shared" si="119"/>
        <v>Santa Rosa and Sebastopol</v>
      </c>
      <c r="D2533">
        <v>3</v>
      </c>
      <c r="E2533" t="str">
        <f t="shared" si="119"/>
        <v>San Francisco Mission District</v>
      </c>
      <c r="F2533" t="s">
        <v>324</v>
      </c>
      <c r="G2533">
        <f t="shared" si="117"/>
        <v>5</v>
      </c>
      <c r="H2533" t="s">
        <v>125</v>
      </c>
      <c r="I2533" t="s">
        <v>178</v>
      </c>
      <c r="J2533">
        <v>1</v>
      </c>
      <c r="K2533">
        <v>12.22</v>
      </c>
    </row>
    <row r="2534" spans="1:11" x14ac:dyDescent="0.25">
      <c r="A2534" s="159" t="str">
        <f t="shared" si="118"/>
        <v>CR-Santa Rosa and Sebastopol-San Francisco Mission District-Work</v>
      </c>
      <c r="B2534">
        <v>30</v>
      </c>
      <c r="C2534" t="str">
        <f t="shared" si="119"/>
        <v>Santa Rosa and Sebastopol</v>
      </c>
      <c r="D2534">
        <v>3</v>
      </c>
      <c r="E2534" t="str">
        <f t="shared" si="119"/>
        <v>San Francisco Mission District</v>
      </c>
      <c r="F2534" t="s">
        <v>30</v>
      </c>
      <c r="G2534">
        <f t="shared" si="117"/>
        <v>1</v>
      </c>
      <c r="H2534" t="s">
        <v>125</v>
      </c>
      <c r="I2534" t="s">
        <v>178</v>
      </c>
      <c r="J2534">
        <v>1</v>
      </c>
      <c r="K2534">
        <v>7.7247191011235996</v>
      </c>
    </row>
    <row r="2535" spans="1:11" x14ac:dyDescent="0.25">
      <c r="A2535" s="159" t="str">
        <f t="shared" si="118"/>
        <v>CR-Santa Rosa and Sebastopol-Daly City and San Bruno-Social recreation</v>
      </c>
      <c r="B2535">
        <v>30</v>
      </c>
      <c r="C2535" t="str">
        <f t="shared" si="119"/>
        <v>Santa Rosa and Sebastopol</v>
      </c>
      <c r="D2535">
        <v>5</v>
      </c>
      <c r="E2535" t="str">
        <f t="shared" si="119"/>
        <v>Daly City and San Bruno</v>
      </c>
      <c r="F2535" t="s">
        <v>324</v>
      </c>
      <c r="G2535">
        <f t="shared" si="117"/>
        <v>5</v>
      </c>
      <c r="H2535" t="s">
        <v>125</v>
      </c>
      <c r="I2535" t="s">
        <v>178</v>
      </c>
      <c r="J2535">
        <v>1</v>
      </c>
      <c r="K2535">
        <v>12.22</v>
      </c>
    </row>
    <row r="2536" spans="1:11" x14ac:dyDescent="0.25">
      <c r="A2536" s="159" t="str">
        <f t="shared" si="118"/>
        <v>LB-Santa Rosa and Sebastopol-Palo Alto and Los Altos-Social recreation</v>
      </c>
      <c r="B2536">
        <v>30</v>
      </c>
      <c r="C2536" t="str">
        <f t="shared" si="119"/>
        <v>Santa Rosa and Sebastopol</v>
      </c>
      <c r="D2536">
        <v>8</v>
      </c>
      <c r="E2536" t="str">
        <f t="shared" si="119"/>
        <v>Palo Alto and Los Altos</v>
      </c>
      <c r="F2536" t="s">
        <v>324</v>
      </c>
      <c r="G2536">
        <f t="shared" si="117"/>
        <v>5</v>
      </c>
      <c r="H2536" t="s">
        <v>359</v>
      </c>
      <c r="I2536" t="s">
        <v>191</v>
      </c>
      <c r="J2536">
        <v>1</v>
      </c>
      <c r="K2536">
        <v>10.9430379746835</v>
      </c>
    </row>
    <row r="2537" spans="1:11" x14ac:dyDescent="0.25">
      <c r="A2537" s="159" t="str">
        <f t="shared" si="118"/>
        <v>LB-Santa Rosa and Sebastopol-Central San Jose-Missing</v>
      </c>
      <c r="B2537">
        <v>30</v>
      </c>
      <c r="C2537" t="str">
        <f t="shared" si="119"/>
        <v>Santa Rosa and Sebastopol</v>
      </c>
      <c r="D2537">
        <v>11</v>
      </c>
      <c r="E2537" t="str">
        <f t="shared" si="119"/>
        <v>Central San Jose</v>
      </c>
      <c r="F2537" t="s">
        <v>327</v>
      </c>
      <c r="G2537">
        <f t="shared" si="117"/>
        <v>0</v>
      </c>
      <c r="H2537" t="s">
        <v>359</v>
      </c>
      <c r="I2537" t="s">
        <v>191</v>
      </c>
      <c r="J2537">
        <v>1</v>
      </c>
      <c r="K2537">
        <v>20.181818181818201</v>
      </c>
    </row>
    <row r="2538" spans="1:11" x14ac:dyDescent="0.25">
      <c r="A2538" s="159" t="str">
        <f t="shared" si="118"/>
        <v>CR-Santa Rosa and Sebastopol-Berkeley and Albany-High school</v>
      </c>
      <c r="B2538">
        <v>30</v>
      </c>
      <c r="C2538" t="str">
        <f t="shared" si="119"/>
        <v>Santa Rosa and Sebastopol</v>
      </c>
      <c r="D2538">
        <v>19</v>
      </c>
      <c r="E2538" t="str">
        <f t="shared" si="119"/>
        <v>Berkeley and Albany</v>
      </c>
      <c r="F2538" t="s">
        <v>326</v>
      </c>
      <c r="G2538">
        <f t="shared" si="117"/>
        <v>3</v>
      </c>
      <c r="H2538" t="s">
        <v>125</v>
      </c>
      <c r="I2538" t="s">
        <v>178</v>
      </c>
      <c r="J2538">
        <v>1</v>
      </c>
      <c r="K2538">
        <v>7.7247191011235996</v>
      </c>
    </row>
    <row r="2539" spans="1:11" x14ac:dyDescent="0.25">
      <c r="A2539" s="159" t="str">
        <f t="shared" si="118"/>
        <v>CR-Santa Rosa and Sebastopol-Berkeley and Albany-Social recreation</v>
      </c>
      <c r="B2539">
        <v>30</v>
      </c>
      <c r="C2539" t="str">
        <f t="shared" si="119"/>
        <v>Santa Rosa and Sebastopol</v>
      </c>
      <c r="D2539">
        <v>19</v>
      </c>
      <c r="E2539" t="str">
        <f t="shared" si="119"/>
        <v>Berkeley and Albany</v>
      </c>
      <c r="F2539" t="s">
        <v>324</v>
      </c>
      <c r="G2539">
        <f t="shared" si="117"/>
        <v>5</v>
      </c>
      <c r="H2539" t="s">
        <v>125</v>
      </c>
      <c r="I2539" t="s">
        <v>178</v>
      </c>
      <c r="J2539">
        <v>1</v>
      </c>
      <c r="K2539">
        <v>7.7247191011235996</v>
      </c>
    </row>
    <row r="2540" spans="1:11" x14ac:dyDescent="0.25">
      <c r="A2540" s="159" t="str">
        <f t="shared" si="118"/>
        <v>LB-Santa Rosa and Sebastopol-Concord and Martinez-Other maintenance</v>
      </c>
      <c r="B2540">
        <v>30</v>
      </c>
      <c r="C2540" t="str">
        <f t="shared" si="119"/>
        <v>Santa Rosa and Sebastopol</v>
      </c>
      <c r="D2540">
        <v>21</v>
      </c>
      <c r="E2540" t="str">
        <f t="shared" si="119"/>
        <v>Concord and Martinez</v>
      </c>
      <c r="F2540" t="s">
        <v>325</v>
      </c>
      <c r="G2540">
        <f t="shared" si="117"/>
        <v>4</v>
      </c>
      <c r="H2540" t="s">
        <v>359</v>
      </c>
      <c r="I2540" t="s">
        <v>191</v>
      </c>
      <c r="J2540">
        <v>1</v>
      </c>
      <c r="K2540">
        <v>10.9430379746835</v>
      </c>
    </row>
    <row r="2541" spans="1:11" x14ac:dyDescent="0.25">
      <c r="A2541" s="159" t="str">
        <f t="shared" si="118"/>
        <v>CR-Santa Rosa and Sebastopol-Antioch and Pittsburg-Social recreation</v>
      </c>
      <c r="B2541">
        <v>30</v>
      </c>
      <c r="C2541" t="str">
        <f t="shared" si="119"/>
        <v>Santa Rosa and Sebastopol</v>
      </c>
      <c r="D2541">
        <v>24</v>
      </c>
      <c r="E2541" t="str">
        <f t="shared" si="119"/>
        <v>Antioch and Pittsburg</v>
      </c>
      <c r="F2541" t="s">
        <v>324</v>
      </c>
      <c r="G2541">
        <f t="shared" si="117"/>
        <v>5</v>
      </c>
      <c r="H2541" t="s">
        <v>125</v>
      </c>
      <c r="I2541" t="s">
        <v>178</v>
      </c>
      <c r="J2541">
        <v>1</v>
      </c>
      <c r="K2541">
        <v>7.7247191011235996</v>
      </c>
    </row>
    <row r="2542" spans="1:11" x14ac:dyDescent="0.25">
      <c r="A2542" s="159" t="str">
        <f t="shared" si="118"/>
        <v>LB-Santa Rosa and Sebastopol-Petaluma and Rohnert Park-High school</v>
      </c>
      <c r="B2542">
        <v>30</v>
      </c>
      <c r="C2542" t="str">
        <f t="shared" si="119"/>
        <v>Santa Rosa and Sebastopol</v>
      </c>
      <c r="D2542">
        <v>29</v>
      </c>
      <c r="E2542" t="str">
        <f t="shared" si="119"/>
        <v>Petaluma and Rohnert Park</v>
      </c>
      <c r="F2542" t="s">
        <v>326</v>
      </c>
      <c r="G2542">
        <f t="shared" si="117"/>
        <v>3</v>
      </c>
      <c r="H2542" t="s">
        <v>359</v>
      </c>
      <c r="I2542" t="s">
        <v>191</v>
      </c>
      <c r="J2542">
        <v>6</v>
      </c>
      <c r="K2542">
        <v>38.940873472519002</v>
      </c>
    </row>
    <row r="2543" spans="1:11" x14ac:dyDescent="0.25">
      <c r="A2543" s="159" t="str">
        <f t="shared" si="118"/>
        <v>CR-Santa Rosa and Sebastopol-Petaluma and Rohnert Park-Missing</v>
      </c>
      <c r="B2543">
        <v>30</v>
      </c>
      <c r="C2543" t="str">
        <f t="shared" si="119"/>
        <v>Santa Rosa and Sebastopol</v>
      </c>
      <c r="D2543">
        <v>29</v>
      </c>
      <c r="E2543" t="str">
        <f t="shared" si="119"/>
        <v>Petaluma and Rohnert Park</v>
      </c>
      <c r="F2543" t="s">
        <v>327</v>
      </c>
      <c r="G2543">
        <f t="shared" si="117"/>
        <v>0</v>
      </c>
      <c r="H2543" t="s">
        <v>125</v>
      </c>
      <c r="I2543" t="s">
        <v>178</v>
      </c>
      <c r="J2543">
        <v>1</v>
      </c>
      <c r="K2543">
        <v>7.7247191011235996</v>
      </c>
    </row>
    <row r="2544" spans="1:11" x14ac:dyDescent="0.25">
      <c r="A2544" s="159" t="str">
        <f t="shared" si="118"/>
        <v>LB-Santa Rosa and Sebastopol-Petaluma and Rohnert Park-Missing</v>
      </c>
      <c r="B2544">
        <v>30</v>
      </c>
      <c r="C2544" t="str">
        <f t="shared" si="119"/>
        <v>Santa Rosa and Sebastopol</v>
      </c>
      <c r="D2544">
        <v>29</v>
      </c>
      <c r="E2544" t="str">
        <f t="shared" si="119"/>
        <v>Petaluma and Rohnert Park</v>
      </c>
      <c r="F2544" t="s">
        <v>327</v>
      </c>
      <c r="G2544">
        <f t="shared" si="117"/>
        <v>0</v>
      </c>
      <c r="H2544" t="s">
        <v>359</v>
      </c>
      <c r="I2544" t="s">
        <v>191</v>
      </c>
      <c r="J2544">
        <v>10</v>
      </c>
      <c r="K2544">
        <v>70.840057106014498</v>
      </c>
    </row>
    <row r="2545" spans="1:11" x14ac:dyDescent="0.25">
      <c r="A2545" s="159" t="str">
        <f t="shared" si="118"/>
        <v>CR-Santa Rosa and Sebastopol-Petaluma and Rohnert Park-Other</v>
      </c>
      <c r="B2545">
        <v>30</v>
      </c>
      <c r="C2545" t="str">
        <f t="shared" si="119"/>
        <v>Santa Rosa and Sebastopol</v>
      </c>
      <c r="D2545">
        <v>29</v>
      </c>
      <c r="E2545" t="str">
        <f t="shared" si="119"/>
        <v>Petaluma and Rohnert Park</v>
      </c>
      <c r="F2545" t="s">
        <v>328</v>
      </c>
      <c r="G2545">
        <f t="shared" si="117"/>
        <v>0</v>
      </c>
      <c r="H2545" t="s">
        <v>125</v>
      </c>
      <c r="I2545" t="s">
        <v>178</v>
      </c>
      <c r="J2545">
        <v>1</v>
      </c>
      <c r="K2545">
        <v>7.7247191011235996</v>
      </c>
    </row>
    <row r="2546" spans="1:11" x14ac:dyDescent="0.25">
      <c r="A2546" s="159" t="str">
        <f t="shared" si="118"/>
        <v>LB-Santa Rosa and Sebastopol-Petaluma and Rohnert Park-Other</v>
      </c>
      <c r="B2546">
        <v>30</v>
      </c>
      <c r="C2546" t="str">
        <f t="shared" si="119"/>
        <v>Santa Rosa and Sebastopol</v>
      </c>
      <c r="D2546">
        <v>29</v>
      </c>
      <c r="E2546" t="str">
        <f t="shared" si="119"/>
        <v>Petaluma and Rohnert Park</v>
      </c>
      <c r="F2546" t="s">
        <v>328</v>
      </c>
      <c r="G2546">
        <f t="shared" si="117"/>
        <v>0</v>
      </c>
      <c r="H2546" t="s">
        <v>359</v>
      </c>
      <c r="I2546" t="s">
        <v>191</v>
      </c>
      <c r="J2546">
        <v>1</v>
      </c>
      <c r="K2546">
        <v>5.5995670995670999</v>
      </c>
    </row>
    <row r="2547" spans="1:11" x14ac:dyDescent="0.25">
      <c r="A2547" s="159" t="str">
        <f t="shared" si="118"/>
        <v>LB-Santa Rosa and Sebastopol-Petaluma and Rohnert Park-Other maintenance</v>
      </c>
      <c r="B2547">
        <v>30</v>
      </c>
      <c r="C2547" t="str">
        <f t="shared" si="119"/>
        <v>Santa Rosa and Sebastopol</v>
      </c>
      <c r="D2547">
        <v>29</v>
      </c>
      <c r="E2547" t="str">
        <f t="shared" si="119"/>
        <v>Petaluma and Rohnert Park</v>
      </c>
      <c r="F2547" t="s">
        <v>325</v>
      </c>
      <c r="G2547">
        <f t="shared" si="117"/>
        <v>4</v>
      </c>
      <c r="H2547" t="s">
        <v>359</v>
      </c>
      <c r="I2547" t="s">
        <v>191</v>
      </c>
      <c r="J2547">
        <v>4</v>
      </c>
      <c r="K2547">
        <v>22.660403426360801</v>
      </c>
    </row>
    <row r="2548" spans="1:11" x14ac:dyDescent="0.25">
      <c r="A2548" s="159" t="str">
        <f t="shared" si="118"/>
        <v>LB-Santa Rosa and Sebastopol-Petaluma and Rohnert Park-Shopping</v>
      </c>
      <c r="B2548">
        <v>30</v>
      </c>
      <c r="C2548" t="str">
        <f t="shared" si="119"/>
        <v>Santa Rosa and Sebastopol</v>
      </c>
      <c r="D2548">
        <v>29</v>
      </c>
      <c r="E2548" t="str">
        <f t="shared" si="119"/>
        <v>Petaluma and Rohnert Park</v>
      </c>
      <c r="F2548" t="s">
        <v>106</v>
      </c>
      <c r="G2548">
        <f t="shared" si="117"/>
        <v>4</v>
      </c>
      <c r="H2548" t="s">
        <v>359</v>
      </c>
      <c r="I2548" t="s">
        <v>191</v>
      </c>
      <c r="J2548">
        <v>3</v>
      </c>
      <c r="K2548">
        <v>16.7987012987013</v>
      </c>
    </row>
    <row r="2549" spans="1:11" x14ac:dyDescent="0.25">
      <c r="A2549" s="159" t="str">
        <f t="shared" si="118"/>
        <v>CR-Santa Rosa and Sebastopol-Petaluma and Rohnert Park-Social recreation</v>
      </c>
      <c r="B2549">
        <v>30</v>
      </c>
      <c r="C2549" t="str">
        <f t="shared" si="119"/>
        <v>Santa Rosa and Sebastopol</v>
      </c>
      <c r="D2549">
        <v>29</v>
      </c>
      <c r="E2549" t="str">
        <f t="shared" si="119"/>
        <v>Petaluma and Rohnert Park</v>
      </c>
      <c r="F2549" t="s">
        <v>324</v>
      </c>
      <c r="G2549">
        <f t="shared" si="117"/>
        <v>5</v>
      </c>
      <c r="H2549" t="s">
        <v>125</v>
      </c>
      <c r="I2549" t="s">
        <v>178</v>
      </c>
      <c r="J2549">
        <v>1</v>
      </c>
      <c r="K2549">
        <v>12.22</v>
      </c>
    </row>
    <row r="2550" spans="1:11" x14ac:dyDescent="0.25">
      <c r="A2550" s="159" t="str">
        <f t="shared" si="118"/>
        <v>LB-Santa Rosa and Sebastopol-Petaluma and Rohnert Park-Social recreation</v>
      </c>
      <c r="B2550">
        <v>30</v>
      </c>
      <c r="C2550" t="str">
        <f t="shared" si="119"/>
        <v>Santa Rosa and Sebastopol</v>
      </c>
      <c r="D2550">
        <v>29</v>
      </c>
      <c r="E2550" t="str">
        <f t="shared" si="119"/>
        <v>Petaluma and Rohnert Park</v>
      </c>
      <c r="F2550" t="s">
        <v>324</v>
      </c>
      <c r="G2550">
        <f t="shared" si="117"/>
        <v>5</v>
      </c>
      <c r="H2550" t="s">
        <v>359</v>
      </c>
      <c r="I2550" t="s">
        <v>191</v>
      </c>
      <c r="J2550">
        <v>8</v>
      </c>
      <c r="K2550">
        <v>88.543290043290099</v>
      </c>
    </row>
    <row r="2551" spans="1:11" x14ac:dyDescent="0.25">
      <c r="A2551" s="159" t="str">
        <f t="shared" si="118"/>
        <v>CR-Santa Rosa and Sebastopol-Petaluma and Rohnert Park-Work</v>
      </c>
      <c r="B2551">
        <v>30</v>
      </c>
      <c r="C2551" t="str">
        <f t="shared" si="119"/>
        <v>Santa Rosa and Sebastopol</v>
      </c>
      <c r="D2551">
        <v>29</v>
      </c>
      <c r="E2551" t="str">
        <f t="shared" si="119"/>
        <v>Petaluma and Rohnert Park</v>
      </c>
      <c r="F2551" t="s">
        <v>30</v>
      </c>
      <c r="G2551">
        <f t="shared" si="117"/>
        <v>1</v>
      </c>
      <c r="H2551" t="s">
        <v>125</v>
      </c>
      <c r="I2551" t="s">
        <v>178</v>
      </c>
      <c r="J2551">
        <v>12</v>
      </c>
      <c r="K2551">
        <v>92.696629213483106</v>
      </c>
    </row>
    <row r="2552" spans="1:11" x14ac:dyDescent="0.25">
      <c r="A2552" s="159" t="str">
        <f t="shared" si="118"/>
        <v>LB-Santa Rosa and Sebastopol-Petaluma and Rohnert Park-Work</v>
      </c>
      <c r="B2552">
        <v>30</v>
      </c>
      <c r="C2552" t="str">
        <f t="shared" si="119"/>
        <v>Santa Rosa and Sebastopol</v>
      </c>
      <c r="D2552">
        <v>29</v>
      </c>
      <c r="E2552" t="str">
        <f t="shared" si="119"/>
        <v>Petaluma and Rohnert Park</v>
      </c>
      <c r="F2552" t="s">
        <v>30</v>
      </c>
      <c r="G2552">
        <f t="shared" si="117"/>
        <v>1</v>
      </c>
      <c r="H2552" t="s">
        <v>359</v>
      </c>
      <c r="I2552" t="s">
        <v>191</v>
      </c>
      <c r="J2552">
        <v>23</v>
      </c>
      <c r="K2552">
        <v>166.61457725816999</v>
      </c>
    </row>
    <row r="2553" spans="1:11" x14ac:dyDescent="0.25">
      <c r="A2553" s="159" t="str">
        <f t="shared" si="118"/>
        <v>LB-Santa Rosa and Sebastopol-Santa Rosa and Sebastopol-High school</v>
      </c>
      <c r="B2553">
        <v>30</v>
      </c>
      <c r="C2553" t="str">
        <f t="shared" si="119"/>
        <v>Santa Rosa and Sebastopol</v>
      </c>
      <c r="D2553">
        <v>30</v>
      </c>
      <c r="E2553" t="str">
        <f t="shared" si="119"/>
        <v>Santa Rosa and Sebastopol</v>
      </c>
      <c r="F2553" t="s">
        <v>326</v>
      </c>
      <c r="G2553">
        <f t="shared" si="117"/>
        <v>3</v>
      </c>
      <c r="H2553" t="s">
        <v>359</v>
      </c>
      <c r="I2553" t="s">
        <v>191</v>
      </c>
      <c r="J2553">
        <v>145</v>
      </c>
      <c r="K2553">
        <v>1491.3650669287499</v>
      </c>
    </row>
    <row r="2554" spans="1:11" x14ac:dyDescent="0.25">
      <c r="A2554" s="159" t="str">
        <f t="shared" si="118"/>
        <v>LB-Santa Rosa and Sebastopol-Santa Rosa and Sebastopol-Missing</v>
      </c>
      <c r="B2554">
        <v>30</v>
      </c>
      <c r="C2554" t="str">
        <f t="shared" si="119"/>
        <v>Santa Rosa and Sebastopol</v>
      </c>
      <c r="D2554">
        <v>30</v>
      </c>
      <c r="E2554" t="str">
        <f t="shared" si="119"/>
        <v>Santa Rosa and Sebastopol</v>
      </c>
      <c r="F2554" t="s">
        <v>327</v>
      </c>
      <c r="G2554">
        <f t="shared" si="117"/>
        <v>0</v>
      </c>
      <c r="H2554" t="s">
        <v>359</v>
      </c>
      <c r="I2554" t="s">
        <v>191</v>
      </c>
      <c r="J2554">
        <v>69</v>
      </c>
      <c r="K2554">
        <v>959.22617677680705</v>
      </c>
    </row>
    <row r="2555" spans="1:11" x14ac:dyDescent="0.25">
      <c r="A2555" s="159" t="str">
        <f t="shared" si="118"/>
        <v>LB-Santa Rosa and Sebastopol-Santa Rosa and Sebastopol-Other maintenance</v>
      </c>
      <c r="B2555">
        <v>30</v>
      </c>
      <c r="C2555" t="str">
        <f t="shared" si="119"/>
        <v>Santa Rosa and Sebastopol</v>
      </c>
      <c r="D2555">
        <v>30</v>
      </c>
      <c r="E2555" t="str">
        <f t="shared" si="119"/>
        <v>Santa Rosa and Sebastopol</v>
      </c>
      <c r="F2555" t="s">
        <v>325</v>
      </c>
      <c r="G2555">
        <f t="shared" si="117"/>
        <v>4</v>
      </c>
      <c r="H2555" t="s">
        <v>359</v>
      </c>
      <c r="I2555" t="s">
        <v>191</v>
      </c>
      <c r="J2555">
        <v>66</v>
      </c>
      <c r="K2555">
        <v>887.35265528976595</v>
      </c>
    </row>
    <row r="2556" spans="1:11" x14ac:dyDescent="0.25">
      <c r="A2556" s="159" t="str">
        <f t="shared" si="118"/>
        <v>LB-Santa Rosa and Sebastopol-Santa Rosa and Sebastopol-Shopping</v>
      </c>
      <c r="B2556">
        <v>30</v>
      </c>
      <c r="C2556" t="str">
        <f t="shared" si="119"/>
        <v>Santa Rosa and Sebastopol</v>
      </c>
      <c r="D2556">
        <v>30</v>
      </c>
      <c r="E2556" t="str">
        <f t="shared" si="119"/>
        <v>Santa Rosa and Sebastopol</v>
      </c>
      <c r="F2556" t="s">
        <v>106</v>
      </c>
      <c r="G2556">
        <f t="shared" si="117"/>
        <v>4</v>
      </c>
      <c r="H2556" t="s">
        <v>359</v>
      </c>
      <c r="I2556" t="s">
        <v>191</v>
      </c>
      <c r="J2556">
        <v>33</v>
      </c>
      <c r="K2556">
        <v>325.70901990548998</v>
      </c>
    </row>
    <row r="2557" spans="1:11" x14ac:dyDescent="0.25">
      <c r="A2557" s="159" t="str">
        <f t="shared" si="118"/>
        <v>CR-Santa Rosa and Sebastopol-Santa Rosa and Sebastopol-Social recreation</v>
      </c>
      <c r="B2557">
        <v>30</v>
      </c>
      <c r="C2557" t="str">
        <f t="shared" si="119"/>
        <v>Santa Rosa and Sebastopol</v>
      </c>
      <c r="D2557">
        <v>30</v>
      </c>
      <c r="E2557" t="str">
        <f t="shared" si="119"/>
        <v>Santa Rosa and Sebastopol</v>
      </c>
      <c r="F2557" t="s">
        <v>324</v>
      </c>
      <c r="G2557">
        <f t="shared" si="117"/>
        <v>5</v>
      </c>
      <c r="H2557" t="s">
        <v>125</v>
      </c>
      <c r="I2557" t="s">
        <v>178</v>
      </c>
      <c r="J2557">
        <v>2</v>
      </c>
      <c r="K2557">
        <v>24.44</v>
      </c>
    </row>
    <row r="2558" spans="1:11" x14ac:dyDescent="0.25">
      <c r="A2558" s="159" t="str">
        <f t="shared" si="118"/>
        <v>LB-Santa Rosa and Sebastopol-Santa Rosa and Sebastopol-Social recreation</v>
      </c>
      <c r="B2558">
        <v>30</v>
      </c>
      <c r="C2558" t="str">
        <f t="shared" si="119"/>
        <v>Santa Rosa and Sebastopol</v>
      </c>
      <c r="D2558">
        <v>30</v>
      </c>
      <c r="E2558" t="str">
        <f t="shared" si="119"/>
        <v>Santa Rosa and Sebastopol</v>
      </c>
      <c r="F2558" t="s">
        <v>324</v>
      </c>
      <c r="G2558">
        <f t="shared" si="117"/>
        <v>5</v>
      </c>
      <c r="H2558" t="s">
        <v>359</v>
      </c>
      <c r="I2558" t="s">
        <v>191</v>
      </c>
      <c r="J2558">
        <v>31</v>
      </c>
      <c r="K2558">
        <v>410.49212023275999</v>
      </c>
    </row>
    <row r="2559" spans="1:11" x14ac:dyDescent="0.25">
      <c r="A2559" s="159" t="str">
        <f t="shared" si="118"/>
        <v>CR-Santa Rosa and Sebastopol-Santa Rosa and Sebastopol-Work</v>
      </c>
      <c r="B2559">
        <v>30</v>
      </c>
      <c r="C2559" t="str">
        <f t="shared" si="119"/>
        <v>Santa Rosa and Sebastopol</v>
      </c>
      <c r="D2559">
        <v>30</v>
      </c>
      <c r="E2559" t="str">
        <f t="shared" si="119"/>
        <v>Santa Rosa and Sebastopol</v>
      </c>
      <c r="F2559" t="s">
        <v>30</v>
      </c>
      <c r="G2559">
        <f t="shared" si="117"/>
        <v>1</v>
      </c>
      <c r="H2559" t="s">
        <v>125</v>
      </c>
      <c r="I2559" t="s">
        <v>178</v>
      </c>
      <c r="J2559">
        <v>5</v>
      </c>
      <c r="K2559">
        <v>43.118876404494401</v>
      </c>
    </row>
    <row r="2560" spans="1:11" x14ac:dyDescent="0.25">
      <c r="A2560" s="159" t="str">
        <f t="shared" si="118"/>
        <v>LB-Santa Rosa and Sebastopol-Santa Rosa and Sebastopol-Work</v>
      </c>
      <c r="B2560">
        <v>30</v>
      </c>
      <c r="C2560" t="str">
        <f t="shared" si="119"/>
        <v>Santa Rosa and Sebastopol</v>
      </c>
      <c r="D2560">
        <v>30</v>
      </c>
      <c r="E2560" t="str">
        <f t="shared" si="119"/>
        <v>Santa Rosa and Sebastopol</v>
      </c>
      <c r="F2560" t="s">
        <v>30</v>
      </c>
      <c r="G2560">
        <f t="shared" si="117"/>
        <v>1</v>
      </c>
      <c r="H2560" t="s">
        <v>359</v>
      </c>
      <c r="I2560" t="s">
        <v>191</v>
      </c>
      <c r="J2560">
        <v>129</v>
      </c>
      <c r="K2560">
        <v>1426.46268362822</v>
      </c>
    </row>
    <row r="2561" spans="1:11" x14ac:dyDescent="0.25">
      <c r="A2561" s="159" t="str">
        <f t="shared" si="118"/>
        <v>LB-Santa Rosa and Sebastopol-Healdsburg and Cloverdale-High school</v>
      </c>
      <c r="B2561">
        <v>30</v>
      </c>
      <c r="C2561" t="str">
        <f t="shared" si="119"/>
        <v>Santa Rosa and Sebastopol</v>
      </c>
      <c r="D2561">
        <v>31</v>
      </c>
      <c r="E2561" t="str">
        <f t="shared" si="119"/>
        <v>Healdsburg and Cloverdale</v>
      </c>
      <c r="F2561" t="s">
        <v>326</v>
      </c>
      <c r="G2561">
        <f t="shared" si="117"/>
        <v>3</v>
      </c>
      <c r="H2561" t="s">
        <v>359</v>
      </c>
      <c r="I2561" t="s">
        <v>191</v>
      </c>
      <c r="J2561">
        <v>14</v>
      </c>
      <c r="K2561">
        <v>78.393939393939405</v>
      </c>
    </row>
    <row r="2562" spans="1:11" x14ac:dyDescent="0.25">
      <c r="A2562" s="159" t="str">
        <f t="shared" si="118"/>
        <v>LB-Santa Rosa and Sebastopol-Healdsburg and Cloverdale-Missing</v>
      </c>
      <c r="B2562">
        <v>30</v>
      </c>
      <c r="C2562" t="str">
        <f t="shared" si="119"/>
        <v>Santa Rosa and Sebastopol</v>
      </c>
      <c r="D2562">
        <v>31</v>
      </c>
      <c r="E2562" t="str">
        <f t="shared" si="119"/>
        <v>Healdsburg and Cloverdale</v>
      </c>
      <c r="F2562" t="s">
        <v>327</v>
      </c>
      <c r="G2562">
        <f t="shared" ref="G2562:G2625" si="120">VLOOKUP(F2562,$V$2:$X$10, 3,FALSE)</f>
        <v>0</v>
      </c>
      <c r="H2562" t="s">
        <v>359</v>
      </c>
      <c r="I2562" t="s">
        <v>191</v>
      </c>
      <c r="J2562">
        <v>3</v>
      </c>
      <c r="K2562">
        <v>16.7987012987013</v>
      </c>
    </row>
    <row r="2563" spans="1:11" x14ac:dyDescent="0.25">
      <c r="A2563" s="159" t="str">
        <f t="shared" ref="A2563:A2626" si="121" xml:space="preserve"> CONCATENATE(I2563,"-",C2563, "-",E2563, "-",F2563,)</f>
        <v>LB-Santa Rosa and Sebastopol-Healdsburg and Cloverdale-Other maintenance</v>
      </c>
      <c r="B2563">
        <v>30</v>
      </c>
      <c r="C2563" t="str">
        <f t="shared" ref="C2563:E2626" si="122">VLOOKUP(B2563,$S$2:$T$35,2,FALSE)</f>
        <v>Santa Rosa and Sebastopol</v>
      </c>
      <c r="D2563">
        <v>31</v>
      </c>
      <c r="E2563" t="str">
        <f t="shared" si="122"/>
        <v>Healdsburg and Cloverdale</v>
      </c>
      <c r="F2563" t="s">
        <v>325</v>
      </c>
      <c r="G2563">
        <f t="shared" si="120"/>
        <v>4</v>
      </c>
      <c r="H2563" t="s">
        <v>359</v>
      </c>
      <c r="I2563" t="s">
        <v>191</v>
      </c>
      <c r="J2563">
        <v>2</v>
      </c>
      <c r="K2563">
        <v>11.1991341991342</v>
      </c>
    </row>
    <row r="2564" spans="1:11" x14ac:dyDescent="0.25">
      <c r="A2564" s="159" t="str">
        <f t="shared" si="121"/>
        <v>LB-Santa Rosa and Sebastopol-Healdsburg and Cloverdale-Shopping</v>
      </c>
      <c r="B2564">
        <v>30</v>
      </c>
      <c r="C2564" t="str">
        <f t="shared" si="122"/>
        <v>Santa Rosa and Sebastopol</v>
      </c>
      <c r="D2564">
        <v>31</v>
      </c>
      <c r="E2564" t="str">
        <f t="shared" si="122"/>
        <v>Healdsburg and Cloverdale</v>
      </c>
      <c r="F2564" t="s">
        <v>106</v>
      </c>
      <c r="G2564">
        <f t="shared" si="120"/>
        <v>4</v>
      </c>
      <c r="H2564" t="s">
        <v>359</v>
      </c>
      <c r="I2564" t="s">
        <v>191</v>
      </c>
      <c r="J2564">
        <v>1</v>
      </c>
      <c r="K2564">
        <v>5.5995670995670999</v>
      </c>
    </row>
    <row r="2565" spans="1:11" x14ac:dyDescent="0.25">
      <c r="A2565" s="159" t="str">
        <f t="shared" si="121"/>
        <v>LB-Santa Rosa and Sebastopol-Healdsburg and Cloverdale-Social recreation</v>
      </c>
      <c r="B2565">
        <v>30</v>
      </c>
      <c r="C2565" t="str">
        <f t="shared" si="122"/>
        <v>Santa Rosa and Sebastopol</v>
      </c>
      <c r="D2565">
        <v>31</v>
      </c>
      <c r="E2565" t="str">
        <f t="shared" si="122"/>
        <v>Healdsburg and Cloverdale</v>
      </c>
      <c r="F2565" t="s">
        <v>324</v>
      </c>
      <c r="G2565">
        <f t="shared" si="120"/>
        <v>5</v>
      </c>
      <c r="H2565" t="s">
        <v>359</v>
      </c>
      <c r="I2565" t="s">
        <v>191</v>
      </c>
      <c r="J2565">
        <v>2</v>
      </c>
      <c r="K2565">
        <v>11.1991341991342</v>
      </c>
    </row>
    <row r="2566" spans="1:11" x14ac:dyDescent="0.25">
      <c r="A2566" s="159" t="str">
        <f t="shared" si="121"/>
        <v>LB-Santa Rosa and Sebastopol-Healdsburg and Cloverdale-Work</v>
      </c>
      <c r="B2566">
        <v>30</v>
      </c>
      <c r="C2566" t="str">
        <f t="shared" si="122"/>
        <v>Santa Rosa and Sebastopol</v>
      </c>
      <c r="D2566">
        <v>31</v>
      </c>
      <c r="E2566" t="str">
        <f t="shared" si="122"/>
        <v>Healdsburg and Cloverdale</v>
      </c>
      <c r="F2566" t="s">
        <v>30</v>
      </c>
      <c r="G2566">
        <f t="shared" si="120"/>
        <v>1</v>
      </c>
      <c r="H2566" t="s">
        <v>359</v>
      </c>
      <c r="I2566" t="s">
        <v>191</v>
      </c>
      <c r="J2566">
        <v>13</v>
      </c>
      <c r="K2566">
        <v>98.063565126856204</v>
      </c>
    </row>
    <row r="2567" spans="1:11" x14ac:dyDescent="0.25">
      <c r="A2567" s="159" t="str">
        <f t="shared" si="121"/>
        <v>CR-Santa Rosa and Sebastopol-Novato-High school</v>
      </c>
      <c r="B2567">
        <v>30</v>
      </c>
      <c r="C2567" t="str">
        <f t="shared" si="122"/>
        <v>Santa Rosa and Sebastopol</v>
      </c>
      <c r="D2567">
        <v>32</v>
      </c>
      <c r="E2567" t="str">
        <f t="shared" si="122"/>
        <v>Novato</v>
      </c>
      <c r="F2567" t="s">
        <v>326</v>
      </c>
      <c r="G2567">
        <f t="shared" si="120"/>
        <v>3</v>
      </c>
      <c r="H2567" t="s">
        <v>125</v>
      </c>
      <c r="I2567" t="s">
        <v>178</v>
      </c>
      <c r="J2567">
        <v>1</v>
      </c>
      <c r="K2567">
        <v>7.7247191011235996</v>
      </c>
    </row>
    <row r="2568" spans="1:11" x14ac:dyDescent="0.25">
      <c r="A2568" s="159" t="str">
        <f t="shared" si="121"/>
        <v>LB-Santa Rosa and Sebastopol-Novato-Missing</v>
      </c>
      <c r="B2568">
        <v>30</v>
      </c>
      <c r="C2568" t="str">
        <f t="shared" si="122"/>
        <v>Santa Rosa and Sebastopol</v>
      </c>
      <c r="D2568">
        <v>32</v>
      </c>
      <c r="E2568" t="str">
        <f t="shared" si="122"/>
        <v>Novato</v>
      </c>
      <c r="F2568" t="s">
        <v>327</v>
      </c>
      <c r="G2568">
        <f t="shared" si="120"/>
        <v>0</v>
      </c>
      <c r="H2568" t="s">
        <v>359</v>
      </c>
      <c r="I2568" t="s">
        <v>191</v>
      </c>
      <c r="J2568">
        <v>1</v>
      </c>
      <c r="K2568">
        <v>10.9430379746835</v>
      </c>
    </row>
    <row r="2569" spans="1:11" x14ac:dyDescent="0.25">
      <c r="A2569" s="159" t="str">
        <f t="shared" si="121"/>
        <v>CR-Santa Rosa and Sebastopol-Novato-Other maintenance</v>
      </c>
      <c r="B2569">
        <v>30</v>
      </c>
      <c r="C2569" t="str">
        <f t="shared" si="122"/>
        <v>Santa Rosa and Sebastopol</v>
      </c>
      <c r="D2569">
        <v>32</v>
      </c>
      <c r="E2569" t="str">
        <f t="shared" si="122"/>
        <v>Novato</v>
      </c>
      <c r="F2569" t="s">
        <v>325</v>
      </c>
      <c r="G2569">
        <f t="shared" si="120"/>
        <v>4</v>
      </c>
      <c r="H2569" t="s">
        <v>125</v>
      </c>
      <c r="I2569" t="s">
        <v>178</v>
      </c>
      <c r="J2569">
        <v>2</v>
      </c>
      <c r="K2569">
        <v>15.449438202247199</v>
      </c>
    </row>
    <row r="2570" spans="1:11" x14ac:dyDescent="0.25">
      <c r="A2570" s="159" t="str">
        <f t="shared" si="121"/>
        <v>CR-Santa Rosa and Sebastopol-Novato-Social recreation</v>
      </c>
      <c r="B2570">
        <v>30</v>
      </c>
      <c r="C2570" t="str">
        <f t="shared" si="122"/>
        <v>Santa Rosa and Sebastopol</v>
      </c>
      <c r="D2570">
        <v>32</v>
      </c>
      <c r="E2570" t="str">
        <f t="shared" si="122"/>
        <v>Novato</v>
      </c>
      <c r="F2570" t="s">
        <v>324</v>
      </c>
      <c r="G2570">
        <f t="shared" si="120"/>
        <v>5</v>
      </c>
      <c r="H2570" t="s">
        <v>125</v>
      </c>
      <c r="I2570" t="s">
        <v>178</v>
      </c>
      <c r="J2570">
        <v>5</v>
      </c>
      <c r="K2570">
        <v>38.623595505617999</v>
      </c>
    </row>
    <row r="2571" spans="1:11" x14ac:dyDescent="0.25">
      <c r="A2571" s="159" t="str">
        <f t="shared" si="121"/>
        <v>CR-Santa Rosa and Sebastopol-Novato-Work</v>
      </c>
      <c r="B2571">
        <v>30</v>
      </c>
      <c r="C2571" t="str">
        <f t="shared" si="122"/>
        <v>Santa Rosa and Sebastopol</v>
      </c>
      <c r="D2571">
        <v>32</v>
      </c>
      <c r="E2571" t="str">
        <f t="shared" si="122"/>
        <v>Novato</v>
      </c>
      <c r="F2571" t="s">
        <v>30</v>
      </c>
      <c r="G2571">
        <f t="shared" si="120"/>
        <v>1</v>
      </c>
      <c r="H2571" t="s">
        <v>125</v>
      </c>
      <c r="I2571" t="s">
        <v>178</v>
      </c>
      <c r="J2571">
        <v>3</v>
      </c>
      <c r="K2571">
        <v>27.6694382022472</v>
      </c>
    </row>
    <row r="2572" spans="1:11" x14ac:dyDescent="0.25">
      <c r="A2572" s="159" t="str">
        <f t="shared" si="121"/>
        <v>LB-Santa Rosa and Sebastopol-Novato-Work</v>
      </c>
      <c r="B2572">
        <v>30</v>
      </c>
      <c r="C2572" t="str">
        <f t="shared" si="122"/>
        <v>Santa Rosa and Sebastopol</v>
      </c>
      <c r="D2572">
        <v>32</v>
      </c>
      <c r="E2572" t="str">
        <f t="shared" si="122"/>
        <v>Novato</v>
      </c>
      <c r="F2572" t="s">
        <v>30</v>
      </c>
      <c r="G2572">
        <f t="shared" si="120"/>
        <v>1</v>
      </c>
      <c r="H2572" t="s">
        <v>359</v>
      </c>
      <c r="I2572" t="s">
        <v>191</v>
      </c>
      <c r="J2572">
        <v>2</v>
      </c>
      <c r="K2572">
        <v>39.451882845188202</v>
      </c>
    </row>
    <row r="2573" spans="1:11" x14ac:dyDescent="0.25">
      <c r="A2573" s="159" t="str">
        <f t="shared" si="121"/>
        <v>CR-Santa Rosa and Sebastopol-San Rafael-High school</v>
      </c>
      <c r="B2573">
        <v>30</v>
      </c>
      <c r="C2573" t="str">
        <f t="shared" si="122"/>
        <v>Santa Rosa and Sebastopol</v>
      </c>
      <c r="D2573">
        <v>33</v>
      </c>
      <c r="E2573" t="str">
        <f t="shared" si="122"/>
        <v>San Rafael</v>
      </c>
      <c r="F2573" t="s">
        <v>326</v>
      </c>
      <c r="G2573">
        <f t="shared" si="120"/>
        <v>3</v>
      </c>
      <c r="H2573" t="s">
        <v>125</v>
      </c>
      <c r="I2573" t="s">
        <v>178</v>
      </c>
      <c r="J2573">
        <v>3</v>
      </c>
      <c r="K2573">
        <v>23.174157303370698</v>
      </c>
    </row>
    <row r="2574" spans="1:11" x14ac:dyDescent="0.25">
      <c r="A2574" s="159" t="str">
        <f t="shared" si="121"/>
        <v>CR-Santa Rosa and Sebastopol-San Rafael-Other maintenance</v>
      </c>
      <c r="B2574">
        <v>30</v>
      </c>
      <c r="C2574" t="str">
        <f t="shared" si="122"/>
        <v>Santa Rosa and Sebastopol</v>
      </c>
      <c r="D2574">
        <v>33</v>
      </c>
      <c r="E2574" t="str">
        <f t="shared" si="122"/>
        <v>San Rafael</v>
      </c>
      <c r="F2574" t="s">
        <v>325</v>
      </c>
      <c r="G2574">
        <f t="shared" si="120"/>
        <v>4</v>
      </c>
      <c r="H2574" t="s">
        <v>125</v>
      </c>
      <c r="I2574" t="s">
        <v>178</v>
      </c>
      <c r="J2574">
        <v>2</v>
      </c>
      <c r="K2574">
        <v>15.449438202247199</v>
      </c>
    </row>
    <row r="2575" spans="1:11" x14ac:dyDescent="0.25">
      <c r="A2575" s="159" t="str">
        <f t="shared" si="121"/>
        <v>CR-Santa Rosa and Sebastopol-San Rafael-Shopping</v>
      </c>
      <c r="B2575">
        <v>30</v>
      </c>
      <c r="C2575" t="str">
        <f t="shared" si="122"/>
        <v>Santa Rosa and Sebastopol</v>
      </c>
      <c r="D2575">
        <v>33</v>
      </c>
      <c r="E2575" t="str">
        <f t="shared" si="122"/>
        <v>San Rafael</v>
      </c>
      <c r="F2575" t="s">
        <v>106</v>
      </c>
      <c r="G2575">
        <f t="shared" si="120"/>
        <v>4</v>
      </c>
      <c r="H2575" t="s">
        <v>125</v>
      </c>
      <c r="I2575" t="s">
        <v>178</v>
      </c>
      <c r="J2575">
        <v>1</v>
      </c>
      <c r="K2575">
        <v>7.7247191011235996</v>
      </c>
    </row>
    <row r="2576" spans="1:11" x14ac:dyDescent="0.25">
      <c r="A2576" s="159" t="str">
        <f t="shared" si="121"/>
        <v>LB-Santa Rosa and Sebastopol-San Rafael-Shopping</v>
      </c>
      <c r="B2576">
        <v>30</v>
      </c>
      <c r="C2576" t="str">
        <f t="shared" si="122"/>
        <v>Santa Rosa and Sebastopol</v>
      </c>
      <c r="D2576">
        <v>33</v>
      </c>
      <c r="E2576" t="str">
        <f t="shared" si="122"/>
        <v>San Rafael</v>
      </c>
      <c r="F2576" t="s">
        <v>106</v>
      </c>
      <c r="G2576">
        <f t="shared" si="120"/>
        <v>4</v>
      </c>
      <c r="H2576" t="s">
        <v>359</v>
      </c>
      <c r="I2576" t="s">
        <v>191</v>
      </c>
      <c r="J2576">
        <v>1</v>
      </c>
      <c r="K2576">
        <v>10.9430379746835</v>
      </c>
    </row>
    <row r="2577" spans="1:11" x14ac:dyDescent="0.25">
      <c r="A2577" s="159" t="str">
        <f t="shared" si="121"/>
        <v>CR-Santa Rosa and Sebastopol-San Rafael-Social recreation</v>
      </c>
      <c r="B2577">
        <v>30</v>
      </c>
      <c r="C2577" t="str">
        <f t="shared" si="122"/>
        <v>Santa Rosa and Sebastopol</v>
      </c>
      <c r="D2577">
        <v>33</v>
      </c>
      <c r="E2577" t="str">
        <f t="shared" si="122"/>
        <v>San Rafael</v>
      </c>
      <c r="F2577" t="s">
        <v>324</v>
      </c>
      <c r="G2577">
        <f t="shared" si="120"/>
        <v>5</v>
      </c>
      <c r="H2577" t="s">
        <v>125</v>
      </c>
      <c r="I2577" t="s">
        <v>178</v>
      </c>
      <c r="J2577">
        <v>9</v>
      </c>
      <c r="K2577">
        <v>78.513033707865205</v>
      </c>
    </row>
    <row r="2578" spans="1:11" x14ac:dyDescent="0.25">
      <c r="A2578" s="159" t="str">
        <f t="shared" si="121"/>
        <v>LB-Santa Rosa and Sebastopol-San Rafael-Social recreation</v>
      </c>
      <c r="B2578">
        <v>30</v>
      </c>
      <c r="C2578" t="str">
        <f t="shared" si="122"/>
        <v>Santa Rosa and Sebastopol</v>
      </c>
      <c r="D2578">
        <v>33</v>
      </c>
      <c r="E2578" t="str">
        <f t="shared" si="122"/>
        <v>San Rafael</v>
      </c>
      <c r="F2578" t="s">
        <v>324</v>
      </c>
      <c r="G2578">
        <f t="shared" si="120"/>
        <v>5</v>
      </c>
      <c r="H2578" t="s">
        <v>359</v>
      </c>
      <c r="I2578" t="s">
        <v>191</v>
      </c>
      <c r="J2578">
        <v>1</v>
      </c>
      <c r="K2578">
        <v>33.785714285714299</v>
      </c>
    </row>
    <row r="2579" spans="1:11" x14ac:dyDescent="0.25">
      <c r="A2579" s="159" t="str">
        <f t="shared" si="121"/>
        <v>CR-Santa Rosa and Sebastopol-San Rafael-Work</v>
      </c>
      <c r="B2579">
        <v>30</v>
      </c>
      <c r="C2579" t="str">
        <f t="shared" si="122"/>
        <v>Santa Rosa and Sebastopol</v>
      </c>
      <c r="D2579">
        <v>33</v>
      </c>
      <c r="E2579" t="str">
        <f t="shared" si="122"/>
        <v>San Rafael</v>
      </c>
      <c r="F2579" t="s">
        <v>30</v>
      </c>
      <c r="G2579">
        <f t="shared" si="120"/>
        <v>1</v>
      </c>
      <c r="H2579" t="s">
        <v>125</v>
      </c>
      <c r="I2579" t="s">
        <v>178</v>
      </c>
      <c r="J2579">
        <v>10</v>
      </c>
      <c r="K2579">
        <v>77.247191011235998</v>
      </c>
    </row>
    <row r="2580" spans="1:11" x14ac:dyDescent="0.25">
      <c r="A2580" s="159" t="str">
        <f t="shared" si="121"/>
        <v>LB-Santa Rosa and Sebastopol-San Rafael-Work</v>
      </c>
      <c r="B2580">
        <v>30</v>
      </c>
      <c r="C2580" t="str">
        <f t="shared" si="122"/>
        <v>Santa Rosa and Sebastopol</v>
      </c>
      <c r="D2580">
        <v>33</v>
      </c>
      <c r="E2580" t="str">
        <f t="shared" si="122"/>
        <v>San Rafael</v>
      </c>
      <c r="F2580" t="s">
        <v>30</v>
      </c>
      <c r="G2580">
        <f t="shared" si="120"/>
        <v>1</v>
      </c>
      <c r="H2580" t="s">
        <v>359</v>
      </c>
      <c r="I2580" t="s">
        <v>191</v>
      </c>
      <c r="J2580">
        <v>1</v>
      </c>
      <c r="K2580">
        <v>19.725941422594101</v>
      </c>
    </row>
    <row r="2581" spans="1:11" x14ac:dyDescent="0.25">
      <c r="A2581" s="159" t="str">
        <f t="shared" si="121"/>
        <v>CR-Santa Rosa and Sebastopol-Mill Valley and Sausalito-High school</v>
      </c>
      <c r="B2581">
        <v>30</v>
      </c>
      <c r="C2581" t="str">
        <f t="shared" si="122"/>
        <v>Santa Rosa and Sebastopol</v>
      </c>
      <c r="D2581">
        <v>34</v>
      </c>
      <c r="E2581" t="str">
        <f t="shared" si="122"/>
        <v>Mill Valley and Sausalito</v>
      </c>
      <c r="F2581" t="s">
        <v>326</v>
      </c>
      <c r="G2581">
        <f t="shared" si="120"/>
        <v>3</v>
      </c>
      <c r="H2581" t="s">
        <v>125</v>
      </c>
      <c r="I2581" t="s">
        <v>178</v>
      </c>
      <c r="J2581">
        <v>1</v>
      </c>
      <c r="K2581">
        <v>7.7247191011235996</v>
      </c>
    </row>
    <row r="2582" spans="1:11" x14ac:dyDescent="0.25">
      <c r="A2582" s="159" t="str">
        <f t="shared" si="121"/>
        <v>LB-Santa Rosa and Sebastopol-Mill Valley and Sausalito-Missing</v>
      </c>
      <c r="B2582">
        <v>30</v>
      </c>
      <c r="C2582" t="str">
        <f t="shared" si="122"/>
        <v>Santa Rosa and Sebastopol</v>
      </c>
      <c r="D2582">
        <v>34</v>
      </c>
      <c r="E2582" t="str">
        <f t="shared" si="122"/>
        <v>Mill Valley and Sausalito</v>
      </c>
      <c r="F2582" t="s">
        <v>327</v>
      </c>
      <c r="G2582">
        <f t="shared" si="120"/>
        <v>0</v>
      </c>
      <c r="H2582" t="s">
        <v>359</v>
      </c>
      <c r="I2582" t="s">
        <v>191</v>
      </c>
      <c r="J2582">
        <v>1</v>
      </c>
      <c r="K2582">
        <v>19.725941422594101</v>
      </c>
    </row>
    <row r="2583" spans="1:11" x14ac:dyDescent="0.25">
      <c r="A2583" s="159" t="str">
        <f t="shared" si="121"/>
        <v>CR-Santa Rosa and Sebastopol-Mill Valley and Sausalito-Other maintenance</v>
      </c>
      <c r="B2583">
        <v>30</v>
      </c>
      <c r="C2583" t="str">
        <f t="shared" si="122"/>
        <v>Santa Rosa and Sebastopol</v>
      </c>
      <c r="D2583">
        <v>34</v>
      </c>
      <c r="E2583" t="str">
        <f t="shared" si="122"/>
        <v>Mill Valley and Sausalito</v>
      </c>
      <c r="F2583" t="s">
        <v>325</v>
      </c>
      <c r="G2583">
        <f t="shared" si="120"/>
        <v>4</v>
      </c>
      <c r="H2583" t="s">
        <v>125</v>
      </c>
      <c r="I2583" t="s">
        <v>178</v>
      </c>
      <c r="J2583">
        <v>1</v>
      </c>
      <c r="K2583">
        <v>12.22</v>
      </c>
    </row>
    <row r="2584" spans="1:11" x14ac:dyDescent="0.25">
      <c r="A2584" s="159" t="str">
        <f t="shared" si="121"/>
        <v>CR-Santa Rosa and Sebastopol-Mill Valley and Sausalito-Social recreation</v>
      </c>
      <c r="B2584">
        <v>30</v>
      </c>
      <c r="C2584" t="str">
        <f t="shared" si="122"/>
        <v>Santa Rosa and Sebastopol</v>
      </c>
      <c r="D2584">
        <v>34</v>
      </c>
      <c r="E2584" t="str">
        <f t="shared" si="122"/>
        <v>Mill Valley and Sausalito</v>
      </c>
      <c r="F2584" t="s">
        <v>324</v>
      </c>
      <c r="G2584">
        <f t="shared" si="120"/>
        <v>5</v>
      </c>
      <c r="H2584" t="s">
        <v>125</v>
      </c>
      <c r="I2584" t="s">
        <v>178</v>
      </c>
      <c r="J2584">
        <v>6</v>
      </c>
      <c r="K2584">
        <v>68.824719101123605</v>
      </c>
    </row>
    <row r="2585" spans="1:11" x14ac:dyDescent="0.25">
      <c r="A2585" s="159" t="str">
        <f t="shared" si="121"/>
        <v>CR-Santa Rosa and Sebastopol-Mill Valley and Sausalito-Work</v>
      </c>
      <c r="B2585">
        <v>30</v>
      </c>
      <c r="C2585" t="str">
        <f t="shared" si="122"/>
        <v>Santa Rosa and Sebastopol</v>
      </c>
      <c r="D2585">
        <v>34</v>
      </c>
      <c r="E2585" t="str">
        <f t="shared" si="122"/>
        <v>Mill Valley and Sausalito</v>
      </c>
      <c r="F2585" t="s">
        <v>30</v>
      </c>
      <c r="G2585">
        <f t="shared" si="120"/>
        <v>1</v>
      </c>
      <c r="H2585" t="s">
        <v>125</v>
      </c>
      <c r="I2585" t="s">
        <v>178</v>
      </c>
      <c r="J2585">
        <v>5</v>
      </c>
      <c r="K2585">
        <v>38.623595505617999</v>
      </c>
    </row>
    <row r="2586" spans="1:11" x14ac:dyDescent="0.25">
      <c r="A2586" s="159" t="str">
        <f t="shared" si="121"/>
        <v>LB-Santa Rosa and Sebastopol-Mill Valley and Sausalito-Work</v>
      </c>
      <c r="B2586">
        <v>30</v>
      </c>
      <c r="C2586" t="str">
        <f t="shared" si="122"/>
        <v>Santa Rosa and Sebastopol</v>
      </c>
      <c r="D2586">
        <v>34</v>
      </c>
      <c r="E2586" t="str">
        <f t="shared" si="122"/>
        <v>Mill Valley and Sausalito</v>
      </c>
      <c r="F2586" t="s">
        <v>30</v>
      </c>
      <c r="G2586">
        <f t="shared" si="120"/>
        <v>1</v>
      </c>
      <c r="H2586" t="s">
        <v>359</v>
      </c>
      <c r="I2586" t="s">
        <v>191</v>
      </c>
      <c r="J2586">
        <v>1</v>
      </c>
      <c r="K2586">
        <v>10.9430379746835</v>
      </c>
    </row>
    <row r="2587" spans="1:11" x14ac:dyDescent="0.25">
      <c r="A2587" s="159" t="str">
        <f t="shared" si="121"/>
        <v>CR-Healdsburg and Cloverdale-Daly City and San Bruno-Work</v>
      </c>
      <c r="B2587">
        <v>31</v>
      </c>
      <c r="C2587" t="str">
        <f t="shared" si="122"/>
        <v>Healdsburg and Cloverdale</v>
      </c>
      <c r="D2587">
        <v>5</v>
      </c>
      <c r="E2587" t="str">
        <f t="shared" si="122"/>
        <v>Daly City and San Bruno</v>
      </c>
      <c r="F2587" t="s">
        <v>30</v>
      </c>
      <c r="G2587">
        <f t="shared" si="120"/>
        <v>1</v>
      </c>
      <c r="H2587" t="s">
        <v>125</v>
      </c>
      <c r="I2587" t="s">
        <v>178</v>
      </c>
      <c r="J2587">
        <v>1</v>
      </c>
      <c r="K2587">
        <v>7.7247191011235996</v>
      </c>
    </row>
    <row r="2588" spans="1:11" x14ac:dyDescent="0.25">
      <c r="A2588" s="159" t="str">
        <f t="shared" si="121"/>
        <v>LB-Healdsburg and Cloverdale-Central San Jose-Social recreation</v>
      </c>
      <c r="B2588">
        <v>31</v>
      </c>
      <c r="C2588" t="str">
        <f t="shared" si="122"/>
        <v>Healdsburg and Cloverdale</v>
      </c>
      <c r="D2588">
        <v>11</v>
      </c>
      <c r="E2588" t="str">
        <f t="shared" si="122"/>
        <v>Central San Jose</v>
      </c>
      <c r="F2588" t="s">
        <v>324</v>
      </c>
      <c r="G2588">
        <f t="shared" si="120"/>
        <v>5</v>
      </c>
      <c r="H2588" t="s">
        <v>359</v>
      </c>
      <c r="I2588" t="s">
        <v>191</v>
      </c>
      <c r="J2588">
        <v>1</v>
      </c>
      <c r="K2588">
        <v>62.646773074254</v>
      </c>
    </row>
    <row r="2589" spans="1:11" x14ac:dyDescent="0.25">
      <c r="A2589" s="159" t="str">
        <f t="shared" si="121"/>
        <v>LB-Healdsburg and Cloverdale-Petaluma and Rohnert Park-High school</v>
      </c>
      <c r="B2589">
        <v>31</v>
      </c>
      <c r="C2589" t="str">
        <f t="shared" si="122"/>
        <v>Healdsburg and Cloverdale</v>
      </c>
      <c r="D2589">
        <v>29</v>
      </c>
      <c r="E2589" t="str">
        <f t="shared" si="122"/>
        <v>Petaluma and Rohnert Park</v>
      </c>
      <c r="F2589" t="s">
        <v>326</v>
      </c>
      <c r="G2589">
        <f t="shared" si="120"/>
        <v>3</v>
      </c>
      <c r="H2589" t="s">
        <v>359</v>
      </c>
      <c r="I2589" t="s">
        <v>191</v>
      </c>
      <c r="J2589">
        <v>1</v>
      </c>
      <c r="K2589">
        <v>5.5995670995670999</v>
      </c>
    </row>
    <row r="2590" spans="1:11" x14ac:dyDescent="0.25">
      <c r="A2590" s="159" t="str">
        <f t="shared" si="121"/>
        <v>LB-Healdsburg and Cloverdale-Petaluma and Rohnert Park-Shopping</v>
      </c>
      <c r="B2590">
        <v>31</v>
      </c>
      <c r="C2590" t="str">
        <f t="shared" si="122"/>
        <v>Healdsburg and Cloverdale</v>
      </c>
      <c r="D2590">
        <v>29</v>
      </c>
      <c r="E2590" t="str">
        <f t="shared" si="122"/>
        <v>Petaluma and Rohnert Park</v>
      </c>
      <c r="F2590" t="s">
        <v>106</v>
      </c>
      <c r="G2590">
        <f t="shared" si="120"/>
        <v>4</v>
      </c>
      <c r="H2590" t="s">
        <v>359</v>
      </c>
      <c r="I2590" t="s">
        <v>191</v>
      </c>
      <c r="J2590">
        <v>1</v>
      </c>
      <c r="K2590">
        <v>5.5995670995670999</v>
      </c>
    </row>
    <row r="2591" spans="1:11" x14ac:dyDescent="0.25">
      <c r="A2591" s="159" t="str">
        <f t="shared" si="121"/>
        <v>LB-Healdsburg and Cloverdale-Petaluma and Rohnert Park-Work</v>
      </c>
      <c r="B2591">
        <v>31</v>
      </c>
      <c r="C2591" t="str">
        <f t="shared" si="122"/>
        <v>Healdsburg and Cloverdale</v>
      </c>
      <c r="D2591">
        <v>29</v>
      </c>
      <c r="E2591" t="str">
        <f t="shared" si="122"/>
        <v>Petaluma and Rohnert Park</v>
      </c>
      <c r="F2591" t="s">
        <v>30</v>
      </c>
      <c r="G2591">
        <f t="shared" si="120"/>
        <v>1</v>
      </c>
      <c r="H2591" t="s">
        <v>359</v>
      </c>
      <c r="I2591" t="s">
        <v>191</v>
      </c>
      <c r="J2591">
        <v>2</v>
      </c>
      <c r="K2591">
        <v>11.1991341991342</v>
      </c>
    </row>
    <row r="2592" spans="1:11" x14ac:dyDescent="0.25">
      <c r="A2592" s="159" t="str">
        <f t="shared" si="121"/>
        <v>LB-Healdsburg and Cloverdale-Santa Rosa and Sebastopol-High school</v>
      </c>
      <c r="B2592">
        <v>31</v>
      </c>
      <c r="C2592" t="str">
        <f t="shared" si="122"/>
        <v>Healdsburg and Cloverdale</v>
      </c>
      <c r="D2592">
        <v>30</v>
      </c>
      <c r="E2592" t="str">
        <f t="shared" si="122"/>
        <v>Santa Rosa and Sebastopol</v>
      </c>
      <c r="F2592" t="s">
        <v>326</v>
      </c>
      <c r="G2592">
        <f t="shared" si="120"/>
        <v>3</v>
      </c>
      <c r="H2592" t="s">
        <v>359</v>
      </c>
      <c r="I2592" t="s">
        <v>191</v>
      </c>
      <c r="J2592">
        <v>9</v>
      </c>
      <c r="K2592">
        <v>50.920373952288799</v>
      </c>
    </row>
    <row r="2593" spans="1:11" x14ac:dyDescent="0.25">
      <c r="A2593" s="159" t="str">
        <f t="shared" si="121"/>
        <v>LB-Healdsburg and Cloverdale-Santa Rosa and Sebastopol-Missing</v>
      </c>
      <c r="B2593">
        <v>31</v>
      </c>
      <c r="C2593" t="str">
        <f t="shared" si="122"/>
        <v>Healdsburg and Cloverdale</v>
      </c>
      <c r="D2593">
        <v>30</v>
      </c>
      <c r="E2593" t="str">
        <f t="shared" si="122"/>
        <v>Santa Rosa and Sebastopol</v>
      </c>
      <c r="F2593" t="s">
        <v>327</v>
      </c>
      <c r="G2593">
        <f t="shared" si="120"/>
        <v>0</v>
      </c>
      <c r="H2593" t="s">
        <v>359</v>
      </c>
      <c r="I2593" t="s">
        <v>191</v>
      </c>
      <c r="J2593">
        <v>7</v>
      </c>
      <c r="K2593">
        <v>40.245509809339502</v>
      </c>
    </row>
    <row r="2594" spans="1:11" x14ac:dyDescent="0.25">
      <c r="A2594" s="159" t="str">
        <f t="shared" si="121"/>
        <v>LB-Healdsburg and Cloverdale-Santa Rosa and Sebastopol-Other maintenance</v>
      </c>
      <c r="B2594">
        <v>31</v>
      </c>
      <c r="C2594" t="str">
        <f t="shared" si="122"/>
        <v>Healdsburg and Cloverdale</v>
      </c>
      <c r="D2594">
        <v>30</v>
      </c>
      <c r="E2594" t="str">
        <f t="shared" si="122"/>
        <v>Santa Rosa and Sebastopol</v>
      </c>
      <c r="F2594" t="s">
        <v>325</v>
      </c>
      <c r="G2594">
        <f t="shared" si="120"/>
        <v>4</v>
      </c>
      <c r="H2594" t="s">
        <v>359</v>
      </c>
      <c r="I2594" t="s">
        <v>191</v>
      </c>
      <c r="J2594">
        <v>8</v>
      </c>
      <c r="K2594">
        <v>45.320806852721702</v>
      </c>
    </row>
    <row r="2595" spans="1:11" x14ac:dyDescent="0.25">
      <c r="A2595" s="159" t="str">
        <f t="shared" si="121"/>
        <v>LB-Healdsburg and Cloverdale-Santa Rosa and Sebastopol-Shopping</v>
      </c>
      <c r="B2595">
        <v>31</v>
      </c>
      <c r="C2595" t="str">
        <f t="shared" si="122"/>
        <v>Healdsburg and Cloverdale</v>
      </c>
      <c r="D2595">
        <v>30</v>
      </c>
      <c r="E2595" t="str">
        <f t="shared" si="122"/>
        <v>Santa Rosa and Sebastopol</v>
      </c>
      <c r="F2595" t="s">
        <v>106</v>
      </c>
      <c r="G2595">
        <f t="shared" si="120"/>
        <v>4</v>
      </c>
      <c r="H2595" t="s">
        <v>359</v>
      </c>
      <c r="I2595" t="s">
        <v>191</v>
      </c>
      <c r="J2595">
        <v>3</v>
      </c>
      <c r="K2595">
        <v>17.060836326793702</v>
      </c>
    </row>
    <row r="2596" spans="1:11" x14ac:dyDescent="0.25">
      <c r="A2596" s="159" t="str">
        <f t="shared" si="121"/>
        <v>LB-Healdsburg and Cloverdale-Santa Rosa and Sebastopol-Social recreation</v>
      </c>
      <c r="B2596">
        <v>31</v>
      </c>
      <c r="C2596" t="str">
        <f t="shared" si="122"/>
        <v>Healdsburg and Cloverdale</v>
      </c>
      <c r="D2596">
        <v>30</v>
      </c>
      <c r="E2596" t="str">
        <f t="shared" si="122"/>
        <v>Santa Rosa and Sebastopol</v>
      </c>
      <c r="F2596" t="s">
        <v>324</v>
      </c>
      <c r="G2596">
        <f t="shared" si="120"/>
        <v>5</v>
      </c>
      <c r="H2596" t="s">
        <v>359</v>
      </c>
      <c r="I2596" t="s">
        <v>191</v>
      </c>
      <c r="J2596">
        <v>2</v>
      </c>
      <c r="K2596">
        <v>11.4612692272266</v>
      </c>
    </row>
    <row r="2597" spans="1:11" x14ac:dyDescent="0.25">
      <c r="A2597" s="159" t="str">
        <f t="shared" si="121"/>
        <v>LB-Healdsburg and Cloverdale-Santa Rosa and Sebastopol-Work</v>
      </c>
      <c r="B2597">
        <v>31</v>
      </c>
      <c r="C2597" t="str">
        <f t="shared" si="122"/>
        <v>Healdsburg and Cloverdale</v>
      </c>
      <c r="D2597">
        <v>30</v>
      </c>
      <c r="E2597" t="str">
        <f t="shared" si="122"/>
        <v>Santa Rosa and Sebastopol</v>
      </c>
      <c r="F2597" t="s">
        <v>30</v>
      </c>
      <c r="G2597">
        <f t="shared" si="120"/>
        <v>1</v>
      </c>
      <c r="H2597" t="s">
        <v>359</v>
      </c>
      <c r="I2597" t="s">
        <v>191</v>
      </c>
      <c r="J2597">
        <v>7</v>
      </c>
      <c r="K2597">
        <v>39.196969696969703</v>
      </c>
    </row>
    <row r="2598" spans="1:11" x14ac:dyDescent="0.25">
      <c r="A2598" s="159" t="str">
        <f t="shared" si="121"/>
        <v>LB-Healdsburg and Cloverdale-Healdsburg and Cloverdale-High school</v>
      </c>
      <c r="B2598">
        <v>31</v>
      </c>
      <c r="C2598" t="str">
        <f t="shared" si="122"/>
        <v>Healdsburg and Cloverdale</v>
      </c>
      <c r="D2598">
        <v>31</v>
      </c>
      <c r="E2598" t="str">
        <f t="shared" si="122"/>
        <v>Healdsburg and Cloverdale</v>
      </c>
      <c r="F2598" t="s">
        <v>326</v>
      </c>
      <c r="G2598">
        <f t="shared" si="120"/>
        <v>3</v>
      </c>
      <c r="H2598" t="s">
        <v>359</v>
      </c>
      <c r="I2598" t="s">
        <v>191</v>
      </c>
      <c r="J2598">
        <v>5</v>
      </c>
      <c r="K2598">
        <v>27.997835497835499</v>
      </c>
    </row>
    <row r="2599" spans="1:11" x14ac:dyDescent="0.25">
      <c r="A2599" s="159" t="str">
        <f t="shared" si="121"/>
        <v>LB-Healdsburg and Cloverdale-Healdsburg and Cloverdale-Missing</v>
      </c>
      <c r="B2599">
        <v>31</v>
      </c>
      <c r="C2599" t="str">
        <f t="shared" si="122"/>
        <v>Healdsburg and Cloverdale</v>
      </c>
      <c r="D2599">
        <v>31</v>
      </c>
      <c r="E2599" t="str">
        <f t="shared" si="122"/>
        <v>Healdsburg and Cloverdale</v>
      </c>
      <c r="F2599" t="s">
        <v>327</v>
      </c>
      <c r="G2599">
        <f t="shared" si="120"/>
        <v>0</v>
      </c>
      <c r="H2599" t="s">
        <v>359</v>
      </c>
      <c r="I2599" t="s">
        <v>191</v>
      </c>
      <c r="J2599">
        <v>6</v>
      </c>
      <c r="K2599">
        <v>33.597402597402599</v>
      </c>
    </row>
    <row r="2600" spans="1:11" x14ac:dyDescent="0.25">
      <c r="A2600" s="159" t="str">
        <f t="shared" si="121"/>
        <v>LB-Healdsburg and Cloverdale-Healdsburg and Cloverdale-Other maintenance</v>
      </c>
      <c r="B2600">
        <v>31</v>
      </c>
      <c r="C2600" t="str">
        <f t="shared" si="122"/>
        <v>Healdsburg and Cloverdale</v>
      </c>
      <c r="D2600">
        <v>31</v>
      </c>
      <c r="E2600" t="str">
        <f t="shared" si="122"/>
        <v>Healdsburg and Cloverdale</v>
      </c>
      <c r="F2600" t="s">
        <v>325</v>
      </c>
      <c r="G2600">
        <f t="shared" si="120"/>
        <v>4</v>
      </c>
      <c r="H2600" t="s">
        <v>359</v>
      </c>
      <c r="I2600" t="s">
        <v>191</v>
      </c>
      <c r="J2600">
        <v>1</v>
      </c>
      <c r="K2600">
        <v>5.5995670995670999</v>
      </c>
    </row>
    <row r="2601" spans="1:11" x14ac:dyDescent="0.25">
      <c r="A2601" s="159" t="str">
        <f t="shared" si="121"/>
        <v>LB-Healdsburg and Cloverdale-Healdsburg and Cloverdale-Shopping</v>
      </c>
      <c r="B2601">
        <v>31</v>
      </c>
      <c r="C2601" t="str">
        <f t="shared" si="122"/>
        <v>Healdsburg and Cloverdale</v>
      </c>
      <c r="D2601">
        <v>31</v>
      </c>
      <c r="E2601" t="str">
        <f t="shared" si="122"/>
        <v>Healdsburg and Cloverdale</v>
      </c>
      <c r="F2601" t="s">
        <v>106</v>
      </c>
      <c r="G2601">
        <f t="shared" si="120"/>
        <v>4</v>
      </c>
      <c r="H2601" t="s">
        <v>359</v>
      </c>
      <c r="I2601" t="s">
        <v>191</v>
      </c>
      <c r="J2601">
        <v>3</v>
      </c>
      <c r="K2601">
        <v>16.7987012987013</v>
      </c>
    </row>
    <row r="2602" spans="1:11" x14ac:dyDescent="0.25">
      <c r="A2602" s="159" t="str">
        <f t="shared" si="121"/>
        <v>LB-Healdsburg and Cloverdale-Healdsburg and Cloverdale-Social recreation</v>
      </c>
      <c r="B2602">
        <v>31</v>
      </c>
      <c r="C2602" t="str">
        <f t="shared" si="122"/>
        <v>Healdsburg and Cloverdale</v>
      </c>
      <c r="D2602">
        <v>31</v>
      </c>
      <c r="E2602" t="str">
        <f t="shared" si="122"/>
        <v>Healdsburg and Cloverdale</v>
      </c>
      <c r="F2602" t="s">
        <v>324</v>
      </c>
      <c r="G2602">
        <f t="shared" si="120"/>
        <v>5</v>
      </c>
      <c r="H2602" t="s">
        <v>359</v>
      </c>
      <c r="I2602" t="s">
        <v>191</v>
      </c>
      <c r="J2602">
        <v>2</v>
      </c>
      <c r="K2602">
        <v>11.4612692272266</v>
      </c>
    </row>
    <row r="2603" spans="1:11" x14ac:dyDescent="0.25">
      <c r="A2603" s="159" t="str">
        <f t="shared" si="121"/>
        <v>LB-Healdsburg and Cloverdale-Healdsburg and Cloverdale-Work</v>
      </c>
      <c r="B2603">
        <v>31</v>
      </c>
      <c r="C2603" t="str">
        <f t="shared" si="122"/>
        <v>Healdsburg and Cloverdale</v>
      </c>
      <c r="D2603">
        <v>31</v>
      </c>
      <c r="E2603" t="str">
        <f t="shared" si="122"/>
        <v>Healdsburg and Cloverdale</v>
      </c>
      <c r="F2603" t="s">
        <v>30</v>
      </c>
      <c r="G2603">
        <f t="shared" si="120"/>
        <v>1</v>
      </c>
      <c r="H2603" t="s">
        <v>359</v>
      </c>
      <c r="I2603" t="s">
        <v>191</v>
      </c>
      <c r="J2603">
        <v>11</v>
      </c>
      <c r="K2603">
        <v>62.119508151422998</v>
      </c>
    </row>
    <row r="2604" spans="1:11" x14ac:dyDescent="0.25">
      <c r="A2604" s="159" t="str">
        <f t="shared" si="121"/>
        <v>CR-Healdsburg and Cloverdale-Novato-Social recreation</v>
      </c>
      <c r="B2604">
        <v>31</v>
      </c>
      <c r="C2604" t="str">
        <f t="shared" si="122"/>
        <v>Healdsburg and Cloverdale</v>
      </c>
      <c r="D2604">
        <v>32</v>
      </c>
      <c r="E2604" t="str">
        <f t="shared" si="122"/>
        <v>Novato</v>
      </c>
      <c r="F2604" t="s">
        <v>324</v>
      </c>
      <c r="G2604">
        <f t="shared" si="120"/>
        <v>5</v>
      </c>
      <c r="H2604" t="s">
        <v>125</v>
      </c>
      <c r="I2604" t="s">
        <v>178</v>
      </c>
      <c r="J2604">
        <v>1</v>
      </c>
      <c r="K2604">
        <v>7.7247191011235996</v>
      </c>
    </row>
    <row r="2605" spans="1:11" x14ac:dyDescent="0.25">
      <c r="A2605" s="159" t="str">
        <f t="shared" si="121"/>
        <v>CR-Healdsburg and Cloverdale-Novato-Work</v>
      </c>
      <c r="B2605">
        <v>31</v>
      </c>
      <c r="C2605" t="str">
        <f t="shared" si="122"/>
        <v>Healdsburg and Cloverdale</v>
      </c>
      <c r="D2605">
        <v>32</v>
      </c>
      <c r="E2605" t="str">
        <f t="shared" si="122"/>
        <v>Novato</v>
      </c>
      <c r="F2605" t="s">
        <v>30</v>
      </c>
      <c r="G2605">
        <f t="shared" si="120"/>
        <v>1</v>
      </c>
      <c r="H2605" t="s">
        <v>125</v>
      </c>
      <c r="I2605" t="s">
        <v>178</v>
      </c>
      <c r="J2605">
        <v>1</v>
      </c>
      <c r="K2605">
        <v>7.7247191011235996</v>
      </c>
    </row>
    <row r="2606" spans="1:11" x14ac:dyDescent="0.25">
      <c r="A2606" s="159" t="str">
        <f t="shared" si="121"/>
        <v>CR-Healdsburg and Cloverdale-San Rafael-Work</v>
      </c>
      <c r="B2606">
        <v>31</v>
      </c>
      <c r="C2606" t="str">
        <f t="shared" si="122"/>
        <v>Healdsburg and Cloverdale</v>
      </c>
      <c r="D2606">
        <v>33</v>
      </c>
      <c r="E2606" t="str">
        <f t="shared" si="122"/>
        <v>San Rafael</v>
      </c>
      <c r="F2606" t="s">
        <v>30</v>
      </c>
      <c r="G2606">
        <f t="shared" si="120"/>
        <v>1</v>
      </c>
      <c r="H2606" t="s">
        <v>125</v>
      </c>
      <c r="I2606" t="s">
        <v>178</v>
      </c>
      <c r="J2606">
        <v>2</v>
      </c>
      <c r="K2606">
        <v>15.449438202247199</v>
      </c>
    </row>
    <row r="2607" spans="1:11" x14ac:dyDescent="0.25">
      <c r="A2607" s="159" t="str">
        <f t="shared" si="121"/>
        <v>CR-Healdsburg and Cloverdale-Mill Valley and Sausalito-Other maintenance</v>
      </c>
      <c r="B2607">
        <v>31</v>
      </c>
      <c r="C2607" t="str">
        <f t="shared" si="122"/>
        <v>Healdsburg and Cloverdale</v>
      </c>
      <c r="D2607">
        <v>34</v>
      </c>
      <c r="E2607" t="str">
        <f t="shared" si="122"/>
        <v>Mill Valley and Sausalito</v>
      </c>
      <c r="F2607" t="s">
        <v>325</v>
      </c>
      <c r="G2607">
        <f t="shared" si="120"/>
        <v>4</v>
      </c>
      <c r="H2607" t="s">
        <v>125</v>
      </c>
      <c r="I2607" t="s">
        <v>178</v>
      </c>
      <c r="J2607">
        <v>1</v>
      </c>
      <c r="K2607">
        <v>7.7247191011235996</v>
      </c>
    </row>
    <row r="2608" spans="1:11" x14ac:dyDescent="0.25">
      <c r="A2608" s="159" t="str">
        <f t="shared" si="121"/>
        <v>LB-Novato-Greater Downtown San Francisco-Social recreation</v>
      </c>
      <c r="B2608">
        <v>32</v>
      </c>
      <c r="C2608" t="str">
        <f t="shared" si="122"/>
        <v>Novato</v>
      </c>
      <c r="D2608">
        <v>1</v>
      </c>
      <c r="E2608" t="str">
        <f t="shared" si="122"/>
        <v>Greater Downtown San Francisco</v>
      </c>
      <c r="F2608" t="s">
        <v>324</v>
      </c>
      <c r="G2608">
        <f t="shared" si="120"/>
        <v>5</v>
      </c>
      <c r="H2608" t="s">
        <v>359</v>
      </c>
      <c r="I2608" t="s">
        <v>191</v>
      </c>
      <c r="J2608">
        <v>1</v>
      </c>
      <c r="K2608">
        <v>19.725941422594101</v>
      </c>
    </row>
    <row r="2609" spans="1:11" x14ac:dyDescent="0.25">
      <c r="A2609" s="159" t="str">
        <f t="shared" si="121"/>
        <v>EB-Novato-Fairfield and Vacaville-Social recreation</v>
      </c>
      <c r="B2609">
        <v>32</v>
      </c>
      <c r="C2609" t="str">
        <f t="shared" si="122"/>
        <v>Novato</v>
      </c>
      <c r="D2609">
        <v>26</v>
      </c>
      <c r="E2609" t="str">
        <f t="shared" si="122"/>
        <v>Fairfield and Vacaville</v>
      </c>
      <c r="F2609" t="s">
        <v>324</v>
      </c>
      <c r="G2609">
        <f t="shared" si="120"/>
        <v>5</v>
      </c>
      <c r="H2609" t="s">
        <v>123</v>
      </c>
      <c r="I2609" t="s">
        <v>182</v>
      </c>
      <c r="J2609">
        <v>1</v>
      </c>
      <c r="K2609">
        <v>12.3349397590361</v>
      </c>
    </row>
    <row r="2610" spans="1:11" x14ac:dyDescent="0.25">
      <c r="A2610" s="159" t="str">
        <f t="shared" si="121"/>
        <v>CR-Novato-Petaluma and Rohnert Park-High school</v>
      </c>
      <c r="B2610">
        <v>32</v>
      </c>
      <c r="C2610" t="str">
        <f t="shared" si="122"/>
        <v>Novato</v>
      </c>
      <c r="D2610">
        <v>29</v>
      </c>
      <c r="E2610" t="str">
        <f t="shared" si="122"/>
        <v>Petaluma and Rohnert Park</v>
      </c>
      <c r="F2610" t="s">
        <v>326</v>
      </c>
      <c r="G2610">
        <f t="shared" si="120"/>
        <v>3</v>
      </c>
      <c r="H2610" t="s">
        <v>125</v>
      </c>
      <c r="I2610" t="s">
        <v>178</v>
      </c>
      <c r="J2610">
        <v>3</v>
      </c>
      <c r="K2610">
        <v>27.6694382022472</v>
      </c>
    </row>
    <row r="2611" spans="1:11" x14ac:dyDescent="0.25">
      <c r="A2611" s="159" t="str">
        <f t="shared" si="121"/>
        <v>CR-Novato-Petaluma and Rohnert Park-Missing</v>
      </c>
      <c r="B2611">
        <v>32</v>
      </c>
      <c r="C2611" t="str">
        <f t="shared" si="122"/>
        <v>Novato</v>
      </c>
      <c r="D2611">
        <v>29</v>
      </c>
      <c r="E2611" t="str">
        <f t="shared" si="122"/>
        <v>Petaluma and Rohnert Park</v>
      </c>
      <c r="F2611" t="s">
        <v>327</v>
      </c>
      <c r="G2611">
        <f t="shared" si="120"/>
        <v>0</v>
      </c>
      <c r="H2611" t="s">
        <v>125</v>
      </c>
      <c r="I2611" t="s">
        <v>178</v>
      </c>
      <c r="J2611">
        <v>3</v>
      </c>
      <c r="K2611">
        <v>27.6694382022472</v>
      </c>
    </row>
    <row r="2612" spans="1:11" x14ac:dyDescent="0.25">
      <c r="A2612" s="159" t="str">
        <f t="shared" si="121"/>
        <v>LB-Novato-Petaluma and Rohnert Park-Missing</v>
      </c>
      <c r="B2612">
        <v>32</v>
      </c>
      <c r="C2612" t="str">
        <f t="shared" si="122"/>
        <v>Novato</v>
      </c>
      <c r="D2612">
        <v>29</v>
      </c>
      <c r="E2612" t="str">
        <f t="shared" si="122"/>
        <v>Petaluma and Rohnert Park</v>
      </c>
      <c r="F2612" t="s">
        <v>327</v>
      </c>
      <c r="G2612">
        <f t="shared" si="120"/>
        <v>0</v>
      </c>
      <c r="H2612" t="s">
        <v>359</v>
      </c>
      <c r="I2612" t="s">
        <v>191</v>
      </c>
      <c r="J2612">
        <v>1</v>
      </c>
      <c r="K2612">
        <v>5.5995670995670999</v>
      </c>
    </row>
    <row r="2613" spans="1:11" x14ac:dyDescent="0.25">
      <c r="A2613" s="159" t="str">
        <f t="shared" si="121"/>
        <v>CR-Novato-Petaluma and Rohnert Park-Other maintenance</v>
      </c>
      <c r="B2613">
        <v>32</v>
      </c>
      <c r="C2613" t="str">
        <f t="shared" si="122"/>
        <v>Novato</v>
      </c>
      <c r="D2613">
        <v>29</v>
      </c>
      <c r="E2613" t="str">
        <f t="shared" si="122"/>
        <v>Petaluma and Rohnert Park</v>
      </c>
      <c r="F2613" t="s">
        <v>325</v>
      </c>
      <c r="G2613">
        <f t="shared" si="120"/>
        <v>4</v>
      </c>
      <c r="H2613" t="s">
        <v>125</v>
      </c>
      <c r="I2613" t="s">
        <v>178</v>
      </c>
      <c r="J2613">
        <v>1</v>
      </c>
      <c r="K2613">
        <v>12.22</v>
      </c>
    </row>
    <row r="2614" spans="1:11" x14ac:dyDescent="0.25">
      <c r="A2614" s="159" t="str">
        <f t="shared" si="121"/>
        <v>CR-Novato-Petaluma and Rohnert Park-Social recreation</v>
      </c>
      <c r="B2614">
        <v>32</v>
      </c>
      <c r="C2614" t="str">
        <f t="shared" si="122"/>
        <v>Novato</v>
      </c>
      <c r="D2614">
        <v>29</v>
      </c>
      <c r="E2614" t="str">
        <f t="shared" si="122"/>
        <v>Petaluma and Rohnert Park</v>
      </c>
      <c r="F2614" t="s">
        <v>324</v>
      </c>
      <c r="G2614">
        <f t="shared" si="120"/>
        <v>5</v>
      </c>
      <c r="H2614" t="s">
        <v>125</v>
      </c>
      <c r="I2614" t="s">
        <v>178</v>
      </c>
      <c r="J2614">
        <v>1</v>
      </c>
      <c r="K2614">
        <v>7.7247191011235996</v>
      </c>
    </row>
    <row r="2615" spans="1:11" x14ac:dyDescent="0.25">
      <c r="A2615" s="159" t="str">
        <f t="shared" si="121"/>
        <v>CR-Novato-Petaluma and Rohnert Park-Work</v>
      </c>
      <c r="B2615">
        <v>32</v>
      </c>
      <c r="C2615" t="str">
        <f t="shared" si="122"/>
        <v>Novato</v>
      </c>
      <c r="D2615">
        <v>29</v>
      </c>
      <c r="E2615" t="str">
        <f t="shared" si="122"/>
        <v>Petaluma and Rohnert Park</v>
      </c>
      <c r="F2615" t="s">
        <v>30</v>
      </c>
      <c r="G2615">
        <f t="shared" si="120"/>
        <v>1</v>
      </c>
      <c r="H2615" t="s">
        <v>125</v>
      </c>
      <c r="I2615" t="s">
        <v>178</v>
      </c>
      <c r="J2615">
        <v>9</v>
      </c>
      <c r="K2615">
        <v>69.522471910112401</v>
      </c>
    </row>
    <row r="2616" spans="1:11" x14ac:dyDescent="0.25">
      <c r="A2616" s="159" t="str">
        <f t="shared" si="121"/>
        <v>LB-Novato-Petaluma and Rohnert Park-Work</v>
      </c>
      <c r="B2616">
        <v>32</v>
      </c>
      <c r="C2616" t="str">
        <f t="shared" si="122"/>
        <v>Novato</v>
      </c>
      <c r="D2616">
        <v>29</v>
      </c>
      <c r="E2616" t="str">
        <f t="shared" si="122"/>
        <v>Petaluma and Rohnert Park</v>
      </c>
      <c r="F2616" t="s">
        <v>30</v>
      </c>
      <c r="G2616">
        <f t="shared" si="120"/>
        <v>1</v>
      </c>
      <c r="H2616" t="s">
        <v>359</v>
      </c>
      <c r="I2616" t="s">
        <v>191</v>
      </c>
      <c r="J2616">
        <v>3</v>
      </c>
      <c r="K2616">
        <v>31.187210649820699</v>
      </c>
    </row>
    <row r="2617" spans="1:11" x14ac:dyDescent="0.25">
      <c r="A2617" s="159" t="str">
        <f t="shared" si="121"/>
        <v>CR-Novato-Santa Rosa and Sebastopol-High school</v>
      </c>
      <c r="B2617">
        <v>32</v>
      </c>
      <c r="C2617" t="str">
        <f t="shared" si="122"/>
        <v>Novato</v>
      </c>
      <c r="D2617">
        <v>30</v>
      </c>
      <c r="E2617" t="str">
        <f t="shared" si="122"/>
        <v>Santa Rosa and Sebastopol</v>
      </c>
      <c r="F2617" t="s">
        <v>326</v>
      </c>
      <c r="G2617">
        <f t="shared" si="120"/>
        <v>3</v>
      </c>
      <c r="H2617" t="s">
        <v>125</v>
      </c>
      <c r="I2617" t="s">
        <v>178</v>
      </c>
      <c r="J2617">
        <v>3</v>
      </c>
      <c r="K2617">
        <v>23.174157303370698</v>
      </c>
    </row>
    <row r="2618" spans="1:11" x14ac:dyDescent="0.25">
      <c r="A2618" s="159" t="str">
        <f t="shared" si="121"/>
        <v>CR-Novato-Santa Rosa and Sebastopol-Shopping</v>
      </c>
      <c r="B2618">
        <v>32</v>
      </c>
      <c r="C2618" t="str">
        <f t="shared" si="122"/>
        <v>Novato</v>
      </c>
      <c r="D2618">
        <v>30</v>
      </c>
      <c r="E2618" t="str">
        <f t="shared" si="122"/>
        <v>Santa Rosa and Sebastopol</v>
      </c>
      <c r="F2618" t="s">
        <v>106</v>
      </c>
      <c r="G2618">
        <f t="shared" si="120"/>
        <v>4</v>
      </c>
      <c r="H2618" t="s">
        <v>125</v>
      </c>
      <c r="I2618" t="s">
        <v>178</v>
      </c>
      <c r="J2618">
        <v>1</v>
      </c>
      <c r="K2618">
        <v>12.22</v>
      </c>
    </row>
    <row r="2619" spans="1:11" x14ac:dyDescent="0.25">
      <c r="A2619" s="159" t="str">
        <f t="shared" si="121"/>
        <v>CR-Novato-Santa Rosa and Sebastopol-Social recreation</v>
      </c>
      <c r="B2619">
        <v>32</v>
      </c>
      <c r="C2619" t="str">
        <f t="shared" si="122"/>
        <v>Novato</v>
      </c>
      <c r="D2619">
        <v>30</v>
      </c>
      <c r="E2619" t="str">
        <f t="shared" si="122"/>
        <v>Santa Rosa and Sebastopol</v>
      </c>
      <c r="F2619" t="s">
        <v>324</v>
      </c>
      <c r="G2619">
        <f t="shared" si="120"/>
        <v>5</v>
      </c>
      <c r="H2619" t="s">
        <v>125</v>
      </c>
      <c r="I2619" t="s">
        <v>178</v>
      </c>
      <c r="J2619">
        <v>2</v>
      </c>
      <c r="K2619">
        <v>24.44</v>
      </c>
    </row>
    <row r="2620" spans="1:11" x14ac:dyDescent="0.25">
      <c r="A2620" s="159" t="str">
        <f t="shared" si="121"/>
        <v>CR-Novato-Santa Rosa and Sebastopol-Work</v>
      </c>
      <c r="B2620">
        <v>32</v>
      </c>
      <c r="C2620" t="str">
        <f t="shared" si="122"/>
        <v>Novato</v>
      </c>
      <c r="D2620">
        <v>30</v>
      </c>
      <c r="E2620" t="str">
        <f t="shared" si="122"/>
        <v>Santa Rosa and Sebastopol</v>
      </c>
      <c r="F2620" t="s">
        <v>30</v>
      </c>
      <c r="G2620">
        <f t="shared" si="120"/>
        <v>1</v>
      </c>
      <c r="H2620" t="s">
        <v>125</v>
      </c>
      <c r="I2620" t="s">
        <v>178</v>
      </c>
      <c r="J2620">
        <v>5</v>
      </c>
      <c r="K2620">
        <v>47.614157303370803</v>
      </c>
    </row>
    <row r="2621" spans="1:11" x14ac:dyDescent="0.25">
      <c r="A2621" s="159" t="str">
        <f t="shared" si="121"/>
        <v>CR-Novato-Healdsburg and Cloverdale-Social recreation</v>
      </c>
      <c r="B2621">
        <v>32</v>
      </c>
      <c r="C2621" t="str">
        <f t="shared" si="122"/>
        <v>Novato</v>
      </c>
      <c r="D2621">
        <v>31</v>
      </c>
      <c r="E2621" t="str">
        <f t="shared" si="122"/>
        <v>Healdsburg and Cloverdale</v>
      </c>
      <c r="F2621" t="s">
        <v>324</v>
      </c>
      <c r="G2621">
        <f t="shared" si="120"/>
        <v>5</v>
      </c>
      <c r="H2621" t="s">
        <v>125</v>
      </c>
      <c r="I2621" t="s">
        <v>178</v>
      </c>
      <c r="J2621">
        <v>1</v>
      </c>
      <c r="K2621">
        <v>7.7247191011235996</v>
      </c>
    </row>
    <row r="2622" spans="1:11" x14ac:dyDescent="0.25">
      <c r="A2622" s="159" t="str">
        <f t="shared" si="121"/>
        <v>CR-Novato-Novato-High school</v>
      </c>
      <c r="B2622">
        <v>32</v>
      </c>
      <c r="C2622" t="str">
        <f t="shared" si="122"/>
        <v>Novato</v>
      </c>
      <c r="D2622">
        <v>32</v>
      </c>
      <c r="E2622" t="str">
        <f t="shared" si="122"/>
        <v>Novato</v>
      </c>
      <c r="F2622" t="s">
        <v>326</v>
      </c>
      <c r="G2622">
        <f t="shared" si="120"/>
        <v>3</v>
      </c>
      <c r="H2622" t="s">
        <v>125</v>
      </c>
      <c r="I2622" t="s">
        <v>178</v>
      </c>
      <c r="J2622">
        <v>3</v>
      </c>
      <c r="K2622">
        <v>23.174157303370698</v>
      </c>
    </row>
    <row r="2623" spans="1:11" x14ac:dyDescent="0.25">
      <c r="A2623" s="159" t="str">
        <f t="shared" si="121"/>
        <v>LB-Novato-Novato-High school</v>
      </c>
      <c r="B2623">
        <v>32</v>
      </c>
      <c r="C2623" t="str">
        <f t="shared" si="122"/>
        <v>Novato</v>
      </c>
      <c r="D2623">
        <v>32</v>
      </c>
      <c r="E2623" t="str">
        <f t="shared" si="122"/>
        <v>Novato</v>
      </c>
      <c r="F2623" t="s">
        <v>326</v>
      </c>
      <c r="G2623">
        <f t="shared" si="120"/>
        <v>3</v>
      </c>
      <c r="H2623" t="s">
        <v>359</v>
      </c>
      <c r="I2623" t="s">
        <v>191</v>
      </c>
      <c r="J2623">
        <v>9</v>
      </c>
      <c r="K2623">
        <v>177.533472803346</v>
      </c>
    </row>
    <row r="2624" spans="1:11" x14ac:dyDescent="0.25">
      <c r="A2624" s="159" t="str">
        <f t="shared" si="121"/>
        <v>LB-Novato-Novato-Missing</v>
      </c>
      <c r="B2624">
        <v>32</v>
      </c>
      <c r="C2624" t="str">
        <f t="shared" si="122"/>
        <v>Novato</v>
      </c>
      <c r="D2624">
        <v>32</v>
      </c>
      <c r="E2624" t="str">
        <f t="shared" si="122"/>
        <v>Novato</v>
      </c>
      <c r="F2624" t="s">
        <v>327</v>
      </c>
      <c r="G2624">
        <f t="shared" si="120"/>
        <v>0</v>
      </c>
      <c r="H2624" t="s">
        <v>359</v>
      </c>
      <c r="I2624" t="s">
        <v>191</v>
      </c>
      <c r="J2624">
        <v>5</v>
      </c>
      <c r="K2624">
        <v>98.629707112970493</v>
      </c>
    </row>
    <row r="2625" spans="1:11" x14ac:dyDescent="0.25">
      <c r="A2625" s="159" t="str">
        <f t="shared" si="121"/>
        <v>LB-Novato-Novato-Other maintenance</v>
      </c>
      <c r="B2625">
        <v>32</v>
      </c>
      <c r="C2625" t="str">
        <f t="shared" si="122"/>
        <v>Novato</v>
      </c>
      <c r="D2625">
        <v>32</v>
      </c>
      <c r="E2625" t="str">
        <f t="shared" si="122"/>
        <v>Novato</v>
      </c>
      <c r="F2625" t="s">
        <v>325</v>
      </c>
      <c r="G2625">
        <f t="shared" si="120"/>
        <v>4</v>
      </c>
      <c r="H2625" t="s">
        <v>359</v>
      </c>
      <c r="I2625" t="s">
        <v>191</v>
      </c>
      <c r="J2625">
        <v>5</v>
      </c>
      <c r="K2625">
        <v>152.65376569037599</v>
      </c>
    </row>
    <row r="2626" spans="1:11" x14ac:dyDescent="0.25">
      <c r="A2626" s="159" t="str">
        <f t="shared" si="121"/>
        <v>LB-Novato-Novato-Shopping</v>
      </c>
      <c r="B2626">
        <v>32</v>
      </c>
      <c r="C2626" t="str">
        <f t="shared" si="122"/>
        <v>Novato</v>
      </c>
      <c r="D2626">
        <v>32</v>
      </c>
      <c r="E2626" t="str">
        <f t="shared" si="122"/>
        <v>Novato</v>
      </c>
      <c r="F2626" t="s">
        <v>106</v>
      </c>
      <c r="G2626">
        <f t="shared" ref="G2626:G2689" si="123">VLOOKUP(F2626,$V$2:$X$10, 3,FALSE)</f>
        <v>4</v>
      </c>
      <c r="H2626" t="s">
        <v>359</v>
      </c>
      <c r="I2626" t="s">
        <v>191</v>
      </c>
      <c r="J2626">
        <v>1</v>
      </c>
      <c r="K2626">
        <v>19.725941422594101</v>
      </c>
    </row>
    <row r="2627" spans="1:11" x14ac:dyDescent="0.25">
      <c r="A2627" s="159" t="str">
        <f t="shared" ref="A2627:A2690" si="124" xml:space="preserve"> CONCATENATE(I2627,"-",C2627, "-",E2627, "-",F2627,)</f>
        <v>CR-Novato-Novato-Social recreation</v>
      </c>
      <c r="B2627">
        <v>32</v>
      </c>
      <c r="C2627" t="str">
        <f t="shared" ref="C2627:E2690" si="125">VLOOKUP(B2627,$S$2:$T$35,2,FALSE)</f>
        <v>Novato</v>
      </c>
      <c r="D2627">
        <v>32</v>
      </c>
      <c r="E2627" t="str">
        <f t="shared" si="125"/>
        <v>Novato</v>
      </c>
      <c r="F2627" t="s">
        <v>324</v>
      </c>
      <c r="G2627">
        <f t="shared" si="123"/>
        <v>5</v>
      </c>
      <c r="H2627" t="s">
        <v>125</v>
      </c>
      <c r="I2627" t="s">
        <v>178</v>
      </c>
      <c r="J2627">
        <v>3</v>
      </c>
      <c r="K2627">
        <v>27.6694382022472</v>
      </c>
    </row>
    <row r="2628" spans="1:11" x14ac:dyDescent="0.25">
      <c r="A2628" s="159" t="str">
        <f t="shared" si="124"/>
        <v>LB-Novato-Novato-Social recreation</v>
      </c>
      <c r="B2628">
        <v>32</v>
      </c>
      <c r="C2628" t="str">
        <f t="shared" si="125"/>
        <v>Novato</v>
      </c>
      <c r="D2628">
        <v>32</v>
      </c>
      <c r="E2628" t="str">
        <f t="shared" si="125"/>
        <v>Novato</v>
      </c>
      <c r="F2628" t="s">
        <v>324</v>
      </c>
      <c r="G2628">
        <f t="shared" si="123"/>
        <v>5</v>
      </c>
      <c r="H2628" t="s">
        <v>359</v>
      </c>
      <c r="I2628" t="s">
        <v>191</v>
      </c>
      <c r="J2628">
        <v>1</v>
      </c>
      <c r="K2628">
        <v>73.75</v>
      </c>
    </row>
    <row r="2629" spans="1:11" x14ac:dyDescent="0.25">
      <c r="A2629" s="159" t="str">
        <f t="shared" si="124"/>
        <v>CR-Novato-Novato-Work</v>
      </c>
      <c r="B2629">
        <v>32</v>
      </c>
      <c r="C2629" t="str">
        <f t="shared" si="125"/>
        <v>Novato</v>
      </c>
      <c r="D2629">
        <v>32</v>
      </c>
      <c r="E2629" t="str">
        <f t="shared" si="125"/>
        <v>Novato</v>
      </c>
      <c r="F2629" t="s">
        <v>30</v>
      </c>
      <c r="G2629">
        <f t="shared" si="123"/>
        <v>1</v>
      </c>
      <c r="H2629" t="s">
        <v>125</v>
      </c>
      <c r="I2629" t="s">
        <v>178</v>
      </c>
      <c r="J2629">
        <v>1</v>
      </c>
      <c r="K2629">
        <v>7.7247191011235996</v>
      </c>
    </row>
    <row r="2630" spans="1:11" x14ac:dyDescent="0.25">
      <c r="A2630" s="159" t="str">
        <f t="shared" si="124"/>
        <v>LB-Novato-Novato-Work</v>
      </c>
      <c r="B2630">
        <v>32</v>
      </c>
      <c r="C2630" t="str">
        <f t="shared" si="125"/>
        <v>Novato</v>
      </c>
      <c r="D2630">
        <v>32</v>
      </c>
      <c r="E2630" t="str">
        <f t="shared" si="125"/>
        <v>Novato</v>
      </c>
      <c r="F2630" t="s">
        <v>30</v>
      </c>
      <c r="G2630">
        <f t="shared" si="123"/>
        <v>1</v>
      </c>
      <c r="H2630" t="s">
        <v>359</v>
      </c>
      <c r="I2630" t="s">
        <v>191</v>
      </c>
      <c r="J2630">
        <v>16</v>
      </c>
      <c r="K2630">
        <v>315.61506276150499</v>
      </c>
    </row>
    <row r="2631" spans="1:11" x14ac:dyDescent="0.25">
      <c r="A2631" s="159" t="str">
        <f t="shared" si="124"/>
        <v>LB-Novato-San Rafael-High school</v>
      </c>
      <c r="B2631">
        <v>32</v>
      </c>
      <c r="C2631" t="str">
        <f t="shared" si="125"/>
        <v>Novato</v>
      </c>
      <c r="D2631">
        <v>33</v>
      </c>
      <c r="E2631" t="str">
        <f t="shared" si="125"/>
        <v>San Rafael</v>
      </c>
      <c r="F2631" t="s">
        <v>326</v>
      </c>
      <c r="G2631">
        <f t="shared" si="123"/>
        <v>3</v>
      </c>
      <c r="H2631" t="s">
        <v>359</v>
      </c>
      <c r="I2631" t="s">
        <v>191</v>
      </c>
      <c r="J2631">
        <v>7</v>
      </c>
      <c r="K2631">
        <v>138.08158995815799</v>
      </c>
    </row>
    <row r="2632" spans="1:11" x14ac:dyDescent="0.25">
      <c r="A2632" s="159" t="str">
        <f t="shared" si="124"/>
        <v>LB-Novato-San Rafael-Missing</v>
      </c>
      <c r="B2632">
        <v>32</v>
      </c>
      <c r="C2632" t="str">
        <f t="shared" si="125"/>
        <v>Novato</v>
      </c>
      <c r="D2632">
        <v>33</v>
      </c>
      <c r="E2632" t="str">
        <f t="shared" si="125"/>
        <v>San Rafael</v>
      </c>
      <c r="F2632" t="s">
        <v>327</v>
      </c>
      <c r="G2632">
        <f t="shared" si="123"/>
        <v>0</v>
      </c>
      <c r="H2632" t="s">
        <v>359</v>
      </c>
      <c r="I2632" t="s">
        <v>191</v>
      </c>
      <c r="J2632">
        <v>5</v>
      </c>
      <c r="K2632">
        <v>152.65376569037599</v>
      </c>
    </row>
    <row r="2633" spans="1:11" x14ac:dyDescent="0.25">
      <c r="A2633" s="159" t="str">
        <f t="shared" si="124"/>
        <v>LB-Novato-San Rafael-Other maintenance</v>
      </c>
      <c r="B2633">
        <v>32</v>
      </c>
      <c r="C2633" t="str">
        <f t="shared" si="125"/>
        <v>Novato</v>
      </c>
      <c r="D2633">
        <v>33</v>
      </c>
      <c r="E2633" t="str">
        <f t="shared" si="125"/>
        <v>San Rafael</v>
      </c>
      <c r="F2633" t="s">
        <v>325</v>
      </c>
      <c r="G2633">
        <f t="shared" si="123"/>
        <v>4</v>
      </c>
      <c r="H2633" t="s">
        <v>359</v>
      </c>
      <c r="I2633" t="s">
        <v>191</v>
      </c>
      <c r="J2633">
        <v>8</v>
      </c>
      <c r="K2633">
        <v>157.80753138075201</v>
      </c>
    </row>
    <row r="2634" spans="1:11" x14ac:dyDescent="0.25">
      <c r="A2634" s="159" t="str">
        <f t="shared" si="124"/>
        <v>LB-Novato-San Rafael-Shopping</v>
      </c>
      <c r="B2634">
        <v>32</v>
      </c>
      <c r="C2634" t="str">
        <f t="shared" si="125"/>
        <v>Novato</v>
      </c>
      <c r="D2634">
        <v>33</v>
      </c>
      <c r="E2634" t="str">
        <f t="shared" si="125"/>
        <v>San Rafael</v>
      </c>
      <c r="F2634" t="s">
        <v>106</v>
      </c>
      <c r="G2634">
        <f t="shared" si="123"/>
        <v>4</v>
      </c>
      <c r="H2634" t="s">
        <v>359</v>
      </c>
      <c r="I2634" t="s">
        <v>191</v>
      </c>
      <c r="J2634">
        <v>1</v>
      </c>
      <c r="K2634">
        <v>73.75</v>
      </c>
    </row>
    <row r="2635" spans="1:11" x14ac:dyDescent="0.25">
      <c r="A2635" s="159" t="str">
        <f t="shared" si="124"/>
        <v>CR-Novato-San Rafael-Social recreation</v>
      </c>
      <c r="B2635">
        <v>32</v>
      </c>
      <c r="C2635" t="str">
        <f t="shared" si="125"/>
        <v>Novato</v>
      </c>
      <c r="D2635">
        <v>33</v>
      </c>
      <c r="E2635" t="str">
        <f t="shared" si="125"/>
        <v>San Rafael</v>
      </c>
      <c r="F2635" t="s">
        <v>324</v>
      </c>
      <c r="G2635">
        <f t="shared" si="123"/>
        <v>5</v>
      </c>
      <c r="H2635" t="s">
        <v>125</v>
      </c>
      <c r="I2635" t="s">
        <v>178</v>
      </c>
      <c r="J2635">
        <v>1</v>
      </c>
      <c r="K2635">
        <v>12.22</v>
      </c>
    </row>
    <row r="2636" spans="1:11" x14ac:dyDescent="0.25">
      <c r="A2636" s="159" t="str">
        <f t="shared" si="124"/>
        <v>LB-Novato-San Rafael-Social recreation</v>
      </c>
      <c r="B2636">
        <v>32</v>
      </c>
      <c r="C2636" t="str">
        <f t="shared" si="125"/>
        <v>Novato</v>
      </c>
      <c r="D2636">
        <v>33</v>
      </c>
      <c r="E2636" t="str">
        <f t="shared" si="125"/>
        <v>San Rafael</v>
      </c>
      <c r="F2636" t="s">
        <v>324</v>
      </c>
      <c r="G2636">
        <f t="shared" si="123"/>
        <v>5</v>
      </c>
      <c r="H2636" t="s">
        <v>359</v>
      </c>
      <c r="I2636" t="s">
        <v>191</v>
      </c>
      <c r="J2636">
        <v>1</v>
      </c>
      <c r="K2636">
        <v>19.725941422594101</v>
      </c>
    </row>
    <row r="2637" spans="1:11" x14ac:dyDescent="0.25">
      <c r="A2637" s="159" t="str">
        <f t="shared" si="124"/>
        <v>CR-Novato-San Rafael-Work</v>
      </c>
      <c r="B2637">
        <v>32</v>
      </c>
      <c r="C2637" t="str">
        <f t="shared" si="125"/>
        <v>Novato</v>
      </c>
      <c r="D2637">
        <v>33</v>
      </c>
      <c r="E2637" t="str">
        <f t="shared" si="125"/>
        <v>San Rafael</v>
      </c>
      <c r="F2637" t="s">
        <v>30</v>
      </c>
      <c r="G2637">
        <f t="shared" si="123"/>
        <v>1</v>
      </c>
      <c r="H2637" t="s">
        <v>125</v>
      </c>
      <c r="I2637" t="s">
        <v>178</v>
      </c>
      <c r="J2637">
        <v>7</v>
      </c>
      <c r="K2637">
        <v>63.063595505617997</v>
      </c>
    </row>
    <row r="2638" spans="1:11" x14ac:dyDescent="0.25">
      <c r="A2638" s="159" t="str">
        <f t="shared" si="124"/>
        <v>LB-Novato-San Rafael-Work</v>
      </c>
      <c r="B2638">
        <v>32</v>
      </c>
      <c r="C2638" t="str">
        <f t="shared" si="125"/>
        <v>Novato</v>
      </c>
      <c r="D2638">
        <v>33</v>
      </c>
      <c r="E2638" t="str">
        <f t="shared" si="125"/>
        <v>San Rafael</v>
      </c>
      <c r="F2638" t="s">
        <v>30</v>
      </c>
      <c r="G2638">
        <f t="shared" si="123"/>
        <v>1</v>
      </c>
      <c r="H2638" t="s">
        <v>359</v>
      </c>
      <c r="I2638" t="s">
        <v>191</v>
      </c>
      <c r="J2638">
        <v>9</v>
      </c>
      <c r="K2638">
        <v>231.55753138075201</v>
      </c>
    </row>
    <row r="2639" spans="1:11" x14ac:dyDescent="0.25">
      <c r="A2639" s="159" t="str">
        <f t="shared" si="124"/>
        <v>LB-Novato-Mill Valley and Sausalito-High school</v>
      </c>
      <c r="B2639">
        <v>32</v>
      </c>
      <c r="C2639" t="str">
        <f t="shared" si="125"/>
        <v>Novato</v>
      </c>
      <c r="D2639">
        <v>34</v>
      </c>
      <c r="E2639" t="str">
        <f t="shared" si="125"/>
        <v>Mill Valley and Sausalito</v>
      </c>
      <c r="F2639" t="s">
        <v>326</v>
      </c>
      <c r="G2639">
        <f t="shared" si="123"/>
        <v>3</v>
      </c>
      <c r="H2639" t="s">
        <v>359</v>
      </c>
      <c r="I2639" t="s">
        <v>191</v>
      </c>
      <c r="J2639">
        <v>4</v>
      </c>
      <c r="K2639">
        <v>78.903765690376403</v>
      </c>
    </row>
    <row r="2640" spans="1:11" x14ac:dyDescent="0.25">
      <c r="A2640" s="159" t="str">
        <f t="shared" si="124"/>
        <v>CR-Novato-Mill Valley and Sausalito-Missing</v>
      </c>
      <c r="B2640">
        <v>32</v>
      </c>
      <c r="C2640" t="str">
        <f t="shared" si="125"/>
        <v>Novato</v>
      </c>
      <c r="D2640">
        <v>34</v>
      </c>
      <c r="E2640" t="str">
        <f t="shared" si="125"/>
        <v>Mill Valley and Sausalito</v>
      </c>
      <c r="F2640" t="s">
        <v>327</v>
      </c>
      <c r="G2640">
        <f t="shared" si="123"/>
        <v>0</v>
      </c>
      <c r="H2640" t="s">
        <v>125</v>
      </c>
      <c r="I2640" t="s">
        <v>178</v>
      </c>
      <c r="J2640">
        <v>1</v>
      </c>
      <c r="K2640">
        <v>12.22</v>
      </c>
    </row>
    <row r="2641" spans="1:11" x14ac:dyDescent="0.25">
      <c r="A2641" s="159" t="str">
        <f t="shared" si="124"/>
        <v>LB-Novato-Mill Valley and Sausalito-Missing</v>
      </c>
      <c r="B2641">
        <v>32</v>
      </c>
      <c r="C2641" t="str">
        <f t="shared" si="125"/>
        <v>Novato</v>
      </c>
      <c r="D2641">
        <v>34</v>
      </c>
      <c r="E2641" t="str">
        <f t="shared" si="125"/>
        <v>Mill Valley and Sausalito</v>
      </c>
      <c r="F2641" t="s">
        <v>327</v>
      </c>
      <c r="G2641">
        <f t="shared" si="123"/>
        <v>0</v>
      </c>
      <c r="H2641" t="s">
        <v>359</v>
      </c>
      <c r="I2641" t="s">
        <v>191</v>
      </c>
      <c r="J2641">
        <v>1</v>
      </c>
      <c r="K2641">
        <v>19.725941422594101</v>
      </c>
    </row>
    <row r="2642" spans="1:11" x14ac:dyDescent="0.25">
      <c r="A2642" s="159" t="str">
        <f t="shared" si="124"/>
        <v>CR-Novato-Mill Valley and Sausalito-Work</v>
      </c>
      <c r="B2642">
        <v>32</v>
      </c>
      <c r="C2642" t="str">
        <f t="shared" si="125"/>
        <v>Novato</v>
      </c>
      <c r="D2642">
        <v>34</v>
      </c>
      <c r="E2642" t="str">
        <f t="shared" si="125"/>
        <v>Mill Valley and Sausalito</v>
      </c>
      <c r="F2642" t="s">
        <v>30</v>
      </c>
      <c r="G2642">
        <f t="shared" si="123"/>
        <v>1</v>
      </c>
      <c r="H2642" t="s">
        <v>125</v>
      </c>
      <c r="I2642" t="s">
        <v>178</v>
      </c>
      <c r="J2642">
        <v>4</v>
      </c>
      <c r="K2642">
        <v>30.898876404494398</v>
      </c>
    </row>
    <row r="2643" spans="1:11" x14ac:dyDescent="0.25">
      <c r="A2643" s="159" t="str">
        <f t="shared" si="124"/>
        <v>LB-Novato-Mill Valley and Sausalito-Work</v>
      </c>
      <c r="B2643">
        <v>32</v>
      </c>
      <c r="C2643" t="str">
        <f t="shared" si="125"/>
        <v>Novato</v>
      </c>
      <c r="D2643">
        <v>34</v>
      </c>
      <c r="E2643" t="str">
        <f t="shared" si="125"/>
        <v>Mill Valley and Sausalito</v>
      </c>
      <c r="F2643" t="s">
        <v>30</v>
      </c>
      <c r="G2643">
        <f t="shared" si="123"/>
        <v>1</v>
      </c>
      <c r="H2643" t="s">
        <v>359</v>
      </c>
      <c r="I2643" t="s">
        <v>191</v>
      </c>
      <c r="J2643">
        <v>11</v>
      </c>
      <c r="K2643">
        <v>379.05753138075198</v>
      </c>
    </row>
    <row r="2644" spans="1:11" x14ac:dyDescent="0.25">
      <c r="A2644" s="159" t="str">
        <f t="shared" si="124"/>
        <v>LB-San Rafael-Greater Downtown San Francisco-Work</v>
      </c>
      <c r="B2644">
        <v>33</v>
      </c>
      <c r="C2644" t="str">
        <f t="shared" si="125"/>
        <v>San Rafael</v>
      </c>
      <c r="D2644">
        <v>1</v>
      </c>
      <c r="E2644" t="str">
        <f t="shared" si="125"/>
        <v>Greater Downtown San Francisco</v>
      </c>
      <c r="F2644" t="s">
        <v>30</v>
      </c>
      <c r="G2644">
        <f t="shared" si="123"/>
        <v>1</v>
      </c>
      <c r="H2644" t="s">
        <v>359</v>
      </c>
      <c r="I2644" t="s">
        <v>191</v>
      </c>
      <c r="J2644">
        <v>1</v>
      </c>
      <c r="K2644">
        <v>19.725941422594101</v>
      </c>
    </row>
    <row r="2645" spans="1:11" x14ac:dyDescent="0.25">
      <c r="A2645" s="159" t="str">
        <f t="shared" si="124"/>
        <v>LB-San Rafael-San Francisco Richmond District-Missing</v>
      </c>
      <c r="B2645">
        <v>33</v>
      </c>
      <c r="C2645" t="str">
        <f t="shared" si="125"/>
        <v>San Rafael</v>
      </c>
      <c r="D2645">
        <v>2</v>
      </c>
      <c r="E2645" t="str">
        <f t="shared" si="125"/>
        <v>San Francisco Richmond District</v>
      </c>
      <c r="F2645" t="s">
        <v>327</v>
      </c>
      <c r="G2645">
        <f t="shared" si="123"/>
        <v>0</v>
      </c>
      <c r="H2645" t="s">
        <v>359</v>
      </c>
      <c r="I2645" t="s">
        <v>191</v>
      </c>
      <c r="J2645">
        <v>1</v>
      </c>
      <c r="K2645">
        <v>19.725941422594101</v>
      </c>
    </row>
    <row r="2646" spans="1:11" x14ac:dyDescent="0.25">
      <c r="A2646" s="159" t="str">
        <f t="shared" si="124"/>
        <v>LB-San Rafael-San Francisco Richmond District-Other maintenance</v>
      </c>
      <c r="B2646">
        <v>33</v>
      </c>
      <c r="C2646" t="str">
        <f t="shared" si="125"/>
        <v>San Rafael</v>
      </c>
      <c r="D2646">
        <v>2</v>
      </c>
      <c r="E2646" t="str">
        <f t="shared" si="125"/>
        <v>San Francisco Richmond District</v>
      </c>
      <c r="F2646" t="s">
        <v>325</v>
      </c>
      <c r="G2646">
        <f t="shared" si="123"/>
        <v>4</v>
      </c>
      <c r="H2646" t="s">
        <v>359</v>
      </c>
      <c r="I2646" t="s">
        <v>191</v>
      </c>
      <c r="J2646">
        <v>2</v>
      </c>
      <c r="K2646">
        <v>39.451882845188202</v>
      </c>
    </row>
    <row r="2647" spans="1:11" x14ac:dyDescent="0.25">
      <c r="A2647" s="159" t="str">
        <f t="shared" si="124"/>
        <v>LB-San Rafael-San Francisco Richmond District-Work</v>
      </c>
      <c r="B2647">
        <v>33</v>
      </c>
      <c r="C2647" t="str">
        <f t="shared" si="125"/>
        <v>San Rafael</v>
      </c>
      <c r="D2647">
        <v>2</v>
      </c>
      <c r="E2647" t="str">
        <f t="shared" si="125"/>
        <v>San Francisco Richmond District</v>
      </c>
      <c r="F2647" t="s">
        <v>30</v>
      </c>
      <c r="G2647">
        <f t="shared" si="123"/>
        <v>1</v>
      </c>
      <c r="H2647" t="s">
        <v>359</v>
      </c>
      <c r="I2647" t="s">
        <v>191</v>
      </c>
      <c r="J2647">
        <v>1</v>
      </c>
      <c r="K2647">
        <v>19.725941422594101</v>
      </c>
    </row>
    <row r="2648" spans="1:11" x14ac:dyDescent="0.25">
      <c r="A2648" s="159" t="str">
        <f t="shared" si="124"/>
        <v>LB-San Rafael-Berkeley and Albany-Social recreation</v>
      </c>
      <c r="B2648">
        <v>33</v>
      </c>
      <c r="C2648" t="str">
        <f t="shared" si="125"/>
        <v>San Rafael</v>
      </c>
      <c r="D2648">
        <v>19</v>
      </c>
      <c r="E2648" t="str">
        <f t="shared" si="125"/>
        <v>Berkeley and Albany</v>
      </c>
      <c r="F2648" t="s">
        <v>324</v>
      </c>
      <c r="G2648">
        <f t="shared" si="123"/>
        <v>5</v>
      </c>
      <c r="H2648" t="s">
        <v>359</v>
      </c>
      <c r="I2648" t="s">
        <v>191</v>
      </c>
      <c r="J2648">
        <v>1</v>
      </c>
      <c r="K2648">
        <v>19.725941422594101</v>
      </c>
    </row>
    <row r="2649" spans="1:11" x14ac:dyDescent="0.25">
      <c r="A2649" s="159" t="str">
        <f t="shared" si="124"/>
        <v>LB-San Rafael-Richmond and El Cerrito-Work</v>
      </c>
      <c r="B2649">
        <v>33</v>
      </c>
      <c r="C2649" t="str">
        <f t="shared" si="125"/>
        <v>San Rafael</v>
      </c>
      <c r="D2649">
        <v>20</v>
      </c>
      <c r="E2649" t="str">
        <f t="shared" si="125"/>
        <v>Richmond and El Cerrito</v>
      </c>
      <c r="F2649" t="s">
        <v>30</v>
      </c>
      <c r="G2649">
        <f t="shared" si="123"/>
        <v>1</v>
      </c>
      <c r="H2649" t="s">
        <v>359</v>
      </c>
      <c r="I2649" t="s">
        <v>191</v>
      </c>
      <c r="J2649">
        <v>1</v>
      </c>
      <c r="K2649">
        <v>19.725941422594101</v>
      </c>
    </row>
    <row r="2650" spans="1:11" x14ac:dyDescent="0.25">
      <c r="A2650" s="159" t="str">
        <f t="shared" si="124"/>
        <v>LB-San Rafael-Vallejo and Benicia-High school</v>
      </c>
      <c r="B2650">
        <v>33</v>
      </c>
      <c r="C2650" t="str">
        <f t="shared" si="125"/>
        <v>San Rafael</v>
      </c>
      <c r="D2650">
        <v>25</v>
      </c>
      <c r="E2650" t="str">
        <f t="shared" si="125"/>
        <v>Vallejo and Benicia</v>
      </c>
      <c r="F2650" t="s">
        <v>326</v>
      </c>
      <c r="G2650">
        <f t="shared" si="123"/>
        <v>3</v>
      </c>
      <c r="H2650" t="s">
        <v>359</v>
      </c>
      <c r="I2650" t="s">
        <v>191</v>
      </c>
      <c r="J2650">
        <v>2</v>
      </c>
      <c r="K2650">
        <v>39.451882845188202</v>
      </c>
    </row>
    <row r="2651" spans="1:11" x14ac:dyDescent="0.25">
      <c r="A2651" s="159" t="str">
        <f t="shared" si="124"/>
        <v>LB-San Rafael-Vallejo and Benicia-Missing</v>
      </c>
      <c r="B2651">
        <v>33</v>
      </c>
      <c r="C2651" t="str">
        <f t="shared" si="125"/>
        <v>San Rafael</v>
      </c>
      <c r="D2651">
        <v>25</v>
      </c>
      <c r="E2651" t="str">
        <f t="shared" si="125"/>
        <v>Vallejo and Benicia</v>
      </c>
      <c r="F2651" t="s">
        <v>327</v>
      </c>
      <c r="G2651">
        <f t="shared" si="123"/>
        <v>0</v>
      </c>
      <c r="H2651" t="s">
        <v>359</v>
      </c>
      <c r="I2651" t="s">
        <v>191</v>
      </c>
      <c r="J2651">
        <v>1</v>
      </c>
      <c r="K2651">
        <v>19.725941422594101</v>
      </c>
    </row>
    <row r="2652" spans="1:11" x14ac:dyDescent="0.25">
      <c r="A2652" s="159" t="str">
        <f t="shared" si="124"/>
        <v>LB-San Rafael-Vallejo and Benicia-Work</v>
      </c>
      <c r="B2652">
        <v>33</v>
      </c>
      <c r="C2652" t="str">
        <f t="shared" si="125"/>
        <v>San Rafael</v>
      </c>
      <c r="D2652">
        <v>25</v>
      </c>
      <c r="E2652" t="str">
        <f t="shared" si="125"/>
        <v>Vallejo and Benicia</v>
      </c>
      <c r="F2652" t="s">
        <v>30</v>
      </c>
      <c r="G2652">
        <f t="shared" si="123"/>
        <v>1</v>
      </c>
      <c r="H2652" t="s">
        <v>359</v>
      </c>
      <c r="I2652" t="s">
        <v>191</v>
      </c>
      <c r="J2652">
        <v>1</v>
      </c>
      <c r="K2652">
        <v>19.725941422594101</v>
      </c>
    </row>
    <row r="2653" spans="1:11" x14ac:dyDescent="0.25">
      <c r="A2653" s="159" t="str">
        <f t="shared" si="124"/>
        <v>EB-San Rafael-Fairfield and Vacaville-High school</v>
      </c>
      <c r="B2653">
        <v>33</v>
      </c>
      <c r="C2653" t="str">
        <f t="shared" si="125"/>
        <v>San Rafael</v>
      </c>
      <c r="D2653">
        <v>26</v>
      </c>
      <c r="E2653" t="str">
        <f t="shared" si="125"/>
        <v>Fairfield and Vacaville</v>
      </c>
      <c r="F2653" t="s">
        <v>326</v>
      </c>
      <c r="G2653">
        <f t="shared" si="123"/>
        <v>3</v>
      </c>
      <c r="H2653" t="s">
        <v>123</v>
      </c>
      <c r="I2653" t="s">
        <v>182</v>
      </c>
      <c r="J2653">
        <v>1</v>
      </c>
      <c r="K2653">
        <v>12.3349397590361</v>
      </c>
    </row>
    <row r="2654" spans="1:11" x14ac:dyDescent="0.25">
      <c r="A2654" s="159" t="str">
        <f t="shared" si="124"/>
        <v>EB-San Rafael-Fairfield and Vacaville-Work</v>
      </c>
      <c r="B2654">
        <v>33</v>
      </c>
      <c r="C2654" t="str">
        <f t="shared" si="125"/>
        <v>San Rafael</v>
      </c>
      <c r="D2654">
        <v>26</v>
      </c>
      <c r="E2654" t="str">
        <f t="shared" si="125"/>
        <v>Fairfield and Vacaville</v>
      </c>
      <c r="F2654" t="s">
        <v>30</v>
      </c>
      <c r="G2654">
        <f t="shared" si="123"/>
        <v>1</v>
      </c>
      <c r="H2654" t="s">
        <v>123</v>
      </c>
      <c r="I2654" t="s">
        <v>182</v>
      </c>
      <c r="J2654">
        <v>1</v>
      </c>
      <c r="K2654">
        <v>12.3349397590361</v>
      </c>
    </row>
    <row r="2655" spans="1:11" x14ac:dyDescent="0.25">
      <c r="A2655" s="159" t="str">
        <f t="shared" si="124"/>
        <v>CR-San Rafael-Petaluma and Rohnert Park-High school</v>
      </c>
      <c r="B2655">
        <v>33</v>
      </c>
      <c r="C2655" t="str">
        <f t="shared" si="125"/>
        <v>San Rafael</v>
      </c>
      <c r="D2655">
        <v>29</v>
      </c>
      <c r="E2655" t="str">
        <f t="shared" si="125"/>
        <v>Petaluma and Rohnert Park</v>
      </c>
      <c r="F2655" t="s">
        <v>326</v>
      </c>
      <c r="G2655">
        <f t="shared" si="123"/>
        <v>3</v>
      </c>
      <c r="H2655" t="s">
        <v>125</v>
      </c>
      <c r="I2655" t="s">
        <v>178</v>
      </c>
      <c r="J2655">
        <v>1</v>
      </c>
      <c r="K2655">
        <v>7.7247191011235996</v>
      </c>
    </row>
    <row r="2656" spans="1:11" x14ac:dyDescent="0.25">
      <c r="A2656" s="159" t="str">
        <f t="shared" si="124"/>
        <v>CR-San Rafael-Petaluma and Rohnert Park-Missing</v>
      </c>
      <c r="B2656">
        <v>33</v>
      </c>
      <c r="C2656" t="str">
        <f t="shared" si="125"/>
        <v>San Rafael</v>
      </c>
      <c r="D2656">
        <v>29</v>
      </c>
      <c r="E2656" t="str">
        <f t="shared" si="125"/>
        <v>Petaluma and Rohnert Park</v>
      </c>
      <c r="F2656" t="s">
        <v>327</v>
      </c>
      <c r="G2656">
        <f t="shared" si="123"/>
        <v>0</v>
      </c>
      <c r="H2656" t="s">
        <v>125</v>
      </c>
      <c r="I2656" t="s">
        <v>178</v>
      </c>
      <c r="J2656">
        <v>1</v>
      </c>
      <c r="K2656">
        <v>12.22</v>
      </c>
    </row>
    <row r="2657" spans="1:11" x14ac:dyDescent="0.25">
      <c r="A2657" s="159" t="str">
        <f t="shared" si="124"/>
        <v>LB-San Rafael-Petaluma and Rohnert Park-Other maintenance</v>
      </c>
      <c r="B2657">
        <v>33</v>
      </c>
      <c r="C2657" t="str">
        <f t="shared" si="125"/>
        <v>San Rafael</v>
      </c>
      <c r="D2657">
        <v>29</v>
      </c>
      <c r="E2657" t="str">
        <f t="shared" si="125"/>
        <v>Petaluma and Rohnert Park</v>
      </c>
      <c r="F2657" t="s">
        <v>325</v>
      </c>
      <c r="G2657">
        <f t="shared" si="123"/>
        <v>4</v>
      </c>
      <c r="H2657" t="s">
        <v>359</v>
      </c>
      <c r="I2657" t="s">
        <v>191</v>
      </c>
      <c r="J2657">
        <v>1</v>
      </c>
      <c r="K2657">
        <v>5.5995670995670999</v>
      </c>
    </row>
    <row r="2658" spans="1:11" x14ac:dyDescent="0.25">
      <c r="A2658" s="159" t="str">
        <f t="shared" si="124"/>
        <v>CR-San Rafael-Petaluma and Rohnert Park-Social recreation</v>
      </c>
      <c r="B2658">
        <v>33</v>
      </c>
      <c r="C2658" t="str">
        <f t="shared" si="125"/>
        <v>San Rafael</v>
      </c>
      <c r="D2658">
        <v>29</v>
      </c>
      <c r="E2658" t="str">
        <f t="shared" si="125"/>
        <v>Petaluma and Rohnert Park</v>
      </c>
      <c r="F2658" t="s">
        <v>324</v>
      </c>
      <c r="G2658">
        <f t="shared" si="123"/>
        <v>5</v>
      </c>
      <c r="H2658" t="s">
        <v>125</v>
      </c>
      <c r="I2658" t="s">
        <v>178</v>
      </c>
      <c r="J2658">
        <v>7</v>
      </c>
      <c r="K2658">
        <v>85.54</v>
      </c>
    </row>
    <row r="2659" spans="1:11" x14ac:dyDescent="0.25">
      <c r="A2659" s="159" t="str">
        <f t="shared" si="124"/>
        <v>LB-San Rafael-Petaluma and Rohnert Park-Social recreation</v>
      </c>
      <c r="B2659">
        <v>33</v>
      </c>
      <c r="C2659" t="str">
        <f t="shared" si="125"/>
        <v>San Rafael</v>
      </c>
      <c r="D2659">
        <v>29</v>
      </c>
      <c r="E2659" t="str">
        <f t="shared" si="125"/>
        <v>Petaluma and Rohnert Park</v>
      </c>
      <c r="F2659" t="s">
        <v>324</v>
      </c>
      <c r="G2659">
        <f t="shared" si="123"/>
        <v>5</v>
      </c>
      <c r="H2659" t="s">
        <v>359</v>
      </c>
      <c r="I2659" t="s">
        <v>191</v>
      </c>
      <c r="J2659">
        <v>1</v>
      </c>
      <c r="K2659">
        <v>5.5995670995670999</v>
      </c>
    </row>
    <row r="2660" spans="1:11" x14ac:dyDescent="0.25">
      <c r="A2660" s="159" t="str">
        <f t="shared" si="124"/>
        <v>CR-San Rafael-Petaluma and Rohnert Park-Work</v>
      </c>
      <c r="B2660">
        <v>33</v>
      </c>
      <c r="C2660" t="str">
        <f t="shared" si="125"/>
        <v>San Rafael</v>
      </c>
      <c r="D2660">
        <v>29</v>
      </c>
      <c r="E2660" t="str">
        <f t="shared" si="125"/>
        <v>Petaluma and Rohnert Park</v>
      </c>
      <c r="F2660" t="s">
        <v>30</v>
      </c>
      <c r="G2660">
        <f t="shared" si="123"/>
        <v>1</v>
      </c>
      <c r="H2660" t="s">
        <v>125</v>
      </c>
      <c r="I2660" t="s">
        <v>178</v>
      </c>
      <c r="J2660">
        <v>22</v>
      </c>
      <c r="K2660">
        <v>169.94382022471899</v>
      </c>
    </row>
    <row r="2661" spans="1:11" x14ac:dyDescent="0.25">
      <c r="A2661" s="159" t="str">
        <f t="shared" si="124"/>
        <v>LB-San Rafael-Petaluma and Rohnert Park-Work</v>
      </c>
      <c r="B2661">
        <v>33</v>
      </c>
      <c r="C2661" t="str">
        <f t="shared" si="125"/>
        <v>San Rafael</v>
      </c>
      <c r="D2661">
        <v>29</v>
      </c>
      <c r="E2661" t="str">
        <f t="shared" si="125"/>
        <v>Petaluma and Rohnert Park</v>
      </c>
      <c r="F2661" t="s">
        <v>30</v>
      </c>
      <c r="G2661">
        <f t="shared" si="123"/>
        <v>1</v>
      </c>
      <c r="H2661" t="s">
        <v>359</v>
      </c>
      <c r="I2661" t="s">
        <v>191</v>
      </c>
      <c r="J2661">
        <v>1</v>
      </c>
      <c r="K2661">
        <v>5.5995670995670999</v>
      </c>
    </row>
    <row r="2662" spans="1:11" x14ac:dyDescent="0.25">
      <c r="A2662" s="159" t="str">
        <f t="shared" si="124"/>
        <v>CR-San Rafael-Santa Rosa and Sebastopol-High school</v>
      </c>
      <c r="B2662">
        <v>33</v>
      </c>
      <c r="C2662" t="str">
        <f t="shared" si="125"/>
        <v>San Rafael</v>
      </c>
      <c r="D2662">
        <v>30</v>
      </c>
      <c r="E2662" t="str">
        <f t="shared" si="125"/>
        <v>Santa Rosa and Sebastopol</v>
      </c>
      <c r="F2662" t="s">
        <v>326</v>
      </c>
      <c r="G2662">
        <f t="shared" si="123"/>
        <v>3</v>
      </c>
      <c r="H2662" t="s">
        <v>125</v>
      </c>
      <c r="I2662" t="s">
        <v>178</v>
      </c>
      <c r="J2662">
        <v>4</v>
      </c>
      <c r="K2662">
        <v>30.898876404494398</v>
      </c>
    </row>
    <row r="2663" spans="1:11" x14ac:dyDescent="0.25">
      <c r="A2663" s="159" t="str">
        <f t="shared" si="124"/>
        <v>CR-San Rafael-Santa Rosa and Sebastopol-Other maintenance</v>
      </c>
      <c r="B2663">
        <v>33</v>
      </c>
      <c r="C2663" t="str">
        <f t="shared" si="125"/>
        <v>San Rafael</v>
      </c>
      <c r="D2663">
        <v>30</v>
      </c>
      <c r="E2663" t="str">
        <f t="shared" si="125"/>
        <v>Santa Rosa and Sebastopol</v>
      </c>
      <c r="F2663" t="s">
        <v>325</v>
      </c>
      <c r="G2663">
        <f t="shared" si="123"/>
        <v>4</v>
      </c>
      <c r="H2663" t="s">
        <v>125</v>
      </c>
      <c r="I2663" t="s">
        <v>178</v>
      </c>
      <c r="J2663">
        <v>1</v>
      </c>
      <c r="K2663">
        <v>7.7247191011235996</v>
      </c>
    </row>
    <row r="2664" spans="1:11" x14ac:dyDescent="0.25">
      <c r="A2664" s="159" t="str">
        <f t="shared" si="124"/>
        <v>CR-San Rafael-Santa Rosa and Sebastopol-Shopping</v>
      </c>
      <c r="B2664">
        <v>33</v>
      </c>
      <c r="C2664" t="str">
        <f t="shared" si="125"/>
        <v>San Rafael</v>
      </c>
      <c r="D2664">
        <v>30</v>
      </c>
      <c r="E2664" t="str">
        <f t="shared" si="125"/>
        <v>Santa Rosa and Sebastopol</v>
      </c>
      <c r="F2664" t="s">
        <v>106</v>
      </c>
      <c r="G2664">
        <f t="shared" si="123"/>
        <v>4</v>
      </c>
      <c r="H2664" t="s">
        <v>125</v>
      </c>
      <c r="I2664" t="s">
        <v>178</v>
      </c>
      <c r="J2664">
        <v>1</v>
      </c>
      <c r="K2664">
        <v>12.22</v>
      </c>
    </row>
    <row r="2665" spans="1:11" x14ac:dyDescent="0.25">
      <c r="A2665" s="159" t="str">
        <f t="shared" si="124"/>
        <v>CR-San Rafael-Santa Rosa and Sebastopol-Social recreation</v>
      </c>
      <c r="B2665">
        <v>33</v>
      </c>
      <c r="C2665" t="str">
        <f t="shared" si="125"/>
        <v>San Rafael</v>
      </c>
      <c r="D2665">
        <v>30</v>
      </c>
      <c r="E2665" t="str">
        <f t="shared" si="125"/>
        <v>Santa Rosa and Sebastopol</v>
      </c>
      <c r="F2665" t="s">
        <v>324</v>
      </c>
      <c r="G2665">
        <f t="shared" si="123"/>
        <v>5</v>
      </c>
      <c r="H2665" t="s">
        <v>125</v>
      </c>
      <c r="I2665" t="s">
        <v>178</v>
      </c>
      <c r="J2665">
        <v>5</v>
      </c>
      <c r="K2665">
        <v>52.109438202247198</v>
      </c>
    </row>
    <row r="2666" spans="1:11" x14ac:dyDescent="0.25">
      <c r="A2666" s="159" t="str">
        <f t="shared" si="124"/>
        <v>CR-San Rafael-Santa Rosa and Sebastopol-Work</v>
      </c>
      <c r="B2666">
        <v>33</v>
      </c>
      <c r="C2666" t="str">
        <f t="shared" si="125"/>
        <v>San Rafael</v>
      </c>
      <c r="D2666">
        <v>30</v>
      </c>
      <c r="E2666" t="str">
        <f t="shared" si="125"/>
        <v>Santa Rosa and Sebastopol</v>
      </c>
      <c r="F2666" t="s">
        <v>30</v>
      </c>
      <c r="G2666">
        <f t="shared" si="123"/>
        <v>1</v>
      </c>
      <c r="H2666" t="s">
        <v>125</v>
      </c>
      <c r="I2666" t="s">
        <v>178</v>
      </c>
      <c r="J2666">
        <v>8</v>
      </c>
      <c r="K2666">
        <v>66.293033707865106</v>
      </c>
    </row>
    <row r="2667" spans="1:11" x14ac:dyDescent="0.25">
      <c r="A2667" s="159" t="str">
        <f t="shared" si="124"/>
        <v>CR-San Rafael-Healdsburg and Cloverdale-High school</v>
      </c>
      <c r="B2667">
        <v>33</v>
      </c>
      <c r="C2667" t="str">
        <f t="shared" si="125"/>
        <v>San Rafael</v>
      </c>
      <c r="D2667">
        <v>31</v>
      </c>
      <c r="E2667" t="str">
        <f t="shared" si="125"/>
        <v>Healdsburg and Cloverdale</v>
      </c>
      <c r="F2667" t="s">
        <v>326</v>
      </c>
      <c r="G2667">
        <f t="shared" si="123"/>
        <v>3</v>
      </c>
      <c r="H2667" t="s">
        <v>125</v>
      </c>
      <c r="I2667" t="s">
        <v>178</v>
      </c>
      <c r="J2667">
        <v>1</v>
      </c>
      <c r="K2667">
        <v>7.7247191011235996</v>
      </c>
    </row>
    <row r="2668" spans="1:11" x14ac:dyDescent="0.25">
      <c r="A2668" s="159" t="str">
        <f t="shared" si="124"/>
        <v>CR-San Rafael-Healdsburg and Cloverdale-Missing</v>
      </c>
      <c r="B2668">
        <v>33</v>
      </c>
      <c r="C2668" t="str">
        <f t="shared" si="125"/>
        <v>San Rafael</v>
      </c>
      <c r="D2668">
        <v>31</v>
      </c>
      <c r="E2668" t="str">
        <f t="shared" si="125"/>
        <v>Healdsburg and Cloverdale</v>
      </c>
      <c r="F2668" t="s">
        <v>327</v>
      </c>
      <c r="G2668">
        <f t="shared" si="123"/>
        <v>0</v>
      </c>
      <c r="H2668" t="s">
        <v>125</v>
      </c>
      <c r="I2668" t="s">
        <v>178</v>
      </c>
      <c r="J2668">
        <v>1</v>
      </c>
      <c r="K2668">
        <v>7.7247191011235996</v>
      </c>
    </row>
    <row r="2669" spans="1:11" x14ac:dyDescent="0.25">
      <c r="A2669" s="159" t="str">
        <f t="shared" si="124"/>
        <v>CR-San Rafael-Healdsburg and Cloverdale-Social recreation</v>
      </c>
      <c r="B2669">
        <v>33</v>
      </c>
      <c r="C2669" t="str">
        <f t="shared" si="125"/>
        <v>San Rafael</v>
      </c>
      <c r="D2669">
        <v>31</v>
      </c>
      <c r="E2669" t="str">
        <f t="shared" si="125"/>
        <v>Healdsburg and Cloverdale</v>
      </c>
      <c r="F2669" t="s">
        <v>324</v>
      </c>
      <c r="G2669">
        <f t="shared" si="123"/>
        <v>5</v>
      </c>
      <c r="H2669" t="s">
        <v>125</v>
      </c>
      <c r="I2669" t="s">
        <v>178</v>
      </c>
      <c r="J2669">
        <v>2</v>
      </c>
      <c r="K2669">
        <v>19.944719101123599</v>
      </c>
    </row>
    <row r="2670" spans="1:11" x14ac:dyDescent="0.25">
      <c r="A2670" s="159" t="str">
        <f t="shared" si="124"/>
        <v>CR-San Rafael-Healdsburg and Cloverdale-Work</v>
      </c>
      <c r="B2670">
        <v>33</v>
      </c>
      <c r="C2670" t="str">
        <f t="shared" si="125"/>
        <v>San Rafael</v>
      </c>
      <c r="D2670">
        <v>31</v>
      </c>
      <c r="E2670" t="str">
        <f t="shared" si="125"/>
        <v>Healdsburg and Cloverdale</v>
      </c>
      <c r="F2670" t="s">
        <v>30</v>
      </c>
      <c r="G2670">
        <f t="shared" si="123"/>
        <v>1</v>
      </c>
      <c r="H2670" t="s">
        <v>125</v>
      </c>
      <c r="I2670" t="s">
        <v>178</v>
      </c>
      <c r="J2670">
        <v>1</v>
      </c>
      <c r="K2670">
        <v>7.7247191011235996</v>
      </c>
    </row>
    <row r="2671" spans="1:11" x14ac:dyDescent="0.25">
      <c r="A2671" s="159" t="str">
        <f t="shared" si="124"/>
        <v>LB-San Rafael-Novato-High school</v>
      </c>
      <c r="B2671">
        <v>33</v>
      </c>
      <c r="C2671" t="str">
        <f t="shared" si="125"/>
        <v>San Rafael</v>
      </c>
      <c r="D2671">
        <v>32</v>
      </c>
      <c r="E2671" t="str">
        <f t="shared" si="125"/>
        <v>Novato</v>
      </c>
      <c r="F2671" t="s">
        <v>326</v>
      </c>
      <c r="G2671">
        <f t="shared" si="123"/>
        <v>3</v>
      </c>
      <c r="H2671" t="s">
        <v>359</v>
      </c>
      <c r="I2671" t="s">
        <v>191</v>
      </c>
      <c r="J2671">
        <v>1</v>
      </c>
      <c r="K2671">
        <v>19.725941422594101</v>
      </c>
    </row>
    <row r="2672" spans="1:11" x14ac:dyDescent="0.25">
      <c r="A2672" s="159" t="str">
        <f t="shared" si="124"/>
        <v>LB-San Rafael-Novato-Missing</v>
      </c>
      <c r="B2672">
        <v>33</v>
      </c>
      <c r="C2672" t="str">
        <f t="shared" si="125"/>
        <v>San Rafael</v>
      </c>
      <c r="D2672">
        <v>32</v>
      </c>
      <c r="E2672" t="str">
        <f t="shared" si="125"/>
        <v>Novato</v>
      </c>
      <c r="F2672" t="s">
        <v>327</v>
      </c>
      <c r="G2672">
        <f t="shared" si="123"/>
        <v>0</v>
      </c>
      <c r="H2672" t="s">
        <v>359</v>
      </c>
      <c r="I2672" t="s">
        <v>191</v>
      </c>
      <c r="J2672">
        <v>5</v>
      </c>
      <c r="K2672">
        <v>98.629707112970493</v>
      </c>
    </row>
    <row r="2673" spans="1:11" x14ac:dyDescent="0.25">
      <c r="A2673" s="159" t="str">
        <f t="shared" si="124"/>
        <v>LB-San Rafael-Novato-Other maintenance</v>
      </c>
      <c r="B2673">
        <v>33</v>
      </c>
      <c r="C2673" t="str">
        <f t="shared" si="125"/>
        <v>San Rafael</v>
      </c>
      <c r="D2673">
        <v>32</v>
      </c>
      <c r="E2673" t="str">
        <f t="shared" si="125"/>
        <v>Novato</v>
      </c>
      <c r="F2673" t="s">
        <v>325</v>
      </c>
      <c r="G2673">
        <f t="shared" si="123"/>
        <v>4</v>
      </c>
      <c r="H2673" t="s">
        <v>359</v>
      </c>
      <c r="I2673" t="s">
        <v>191</v>
      </c>
      <c r="J2673">
        <v>1</v>
      </c>
      <c r="K2673">
        <v>19.725941422594101</v>
      </c>
    </row>
    <row r="2674" spans="1:11" x14ac:dyDescent="0.25">
      <c r="A2674" s="159" t="str">
        <f t="shared" si="124"/>
        <v>LB-San Rafael-Novato-Social recreation</v>
      </c>
      <c r="B2674">
        <v>33</v>
      </c>
      <c r="C2674" t="str">
        <f t="shared" si="125"/>
        <v>San Rafael</v>
      </c>
      <c r="D2674">
        <v>32</v>
      </c>
      <c r="E2674" t="str">
        <f t="shared" si="125"/>
        <v>Novato</v>
      </c>
      <c r="F2674" t="s">
        <v>324</v>
      </c>
      <c r="G2674">
        <f t="shared" si="123"/>
        <v>5</v>
      </c>
      <c r="H2674" t="s">
        <v>359</v>
      </c>
      <c r="I2674" t="s">
        <v>191</v>
      </c>
      <c r="J2674">
        <v>1</v>
      </c>
      <c r="K2674">
        <v>73.75</v>
      </c>
    </row>
    <row r="2675" spans="1:11" x14ac:dyDescent="0.25">
      <c r="A2675" s="159" t="str">
        <f t="shared" si="124"/>
        <v>CR-San Rafael-Novato-Work</v>
      </c>
      <c r="B2675">
        <v>33</v>
      </c>
      <c r="C2675" t="str">
        <f t="shared" si="125"/>
        <v>San Rafael</v>
      </c>
      <c r="D2675">
        <v>32</v>
      </c>
      <c r="E2675" t="str">
        <f t="shared" si="125"/>
        <v>Novato</v>
      </c>
      <c r="F2675" t="s">
        <v>30</v>
      </c>
      <c r="G2675">
        <f t="shared" si="123"/>
        <v>1</v>
      </c>
      <c r="H2675" t="s">
        <v>125</v>
      </c>
      <c r="I2675" t="s">
        <v>178</v>
      </c>
      <c r="J2675">
        <v>8</v>
      </c>
      <c r="K2675">
        <v>61.797752808988797</v>
      </c>
    </row>
    <row r="2676" spans="1:11" x14ac:dyDescent="0.25">
      <c r="A2676" s="159" t="str">
        <f t="shared" si="124"/>
        <v>LB-San Rafael-Novato-Work</v>
      </c>
      <c r="B2676">
        <v>33</v>
      </c>
      <c r="C2676" t="str">
        <f t="shared" si="125"/>
        <v>San Rafael</v>
      </c>
      <c r="D2676">
        <v>32</v>
      </c>
      <c r="E2676" t="str">
        <f t="shared" si="125"/>
        <v>Novato</v>
      </c>
      <c r="F2676" t="s">
        <v>30</v>
      </c>
      <c r="G2676">
        <f t="shared" si="123"/>
        <v>1</v>
      </c>
      <c r="H2676" t="s">
        <v>359</v>
      </c>
      <c r="I2676" t="s">
        <v>191</v>
      </c>
      <c r="J2676">
        <v>15</v>
      </c>
      <c r="K2676">
        <v>403.93723849372299</v>
      </c>
    </row>
    <row r="2677" spans="1:11" x14ac:dyDescent="0.25">
      <c r="A2677" s="159" t="str">
        <f t="shared" si="124"/>
        <v>LB-San Rafael-San Rafael-High school</v>
      </c>
      <c r="B2677">
        <v>33</v>
      </c>
      <c r="C2677" t="str">
        <f t="shared" si="125"/>
        <v>San Rafael</v>
      </c>
      <c r="D2677">
        <v>33</v>
      </c>
      <c r="E2677" t="str">
        <f t="shared" si="125"/>
        <v>San Rafael</v>
      </c>
      <c r="F2677" t="s">
        <v>326</v>
      </c>
      <c r="G2677">
        <f t="shared" si="123"/>
        <v>3</v>
      </c>
      <c r="H2677" t="s">
        <v>359</v>
      </c>
      <c r="I2677" t="s">
        <v>191</v>
      </c>
      <c r="J2677">
        <v>46</v>
      </c>
      <c r="K2677">
        <v>907.39330543932795</v>
      </c>
    </row>
    <row r="2678" spans="1:11" x14ac:dyDescent="0.25">
      <c r="A2678" s="159" t="str">
        <f t="shared" si="124"/>
        <v>LB-San Rafael-San Rafael-Missing</v>
      </c>
      <c r="B2678">
        <v>33</v>
      </c>
      <c r="C2678" t="str">
        <f t="shared" si="125"/>
        <v>San Rafael</v>
      </c>
      <c r="D2678">
        <v>33</v>
      </c>
      <c r="E2678" t="str">
        <f t="shared" si="125"/>
        <v>San Rafael</v>
      </c>
      <c r="F2678" t="s">
        <v>327</v>
      </c>
      <c r="G2678">
        <f t="shared" si="123"/>
        <v>0</v>
      </c>
      <c r="H2678" t="s">
        <v>359</v>
      </c>
      <c r="I2678" t="s">
        <v>191</v>
      </c>
      <c r="J2678">
        <v>13</v>
      </c>
      <c r="K2678">
        <v>310.46129707112902</v>
      </c>
    </row>
    <row r="2679" spans="1:11" x14ac:dyDescent="0.25">
      <c r="A2679" s="159" t="str">
        <f t="shared" si="124"/>
        <v>LB-San Rafael-San Rafael-Other maintenance</v>
      </c>
      <c r="B2679">
        <v>33</v>
      </c>
      <c r="C2679" t="str">
        <f t="shared" si="125"/>
        <v>San Rafael</v>
      </c>
      <c r="D2679">
        <v>33</v>
      </c>
      <c r="E2679" t="str">
        <f t="shared" si="125"/>
        <v>San Rafael</v>
      </c>
      <c r="F2679" t="s">
        <v>325</v>
      </c>
      <c r="G2679">
        <f t="shared" si="123"/>
        <v>4</v>
      </c>
      <c r="H2679" t="s">
        <v>359</v>
      </c>
      <c r="I2679" t="s">
        <v>191</v>
      </c>
      <c r="J2679">
        <v>10</v>
      </c>
      <c r="K2679">
        <v>197.25941422594099</v>
      </c>
    </row>
    <row r="2680" spans="1:11" x14ac:dyDescent="0.25">
      <c r="A2680" s="159" t="str">
        <f t="shared" si="124"/>
        <v>LB-San Rafael-San Rafael-Shopping</v>
      </c>
      <c r="B2680">
        <v>33</v>
      </c>
      <c r="C2680" t="str">
        <f t="shared" si="125"/>
        <v>San Rafael</v>
      </c>
      <c r="D2680">
        <v>33</v>
      </c>
      <c r="E2680" t="str">
        <f t="shared" si="125"/>
        <v>San Rafael</v>
      </c>
      <c r="F2680" t="s">
        <v>106</v>
      </c>
      <c r="G2680">
        <f t="shared" si="123"/>
        <v>4</v>
      </c>
      <c r="H2680" t="s">
        <v>359</v>
      </c>
      <c r="I2680" t="s">
        <v>191</v>
      </c>
      <c r="J2680">
        <v>5</v>
      </c>
      <c r="K2680">
        <v>153.10964244959999</v>
      </c>
    </row>
    <row r="2681" spans="1:11" x14ac:dyDescent="0.25">
      <c r="A2681" s="159" t="str">
        <f t="shared" si="124"/>
        <v>CR-San Rafael-San Rafael-Social recreation</v>
      </c>
      <c r="B2681">
        <v>33</v>
      </c>
      <c r="C2681" t="str">
        <f t="shared" si="125"/>
        <v>San Rafael</v>
      </c>
      <c r="D2681">
        <v>33</v>
      </c>
      <c r="E2681" t="str">
        <f t="shared" si="125"/>
        <v>San Rafael</v>
      </c>
      <c r="F2681" t="s">
        <v>324</v>
      </c>
      <c r="G2681">
        <f t="shared" si="123"/>
        <v>5</v>
      </c>
      <c r="H2681" t="s">
        <v>125</v>
      </c>
      <c r="I2681" t="s">
        <v>178</v>
      </c>
      <c r="J2681">
        <v>2</v>
      </c>
      <c r="K2681">
        <v>19.944719101123599</v>
      </c>
    </row>
    <row r="2682" spans="1:11" x14ac:dyDescent="0.25">
      <c r="A2682" s="159" t="str">
        <f t="shared" si="124"/>
        <v>LB-San Rafael-San Rafael-Social recreation</v>
      </c>
      <c r="B2682">
        <v>33</v>
      </c>
      <c r="C2682" t="str">
        <f t="shared" si="125"/>
        <v>San Rafael</v>
      </c>
      <c r="D2682">
        <v>33</v>
      </c>
      <c r="E2682" t="str">
        <f t="shared" si="125"/>
        <v>San Rafael</v>
      </c>
      <c r="F2682" t="s">
        <v>324</v>
      </c>
      <c r="G2682">
        <f t="shared" si="123"/>
        <v>5</v>
      </c>
      <c r="H2682" t="s">
        <v>359</v>
      </c>
      <c r="I2682" t="s">
        <v>191</v>
      </c>
      <c r="J2682">
        <v>10</v>
      </c>
      <c r="K2682">
        <v>197.25941422594099</v>
      </c>
    </row>
    <row r="2683" spans="1:11" x14ac:dyDescent="0.25">
      <c r="A2683" s="159" t="str">
        <f t="shared" si="124"/>
        <v>CR-San Rafael-San Rafael-Work</v>
      </c>
      <c r="B2683">
        <v>33</v>
      </c>
      <c r="C2683" t="str">
        <f t="shared" si="125"/>
        <v>San Rafael</v>
      </c>
      <c r="D2683">
        <v>33</v>
      </c>
      <c r="E2683" t="str">
        <f t="shared" si="125"/>
        <v>San Rafael</v>
      </c>
      <c r="F2683" t="s">
        <v>30</v>
      </c>
      <c r="G2683">
        <f t="shared" si="123"/>
        <v>1</v>
      </c>
      <c r="H2683" t="s">
        <v>125</v>
      </c>
      <c r="I2683" t="s">
        <v>178</v>
      </c>
      <c r="J2683">
        <v>3</v>
      </c>
      <c r="K2683">
        <v>23.174157303370698</v>
      </c>
    </row>
    <row r="2684" spans="1:11" x14ac:dyDescent="0.25">
      <c r="A2684" s="159" t="str">
        <f t="shared" si="124"/>
        <v>LB-San Rafael-San Rafael-Work</v>
      </c>
      <c r="B2684">
        <v>33</v>
      </c>
      <c r="C2684" t="str">
        <f t="shared" si="125"/>
        <v>San Rafael</v>
      </c>
      <c r="D2684">
        <v>33</v>
      </c>
      <c r="E2684" t="str">
        <f t="shared" si="125"/>
        <v>San Rafael</v>
      </c>
      <c r="F2684" t="s">
        <v>30</v>
      </c>
      <c r="G2684">
        <f t="shared" si="123"/>
        <v>1</v>
      </c>
      <c r="H2684" t="s">
        <v>359</v>
      </c>
      <c r="I2684" t="s">
        <v>191</v>
      </c>
      <c r="J2684">
        <v>47</v>
      </c>
      <c r="K2684">
        <v>1197.2395397489499</v>
      </c>
    </row>
    <row r="2685" spans="1:11" x14ac:dyDescent="0.25">
      <c r="A2685" s="159" t="str">
        <f t="shared" si="124"/>
        <v>LB-San Rafael-Mill Valley and Sausalito-High school</v>
      </c>
      <c r="B2685">
        <v>33</v>
      </c>
      <c r="C2685" t="str">
        <f t="shared" si="125"/>
        <v>San Rafael</v>
      </c>
      <c r="D2685">
        <v>34</v>
      </c>
      <c r="E2685" t="str">
        <f t="shared" si="125"/>
        <v>Mill Valley and Sausalito</v>
      </c>
      <c r="F2685" t="s">
        <v>326</v>
      </c>
      <c r="G2685">
        <f t="shared" si="123"/>
        <v>3</v>
      </c>
      <c r="H2685" t="s">
        <v>359</v>
      </c>
      <c r="I2685" t="s">
        <v>191</v>
      </c>
      <c r="J2685">
        <v>7</v>
      </c>
      <c r="K2685">
        <v>138.08158995815799</v>
      </c>
    </row>
    <row r="2686" spans="1:11" x14ac:dyDescent="0.25">
      <c r="A2686" s="159" t="str">
        <f t="shared" si="124"/>
        <v>CR-San Rafael-Mill Valley and Sausalito-Missing</v>
      </c>
      <c r="B2686">
        <v>33</v>
      </c>
      <c r="C2686" t="str">
        <f t="shared" si="125"/>
        <v>San Rafael</v>
      </c>
      <c r="D2686">
        <v>34</v>
      </c>
      <c r="E2686" t="str">
        <f t="shared" si="125"/>
        <v>Mill Valley and Sausalito</v>
      </c>
      <c r="F2686" t="s">
        <v>327</v>
      </c>
      <c r="G2686">
        <f t="shared" si="123"/>
        <v>0</v>
      </c>
      <c r="H2686" t="s">
        <v>125</v>
      </c>
      <c r="I2686" t="s">
        <v>178</v>
      </c>
      <c r="J2686">
        <v>1</v>
      </c>
      <c r="K2686">
        <v>7.7247191011235996</v>
      </c>
    </row>
    <row r="2687" spans="1:11" x14ac:dyDescent="0.25">
      <c r="A2687" s="159" t="str">
        <f t="shared" si="124"/>
        <v>LB-San Rafael-Mill Valley and Sausalito-Missing</v>
      </c>
      <c r="B2687">
        <v>33</v>
      </c>
      <c r="C2687" t="str">
        <f t="shared" si="125"/>
        <v>San Rafael</v>
      </c>
      <c r="D2687">
        <v>34</v>
      </c>
      <c r="E2687" t="str">
        <f t="shared" si="125"/>
        <v>Mill Valley and Sausalito</v>
      </c>
      <c r="F2687" t="s">
        <v>327</v>
      </c>
      <c r="G2687">
        <f t="shared" si="123"/>
        <v>0</v>
      </c>
      <c r="H2687" t="s">
        <v>359</v>
      </c>
      <c r="I2687" t="s">
        <v>191</v>
      </c>
      <c r="J2687">
        <v>5</v>
      </c>
      <c r="K2687">
        <v>98.629707112970493</v>
      </c>
    </row>
    <row r="2688" spans="1:11" x14ac:dyDescent="0.25">
      <c r="A2688" s="159" t="str">
        <f t="shared" si="124"/>
        <v>LB-San Rafael-Mill Valley and Sausalito-Other maintenance</v>
      </c>
      <c r="B2688">
        <v>33</v>
      </c>
      <c r="C2688" t="str">
        <f t="shared" si="125"/>
        <v>San Rafael</v>
      </c>
      <c r="D2688">
        <v>34</v>
      </c>
      <c r="E2688" t="str">
        <f t="shared" si="125"/>
        <v>Mill Valley and Sausalito</v>
      </c>
      <c r="F2688" t="s">
        <v>325</v>
      </c>
      <c r="G2688">
        <f t="shared" si="123"/>
        <v>4</v>
      </c>
      <c r="H2688" t="s">
        <v>359</v>
      </c>
      <c r="I2688" t="s">
        <v>191</v>
      </c>
      <c r="J2688">
        <v>2</v>
      </c>
      <c r="K2688">
        <v>93.475941422594104</v>
      </c>
    </row>
    <row r="2689" spans="1:11" x14ac:dyDescent="0.25">
      <c r="A2689" s="159" t="str">
        <f t="shared" si="124"/>
        <v>LB-San Rafael-Mill Valley and Sausalito-Shopping</v>
      </c>
      <c r="B2689">
        <v>33</v>
      </c>
      <c r="C2689" t="str">
        <f t="shared" si="125"/>
        <v>San Rafael</v>
      </c>
      <c r="D2689">
        <v>34</v>
      </c>
      <c r="E2689" t="str">
        <f t="shared" si="125"/>
        <v>Mill Valley and Sausalito</v>
      </c>
      <c r="F2689" t="s">
        <v>106</v>
      </c>
      <c r="G2689">
        <f t="shared" si="123"/>
        <v>4</v>
      </c>
      <c r="H2689" t="s">
        <v>359</v>
      </c>
      <c r="I2689" t="s">
        <v>191</v>
      </c>
      <c r="J2689">
        <v>3</v>
      </c>
      <c r="K2689">
        <v>59.177824267782299</v>
      </c>
    </row>
    <row r="2690" spans="1:11" x14ac:dyDescent="0.25">
      <c r="A2690" s="159" t="str">
        <f t="shared" si="124"/>
        <v>LB-San Rafael-Mill Valley and Sausalito-Social recreation</v>
      </c>
      <c r="B2690">
        <v>33</v>
      </c>
      <c r="C2690" t="str">
        <f t="shared" si="125"/>
        <v>San Rafael</v>
      </c>
      <c r="D2690">
        <v>34</v>
      </c>
      <c r="E2690" t="str">
        <f t="shared" si="125"/>
        <v>Mill Valley and Sausalito</v>
      </c>
      <c r="F2690" t="s">
        <v>324</v>
      </c>
      <c r="G2690">
        <f t="shared" ref="G2690:G2753" si="126">VLOOKUP(F2690,$V$2:$X$10, 3,FALSE)</f>
        <v>5</v>
      </c>
      <c r="H2690" t="s">
        <v>359</v>
      </c>
      <c r="I2690" t="s">
        <v>191</v>
      </c>
      <c r="J2690">
        <v>4</v>
      </c>
      <c r="K2690">
        <v>186.95188284518801</v>
      </c>
    </row>
    <row r="2691" spans="1:11" x14ac:dyDescent="0.25">
      <c r="A2691" s="159" t="str">
        <f t="shared" ref="A2691:A2723" si="127" xml:space="preserve"> CONCATENATE(I2691,"-",C2691, "-",E2691, "-",F2691,)</f>
        <v>CR-San Rafael-Mill Valley and Sausalito-Work</v>
      </c>
      <c r="B2691">
        <v>33</v>
      </c>
      <c r="C2691" t="str">
        <f t="shared" ref="C2691:E2723" si="128">VLOOKUP(B2691,$S$2:$T$35,2,FALSE)</f>
        <v>San Rafael</v>
      </c>
      <c r="D2691">
        <v>34</v>
      </c>
      <c r="E2691" t="str">
        <f t="shared" si="128"/>
        <v>Mill Valley and Sausalito</v>
      </c>
      <c r="F2691" t="s">
        <v>30</v>
      </c>
      <c r="G2691">
        <f t="shared" si="126"/>
        <v>1</v>
      </c>
      <c r="H2691" t="s">
        <v>125</v>
      </c>
      <c r="I2691" t="s">
        <v>178</v>
      </c>
      <c r="J2691">
        <v>1</v>
      </c>
      <c r="K2691">
        <v>7.7247191011235996</v>
      </c>
    </row>
    <row r="2692" spans="1:11" x14ac:dyDescent="0.25">
      <c r="A2692" s="159" t="str">
        <f t="shared" si="127"/>
        <v>LB-San Rafael-Mill Valley and Sausalito-Work</v>
      </c>
      <c r="B2692">
        <v>33</v>
      </c>
      <c r="C2692" t="str">
        <f t="shared" si="128"/>
        <v>San Rafael</v>
      </c>
      <c r="D2692">
        <v>34</v>
      </c>
      <c r="E2692" t="str">
        <f t="shared" si="128"/>
        <v>Mill Valley and Sausalito</v>
      </c>
      <c r="F2692" t="s">
        <v>30</v>
      </c>
      <c r="G2692">
        <f t="shared" si="126"/>
        <v>1</v>
      </c>
      <c r="H2692" t="s">
        <v>359</v>
      </c>
      <c r="I2692" t="s">
        <v>191</v>
      </c>
      <c r="J2692">
        <v>33</v>
      </c>
      <c r="K2692">
        <v>867.05230125522803</v>
      </c>
    </row>
    <row r="2693" spans="1:11" x14ac:dyDescent="0.25">
      <c r="A2693" s="159" t="str">
        <f t="shared" si="127"/>
        <v>LB-Mill Valley and Sausalito-Greater Downtown San Francisco-Social recreation</v>
      </c>
      <c r="B2693">
        <v>34</v>
      </c>
      <c r="C2693" t="str">
        <f t="shared" si="128"/>
        <v>Mill Valley and Sausalito</v>
      </c>
      <c r="D2693">
        <v>1</v>
      </c>
      <c r="E2693" t="str">
        <f t="shared" si="128"/>
        <v>Greater Downtown San Francisco</v>
      </c>
      <c r="F2693" t="s">
        <v>324</v>
      </c>
      <c r="G2693">
        <f t="shared" si="126"/>
        <v>5</v>
      </c>
      <c r="H2693" t="s">
        <v>359</v>
      </c>
      <c r="I2693" t="s">
        <v>191</v>
      </c>
      <c r="J2693">
        <v>1</v>
      </c>
      <c r="K2693">
        <v>19.725941422594101</v>
      </c>
    </row>
    <row r="2694" spans="1:11" x14ac:dyDescent="0.25">
      <c r="A2694" s="159" t="str">
        <f t="shared" si="127"/>
        <v>LB-Mill Valley and Sausalito-San Francisco Richmond District-Social recreation</v>
      </c>
      <c r="B2694">
        <v>34</v>
      </c>
      <c r="C2694" t="str">
        <f t="shared" si="128"/>
        <v>Mill Valley and Sausalito</v>
      </c>
      <c r="D2694">
        <v>2</v>
      </c>
      <c r="E2694" t="str">
        <f t="shared" si="128"/>
        <v>San Francisco Richmond District</v>
      </c>
      <c r="F2694" t="s">
        <v>324</v>
      </c>
      <c r="G2694">
        <f t="shared" si="126"/>
        <v>5</v>
      </c>
      <c r="H2694" t="s">
        <v>359</v>
      </c>
      <c r="I2694" t="s">
        <v>191</v>
      </c>
      <c r="J2694">
        <v>1</v>
      </c>
      <c r="K2694">
        <v>73.75</v>
      </c>
    </row>
    <row r="2695" spans="1:11" x14ac:dyDescent="0.25">
      <c r="A2695" s="159" t="str">
        <f t="shared" si="127"/>
        <v>LB-Mill Valley and Sausalito-Redwood City and Menlo Park-High school</v>
      </c>
      <c r="B2695">
        <v>34</v>
      </c>
      <c r="C2695" t="str">
        <f t="shared" si="128"/>
        <v>Mill Valley and Sausalito</v>
      </c>
      <c r="D2695">
        <v>7</v>
      </c>
      <c r="E2695" t="str">
        <f t="shared" si="128"/>
        <v>Redwood City and Menlo Park</v>
      </c>
      <c r="F2695" t="s">
        <v>326</v>
      </c>
      <c r="G2695">
        <f t="shared" si="126"/>
        <v>3</v>
      </c>
      <c r="H2695" t="s">
        <v>359</v>
      </c>
      <c r="I2695" t="s">
        <v>191</v>
      </c>
      <c r="J2695">
        <v>1</v>
      </c>
      <c r="K2695">
        <v>19.725941422594101</v>
      </c>
    </row>
    <row r="2696" spans="1:11" x14ac:dyDescent="0.25">
      <c r="A2696" s="159" t="str">
        <f t="shared" si="127"/>
        <v>LB-Mill Valley and Sausalito-Oakland and Alameda-Work</v>
      </c>
      <c r="B2696">
        <v>34</v>
      </c>
      <c r="C2696" t="str">
        <f t="shared" si="128"/>
        <v>Mill Valley and Sausalito</v>
      </c>
      <c r="D2696">
        <v>18</v>
      </c>
      <c r="E2696" t="str">
        <f t="shared" si="128"/>
        <v>Oakland and Alameda</v>
      </c>
      <c r="F2696" t="s">
        <v>30</v>
      </c>
      <c r="G2696">
        <f t="shared" si="126"/>
        <v>1</v>
      </c>
      <c r="H2696" t="s">
        <v>359</v>
      </c>
      <c r="I2696" t="s">
        <v>191</v>
      </c>
      <c r="J2696">
        <v>1</v>
      </c>
      <c r="K2696">
        <v>19.725941422594101</v>
      </c>
    </row>
    <row r="2697" spans="1:11" x14ac:dyDescent="0.25">
      <c r="A2697" s="159" t="str">
        <f t="shared" si="127"/>
        <v>FR-Mill Valley and Sausalito-Berkeley and Albany-Social recreation</v>
      </c>
      <c r="B2697">
        <v>34</v>
      </c>
      <c r="C2697" t="str">
        <f t="shared" si="128"/>
        <v>Mill Valley and Sausalito</v>
      </c>
      <c r="D2697">
        <v>19</v>
      </c>
      <c r="E2697" t="str">
        <f t="shared" si="128"/>
        <v>Berkeley and Albany</v>
      </c>
      <c r="F2697" t="s">
        <v>324</v>
      </c>
      <c r="G2697">
        <f t="shared" si="126"/>
        <v>5</v>
      </c>
      <c r="H2697" t="s">
        <v>360</v>
      </c>
      <c r="I2697" t="s">
        <v>185</v>
      </c>
      <c r="J2697">
        <v>2</v>
      </c>
      <c r="K2697">
        <v>32.996845425867399</v>
      </c>
    </row>
    <row r="2698" spans="1:11" x14ac:dyDescent="0.25">
      <c r="A2698" s="159" t="str">
        <f t="shared" si="127"/>
        <v>HR-Mill Valley and Sausalito-Berkeley and Albany-Work</v>
      </c>
      <c r="B2698">
        <v>34</v>
      </c>
      <c r="C2698" t="str">
        <f t="shared" si="128"/>
        <v>Mill Valley and Sausalito</v>
      </c>
      <c r="D2698">
        <v>19</v>
      </c>
      <c r="E2698" t="str">
        <f t="shared" si="128"/>
        <v>Berkeley and Albany</v>
      </c>
      <c r="F2698" t="s">
        <v>30</v>
      </c>
      <c r="G2698">
        <f t="shared" si="126"/>
        <v>1</v>
      </c>
      <c r="H2698" t="s">
        <v>124</v>
      </c>
      <c r="I2698" t="s">
        <v>188</v>
      </c>
      <c r="J2698">
        <v>1</v>
      </c>
      <c r="K2698">
        <v>95.822099447513807</v>
      </c>
    </row>
    <row r="2699" spans="1:11" x14ac:dyDescent="0.25">
      <c r="A2699" s="159" t="str">
        <f t="shared" si="127"/>
        <v>LB-Mill Valley and Sausalito-Richmond and El Cerrito-High school</v>
      </c>
      <c r="B2699">
        <v>34</v>
      </c>
      <c r="C2699" t="str">
        <f t="shared" si="128"/>
        <v>Mill Valley and Sausalito</v>
      </c>
      <c r="D2699">
        <v>20</v>
      </c>
      <c r="E2699" t="str">
        <f t="shared" si="128"/>
        <v>Richmond and El Cerrito</v>
      </c>
      <c r="F2699" t="s">
        <v>326</v>
      </c>
      <c r="G2699">
        <f t="shared" si="126"/>
        <v>3</v>
      </c>
      <c r="H2699" t="s">
        <v>359</v>
      </c>
      <c r="I2699" t="s">
        <v>191</v>
      </c>
      <c r="J2699">
        <v>1</v>
      </c>
      <c r="K2699">
        <v>19.725941422594101</v>
      </c>
    </row>
    <row r="2700" spans="1:11" x14ac:dyDescent="0.25">
      <c r="A2700" s="159" t="str">
        <f t="shared" si="127"/>
        <v>CR-Mill Valley and Sausalito-Petaluma and Rohnert Park-High school</v>
      </c>
      <c r="B2700">
        <v>34</v>
      </c>
      <c r="C2700" t="str">
        <f t="shared" si="128"/>
        <v>Mill Valley and Sausalito</v>
      </c>
      <c r="D2700">
        <v>29</v>
      </c>
      <c r="E2700" t="str">
        <f t="shared" si="128"/>
        <v>Petaluma and Rohnert Park</v>
      </c>
      <c r="F2700" t="s">
        <v>326</v>
      </c>
      <c r="G2700">
        <f t="shared" si="126"/>
        <v>3</v>
      </c>
      <c r="H2700" t="s">
        <v>125</v>
      </c>
      <c r="I2700" t="s">
        <v>178</v>
      </c>
      <c r="J2700">
        <v>1</v>
      </c>
      <c r="K2700">
        <v>7.7247191011235996</v>
      </c>
    </row>
    <row r="2701" spans="1:11" x14ac:dyDescent="0.25">
      <c r="A2701" s="159" t="str">
        <f t="shared" si="127"/>
        <v>CR-Mill Valley and Sausalito-Petaluma and Rohnert Park-Social recreation</v>
      </c>
      <c r="B2701">
        <v>34</v>
      </c>
      <c r="C2701" t="str">
        <f t="shared" si="128"/>
        <v>Mill Valley and Sausalito</v>
      </c>
      <c r="D2701">
        <v>29</v>
      </c>
      <c r="E2701" t="str">
        <f t="shared" si="128"/>
        <v>Petaluma and Rohnert Park</v>
      </c>
      <c r="F2701" t="s">
        <v>324</v>
      </c>
      <c r="G2701">
        <f t="shared" si="126"/>
        <v>5</v>
      </c>
      <c r="H2701" t="s">
        <v>125</v>
      </c>
      <c r="I2701" t="s">
        <v>178</v>
      </c>
      <c r="J2701">
        <v>8</v>
      </c>
      <c r="K2701">
        <v>75.283595505617996</v>
      </c>
    </row>
    <row r="2702" spans="1:11" x14ac:dyDescent="0.25">
      <c r="A2702" s="159" t="str">
        <f t="shared" si="127"/>
        <v>CR-Mill Valley and Sausalito-Petaluma and Rohnert Park-Work</v>
      </c>
      <c r="B2702">
        <v>34</v>
      </c>
      <c r="C2702" t="str">
        <f t="shared" si="128"/>
        <v>Mill Valley and Sausalito</v>
      </c>
      <c r="D2702">
        <v>29</v>
      </c>
      <c r="E2702" t="str">
        <f t="shared" si="128"/>
        <v>Petaluma and Rohnert Park</v>
      </c>
      <c r="F2702" t="s">
        <v>30</v>
      </c>
      <c r="G2702">
        <f t="shared" si="126"/>
        <v>1</v>
      </c>
      <c r="H2702" t="s">
        <v>125</v>
      </c>
      <c r="I2702" t="s">
        <v>178</v>
      </c>
      <c r="J2702">
        <v>5</v>
      </c>
      <c r="K2702">
        <v>38.623595505617999</v>
      </c>
    </row>
    <row r="2703" spans="1:11" x14ac:dyDescent="0.25">
      <c r="A2703" s="159" t="str">
        <f t="shared" si="127"/>
        <v>CR-Mill Valley and Sausalito-Santa Rosa and Sebastopol-Missing</v>
      </c>
      <c r="B2703">
        <v>34</v>
      </c>
      <c r="C2703" t="str">
        <f t="shared" si="128"/>
        <v>Mill Valley and Sausalito</v>
      </c>
      <c r="D2703">
        <v>30</v>
      </c>
      <c r="E2703" t="str">
        <f t="shared" si="128"/>
        <v>Santa Rosa and Sebastopol</v>
      </c>
      <c r="F2703" t="s">
        <v>327</v>
      </c>
      <c r="G2703">
        <f t="shared" si="126"/>
        <v>0</v>
      </c>
      <c r="H2703" t="s">
        <v>125</v>
      </c>
      <c r="I2703" t="s">
        <v>178</v>
      </c>
      <c r="J2703">
        <v>2</v>
      </c>
      <c r="K2703">
        <v>19.944719101123599</v>
      </c>
    </row>
    <row r="2704" spans="1:11" x14ac:dyDescent="0.25">
      <c r="A2704" s="159" t="str">
        <f t="shared" si="127"/>
        <v>CR-Mill Valley and Sausalito-Santa Rosa and Sebastopol-Social recreation</v>
      </c>
      <c r="B2704">
        <v>34</v>
      </c>
      <c r="C2704" t="str">
        <f t="shared" si="128"/>
        <v>Mill Valley and Sausalito</v>
      </c>
      <c r="D2704">
        <v>30</v>
      </c>
      <c r="E2704" t="str">
        <f t="shared" si="128"/>
        <v>Santa Rosa and Sebastopol</v>
      </c>
      <c r="F2704" t="s">
        <v>324</v>
      </c>
      <c r="G2704">
        <f t="shared" si="126"/>
        <v>5</v>
      </c>
      <c r="H2704" t="s">
        <v>125</v>
      </c>
      <c r="I2704" t="s">
        <v>178</v>
      </c>
      <c r="J2704">
        <v>4</v>
      </c>
      <c r="K2704">
        <v>35.394157303370797</v>
      </c>
    </row>
    <row r="2705" spans="1:11" x14ac:dyDescent="0.25">
      <c r="A2705" s="159" t="str">
        <f t="shared" si="127"/>
        <v>CR-Mill Valley and Sausalito-Santa Rosa and Sebastopol-Work</v>
      </c>
      <c r="B2705">
        <v>34</v>
      </c>
      <c r="C2705" t="str">
        <f t="shared" si="128"/>
        <v>Mill Valley and Sausalito</v>
      </c>
      <c r="D2705">
        <v>30</v>
      </c>
      <c r="E2705" t="str">
        <f t="shared" si="128"/>
        <v>Santa Rosa and Sebastopol</v>
      </c>
      <c r="F2705" t="s">
        <v>30</v>
      </c>
      <c r="G2705">
        <f t="shared" si="126"/>
        <v>1</v>
      </c>
      <c r="H2705" t="s">
        <v>125</v>
      </c>
      <c r="I2705" t="s">
        <v>178</v>
      </c>
      <c r="J2705">
        <v>2</v>
      </c>
      <c r="K2705">
        <v>15.449438202247199</v>
      </c>
    </row>
    <row r="2706" spans="1:11" x14ac:dyDescent="0.25">
      <c r="A2706" s="159" t="str">
        <f t="shared" si="127"/>
        <v>CR-Mill Valley and Sausalito-Novato-High school</v>
      </c>
      <c r="B2706">
        <v>34</v>
      </c>
      <c r="C2706" t="str">
        <f t="shared" si="128"/>
        <v>Mill Valley and Sausalito</v>
      </c>
      <c r="D2706">
        <v>32</v>
      </c>
      <c r="E2706" t="str">
        <f t="shared" si="128"/>
        <v>Novato</v>
      </c>
      <c r="F2706" t="s">
        <v>326</v>
      </c>
      <c r="G2706">
        <f t="shared" si="126"/>
        <v>3</v>
      </c>
      <c r="H2706" t="s">
        <v>125</v>
      </c>
      <c r="I2706" t="s">
        <v>178</v>
      </c>
      <c r="J2706">
        <v>1</v>
      </c>
      <c r="K2706">
        <v>7.7247191011235996</v>
      </c>
    </row>
    <row r="2707" spans="1:11" x14ac:dyDescent="0.25">
      <c r="A2707" s="159" t="str">
        <f t="shared" si="127"/>
        <v>LB-Mill Valley and Sausalito-Novato-Missing</v>
      </c>
      <c r="B2707">
        <v>34</v>
      </c>
      <c r="C2707" t="str">
        <f t="shared" si="128"/>
        <v>Mill Valley and Sausalito</v>
      </c>
      <c r="D2707">
        <v>32</v>
      </c>
      <c r="E2707" t="str">
        <f t="shared" si="128"/>
        <v>Novato</v>
      </c>
      <c r="F2707" t="s">
        <v>327</v>
      </c>
      <c r="G2707">
        <f t="shared" si="126"/>
        <v>0</v>
      </c>
      <c r="H2707" t="s">
        <v>359</v>
      </c>
      <c r="I2707" t="s">
        <v>191</v>
      </c>
      <c r="J2707">
        <v>2</v>
      </c>
      <c r="K2707">
        <v>39.451882845188202</v>
      </c>
    </row>
    <row r="2708" spans="1:11" x14ac:dyDescent="0.25">
      <c r="A2708" s="159" t="str">
        <f t="shared" si="127"/>
        <v>LB-Mill Valley and Sausalito-Novato-Other maintenance</v>
      </c>
      <c r="B2708">
        <v>34</v>
      </c>
      <c r="C2708" t="str">
        <f t="shared" si="128"/>
        <v>Mill Valley and Sausalito</v>
      </c>
      <c r="D2708">
        <v>32</v>
      </c>
      <c r="E2708" t="str">
        <f t="shared" si="128"/>
        <v>Novato</v>
      </c>
      <c r="F2708" t="s">
        <v>325</v>
      </c>
      <c r="G2708">
        <f t="shared" si="126"/>
        <v>4</v>
      </c>
      <c r="H2708" t="s">
        <v>359</v>
      </c>
      <c r="I2708" t="s">
        <v>191</v>
      </c>
      <c r="J2708">
        <v>1</v>
      </c>
      <c r="K2708">
        <v>19.725941422594101</v>
      </c>
    </row>
    <row r="2709" spans="1:11" x14ac:dyDescent="0.25">
      <c r="A2709" s="159" t="str">
        <f t="shared" si="127"/>
        <v>CR-Mill Valley and Sausalito-Novato-Work</v>
      </c>
      <c r="B2709">
        <v>34</v>
      </c>
      <c r="C2709" t="str">
        <f t="shared" si="128"/>
        <v>Mill Valley and Sausalito</v>
      </c>
      <c r="D2709">
        <v>32</v>
      </c>
      <c r="E2709" t="str">
        <f t="shared" si="128"/>
        <v>Novato</v>
      </c>
      <c r="F2709" t="s">
        <v>30</v>
      </c>
      <c r="G2709">
        <f t="shared" si="126"/>
        <v>1</v>
      </c>
      <c r="H2709" t="s">
        <v>125</v>
      </c>
      <c r="I2709" t="s">
        <v>178</v>
      </c>
      <c r="J2709">
        <v>3</v>
      </c>
      <c r="K2709">
        <v>23.174157303370698</v>
      </c>
    </row>
    <row r="2710" spans="1:11" x14ac:dyDescent="0.25">
      <c r="A2710" s="159" t="str">
        <f t="shared" si="127"/>
        <v>LB-Mill Valley and Sausalito-Novato-Work</v>
      </c>
      <c r="B2710">
        <v>34</v>
      </c>
      <c r="C2710" t="str">
        <f t="shared" si="128"/>
        <v>Mill Valley and Sausalito</v>
      </c>
      <c r="D2710">
        <v>32</v>
      </c>
      <c r="E2710" t="str">
        <f t="shared" si="128"/>
        <v>Novato</v>
      </c>
      <c r="F2710" t="s">
        <v>30</v>
      </c>
      <c r="G2710">
        <f t="shared" si="126"/>
        <v>1</v>
      </c>
      <c r="H2710" t="s">
        <v>359</v>
      </c>
      <c r="I2710" t="s">
        <v>191</v>
      </c>
      <c r="J2710">
        <v>5</v>
      </c>
      <c r="K2710">
        <v>152.65376569037599</v>
      </c>
    </row>
    <row r="2711" spans="1:11" x14ac:dyDescent="0.25">
      <c r="A2711" s="159" t="str">
        <f t="shared" si="127"/>
        <v>LB-Mill Valley and Sausalito-San Rafael-High school</v>
      </c>
      <c r="B2711">
        <v>34</v>
      </c>
      <c r="C2711" t="str">
        <f t="shared" si="128"/>
        <v>Mill Valley and Sausalito</v>
      </c>
      <c r="D2711">
        <v>33</v>
      </c>
      <c r="E2711" t="str">
        <f t="shared" si="128"/>
        <v>San Rafael</v>
      </c>
      <c r="F2711" t="s">
        <v>326</v>
      </c>
      <c r="G2711">
        <f t="shared" si="126"/>
        <v>3</v>
      </c>
      <c r="H2711" t="s">
        <v>359</v>
      </c>
      <c r="I2711" t="s">
        <v>191</v>
      </c>
      <c r="J2711">
        <v>3</v>
      </c>
      <c r="K2711">
        <v>59.177824267782299</v>
      </c>
    </row>
    <row r="2712" spans="1:11" x14ac:dyDescent="0.25">
      <c r="A2712" s="159" t="str">
        <f t="shared" si="127"/>
        <v>LB-Mill Valley and Sausalito-San Rafael-Missing</v>
      </c>
      <c r="B2712">
        <v>34</v>
      </c>
      <c r="C2712" t="str">
        <f t="shared" si="128"/>
        <v>Mill Valley and Sausalito</v>
      </c>
      <c r="D2712">
        <v>33</v>
      </c>
      <c r="E2712" t="str">
        <f t="shared" si="128"/>
        <v>San Rafael</v>
      </c>
      <c r="F2712" t="s">
        <v>327</v>
      </c>
      <c r="G2712">
        <f t="shared" si="126"/>
        <v>0</v>
      </c>
      <c r="H2712" t="s">
        <v>359</v>
      </c>
      <c r="I2712" t="s">
        <v>191</v>
      </c>
      <c r="J2712">
        <v>2</v>
      </c>
      <c r="K2712">
        <v>39.451882845188202</v>
      </c>
    </row>
    <row r="2713" spans="1:11" x14ac:dyDescent="0.25">
      <c r="A2713" s="159" t="str">
        <f t="shared" si="127"/>
        <v>LB-Mill Valley and Sausalito-San Rafael-Other maintenance</v>
      </c>
      <c r="B2713">
        <v>34</v>
      </c>
      <c r="C2713" t="str">
        <f t="shared" si="128"/>
        <v>Mill Valley and Sausalito</v>
      </c>
      <c r="D2713">
        <v>33</v>
      </c>
      <c r="E2713" t="str">
        <f t="shared" si="128"/>
        <v>San Rafael</v>
      </c>
      <c r="F2713" t="s">
        <v>325</v>
      </c>
      <c r="G2713">
        <f t="shared" si="126"/>
        <v>4</v>
      </c>
      <c r="H2713" t="s">
        <v>359</v>
      </c>
      <c r="I2713" t="s">
        <v>191</v>
      </c>
      <c r="J2713">
        <v>3</v>
      </c>
      <c r="K2713">
        <v>59.177824267782299</v>
      </c>
    </row>
    <row r="2714" spans="1:11" x14ac:dyDescent="0.25">
      <c r="A2714" s="159" t="str">
        <f t="shared" si="127"/>
        <v>LB-Mill Valley and Sausalito-San Rafael-Shopping</v>
      </c>
      <c r="B2714">
        <v>34</v>
      </c>
      <c r="C2714" t="str">
        <f t="shared" si="128"/>
        <v>Mill Valley and Sausalito</v>
      </c>
      <c r="D2714">
        <v>33</v>
      </c>
      <c r="E2714" t="str">
        <f t="shared" si="128"/>
        <v>San Rafael</v>
      </c>
      <c r="F2714" t="s">
        <v>106</v>
      </c>
      <c r="G2714">
        <f t="shared" si="126"/>
        <v>4</v>
      </c>
      <c r="H2714" t="s">
        <v>359</v>
      </c>
      <c r="I2714" t="s">
        <v>191</v>
      </c>
      <c r="J2714">
        <v>1</v>
      </c>
      <c r="K2714">
        <v>19.725941422594101</v>
      </c>
    </row>
    <row r="2715" spans="1:11" x14ac:dyDescent="0.25">
      <c r="A2715" s="159" t="str">
        <f t="shared" si="127"/>
        <v>CR-Mill Valley and Sausalito-San Rafael-Social recreation</v>
      </c>
      <c r="B2715">
        <v>34</v>
      </c>
      <c r="C2715" t="str">
        <f t="shared" si="128"/>
        <v>Mill Valley and Sausalito</v>
      </c>
      <c r="D2715">
        <v>33</v>
      </c>
      <c r="E2715" t="str">
        <f t="shared" si="128"/>
        <v>San Rafael</v>
      </c>
      <c r="F2715" t="s">
        <v>324</v>
      </c>
      <c r="G2715">
        <f t="shared" si="126"/>
        <v>5</v>
      </c>
      <c r="H2715" t="s">
        <v>125</v>
      </c>
      <c r="I2715" t="s">
        <v>178</v>
      </c>
      <c r="J2715">
        <v>1</v>
      </c>
      <c r="K2715">
        <v>12.22</v>
      </c>
    </row>
    <row r="2716" spans="1:11" x14ac:dyDescent="0.25">
      <c r="A2716" s="159" t="str">
        <f t="shared" si="127"/>
        <v>LB-Mill Valley and Sausalito-San Rafael-Social recreation</v>
      </c>
      <c r="B2716">
        <v>34</v>
      </c>
      <c r="C2716" t="str">
        <f t="shared" si="128"/>
        <v>Mill Valley and Sausalito</v>
      </c>
      <c r="D2716">
        <v>33</v>
      </c>
      <c r="E2716" t="str">
        <f t="shared" si="128"/>
        <v>San Rafael</v>
      </c>
      <c r="F2716" t="s">
        <v>324</v>
      </c>
      <c r="G2716">
        <f t="shared" si="126"/>
        <v>5</v>
      </c>
      <c r="H2716" t="s">
        <v>359</v>
      </c>
      <c r="I2716" t="s">
        <v>191</v>
      </c>
      <c r="J2716">
        <v>5</v>
      </c>
      <c r="K2716">
        <v>260.70188284518798</v>
      </c>
    </row>
    <row r="2717" spans="1:11" x14ac:dyDescent="0.25">
      <c r="A2717" s="159" t="str">
        <f t="shared" si="127"/>
        <v>LB-Mill Valley and Sausalito-San Rafael-Work</v>
      </c>
      <c r="B2717">
        <v>34</v>
      </c>
      <c r="C2717" t="str">
        <f t="shared" si="128"/>
        <v>Mill Valley and Sausalito</v>
      </c>
      <c r="D2717">
        <v>33</v>
      </c>
      <c r="E2717" t="str">
        <f t="shared" si="128"/>
        <v>San Rafael</v>
      </c>
      <c r="F2717" t="s">
        <v>30</v>
      </c>
      <c r="G2717">
        <f t="shared" si="126"/>
        <v>1</v>
      </c>
      <c r="H2717" t="s">
        <v>359</v>
      </c>
      <c r="I2717" t="s">
        <v>191</v>
      </c>
      <c r="J2717">
        <v>21</v>
      </c>
      <c r="K2717">
        <v>954.48535564853501</v>
      </c>
    </row>
    <row r="2718" spans="1:11" x14ac:dyDescent="0.25">
      <c r="A2718" s="159" t="str">
        <f t="shared" si="127"/>
        <v>LB-Mill Valley and Sausalito-Mill Valley and Sausalito-High school</v>
      </c>
      <c r="B2718">
        <v>34</v>
      </c>
      <c r="C2718" t="str">
        <f t="shared" si="128"/>
        <v>Mill Valley and Sausalito</v>
      </c>
      <c r="D2718">
        <v>34</v>
      </c>
      <c r="E2718" t="str">
        <f t="shared" si="128"/>
        <v>Mill Valley and Sausalito</v>
      </c>
      <c r="F2718" t="s">
        <v>326</v>
      </c>
      <c r="G2718">
        <f t="shared" si="126"/>
        <v>3</v>
      </c>
      <c r="H2718" t="s">
        <v>359</v>
      </c>
      <c r="I2718" t="s">
        <v>191</v>
      </c>
      <c r="J2718">
        <v>13</v>
      </c>
      <c r="K2718">
        <v>256.43723849372299</v>
      </c>
    </row>
    <row r="2719" spans="1:11" x14ac:dyDescent="0.25">
      <c r="A2719" s="159" t="str">
        <f t="shared" si="127"/>
        <v>LB-Mill Valley and Sausalito-Mill Valley and Sausalito-Missing</v>
      </c>
      <c r="B2719">
        <v>34</v>
      </c>
      <c r="C2719" t="str">
        <f t="shared" si="128"/>
        <v>Mill Valley and Sausalito</v>
      </c>
      <c r="D2719">
        <v>34</v>
      </c>
      <c r="E2719" t="str">
        <f t="shared" si="128"/>
        <v>Mill Valley and Sausalito</v>
      </c>
      <c r="F2719" t="s">
        <v>327</v>
      </c>
      <c r="G2719">
        <f t="shared" si="126"/>
        <v>0</v>
      </c>
      <c r="H2719" t="s">
        <v>359</v>
      </c>
      <c r="I2719" t="s">
        <v>191</v>
      </c>
      <c r="J2719">
        <v>4</v>
      </c>
      <c r="K2719">
        <v>78.903765690376403</v>
      </c>
    </row>
    <row r="2720" spans="1:11" x14ac:dyDescent="0.25">
      <c r="A2720" s="159" t="str">
        <f t="shared" si="127"/>
        <v>LB-Mill Valley and Sausalito-Mill Valley and Sausalito-Other maintenance</v>
      </c>
      <c r="B2720">
        <v>34</v>
      </c>
      <c r="C2720" t="str">
        <f t="shared" si="128"/>
        <v>Mill Valley and Sausalito</v>
      </c>
      <c r="D2720">
        <v>34</v>
      </c>
      <c r="E2720" t="str">
        <f t="shared" si="128"/>
        <v>Mill Valley and Sausalito</v>
      </c>
      <c r="F2720" t="s">
        <v>325</v>
      </c>
      <c r="G2720">
        <f t="shared" si="126"/>
        <v>4</v>
      </c>
      <c r="H2720" t="s">
        <v>359</v>
      </c>
      <c r="I2720" t="s">
        <v>191</v>
      </c>
      <c r="J2720">
        <v>5</v>
      </c>
      <c r="K2720">
        <v>419.05617899356997</v>
      </c>
    </row>
    <row r="2721" spans="1:11" x14ac:dyDescent="0.25">
      <c r="A2721" s="159" t="str">
        <f t="shared" si="127"/>
        <v>LB-Mill Valley and Sausalito-Mill Valley and Sausalito-Shopping</v>
      </c>
      <c r="B2721">
        <v>34</v>
      </c>
      <c r="C2721" t="str">
        <f t="shared" si="128"/>
        <v>Mill Valley and Sausalito</v>
      </c>
      <c r="D2721">
        <v>34</v>
      </c>
      <c r="E2721" t="str">
        <f t="shared" si="128"/>
        <v>Mill Valley and Sausalito</v>
      </c>
      <c r="F2721" t="s">
        <v>106</v>
      </c>
      <c r="G2721">
        <f t="shared" si="126"/>
        <v>4</v>
      </c>
      <c r="H2721" t="s">
        <v>359</v>
      </c>
      <c r="I2721" t="s">
        <v>191</v>
      </c>
      <c r="J2721">
        <v>3</v>
      </c>
      <c r="K2721">
        <v>59.177824267782299</v>
      </c>
    </row>
    <row r="2722" spans="1:11" x14ac:dyDescent="0.25">
      <c r="A2722" s="159" t="str">
        <f t="shared" si="127"/>
        <v>LB-Mill Valley and Sausalito-Mill Valley and Sausalito-Social recreation</v>
      </c>
      <c r="B2722">
        <v>34</v>
      </c>
      <c r="C2722" t="str">
        <f t="shared" si="128"/>
        <v>Mill Valley and Sausalito</v>
      </c>
      <c r="D2722">
        <v>34</v>
      </c>
      <c r="E2722" t="str">
        <f t="shared" si="128"/>
        <v>Mill Valley and Sausalito</v>
      </c>
      <c r="F2722" t="s">
        <v>324</v>
      </c>
      <c r="G2722">
        <f t="shared" si="126"/>
        <v>5</v>
      </c>
      <c r="H2722" t="s">
        <v>359</v>
      </c>
      <c r="I2722" t="s">
        <v>191</v>
      </c>
      <c r="J2722">
        <v>8</v>
      </c>
      <c r="K2722">
        <v>373.90376569037602</v>
      </c>
    </row>
    <row r="2723" spans="1:11" x14ac:dyDescent="0.25">
      <c r="A2723" s="159" t="str">
        <f t="shared" si="127"/>
        <v>LB-Mill Valley and Sausalito-Mill Valley and Sausalito-Work</v>
      </c>
      <c r="B2723">
        <v>34</v>
      </c>
      <c r="C2723" t="str">
        <f t="shared" si="128"/>
        <v>Mill Valley and Sausalito</v>
      </c>
      <c r="D2723">
        <v>34</v>
      </c>
      <c r="E2723" t="str">
        <f t="shared" si="128"/>
        <v>Mill Valley and Sausalito</v>
      </c>
      <c r="F2723" t="s">
        <v>30</v>
      </c>
      <c r="G2723">
        <f t="shared" si="126"/>
        <v>1</v>
      </c>
      <c r="H2723" t="s">
        <v>359</v>
      </c>
      <c r="I2723" t="s">
        <v>191</v>
      </c>
      <c r="J2723">
        <v>13</v>
      </c>
      <c r="K2723">
        <v>364.48535564853501</v>
      </c>
    </row>
  </sheetData>
  <sortState xmlns:xlrd2="http://schemas.microsoft.com/office/spreadsheetml/2017/richdata2" ref="A2:K1844">
    <sortCondition ref="D1:D1844"/>
  </sortState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B1:AT231"/>
  <sheetViews>
    <sheetView zoomScale="90" zoomScaleNormal="90" workbookViewId="0">
      <selection activeCell="O29" sqref="O29"/>
    </sheetView>
  </sheetViews>
  <sheetFormatPr defaultRowHeight="15" x14ac:dyDescent="0.25"/>
  <cols>
    <col min="1" max="1" width="4.42578125" customWidth="1"/>
    <col min="2" max="2" width="20.28515625" customWidth="1"/>
    <col min="3" max="3" width="8.140625" bestFit="1" customWidth="1"/>
    <col min="4" max="5" width="9.28515625" bestFit="1" customWidth="1"/>
    <col min="6" max="6" width="9.28515625" customWidth="1"/>
    <col min="8" max="8" width="23.85546875" customWidth="1"/>
    <col min="9" max="9" width="13.28515625" bestFit="1" customWidth="1"/>
    <col min="10" max="10" width="11.5703125" bestFit="1" customWidth="1"/>
    <col min="11" max="12" width="12.7109375" bestFit="1" customWidth="1"/>
    <col min="17" max="17" width="15.7109375" bestFit="1" customWidth="1"/>
    <col min="18" max="18" width="12.28515625" customWidth="1"/>
    <col min="22" max="22" width="19.42578125" customWidth="1"/>
    <col min="23" max="26" width="9.28515625" bestFit="1" customWidth="1"/>
    <col min="28" max="28" width="18.42578125" customWidth="1"/>
    <col min="29" max="32" width="9.28515625" bestFit="1" customWidth="1"/>
    <col min="36" max="36" width="10.85546875" customWidth="1"/>
    <col min="37" max="40" width="9.28515625" bestFit="1" customWidth="1"/>
    <col min="43" max="46" width="9.28515625" bestFit="1" customWidth="1"/>
  </cols>
  <sheetData>
    <row r="1" spans="2:46" s="226" customFormat="1" x14ac:dyDescent="0.25">
      <c r="B1" s="226" t="s">
        <v>309</v>
      </c>
      <c r="H1" s="226" t="s">
        <v>312</v>
      </c>
      <c r="V1" s="226" t="s">
        <v>313</v>
      </c>
      <c r="AB1" s="226" t="s">
        <v>314</v>
      </c>
      <c r="AJ1" s="226" t="s">
        <v>315</v>
      </c>
      <c r="AP1" s="226" t="s">
        <v>316</v>
      </c>
    </row>
    <row r="3" spans="2:46" x14ac:dyDescent="0.25">
      <c r="B3" t="s">
        <v>289</v>
      </c>
      <c r="H3" t="s">
        <v>304</v>
      </c>
      <c r="N3" s="241" t="s">
        <v>318</v>
      </c>
      <c r="V3" t="s">
        <v>305</v>
      </c>
      <c r="AB3" t="s">
        <v>306</v>
      </c>
      <c r="AJ3" t="s">
        <v>307</v>
      </c>
      <c r="AP3" t="s">
        <v>308</v>
      </c>
    </row>
    <row r="4" spans="2:46" x14ac:dyDescent="0.25">
      <c r="B4" t="s">
        <v>249</v>
      </c>
      <c r="H4" t="s">
        <v>249</v>
      </c>
      <c r="N4" t="s">
        <v>249</v>
      </c>
      <c r="V4" t="s">
        <v>249</v>
      </c>
      <c r="AB4" t="s">
        <v>249</v>
      </c>
      <c r="AJ4" t="s">
        <v>249</v>
      </c>
      <c r="AP4" t="s">
        <v>249</v>
      </c>
    </row>
    <row r="5" spans="2:46" x14ac:dyDescent="0.25">
      <c r="B5" s="236" t="s">
        <v>290</v>
      </c>
      <c r="C5" s="237" t="s">
        <v>7</v>
      </c>
      <c r="D5" s="238" t="s">
        <v>8</v>
      </c>
      <c r="E5" s="238" t="s">
        <v>9</v>
      </c>
      <c r="F5" s="239" t="s">
        <v>1</v>
      </c>
      <c r="H5" s="236" t="s">
        <v>290</v>
      </c>
      <c r="I5" s="237" t="s">
        <v>7</v>
      </c>
      <c r="J5" s="238" t="s">
        <v>8</v>
      </c>
      <c r="K5" s="238" t="s">
        <v>9</v>
      </c>
      <c r="L5" s="239" t="s">
        <v>1</v>
      </c>
      <c r="N5" s="236" t="s">
        <v>290</v>
      </c>
      <c r="O5" s="237" t="s">
        <v>7</v>
      </c>
      <c r="P5" s="238" t="s">
        <v>8</v>
      </c>
      <c r="Q5" s="238" t="s">
        <v>9</v>
      </c>
      <c r="R5" s="239" t="s">
        <v>1</v>
      </c>
      <c r="V5" s="236" t="s">
        <v>290</v>
      </c>
      <c r="W5" s="237" t="s">
        <v>7</v>
      </c>
      <c r="X5" s="238" t="s">
        <v>8</v>
      </c>
      <c r="Y5" s="238" t="s">
        <v>9</v>
      </c>
      <c r="Z5" s="239" t="s">
        <v>1</v>
      </c>
      <c r="AB5" s="236" t="s">
        <v>290</v>
      </c>
      <c r="AC5" s="237" t="s">
        <v>7</v>
      </c>
      <c r="AD5" s="238" t="s">
        <v>8</v>
      </c>
      <c r="AE5" s="238" t="s">
        <v>9</v>
      </c>
      <c r="AF5" s="239" t="s">
        <v>1</v>
      </c>
      <c r="AJ5" s="236" t="s">
        <v>290</v>
      </c>
      <c r="AK5" s="237" t="s">
        <v>7</v>
      </c>
      <c r="AL5" s="238" t="s">
        <v>8</v>
      </c>
      <c r="AM5" s="238" t="s">
        <v>9</v>
      </c>
      <c r="AN5" s="239" t="s">
        <v>1</v>
      </c>
      <c r="AP5" s="236" t="s">
        <v>290</v>
      </c>
      <c r="AQ5" s="237" t="s">
        <v>7</v>
      </c>
      <c r="AR5" s="238" t="s">
        <v>8</v>
      </c>
      <c r="AS5" s="238" t="s">
        <v>9</v>
      </c>
      <c r="AT5" s="239" t="s">
        <v>1</v>
      </c>
    </row>
    <row r="6" spans="2:46" x14ac:dyDescent="0.25">
      <c r="B6" s="233" t="s">
        <v>291</v>
      </c>
      <c r="C6" s="228">
        <v>27</v>
      </c>
      <c r="D6" s="230">
        <v>317</v>
      </c>
      <c r="E6" s="230">
        <v>3318</v>
      </c>
      <c r="F6" s="234">
        <v>3662</v>
      </c>
      <c r="H6" s="233" t="s">
        <v>291</v>
      </c>
      <c r="I6" s="242">
        <v>3367.7595354375358</v>
      </c>
      <c r="J6" s="230">
        <v>72457.185875433643</v>
      </c>
      <c r="K6" s="230">
        <v>1049945.8093882001</v>
      </c>
      <c r="L6" s="234">
        <v>1125770.7547990712</v>
      </c>
      <c r="M6" s="227"/>
      <c r="N6" s="233" t="s">
        <v>291</v>
      </c>
      <c r="O6" s="242">
        <v>0</v>
      </c>
      <c r="P6" s="230">
        <v>72457.185875433643</v>
      </c>
      <c r="Q6" s="230">
        <v>1049945.8093882001</v>
      </c>
      <c r="R6" s="234">
        <f>SUM(O6:Q6)</f>
        <v>1122402.9952636338</v>
      </c>
      <c r="V6" s="233" t="s">
        <v>291</v>
      </c>
      <c r="W6" s="228">
        <v>0</v>
      </c>
      <c r="X6" s="230">
        <v>2</v>
      </c>
      <c r="Y6" s="230">
        <v>414</v>
      </c>
      <c r="Z6" s="234">
        <v>416</v>
      </c>
      <c r="AB6" s="233" t="s">
        <v>291</v>
      </c>
      <c r="AC6" s="228">
        <v>0</v>
      </c>
      <c r="AD6" s="230">
        <v>50.620689333880549</v>
      </c>
      <c r="AE6" s="230">
        <v>111373.15705430285</v>
      </c>
      <c r="AF6" s="234">
        <v>111423.77774363673</v>
      </c>
      <c r="AJ6" s="233" t="s">
        <v>291</v>
      </c>
      <c r="AK6" s="228">
        <v>0</v>
      </c>
      <c r="AL6" s="230">
        <v>14</v>
      </c>
      <c r="AM6" s="230">
        <v>674</v>
      </c>
      <c r="AN6" s="234">
        <v>688</v>
      </c>
      <c r="AP6" s="233" t="s">
        <v>291</v>
      </c>
      <c r="AQ6" s="228">
        <v>0</v>
      </c>
      <c r="AR6" s="230">
        <v>12143.582115516381</v>
      </c>
      <c r="AS6" s="230">
        <v>216205.92114025657</v>
      </c>
      <c r="AT6" s="234">
        <v>228349.50325577296</v>
      </c>
    </row>
    <row r="7" spans="2:46" x14ac:dyDescent="0.25">
      <c r="B7" s="233" t="s">
        <v>292</v>
      </c>
      <c r="C7" s="228">
        <v>23</v>
      </c>
      <c r="D7" s="230">
        <v>172</v>
      </c>
      <c r="E7" s="230">
        <v>587</v>
      </c>
      <c r="F7" s="234">
        <v>782</v>
      </c>
      <c r="H7" s="233" t="s">
        <v>292</v>
      </c>
      <c r="I7" s="228">
        <v>5259.0990964169914</v>
      </c>
      <c r="J7" s="230">
        <v>55985.316365278515</v>
      </c>
      <c r="K7" s="230">
        <v>251536.52216623956</v>
      </c>
      <c r="L7" s="234">
        <v>312780.93762793508</v>
      </c>
      <c r="N7" s="233" t="s">
        <v>292</v>
      </c>
      <c r="O7" s="228">
        <v>5259.0990964169914</v>
      </c>
      <c r="P7" s="230">
        <v>55985.316365278515</v>
      </c>
      <c r="Q7" s="230">
        <v>251536.52216623956</v>
      </c>
      <c r="R7" s="234">
        <f t="shared" ref="R7:R25" si="0">SUM(O7:Q7)</f>
        <v>312780.93762793508</v>
      </c>
      <c r="V7" s="233" t="s">
        <v>292</v>
      </c>
      <c r="W7" s="228">
        <v>0</v>
      </c>
      <c r="X7" s="230">
        <v>4</v>
      </c>
      <c r="Y7" s="230">
        <v>66</v>
      </c>
      <c r="Z7" s="234">
        <v>70</v>
      </c>
      <c r="AB7" s="233" t="s">
        <v>292</v>
      </c>
      <c r="AC7" s="228">
        <v>0</v>
      </c>
      <c r="AD7" s="230">
        <v>1047.363119410064</v>
      </c>
      <c r="AE7" s="230">
        <v>20387.614463441656</v>
      </c>
      <c r="AF7" s="234">
        <v>21434.977582851719</v>
      </c>
      <c r="AJ7" s="233" t="s">
        <v>292</v>
      </c>
      <c r="AK7" s="228">
        <v>0</v>
      </c>
      <c r="AL7" s="230">
        <v>27</v>
      </c>
      <c r="AM7" s="230">
        <v>105</v>
      </c>
      <c r="AN7" s="234">
        <v>132</v>
      </c>
      <c r="AP7" s="233" t="s">
        <v>292</v>
      </c>
      <c r="AQ7" s="228">
        <v>0</v>
      </c>
      <c r="AR7" s="230">
        <v>20543.908446399804</v>
      </c>
      <c r="AS7" s="230">
        <v>41762.879937102698</v>
      </c>
      <c r="AT7" s="234">
        <v>62306.788383502499</v>
      </c>
    </row>
    <row r="8" spans="2:46" x14ac:dyDescent="0.25">
      <c r="B8" s="233" t="s">
        <v>293</v>
      </c>
      <c r="C8">
        <v>6</v>
      </c>
      <c r="D8">
        <v>62</v>
      </c>
      <c r="E8">
        <v>181</v>
      </c>
      <c r="F8" s="233">
        <v>249</v>
      </c>
      <c r="H8" s="233" t="s">
        <v>293</v>
      </c>
      <c r="I8">
        <v>4444.2867184301622</v>
      </c>
      <c r="J8">
        <v>21933.31146225394</v>
      </c>
      <c r="K8">
        <v>132407.19001567585</v>
      </c>
      <c r="L8" s="233">
        <v>158784.78819635994</v>
      </c>
      <c r="M8" s="229"/>
      <c r="N8" s="233" t="s">
        <v>293</v>
      </c>
      <c r="O8">
        <v>4444.2867184301622</v>
      </c>
      <c r="P8">
        <v>21933.31146225394</v>
      </c>
      <c r="Q8">
        <v>132407.19001567585</v>
      </c>
      <c r="R8" s="233">
        <f t="shared" si="0"/>
        <v>158784.78819635994</v>
      </c>
      <c r="V8" s="233" t="s">
        <v>293</v>
      </c>
      <c r="W8">
        <v>0</v>
      </c>
      <c r="X8">
        <v>0</v>
      </c>
      <c r="Y8">
        <v>24</v>
      </c>
      <c r="Z8" s="233">
        <v>24</v>
      </c>
      <c r="AB8" s="233" t="s">
        <v>293</v>
      </c>
      <c r="AC8">
        <v>0</v>
      </c>
      <c r="AD8">
        <v>0</v>
      </c>
      <c r="AE8">
        <v>16795.386177217384</v>
      </c>
      <c r="AF8" s="233">
        <v>16795.386177217384</v>
      </c>
      <c r="AJ8" s="233" t="s">
        <v>293</v>
      </c>
      <c r="AK8">
        <v>0</v>
      </c>
      <c r="AL8">
        <v>0</v>
      </c>
      <c r="AM8">
        <v>38</v>
      </c>
      <c r="AN8" s="233">
        <v>38</v>
      </c>
      <c r="AP8" s="233" t="s">
        <v>293</v>
      </c>
      <c r="AQ8">
        <v>0</v>
      </c>
      <c r="AR8">
        <v>0</v>
      </c>
      <c r="AS8">
        <v>28530.223074297712</v>
      </c>
      <c r="AT8" s="233">
        <v>28530.223074297712</v>
      </c>
    </row>
    <row r="9" spans="2:46" x14ac:dyDescent="0.25">
      <c r="B9" s="233" t="s">
        <v>2</v>
      </c>
      <c r="C9">
        <v>174</v>
      </c>
      <c r="D9">
        <v>61</v>
      </c>
      <c r="E9">
        <v>179</v>
      </c>
      <c r="F9" s="233">
        <v>414</v>
      </c>
      <c r="H9" s="233" t="s">
        <v>2</v>
      </c>
      <c r="I9">
        <v>27952.067790031557</v>
      </c>
      <c r="J9">
        <v>5601.3280652345202</v>
      </c>
      <c r="K9">
        <v>53429.223215084799</v>
      </c>
      <c r="L9" s="233">
        <v>86982.619070350876</v>
      </c>
      <c r="M9" s="230"/>
      <c r="N9" s="233" t="s">
        <v>2</v>
      </c>
      <c r="O9">
        <v>27952.067790031557</v>
      </c>
      <c r="P9">
        <v>5601.3280652345202</v>
      </c>
      <c r="Q9">
        <v>53429.223215084799</v>
      </c>
      <c r="R9" s="233">
        <f t="shared" si="0"/>
        <v>86982.619070350876</v>
      </c>
      <c r="V9" s="233" t="s">
        <v>2</v>
      </c>
      <c r="W9">
        <v>0</v>
      </c>
      <c r="X9">
        <v>2</v>
      </c>
      <c r="Y9">
        <v>2</v>
      </c>
      <c r="Z9" s="233">
        <v>4</v>
      </c>
      <c r="AB9" s="233" t="s">
        <v>2</v>
      </c>
      <c r="AC9">
        <v>0</v>
      </c>
      <c r="AD9">
        <v>975.15214948280868</v>
      </c>
      <c r="AE9">
        <v>4913.2685750330629</v>
      </c>
      <c r="AF9" s="233">
        <v>5888.4207245158714</v>
      </c>
      <c r="AJ9" s="233" t="s">
        <v>2</v>
      </c>
      <c r="AK9">
        <v>0</v>
      </c>
      <c r="AL9">
        <v>4</v>
      </c>
      <c r="AM9">
        <v>5</v>
      </c>
      <c r="AN9" s="233">
        <v>9</v>
      </c>
      <c r="AP9" s="233" t="s">
        <v>2</v>
      </c>
      <c r="AQ9">
        <v>0</v>
      </c>
      <c r="AR9">
        <v>1146.5915012512723</v>
      </c>
      <c r="AS9">
        <v>9286.9897368230122</v>
      </c>
      <c r="AT9" s="233">
        <v>10433.581238074285</v>
      </c>
    </row>
    <row r="10" spans="2:46" x14ac:dyDescent="0.25">
      <c r="B10" s="233" t="s">
        <v>31</v>
      </c>
      <c r="C10">
        <v>97</v>
      </c>
      <c r="D10">
        <v>101</v>
      </c>
      <c r="E10">
        <v>168</v>
      </c>
      <c r="F10" s="233">
        <v>366</v>
      </c>
      <c r="H10" s="233" t="s">
        <v>31</v>
      </c>
      <c r="I10">
        <v>12039.232524182757</v>
      </c>
      <c r="J10">
        <v>14287.117913934562</v>
      </c>
      <c r="K10">
        <v>29180.860161217795</v>
      </c>
      <c r="L10" s="233">
        <v>55507.210599335114</v>
      </c>
      <c r="M10" s="230"/>
      <c r="N10" s="233" t="s">
        <v>31</v>
      </c>
      <c r="O10">
        <v>12039.232524182757</v>
      </c>
      <c r="P10">
        <v>14287.117913934562</v>
      </c>
      <c r="Q10">
        <v>29180.860161217795</v>
      </c>
      <c r="R10" s="233">
        <f t="shared" si="0"/>
        <v>55507.210599335114</v>
      </c>
      <c r="V10" s="233" t="s">
        <v>31</v>
      </c>
      <c r="W10">
        <v>0</v>
      </c>
      <c r="X10">
        <v>0</v>
      </c>
      <c r="Y10">
        <v>7</v>
      </c>
      <c r="Z10" s="233">
        <v>7</v>
      </c>
      <c r="AB10" s="233" t="s">
        <v>31</v>
      </c>
      <c r="AC10">
        <v>0</v>
      </c>
      <c r="AD10">
        <v>0</v>
      </c>
      <c r="AE10">
        <v>589.00337506032861</v>
      </c>
      <c r="AF10" s="233">
        <v>589.00337506032861</v>
      </c>
      <c r="AJ10" s="233" t="s">
        <v>31</v>
      </c>
      <c r="AK10">
        <v>0</v>
      </c>
      <c r="AL10">
        <v>0</v>
      </c>
      <c r="AM10">
        <v>24</v>
      </c>
      <c r="AN10" s="233">
        <v>24</v>
      </c>
      <c r="AP10" s="233" t="s">
        <v>31</v>
      </c>
      <c r="AQ10">
        <v>0</v>
      </c>
      <c r="AR10">
        <v>0</v>
      </c>
      <c r="AS10">
        <v>1690.9302993904039</v>
      </c>
      <c r="AT10" s="233">
        <v>1690.9302993904039</v>
      </c>
    </row>
    <row r="11" spans="2:46" x14ac:dyDescent="0.25">
      <c r="B11" s="233" t="s">
        <v>294</v>
      </c>
      <c r="C11" s="232">
        <v>256</v>
      </c>
      <c r="D11" s="231">
        <v>155</v>
      </c>
      <c r="E11" s="231">
        <v>250</v>
      </c>
      <c r="F11" s="235">
        <v>661</v>
      </c>
      <c r="H11" s="233" t="s">
        <v>294</v>
      </c>
      <c r="I11" s="232">
        <v>51708.969352784508</v>
      </c>
      <c r="J11" s="231">
        <v>21963.50877043236</v>
      </c>
      <c r="K11" s="231">
        <v>45628.285042083051</v>
      </c>
      <c r="L11" s="235">
        <v>119300.76316529991</v>
      </c>
      <c r="M11" s="230"/>
      <c r="N11" s="233" t="s">
        <v>294</v>
      </c>
      <c r="O11" s="232">
        <v>51708.969352784508</v>
      </c>
      <c r="P11" s="231">
        <v>21963.50877043236</v>
      </c>
      <c r="Q11" s="231">
        <v>45628.285042083051</v>
      </c>
      <c r="R11" s="235">
        <f t="shared" si="0"/>
        <v>119300.76316529991</v>
      </c>
      <c r="V11" s="233" t="s">
        <v>294</v>
      </c>
      <c r="W11" s="232">
        <v>0</v>
      </c>
      <c r="X11" s="231">
        <v>2</v>
      </c>
      <c r="Y11" s="231">
        <v>4</v>
      </c>
      <c r="Z11" s="235">
        <v>6</v>
      </c>
      <c r="AB11" s="233" t="s">
        <v>294</v>
      </c>
      <c r="AC11" s="232">
        <v>0</v>
      </c>
      <c r="AD11" s="231">
        <v>1137.677507729933</v>
      </c>
      <c r="AE11" s="231">
        <v>4748.6557996302654</v>
      </c>
      <c r="AF11" s="235">
        <v>5886.3333073601989</v>
      </c>
      <c r="AJ11" s="233" t="s">
        <v>294</v>
      </c>
      <c r="AK11" s="232">
        <v>0</v>
      </c>
      <c r="AL11" s="231">
        <v>2</v>
      </c>
      <c r="AM11" s="231">
        <v>4</v>
      </c>
      <c r="AN11" s="235">
        <v>6</v>
      </c>
      <c r="AP11" s="233" t="s">
        <v>294</v>
      </c>
      <c r="AQ11" s="232">
        <v>0</v>
      </c>
      <c r="AR11" s="231">
        <v>1137.677507729933</v>
      </c>
      <c r="AS11" s="231">
        <v>4748.6557996302654</v>
      </c>
      <c r="AT11" s="235">
        <v>5886.3333073601989</v>
      </c>
    </row>
    <row r="12" spans="2:46" x14ac:dyDescent="0.25">
      <c r="B12" s="233" t="s">
        <v>345</v>
      </c>
      <c r="C12" s="228">
        <v>138</v>
      </c>
      <c r="D12" s="230">
        <v>51</v>
      </c>
      <c r="E12" s="230">
        <v>83</v>
      </c>
      <c r="F12" s="234">
        <v>272</v>
      </c>
      <c r="H12" s="233" t="s">
        <v>345</v>
      </c>
      <c r="I12" s="228">
        <v>12940.161957477872</v>
      </c>
      <c r="J12" s="230">
        <v>8403.0625911078969</v>
      </c>
      <c r="K12" s="230">
        <v>7295.932738406419</v>
      </c>
      <c r="L12" s="234">
        <v>28639.157286992191</v>
      </c>
      <c r="M12" s="230"/>
      <c r="N12" s="233" t="s">
        <v>345</v>
      </c>
      <c r="O12" s="228">
        <v>12940.161957477872</v>
      </c>
      <c r="P12" s="230">
        <v>8403.0625911078969</v>
      </c>
      <c r="Q12" s="230">
        <v>7295.932738406419</v>
      </c>
      <c r="R12" s="234">
        <f t="shared" si="0"/>
        <v>28639.157286992191</v>
      </c>
      <c r="V12" s="233" t="s">
        <v>345</v>
      </c>
      <c r="W12" s="228">
        <v>0</v>
      </c>
      <c r="X12" s="230">
        <v>0</v>
      </c>
      <c r="Y12" s="230">
        <v>0</v>
      </c>
      <c r="Z12" s="234">
        <v>0</v>
      </c>
      <c r="AB12" s="233" t="s">
        <v>345</v>
      </c>
      <c r="AC12" s="228">
        <v>0</v>
      </c>
      <c r="AD12" s="230">
        <v>0</v>
      </c>
      <c r="AE12" s="230">
        <v>0</v>
      </c>
      <c r="AF12" s="234">
        <v>0</v>
      </c>
      <c r="AJ12" s="233" t="s">
        <v>345</v>
      </c>
      <c r="AK12" s="228">
        <v>0</v>
      </c>
      <c r="AL12" s="230">
        <v>0</v>
      </c>
      <c r="AM12" s="230">
        <v>0</v>
      </c>
      <c r="AN12" s="234">
        <v>0</v>
      </c>
      <c r="AP12" s="233" t="s">
        <v>345</v>
      </c>
      <c r="AQ12" s="228">
        <v>0</v>
      </c>
      <c r="AR12" s="230">
        <v>0</v>
      </c>
      <c r="AS12" s="230">
        <v>0</v>
      </c>
      <c r="AT12" s="234">
        <v>0</v>
      </c>
    </row>
    <row r="13" spans="2:46" x14ac:dyDescent="0.25">
      <c r="B13" s="233" t="s">
        <v>310</v>
      </c>
      <c r="C13" s="228">
        <v>1</v>
      </c>
      <c r="D13" s="230">
        <v>0</v>
      </c>
      <c r="E13" s="230">
        <v>17</v>
      </c>
      <c r="F13" s="234">
        <v>18</v>
      </c>
      <c r="H13" s="233" t="s">
        <v>310</v>
      </c>
      <c r="I13" s="228">
        <v>27.264448434744551</v>
      </c>
      <c r="J13" s="230">
        <v>0</v>
      </c>
      <c r="K13" s="230">
        <v>1061.3765631008355</v>
      </c>
      <c r="L13" s="234">
        <v>1088.64101153558</v>
      </c>
      <c r="M13" s="230"/>
      <c r="N13" s="233" t="s">
        <v>310</v>
      </c>
      <c r="O13" s="228">
        <v>27.264448434744551</v>
      </c>
      <c r="P13" s="230">
        <v>0</v>
      </c>
      <c r="Q13" s="230">
        <v>1061.3765631008355</v>
      </c>
      <c r="R13" s="234">
        <f>SUM(O13:Q13)</f>
        <v>1088.64101153558</v>
      </c>
      <c r="V13" s="233" t="s">
        <v>310</v>
      </c>
      <c r="W13" s="228">
        <v>0</v>
      </c>
      <c r="X13" s="230">
        <v>0</v>
      </c>
      <c r="Y13" s="230">
        <v>7</v>
      </c>
      <c r="Z13" s="234">
        <v>7</v>
      </c>
      <c r="AB13" s="233" t="s">
        <v>310</v>
      </c>
      <c r="AC13" s="228">
        <v>0</v>
      </c>
      <c r="AD13" s="230">
        <v>0</v>
      </c>
      <c r="AE13" s="230">
        <v>323.49250906918996</v>
      </c>
      <c r="AF13" s="234">
        <v>323.49250906918996</v>
      </c>
      <c r="AJ13" s="233" t="s">
        <v>310</v>
      </c>
      <c r="AK13" s="228">
        <v>0</v>
      </c>
      <c r="AL13" s="230">
        <v>0</v>
      </c>
      <c r="AM13" s="230">
        <v>8</v>
      </c>
      <c r="AN13" s="234">
        <v>8</v>
      </c>
      <c r="AP13" s="233" t="s">
        <v>310</v>
      </c>
      <c r="AQ13" s="228">
        <v>0</v>
      </c>
      <c r="AR13" s="230">
        <v>0</v>
      </c>
      <c r="AS13" s="230">
        <v>371.62388665979876</v>
      </c>
      <c r="AT13" s="234">
        <v>371.62388665979876</v>
      </c>
    </row>
    <row r="14" spans="2:46" x14ac:dyDescent="0.25">
      <c r="B14" s="233" t="s">
        <v>295</v>
      </c>
      <c r="C14" s="228">
        <v>18</v>
      </c>
      <c r="D14" s="230">
        <v>8</v>
      </c>
      <c r="E14" s="230">
        <v>36</v>
      </c>
      <c r="F14" s="234">
        <v>62</v>
      </c>
      <c r="H14" s="233" t="s">
        <v>295</v>
      </c>
      <c r="I14" s="228">
        <v>1119.9781562173118</v>
      </c>
      <c r="J14" s="230">
        <v>203.41316389315205</v>
      </c>
      <c r="K14" s="230">
        <v>7190.9254251021812</v>
      </c>
      <c r="L14" s="234">
        <v>8514.3167452126454</v>
      </c>
      <c r="M14" s="230"/>
      <c r="N14" s="233" t="s">
        <v>295</v>
      </c>
      <c r="O14" s="228">
        <v>1119.9781562173118</v>
      </c>
      <c r="P14" s="230">
        <v>203.41316389315205</v>
      </c>
      <c r="Q14" s="230">
        <v>7190.9254251021812</v>
      </c>
      <c r="R14" s="234">
        <f t="shared" si="0"/>
        <v>8514.3167452126454</v>
      </c>
      <c r="V14" s="233" t="s">
        <v>295</v>
      </c>
      <c r="W14" s="228">
        <v>0</v>
      </c>
      <c r="X14" s="230">
        <v>0</v>
      </c>
      <c r="Y14" s="230">
        <v>0</v>
      </c>
      <c r="Z14" s="234">
        <v>0</v>
      </c>
      <c r="AB14" s="233" t="s">
        <v>295</v>
      </c>
      <c r="AC14" s="228">
        <v>0</v>
      </c>
      <c r="AD14" s="230">
        <v>0</v>
      </c>
      <c r="AE14" s="230">
        <v>0</v>
      </c>
      <c r="AF14" s="234">
        <v>0</v>
      </c>
      <c r="AJ14" s="233" t="s">
        <v>295</v>
      </c>
      <c r="AK14" s="228">
        <v>0</v>
      </c>
      <c r="AL14" s="230">
        <v>0</v>
      </c>
      <c r="AM14" s="230">
        <v>0</v>
      </c>
      <c r="AN14" s="234">
        <v>0</v>
      </c>
      <c r="AP14" s="233" t="s">
        <v>295</v>
      </c>
      <c r="AQ14" s="228">
        <v>0</v>
      </c>
      <c r="AR14" s="230">
        <v>0</v>
      </c>
      <c r="AS14" s="230">
        <v>0</v>
      </c>
      <c r="AT14" s="234">
        <v>0</v>
      </c>
    </row>
    <row r="15" spans="2:46" x14ac:dyDescent="0.25">
      <c r="B15" s="233" t="s">
        <v>296</v>
      </c>
      <c r="C15" s="228">
        <v>105</v>
      </c>
      <c r="D15" s="230">
        <v>93</v>
      </c>
      <c r="E15" s="230">
        <v>169</v>
      </c>
      <c r="F15" s="234">
        <v>367</v>
      </c>
      <c r="H15" s="233" t="s">
        <v>296</v>
      </c>
      <c r="I15" s="228">
        <v>8653.375982139838</v>
      </c>
      <c r="J15" s="230">
        <v>18221.399098018963</v>
      </c>
      <c r="K15" s="230">
        <v>20737.197141332726</v>
      </c>
      <c r="L15" s="234">
        <v>47611.972221491524</v>
      </c>
      <c r="M15" s="230"/>
      <c r="N15" s="233" t="s">
        <v>296</v>
      </c>
      <c r="O15" s="228">
        <v>8653.375982139838</v>
      </c>
      <c r="P15" s="230">
        <v>18221.399098018963</v>
      </c>
      <c r="Q15" s="230">
        <v>20737.197141332726</v>
      </c>
      <c r="R15" s="234">
        <f t="shared" si="0"/>
        <v>47611.972221491524</v>
      </c>
      <c r="V15" s="233" t="s">
        <v>296</v>
      </c>
      <c r="W15" s="228">
        <v>0</v>
      </c>
      <c r="X15" s="230">
        <v>1</v>
      </c>
      <c r="Y15" s="230">
        <v>2</v>
      </c>
      <c r="Z15" s="234">
        <v>3</v>
      </c>
      <c r="AB15" s="233" t="s">
        <v>296</v>
      </c>
      <c r="AC15" s="228">
        <v>0</v>
      </c>
      <c r="AD15" s="230">
        <v>22.950809930586619</v>
      </c>
      <c r="AE15" s="230">
        <v>3970.2584636357815</v>
      </c>
      <c r="AF15" s="234">
        <v>3993.2092735663682</v>
      </c>
      <c r="AJ15" s="233" t="s">
        <v>296</v>
      </c>
      <c r="AK15" s="228">
        <v>0</v>
      </c>
      <c r="AL15" s="230">
        <v>1</v>
      </c>
      <c r="AM15" s="230">
        <v>3</v>
      </c>
      <c r="AN15" s="234">
        <v>4</v>
      </c>
      <c r="AP15" s="233" t="s">
        <v>296</v>
      </c>
      <c r="AQ15" s="228">
        <v>0</v>
      </c>
      <c r="AR15" s="230">
        <v>22.950809930586619</v>
      </c>
      <c r="AS15" s="230">
        <v>3984.403295361667</v>
      </c>
      <c r="AT15" s="234">
        <v>4007.3541052922537</v>
      </c>
    </row>
    <row r="16" spans="2:46" x14ac:dyDescent="0.25">
      <c r="B16" s="233" t="s">
        <v>297</v>
      </c>
      <c r="C16" s="228">
        <v>44</v>
      </c>
      <c r="D16" s="230">
        <v>35</v>
      </c>
      <c r="E16" s="230">
        <v>65</v>
      </c>
      <c r="F16" s="234">
        <v>144</v>
      </c>
      <c r="H16" s="233" t="s">
        <v>297</v>
      </c>
      <c r="I16" s="228">
        <v>8396.4667297825636</v>
      </c>
      <c r="J16" s="230">
        <v>4442.0473397427832</v>
      </c>
      <c r="K16" s="230">
        <v>13809.702180655277</v>
      </c>
      <c r="L16" s="234">
        <v>26648.216250180623</v>
      </c>
      <c r="M16" s="230"/>
      <c r="N16" s="233" t="s">
        <v>297</v>
      </c>
      <c r="O16" s="228">
        <v>8396.4667297825636</v>
      </c>
      <c r="P16" s="230">
        <v>4442.0473397427832</v>
      </c>
      <c r="Q16" s="230">
        <v>13809.702180655277</v>
      </c>
      <c r="R16" s="234">
        <f t="shared" si="0"/>
        <v>26648.216250180623</v>
      </c>
      <c r="V16" s="233" t="s">
        <v>297</v>
      </c>
      <c r="W16" s="228">
        <v>0</v>
      </c>
      <c r="X16" s="230">
        <v>0</v>
      </c>
      <c r="Y16" s="230">
        <v>2</v>
      </c>
      <c r="Z16" s="234">
        <v>2</v>
      </c>
      <c r="AB16" s="233" t="s">
        <v>297</v>
      </c>
      <c r="AC16" s="228">
        <v>0</v>
      </c>
      <c r="AD16" s="230">
        <v>0</v>
      </c>
      <c r="AE16" s="230">
        <v>45.392582320491229</v>
      </c>
      <c r="AF16" s="234">
        <v>45.392582320491229</v>
      </c>
      <c r="AJ16" s="233" t="s">
        <v>297</v>
      </c>
      <c r="AK16" s="228">
        <v>0</v>
      </c>
      <c r="AL16" s="230">
        <v>0</v>
      </c>
      <c r="AM16" s="230">
        <v>4</v>
      </c>
      <c r="AN16" s="234">
        <v>4</v>
      </c>
      <c r="AP16" s="233" t="s">
        <v>297</v>
      </c>
      <c r="AQ16" s="228">
        <v>0</v>
      </c>
      <c r="AR16" s="230">
        <v>0</v>
      </c>
      <c r="AS16" s="230">
        <v>151.45717483188884</v>
      </c>
      <c r="AT16" s="234">
        <v>151.45717483188884</v>
      </c>
    </row>
    <row r="17" spans="2:46" x14ac:dyDescent="0.25">
      <c r="B17" s="233" t="s">
        <v>298</v>
      </c>
      <c r="C17" s="228">
        <v>1</v>
      </c>
      <c r="D17" s="230">
        <v>1</v>
      </c>
      <c r="E17" s="230">
        <v>5</v>
      </c>
      <c r="F17" s="234">
        <v>7</v>
      </c>
      <c r="H17" s="233" t="s">
        <v>298</v>
      </c>
      <c r="I17" s="242">
        <v>8.37838897845592</v>
      </c>
      <c r="J17" s="230">
        <v>22.953106447704769</v>
      </c>
      <c r="K17" s="230">
        <v>147.17948316097286</v>
      </c>
      <c r="L17" s="234">
        <v>178.51097858713356</v>
      </c>
      <c r="M17" s="230"/>
      <c r="N17" s="233" t="s">
        <v>298</v>
      </c>
      <c r="O17" s="242">
        <v>0</v>
      </c>
      <c r="P17" s="230">
        <v>22.953106447704769</v>
      </c>
      <c r="Q17" s="230">
        <v>147.17948316097286</v>
      </c>
      <c r="R17" s="234">
        <f t="shared" si="0"/>
        <v>170.13258960867762</v>
      </c>
      <c r="V17" s="233" t="s">
        <v>298</v>
      </c>
      <c r="W17" s="228">
        <v>0</v>
      </c>
      <c r="X17" s="230">
        <v>0</v>
      </c>
      <c r="Y17" s="230">
        <v>0</v>
      </c>
      <c r="Z17" s="234">
        <v>0</v>
      </c>
      <c r="AB17" s="233" t="s">
        <v>298</v>
      </c>
      <c r="AC17" s="228">
        <v>0</v>
      </c>
      <c r="AD17" s="230">
        <v>0</v>
      </c>
      <c r="AE17" s="230">
        <v>0</v>
      </c>
      <c r="AF17" s="234">
        <v>0</v>
      </c>
      <c r="AJ17" s="233" t="s">
        <v>298</v>
      </c>
      <c r="AK17" s="228">
        <v>0</v>
      </c>
      <c r="AL17" s="230">
        <v>0</v>
      </c>
      <c r="AM17" s="230">
        <v>0</v>
      </c>
      <c r="AN17" s="234">
        <v>0</v>
      </c>
      <c r="AP17" s="233" t="s">
        <v>298</v>
      </c>
      <c r="AQ17" s="228">
        <v>0</v>
      </c>
      <c r="AR17" s="230">
        <v>0</v>
      </c>
      <c r="AS17" s="230">
        <v>0</v>
      </c>
      <c r="AT17" s="234">
        <v>0</v>
      </c>
    </row>
    <row r="18" spans="2:46" x14ac:dyDescent="0.25">
      <c r="B18" s="233" t="s">
        <v>317</v>
      </c>
      <c r="C18" s="228">
        <v>3</v>
      </c>
      <c r="D18" s="230">
        <v>1</v>
      </c>
      <c r="E18" s="230">
        <v>4</v>
      </c>
      <c r="F18" s="234">
        <v>8</v>
      </c>
      <c r="H18" s="233" t="s">
        <v>317</v>
      </c>
      <c r="I18" s="242">
        <v>781.04210043756268</v>
      </c>
      <c r="J18" s="230">
        <v>315.73645470059705</v>
      </c>
      <c r="K18" s="230">
        <v>741.18157101180668</v>
      </c>
      <c r="L18" s="234">
        <v>1837.9601261499665</v>
      </c>
      <c r="M18" s="230"/>
      <c r="N18" s="233" t="s">
        <v>317</v>
      </c>
      <c r="O18" s="242">
        <v>0</v>
      </c>
      <c r="P18" s="230">
        <v>315.73645470059705</v>
      </c>
      <c r="Q18" s="230">
        <v>741.18157101180668</v>
      </c>
      <c r="R18" s="234">
        <f t="shared" si="0"/>
        <v>1056.9180257124037</v>
      </c>
      <c r="V18" s="233" t="s">
        <v>317</v>
      </c>
      <c r="W18" s="228">
        <v>0</v>
      </c>
      <c r="X18" s="230">
        <v>0</v>
      </c>
      <c r="Y18" s="230">
        <v>0</v>
      </c>
      <c r="Z18" s="234">
        <v>0</v>
      </c>
      <c r="AB18" s="233" t="s">
        <v>317</v>
      </c>
      <c r="AC18" s="228">
        <v>0</v>
      </c>
      <c r="AD18" s="230">
        <v>0</v>
      </c>
      <c r="AE18" s="230">
        <v>0</v>
      </c>
      <c r="AF18" s="234">
        <v>0</v>
      </c>
      <c r="AJ18" s="233" t="s">
        <v>317</v>
      </c>
      <c r="AK18" s="228">
        <v>1</v>
      </c>
      <c r="AL18" s="230">
        <v>0</v>
      </c>
      <c r="AM18" s="230">
        <v>0</v>
      </c>
      <c r="AN18" s="234">
        <v>1</v>
      </c>
      <c r="AP18" s="233" t="s">
        <v>317</v>
      </c>
      <c r="AQ18" s="228">
        <v>443.94433782522736</v>
      </c>
      <c r="AR18" s="230">
        <v>0</v>
      </c>
      <c r="AS18" s="230">
        <v>0</v>
      </c>
      <c r="AT18" s="234">
        <v>443.94433782522736</v>
      </c>
    </row>
    <row r="19" spans="2:46" x14ac:dyDescent="0.25">
      <c r="B19" s="233" t="s">
        <v>311</v>
      </c>
      <c r="C19" s="228">
        <v>0</v>
      </c>
      <c r="D19" s="230">
        <v>0</v>
      </c>
      <c r="E19" s="230">
        <v>14</v>
      </c>
      <c r="F19" s="234">
        <v>14</v>
      </c>
      <c r="H19" s="233" t="s">
        <v>311</v>
      </c>
      <c r="I19" s="242">
        <v>0</v>
      </c>
      <c r="J19" s="230">
        <v>0</v>
      </c>
      <c r="K19" s="230">
        <v>748.38024945909854</v>
      </c>
      <c r="L19" s="234">
        <v>748.38024945909854</v>
      </c>
      <c r="M19" s="230"/>
      <c r="N19" s="233" t="s">
        <v>311</v>
      </c>
      <c r="O19" s="242">
        <v>0</v>
      </c>
      <c r="P19" s="230">
        <v>0</v>
      </c>
      <c r="Q19" s="230">
        <v>748.38024945909854</v>
      </c>
      <c r="R19" s="234">
        <f>SUM(O19:Q19)</f>
        <v>748.38024945909854</v>
      </c>
      <c r="V19" s="233" t="s">
        <v>311</v>
      </c>
      <c r="W19" s="228">
        <v>0</v>
      </c>
      <c r="X19" s="230">
        <v>0</v>
      </c>
      <c r="Y19" s="230">
        <v>8</v>
      </c>
      <c r="Z19" s="234">
        <v>8</v>
      </c>
      <c r="AB19" s="233" t="s">
        <v>311</v>
      </c>
      <c r="AC19" s="228">
        <v>0</v>
      </c>
      <c r="AD19" s="230">
        <v>0</v>
      </c>
      <c r="AE19" s="230">
        <v>336.2149183085487</v>
      </c>
      <c r="AF19" s="234">
        <v>336.2149183085487</v>
      </c>
      <c r="AJ19" s="233" t="s">
        <v>311</v>
      </c>
      <c r="AK19" s="228">
        <v>0</v>
      </c>
      <c r="AL19" s="230">
        <v>0</v>
      </c>
      <c r="AM19" s="230">
        <v>8</v>
      </c>
      <c r="AN19" s="234">
        <v>8</v>
      </c>
      <c r="AP19" s="233" t="s">
        <v>311</v>
      </c>
      <c r="AQ19" s="228">
        <v>0</v>
      </c>
      <c r="AR19" s="230">
        <v>0</v>
      </c>
      <c r="AS19" s="230">
        <v>336.2149183085487</v>
      </c>
      <c r="AT19" s="234">
        <v>336.2149183085487</v>
      </c>
    </row>
    <row r="20" spans="2:46" x14ac:dyDescent="0.25">
      <c r="B20" s="233" t="s">
        <v>299</v>
      </c>
      <c r="C20" s="228">
        <v>0</v>
      </c>
      <c r="D20" s="230">
        <v>0</v>
      </c>
      <c r="E20" s="230">
        <v>5</v>
      </c>
      <c r="F20" s="234">
        <v>5</v>
      </c>
      <c r="H20" s="233" t="s">
        <v>299</v>
      </c>
      <c r="I20" s="242">
        <v>0</v>
      </c>
      <c r="J20" s="230">
        <v>0</v>
      </c>
      <c r="K20" s="230">
        <v>1067.7793770498074</v>
      </c>
      <c r="L20" s="234">
        <v>1067.7793770498074</v>
      </c>
      <c r="M20" s="230"/>
      <c r="N20" s="233" t="s">
        <v>299</v>
      </c>
      <c r="O20" s="242">
        <v>0</v>
      </c>
      <c r="P20" s="230">
        <v>0</v>
      </c>
      <c r="Q20" s="230">
        <v>1067.7793770498074</v>
      </c>
      <c r="R20" s="234">
        <f t="shared" si="0"/>
        <v>1067.7793770498074</v>
      </c>
      <c r="V20" s="233" t="s">
        <v>299</v>
      </c>
      <c r="W20" s="228">
        <v>0</v>
      </c>
      <c r="X20" s="230">
        <v>0</v>
      </c>
      <c r="Y20" s="230">
        <v>0</v>
      </c>
      <c r="Z20" s="234">
        <v>0</v>
      </c>
      <c r="AB20" s="233" t="s">
        <v>299</v>
      </c>
      <c r="AC20" s="228">
        <v>0</v>
      </c>
      <c r="AD20" s="230">
        <v>0</v>
      </c>
      <c r="AE20" s="230">
        <v>0</v>
      </c>
      <c r="AF20" s="234">
        <v>0</v>
      </c>
      <c r="AJ20" s="233" t="s">
        <v>299</v>
      </c>
      <c r="AK20" s="228">
        <v>0</v>
      </c>
      <c r="AL20" s="230">
        <v>0</v>
      </c>
      <c r="AM20" s="230">
        <v>2</v>
      </c>
      <c r="AN20" s="234">
        <v>2</v>
      </c>
      <c r="AP20" s="233" t="s">
        <v>299</v>
      </c>
      <c r="AQ20" s="228">
        <v>0</v>
      </c>
      <c r="AR20" s="230">
        <v>0</v>
      </c>
      <c r="AS20" s="230">
        <v>920.89427909405379</v>
      </c>
      <c r="AT20" s="234">
        <v>920.89427909405379</v>
      </c>
    </row>
    <row r="21" spans="2:46" x14ac:dyDescent="0.25">
      <c r="B21" s="233" t="s">
        <v>300</v>
      </c>
      <c r="C21" s="228">
        <v>6</v>
      </c>
      <c r="D21" s="230">
        <v>29</v>
      </c>
      <c r="E21" s="230">
        <v>130</v>
      </c>
      <c r="F21" s="234">
        <v>165</v>
      </c>
      <c r="H21" s="233" t="s">
        <v>300</v>
      </c>
      <c r="I21" s="242">
        <v>322.11109880024617</v>
      </c>
      <c r="J21" s="230">
        <v>15534.866656904394</v>
      </c>
      <c r="K21" s="230">
        <v>33804.280275161247</v>
      </c>
      <c r="L21" s="234">
        <v>49661.258030865887</v>
      </c>
      <c r="M21" s="230"/>
      <c r="N21" s="233" t="s">
        <v>300</v>
      </c>
      <c r="O21" s="242">
        <v>0</v>
      </c>
      <c r="P21" s="230">
        <v>15534.866656904394</v>
      </c>
      <c r="Q21" s="230">
        <v>33804.280275161247</v>
      </c>
      <c r="R21" s="234">
        <f t="shared" si="0"/>
        <v>49339.14693206564</v>
      </c>
      <c r="V21" s="233" t="s">
        <v>300</v>
      </c>
      <c r="W21" s="228">
        <v>0</v>
      </c>
      <c r="X21" s="230">
        <v>0</v>
      </c>
      <c r="Y21" s="230">
        <v>8</v>
      </c>
      <c r="Z21" s="234">
        <v>8</v>
      </c>
      <c r="AB21" s="233" t="s">
        <v>300</v>
      </c>
      <c r="AC21" s="228">
        <v>0</v>
      </c>
      <c r="AD21" s="230">
        <v>0</v>
      </c>
      <c r="AE21" s="230">
        <v>1045.783850208187</v>
      </c>
      <c r="AF21" s="234">
        <v>1045.783850208187</v>
      </c>
      <c r="AJ21" s="233" t="s">
        <v>300</v>
      </c>
      <c r="AK21" s="228">
        <v>0</v>
      </c>
      <c r="AL21" s="230">
        <v>0</v>
      </c>
      <c r="AM21" s="230">
        <v>8</v>
      </c>
      <c r="AN21" s="234">
        <v>8</v>
      </c>
      <c r="AP21" s="233" t="s">
        <v>300</v>
      </c>
      <c r="AQ21" s="228">
        <v>0</v>
      </c>
      <c r="AR21" s="230">
        <v>0</v>
      </c>
      <c r="AS21" s="230">
        <v>1045.783850208187</v>
      </c>
      <c r="AT21" s="234">
        <v>1045.783850208187</v>
      </c>
    </row>
    <row r="22" spans="2:46" x14ac:dyDescent="0.25">
      <c r="B22" s="233" t="s">
        <v>301</v>
      </c>
      <c r="C22" s="228">
        <v>3</v>
      </c>
      <c r="D22" s="230">
        <v>14</v>
      </c>
      <c r="E22" s="230">
        <v>46</v>
      </c>
      <c r="F22" s="234">
        <v>63</v>
      </c>
      <c r="H22" s="233" t="s">
        <v>301</v>
      </c>
      <c r="I22" s="242">
        <v>137.66690106414688</v>
      </c>
      <c r="J22" s="230">
        <v>1653.583096856968</v>
      </c>
      <c r="K22" s="230">
        <v>15952.786850367049</v>
      </c>
      <c r="L22" s="234">
        <v>17744.036848288164</v>
      </c>
      <c r="M22" s="230"/>
      <c r="N22" s="233" t="s">
        <v>301</v>
      </c>
      <c r="O22" s="242">
        <v>0</v>
      </c>
      <c r="P22" s="230">
        <v>1653.583096856968</v>
      </c>
      <c r="Q22" s="230">
        <v>15952.786850367049</v>
      </c>
      <c r="R22" s="234">
        <f t="shared" si="0"/>
        <v>17606.369947224019</v>
      </c>
      <c r="V22" s="233" t="s">
        <v>301</v>
      </c>
      <c r="W22" s="228">
        <v>0</v>
      </c>
      <c r="X22" s="230">
        <v>0</v>
      </c>
      <c r="Y22" s="230">
        <v>3</v>
      </c>
      <c r="Z22" s="234">
        <v>3</v>
      </c>
      <c r="AB22" s="233" t="s">
        <v>301</v>
      </c>
      <c r="AC22" s="228">
        <v>0</v>
      </c>
      <c r="AD22" s="230">
        <v>0</v>
      </c>
      <c r="AE22" s="230">
        <v>77.615649332186592</v>
      </c>
      <c r="AF22" s="234">
        <v>77.615649332186592</v>
      </c>
      <c r="AJ22" s="233" t="s">
        <v>301</v>
      </c>
      <c r="AK22" s="228">
        <v>0</v>
      </c>
      <c r="AL22" s="230">
        <v>0</v>
      </c>
      <c r="AM22" s="230">
        <v>6</v>
      </c>
      <c r="AN22" s="234">
        <v>6</v>
      </c>
      <c r="AP22" s="233" t="s">
        <v>301</v>
      </c>
      <c r="AQ22" s="228">
        <v>0</v>
      </c>
      <c r="AR22" s="230">
        <v>0</v>
      </c>
      <c r="AS22" s="230">
        <v>5500.1780052913</v>
      </c>
      <c r="AT22" s="234">
        <v>5500.1780052913</v>
      </c>
    </row>
    <row r="23" spans="2:46" x14ac:dyDescent="0.25">
      <c r="B23" s="233" t="s">
        <v>36</v>
      </c>
      <c r="C23" s="228">
        <v>1</v>
      </c>
      <c r="D23" s="230">
        <v>1</v>
      </c>
      <c r="E23" s="230">
        <v>3</v>
      </c>
      <c r="F23" s="234">
        <v>5</v>
      </c>
      <c r="H23" s="233" t="s">
        <v>36</v>
      </c>
      <c r="I23" s="228">
        <v>95.345009500938488</v>
      </c>
      <c r="J23" s="230">
        <v>64.330406956205863</v>
      </c>
      <c r="K23" s="230">
        <v>838.53739471154029</v>
      </c>
      <c r="L23" s="234">
        <v>998.21281116868465</v>
      </c>
      <c r="M23" s="230"/>
      <c r="N23" s="233" t="s">
        <v>36</v>
      </c>
      <c r="O23" s="228">
        <v>95.345009500938488</v>
      </c>
      <c r="P23" s="230">
        <v>64.330406956205863</v>
      </c>
      <c r="Q23" s="230">
        <v>838.53739471154029</v>
      </c>
      <c r="R23" s="234">
        <f t="shared" si="0"/>
        <v>998.21281116868465</v>
      </c>
      <c r="V23" s="233" t="s">
        <v>36</v>
      </c>
      <c r="W23" s="228">
        <v>0</v>
      </c>
      <c r="X23" s="230">
        <v>0</v>
      </c>
      <c r="Y23" s="230">
        <v>0</v>
      </c>
      <c r="Z23" s="234">
        <v>0</v>
      </c>
      <c r="AB23" s="233" t="s">
        <v>36</v>
      </c>
      <c r="AC23" s="228">
        <v>0</v>
      </c>
      <c r="AD23" s="230">
        <v>0</v>
      </c>
      <c r="AE23" s="230">
        <v>0</v>
      </c>
      <c r="AF23" s="234">
        <v>0</v>
      </c>
      <c r="AJ23" s="233" t="s">
        <v>36</v>
      </c>
      <c r="AK23" s="228">
        <v>0</v>
      </c>
      <c r="AL23" s="230">
        <v>0</v>
      </c>
      <c r="AM23" s="230">
        <v>0</v>
      </c>
      <c r="AN23" s="234">
        <v>0</v>
      </c>
      <c r="AP23" s="233" t="s">
        <v>36</v>
      </c>
      <c r="AQ23" s="228">
        <v>0</v>
      </c>
      <c r="AR23" s="230">
        <v>0</v>
      </c>
      <c r="AS23" s="230">
        <v>0</v>
      </c>
      <c r="AT23" s="234">
        <v>0</v>
      </c>
    </row>
    <row r="24" spans="2:46" x14ac:dyDescent="0.25">
      <c r="B24" s="233" t="s">
        <v>302</v>
      </c>
      <c r="C24" s="228">
        <v>35</v>
      </c>
      <c r="D24" s="230">
        <v>15</v>
      </c>
      <c r="E24" s="230">
        <v>29</v>
      </c>
      <c r="F24" s="234">
        <v>79</v>
      </c>
      <c r="H24" s="233" t="s">
        <v>302</v>
      </c>
      <c r="I24" s="228">
        <v>4429.5332020937713</v>
      </c>
      <c r="J24" s="230">
        <v>1518.6086245394881</v>
      </c>
      <c r="K24" s="230">
        <v>8199.0449003755275</v>
      </c>
      <c r="L24" s="234">
        <v>14147.186727008786</v>
      </c>
      <c r="M24" s="230"/>
      <c r="N24" s="233" t="s">
        <v>302</v>
      </c>
      <c r="O24" s="228">
        <v>4429.5332020937713</v>
      </c>
      <c r="P24" s="230">
        <v>1518.6086245394881</v>
      </c>
      <c r="Q24" s="230">
        <v>8199.0449003755275</v>
      </c>
      <c r="R24" s="234">
        <f t="shared" si="0"/>
        <v>14147.186727008786</v>
      </c>
      <c r="V24" s="233" t="s">
        <v>302</v>
      </c>
      <c r="W24" s="228">
        <v>0</v>
      </c>
      <c r="X24" s="230">
        <v>0</v>
      </c>
      <c r="Y24" s="230">
        <v>2</v>
      </c>
      <c r="Z24" s="234">
        <v>2</v>
      </c>
      <c r="AB24" s="233" t="s">
        <v>302</v>
      </c>
      <c r="AC24" s="228">
        <v>0</v>
      </c>
      <c r="AD24" s="230">
        <v>0</v>
      </c>
      <c r="AE24" s="230">
        <v>4714.5146312284296</v>
      </c>
      <c r="AF24" s="234">
        <v>4714.5146312284296</v>
      </c>
      <c r="AJ24" s="233" t="s">
        <v>302</v>
      </c>
      <c r="AK24" s="228">
        <v>0</v>
      </c>
      <c r="AL24" s="230">
        <v>0</v>
      </c>
      <c r="AM24" s="230">
        <v>2</v>
      </c>
      <c r="AN24" s="234">
        <v>2</v>
      </c>
      <c r="AP24" s="233" t="s">
        <v>302</v>
      </c>
      <c r="AQ24" s="228">
        <v>0</v>
      </c>
      <c r="AR24" s="230">
        <v>0</v>
      </c>
      <c r="AS24" s="230">
        <v>4714.5146312284296</v>
      </c>
      <c r="AT24" s="234">
        <v>4714.5146312284296</v>
      </c>
    </row>
    <row r="25" spans="2:46" x14ac:dyDescent="0.25">
      <c r="B25" s="233" t="s">
        <v>303</v>
      </c>
      <c r="C25" s="228">
        <v>2</v>
      </c>
      <c r="D25" s="230">
        <v>2</v>
      </c>
      <c r="E25" s="230">
        <v>2</v>
      </c>
      <c r="F25" s="234">
        <v>6</v>
      </c>
      <c r="H25" s="233" t="s">
        <v>303</v>
      </c>
      <c r="I25" s="228">
        <v>955.70299401868158</v>
      </c>
      <c r="J25" s="230">
        <v>201.44461835462724</v>
      </c>
      <c r="K25" s="230">
        <v>400.96007362974626</v>
      </c>
      <c r="L25" s="234">
        <v>1558.1076860030553</v>
      </c>
      <c r="M25" s="230"/>
      <c r="N25" s="233" t="s">
        <v>303</v>
      </c>
      <c r="O25" s="228">
        <v>955.70299401868158</v>
      </c>
      <c r="P25" s="230">
        <v>201.44461835462724</v>
      </c>
      <c r="Q25" s="230">
        <v>400.96007362974626</v>
      </c>
      <c r="R25" s="234">
        <f t="shared" si="0"/>
        <v>1558.1076860030553</v>
      </c>
      <c r="V25" s="233" t="s">
        <v>303</v>
      </c>
      <c r="W25" s="228">
        <v>0</v>
      </c>
      <c r="X25" s="230">
        <v>0</v>
      </c>
      <c r="Y25" s="230">
        <v>0</v>
      </c>
      <c r="Z25" s="234">
        <v>0</v>
      </c>
      <c r="AB25" s="233" t="s">
        <v>303</v>
      </c>
      <c r="AC25" s="228">
        <v>0</v>
      </c>
      <c r="AD25" s="230">
        <v>0</v>
      </c>
      <c r="AE25" s="230">
        <v>0</v>
      </c>
      <c r="AF25" s="234">
        <v>0</v>
      </c>
      <c r="AJ25" s="233" t="s">
        <v>303</v>
      </c>
      <c r="AK25" s="228">
        <v>0</v>
      </c>
      <c r="AL25" s="230">
        <v>0</v>
      </c>
      <c r="AM25" s="230">
        <v>0</v>
      </c>
      <c r="AN25" s="234">
        <v>0</v>
      </c>
      <c r="AP25" s="233" t="s">
        <v>303</v>
      </c>
      <c r="AQ25" s="228">
        <v>0</v>
      </c>
      <c r="AR25" s="230">
        <v>0</v>
      </c>
      <c r="AS25" s="230">
        <v>0</v>
      </c>
      <c r="AT25" s="234">
        <v>0</v>
      </c>
    </row>
    <row r="26" spans="2:46" x14ac:dyDescent="0.25">
      <c r="B26" s="236" t="s">
        <v>1</v>
      </c>
      <c r="C26" s="237">
        <v>940</v>
      </c>
      <c r="D26" s="238">
        <v>1118</v>
      </c>
      <c r="E26" s="238">
        <v>5291</v>
      </c>
      <c r="F26" s="239">
        <v>7349</v>
      </c>
      <c r="H26" s="236" t="s">
        <v>1</v>
      </c>
      <c r="I26" s="237">
        <v>142638.44198622965</v>
      </c>
      <c r="J26" s="238">
        <v>242809.21361009032</v>
      </c>
      <c r="K26" s="238">
        <v>1674123.1542120255</v>
      </c>
      <c r="L26" s="239">
        <v>2059570.8098083453</v>
      </c>
      <c r="M26" s="230"/>
      <c r="N26" s="236" t="s">
        <v>1</v>
      </c>
      <c r="O26" s="237">
        <f>SUM(O6:O25)</f>
        <v>138021.48396151169</v>
      </c>
      <c r="P26" s="238">
        <f>SUM(P6:P25)</f>
        <v>242809.21361009032</v>
      </c>
      <c r="Q26" s="238">
        <f>SUM(Q6:Q25)</f>
        <v>1674123.1542120252</v>
      </c>
      <c r="R26" s="239">
        <f>SUM(R6:R25)</f>
        <v>2054953.8517836279</v>
      </c>
      <c r="V26" s="236" t="s">
        <v>1</v>
      </c>
      <c r="W26" s="237">
        <v>0</v>
      </c>
      <c r="X26" s="238">
        <v>11</v>
      </c>
      <c r="Y26" s="238">
        <v>549</v>
      </c>
      <c r="Z26" s="239">
        <v>560</v>
      </c>
      <c r="AB26" s="236" t="s">
        <v>1</v>
      </c>
      <c r="AC26" s="237">
        <v>0</v>
      </c>
      <c r="AD26" s="238">
        <v>3233.764275887273</v>
      </c>
      <c r="AE26" s="238">
        <v>169320.35804878833</v>
      </c>
      <c r="AF26" s="239">
        <v>172554.12232467561</v>
      </c>
      <c r="AJ26" s="236" t="s">
        <v>1</v>
      </c>
      <c r="AK26" s="237">
        <v>1</v>
      </c>
      <c r="AL26" s="238">
        <v>48</v>
      </c>
      <c r="AM26" s="238">
        <v>891</v>
      </c>
      <c r="AN26" s="239">
        <v>940</v>
      </c>
      <c r="AP26" s="236" t="s">
        <v>1</v>
      </c>
      <c r="AQ26" s="237">
        <v>443.94433782522736</v>
      </c>
      <c r="AR26" s="238">
        <v>34994.710380827972</v>
      </c>
      <c r="AS26" s="238">
        <v>319250.67002848454</v>
      </c>
      <c r="AT26" s="239">
        <v>354689.32474713773</v>
      </c>
    </row>
    <row r="27" spans="2:46" x14ac:dyDescent="0.25">
      <c r="B27" s="228"/>
      <c r="C27" s="230"/>
      <c r="D27" s="230"/>
      <c r="E27" s="230"/>
      <c r="F27" s="230"/>
      <c r="H27" s="228"/>
      <c r="I27" s="230"/>
      <c r="J27" s="230"/>
      <c r="K27" s="230"/>
      <c r="L27" s="230"/>
      <c r="M27" s="230"/>
      <c r="N27" s="228"/>
      <c r="O27" s="230"/>
      <c r="P27" s="230"/>
      <c r="Q27" s="230"/>
      <c r="R27" s="230"/>
      <c r="V27" s="228"/>
      <c r="W27" s="230"/>
      <c r="X27" s="230"/>
      <c r="Y27" s="230"/>
      <c r="Z27" s="230"/>
      <c r="AB27" s="228"/>
      <c r="AC27" s="230"/>
      <c r="AD27" s="230"/>
      <c r="AE27" s="230"/>
      <c r="AF27" s="230"/>
      <c r="AJ27" s="228"/>
      <c r="AK27" s="230"/>
      <c r="AL27" s="230"/>
      <c r="AM27" s="230"/>
      <c r="AN27" s="230"/>
      <c r="AP27" s="228"/>
      <c r="AQ27" s="230"/>
      <c r="AR27" s="230"/>
      <c r="AS27" s="230"/>
      <c r="AT27" s="230"/>
    </row>
    <row r="28" spans="2:46" x14ac:dyDescent="0.25">
      <c r="B28" s="228" t="s">
        <v>23</v>
      </c>
      <c r="C28" s="230"/>
      <c r="D28" s="230"/>
      <c r="E28" s="230"/>
      <c r="F28" s="230"/>
      <c r="H28" s="228" t="s">
        <v>23</v>
      </c>
      <c r="I28" s="230"/>
      <c r="J28" s="230"/>
      <c r="K28" s="230"/>
      <c r="L28" s="230"/>
      <c r="M28" s="230"/>
      <c r="N28" s="228" t="s">
        <v>23</v>
      </c>
      <c r="O28" s="230"/>
      <c r="P28" s="230"/>
      <c r="Q28" s="230"/>
      <c r="R28" s="230"/>
      <c r="V28" s="228" t="s">
        <v>23</v>
      </c>
      <c r="W28" s="230"/>
      <c r="X28" s="230"/>
      <c r="Y28" s="230"/>
      <c r="Z28" s="230"/>
      <c r="AB28" s="228" t="s">
        <v>23</v>
      </c>
      <c r="AC28" s="230"/>
      <c r="AD28" s="230"/>
      <c r="AE28" s="230"/>
      <c r="AF28" s="230"/>
      <c r="AJ28" s="228" t="s">
        <v>23</v>
      </c>
      <c r="AK28" s="230"/>
      <c r="AL28" s="230"/>
      <c r="AM28" s="230"/>
      <c r="AN28" s="230"/>
      <c r="AP28" s="228" t="s">
        <v>23</v>
      </c>
      <c r="AQ28" s="230"/>
      <c r="AR28" s="230"/>
      <c r="AS28" s="230"/>
      <c r="AT28" s="230"/>
    </row>
    <row r="29" spans="2:46" x14ac:dyDescent="0.25">
      <c r="B29" s="236" t="s">
        <v>290</v>
      </c>
      <c r="C29" s="237" t="s">
        <v>7</v>
      </c>
      <c r="D29" s="238" t="s">
        <v>8</v>
      </c>
      <c r="E29" s="238" t="s">
        <v>9</v>
      </c>
      <c r="F29" s="239" t="s">
        <v>1</v>
      </c>
      <c r="H29" s="236" t="s">
        <v>290</v>
      </c>
      <c r="I29" s="237" t="s">
        <v>7</v>
      </c>
      <c r="J29" s="238" t="s">
        <v>8</v>
      </c>
      <c r="K29" s="238" t="s">
        <v>9</v>
      </c>
      <c r="L29" s="239" t="s">
        <v>1</v>
      </c>
      <c r="M29" s="230"/>
      <c r="N29" s="236" t="s">
        <v>290</v>
      </c>
      <c r="O29" s="237" t="s">
        <v>7</v>
      </c>
      <c r="P29" s="238" t="s">
        <v>8</v>
      </c>
      <c r="Q29" s="238" t="s">
        <v>9</v>
      </c>
      <c r="R29" s="239" t="s">
        <v>1</v>
      </c>
      <c r="V29" s="236" t="s">
        <v>290</v>
      </c>
      <c r="W29" s="237" t="s">
        <v>7</v>
      </c>
      <c r="X29" s="238" t="s">
        <v>8</v>
      </c>
      <c r="Y29" s="238" t="s">
        <v>9</v>
      </c>
      <c r="Z29" s="239" t="s">
        <v>1</v>
      </c>
      <c r="AB29" s="236" t="s">
        <v>290</v>
      </c>
      <c r="AC29" s="237" t="s">
        <v>7</v>
      </c>
      <c r="AD29" s="238" t="s">
        <v>8</v>
      </c>
      <c r="AE29" s="238" t="s">
        <v>9</v>
      </c>
      <c r="AF29" s="239" t="s">
        <v>1</v>
      </c>
      <c r="AJ29" s="236" t="s">
        <v>290</v>
      </c>
      <c r="AK29" s="237" t="s">
        <v>7</v>
      </c>
      <c r="AL29" s="238" t="s">
        <v>8</v>
      </c>
      <c r="AM29" s="238" t="s">
        <v>9</v>
      </c>
      <c r="AN29" s="239" t="s">
        <v>1</v>
      </c>
      <c r="AP29" s="236" t="s">
        <v>290</v>
      </c>
      <c r="AQ29" s="237" t="s">
        <v>7</v>
      </c>
      <c r="AR29" s="238" t="s">
        <v>8</v>
      </c>
      <c r="AS29" s="238" t="s">
        <v>9</v>
      </c>
      <c r="AT29" s="239" t="s">
        <v>1</v>
      </c>
    </row>
    <row r="30" spans="2:46" x14ac:dyDescent="0.25">
      <c r="B30" s="233" t="s">
        <v>291</v>
      </c>
      <c r="C30" s="228">
        <v>0</v>
      </c>
      <c r="D30" s="230">
        <v>2</v>
      </c>
      <c r="E30" s="230">
        <v>34</v>
      </c>
      <c r="F30" s="234">
        <v>36</v>
      </c>
      <c r="H30" s="233" t="s">
        <v>291</v>
      </c>
      <c r="I30" s="242">
        <v>0</v>
      </c>
      <c r="J30" s="230">
        <v>60.234171354933565</v>
      </c>
      <c r="K30" s="230">
        <v>10502.686726097469</v>
      </c>
      <c r="L30" s="234">
        <v>10562.920897452403</v>
      </c>
      <c r="M30" s="230"/>
      <c r="N30" s="233" t="s">
        <v>291</v>
      </c>
      <c r="O30" s="242">
        <v>0</v>
      </c>
      <c r="P30" s="230">
        <v>60.234171354933565</v>
      </c>
      <c r="Q30" s="230">
        <v>10502.686726097469</v>
      </c>
      <c r="R30" s="234">
        <f>SUM(O30:Q30)</f>
        <v>10562.920897452403</v>
      </c>
      <c r="V30" s="233" t="s">
        <v>291</v>
      </c>
      <c r="W30" s="228">
        <v>0</v>
      </c>
      <c r="X30" s="230">
        <v>0</v>
      </c>
      <c r="Y30" s="230">
        <v>1</v>
      </c>
      <c r="Z30" s="234">
        <v>1</v>
      </c>
      <c r="AB30" s="233" t="s">
        <v>291</v>
      </c>
      <c r="AC30" s="228">
        <v>0</v>
      </c>
      <c r="AD30" s="230">
        <v>0</v>
      </c>
      <c r="AE30" s="230">
        <v>31.827135145826077</v>
      </c>
      <c r="AF30" s="234">
        <v>31.827135145826077</v>
      </c>
      <c r="AJ30" s="233" t="s">
        <v>291</v>
      </c>
      <c r="AK30" s="228">
        <v>0</v>
      </c>
      <c r="AL30" s="230">
        <v>0</v>
      </c>
      <c r="AM30" s="230">
        <v>6</v>
      </c>
      <c r="AN30" s="234">
        <v>6</v>
      </c>
      <c r="AP30" s="233" t="s">
        <v>291</v>
      </c>
      <c r="AQ30" s="228">
        <v>0</v>
      </c>
      <c r="AR30" s="230">
        <v>0</v>
      </c>
      <c r="AS30" s="230">
        <v>672.32777885382825</v>
      </c>
      <c r="AT30" s="234">
        <v>672.32777885382825</v>
      </c>
    </row>
    <row r="31" spans="2:46" x14ac:dyDescent="0.25">
      <c r="B31" s="233" t="s">
        <v>292</v>
      </c>
      <c r="C31" s="228">
        <v>1</v>
      </c>
      <c r="D31" s="230">
        <v>0</v>
      </c>
      <c r="E31" s="230">
        <v>17</v>
      </c>
      <c r="F31" s="234">
        <v>18</v>
      </c>
      <c r="H31" s="233" t="s">
        <v>292</v>
      </c>
      <c r="I31" s="228">
        <v>121.98963728760847</v>
      </c>
      <c r="J31" s="230">
        <v>0</v>
      </c>
      <c r="K31" s="230">
        <v>1593.970217207906</v>
      </c>
      <c r="L31" s="234">
        <v>1715.9598544955145</v>
      </c>
      <c r="M31" s="230"/>
      <c r="N31" s="233" t="s">
        <v>292</v>
      </c>
      <c r="O31" s="228">
        <v>121.98963728760847</v>
      </c>
      <c r="P31" s="230">
        <v>0</v>
      </c>
      <c r="Q31" s="230">
        <v>1593.970217207906</v>
      </c>
      <c r="R31" s="234">
        <f t="shared" ref="R31:R49" si="1">SUM(O31:Q31)</f>
        <v>1715.9598544955145</v>
      </c>
      <c r="V31" s="233" t="s">
        <v>292</v>
      </c>
      <c r="W31" s="228">
        <v>0</v>
      </c>
      <c r="X31" s="230">
        <v>0</v>
      </c>
      <c r="Y31" s="230">
        <v>8</v>
      </c>
      <c r="Z31" s="234">
        <v>8</v>
      </c>
      <c r="AB31" s="233" t="s">
        <v>292</v>
      </c>
      <c r="AC31" s="228">
        <v>0</v>
      </c>
      <c r="AD31" s="230">
        <v>0</v>
      </c>
      <c r="AE31" s="230">
        <v>115.91186329057822</v>
      </c>
      <c r="AF31" s="234">
        <v>115.91186329057822</v>
      </c>
      <c r="AJ31" s="233" t="s">
        <v>292</v>
      </c>
      <c r="AK31" s="228">
        <v>0</v>
      </c>
      <c r="AL31" s="230">
        <v>0</v>
      </c>
      <c r="AM31" s="230">
        <v>10</v>
      </c>
      <c r="AN31" s="234">
        <v>10</v>
      </c>
      <c r="AP31" s="233" t="s">
        <v>292</v>
      </c>
      <c r="AQ31" s="228">
        <v>0</v>
      </c>
      <c r="AR31" s="230">
        <v>0</v>
      </c>
      <c r="AS31" s="230">
        <v>338.5699092817207</v>
      </c>
      <c r="AT31" s="234">
        <v>338.5699092817207</v>
      </c>
    </row>
    <row r="32" spans="2:46" x14ac:dyDescent="0.25">
      <c r="B32" s="233" t="s">
        <v>293</v>
      </c>
      <c r="C32">
        <v>2</v>
      </c>
      <c r="D32">
        <v>0</v>
      </c>
      <c r="E32">
        <v>2</v>
      </c>
      <c r="F32" s="233">
        <v>4</v>
      </c>
      <c r="H32" s="233" t="s">
        <v>293</v>
      </c>
      <c r="I32">
        <v>754.50957076032296</v>
      </c>
      <c r="J32">
        <v>0</v>
      </c>
      <c r="K32">
        <v>378.24446577588253</v>
      </c>
      <c r="L32" s="233">
        <v>1132.7540365362056</v>
      </c>
      <c r="N32" s="233" t="s">
        <v>293</v>
      </c>
      <c r="O32">
        <v>754.50957076032296</v>
      </c>
      <c r="P32">
        <v>0</v>
      </c>
      <c r="Q32">
        <v>378.24446577588253</v>
      </c>
      <c r="R32" s="233">
        <f t="shared" si="1"/>
        <v>1132.7540365362056</v>
      </c>
      <c r="V32" s="233" t="s">
        <v>293</v>
      </c>
      <c r="W32">
        <v>0</v>
      </c>
      <c r="X32">
        <v>0</v>
      </c>
      <c r="Y32">
        <v>0</v>
      </c>
      <c r="Z32" s="233">
        <v>0</v>
      </c>
      <c r="AB32" s="233" t="s">
        <v>293</v>
      </c>
      <c r="AC32">
        <v>0</v>
      </c>
      <c r="AD32">
        <v>0</v>
      </c>
      <c r="AE32">
        <v>0</v>
      </c>
      <c r="AF32" s="233">
        <v>0</v>
      </c>
      <c r="AJ32" s="233" t="s">
        <v>293</v>
      </c>
      <c r="AK32">
        <v>0</v>
      </c>
      <c r="AL32">
        <v>0</v>
      </c>
      <c r="AM32">
        <v>0</v>
      </c>
      <c r="AN32" s="233">
        <v>0</v>
      </c>
      <c r="AP32" s="233" t="s">
        <v>293</v>
      </c>
      <c r="AQ32">
        <v>0</v>
      </c>
      <c r="AR32">
        <v>0</v>
      </c>
      <c r="AS32">
        <v>0</v>
      </c>
      <c r="AT32" s="233">
        <v>0</v>
      </c>
    </row>
    <row r="33" spans="2:46" x14ac:dyDescent="0.25">
      <c r="B33" s="233" t="s">
        <v>2</v>
      </c>
      <c r="C33">
        <v>19</v>
      </c>
      <c r="D33">
        <v>2</v>
      </c>
      <c r="E33">
        <v>5</v>
      </c>
      <c r="F33" s="233">
        <v>26</v>
      </c>
      <c r="H33" s="233" t="s">
        <v>2</v>
      </c>
      <c r="I33">
        <v>2010.1928176904316</v>
      </c>
      <c r="J33">
        <v>25.786701350257353</v>
      </c>
      <c r="K33">
        <v>9993.6471504788969</v>
      </c>
      <c r="L33" s="233">
        <v>12029.626669519586</v>
      </c>
      <c r="N33" s="233" t="s">
        <v>2</v>
      </c>
      <c r="O33">
        <v>2010.1928176904316</v>
      </c>
      <c r="P33">
        <v>25.786701350257353</v>
      </c>
      <c r="Q33">
        <v>9993.6471504788969</v>
      </c>
      <c r="R33" s="233">
        <f t="shared" si="1"/>
        <v>12029.626669519586</v>
      </c>
      <c r="V33" s="233" t="s">
        <v>2</v>
      </c>
      <c r="W33">
        <v>0</v>
      </c>
      <c r="X33">
        <v>0</v>
      </c>
      <c r="Y33">
        <v>0</v>
      </c>
      <c r="Z33" s="233">
        <v>0</v>
      </c>
      <c r="AB33" s="233" t="s">
        <v>2</v>
      </c>
      <c r="AC33">
        <v>0</v>
      </c>
      <c r="AD33">
        <v>0</v>
      </c>
      <c r="AE33">
        <v>0</v>
      </c>
      <c r="AF33" s="233">
        <v>0</v>
      </c>
      <c r="AJ33" s="233" t="s">
        <v>2</v>
      </c>
      <c r="AK33">
        <v>0</v>
      </c>
      <c r="AL33">
        <v>0</v>
      </c>
      <c r="AM33">
        <v>0</v>
      </c>
      <c r="AN33" s="233">
        <v>0</v>
      </c>
      <c r="AP33" s="233" t="s">
        <v>2</v>
      </c>
      <c r="AQ33">
        <v>0</v>
      </c>
      <c r="AR33">
        <v>0</v>
      </c>
      <c r="AS33">
        <v>0</v>
      </c>
      <c r="AT33" s="233">
        <v>0</v>
      </c>
    </row>
    <row r="34" spans="2:46" x14ac:dyDescent="0.25">
      <c r="B34" s="233" t="s">
        <v>31</v>
      </c>
      <c r="C34">
        <v>15</v>
      </c>
      <c r="D34">
        <v>3</v>
      </c>
      <c r="E34">
        <v>10</v>
      </c>
      <c r="F34" s="233">
        <v>28</v>
      </c>
      <c r="H34" s="233" t="s">
        <v>31</v>
      </c>
      <c r="I34">
        <v>5269.3449363871441</v>
      </c>
      <c r="J34">
        <v>50.364003006180766</v>
      </c>
      <c r="K34">
        <v>599.44660139686948</v>
      </c>
      <c r="L34" s="233">
        <v>5919.1555407901942</v>
      </c>
      <c r="N34" s="233" t="s">
        <v>31</v>
      </c>
      <c r="O34">
        <v>5269.3449363871441</v>
      </c>
      <c r="P34">
        <v>50.364003006180766</v>
      </c>
      <c r="Q34">
        <v>599.44660139686948</v>
      </c>
      <c r="R34" s="233">
        <f t="shared" si="1"/>
        <v>5919.1555407901942</v>
      </c>
      <c r="V34" s="233" t="s">
        <v>31</v>
      </c>
      <c r="W34">
        <v>0</v>
      </c>
      <c r="X34">
        <v>0</v>
      </c>
      <c r="Y34">
        <v>0</v>
      </c>
      <c r="Z34" s="233">
        <v>0</v>
      </c>
      <c r="AB34" s="233" t="s">
        <v>31</v>
      </c>
      <c r="AC34">
        <v>0</v>
      </c>
      <c r="AD34">
        <v>0</v>
      </c>
      <c r="AE34">
        <v>0</v>
      </c>
      <c r="AF34" s="233">
        <v>0</v>
      </c>
      <c r="AJ34" s="233" t="s">
        <v>31</v>
      </c>
      <c r="AK34">
        <v>0</v>
      </c>
      <c r="AL34">
        <v>0</v>
      </c>
      <c r="AM34">
        <v>1</v>
      </c>
      <c r="AN34" s="233">
        <v>1</v>
      </c>
      <c r="AP34" s="233" t="s">
        <v>31</v>
      </c>
      <c r="AQ34">
        <v>0</v>
      </c>
      <c r="AR34">
        <v>0</v>
      </c>
      <c r="AS34">
        <v>149.34921023004176</v>
      </c>
      <c r="AT34" s="233">
        <v>149.34921023004176</v>
      </c>
    </row>
    <row r="35" spans="2:46" x14ac:dyDescent="0.25">
      <c r="B35" s="233" t="s">
        <v>294</v>
      </c>
      <c r="C35" s="232">
        <v>14</v>
      </c>
      <c r="D35" s="231">
        <v>2</v>
      </c>
      <c r="E35" s="231">
        <v>5</v>
      </c>
      <c r="F35" s="235">
        <v>21</v>
      </c>
      <c r="H35" s="233" t="s">
        <v>294</v>
      </c>
      <c r="I35" s="232">
        <v>17567.429126230567</v>
      </c>
      <c r="J35" s="231">
        <v>59.629490668732515</v>
      </c>
      <c r="K35" s="231">
        <v>243.96357162541202</v>
      </c>
      <c r="L35" s="235">
        <v>17871.022188524712</v>
      </c>
      <c r="M35" s="229"/>
      <c r="N35" s="233" t="s">
        <v>294</v>
      </c>
      <c r="O35" s="232">
        <v>17567.429126230567</v>
      </c>
      <c r="P35" s="231">
        <v>59.629490668732515</v>
      </c>
      <c r="Q35" s="231">
        <v>243.96357162541202</v>
      </c>
      <c r="R35" s="235">
        <f t="shared" si="1"/>
        <v>17871.022188524712</v>
      </c>
      <c r="V35" s="233" t="s">
        <v>294</v>
      </c>
      <c r="W35" s="232">
        <v>0</v>
      </c>
      <c r="X35" s="231">
        <v>0</v>
      </c>
      <c r="Y35" s="231">
        <v>0</v>
      </c>
      <c r="Z35" s="235">
        <v>0</v>
      </c>
      <c r="AB35" s="233" t="s">
        <v>294</v>
      </c>
      <c r="AC35" s="232">
        <v>0</v>
      </c>
      <c r="AD35" s="231">
        <v>0</v>
      </c>
      <c r="AE35" s="231">
        <v>0</v>
      </c>
      <c r="AF35" s="235">
        <v>0</v>
      </c>
      <c r="AJ35" s="233" t="s">
        <v>294</v>
      </c>
      <c r="AK35" s="232">
        <v>0</v>
      </c>
      <c r="AL35" s="231">
        <v>0</v>
      </c>
      <c r="AM35" s="231">
        <v>0</v>
      </c>
      <c r="AN35" s="235">
        <v>0</v>
      </c>
      <c r="AP35" s="233" t="s">
        <v>294</v>
      </c>
      <c r="AQ35" s="232">
        <v>0</v>
      </c>
      <c r="AR35" s="231">
        <v>0</v>
      </c>
      <c r="AS35" s="231">
        <v>0</v>
      </c>
      <c r="AT35" s="235">
        <v>0</v>
      </c>
    </row>
    <row r="36" spans="2:46" x14ac:dyDescent="0.25">
      <c r="B36" s="233" t="s">
        <v>345</v>
      </c>
      <c r="C36" s="228">
        <v>2</v>
      </c>
      <c r="D36" s="230">
        <v>1</v>
      </c>
      <c r="E36" s="230">
        <v>5</v>
      </c>
      <c r="F36" s="234">
        <v>8</v>
      </c>
      <c r="H36" s="233" t="s">
        <v>345</v>
      </c>
      <c r="I36" s="228">
        <v>1383.3553171096059</v>
      </c>
      <c r="J36" s="230">
        <v>75.09714962493419</v>
      </c>
      <c r="K36" s="230">
        <v>301.42144690111968</v>
      </c>
      <c r="L36" s="234">
        <v>1759.8739136356598</v>
      </c>
      <c r="M36" s="230"/>
      <c r="N36" s="233" t="s">
        <v>345</v>
      </c>
      <c r="O36" s="228">
        <v>1383.3553171096059</v>
      </c>
      <c r="P36" s="230">
        <v>75.09714962493419</v>
      </c>
      <c r="Q36" s="230">
        <v>301.42144690111968</v>
      </c>
      <c r="R36" s="234">
        <f t="shared" si="1"/>
        <v>1759.8739136356598</v>
      </c>
      <c r="V36" s="233" t="s">
        <v>345</v>
      </c>
      <c r="W36" s="228">
        <v>0</v>
      </c>
      <c r="X36" s="230">
        <v>0</v>
      </c>
      <c r="Y36" s="230">
        <v>0</v>
      </c>
      <c r="Z36" s="234">
        <v>0</v>
      </c>
      <c r="AB36" s="233" t="s">
        <v>345</v>
      </c>
      <c r="AC36" s="228">
        <v>0</v>
      </c>
      <c r="AD36" s="230">
        <v>0</v>
      </c>
      <c r="AE36" s="230">
        <v>0</v>
      </c>
      <c r="AF36" s="234">
        <v>0</v>
      </c>
      <c r="AJ36" s="233" t="s">
        <v>345</v>
      </c>
      <c r="AK36" s="228">
        <v>0</v>
      </c>
      <c r="AL36" s="230">
        <v>0</v>
      </c>
      <c r="AM36" s="230">
        <v>0</v>
      </c>
      <c r="AN36" s="234">
        <v>0</v>
      </c>
      <c r="AP36" s="233" t="s">
        <v>345</v>
      </c>
      <c r="AQ36" s="228">
        <v>0</v>
      </c>
      <c r="AR36" s="230">
        <v>0</v>
      </c>
      <c r="AS36" s="230">
        <v>0</v>
      </c>
      <c r="AT36" s="234">
        <v>0</v>
      </c>
    </row>
    <row r="37" spans="2:46" x14ac:dyDescent="0.25">
      <c r="B37" s="233" t="s">
        <v>310</v>
      </c>
      <c r="C37" s="228">
        <v>0</v>
      </c>
      <c r="D37" s="230">
        <v>0</v>
      </c>
      <c r="E37" s="230">
        <v>0</v>
      </c>
      <c r="F37" s="234">
        <v>0</v>
      </c>
      <c r="H37" s="233" t="s">
        <v>310</v>
      </c>
      <c r="I37" s="228">
        <v>0</v>
      </c>
      <c r="J37" s="230">
        <v>0</v>
      </c>
      <c r="K37" s="230">
        <v>0</v>
      </c>
      <c r="L37" s="234">
        <v>0</v>
      </c>
      <c r="M37" s="230"/>
      <c r="N37" s="233" t="s">
        <v>310</v>
      </c>
      <c r="O37" s="228">
        <v>0</v>
      </c>
      <c r="P37" s="230">
        <v>0</v>
      </c>
      <c r="Q37" s="230">
        <v>0</v>
      </c>
      <c r="R37" s="234">
        <f>SUM(O37:Q37)</f>
        <v>0</v>
      </c>
      <c r="V37" s="233" t="s">
        <v>310</v>
      </c>
      <c r="W37" s="228">
        <v>0</v>
      </c>
      <c r="X37" s="230">
        <v>0</v>
      </c>
      <c r="Y37" s="230">
        <v>0</v>
      </c>
      <c r="Z37" s="234">
        <v>0</v>
      </c>
      <c r="AB37" s="233" t="s">
        <v>310</v>
      </c>
      <c r="AC37" s="228">
        <v>0</v>
      </c>
      <c r="AD37" s="230">
        <v>0</v>
      </c>
      <c r="AE37" s="230">
        <v>0</v>
      </c>
      <c r="AF37" s="234">
        <v>0</v>
      </c>
      <c r="AJ37" s="233" t="s">
        <v>310</v>
      </c>
      <c r="AK37" s="228">
        <v>0</v>
      </c>
      <c r="AL37" s="230">
        <v>0</v>
      </c>
      <c r="AM37" s="230">
        <v>0</v>
      </c>
      <c r="AN37" s="234">
        <v>0</v>
      </c>
      <c r="AP37" s="233" t="s">
        <v>310</v>
      </c>
      <c r="AQ37" s="228">
        <v>0</v>
      </c>
      <c r="AR37" s="230">
        <v>0</v>
      </c>
      <c r="AS37" s="230">
        <v>0</v>
      </c>
      <c r="AT37" s="234">
        <v>0</v>
      </c>
    </row>
    <row r="38" spans="2:46" x14ac:dyDescent="0.25">
      <c r="B38" s="233" t="s">
        <v>295</v>
      </c>
      <c r="C38" s="228">
        <v>0</v>
      </c>
      <c r="D38" s="230">
        <v>0</v>
      </c>
      <c r="E38" s="230">
        <v>0</v>
      </c>
      <c r="F38" s="234">
        <v>0</v>
      </c>
      <c r="H38" s="233" t="s">
        <v>295</v>
      </c>
      <c r="I38" s="228">
        <v>0</v>
      </c>
      <c r="J38" s="230">
        <v>0</v>
      </c>
      <c r="K38" s="230">
        <v>0</v>
      </c>
      <c r="L38" s="234">
        <v>0</v>
      </c>
      <c r="M38" s="230"/>
      <c r="N38" s="233" t="s">
        <v>295</v>
      </c>
      <c r="O38" s="228">
        <v>0</v>
      </c>
      <c r="P38" s="230">
        <v>0</v>
      </c>
      <c r="Q38" s="230">
        <v>0</v>
      </c>
      <c r="R38" s="234">
        <f t="shared" si="1"/>
        <v>0</v>
      </c>
      <c r="V38" s="233" t="s">
        <v>295</v>
      </c>
      <c r="W38" s="228">
        <v>0</v>
      </c>
      <c r="X38" s="230">
        <v>0</v>
      </c>
      <c r="Y38" s="230">
        <v>0</v>
      </c>
      <c r="Z38" s="234">
        <v>0</v>
      </c>
      <c r="AB38" s="233" t="s">
        <v>295</v>
      </c>
      <c r="AC38" s="228">
        <v>0</v>
      </c>
      <c r="AD38" s="230">
        <v>0</v>
      </c>
      <c r="AE38" s="230">
        <v>0</v>
      </c>
      <c r="AF38" s="234">
        <v>0</v>
      </c>
      <c r="AJ38" s="233" t="s">
        <v>295</v>
      </c>
      <c r="AK38" s="228">
        <v>0</v>
      </c>
      <c r="AL38" s="230">
        <v>0</v>
      </c>
      <c r="AM38" s="230">
        <v>0</v>
      </c>
      <c r="AN38" s="234">
        <v>0</v>
      </c>
      <c r="AP38" s="233" t="s">
        <v>295</v>
      </c>
      <c r="AQ38" s="228">
        <v>0</v>
      </c>
      <c r="AR38" s="230">
        <v>0</v>
      </c>
      <c r="AS38" s="230">
        <v>0</v>
      </c>
      <c r="AT38" s="234">
        <v>0</v>
      </c>
    </row>
    <row r="39" spans="2:46" x14ac:dyDescent="0.25">
      <c r="B39" s="233" t="s">
        <v>296</v>
      </c>
      <c r="C39" s="228">
        <v>4</v>
      </c>
      <c r="D39" s="230">
        <v>4</v>
      </c>
      <c r="E39" s="230">
        <v>8</v>
      </c>
      <c r="F39" s="234">
        <v>16</v>
      </c>
      <c r="H39" s="233" t="s">
        <v>296</v>
      </c>
      <c r="I39" s="228">
        <v>514.95120251290837</v>
      </c>
      <c r="J39" s="230">
        <v>3128.7422552141898</v>
      </c>
      <c r="K39" s="230">
        <v>186.48883125502113</v>
      </c>
      <c r="L39" s="234">
        <v>3830.1822889821192</v>
      </c>
      <c r="M39" s="230"/>
      <c r="N39" s="233" t="s">
        <v>296</v>
      </c>
      <c r="O39" s="228">
        <v>514.95120251290837</v>
      </c>
      <c r="P39" s="230">
        <v>3128.7422552141898</v>
      </c>
      <c r="Q39" s="230">
        <v>186.48883125502113</v>
      </c>
      <c r="R39" s="234">
        <f t="shared" si="1"/>
        <v>3830.1822889821192</v>
      </c>
      <c r="V39" s="233" t="s">
        <v>296</v>
      </c>
      <c r="W39" s="228">
        <v>0</v>
      </c>
      <c r="X39" s="230">
        <v>0</v>
      </c>
      <c r="Y39" s="230">
        <v>0</v>
      </c>
      <c r="Z39" s="234">
        <v>0</v>
      </c>
      <c r="AB39" s="233" t="s">
        <v>296</v>
      </c>
      <c r="AC39" s="228">
        <v>0</v>
      </c>
      <c r="AD39" s="230">
        <v>0</v>
      </c>
      <c r="AE39" s="230">
        <v>0</v>
      </c>
      <c r="AF39" s="234">
        <v>0</v>
      </c>
      <c r="AJ39" s="233" t="s">
        <v>296</v>
      </c>
      <c r="AK39" s="228">
        <v>0</v>
      </c>
      <c r="AL39" s="230">
        <v>0</v>
      </c>
      <c r="AM39" s="230">
        <v>0</v>
      </c>
      <c r="AN39" s="234">
        <v>0</v>
      </c>
      <c r="AP39" s="233" t="s">
        <v>296</v>
      </c>
      <c r="AQ39" s="228">
        <v>0</v>
      </c>
      <c r="AR39" s="230">
        <v>0</v>
      </c>
      <c r="AS39" s="230">
        <v>0</v>
      </c>
      <c r="AT39" s="234">
        <v>0</v>
      </c>
    </row>
    <row r="40" spans="2:46" x14ac:dyDescent="0.25">
      <c r="B40" s="233" t="s">
        <v>297</v>
      </c>
      <c r="C40" s="228">
        <v>0</v>
      </c>
      <c r="D40" s="230">
        <v>1</v>
      </c>
      <c r="E40" s="230">
        <v>2</v>
      </c>
      <c r="F40" s="234">
        <v>3</v>
      </c>
      <c r="H40" s="233" t="s">
        <v>297</v>
      </c>
      <c r="I40" s="228">
        <v>0</v>
      </c>
      <c r="J40" s="230">
        <v>406.27992420916172</v>
      </c>
      <c r="K40" s="230">
        <v>85.365881186005453</v>
      </c>
      <c r="L40" s="234">
        <v>491.64580539516714</v>
      </c>
      <c r="M40" s="230"/>
      <c r="N40" s="233" t="s">
        <v>297</v>
      </c>
      <c r="O40" s="228">
        <v>0</v>
      </c>
      <c r="P40" s="230">
        <v>406.27992420916172</v>
      </c>
      <c r="Q40" s="230">
        <v>85.365881186005453</v>
      </c>
      <c r="R40" s="234">
        <f t="shared" si="1"/>
        <v>491.64580539516714</v>
      </c>
      <c r="V40" s="233" t="s">
        <v>297</v>
      </c>
      <c r="W40" s="228">
        <v>0</v>
      </c>
      <c r="X40" s="230">
        <v>0</v>
      </c>
      <c r="Y40" s="230">
        <v>0</v>
      </c>
      <c r="Z40" s="234">
        <v>0</v>
      </c>
      <c r="AB40" s="233" t="s">
        <v>297</v>
      </c>
      <c r="AC40" s="228">
        <v>0</v>
      </c>
      <c r="AD40" s="230">
        <v>0</v>
      </c>
      <c r="AE40" s="230">
        <v>0</v>
      </c>
      <c r="AF40" s="234">
        <v>0</v>
      </c>
      <c r="AJ40" s="233" t="s">
        <v>297</v>
      </c>
      <c r="AK40" s="228">
        <v>0</v>
      </c>
      <c r="AL40" s="230">
        <v>0</v>
      </c>
      <c r="AM40" s="230">
        <v>0</v>
      </c>
      <c r="AN40" s="234">
        <v>0</v>
      </c>
      <c r="AP40" s="233" t="s">
        <v>297</v>
      </c>
      <c r="AQ40" s="228">
        <v>0</v>
      </c>
      <c r="AR40" s="230">
        <v>0</v>
      </c>
      <c r="AS40" s="230">
        <v>0</v>
      </c>
      <c r="AT40" s="234">
        <v>0</v>
      </c>
    </row>
    <row r="41" spans="2:46" x14ac:dyDescent="0.25">
      <c r="B41" s="233" t="s">
        <v>298</v>
      </c>
      <c r="C41" s="228">
        <v>1</v>
      </c>
      <c r="D41" s="230">
        <v>0</v>
      </c>
      <c r="E41" s="230">
        <v>0</v>
      </c>
      <c r="F41" s="234">
        <v>1</v>
      </c>
      <c r="H41" s="233" t="s">
        <v>298</v>
      </c>
      <c r="I41" s="242">
        <v>1995.983180563682</v>
      </c>
      <c r="J41" s="230">
        <v>0</v>
      </c>
      <c r="K41" s="230">
        <v>0</v>
      </c>
      <c r="L41" s="234">
        <v>1995.983180563682</v>
      </c>
      <c r="M41" s="230"/>
      <c r="N41" s="233" t="s">
        <v>298</v>
      </c>
      <c r="O41" s="242">
        <v>0</v>
      </c>
      <c r="P41" s="230">
        <v>0</v>
      </c>
      <c r="Q41" s="230">
        <v>0</v>
      </c>
      <c r="R41" s="234">
        <f t="shared" si="1"/>
        <v>0</v>
      </c>
      <c r="V41" s="233" t="s">
        <v>298</v>
      </c>
      <c r="W41" s="228">
        <v>0</v>
      </c>
      <c r="X41" s="230">
        <v>0</v>
      </c>
      <c r="Y41" s="230">
        <v>0</v>
      </c>
      <c r="Z41" s="234">
        <v>0</v>
      </c>
      <c r="AB41" s="233" t="s">
        <v>298</v>
      </c>
      <c r="AC41" s="228">
        <v>0</v>
      </c>
      <c r="AD41" s="230">
        <v>0</v>
      </c>
      <c r="AE41" s="230">
        <v>0</v>
      </c>
      <c r="AF41" s="234">
        <v>0</v>
      </c>
      <c r="AJ41" s="233" t="s">
        <v>298</v>
      </c>
      <c r="AK41" s="228">
        <v>0</v>
      </c>
      <c r="AL41" s="230">
        <v>0</v>
      </c>
      <c r="AM41" s="230">
        <v>0</v>
      </c>
      <c r="AN41" s="234">
        <v>0</v>
      </c>
      <c r="AP41" s="233" t="s">
        <v>298</v>
      </c>
      <c r="AQ41" s="228">
        <v>0</v>
      </c>
      <c r="AR41" s="230">
        <v>0</v>
      </c>
      <c r="AS41" s="230">
        <v>0</v>
      </c>
      <c r="AT41" s="234">
        <v>0</v>
      </c>
    </row>
    <row r="42" spans="2:46" x14ac:dyDescent="0.25">
      <c r="B42" s="233" t="s">
        <v>317</v>
      </c>
      <c r="C42" s="228">
        <v>0</v>
      </c>
      <c r="D42" s="230">
        <v>0</v>
      </c>
      <c r="E42" s="230">
        <v>0</v>
      </c>
      <c r="F42" s="234">
        <v>0</v>
      </c>
      <c r="H42" s="233" t="s">
        <v>317</v>
      </c>
      <c r="I42" s="242">
        <v>0</v>
      </c>
      <c r="J42" s="230">
        <v>0</v>
      </c>
      <c r="K42" s="230">
        <v>0</v>
      </c>
      <c r="L42" s="234">
        <v>0</v>
      </c>
      <c r="M42" s="230"/>
      <c r="N42" s="233" t="s">
        <v>317</v>
      </c>
      <c r="O42" s="242">
        <v>0</v>
      </c>
      <c r="P42" s="230">
        <v>0</v>
      </c>
      <c r="Q42" s="230">
        <v>0</v>
      </c>
      <c r="R42" s="234">
        <f t="shared" si="1"/>
        <v>0</v>
      </c>
      <c r="V42" s="233" t="s">
        <v>317</v>
      </c>
      <c r="W42" s="228">
        <v>0</v>
      </c>
      <c r="X42" s="230">
        <v>0</v>
      </c>
      <c r="Y42" s="230">
        <v>0</v>
      </c>
      <c r="Z42" s="234">
        <v>0</v>
      </c>
      <c r="AB42" s="233" t="s">
        <v>317</v>
      </c>
      <c r="AC42" s="228">
        <v>0</v>
      </c>
      <c r="AD42" s="230">
        <v>0</v>
      </c>
      <c r="AE42" s="230">
        <v>0</v>
      </c>
      <c r="AF42" s="234">
        <v>0</v>
      </c>
      <c r="AJ42" s="233" t="s">
        <v>317</v>
      </c>
      <c r="AK42" s="228">
        <v>0</v>
      </c>
      <c r="AL42" s="230">
        <v>0</v>
      </c>
      <c r="AM42" s="230">
        <v>0</v>
      </c>
      <c r="AN42" s="234">
        <v>0</v>
      </c>
      <c r="AP42" s="233" t="s">
        <v>317</v>
      </c>
      <c r="AQ42" s="228">
        <v>0</v>
      </c>
      <c r="AR42" s="230">
        <v>0</v>
      </c>
      <c r="AS42" s="230">
        <v>0</v>
      </c>
      <c r="AT42" s="234">
        <v>0</v>
      </c>
    </row>
    <row r="43" spans="2:46" x14ac:dyDescent="0.25">
      <c r="B43" s="233" t="s">
        <v>311</v>
      </c>
      <c r="C43" s="228">
        <v>0</v>
      </c>
      <c r="D43" s="230">
        <v>0</v>
      </c>
      <c r="E43" s="230">
        <v>0</v>
      </c>
      <c r="F43" s="234">
        <v>0</v>
      </c>
      <c r="H43" s="233" t="s">
        <v>311</v>
      </c>
      <c r="I43" s="242">
        <v>0</v>
      </c>
      <c r="J43" s="230">
        <v>0</v>
      </c>
      <c r="K43" s="230">
        <v>0</v>
      </c>
      <c r="L43" s="234">
        <v>0</v>
      </c>
      <c r="M43" s="230"/>
      <c r="N43" s="233" t="s">
        <v>311</v>
      </c>
      <c r="O43" s="242">
        <v>0</v>
      </c>
      <c r="P43" s="230">
        <v>0</v>
      </c>
      <c r="Q43" s="230">
        <v>0</v>
      </c>
      <c r="R43" s="234">
        <f>SUM(O43:Q43)</f>
        <v>0</v>
      </c>
      <c r="V43" s="233" t="s">
        <v>311</v>
      </c>
      <c r="W43" s="228">
        <v>0</v>
      </c>
      <c r="X43" s="230">
        <v>0</v>
      </c>
      <c r="Y43" s="230">
        <v>0</v>
      </c>
      <c r="Z43" s="234">
        <v>0</v>
      </c>
      <c r="AB43" s="233" t="s">
        <v>311</v>
      </c>
      <c r="AC43" s="228">
        <v>0</v>
      </c>
      <c r="AD43" s="230">
        <v>0</v>
      </c>
      <c r="AE43" s="230">
        <v>0</v>
      </c>
      <c r="AF43" s="234">
        <v>0</v>
      </c>
      <c r="AJ43" s="233" t="s">
        <v>311</v>
      </c>
      <c r="AK43" s="228">
        <v>0</v>
      </c>
      <c r="AL43" s="230">
        <v>0</v>
      </c>
      <c r="AM43" s="230">
        <v>0</v>
      </c>
      <c r="AN43" s="234">
        <v>0</v>
      </c>
      <c r="AP43" s="233" t="s">
        <v>311</v>
      </c>
      <c r="AQ43" s="228">
        <v>0</v>
      </c>
      <c r="AR43" s="230">
        <v>0</v>
      </c>
      <c r="AS43" s="230">
        <v>0</v>
      </c>
      <c r="AT43" s="234">
        <v>0</v>
      </c>
    </row>
    <row r="44" spans="2:46" x14ac:dyDescent="0.25">
      <c r="B44" s="233" t="s">
        <v>299</v>
      </c>
      <c r="C44" s="228">
        <v>0</v>
      </c>
      <c r="D44" s="230">
        <v>0</v>
      </c>
      <c r="E44" s="230">
        <v>0</v>
      </c>
      <c r="F44" s="234">
        <v>0</v>
      </c>
      <c r="H44" s="233" t="s">
        <v>299</v>
      </c>
      <c r="I44" s="242">
        <v>0</v>
      </c>
      <c r="J44" s="230">
        <v>0</v>
      </c>
      <c r="K44" s="230">
        <v>0</v>
      </c>
      <c r="L44" s="234">
        <v>0</v>
      </c>
      <c r="M44" s="230"/>
      <c r="N44" s="233" t="s">
        <v>299</v>
      </c>
      <c r="O44" s="242">
        <v>0</v>
      </c>
      <c r="P44" s="230">
        <v>0</v>
      </c>
      <c r="Q44" s="230">
        <v>0</v>
      </c>
      <c r="R44" s="234">
        <f t="shared" si="1"/>
        <v>0</v>
      </c>
      <c r="V44" s="233" t="s">
        <v>299</v>
      </c>
      <c r="W44" s="228">
        <v>0</v>
      </c>
      <c r="X44" s="230">
        <v>0</v>
      </c>
      <c r="Y44" s="230">
        <v>0</v>
      </c>
      <c r="Z44" s="234">
        <v>0</v>
      </c>
      <c r="AB44" s="233" t="s">
        <v>299</v>
      </c>
      <c r="AC44" s="228">
        <v>0</v>
      </c>
      <c r="AD44" s="230">
        <v>0</v>
      </c>
      <c r="AE44" s="230">
        <v>0</v>
      </c>
      <c r="AF44" s="234">
        <v>0</v>
      </c>
      <c r="AJ44" s="233" t="s">
        <v>299</v>
      </c>
      <c r="AK44" s="228">
        <v>0</v>
      </c>
      <c r="AL44" s="230">
        <v>0</v>
      </c>
      <c r="AM44" s="230">
        <v>0</v>
      </c>
      <c r="AN44" s="234">
        <v>0</v>
      </c>
      <c r="AP44" s="233" t="s">
        <v>299</v>
      </c>
      <c r="AQ44" s="228">
        <v>0</v>
      </c>
      <c r="AR44" s="230">
        <v>0</v>
      </c>
      <c r="AS44" s="230">
        <v>0</v>
      </c>
      <c r="AT44" s="234">
        <v>0</v>
      </c>
    </row>
    <row r="45" spans="2:46" x14ac:dyDescent="0.25">
      <c r="B45" s="233" t="s">
        <v>300</v>
      </c>
      <c r="C45" s="228">
        <v>1</v>
      </c>
      <c r="D45" s="230">
        <v>0</v>
      </c>
      <c r="E45" s="230">
        <v>1</v>
      </c>
      <c r="F45" s="234">
        <v>2</v>
      </c>
      <c r="H45" s="233" t="s">
        <v>300</v>
      </c>
      <c r="I45" s="242">
        <v>15.75740268654017</v>
      </c>
      <c r="J45" s="230">
        <v>0</v>
      </c>
      <c r="K45" s="230">
        <v>31.705986171159939</v>
      </c>
      <c r="L45" s="234">
        <v>47.46338885770011</v>
      </c>
      <c r="M45" s="230"/>
      <c r="N45" s="233" t="s">
        <v>300</v>
      </c>
      <c r="O45" s="242">
        <v>0</v>
      </c>
      <c r="P45" s="230">
        <v>0</v>
      </c>
      <c r="Q45" s="230">
        <v>31.705986171159939</v>
      </c>
      <c r="R45" s="234">
        <f t="shared" si="1"/>
        <v>31.705986171159939</v>
      </c>
      <c r="V45" s="233" t="s">
        <v>300</v>
      </c>
      <c r="W45" s="228">
        <v>0</v>
      </c>
      <c r="X45" s="230">
        <v>0</v>
      </c>
      <c r="Y45" s="230">
        <v>1</v>
      </c>
      <c r="Z45" s="234">
        <v>1</v>
      </c>
      <c r="AB45" s="233" t="s">
        <v>300</v>
      </c>
      <c r="AC45" s="228">
        <v>0</v>
      </c>
      <c r="AD45" s="230">
        <v>0</v>
      </c>
      <c r="AE45" s="230">
        <v>31.705986171159939</v>
      </c>
      <c r="AF45" s="234">
        <v>31.705986171159939</v>
      </c>
      <c r="AJ45" s="233" t="s">
        <v>300</v>
      </c>
      <c r="AK45" s="228">
        <v>0</v>
      </c>
      <c r="AL45" s="230">
        <v>0</v>
      </c>
      <c r="AM45" s="230">
        <v>1</v>
      </c>
      <c r="AN45" s="234">
        <v>1</v>
      </c>
      <c r="AP45" s="233" t="s">
        <v>300</v>
      </c>
      <c r="AQ45" s="228">
        <v>0</v>
      </c>
      <c r="AR45" s="230">
        <v>0</v>
      </c>
      <c r="AS45" s="230">
        <v>31.705986171159939</v>
      </c>
      <c r="AT45" s="234">
        <v>31.705986171159939</v>
      </c>
    </row>
    <row r="46" spans="2:46" x14ac:dyDescent="0.25">
      <c r="B46" s="233" t="s">
        <v>301</v>
      </c>
      <c r="C46" s="228">
        <v>0</v>
      </c>
      <c r="D46" s="230">
        <v>0</v>
      </c>
      <c r="E46" s="230">
        <v>0</v>
      </c>
      <c r="F46" s="234">
        <v>0</v>
      </c>
      <c r="H46" s="233" t="s">
        <v>301</v>
      </c>
      <c r="I46" s="242">
        <v>0</v>
      </c>
      <c r="J46" s="230">
        <v>0</v>
      </c>
      <c r="K46" s="230">
        <v>0</v>
      </c>
      <c r="L46" s="234">
        <v>0</v>
      </c>
      <c r="M46" s="230"/>
      <c r="N46" s="233" t="s">
        <v>301</v>
      </c>
      <c r="O46" s="242">
        <v>0</v>
      </c>
      <c r="P46" s="230">
        <v>0</v>
      </c>
      <c r="Q46" s="230">
        <v>0</v>
      </c>
      <c r="R46" s="234">
        <f t="shared" si="1"/>
        <v>0</v>
      </c>
      <c r="V46" s="233" t="s">
        <v>301</v>
      </c>
      <c r="W46" s="228">
        <v>0</v>
      </c>
      <c r="X46" s="230">
        <v>0</v>
      </c>
      <c r="Y46" s="230">
        <v>0</v>
      </c>
      <c r="Z46" s="234">
        <v>0</v>
      </c>
      <c r="AB46" s="233" t="s">
        <v>301</v>
      </c>
      <c r="AC46" s="228">
        <v>0</v>
      </c>
      <c r="AD46" s="230">
        <v>0</v>
      </c>
      <c r="AE46" s="230">
        <v>0</v>
      </c>
      <c r="AF46" s="234">
        <v>0</v>
      </c>
      <c r="AJ46" s="233" t="s">
        <v>301</v>
      </c>
      <c r="AK46" s="228">
        <v>0</v>
      </c>
      <c r="AL46" s="230">
        <v>0</v>
      </c>
      <c r="AM46" s="230">
        <v>0</v>
      </c>
      <c r="AN46" s="234">
        <v>0</v>
      </c>
      <c r="AP46" s="233" t="s">
        <v>301</v>
      </c>
      <c r="AQ46" s="228">
        <v>0</v>
      </c>
      <c r="AR46" s="230">
        <v>0</v>
      </c>
      <c r="AS46" s="230">
        <v>0</v>
      </c>
      <c r="AT46" s="234">
        <v>0</v>
      </c>
    </row>
    <row r="47" spans="2:46" x14ac:dyDescent="0.25">
      <c r="B47" s="233" t="s">
        <v>36</v>
      </c>
      <c r="C47" s="228">
        <v>0</v>
      </c>
      <c r="D47" s="230">
        <v>0</v>
      </c>
      <c r="E47" s="230">
        <v>0</v>
      </c>
      <c r="F47" s="234">
        <v>0</v>
      </c>
      <c r="H47" s="233" t="s">
        <v>36</v>
      </c>
      <c r="I47" s="228">
        <v>0</v>
      </c>
      <c r="J47" s="230">
        <v>0</v>
      </c>
      <c r="K47" s="230">
        <v>0</v>
      </c>
      <c r="L47" s="234">
        <v>0</v>
      </c>
      <c r="M47" s="230"/>
      <c r="N47" s="233" t="s">
        <v>36</v>
      </c>
      <c r="O47" s="228">
        <v>0</v>
      </c>
      <c r="P47" s="230">
        <v>0</v>
      </c>
      <c r="Q47" s="230">
        <v>0</v>
      </c>
      <c r="R47" s="234">
        <f t="shared" si="1"/>
        <v>0</v>
      </c>
      <c r="V47" s="233" t="s">
        <v>36</v>
      </c>
      <c r="W47" s="228">
        <v>0</v>
      </c>
      <c r="X47" s="230">
        <v>0</v>
      </c>
      <c r="Y47" s="230">
        <v>0</v>
      </c>
      <c r="Z47" s="234">
        <v>0</v>
      </c>
      <c r="AB47" s="233" t="s">
        <v>36</v>
      </c>
      <c r="AC47" s="228">
        <v>0</v>
      </c>
      <c r="AD47" s="230">
        <v>0</v>
      </c>
      <c r="AE47" s="230">
        <v>0</v>
      </c>
      <c r="AF47" s="234">
        <v>0</v>
      </c>
      <c r="AJ47" s="233" t="s">
        <v>36</v>
      </c>
      <c r="AK47" s="228">
        <v>0</v>
      </c>
      <c r="AL47" s="230">
        <v>0</v>
      </c>
      <c r="AM47" s="230">
        <v>0</v>
      </c>
      <c r="AN47" s="234">
        <v>0</v>
      </c>
      <c r="AP47" s="233" t="s">
        <v>36</v>
      </c>
      <c r="AQ47" s="228">
        <v>0</v>
      </c>
      <c r="AR47" s="230">
        <v>0</v>
      </c>
      <c r="AS47" s="230">
        <v>0</v>
      </c>
      <c r="AT47" s="234">
        <v>0</v>
      </c>
    </row>
    <row r="48" spans="2:46" x14ac:dyDescent="0.25">
      <c r="B48" s="233" t="s">
        <v>302</v>
      </c>
      <c r="C48" s="228">
        <v>0</v>
      </c>
      <c r="D48" s="230">
        <v>0</v>
      </c>
      <c r="E48" s="230">
        <v>0</v>
      </c>
      <c r="F48" s="234">
        <v>0</v>
      </c>
      <c r="H48" s="233" t="s">
        <v>302</v>
      </c>
      <c r="I48" s="228">
        <v>0</v>
      </c>
      <c r="J48" s="230">
        <v>0</v>
      </c>
      <c r="K48" s="230">
        <v>0</v>
      </c>
      <c r="L48" s="234">
        <v>0</v>
      </c>
      <c r="M48" s="230"/>
      <c r="N48" s="233" t="s">
        <v>302</v>
      </c>
      <c r="O48" s="228">
        <v>0</v>
      </c>
      <c r="P48" s="230">
        <v>0</v>
      </c>
      <c r="Q48" s="230">
        <v>0</v>
      </c>
      <c r="R48" s="234">
        <f t="shared" si="1"/>
        <v>0</v>
      </c>
      <c r="V48" s="233" t="s">
        <v>302</v>
      </c>
      <c r="W48" s="228">
        <v>0</v>
      </c>
      <c r="X48" s="230">
        <v>0</v>
      </c>
      <c r="Y48" s="230">
        <v>0</v>
      </c>
      <c r="Z48" s="234">
        <v>0</v>
      </c>
      <c r="AB48" s="233" t="s">
        <v>302</v>
      </c>
      <c r="AC48" s="228">
        <v>0</v>
      </c>
      <c r="AD48" s="230">
        <v>0</v>
      </c>
      <c r="AE48" s="230">
        <v>0</v>
      </c>
      <c r="AF48" s="234">
        <v>0</v>
      </c>
      <c r="AJ48" s="233" t="s">
        <v>302</v>
      </c>
      <c r="AK48" s="228">
        <v>0</v>
      </c>
      <c r="AL48" s="230">
        <v>0</v>
      </c>
      <c r="AM48" s="230">
        <v>0</v>
      </c>
      <c r="AN48" s="234">
        <v>0</v>
      </c>
      <c r="AP48" s="233" t="s">
        <v>302</v>
      </c>
      <c r="AQ48" s="228">
        <v>0</v>
      </c>
      <c r="AR48" s="230">
        <v>0</v>
      </c>
      <c r="AS48" s="230">
        <v>0</v>
      </c>
      <c r="AT48" s="234">
        <v>0</v>
      </c>
    </row>
    <row r="49" spans="2:46" x14ac:dyDescent="0.25">
      <c r="B49" s="233" t="s">
        <v>303</v>
      </c>
      <c r="C49" s="228">
        <v>0</v>
      </c>
      <c r="D49" s="230">
        <v>0</v>
      </c>
      <c r="E49" s="230">
        <v>0</v>
      </c>
      <c r="F49" s="234">
        <v>0</v>
      </c>
      <c r="H49" s="233" t="s">
        <v>303</v>
      </c>
      <c r="I49" s="228">
        <v>0</v>
      </c>
      <c r="J49" s="230">
        <v>0</v>
      </c>
      <c r="K49" s="230">
        <v>0</v>
      </c>
      <c r="L49" s="234">
        <v>0</v>
      </c>
      <c r="M49" s="230"/>
      <c r="N49" s="233" t="s">
        <v>303</v>
      </c>
      <c r="O49" s="228">
        <v>0</v>
      </c>
      <c r="P49" s="230">
        <v>0</v>
      </c>
      <c r="Q49" s="230">
        <v>0</v>
      </c>
      <c r="R49" s="234">
        <f t="shared" si="1"/>
        <v>0</v>
      </c>
      <c r="V49" s="233" t="s">
        <v>303</v>
      </c>
      <c r="W49" s="228">
        <v>0</v>
      </c>
      <c r="X49" s="230">
        <v>0</v>
      </c>
      <c r="Y49" s="230">
        <v>0</v>
      </c>
      <c r="Z49" s="234">
        <v>0</v>
      </c>
      <c r="AB49" s="233" t="s">
        <v>303</v>
      </c>
      <c r="AC49" s="228">
        <v>0</v>
      </c>
      <c r="AD49" s="230">
        <v>0</v>
      </c>
      <c r="AE49" s="230">
        <v>0</v>
      </c>
      <c r="AF49" s="234">
        <v>0</v>
      </c>
      <c r="AJ49" s="233" t="s">
        <v>303</v>
      </c>
      <c r="AK49" s="228">
        <v>0</v>
      </c>
      <c r="AL49" s="230">
        <v>0</v>
      </c>
      <c r="AM49" s="230">
        <v>0</v>
      </c>
      <c r="AN49" s="234">
        <v>0</v>
      </c>
      <c r="AP49" s="233" t="s">
        <v>303</v>
      </c>
      <c r="AQ49" s="228">
        <v>0</v>
      </c>
      <c r="AR49" s="230">
        <v>0</v>
      </c>
      <c r="AS49" s="230">
        <v>0</v>
      </c>
      <c r="AT49" s="234">
        <v>0</v>
      </c>
    </row>
    <row r="50" spans="2:46" x14ac:dyDescent="0.25">
      <c r="B50" s="236" t="s">
        <v>1</v>
      </c>
      <c r="C50" s="237">
        <v>59</v>
      </c>
      <c r="D50" s="238">
        <v>15</v>
      </c>
      <c r="E50" s="238">
        <v>89</v>
      </c>
      <c r="F50" s="239">
        <v>163</v>
      </c>
      <c r="H50" s="236" t="s">
        <v>1</v>
      </c>
      <c r="I50" s="237">
        <v>29633.513191228813</v>
      </c>
      <c r="J50" s="238">
        <v>3806.1336954283902</v>
      </c>
      <c r="K50" s="238">
        <v>23916.940878095742</v>
      </c>
      <c r="L50" s="239">
        <v>57356.587764752941</v>
      </c>
      <c r="M50" s="230"/>
      <c r="N50" s="236" t="s">
        <v>1</v>
      </c>
      <c r="O50" s="237">
        <f>SUM(O30:O49)</f>
        <v>27621.772607978586</v>
      </c>
      <c r="P50" s="238">
        <f>SUM(P30:P49)</f>
        <v>3806.1336954283902</v>
      </c>
      <c r="Q50" s="238">
        <f>SUM(Q30:Q49)</f>
        <v>23916.940878095742</v>
      </c>
      <c r="R50" s="239">
        <f>SUM(R30:R49)</f>
        <v>55344.847181502722</v>
      </c>
      <c r="V50" s="236" t="s">
        <v>1</v>
      </c>
      <c r="W50" s="237">
        <v>0</v>
      </c>
      <c r="X50" s="238">
        <v>0</v>
      </c>
      <c r="Y50" s="238">
        <v>10</v>
      </c>
      <c r="Z50" s="239">
        <v>10</v>
      </c>
      <c r="AB50" s="236" t="s">
        <v>1</v>
      </c>
      <c r="AC50" s="237">
        <v>0</v>
      </c>
      <c r="AD50" s="238">
        <v>0</v>
      </c>
      <c r="AE50" s="238">
        <v>179.44498460756424</v>
      </c>
      <c r="AF50" s="239">
        <v>179.44498460756424</v>
      </c>
      <c r="AJ50" s="236" t="s">
        <v>1</v>
      </c>
      <c r="AK50" s="237">
        <v>0</v>
      </c>
      <c r="AL50" s="238">
        <v>0</v>
      </c>
      <c r="AM50" s="238">
        <v>18</v>
      </c>
      <c r="AN50" s="239">
        <v>18</v>
      </c>
      <c r="AP50" s="236" t="s">
        <v>1</v>
      </c>
      <c r="AQ50" s="237">
        <v>0</v>
      </c>
      <c r="AR50" s="238">
        <v>0</v>
      </c>
      <c r="AS50" s="238">
        <v>1191.9528845367506</v>
      </c>
      <c r="AT50" s="239">
        <v>1191.9528845367506</v>
      </c>
    </row>
    <row r="51" spans="2:46" x14ac:dyDescent="0.25">
      <c r="C51" s="228"/>
      <c r="D51" s="230"/>
      <c r="E51" s="230"/>
      <c r="F51" s="230"/>
      <c r="I51" s="228"/>
      <c r="J51" s="230"/>
      <c r="K51" s="230"/>
      <c r="L51" s="230"/>
      <c r="M51" s="230"/>
      <c r="O51" s="228"/>
      <c r="P51" s="230"/>
      <c r="Q51" s="230"/>
      <c r="R51" s="230"/>
      <c r="W51" s="228"/>
      <c r="X51" s="230"/>
      <c r="Y51" s="230"/>
      <c r="Z51" s="230"/>
      <c r="AC51" s="228"/>
      <c r="AD51" s="230"/>
      <c r="AE51" s="230"/>
      <c r="AF51" s="230"/>
      <c r="AK51" s="228"/>
      <c r="AL51" s="230"/>
      <c r="AM51" s="230"/>
      <c r="AN51" s="230"/>
      <c r="AQ51" s="228"/>
      <c r="AR51" s="230"/>
      <c r="AS51" s="230"/>
      <c r="AT51" s="230"/>
    </row>
    <row r="52" spans="2:46" x14ac:dyDescent="0.25">
      <c r="B52" t="s">
        <v>248</v>
      </c>
      <c r="C52" s="228"/>
      <c r="D52" s="230"/>
      <c r="E52" s="230"/>
      <c r="F52" s="230"/>
      <c r="H52" t="s">
        <v>248</v>
      </c>
      <c r="I52" s="228"/>
      <c r="J52" s="230"/>
      <c r="K52" s="230"/>
      <c r="L52" s="230"/>
      <c r="M52" s="230"/>
      <c r="N52" t="s">
        <v>248</v>
      </c>
      <c r="O52" s="228"/>
      <c r="P52" s="230"/>
      <c r="Q52" s="230"/>
      <c r="R52" s="230"/>
      <c r="V52" t="s">
        <v>248</v>
      </c>
      <c r="W52" s="228"/>
      <c r="X52" s="230"/>
      <c r="Y52" s="230"/>
      <c r="Z52" s="230"/>
      <c r="AB52" t="s">
        <v>248</v>
      </c>
      <c r="AC52" s="228"/>
      <c r="AD52" s="230"/>
      <c r="AE52" s="230"/>
      <c r="AF52" s="230"/>
      <c r="AJ52" t="s">
        <v>248</v>
      </c>
      <c r="AK52" s="228"/>
      <c r="AL52" s="230"/>
      <c r="AM52" s="230"/>
      <c r="AN52" s="230"/>
      <c r="AP52" t="s">
        <v>248</v>
      </c>
      <c r="AQ52" s="228"/>
      <c r="AR52" s="230"/>
      <c r="AS52" s="230"/>
      <c r="AT52" s="230"/>
    </row>
    <row r="53" spans="2:46" x14ac:dyDescent="0.25">
      <c r="B53" s="236" t="s">
        <v>290</v>
      </c>
      <c r="C53" s="237" t="s">
        <v>7</v>
      </c>
      <c r="D53" s="238" t="s">
        <v>8</v>
      </c>
      <c r="E53" s="238" t="s">
        <v>9</v>
      </c>
      <c r="F53" s="239" t="s">
        <v>1</v>
      </c>
      <c r="H53" s="236" t="s">
        <v>290</v>
      </c>
      <c r="I53" s="237" t="s">
        <v>7</v>
      </c>
      <c r="J53" s="238" t="s">
        <v>8</v>
      </c>
      <c r="K53" s="238" t="s">
        <v>9</v>
      </c>
      <c r="L53" s="239" t="s">
        <v>1</v>
      </c>
      <c r="M53" s="230"/>
      <c r="N53" s="236" t="s">
        <v>290</v>
      </c>
      <c r="O53" s="237" t="s">
        <v>7</v>
      </c>
      <c r="P53" s="238" t="s">
        <v>8</v>
      </c>
      <c r="Q53" s="238" t="s">
        <v>9</v>
      </c>
      <c r="R53" s="239" t="s">
        <v>1</v>
      </c>
      <c r="V53" s="236" t="s">
        <v>290</v>
      </c>
      <c r="W53" s="237" t="s">
        <v>7</v>
      </c>
      <c r="X53" s="238" t="s">
        <v>8</v>
      </c>
      <c r="Y53" s="238" t="s">
        <v>9</v>
      </c>
      <c r="Z53" s="239" t="s">
        <v>1</v>
      </c>
      <c r="AB53" s="236" t="s">
        <v>290</v>
      </c>
      <c r="AC53" s="237" t="s">
        <v>7</v>
      </c>
      <c r="AD53" s="238" t="s">
        <v>8</v>
      </c>
      <c r="AE53" s="238" t="s">
        <v>9</v>
      </c>
      <c r="AF53" s="239" t="s">
        <v>1</v>
      </c>
      <c r="AJ53" s="236" t="s">
        <v>290</v>
      </c>
      <c r="AK53" s="237" t="s">
        <v>7</v>
      </c>
      <c r="AL53" s="238" t="s">
        <v>8</v>
      </c>
      <c r="AM53" s="238" t="s">
        <v>9</v>
      </c>
      <c r="AN53" s="239" t="s">
        <v>1</v>
      </c>
      <c r="AP53" s="236" t="s">
        <v>290</v>
      </c>
      <c r="AQ53" s="237" t="s">
        <v>7</v>
      </c>
      <c r="AR53" s="238" t="s">
        <v>8</v>
      </c>
      <c r="AS53" s="238" t="s">
        <v>9</v>
      </c>
      <c r="AT53" s="239" t="s">
        <v>1</v>
      </c>
    </row>
    <row r="54" spans="2:46" x14ac:dyDescent="0.25">
      <c r="B54" s="233" t="s">
        <v>291</v>
      </c>
      <c r="C54" s="228">
        <v>0</v>
      </c>
      <c r="D54" s="230">
        <v>0</v>
      </c>
      <c r="E54" s="230">
        <v>16</v>
      </c>
      <c r="F54" s="234">
        <v>16</v>
      </c>
      <c r="H54" s="233" t="s">
        <v>291</v>
      </c>
      <c r="I54" s="242">
        <v>0</v>
      </c>
      <c r="J54" s="230">
        <v>0</v>
      </c>
      <c r="K54" s="230">
        <v>23182.324659259903</v>
      </c>
      <c r="L54" s="234">
        <v>23182.324659259903</v>
      </c>
      <c r="M54" s="230"/>
      <c r="N54" s="233" t="s">
        <v>291</v>
      </c>
      <c r="O54" s="242">
        <v>0</v>
      </c>
      <c r="P54" s="230">
        <v>0</v>
      </c>
      <c r="Q54" s="230">
        <v>23182.324659259903</v>
      </c>
      <c r="R54" s="234">
        <f>SUM(O54:Q54)</f>
        <v>23182.324659259903</v>
      </c>
      <c r="V54" s="233" t="s">
        <v>291</v>
      </c>
      <c r="W54" s="228">
        <v>0</v>
      </c>
      <c r="X54" s="230">
        <v>0</v>
      </c>
      <c r="Y54" s="230">
        <v>8</v>
      </c>
      <c r="Z54" s="234">
        <v>8</v>
      </c>
      <c r="AB54" s="233" t="s">
        <v>291</v>
      </c>
      <c r="AC54" s="228">
        <v>0</v>
      </c>
      <c r="AD54" s="230">
        <v>0</v>
      </c>
      <c r="AE54" s="230">
        <v>10429.30715039262</v>
      </c>
      <c r="AF54" s="234">
        <v>10429.30715039262</v>
      </c>
      <c r="AJ54" s="233" t="s">
        <v>291</v>
      </c>
      <c r="AK54" s="228">
        <v>0</v>
      </c>
      <c r="AL54" s="230">
        <v>0</v>
      </c>
      <c r="AM54" s="230">
        <v>8</v>
      </c>
      <c r="AN54" s="234">
        <v>8</v>
      </c>
      <c r="AP54" s="233" t="s">
        <v>291</v>
      </c>
      <c r="AQ54" s="228">
        <v>0</v>
      </c>
      <c r="AR54" s="230">
        <v>0</v>
      </c>
      <c r="AS54" s="230">
        <v>10429.30715039262</v>
      </c>
      <c r="AT54" s="234">
        <v>10429.30715039262</v>
      </c>
    </row>
    <row r="55" spans="2:46" x14ac:dyDescent="0.25">
      <c r="B55" s="233" t="s">
        <v>292</v>
      </c>
      <c r="C55" s="228">
        <v>0</v>
      </c>
      <c r="D55" s="230">
        <v>6</v>
      </c>
      <c r="E55" s="230">
        <v>91</v>
      </c>
      <c r="F55" s="234">
        <v>97</v>
      </c>
      <c r="H55" s="233" t="s">
        <v>292</v>
      </c>
      <c r="I55" s="228">
        <v>0</v>
      </c>
      <c r="J55" s="230">
        <v>5622.437958165533</v>
      </c>
      <c r="K55" s="230">
        <v>62985.183479964486</v>
      </c>
      <c r="L55" s="234">
        <v>68607.621438130023</v>
      </c>
      <c r="M55" s="230"/>
      <c r="N55" s="233" t="s">
        <v>292</v>
      </c>
      <c r="O55" s="228">
        <v>0</v>
      </c>
      <c r="P55" s="230">
        <v>5622.437958165533</v>
      </c>
      <c r="Q55" s="230">
        <v>62985.183479964486</v>
      </c>
      <c r="R55" s="234">
        <f t="shared" ref="R55:R73" si="2">SUM(O55:Q55)</f>
        <v>68607.621438130023</v>
      </c>
      <c r="V55" s="233" t="s">
        <v>292</v>
      </c>
      <c r="W55" s="228">
        <v>0</v>
      </c>
      <c r="X55" s="230">
        <v>0</v>
      </c>
      <c r="Y55" s="230">
        <v>5</v>
      </c>
      <c r="Z55" s="234">
        <v>5</v>
      </c>
      <c r="AB55" s="233" t="s">
        <v>292</v>
      </c>
      <c r="AC55" s="228">
        <v>0</v>
      </c>
      <c r="AD55" s="230">
        <v>0</v>
      </c>
      <c r="AE55" s="230">
        <v>4494.265339297257</v>
      </c>
      <c r="AF55" s="234">
        <v>4494.265339297257</v>
      </c>
      <c r="AJ55" s="233" t="s">
        <v>292</v>
      </c>
      <c r="AK55" s="228">
        <v>0</v>
      </c>
      <c r="AL55" s="230">
        <v>0</v>
      </c>
      <c r="AM55" s="230">
        <v>8</v>
      </c>
      <c r="AN55" s="234">
        <v>8</v>
      </c>
      <c r="AP55" s="233" t="s">
        <v>292</v>
      </c>
      <c r="AQ55" s="228">
        <v>0</v>
      </c>
      <c r="AR55" s="230">
        <v>0</v>
      </c>
      <c r="AS55" s="230">
        <v>8421.627559048542</v>
      </c>
      <c r="AT55" s="234">
        <v>8421.627559048542</v>
      </c>
    </row>
    <row r="56" spans="2:46" x14ac:dyDescent="0.25">
      <c r="B56" s="233" t="s">
        <v>293</v>
      </c>
      <c r="C56">
        <v>1</v>
      </c>
      <c r="D56">
        <v>24</v>
      </c>
      <c r="E56">
        <v>139</v>
      </c>
      <c r="F56" s="233">
        <v>164</v>
      </c>
      <c r="H56" s="233" t="s">
        <v>293</v>
      </c>
      <c r="I56">
        <v>270.29733491500031</v>
      </c>
      <c r="J56">
        <v>9735.0556556860611</v>
      </c>
      <c r="K56">
        <v>122706.94665404069</v>
      </c>
      <c r="L56" s="233">
        <v>132712.29964464175</v>
      </c>
      <c r="M56" s="230"/>
      <c r="N56" s="233" t="s">
        <v>293</v>
      </c>
      <c r="O56">
        <v>270.29733491500031</v>
      </c>
      <c r="P56">
        <v>9735.0556556860611</v>
      </c>
      <c r="Q56">
        <v>122706.94665404069</v>
      </c>
      <c r="R56" s="233">
        <f t="shared" si="2"/>
        <v>132712.29964464175</v>
      </c>
      <c r="V56" s="233" t="s">
        <v>293</v>
      </c>
      <c r="W56">
        <v>0</v>
      </c>
      <c r="X56">
        <v>0</v>
      </c>
      <c r="Y56">
        <v>21</v>
      </c>
      <c r="Z56" s="233">
        <v>21</v>
      </c>
      <c r="AB56" s="233" t="s">
        <v>293</v>
      </c>
      <c r="AC56">
        <v>0</v>
      </c>
      <c r="AD56">
        <v>0</v>
      </c>
      <c r="AE56">
        <v>28383.868971550983</v>
      </c>
      <c r="AF56" s="233">
        <v>28383.868971550983</v>
      </c>
      <c r="AJ56" s="233" t="s">
        <v>293</v>
      </c>
      <c r="AK56">
        <v>0</v>
      </c>
      <c r="AL56">
        <v>0</v>
      </c>
      <c r="AM56">
        <v>26</v>
      </c>
      <c r="AN56" s="233">
        <v>26</v>
      </c>
      <c r="AP56" s="233" t="s">
        <v>293</v>
      </c>
      <c r="AQ56">
        <v>0</v>
      </c>
      <c r="AR56">
        <v>0</v>
      </c>
      <c r="AS56">
        <v>46087.751436870189</v>
      </c>
      <c r="AT56" s="233">
        <v>46087.751436870189</v>
      </c>
    </row>
    <row r="57" spans="2:46" x14ac:dyDescent="0.25">
      <c r="B57" s="233" t="s">
        <v>2</v>
      </c>
      <c r="C57">
        <v>5</v>
      </c>
      <c r="D57">
        <v>15</v>
      </c>
      <c r="E57">
        <v>38</v>
      </c>
      <c r="F57" s="233">
        <v>58</v>
      </c>
      <c r="H57" s="233" t="s">
        <v>2</v>
      </c>
      <c r="I57">
        <v>7781.3601598456626</v>
      </c>
      <c r="J57">
        <v>7759.8909414593627</v>
      </c>
      <c r="K57">
        <v>29919.488448885561</v>
      </c>
      <c r="L57" s="233">
        <v>45460.739550190585</v>
      </c>
      <c r="N57" s="233" t="s">
        <v>2</v>
      </c>
      <c r="O57">
        <v>7781.3601598456626</v>
      </c>
      <c r="P57">
        <v>7759.8909414593627</v>
      </c>
      <c r="Q57">
        <v>29919.488448885561</v>
      </c>
      <c r="R57" s="233">
        <f t="shared" si="2"/>
        <v>45460.739550190585</v>
      </c>
      <c r="V57" s="233" t="s">
        <v>2</v>
      </c>
      <c r="W57">
        <v>0</v>
      </c>
      <c r="X57">
        <v>0</v>
      </c>
      <c r="Y57">
        <v>0</v>
      </c>
      <c r="Z57" s="233">
        <v>0</v>
      </c>
      <c r="AB57" s="233" t="s">
        <v>2</v>
      </c>
      <c r="AC57">
        <v>0</v>
      </c>
      <c r="AD57">
        <v>0</v>
      </c>
      <c r="AE57">
        <v>0</v>
      </c>
      <c r="AF57" s="233">
        <v>0</v>
      </c>
      <c r="AJ57" s="233" t="s">
        <v>2</v>
      </c>
      <c r="AK57">
        <v>0</v>
      </c>
      <c r="AL57">
        <v>0</v>
      </c>
      <c r="AM57">
        <v>2</v>
      </c>
      <c r="AN57" s="233">
        <v>2</v>
      </c>
      <c r="AP57" s="233" t="s">
        <v>2</v>
      </c>
      <c r="AQ57">
        <v>0</v>
      </c>
      <c r="AR57">
        <v>0</v>
      </c>
      <c r="AS57">
        <v>206.35171244833089</v>
      </c>
      <c r="AT57" s="233">
        <v>206.35171244833089</v>
      </c>
    </row>
    <row r="58" spans="2:46" x14ac:dyDescent="0.25">
      <c r="B58" s="233" t="s">
        <v>31</v>
      </c>
      <c r="C58">
        <v>4</v>
      </c>
      <c r="D58">
        <v>9</v>
      </c>
      <c r="E58">
        <v>16</v>
      </c>
      <c r="F58" s="233">
        <v>29</v>
      </c>
      <c r="H58" s="233" t="s">
        <v>31</v>
      </c>
      <c r="I58">
        <v>698.39651153799582</v>
      </c>
      <c r="J58">
        <v>5603.2330761682424</v>
      </c>
      <c r="K58">
        <v>5364.5117837813505</v>
      </c>
      <c r="L58" s="233">
        <v>11666.141371487589</v>
      </c>
      <c r="N58" s="233" t="s">
        <v>31</v>
      </c>
      <c r="O58">
        <v>698.39651153799582</v>
      </c>
      <c r="P58">
        <v>5603.2330761682424</v>
      </c>
      <c r="Q58">
        <v>5364.5117837813505</v>
      </c>
      <c r="R58" s="233">
        <f t="shared" si="2"/>
        <v>11666.141371487589</v>
      </c>
      <c r="V58" s="233" t="s">
        <v>31</v>
      </c>
      <c r="W58">
        <v>0</v>
      </c>
      <c r="X58">
        <v>0</v>
      </c>
      <c r="Y58">
        <v>0</v>
      </c>
      <c r="Z58" s="233">
        <v>0</v>
      </c>
      <c r="AB58" s="233" t="s">
        <v>31</v>
      </c>
      <c r="AC58">
        <v>0</v>
      </c>
      <c r="AD58">
        <v>0</v>
      </c>
      <c r="AE58">
        <v>0</v>
      </c>
      <c r="AF58" s="233">
        <v>0</v>
      </c>
      <c r="AJ58" s="233" t="s">
        <v>31</v>
      </c>
      <c r="AK58">
        <v>0</v>
      </c>
      <c r="AL58">
        <v>0</v>
      </c>
      <c r="AM58">
        <v>0</v>
      </c>
      <c r="AN58" s="233">
        <v>0</v>
      </c>
      <c r="AP58" s="233" t="s">
        <v>31</v>
      </c>
      <c r="AQ58">
        <v>0</v>
      </c>
      <c r="AR58">
        <v>0</v>
      </c>
      <c r="AS58">
        <v>0</v>
      </c>
      <c r="AT58" s="233">
        <v>0</v>
      </c>
    </row>
    <row r="59" spans="2:46" x14ac:dyDescent="0.25">
      <c r="B59" s="233" t="s">
        <v>294</v>
      </c>
      <c r="C59" s="232">
        <v>2</v>
      </c>
      <c r="D59" s="231">
        <v>9</v>
      </c>
      <c r="E59" s="231">
        <v>10</v>
      </c>
      <c r="F59" s="235">
        <v>21</v>
      </c>
      <c r="H59" s="233" t="s">
        <v>294</v>
      </c>
      <c r="I59" s="232">
        <v>446.01291695397242</v>
      </c>
      <c r="J59" s="231">
        <v>5144.1552304853085</v>
      </c>
      <c r="K59" s="231">
        <v>6534.1522883828293</v>
      </c>
      <c r="L59" s="235">
        <v>12124.32043582211</v>
      </c>
      <c r="N59" s="233" t="s">
        <v>294</v>
      </c>
      <c r="O59" s="232">
        <v>446.01291695397242</v>
      </c>
      <c r="P59" s="231">
        <v>5144.1552304853085</v>
      </c>
      <c r="Q59" s="231">
        <v>6534.1522883828293</v>
      </c>
      <c r="R59" s="235">
        <f t="shared" si="2"/>
        <v>12124.32043582211</v>
      </c>
      <c r="V59" s="233" t="s">
        <v>294</v>
      </c>
      <c r="W59" s="232">
        <v>0</v>
      </c>
      <c r="X59" s="231">
        <v>0</v>
      </c>
      <c r="Y59" s="231">
        <v>0</v>
      </c>
      <c r="Z59" s="235">
        <v>0</v>
      </c>
      <c r="AB59" s="233" t="s">
        <v>294</v>
      </c>
      <c r="AC59" s="232">
        <v>0</v>
      </c>
      <c r="AD59" s="231">
        <v>0</v>
      </c>
      <c r="AE59" s="231">
        <v>0</v>
      </c>
      <c r="AF59" s="235">
        <v>0</v>
      </c>
      <c r="AJ59" s="233" t="s">
        <v>294</v>
      </c>
      <c r="AK59" s="232">
        <v>0</v>
      </c>
      <c r="AL59" s="231">
        <v>0</v>
      </c>
      <c r="AM59" s="231">
        <v>0</v>
      </c>
      <c r="AN59" s="235">
        <v>0</v>
      </c>
      <c r="AP59" s="233" t="s">
        <v>294</v>
      </c>
      <c r="AQ59" s="232">
        <v>0</v>
      </c>
      <c r="AR59" s="231">
        <v>0</v>
      </c>
      <c r="AS59" s="231">
        <v>0</v>
      </c>
      <c r="AT59" s="235">
        <v>0</v>
      </c>
    </row>
    <row r="60" spans="2:46" x14ac:dyDescent="0.25">
      <c r="B60" s="233" t="s">
        <v>345</v>
      </c>
      <c r="C60" s="228">
        <v>0</v>
      </c>
      <c r="D60" s="230">
        <v>1</v>
      </c>
      <c r="E60" s="230">
        <v>2</v>
      </c>
      <c r="F60" s="234">
        <v>3</v>
      </c>
      <c r="H60" s="233" t="s">
        <v>345</v>
      </c>
      <c r="I60" s="228">
        <v>0</v>
      </c>
      <c r="J60" s="230">
        <v>156.82451877177766</v>
      </c>
      <c r="K60" s="230">
        <v>312.5327730611225</v>
      </c>
      <c r="L60" s="234">
        <v>469.35729183290016</v>
      </c>
      <c r="M60" s="229"/>
      <c r="N60" s="233" t="s">
        <v>345</v>
      </c>
      <c r="O60" s="228">
        <v>0</v>
      </c>
      <c r="P60" s="230">
        <v>156.82451877177766</v>
      </c>
      <c r="Q60" s="230">
        <v>312.5327730611225</v>
      </c>
      <c r="R60" s="234">
        <f t="shared" si="2"/>
        <v>469.35729183290016</v>
      </c>
      <c r="V60" s="233" t="s">
        <v>345</v>
      </c>
      <c r="W60" s="228">
        <v>0</v>
      </c>
      <c r="X60" s="230">
        <v>0</v>
      </c>
      <c r="Y60" s="230">
        <v>0</v>
      </c>
      <c r="Z60" s="234">
        <v>0</v>
      </c>
      <c r="AB60" s="233" t="s">
        <v>345</v>
      </c>
      <c r="AC60" s="228">
        <v>0</v>
      </c>
      <c r="AD60" s="230">
        <v>0</v>
      </c>
      <c r="AE60" s="230">
        <v>0</v>
      </c>
      <c r="AF60" s="234">
        <v>0</v>
      </c>
      <c r="AJ60" s="233" t="s">
        <v>345</v>
      </c>
      <c r="AK60" s="228">
        <v>0</v>
      </c>
      <c r="AL60" s="230">
        <v>0</v>
      </c>
      <c r="AM60" s="230">
        <v>0</v>
      </c>
      <c r="AN60" s="234">
        <v>0</v>
      </c>
      <c r="AP60" s="233" t="s">
        <v>345</v>
      </c>
      <c r="AQ60" s="228">
        <v>0</v>
      </c>
      <c r="AR60" s="230">
        <v>0</v>
      </c>
      <c r="AS60" s="230">
        <v>0</v>
      </c>
      <c r="AT60" s="234">
        <v>0</v>
      </c>
    </row>
    <row r="61" spans="2:46" x14ac:dyDescent="0.25">
      <c r="B61" s="233" t="s">
        <v>310</v>
      </c>
      <c r="C61" s="228">
        <v>0</v>
      </c>
      <c r="D61" s="230">
        <v>0</v>
      </c>
      <c r="E61" s="230">
        <v>0</v>
      </c>
      <c r="F61" s="234">
        <v>0</v>
      </c>
      <c r="H61" s="233" t="s">
        <v>310</v>
      </c>
      <c r="I61" s="228">
        <v>0</v>
      </c>
      <c r="J61" s="230">
        <v>0</v>
      </c>
      <c r="K61" s="230">
        <v>0</v>
      </c>
      <c r="L61" s="234">
        <v>0</v>
      </c>
      <c r="M61" s="230"/>
      <c r="N61" s="233" t="s">
        <v>310</v>
      </c>
      <c r="O61" s="228">
        <v>0</v>
      </c>
      <c r="P61" s="230">
        <v>0</v>
      </c>
      <c r="Q61" s="230">
        <v>0</v>
      </c>
      <c r="R61" s="234">
        <f>SUM(O61:Q61)</f>
        <v>0</v>
      </c>
      <c r="V61" s="233" t="s">
        <v>310</v>
      </c>
      <c r="W61" s="228">
        <v>0</v>
      </c>
      <c r="X61" s="230">
        <v>0</v>
      </c>
      <c r="Y61" s="230">
        <v>0</v>
      </c>
      <c r="Z61" s="234">
        <v>0</v>
      </c>
      <c r="AB61" s="233" t="s">
        <v>310</v>
      </c>
      <c r="AC61" s="228">
        <v>0</v>
      </c>
      <c r="AD61" s="230">
        <v>0</v>
      </c>
      <c r="AE61" s="230">
        <v>0</v>
      </c>
      <c r="AF61" s="234">
        <v>0</v>
      </c>
      <c r="AJ61" s="233" t="s">
        <v>310</v>
      </c>
      <c r="AK61" s="228">
        <v>0</v>
      </c>
      <c r="AL61" s="230">
        <v>0</v>
      </c>
      <c r="AM61" s="230">
        <v>0</v>
      </c>
      <c r="AN61" s="234">
        <v>0</v>
      </c>
      <c r="AP61" s="233" t="s">
        <v>310</v>
      </c>
      <c r="AQ61" s="228">
        <v>0</v>
      </c>
      <c r="AR61" s="230">
        <v>0</v>
      </c>
      <c r="AS61" s="230">
        <v>0</v>
      </c>
      <c r="AT61" s="234">
        <v>0</v>
      </c>
    </row>
    <row r="62" spans="2:46" x14ac:dyDescent="0.25">
      <c r="B62" s="233" t="s">
        <v>295</v>
      </c>
      <c r="C62" s="228">
        <v>0</v>
      </c>
      <c r="D62" s="230">
        <v>0</v>
      </c>
      <c r="E62" s="230">
        <v>0</v>
      </c>
      <c r="F62" s="234">
        <v>0</v>
      </c>
      <c r="H62" s="233" t="s">
        <v>295</v>
      </c>
      <c r="I62" s="228">
        <v>0</v>
      </c>
      <c r="J62" s="230">
        <v>0</v>
      </c>
      <c r="K62" s="230">
        <v>0</v>
      </c>
      <c r="L62" s="234">
        <v>0</v>
      </c>
      <c r="M62" s="230"/>
      <c r="N62" s="233" t="s">
        <v>295</v>
      </c>
      <c r="O62" s="228">
        <v>0</v>
      </c>
      <c r="P62" s="230">
        <v>0</v>
      </c>
      <c r="Q62" s="230">
        <v>0</v>
      </c>
      <c r="R62" s="234">
        <f t="shared" si="2"/>
        <v>0</v>
      </c>
      <c r="V62" s="233" t="s">
        <v>295</v>
      </c>
      <c r="W62" s="228">
        <v>0</v>
      </c>
      <c r="X62" s="230">
        <v>0</v>
      </c>
      <c r="Y62" s="230">
        <v>0</v>
      </c>
      <c r="Z62" s="234">
        <v>0</v>
      </c>
      <c r="AB62" s="233" t="s">
        <v>295</v>
      </c>
      <c r="AC62" s="228">
        <v>0</v>
      </c>
      <c r="AD62" s="230">
        <v>0</v>
      </c>
      <c r="AE62" s="230">
        <v>0</v>
      </c>
      <c r="AF62" s="234">
        <v>0</v>
      </c>
      <c r="AJ62" s="233" t="s">
        <v>295</v>
      </c>
      <c r="AK62" s="228">
        <v>0</v>
      </c>
      <c r="AL62" s="230">
        <v>0</v>
      </c>
      <c r="AM62" s="230">
        <v>0</v>
      </c>
      <c r="AN62" s="234">
        <v>0</v>
      </c>
      <c r="AP62" s="233" t="s">
        <v>295</v>
      </c>
      <c r="AQ62" s="228">
        <v>0</v>
      </c>
      <c r="AR62" s="230">
        <v>0</v>
      </c>
      <c r="AS62" s="230">
        <v>0</v>
      </c>
      <c r="AT62" s="234">
        <v>0</v>
      </c>
    </row>
    <row r="63" spans="2:46" x14ac:dyDescent="0.25">
      <c r="B63" s="233" t="s">
        <v>296</v>
      </c>
      <c r="C63" s="228">
        <v>1</v>
      </c>
      <c r="D63" s="230">
        <v>0</v>
      </c>
      <c r="E63" s="230">
        <v>3</v>
      </c>
      <c r="F63" s="234">
        <v>4</v>
      </c>
      <c r="H63" s="233" t="s">
        <v>296</v>
      </c>
      <c r="I63" s="228">
        <v>107.57076930231574</v>
      </c>
      <c r="J63" s="230">
        <v>0</v>
      </c>
      <c r="K63" s="230">
        <v>214.9621738790664</v>
      </c>
      <c r="L63" s="234">
        <v>322.53294318138217</v>
      </c>
      <c r="M63" s="230"/>
      <c r="N63" s="233" t="s">
        <v>296</v>
      </c>
      <c r="O63" s="228">
        <v>107.57076930231574</v>
      </c>
      <c r="P63" s="230">
        <v>0</v>
      </c>
      <c r="Q63" s="230">
        <v>214.9621738790664</v>
      </c>
      <c r="R63" s="234">
        <f t="shared" si="2"/>
        <v>322.53294318138217</v>
      </c>
      <c r="V63" s="233" t="s">
        <v>296</v>
      </c>
      <c r="W63" s="228">
        <v>0</v>
      </c>
      <c r="X63" s="230">
        <v>0</v>
      </c>
      <c r="Y63" s="230">
        <v>0</v>
      </c>
      <c r="Z63" s="234">
        <v>0</v>
      </c>
      <c r="AB63" s="233" t="s">
        <v>296</v>
      </c>
      <c r="AC63" s="228">
        <v>0</v>
      </c>
      <c r="AD63" s="230">
        <v>0</v>
      </c>
      <c r="AE63" s="230">
        <v>0</v>
      </c>
      <c r="AF63" s="234">
        <v>0</v>
      </c>
      <c r="AJ63" s="233" t="s">
        <v>296</v>
      </c>
      <c r="AK63" s="228">
        <v>0</v>
      </c>
      <c r="AL63" s="230">
        <v>0</v>
      </c>
      <c r="AM63" s="230">
        <v>0</v>
      </c>
      <c r="AN63" s="234">
        <v>0</v>
      </c>
      <c r="AP63" s="233" t="s">
        <v>296</v>
      </c>
      <c r="AQ63" s="228">
        <v>0</v>
      </c>
      <c r="AR63" s="230">
        <v>0</v>
      </c>
      <c r="AS63" s="230">
        <v>0</v>
      </c>
      <c r="AT63" s="234">
        <v>0</v>
      </c>
    </row>
    <row r="64" spans="2:46" x14ac:dyDescent="0.25">
      <c r="B64" s="233" t="s">
        <v>297</v>
      </c>
      <c r="C64" s="228">
        <v>0</v>
      </c>
      <c r="D64" s="230">
        <v>0</v>
      </c>
      <c r="E64" s="230">
        <v>1</v>
      </c>
      <c r="F64" s="234">
        <v>1</v>
      </c>
      <c r="H64" s="233" t="s">
        <v>297</v>
      </c>
      <c r="I64" s="228">
        <v>0</v>
      </c>
      <c r="J64" s="230">
        <v>0</v>
      </c>
      <c r="K64" s="230">
        <v>157.48780682457382</v>
      </c>
      <c r="L64" s="234">
        <v>157.48780682457382</v>
      </c>
      <c r="M64" s="230"/>
      <c r="N64" s="233" t="s">
        <v>297</v>
      </c>
      <c r="O64" s="228">
        <v>0</v>
      </c>
      <c r="P64" s="230">
        <v>0</v>
      </c>
      <c r="Q64" s="230">
        <v>157.48780682457382</v>
      </c>
      <c r="R64" s="234">
        <f t="shared" si="2"/>
        <v>157.48780682457382</v>
      </c>
      <c r="V64" s="233" t="s">
        <v>297</v>
      </c>
      <c r="W64" s="228">
        <v>0</v>
      </c>
      <c r="X64" s="230">
        <v>0</v>
      </c>
      <c r="Y64" s="230">
        <v>0</v>
      </c>
      <c r="Z64" s="234">
        <v>0</v>
      </c>
      <c r="AB64" s="233" t="s">
        <v>297</v>
      </c>
      <c r="AC64" s="228">
        <v>0</v>
      </c>
      <c r="AD64" s="230">
        <v>0</v>
      </c>
      <c r="AE64" s="230">
        <v>0</v>
      </c>
      <c r="AF64" s="234">
        <v>0</v>
      </c>
      <c r="AJ64" s="233" t="s">
        <v>297</v>
      </c>
      <c r="AK64" s="228">
        <v>0</v>
      </c>
      <c r="AL64" s="230">
        <v>0</v>
      </c>
      <c r="AM64" s="230">
        <v>0</v>
      </c>
      <c r="AN64" s="234">
        <v>0</v>
      </c>
      <c r="AP64" s="233" t="s">
        <v>297</v>
      </c>
      <c r="AQ64" s="228">
        <v>0</v>
      </c>
      <c r="AR64" s="230">
        <v>0</v>
      </c>
      <c r="AS64" s="230">
        <v>0</v>
      </c>
      <c r="AT64" s="234">
        <v>0</v>
      </c>
    </row>
    <row r="65" spans="2:46" x14ac:dyDescent="0.25">
      <c r="B65" s="233" t="s">
        <v>298</v>
      </c>
      <c r="C65" s="228">
        <v>0</v>
      </c>
      <c r="D65" s="230">
        <v>1</v>
      </c>
      <c r="E65" s="230">
        <v>1</v>
      </c>
      <c r="F65" s="234">
        <v>2</v>
      </c>
      <c r="H65" s="233" t="s">
        <v>298</v>
      </c>
      <c r="I65" s="242">
        <v>0</v>
      </c>
      <c r="J65" s="230">
        <v>3660.4146948909047</v>
      </c>
      <c r="K65" s="230">
        <v>94.53930078721416</v>
      </c>
      <c r="L65" s="234">
        <v>3754.9539956781186</v>
      </c>
      <c r="M65" s="230"/>
      <c r="N65" s="233" t="s">
        <v>298</v>
      </c>
      <c r="O65" s="242">
        <v>0</v>
      </c>
      <c r="P65" s="230">
        <v>3660.4146948909047</v>
      </c>
      <c r="Q65" s="230">
        <v>94.53930078721416</v>
      </c>
      <c r="R65" s="234">
        <f t="shared" si="2"/>
        <v>3754.9539956781186</v>
      </c>
      <c r="V65" s="233" t="s">
        <v>298</v>
      </c>
      <c r="W65" s="228">
        <v>0</v>
      </c>
      <c r="X65" s="230">
        <v>0</v>
      </c>
      <c r="Y65" s="230">
        <v>0</v>
      </c>
      <c r="Z65" s="234">
        <v>0</v>
      </c>
      <c r="AB65" s="233" t="s">
        <v>298</v>
      </c>
      <c r="AC65" s="228">
        <v>0</v>
      </c>
      <c r="AD65" s="230">
        <v>0</v>
      </c>
      <c r="AE65" s="230">
        <v>0</v>
      </c>
      <c r="AF65" s="234">
        <v>0</v>
      </c>
      <c r="AJ65" s="233" t="s">
        <v>298</v>
      </c>
      <c r="AK65" s="228">
        <v>0</v>
      </c>
      <c r="AL65" s="230">
        <v>0</v>
      </c>
      <c r="AM65" s="230">
        <v>0</v>
      </c>
      <c r="AN65" s="234">
        <v>0</v>
      </c>
      <c r="AP65" s="233" t="s">
        <v>298</v>
      </c>
      <c r="AQ65" s="228">
        <v>0</v>
      </c>
      <c r="AR65" s="230">
        <v>0</v>
      </c>
      <c r="AS65" s="230">
        <v>0</v>
      </c>
      <c r="AT65" s="234">
        <v>0</v>
      </c>
    </row>
    <row r="66" spans="2:46" x14ac:dyDescent="0.25">
      <c r="B66" s="233" t="s">
        <v>317</v>
      </c>
      <c r="C66" s="228">
        <v>0</v>
      </c>
      <c r="D66" s="230">
        <v>0</v>
      </c>
      <c r="E66" s="230">
        <v>1</v>
      </c>
      <c r="F66" s="234">
        <v>1</v>
      </c>
      <c r="H66" s="233" t="s">
        <v>317</v>
      </c>
      <c r="I66" s="242">
        <v>0</v>
      </c>
      <c r="J66" s="230">
        <v>0</v>
      </c>
      <c r="K66" s="230">
        <v>134.1050040902484</v>
      </c>
      <c r="L66" s="234">
        <v>134.1050040902484</v>
      </c>
      <c r="M66" s="230"/>
      <c r="N66" s="233" t="s">
        <v>317</v>
      </c>
      <c r="O66" s="242">
        <v>0</v>
      </c>
      <c r="P66" s="230">
        <v>0</v>
      </c>
      <c r="Q66" s="230">
        <v>134.1050040902484</v>
      </c>
      <c r="R66" s="234">
        <f t="shared" si="2"/>
        <v>134.1050040902484</v>
      </c>
      <c r="V66" s="233" t="s">
        <v>317</v>
      </c>
      <c r="W66" s="228">
        <v>0</v>
      </c>
      <c r="X66" s="230">
        <v>0</v>
      </c>
      <c r="Y66" s="230">
        <v>0</v>
      </c>
      <c r="Z66" s="234">
        <v>0</v>
      </c>
      <c r="AB66" s="233" t="s">
        <v>317</v>
      </c>
      <c r="AC66" s="228">
        <v>0</v>
      </c>
      <c r="AD66" s="230">
        <v>0</v>
      </c>
      <c r="AE66" s="230">
        <v>0</v>
      </c>
      <c r="AF66" s="234">
        <v>0</v>
      </c>
      <c r="AJ66" s="233" t="s">
        <v>317</v>
      </c>
      <c r="AK66" s="228">
        <v>0</v>
      </c>
      <c r="AL66" s="230">
        <v>0</v>
      </c>
      <c r="AM66" s="230">
        <v>0</v>
      </c>
      <c r="AN66" s="234">
        <v>0</v>
      </c>
      <c r="AP66" s="233" t="s">
        <v>317</v>
      </c>
      <c r="AQ66" s="228">
        <v>0</v>
      </c>
      <c r="AR66" s="230">
        <v>0</v>
      </c>
      <c r="AS66" s="230">
        <v>0</v>
      </c>
      <c r="AT66" s="234">
        <v>0</v>
      </c>
    </row>
    <row r="67" spans="2:46" x14ac:dyDescent="0.25">
      <c r="B67" s="233" t="s">
        <v>311</v>
      </c>
      <c r="C67" s="228">
        <v>0</v>
      </c>
      <c r="D67" s="230">
        <v>0</v>
      </c>
      <c r="E67" s="230">
        <v>0</v>
      </c>
      <c r="F67" s="234">
        <v>0</v>
      </c>
      <c r="H67" s="233" t="s">
        <v>311</v>
      </c>
      <c r="I67" s="242">
        <v>0</v>
      </c>
      <c r="J67" s="230">
        <v>0</v>
      </c>
      <c r="K67" s="230">
        <v>0</v>
      </c>
      <c r="L67" s="234">
        <v>0</v>
      </c>
      <c r="M67" s="230"/>
      <c r="N67" s="233" t="s">
        <v>311</v>
      </c>
      <c r="O67" s="242">
        <v>0</v>
      </c>
      <c r="P67" s="230">
        <v>0</v>
      </c>
      <c r="Q67" s="230">
        <v>0</v>
      </c>
      <c r="R67" s="234">
        <f>SUM(O67:Q67)</f>
        <v>0</v>
      </c>
      <c r="V67" s="233" t="s">
        <v>311</v>
      </c>
      <c r="W67" s="228">
        <v>0</v>
      </c>
      <c r="X67" s="230">
        <v>0</v>
      </c>
      <c r="Y67" s="230">
        <v>0</v>
      </c>
      <c r="Z67" s="234">
        <v>0</v>
      </c>
      <c r="AB67" s="233" t="s">
        <v>311</v>
      </c>
      <c r="AC67" s="228">
        <v>0</v>
      </c>
      <c r="AD67" s="230">
        <v>0</v>
      </c>
      <c r="AE67" s="230">
        <v>0</v>
      </c>
      <c r="AF67" s="234">
        <v>0</v>
      </c>
      <c r="AJ67" s="233" t="s">
        <v>311</v>
      </c>
      <c r="AK67" s="228">
        <v>0</v>
      </c>
      <c r="AL67" s="230">
        <v>0</v>
      </c>
      <c r="AM67" s="230">
        <v>0</v>
      </c>
      <c r="AN67" s="234">
        <v>0</v>
      </c>
      <c r="AP67" s="233" t="s">
        <v>311</v>
      </c>
      <c r="AQ67" s="228">
        <v>0</v>
      </c>
      <c r="AR67" s="230">
        <v>0</v>
      </c>
      <c r="AS67" s="230">
        <v>0</v>
      </c>
      <c r="AT67" s="234">
        <v>0</v>
      </c>
    </row>
    <row r="68" spans="2:46" x14ac:dyDescent="0.25">
      <c r="B68" s="233" t="s">
        <v>299</v>
      </c>
      <c r="C68" s="228">
        <v>0</v>
      </c>
      <c r="D68" s="230">
        <v>0</v>
      </c>
      <c r="E68" s="230">
        <v>0</v>
      </c>
      <c r="F68" s="234">
        <v>0</v>
      </c>
      <c r="H68" s="233" t="s">
        <v>299</v>
      </c>
      <c r="I68" s="242">
        <v>0</v>
      </c>
      <c r="J68" s="230">
        <v>0</v>
      </c>
      <c r="K68" s="230">
        <v>0</v>
      </c>
      <c r="L68" s="234">
        <v>0</v>
      </c>
      <c r="M68" s="230"/>
      <c r="N68" s="233" t="s">
        <v>299</v>
      </c>
      <c r="O68" s="242">
        <v>0</v>
      </c>
      <c r="P68" s="230">
        <v>0</v>
      </c>
      <c r="Q68" s="230">
        <v>0</v>
      </c>
      <c r="R68" s="234">
        <f t="shared" si="2"/>
        <v>0</v>
      </c>
      <c r="V68" s="233" t="s">
        <v>299</v>
      </c>
      <c r="W68" s="228">
        <v>0</v>
      </c>
      <c r="X68" s="230">
        <v>0</v>
      </c>
      <c r="Y68" s="230">
        <v>0</v>
      </c>
      <c r="Z68" s="234">
        <v>0</v>
      </c>
      <c r="AB68" s="233" t="s">
        <v>299</v>
      </c>
      <c r="AC68" s="228">
        <v>0</v>
      </c>
      <c r="AD68" s="230">
        <v>0</v>
      </c>
      <c r="AE68" s="230">
        <v>0</v>
      </c>
      <c r="AF68" s="234">
        <v>0</v>
      </c>
      <c r="AJ68" s="233" t="s">
        <v>299</v>
      </c>
      <c r="AK68" s="228">
        <v>0</v>
      </c>
      <c r="AL68" s="230">
        <v>0</v>
      </c>
      <c r="AM68" s="230">
        <v>0</v>
      </c>
      <c r="AN68" s="234">
        <v>0</v>
      </c>
      <c r="AP68" s="233" t="s">
        <v>299</v>
      </c>
      <c r="AQ68" s="228">
        <v>0</v>
      </c>
      <c r="AR68" s="230">
        <v>0</v>
      </c>
      <c r="AS68" s="230">
        <v>0</v>
      </c>
      <c r="AT68" s="234">
        <v>0</v>
      </c>
    </row>
    <row r="69" spans="2:46" x14ac:dyDescent="0.25">
      <c r="B69" s="233" t="s">
        <v>300</v>
      </c>
      <c r="C69" s="228">
        <v>0</v>
      </c>
      <c r="D69" s="230">
        <v>0</v>
      </c>
      <c r="E69" s="230">
        <v>2</v>
      </c>
      <c r="F69" s="234">
        <v>2</v>
      </c>
      <c r="H69" s="233" t="s">
        <v>300</v>
      </c>
      <c r="I69" s="242">
        <v>0</v>
      </c>
      <c r="J69" s="230">
        <v>0</v>
      </c>
      <c r="K69" s="230">
        <v>1817.8137634176737</v>
      </c>
      <c r="L69" s="234">
        <v>1817.8137634176737</v>
      </c>
      <c r="M69" s="230"/>
      <c r="N69" s="233" t="s">
        <v>300</v>
      </c>
      <c r="O69" s="242">
        <v>0</v>
      </c>
      <c r="P69" s="230">
        <v>0</v>
      </c>
      <c r="Q69" s="230">
        <v>1817.8137634176737</v>
      </c>
      <c r="R69" s="234">
        <f t="shared" si="2"/>
        <v>1817.8137634176737</v>
      </c>
      <c r="V69" s="233" t="s">
        <v>300</v>
      </c>
      <c r="W69" s="228">
        <v>0</v>
      </c>
      <c r="X69" s="230">
        <v>0</v>
      </c>
      <c r="Y69" s="230">
        <v>0</v>
      </c>
      <c r="Z69" s="234">
        <v>0</v>
      </c>
      <c r="AB69" s="233" t="s">
        <v>300</v>
      </c>
      <c r="AC69" s="228">
        <v>0</v>
      </c>
      <c r="AD69" s="230">
        <v>0</v>
      </c>
      <c r="AE69" s="230">
        <v>0</v>
      </c>
      <c r="AF69" s="234">
        <v>0</v>
      </c>
      <c r="AJ69" s="233" t="s">
        <v>300</v>
      </c>
      <c r="AK69" s="228">
        <v>0</v>
      </c>
      <c r="AL69" s="230">
        <v>0</v>
      </c>
      <c r="AM69" s="230">
        <v>0</v>
      </c>
      <c r="AN69" s="234">
        <v>0</v>
      </c>
      <c r="AP69" s="233" t="s">
        <v>300</v>
      </c>
      <c r="AQ69" s="228">
        <v>0</v>
      </c>
      <c r="AR69" s="230">
        <v>0</v>
      </c>
      <c r="AS69" s="230">
        <v>0</v>
      </c>
      <c r="AT69" s="234">
        <v>0</v>
      </c>
    </row>
    <row r="70" spans="2:46" x14ac:dyDescent="0.25">
      <c r="B70" s="233" t="s">
        <v>301</v>
      </c>
      <c r="C70" s="228">
        <v>0</v>
      </c>
      <c r="D70" s="230">
        <v>0</v>
      </c>
      <c r="E70" s="230">
        <v>0</v>
      </c>
      <c r="F70" s="234">
        <v>0</v>
      </c>
      <c r="H70" s="233" t="s">
        <v>301</v>
      </c>
      <c r="I70" s="242">
        <v>0</v>
      </c>
      <c r="J70" s="230">
        <v>0</v>
      </c>
      <c r="K70" s="230">
        <v>0</v>
      </c>
      <c r="L70" s="234">
        <v>0</v>
      </c>
      <c r="M70" s="230"/>
      <c r="N70" s="233" t="s">
        <v>301</v>
      </c>
      <c r="O70" s="242">
        <v>0</v>
      </c>
      <c r="P70" s="230">
        <v>0</v>
      </c>
      <c r="Q70" s="230">
        <v>0</v>
      </c>
      <c r="R70" s="234">
        <f t="shared" si="2"/>
        <v>0</v>
      </c>
      <c r="V70" s="233" t="s">
        <v>301</v>
      </c>
      <c r="W70" s="228">
        <v>0</v>
      </c>
      <c r="X70" s="230">
        <v>0</v>
      </c>
      <c r="Y70" s="230">
        <v>0</v>
      </c>
      <c r="Z70" s="234">
        <v>0</v>
      </c>
      <c r="AB70" s="233" t="s">
        <v>301</v>
      </c>
      <c r="AC70" s="228">
        <v>0</v>
      </c>
      <c r="AD70" s="230">
        <v>0</v>
      </c>
      <c r="AE70" s="230">
        <v>0</v>
      </c>
      <c r="AF70" s="234">
        <v>0</v>
      </c>
      <c r="AJ70" s="233" t="s">
        <v>301</v>
      </c>
      <c r="AK70" s="228">
        <v>0</v>
      </c>
      <c r="AL70" s="230">
        <v>0</v>
      </c>
      <c r="AM70" s="230">
        <v>0</v>
      </c>
      <c r="AN70" s="234">
        <v>0</v>
      </c>
      <c r="AP70" s="233" t="s">
        <v>301</v>
      </c>
      <c r="AQ70" s="228">
        <v>0</v>
      </c>
      <c r="AR70" s="230">
        <v>0</v>
      </c>
      <c r="AS70" s="230">
        <v>0</v>
      </c>
      <c r="AT70" s="234">
        <v>0</v>
      </c>
    </row>
    <row r="71" spans="2:46" x14ac:dyDescent="0.25">
      <c r="B71" s="233" t="s">
        <v>36</v>
      </c>
      <c r="C71" s="228">
        <v>0</v>
      </c>
      <c r="D71" s="230">
        <v>0</v>
      </c>
      <c r="E71" s="230">
        <v>0</v>
      </c>
      <c r="F71" s="234">
        <v>0</v>
      </c>
      <c r="H71" s="233" t="s">
        <v>36</v>
      </c>
      <c r="I71" s="228">
        <v>0</v>
      </c>
      <c r="J71" s="230">
        <v>0</v>
      </c>
      <c r="K71" s="230">
        <v>0</v>
      </c>
      <c r="L71" s="234">
        <v>0</v>
      </c>
      <c r="M71" s="230"/>
      <c r="N71" s="233" t="s">
        <v>36</v>
      </c>
      <c r="O71" s="228">
        <v>0</v>
      </c>
      <c r="P71" s="230">
        <v>0</v>
      </c>
      <c r="Q71" s="230">
        <v>0</v>
      </c>
      <c r="R71" s="234">
        <f t="shared" si="2"/>
        <v>0</v>
      </c>
      <c r="V71" s="233" t="s">
        <v>36</v>
      </c>
      <c r="W71" s="228">
        <v>0</v>
      </c>
      <c r="X71" s="230">
        <v>0</v>
      </c>
      <c r="Y71" s="230">
        <v>0</v>
      </c>
      <c r="Z71" s="234">
        <v>0</v>
      </c>
      <c r="AB71" s="233" t="s">
        <v>36</v>
      </c>
      <c r="AC71" s="228">
        <v>0</v>
      </c>
      <c r="AD71" s="230">
        <v>0</v>
      </c>
      <c r="AE71" s="230">
        <v>0</v>
      </c>
      <c r="AF71" s="234">
        <v>0</v>
      </c>
      <c r="AJ71" s="233" t="s">
        <v>36</v>
      </c>
      <c r="AK71" s="228">
        <v>0</v>
      </c>
      <c r="AL71" s="230">
        <v>0</v>
      </c>
      <c r="AM71" s="230">
        <v>0</v>
      </c>
      <c r="AN71" s="234">
        <v>0</v>
      </c>
      <c r="AP71" s="233" t="s">
        <v>36</v>
      </c>
      <c r="AQ71" s="228">
        <v>0</v>
      </c>
      <c r="AR71" s="230">
        <v>0</v>
      </c>
      <c r="AS71" s="230">
        <v>0</v>
      </c>
      <c r="AT71" s="234">
        <v>0</v>
      </c>
    </row>
    <row r="72" spans="2:46" x14ac:dyDescent="0.25">
      <c r="B72" s="233" t="s">
        <v>302</v>
      </c>
      <c r="C72" s="228">
        <v>1</v>
      </c>
      <c r="D72" s="230">
        <v>0</v>
      </c>
      <c r="E72" s="230">
        <v>0</v>
      </c>
      <c r="F72" s="234">
        <v>1</v>
      </c>
      <c r="H72" s="233" t="s">
        <v>302</v>
      </c>
      <c r="I72" s="228">
        <v>749.02954311744952</v>
      </c>
      <c r="J72" s="230">
        <v>0</v>
      </c>
      <c r="K72" s="230">
        <v>0</v>
      </c>
      <c r="L72" s="234">
        <v>749.02954311744952</v>
      </c>
      <c r="M72" s="230"/>
      <c r="N72" s="233" t="s">
        <v>302</v>
      </c>
      <c r="O72" s="228">
        <v>749.02954311744952</v>
      </c>
      <c r="P72" s="230">
        <v>0</v>
      </c>
      <c r="Q72" s="230">
        <v>0</v>
      </c>
      <c r="R72" s="234">
        <f t="shared" si="2"/>
        <v>749.02954311744952</v>
      </c>
      <c r="V72" s="233" t="s">
        <v>302</v>
      </c>
      <c r="W72" s="228">
        <v>0</v>
      </c>
      <c r="X72" s="230">
        <v>0</v>
      </c>
      <c r="Y72" s="230">
        <v>0</v>
      </c>
      <c r="Z72" s="234">
        <v>0</v>
      </c>
      <c r="AB72" s="233" t="s">
        <v>302</v>
      </c>
      <c r="AC72" s="228">
        <v>0</v>
      </c>
      <c r="AD72" s="230">
        <v>0</v>
      </c>
      <c r="AE72" s="230">
        <v>0</v>
      </c>
      <c r="AF72" s="234">
        <v>0</v>
      </c>
      <c r="AJ72" s="233" t="s">
        <v>302</v>
      </c>
      <c r="AK72" s="228">
        <v>0</v>
      </c>
      <c r="AL72" s="230">
        <v>0</v>
      </c>
      <c r="AM72" s="230">
        <v>0</v>
      </c>
      <c r="AN72" s="234">
        <v>0</v>
      </c>
      <c r="AP72" s="233" t="s">
        <v>302</v>
      </c>
      <c r="AQ72" s="228">
        <v>0</v>
      </c>
      <c r="AR72" s="230">
        <v>0</v>
      </c>
      <c r="AS72" s="230">
        <v>0</v>
      </c>
      <c r="AT72" s="234">
        <v>0</v>
      </c>
    </row>
    <row r="73" spans="2:46" x14ac:dyDescent="0.25">
      <c r="B73" s="233" t="s">
        <v>303</v>
      </c>
      <c r="C73" s="228">
        <v>0</v>
      </c>
      <c r="D73" s="230">
        <v>0</v>
      </c>
      <c r="E73" s="230">
        <v>0</v>
      </c>
      <c r="F73" s="234">
        <v>0</v>
      </c>
      <c r="H73" s="233" t="s">
        <v>303</v>
      </c>
      <c r="I73" s="228">
        <v>0</v>
      </c>
      <c r="J73" s="230">
        <v>0</v>
      </c>
      <c r="K73" s="230">
        <v>0</v>
      </c>
      <c r="L73" s="234">
        <v>0</v>
      </c>
      <c r="M73" s="230"/>
      <c r="N73" s="233" t="s">
        <v>303</v>
      </c>
      <c r="O73" s="228">
        <v>0</v>
      </c>
      <c r="P73" s="230">
        <v>0</v>
      </c>
      <c r="Q73" s="230">
        <v>0</v>
      </c>
      <c r="R73" s="234">
        <f t="shared" si="2"/>
        <v>0</v>
      </c>
      <c r="V73" s="233" t="s">
        <v>303</v>
      </c>
      <c r="W73" s="228">
        <v>0</v>
      </c>
      <c r="X73" s="230">
        <v>0</v>
      </c>
      <c r="Y73" s="230">
        <v>0</v>
      </c>
      <c r="Z73" s="234">
        <v>0</v>
      </c>
      <c r="AB73" s="233" t="s">
        <v>303</v>
      </c>
      <c r="AC73" s="228">
        <v>0</v>
      </c>
      <c r="AD73" s="230">
        <v>0</v>
      </c>
      <c r="AE73" s="230">
        <v>0</v>
      </c>
      <c r="AF73" s="234">
        <v>0</v>
      </c>
      <c r="AJ73" s="233" t="s">
        <v>303</v>
      </c>
      <c r="AK73" s="228">
        <v>0</v>
      </c>
      <c r="AL73" s="230">
        <v>0</v>
      </c>
      <c r="AM73" s="230">
        <v>0</v>
      </c>
      <c r="AN73" s="234">
        <v>0</v>
      </c>
      <c r="AP73" s="233" t="s">
        <v>303</v>
      </c>
      <c r="AQ73" s="228">
        <v>0</v>
      </c>
      <c r="AR73" s="230">
        <v>0</v>
      </c>
      <c r="AS73" s="230">
        <v>0</v>
      </c>
      <c r="AT73" s="234">
        <v>0</v>
      </c>
    </row>
    <row r="74" spans="2:46" x14ac:dyDescent="0.25">
      <c r="B74" s="236" t="s">
        <v>1</v>
      </c>
      <c r="C74" s="237">
        <v>14</v>
      </c>
      <c r="D74" s="238">
        <v>65</v>
      </c>
      <c r="E74" s="238">
        <v>320</v>
      </c>
      <c r="F74" s="239">
        <v>399</v>
      </c>
      <c r="H74" s="236" t="s">
        <v>1</v>
      </c>
      <c r="I74" s="237">
        <v>10052.667235672398</v>
      </c>
      <c r="J74" s="238">
        <v>37682.012075627194</v>
      </c>
      <c r="K74" s="238">
        <v>253424.04813637471</v>
      </c>
      <c r="L74" s="239">
        <v>301158.72744767426</v>
      </c>
      <c r="M74" s="230"/>
      <c r="N74" s="236" t="s">
        <v>1</v>
      </c>
      <c r="O74" s="237">
        <v>10052.667235672398</v>
      </c>
      <c r="P74" s="238">
        <v>37682.012075627194</v>
      </c>
      <c r="Q74" s="238">
        <v>253424.04813637471</v>
      </c>
      <c r="R74" s="239">
        <f>SUM(R54:R73)</f>
        <v>301158.72744767426</v>
      </c>
      <c r="V74" s="236" t="s">
        <v>1</v>
      </c>
      <c r="W74" s="237">
        <v>0</v>
      </c>
      <c r="X74" s="238">
        <v>0</v>
      </c>
      <c r="Y74" s="238">
        <v>34</v>
      </c>
      <c r="Z74" s="239">
        <v>34</v>
      </c>
      <c r="AB74" s="236" t="s">
        <v>1</v>
      </c>
      <c r="AC74" s="237">
        <v>0</v>
      </c>
      <c r="AD74" s="238">
        <v>0</v>
      </c>
      <c r="AE74" s="238">
        <v>43307.441461240858</v>
      </c>
      <c r="AF74" s="239">
        <v>43307.441461240858</v>
      </c>
      <c r="AJ74" s="236" t="s">
        <v>1</v>
      </c>
      <c r="AK74" s="237">
        <v>0</v>
      </c>
      <c r="AL74" s="238">
        <v>0</v>
      </c>
      <c r="AM74" s="238">
        <v>44</v>
      </c>
      <c r="AN74" s="239">
        <v>44</v>
      </c>
      <c r="AP74" s="236" t="s">
        <v>1</v>
      </c>
      <c r="AQ74" s="237">
        <v>0</v>
      </c>
      <c r="AR74" s="238">
        <v>0</v>
      </c>
      <c r="AS74" s="238">
        <v>65145.037858759686</v>
      </c>
      <c r="AT74" s="239">
        <v>65145.037858759686</v>
      </c>
    </row>
    <row r="75" spans="2:46" x14ac:dyDescent="0.25">
      <c r="C75" s="228"/>
      <c r="D75" s="230"/>
      <c r="E75" s="230"/>
      <c r="F75" s="230"/>
      <c r="I75" s="228"/>
      <c r="J75" s="230"/>
      <c r="K75" s="230"/>
      <c r="L75" s="230"/>
      <c r="M75" s="230"/>
      <c r="O75" s="228"/>
      <c r="P75" s="230"/>
      <c r="Q75" s="230"/>
      <c r="R75" s="230"/>
      <c r="W75" s="228"/>
      <c r="X75" s="230"/>
      <c r="Y75" s="230"/>
      <c r="Z75" s="230"/>
      <c r="AC75" s="228"/>
      <c r="AD75" s="230"/>
      <c r="AE75" s="230"/>
      <c r="AF75" s="230"/>
      <c r="AK75" s="228"/>
      <c r="AL75" s="230"/>
      <c r="AM75" s="230"/>
      <c r="AN75" s="230"/>
      <c r="AQ75" s="228"/>
      <c r="AR75" s="230"/>
      <c r="AS75" s="230"/>
      <c r="AT75" s="230"/>
    </row>
    <row r="76" spans="2:46" x14ac:dyDescent="0.25">
      <c r="B76" t="s">
        <v>247</v>
      </c>
      <c r="H76" t="s">
        <v>247</v>
      </c>
      <c r="M76" s="230"/>
      <c r="N76" t="s">
        <v>247</v>
      </c>
      <c r="V76" t="s">
        <v>247</v>
      </c>
      <c r="AB76" t="s">
        <v>247</v>
      </c>
      <c r="AJ76" t="s">
        <v>247</v>
      </c>
      <c r="AP76" t="s">
        <v>247</v>
      </c>
    </row>
    <row r="77" spans="2:46" x14ac:dyDescent="0.25">
      <c r="B77" s="236" t="s">
        <v>290</v>
      </c>
      <c r="C77" s="237" t="s">
        <v>7</v>
      </c>
      <c r="D77" s="238" t="s">
        <v>8</v>
      </c>
      <c r="E77" s="238" t="s">
        <v>9</v>
      </c>
      <c r="F77" s="239" t="s">
        <v>1</v>
      </c>
      <c r="H77" s="236" t="s">
        <v>290</v>
      </c>
      <c r="I77" s="237" t="s">
        <v>7</v>
      </c>
      <c r="J77" s="238" t="s">
        <v>8</v>
      </c>
      <c r="K77" s="238" t="s">
        <v>9</v>
      </c>
      <c r="L77" s="239" t="s">
        <v>1</v>
      </c>
      <c r="M77" s="230"/>
      <c r="N77" s="236" t="s">
        <v>290</v>
      </c>
      <c r="O77" s="237" t="s">
        <v>7</v>
      </c>
      <c r="P77" s="238" t="s">
        <v>8</v>
      </c>
      <c r="Q77" s="238" t="s">
        <v>9</v>
      </c>
      <c r="R77" s="239" t="s">
        <v>1</v>
      </c>
      <c r="V77" s="236" t="s">
        <v>290</v>
      </c>
      <c r="W77" s="237" t="s">
        <v>7</v>
      </c>
      <c r="X77" s="238" t="s">
        <v>8</v>
      </c>
      <c r="Y77" s="238" t="s">
        <v>9</v>
      </c>
      <c r="Z77" s="239" t="s">
        <v>1</v>
      </c>
      <c r="AB77" s="236" t="s">
        <v>290</v>
      </c>
      <c r="AC77" s="237" t="s">
        <v>7</v>
      </c>
      <c r="AD77" s="238" t="s">
        <v>8</v>
      </c>
      <c r="AE77" s="238" t="s">
        <v>9</v>
      </c>
      <c r="AF77" s="239" t="s">
        <v>1</v>
      </c>
      <c r="AJ77" s="236" t="s">
        <v>290</v>
      </c>
      <c r="AK77" s="237" t="s">
        <v>7</v>
      </c>
      <c r="AL77" s="238" t="s">
        <v>8</v>
      </c>
      <c r="AM77" s="238" t="s">
        <v>9</v>
      </c>
      <c r="AN77" s="239" t="s">
        <v>1</v>
      </c>
      <c r="AP77" s="236" t="s">
        <v>290</v>
      </c>
      <c r="AQ77" s="237" t="s">
        <v>7</v>
      </c>
      <c r="AR77" s="238" t="s">
        <v>8</v>
      </c>
      <c r="AS77" s="238" t="s">
        <v>9</v>
      </c>
      <c r="AT77" s="239" t="s">
        <v>1</v>
      </c>
    </row>
    <row r="78" spans="2:46" x14ac:dyDescent="0.25">
      <c r="B78" s="233" t="s">
        <v>291</v>
      </c>
      <c r="C78" s="228">
        <v>17</v>
      </c>
      <c r="D78" s="230">
        <v>211</v>
      </c>
      <c r="E78" s="230">
        <v>2913</v>
      </c>
      <c r="F78" s="234">
        <v>3141</v>
      </c>
      <c r="H78" s="233" t="s">
        <v>291</v>
      </c>
      <c r="I78" s="242">
        <v>1964.495358782342</v>
      </c>
      <c r="J78" s="230">
        <v>41803.130079267139</v>
      </c>
      <c r="K78" s="230">
        <v>871021.60739246616</v>
      </c>
      <c r="L78" s="234">
        <v>914789.2328305156</v>
      </c>
      <c r="M78" s="230"/>
      <c r="N78" s="233" t="s">
        <v>291</v>
      </c>
      <c r="O78" s="242">
        <v>0</v>
      </c>
      <c r="P78" s="230">
        <v>41803.130079267139</v>
      </c>
      <c r="Q78" s="230">
        <v>871021.60739246616</v>
      </c>
      <c r="R78" s="234">
        <f>SUM(O78:Q78)</f>
        <v>912824.73747173324</v>
      </c>
      <c r="V78" s="233" t="s">
        <v>291</v>
      </c>
      <c r="W78" s="228">
        <v>1</v>
      </c>
      <c r="X78" s="230">
        <v>8</v>
      </c>
      <c r="Y78" s="230">
        <v>388</v>
      </c>
      <c r="Z78" s="234">
        <v>397</v>
      </c>
      <c r="AB78" s="233" t="s">
        <v>291</v>
      </c>
      <c r="AC78" s="228">
        <v>73.07441472185441</v>
      </c>
      <c r="AD78" s="230">
        <v>246.05998238009761</v>
      </c>
      <c r="AE78" s="230">
        <v>84427.269874553458</v>
      </c>
      <c r="AF78" s="234">
        <v>84746.40427165541</v>
      </c>
      <c r="AJ78" s="233" t="s">
        <v>291</v>
      </c>
      <c r="AK78" s="228">
        <v>1</v>
      </c>
      <c r="AL78" s="230">
        <v>23</v>
      </c>
      <c r="AM78" s="230">
        <v>656</v>
      </c>
      <c r="AN78" s="234">
        <v>680</v>
      </c>
      <c r="AP78" s="233" t="s">
        <v>291</v>
      </c>
      <c r="AQ78" s="228">
        <v>73.07441472185441</v>
      </c>
      <c r="AR78" s="230">
        <v>5926.2586408941188</v>
      </c>
      <c r="AS78" s="230">
        <v>187766.96415704073</v>
      </c>
      <c r="AT78" s="234">
        <v>193766.2972126567</v>
      </c>
    </row>
    <row r="79" spans="2:46" x14ac:dyDescent="0.25">
      <c r="B79" s="233" t="s">
        <v>292</v>
      </c>
      <c r="C79" s="228">
        <v>37</v>
      </c>
      <c r="D79" s="230">
        <v>241</v>
      </c>
      <c r="E79" s="230">
        <v>1747</v>
      </c>
      <c r="F79" s="234">
        <v>2025</v>
      </c>
      <c r="H79" s="233" t="s">
        <v>292</v>
      </c>
      <c r="I79" s="228">
        <v>9731.4582981100775</v>
      </c>
      <c r="J79" s="230">
        <v>67157.422273349715</v>
      </c>
      <c r="K79" s="230">
        <v>920225.11270559207</v>
      </c>
      <c r="L79" s="234">
        <v>997113.99327705184</v>
      </c>
      <c r="M79" s="230"/>
      <c r="N79" s="233" t="s">
        <v>292</v>
      </c>
      <c r="O79" s="228">
        <v>9731.4582981100775</v>
      </c>
      <c r="P79" s="230">
        <v>67157.422273349715</v>
      </c>
      <c r="Q79" s="230">
        <v>920225.11270559207</v>
      </c>
      <c r="R79" s="234">
        <f t="shared" ref="R79:R97" si="3">SUM(O79:Q79)</f>
        <v>997113.99327705184</v>
      </c>
      <c r="V79" s="233" t="s">
        <v>292</v>
      </c>
      <c r="W79" s="228">
        <v>2</v>
      </c>
      <c r="X79" s="230">
        <v>3</v>
      </c>
      <c r="Y79" s="230">
        <v>178</v>
      </c>
      <c r="Z79" s="234">
        <v>183</v>
      </c>
      <c r="AB79" s="233" t="s">
        <v>292</v>
      </c>
      <c r="AC79" s="228">
        <v>111.35654157332792</v>
      </c>
      <c r="AD79" s="230">
        <v>84.779003569992398</v>
      </c>
      <c r="AE79" s="230">
        <v>77051.386888825</v>
      </c>
      <c r="AF79" s="234">
        <v>77247.522433968319</v>
      </c>
      <c r="AJ79" s="233" t="s">
        <v>292</v>
      </c>
      <c r="AK79" s="228">
        <v>3</v>
      </c>
      <c r="AL79" s="230">
        <v>22</v>
      </c>
      <c r="AM79" s="230">
        <v>283</v>
      </c>
      <c r="AN79" s="234">
        <v>308</v>
      </c>
      <c r="AP79" s="233" t="s">
        <v>292</v>
      </c>
      <c r="AQ79" s="228">
        <v>164.18075404491685</v>
      </c>
      <c r="AR79" s="230">
        <v>4888.6602963389332</v>
      </c>
      <c r="AS79" s="230">
        <v>144046.51869737043</v>
      </c>
      <c r="AT79" s="234">
        <v>149099.35974775426</v>
      </c>
    </row>
    <row r="80" spans="2:46" x14ac:dyDescent="0.25">
      <c r="B80" s="233" t="s">
        <v>293</v>
      </c>
      <c r="C80">
        <v>11</v>
      </c>
      <c r="D80">
        <v>116</v>
      </c>
      <c r="E80">
        <v>679</v>
      </c>
      <c r="F80" s="233">
        <v>806</v>
      </c>
      <c r="H80" s="233" t="s">
        <v>293</v>
      </c>
      <c r="I80">
        <v>2397.7288430221161</v>
      </c>
      <c r="J80">
        <v>69376.812796205675</v>
      </c>
      <c r="K80">
        <v>577878.73592970811</v>
      </c>
      <c r="L80" s="233">
        <v>649653.27756893588</v>
      </c>
      <c r="M80" s="230"/>
      <c r="N80" s="233" t="s">
        <v>293</v>
      </c>
      <c r="O80">
        <v>2397.7288430221161</v>
      </c>
      <c r="P80">
        <v>69376.812796205675</v>
      </c>
      <c r="Q80">
        <v>577878.73592970811</v>
      </c>
      <c r="R80" s="233">
        <f t="shared" si="3"/>
        <v>649653.27756893588</v>
      </c>
      <c r="V80" s="233" t="s">
        <v>293</v>
      </c>
      <c r="W80">
        <v>0</v>
      </c>
      <c r="X80">
        <v>2</v>
      </c>
      <c r="Y80">
        <v>79</v>
      </c>
      <c r="Z80" s="233">
        <v>81</v>
      </c>
      <c r="AB80" s="233" t="s">
        <v>293</v>
      </c>
      <c r="AC80">
        <v>0</v>
      </c>
      <c r="AD80">
        <v>44.668074766272611</v>
      </c>
      <c r="AE80">
        <v>96244.467555133771</v>
      </c>
      <c r="AF80" s="233">
        <v>96289.135629900047</v>
      </c>
      <c r="AJ80" s="233" t="s">
        <v>293</v>
      </c>
      <c r="AK80">
        <v>0</v>
      </c>
      <c r="AL80">
        <v>5</v>
      </c>
      <c r="AM80">
        <v>118</v>
      </c>
      <c r="AN80" s="233">
        <v>123</v>
      </c>
      <c r="AP80" s="233" t="s">
        <v>293</v>
      </c>
      <c r="AQ80">
        <v>0</v>
      </c>
      <c r="AR80">
        <v>4272.0093344750685</v>
      </c>
      <c r="AS80">
        <v>154076.55252858219</v>
      </c>
      <c r="AT80" s="233">
        <v>158348.56186305726</v>
      </c>
    </row>
    <row r="81" spans="2:46" x14ac:dyDescent="0.25">
      <c r="B81" s="233" t="s">
        <v>2</v>
      </c>
      <c r="C81">
        <v>340</v>
      </c>
      <c r="D81">
        <v>162</v>
      </c>
      <c r="E81">
        <v>685</v>
      </c>
      <c r="F81" s="233">
        <v>1187</v>
      </c>
      <c r="H81" s="233" t="s">
        <v>2</v>
      </c>
      <c r="I81">
        <v>72775.530377456118</v>
      </c>
      <c r="J81">
        <v>24198.348658444003</v>
      </c>
      <c r="K81">
        <v>152865.16155539692</v>
      </c>
      <c r="L81" s="233">
        <v>249839.04059129703</v>
      </c>
      <c r="M81" s="230"/>
      <c r="N81" s="233" t="s">
        <v>2</v>
      </c>
      <c r="O81">
        <v>72775.530377456118</v>
      </c>
      <c r="P81">
        <v>24198.348658444003</v>
      </c>
      <c r="Q81">
        <v>152865.16155539692</v>
      </c>
      <c r="R81" s="233">
        <f t="shared" si="3"/>
        <v>249839.04059129703</v>
      </c>
      <c r="V81" s="233" t="s">
        <v>2</v>
      </c>
      <c r="W81">
        <v>6</v>
      </c>
      <c r="X81">
        <v>2</v>
      </c>
      <c r="Y81">
        <v>18</v>
      </c>
      <c r="Z81" s="233">
        <v>26</v>
      </c>
      <c r="AB81" s="233" t="s">
        <v>2</v>
      </c>
      <c r="AC81">
        <v>2381.4971926599114</v>
      </c>
      <c r="AD81">
        <v>45.901619861173238</v>
      </c>
      <c r="AE81">
        <v>5801.0286278558997</v>
      </c>
      <c r="AF81" s="233">
        <v>8228.427440376985</v>
      </c>
      <c r="AJ81" s="233" t="s">
        <v>2</v>
      </c>
      <c r="AK81">
        <v>12</v>
      </c>
      <c r="AL81">
        <v>3</v>
      </c>
      <c r="AM81">
        <v>48</v>
      </c>
      <c r="AN81" s="233">
        <v>63</v>
      </c>
      <c r="AP81" s="233" t="s">
        <v>2</v>
      </c>
      <c r="AQ81">
        <v>8084.2659576866372</v>
      </c>
      <c r="AR81">
        <v>80.115905646961295</v>
      </c>
      <c r="AS81">
        <v>21671.976122813634</v>
      </c>
      <c r="AT81" s="233">
        <v>29836.357986147232</v>
      </c>
    </row>
    <row r="82" spans="2:46" x14ac:dyDescent="0.25">
      <c r="B82" s="233" t="s">
        <v>31</v>
      </c>
      <c r="C82">
        <v>54</v>
      </c>
      <c r="D82">
        <v>35</v>
      </c>
      <c r="E82">
        <v>143</v>
      </c>
      <c r="F82" s="233">
        <v>232</v>
      </c>
      <c r="H82" s="233" t="s">
        <v>31</v>
      </c>
      <c r="I82">
        <v>23841.619305483142</v>
      </c>
      <c r="J82">
        <v>8925.7942560311149</v>
      </c>
      <c r="K82">
        <v>56489.645445291651</v>
      </c>
      <c r="L82" s="233">
        <v>89257.05900680591</v>
      </c>
      <c r="N82" s="233" t="s">
        <v>31</v>
      </c>
      <c r="O82">
        <v>23841.619305483142</v>
      </c>
      <c r="P82">
        <v>8925.7942560311149</v>
      </c>
      <c r="Q82">
        <v>56489.645445291651</v>
      </c>
      <c r="R82" s="233">
        <f t="shared" si="3"/>
        <v>89257.05900680591</v>
      </c>
      <c r="V82" s="233" t="s">
        <v>31</v>
      </c>
      <c r="W82">
        <v>0</v>
      </c>
      <c r="X82">
        <v>0</v>
      </c>
      <c r="Y82">
        <v>2</v>
      </c>
      <c r="Z82" s="233">
        <v>2</v>
      </c>
      <c r="AB82" s="233" t="s">
        <v>31</v>
      </c>
      <c r="AC82">
        <v>0</v>
      </c>
      <c r="AD82">
        <v>0</v>
      </c>
      <c r="AE82">
        <v>16922.950938740767</v>
      </c>
      <c r="AF82" s="233">
        <v>16922.950938740767</v>
      </c>
      <c r="AJ82" s="233" t="s">
        <v>31</v>
      </c>
      <c r="AK82">
        <v>1</v>
      </c>
      <c r="AL82">
        <v>0</v>
      </c>
      <c r="AM82">
        <v>6</v>
      </c>
      <c r="AN82" s="233">
        <v>7</v>
      </c>
      <c r="AP82" s="233" t="s">
        <v>31</v>
      </c>
      <c r="AQ82">
        <v>1051.6776027191165</v>
      </c>
      <c r="AR82">
        <v>0</v>
      </c>
      <c r="AS82">
        <v>23013.110471764048</v>
      </c>
      <c r="AT82" s="233">
        <v>24064.788074483164</v>
      </c>
    </row>
    <row r="83" spans="2:46" x14ac:dyDescent="0.25">
      <c r="B83" s="233" t="s">
        <v>294</v>
      </c>
      <c r="C83" s="232">
        <v>123</v>
      </c>
      <c r="D83" s="231">
        <v>20</v>
      </c>
      <c r="E83" s="231">
        <v>66</v>
      </c>
      <c r="F83" s="235">
        <v>209</v>
      </c>
      <c r="H83" s="233" t="s">
        <v>294</v>
      </c>
      <c r="I83" s="232">
        <v>31575.77040388398</v>
      </c>
      <c r="J83" s="231">
        <v>4969.6986588953969</v>
      </c>
      <c r="K83" s="231">
        <v>39649.033233229056</v>
      </c>
      <c r="L83" s="235">
        <v>76194.502296008432</v>
      </c>
      <c r="N83" s="233" t="s">
        <v>294</v>
      </c>
      <c r="O83" s="232">
        <v>31575.77040388398</v>
      </c>
      <c r="P83" s="231">
        <v>4969.6986588953969</v>
      </c>
      <c r="Q83" s="231">
        <v>39649.033233229056</v>
      </c>
      <c r="R83" s="235">
        <f t="shared" si="3"/>
        <v>76194.502296008432</v>
      </c>
      <c r="V83" s="233" t="s">
        <v>294</v>
      </c>
      <c r="W83" s="232">
        <v>0</v>
      </c>
      <c r="X83" s="231">
        <v>0</v>
      </c>
      <c r="Y83" s="231">
        <v>1</v>
      </c>
      <c r="Z83" s="235">
        <v>1</v>
      </c>
      <c r="AB83" s="233" t="s">
        <v>294</v>
      </c>
      <c r="AC83" s="232">
        <v>0</v>
      </c>
      <c r="AD83" s="231">
        <v>0</v>
      </c>
      <c r="AE83" s="231">
        <v>40.105555552174231</v>
      </c>
      <c r="AF83" s="235">
        <v>40.105555552174231</v>
      </c>
      <c r="AJ83" s="233" t="s">
        <v>294</v>
      </c>
      <c r="AK83" s="232">
        <v>3</v>
      </c>
      <c r="AL83" s="231">
        <v>0</v>
      </c>
      <c r="AM83" s="231">
        <v>2</v>
      </c>
      <c r="AN83" s="235">
        <v>5</v>
      </c>
      <c r="AP83" s="233" t="s">
        <v>294</v>
      </c>
      <c r="AQ83" s="232">
        <v>203.12045667184793</v>
      </c>
      <c r="AR83" s="231">
        <v>0</v>
      </c>
      <c r="AS83" s="231">
        <v>1417.9301834248952</v>
      </c>
      <c r="AT83" s="235">
        <v>1621.0506400967431</v>
      </c>
    </row>
    <row r="84" spans="2:46" x14ac:dyDescent="0.25">
      <c r="B84" s="233" t="s">
        <v>345</v>
      </c>
      <c r="C84" s="228">
        <v>38</v>
      </c>
      <c r="D84" s="230">
        <v>6</v>
      </c>
      <c r="E84" s="230">
        <v>27</v>
      </c>
      <c r="F84" s="234">
        <v>71</v>
      </c>
      <c r="H84" s="233" t="s">
        <v>345</v>
      </c>
      <c r="I84" s="228">
        <v>8114.7764690394615</v>
      </c>
      <c r="J84" s="230">
        <v>1442.721424370015</v>
      </c>
      <c r="K84" s="230">
        <v>1991.2229217600511</v>
      </c>
      <c r="L84" s="234">
        <v>11548.720815169527</v>
      </c>
      <c r="N84" s="233" t="s">
        <v>345</v>
      </c>
      <c r="O84" s="228">
        <v>8114.7764690394615</v>
      </c>
      <c r="P84" s="230">
        <v>1442.721424370015</v>
      </c>
      <c r="Q84" s="230">
        <v>1991.2229217600511</v>
      </c>
      <c r="R84" s="234">
        <f t="shared" si="3"/>
        <v>11548.720815169527</v>
      </c>
      <c r="V84" s="233" t="s">
        <v>345</v>
      </c>
      <c r="W84" s="228">
        <v>0</v>
      </c>
      <c r="X84" s="230">
        <v>0</v>
      </c>
      <c r="Y84" s="230">
        <v>0</v>
      </c>
      <c r="Z84" s="234">
        <v>0</v>
      </c>
      <c r="AB84" s="233" t="s">
        <v>345</v>
      </c>
      <c r="AC84" s="228">
        <v>0</v>
      </c>
      <c r="AD84" s="230">
        <v>0</v>
      </c>
      <c r="AE84" s="230">
        <v>0</v>
      </c>
      <c r="AF84" s="234">
        <v>0</v>
      </c>
      <c r="AJ84" s="233" t="s">
        <v>345</v>
      </c>
      <c r="AK84" s="228">
        <v>1</v>
      </c>
      <c r="AL84" s="230">
        <v>0</v>
      </c>
      <c r="AM84" s="230">
        <v>0</v>
      </c>
      <c r="AN84" s="234">
        <v>1</v>
      </c>
      <c r="AP84" s="233" t="s">
        <v>345</v>
      </c>
      <c r="AQ84" s="228">
        <v>1051.6776027191165</v>
      </c>
      <c r="AR84" s="230">
        <v>0</v>
      </c>
      <c r="AS84" s="230">
        <v>0</v>
      </c>
      <c r="AT84" s="234">
        <v>1051.6776027191165</v>
      </c>
    </row>
    <row r="85" spans="2:46" x14ac:dyDescent="0.25">
      <c r="B85" s="233" t="s">
        <v>310</v>
      </c>
      <c r="C85" s="228">
        <v>1</v>
      </c>
      <c r="D85" s="230">
        <v>0</v>
      </c>
      <c r="E85" s="230">
        <v>0</v>
      </c>
      <c r="F85" s="234">
        <v>1</v>
      </c>
      <c r="H85" s="233" t="s">
        <v>310</v>
      </c>
      <c r="I85" s="228">
        <v>102.91349200709024</v>
      </c>
      <c r="J85" s="230">
        <v>0</v>
      </c>
      <c r="K85" s="230">
        <v>0</v>
      </c>
      <c r="L85" s="234">
        <v>102.91349200709024</v>
      </c>
      <c r="M85" s="230"/>
      <c r="N85" s="233" t="s">
        <v>310</v>
      </c>
      <c r="O85" s="228">
        <v>102.91349200709024</v>
      </c>
      <c r="P85" s="230">
        <v>0</v>
      </c>
      <c r="Q85" s="230">
        <v>0</v>
      </c>
      <c r="R85" s="234">
        <f>SUM(O85:Q85)</f>
        <v>102.91349200709024</v>
      </c>
      <c r="V85" s="233" t="s">
        <v>310</v>
      </c>
      <c r="W85" s="228">
        <v>0</v>
      </c>
      <c r="X85" s="230">
        <v>0</v>
      </c>
      <c r="Y85" s="230">
        <v>0</v>
      </c>
      <c r="Z85" s="234">
        <v>0</v>
      </c>
      <c r="AB85" s="233" t="s">
        <v>310</v>
      </c>
      <c r="AC85" s="228">
        <v>0</v>
      </c>
      <c r="AD85" s="230">
        <v>0</v>
      </c>
      <c r="AE85" s="230">
        <v>0</v>
      </c>
      <c r="AF85" s="234">
        <v>0</v>
      </c>
      <c r="AJ85" s="233" t="s">
        <v>310</v>
      </c>
      <c r="AK85" s="228">
        <v>0</v>
      </c>
      <c r="AL85" s="230">
        <v>0</v>
      </c>
      <c r="AM85" s="230">
        <v>0</v>
      </c>
      <c r="AN85" s="234">
        <v>0</v>
      </c>
      <c r="AP85" s="233" t="s">
        <v>310</v>
      </c>
      <c r="AQ85" s="228">
        <v>0</v>
      </c>
      <c r="AR85" s="230">
        <v>0</v>
      </c>
      <c r="AS85" s="230">
        <v>0</v>
      </c>
      <c r="AT85" s="234">
        <v>0</v>
      </c>
    </row>
    <row r="86" spans="2:46" x14ac:dyDescent="0.25">
      <c r="B86" s="233" t="s">
        <v>295</v>
      </c>
      <c r="C86" s="228">
        <v>3</v>
      </c>
      <c r="D86" s="230">
        <v>1</v>
      </c>
      <c r="E86" s="230">
        <v>7</v>
      </c>
      <c r="F86" s="234">
        <v>11</v>
      </c>
      <c r="H86" s="233" t="s">
        <v>295</v>
      </c>
      <c r="I86" s="228">
        <v>460.21416157762394</v>
      </c>
      <c r="J86" s="230">
        <v>126.66598943205842</v>
      </c>
      <c r="K86" s="230">
        <v>666.66577112120547</v>
      </c>
      <c r="L86" s="234">
        <v>1253.5459221308879</v>
      </c>
      <c r="M86" s="229"/>
      <c r="N86" s="233" t="s">
        <v>295</v>
      </c>
      <c r="O86" s="228">
        <v>460.21416157762394</v>
      </c>
      <c r="P86" s="230">
        <v>126.66598943205842</v>
      </c>
      <c r="Q86" s="230">
        <v>666.66577112120547</v>
      </c>
      <c r="R86" s="234">
        <f t="shared" si="3"/>
        <v>1253.5459221308879</v>
      </c>
      <c r="V86" s="233" t="s">
        <v>295</v>
      </c>
      <c r="W86" s="228">
        <v>0</v>
      </c>
      <c r="X86" s="230">
        <v>0</v>
      </c>
      <c r="Y86" s="230">
        <v>0</v>
      </c>
      <c r="Z86" s="234">
        <v>0</v>
      </c>
      <c r="AB86" s="233" t="s">
        <v>295</v>
      </c>
      <c r="AC86" s="228">
        <v>0</v>
      </c>
      <c r="AD86" s="230">
        <v>0</v>
      </c>
      <c r="AE86" s="230">
        <v>0</v>
      </c>
      <c r="AF86" s="234">
        <v>0</v>
      </c>
      <c r="AJ86" s="233" t="s">
        <v>295</v>
      </c>
      <c r="AK86" s="228">
        <v>0</v>
      </c>
      <c r="AL86" s="230">
        <v>0</v>
      </c>
      <c r="AM86" s="230">
        <v>0</v>
      </c>
      <c r="AN86" s="234">
        <v>0</v>
      </c>
      <c r="AP86" s="233" t="s">
        <v>295</v>
      </c>
      <c r="AQ86" s="228">
        <v>0</v>
      </c>
      <c r="AR86" s="230">
        <v>0</v>
      </c>
      <c r="AS86" s="230">
        <v>0</v>
      </c>
      <c r="AT86" s="234">
        <v>0</v>
      </c>
    </row>
    <row r="87" spans="2:46" x14ac:dyDescent="0.25">
      <c r="B87" s="233" t="s">
        <v>296</v>
      </c>
      <c r="C87" s="228">
        <v>9</v>
      </c>
      <c r="D87" s="230">
        <v>8</v>
      </c>
      <c r="E87" s="230">
        <v>26</v>
      </c>
      <c r="F87" s="234">
        <v>43</v>
      </c>
      <c r="H87" s="233" t="s">
        <v>296</v>
      </c>
      <c r="I87" s="228">
        <v>1685.8247930955779</v>
      </c>
      <c r="J87" s="230">
        <v>1396.676043441415</v>
      </c>
      <c r="K87" s="230">
        <v>11280.729615223521</v>
      </c>
      <c r="L87" s="234">
        <v>14363.230451760515</v>
      </c>
      <c r="M87" s="230"/>
      <c r="N87" s="233" t="s">
        <v>296</v>
      </c>
      <c r="O87" s="228">
        <v>1685.8247930955779</v>
      </c>
      <c r="P87" s="230">
        <v>1396.676043441415</v>
      </c>
      <c r="Q87" s="230">
        <v>11280.729615223521</v>
      </c>
      <c r="R87" s="234">
        <f t="shared" si="3"/>
        <v>14363.230451760515</v>
      </c>
      <c r="V87" s="233" t="s">
        <v>296</v>
      </c>
      <c r="W87" s="228">
        <v>0</v>
      </c>
      <c r="X87" s="230">
        <v>0</v>
      </c>
      <c r="Y87" s="230">
        <v>0</v>
      </c>
      <c r="Z87" s="234">
        <v>0</v>
      </c>
      <c r="AB87" s="233" t="s">
        <v>296</v>
      </c>
      <c r="AC87" s="228">
        <v>0</v>
      </c>
      <c r="AD87" s="230">
        <v>0</v>
      </c>
      <c r="AE87" s="230">
        <v>0</v>
      </c>
      <c r="AF87" s="234">
        <v>0</v>
      </c>
      <c r="AJ87" s="233" t="s">
        <v>296</v>
      </c>
      <c r="AK87" s="228">
        <v>0</v>
      </c>
      <c r="AL87" s="230">
        <v>0</v>
      </c>
      <c r="AM87" s="230">
        <v>0</v>
      </c>
      <c r="AN87" s="234">
        <v>0</v>
      </c>
      <c r="AP87" s="233" t="s">
        <v>296</v>
      </c>
      <c r="AQ87" s="228">
        <v>0</v>
      </c>
      <c r="AR87" s="230">
        <v>0</v>
      </c>
      <c r="AS87" s="230">
        <v>0</v>
      </c>
      <c r="AT87" s="234">
        <v>0</v>
      </c>
    </row>
    <row r="88" spans="2:46" x14ac:dyDescent="0.25">
      <c r="B88" s="233" t="s">
        <v>297</v>
      </c>
      <c r="C88" s="228">
        <v>3</v>
      </c>
      <c r="D88" s="230">
        <v>1</v>
      </c>
      <c r="E88" s="230">
        <v>3</v>
      </c>
      <c r="F88" s="234">
        <v>7</v>
      </c>
      <c r="H88" s="233" t="s">
        <v>297</v>
      </c>
      <c r="I88" s="228">
        <v>208.30535118594986</v>
      </c>
      <c r="J88" s="230">
        <v>40.657720767193553</v>
      </c>
      <c r="K88" s="230">
        <v>1225.345882051947</v>
      </c>
      <c r="L88" s="234">
        <v>1474.3089540050905</v>
      </c>
      <c r="M88" s="230"/>
      <c r="N88" s="233" t="s">
        <v>297</v>
      </c>
      <c r="O88" s="228">
        <v>208.30535118594986</v>
      </c>
      <c r="P88" s="230">
        <v>40.657720767193553</v>
      </c>
      <c r="Q88" s="230">
        <v>1225.345882051947</v>
      </c>
      <c r="R88" s="234">
        <f t="shared" si="3"/>
        <v>1474.3089540050905</v>
      </c>
      <c r="V88" s="233" t="s">
        <v>297</v>
      </c>
      <c r="W88" s="228">
        <v>0</v>
      </c>
      <c r="X88" s="230">
        <v>0</v>
      </c>
      <c r="Y88" s="230">
        <v>0</v>
      </c>
      <c r="Z88" s="234">
        <v>0</v>
      </c>
      <c r="AB88" s="233" t="s">
        <v>297</v>
      </c>
      <c r="AC88" s="228">
        <v>0</v>
      </c>
      <c r="AD88" s="230">
        <v>0</v>
      </c>
      <c r="AE88" s="230">
        <v>0</v>
      </c>
      <c r="AF88" s="234">
        <v>0</v>
      </c>
      <c r="AJ88" s="233" t="s">
        <v>297</v>
      </c>
      <c r="AK88" s="228">
        <v>0</v>
      </c>
      <c r="AL88" s="230">
        <v>0</v>
      </c>
      <c r="AM88" s="230">
        <v>1</v>
      </c>
      <c r="AN88" s="234">
        <v>1</v>
      </c>
      <c r="AP88" s="233" t="s">
        <v>297</v>
      </c>
      <c r="AQ88" s="228">
        <v>0</v>
      </c>
      <c r="AR88" s="230">
        <v>0</v>
      </c>
      <c r="AS88" s="230">
        <v>1162.2641487420522</v>
      </c>
      <c r="AT88" s="234">
        <v>1162.2641487420522</v>
      </c>
    </row>
    <row r="89" spans="2:46" x14ac:dyDescent="0.25">
      <c r="B89" s="233" t="s">
        <v>298</v>
      </c>
      <c r="C89" s="228">
        <v>0</v>
      </c>
      <c r="D89" s="230">
        <v>0</v>
      </c>
      <c r="E89" s="230">
        <v>2</v>
      </c>
      <c r="F89" s="234">
        <v>2</v>
      </c>
      <c r="H89" s="233" t="s">
        <v>298</v>
      </c>
      <c r="I89" s="242">
        <v>0</v>
      </c>
      <c r="J89" s="230">
        <v>0</v>
      </c>
      <c r="K89" s="230">
        <v>935.61187127452911</v>
      </c>
      <c r="L89" s="234">
        <v>935.61187127452911</v>
      </c>
      <c r="M89" s="230"/>
      <c r="N89" s="233" t="s">
        <v>298</v>
      </c>
      <c r="O89" s="242">
        <v>0</v>
      </c>
      <c r="P89" s="230">
        <v>0</v>
      </c>
      <c r="Q89" s="230">
        <v>935.61187127452911</v>
      </c>
      <c r="R89" s="234">
        <f t="shared" si="3"/>
        <v>935.61187127452911</v>
      </c>
      <c r="V89" s="233" t="s">
        <v>298</v>
      </c>
      <c r="W89" s="228">
        <v>0</v>
      </c>
      <c r="X89" s="230">
        <v>0</v>
      </c>
      <c r="Y89" s="230">
        <v>0</v>
      </c>
      <c r="Z89" s="234">
        <v>0</v>
      </c>
      <c r="AB89" s="233" t="s">
        <v>298</v>
      </c>
      <c r="AC89" s="228">
        <v>0</v>
      </c>
      <c r="AD89" s="230">
        <v>0</v>
      </c>
      <c r="AE89" s="230">
        <v>0</v>
      </c>
      <c r="AF89" s="234">
        <v>0</v>
      </c>
      <c r="AJ89" s="233" t="s">
        <v>298</v>
      </c>
      <c r="AK89" s="228">
        <v>0</v>
      </c>
      <c r="AL89" s="230">
        <v>0</v>
      </c>
      <c r="AM89" s="230">
        <v>1</v>
      </c>
      <c r="AN89" s="234">
        <v>1</v>
      </c>
      <c r="AP89" s="233" t="s">
        <v>298</v>
      </c>
      <c r="AQ89" s="228">
        <v>0</v>
      </c>
      <c r="AR89" s="230">
        <v>0</v>
      </c>
      <c r="AS89" s="230">
        <v>47.601017554812252</v>
      </c>
      <c r="AT89" s="234">
        <v>47.601017554812252</v>
      </c>
    </row>
    <row r="90" spans="2:46" x14ac:dyDescent="0.25">
      <c r="B90" s="233" t="s">
        <v>317</v>
      </c>
      <c r="C90" s="228">
        <v>0</v>
      </c>
      <c r="D90" s="230">
        <v>2</v>
      </c>
      <c r="E90" s="230">
        <v>2</v>
      </c>
      <c r="F90" s="234">
        <v>4</v>
      </c>
      <c r="H90" s="233" t="s">
        <v>317</v>
      </c>
      <c r="I90" s="242">
        <v>0</v>
      </c>
      <c r="J90" s="230">
        <v>150.19429924986838</v>
      </c>
      <c r="K90" s="230">
        <v>106.42834773318508</v>
      </c>
      <c r="L90" s="234">
        <v>256.62264698305347</v>
      </c>
      <c r="M90" s="230"/>
      <c r="N90" s="233" t="s">
        <v>317</v>
      </c>
      <c r="O90" s="242">
        <v>0</v>
      </c>
      <c r="P90" s="230">
        <v>150.19429924986838</v>
      </c>
      <c r="Q90" s="230">
        <v>106.42834773318508</v>
      </c>
      <c r="R90" s="234">
        <f t="shared" si="3"/>
        <v>256.62264698305347</v>
      </c>
      <c r="V90" s="233" t="s">
        <v>317</v>
      </c>
      <c r="W90" s="228">
        <v>0</v>
      </c>
      <c r="X90" s="230">
        <v>0</v>
      </c>
      <c r="Y90" s="230">
        <v>0</v>
      </c>
      <c r="Z90" s="234">
        <v>0</v>
      </c>
      <c r="AB90" s="233" t="s">
        <v>317</v>
      </c>
      <c r="AC90" s="228">
        <v>0</v>
      </c>
      <c r="AD90" s="230">
        <v>0</v>
      </c>
      <c r="AE90" s="230">
        <v>0</v>
      </c>
      <c r="AF90" s="234">
        <v>0</v>
      </c>
      <c r="AJ90" s="233" t="s">
        <v>317</v>
      </c>
      <c r="AK90" s="228">
        <v>0</v>
      </c>
      <c r="AL90" s="230">
        <v>0</v>
      </c>
      <c r="AM90" s="230">
        <v>0</v>
      </c>
      <c r="AN90" s="234">
        <v>0</v>
      </c>
      <c r="AP90" s="233" t="s">
        <v>317</v>
      </c>
      <c r="AQ90" s="228">
        <v>0</v>
      </c>
      <c r="AR90" s="230">
        <v>0</v>
      </c>
      <c r="AS90" s="230">
        <v>0</v>
      </c>
      <c r="AT90" s="234">
        <v>0</v>
      </c>
    </row>
    <row r="91" spans="2:46" x14ac:dyDescent="0.25">
      <c r="B91" s="233" t="s">
        <v>311</v>
      </c>
      <c r="C91" s="228">
        <v>0</v>
      </c>
      <c r="D91" s="230">
        <v>0</v>
      </c>
      <c r="E91" s="230">
        <v>1</v>
      </c>
      <c r="F91" s="234">
        <v>1</v>
      </c>
      <c r="H91" s="233" t="s">
        <v>311</v>
      </c>
      <c r="I91" s="242">
        <v>0</v>
      </c>
      <c r="J91" s="230">
        <v>0</v>
      </c>
      <c r="K91" s="230">
        <v>30.025018312656147</v>
      </c>
      <c r="L91" s="234">
        <v>30.025018312656147</v>
      </c>
      <c r="M91" s="230"/>
      <c r="N91" s="233" t="s">
        <v>311</v>
      </c>
      <c r="O91" s="242">
        <v>0</v>
      </c>
      <c r="P91" s="230">
        <v>0</v>
      </c>
      <c r="Q91" s="230">
        <v>30.025018312656147</v>
      </c>
      <c r="R91" s="234">
        <f>SUM(O91:Q91)</f>
        <v>30.025018312656147</v>
      </c>
      <c r="V91" s="233" t="s">
        <v>311</v>
      </c>
      <c r="W91" s="228">
        <v>0</v>
      </c>
      <c r="X91" s="230">
        <v>0</v>
      </c>
      <c r="Y91" s="230">
        <v>0</v>
      </c>
      <c r="Z91" s="234">
        <v>0</v>
      </c>
      <c r="AB91" s="233" t="s">
        <v>311</v>
      </c>
      <c r="AC91" s="228">
        <v>0</v>
      </c>
      <c r="AD91" s="230">
        <v>0</v>
      </c>
      <c r="AE91" s="230">
        <v>0</v>
      </c>
      <c r="AF91" s="234">
        <v>0</v>
      </c>
      <c r="AJ91" s="233" t="s">
        <v>311</v>
      </c>
      <c r="AK91" s="228">
        <v>0</v>
      </c>
      <c r="AL91" s="230">
        <v>0</v>
      </c>
      <c r="AM91" s="230">
        <v>1</v>
      </c>
      <c r="AN91" s="234">
        <v>1</v>
      </c>
      <c r="AP91" s="233" t="s">
        <v>311</v>
      </c>
      <c r="AQ91" s="228">
        <v>0</v>
      </c>
      <c r="AR91" s="230">
        <v>0</v>
      </c>
      <c r="AS91" s="230">
        <v>30.025018312656147</v>
      </c>
      <c r="AT91" s="234">
        <v>30.025018312656147</v>
      </c>
    </row>
    <row r="92" spans="2:46" x14ac:dyDescent="0.25">
      <c r="B92" s="233" t="s">
        <v>299</v>
      </c>
      <c r="C92" s="228">
        <v>0</v>
      </c>
      <c r="D92" s="230">
        <v>0</v>
      </c>
      <c r="E92" s="230">
        <v>1</v>
      </c>
      <c r="F92" s="234">
        <v>1</v>
      </c>
      <c r="H92" s="233" t="s">
        <v>299</v>
      </c>
      <c r="I92" s="242">
        <v>0</v>
      </c>
      <c r="J92" s="230">
        <v>0</v>
      </c>
      <c r="K92" s="230">
        <v>129.33276099947329</v>
      </c>
      <c r="L92" s="234">
        <v>129.33276099947329</v>
      </c>
      <c r="M92" s="230"/>
      <c r="N92" s="233" t="s">
        <v>299</v>
      </c>
      <c r="O92" s="242">
        <v>0</v>
      </c>
      <c r="P92" s="230">
        <v>0</v>
      </c>
      <c r="Q92" s="230">
        <v>129.33276099947329</v>
      </c>
      <c r="R92" s="234">
        <f t="shared" si="3"/>
        <v>129.33276099947329</v>
      </c>
      <c r="V92" s="233" t="s">
        <v>299</v>
      </c>
      <c r="W92" s="228">
        <v>0</v>
      </c>
      <c r="X92" s="230">
        <v>0</v>
      </c>
      <c r="Y92" s="230">
        <v>0</v>
      </c>
      <c r="Z92" s="234">
        <v>0</v>
      </c>
      <c r="AB92" s="233" t="s">
        <v>299</v>
      </c>
      <c r="AC92" s="228">
        <v>0</v>
      </c>
      <c r="AD92" s="230">
        <v>0</v>
      </c>
      <c r="AE92" s="230">
        <v>0</v>
      </c>
      <c r="AF92" s="234">
        <v>0</v>
      </c>
      <c r="AJ92" s="233" t="s">
        <v>299</v>
      </c>
      <c r="AK92" s="228">
        <v>0</v>
      </c>
      <c r="AL92" s="230">
        <v>0</v>
      </c>
      <c r="AM92" s="230">
        <v>0</v>
      </c>
      <c r="AN92" s="234">
        <v>0</v>
      </c>
      <c r="AP92" s="233" t="s">
        <v>299</v>
      </c>
      <c r="AQ92" s="228">
        <v>0</v>
      </c>
      <c r="AR92" s="230">
        <v>0</v>
      </c>
      <c r="AS92" s="230">
        <v>0</v>
      </c>
      <c r="AT92" s="234">
        <v>0</v>
      </c>
    </row>
    <row r="93" spans="2:46" x14ac:dyDescent="0.25">
      <c r="B93" s="233" t="s">
        <v>300</v>
      </c>
      <c r="C93" s="228">
        <v>1</v>
      </c>
      <c r="D93" s="230">
        <v>1</v>
      </c>
      <c r="E93" s="230">
        <v>8</v>
      </c>
      <c r="F93" s="234">
        <v>10</v>
      </c>
      <c r="H93" s="233" t="s">
        <v>300</v>
      </c>
      <c r="I93" s="242">
        <v>3835.8490111745532</v>
      </c>
      <c r="J93" s="230">
        <v>406.27992420916172</v>
      </c>
      <c r="K93" s="230">
        <v>369.0274948272679</v>
      </c>
      <c r="L93" s="234">
        <v>4611.1564302109828</v>
      </c>
      <c r="M93" s="230"/>
      <c r="N93" s="233" t="s">
        <v>300</v>
      </c>
      <c r="O93" s="242">
        <v>0</v>
      </c>
      <c r="P93" s="230">
        <v>406.27992420916172</v>
      </c>
      <c r="Q93" s="230">
        <v>369.0274948272679</v>
      </c>
      <c r="R93" s="234">
        <f t="shared" si="3"/>
        <v>775.30741903642956</v>
      </c>
      <c r="V93" s="233" t="s">
        <v>300</v>
      </c>
      <c r="W93" s="228">
        <v>1</v>
      </c>
      <c r="X93" s="230">
        <v>0</v>
      </c>
      <c r="Y93" s="230">
        <v>0</v>
      </c>
      <c r="Z93" s="234">
        <v>1</v>
      </c>
      <c r="AB93" s="233" t="s">
        <v>300</v>
      </c>
      <c r="AC93" s="228">
        <v>3835.8490111745532</v>
      </c>
      <c r="AD93" s="230">
        <v>0</v>
      </c>
      <c r="AE93" s="230">
        <v>0</v>
      </c>
      <c r="AF93" s="234">
        <v>3835.8490111745532</v>
      </c>
      <c r="AJ93" s="233" t="s">
        <v>300</v>
      </c>
      <c r="AK93" s="228">
        <v>1</v>
      </c>
      <c r="AL93" s="230">
        <v>0</v>
      </c>
      <c r="AM93" s="230">
        <v>0</v>
      </c>
      <c r="AN93" s="234">
        <v>1</v>
      </c>
      <c r="AP93" s="233" t="s">
        <v>300</v>
      </c>
      <c r="AQ93" s="228">
        <v>3835.8490111745532</v>
      </c>
      <c r="AR93" s="230">
        <v>0</v>
      </c>
      <c r="AS93" s="230">
        <v>0</v>
      </c>
      <c r="AT93" s="234">
        <v>3835.8490111745532</v>
      </c>
    </row>
    <row r="94" spans="2:46" x14ac:dyDescent="0.25">
      <c r="B94" s="233" t="s">
        <v>301</v>
      </c>
      <c r="C94" s="228">
        <v>0</v>
      </c>
      <c r="D94" s="230">
        <v>0</v>
      </c>
      <c r="E94" s="230">
        <v>2</v>
      </c>
      <c r="F94" s="234">
        <v>2</v>
      </c>
      <c r="H94" s="233" t="s">
        <v>301</v>
      </c>
      <c r="I94" s="242">
        <v>0</v>
      </c>
      <c r="J94" s="230">
        <v>0</v>
      </c>
      <c r="K94" s="230">
        <v>425.77933737987439</v>
      </c>
      <c r="L94" s="234">
        <v>425.77933737987439</v>
      </c>
      <c r="M94" s="230"/>
      <c r="N94" s="233" t="s">
        <v>301</v>
      </c>
      <c r="O94" s="242">
        <v>0</v>
      </c>
      <c r="P94" s="230">
        <v>0</v>
      </c>
      <c r="Q94" s="230">
        <v>425.77933737987439</v>
      </c>
      <c r="R94" s="234">
        <f t="shared" si="3"/>
        <v>425.77933737987439</v>
      </c>
      <c r="V94" s="233" t="s">
        <v>301</v>
      </c>
      <c r="W94" s="228">
        <v>0</v>
      </c>
      <c r="X94" s="230">
        <v>0</v>
      </c>
      <c r="Y94" s="230">
        <v>0</v>
      </c>
      <c r="Z94" s="234">
        <v>0</v>
      </c>
      <c r="AB94" s="233" t="s">
        <v>301</v>
      </c>
      <c r="AC94" s="228">
        <v>0</v>
      </c>
      <c r="AD94" s="230">
        <v>0</v>
      </c>
      <c r="AE94" s="230">
        <v>0</v>
      </c>
      <c r="AF94" s="234">
        <v>0</v>
      </c>
      <c r="AJ94" s="233" t="s">
        <v>301</v>
      </c>
      <c r="AK94" s="228">
        <v>0</v>
      </c>
      <c r="AL94" s="230">
        <v>0</v>
      </c>
      <c r="AM94" s="230">
        <v>0</v>
      </c>
      <c r="AN94" s="234">
        <v>0</v>
      </c>
      <c r="AP94" s="233" t="s">
        <v>301</v>
      </c>
      <c r="AQ94" s="228">
        <v>0</v>
      </c>
      <c r="AR94" s="230">
        <v>0</v>
      </c>
      <c r="AS94" s="230">
        <v>0</v>
      </c>
      <c r="AT94" s="234">
        <v>0</v>
      </c>
    </row>
    <row r="95" spans="2:46" x14ac:dyDescent="0.25">
      <c r="B95" s="233" t="s">
        <v>36</v>
      </c>
      <c r="C95" s="228">
        <v>4</v>
      </c>
      <c r="D95" s="230">
        <v>0</v>
      </c>
      <c r="E95" s="230">
        <v>4</v>
      </c>
      <c r="F95" s="234">
        <v>8</v>
      </c>
      <c r="H95" s="233" t="s">
        <v>36</v>
      </c>
      <c r="I95" s="228">
        <v>364.48025120884915</v>
      </c>
      <c r="J95" s="230">
        <v>0</v>
      </c>
      <c r="K95" s="230">
        <v>380.5165200099616</v>
      </c>
      <c r="L95" s="234">
        <v>744.99677121881075</v>
      </c>
      <c r="M95" s="230"/>
      <c r="N95" s="233" t="s">
        <v>36</v>
      </c>
      <c r="O95" s="228">
        <v>364.48025120884915</v>
      </c>
      <c r="P95" s="230">
        <v>0</v>
      </c>
      <c r="Q95" s="230">
        <v>380.5165200099616</v>
      </c>
      <c r="R95" s="234">
        <f t="shared" si="3"/>
        <v>744.99677121881075</v>
      </c>
      <c r="V95" s="233" t="s">
        <v>36</v>
      </c>
      <c r="W95" s="228">
        <v>0</v>
      </c>
      <c r="X95" s="230">
        <v>0</v>
      </c>
      <c r="Y95" s="230">
        <v>0</v>
      </c>
      <c r="Z95" s="234">
        <v>0</v>
      </c>
      <c r="AB95" s="233" t="s">
        <v>36</v>
      </c>
      <c r="AC95" s="228">
        <v>0</v>
      </c>
      <c r="AD95" s="230">
        <v>0</v>
      </c>
      <c r="AE95" s="230">
        <v>0</v>
      </c>
      <c r="AF95" s="234">
        <v>0</v>
      </c>
      <c r="AJ95" s="233" t="s">
        <v>36</v>
      </c>
      <c r="AK95" s="228">
        <v>0</v>
      </c>
      <c r="AL95" s="230">
        <v>0</v>
      </c>
      <c r="AM95" s="230">
        <v>0</v>
      </c>
      <c r="AN95" s="234">
        <v>0</v>
      </c>
      <c r="AP95" s="233" t="s">
        <v>36</v>
      </c>
      <c r="AQ95" s="228">
        <v>0</v>
      </c>
      <c r="AR95" s="230">
        <v>0</v>
      </c>
      <c r="AS95" s="230">
        <v>0</v>
      </c>
      <c r="AT95" s="234">
        <v>0</v>
      </c>
    </row>
    <row r="96" spans="2:46" x14ac:dyDescent="0.25">
      <c r="B96" s="233" t="s">
        <v>302</v>
      </c>
      <c r="C96" s="228">
        <v>24</v>
      </c>
      <c r="D96" s="230">
        <v>5</v>
      </c>
      <c r="E96" s="230">
        <v>29</v>
      </c>
      <c r="F96" s="234">
        <v>58</v>
      </c>
      <c r="H96" s="233" t="s">
        <v>302</v>
      </c>
      <c r="I96" s="228">
        <v>5859.8830893171798</v>
      </c>
      <c r="J96" s="230">
        <v>6749.0997714719451</v>
      </c>
      <c r="K96" s="230">
        <v>11452.484403427048</v>
      </c>
      <c r="L96" s="234">
        <v>24061.467264216175</v>
      </c>
      <c r="M96" s="230"/>
      <c r="N96" s="233" t="s">
        <v>302</v>
      </c>
      <c r="O96" s="228">
        <v>5859.8830893171798</v>
      </c>
      <c r="P96" s="230">
        <v>6749.0997714719451</v>
      </c>
      <c r="Q96" s="230">
        <v>11452.484403427048</v>
      </c>
      <c r="R96" s="234">
        <f t="shared" si="3"/>
        <v>24061.467264216175</v>
      </c>
      <c r="V96" s="233" t="s">
        <v>302</v>
      </c>
      <c r="W96" s="228">
        <v>0</v>
      </c>
      <c r="X96" s="230">
        <v>0</v>
      </c>
      <c r="Y96" s="230">
        <v>6</v>
      </c>
      <c r="Z96" s="234">
        <v>6</v>
      </c>
      <c r="AB96" s="233" t="s">
        <v>302</v>
      </c>
      <c r="AC96" s="228">
        <v>0</v>
      </c>
      <c r="AD96" s="230">
        <v>0</v>
      </c>
      <c r="AE96" s="230">
        <v>1069.1628582100889</v>
      </c>
      <c r="AF96" s="234">
        <v>1069.1628582100889</v>
      </c>
      <c r="AJ96" s="233" t="s">
        <v>302</v>
      </c>
      <c r="AK96" s="228">
        <v>0</v>
      </c>
      <c r="AL96" s="230">
        <v>0</v>
      </c>
      <c r="AM96" s="230">
        <v>6</v>
      </c>
      <c r="AN96" s="234">
        <v>6</v>
      </c>
      <c r="AP96" s="233" t="s">
        <v>302</v>
      </c>
      <c r="AQ96" s="228">
        <v>0</v>
      </c>
      <c r="AR96" s="230">
        <v>0</v>
      </c>
      <c r="AS96" s="230">
        <v>1069.1628582100889</v>
      </c>
      <c r="AT96" s="234">
        <v>1069.1628582100889</v>
      </c>
    </row>
    <row r="97" spans="2:46" x14ac:dyDescent="0.25">
      <c r="B97" s="233" t="s">
        <v>303</v>
      </c>
      <c r="C97" s="228">
        <v>1</v>
      </c>
      <c r="D97" s="230">
        <v>0</v>
      </c>
      <c r="E97" s="230">
        <v>1</v>
      </c>
      <c r="F97" s="234">
        <v>2</v>
      </c>
      <c r="H97" s="233" t="s">
        <v>303</v>
      </c>
      <c r="I97" s="228">
        <v>19.460105202643724</v>
      </c>
      <c r="J97" s="230">
        <v>0</v>
      </c>
      <c r="K97" s="230">
        <v>158.58798642963697</v>
      </c>
      <c r="L97" s="234">
        <v>178.04809163228069</v>
      </c>
      <c r="M97" s="230"/>
      <c r="N97" s="233" t="s">
        <v>303</v>
      </c>
      <c r="O97" s="228">
        <v>19.460105202643724</v>
      </c>
      <c r="P97" s="230">
        <v>0</v>
      </c>
      <c r="Q97" s="230">
        <v>158.58798642963697</v>
      </c>
      <c r="R97" s="234">
        <f t="shared" si="3"/>
        <v>178.04809163228069</v>
      </c>
      <c r="V97" s="233" t="s">
        <v>303</v>
      </c>
      <c r="W97" s="228">
        <v>0</v>
      </c>
      <c r="X97" s="230">
        <v>0</v>
      </c>
      <c r="Y97" s="230">
        <v>0</v>
      </c>
      <c r="Z97" s="234">
        <v>0</v>
      </c>
      <c r="AB97" s="233" t="s">
        <v>303</v>
      </c>
      <c r="AC97" s="228">
        <v>0</v>
      </c>
      <c r="AD97" s="230">
        <v>0</v>
      </c>
      <c r="AE97" s="230">
        <v>0</v>
      </c>
      <c r="AF97" s="234">
        <v>0</v>
      </c>
      <c r="AJ97" s="233" t="s">
        <v>303</v>
      </c>
      <c r="AK97" s="228">
        <v>0</v>
      </c>
      <c r="AL97" s="230">
        <v>0</v>
      </c>
      <c r="AM97" s="230">
        <v>0</v>
      </c>
      <c r="AN97" s="234">
        <v>0</v>
      </c>
      <c r="AP97" s="233" t="s">
        <v>303</v>
      </c>
      <c r="AQ97" s="228">
        <v>0</v>
      </c>
      <c r="AR97" s="230">
        <v>0</v>
      </c>
      <c r="AS97" s="230">
        <v>0</v>
      </c>
      <c r="AT97" s="234">
        <v>0</v>
      </c>
    </row>
    <row r="98" spans="2:46" x14ac:dyDescent="0.25">
      <c r="B98" s="236" t="s">
        <v>1</v>
      </c>
      <c r="C98" s="237">
        <v>666</v>
      </c>
      <c r="D98" s="238">
        <v>809</v>
      </c>
      <c r="E98" s="238">
        <v>6346</v>
      </c>
      <c r="F98" s="239">
        <v>7821</v>
      </c>
      <c r="H98" s="236" t="s">
        <v>1</v>
      </c>
      <c r="I98" s="237">
        <v>162938.30931054673</v>
      </c>
      <c r="J98" s="238">
        <v>226743.50189513472</v>
      </c>
      <c r="K98" s="238">
        <v>2647281.0541922343</v>
      </c>
      <c r="L98" s="239">
        <v>3036962.8653979157</v>
      </c>
      <c r="M98" s="230"/>
      <c r="N98" s="236" t="s">
        <v>1</v>
      </c>
      <c r="O98" s="237">
        <f>SUM(O78:O97)</f>
        <v>157137.96494058985</v>
      </c>
      <c r="P98" s="238">
        <f>SUM(P78:P97)</f>
        <v>226743.50189513472</v>
      </c>
      <c r="Q98" s="238">
        <f>SUM(Q78:Q97)</f>
        <v>2647281.0541922348</v>
      </c>
      <c r="R98" s="239">
        <f>SUM(R78:R97)</f>
        <v>3031162.5210279599</v>
      </c>
      <c r="V98" s="236" t="s">
        <v>1</v>
      </c>
      <c r="W98" s="237">
        <v>10</v>
      </c>
      <c r="X98" s="238">
        <v>15</v>
      </c>
      <c r="Y98" s="238">
        <v>672</v>
      </c>
      <c r="Z98" s="239">
        <v>697</v>
      </c>
      <c r="AB98" s="236" t="s">
        <v>1</v>
      </c>
      <c r="AC98" s="237">
        <v>6401.7771601296472</v>
      </c>
      <c r="AD98" s="238">
        <v>421.40868057753585</v>
      </c>
      <c r="AE98" s="238">
        <v>281556.37229887117</v>
      </c>
      <c r="AF98" s="239">
        <v>288379.55813957838</v>
      </c>
      <c r="AJ98" s="236" t="s">
        <v>1</v>
      </c>
      <c r="AK98" s="237">
        <v>22</v>
      </c>
      <c r="AL98" s="238">
        <v>53</v>
      </c>
      <c r="AM98" s="238">
        <v>1122</v>
      </c>
      <c r="AN98" s="239">
        <v>1197</v>
      </c>
      <c r="AP98" s="236" t="s">
        <v>1</v>
      </c>
      <c r="AQ98" s="237">
        <v>14463.845799738043</v>
      </c>
      <c r="AR98" s="238">
        <v>15167.044177355081</v>
      </c>
      <c r="AS98" s="238">
        <v>534302.10520381539</v>
      </c>
      <c r="AT98" s="239">
        <v>563932.99518090859</v>
      </c>
    </row>
    <row r="99" spans="2:46" x14ac:dyDescent="0.25">
      <c r="M99" s="230"/>
    </row>
    <row r="100" spans="2:46" x14ac:dyDescent="0.25">
      <c r="B100" t="s">
        <v>246</v>
      </c>
      <c r="H100" t="s">
        <v>246</v>
      </c>
      <c r="M100" s="230"/>
      <c r="N100" t="s">
        <v>246</v>
      </c>
      <c r="V100" t="s">
        <v>246</v>
      </c>
      <c r="AB100" t="s">
        <v>246</v>
      </c>
      <c r="AJ100" t="s">
        <v>246</v>
      </c>
      <c r="AP100" t="s">
        <v>246</v>
      </c>
    </row>
    <row r="101" spans="2:46" x14ac:dyDescent="0.25">
      <c r="B101" s="236" t="s">
        <v>290</v>
      </c>
      <c r="C101" s="237" t="s">
        <v>7</v>
      </c>
      <c r="D101" s="238" t="s">
        <v>8</v>
      </c>
      <c r="E101" s="238" t="s">
        <v>9</v>
      </c>
      <c r="F101" s="239" t="s">
        <v>1</v>
      </c>
      <c r="H101" s="236" t="s">
        <v>290</v>
      </c>
      <c r="I101" s="237" t="s">
        <v>7</v>
      </c>
      <c r="J101" s="238" t="s">
        <v>8</v>
      </c>
      <c r="K101" s="238" t="s">
        <v>9</v>
      </c>
      <c r="L101" s="239" t="s">
        <v>1</v>
      </c>
      <c r="M101" s="230"/>
      <c r="N101" s="236" t="s">
        <v>290</v>
      </c>
      <c r="O101" s="237" t="s">
        <v>7</v>
      </c>
      <c r="P101" s="238" t="s">
        <v>8</v>
      </c>
      <c r="Q101" s="238" t="s">
        <v>9</v>
      </c>
      <c r="R101" s="239" t="s">
        <v>1</v>
      </c>
      <c r="V101" s="236" t="s">
        <v>290</v>
      </c>
      <c r="W101" s="237" t="s">
        <v>7</v>
      </c>
      <c r="X101" s="238" t="s">
        <v>8</v>
      </c>
      <c r="Y101" s="238" t="s">
        <v>9</v>
      </c>
      <c r="Z101" s="239" t="s">
        <v>1</v>
      </c>
      <c r="AB101" s="236" t="s">
        <v>290</v>
      </c>
      <c r="AC101" s="237" t="s">
        <v>7</v>
      </c>
      <c r="AD101" s="238" t="s">
        <v>8</v>
      </c>
      <c r="AE101" s="238" t="s">
        <v>9</v>
      </c>
      <c r="AF101" s="239" t="s">
        <v>1</v>
      </c>
      <c r="AJ101" s="236" t="s">
        <v>290</v>
      </c>
      <c r="AK101" s="237" t="s">
        <v>7</v>
      </c>
      <c r="AL101" s="238" t="s">
        <v>8</v>
      </c>
      <c r="AM101" s="238" t="s">
        <v>9</v>
      </c>
      <c r="AN101" s="239" t="s">
        <v>1</v>
      </c>
      <c r="AP101" s="236" t="s">
        <v>290</v>
      </c>
      <c r="AQ101" s="237" t="s">
        <v>7</v>
      </c>
      <c r="AR101" s="238" t="s">
        <v>8</v>
      </c>
      <c r="AS101" s="238" t="s">
        <v>9</v>
      </c>
      <c r="AT101" s="239" t="s">
        <v>1</v>
      </c>
    </row>
    <row r="102" spans="2:46" x14ac:dyDescent="0.25">
      <c r="B102" s="233" t="s">
        <v>291</v>
      </c>
      <c r="C102" s="228">
        <v>51</v>
      </c>
      <c r="D102" s="230">
        <v>162</v>
      </c>
      <c r="E102" s="230">
        <v>2566</v>
      </c>
      <c r="F102" s="234">
        <v>2779</v>
      </c>
      <c r="H102" s="233" t="s">
        <v>291</v>
      </c>
      <c r="I102" s="242">
        <v>7185.2632723428451</v>
      </c>
      <c r="J102" s="230">
        <v>33444.620132591335</v>
      </c>
      <c r="K102" s="230">
        <v>701340.9635934236</v>
      </c>
      <c r="L102" s="234">
        <v>741970.8469983578</v>
      </c>
      <c r="M102" s="230"/>
      <c r="N102" s="233" t="s">
        <v>291</v>
      </c>
      <c r="O102" s="242">
        <v>0</v>
      </c>
      <c r="P102" s="230">
        <v>33444.620132591335</v>
      </c>
      <c r="Q102" s="230">
        <v>701340.9635934236</v>
      </c>
      <c r="R102" s="234">
        <f>SUM(O102:Q102)</f>
        <v>734785.58372601494</v>
      </c>
      <c r="S102" s="1"/>
      <c r="V102" s="233" t="s">
        <v>291</v>
      </c>
      <c r="W102" s="228">
        <v>0</v>
      </c>
      <c r="X102" s="230">
        <v>6</v>
      </c>
      <c r="Y102" s="230">
        <v>310</v>
      </c>
      <c r="Z102" s="234">
        <v>316</v>
      </c>
      <c r="AB102" s="233" t="s">
        <v>291</v>
      </c>
      <c r="AC102" s="228">
        <v>0</v>
      </c>
      <c r="AD102" s="230">
        <v>1480.9525371166751</v>
      </c>
      <c r="AE102" s="230">
        <v>86579.922581703184</v>
      </c>
      <c r="AF102" s="234">
        <v>88060.875118819866</v>
      </c>
      <c r="AJ102" s="233" t="s">
        <v>291</v>
      </c>
      <c r="AK102" s="228">
        <v>0</v>
      </c>
      <c r="AL102" s="230">
        <v>18</v>
      </c>
      <c r="AM102" s="230">
        <v>550</v>
      </c>
      <c r="AN102" s="234">
        <v>568</v>
      </c>
      <c r="AP102" s="233" t="s">
        <v>291</v>
      </c>
      <c r="AQ102" s="228">
        <v>0</v>
      </c>
      <c r="AR102" s="230">
        <v>13544.839531701307</v>
      </c>
      <c r="AS102" s="230">
        <v>164178.9612295182</v>
      </c>
      <c r="AT102" s="234">
        <v>177723.80076121952</v>
      </c>
    </row>
    <row r="103" spans="2:46" x14ac:dyDescent="0.25">
      <c r="B103" s="233" t="s">
        <v>292</v>
      </c>
      <c r="C103" s="228">
        <v>52</v>
      </c>
      <c r="D103" s="230">
        <v>151</v>
      </c>
      <c r="E103" s="230">
        <v>1171</v>
      </c>
      <c r="F103" s="234">
        <v>1374</v>
      </c>
      <c r="H103" s="233" t="s">
        <v>292</v>
      </c>
      <c r="I103" s="228">
        <v>10130.904868215201</v>
      </c>
      <c r="J103" s="230">
        <v>26724.48093009874</v>
      </c>
      <c r="K103" s="230">
        <v>432521.98673234583</v>
      </c>
      <c r="L103" s="234">
        <v>469377.37253065978</v>
      </c>
      <c r="M103" s="230"/>
      <c r="N103" s="233" t="s">
        <v>292</v>
      </c>
      <c r="O103" s="228">
        <v>10130.904868215201</v>
      </c>
      <c r="P103" s="230">
        <v>26724.48093009874</v>
      </c>
      <c r="Q103" s="230">
        <v>432521.98673234583</v>
      </c>
      <c r="R103" s="234">
        <f t="shared" ref="R103:R121" si="4">SUM(O103:Q103)</f>
        <v>469377.37253065978</v>
      </c>
      <c r="S103" s="1"/>
      <c r="V103" s="233" t="s">
        <v>292</v>
      </c>
      <c r="W103" s="228">
        <v>5</v>
      </c>
      <c r="X103" s="230">
        <v>2</v>
      </c>
      <c r="Y103" s="230">
        <v>157</v>
      </c>
      <c r="Z103" s="234">
        <v>164</v>
      </c>
      <c r="AB103" s="233" t="s">
        <v>292</v>
      </c>
      <c r="AC103" s="228">
        <v>190.0225229347833</v>
      </c>
      <c r="AD103" s="230">
        <v>117.34173982343299</v>
      </c>
      <c r="AE103" s="230">
        <v>51028.755733793681</v>
      </c>
      <c r="AF103" s="234">
        <v>51336.119996551897</v>
      </c>
      <c r="AJ103" s="233" t="s">
        <v>292</v>
      </c>
      <c r="AK103" s="228">
        <v>5</v>
      </c>
      <c r="AL103" s="230">
        <v>12</v>
      </c>
      <c r="AM103" s="230">
        <v>239</v>
      </c>
      <c r="AN103" s="234">
        <v>256</v>
      </c>
      <c r="AP103" s="233" t="s">
        <v>292</v>
      </c>
      <c r="AQ103" s="228">
        <v>190.0225229347833</v>
      </c>
      <c r="AR103" s="230">
        <v>2138.1349515659726</v>
      </c>
      <c r="AS103" s="230">
        <v>86801.344341941294</v>
      </c>
      <c r="AT103" s="234">
        <v>89129.501816442047</v>
      </c>
    </row>
    <row r="104" spans="2:46" x14ac:dyDescent="0.25">
      <c r="B104" s="233" t="s">
        <v>293</v>
      </c>
      <c r="C104">
        <v>25</v>
      </c>
      <c r="D104">
        <v>62</v>
      </c>
      <c r="E104">
        <v>439</v>
      </c>
      <c r="F104" s="233">
        <v>526</v>
      </c>
      <c r="H104" s="233" t="s">
        <v>293</v>
      </c>
      <c r="I104">
        <v>2552.4320472831055</v>
      </c>
      <c r="J104">
        <v>18558.664343463461</v>
      </c>
      <c r="K104">
        <v>250480.83183999587</v>
      </c>
      <c r="L104" s="233">
        <v>271591.92823074246</v>
      </c>
      <c r="M104" s="230"/>
      <c r="N104" s="233" t="s">
        <v>293</v>
      </c>
      <c r="O104">
        <v>2552.4320472831055</v>
      </c>
      <c r="P104">
        <v>18558.664343463461</v>
      </c>
      <c r="Q104">
        <v>250480.83183999587</v>
      </c>
      <c r="R104" s="233">
        <f t="shared" si="4"/>
        <v>271591.92823074246</v>
      </c>
      <c r="S104" s="1"/>
      <c r="V104" s="233" t="s">
        <v>293</v>
      </c>
      <c r="W104">
        <v>0</v>
      </c>
      <c r="X104">
        <v>3</v>
      </c>
      <c r="Y104">
        <v>52</v>
      </c>
      <c r="Z104" s="233">
        <v>55</v>
      </c>
      <c r="AB104" s="233" t="s">
        <v>293</v>
      </c>
      <c r="AC104">
        <v>0</v>
      </c>
      <c r="AD104">
        <v>244.81661998130909</v>
      </c>
      <c r="AE104">
        <v>28249.508526614594</v>
      </c>
      <c r="AF104" s="233">
        <v>28494.325146595904</v>
      </c>
      <c r="AJ104" s="233" t="s">
        <v>293</v>
      </c>
      <c r="AK104">
        <v>0</v>
      </c>
      <c r="AL104">
        <v>7</v>
      </c>
      <c r="AM104">
        <v>92</v>
      </c>
      <c r="AN104" s="233">
        <v>99</v>
      </c>
      <c r="AP104" s="233" t="s">
        <v>293</v>
      </c>
      <c r="AQ104">
        <v>0</v>
      </c>
      <c r="AR104">
        <v>7536.2909891433483</v>
      </c>
      <c r="AS104">
        <v>50382.869412264008</v>
      </c>
      <c r="AT104" s="233">
        <v>57919.160401407353</v>
      </c>
    </row>
    <row r="105" spans="2:46" x14ac:dyDescent="0.25">
      <c r="B105" s="233" t="s">
        <v>2</v>
      </c>
      <c r="C105">
        <v>812</v>
      </c>
      <c r="D105">
        <v>532</v>
      </c>
      <c r="E105">
        <v>2731</v>
      </c>
      <c r="F105" s="233">
        <v>4075</v>
      </c>
      <c r="H105" s="233" t="s">
        <v>2</v>
      </c>
      <c r="I105">
        <v>131177.63741324679</v>
      </c>
      <c r="J105">
        <v>93259.774646855556</v>
      </c>
      <c r="K105">
        <v>693897.32813811605</v>
      </c>
      <c r="L105" s="233">
        <v>918334.74019821838</v>
      </c>
      <c r="M105" s="230"/>
      <c r="N105" s="233" t="s">
        <v>2</v>
      </c>
      <c r="O105">
        <v>131177.63741324679</v>
      </c>
      <c r="P105">
        <v>93259.774646855556</v>
      </c>
      <c r="Q105">
        <v>693897.32813811605</v>
      </c>
      <c r="R105" s="233">
        <f t="shared" si="4"/>
        <v>918334.74019821838</v>
      </c>
      <c r="S105" s="1"/>
      <c r="V105" s="233" t="s">
        <v>2</v>
      </c>
      <c r="W105">
        <v>10</v>
      </c>
      <c r="X105">
        <v>7</v>
      </c>
      <c r="Y105">
        <v>197</v>
      </c>
      <c r="Z105" s="233">
        <v>214</v>
      </c>
      <c r="AB105" s="233" t="s">
        <v>2</v>
      </c>
      <c r="AC105">
        <v>393.98144073286892</v>
      </c>
      <c r="AD105">
        <v>1385.7089984936886</v>
      </c>
      <c r="AE105">
        <v>54506.962781919472</v>
      </c>
      <c r="AF105" s="233">
        <v>56286.653221146029</v>
      </c>
      <c r="AJ105" s="233" t="s">
        <v>2</v>
      </c>
      <c r="AK105">
        <v>10</v>
      </c>
      <c r="AL105">
        <v>26</v>
      </c>
      <c r="AM105">
        <v>339</v>
      </c>
      <c r="AN105" s="233">
        <v>375</v>
      </c>
      <c r="AP105" s="233" t="s">
        <v>2</v>
      </c>
      <c r="AQ105">
        <v>393.98144073286892</v>
      </c>
      <c r="AR105">
        <v>9796.7815159895144</v>
      </c>
      <c r="AS105">
        <v>89063.997475280485</v>
      </c>
      <c r="AT105" s="233">
        <v>99254.760432002862</v>
      </c>
    </row>
    <row r="106" spans="2:46" x14ac:dyDescent="0.25">
      <c r="B106" s="233" t="s">
        <v>31</v>
      </c>
      <c r="C106">
        <v>90</v>
      </c>
      <c r="D106">
        <v>57</v>
      </c>
      <c r="E106">
        <v>186</v>
      </c>
      <c r="F106" s="233">
        <v>333</v>
      </c>
      <c r="H106" s="233" t="s">
        <v>31</v>
      </c>
      <c r="I106">
        <v>34074.388507393072</v>
      </c>
      <c r="J106">
        <v>6230.7715216048118</v>
      </c>
      <c r="K106">
        <v>41699.306034701418</v>
      </c>
      <c r="L106" s="233">
        <v>82004.466063699307</v>
      </c>
      <c r="M106" s="230"/>
      <c r="N106" s="233" t="s">
        <v>31</v>
      </c>
      <c r="O106">
        <v>34074.388507393072</v>
      </c>
      <c r="P106">
        <v>6230.7715216048118</v>
      </c>
      <c r="Q106">
        <v>41699.306034701418</v>
      </c>
      <c r="R106" s="233">
        <f t="shared" si="4"/>
        <v>82004.466063699307</v>
      </c>
      <c r="S106" s="1"/>
      <c r="V106" s="233" t="s">
        <v>31</v>
      </c>
      <c r="W106">
        <v>1</v>
      </c>
      <c r="X106">
        <v>2</v>
      </c>
      <c r="Y106">
        <v>11</v>
      </c>
      <c r="Z106" s="233">
        <v>14</v>
      </c>
      <c r="AB106" s="233" t="s">
        <v>31</v>
      </c>
      <c r="AC106">
        <v>52.196010515610133</v>
      </c>
      <c r="AD106">
        <v>975.15214948280868</v>
      </c>
      <c r="AE106">
        <v>5125.4311294165009</v>
      </c>
      <c r="AF106" s="233">
        <v>6152.7792894149197</v>
      </c>
      <c r="AJ106" s="233" t="s">
        <v>31</v>
      </c>
      <c r="AK106">
        <v>5</v>
      </c>
      <c r="AL106">
        <v>4</v>
      </c>
      <c r="AM106">
        <v>20</v>
      </c>
      <c r="AN106" s="233">
        <v>29</v>
      </c>
      <c r="AP106" s="233" t="s">
        <v>31</v>
      </c>
      <c r="AQ106">
        <v>12790.059709944631</v>
      </c>
      <c r="AR106">
        <v>1024.3314760382843</v>
      </c>
      <c r="AS106">
        <v>8071.1872093791799</v>
      </c>
      <c r="AT106" s="233">
        <v>21885.578395362096</v>
      </c>
    </row>
    <row r="107" spans="2:46" x14ac:dyDescent="0.25">
      <c r="B107" s="233" t="s">
        <v>294</v>
      </c>
      <c r="C107" s="232">
        <v>146</v>
      </c>
      <c r="D107" s="231">
        <v>30</v>
      </c>
      <c r="E107" s="231">
        <v>136</v>
      </c>
      <c r="F107" s="235">
        <v>312</v>
      </c>
      <c r="H107" s="233" t="s">
        <v>294</v>
      </c>
      <c r="I107" s="232">
        <v>31128.373921638704</v>
      </c>
      <c r="J107" s="231">
        <v>8479.8851178828227</v>
      </c>
      <c r="K107" s="231">
        <v>32912.294872730563</v>
      </c>
      <c r="L107" s="235">
        <v>72520.553912252086</v>
      </c>
      <c r="N107" s="233" t="s">
        <v>294</v>
      </c>
      <c r="O107" s="232">
        <v>31128.373921638704</v>
      </c>
      <c r="P107" s="231">
        <v>8479.8851178828227</v>
      </c>
      <c r="Q107" s="231">
        <v>32912.294872730563</v>
      </c>
      <c r="R107" s="235">
        <f t="shared" si="4"/>
        <v>72520.553912252086</v>
      </c>
      <c r="S107" s="1"/>
      <c r="V107" s="233" t="s">
        <v>294</v>
      </c>
      <c r="W107" s="232">
        <v>0</v>
      </c>
      <c r="X107" s="231">
        <v>0</v>
      </c>
      <c r="Y107" s="231">
        <v>3</v>
      </c>
      <c r="Z107" s="235">
        <v>3</v>
      </c>
      <c r="AB107" s="233" t="s">
        <v>294</v>
      </c>
      <c r="AC107" s="232">
        <v>0</v>
      </c>
      <c r="AD107" s="231">
        <v>0</v>
      </c>
      <c r="AE107" s="231">
        <v>7047.1312968799484</v>
      </c>
      <c r="AF107" s="235">
        <v>7047.1312968799484</v>
      </c>
      <c r="AJ107" s="233" t="s">
        <v>294</v>
      </c>
      <c r="AK107" s="232">
        <v>1</v>
      </c>
      <c r="AL107" s="231">
        <v>0</v>
      </c>
      <c r="AM107" s="231">
        <v>6</v>
      </c>
      <c r="AN107" s="235">
        <v>7</v>
      </c>
      <c r="AP107" s="233" t="s">
        <v>294</v>
      </c>
      <c r="AQ107" s="232">
        <v>1671.5393715184443</v>
      </c>
      <c r="AR107" s="231">
        <v>0</v>
      </c>
      <c r="AS107" s="231">
        <v>7158.6732301931488</v>
      </c>
      <c r="AT107" s="235">
        <v>8830.2126017115934</v>
      </c>
    </row>
    <row r="108" spans="2:46" x14ac:dyDescent="0.25">
      <c r="B108" s="233" t="s">
        <v>345</v>
      </c>
      <c r="C108" s="228">
        <v>56</v>
      </c>
      <c r="D108" s="230">
        <v>7</v>
      </c>
      <c r="E108" s="230">
        <v>45</v>
      </c>
      <c r="F108" s="234">
        <v>108</v>
      </c>
      <c r="H108" s="233" t="s">
        <v>345</v>
      </c>
      <c r="I108" s="228">
        <v>5766.2773637606815</v>
      </c>
      <c r="J108" s="230">
        <v>1323.0409622360712</v>
      </c>
      <c r="K108" s="230">
        <v>9146.5206163594812</v>
      </c>
      <c r="L108" s="234">
        <v>16235.838942356233</v>
      </c>
      <c r="N108" s="233" t="s">
        <v>345</v>
      </c>
      <c r="O108" s="228">
        <v>5766.2773637606815</v>
      </c>
      <c r="P108" s="230">
        <v>1323.0409622360712</v>
      </c>
      <c r="Q108" s="230">
        <v>9146.5206163594812</v>
      </c>
      <c r="R108" s="234">
        <f t="shared" si="4"/>
        <v>16235.838942356233</v>
      </c>
      <c r="S108" s="1"/>
      <c r="U108" s="227"/>
      <c r="V108" s="233" t="s">
        <v>345</v>
      </c>
      <c r="W108" s="228">
        <v>0</v>
      </c>
      <c r="X108" s="230">
        <v>0</v>
      </c>
      <c r="Y108" s="230">
        <v>0</v>
      </c>
      <c r="Z108" s="234">
        <v>0</v>
      </c>
      <c r="AB108" s="233" t="s">
        <v>345</v>
      </c>
      <c r="AC108" s="228">
        <v>0</v>
      </c>
      <c r="AD108" s="230">
        <v>0</v>
      </c>
      <c r="AE108" s="230">
        <v>0</v>
      </c>
      <c r="AF108" s="234">
        <v>0</v>
      </c>
      <c r="AJ108" s="233" t="s">
        <v>345</v>
      </c>
      <c r="AK108" s="228">
        <v>0</v>
      </c>
      <c r="AL108" s="230">
        <v>0</v>
      </c>
      <c r="AM108" s="230">
        <v>0</v>
      </c>
      <c r="AN108" s="234">
        <v>0</v>
      </c>
      <c r="AP108" s="233" t="s">
        <v>345</v>
      </c>
      <c r="AQ108" s="228">
        <v>0</v>
      </c>
      <c r="AR108" s="230">
        <v>0</v>
      </c>
      <c r="AS108" s="230">
        <v>0</v>
      </c>
      <c r="AT108" s="234">
        <v>0</v>
      </c>
    </row>
    <row r="109" spans="2:46" x14ac:dyDescent="0.25">
      <c r="B109" s="233" t="s">
        <v>310</v>
      </c>
      <c r="C109" s="228">
        <v>3</v>
      </c>
      <c r="D109" s="230">
        <v>0</v>
      </c>
      <c r="E109" s="230">
        <v>1</v>
      </c>
      <c r="F109" s="234">
        <v>4</v>
      </c>
      <c r="H109" s="233" t="s">
        <v>310</v>
      </c>
      <c r="I109" s="228">
        <v>91.467385450446614</v>
      </c>
      <c r="J109" s="230">
        <v>0</v>
      </c>
      <c r="K109" s="230">
        <v>42.042793364129501</v>
      </c>
      <c r="L109" s="234">
        <v>133.51017881457611</v>
      </c>
      <c r="M109" s="230"/>
      <c r="N109" s="233" t="s">
        <v>310</v>
      </c>
      <c r="O109" s="228">
        <v>91.467385450446614</v>
      </c>
      <c r="P109" s="230">
        <v>0</v>
      </c>
      <c r="Q109" s="230">
        <v>42.042793364129501</v>
      </c>
      <c r="R109" s="234">
        <f>SUM(O109:Q109)</f>
        <v>133.51017881457611</v>
      </c>
      <c r="V109" s="233" t="s">
        <v>310</v>
      </c>
      <c r="W109" s="228">
        <v>0</v>
      </c>
      <c r="X109" s="230">
        <v>0</v>
      </c>
      <c r="Y109" s="230">
        <v>1</v>
      </c>
      <c r="Z109" s="234">
        <v>1</v>
      </c>
      <c r="AB109" s="233" t="s">
        <v>310</v>
      </c>
      <c r="AC109" s="228">
        <v>0</v>
      </c>
      <c r="AD109" s="230">
        <v>0</v>
      </c>
      <c r="AE109" s="230">
        <v>42.042793364129501</v>
      </c>
      <c r="AF109" s="234">
        <v>42.042793364129501</v>
      </c>
      <c r="AJ109" s="233" t="s">
        <v>310</v>
      </c>
      <c r="AK109" s="228">
        <v>1</v>
      </c>
      <c r="AL109" s="230">
        <v>0</v>
      </c>
      <c r="AM109" s="230">
        <v>1</v>
      </c>
      <c r="AN109" s="234">
        <v>2</v>
      </c>
      <c r="AP109" s="233" t="s">
        <v>310</v>
      </c>
      <c r="AQ109" s="228">
        <v>27.875554072699522</v>
      </c>
      <c r="AR109" s="230">
        <v>0</v>
      </c>
      <c r="AS109" s="230">
        <v>42.042793364129501</v>
      </c>
      <c r="AT109" s="234">
        <v>69.918347436829023</v>
      </c>
    </row>
    <row r="110" spans="2:46" x14ac:dyDescent="0.25">
      <c r="B110" s="233" t="s">
        <v>295</v>
      </c>
      <c r="C110" s="228">
        <v>5</v>
      </c>
      <c r="D110" s="230">
        <v>2</v>
      </c>
      <c r="E110" s="230">
        <v>11</v>
      </c>
      <c r="F110" s="234">
        <v>18</v>
      </c>
      <c r="H110" s="233" t="s">
        <v>295</v>
      </c>
      <c r="I110" s="228">
        <v>289.59253955314261</v>
      </c>
      <c r="J110" s="230">
        <v>107.62586676747841</v>
      </c>
      <c r="K110" s="230">
        <v>1007.6807091932482</v>
      </c>
      <c r="L110" s="234">
        <v>1404.8991155138692</v>
      </c>
      <c r="N110" s="233" t="s">
        <v>295</v>
      </c>
      <c r="O110" s="228">
        <v>289.59253955314261</v>
      </c>
      <c r="P110" s="230">
        <v>107.62586676747841</v>
      </c>
      <c r="Q110" s="230">
        <v>1007.6807091932482</v>
      </c>
      <c r="R110" s="234">
        <f t="shared" si="4"/>
        <v>1404.8991155138692</v>
      </c>
      <c r="S110" s="1"/>
      <c r="V110" s="233" t="s">
        <v>295</v>
      </c>
      <c r="W110" s="228">
        <v>0</v>
      </c>
      <c r="X110" s="230">
        <v>0</v>
      </c>
      <c r="Y110" s="230">
        <v>0</v>
      </c>
      <c r="Z110" s="234">
        <v>0</v>
      </c>
      <c r="AB110" s="233" t="s">
        <v>295</v>
      </c>
      <c r="AC110" s="228">
        <v>0</v>
      </c>
      <c r="AD110" s="230">
        <v>0</v>
      </c>
      <c r="AE110" s="230">
        <v>0</v>
      </c>
      <c r="AF110" s="234">
        <v>0</v>
      </c>
      <c r="AJ110" s="233" t="s">
        <v>295</v>
      </c>
      <c r="AK110" s="228">
        <v>0</v>
      </c>
      <c r="AL110" s="230">
        <v>0</v>
      </c>
      <c r="AM110" s="230">
        <v>1</v>
      </c>
      <c r="AN110" s="234">
        <v>1</v>
      </c>
      <c r="AP110" s="233" t="s">
        <v>295</v>
      </c>
      <c r="AQ110" s="228">
        <v>0</v>
      </c>
      <c r="AR110" s="230">
        <v>0</v>
      </c>
      <c r="AS110" s="230">
        <v>82.739543673339199</v>
      </c>
      <c r="AT110" s="234">
        <v>82.739543673339199</v>
      </c>
    </row>
    <row r="111" spans="2:46" x14ac:dyDescent="0.25">
      <c r="B111" s="233" t="s">
        <v>296</v>
      </c>
      <c r="C111" s="228">
        <v>31</v>
      </c>
      <c r="D111" s="230">
        <v>8</v>
      </c>
      <c r="E111" s="230">
        <v>55</v>
      </c>
      <c r="F111" s="234">
        <v>94</v>
      </c>
      <c r="H111" s="233" t="s">
        <v>296</v>
      </c>
      <c r="I111" s="228">
        <v>3877.2935706909452</v>
      </c>
      <c r="J111" s="230">
        <v>1674.0266401428842</v>
      </c>
      <c r="K111" s="230">
        <v>8851.129727845102</v>
      </c>
      <c r="L111" s="234">
        <v>14402.449938678932</v>
      </c>
      <c r="M111" s="229"/>
      <c r="N111" s="233" t="s">
        <v>296</v>
      </c>
      <c r="O111" s="228">
        <v>3877.2935706909452</v>
      </c>
      <c r="P111" s="230">
        <v>1674.0266401428842</v>
      </c>
      <c r="Q111" s="230">
        <v>8851.129727845102</v>
      </c>
      <c r="R111" s="234">
        <f t="shared" si="4"/>
        <v>14402.449938678932</v>
      </c>
      <c r="S111" s="1"/>
      <c r="V111" s="233" t="s">
        <v>296</v>
      </c>
      <c r="W111" s="228">
        <v>0</v>
      </c>
      <c r="X111" s="230">
        <v>0</v>
      </c>
      <c r="Y111" s="230">
        <v>0</v>
      </c>
      <c r="Z111" s="234">
        <v>0</v>
      </c>
      <c r="AB111" s="233" t="s">
        <v>296</v>
      </c>
      <c r="AC111" s="228">
        <v>0</v>
      </c>
      <c r="AD111" s="230">
        <v>0</v>
      </c>
      <c r="AE111" s="230">
        <v>0</v>
      </c>
      <c r="AF111" s="234">
        <v>0</v>
      </c>
      <c r="AJ111" s="233" t="s">
        <v>296</v>
      </c>
      <c r="AK111" s="228">
        <v>0</v>
      </c>
      <c r="AL111" s="230">
        <v>0</v>
      </c>
      <c r="AM111" s="230">
        <v>1</v>
      </c>
      <c r="AN111" s="234">
        <v>1</v>
      </c>
      <c r="AP111" s="233" t="s">
        <v>296</v>
      </c>
      <c r="AQ111" s="228">
        <v>0</v>
      </c>
      <c r="AR111" s="230">
        <v>0</v>
      </c>
      <c r="AS111" s="230">
        <v>44.421069678075298</v>
      </c>
      <c r="AT111" s="234">
        <v>44.421069678075298</v>
      </c>
    </row>
    <row r="112" spans="2:46" x14ac:dyDescent="0.25">
      <c r="B112" s="233" t="s">
        <v>297</v>
      </c>
      <c r="C112" s="228">
        <v>13</v>
      </c>
      <c r="D112" s="230">
        <v>2</v>
      </c>
      <c r="E112" s="230">
        <v>1</v>
      </c>
      <c r="F112" s="234">
        <v>16</v>
      </c>
      <c r="H112" s="233" t="s">
        <v>297</v>
      </c>
      <c r="I112" s="228">
        <v>2745.6961552437883</v>
      </c>
      <c r="J112" s="230">
        <v>489.13729732747515</v>
      </c>
      <c r="K112" s="230">
        <v>20.054037878711387</v>
      </c>
      <c r="L112" s="234">
        <v>3254.8874904499748</v>
      </c>
      <c r="M112" s="230"/>
      <c r="N112" s="233" t="s">
        <v>297</v>
      </c>
      <c r="O112" s="228">
        <v>2745.6961552437883</v>
      </c>
      <c r="P112" s="230">
        <v>489.13729732747515</v>
      </c>
      <c r="Q112" s="230">
        <v>20.054037878711387</v>
      </c>
      <c r="R112" s="234">
        <f t="shared" si="4"/>
        <v>3254.8874904499748</v>
      </c>
      <c r="S112" s="1"/>
      <c r="V112" s="233" t="s">
        <v>297</v>
      </c>
      <c r="W112" s="228">
        <v>0</v>
      </c>
      <c r="X112" s="230">
        <v>0</v>
      </c>
      <c r="Y112" s="230">
        <v>0</v>
      </c>
      <c r="Z112" s="234">
        <v>0</v>
      </c>
      <c r="AB112" s="233" t="s">
        <v>297</v>
      </c>
      <c r="AC112" s="228">
        <v>0</v>
      </c>
      <c r="AD112" s="230">
        <v>0</v>
      </c>
      <c r="AE112" s="230">
        <v>0</v>
      </c>
      <c r="AF112" s="234">
        <v>0</v>
      </c>
      <c r="AJ112" s="233" t="s">
        <v>297</v>
      </c>
      <c r="AK112" s="228">
        <v>1</v>
      </c>
      <c r="AL112" s="230">
        <v>0</v>
      </c>
      <c r="AM112" s="230">
        <v>0</v>
      </c>
      <c r="AN112" s="234">
        <v>1</v>
      </c>
      <c r="AP112" s="233" t="s">
        <v>297</v>
      </c>
      <c r="AQ112" s="228">
        <v>1671.5393715184443</v>
      </c>
      <c r="AR112" s="230">
        <v>0</v>
      </c>
      <c r="AS112" s="230">
        <v>0</v>
      </c>
      <c r="AT112" s="234">
        <v>1671.5393715184443</v>
      </c>
    </row>
    <row r="113" spans="2:46" x14ac:dyDescent="0.25">
      <c r="B113" s="233" t="s">
        <v>298</v>
      </c>
      <c r="C113" s="228">
        <v>3</v>
      </c>
      <c r="D113" s="230">
        <v>0</v>
      </c>
      <c r="E113" s="230">
        <v>4</v>
      </c>
      <c r="F113" s="234">
        <v>7</v>
      </c>
      <c r="H113" s="233" t="s">
        <v>298</v>
      </c>
      <c r="I113" s="242">
        <v>11457.86783023243</v>
      </c>
      <c r="J113" s="230">
        <v>0</v>
      </c>
      <c r="K113" s="230">
        <v>314.62625369506634</v>
      </c>
      <c r="L113" s="234">
        <v>11772.494083927497</v>
      </c>
      <c r="M113" s="230"/>
      <c r="N113" s="233" t="s">
        <v>298</v>
      </c>
      <c r="O113" s="242">
        <v>0</v>
      </c>
      <c r="P113" s="230">
        <v>0</v>
      </c>
      <c r="Q113" s="230">
        <v>314.62625369506634</v>
      </c>
      <c r="R113" s="234">
        <f t="shared" si="4"/>
        <v>314.62625369506634</v>
      </c>
      <c r="V113" s="233" t="s">
        <v>298</v>
      </c>
      <c r="W113" s="228">
        <v>0</v>
      </c>
      <c r="X113" s="230">
        <v>0</v>
      </c>
      <c r="Y113" s="230">
        <v>0</v>
      </c>
      <c r="Z113" s="234">
        <v>0</v>
      </c>
      <c r="AB113" s="233" t="s">
        <v>298</v>
      </c>
      <c r="AC113" s="228">
        <v>0</v>
      </c>
      <c r="AD113" s="230">
        <v>0</v>
      </c>
      <c r="AE113" s="230">
        <v>0</v>
      </c>
      <c r="AF113" s="234">
        <v>0</v>
      </c>
      <c r="AJ113" s="233" t="s">
        <v>298</v>
      </c>
      <c r="AK113" s="228">
        <v>0</v>
      </c>
      <c r="AL113" s="230">
        <v>0</v>
      </c>
      <c r="AM113" s="230">
        <v>0</v>
      </c>
      <c r="AN113" s="234">
        <v>0</v>
      </c>
      <c r="AP113" s="233" t="s">
        <v>298</v>
      </c>
      <c r="AQ113" s="228">
        <v>0</v>
      </c>
      <c r="AR113" s="230">
        <v>0</v>
      </c>
      <c r="AS113" s="230">
        <v>0</v>
      </c>
      <c r="AT113" s="234">
        <v>0</v>
      </c>
    </row>
    <row r="114" spans="2:46" x14ac:dyDescent="0.25">
      <c r="B114" s="233" t="s">
        <v>317</v>
      </c>
      <c r="C114" s="228">
        <v>0</v>
      </c>
      <c r="D114" s="230">
        <v>1</v>
      </c>
      <c r="E114" s="230">
        <v>4</v>
      </c>
      <c r="F114" s="234">
        <v>5</v>
      </c>
      <c r="H114" s="233" t="s">
        <v>317</v>
      </c>
      <c r="I114" s="242">
        <v>0</v>
      </c>
      <c r="J114" s="230">
        <v>75.09714962493419</v>
      </c>
      <c r="K114" s="230">
        <v>255.73484235730268</v>
      </c>
      <c r="L114" s="234">
        <v>330.8319919822369</v>
      </c>
      <c r="M114" s="230"/>
      <c r="N114" s="233" t="s">
        <v>317</v>
      </c>
      <c r="O114" s="242">
        <v>0</v>
      </c>
      <c r="P114" s="230">
        <v>75.09714962493419</v>
      </c>
      <c r="Q114" s="230">
        <v>255.73484235730268</v>
      </c>
      <c r="R114" s="234">
        <f t="shared" si="4"/>
        <v>330.8319919822369</v>
      </c>
      <c r="V114" s="233" t="s">
        <v>317</v>
      </c>
      <c r="W114" s="228">
        <v>0</v>
      </c>
      <c r="X114" s="230">
        <v>0</v>
      </c>
      <c r="Y114" s="230">
        <v>0</v>
      </c>
      <c r="Z114" s="234">
        <v>0</v>
      </c>
      <c r="AB114" s="233" t="s">
        <v>317</v>
      </c>
      <c r="AC114" s="228">
        <v>0</v>
      </c>
      <c r="AD114" s="230">
        <v>0</v>
      </c>
      <c r="AE114" s="230">
        <v>0</v>
      </c>
      <c r="AF114" s="234">
        <v>0</v>
      </c>
      <c r="AJ114" s="233" t="s">
        <v>317</v>
      </c>
      <c r="AK114" s="228">
        <v>0</v>
      </c>
      <c r="AL114" s="230">
        <v>0</v>
      </c>
      <c r="AM114" s="230">
        <v>0</v>
      </c>
      <c r="AN114" s="234">
        <v>0</v>
      </c>
      <c r="AP114" s="233" t="s">
        <v>317</v>
      </c>
      <c r="AQ114" s="228">
        <v>0</v>
      </c>
      <c r="AR114" s="230">
        <v>0</v>
      </c>
      <c r="AS114" s="230">
        <v>0</v>
      </c>
      <c r="AT114" s="234">
        <v>0</v>
      </c>
    </row>
    <row r="115" spans="2:46" x14ac:dyDescent="0.25">
      <c r="B115" s="233" t="s">
        <v>311</v>
      </c>
      <c r="C115" s="228">
        <v>1</v>
      </c>
      <c r="D115" s="230">
        <v>0</v>
      </c>
      <c r="E115" s="230">
        <v>2</v>
      </c>
      <c r="F115" s="234">
        <v>3</v>
      </c>
      <c r="H115" s="233" t="s">
        <v>311</v>
      </c>
      <c r="I115" s="242">
        <v>27.875554072699522</v>
      </c>
      <c r="J115" s="230">
        <v>0</v>
      </c>
      <c r="K115" s="230">
        <v>63.66562047281576</v>
      </c>
      <c r="L115" s="234">
        <v>91.541174545515275</v>
      </c>
      <c r="M115" s="230"/>
      <c r="N115" s="233" t="s">
        <v>311</v>
      </c>
      <c r="O115" s="242">
        <v>0</v>
      </c>
      <c r="P115" s="230">
        <v>0</v>
      </c>
      <c r="Q115" s="230">
        <v>63.66562047281576</v>
      </c>
      <c r="R115" s="234">
        <f>SUM(O115:Q115)</f>
        <v>63.66562047281576</v>
      </c>
      <c r="V115" s="233" t="s">
        <v>311</v>
      </c>
      <c r="W115" s="228">
        <v>0</v>
      </c>
      <c r="X115" s="230">
        <v>0</v>
      </c>
      <c r="Y115" s="230">
        <v>2</v>
      </c>
      <c r="Z115" s="234">
        <v>2</v>
      </c>
      <c r="AB115" s="233" t="s">
        <v>311</v>
      </c>
      <c r="AC115" s="228">
        <v>0</v>
      </c>
      <c r="AD115" s="230">
        <v>0</v>
      </c>
      <c r="AE115" s="230">
        <v>63.66562047281576</v>
      </c>
      <c r="AF115" s="234">
        <v>63.66562047281576</v>
      </c>
      <c r="AJ115" s="233" t="s">
        <v>311</v>
      </c>
      <c r="AK115" s="228">
        <v>0</v>
      </c>
      <c r="AL115" s="230">
        <v>0</v>
      </c>
      <c r="AM115" s="230">
        <v>2</v>
      </c>
      <c r="AN115" s="234">
        <v>2</v>
      </c>
      <c r="AP115" s="233" t="s">
        <v>311</v>
      </c>
      <c r="AQ115" s="228">
        <v>0</v>
      </c>
      <c r="AR115" s="230">
        <v>0</v>
      </c>
      <c r="AS115" s="230">
        <v>63.66562047281576</v>
      </c>
      <c r="AT115" s="234">
        <v>63.66562047281576</v>
      </c>
    </row>
    <row r="116" spans="2:46" x14ac:dyDescent="0.25">
      <c r="B116" s="233" t="s">
        <v>299</v>
      </c>
      <c r="C116" s="228">
        <v>0</v>
      </c>
      <c r="D116" s="230">
        <v>1</v>
      </c>
      <c r="E116" s="230">
        <v>0</v>
      </c>
      <c r="F116" s="234">
        <v>1</v>
      </c>
      <c r="H116" s="233" t="s">
        <v>299</v>
      </c>
      <c r="I116" s="242">
        <v>0</v>
      </c>
      <c r="J116" s="230">
        <v>170.90862961194017</v>
      </c>
      <c r="K116" s="230">
        <v>0</v>
      </c>
      <c r="L116" s="234">
        <v>170.90862961194017</v>
      </c>
      <c r="M116" s="230"/>
      <c r="N116" s="233" t="s">
        <v>299</v>
      </c>
      <c r="O116" s="242">
        <v>0</v>
      </c>
      <c r="P116" s="230">
        <v>170.90862961194017</v>
      </c>
      <c r="Q116" s="230">
        <v>0</v>
      </c>
      <c r="R116" s="234">
        <f t="shared" si="4"/>
        <v>170.90862961194017</v>
      </c>
      <c r="V116" s="233" t="s">
        <v>299</v>
      </c>
      <c r="W116" s="228">
        <v>0</v>
      </c>
      <c r="X116" s="230">
        <v>0</v>
      </c>
      <c r="Y116" s="230">
        <v>0</v>
      </c>
      <c r="Z116" s="234">
        <v>0</v>
      </c>
      <c r="AB116" s="233" t="s">
        <v>299</v>
      </c>
      <c r="AC116" s="228">
        <v>0</v>
      </c>
      <c r="AD116" s="230">
        <v>0</v>
      </c>
      <c r="AE116" s="230">
        <v>0</v>
      </c>
      <c r="AF116" s="234">
        <v>0</v>
      </c>
      <c r="AJ116" s="233" t="s">
        <v>299</v>
      </c>
      <c r="AK116" s="228">
        <v>0</v>
      </c>
      <c r="AL116" s="230">
        <v>0</v>
      </c>
      <c r="AM116" s="230">
        <v>0</v>
      </c>
      <c r="AN116" s="234">
        <v>0</v>
      </c>
      <c r="AP116" s="233" t="s">
        <v>299</v>
      </c>
      <c r="AQ116" s="228">
        <v>0</v>
      </c>
      <c r="AR116" s="230">
        <v>0</v>
      </c>
      <c r="AS116" s="230">
        <v>0</v>
      </c>
      <c r="AT116" s="234">
        <v>0</v>
      </c>
    </row>
    <row r="117" spans="2:46" x14ac:dyDescent="0.25">
      <c r="B117" s="233" t="s">
        <v>300</v>
      </c>
      <c r="C117" s="228">
        <v>4</v>
      </c>
      <c r="D117" s="230">
        <v>2</v>
      </c>
      <c r="E117" s="230">
        <v>28</v>
      </c>
      <c r="F117" s="234">
        <v>34</v>
      </c>
      <c r="H117" s="233" t="s">
        <v>300</v>
      </c>
      <c r="I117" s="242">
        <v>383.57382650960545</v>
      </c>
      <c r="J117" s="230">
        <v>82.113799541823596</v>
      </c>
      <c r="K117" s="230">
        <v>6179.5156878946027</v>
      </c>
      <c r="L117" s="234">
        <v>6645.2033139460318</v>
      </c>
      <c r="M117" s="230"/>
      <c r="N117" s="233" t="s">
        <v>300</v>
      </c>
      <c r="O117" s="242">
        <v>0</v>
      </c>
      <c r="P117" s="230">
        <v>82.113799541823596</v>
      </c>
      <c r="Q117" s="230">
        <v>6179.5156878946027</v>
      </c>
      <c r="R117" s="234">
        <f t="shared" si="4"/>
        <v>6261.6294874364266</v>
      </c>
      <c r="V117" s="233" t="s">
        <v>300</v>
      </c>
      <c r="W117" s="228">
        <v>0</v>
      </c>
      <c r="X117" s="230">
        <v>0</v>
      </c>
      <c r="Y117" s="230">
        <v>4</v>
      </c>
      <c r="Z117" s="234">
        <v>4</v>
      </c>
      <c r="AB117" s="233" t="s">
        <v>300</v>
      </c>
      <c r="AC117" s="228">
        <v>0</v>
      </c>
      <c r="AD117" s="230">
        <v>0</v>
      </c>
      <c r="AE117" s="230">
        <v>601.29529444767013</v>
      </c>
      <c r="AF117" s="234">
        <v>601.29529444767013</v>
      </c>
      <c r="AJ117" s="233" t="s">
        <v>300</v>
      </c>
      <c r="AK117" s="228">
        <v>0</v>
      </c>
      <c r="AL117" s="230">
        <v>0</v>
      </c>
      <c r="AM117" s="230">
        <v>4</v>
      </c>
      <c r="AN117" s="234">
        <v>4</v>
      </c>
      <c r="AP117" s="233" t="s">
        <v>300</v>
      </c>
      <c r="AQ117" s="228">
        <v>0</v>
      </c>
      <c r="AR117" s="230">
        <v>0</v>
      </c>
      <c r="AS117" s="230">
        <v>601.29529444767013</v>
      </c>
      <c r="AT117" s="234">
        <v>601.29529444767013</v>
      </c>
    </row>
    <row r="118" spans="2:46" x14ac:dyDescent="0.25">
      <c r="B118" s="233" t="s">
        <v>301</v>
      </c>
      <c r="C118" s="228">
        <v>2</v>
      </c>
      <c r="D118" s="230">
        <v>1</v>
      </c>
      <c r="E118" s="230">
        <v>1</v>
      </c>
      <c r="F118" s="234">
        <v>4</v>
      </c>
      <c r="H118" s="233" t="s">
        <v>301</v>
      </c>
      <c r="I118" s="242">
        <v>184.60763517785367</v>
      </c>
      <c r="J118" s="230">
        <v>203.6757543818606</v>
      </c>
      <c r="K118" s="230">
        <v>352.86234183414172</v>
      </c>
      <c r="L118" s="234">
        <v>741.14573139385595</v>
      </c>
      <c r="M118" s="230"/>
      <c r="N118" s="233" t="s">
        <v>301</v>
      </c>
      <c r="O118" s="242">
        <v>0</v>
      </c>
      <c r="P118" s="230">
        <v>203.6757543818606</v>
      </c>
      <c r="Q118" s="230">
        <v>352.86234183414172</v>
      </c>
      <c r="R118" s="234">
        <f t="shared" si="4"/>
        <v>556.53809621600226</v>
      </c>
      <c r="V118" s="233" t="s">
        <v>301</v>
      </c>
      <c r="W118" s="228">
        <v>0</v>
      </c>
      <c r="X118" s="230">
        <v>0</v>
      </c>
      <c r="Y118" s="230">
        <v>0</v>
      </c>
      <c r="Z118" s="234">
        <v>0</v>
      </c>
      <c r="AB118" s="233" t="s">
        <v>301</v>
      </c>
      <c r="AC118" s="228">
        <v>0</v>
      </c>
      <c r="AD118" s="230">
        <v>0</v>
      </c>
      <c r="AE118" s="230">
        <v>0</v>
      </c>
      <c r="AF118" s="234">
        <v>0</v>
      </c>
      <c r="AJ118" s="233" t="s">
        <v>301</v>
      </c>
      <c r="AK118" s="228">
        <v>0</v>
      </c>
      <c r="AL118" s="230">
        <v>0</v>
      </c>
      <c r="AM118" s="230">
        <v>0</v>
      </c>
      <c r="AN118" s="234">
        <v>0</v>
      </c>
      <c r="AP118" s="233" t="s">
        <v>301</v>
      </c>
      <c r="AQ118" s="228">
        <v>0</v>
      </c>
      <c r="AR118" s="230">
        <v>0</v>
      </c>
      <c r="AS118" s="230">
        <v>0</v>
      </c>
      <c r="AT118" s="234">
        <v>0</v>
      </c>
    </row>
    <row r="119" spans="2:46" x14ac:dyDescent="0.25">
      <c r="B119" s="233" t="s">
        <v>36</v>
      </c>
      <c r="C119" s="228">
        <v>0</v>
      </c>
      <c r="D119" s="230">
        <v>2</v>
      </c>
      <c r="E119" s="230">
        <v>3</v>
      </c>
      <c r="F119" s="234">
        <v>5</v>
      </c>
      <c r="H119" s="233" t="s">
        <v>36</v>
      </c>
      <c r="I119" s="249">
        <v>0</v>
      </c>
      <c r="J119" s="230">
        <v>823.85052294169554</v>
      </c>
      <c r="K119" s="230">
        <v>288.55258996861289</v>
      </c>
      <c r="L119" s="234">
        <v>1112.4031129103084</v>
      </c>
      <c r="M119" s="230"/>
      <c r="N119" s="233" t="s">
        <v>36</v>
      </c>
      <c r="O119" s="249">
        <v>0</v>
      </c>
      <c r="P119" s="230">
        <v>823.85052294169554</v>
      </c>
      <c r="Q119" s="230">
        <v>288.55258996861289</v>
      </c>
      <c r="R119" s="234">
        <f t="shared" si="4"/>
        <v>1112.4031129103084</v>
      </c>
      <c r="V119" s="233" t="s">
        <v>36</v>
      </c>
      <c r="W119" s="228">
        <v>0</v>
      </c>
      <c r="X119" s="230">
        <v>0</v>
      </c>
      <c r="Y119" s="230">
        <v>0</v>
      </c>
      <c r="Z119" s="234">
        <v>0</v>
      </c>
      <c r="AB119" s="233" t="s">
        <v>36</v>
      </c>
      <c r="AC119" s="228">
        <v>0</v>
      </c>
      <c r="AD119" s="230">
        <v>0</v>
      </c>
      <c r="AE119" s="230">
        <v>0</v>
      </c>
      <c r="AF119" s="234">
        <v>0</v>
      </c>
      <c r="AJ119" s="233" t="s">
        <v>36</v>
      </c>
      <c r="AK119" s="228">
        <v>0</v>
      </c>
      <c r="AL119" s="230">
        <v>0</v>
      </c>
      <c r="AM119" s="230">
        <v>0</v>
      </c>
      <c r="AN119" s="234">
        <v>0</v>
      </c>
      <c r="AP119" s="233" t="s">
        <v>36</v>
      </c>
      <c r="AQ119" s="228">
        <v>0</v>
      </c>
      <c r="AR119" s="230">
        <v>0</v>
      </c>
      <c r="AS119" s="230">
        <v>0</v>
      </c>
      <c r="AT119" s="234">
        <v>0</v>
      </c>
    </row>
    <row r="120" spans="2:46" x14ac:dyDescent="0.25">
      <c r="B120" s="233" t="s">
        <v>302</v>
      </c>
      <c r="C120" s="228">
        <v>31</v>
      </c>
      <c r="D120" s="230">
        <v>8</v>
      </c>
      <c r="E120" s="230">
        <v>35</v>
      </c>
      <c r="F120" s="234">
        <v>74</v>
      </c>
      <c r="H120" s="233" t="s">
        <v>302</v>
      </c>
      <c r="I120" s="228">
        <v>2875.1855718271609</v>
      </c>
      <c r="J120" s="230">
        <v>648.89823554201155</v>
      </c>
      <c r="K120" s="230">
        <v>6727.1449658797992</v>
      </c>
      <c r="L120" s="234">
        <v>10251.228773248971</v>
      </c>
      <c r="M120" s="230"/>
      <c r="N120" s="233" t="s">
        <v>302</v>
      </c>
      <c r="O120" s="228">
        <v>2875.1855718271609</v>
      </c>
      <c r="P120" s="230">
        <v>648.89823554201155</v>
      </c>
      <c r="Q120" s="230">
        <v>6727.1449658797992</v>
      </c>
      <c r="R120" s="234">
        <f t="shared" si="4"/>
        <v>10251.228773248971</v>
      </c>
      <c r="V120" s="233" t="s">
        <v>302</v>
      </c>
      <c r="W120" s="228">
        <v>0</v>
      </c>
      <c r="X120" s="230">
        <v>0</v>
      </c>
      <c r="Y120" s="230">
        <v>0</v>
      </c>
      <c r="Z120" s="234">
        <v>0</v>
      </c>
      <c r="AB120" s="233" t="s">
        <v>302</v>
      </c>
      <c r="AC120" s="228">
        <v>0</v>
      </c>
      <c r="AD120" s="230">
        <v>0</v>
      </c>
      <c r="AE120" s="230">
        <v>0</v>
      </c>
      <c r="AF120" s="234">
        <v>0</v>
      </c>
      <c r="AJ120" s="233" t="s">
        <v>302</v>
      </c>
      <c r="AK120" s="228">
        <v>0</v>
      </c>
      <c r="AL120" s="230">
        <v>0</v>
      </c>
      <c r="AM120" s="230">
        <v>2</v>
      </c>
      <c r="AN120" s="234">
        <v>2</v>
      </c>
      <c r="AP120" s="233" t="s">
        <v>302</v>
      </c>
      <c r="AQ120" s="228">
        <v>0</v>
      </c>
      <c r="AR120" s="230">
        <v>0</v>
      </c>
      <c r="AS120" s="230">
        <v>3190.5291649378601</v>
      </c>
      <c r="AT120" s="234">
        <v>3190.5291649378601</v>
      </c>
    </row>
    <row r="121" spans="2:46" x14ac:dyDescent="0.25">
      <c r="B121" s="233" t="s">
        <v>303</v>
      </c>
      <c r="C121" s="228">
        <v>3</v>
      </c>
      <c r="D121" s="230">
        <v>0</v>
      </c>
      <c r="E121" s="230">
        <v>3</v>
      </c>
      <c r="F121" s="234">
        <v>6</v>
      </c>
      <c r="H121" s="233" t="s">
        <v>303</v>
      </c>
      <c r="I121" s="228">
        <v>133.73836094489994</v>
      </c>
      <c r="J121" s="230">
        <v>0</v>
      </c>
      <c r="K121" s="230">
        <v>989.51717945966811</v>
      </c>
      <c r="L121" s="234">
        <v>1123.2555404045681</v>
      </c>
      <c r="M121" s="230"/>
      <c r="N121" s="233" t="s">
        <v>303</v>
      </c>
      <c r="O121" s="228">
        <v>133.73836094489994</v>
      </c>
      <c r="P121" s="230">
        <v>0</v>
      </c>
      <c r="Q121" s="230">
        <v>989.51717945966811</v>
      </c>
      <c r="R121" s="234">
        <f t="shared" si="4"/>
        <v>1123.2555404045681</v>
      </c>
      <c r="V121" s="233" t="s">
        <v>303</v>
      </c>
      <c r="W121" s="228">
        <v>0</v>
      </c>
      <c r="X121" s="230">
        <v>0</v>
      </c>
      <c r="Y121" s="230">
        <v>0</v>
      </c>
      <c r="Z121" s="234">
        <v>0</v>
      </c>
      <c r="AB121" s="233" t="s">
        <v>303</v>
      </c>
      <c r="AC121" s="228">
        <v>0</v>
      </c>
      <c r="AD121" s="230">
        <v>0</v>
      </c>
      <c r="AE121" s="230">
        <v>0</v>
      </c>
      <c r="AF121" s="234">
        <v>0</v>
      </c>
      <c r="AJ121" s="233" t="s">
        <v>303</v>
      </c>
      <c r="AK121" s="228">
        <v>0</v>
      </c>
      <c r="AL121" s="230">
        <v>0</v>
      </c>
      <c r="AM121" s="230">
        <v>0</v>
      </c>
      <c r="AN121" s="234">
        <v>0</v>
      </c>
      <c r="AP121" s="233" t="s">
        <v>303</v>
      </c>
      <c r="AQ121" s="228">
        <v>0</v>
      </c>
      <c r="AR121" s="230">
        <v>0</v>
      </c>
      <c r="AS121" s="230">
        <v>0</v>
      </c>
      <c r="AT121" s="234">
        <v>0</v>
      </c>
    </row>
    <row r="122" spans="2:46" x14ac:dyDescent="0.25">
      <c r="B122" s="236" t="s">
        <v>1</v>
      </c>
      <c r="C122" s="237">
        <v>1328</v>
      </c>
      <c r="D122" s="238">
        <v>1028</v>
      </c>
      <c r="E122" s="238">
        <v>7422</v>
      </c>
      <c r="F122" s="239">
        <v>9778</v>
      </c>
      <c r="H122" s="236" t="s">
        <v>1</v>
      </c>
      <c r="I122" s="237">
        <v>244082.17582358335</v>
      </c>
      <c r="J122" s="238">
        <v>192296.5715506149</v>
      </c>
      <c r="K122" s="238">
        <v>2187091.7585775158</v>
      </c>
      <c r="L122" s="239">
        <v>2623470.5059517138</v>
      </c>
      <c r="M122" s="230"/>
      <c r="N122" s="236" t="s">
        <v>1</v>
      </c>
      <c r="O122" s="237">
        <f>SUM(O102:O121)</f>
        <v>224842.98770524794</v>
      </c>
      <c r="P122" s="238">
        <f>SUM(P102:P121)</f>
        <v>192296.57155061496</v>
      </c>
      <c r="Q122" s="238">
        <f>SUM(Q102:Q121)</f>
        <v>2187091.7585775168</v>
      </c>
      <c r="R122" s="239">
        <f>SUM(R102:R121)</f>
        <v>2604231.3178333789</v>
      </c>
      <c r="V122" s="236" t="s">
        <v>1</v>
      </c>
      <c r="W122" s="237">
        <v>16</v>
      </c>
      <c r="X122" s="238">
        <v>20</v>
      </c>
      <c r="Y122" s="238">
        <v>737</v>
      </c>
      <c r="Z122" s="239">
        <v>773</v>
      </c>
      <c r="AB122" s="236" t="s">
        <v>1</v>
      </c>
      <c r="AC122" s="237">
        <v>636.19997418326238</v>
      </c>
      <c r="AD122" s="238">
        <v>4203.9720448979142</v>
      </c>
      <c r="AE122" s="238">
        <v>233244.71575861197</v>
      </c>
      <c r="AF122" s="239">
        <v>238084.88777769316</v>
      </c>
      <c r="AJ122" s="236" t="s">
        <v>1</v>
      </c>
      <c r="AK122" s="237">
        <v>23</v>
      </c>
      <c r="AL122" s="238">
        <v>67</v>
      </c>
      <c r="AM122" s="238">
        <v>1257</v>
      </c>
      <c r="AN122" s="239">
        <v>1347</v>
      </c>
      <c r="AP122" s="236" t="s">
        <v>1</v>
      </c>
      <c r="AQ122" s="237">
        <v>16745.01797072187</v>
      </c>
      <c r="AR122" s="238">
        <v>34040.378464438429</v>
      </c>
      <c r="AS122" s="238">
        <v>409681.72638515016</v>
      </c>
      <c r="AT122" s="239">
        <v>460467.12282031047</v>
      </c>
    </row>
    <row r="123" spans="2:46" x14ac:dyDescent="0.25">
      <c r="C123" s="232"/>
      <c r="D123" s="231"/>
      <c r="E123" s="231"/>
      <c r="F123" s="231"/>
      <c r="I123" s="232"/>
      <c r="J123" s="231"/>
      <c r="K123" s="231"/>
      <c r="L123" s="231"/>
      <c r="M123" s="230"/>
      <c r="O123" s="232"/>
      <c r="P123" s="231"/>
      <c r="Q123" s="231"/>
      <c r="R123" s="231"/>
      <c r="W123" s="232"/>
      <c r="X123" s="231"/>
      <c r="Y123" s="231"/>
      <c r="Z123" s="231"/>
      <c r="AC123" s="232"/>
      <c r="AD123" s="231"/>
      <c r="AE123" s="231"/>
      <c r="AF123" s="231"/>
      <c r="AK123" s="232"/>
      <c r="AL123" s="231"/>
      <c r="AM123" s="231"/>
      <c r="AN123" s="231"/>
      <c r="AQ123" s="232"/>
      <c r="AR123" s="231"/>
      <c r="AS123" s="231"/>
      <c r="AT123" s="231"/>
    </row>
    <row r="124" spans="2:46" x14ac:dyDescent="0.25">
      <c r="B124" t="s">
        <v>244</v>
      </c>
      <c r="C124" s="228"/>
      <c r="D124" s="230"/>
      <c r="E124" s="230"/>
      <c r="F124" s="230"/>
      <c r="H124" t="s">
        <v>244</v>
      </c>
      <c r="I124" s="228"/>
      <c r="J124" s="230"/>
      <c r="K124" s="230"/>
      <c r="L124" s="230"/>
      <c r="M124" s="230"/>
      <c r="N124" t="s">
        <v>244</v>
      </c>
      <c r="O124" s="228"/>
      <c r="P124" s="230"/>
      <c r="Q124" s="230"/>
      <c r="R124" s="230"/>
      <c r="V124" t="s">
        <v>244</v>
      </c>
      <c r="W124" s="228"/>
      <c r="X124" s="230"/>
      <c r="Y124" s="230"/>
      <c r="Z124" s="230"/>
      <c r="AB124" t="s">
        <v>244</v>
      </c>
      <c r="AC124" s="228"/>
      <c r="AD124" s="230"/>
      <c r="AE124" s="230"/>
      <c r="AF124" s="230"/>
      <c r="AJ124" t="s">
        <v>244</v>
      </c>
      <c r="AK124" s="228"/>
      <c r="AL124" s="230"/>
      <c r="AM124" s="230"/>
      <c r="AN124" s="230"/>
      <c r="AP124" t="s">
        <v>244</v>
      </c>
      <c r="AQ124" s="228"/>
      <c r="AR124" s="230"/>
      <c r="AS124" s="230"/>
      <c r="AT124" s="230"/>
    </row>
    <row r="125" spans="2:46" x14ac:dyDescent="0.25">
      <c r="B125" s="236" t="s">
        <v>290</v>
      </c>
      <c r="C125" s="237" t="s">
        <v>7</v>
      </c>
      <c r="D125" s="238" t="s">
        <v>8</v>
      </c>
      <c r="E125" s="238" t="s">
        <v>9</v>
      </c>
      <c r="F125" s="239" t="s">
        <v>1</v>
      </c>
      <c r="H125" s="236" t="s">
        <v>290</v>
      </c>
      <c r="I125" s="237" t="s">
        <v>7</v>
      </c>
      <c r="J125" s="238" t="s">
        <v>8</v>
      </c>
      <c r="K125" s="238" t="s">
        <v>9</v>
      </c>
      <c r="L125" s="239" t="s">
        <v>1</v>
      </c>
      <c r="M125" s="230"/>
      <c r="N125" s="236" t="s">
        <v>290</v>
      </c>
      <c r="O125" s="237" t="s">
        <v>7</v>
      </c>
      <c r="P125" s="238" t="s">
        <v>8</v>
      </c>
      <c r="Q125" s="238" t="s">
        <v>9</v>
      </c>
      <c r="R125" s="239" t="s">
        <v>1</v>
      </c>
      <c r="V125" s="236" t="s">
        <v>290</v>
      </c>
      <c r="W125" s="237" t="s">
        <v>7</v>
      </c>
      <c r="X125" s="238" t="s">
        <v>8</v>
      </c>
      <c r="Y125" s="238" t="s">
        <v>9</v>
      </c>
      <c r="Z125" s="239" t="s">
        <v>1</v>
      </c>
      <c r="AB125" s="236" t="s">
        <v>290</v>
      </c>
      <c r="AC125" s="237" t="s">
        <v>7</v>
      </c>
      <c r="AD125" s="238" t="s">
        <v>8</v>
      </c>
      <c r="AE125" s="238" t="s">
        <v>9</v>
      </c>
      <c r="AF125" s="239" t="s">
        <v>1</v>
      </c>
      <c r="AJ125" s="236" t="s">
        <v>290</v>
      </c>
      <c r="AK125" s="237" t="s">
        <v>7</v>
      </c>
      <c r="AL125" s="238" t="s">
        <v>8</v>
      </c>
      <c r="AM125" s="238" t="s">
        <v>9</v>
      </c>
      <c r="AN125" s="239" t="s">
        <v>1</v>
      </c>
      <c r="AP125" s="236" t="s">
        <v>290</v>
      </c>
      <c r="AQ125" s="237" t="s">
        <v>7</v>
      </c>
      <c r="AR125" s="238" t="s">
        <v>8</v>
      </c>
      <c r="AS125" s="238" t="s">
        <v>9</v>
      </c>
      <c r="AT125" s="239" t="s">
        <v>1</v>
      </c>
    </row>
    <row r="126" spans="2:46" x14ac:dyDescent="0.25">
      <c r="B126" s="233" t="s">
        <v>291</v>
      </c>
      <c r="C126" s="228">
        <v>6</v>
      </c>
      <c r="D126" s="230">
        <v>25</v>
      </c>
      <c r="E126" s="230">
        <v>352</v>
      </c>
      <c r="F126" s="234">
        <v>383</v>
      </c>
      <c r="H126" s="233" t="s">
        <v>291</v>
      </c>
      <c r="I126" s="242">
        <v>2201.0256269168835</v>
      </c>
      <c r="J126" s="230">
        <v>9341.7566141809766</v>
      </c>
      <c r="K126" s="230">
        <v>110308.9532098458</v>
      </c>
      <c r="L126" s="234">
        <v>121851.73545094366</v>
      </c>
      <c r="M126" s="230"/>
      <c r="N126" s="233" t="s">
        <v>291</v>
      </c>
      <c r="O126" s="242">
        <v>0</v>
      </c>
      <c r="P126" s="230">
        <v>9341.7566141809766</v>
      </c>
      <c r="Q126" s="230">
        <v>110308.9532098458</v>
      </c>
      <c r="R126" s="234">
        <f>SUM(O126:Q126)</f>
        <v>119650.70982402678</v>
      </c>
      <c r="V126" s="233" t="s">
        <v>291</v>
      </c>
      <c r="W126" s="228">
        <v>0</v>
      </c>
      <c r="X126" s="230">
        <v>0</v>
      </c>
      <c r="Y126" s="230">
        <v>36</v>
      </c>
      <c r="Z126" s="234">
        <v>36</v>
      </c>
      <c r="AB126" s="233" t="s">
        <v>291</v>
      </c>
      <c r="AC126" s="228">
        <v>0</v>
      </c>
      <c r="AD126" s="230">
        <v>0</v>
      </c>
      <c r="AE126" s="230">
        <v>10195.539578692171</v>
      </c>
      <c r="AF126" s="234">
        <v>10195.539578692171</v>
      </c>
      <c r="AJ126" s="233" t="s">
        <v>291</v>
      </c>
      <c r="AK126" s="228">
        <v>0</v>
      </c>
      <c r="AL126" s="230">
        <v>1</v>
      </c>
      <c r="AM126" s="230">
        <v>70</v>
      </c>
      <c r="AN126" s="234">
        <v>71</v>
      </c>
      <c r="AP126" s="233" t="s">
        <v>291</v>
      </c>
      <c r="AQ126" s="228">
        <v>0</v>
      </c>
      <c r="AR126" s="230">
        <v>1409.1137532362654</v>
      </c>
      <c r="AS126" s="230">
        <v>24059.502205109504</v>
      </c>
      <c r="AT126" s="234">
        <v>25468.61595834577</v>
      </c>
    </row>
    <row r="127" spans="2:46" x14ac:dyDescent="0.25">
      <c r="B127" s="233" t="s">
        <v>292</v>
      </c>
      <c r="C127" s="228">
        <v>6</v>
      </c>
      <c r="D127" s="230">
        <v>10</v>
      </c>
      <c r="E127" s="230">
        <v>112</v>
      </c>
      <c r="F127" s="234">
        <v>128</v>
      </c>
      <c r="H127" s="233" t="s">
        <v>292</v>
      </c>
      <c r="I127" s="228">
        <v>727.77831043381684</v>
      </c>
      <c r="J127" s="230">
        <v>5659.2095319123518</v>
      </c>
      <c r="K127" s="230">
        <v>61881.346768318064</v>
      </c>
      <c r="L127" s="234">
        <v>68268.334610664228</v>
      </c>
      <c r="M127" s="230"/>
      <c r="N127" s="233" t="s">
        <v>292</v>
      </c>
      <c r="O127" s="228">
        <v>727.77831043381684</v>
      </c>
      <c r="P127" s="230">
        <v>5659.2095319123518</v>
      </c>
      <c r="Q127" s="230">
        <v>61881.346768318064</v>
      </c>
      <c r="R127" s="234">
        <f t="shared" ref="R127:R145" si="5">SUM(O127:Q127)</f>
        <v>68268.334610664228</v>
      </c>
      <c r="V127" s="233" t="s">
        <v>292</v>
      </c>
      <c r="W127" s="228">
        <v>0</v>
      </c>
      <c r="X127" s="230">
        <v>0</v>
      </c>
      <c r="Y127" s="230">
        <v>16</v>
      </c>
      <c r="Z127" s="234">
        <v>16</v>
      </c>
      <c r="AB127" s="233" t="s">
        <v>292</v>
      </c>
      <c r="AC127" s="228">
        <v>0</v>
      </c>
      <c r="AD127" s="230">
        <v>0</v>
      </c>
      <c r="AE127" s="230">
        <v>6540.0355796624726</v>
      </c>
      <c r="AF127" s="234">
        <v>6540.0355796624726</v>
      </c>
      <c r="AJ127" s="233" t="s">
        <v>292</v>
      </c>
      <c r="AK127" s="228">
        <v>0</v>
      </c>
      <c r="AL127" s="230">
        <v>0</v>
      </c>
      <c r="AM127" s="230">
        <v>32</v>
      </c>
      <c r="AN127" s="234">
        <v>32</v>
      </c>
      <c r="AP127" s="233" t="s">
        <v>292</v>
      </c>
      <c r="AQ127" s="228">
        <v>0</v>
      </c>
      <c r="AR127" s="230">
        <v>0</v>
      </c>
      <c r="AS127" s="230">
        <v>14004.677171840085</v>
      </c>
      <c r="AT127" s="234">
        <v>14004.677171840085</v>
      </c>
    </row>
    <row r="128" spans="2:46" x14ac:dyDescent="0.25">
      <c r="B128" s="233" t="s">
        <v>293</v>
      </c>
      <c r="C128">
        <v>3</v>
      </c>
      <c r="D128">
        <v>6</v>
      </c>
      <c r="E128">
        <v>65</v>
      </c>
      <c r="F128" s="233">
        <v>74</v>
      </c>
      <c r="H128" s="233" t="s">
        <v>293</v>
      </c>
      <c r="I128">
        <v>126.91781016616298</v>
      </c>
      <c r="J128">
        <v>1202.4125434776774</v>
      </c>
      <c r="K128">
        <v>26065.792610582241</v>
      </c>
      <c r="L128" s="233">
        <v>27395.122964226081</v>
      </c>
      <c r="M128" s="230"/>
      <c r="N128" s="233" t="s">
        <v>293</v>
      </c>
      <c r="O128">
        <v>126.91781016616298</v>
      </c>
      <c r="P128">
        <v>1202.4125434776774</v>
      </c>
      <c r="Q128">
        <v>26065.792610582241</v>
      </c>
      <c r="R128" s="233">
        <f t="shared" si="5"/>
        <v>27395.122964226081</v>
      </c>
      <c r="V128" s="233" t="s">
        <v>293</v>
      </c>
      <c r="W128">
        <v>0</v>
      </c>
      <c r="X128">
        <v>0</v>
      </c>
      <c r="Y128">
        <v>4</v>
      </c>
      <c r="Z128" s="233">
        <v>4</v>
      </c>
      <c r="AB128" s="233" t="s">
        <v>293</v>
      </c>
      <c r="AC128">
        <v>0</v>
      </c>
      <c r="AD128">
        <v>0</v>
      </c>
      <c r="AE128">
        <v>251.86638672136127</v>
      </c>
      <c r="AF128" s="233">
        <v>251.86638672136127</v>
      </c>
      <c r="AJ128" s="233" t="s">
        <v>293</v>
      </c>
      <c r="AK128">
        <v>0</v>
      </c>
      <c r="AL128">
        <v>0</v>
      </c>
      <c r="AM128">
        <v>11</v>
      </c>
      <c r="AN128" s="233">
        <v>11</v>
      </c>
      <c r="AP128" s="233" t="s">
        <v>293</v>
      </c>
      <c r="AQ128">
        <v>0</v>
      </c>
      <c r="AR128">
        <v>0</v>
      </c>
      <c r="AS128">
        <v>4618.5109482378994</v>
      </c>
      <c r="AT128" s="233">
        <v>4618.5109482378994</v>
      </c>
    </row>
    <row r="129" spans="2:46" x14ac:dyDescent="0.25">
      <c r="B129" s="233" t="s">
        <v>2</v>
      </c>
      <c r="C129">
        <v>133</v>
      </c>
      <c r="D129">
        <v>116</v>
      </c>
      <c r="E129">
        <v>380</v>
      </c>
      <c r="F129" s="233">
        <v>629</v>
      </c>
      <c r="H129" s="233" t="s">
        <v>2</v>
      </c>
      <c r="I129">
        <v>25044.400515548634</v>
      </c>
      <c r="J129">
        <v>18566.32925813783</v>
      </c>
      <c r="K129">
        <v>74569.525613438687</v>
      </c>
      <c r="L129" s="233">
        <v>118180.25538712516</v>
      </c>
      <c r="M129" s="230"/>
      <c r="N129" s="233" t="s">
        <v>2</v>
      </c>
      <c r="O129">
        <v>25044.400515548634</v>
      </c>
      <c r="P129">
        <v>18566.32925813783</v>
      </c>
      <c r="Q129">
        <v>74569.525613438687</v>
      </c>
      <c r="R129" s="233">
        <f t="shared" si="5"/>
        <v>118180.25538712516</v>
      </c>
      <c r="V129" s="233" t="s">
        <v>2</v>
      </c>
      <c r="W129">
        <v>0</v>
      </c>
      <c r="X129">
        <v>0</v>
      </c>
      <c r="Y129">
        <v>11</v>
      </c>
      <c r="Z129" s="233">
        <v>11</v>
      </c>
      <c r="AB129" s="233" t="s">
        <v>2</v>
      </c>
      <c r="AC129">
        <v>0</v>
      </c>
      <c r="AD129">
        <v>0</v>
      </c>
      <c r="AE129">
        <v>3683.8192743862187</v>
      </c>
      <c r="AF129" s="233">
        <v>3683.8192743862187</v>
      </c>
      <c r="AJ129" s="233" t="s">
        <v>2</v>
      </c>
      <c r="AK129">
        <v>0</v>
      </c>
      <c r="AL129">
        <v>1</v>
      </c>
      <c r="AM129">
        <v>19</v>
      </c>
      <c r="AN129" s="233">
        <v>20</v>
      </c>
      <c r="AP129" s="233" t="s">
        <v>2</v>
      </c>
      <c r="AQ129">
        <v>0</v>
      </c>
      <c r="AR129">
        <v>77.970125479464613</v>
      </c>
      <c r="AS129">
        <v>9653.6473906831143</v>
      </c>
      <c r="AT129" s="233">
        <v>9731.6175161625797</v>
      </c>
    </row>
    <row r="130" spans="2:46" x14ac:dyDescent="0.25">
      <c r="B130" s="233" t="s">
        <v>31</v>
      </c>
      <c r="C130">
        <v>5</v>
      </c>
      <c r="D130">
        <v>3</v>
      </c>
      <c r="E130">
        <v>11</v>
      </c>
      <c r="F130" s="233">
        <v>19</v>
      </c>
      <c r="H130" s="233" t="s">
        <v>31</v>
      </c>
      <c r="I130">
        <v>394.94256840576429</v>
      </c>
      <c r="J130">
        <v>94.79822830205174</v>
      </c>
      <c r="K130">
        <v>10771.98052760376</v>
      </c>
      <c r="L130" s="233">
        <v>11261.721324311577</v>
      </c>
      <c r="M130" s="230"/>
      <c r="N130" s="233" t="s">
        <v>31</v>
      </c>
      <c r="O130">
        <v>394.94256840576429</v>
      </c>
      <c r="P130">
        <v>94.79822830205174</v>
      </c>
      <c r="Q130">
        <v>10771.98052760376</v>
      </c>
      <c r="R130" s="233">
        <f t="shared" si="5"/>
        <v>11261.721324311577</v>
      </c>
      <c r="V130" s="233" t="s">
        <v>31</v>
      </c>
      <c r="W130">
        <v>0</v>
      </c>
      <c r="X130">
        <v>0</v>
      </c>
      <c r="Y130">
        <v>0</v>
      </c>
      <c r="Z130" s="233">
        <v>0</v>
      </c>
      <c r="AB130" s="233" t="s">
        <v>31</v>
      </c>
      <c r="AC130">
        <v>0</v>
      </c>
      <c r="AD130">
        <v>0</v>
      </c>
      <c r="AE130">
        <v>0</v>
      </c>
      <c r="AF130" s="233">
        <v>0</v>
      </c>
      <c r="AJ130" s="233" t="s">
        <v>31</v>
      </c>
      <c r="AK130">
        <v>0</v>
      </c>
      <c r="AL130">
        <v>0</v>
      </c>
      <c r="AM130">
        <v>1</v>
      </c>
      <c r="AN130" s="233">
        <v>1</v>
      </c>
      <c r="AP130" s="233" t="s">
        <v>31</v>
      </c>
      <c r="AQ130">
        <v>0</v>
      </c>
      <c r="AR130">
        <v>0</v>
      </c>
      <c r="AS130">
        <v>41.458943661973493</v>
      </c>
      <c r="AT130" s="233">
        <v>41.458943661973493</v>
      </c>
    </row>
    <row r="131" spans="2:46" x14ac:dyDescent="0.25">
      <c r="B131" s="233" t="s">
        <v>294</v>
      </c>
      <c r="C131" s="232">
        <v>2</v>
      </c>
      <c r="D131" s="231">
        <v>7</v>
      </c>
      <c r="E131" s="231">
        <v>10</v>
      </c>
      <c r="F131" s="235">
        <v>19</v>
      </c>
      <c r="H131" s="233" t="s">
        <v>294</v>
      </c>
      <c r="I131" s="232">
        <v>175.23263096928633</v>
      </c>
      <c r="J131" s="231">
        <v>1581.2441975566749</v>
      </c>
      <c r="K131" s="231">
        <v>2803.2437764718129</v>
      </c>
      <c r="L131" s="235">
        <v>4559.720604997774</v>
      </c>
      <c r="M131" s="230"/>
      <c r="N131" s="233" t="s">
        <v>294</v>
      </c>
      <c r="O131" s="232">
        <v>175.23263096928633</v>
      </c>
      <c r="P131" s="231">
        <v>1581.2441975566749</v>
      </c>
      <c r="Q131" s="231">
        <v>2803.2437764718129</v>
      </c>
      <c r="R131" s="235">
        <f t="shared" si="5"/>
        <v>4559.720604997774</v>
      </c>
      <c r="V131" s="233" t="s">
        <v>294</v>
      </c>
      <c r="W131" s="232">
        <v>0</v>
      </c>
      <c r="X131" s="231">
        <v>0</v>
      </c>
      <c r="Y131" s="231">
        <v>0</v>
      </c>
      <c r="Z131" s="235">
        <v>0</v>
      </c>
      <c r="AB131" s="233" t="s">
        <v>294</v>
      </c>
      <c r="AC131" s="232">
        <v>0</v>
      </c>
      <c r="AD131" s="231">
        <v>0</v>
      </c>
      <c r="AE131" s="231">
        <v>0</v>
      </c>
      <c r="AF131" s="235">
        <v>0</v>
      </c>
      <c r="AJ131" s="233" t="s">
        <v>294</v>
      </c>
      <c r="AK131" s="232">
        <v>0</v>
      </c>
      <c r="AL131" s="231">
        <v>1</v>
      </c>
      <c r="AM131" s="231">
        <v>0</v>
      </c>
      <c r="AN131" s="235">
        <v>1</v>
      </c>
      <c r="AP131" s="233" t="s">
        <v>294</v>
      </c>
      <c r="AQ131" s="232">
        <v>0</v>
      </c>
      <c r="AR131" s="231">
        <v>9.1035492972663032</v>
      </c>
      <c r="AS131" s="231">
        <v>0</v>
      </c>
      <c r="AT131" s="235">
        <v>9.1035492972663032</v>
      </c>
    </row>
    <row r="132" spans="2:46" x14ac:dyDescent="0.25">
      <c r="B132" s="233" t="s">
        <v>345</v>
      </c>
      <c r="C132" s="228">
        <v>3</v>
      </c>
      <c r="D132" s="230">
        <v>1</v>
      </c>
      <c r="E132" s="230">
        <v>5</v>
      </c>
      <c r="F132" s="234">
        <v>9</v>
      </c>
      <c r="H132" s="233" t="s">
        <v>345</v>
      </c>
      <c r="I132" s="228">
        <v>171.31969519622086</v>
      </c>
      <c r="J132" s="230">
        <v>158.54295600679615</v>
      </c>
      <c r="K132" s="230">
        <v>78.152982667829463</v>
      </c>
      <c r="L132" s="234">
        <v>408.01563387084644</v>
      </c>
      <c r="N132" s="233" t="s">
        <v>345</v>
      </c>
      <c r="O132" s="228">
        <v>171.31969519622086</v>
      </c>
      <c r="P132" s="230">
        <v>158.54295600679615</v>
      </c>
      <c r="Q132" s="230">
        <v>78.152982667829463</v>
      </c>
      <c r="R132" s="234">
        <f t="shared" si="5"/>
        <v>408.01563387084644</v>
      </c>
      <c r="V132" s="233" t="s">
        <v>345</v>
      </c>
      <c r="W132" s="228">
        <v>0</v>
      </c>
      <c r="X132" s="230">
        <v>0</v>
      </c>
      <c r="Y132" s="230">
        <v>0</v>
      </c>
      <c r="Z132" s="234">
        <v>0</v>
      </c>
      <c r="AB132" s="233" t="s">
        <v>345</v>
      </c>
      <c r="AC132" s="228">
        <v>0</v>
      </c>
      <c r="AD132" s="230">
        <v>0</v>
      </c>
      <c r="AE132" s="230">
        <v>0</v>
      </c>
      <c r="AF132" s="234">
        <v>0</v>
      </c>
      <c r="AJ132" s="233" t="s">
        <v>345</v>
      </c>
      <c r="AK132" s="228">
        <v>0</v>
      </c>
      <c r="AL132" s="230">
        <v>0</v>
      </c>
      <c r="AM132" s="230">
        <v>0</v>
      </c>
      <c r="AN132" s="234">
        <v>0</v>
      </c>
      <c r="AP132" s="233" t="s">
        <v>345</v>
      </c>
      <c r="AQ132" s="228">
        <v>0</v>
      </c>
      <c r="AR132" s="230">
        <v>0</v>
      </c>
      <c r="AS132" s="230">
        <v>0</v>
      </c>
      <c r="AT132" s="234">
        <v>0</v>
      </c>
    </row>
    <row r="133" spans="2:46" x14ac:dyDescent="0.25">
      <c r="B133" s="233" t="s">
        <v>310</v>
      </c>
      <c r="C133" s="228">
        <v>0</v>
      </c>
      <c r="D133" s="230">
        <v>0</v>
      </c>
      <c r="E133" s="230">
        <v>0</v>
      </c>
      <c r="F133" s="234">
        <v>0</v>
      </c>
      <c r="H133" s="233" t="s">
        <v>310</v>
      </c>
      <c r="I133" s="228">
        <v>0</v>
      </c>
      <c r="J133" s="230">
        <v>0</v>
      </c>
      <c r="K133" s="230">
        <v>0</v>
      </c>
      <c r="L133" s="234">
        <v>0</v>
      </c>
      <c r="M133" s="230"/>
      <c r="N133" s="233" t="s">
        <v>310</v>
      </c>
      <c r="O133" s="228">
        <v>0</v>
      </c>
      <c r="P133" s="230">
        <v>0</v>
      </c>
      <c r="Q133" s="230">
        <v>0</v>
      </c>
      <c r="R133" s="234">
        <f>SUM(O133:Q133)</f>
        <v>0</v>
      </c>
      <c r="V133" s="233" t="s">
        <v>310</v>
      </c>
      <c r="W133" s="228">
        <v>0</v>
      </c>
      <c r="X133" s="230">
        <v>0</v>
      </c>
      <c r="Y133" s="230">
        <v>0</v>
      </c>
      <c r="Z133" s="234">
        <v>0</v>
      </c>
      <c r="AB133" s="233" t="s">
        <v>310</v>
      </c>
      <c r="AC133" s="228">
        <v>0</v>
      </c>
      <c r="AD133" s="230">
        <v>0</v>
      </c>
      <c r="AE133" s="230">
        <v>0</v>
      </c>
      <c r="AF133" s="234">
        <v>0</v>
      </c>
      <c r="AJ133" s="233" t="s">
        <v>310</v>
      </c>
      <c r="AK133" s="228">
        <v>0</v>
      </c>
      <c r="AL133" s="230">
        <v>0</v>
      </c>
      <c r="AM133" s="230">
        <v>0</v>
      </c>
      <c r="AN133" s="234">
        <v>0</v>
      </c>
      <c r="AP133" s="233" t="s">
        <v>310</v>
      </c>
      <c r="AQ133" s="228">
        <v>0</v>
      </c>
      <c r="AR133" s="230">
        <v>0</v>
      </c>
      <c r="AS133" s="230">
        <v>0</v>
      </c>
      <c r="AT133" s="234">
        <v>0</v>
      </c>
    </row>
    <row r="134" spans="2:46" x14ac:dyDescent="0.25">
      <c r="B134" s="233" t="s">
        <v>295</v>
      </c>
      <c r="C134" s="228">
        <v>1</v>
      </c>
      <c r="D134" s="230">
        <v>1</v>
      </c>
      <c r="E134" s="230">
        <v>0</v>
      </c>
      <c r="F134" s="234">
        <v>2</v>
      </c>
      <c r="H134" s="233" t="s">
        <v>295</v>
      </c>
      <c r="I134" s="228">
        <v>32.948639398918985</v>
      </c>
      <c r="J134" s="230">
        <v>488.51655953653841</v>
      </c>
      <c r="K134" s="230">
        <v>0</v>
      </c>
      <c r="L134" s="234">
        <v>521.46519893545735</v>
      </c>
      <c r="N134" s="233" t="s">
        <v>295</v>
      </c>
      <c r="O134" s="228">
        <v>32.948639398918985</v>
      </c>
      <c r="P134" s="230">
        <v>488.51655953653841</v>
      </c>
      <c r="Q134" s="230">
        <v>0</v>
      </c>
      <c r="R134" s="234">
        <f t="shared" si="5"/>
        <v>521.46519893545735</v>
      </c>
      <c r="V134" s="233" t="s">
        <v>295</v>
      </c>
      <c r="W134" s="228">
        <v>0</v>
      </c>
      <c r="X134" s="230">
        <v>0</v>
      </c>
      <c r="Y134" s="230">
        <v>0</v>
      </c>
      <c r="Z134" s="234">
        <v>0</v>
      </c>
      <c r="AB134" s="233" t="s">
        <v>295</v>
      </c>
      <c r="AC134" s="228">
        <v>0</v>
      </c>
      <c r="AD134" s="230">
        <v>0</v>
      </c>
      <c r="AE134" s="230">
        <v>0</v>
      </c>
      <c r="AF134" s="234">
        <v>0</v>
      </c>
      <c r="AJ134" s="233" t="s">
        <v>295</v>
      </c>
      <c r="AK134" s="228">
        <v>0</v>
      </c>
      <c r="AL134" s="230">
        <v>0</v>
      </c>
      <c r="AM134" s="230">
        <v>0</v>
      </c>
      <c r="AN134" s="234">
        <v>0</v>
      </c>
      <c r="AP134" s="233" t="s">
        <v>295</v>
      </c>
      <c r="AQ134" s="228">
        <v>0</v>
      </c>
      <c r="AR134" s="230">
        <v>0</v>
      </c>
      <c r="AS134" s="230">
        <v>0</v>
      </c>
      <c r="AT134" s="234">
        <v>0</v>
      </c>
    </row>
    <row r="135" spans="2:46" x14ac:dyDescent="0.25">
      <c r="B135" s="233" t="s">
        <v>296</v>
      </c>
      <c r="C135" s="228">
        <v>0</v>
      </c>
      <c r="D135" s="230">
        <v>0</v>
      </c>
      <c r="E135" s="230">
        <v>0</v>
      </c>
      <c r="F135" s="234">
        <v>0</v>
      </c>
      <c r="H135" s="233" t="s">
        <v>296</v>
      </c>
      <c r="I135" s="228">
        <v>0</v>
      </c>
      <c r="J135" s="230">
        <v>0</v>
      </c>
      <c r="K135" s="230">
        <v>0</v>
      </c>
      <c r="L135" s="234">
        <v>0</v>
      </c>
      <c r="N135" s="233" t="s">
        <v>296</v>
      </c>
      <c r="O135" s="228">
        <v>0</v>
      </c>
      <c r="P135" s="230">
        <v>0</v>
      </c>
      <c r="Q135" s="230">
        <v>0</v>
      </c>
      <c r="R135" s="234">
        <f t="shared" si="5"/>
        <v>0</v>
      </c>
      <c r="V135" s="233" t="s">
        <v>296</v>
      </c>
      <c r="W135" s="228">
        <v>0</v>
      </c>
      <c r="X135" s="230">
        <v>0</v>
      </c>
      <c r="Y135" s="230">
        <v>0</v>
      </c>
      <c r="Z135" s="234">
        <v>0</v>
      </c>
      <c r="AB135" s="233" t="s">
        <v>296</v>
      </c>
      <c r="AC135" s="228">
        <v>0</v>
      </c>
      <c r="AD135" s="230">
        <v>0</v>
      </c>
      <c r="AE135" s="230">
        <v>0</v>
      </c>
      <c r="AF135" s="234">
        <v>0</v>
      </c>
      <c r="AJ135" s="233" t="s">
        <v>296</v>
      </c>
      <c r="AK135" s="228">
        <v>0</v>
      </c>
      <c r="AL135" s="230">
        <v>0</v>
      </c>
      <c r="AM135" s="230">
        <v>0</v>
      </c>
      <c r="AN135" s="234">
        <v>0</v>
      </c>
      <c r="AP135" s="233" t="s">
        <v>296</v>
      </c>
      <c r="AQ135" s="228">
        <v>0</v>
      </c>
      <c r="AR135" s="230">
        <v>0</v>
      </c>
      <c r="AS135" s="230">
        <v>0</v>
      </c>
      <c r="AT135" s="234">
        <v>0</v>
      </c>
    </row>
    <row r="136" spans="2:46" x14ac:dyDescent="0.25">
      <c r="B136" s="233" t="s">
        <v>297</v>
      </c>
      <c r="C136" s="228">
        <v>0</v>
      </c>
      <c r="D136" s="230">
        <v>0</v>
      </c>
      <c r="E136" s="230">
        <v>1</v>
      </c>
      <c r="F136" s="234">
        <v>1</v>
      </c>
      <c r="H136" s="233" t="s">
        <v>297</v>
      </c>
      <c r="I136" s="228">
        <v>0</v>
      </c>
      <c r="J136" s="230">
        <v>0</v>
      </c>
      <c r="K136" s="230">
        <v>101.24064925930634</v>
      </c>
      <c r="L136" s="234">
        <v>101.24064925930634</v>
      </c>
      <c r="M136" s="229"/>
      <c r="N136" s="233" t="s">
        <v>297</v>
      </c>
      <c r="O136" s="228">
        <v>0</v>
      </c>
      <c r="P136" s="230">
        <v>0</v>
      </c>
      <c r="Q136" s="230">
        <v>101.24064925930634</v>
      </c>
      <c r="R136" s="234">
        <f t="shared" si="5"/>
        <v>101.24064925930634</v>
      </c>
      <c r="V136" s="233" t="s">
        <v>297</v>
      </c>
      <c r="W136" s="228">
        <v>0</v>
      </c>
      <c r="X136" s="230">
        <v>0</v>
      </c>
      <c r="Y136" s="230">
        <v>0</v>
      </c>
      <c r="Z136" s="234">
        <v>0</v>
      </c>
      <c r="AB136" s="233" t="s">
        <v>297</v>
      </c>
      <c r="AC136" s="228">
        <v>0</v>
      </c>
      <c r="AD136" s="230">
        <v>0</v>
      </c>
      <c r="AE136" s="230">
        <v>0</v>
      </c>
      <c r="AF136" s="234">
        <v>0</v>
      </c>
      <c r="AJ136" s="233" t="s">
        <v>297</v>
      </c>
      <c r="AK136" s="228">
        <v>0</v>
      </c>
      <c r="AL136" s="230">
        <v>0</v>
      </c>
      <c r="AM136" s="230">
        <v>0</v>
      </c>
      <c r="AN136" s="234">
        <v>0</v>
      </c>
      <c r="AP136" s="233" t="s">
        <v>297</v>
      </c>
      <c r="AQ136" s="228">
        <v>0</v>
      </c>
      <c r="AR136" s="230">
        <v>0</v>
      </c>
      <c r="AS136" s="230">
        <v>0</v>
      </c>
      <c r="AT136" s="234">
        <v>0</v>
      </c>
    </row>
    <row r="137" spans="2:46" x14ac:dyDescent="0.25">
      <c r="B137" s="233" t="s">
        <v>298</v>
      </c>
      <c r="C137" s="228">
        <v>0</v>
      </c>
      <c r="D137" s="230">
        <v>0</v>
      </c>
      <c r="E137" s="230">
        <v>0</v>
      </c>
      <c r="F137" s="234">
        <v>0</v>
      </c>
      <c r="H137" s="233" t="s">
        <v>298</v>
      </c>
      <c r="I137" s="242">
        <v>0</v>
      </c>
      <c r="J137" s="230">
        <v>0</v>
      </c>
      <c r="K137" s="230">
        <v>0</v>
      </c>
      <c r="L137" s="234">
        <v>0</v>
      </c>
      <c r="M137" s="230"/>
      <c r="N137" s="233" t="s">
        <v>298</v>
      </c>
      <c r="O137" s="228">
        <v>0</v>
      </c>
      <c r="P137" s="230">
        <v>0</v>
      </c>
      <c r="Q137" s="230">
        <v>0</v>
      </c>
      <c r="R137" s="234">
        <f t="shared" si="5"/>
        <v>0</v>
      </c>
      <c r="V137" s="233" t="s">
        <v>298</v>
      </c>
      <c r="W137" s="228">
        <v>0</v>
      </c>
      <c r="X137" s="230">
        <v>0</v>
      </c>
      <c r="Y137" s="230">
        <v>0</v>
      </c>
      <c r="Z137" s="234">
        <v>0</v>
      </c>
      <c r="AB137" s="233" t="s">
        <v>298</v>
      </c>
      <c r="AC137" s="228">
        <v>0</v>
      </c>
      <c r="AD137" s="230">
        <v>0</v>
      </c>
      <c r="AE137" s="230">
        <v>0</v>
      </c>
      <c r="AF137" s="234">
        <v>0</v>
      </c>
      <c r="AJ137" s="233" t="s">
        <v>298</v>
      </c>
      <c r="AK137" s="228">
        <v>0</v>
      </c>
      <c r="AL137" s="230">
        <v>0</v>
      </c>
      <c r="AM137" s="230">
        <v>0</v>
      </c>
      <c r="AN137" s="234">
        <v>0</v>
      </c>
      <c r="AP137" s="233" t="s">
        <v>298</v>
      </c>
      <c r="AQ137" s="228">
        <v>0</v>
      </c>
      <c r="AR137" s="230">
        <v>0</v>
      </c>
      <c r="AS137" s="230">
        <v>0</v>
      </c>
      <c r="AT137" s="234">
        <v>0</v>
      </c>
    </row>
    <row r="138" spans="2:46" x14ac:dyDescent="0.25">
      <c r="B138" s="233" t="s">
        <v>317</v>
      </c>
      <c r="C138" s="228">
        <v>0</v>
      </c>
      <c r="D138" s="230">
        <v>0</v>
      </c>
      <c r="E138" s="230">
        <v>0</v>
      </c>
      <c r="F138" s="234">
        <v>0</v>
      </c>
      <c r="H138" s="233" t="s">
        <v>317</v>
      </c>
      <c r="I138" s="242">
        <v>0</v>
      </c>
      <c r="J138" s="230">
        <v>0</v>
      </c>
      <c r="K138" s="230">
        <v>0</v>
      </c>
      <c r="L138" s="234">
        <v>0</v>
      </c>
      <c r="M138" s="230"/>
      <c r="N138" s="233" t="s">
        <v>317</v>
      </c>
      <c r="O138" s="228">
        <v>0</v>
      </c>
      <c r="P138" s="230">
        <v>0</v>
      </c>
      <c r="Q138" s="230">
        <v>0</v>
      </c>
      <c r="R138" s="234">
        <f t="shared" si="5"/>
        <v>0</v>
      </c>
      <c r="V138" s="233" t="s">
        <v>317</v>
      </c>
      <c r="W138" s="228">
        <v>0</v>
      </c>
      <c r="X138" s="230">
        <v>0</v>
      </c>
      <c r="Y138" s="230">
        <v>0</v>
      </c>
      <c r="Z138" s="234">
        <v>0</v>
      </c>
      <c r="AB138" s="233" t="s">
        <v>317</v>
      </c>
      <c r="AC138" s="228">
        <v>0</v>
      </c>
      <c r="AD138" s="230">
        <v>0</v>
      </c>
      <c r="AE138" s="230">
        <v>0</v>
      </c>
      <c r="AF138" s="234">
        <v>0</v>
      </c>
      <c r="AJ138" s="233" t="s">
        <v>317</v>
      </c>
      <c r="AK138" s="228">
        <v>0</v>
      </c>
      <c r="AL138" s="230">
        <v>0</v>
      </c>
      <c r="AM138" s="230">
        <v>0</v>
      </c>
      <c r="AN138" s="234">
        <v>0</v>
      </c>
      <c r="AP138" s="233" t="s">
        <v>317</v>
      </c>
      <c r="AQ138" s="228">
        <v>0</v>
      </c>
      <c r="AR138" s="230">
        <v>0</v>
      </c>
      <c r="AS138" s="230">
        <v>0</v>
      </c>
      <c r="AT138" s="234">
        <v>0</v>
      </c>
    </row>
    <row r="139" spans="2:46" x14ac:dyDescent="0.25">
      <c r="B139" s="233" t="s">
        <v>311</v>
      </c>
      <c r="C139" s="228">
        <v>0</v>
      </c>
      <c r="D139" s="230">
        <v>0</v>
      </c>
      <c r="E139" s="230">
        <v>0</v>
      </c>
      <c r="F139" s="234">
        <v>0</v>
      </c>
      <c r="H139" s="233" t="s">
        <v>311</v>
      </c>
      <c r="I139" s="242">
        <v>0</v>
      </c>
      <c r="J139" s="230">
        <v>0</v>
      </c>
      <c r="K139" s="230">
        <v>0</v>
      </c>
      <c r="L139" s="234">
        <v>0</v>
      </c>
      <c r="M139" s="230"/>
      <c r="N139" s="233" t="s">
        <v>311</v>
      </c>
      <c r="O139" s="242">
        <v>0</v>
      </c>
      <c r="P139" s="230">
        <v>0</v>
      </c>
      <c r="Q139" s="230">
        <v>0</v>
      </c>
      <c r="R139" s="234">
        <f>SUM(O139:Q139)</f>
        <v>0</v>
      </c>
      <c r="V139" s="233" t="s">
        <v>311</v>
      </c>
      <c r="W139" s="228">
        <v>0</v>
      </c>
      <c r="X139" s="230">
        <v>0</v>
      </c>
      <c r="Y139" s="230">
        <v>0</v>
      </c>
      <c r="Z139" s="234">
        <v>0</v>
      </c>
      <c r="AB139" s="233" t="s">
        <v>311</v>
      </c>
      <c r="AC139" s="228">
        <v>0</v>
      </c>
      <c r="AD139" s="230">
        <v>0</v>
      </c>
      <c r="AE139" s="230">
        <v>0</v>
      </c>
      <c r="AF139" s="234">
        <v>0</v>
      </c>
      <c r="AJ139" s="233" t="s">
        <v>311</v>
      </c>
      <c r="AK139" s="228">
        <v>0</v>
      </c>
      <c r="AL139" s="230">
        <v>0</v>
      </c>
      <c r="AM139" s="230">
        <v>0</v>
      </c>
      <c r="AN139" s="234">
        <v>0</v>
      </c>
      <c r="AP139" s="233" t="s">
        <v>311</v>
      </c>
      <c r="AQ139" s="228">
        <v>0</v>
      </c>
      <c r="AR139" s="230">
        <v>0</v>
      </c>
      <c r="AS139" s="230">
        <v>0</v>
      </c>
      <c r="AT139" s="234">
        <v>0</v>
      </c>
    </row>
    <row r="140" spans="2:46" x14ac:dyDescent="0.25">
      <c r="B140" s="233" t="s">
        <v>299</v>
      </c>
      <c r="C140" s="228">
        <v>0</v>
      </c>
      <c r="D140" s="230">
        <v>0</v>
      </c>
      <c r="E140" s="230">
        <v>0</v>
      </c>
      <c r="F140" s="234">
        <v>0</v>
      </c>
      <c r="H140" s="233" t="s">
        <v>299</v>
      </c>
      <c r="I140" s="242">
        <v>0</v>
      </c>
      <c r="J140" s="230">
        <v>0</v>
      </c>
      <c r="K140" s="230">
        <v>0</v>
      </c>
      <c r="L140" s="234">
        <v>0</v>
      </c>
      <c r="M140" s="230"/>
      <c r="N140" s="233" t="s">
        <v>299</v>
      </c>
      <c r="O140" s="228">
        <v>0</v>
      </c>
      <c r="P140" s="230">
        <v>0</v>
      </c>
      <c r="Q140" s="230">
        <v>0</v>
      </c>
      <c r="R140" s="234">
        <f t="shared" si="5"/>
        <v>0</v>
      </c>
      <c r="V140" s="233" t="s">
        <v>299</v>
      </c>
      <c r="W140" s="228">
        <v>0</v>
      </c>
      <c r="X140" s="230">
        <v>0</v>
      </c>
      <c r="Y140" s="230">
        <v>0</v>
      </c>
      <c r="Z140" s="234">
        <v>0</v>
      </c>
      <c r="AB140" s="233" t="s">
        <v>299</v>
      </c>
      <c r="AC140" s="228">
        <v>0</v>
      </c>
      <c r="AD140" s="230">
        <v>0</v>
      </c>
      <c r="AE140" s="230">
        <v>0</v>
      </c>
      <c r="AF140" s="234">
        <v>0</v>
      </c>
      <c r="AJ140" s="233" t="s">
        <v>299</v>
      </c>
      <c r="AK140" s="228">
        <v>0</v>
      </c>
      <c r="AL140" s="230">
        <v>0</v>
      </c>
      <c r="AM140" s="230">
        <v>0</v>
      </c>
      <c r="AN140" s="234">
        <v>0</v>
      </c>
      <c r="AP140" s="233" t="s">
        <v>299</v>
      </c>
      <c r="AQ140" s="228">
        <v>0</v>
      </c>
      <c r="AR140" s="230">
        <v>0</v>
      </c>
      <c r="AS140" s="230">
        <v>0</v>
      </c>
      <c r="AT140" s="234">
        <v>0</v>
      </c>
    </row>
    <row r="141" spans="2:46" x14ac:dyDescent="0.25">
      <c r="B141" s="233" t="s">
        <v>300</v>
      </c>
      <c r="C141" s="228">
        <v>0</v>
      </c>
      <c r="D141" s="230">
        <v>0</v>
      </c>
      <c r="E141" s="230">
        <v>2</v>
      </c>
      <c r="F141" s="234">
        <v>2</v>
      </c>
      <c r="H141" s="233" t="s">
        <v>300</v>
      </c>
      <c r="I141" s="242">
        <v>0</v>
      </c>
      <c r="J141" s="230">
        <v>0</v>
      </c>
      <c r="K141" s="230">
        <v>1783.8439313692013</v>
      </c>
      <c r="L141" s="234">
        <v>1783.8439313692013</v>
      </c>
      <c r="M141" s="230"/>
      <c r="N141" s="233" t="s">
        <v>300</v>
      </c>
      <c r="O141" s="228">
        <v>0</v>
      </c>
      <c r="P141" s="230">
        <v>0</v>
      </c>
      <c r="Q141" s="230">
        <v>1783.8439313692013</v>
      </c>
      <c r="R141" s="234">
        <f t="shared" si="5"/>
        <v>1783.8439313692013</v>
      </c>
      <c r="V141" s="233" t="s">
        <v>300</v>
      </c>
      <c r="W141" s="228">
        <v>0</v>
      </c>
      <c r="X141" s="230">
        <v>0</v>
      </c>
      <c r="Y141" s="230">
        <v>0</v>
      </c>
      <c r="Z141" s="234">
        <v>0</v>
      </c>
      <c r="AB141" s="233" t="s">
        <v>300</v>
      </c>
      <c r="AC141" s="228">
        <v>0</v>
      </c>
      <c r="AD141" s="230">
        <v>0</v>
      </c>
      <c r="AE141" s="230">
        <v>0</v>
      </c>
      <c r="AF141" s="234">
        <v>0</v>
      </c>
      <c r="AJ141" s="233" t="s">
        <v>300</v>
      </c>
      <c r="AK141" s="228">
        <v>0</v>
      </c>
      <c r="AL141" s="230">
        <v>0</v>
      </c>
      <c r="AM141" s="230">
        <v>0</v>
      </c>
      <c r="AN141" s="234">
        <v>0</v>
      </c>
      <c r="AP141" s="233" t="s">
        <v>300</v>
      </c>
      <c r="AQ141" s="228">
        <v>0</v>
      </c>
      <c r="AR141" s="230">
        <v>0</v>
      </c>
      <c r="AS141" s="230">
        <v>0</v>
      </c>
      <c r="AT141" s="234">
        <v>0</v>
      </c>
    </row>
    <row r="142" spans="2:46" x14ac:dyDescent="0.25">
      <c r="B142" s="233" t="s">
        <v>301</v>
      </c>
      <c r="C142" s="228">
        <v>0</v>
      </c>
      <c r="D142" s="230">
        <v>0</v>
      </c>
      <c r="E142" s="230">
        <v>0</v>
      </c>
      <c r="F142" s="234">
        <v>0</v>
      </c>
      <c r="H142" s="233" t="s">
        <v>301</v>
      </c>
      <c r="I142" s="242">
        <v>0</v>
      </c>
      <c r="J142" s="230">
        <v>0</v>
      </c>
      <c r="K142" s="230">
        <v>0</v>
      </c>
      <c r="L142" s="234">
        <v>0</v>
      </c>
      <c r="M142" s="230"/>
      <c r="N142" s="233" t="s">
        <v>301</v>
      </c>
      <c r="O142" s="228">
        <v>0</v>
      </c>
      <c r="P142" s="230">
        <v>0</v>
      </c>
      <c r="Q142" s="230">
        <v>0</v>
      </c>
      <c r="R142" s="234">
        <f t="shared" si="5"/>
        <v>0</v>
      </c>
      <c r="V142" s="233" t="s">
        <v>301</v>
      </c>
      <c r="W142" s="228">
        <v>0</v>
      </c>
      <c r="X142" s="230">
        <v>0</v>
      </c>
      <c r="Y142" s="230">
        <v>0</v>
      </c>
      <c r="Z142" s="234">
        <v>0</v>
      </c>
      <c r="AB142" s="233" t="s">
        <v>301</v>
      </c>
      <c r="AC142" s="228">
        <v>0</v>
      </c>
      <c r="AD142" s="230">
        <v>0</v>
      </c>
      <c r="AE142" s="230">
        <v>0</v>
      </c>
      <c r="AF142" s="234">
        <v>0</v>
      </c>
      <c r="AJ142" s="233" t="s">
        <v>301</v>
      </c>
      <c r="AK142" s="228">
        <v>0</v>
      </c>
      <c r="AL142" s="230">
        <v>0</v>
      </c>
      <c r="AM142" s="230">
        <v>0</v>
      </c>
      <c r="AN142" s="234">
        <v>0</v>
      </c>
      <c r="AP142" s="233" t="s">
        <v>301</v>
      </c>
      <c r="AQ142" s="228">
        <v>0</v>
      </c>
      <c r="AR142" s="230">
        <v>0</v>
      </c>
      <c r="AS142" s="230">
        <v>0</v>
      </c>
      <c r="AT142" s="234">
        <v>0</v>
      </c>
    </row>
    <row r="143" spans="2:46" x14ac:dyDescent="0.25">
      <c r="B143" s="233" t="s">
        <v>36</v>
      </c>
      <c r="C143" s="228">
        <v>0</v>
      </c>
      <c r="D143" s="230">
        <v>0</v>
      </c>
      <c r="E143" s="230">
        <v>1</v>
      </c>
      <c r="F143" s="234">
        <v>1</v>
      </c>
      <c r="H143" s="233" t="s">
        <v>36</v>
      </c>
      <c r="I143" s="228">
        <v>0</v>
      </c>
      <c r="J143" s="230">
        <v>0</v>
      </c>
      <c r="K143" s="230">
        <v>82.25609554882675</v>
      </c>
      <c r="L143" s="234">
        <v>82.25609554882675</v>
      </c>
      <c r="M143" s="230"/>
      <c r="N143" s="233" t="s">
        <v>36</v>
      </c>
      <c r="O143" s="228">
        <v>0</v>
      </c>
      <c r="P143" s="230">
        <v>0</v>
      </c>
      <c r="Q143" s="230">
        <v>82.25609554882675</v>
      </c>
      <c r="R143" s="234">
        <f t="shared" si="5"/>
        <v>82.25609554882675</v>
      </c>
      <c r="V143" s="233" t="s">
        <v>36</v>
      </c>
      <c r="W143" s="228">
        <v>0</v>
      </c>
      <c r="X143" s="230">
        <v>0</v>
      </c>
      <c r="Y143" s="230">
        <v>1</v>
      </c>
      <c r="Z143" s="234">
        <v>1</v>
      </c>
      <c r="AB143" s="233" t="s">
        <v>36</v>
      </c>
      <c r="AC143" s="228">
        <v>0</v>
      </c>
      <c r="AD143" s="230">
        <v>0</v>
      </c>
      <c r="AE143" s="230">
        <v>82.25609554882675</v>
      </c>
      <c r="AF143" s="234">
        <v>82.25609554882675</v>
      </c>
      <c r="AJ143" s="233" t="s">
        <v>36</v>
      </c>
      <c r="AK143" s="228">
        <v>0</v>
      </c>
      <c r="AL143" s="230">
        <v>0</v>
      </c>
      <c r="AM143" s="230">
        <v>1</v>
      </c>
      <c r="AN143" s="234">
        <v>1</v>
      </c>
      <c r="AP143" s="233" t="s">
        <v>36</v>
      </c>
      <c r="AQ143" s="228">
        <v>0</v>
      </c>
      <c r="AR143" s="230">
        <v>0</v>
      </c>
      <c r="AS143" s="230">
        <v>82.25609554882675</v>
      </c>
      <c r="AT143" s="234">
        <v>82.25609554882675</v>
      </c>
    </row>
    <row r="144" spans="2:46" x14ac:dyDescent="0.25">
      <c r="B144" s="233" t="s">
        <v>302</v>
      </c>
      <c r="C144" s="228">
        <v>0</v>
      </c>
      <c r="D144" s="230">
        <v>4</v>
      </c>
      <c r="E144" s="230">
        <v>3</v>
      </c>
      <c r="F144" s="234">
        <v>7</v>
      </c>
      <c r="H144" s="233" t="s">
        <v>302</v>
      </c>
      <c r="I144" s="228">
        <v>0</v>
      </c>
      <c r="J144" s="230">
        <v>1854.3809722822045</v>
      </c>
      <c r="K144" s="230">
        <v>216.68422457084858</v>
      </c>
      <c r="L144" s="234">
        <v>2071.0651968530533</v>
      </c>
      <c r="M144" s="230"/>
      <c r="N144" s="233" t="s">
        <v>302</v>
      </c>
      <c r="O144" s="228">
        <v>0</v>
      </c>
      <c r="P144" s="230">
        <v>1854.3809722822045</v>
      </c>
      <c r="Q144" s="230">
        <v>216.68422457084858</v>
      </c>
      <c r="R144" s="234">
        <f t="shared" si="5"/>
        <v>2071.0651968530533</v>
      </c>
      <c r="V144" s="233" t="s">
        <v>302</v>
      </c>
      <c r="W144" s="228">
        <v>0</v>
      </c>
      <c r="X144" s="230">
        <v>0</v>
      </c>
      <c r="Y144" s="230">
        <v>0</v>
      </c>
      <c r="Z144" s="234">
        <v>0</v>
      </c>
      <c r="AB144" s="233" t="s">
        <v>302</v>
      </c>
      <c r="AC144" s="228">
        <v>0</v>
      </c>
      <c r="AD144" s="230">
        <v>0</v>
      </c>
      <c r="AE144" s="230">
        <v>0</v>
      </c>
      <c r="AF144" s="234">
        <v>0</v>
      </c>
      <c r="AJ144" s="233" t="s">
        <v>302</v>
      </c>
      <c r="AK144" s="228">
        <v>0</v>
      </c>
      <c r="AL144" s="230">
        <v>0</v>
      </c>
      <c r="AM144" s="230">
        <v>0</v>
      </c>
      <c r="AN144" s="234">
        <v>0</v>
      </c>
      <c r="AP144" s="233" t="s">
        <v>302</v>
      </c>
      <c r="AQ144" s="228">
        <v>0</v>
      </c>
      <c r="AR144" s="230">
        <v>0</v>
      </c>
      <c r="AS144" s="230">
        <v>0</v>
      </c>
      <c r="AT144" s="234">
        <v>0</v>
      </c>
    </row>
    <row r="145" spans="2:46" x14ac:dyDescent="0.25">
      <c r="B145" s="233" t="s">
        <v>303</v>
      </c>
      <c r="C145" s="228">
        <v>0</v>
      </c>
      <c r="D145" s="230">
        <v>0</v>
      </c>
      <c r="E145" s="230">
        <v>1</v>
      </c>
      <c r="F145" s="234">
        <v>1</v>
      </c>
      <c r="H145" s="233" t="s">
        <v>303</v>
      </c>
      <c r="I145" s="228">
        <v>0</v>
      </c>
      <c r="J145" s="230">
        <v>0</v>
      </c>
      <c r="K145" s="230">
        <v>134.60894610574448</v>
      </c>
      <c r="L145" s="234">
        <v>134.60894610574448</v>
      </c>
      <c r="M145" s="230"/>
      <c r="N145" s="233" t="s">
        <v>303</v>
      </c>
      <c r="O145" s="228">
        <v>0</v>
      </c>
      <c r="P145" s="230">
        <v>0</v>
      </c>
      <c r="Q145" s="230">
        <v>134.60894610574448</v>
      </c>
      <c r="R145" s="234">
        <f t="shared" si="5"/>
        <v>134.60894610574448</v>
      </c>
      <c r="V145" s="233" t="s">
        <v>303</v>
      </c>
      <c r="W145" s="228">
        <v>0</v>
      </c>
      <c r="X145" s="230">
        <v>0</v>
      </c>
      <c r="Y145" s="230">
        <v>0</v>
      </c>
      <c r="Z145" s="234">
        <v>0</v>
      </c>
      <c r="AB145" s="233" t="s">
        <v>303</v>
      </c>
      <c r="AC145" s="228">
        <v>0</v>
      </c>
      <c r="AD145" s="230">
        <v>0</v>
      </c>
      <c r="AE145" s="230">
        <v>0</v>
      </c>
      <c r="AF145" s="234">
        <v>0</v>
      </c>
      <c r="AJ145" s="233" t="s">
        <v>303</v>
      </c>
      <c r="AK145" s="228">
        <v>0</v>
      </c>
      <c r="AL145" s="230">
        <v>0</v>
      </c>
      <c r="AM145" s="230">
        <v>0</v>
      </c>
      <c r="AN145" s="234">
        <v>0</v>
      </c>
      <c r="AP145" s="233" t="s">
        <v>303</v>
      </c>
      <c r="AQ145" s="228">
        <v>0</v>
      </c>
      <c r="AR145" s="230">
        <v>0</v>
      </c>
      <c r="AS145" s="230">
        <v>0</v>
      </c>
      <c r="AT145" s="234">
        <v>0</v>
      </c>
    </row>
    <row r="146" spans="2:46" x14ac:dyDescent="0.25">
      <c r="B146" s="236" t="s">
        <v>1</v>
      </c>
      <c r="C146" s="237">
        <v>159</v>
      </c>
      <c r="D146" s="238">
        <v>173</v>
      </c>
      <c r="E146" s="238">
        <v>943</v>
      </c>
      <c r="F146" s="239">
        <v>1275</v>
      </c>
      <c r="H146" s="236" t="s">
        <v>1</v>
      </c>
      <c r="I146" s="237">
        <v>28874.565797035692</v>
      </c>
      <c r="J146" s="238">
        <v>38947.190861393101</v>
      </c>
      <c r="K146" s="238">
        <v>288797.62933578214</v>
      </c>
      <c r="L146" s="239">
        <v>356619.38599421096</v>
      </c>
      <c r="M146" s="230"/>
      <c r="N146" s="236" t="s">
        <v>1</v>
      </c>
      <c r="O146" s="237">
        <f>SUM(O126:O145)</f>
        <v>26673.540170118802</v>
      </c>
      <c r="P146" s="238">
        <f>SUM(P126:P145)</f>
        <v>38947.190861393101</v>
      </c>
      <c r="Q146" s="238">
        <f>SUM(Q126:Q145)</f>
        <v>288797.62933578214</v>
      </c>
      <c r="R146" s="239">
        <f>SUM(R126:R145)</f>
        <v>354418.36036729405</v>
      </c>
      <c r="V146" s="236" t="s">
        <v>1</v>
      </c>
      <c r="W146" s="237">
        <v>0</v>
      </c>
      <c r="X146" s="238">
        <v>0</v>
      </c>
      <c r="Y146" s="238">
        <v>68</v>
      </c>
      <c r="Z146" s="239">
        <v>68</v>
      </c>
      <c r="AB146" s="236" t="s">
        <v>1</v>
      </c>
      <c r="AC146" s="237">
        <v>0</v>
      </c>
      <c r="AD146" s="238">
        <v>0</v>
      </c>
      <c r="AE146" s="238">
        <v>20753.516915011049</v>
      </c>
      <c r="AF146" s="239">
        <v>20753.516915011049</v>
      </c>
      <c r="AJ146" s="236" t="s">
        <v>1</v>
      </c>
      <c r="AK146" s="237">
        <v>0</v>
      </c>
      <c r="AL146" s="238">
        <v>3</v>
      </c>
      <c r="AM146" s="238">
        <v>134</v>
      </c>
      <c r="AN146" s="239">
        <v>137</v>
      </c>
      <c r="AP146" s="236" t="s">
        <v>1</v>
      </c>
      <c r="AQ146" s="237">
        <v>0</v>
      </c>
      <c r="AR146" s="238">
        <v>1496.1874280129962</v>
      </c>
      <c r="AS146" s="238">
        <v>52460.0527550814</v>
      </c>
      <c r="AT146" s="239">
        <v>53956.2401830944</v>
      </c>
    </row>
    <row r="147" spans="2:46" x14ac:dyDescent="0.25">
      <c r="C147" s="228"/>
      <c r="D147" s="230"/>
      <c r="E147" s="230"/>
      <c r="F147" s="230"/>
      <c r="I147" s="228"/>
      <c r="J147" s="230"/>
      <c r="K147" s="230"/>
      <c r="L147" s="230"/>
      <c r="M147" s="230"/>
      <c r="O147" s="228"/>
      <c r="P147" s="230"/>
      <c r="Q147" s="230"/>
      <c r="R147" s="230"/>
      <c r="W147" s="228"/>
      <c r="X147" s="230"/>
      <c r="Y147" s="230"/>
      <c r="Z147" s="230"/>
      <c r="AC147" s="228"/>
      <c r="AD147" s="230"/>
      <c r="AE147" s="230"/>
      <c r="AF147" s="230"/>
      <c r="AK147" s="228"/>
      <c r="AL147" s="230"/>
      <c r="AM147" s="230"/>
      <c r="AN147" s="230"/>
      <c r="AQ147" s="228"/>
      <c r="AR147" s="230"/>
      <c r="AS147" s="230"/>
      <c r="AT147" s="230"/>
    </row>
    <row r="148" spans="2:46" x14ac:dyDescent="0.25">
      <c r="B148" t="s">
        <v>28</v>
      </c>
      <c r="C148" s="228"/>
      <c r="D148" s="230"/>
      <c r="E148" s="230"/>
      <c r="F148" s="230"/>
      <c r="H148" t="s">
        <v>28</v>
      </c>
      <c r="I148" s="228"/>
      <c r="J148" s="230"/>
      <c r="K148" s="230"/>
      <c r="L148" s="230"/>
      <c r="M148" s="230"/>
      <c r="N148" t="s">
        <v>28</v>
      </c>
      <c r="O148" s="228"/>
      <c r="P148" s="230"/>
      <c r="Q148" s="230"/>
      <c r="R148" s="230"/>
      <c r="V148" t="s">
        <v>28</v>
      </c>
      <c r="W148" s="228"/>
      <c r="X148" s="230"/>
      <c r="Y148" s="230"/>
      <c r="Z148" s="230"/>
      <c r="AB148" t="s">
        <v>28</v>
      </c>
      <c r="AC148" s="228"/>
      <c r="AD148" s="230"/>
      <c r="AE148" s="230"/>
      <c r="AF148" s="230"/>
      <c r="AJ148" t="s">
        <v>28</v>
      </c>
      <c r="AK148" s="228"/>
      <c r="AL148" s="230"/>
      <c r="AM148" s="230"/>
      <c r="AN148" s="230"/>
      <c r="AP148" t="s">
        <v>28</v>
      </c>
      <c r="AQ148" s="228"/>
      <c r="AR148" s="230"/>
      <c r="AS148" s="230"/>
      <c r="AT148" s="230"/>
    </row>
    <row r="149" spans="2:46" x14ac:dyDescent="0.25">
      <c r="B149" s="236" t="s">
        <v>290</v>
      </c>
      <c r="C149" s="237" t="s">
        <v>7</v>
      </c>
      <c r="D149" s="238" t="s">
        <v>8</v>
      </c>
      <c r="E149" s="238" t="s">
        <v>9</v>
      </c>
      <c r="F149" s="239" t="s">
        <v>1</v>
      </c>
      <c r="H149" s="236" t="s">
        <v>290</v>
      </c>
      <c r="I149" s="237" t="s">
        <v>7</v>
      </c>
      <c r="J149" s="238" t="s">
        <v>8</v>
      </c>
      <c r="K149" s="238" t="s">
        <v>9</v>
      </c>
      <c r="L149" s="239" t="s">
        <v>1</v>
      </c>
      <c r="M149" s="230"/>
      <c r="N149" s="236" t="s">
        <v>290</v>
      </c>
      <c r="O149" s="237" t="s">
        <v>7</v>
      </c>
      <c r="P149" s="238" t="s">
        <v>8</v>
      </c>
      <c r="Q149" s="238" t="s">
        <v>9</v>
      </c>
      <c r="R149" s="239" t="s">
        <v>1</v>
      </c>
      <c r="V149" s="236" t="s">
        <v>290</v>
      </c>
      <c r="W149" s="237" t="s">
        <v>7</v>
      </c>
      <c r="X149" s="238" t="s">
        <v>8</v>
      </c>
      <c r="Y149" s="238" t="s">
        <v>9</v>
      </c>
      <c r="Z149" s="239" t="s">
        <v>1</v>
      </c>
      <c r="AB149" s="236" t="s">
        <v>290</v>
      </c>
      <c r="AC149" s="237" t="s">
        <v>7</v>
      </c>
      <c r="AD149" s="238" t="s">
        <v>8</v>
      </c>
      <c r="AE149" s="238" t="s">
        <v>9</v>
      </c>
      <c r="AF149" s="239" t="s">
        <v>1</v>
      </c>
      <c r="AJ149" s="236" t="s">
        <v>290</v>
      </c>
      <c r="AK149" s="237" t="s">
        <v>7</v>
      </c>
      <c r="AL149" s="238" t="s">
        <v>8</v>
      </c>
      <c r="AM149" s="238" t="s">
        <v>9</v>
      </c>
      <c r="AN149" s="239" t="s">
        <v>1</v>
      </c>
      <c r="AP149" s="236" t="s">
        <v>290</v>
      </c>
      <c r="AQ149" s="237" t="s">
        <v>7</v>
      </c>
      <c r="AR149" s="238" t="s">
        <v>8</v>
      </c>
      <c r="AS149" s="238" t="s">
        <v>9</v>
      </c>
      <c r="AT149" s="239" t="s">
        <v>1</v>
      </c>
    </row>
    <row r="150" spans="2:46" x14ac:dyDescent="0.25">
      <c r="B150" s="233" t="s">
        <v>291</v>
      </c>
      <c r="C150" s="228">
        <v>2</v>
      </c>
      <c r="D150" s="230">
        <v>3</v>
      </c>
      <c r="E150" s="230">
        <v>5</v>
      </c>
      <c r="F150" s="234">
        <v>10</v>
      </c>
      <c r="H150" s="233" t="s">
        <v>291</v>
      </c>
      <c r="I150" s="242">
        <v>25.089530681536534</v>
      </c>
      <c r="J150" s="230">
        <v>83.237282756700438</v>
      </c>
      <c r="K150" s="230">
        <v>341.87404802104356</v>
      </c>
      <c r="L150" s="234">
        <v>450.20086145928053</v>
      </c>
      <c r="M150" s="230"/>
      <c r="N150" s="233" t="s">
        <v>291</v>
      </c>
      <c r="O150" s="242">
        <v>0</v>
      </c>
      <c r="P150" s="230">
        <v>83.237282756700438</v>
      </c>
      <c r="Q150" s="230">
        <v>341.87404802104356</v>
      </c>
      <c r="R150" s="234">
        <f>SUM(O150:Q150)</f>
        <v>425.111330777744</v>
      </c>
      <c r="V150" s="233" t="s">
        <v>291</v>
      </c>
      <c r="W150" s="228">
        <v>0</v>
      </c>
      <c r="X150" s="230">
        <v>0</v>
      </c>
      <c r="Y150" s="230">
        <v>0</v>
      </c>
      <c r="Z150" s="234">
        <v>0</v>
      </c>
      <c r="AB150" s="233" t="s">
        <v>291</v>
      </c>
      <c r="AC150" s="228">
        <v>0</v>
      </c>
      <c r="AD150" s="230">
        <v>0</v>
      </c>
      <c r="AE150" s="230">
        <v>0</v>
      </c>
      <c r="AF150" s="234">
        <v>0</v>
      </c>
      <c r="AJ150" s="233" t="s">
        <v>291</v>
      </c>
      <c r="AK150" s="228">
        <v>0</v>
      </c>
      <c r="AL150" s="230">
        <v>0</v>
      </c>
      <c r="AM150" s="230">
        <v>0</v>
      </c>
      <c r="AN150" s="234">
        <v>0</v>
      </c>
      <c r="AP150" s="233" t="s">
        <v>291</v>
      </c>
      <c r="AQ150" s="228">
        <v>0</v>
      </c>
      <c r="AR150" s="230">
        <v>0</v>
      </c>
      <c r="AS150" s="230">
        <v>0</v>
      </c>
      <c r="AT150" s="234">
        <v>0</v>
      </c>
    </row>
    <row r="151" spans="2:46" x14ac:dyDescent="0.25">
      <c r="B151" s="233" t="s">
        <v>292</v>
      </c>
      <c r="C151" s="228">
        <v>4</v>
      </c>
      <c r="D151" s="230">
        <v>165</v>
      </c>
      <c r="E151" s="230">
        <v>798</v>
      </c>
      <c r="F151" s="234">
        <v>967</v>
      </c>
      <c r="H151" s="233" t="s">
        <v>292</v>
      </c>
      <c r="I151" s="228">
        <v>671.99846428419482</v>
      </c>
      <c r="J151" s="230">
        <v>19612.091405753075</v>
      </c>
      <c r="K151" s="230">
        <v>280571.64109590149</v>
      </c>
      <c r="L151" s="234">
        <v>300855.73096593877</v>
      </c>
      <c r="M151" s="230"/>
      <c r="N151" s="233" t="s">
        <v>292</v>
      </c>
      <c r="O151" s="228">
        <v>671.99846428419482</v>
      </c>
      <c r="P151" s="230">
        <v>19612.091405753075</v>
      </c>
      <c r="Q151" s="230">
        <v>280571.64109590149</v>
      </c>
      <c r="R151" s="234">
        <f t="shared" ref="R151:R169" si="6">SUM(O151:Q151)</f>
        <v>300855.73096593877</v>
      </c>
      <c r="V151" s="233" t="s">
        <v>292</v>
      </c>
      <c r="W151" s="228">
        <v>0</v>
      </c>
      <c r="X151" s="230">
        <v>6</v>
      </c>
      <c r="Y151" s="230">
        <v>100</v>
      </c>
      <c r="Z151" s="234">
        <v>106</v>
      </c>
      <c r="AB151" s="233" t="s">
        <v>292</v>
      </c>
      <c r="AC151" s="228">
        <v>0</v>
      </c>
      <c r="AD151" s="230">
        <v>238.11246238243649</v>
      </c>
      <c r="AE151" s="230">
        <v>20320.830086013531</v>
      </c>
      <c r="AF151" s="234">
        <v>20558.942548395968</v>
      </c>
      <c r="AJ151" s="233" t="s">
        <v>292</v>
      </c>
      <c r="AK151" s="228">
        <v>0</v>
      </c>
      <c r="AL151" s="230">
        <v>13</v>
      </c>
      <c r="AM151" s="230">
        <v>167</v>
      </c>
      <c r="AN151" s="234">
        <v>180</v>
      </c>
      <c r="AP151" s="233" t="s">
        <v>292</v>
      </c>
      <c r="AQ151" s="228">
        <v>0</v>
      </c>
      <c r="AR151" s="230">
        <v>792.91403513391469</v>
      </c>
      <c r="AS151" s="230">
        <v>56533.317937550666</v>
      </c>
      <c r="AT151" s="234">
        <v>57326.231972684582</v>
      </c>
    </row>
    <row r="152" spans="2:46" x14ac:dyDescent="0.25">
      <c r="B152" s="233" t="s">
        <v>293</v>
      </c>
      <c r="C152">
        <v>9</v>
      </c>
      <c r="D152">
        <v>61</v>
      </c>
      <c r="E152">
        <v>321</v>
      </c>
      <c r="F152" s="233">
        <v>391</v>
      </c>
      <c r="H152" s="233" t="s">
        <v>293</v>
      </c>
      <c r="I152">
        <v>42385.494333131704</v>
      </c>
      <c r="J152">
        <v>36716.391828631953</v>
      </c>
      <c r="K152">
        <v>435382.26596715499</v>
      </c>
      <c r="L152" s="233">
        <v>514484.15212891868</v>
      </c>
      <c r="M152" s="230"/>
      <c r="N152" s="233" t="s">
        <v>293</v>
      </c>
      <c r="O152">
        <v>42385.494333131704</v>
      </c>
      <c r="P152">
        <v>36716.391828631953</v>
      </c>
      <c r="Q152">
        <v>435382.26596715499</v>
      </c>
      <c r="R152" s="233">
        <f t="shared" si="6"/>
        <v>514484.15212891868</v>
      </c>
      <c r="V152" s="233" t="s">
        <v>293</v>
      </c>
      <c r="W152">
        <v>0</v>
      </c>
      <c r="X152">
        <v>0</v>
      </c>
      <c r="Y152">
        <v>48</v>
      </c>
      <c r="Z152" s="233">
        <v>48</v>
      </c>
      <c r="AB152" s="233" t="s">
        <v>293</v>
      </c>
      <c r="AC152">
        <v>0</v>
      </c>
      <c r="AD152">
        <v>0</v>
      </c>
      <c r="AE152">
        <v>88506.178325337052</v>
      </c>
      <c r="AF152" s="233">
        <v>88506.178325337052</v>
      </c>
      <c r="AJ152" s="233" t="s">
        <v>293</v>
      </c>
      <c r="AK152">
        <v>0</v>
      </c>
      <c r="AL152">
        <v>4</v>
      </c>
      <c r="AM152">
        <v>71</v>
      </c>
      <c r="AN152" s="233">
        <v>75</v>
      </c>
      <c r="AP152" s="233" t="s">
        <v>293</v>
      </c>
      <c r="AQ152">
        <v>0</v>
      </c>
      <c r="AR152">
        <v>3621.4515294754401</v>
      </c>
      <c r="AS152">
        <v>133221.09303797327</v>
      </c>
      <c r="AT152" s="233">
        <v>136842.54456744873</v>
      </c>
    </row>
    <row r="153" spans="2:46" x14ac:dyDescent="0.25">
      <c r="B153" s="233" t="s">
        <v>2</v>
      </c>
      <c r="C153">
        <v>47</v>
      </c>
      <c r="D153">
        <v>132</v>
      </c>
      <c r="E153">
        <v>396</v>
      </c>
      <c r="F153" s="233">
        <v>575</v>
      </c>
      <c r="H153" s="233" t="s">
        <v>2</v>
      </c>
      <c r="I153">
        <v>9781.6975906934076</v>
      </c>
      <c r="J153">
        <v>12889.278189078326</v>
      </c>
      <c r="K153">
        <v>129511.0953371381</v>
      </c>
      <c r="L153" s="233">
        <v>152182.07111690985</v>
      </c>
      <c r="M153" s="230"/>
      <c r="N153" s="233" t="s">
        <v>2</v>
      </c>
      <c r="O153">
        <v>9781.6975906934076</v>
      </c>
      <c r="P153">
        <v>12889.278189078326</v>
      </c>
      <c r="Q153">
        <v>129511.0953371381</v>
      </c>
      <c r="R153" s="233">
        <f t="shared" si="6"/>
        <v>152182.07111690985</v>
      </c>
      <c r="V153" s="233" t="s">
        <v>2</v>
      </c>
      <c r="W153">
        <v>0</v>
      </c>
      <c r="X153">
        <v>2</v>
      </c>
      <c r="Y153">
        <v>32</v>
      </c>
      <c r="Z153" s="233">
        <v>34</v>
      </c>
      <c r="AB153" s="233" t="s">
        <v>2</v>
      </c>
      <c r="AC153">
        <v>0</v>
      </c>
      <c r="AD153">
        <v>80.221857607439574</v>
      </c>
      <c r="AE153">
        <v>3517.7251440380114</v>
      </c>
      <c r="AF153" s="233">
        <v>3597.9470016454511</v>
      </c>
      <c r="AJ153" s="233" t="s">
        <v>2</v>
      </c>
      <c r="AK153">
        <v>0</v>
      </c>
      <c r="AL153">
        <v>2</v>
      </c>
      <c r="AM153">
        <v>66</v>
      </c>
      <c r="AN153" s="233">
        <v>68</v>
      </c>
      <c r="AP153" s="233" t="s">
        <v>2</v>
      </c>
      <c r="AQ153">
        <v>0</v>
      </c>
      <c r="AR153">
        <v>80.221857607439574</v>
      </c>
      <c r="AS153">
        <v>17574.192497269167</v>
      </c>
      <c r="AT153" s="233">
        <v>17654.414354876608</v>
      </c>
    </row>
    <row r="154" spans="2:46" x14ac:dyDescent="0.25">
      <c r="B154" s="233" t="s">
        <v>31</v>
      </c>
      <c r="C154">
        <v>0</v>
      </c>
      <c r="D154">
        <v>2</v>
      </c>
      <c r="E154">
        <v>10</v>
      </c>
      <c r="F154" s="233">
        <v>12</v>
      </c>
      <c r="H154" s="233" t="s">
        <v>31</v>
      </c>
      <c r="I154">
        <v>0</v>
      </c>
      <c r="J154">
        <v>74.657418374461116</v>
      </c>
      <c r="K154">
        <v>2936.3659295487632</v>
      </c>
      <c r="L154" s="233">
        <v>3011.0233479232243</v>
      </c>
      <c r="M154" s="230"/>
      <c r="N154" s="233" t="s">
        <v>31</v>
      </c>
      <c r="O154">
        <v>0</v>
      </c>
      <c r="P154">
        <v>74.657418374461116</v>
      </c>
      <c r="Q154">
        <v>2936.3659295487632</v>
      </c>
      <c r="R154" s="233">
        <f t="shared" si="6"/>
        <v>3011.0233479232243</v>
      </c>
      <c r="V154" s="233" t="s">
        <v>31</v>
      </c>
      <c r="W154">
        <v>0</v>
      </c>
      <c r="X154">
        <v>0</v>
      </c>
      <c r="Y154">
        <v>0</v>
      </c>
      <c r="Z154" s="233">
        <v>0</v>
      </c>
      <c r="AB154" s="233" t="s">
        <v>31</v>
      </c>
      <c r="AC154">
        <v>0</v>
      </c>
      <c r="AD154">
        <v>0</v>
      </c>
      <c r="AE154">
        <v>0</v>
      </c>
      <c r="AF154" s="233">
        <v>0</v>
      </c>
      <c r="AJ154" s="233" t="s">
        <v>31</v>
      </c>
      <c r="AK154">
        <v>0</v>
      </c>
      <c r="AL154">
        <v>0</v>
      </c>
      <c r="AM154">
        <v>2</v>
      </c>
      <c r="AN154" s="233">
        <v>2</v>
      </c>
      <c r="AP154" s="233" t="s">
        <v>31</v>
      </c>
      <c r="AQ154">
        <v>0</v>
      </c>
      <c r="AR154">
        <v>0</v>
      </c>
      <c r="AS154">
        <v>162.06971370681259</v>
      </c>
      <c r="AT154" s="233">
        <v>162.06971370681259</v>
      </c>
    </row>
    <row r="155" spans="2:46" x14ac:dyDescent="0.25">
      <c r="B155" s="233" t="s">
        <v>294</v>
      </c>
      <c r="C155" s="232">
        <v>13</v>
      </c>
      <c r="D155" s="231">
        <v>2</v>
      </c>
      <c r="E155" s="231">
        <v>9</v>
      </c>
      <c r="F155" s="235">
        <v>24</v>
      </c>
      <c r="H155" s="233" t="s">
        <v>294</v>
      </c>
      <c r="I155" s="232">
        <v>1008.3105736141882</v>
      </c>
      <c r="J155" s="231">
        <v>117.29408542471847</v>
      </c>
      <c r="K155" s="231">
        <v>1442.1474938046831</v>
      </c>
      <c r="L155" s="235">
        <v>2567.75215284359</v>
      </c>
      <c r="M155" s="230"/>
      <c r="N155" s="233" t="s">
        <v>294</v>
      </c>
      <c r="O155" s="232">
        <v>1008.3105736141882</v>
      </c>
      <c r="P155" s="231">
        <v>117.29408542471847</v>
      </c>
      <c r="Q155" s="231">
        <v>1442.1474938046831</v>
      </c>
      <c r="R155" s="235">
        <f t="shared" si="6"/>
        <v>2567.75215284359</v>
      </c>
      <c r="V155" s="233" t="s">
        <v>294</v>
      </c>
      <c r="W155" s="232">
        <v>0</v>
      </c>
      <c r="X155" s="231">
        <v>0</v>
      </c>
      <c r="Y155" s="231">
        <v>0</v>
      </c>
      <c r="Z155" s="235">
        <v>0</v>
      </c>
      <c r="AB155" s="233" t="s">
        <v>294</v>
      </c>
      <c r="AC155" s="232">
        <v>0</v>
      </c>
      <c r="AD155" s="231">
        <v>0</v>
      </c>
      <c r="AE155" s="231">
        <v>0</v>
      </c>
      <c r="AF155" s="235">
        <v>0</v>
      </c>
      <c r="AJ155" s="233" t="s">
        <v>294</v>
      </c>
      <c r="AK155" s="232">
        <v>0</v>
      </c>
      <c r="AL155" s="231">
        <v>0</v>
      </c>
      <c r="AM155" s="231">
        <v>0</v>
      </c>
      <c r="AN155" s="235">
        <v>0</v>
      </c>
      <c r="AP155" s="233" t="s">
        <v>294</v>
      </c>
      <c r="AQ155" s="232">
        <v>0</v>
      </c>
      <c r="AR155" s="231">
        <v>0</v>
      </c>
      <c r="AS155" s="231">
        <v>0</v>
      </c>
      <c r="AT155" s="235">
        <v>0</v>
      </c>
    </row>
    <row r="156" spans="2:46" x14ac:dyDescent="0.25">
      <c r="B156" s="233" t="s">
        <v>345</v>
      </c>
      <c r="C156" s="228">
        <v>0</v>
      </c>
      <c r="D156" s="230">
        <v>0</v>
      </c>
      <c r="E156" s="230">
        <v>4</v>
      </c>
      <c r="F156" s="234">
        <v>4</v>
      </c>
      <c r="H156" s="233" t="s">
        <v>345</v>
      </c>
      <c r="I156" s="228">
        <v>0</v>
      </c>
      <c r="J156" s="230">
        <v>0</v>
      </c>
      <c r="K156" s="230">
        <v>150.6261271401259</v>
      </c>
      <c r="L156" s="234">
        <v>150.6261271401259</v>
      </c>
      <c r="M156" s="230"/>
      <c r="N156" s="233" t="s">
        <v>345</v>
      </c>
      <c r="O156" s="228">
        <v>0</v>
      </c>
      <c r="P156" s="230">
        <v>0</v>
      </c>
      <c r="Q156" s="230">
        <v>150.6261271401259</v>
      </c>
      <c r="R156" s="234">
        <f t="shared" si="6"/>
        <v>150.6261271401259</v>
      </c>
      <c r="V156" s="233" t="s">
        <v>345</v>
      </c>
      <c r="W156" s="228">
        <v>0</v>
      </c>
      <c r="X156" s="230">
        <v>0</v>
      </c>
      <c r="Y156" s="230">
        <v>0</v>
      </c>
      <c r="Z156" s="234">
        <v>0</v>
      </c>
      <c r="AB156" s="233" t="s">
        <v>345</v>
      </c>
      <c r="AC156" s="228">
        <v>0</v>
      </c>
      <c r="AD156" s="230">
        <v>0</v>
      </c>
      <c r="AE156" s="230">
        <v>0</v>
      </c>
      <c r="AF156" s="234">
        <v>0</v>
      </c>
      <c r="AJ156" s="233" t="s">
        <v>345</v>
      </c>
      <c r="AK156" s="228">
        <v>0</v>
      </c>
      <c r="AL156" s="230">
        <v>0</v>
      </c>
      <c r="AM156" s="230">
        <v>0</v>
      </c>
      <c r="AN156" s="234">
        <v>0</v>
      </c>
      <c r="AP156" s="233" t="s">
        <v>345</v>
      </c>
      <c r="AQ156" s="228">
        <v>0</v>
      </c>
      <c r="AR156" s="230">
        <v>0</v>
      </c>
      <c r="AS156" s="230">
        <v>0</v>
      </c>
      <c r="AT156" s="234">
        <v>0</v>
      </c>
    </row>
    <row r="157" spans="2:46" x14ac:dyDescent="0.25">
      <c r="B157" s="233" t="s">
        <v>310</v>
      </c>
      <c r="C157" s="228">
        <v>0</v>
      </c>
      <c r="D157" s="230">
        <v>0</v>
      </c>
      <c r="E157" s="230">
        <v>0</v>
      </c>
      <c r="F157" s="234">
        <v>0</v>
      </c>
      <c r="H157" s="233" t="s">
        <v>310</v>
      </c>
      <c r="I157" s="228">
        <v>0</v>
      </c>
      <c r="J157" s="230">
        <v>0</v>
      </c>
      <c r="K157" s="230">
        <v>0</v>
      </c>
      <c r="L157" s="234">
        <v>0</v>
      </c>
      <c r="M157" s="230"/>
      <c r="N157" s="233" t="s">
        <v>310</v>
      </c>
      <c r="O157" s="228">
        <v>0</v>
      </c>
      <c r="P157" s="230">
        <v>0</v>
      </c>
      <c r="Q157" s="230">
        <v>0</v>
      </c>
      <c r="R157" s="234">
        <f>SUM(O157:Q157)</f>
        <v>0</v>
      </c>
      <c r="V157" s="233" t="s">
        <v>310</v>
      </c>
      <c r="W157" s="228">
        <v>0</v>
      </c>
      <c r="X157" s="230">
        <v>0</v>
      </c>
      <c r="Y157" s="230">
        <v>0</v>
      </c>
      <c r="Z157" s="234">
        <v>0</v>
      </c>
      <c r="AB157" s="233" t="s">
        <v>310</v>
      </c>
      <c r="AC157" s="228">
        <v>0</v>
      </c>
      <c r="AD157" s="230">
        <v>0</v>
      </c>
      <c r="AE157" s="230">
        <v>0</v>
      </c>
      <c r="AF157" s="234">
        <v>0</v>
      </c>
      <c r="AJ157" s="233" t="s">
        <v>310</v>
      </c>
      <c r="AK157" s="228">
        <v>0</v>
      </c>
      <c r="AL157" s="230">
        <v>0</v>
      </c>
      <c r="AM157" s="230">
        <v>0</v>
      </c>
      <c r="AN157" s="234">
        <v>0</v>
      </c>
      <c r="AP157" s="233" t="s">
        <v>310</v>
      </c>
      <c r="AQ157" s="228">
        <v>0</v>
      </c>
      <c r="AR157" s="230">
        <v>0</v>
      </c>
      <c r="AS157" s="230">
        <v>0</v>
      </c>
      <c r="AT157" s="234">
        <v>0</v>
      </c>
    </row>
    <row r="158" spans="2:46" x14ac:dyDescent="0.25">
      <c r="B158" s="233" t="s">
        <v>295</v>
      </c>
      <c r="C158" s="228">
        <v>0</v>
      </c>
      <c r="D158" s="230">
        <v>2</v>
      </c>
      <c r="E158" s="230">
        <v>0</v>
      </c>
      <c r="F158" s="234">
        <v>2</v>
      </c>
      <c r="H158" s="233" t="s">
        <v>295</v>
      </c>
      <c r="I158" s="228">
        <v>0</v>
      </c>
      <c r="J158" s="230">
        <v>74.657418374461116</v>
      </c>
      <c r="K158" s="230">
        <v>0</v>
      </c>
      <c r="L158" s="234">
        <v>74.657418374461116</v>
      </c>
      <c r="N158" s="233" t="s">
        <v>295</v>
      </c>
      <c r="O158" s="228">
        <v>0</v>
      </c>
      <c r="P158" s="230">
        <v>74.657418374461116</v>
      </c>
      <c r="Q158" s="230">
        <v>0</v>
      </c>
      <c r="R158" s="234">
        <f t="shared" si="6"/>
        <v>74.657418374461116</v>
      </c>
      <c r="V158" s="233" t="s">
        <v>295</v>
      </c>
      <c r="W158" s="228">
        <v>0</v>
      </c>
      <c r="X158" s="230">
        <v>0</v>
      </c>
      <c r="Y158" s="230">
        <v>0</v>
      </c>
      <c r="Z158" s="234">
        <v>0</v>
      </c>
      <c r="AB158" s="233" t="s">
        <v>295</v>
      </c>
      <c r="AC158" s="228">
        <v>0</v>
      </c>
      <c r="AD158" s="230">
        <v>0</v>
      </c>
      <c r="AE158" s="230">
        <v>0</v>
      </c>
      <c r="AF158" s="234">
        <v>0</v>
      </c>
      <c r="AJ158" s="233" t="s">
        <v>295</v>
      </c>
      <c r="AK158" s="228">
        <v>0</v>
      </c>
      <c r="AL158" s="230">
        <v>0</v>
      </c>
      <c r="AM158" s="230">
        <v>0</v>
      </c>
      <c r="AN158" s="234">
        <v>0</v>
      </c>
      <c r="AP158" s="233" t="s">
        <v>295</v>
      </c>
      <c r="AQ158" s="228">
        <v>0</v>
      </c>
      <c r="AR158" s="230">
        <v>0</v>
      </c>
      <c r="AS158" s="230">
        <v>0</v>
      </c>
      <c r="AT158" s="234">
        <v>0</v>
      </c>
    </row>
    <row r="159" spans="2:46" x14ac:dyDescent="0.25">
      <c r="B159" s="233" t="s">
        <v>296</v>
      </c>
      <c r="C159" s="228">
        <v>0</v>
      </c>
      <c r="D159" s="230">
        <v>2</v>
      </c>
      <c r="E159" s="230">
        <v>4</v>
      </c>
      <c r="F159" s="234">
        <v>6</v>
      </c>
      <c r="H159" s="233" t="s">
        <v>296</v>
      </c>
      <c r="I159" s="228">
        <v>0</v>
      </c>
      <c r="J159" s="230">
        <v>52.982940190977089</v>
      </c>
      <c r="K159" s="230">
        <v>214.36992435391559</v>
      </c>
      <c r="L159" s="234">
        <v>267.35286454489267</v>
      </c>
      <c r="N159" s="233" t="s">
        <v>296</v>
      </c>
      <c r="O159" s="228">
        <v>0</v>
      </c>
      <c r="P159" s="230">
        <v>52.982940190977089</v>
      </c>
      <c r="Q159" s="230">
        <v>214.36992435391559</v>
      </c>
      <c r="R159" s="234">
        <f t="shared" si="6"/>
        <v>267.35286454489267</v>
      </c>
      <c r="V159" s="233" t="s">
        <v>296</v>
      </c>
      <c r="W159" s="228">
        <v>0</v>
      </c>
      <c r="X159" s="230">
        <v>0</v>
      </c>
      <c r="Y159" s="230">
        <v>0</v>
      </c>
      <c r="Z159" s="234">
        <v>0</v>
      </c>
      <c r="AB159" s="233" t="s">
        <v>296</v>
      </c>
      <c r="AC159" s="228">
        <v>0</v>
      </c>
      <c r="AD159" s="230">
        <v>0</v>
      </c>
      <c r="AE159" s="230">
        <v>0</v>
      </c>
      <c r="AF159" s="234">
        <v>0</v>
      </c>
      <c r="AJ159" s="233" t="s">
        <v>296</v>
      </c>
      <c r="AK159" s="228">
        <v>0</v>
      </c>
      <c r="AL159" s="230">
        <v>0</v>
      </c>
      <c r="AM159" s="230">
        <v>0</v>
      </c>
      <c r="AN159" s="234">
        <v>0</v>
      </c>
      <c r="AP159" s="233" t="s">
        <v>296</v>
      </c>
      <c r="AQ159" s="228">
        <v>0</v>
      </c>
      <c r="AR159" s="230">
        <v>0</v>
      </c>
      <c r="AS159" s="230">
        <v>0</v>
      </c>
      <c r="AT159" s="234">
        <v>0</v>
      </c>
    </row>
    <row r="160" spans="2:46" x14ac:dyDescent="0.25">
      <c r="B160" s="233" t="s">
        <v>297</v>
      </c>
      <c r="C160" s="228">
        <v>2</v>
      </c>
      <c r="D160" s="230">
        <v>0</v>
      </c>
      <c r="E160" s="230">
        <v>0</v>
      </c>
      <c r="F160" s="234">
        <v>2</v>
      </c>
      <c r="H160" s="233" t="s">
        <v>297</v>
      </c>
      <c r="I160" s="228">
        <v>445.89277123886825</v>
      </c>
      <c r="J160" s="230">
        <v>0</v>
      </c>
      <c r="K160" s="230">
        <v>0</v>
      </c>
      <c r="L160" s="234">
        <v>445.89277123886825</v>
      </c>
      <c r="N160" s="233" t="s">
        <v>297</v>
      </c>
      <c r="O160" s="228">
        <v>445.89277123886825</v>
      </c>
      <c r="P160" s="230">
        <v>0</v>
      </c>
      <c r="Q160" s="230">
        <v>0</v>
      </c>
      <c r="R160" s="234">
        <f t="shared" si="6"/>
        <v>445.89277123886825</v>
      </c>
      <c r="V160" s="233" t="s">
        <v>297</v>
      </c>
      <c r="W160" s="228">
        <v>0</v>
      </c>
      <c r="X160" s="230">
        <v>0</v>
      </c>
      <c r="Y160" s="230">
        <v>0</v>
      </c>
      <c r="Z160" s="234">
        <v>0</v>
      </c>
      <c r="AB160" s="233" t="s">
        <v>297</v>
      </c>
      <c r="AC160" s="228">
        <v>0</v>
      </c>
      <c r="AD160" s="230">
        <v>0</v>
      </c>
      <c r="AE160" s="230">
        <v>0</v>
      </c>
      <c r="AF160" s="234">
        <v>0</v>
      </c>
      <c r="AJ160" s="233" t="s">
        <v>297</v>
      </c>
      <c r="AK160" s="228">
        <v>0</v>
      </c>
      <c r="AL160" s="230">
        <v>0</v>
      </c>
      <c r="AM160" s="230">
        <v>0</v>
      </c>
      <c r="AN160" s="234">
        <v>0</v>
      </c>
      <c r="AP160" s="233" t="s">
        <v>297</v>
      </c>
      <c r="AQ160" s="228">
        <v>0</v>
      </c>
      <c r="AR160" s="230">
        <v>0</v>
      </c>
      <c r="AS160" s="230">
        <v>0</v>
      </c>
      <c r="AT160" s="234">
        <v>0</v>
      </c>
    </row>
    <row r="161" spans="2:46" x14ac:dyDescent="0.25">
      <c r="B161" s="233" t="s">
        <v>298</v>
      </c>
      <c r="C161" s="228">
        <v>0</v>
      </c>
      <c r="D161" s="230">
        <v>0</v>
      </c>
      <c r="E161" s="230">
        <v>2</v>
      </c>
      <c r="F161" s="234">
        <v>2</v>
      </c>
      <c r="H161" s="233" t="s">
        <v>298</v>
      </c>
      <c r="I161" s="242">
        <v>0</v>
      </c>
      <c r="J161" s="230">
        <v>0</v>
      </c>
      <c r="K161" s="230">
        <v>341.24470372703001</v>
      </c>
      <c r="L161" s="234">
        <v>341.24470372703001</v>
      </c>
      <c r="M161" s="229"/>
      <c r="N161" s="233" t="s">
        <v>298</v>
      </c>
      <c r="O161" s="228">
        <v>0</v>
      </c>
      <c r="P161" s="230">
        <v>0</v>
      </c>
      <c r="Q161" s="230">
        <v>341.24470372703001</v>
      </c>
      <c r="R161" s="234">
        <f t="shared" si="6"/>
        <v>341.24470372703001</v>
      </c>
      <c r="V161" s="233" t="s">
        <v>298</v>
      </c>
      <c r="W161" s="228">
        <v>0</v>
      </c>
      <c r="X161" s="230">
        <v>0</v>
      </c>
      <c r="Y161" s="230">
        <v>0</v>
      </c>
      <c r="Z161" s="234">
        <v>0</v>
      </c>
      <c r="AB161" s="233" t="s">
        <v>298</v>
      </c>
      <c r="AC161" s="228">
        <v>0</v>
      </c>
      <c r="AD161" s="230">
        <v>0</v>
      </c>
      <c r="AE161" s="230">
        <v>0</v>
      </c>
      <c r="AF161" s="234">
        <v>0</v>
      </c>
      <c r="AJ161" s="233" t="s">
        <v>298</v>
      </c>
      <c r="AK161" s="228">
        <v>0</v>
      </c>
      <c r="AL161" s="230">
        <v>0</v>
      </c>
      <c r="AM161" s="230">
        <v>0</v>
      </c>
      <c r="AN161" s="234">
        <v>0</v>
      </c>
      <c r="AP161" s="233" t="s">
        <v>298</v>
      </c>
      <c r="AQ161" s="228">
        <v>0</v>
      </c>
      <c r="AR161" s="230">
        <v>0</v>
      </c>
      <c r="AS161" s="230">
        <v>0</v>
      </c>
      <c r="AT161" s="234">
        <v>0</v>
      </c>
    </row>
    <row r="162" spans="2:46" x14ac:dyDescent="0.25">
      <c r="B162" s="233" t="s">
        <v>317</v>
      </c>
      <c r="C162" s="228">
        <v>0</v>
      </c>
      <c r="D162" s="230">
        <v>0</v>
      </c>
      <c r="E162" s="230">
        <v>2</v>
      </c>
      <c r="F162" s="234">
        <v>2</v>
      </c>
      <c r="H162" s="233" t="s">
        <v>317</v>
      </c>
      <c r="I162" s="242">
        <v>0</v>
      </c>
      <c r="J162" s="230">
        <v>0</v>
      </c>
      <c r="K162" s="230">
        <v>67.300434179605105</v>
      </c>
      <c r="L162" s="234">
        <v>67.300434179605105</v>
      </c>
      <c r="M162" s="230"/>
      <c r="N162" s="233" t="s">
        <v>317</v>
      </c>
      <c r="O162" s="228">
        <v>0</v>
      </c>
      <c r="P162" s="230">
        <v>0</v>
      </c>
      <c r="Q162" s="230">
        <v>67.300434179605105</v>
      </c>
      <c r="R162" s="234">
        <f t="shared" si="6"/>
        <v>67.300434179605105</v>
      </c>
      <c r="V162" s="233" t="s">
        <v>317</v>
      </c>
      <c r="W162" s="228">
        <v>0</v>
      </c>
      <c r="X162" s="230">
        <v>0</v>
      </c>
      <c r="Y162" s="230">
        <v>0</v>
      </c>
      <c r="Z162" s="234">
        <v>0</v>
      </c>
      <c r="AB162" s="233" t="s">
        <v>317</v>
      </c>
      <c r="AC162" s="228">
        <v>0</v>
      </c>
      <c r="AD162" s="230">
        <v>0</v>
      </c>
      <c r="AE162" s="230">
        <v>0</v>
      </c>
      <c r="AF162" s="234">
        <v>0</v>
      </c>
      <c r="AJ162" s="233" t="s">
        <v>317</v>
      </c>
      <c r="AK162" s="228">
        <v>0</v>
      </c>
      <c r="AL162" s="230">
        <v>0</v>
      </c>
      <c r="AM162" s="230">
        <v>0</v>
      </c>
      <c r="AN162" s="234">
        <v>0</v>
      </c>
      <c r="AP162" s="233" t="s">
        <v>317</v>
      </c>
      <c r="AQ162" s="228">
        <v>0</v>
      </c>
      <c r="AR162" s="230">
        <v>0</v>
      </c>
      <c r="AS162" s="230">
        <v>0</v>
      </c>
      <c r="AT162" s="234">
        <v>0</v>
      </c>
    </row>
    <row r="163" spans="2:46" x14ac:dyDescent="0.25">
      <c r="B163" s="233" t="s">
        <v>311</v>
      </c>
      <c r="C163" s="228">
        <v>0</v>
      </c>
      <c r="D163" s="230">
        <v>0</v>
      </c>
      <c r="E163" s="230">
        <v>0</v>
      </c>
      <c r="F163" s="234">
        <v>0</v>
      </c>
      <c r="H163" s="233" t="s">
        <v>311</v>
      </c>
      <c r="I163" s="228">
        <v>0</v>
      </c>
      <c r="J163" s="230">
        <v>0</v>
      </c>
      <c r="K163" s="230">
        <v>0</v>
      </c>
      <c r="L163" s="234">
        <v>0</v>
      </c>
      <c r="M163" s="230"/>
      <c r="N163" s="233" t="s">
        <v>311</v>
      </c>
      <c r="O163" s="228">
        <v>0</v>
      </c>
      <c r="P163" s="230">
        <v>0</v>
      </c>
      <c r="Q163" s="230">
        <v>0</v>
      </c>
      <c r="R163" s="234">
        <f>SUM(O163:Q163)</f>
        <v>0</v>
      </c>
      <c r="V163" s="233" t="s">
        <v>311</v>
      </c>
      <c r="W163" s="228">
        <v>0</v>
      </c>
      <c r="X163" s="230">
        <v>0</v>
      </c>
      <c r="Y163" s="230">
        <v>0</v>
      </c>
      <c r="Z163" s="234">
        <v>0</v>
      </c>
      <c r="AB163" s="233" t="s">
        <v>311</v>
      </c>
      <c r="AC163" s="228">
        <v>0</v>
      </c>
      <c r="AD163" s="230">
        <v>0</v>
      </c>
      <c r="AE163" s="230">
        <v>0</v>
      </c>
      <c r="AF163" s="234">
        <v>0</v>
      </c>
      <c r="AJ163" s="233" t="s">
        <v>311</v>
      </c>
      <c r="AK163" s="228">
        <v>0</v>
      </c>
      <c r="AL163" s="230">
        <v>0</v>
      </c>
      <c r="AM163" s="230">
        <v>0</v>
      </c>
      <c r="AN163" s="234">
        <v>0</v>
      </c>
      <c r="AP163" s="233" t="s">
        <v>311</v>
      </c>
      <c r="AQ163" s="228">
        <v>0</v>
      </c>
      <c r="AR163" s="230">
        <v>0</v>
      </c>
      <c r="AS163" s="230">
        <v>0</v>
      </c>
      <c r="AT163" s="234">
        <v>0</v>
      </c>
    </row>
    <row r="164" spans="2:46" x14ac:dyDescent="0.25">
      <c r="B164" s="233" t="s">
        <v>299</v>
      </c>
      <c r="C164" s="228">
        <v>0</v>
      </c>
      <c r="D164" s="230">
        <v>0</v>
      </c>
      <c r="E164" s="230">
        <v>0</v>
      </c>
      <c r="F164" s="234">
        <v>0</v>
      </c>
      <c r="H164" s="233" t="s">
        <v>299</v>
      </c>
      <c r="I164" s="242">
        <v>0</v>
      </c>
      <c r="J164" s="230">
        <v>0</v>
      </c>
      <c r="K164" s="230">
        <v>0</v>
      </c>
      <c r="L164" s="234">
        <v>0</v>
      </c>
      <c r="M164" s="230"/>
      <c r="N164" s="233" t="s">
        <v>299</v>
      </c>
      <c r="O164" s="228">
        <v>0</v>
      </c>
      <c r="P164" s="230">
        <v>0</v>
      </c>
      <c r="Q164" s="230">
        <v>0</v>
      </c>
      <c r="R164" s="234">
        <f t="shared" si="6"/>
        <v>0</v>
      </c>
      <c r="V164" s="233" t="s">
        <v>299</v>
      </c>
      <c r="W164" s="228">
        <v>0</v>
      </c>
      <c r="X164" s="230">
        <v>0</v>
      </c>
      <c r="Y164" s="230">
        <v>0</v>
      </c>
      <c r="Z164" s="234">
        <v>0</v>
      </c>
      <c r="AB164" s="233" t="s">
        <v>299</v>
      </c>
      <c r="AC164" s="228">
        <v>0</v>
      </c>
      <c r="AD164" s="230">
        <v>0</v>
      </c>
      <c r="AE164" s="230">
        <v>0</v>
      </c>
      <c r="AF164" s="234">
        <v>0</v>
      </c>
      <c r="AJ164" s="233" t="s">
        <v>299</v>
      </c>
      <c r="AK164" s="228">
        <v>0</v>
      </c>
      <c r="AL164" s="230">
        <v>0</v>
      </c>
      <c r="AM164" s="230">
        <v>0</v>
      </c>
      <c r="AN164" s="234">
        <v>0</v>
      </c>
      <c r="AP164" s="233" t="s">
        <v>299</v>
      </c>
      <c r="AQ164" s="228">
        <v>0</v>
      </c>
      <c r="AR164" s="230">
        <v>0</v>
      </c>
      <c r="AS164" s="230">
        <v>0</v>
      </c>
      <c r="AT164" s="234">
        <v>0</v>
      </c>
    </row>
    <row r="165" spans="2:46" x14ac:dyDescent="0.25">
      <c r="B165" s="233" t="s">
        <v>300</v>
      </c>
      <c r="C165" s="228">
        <v>0</v>
      </c>
      <c r="D165" s="230">
        <v>0</v>
      </c>
      <c r="E165" s="230">
        <v>2</v>
      </c>
      <c r="F165" s="234">
        <v>2</v>
      </c>
      <c r="H165" s="233" t="s">
        <v>300</v>
      </c>
      <c r="I165" s="242">
        <v>0</v>
      </c>
      <c r="J165" s="230">
        <v>0</v>
      </c>
      <c r="K165" s="230">
        <v>1296.0643556873949</v>
      </c>
      <c r="L165" s="234">
        <v>1296.0643556873949</v>
      </c>
      <c r="M165" s="230"/>
      <c r="N165" s="233" t="s">
        <v>300</v>
      </c>
      <c r="O165" s="228">
        <v>0</v>
      </c>
      <c r="P165" s="230">
        <v>0</v>
      </c>
      <c r="Q165" s="230">
        <v>1296.0643556873949</v>
      </c>
      <c r="R165" s="234">
        <f t="shared" si="6"/>
        <v>1296.0643556873949</v>
      </c>
      <c r="V165" s="233" t="s">
        <v>300</v>
      </c>
      <c r="W165" s="228">
        <v>0</v>
      </c>
      <c r="X165" s="230">
        <v>0</v>
      </c>
      <c r="Y165" s="230">
        <v>0</v>
      </c>
      <c r="Z165" s="234">
        <v>0</v>
      </c>
      <c r="AB165" s="233" t="s">
        <v>300</v>
      </c>
      <c r="AC165" s="228">
        <v>0</v>
      </c>
      <c r="AD165" s="230">
        <v>0</v>
      </c>
      <c r="AE165" s="230">
        <v>0</v>
      </c>
      <c r="AF165" s="234">
        <v>0</v>
      </c>
      <c r="AJ165" s="233" t="s">
        <v>300</v>
      </c>
      <c r="AK165" s="228">
        <v>0</v>
      </c>
      <c r="AL165" s="230">
        <v>0</v>
      </c>
      <c r="AM165" s="230">
        <v>0</v>
      </c>
      <c r="AN165" s="234">
        <v>0</v>
      </c>
      <c r="AP165" s="233" t="s">
        <v>300</v>
      </c>
      <c r="AQ165" s="228">
        <v>0</v>
      </c>
      <c r="AR165" s="230">
        <v>0</v>
      </c>
      <c r="AS165" s="230">
        <v>0</v>
      </c>
      <c r="AT165" s="234">
        <v>0</v>
      </c>
    </row>
    <row r="166" spans="2:46" x14ac:dyDescent="0.25">
      <c r="B166" s="233" t="s">
        <v>301</v>
      </c>
      <c r="C166" s="228">
        <v>0</v>
      </c>
      <c r="D166" s="230">
        <v>0</v>
      </c>
      <c r="E166" s="230">
        <v>0</v>
      </c>
      <c r="F166" s="234">
        <v>0</v>
      </c>
      <c r="H166" s="233" t="s">
        <v>301</v>
      </c>
      <c r="I166" s="242">
        <v>0</v>
      </c>
      <c r="J166" s="230">
        <v>0</v>
      </c>
      <c r="K166" s="230">
        <v>0</v>
      </c>
      <c r="L166" s="234">
        <v>0</v>
      </c>
      <c r="M166" s="230"/>
      <c r="N166" s="233" t="s">
        <v>301</v>
      </c>
      <c r="O166" s="228">
        <v>0</v>
      </c>
      <c r="P166" s="230">
        <v>0</v>
      </c>
      <c r="Q166" s="230">
        <v>0</v>
      </c>
      <c r="R166" s="234">
        <f t="shared" si="6"/>
        <v>0</v>
      </c>
      <c r="V166" s="233" t="s">
        <v>301</v>
      </c>
      <c r="W166" s="228">
        <v>0</v>
      </c>
      <c r="X166" s="230">
        <v>0</v>
      </c>
      <c r="Y166" s="230">
        <v>0</v>
      </c>
      <c r="Z166" s="234">
        <v>0</v>
      </c>
      <c r="AB166" s="233" t="s">
        <v>301</v>
      </c>
      <c r="AC166" s="228">
        <v>0</v>
      </c>
      <c r="AD166" s="230">
        <v>0</v>
      </c>
      <c r="AE166" s="230">
        <v>0</v>
      </c>
      <c r="AF166" s="234">
        <v>0</v>
      </c>
      <c r="AJ166" s="233" t="s">
        <v>301</v>
      </c>
      <c r="AK166" s="228">
        <v>0</v>
      </c>
      <c r="AL166" s="230">
        <v>0</v>
      </c>
      <c r="AM166" s="230">
        <v>0</v>
      </c>
      <c r="AN166" s="234">
        <v>0</v>
      </c>
      <c r="AP166" s="233" t="s">
        <v>301</v>
      </c>
      <c r="AQ166" s="228">
        <v>0</v>
      </c>
      <c r="AR166" s="230">
        <v>0</v>
      </c>
      <c r="AS166" s="230">
        <v>0</v>
      </c>
      <c r="AT166" s="234">
        <v>0</v>
      </c>
    </row>
    <row r="167" spans="2:46" x14ac:dyDescent="0.25">
      <c r="B167" s="233" t="s">
        <v>36</v>
      </c>
      <c r="C167" s="228">
        <v>0</v>
      </c>
      <c r="D167" s="230">
        <v>0</v>
      </c>
      <c r="E167" s="230">
        <v>2</v>
      </c>
      <c r="F167" s="234">
        <v>2</v>
      </c>
      <c r="H167" s="233" t="s">
        <v>36</v>
      </c>
      <c r="I167" s="228">
        <v>0</v>
      </c>
      <c r="J167" s="230">
        <v>0</v>
      </c>
      <c r="K167" s="230">
        <v>639.26927822680489</v>
      </c>
      <c r="L167" s="234">
        <v>639.26927822680489</v>
      </c>
      <c r="M167" s="230"/>
      <c r="N167" s="233" t="s">
        <v>36</v>
      </c>
      <c r="O167" s="228">
        <v>0</v>
      </c>
      <c r="P167" s="230">
        <v>0</v>
      </c>
      <c r="Q167" s="230">
        <v>639.26927822680489</v>
      </c>
      <c r="R167" s="234">
        <f t="shared" si="6"/>
        <v>639.26927822680489</v>
      </c>
      <c r="V167" s="233" t="s">
        <v>36</v>
      </c>
      <c r="W167" s="228">
        <v>0</v>
      </c>
      <c r="X167" s="230">
        <v>0</v>
      </c>
      <c r="Y167" s="230">
        <v>0</v>
      </c>
      <c r="Z167" s="234">
        <v>0</v>
      </c>
      <c r="AB167" s="233" t="s">
        <v>36</v>
      </c>
      <c r="AC167" s="228">
        <v>0</v>
      </c>
      <c r="AD167" s="230">
        <v>0</v>
      </c>
      <c r="AE167" s="230">
        <v>0</v>
      </c>
      <c r="AF167" s="234">
        <v>0</v>
      </c>
      <c r="AJ167" s="233" t="s">
        <v>36</v>
      </c>
      <c r="AK167" s="228">
        <v>0</v>
      </c>
      <c r="AL167" s="230">
        <v>0</v>
      </c>
      <c r="AM167" s="230">
        <v>0</v>
      </c>
      <c r="AN167" s="234">
        <v>0</v>
      </c>
      <c r="AP167" s="233" t="s">
        <v>36</v>
      </c>
      <c r="AQ167" s="228">
        <v>0</v>
      </c>
      <c r="AR167" s="230">
        <v>0</v>
      </c>
      <c r="AS167" s="230">
        <v>0</v>
      </c>
      <c r="AT167" s="234">
        <v>0</v>
      </c>
    </row>
    <row r="168" spans="2:46" x14ac:dyDescent="0.25">
      <c r="B168" s="233" t="s">
        <v>302</v>
      </c>
      <c r="C168" s="228">
        <v>6</v>
      </c>
      <c r="D168" s="230">
        <v>5</v>
      </c>
      <c r="E168" s="230">
        <v>6</v>
      </c>
      <c r="F168" s="234">
        <v>17</v>
      </c>
      <c r="H168" s="233" t="s">
        <v>302</v>
      </c>
      <c r="I168" s="228">
        <v>1795.1151372029492</v>
      </c>
      <c r="J168" s="230">
        <v>859.59790559907447</v>
      </c>
      <c r="K168" s="230">
        <v>4449.4985508222562</v>
      </c>
      <c r="L168" s="234">
        <v>7104.2115936242799</v>
      </c>
      <c r="M168" s="230"/>
      <c r="N168" s="233" t="s">
        <v>302</v>
      </c>
      <c r="O168" s="228">
        <v>1795.1151372029492</v>
      </c>
      <c r="P168" s="230">
        <v>859.59790559907447</v>
      </c>
      <c r="Q168" s="230">
        <v>4449.4985508222562</v>
      </c>
      <c r="R168" s="234">
        <f t="shared" si="6"/>
        <v>7104.2115936242799</v>
      </c>
      <c r="V168" s="233" t="s">
        <v>302</v>
      </c>
      <c r="W168" s="228">
        <v>0</v>
      </c>
      <c r="X168" s="230">
        <v>0</v>
      </c>
      <c r="Y168" s="230">
        <v>0</v>
      </c>
      <c r="Z168" s="234">
        <v>0</v>
      </c>
      <c r="AB168" s="233" t="s">
        <v>302</v>
      </c>
      <c r="AC168" s="228">
        <v>0</v>
      </c>
      <c r="AD168" s="230">
        <v>0</v>
      </c>
      <c r="AE168" s="230">
        <v>0</v>
      </c>
      <c r="AF168" s="234">
        <v>0</v>
      </c>
      <c r="AJ168" s="233" t="s">
        <v>302</v>
      </c>
      <c r="AK168" s="228">
        <v>0</v>
      </c>
      <c r="AL168" s="230">
        <v>0</v>
      </c>
      <c r="AM168" s="230">
        <v>2</v>
      </c>
      <c r="AN168" s="234">
        <v>2</v>
      </c>
      <c r="AP168" s="233" t="s">
        <v>302</v>
      </c>
      <c r="AQ168" s="228">
        <v>0</v>
      </c>
      <c r="AR168" s="230">
        <v>0</v>
      </c>
      <c r="AS168" s="230">
        <v>113.85620769512227</v>
      </c>
      <c r="AT168" s="234">
        <v>113.85620769512227</v>
      </c>
    </row>
    <row r="169" spans="2:46" x14ac:dyDescent="0.25">
      <c r="B169" s="233" t="s">
        <v>303</v>
      </c>
      <c r="C169" s="228">
        <v>0</v>
      </c>
      <c r="D169" s="230">
        <v>0</v>
      </c>
      <c r="E169" s="230">
        <v>0</v>
      </c>
      <c r="F169" s="234">
        <v>0</v>
      </c>
      <c r="H169" s="233" t="s">
        <v>303</v>
      </c>
      <c r="I169" s="228">
        <v>0</v>
      </c>
      <c r="J169" s="230">
        <v>0</v>
      </c>
      <c r="K169" s="230">
        <v>0</v>
      </c>
      <c r="L169" s="234">
        <v>0</v>
      </c>
      <c r="M169" s="230"/>
      <c r="N169" s="233" t="s">
        <v>303</v>
      </c>
      <c r="O169" s="228">
        <v>0</v>
      </c>
      <c r="P169" s="230">
        <v>0</v>
      </c>
      <c r="Q169" s="230">
        <v>0</v>
      </c>
      <c r="R169" s="234">
        <f t="shared" si="6"/>
        <v>0</v>
      </c>
      <c r="V169" s="233" t="s">
        <v>303</v>
      </c>
      <c r="W169" s="228">
        <v>0</v>
      </c>
      <c r="X169" s="230">
        <v>0</v>
      </c>
      <c r="Y169" s="230">
        <v>0</v>
      </c>
      <c r="Z169" s="234">
        <v>0</v>
      </c>
      <c r="AB169" s="233" t="s">
        <v>303</v>
      </c>
      <c r="AC169" s="228">
        <v>0</v>
      </c>
      <c r="AD169" s="230">
        <v>0</v>
      </c>
      <c r="AE169" s="230">
        <v>0</v>
      </c>
      <c r="AF169" s="234">
        <v>0</v>
      </c>
      <c r="AJ169" s="233" t="s">
        <v>303</v>
      </c>
      <c r="AK169" s="228">
        <v>0</v>
      </c>
      <c r="AL169" s="230">
        <v>0</v>
      </c>
      <c r="AM169" s="230">
        <v>0</v>
      </c>
      <c r="AN169" s="234">
        <v>0</v>
      </c>
      <c r="AP169" s="233" t="s">
        <v>303</v>
      </c>
      <c r="AQ169" s="228">
        <v>0</v>
      </c>
      <c r="AR169" s="230">
        <v>0</v>
      </c>
      <c r="AS169" s="230">
        <v>0</v>
      </c>
      <c r="AT169" s="234">
        <v>0</v>
      </c>
    </row>
    <row r="170" spans="2:46" x14ac:dyDescent="0.25">
      <c r="B170" s="236" t="s">
        <v>1</v>
      </c>
      <c r="C170" s="237">
        <v>83</v>
      </c>
      <c r="D170" s="238">
        <v>374</v>
      </c>
      <c r="E170" s="238">
        <v>1561</v>
      </c>
      <c r="F170" s="239">
        <v>2018</v>
      </c>
      <c r="H170" s="236" t="s">
        <v>1</v>
      </c>
      <c r="I170" s="237">
        <v>56113.598400846851</v>
      </c>
      <c r="J170" s="238">
        <v>70480.188474183757</v>
      </c>
      <c r="K170" s="238">
        <v>857343.76324570621</v>
      </c>
      <c r="L170" s="239">
        <v>983937.55012073682</v>
      </c>
      <c r="M170" s="230"/>
      <c r="N170" s="236" t="s">
        <v>1</v>
      </c>
      <c r="O170" s="237">
        <f>SUM(O150:O169)</f>
        <v>56088.508870165315</v>
      </c>
      <c r="P170" s="237">
        <f>SUM(P150:P169)</f>
        <v>70480.188474183757</v>
      </c>
      <c r="Q170" s="237">
        <f>SUM(Q150:Q169)</f>
        <v>857343.76324570621</v>
      </c>
      <c r="R170" s="239">
        <f>SUM(R150:R169)</f>
        <v>983912.46059005521</v>
      </c>
      <c r="V170" s="236" t="s">
        <v>1</v>
      </c>
      <c r="W170" s="237">
        <v>0</v>
      </c>
      <c r="X170" s="238">
        <v>8</v>
      </c>
      <c r="Y170" s="238">
        <v>180</v>
      </c>
      <c r="Z170" s="239">
        <v>188</v>
      </c>
      <c r="AB170" s="236" t="s">
        <v>1</v>
      </c>
      <c r="AC170" s="237">
        <v>0</v>
      </c>
      <c r="AD170" s="238">
        <v>318.33431998987606</v>
      </c>
      <c r="AE170" s="238">
        <v>112344.73355538859</v>
      </c>
      <c r="AF170" s="239">
        <v>112663.06787537847</v>
      </c>
      <c r="AJ170" s="236" t="s">
        <v>1</v>
      </c>
      <c r="AK170" s="237">
        <v>0</v>
      </c>
      <c r="AL170" s="238">
        <v>19</v>
      </c>
      <c r="AM170" s="238">
        <v>308</v>
      </c>
      <c r="AN170" s="239">
        <v>327</v>
      </c>
      <c r="AP170" s="236" t="s">
        <v>1</v>
      </c>
      <c r="AQ170" s="237">
        <v>0</v>
      </c>
      <c r="AR170" s="238">
        <v>4494.5874222167949</v>
      </c>
      <c r="AS170" s="238">
        <v>207604.52939419504</v>
      </c>
      <c r="AT170" s="239">
        <v>212099.11681641187</v>
      </c>
    </row>
    <row r="171" spans="2:46" x14ac:dyDescent="0.25">
      <c r="B171" s="228"/>
      <c r="C171" s="230"/>
      <c r="D171" s="230"/>
      <c r="E171" s="230"/>
      <c r="F171" s="230"/>
      <c r="I171" s="228"/>
      <c r="J171" s="230"/>
      <c r="K171" s="230"/>
      <c r="L171" s="230"/>
      <c r="M171" s="230"/>
    </row>
    <row r="172" spans="2:46" x14ac:dyDescent="0.25">
      <c r="B172" s="228"/>
      <c r="C172" s="230"/>
      <c r="D172" s="230"/>
      <c r="E172" s="230"/>
      <c r="F172" s="230"/>
      <c r="I172" s="228"/>
      <c r="J172" s="230"/>
      <c r="K172" s="230"/>
      <c r="L172" s="230"/>
      <c r="M172" s="230"/>
    </row>
    <row r="173" spans="2:46" x14ac:dyDescent="0.25">
      <c r="B173" s="228"/>
      <c r="C173" s="230"/>
      <c r="D173" s="230"/>
      <c r="E173" s="230"/>
      <c r="F173" s="230"/>
      <c r="I173" s="228"/>
      <c r="J173" s="230"/>
      <c r="K173" s="230"/>
      <c r="L173" s="230"/>
      <c r="M173" s="230"/>
    </row>
    <row r="174" spans="2:46" x14ac:dyDescent="0.25">
      <c r="B174" s="228"/>
      <c r="C174" s="230"/>
      <c r="D174" s="230"/>
      <c r="E174" s="230"/>
      <c r="F174" s="230"/>
      <c r="I174" s="228"/>
      <c r="J174" s="230"/>
      <c r="K174" s="230"/>
      <c r="L174" s="230"/>
      <c r="M174" s="230"/>
    </row>
    <row r="175" spans="2:46" x14ac:dyDescent="0.25">
      <c r="B175" s="228"/>
      <c r="C175" s="230"/>
      <c r="D175" s="230"/>
      <c r="E175" s="230"/>
      <c r="F175" s="230"/>
      <c r="I175" s="228"/>
      <c r="J175" s="230"/>
      <c r="K175" s="230"/>
      <c r="L175" s="230"/>
      <c r="M175" s="230"/>
    </row>
    <row r="176" spans="2:46" x14ac:dyDescent="0.25">
      <c r="B176" s="228"/>
      <c r="C176" s="230"/>
      <c r="D176" s="230"/>
      <c r="E176" s="230"/>
      <c r="F176" s="230"/>
      <c r="I176" s="228"/>
      <c r="J176" s="230"/>
      <c r="K176" s="230"/>
      <c r="L176" s="230"/>
      <c r="M176" s="230"/>
    </row>
    <row r="177" spans="2:13" x14ac:dyDescent="0.25">
      <c r="B177" s="228"/>
      <c r="C177" s="230"/>
      <c r="D177" s="230"/>
      <c r="E177" s="230"/>
      <c r="F177" s="230"/>
      <c r="I177" s="228"/>
      <c r="J177" s="230"/>
      <c r="K177" s="230"/>
      <c r="L177" s="230"/>
      <c r="M177" s="230"/>
    </row>
    <row r="178" spans="2:13" x14ac:dyDescent="0.25">
      <c r="B178" s="228"/>
      <c r="C178" s="230"/>
      <c r="D178" s="230"/>
      <c r="E178" s="230"/>
      <c r="F178" s="230"/>
      <c r="I178" s="228"/>
      <c r="J178" s="230"/>
      <c r="K178" s="230"/>
      <c r="L178" s="230"/>
      <c r="M178" s="230"/>
    </row>
    <row r="179" spans="2:13" x14ac:dyDescent="0.25">
      <c r="B179" s="228"/>
      <c r="C179" s="230"/>
      <c r="D179" s="230"/>
      <c r="E179" s="230"/>
      <c r="F179" s="230"/>
      <c r="I179" s="228"/>
      <c r="J179" s="230"/>
      <c r="K179" s="230"/>
      <c r="L179" s="230"/>
      <c r="M179" s="230"/>
    </row>
    <row r="180" spans="2:13" x14ac:dyDescent="0.25">
      <c r="B180" s="228"/>
      <c r="C180" s="230"/>
      <c r="D180" s="230"/>
      <c r="E180" s="230"/>
      <c r="F180" s="230"/>
      <c r="I180" s="228"/>
      <c r="J180" s="230"/>
      <c r="K180" s="230"/>
      <c r="L180" s="230"/>
      <c r="M180" s="230"/>
    </row>
    <row r="181" spans="2:13" x14ac:dyDescent="0.25">
      <c r="B181" s="228"/>
      <c r="C181" s="230"/>
      <c r="D181" s="230"/>
      <c r="E181" s="230"/>
      <c r="F181" s="230"/>
      <c r="I181" s="228"/>
      <c r="J181" s="230"/>
      <c r="K181" s="230"/>
      <c r="L181" s="230"/>
      <c r="M181" s="230"/>
    </row>
    <row r="185" spans="2:13" x14ac:dyDescent="0.25">
      <c r="B185" s="228"/>
      <c r="C185" s="229"/>
      <c r="D185" s="229"/>
      <c r="E185" s="229"/>
      <c r="F185" s="229"/>
      <c r="I185" s="228"/>
      <c r="J185" s="229"/>
      <c r="K185" s="229"/>
      <c r="L185" s="229"/>
      <c r="M185" s="229"/>
    </row>
    <row r="186" spans="2:13" x14ac:dyDescent="0.25">
      <c r="B186" s="228"/>
      <c r="C186" s="230"/>
      <c r="D186" s="230"/>
      <c r="E186" s="230"/>
      <c r="F186" s="230"/>
      <c r="I186" s="228"/>
      <c r="J186" s="230"/>
      <c r="K186" s="230"/>
      <c r="L186" s="230"/>
      <c r="M186" s="230"/>
    </row>
    <row r="187" spans="2:13" x14ac:dyDescent="0.25">
      <c r="B187" s="228"/>
      <c r="C187" s="230"/>
      <c r="D187" s="230"/>
      <c r="E187" s="230"/>
      <c r="F187" s="230"/>
      <c r="I187" s="228"/>
      <c r="J187" s="230"/>
      <c r="K187" s="230"/>
      <c r="L187" s="230"/>
      <c r="M187" s="230"/>
    </row>
    <row r="188" spans="2:13" x14ac:dyDescent="0.25">
      <c r="B188" s="228"/>
      <c r="C188" s="230"/>
      <c r="D188" s="230"/>
      <c r="E188" s="230"/>
      <c r="F188" s="230"/>
      <c r="I188" s="228"/>
      <c r="J188" s="230"/>
      <c r="K188" s="230"/>
      <c r="L188" s="230"/>
      <c r="M188" s="230"/>
    </row>
    <row r="189" spans="2:13" x14ac:dyDescent="0.25">
      <c r="B189" s="228"/>
      <c r="C189" s="230"/>
      <c r="D189" s="230"/>
      <c r="E189" s="230"/>
      <c r="F189" s="230"/>
      <c r="I189" s="228"/>
      <c r="J189" s="230"/>
      <c r="K189" s="230"/>
      <c r="L189" s="230"/>
      <c r="M189" s="230"/>
    </row>
    <row r="190" spans="2:13" x14ac:dyDescent="0.25">
      <c r="B190" s="228"/>
      <c r="C190" s="230"/>
      <c r="D190" s="230"/>
      <c r="E190" s="230"/>
      <c r="F190" s="230"/>
      <c r="I190" s="228"/>
      <c r="J190" s="230"/>
      <c r="K190" s="230"/>
      <c r="L190" s="230"/>
      <c r="M190" s="230"/>
    </row>
    <row r="191" spans="2:13" x14ac:dyDescent="0.25">
      <c r="B191" s="228"/>
      <c r="C191" s="230"/>
      <c r="D191" s="230"/>
      <c r="E191" s="230"/>
      <c r="F191" s="230"/>
      <c r="I191" s="228"/>
      <c r="J191" s="230"/>
      <c r="K191" s="230"/>
      <c r="L191" s="230"/>
      <c r="M191" s="230"/>
    </row>
    <row r="192" spans="2:13" x14ac:dyDescent="0.25">
      <c r="B192" s="228"/>
      <c r="C192" s="230"/>
      <c r="D192" s="230"/>
      <c r="E192" s="230"/>
      <c r="F192" s="230"/>
      <c r="I192" s="228"/>
      <c r="J192" s="230"/>
      <c r="K192" s="230"/>
      <c r="L192" s="230"/>
      <c r="M192" s="230"/>
    </row>
    <row r="193" spans="2:13" x14ac:dyDescent="0.25">
      <c r="B193" s="228"/>
      <c r="C193" s="230"/>
      <c r="D193" s="230"/>
      <c r="E193" s="230"/>
      <c r="F193" s="230"/>
      <c r="I193" s="228"/>
      <c r="J193" s="230"/>
      <c r="K193" s="230"/>
      <c r="L193" s="230"/>
      <c r="M193" s="230"/>
    </row>
    <row r="194" spans="2:13" x14ac:dyDescent="0.25">
      <c r="B194" s="228"/>
      <c r="C194" s="230"/>
      <c r="D194" s="230"/>
      <c r="E194" s="230"/>
      <c r="F194" s="230"/>
      <c r="I194" s="228"/>
      <c r="J194" s="230"/>
      <c r="K194" s="230"/>
      <c r="L194" s="230"/>
      <c r="M194" s="230"/>
    </row>
    <row r="195" spans="2:13" x14ac:dyDescent="0.25">
      <c r="B195" s="228"/>
      <c r="C195" s="230"/>
      <c r="D195" s="230"/>
      <c r="E195" s="230"/>
      <c r="F195" s="230"/>
      <c r="I195" s="228"/>
      <c r="J195" s="230"/>
      <c r="K195" s="230"/>
      <c r="L195" s="230"/>
      <c r="M195" s="230"/>
    </row>
    <row r="196" spans="2:13" x14ac:dyDescent="0.25">
      <c r="B196" s="228"/>
      <c r="C196" s="230"/>
      <c r="D196" s="230"/>
      <c r="E196" s="230"/>
      <c r="F196" s="230"/>
      <c r="I196" s="228"/>
      <c r="J196" s="230"/>
      <c r="K196" s="230"/>
      <c r="L196" s="230"/>
      <c r="M196" s="230"/>
    </row>
    <row r="197" spans="2:13" x14ac:dyDescent="0.25">
      <c r="B197" s="228"/>
      <c r="C197" s="230"/>
      <c r="D197" s="230"/>
      <c r="E197" s="230"/>
      <c r="F197" s="230"/>
      <c r="I197" s="228"/>
      <c r="J197" s="230"/>
      <c r="K197" s="230"/>
      <c r="L197" s="230"/>
      <c r="M197" s="230"/>
    </row>
    <row r="198" spans="2:13" x14ac:dyDescent="0.25">
      <c r="B198" s="228"/>
      <c r="C198" s="230"/>
      <c r="D198" s="230"/>
      <c r="E198" s="230"/>
      <c r="F198" s="230"/>
      <c r="I198" s="228"/>
      <c r="J198" s="230"/>
      <c r="K198" s="230"/>
      <c r="L198" s="230"/>
      <c r="M198" s="230"/>
    </row>
    <row r="199" spans="2:13" x14ac:dyDescent="0.25">
      <c r="B199" s="228"/>
      <c r="C199" s="230"/>
      <c r="D199" s="230"/>
      <c r="E199" s="230"/>
      <c r="F199" s="230"/>
      <c r="I199" s="228"/>
      <c r="J199" s="230"/>
      <c r="K199" s="230"/>
      <c r="L199" s="230"/>
      <c r="M199" s="230"/>
    </row>
    <row r="200" spans="2:13" x14ac:dyDescent="0.25">
      <c r="B200" s="228"/>
      <c r="C200" s="230"/>
      <c r="D200" s="230"/>
      <c r="E200" s="230"/>
      <c r="F200" s="230"/>
      <c r="I200" s="228"/>
      <c r="J200" s="230"/>
      <c r="K200" s="230"/>
      <c r="L200" s="230"/>
      <c r="M200" s="230"/>
    </row>
    <row r="201" spans="2:13" x14ac:dyDescent="0.25">
      <c r="B201" s="228"/>
      <c r="C201" s="230"/>
      <c r="D201" s="230"/>
      <c r="E201" s="230"/>
      <c r="F201" s="230"/>
      <c r="I201" s="228"/>
      <c r="J201" s="230"/>
      <c r="K201" s="230"/>
      <c r="L201" s="230"/>
      <c r="M201" s="230"/>
    </row>
    <row r="202" spans="2:13" x14ac:dyDescent="0.25">
      <c r="B202" s="228"/>
      <c r="C202" s="230"/>
      <c r="D202" s="230"/>
      <c r="E202" s="230"/>
      <c r="F202" s="230"/>
      <c r="I202" s="228"/>
      <c r="J202" s="230"/>
      <c r="K202" s="230"/>
      <c r="L202" s="230"/>
      <c r="M202" s="230"/>
    </row>
    <row r="203" spans="2:13" x14ac:dyDescent="0.25">
      <c r="B203" s="228"/>
      <c r="C203" s="230"/>
      <c r="D203" s="230"/>
      <c r="E203" s="230"/>
      <c r="F203" s="230"/>
      <c r="I203" s="228"/>
      <c r="J203" s="230"/>
      <c r="K203" s="230"/>
      <c r="L203" s="230"/>
      <c r="M203" s="230"/>
    </row>
    <row r="204" spans="2:13" x14ac:dyDescent="0.25">
      <c r="B204" s="228"/>
      <c r="C204" s="230"/>
      <c r="D204" s="230"/>
      <c r="E204" s="230"/>
      <c r="F204" s="230"/>
      <c r="I204" s="228"/>
      <c r="J204" s="230"/>
      <c r="K204" s="230"/>
      <c r="L204" s="230"/>
      <c r="M204" s="230"/>
    </row>
    <row r="205" spans="2:13" x14ac:dyDescent="0.25">
      <c r="B205" s="228"/>
      <c r="C205" s="230"/>
      <c r="D205" s="230"/>
      <c r="E205" s="230"/>
      <c r="F205" s="230"/>
      <c r="I205" s="228"/>
      <c r="J205" s="230"/>
      <c r="K205" s="230"/>
      <c r="L205" s="230"/>
      <c r="M205" s="230"/>
    </row>
    <row r="206" spans="2:13" x14ac:dyDescent="0.25">
      <c r="B206" s="228"/>
      <c r="C206" s="230"/>
      <c r="D206" s="230"/>
      <c r="E206" s="230"/>
      <c r="F206" s="230"/>
      <c r="I206" s="228"/>
      <c r="J206" s="230"/>
      <c r="K206" s="230"/>
      <c r="L206" s="230"/>
      <c r="M206" s="230"/>
    </row>
    <row r="210" spans="2:13" x14ac:dyDescent="0.25">
      <c r="B210" s="228"/>
      <c r="C210" s="229"/>
      <c r="D210" s="229"/>
      <c r="E210" s="229"/>
      <c r="F210" s="229"/>
      <c r="I210" s="228"/>
      <c r="J210" s="229"/>
      <c r="K210" s="229"/>
      <c r="L210" s="229"/>
      <c r="M210" s="229"/>
    </row>
    <row r="211" spans="2:13" x14ac:dyDescent="0.25">
      <c r="B211" s="228"/>
      <c r="C211" s="230"/>
      <c r="D211" s="230"/>
      <c r="E211" s="230"/>
      <c r="F211" s="230"/>
      <c r="I211" s="228"/>
      <c r="J211" s="230"/>
      <c r="K211" s="230"/>
      <c r="L211" s="230"/>
      <c r="M211" s="230"/>
    </row>
    <row r="212" spans="2:13" x14ac:dyDescent="0.25">
      <c r="B212" s="228"/>
      <c r="C212" s="230"/>
      <c r="D212" s="230"/>
      <c r="E212" s="230"/>
      <c r="F212" s="230"/>
      <c r="I212" s="228"/>
      <c r="J212" s="230"/>
      <c r="K212" s="230"/>
      <c r="L212" s="230"/>
      <c r="M212" s="230"/>
    </row>
    <row r="213" spans="2:13" x14ac:dyDescent="0.25">
      <c r="B213" s="228"/>
      <c r="C213" s="230"/>
      <c r="D213" s="230"/>
      <c r="E213" s="230"/>
      <c r="F213" s="230"/>
      <c r="I213" s="228"/>
      <c r="J213" s="230"/>
      <c r="K213" s="230"/>
      <c r="L213" s="230"/>
      <c r="M213" s="230"/>
    </row>
    <row r="214" spans="2:13" x14ac:dyDescent="0.25">
      <c r="B214" s="228"/>
      <c r="C214" s="230"/>
      <c r="D214" s="230"/>
      <c r="E214" s="230"/>
      <c r="F214" s="230"/>
      <c r="I214" s="228"/>
      <c r="J214" s="230"/>
      <c r="K214" s="230"/>
      <c r="L214" s="230"/>
      <c r="M214" s="230"/>
    </row>
    <row r="215" spans="2:13" x14ac:dyDescent="0.25">
      <c r="B215" s="228"/>
      <c r="C215" s="230"/>
      <c r="D215" s="230"/>
      <c r="E215" s="230"/>
      <c r="F215" s="230"/>
      <c r="I215" s="228"/>
      <c r="J215" s="230"/>
      <c r="K215" s="230"/>
      <c r="L215" s="230"/>
      <c r="M215" s="230"/>
    </row>
    <row r="216" spans="2:13" x14ac:dyDescent="0.25">
      <c r="B216" s="228"/>
      <c r="C216" s="230"/>
      <c r="D216" s="230"/>
      <c r="E216" s="230"/>
      <c r="F216" s="230"/>
      <c r="I216" s="228"/>
      <c r="J216" s="230"/>
      <c r="K216" s="230"/>
      <c r="L216" s="230"/>
      <c r="M216" s="230"/>
    </row>
    <row r="217" spans="2:13" x14ac:dyDescent="0.25">
      <c r="B217" s="228"/>
      <c r="C217" s="230"/>
      <c r="D217" s="230"/>
      <c r="E217" s="230"/>
      <c r="F217" s="230"/>
      <c r="I217" s="228"/>
      <c r="J217" s="230"/>
      <c r="K217" s="230"/>
      <c r="L217" s="230"/>
      <c r="M217" s="230"/>
    </row>
    <row r="218" spans="2:13" x14ac:dyDescent="0.25">
      <c r="B218" s="228"/>
      <c r="C218" s="230"/>
      <c r="D218" s="230"/>
      <c r="E218" s="230"/>
      <c r="F218" s="230"/>
      <c r="I218" s="228"/>
      <c r="J218" s="230"/>
      <c r="K218" s="230"/>
      <c r="L218" s="230"/>
      <c r="M218" s="230"/>
    </row>
    <row r="219" spans="2:13" x14ac:dyDescent="0.25">
      <c r="B219" s="228"/>
      <c r="C219" s="230"/>
      <c r="D219" s="230"/>
      <c r="E219" s="230"/>
      <c r="F219" s="230"/>
      <c r="I219" s="228"/>
      <c r="J219" s="230"/>
      <c r="K219" s="230"/>
      <c r="L219" s="230"/>
      <c r="M219" s="230"/>
    </row>
    <row r="220" spans="2:13" x14ac:dyDescent="0.25">
      <c r="B220" s="228"/>
      <c r="C220" s="230"/>
      <c r="D220" s="230"/>
      <c r="E220" s="230"/>
      <c r="F220" s="230"/>
      <c r="I220" s="228"/>
      <c r="J220" s="230"/>
      <c r="K220" s="230"/>
      <c r="L220" s="230"/>
      <c r="M220" s="230"/>
    </row>
    <row r="221" spans="2:13" x14ac:dyDescent="0.25">
      <c r="B221" s="228"/>
      <c r="C221" s="230"/>
      <c r="D221" s="230"/>
      <c r="E221" s="230"/>
      <c r="F221" s="230"/>
      <c r="I221" s="228"/>
      <c r="J221" s="230"/>
      <c r="K221" s="230"/>
      <c r="L221" s="230"/>
      <c r="M221" s="230"/>
    </row>
    <row r="222" spans="2:13" x14ac:dyDescent="0.25">
      <c r="B222" s="228"/>
      <c r="C222" s="230"/>
      <c r="D222" s="230"/>
      <c r="E222" s="230"/>
      <c r="F222" s="230"/>
      <c r="I222" s="228"/>
      <c r="J222" s="230"/>
      <c r="K222" s="230"/>
      <c r="L222" s="230"/>
      <c r="M222" s="230"/>
    </row>
    <row r="223" spans="2:13" x14ac:dyDescent="0.25">
      <c r="B223" s="228"/>
      <c r="C223" s="230"/>
      <c r="D223" s="230"/>
      <c r="E223" s="230"/>
      <c r="F223" s="230"/>
      <c r="I223" s="228"/>
      <c r="J223" s="230"/>
      <c r="K223" s="230"/>
      <c r="L223" s="230"/>
      <c r="M223" s="230"/>
    </row>
    <row r="224" spans="2:13" x14ac:dyDescent="0.25">
      <c r="B224" s="228"/>
      <c r="C224" s="230"/>
      <c r="D224" s="230"/>
      <c r="E224" s="230"/>
      <c r="F224" s="230"/>
      <c r="I224" s="228"/>
      <c r="J224" s="230"/>
      <c r="K224" s="230"/>
      <c r="L224" s="230"/>
      <c r="M224" s="230"/>
    </row>
    <row r="225" spans="2:13" x14ac:dyDescent="0.25">
      <c r="B225" s="228"/>
      <c r="C225" s="230"/>
      <c r="D225" s="230"/>
      <c r="E225" s="230"/>
      <c r="F225" s="230"/>
      <c r="I225" s="228"/>
      <c r="J225" s="230"/>
      <c r="K225" s="230"/>
      <c r="L225" s="230"/>
      <c r="M225" s="230"/>
    </row>
    <row r="226" spans="2:13" x14ac:dyDescent="0.25">
      <c r="B226" s="228"/>
      <c r="C226" s="230"/>
      <c r="D226" s="230"/>
      <c r="E226" s="230"/>
      <c r="F226" s="230"/>
      <c r="I226" s="228"/>
      <c r="J226" s="230"/>
      <c r="K226" s="230"/>
      <c r="L226" s="230"/>
      <c r="M226" s="230"/>
    </row>
    <row r="227" spans="2:13" x14ac:dyDescent="0.25">
      <c r="B227" s="228"/>
      <c r="C227" s="230"/>
      <c r="D227" s="230"/>
      <c r="E227" s="230"/>
      <c r="F227" s="230"/>
      <c r="I227" s="228"/>
      <c r="J227" s="230"/>
      <c r="K227" s="230"/>
      <c r="L227" s="230"/>
      <c r="M227" s="230"/>
    </row>
    <row r="228" spans="2:13" x14ac:dyDescent="0.25">
      <c r="B228" s="228"/>
      <c r="C228" s="230"/>
      <c r="D228" s="230"/>
      <c r="E228" s="230"/>
      <c r="F228" s="230"/>
      <c r="I228" s="228"/>
      <c r="J228" s="230"/>
      <c r="K228" s="230"/>
      <c r="L228" s="230"/>
      <c r="M228" s="230"/>
    </row>
    <row r="229" spans="2:13" x14ac:dyDescent="0.25">
      <c r="B229" s="228"/>
      <c r="C229" s="230"/>
      <c r="D229" s="230"/>
      <c r="E229" s="230"/>
      <c r="F229" s="230"/>
      <c r="I229" s="228"/>
      <c r="J229" s="230"/>
      <c r="K229" s="230"/>
      <c r="L229" s="230"/>
      <c r="M229" s="230"/>
    </row>
    <row r="230" spans="2:13" x14ac:dyDescent="0.25">
      <c r="B230" s="228"/>
      <c r="C230" s="230"/>
      <c r="D230" s="230"/>
      <c r="E230" s="230"/>
      <c r="F230" s="230"/>
      <c r="I230" s="228"/>
      <c r="J230" s="230"/>
      <c r="K230" s="230"/>
      <c r="L230" s="230"/>
      <c r="M230" s="230"/>
    </row>
    <row r="231" spans="2:13" x14ac:dyDescent="0.25">
      <c r="B231" s="228"/>
      <c r="C231" s="230"/>
      <c r="D231" s="230"/>
      <c r="E231" s="230"/>
      <c r="F231" s="230"/>
      <c r="I231" s="228"/>
      <c r="J231" s="230"/>
      <c r="K231" s="230"/>
      <c r="L231" s="230"/>
      <c r="M231" s="23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9095-16CB-44C2-8134-29F238CE80D5}">
  <sheetPr>
    <tabColor theme="4"/>
  </sheetPr>
  <dimension ref="A1:AE199"/>
  <sheetViews>
    <sheetView topLeftCell="A44" workbookViewId="0">
      <selection activeCell="Q23" sqref="Q23"/>
    </sheetView>
  </sheetViews>
  <sheetFormatPr defaultRowHeight="15" x14ac:dyDescent="0.25"/>
  <cols>
    <col min="1" max="1" width="9.140625" style="252"/>
    <col min="2" max="2" width="10.85546875" style="252" bestFit="1" customWidth="1"/>
    <col min="3" max="13" width="9.140625" style="252"/>
    <col min="14" max="15" width="10" style="252" bestFit="1" customWidth="1"/>
    <col min="16" max="16" width="9.140625" style="252"/>
    <col min="17" max="18" width="10" style="252" bestFit="1" customWidth="1"/>
    <col min="19" max="21" width="9.140625" style="252"/>
    <col min="22" max="22" width="10.85546875" style="252" bestFit="1" customWidth="1"/>
    <col min="26" max="26" width="11.5703125" bestFit="1" customWidth="1"/>
    <col min="27" max="27" width="11.7109375" bestFit="1" customWidth="1"/>
    <col min="28" max="28" width="9.28515625" bestFit="1" customWidth="1"/>
    <col min="29" max="29" width="13.28515625" bestFit="1" customWidth="1"/>
    <col min="30" max="30" width="11.5703125" bestFit="1" customWidth="1"/>
    <col min="31" max="31" width="10.5703125" bestFit="1" customWidth="1"/>
  </cols>
  <sheetData>
    <row r="1" spans="1:30" x14ac:dyDescent="0.25">
      <c r="A1" s="251" t="s">
        <v>346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</row>
    <row r="3" spans="1:30" x14ac:dyDescent="0.25">
      <c r="A3" s="4" t="s">
        <v>347</v>
      </c>
    </row>
    <row r="4" spans="1:30" x14ac:dyDescent="0.25">
      <c r="A4" s="252" t="s">
        <v>249</v>
      </c>
    </row>
    <row r="5" spans="1:30" ht="36.75" x14ac:dyDescent="0.25">
      <c r="A5" s="253" t="s">
        <v>348</v>
      </c>
      <c r="B5" s="254" t="s">
        <v>291</v>
      </c>
      <c r="C5" s="254" t="s">
        <v>292</v>
      </c>
      <c r="D5" s="254" t="s">
        <v>293</v>
      </c>
      <c r="E5" s="254" t="s">
        <v>2</v>
      </c>
      <c r="F5" s="254" t="s">
        <v>31</v>
      </c>
      <c r="G5" s="254" t="s">
        <v>294</v>
      </c>
      <c r="H5" s="254" t="s">
        <v>345</v>
      </c>
      <c r="I5" s="254" t="s">
        <v>310</v>
      </c>
      <c r="J5" s="254" t="s">
        <v>295</v>
      </c>
      <c r="K5" s="254" t="s">
        <v>296</v>
      </c>
      <c r="L5" s="254" t="s">
        <v>297</v>
      </c>
      <c r="M5" s="254" t="s">
        <v>298</v>
      </c>
      <c r="N5" s="254" t="s">
        <v>317</v>
      </c>
      <c r="O5" s="254" t="s">
        <v>311</v>
      </c>
      <c r="P5" s="254" t="s">
        <v>299</v>
      </c>
      <c r="Q5" s="254" t="s">
        <v>300</v>
      </c>
      <c r="R5" s="254" t="s">
        <v>301</v>
      </c>
      <c r="S5" s="254" t="s">
        <v>36</v>
      </c>
      <c r="T5" s="254" t="s">
        <v>302</v>
      </c>
      <c r="U5" s="254" t="s">
        <v>303</v>
      </c>
      <c r="V5" s="255" t="s">
        <v>1</v>
      </c>
      <c r="X5" s="290" t="s">
        <v>364</v>
      </c>
      <c r="Y5" s="280" t="s">
        <v>352</v>
      </c>
      <c r="Z5" s="280" t="s">
        <v>355</v>
      </c>
      <c r="AA5" s="280" t="s">
        <v>354</v>
      </c>
      <c r="AB5" s="280" t="s">
        <v>351</v>
      </c>
      <c r="AC5" s="280" t="s">
        <v>356</v>
      </c>
      <c r="AD5" s="280" t="s">
        <v>362</v>
      </c>
    </row>
    <row r="6" spans="1:30" x14ac:dyDescent="0.25">
      <c r="A6" s="256" t="s">
        <v>291</v>
      </c>
      <c r="B6" s="257">
        <v>3150631.2657023789</v>
      </c>
      <c r="C6" s="257">
        <v>553324.69847028947</v>
      </c>
      <c r="D6" s="257">
        <v>188749.48718289469</v>
      </c>
      <c r="E6" s="251">
        <v>0</v>
      </c>
      <c r="F6" s="258">
        <v>0</v>
      </c>
      <c r="G6" s="251">
        <v>0</v>
      </c>
      <c r="H6" s="251">
        <v>0</v>
      </c>
      <c r="I6" s="251">
        <v>0</v>
      </c>
      <c r="J6" s="251">
        <v>0</v>
      </c>
      <c r="K6" s="251">
        <v>0</v>
      </c>
      <c r="L6" s="251">
        <v>0</v>
      </c>
      <c r="M6" s="251">
        <v>0</v>
      </c>
      <c r="N6" s="251">
        <v>0</v>
      </c>
      <c r="O6" s="251">
        <v>0</v>
      </c>
      <c r="P6" s="251">
        <v>0</v>
      </c>
      <c r="Q6" s="251">
        <v>0</v>
      </c>
      <c r="R6" s="251">
        <v>0</v>
      </c>
      <c r="S6" s="251">
        <v>0</v>
      </c>
      <c r="T6" s="251">
        <v>0</v>
      </c>
      <c r="U6" s="259">
        <v>0</v>
      </c>
      <c r="V6" s="260">
        <f t="shared" ref="V6:V25" si="0">SUM(B6:U6)</f>
        <v>3892705.451355563</v>
      </c>
      <c r="X6" t="s">
        <v>30</v>
      </c>
      <c r="Y6" t="s">
        <v>359</v>
      </c>
      <c r="Z6" s="281">
        <f>G28+M28</f>
        <v>119470.89575490859</v>
      </c>
      <c r="AA6" s="282">
        <f>G26+M26</f>
        <v>299810.34332845628</v>
      </c>
      <c r="AB6">
        <f t="shared" ref="AB6:AB12" si="1">Z6/AA6</f>
        <v>0.39848823902657232</v>
      </c>
      <c r="AC6" s="282">
        <f>SUMIFS(OBS_District_Flows!K:K,OBS_District_Flows!H:H,OBS_Adjustments!Y6,OBS_District_Flows!G:G, 1)</f>
        <v>249299.67196662689</v>
      </c>
      <c r="AD6" s="283">
        <f t="shared" ref="AD6:AD12" si="2">AC6*AB6</f>
        <v>99342.987271883292</v>
      </c>
    </row>
    <row r="7" spans="1:30" x14ac:dyDescent="0.25">
      <c r="A7" s="261" t="s">
        <v>292</v>
      </c>
      <c r="B7" s="257">
        <v>0</v>
      </c>
      <c r="C7" s="257">
        <v>540615.18394727004</v>
      </c>
      <c r="D7" s="257">
        <v>147121.61556636461</v>
      </c>
      <c r="E7" s="257">
        <v>0</v>
      </c>
      <c r="F7" s="257">
        <v>0</v>
      </c>
      <c r="G7" s="257">
        <v>12750.76859623253</v>
      </c>
      <c r="H7" s="257">
        <v>1088.04572864191</v>
      </c>
      <c r="I7" s="257">
        <v>395.15166578344184</v>
      </c>
      <c r="J7" s="257">
        <v>209.46042588192657</v>
      </c>
      <c r="K7" s="257">
        <v>2022.3165485776053</v>
      </c>
      <c r="L7" s="257">
        <v>2949.213234485067</v>
      </c>
      <c r="M7" s="251">
        <v>0</v>
      </c>
      <c r="N7" s="259">
        <v>0</v>
      </c>
      <c r="O7" s="251">
        <v>0</v>
      </c>
      <c r="P7" s="259">
        <v>0</v>
      </c>
      <c r="Q7" s="251">
        <v>0</v>
      </c>
      <c r="R7" s="251">
        <v>0</v>
      </c>
      <c r="S7" s="257">
        <v>95.345009500938488</v>
      </c>
      <c r="T7" s="257">
        <v>1361.0218226921061</v>
      </c>
      <c r="U7" s="257">
        <v>254.21615754617852</v>
      </c>
      <c r="V7" s="260">
        <f t="shared" si="0"/>
        <v>708862.33870297635</v>
      </c>
      <c r="X7" t="s">
        <v>30</v>
      </c>
      <c r="Y7" t="s">
        <v>353</v>
      </c>
      <c r="Z7" s="281">
        <f>H28+N28</f>
        <v>29696.075312704594</v>
      </c>
      <c r="AA7" s="282">
        <f>H26+N26</f>
        <v>80043.823952591876</v>
      </c>
      <c r="AB7">
        <f t="shared" si="1"/>
        <v>0.37099770908362523</v>
      </c>
      <c r="AC7" s="282">
        <f>SUMIFS(OBS_District_Flows!K:K,OBS_District_Flows!H:H,OBS_Adjustments!Y7,OBS_District_Flows!G:G, 1)</f>
        <v>68919.450637710135</v>
      </c>
      <c r="AD7" s="283">
        <f t="shared" si="2"/>
        <v>25568.958297892455</v>
      </c>
    </row>
    <row r="8" spans="1:30" ht="24.75" x14ac:dyDescent="0.25">
      <c r="A8" s="262" t="s">
        <v>293</v>
      </c>
      <c r="B8" s="257">
        <v>0</v>
      </c>
      <c r="C8" s="263">
        <v>0</v>
      </c>
      <c r="D8" s="264">
        <v>197288.97648080761</v>
      </c>
      <c r="E8" s="264">
        <v>0</v>
      </c>
      <c r="F8" s="264">
        <v>0</v>
      </c>
      <c r="G8" s="264">
        <v>6814.3687529687913</v>
      </c>
      <c r="H8" s="264">
        <v>2455.4584780719306</v>
      </c>
      <c r="I8" s="264">
        <v>31.303885766013298</v>
      </c>
      <c r="J8" s="264">
        <v>14.593588437183959</v>
      </c>
      <c r="K8" s="264">
        <v>4388.8289797434409</v>
      </c>
      <c r="L8" s="264">
        <v>1636.6473429914217</v>
      </c>
      <c r="M8" s="265">
        <v>0</v>
      </c>
      <c r="N8" s="266">
        <v>0</v>
      </c>
      <c r="O8" s="266">
        <v>0</v>
      </c>
      <c r="P8" s="265">
        <v>0</v>
      </c>
      <c r="Q8" s="266">
        <v>0</v>
      </c>
      <c r="R8" s="266">
        <v>0</v>
      </c>
      <c r="S8" s="264">
        <v>0</v>
      </c>
      <c r="T8" s="264">
        <v>255.73529059473145</v>
      </c>
      <c r="U8" s="264">
        <v>0</v>
      </c>
      <c r="V8" s="260">
        <f t="shared" si="0"/>
        <v>212885.91279938113</v>
      </c>
      <c r="X8" t="s">
        <v>30</v>
      </c>
      <c r="Y8" t="s">
        <v>360</v>
      </c>
      <c r="Z8" s="281">
        <f>I28+O28</f>
        <v>1837.0212609946784</v>
      </c>
      <c r="AA8" s="282">
        <f>I26+O26</f>
        <v>4666.1870582636602</v>
      </c>
      <c r="AB8">
        <f t="shared" si="1"/>
        <v>0.39368787364436569</v>
      </c>
      <c r="AC8" s="282">
        <f>SUMIFS(OBS_District_Flows!K:K,OBS_District_Flows!H:H,OBS_Adjustments!Y8,OBS_District_Flows!G:G, 1)</f>
        <v>3005.3986995428968</v>
      </c>
      <c r="AD8" s="283">
        <f t="shared" si="2"/>
        <v>1183.1890234765849</v>
      </c>
    </row>
    <row r="9" spans="1:30" x14ac:dyDescent="0.25">
      <c r="A9" s="267" t="s">
        <v>2</v>
      </c>
      <c r="B9" s="257">
        <v>90225.528273716249</v>
      </c>
      <c r="C9" s="263">
        <v>47074.514278237439</v>
      </c>
      <c r="D9" s="268">
        <v>19575.708359740478</v>
      </c>
      <c r="E9" s="268">
        <v>186572.27942932682</v>
      </c>
      <c r="F9" s="269">
        <v>9811.8930048393195</v>
      </c>
      <c r="G9" s="268">
        <v>50491.833545392248</v>
      </c>
      <c r="H9" s="268">
        <v>16495.507293439336</v>
      </c>
      <c r="I9" s="268">
        <v>587.81849279070093</v>
      </c>
      <c r="J9" s="268">
        <v>1314.929239785075</v>
      </c>
      <c r="K9" s="268">
        <v>13907.29468397169</v>
      </c>
      <c r="L9" s="268">
        <v>4861.0089409026787</v>
      </c>
      <c r="M9" s="270">
        <v>0</v>
      </c>
      <c r="N9" s="271">
        <v>0</v>
      </c>
      <c r="O9" s="271">
        <v>0</v>
      </c>
      <c r="P9" s="271">
        <v>0</v>
      </c>
      <c r="Q9" s="271">
        <v>0</v>
      </c>
      <c r="R9" s="271">
        <v>0</v>
      </c>
      <c r="S9" s="268">
        <v>887.12020465934177</v>
      </c>
      <c r="T9" s="268">
        <v>5991.2993101229831</v>
      </c>
      <c r="U9" s="268">
        <v>0</v>
      </c>
      <c r="V9" s="260">
        <f t="shared" si="0"/>
        <v>447796.73505692434</v>
      </c>
      <c r="X9" t="s">
        <v>30</v>
      </c>
      <c r="Y9" t="s">
        <v>123</v>
      </c>
      <c r="Z9" s="281">
        <f>J28+P28</f>
        <v>9582.0961222624537</v>
      </c>
      <c r="AA9" s="282">
        <f>J26+P26</f>
        <v>20043.682034437894</v>
      </c>
      <c r="AB9">
        <f t="shared" si="1"/>
        <v>0.47806067297410981</v>
      </c>
      <c r="AC9" s="282">
        <f>SUMIFS(OBS_District_Flows!K:K,OBS_District_Flows!H:H,OBS_Adjustments!Y9,OBS_District_Flows!G:G, 1)</f>
        <v>10322.900299030651</v>
      </c>
      <c r="AD9" s="283">
        <f t="shared" si="2"/>
        <v>4934.9726639992323</v>
      </c>
    </row>
    <row r="10" spans="1:30" x14ac:dyDescent="0.25">
      <c r="A10" s="267" t="s">
        <v>31</v>
      </c>
      <c r="B10" s="251">
        <v>0</v>
      </c>
      <c r="C10" s="251">
        <v>0</v>
      </c>
      <c r="D10" s="271">
        <v>0</v>
      </c>
      <c r="E10" s="270">
        <v>0</v>
      </c>
      <c r="F10" s="268">
        <v>124442.15529786014</v>
      </c>
      <c r="G10" s="270">
        <v>0</v>
      </c>
      <c r="H10" s="270">
        <v>0</v>
      </c>
      <c r="I10" s="270">
        <v>0</v>
      </c>
      <c r="J10" s="270">
        <v>0</v>
      </c>
      <c r="K10" s="270">
        <v>0</v>
      </c>
      <c r="L10" s="270">
        <v>0</v>
      </c>
      <c r="M10" s="270">
        <v>0</v>
      </c>
      <c r="N10" s="270">
        <v>0</v>
      </c>
      <c r="O10" s="270">
        <v>0</v>
      </c>
      <c r="P10" s="270">
        <v>0</v>
      </c>
      <c r="Q10" s="271">
        <v>0</v>
      </c>
      <c r="R10" s="270">
        <v>0</v>
      </c>
      <c r="S10" s="271">
        <v>0</v>
      </c>
      <c r="T10" s="271">
        <v>0</v>
      </c>
      <c r="U10" s="270">
        <v>0</v>
      </c>
      <c r="V10" s="260">
        <f t="shared" si="0"/>
        <v>124442.15529786014</v>
      </c>
      <c r="X10" t="s">
        <v>30</v>
      </c>
      <c r="Y10" t="s">
        <v>124</v>
      </c>
      <c r="Z10" s="281">
        <f>K28+Q28</f>
        <v>96951.119153557171</v>
      </c>
      <c r="AA10" s="282">
        <f>K26+Q26</f>
        <v>211780.7660867651</v>
      </c>
      <c r="AB10">
        <f t="shared" si="1"/>
        <v>0.45779001060859781</v>
      </c>
      <c r="AC10" s="282">
        <f>SUMIFS(OBS_District_Flows!K:K,OBS_District_Flows!H:H,OBS_Adjustments!Y10,OBS_District_Flows!G:G, 1)</f>
        <v>84939.842952588733</v>
      </c>
      <c r="AD10" s="283">
        <f t="shared" si="2"/>
        <v>38884.61160635823</v>
      </c>
    </row>
    <row r="11" spans="1:30" x14ac:dyDescent="0.25">
      <c r="A11" s="267" t="s">
        <v>294</v>
      </c>
      <c r="B11" s="257">
        <v>0</v>
      </c>
      <c r="C11" s="263">
        <v>0</v>
      </c>
      <c r="D11" s="271">
        <v>0</v>
      </c>
      <c r="E11" s="268">
        <v>0</v>
      </c>
      <c r="F11" s="268">
        <v>0</v>
      </c>
      <c r="G11" s="268">
        <v>216826.61298198369</v>
      </c>
      <c r="H11" s="268">
        <v>7107.0016608135775</v>
      </c>
      <c r="I11" s="268">
        <v>0</v>
      </c>
      <c r="J11" s="268">
        <v>1811.3045019987328</v>
      </c>
      <c r="K11" s="268">
        <v>12817.824396230964</v>
      </c>
      <c r="L11" s="268">
        <v>1428.7167359488349</v>
      </c>
      <c r="M11" s="271">
        <v>0</v>
      </c>
      <c r="N11" s="271">
        <v>0</v>
      </c>
      <c r="O11" s="271">
        <v>0</v>
      </c>
      <c r="P11" s="271">
        <v>0</v>
      </c>
      <c r="Q11" s="270">
        <v>0</v>
      </c>
      <c r="R11" s="271">
        <v>0</v>
      </c>
      <c r="S11" s="268">
        <v>0</v>
      </c>
      <c r="T11" s="268">
        <v>0</v>
      </c>
      <c r="U11" s="268">
        <v>0</v>
      </c>
      <c r="V11" s="260">
        <f t="shared" si="0"/>
        <v>239991.46027697579</v>
      </c>
      <c r="X11" t="s">
        <v>30</v>
      </c>
      <c r="Y11" t="s">
        <v>125</v>
      </c>
      <c r="Z11" s="281">
        <f>L28+R28</f>
        <v>44254.586197404642</v>
      </c>
      <c r="AA11" s="282">
        <f>L26+R26</f>
        <v>88655.268739288964</v>
      </c>
      <c r="AB11">
        <f t="shared" si="1"/>
        <v>0.49917604251525471</v>
      </c>
      <c r="AC11" s="282">
        <f>SUMIFS(OBS_District_Flows!K:K,OBS_District_Flows!H:H,OBS_Adjustments!Y11,OBS_District_Flows!G:G, 1)</f>
        <v>11628.62715798799</v>
      </c>
      <c r="AD11" s="283">
        <f t="shared" si="2"/>
        <v>5804.7320846098582</v>
      </c>
    </row>
    <row r="12" spans="1:30" x14ac:dyDescent="0.25">
      <c r="A12" s="267" t="s">
        <v>345</v>
      </c>
      <c r="B12" s="257">
        <v>0</v>
      </c>
      <c r="C12" s="263">
        <v>0</v>
      </c>
      <c r="D12" s="268">
        <v>0</v>
      </c>
      <c r="E12" s="268">
        <v>0</v>
      </c>
      <c r="F12" s="268">
        <v>0</v>
      </c>
      <c r="G12" s="268">
        <v>0</v>
      </c>
      <c r="H12" s="268">
        <v>48649.154839836185</v>
      </c>
      <c r="I12" s="268">
        <v>449.68056265293092</v>
      </c>
      <c r="J12" s="268">
        <v>114.9327697949925</v>
      </c>
      <c r="K12" s="268">
        <v>934.58943481282245</v>
      </c>
      <c r="L12" s="268">
        <v>219.27308635906095</v>
      </c>
      <c r="M12" s="270">
        <v>0</v>
      </c>
      <c r="N12" s="271">
        <v>0</v>
      </c>
      <c r="O12" s="271">
        <v>0</v>
      </c>
      <c r="P12" s="270">
        <v>0</v>
      </c>
      <c r="Q12" s="271">
        <v>0</v>
      </c>
      <c r="R12" s="270">
        <v>0</v>
      </c>
      <c r="S12" s="268">
        <v>0</v>
      </c>
      <c r="T12" s="268">
        <v>0</v>
      </c>
      <c r="U12" s="268">
        <v>0</v>
      </c>
      <c r="V12" s="260">
        <f t="shared" si="0"/>
        <v>50367.630693455991</v>
      </c>
      <c r="X12" t="s">
        <v>30</v>
      </c>
      <c r="Y12" t="s">
        <v>357</v>
      </c>
      <c r="Z12" s="282">
        <f>SUM(Z6:Z11)</f>
        <v>301791.79380183213</v>
      </c>
      <c r="AA12" s="282">
        <f>SUM(AA6:AA11)</f>
        <v>705000.07119980361</v>
      </c>
      <c r="AB12" s="282">
        <f t="shared" si="1"/>
        <v>0.42807342315331698</v>
      </c>
      <c r="AC12" s="282">
        <f>SUM(AC6:AC11)</f>
        <v>428115.89171348733</v>
      </c>
      <c r="AD12" s="283">
        <f t="shared" si="2"/>
        <v>183265.03527212728</v>
      </c>
    </row>
    <row r="13" spans="1:30" x14ac:dyDescent="0.25">
      <c r="A13" s="267" t="s">
        <v>310</v>
      </c>
      <c r="B13" s="257">
        <v>0</v>
      </c>
      <c r="C13" s="263">
        <v>0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1751.4472885400064</v>
      </c>
      <c r="J13" s="268">
        <v>0</v>
      </c>
      <c r="K13" s="268">
        <v>97.17168595600522</v>
      </c>
      <c r="L13" s="268">
        <v>107.33349410955647</v>
      </c>
      <c r="M13" s="270">
        <v>0</v>
      </c>
      <c r="N13" s="270">
        <v>0</v>
      </c>
      <c r="O13" s="271">
        <v>0</v>
      </c>
      <c r="P13" s="270">
        <v>0</v>
      </c>
      <c r="Q13" s="271">
        <v>0</v>
      </c>
      <c r="R13" s="270">
        <v>0</v>
      </c>
      <c r="S13" s="268">
        <v>0</v>
      </c>
      <c r="T13" s="268">
        <v>0</v>
      </c>
      <c r="U13" s="268">
        <v>0</v>
      </c>
      <c r="V13" s="260">
        <f t="shared" si="0"/>
        <v>1955.9524686055681</v>
      </c>
    </row>
    <row r="14" spans="1:30" x14ac:dyDescent="0.25">
      <c r="A14" s="267" t="s">
        <v>295</v>
      </c>
      <c r="B14" s="257">
        <v>0</v>
      </c>
      <c r="C14" s="263">
        <v>0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11648.307246599352</v>
      </c>
      <c r="K14" s="268">
        <v>5480.7550577549055</v>
      </c>
      <c r="L14" s="268">
        <v>0</v>
      </c>
      <c r="M14" s="270">
        <v>0</v>
      </c>
      <c r="N14" s="270">
        <v>0</v>
      </c>
      <c r="O14" s="270">
        <v>0</v>
      </c>
      <c r="P14" s="270">
        <v>0</v>
      </c>
      <c r="Q14" s="271">
        <v>0</v>
      </c>
      <c r="R14" s="270">
        <v>0</v>
      </c>
      <c r="S14" s="268">
        <v>0</v>
      </c>
      <c r="T14" s="268">
        <v>0</v>
      </c>
      <c r="U14" s="268">
        <v>0</v>
      </c>
      <c r="V14" s="260">
        <f t="shared" si="0"/>
        <v>17129.062304354258</v>
      </c>
    </row>
    <row r="15" spans="1:30" x14ac:dyDescent="0.25">
      <c r="A15" s="267" t="s">
        <v>296</v>
      </c>
      <c r="B15" s="257">
        <v>0</v>
      </c>
      <c r="C15" s="263">
        <v>0</v>
      </c>
      <c r="D15" s="268">
        <v>0</v>
      </c>
      <c r="E15" s="268">
        <v>0</v>
      </c>
      <c r="F15" s="268">
        <v>0</v>
      </c>
      <c r="G15" s="268">
        <v>0</v>
      </c>
      <c r="H15" s="268">
        <v>0</v>
      </c>
      <c r="I15" s="268">
        <v>0</v>
      </c>
      <c r="J15" s="268">
        <v>0</v>
      </c>
      <c r="K15" s="268">
        <v>78705.909037884645</v>
      </c>
      <c r="L15" s="268">
        <v>1278.74239137218</v>
      </c>
      <c r="M15" s="270">
        <v>0</v>
      </c>
      <c r="N15" s="270">
        <v>0</v>
      </c>
      <c r="O15" s="270">
        <v>0</v>
      </c>
      <c r="P15" s="270">
        <v>0</v>
      </c>
      <c r="Q15" s="271">
        <v>0</v>
      </c>
      <c r="R15" s="270">
        <v>0</v>
      </c>
      <c r="S15" s="268">
        <v>0</v>
      </c>
      <c r="T15" s="268">
        <v>0</v>
      </c>
      <c r="U15" s="268">
        <v>0</v>
      </c>
      <c r="V15" s="260">
        <f t="shared" si="0"/>
        <v>79984.651429256832</v>
      </c>
    </row>
    <row r="16" spans="1:30" x14ac:dyDescent="0.25">
      <c r="A16" s="267" t="s">
        <v>297</v>
      </c>
      <c r="B16" s="257">
        <v>0</v>
      </c>
      <c r="C16" s="263">
        <v>0</v>
      </c>
      <c r="D16" s="268">
        <v>0</v>
      </c>
      <c r="E16" s="268">
        <v>0</v>
      </c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46002.584629237346</v>
      </c>
      <c r="M16" s="270">
        <v>0</v>
      </c>
      <c r="N16" s="270">
        <v>0</v>
      </c>
      <c r="O16" s="270">
        <v>0</v>
      </c>
      <c r="P16" s="270">
        <v>0</v>
      </c>
      <c r="Q16" s="270">
        <v>0</v>
      </c>
      <c r="R16" s="271">
        <v>0</v>
      </c>
      <c r="S16" s="268">
        <v>0</v>
      </c>
      <c r="T16" s="268">
        <v>0</v>
      </c>
      <c r="U16" s="268">
        <v>0</v>
      </c>
      <c r="V16" s="260">
        <f t="shared" si="0"/>
        <v>46002.584629237346</v>
      </c>
    </row>
    <row r="17" spans="1:22" x14ac:dyDescent="0.25">
      <c r="A17" s="267" t="s">
        <v>298</v>
      </c>
      <c r="B17" s="257">
        <v>0</v>
      </c>
      <c r="C17" s="263">
        <v>0</v>
      </c>
      <c r="D17" s="268">
        <v>0</v>
      </c>
      <c r="E17" s="268">
        <v>0</v>
      </c>
      <c r="F17" s="268">
        <v>0</v>
      </c>
      <c r="G17" s="271">
        <v>0</v>
      </c>
      <c r="H17" s="270">
        <v>0</v>
      </c>
      <c r="I17" s="270">
        <v>0</v>
      </c>
      <c r="J17" s="270">
        <v>0</v>
      </c>
      <c r="K17" s="270">
        <v>0</v>
      </c>
      <c r="L17" s="270">
        <v>0</v>
      </c>
      <c r="M17" s="268">
        <v>216.35053096696976</v>
      </c>
      <c r="N17" s="268">
        <v>364.33366766660492</v>
      </c>
      <c r="O17" s="268">
        <v>32.065953980446686</v>
      </c>
      <c r="P17" s="268">
        <v>0</v>
      </c>
      <c r="Q17" s="268">
        <v>50.16784982979776</v>
      </c>
      <c r="R17" s="268">
        <v>31.346233653625085</v>
      </c>
      <c r="S17" s="268">
        <v>0</v>
      </c>
      <c r="T17" s="268">
        <v>0</v>
      </c>
      <c r="U17" s="268">
        <v>0</v>
      </c>
      <c r="V17" s="260">
        <f t="shared" si="0"/>
        <v>694.26423609744415</v>
      </c>
    </row>
    <row r="18" spans="1:22" x14ac:dyDescent="0.25">
      <c r="A18" s="267" t="s">
        <v>317</v>
      </c>
      <c r="B18" s="257">
        <v>0</v>
      </c>
      <c r="C18" s="263">
        <v>0</v>
      </c>
      <c r="D18" s="268">
        <v>0</v>
      </c>
      <c r="E18" s="268">
        <v>0</v>
      </c>
      <c r="F18" s="268">
        <v>0</v>
      </c>
      <c r="G18" s="270">
        <v>0</v>
      </c>
      <c r="H18" s="271">
        <v>0</v>
      </c>
      <c r="I18" s="270">
        <v>0</v>
      </c>
      <c r="J18" s="270">
        <v>0</v>
      </c>
      <c r="K18" s="270">
        <v>0</v>
      </c>
      <c r="L18" s="270">
        <v>0</v>
      </c>
      <c r="M18" s="268">
        <v>0</v>
      </c>
      <c r="N18" s="268">
        <v>2171.1384938061024</v>
      </c>
      <c r="O18" s="268">
        <v>0</v>
      </c>
      <c r="P18" s="268">
        <v>0</v>
      </c>
      <c r="Q18" s="268">
        <v>0</v>
      </c>
      <c r="R18" s="268">
        <v>66.648737434734386</v>
      </c>
      <c r="S18" s="268">
        <v>0</v>
      </c>
      <c r="T18" s="268">
        <v>0</v>
      </c>
      <c r="U18" s="268">
        <v>0</v>
      </c>
      <c r="V18" s="260">
        <f t="shared" si="0"/>
        <v>2237.7872312408367</v>
      </c>
    </row>
    <row r="19" spans="1:22" x14ac:dyDescent="0.25">
      <c r="A19" s="267" t="s">
        <v>311</v>
      </c>
      <c r="B19" s="257">
        <v>0</v>
      </c>
      <c r="C19" s="263">
        <v>0</v>
      </c>
      <c r="D19" s="268">
        <v>0</v>
      </c>
      <c r="E19" s="268">
        <v>0</v>
      </c>
      <c r="F19" s="268">
        <v>0</v>
      </c>
      <c r="G19" s="270">
        <v>0</v>
      </c>
      <c r="H19" s="270">
        <v>0</v>
      </c>
      <c r="I19" s="271">
        <v>0</v>
      </c>
      <c r="J19" s="270">
        <v>0</v>
      </c>
      <c r="K19" s="271">
        <v>0</v>
      </c>
      <c r="L19" s="270">
        <v>0</v>
      </c>
      <c r="M19" s="268">
        <v>0</v>
      </c>
      <c r="N19" s="268">
        <v>0</v>
      </c>
      <c r="O19" s="268">
        <v>1023.5675429666786</v>
      </c>
      <c r="P19" s="268">
        <v>0</v>
      </c>
      <c r="Q19" s="268">
        <v>22.912071624488394</v>
      </c>
      <c r="R19" s="268">
        <v>0</v>
      </c>
      <c r="S19" s="268">
        <v>0</v>
      </c>
      <c r="T19" s="268">
        <v>0</v>
      </c>
      <c r="U19" s="268">
        <v>0</v>
      </c>
      <c r="V19" s="260">
        <f t="shared" si="0"/>
        <v>1046.4796145911671</v>
      </c>
    </row>
    <row r="20" spans="1:22" x14ac:dyDescent="0.25">
      <c r="A20" s="267" t="s">
        <v>299</v>
      </c>
      <c r="B20" s="257">
        <v>0</v>
      </c>
      <c r="C20" s="263">
        <v>0</v>
      </c>
      <c r="D20" s="268">
        <v>0</v>
      </c>
      <c r="E20" s="268">
        <v>0</v>
      </c>
      <c r="F20" s="268">
        <v>0</v>
      </c>
      <c r="G20" s="270">
        <v>0</v>
      </c>
      <c r="H20" s="270">
        <v>0</v>
      </c>
      <c r="I20" s="270">
        <v>0</v>
      </c>
      <c r="J20" s="270">
        <v>0</v>
      </c>
      <c r="K20" s="271">
        <v>0</v>
      </c>
      <c r="L20" s="270">
        <v>0</v>
      </c>
      <c r="M20" s="268">
        <v>0</v>
      </c>
      <c r="N20" s="268">
        <v>0</v>
      </c>
      <c r="O20" s="268">
        <v>0</v>
      </c>
      <c r="P20" s="268">
        <v>1675.1116145525878</v>
      </c>
      <c r="Q20" s="268">
        <v>0</v>
      </c>
      <c r="R20" s="268">
        <v>0</v>
      </c>
      <c r="S20" s="268">
        <v>0</v>
      </c>
      <c r="T20" s="268">
        <v>0</v>
      </c>
      <c r="U20" s="268">
        <v>0</v>
      </c>
      <c r="V20" s="260">
        <f t="shared" si="0"/>
        <v>1675.1116145525878</v>
      </c>
    </row>
    <row r="21" spans="1:22" x14ac:dyDescent="0.25">
      <c r="A21" s="267" t="s">
        <v>300</v>
      </c>
      <c r="B21" s="257">
        <v>0</v>
      </c>
      <c r="C21" s="263">
        <v>0</v>
      </c>
      <c r="D21" s="268">
        <v>0</v>
      </c>
      <c r="E21" s="268">
        <v>0</v>
      </c>
      <c r="F21" s="268">
        <v>0</v>
      </c>
      <c r="G21" s="270">
        <v>0</v>
      </c>
      <c r="H21" s="270">
        <v>0</v>
      </c>
      <c r="I21" s="270">
        <v>0</v>
      </c>
      <c r="J21" s="270">
        <v>0</v>
      </c>
      <c r="K21" s="271">
        <v>0</v>
      </c>
      <c r="L21" s="271">
        <v>0</v>
      </c>
      <c r="M21" s="268">
        <v>0</v>
      </c>
      <c r="N21" s="268">
        <v>0</v>
      </c>
      <c r="O21" s="268">
        <v>0</v>
      </c>
      <c r="P21" s="268">
        <v>0</v>
      </c>
      <c r="Q21" s="268">
        <v>87094.488211622214</v>
      </c>
      <c r="R21" s="268">
        <v>54.114131711741464</v>
      </c>
      <c r="S21" s="268">
        <v>0</v>
      </c>
      <c r="T21" s="268">
        <v>0</v>
      </c>
      <c r="U21" s="268">
        <v>0</v>
      </c>
      <c r="V21" s="260">
        <f t="shared" si="0"/>
        <v>87148.602343333958</v>
      </c>
    </row>
    <row r="22" spans="1:22" x14ac:dyDescent="0.25">
      <c r="A22" s="267" t="s">
        <v>301</v>
      </c>
      <c r="B22" s="257">
        <v>0</v>
      </c>
      <c r="C22" s="263">
        <v>0</v>
      </c>
      <c r="D22" s="268">
        <v>0</v>
      </c>
      <c r="E22" s="268">
        <v>0</v>
      </c>
      <c r="F22" s="268">
        <v>0</v>
      </c>
      <c r="G22" s="270">
        <v>0</v>
      </c>
      <c r="H22" s="270">
        <v>0</v>
      </c>
      <c r="I22" s="270">
        <v>0</v>
      </c>
      <c r="J22" s="270">
        <v>0</v>
      </c>
      <c r="K22" s="270">
        <v>0</v>
      </c>
      <c r="L22" s="271">
        <v>0</v>
      </c>
      <c r="M22" s="268">
        <v>0</v>
      </c>
      <c r="N22" s="268">
        <v>0</v>
      </c>
      <c r="O22" s="268">
        <v>0</v>
      </c>
      <c r="P22" s="268">
        <v>0</v>
      </c>
      <c r="Q22" s="268">
        <v>0</v>
      </c>
      <c r="R22" s="268">
        <v>29112.108912063391</v>
      </c>
      <c r="S22" s="268">
        <v>0</v>
      </c>
      <c r="T22" s="268">
        <v>0</v>
      </c>
      <c r="U22" s="268">
        <v>0</v>
      </c>
      <c r="V22" s="260">
        <f t="shared" si="0"/>
        <v>29112.108912063391</v>
      </c>
    </row>
    <row r="23" spans="1:22" x14ac:dyDescent="0.25">
      <c r="A23" s="267" t="s">
        <v>36</v>
      </c>
      <c r="B23" s="257">
        <v>0</v>
      </c>
      <c r="C23" s="263">
        <v>0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0</v>
      </c>
      <c r="L23" s="268">
        <v>0</v>
      </c>
      <c r="M23" s="268">
        <v>0</v>
      </c>
      <c r="N23" s="268">
        <v>0</v>
      </c>
      <c r="O23" s="268">
        <v>0</v>
      </c>
      <c r="P23" s="268">
        <v>0</v>
      </c>
      <c r="Q23" s="268">
        <v>0</v>
      </c>
      <c r="R23" s="268">
        <v>0</v>
      </c>
      <c r="S23" s="268">
        <v>2612.5379647126979</v>
      </c>
      <c r="T23" s="268">
        <v>277.16099528356739</v>
      </c>
      <c r="U23" s="268">
        <v>0</v>
      </c>
      <c r="V23" s="260">
        <f t="shared" si="0"/>
        <v>2889.6989599962653</v>
      </c>
    </row>
    <row r="24" spans="1:22" x14ac:dyDescent="0.25">
      <c r="A24" s="267" t="s">
        <v>302</v>
      </c>
      <c r="B24" s="257">
        <v>0</v>
      </c>
      <c r="C24" s="263">
        <v>0</v>
      </c>
      <c r="D24" s="268">
        <v>0</v>
      </c>
      <c r="E24" s="268">
        <v>0</v>
      </c>
      <c r="F24" s="268">
        <v>0</v>
      </c>
      <c r="G24" s="268">
        <v>11575.107254546352</v>
      </c>
      <c r="H24" s="268">
        <v>1713.1837903162423</v>
      </c>
      <c r="I24" s="268">
        <v>395.15166578344184</v>
      </c>
      <c r="J24" s="268">
        <v>3255.0426473880416</v>
      </c>
      <c r="K24" s="268">
        <v>5363.3847317336549</v>
      </c>
      <c r="L24" s="268">
        <v>804.14056606332508</v>
      </c>
      <c r="M24" s="268">
        <v>0</v>
      </c>
      <c r="N24" s="268">
        <v>0</v>
      </c>
      <c r="O24" s="268">
        <v>0</v>
      </c>
      <c r="P24" s="268">
        <v>0</v>
      </c>
      <c r="Q24" s="268">
        <v>779.37202598288445</v>
      </c>
      <c r="R24" s="268">
        <v>103.39030295600382</v>
      </c>
      <c r="S24" s="268">
        <v>0</v>
      </c>
      <c r="T24" s="268">
        <v>25844.986047766939</v>
      </c>
      <c r="U24" s="268">
        <v>2063.8097361151208</v>
      </c>
      <c r="V24" s="260">
        <f t="shared" si="0"/>
        <v>51897.568768652003</v>
      </c>
    </row>
    <row r="25" spans="1:22" x14ac:dyDescent="0.25">
      <c r="A25" s="267" t="s">
        <v>303</v>
      </c>
      <c r="B25" s="257">
        <v>0</v>
      </c>
      <c r="C25" s="263">
        <v>0</v>
      </c>
      <c r="D25" s="268">
        <v>0</v>
      </c>
      <c r="E25" s="268">
        <v>0</v>
      </c>
      <c r="F25" s="268">
        <v>0</v>
      </c>
      <c r="G25" s="268">
        <v>1135.3016663656988</v>
      </c>
      <c r="H25" s="268">
        <v>0</v>
      </c>
      <c r="I25" s="268">
        <v>0</v>
      </c>
      <c r="J25" s="268">
        <v>0</v>
      </c>
      <c r="K25" s="268">
        <v>115.75137103999086</v>
      </c>
      <c r="L25" s="268">
        <v>0</v>
      </c>
      <c r="M25" s="268">
        <v>0</v>
      </c>
      <c r="N25" s="268">
        <v>0</v>
      </c>
      <c r="O25" s="268">
        <v>0</v>
      </c>
      <c r="P25" s="268">
        <v>0</v>
      </c>
      <c r="Q25" s="268">
        <v>0</v>
      </c>
      <c r="R25" s="268">
        <v>0</v>
      </c>
      <c r="S25" s="268">
        <v>0</v>
      </c>
      <c r="T25" s="268">
        <v>0</v>
      </c>
      <c r="U25" s="268">
        <v>1911.9560524354401</v>
      </c>
      <c r="V25" s="272">
        <f t="shared" si="0"/>
        <v>3163.0090898411299</v>
      </c>
    </row>
    <row r="26" spans="1:22" x14ac:dyDescent="0.25">
      <c r="A26" s="273" t="s">
        <v>1</v>
      </c>
      <c r="B26" s="274">
        <f>SUM(B6:B25)</f>
        <v>3240856.793976095</v>
      </c>
      <c r="C26" s="274">
        <f t="shared" ref="C26:U26" si="3">SUM(C6:C25)</f>
        <v>1141014.3966957971</v>
      </c>
      <c r="D26" s="274">
        <f t="shared" si="3"/>
        <v>552735.78758980741</v>
      </c>
      <c r="E26" s="274">
        <f t="shared" si="3"/>
        <v>186572.27942932682</v>
      </c>
      <c r="F26" s="274">
        <f t="shared" si="3"/>
        <v>134254.04830269946</v>
      </c>
      <c r="G26" s="274">
        <f t="shared" si="3"/>
        <v>299593.99279748934</v>
      </c>
      <c r="H26" s="274">
        <f t="shared" si="3"/>
        <v>77508.351791119174</v>
      </c>
      <c r="I26" s="274">
        <f t="shared" si="3"/>
        <v>3610.5535613165353</v>
      </c>
      <c r="J26" s="274">
        <f t="shared" si="3"/>
        <v>18368.570419885305</v>
      </c>
      <c r="K26" s="274">
        <f t="shared" si="3"/>
        <v>123833.82592770572</v>
      </c>
      <c r="L26" s="274">
        <f t="shared" si="3"/>
        <v>59287.660421469467</v>
      </c>
      <c r="M26" s="274">
        <f t="shared" si="3"/>
        <v>216.35053096696976</v>
      </c>
      <c r="N26" s="274">
        <f t="shared" si="3"/>
        <v>2535.4721614727073</v>
      </c>
      <c r="O26" s="274">
        <f t="shared" si="3"/>
        <v>1055.6334969471252</v>
      </c>
      <c r="P26" s="274">
        <f t="shared" si="3"/>
        <v>1675.1116145525878</v>
      </c>
      <c r="Q26" s="274">
        <f t="shared" si="3"/>
        <v>87946.940159059392</v>
      </c>
      <c r="R26" s="274">
        <f t="shared" si="3"/>
        <v>29367.608317819493</v>
      </c>
      <c r="S26" s="274">
        <f t="shared" si="3"/>
        <v>3595.0031788729784</v>
      </c>
      <c r="T26" s="274">
        <f t="shared" si="3"/>
        <v>33730.203466460327</v>
      </c>
      <c r="U26" s="274">
        <f t="shared" si="3"/>
        <v>4229.9819460967392</v>
      </c>
      <c r="V26" s="275">
        <f>SUM(V6:V25)</f>
        <v>6001988.5657849601</v>
      </c>
    </row>
    <row r="27" spans="1:22" x14ac:dyDescent="0.25">
      <c r="A27" s="27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68"/>
    </row>
    <row r="28" spans="1:22" x14ac:dyDescent="0.25">
      <c r="A28" s="276" t="s">
        <v>349</v>
      </c>
      <c r="B28" s="257" cm="1">
        <f t="array" ref="B28:U28">TRANSPOSE(targets!R6:R25)</f>
        <v>1122402.9952636338</v>
      </c>
      <c r="C28" s="257">
        <v>312780.93762793508</v>
      </c>
      <c r="D28" s="257">
        <v>158784.78819635994</v>
      </c>
      <c r="E28" s="257">
        <v>86982.619070350876</v>
      </c>
      <c r="F28" s="257">
        <v>55507.210599335114</v>
      </c>
      <c r="G28" s="257">
        <v>119300.76316529991</v>
      </c>
      <c r="H28" s="257">
        <v>28639.157286992191</v>
      </c>
      <c r="I28" s="257">
        <v>1088.64101153558</v>
      </c>
      <c r="J28" s="257">
        <v>8514.3167452126454</v>
      </c>
      <c r="K28" s="257">
        <v>47611.972221491524</v>
      </c>
      <c r="L28" s="257">
        <v>26648.216250180623</v>
      </c>
      <c r="M28" s="257">
        <v>170.13258960867762</v>
      </c>
      <c r="N28" s="257">
        <v>1056.9180257124037</v>
      </c>
      <c r="O28" s="257">
        <v>748.38024945909854</v>
      </c>
      <c r="P28" s="257">
        <v>1067.7793770498074</v>
      </c>
      <c r="Q28" s="257">
        <v>49339.14693206564</v>
      </c>
      <c r="R28" s="257">
        <v>17606.369947224019</v>
      </c>
      <c r="S28" s="257">
        <v>998.21281116868465</v>
      </c>
      <c r="T28" s="257">
        <v>14147.186727008786</v>
      </c>
      <c r="U28" s="257">
        <v>1558.1076860030553</v>
      </c>
      <c r="V28" s="268"/>
    </row>
    <row r="29" spans="1:22" x14ac:dyDescent="0.25">
      <c r="A29" s="276" t="s">
        <v>350</v>
      </c>
      <c r="B29" s="279">
        <f>B26/B28</f>
        <v>2.8874270717843831</v>
      </c>
      <c r="C29" s="279">
        <f t="shared" ref="C29:U29" si="4">C26/C28</f>
        <v>3.6479665460082402</v>
      </c>
      <c r="D29" s="279">
        <f t="shared" si="4"/>
        <v>3.4810374083584827</v>
      </c>
      <c r="E29" s="279">
        <f t="shared" si="4"/>
        <v>2.1449374762839528</v>
      </c>
      <c r="F29" s="279">
        <f t="shared" si="4"/>
        <v>2.418677624998645</v>
      </c>
      <c r="G29" s="279">
        <f t="shared" si="4"/>
        <v>2.5112495917765423</v>
      </c>
      <c r="H29" s="279">
        <f t="shared" si="4"/>
        <v>2.7063768327541959</v>
      </c>
      <c r="I29" s="279">
        <f t="shared" si="4"/>
        <v>3.3165694871477216</v>
      </c>
      <c r="J29" s="279">
        <f t="shared" si="4"/>
        <v>2.1573745691588728</v>
      </c>
      <c r="K29" s="279">
        <f t="shared" si="4"/>
        <v>2.6008967944371033</v>
      </c>
      <c r="L29" s="279">
        <f t="shared" si="4"/>
        <v>2.2248266024585273</v>
      </c>
      <c r="M29" s="279">
        <f t="shared" si="4"/>
        <v>1.2716583663635412</v>
      </c>
      <c r="N29" s="279">
        <f t="shared" si="4"/>
        <v>2.3989298127105938</v>
      </c>
      <c r="O29" s="279">
        <f t="shared" si="4"/>
        <v>1.4105576646498861</v>
      </c>
      <c r="P29" s="279">
        <f t="shared" si="4"/>
        <v>1.5687806400426958</v>
      </c>
      <c r="Q29" s="279">
        <f t="shared" si="4"/>
        <v>1.7824981911453042</v>
      </c>
      <c r="R29" s="279">
        <f t="shared" si="4"/>
        <v>1.6680104079290836</v>
      </c>
      <c r="S29" s="279">
        <f t="shared" si="4"/>
        <v>3.6014396315591575</v>
      </c>
      <c r="T29" s="279">
        <f t="shared" si="4"/>
        <v>2.3842339906396415</v>
      </c>
      <c r="U29" s="279">
        <f t="shared" si="4"/>
        <v>2.7148200243769574</v>
      </c>
      <c r="V29" s="268"/>
    </row>
    <row r="30" spans="1:22" x14ac:dyDescent="0.25">
      <c r="A30" s="276"/>
      <c r="B30" s="279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68"/>
    </row>
    <row r="31" spans="1:22" x14ac:dyDescent="0.25">
      <c r="A31" s="276"/>
      <c r="C31" s="277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</row>
    <row r="32" spans="1:22" x14ac:dyDescent="0.25">
      <c r="A32" s="276" t="s">
        <v>23</v>
      </c>
      <c r="C32" s="277"/>
      <c r="D32" s="268"/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</row>
    <row r="33" spans="1:30" ht="36.75" x14ac:dyDescent="0.25">
      <c r="A33" s="253" t="s">
        <v>348</v>
      </c>
      <c r="B33" s="254" t="s">
        <v>291</v>
      </c>
      <c r="C33" s="254" t="s">
        <v>292</v>
      </c>
      <c r="D33" s="254" t="s">
        <v>293</v>
      </c>
      <c r="E33" s="254" t="s">
        <v>2</v>
      </c>
      <c r="F33" s="254" t="s">
        <v>31</v>
      </c>
      <c r="G33" s="254" t="s">
        <v>294</v>
      </c>
      <c r="H33" s="254" t="s">
        <v>345</v>
      </c>
      <c r="I33" s="254" t="s">
        <v>310</v>
      </c>
      <c r="J33" s="254" t="s">
        <v>295</v>
      </c>
      <c r="K33" s="254" t="s">
        <v>296</v>
      </c>
      <c r="L33" s="254" t="s">
        <v>297</v>
      </c>
      <c r="M33" s="254" t="s">
        <v>298</v>
      </c>
      <c r="N33" s="254" t="s">
        <v>317</v>
      </c>
      <c r="O33" s="254" t="s">
        <v>311</v>
      </c>
      <c r="P33" s="254" t="s">
        <v>299</v>
      </c>
      <c r="Q33" s="254" t="s">
        <v>300</v>
      </c>
      <c r="R33" s="254" t="s">
        <v>301</v>
      </c>
      <c r="S33" s="254" t="s">
        <v>36</v>
      </c>
      <c r="T33" s="254" t="s">
        <v>302</v>
      </c>
      <c r="U33" s="254" t="s">
        <v>303</v>
      </c>
      <c r="V33" s="255" t="s">
        <v>1</v>
      </c>
      <c r="X33" s="290" t="s">
        <v>364</v>
      </c>
      <c r="Y33" s="280" t="s">
        <v>352</v>
      </c>
      <c r="Z33" s="280" t="s">
        <v>355</v>
      </c>
      <c r="AA33" s="280" t="s">
        <v>354</v>
      </c>
      <c r="AB33" s="280" t="s">
        <v>351</v>
      </c>
      <c r="AC33" s="280" t="s">
        <v>356</v>
      </c>
      <c r="AD33" s="280" t="s">
        <v>362</v>
      </c>
    </row>
    <row r="34" spans="1:30" x14ac:dyDescent="0.25">
      <c r="A34" s="256" t="s">
        <v>291</v>
      </c>
      <c r="B34" s="257">
        <v>26800.839105878131</v>
      </c>
      <c r="C34" s="257">
        <v>461.36451148080528</v>
      </c>
      <c r="D34" s="257">
        <v>0</v>
      </c>
      <c r="E34" s="259">
        <v>0</v>
      </c>
      <c r="F34" s="251">
        <v>0</v>
      </c>
      <c r="G34" s="251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1">
        <v>0</v>
      </c>
      <c r="R34" s="259">
        <v>0</v>
      </c>
      <c r="S34" s="259">
        <v>0</v>
      </c>
      <c r="T34" s="259">
        <v>0</v>
      </c>
      <c r="U34" s="259">
        <v>0</v>
      </c>
      <c r="V34" s="260">
        <f t="shared" ref="V34:V54" si="5">SUM(B34:U34)</f>
        <v>27262.203617358937</v>
      </c>
      <c r="X34" t="s">
        <v>39</v>
      </c>
      <c r="Y34" t="s">
        <v>359</v>
      </c>
      <c r="Z34" s="281">
        <f>G56+M56</f>
        <v>17871.022188524712</v>
      </c>
      <c r="AA34" s="281">
        <f>G54+M54</f>
        <v>63276.065692552584</v>
      </c>
      <c r="AB34">
        <f t="shared" ref="AB34:AB40" si="6">Z34/AA34</f>
        <v>0.28242941454920578</v>
      </c>
      <c r="AC34" s="282">
        <f>SUMIFS(OBS_District_Flows!K:K,OBS_District_Flows!H:H,OBS_Adjustments!Y34,OBS_District_Flows!F:F, "University")</f>
        <v>0</v>
      </c>
      <c r="AD34" s="283">
        <f t="shared" ref="AD34:AD40" si="7">AC34*AB34</f>
        <v>0</v>
      </c>
    </row>
    <row r="35" spans="1:30" x14ac:dyDescent="0.25">
      <c r="A35" s="261" t="s">
        <v>292</v>
      </c>
      <c r="B35" s="257">
        <v>0</v>
      </c>
      <c r="C35" s="257">
        <v>2926.0733995649916</v>
      </c>
      <c r="D35" s="257">
        <v>13.399293612167861</v>
      </c>
      <c r="E35" s="257">
        <v>0</v>
      </c>
      <c r="F35" s="257">
        <v>0</v>
      </c>
      <c r="G35" s="257">
        <v>151.1053037148107</v>
      </c>
      <c r="H35" s="257">
        <v>0</v>
      </c>
      <c r="I35" s="257">
        <v>0</v>
      </c>
      <c r="J35" s="257">
        <v>0</v>
      </c>
      <c r="K35" s="257">
        <v>1540.3253115322407</v>
      </c>
      <c r="L35" s="257">
        <v>0</v>
      </c>
      <c r="M35" s="251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7">
        <v>0</v>
      </c>
      <c r="T35" s="257">
        <v>0</v>
      </c>
      <c r="U35" s="257">
        <v>0</v>
      </c>
      <c r="V35" s="260">
        <f t="shared" si="5"/>
        <v>4630.903308424211</v>
      </c>
      <c r="X35" t="s">
        <v>39</v>
      </c>
      <c r="Y35" t="s">
        <v>353</v>
      </c>
      <c r="Z35" s="281">
        <f>H56+N56</f>
        <v>1759.8739136356598</v>
      </c>
      <c r="AA35" s="281">
        <f>H54+N54</f>
        <v>3741.3345503181336</v>
      </c>
      <c r="AB35">
        <f t="shared" si="6"/>
        <v>0.47038667351627617</v>
      </c>
      <c r="AC35" s="282">
        <f>SUMIFS(OBS_District_Flows!K:K,OBS_District_Flows!H:H,OBS_Adjustments!Y35,OBS_District_Flows!F:F, "University")</f>
        <v>0</v>
      </c>
      <c r="AD35" s="283">
        <f t="shared" si="7"/>
        <v>0</v>
      </c>
    </row>
    <row r="36" spans="1:30" ht="24.75" x14ac:dyDescent="0.25">
      <c r="A36" s="262" t="s">
        <v>293</v>
      </c>
      <c r="B36" s="257">
        <v>0</v>
      </c>
      <c r="C36" s="263">
        <v>0</v>
      </c>
      <c r="D36" s="264">
        <v>3831.3357210018526</v>
      </c>
      <c r="E36" s="264">
        <v>0</v>
      </c>
      <c r="F36" s="264">
        <v>0</v>
      </c>
      <c r="G36" s="264">
        <v>36.52731147554816</v>
      </c>
      <c r="H36" s="264">
        <v>0</v>
      </c>
      <c r="I36" s="264">
        <v>0</v>
      </c>
      <c r="J36" s="264">
        <v>0</v>
      </c>
      <c r="K36" s="264">
        <v>0</v>
      </c>
      <c r="L36" s="264">
        <v>406.27992420916172</v>
      </c>
      <c r="M36" s="265">
        <v>0</v>
      </c>
      <c r="N36" s="265">
        <v>0</v>
      </c>
      <c r="O36" s="265">
        <v>0</v>
      </c>
      <c r="P36" s="265">
        <v>0</v>
      </c>
      <c r="Q36" s="265">
        <v>0</v>
      </c>
      <c r="R36" s="265">
        <v>0</v>
      </c>
      <c r="S36" s="264">
        <v>0</v>
      </c>
      <c r="T36" s="264">
        <v>0</v>
      </c>
      <c r="U36" s="264">
        <v>0</v>
      </c>
      <c r="V36" s="260">
        <f t="shared" si="5"/>
        <v>4274.1429566865627</v>
      </c>
      <c r="X36" t="s">
        <v>39</v>
      </c>
      <c r="Y36" t="s">
        <v>360</v>
      </c>
      <c r="Z36" s="281">
        <f>I56+O56</f>
        <v>0</v>
      </c>
      <c r="AA36" s="281">
        <f>I54+O54</f>
        <v>0</v>
      </c>
      <c r="AB36" t="e">
        <f t="shared" si="6"/>
        <v>#DIV/0!</v>
      </c>
      <c r="AC36" s="282">
        <f>SUMIFS(OBS_District_Flows!K:K,OBS_District_Flows!H:H,OBS_Adjustments!Y36,OBS_District_Flows!F:F, "University")</f>
        <v>0</v>
      </c>
      <c r="AD36" s="283" t="e">
        <f t="shared" si="7"/>
        <v>#DIV/0!</v>
      </c>
    </row>
    <row r="37" spans="1:30" x14ac:dyDescent="0.25">
      <c r="A37" s="267" t="s">
        <v>2</v>
      </c>
      <c r="B37" s="257">
        <v>1361.3551942195325</v>
      </c>
      <c r="C37" s="263">
        <v>1117.7756554693856</v>
      </c>
      <c r="D37" s="268">
        <v>613.89053149503138</v>
      </c>
      <c r="E37" s="268">
        <v>25937.787031855187</v>
      </c>
      <c r="F37" s="269">
        <v>262.51429609350873</v>
      </c>
      <c r="G37" s="268">
        <v>37252.342553264221</v>
      </c>
      <c r="H37" s="268">
        <v>234.98601665898184</v>
      </c>
      <c r="I37" s="268">
        <v>0</v>
      </c>
      <c r="J37" s="268">
        <v>0</v>
      </c>
      <c r="K37" s="268">
        <v>192.6064040853195</v>
      </c>
      <c r="L37" s="268">
        <v>840.51728073042409</v>
      </c>
      <c r="M37" s="271">
        <v>0</v>
      </c>
      <c r="N37" s="270">
        <v>0</v>
      </c>
      <c r="O37" s="270">
        <v>0</v>
      </c>
      <c r="P37" s="270">
        <v>0</v>
      </c>
      <c r="Q37" s="271">
        <v>0</v>
      </c>
      <c r="R37" s="270">
        <v>0</v>
      </c>
      <c r="S37" s="268">
        <v>0</v>
      </c>
      <c r="T37" s="268">
        <v>0</v>
      </c>
      <c r="U37" s="268">
        <v>0</v>
      </c>
      <c r="V37" s="260">
        <f t="shared" si="5"/>
        <v>67813.77496387159</v>
      </c>
      <c r="X37" t="s">
        <v>39</v>
      </c>
      <c r="Y37" t="s">
        <v>123</v>
      </c>
      <c r="Z37" s="281">
        <f>J56+P56</f>
        <v>0</v>
      </c>
      <c r="AA37" s="281">
        <f>J54+P54</f>
        <v>0</v>
      </c>
      <c r="AB37" t="e">
        <f t="shared" si="6"/>
        <v>#DIV/0!</v>
      </c>
      <c r="AC37" s="282">
        <f>SUMIFS(OBS_District_Flows!K:K,OBS_District_Flows!H:H,OBS_Adjustments!Y37,OBS_District_Flows!F:F, "University")</f>
        <v>0</v>
      </c>
      <c r="AD37" s="283" t="e">
        <f t="shared" si="7"/>
        <v>#DIV/0!</v>
      </c>
    </row>
    <row r="38" spans="1:30" x14ac:dyDescent="0.25">
      <c r="A38" s="267" t="s">
        <v>31</v>
      </c>
      <c r="B38" s="251">
        <v>0</v>
      </c>
      <c r="C38" s="251">
        <v>0</v>
      </c>
      <c r="D38" s="271">
        <v>0</v>
      </c>
      <c r="E38" s="270">
        <v>0</v>
      </c>
      <c r="F38" s="268">
        <v>12180.053033041177</v>
      </c>
      <c r="G38" s="271">
        <v>0</v>
      </c>
      <c r="H38" s="270">
        <v>0</v>
      </c>
      <c r="I38" s="270">
        <v>0</v>
      </c>
      <c r="J38" s="270">
        <v>0</v>
      </c>
      <c r="K38" s="270">
        <v>0</v>
      </c>
      <c r="L38" s="270">
        <v>0</v>
      </c>
      <c r="M38" s="270">
        <v>0</v>
      </c>
      <c r="N38" s="270">
        <v>0</v>
      </c>
      <c r="O38" s="270">
        <v>0</v>
      </c>
      <c r="P38" s="270">
        <v>0</v>
      </c>
      <c r="Q38" s="270">
        <v>0</v>
      </c>
      <c r="R38" s="270">
        <v>0</v>
      </c>
      <c r="S38" s="270">
        <v>0</v>
      </c>
      <c r="T38" s="270">
        <v>0</v>
      </c>
      <c r="U38" s="270">
        <v>0</v>
      </c>
      <c r="V38" s="260">
        <f t="shared" si="5"/>
        <v>12180.053033041177</v>
      </c>
      <c r="X38" t="s">
        <v>39</v>
      </c>
      <c r="Y38" t="s">
        <v>124</v>
      </c>
      <c r="Z38" s="281">
        <f>K56+Q56</f>
        <v>3861.8882751532792</v>
      </c>
      <c r="AA38" s="281">
        <f>K54+Q54</f>
        <v>9560.2348257382055</v>
      </c>
      <c r="AB38">
        <f t="shared" si="6"/>
        <v>0.40395328624734683</v>
      </c>
      <c r="AC38" s="282">
        <f>SUMIFS(OBS_District_Flows!K:K,OBS_District_Flows!H:H,OBS_Adjustments!Y38,OBS_District_Flows!F:F, "University")</f>
        <v>0</v>
      </c>
      <c r="AD38" s="283">
        <f t="shared" si="7"/>
        <v>0</v>
      </c>
    </row>
    <row r="39" spans="1:30" x14ac:dyDescent="0.25">
      <c r="A39" s="267" t="s">
        <v>294</v>
      </c>
      <c r="B39" s="257">
        <v>0</v>
      </c>
      <c r="C39" s="263">
        <v>0</v>
      </c>
      <c r="D39" s="270">
        <v>0</v>
      </c>
      <c r="E39" s="268">
        <v>0</v>
      </c>
      <c r="F39" s="268">
        <v>0</v>
      </c>
      <c r="G39" s="268">
        <v>23840.107343534324</v>
      </c>
      <c r="H39" s="268">
        <v>75.241878644025846</v>
      </c>
      <c r="I39" s="268">
        <v>0</v>
      </c>
      <c r="J39" s="268">
        <v>0</v>
      </c>
      <c r="K39" s="268">
        <v>446.04221471675351</v>
      </c>
      <c r="L39" s="268">
        <v>85.365881186005453</v>
      </c>
      <c r="M39" s="271">
        <v>0</v>
      </c>
      <c r="N39" s="270">
        <v>0</v>
      </c>
      <c r="O39" s="270">
        <v>0</v>
      </c>
      <c r="P39" s="270">
        <v>0</v>
      </c>
      <c r="Q39" s="270">
        <v>0</v>
      </c>
      <c r="R39" s="270">
        <v>0</v>
      </c>
      <c r="S39" s="268">
        <v>0</v>
      </c>
      <c r="T39" s="268">
        <v>0</v>
      </c>
      <c r="U39" s="268">
        <v>0</v>
      </c>
      <c r="V39" s="260">
        <f t="shared" si="5"/>
        <v>24446.757318081105</v>
      </c>
      <c r="X39" t="s">
        <v>39</v>
      </c>
      <c r="Y39" t="s">
        <v>125</v>
      </c>
      <c r="Z39" s="281">
        <f>L56+R56</f>
        <v>491.64580539516714</v>
      </c>
      <c r="AA39" s="281">
        <f>L54+R54</f>
        <v>2237.0781738079454</v>
      </c>
      <c r="AB39">
        <f t="shared" si="6"/>
        <v>0.21977140144293197</v>
      </c>
      <c r="AC39" s="282">
        <f>SUMIFS(OBS_District_Flows!K:K,OBS_District_Flows!H:H,OBS_Adjustments!Y39,OBS_District_Flows!F:F, "University")</f>
        <v>0</v>
      </c>
      <c r="AD39" s="283">
        <f t="shared" si="7"/>
        <v>0</v>
      </c>
    </row>
    <row r="40" spans="1:30" x14ac:dyDescent="0.25">
      <c r="A40" s="267" t="s">
        <v>345</v>
      </c>
      <c r="B40" s="257">
        <v>0</v>
      </c>
      <c r="C40" s="263">
        <v>0</v>
      </c>
      <c r="D40" s="268">
        <v>0</v>
      </c>
      <c r="E40" s="268">
        <v>0</v>
      </c>
      <c r="F40" s="268">
        <v>0</v>
      </c>
      <c r="G40" s="268">
        <v>0</v>
      </c>
      <c r="H40" s="268">
        <v>3431.1066550151259</v>
      </c>
      <c r="I40" s="268">
        <v>0</v>
      </c>
      <c r="J40" s="268">
        <v>0</v>
      </c>
      <c r="K40" s="268">
        <v>0</v>
      </c>
      <c r="L40" s="268">
        <v>0</v>
      </c>
      <c r="M40" s="270">
        <v>0</v>
      </c>
      <c r="N40" s="270">
        <v>0</v>
      </c>
      <c r="O40" s="270">
        <v>0</v>
      </c>
      <c r="P40" s="270">
        <v>0</v>
      </c>
      <c r="Q40" s="270">
        <v>0</v>
      </c>
      <c r="R40" s="270">
        <v>0</v>
      </c>
      <c r="S40" s="268">
        <v>0</v>
      </c>
      <c r="T40" s="268">
        <v>0</v>
      </c>
      <c r="U40" s="268">
        <v>0</v>
      </c>
      <c r="V40" s="260">
        <f t="shared" si="5"/>
        <v>3431.1066550151259</v>
      </c>
      <c r="X40" t="s">
        <v>39</v>
      </c>
      <c r="Y40" t="s">
        <v>363</v>
      </c>
      <c r="Z40" s="281">
        <f>SUM(Z34:Z39)</f>
        <v>23984.43018270882</v>
      </c>
      <c r="AA40" s="281">
        <f>SUM(AA34:AA39)</f>
        <v>78814.713242416867</v>
      </c>
      <c r="AB40" s="282">
        <f t="shared" si="6"/>
        <v>0.30431412100603533</v>
      </c>
      <c r="AC40" s="282">
        <f>SUM(AC34:AC39)</f>
        <v>0</v>
      </c>
      <c r="AD40" s="283">
        <f t="shared" si="7"/>
        <v>0</v>
      </c>
    </row>
    <row r="41" spans="1:30" x14ac:dyDescent="0.25">
      <c r="A41" s="267" t="s">
        <v>310</v>
      </c>
      <c r="B41" s="257">
        <v>0</v>
      </c>
      <c r="C41" s="263">
        <v>0</v>
      </c>
      <c r="D41" s="268">
        <v>0</v>
      </c>
      <c r="E41" s="268">
        <v>0</v>
      </c>
      <c r="F41" s="268">
        <v>0</v>
      </c>
      <c r="G41" s="268">
        <v>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70">
        <v>0</v>
      </c>
      <c r="N41" s="270">
        <v>0</v>
      </c>
      <c r="O41" s="270">
        <v>0</v>
      </c>
      <c r="P41" s="270">
        <v>0</v>
      </c>
      <c r="Q41" s="270">
        <v>0</v>
      </c>
      <c r="R41" s="270">
        <v>0</v>
      </c>
      <c r="S41" s="268">
        <v>0</v>
      </c>
      <c r="T41" s="268">
        <v>0</v>
      </c>
      <c r="U41" s="268">
        <v>0</v>
      </c>
      <c r="V41" s="260">
        <f t="shared" si="5"/>
        <v>0</v>
      </c>
    </row>
    <row r="42" spans="1:30" x14ac:dyDescent="0.25">
      <c r="A42" s="267" t="s">
        <v>295</v>
      </c>
      <c r="B42" s="257">
        <v>0</v>
      </c>
      <c r="C42" s="263">
        <v>0</v>
      </c>
      <c r="D42" s="268">
        <v>0</v>
      </c>
      <c r="E42" s="268">
        <v>0</v>
      </c>
      <c r="F42" s="268">
        <v>0</v>
      </c>
      <c r="G42" s="268">
        <v>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70">
        <v>0</v>
      </c>
      <c r="N42" s="270">
        <v>0</v>
      </c>
      <c r="O42" s="270">
        <v>0</v>
      </c>
      <c r="P42" s="270">
        <v>0</v>
      </c>
      <c r="Q42" s="270">
        <v>0</v>
      </c>
      <c r="R42" s="270">
        <v>0</v>
      </c>
      <c r="S42" s="268">
        <v>0</v>
      </c>
      <c r="T42" s="268">
        <v>0</v>
      </c>
      <c r="U42" s="268">
        <v>0</v>
      </c>
      <c r="V42" s="260">
        <f t="shared" si="5"/>
        <v>0</v>
      </c>
    </row>
    <row r="43" spans="1:30" x14ac:dyDescent="0.25">
      <c r="A43" s="267" t="s">
        <v>296</v>
      </c>
      <c r="B43" s="257">
        <v>0</v>
      </c>
      <c r="C43" s="263">
        <v>0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7318.0401038596519</v>
      </c>
      <c r="L43" s="268">
        <v>0</v>
      </c>
      <c r="M43" s="270">
        <v>0</v>
      </c>
      <c r="N43" s="270">
        <v>0</v>
      </c>
      <c r="O43" s="270">
        <v>0</v>
      </c>
      <c r="P43" s="270">
        <v>0</v>
      </c>
      <c r="Q43" s="270">
        <v>0</v>
      </c>
      <c r="R43" s="270">
        <v>0</v>
      </c>
      <c r="S43" s="268">
        <v>0</v>
      </c>
      <c r="T43" s="268">
        <v>0</v>
      </c>
      <c r="U43" s="268">
        <v>0</v>
      </c>
      <c r="V43" s="260">
        <f t="shared" si="5"/>
        <v>7318.0401038596519</v>
      </c>
    </row>
    <row r="44" spans="1:30" x14ac:dyDescent="0.25">
      <c r="A44" s="267" t="s">
        <v>297</v>
      </c>
      <c r="B44" s="257">
        <v>0</v>
      </c>
      <c r="C44" s="263">
        <v>0</v>
      </c>
      <c r="D44" s="268">
        <v>0</v>
      </c>
      <c r="E44" s="268">
        <v>0</v>
      </c>
      <c r="F44" s="268">
        <v>0</v>
      </c>
      <c r="G44" s="268">
        <v>0</v>
      </c>
      <c r="H44" s="268">
        <v>0</v>
      </c>
      <c r="I44" s="268">
        <v>0</v>
      </c>
      <c r="J44" s="268">
        <v>0</v>
      </c>
      <c r="K44" s="268">
        <v>0</v>
      </c>
      <c r="L44" s="268">
        <v>904.91508768235406</v>
      </c>
      <c r="M44" s="270">
        <v>0</v>
      </c>
      <c r="N44" s="270">
        <v>0</v>
      </c>
      <c r="O44" s="270">
        <v>0</v>
      </c>
      <c r="P44" s="270">
        <v>0</v>
      </c>
      <c r="Q44" s="270">
        <v>0</v>
      </c>
      <c r="R44" s="270">
        <v>0</v>
      </c>
      <c r="S44" s="268">
        <v>0</v>
      </c>
      <c r="T44" s="268">
        <v>0</v>
      </c>
      <c r="U44" s="268">
        <v>0</v>
      </c>
      <c r="V44" s="260">
        <f t="shared" si="5"/>
        <v>904.91508768235406</v>
      </c>
    </row>
    <row r="45" spans="1:30" x14ac:dyDescent="0.25">
      <c r="A45" s="267" t="s">
        <v>298</v>
      </c>
      <c r="B45" s="257">
        <v>0</v>
      </c>
      <c r="C45" s="263">
        <v>0</v>
      </c>
      <c r="D45" s="268">
        <v>0</v>
      </c>
      <c r="E45" s="268">
        <v>0</v>
      </c>
      <c r="F45" s="268">
        <v>0</v>
      </c>
      <c r="G45" s="270">
        <v>0</v>
      </c>
      <c r="H45" s="270">
        <v>0</v>
      </c>
      <c r="I45" s="270">
        <v>0</v>
      </c>
      <c r="J45" s="270">
        <v>0</v>
      </c>
      <c r="K45" s="270">
        <v>0</v>
      </c>
      <c r="L45" s="270">
        <v>0</v>
      </c>
      <c r="M45" s="268">
        <v>1995.983180563682</v>
      </c>
      <c r="N45" s="268">
        <v>0</v>
      </c>
      <c r="O45" s="268">
        <v>0</v>
      </c>
      <c r="P45" s="268">
        <v>0</v>
      </c>
      <c r="Q45" s="268">
        <v>0</v>
      </c>
      <c r="R45" s="268">
        <v>0</v>
      </c>
      <c r="S45" s="268">
        <v>0</v>
      </c>
      <c r="T45" s="268">
        <v>0</v>
      </c>
      <c r="U45" s="268">
        <v>0</v>
      </c>
      <c r="V45" s="260">
        <f t="shared" si="5"/>
        <v>1995.983180563682</v>
      </c>
    </row>
    <row r="46" spans="1:30" x14ac:dyDescent="0.25">
      <c r="A46" s="267" t="s">
        <v>317</v>
      </c>
      <c r="B46" s="257">
        <v>0</v>
      </c>
      <c r="C46" s="263">
        <v>0</v>
      </c>
      <c r="D46" s="268">
        <v>0</v>
      </c>
      <c r="E46" s="268">
        <v>0</v>
      </c>
      <c r="F46" s="268">
        <v>0</v>
      </c>
      <c r="G46" s="270">
        <v>0</v>
      </c>
      <c r="H46" s="270">
        <v>0</v>
      </c>
      <c r="I46" s="270">
        <v>0</v>
      </c>
      <c r="J46" s="270">
        <v>0</v>
      </c>
      <c r="K46" s="270">
        <v>0</v>
      </c>
      <c r="L46" s="270">
        <v>0</v>
      </c>
      <c r="M46" s="268">
        <v>0</v>
      </c>
      <c r="N46" s="268">
        <v>0</v>
      </c>
      <c r="O46" s="268">
        <v>0</v>
      </c>
      <c r="P46" s="268">
        <v>0</v>
      </c>
      <c r="Q46" s="268">
        <v>0</v>
      </c>
      <c r="R46" s="268">
        <v>0</v>
      </c>
      <c r="S46" s="268">
        <v>0</v>
      </c>
      <c r="T46" s="268">
        <v>0</v>
      </c>
      <c r="U46" s="268">
        <v>0</v>
      </c>
      <c r="V46" s="260">
        <f t="shared" si="5"/>
        <v>0</v>
      </c>
    </row>
    <row r="47" spans="1:30" x14ac:dyDescent="0.25">
      <c r="A47" s="267" t="s">
        <v>311</v>
      </c>
      <c r="B47" s="257">
        <v>0</v>
      </c>
      <c r="C47" s="263">
        <v>0</v>
      </c>
      <c r="D47" s="268">
        <v>0</v>
      </c>
      <c r="E47" s="268">
        <v>0</v>
      </c>
      <c r="F47" s="268">
        <v>0</v>
      </c>
      <c r="G47" s="270">
        <v>0</v>
      </c>
      <c r="H47" s="270">
        <v>0</v>
      </c>
      <c r="I47" s="270">
        <v>0</v>
      </c>
      <c r="J47" s="270">
        <v>0</v>
      </c>
      <c r="K47" s="270">
        <v>0</v>
      </c>
      <c r="L47" s="270">
        <v>0</v>
      </c>
      <c r="M47" s="268">
        <v>0</v>
      </c>
      <c r="N47" s="268">
        <v>0</v>
      </c>
      <c r="O47" s="268">
        <v>0</v>
      </c>
      <c r="P47" s="268">
        <v>0</v>
      </c>
      <c r="Q47" s="268">
        <v>0</v>
      </c>
      <c r="R47" s="268">
        <v>0</v>
      </c>
      <c r="S47" s="268">
        <v>0</v>
      </c>
      <c r="T47" s="268">
        <v>0</v>
      </c>
      <c r="U47" s="268">
        <v>0</v>
      </c>
      <c r="V47" s="260">
        <f t="shared" si="5"/>
        <v>0</v>
      </c>
    </row>
    <row r="48" spans="1:30" x14ac:dyDescent="0.25">
      <c r="A48" s="267" t="s">
        <v>299</v>
      </c>
      <c r="B48" s="257">
        <v>0</v>
      </c>
      <c r="C48" s="263">
        <v>0</v>
      </c>
      <c r="D48" s="268">
        <v>0</v>
      </c>
      <c r="E48" s="268">
        <v>0</v>
      </c>
      <c r="F48" s="268">
        <v>0</v>
      </c>
      <c r="G48" s="270">
        <v>0</v>
      </c>
      <c r="H48" s="270">
        <v>0</v>
      </c>
      <c r="I48" s="270">
        <v>0</v>
      </c>
      <c r="J48" s="270">
        <v>0</v>
      </c>
      <c r="K48" s="270">
        <v>0</v>
      </c>
      <c r="L48" s="270">
        <v>0</v>
      </c>
      <c r="M48" s="268">
        <v>0</v>
      </c>
      <c r="N48" s="268">
        <v>0</v>
      </c>
      <c r="O48" s="268">
        <v>0</v>
      </c>
      <c r="P48" s="268">
        <v>0</v>
      </c>
      <c r="Q48" s="268">
        <v>0</v>
      </c>
      <c r="R48" s="268">
        <v>0</v>
      </c>
      <c r="S48" s="268">
        <v>0</v>
      </c>
      <c r="T48" s="268">
        <v>0</v>
      </c>
      <c r="U48" s="268">
        <v>0</v>
      </c>
      <c r="V48" s="260">
        <f t="shared" si="5"/>
        <v>0</v>
      </c>
    </row>
    <row r="49" spans="1:30" x14ac:dyDescent="0.25">
      <c r="A49" s="267" t="s">
        <v>300</v>
      </c>
      <c r="B49" s="257">
        <v>0</v>
      </c>
      <c r="C49" s="263">
        <v>0</v>
      </c>
      <c r="D49" s="268">
        <v>0</v>
      </c>
      <c r="E49" s="268">
        <v>0</v>
      </c>
      <c r="F49" s="268">
        <v>0</v>
      </c>
      <c r="G49" s="270">
        <v>0</v>
      </c>
      <c r="H49" s="270">
        <v>0</v>
      </c>
      <c r="I49" s="270">
        <v>0</v>
      </c>
      <c r="J49" s="270">
        <v>0</v>
      </c>
      <c r="K49" s="271">
        <v>0</v>
      </c>
      <c r="L49" s="270">
        <v>0</v>
      </c>
      <c r="M49" s="268">
        <v>0</v>
      </c>
      <c r="N49" s="268">
        <v>0</v>
      </c>
      <c r="O49" s="268">
        <v>0</v>
      </c>
      <c r="P49" s="268">
        <v>0</v>
      </c>
      <c r="Q49" s="268">
        <v>47.46338885770011</v>
      </c>
      <c r="R49" s="268">
        <v>0</v>
      </c>
      <c r="S49" s="268">
        <v>0</v>
      </c>
      <c r="T49" s="268">
        <v>0</v>
      </c>
      <c r="U49" s="268">
        <v>0</v>
      </c>
      <c r="V49" s="260">
        <f t="shared" si="5"/>
        <v>47.46338885770011</v>
      </c>
    </row>
    <row r="50" spans="1:30" x14ac:dyDescent="0.25">
      <c r="A50" s="267" t="s">
        <v>301</v>
      </c>
      <c r="B50" s="257">
        <v>0</v>
      </c>
      <c r="C50" s="263">
        <v>0</v>
      </c>
      <c r="D50" s="268">
        <v>0</v>
      </c>
      <c r="E50" s="268">
        <v>0</v>
      </c>
      <c r="F50" s="268">
        <v>0</v>
      </c>
      <c r="G50" s="270">
        <v>0</v>
      </c>
      <c r="H50" s="270">
        <v>0</v>
      </c>
      <c r="I50" s="270">
        <v>0</v>
      </c>
      <c r="J50" s="270">
        <v>0</v>
      </c>
      <c r="K50" s="270">
        <v>0</v>
      </c>
      <c r="L50" s="271">
        <v>0</v>
      </c>
      <c r="M50" s="268">
        <v>0</v>
      </c>
      <c r="N50" s="268">
        <v>0</v>
      </c>
      <c r="O50" s="268">
        <v>0</v>
      </c>
      <c r="P50" s="268">
        <v>0</v>
      </c>
      <c r="Q50" s="268">
        <v>0</v>
      </c>
      <c r="R50" s="268">
        <v>0</v>
      </c>
      <c r="S50" s="268">
        <v>0</v>
      </c>
      <c r="T50" s="268">
        <v>0</v>
      </c>
      <c r="U50" s="268">
        <v>0</v>
      </c>
      <c r="V50" s="260">
        <f t="shared" si="5"/>
        <v>0</v>
      </c>
    </row>
    <row r="51" spans="1:30" x14ac:dyDescent="0.25">
      <c r="A51" s="267" t="s">
        <v>36</v>
      </c>
      <c r="B51" s="257">
        <v>0</v>
      </c>
      <c r="C51" s="263">
        <v>0</v>
      </c>
      <c r="D51" s="268">
        <v>0</v>
      </c>
      <c r="E51" s="268">
        <v>0</v>
      </c>
      <c r="F51" s="268">
        <v>0</v>
      </c>
      <c r="G51" s="268">
        <v>0</v>
      </c>
      <c r="H51" s="268">
        <v>0</v>
      </c>
      <c r="I51" s="268">
        <v>0</v>
      </c>
      <c r="J51" s="268">
        <v>0</v>
      </c>
      <c r="K51" s="268">
        <v>0</v>
      </c>
      <c r="L51" s="268">
        <v>0</v>
      </c>
      <c r="M51" s="268">
        <v>0</v>
      </c>
      <c r="N51" s="268">
        <v>0</v>
      </c>
      <c r="O51" s="268">
        <v>0</v>
      </c>
      <c r="P51" s="268">
        <v>0</v>
      </c>
      <c r="Q51" s="268">
        <v>0</v>
      </c>
      <c r="R51" s="268">
        <v>0</v>
      </c>
      <c r="S51" s="268">
        <v>0</v>
      </c>
      <c r="T51" s="268">
        <v>0</v>
      </c>
      <c r="U51" s="268">
        <v>0</v>
      </c>
      <c r="V51" s="260">
        <f t="shared" si="5"/>
        <v>0</v>
      </c>
    </row>
    <row r="52" spans="1:30" x14ac:dyDescent="0.25">
      <c r="A52" s="267" t="s">
        <v>302</v>
      </c>
      <c r="B52" s="257">
        <v>0</v>
      </c>
      <c r="C52" s="263">
        <v>0</v>
      </c>
      <c r="D52" s="268">
        <v>0</v>
      </c>
      <c r="E52" s="268">
        <v>0</v>
      </c>
      <c r="F52" s="268">
        <v>0</v>
      </c>
      <c r="G52" s="268">
        <v>0</v>
      </c>
      <c r="H52" s="268">
        <v>0</v>
      </c>
      <c r="I52" s="268">
        <v>0</v>
      </c>
      <c r="J52" s="268">
        <v>0</v>
      </c>
      <c r="K52" s="268">
        <v>0</v>
      </c>
      <c r="L52" s="268">
        <v>0</v>
      </c>
      <c r="M52" s="268">
        <v>0</v>
      </c>
      <c r="N52" s="268">
        <v>0</v>
      </c>
      <c r="O52" s="268">
        <v>0</v>
      </c>
      <c r="P52" s="268">
        <v>0</v>
      </c>
      <c r="Q52" s="268">
        <v>15.75740268654017</v>
      </c>
      <c r="R52" s="268">
        <v>0</v>
      </c>
      <c r="S52" s="268">
        <v>0</v>
      </c>
      <c r="T52" s="268">
        <v>0</v>
      </c>
      <c r="U52" s="268">
        <v>0</v>
      </c>
      <c r="V52" s="260">
        <f t="shared" si="5"/>
        <v>15.75740268654017</v>
      </c>
    </row>
    <row r="53" spans="1:30" x14ac:dyDescent="0.25">
      <c r="A53" s="267" t="s">
        <v>303</v>
      </c>
      <c r="B53" s="257">
        <v>0</v>
      </c>
      <c r="C53" s="263">
        <v>0</v>
      </c>
      <c r="D53" s="268">
        <v>0</v>
      </c>
      <c r="E53" s="268">
        <v>0</v>
      </c>
      <c r="F53" s="268">
        <v>0</v>
      </c>
      <c r="G53" s="268">
        <v>0</v>
      </c>
      <c r="H53" s="268">
        <v>0</v>
      </c>
      <c r="I53" s="268">
        <v>0</v>
      </c>
      <c r="J53" s="268">
        <v>0</v>
      </c>
      <c r="K53" s="268">
        <v>0</v>
      </c>
      <c r="L53" s="268">
        <v>0</v>
      </c>
      <c r="M53" s="268">
        <v>0</v>
      </c>
      <c r="N53" s="268">
        <v>0</v>
      </c>
      <c r="O53" s="268">
        <v>0</v>
      </c>
      <c r="P53" s="268">
        <v>0</v>
      </c>
      <c r="Q53" s="268">
        <v>0</v>
      </c>
      <c r="R53" s="268">
        <v>0</v>
      </c>
      <c r="S53" s="268">
        <v>0</v>
      </c>
      <c r="T53" s="268">
        <v>0</v>
      </c>
      <c r="U53" s="268">
        <v>0</v>
      </c>
      <c r="V53" s="272">
        <f t="shared" si="5"/>
        <v>0</v>
      </c>
    </row>
    <row r="54" spans="1:30" x14ac:dyDescent="0.25">
      <c r="A54" s="273" t="s">
        <v>1</v>
      </c>
      <c r="B54" s="274">
        <f>SUM(B34:B53)</f>
        <v>28162.194300097664</v>
      </c>
      <c r="C54" s="274">
        <f t="shared" ref="C54:U54" si="8">SUM(C34:C53)</f>
        <v>4505.2135665151818</v>
      </c>
      <c r="D54" s="274">
        <f t="shared" si="8"/>
        <v>4458.6255461090514</v>
      </c>
      <c r="E54" s="274">
        <f t="shared" si="8"/>
        <v>25937.787031855187</v>
      </c>
      <c r="F54" s="274">
        <f t="shared" si="8"/>
        <v>12442.567329134685</v>
      </c>
      <c r="G54" s="274">
        <f t="shared" si="8"/>
        <v>61280.082511988905</v>
      </c>
      <c r="H54" s="274">
        <f t="shared" si="8"/>
        <v>3741.3345503181336</v>
      </c>
      <c r="I54" s="274">
        <f t="shared" si="8"/>
        <v>0</v>
      </c>
      <c r="J54" s="274">
        <f t="shared" si="8"/>
        <v>0</v>
      </c>
      <c r="K54" s="274">
        <f t="shared" si="8"/>
        <v>9497.0140341939659</v>
      </c>
      <c r="L54" s="274">
        <f t="shared" si="8"/>
        <v>2237.0781738079454</v>
      </c>
      <c r="M54" s="274">
        <f t="shared" si="8"/>
        <v>1995.983180563682</v>
      </c>
      <c r="N54" s="274">
        <f t="shared" si="8"/>
        <v>0</v>
      </c>
      <c r="O54" s="274">
        <f t="shared" si="8"/>
        <v>0</v>
      </c>
      <c r="P54" s="274">
        <f t="shared" si="8"/>
        <v>0</v>
      </c>
      <c r="Q54" s="274">
        <f t="shared" si="8"/>
        <v>63.220791544240278</v>
      </c>
      <c r="R54" s="274">
        <f t="shared" si="8"/>
        <v>0</v>
      </c>
      <c r="S54" s="274">
        <f t="shared" si="8"/>
        <v>0</v>
      </c>
      <c r="T54" s="274">
        <f t="shared" si="8"/>
        <v>0</v>
      </c>
      <c r="U54" s="274">
        <f t="shared" si="8"/>
        <v>0</v>
      </c>
      <c r="V54" s="272">
        <f t="shared" si="5"/>
        <v>154321.10101612867</v>
      </c>
    </row>
    <row r="55" spans="1:30" x14ac:dyDescent="0.25">
      <c r="A55" s="276"/>
      <c r="C55" s="277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</row>
    <row r="56" spans="1:30" x14ac:dyDescent="0.25">
      <c r="A56" s="276" t="s">
        <v>349</v>
      </c>
      <c r="B56" s="257" cm="1">
        <f t="array" ref="B56:U56">TRANSPOSE(targets!R30:R49)</f>
        <v>10562.920897452403</v>
      </c>
      <c r="C56" s="257">
        <v>1715.9598544955145</v>
      </c>
      <c r="D56" s="257">
        <v>1132.7540365362056</v>
      </c>
      <c r="E56" s="257">
        <v>12029.626669519586</v>
      </c>
      <c r="F56" s="257">
        <v>5919.1555407901942</v>
      </c>
      <c r="G56" s="257">
        <v>17871.022188524712</v>
      </c>
      <c r="H56" s="257">
        <v>1759.8739136356598</v>
      </c>
      <c r="I56" s="257">
        <v>0</v>
      </c>
      <c r="J56" s="257">
        <v>0</v>
      </c>
      <c r="K56" s="257">
        <v>3830.1822889821192</v>
      </c>
      <c r="L56" s="257">
        <v>491.64580539516714</v>
      </c>
      <c r="M56" s="257">
        <v>0</v>
      </c>
      <c r="N56" s="257">
        <v>0</v>
      </c>
      <c r="O56" s="257">
        <v>0</v>
      </c>
      <c r="P56" s="257">
        <v>0</v>
      </c>
      <c r="Q56" s="257">
        <v>31.705986171159939</v>
      </c>
      <c r="R56" s="257">
        <v>0</v>
      </c>
      <c r="S56" s="257">
        <v>0</v>
      </c>
      <c r="T56" s="257">
        <v>0</v>
      </c>
      <c r="U56" s="257">
        <v>0</v>
      </c>
      <c r="V56" s="268"/>
    </row>
    <row r="57" spans="1:30" x14ac:dyDescent="0.25">
      <c r="A57" s="276" t="s">
        <v>350</v>
      </c>
      <c r="B57" s="279">
        <f>B54/B56</f>
        <v>2.6661370063738628</v>
      </c>
      <c r="C57" s="279">
        <f t="shared" ref="C57" si="9">C54/C56</f>
        <v>2.6254772538601707</v>
      </c>
      <c r="D57" s="279">
        <f t="shared" ref="D57" si="10">D54/D56</f>
        <v>3.9360932755912916</v>
      </c>
      <c r="E57" s="279">
        <f t="shared" ref="E57" si="11">E54/E56</f>
        <v>2.1561589353039361</v>
      </c>
      <c r="F57" s="279">
        <f t="shared" ref="F57" si="12">F54/F56</f>
        <v>2.1020848739976903</v>
      </c>
      <c r="G57" s="279">
        <f t="shared" ref="G57" si="13">G54/G56</f>
        <v>3.4290194408318677</v>
      </c>
      <c r="H57" s="279">
        <f t="shared" ref="H57" si="14">H54/H56</f>
        <v>2.1259105674161884</v>
      </c>
      <c r="I57" s="279" t="e">
        <f t="shared" ref="I57" si="15">I54/I56</f>
        <v>#DIV/0!</v>
      </c>
      <c r="J57" s="279" t="e">
        <f t="shared" ref="J57" si="16">J54/J56</f>
        <v>#DIV/0!</v>
      </c>
      <c r="K57" s="279">
        <f t="shared" ref="K57" si="17">K54/K56</f>
        <v>2.479520116186904</v>
      </c>
      <c r="L57" s="279">
        <f t="shared" ref="L57" si="18">L54/L56</f>
        <v>4.5501825689529944</v>
      </c>
      <c r="M57" s="279" t="e">
        <f t="shared" ref="M57" si="19">M54/M56</f>
        <v>#DIV/0!</v>
      </c>
      <c r="N57" s="279" t="e">
        <f t="shared" ref="N57" si="20">N54/N56</f>
        <v>#DIV/0!</v>
      </c>
      <c r="O57" s="279" t="e">
        <f t="shared" ref="O57" si="21">O54/O56</f>
        <v>#DIV/0!</v>
      </c>
      <c r="P57" s="279" t="e">
        <f t="shared" ref="P57" si="22">P54/P56</f>
        <v>#DIV/0!</v>
      </c>
      <c r="Q57" s="279">
        <f t="shared" ref="Q57" si="23">Q54/Q56</f>
        <v>1.9939701986543632</v>
      </c>
      <c r="R57" s="279" t="e">
        <f t="shared" ref="R57" si="24">R54/R56</f>
        <v>#DIV/0!</v>
      </c>
      <c r="S57" s="279" t="e">
        <f t="shared" ref="S57" si="25">S54/S56</f>
        <v>#DIV/0!</v>
      </c>
      <c r="T57" s="279" t="e">
        <f t="shared" ref="T57" si="26">T54/T56</f>
        <v>#DIV/0!</v>
      </c>
      <c r="U57" s="279" t="e">
        <f t="shared" ref="U57" si="27">U54/U56</f>
        <v>#DIV/0!</v>
      </c>
      <c r="V57" s="268"/>
    </row>
    <row r="58" spans="1:30" x14ac:dyDescent="0.25">
      <c r="A58" s="276"/>
      <c r="B58" s="257"/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68"/>
    </row>
    <row r="59" spans="1:30" x14ac:dyDescent="0.25">
      <c r="A59" s="276" t="s">
        <v>248</v>
      </c>
      <c r="C59" s="277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</row>
    <row r="60" spans="1:30" ht="36.75" x14ac:dyDescent="0.25">
      <c r="A60" s="253" t="s">
        <v>348</v>
      </c>
      <c r="B60" s="254" t="s">
        <v>291</v>
      </c>
      <c r="C60" s="254" t="s">
        <v>292</v>
      </c>
      <c r="D60" s="254" t="s">
        <v>293</v>
      </c>
      <c r="E60" s="254" t="s">
        <v>2</v>
      </c>
      <c r="F60" s="254" t="s">
        <v>31</v>
      </c>
      <c r="G60" s="254" t="s">
        <v>294</v>
      </c>
      <c r="H60" s="254" t="s">
        <v>345</v>
      </c>
      <c r="I60" s="254" t="s">
        <v>310</v>
      </c>
      <c r="J60" s="254" t="s">
        <v>295</v>
      </c>
      <c r="K60" s="254" t="s">
        <v>296</v>
      </c>
      <c r="L60" s="254" t="s">
        <v>297</v>
      </c>
      <c r="M60" s="254" t="s">
        <v>298</v>
      </c>
      <c r="N60" s="254" t="s">
        <v>317</v>
      </c>
      <c r="O60" s="254" t="s">
        <v>311</v>
      </c>
      <c r="P60" s="254" t="s">
        <v>299</v>
      </c>
      <c r="Q60" s="254" t="s">
        <v>300</v>
      </c>
      <c r="R60" s="254" t="s">
        <v>301</v>
      </c>
      <c r="S60" s="254" t="s">
        <v>36</v>
      </c>
      <c r="T60" s="254" t="s">
        <v>302</v>
      </c>
      <c r="U60" s="254" t="s">
        <v>303</v>
      </c>
      <c r="V60" s="255" t="s">
        <v>1</v>
      </c>
      <c r="X60" s="290" t="s">
        <v>364</v>
      </c>
      <c r="Y60" s="280" t="s">
        <v>352</v>
      </c>
      <c r="Z60" s="280" t="s">
        <v>355</v>
      </c>
      <c r="AA60" s="280" t="s">
        <v>354</v>
      </c>
      <c r="AB60" s="280" t="s">
        <v>351</v>
      </c>
      <c r="AC60" s="280" t="s">
        <v>356</v>
      </c>
      <c r="AD60" s="280" t="s">
        <v>362</v>
      </c>
    </row>
    <row r="61" spans="1:30" x14ac:dyDescent="0.25">
      <c r="A61" s="256" t="s">
        <v>291</v>
      </c>
      <c r="B61" s="257">
        <v>57011.2788156526</v>
      </c>
      <c r="C61" s="257">
        <v>3377.8602795302959</v>
      </c>
      <c r="D61" s="257">
        <v>0</v>
      </c>
      <c r="E61" s="259">
        <v>0</v>
      </c>
      <c r="F61" s="259">
        <v>0</v>
      </c>
      <c r="G61" s="259">
        <v>0</v>
      </c>
      <c r="H61" s="259">
        <v>0</v>
      </c>
      <c r="I61" s="259">
        <v>0</v>
      </c>
      <c r="J61" s="259">
        <v>0</v>
      </c>
      <c r="K61" s="259">
        <v>0</v>
      </c>
      <c r="L61" s="259">
        <v>0</v>
      </c>
      <c r="M61" s="259">
        <v>0</v>
      </c>
      <c r="N61" s="259">
        <v>0</v>
      </c>
      <c r="O61" s="259">
        <v>0</v>
      </c>
      <c r="P61" s="259">
        <v>0</v>
      </c>
      <c r="Q61" s="259">
        <v>0</v>
      </c>
      <c r="R61" s="259">
        <v>0</v>
      </c>
      <c r="S61" s="259">
        <v>0</v>
      </c>
      <c r="T61" s="259">
        <v>0</v>
      </c>
      <c r="U61" s="259">
        <v>0</v>
      </c>
      <c r="V61" s="260">
        <f t="shared" ref="V61:V81" si="28">SUM(B61:U61)</f>
        <v>60389.139095182894</v>
      </c>
      <c r="X61" t="s">
        <v>40</v>
      </c>
      <c r="Y61" t="s">
        <v>359</v>
      </c>
      <c r="Z61" s="281">
        <f>G83+M83</f>
        <v>15879.274431500229</v>
      </c>
      <c r="AA61" s="281">
        <f>G81+M81</f>
        <v>35515.687610958958</v>
      </c>
      <c r="AB61">
        <f t="shared" ref="AB61:AB67" si="29">Z61/AA61</f>
        <v>0.44710592697634871</v>
      </c>
      <c r="AC61" s="282">
        <f>SUMIFS(OBS_District_Flows!K:K,OBS_District_Flows!H:H,OBS_Adjustments!Y61,OBS_District_Flows!F:F, "High School")</f>
        <v>104053.89854866928</v>
      </c>
      <c r="AD61" s="283">
        <f t="shared" ref="AD61:AD67" si="30">AC61*AB61</f>
        <v>46523.114766105726</v>
      </c>
    </row>
    <row r="62" spans="1:30" x14ac:dyDescent="0.25">
      <c r="A62" s="261" t="s">
        <v>292</v>
      </c>
      <c r="B62" s="257">
        <v>0</v>
      </c>
      <c r="C62" s="257">
        <v>94206.936917350031</v>
      </c>
      <c r="D62" s="257">
        <v>55881.110423705366</v>
      </c>
      <c r="E62" s="257">
        <v>0</v>
      </c>
      <c r="F62" s="257">
        <v>0</v>
      </c>
      <c r="G62" s="257">
        <v>5220.0271139384195</v>
      </c>
      <c r="H62" s="257">
        <v>198.89079099320944</v>
      </c>
      <c r="I62" s="257">
        <v>0</v>
      </c>
      <c r="J62" s="257">
        <v>0</v>
      </c>
      <c r="K62" s="257">
        <v>0</v>
      </c>
      <c r="L62" s="257">
        <v>0</v>
      </c>
      <c r="M62" s="259">
        <v>0</v>
      </c>
      <c r="N62" s="251">
        <v>0</v>
      </c>
      <c r="O62" s="259">
        <v>0</v>
      </c>
      <c r="P62" s="259">
        <v>0</v>
      </c>
      <c r="Q62" s="251">
        <v>0</v>
      </c>
      <c r="R62" s="259">
        <v>0</v>
      </c>
      <c r="S62" s="257">
        <v>0</v>
      </c>
      <c r="T62" s="257">
        <v>0</v>
      </c>
      <c r="U62" s="257">
        <v>0</v>
      </c>
      <c r="V62" s="260">
        <f t="shared" si="28"/>
        <v>155506.96524598703</v>
      </c>
      <c r="X62" t="s">
        <v>40</v>
      </c>
      <c r="Y62" t="s">
        <v>353</v>
      </c>
      <c r="Z62" s="281">
        <f>H83+N83</f>
        <v>603.46229592314853</v>
      </c>
      <c r="AA62" s="281">
        <f>H81+N81</f>
        <v>1114.8858599774805</v>
      </c>
      <c r="AB62">
        <f t="shared" si="29"/>
        <v>0.54127719938553875</v>
      </c>
      <c r="AC62" s="282">
        <f>SUMIFS(OBS_District_Flows!K:K,OBS_District_Flows!H:H,OBS_Adjustments!Y62,OBS_District_Flows!F:F, "High School")</f>
        <v>14192.309794837351</v>
      </c>
      <c r="AD62" s="283">
        <f t="shared" si="30"/>
        <v>7681.9736985615109</v>
      </c>
    </row>
    <row r="63" spans="1:30" ht="24.75" x14ac:dyDescent="0.25">
      <c r="A63" s="262" t="s">
        <v>293</v>
      </c>
      <c r="B63" s="257">
        <v>0</v>
      </c>
      <c r="C63" s="263">
        <v>0</v>
      </c>
      <c r="D63" s="264">
        <v>135520.63506670966</v>
      </c>
      <c r="E63" s="264">
        <v>0</v>
      </c>
      <c r="F63" s="264">
        <v>0</v>
      </c>
      <c r="G63" s="264">
        <v>923.16373834485842</v>
      </c>
      <c r="H63" s="264">
        <v>291.49963695040663</v>
      </c>
      <c r="I63" s="264">
        <v>0</v>
      </c>
      <c r="J63" s="264">
        <v>0</v>
      </c>
      <c r="K63" s="264">
        <v>0</v>
      </c>
      <c r="L63" s="264">
        <v>0</v>
      </c>
      <c r="M63" s="265">
        <v>0</v>
      </c>
      <c r="N63" s="265">
        <v>0</v>
      </c>
      <c r="O63" s="265">
        <v>0</v>
      </c>
      <c r="P63" s="265">
        <v>0</v>
      </c>
      <c r="Q63" s="265">
        <v>0</v>
      </c>
      <c r="R63" s="265">
        <v>0</v>
      </c>
      <c r="S63" s="264">
        <v>0</v>
      </c>
      <c r="T63" s="264">
        <v>0</v>
      </c>
      <c r="U63" s="264">
        <v>0</v>
      </c>
      <c r="V63" s="260">
        <f t="shared" si="28"/>
        <v>136735.29844200492</v>
      </c>
      <c r="X63" t="s">
        <v>40</v>
      </c>
      <c r="Y63" t="s">
        <v>360</v>
      </c>
      <c r="Z63" s="281">
        <f>I83+O83</f>
        <v>0</v>
      </c>
      <c r="AA63" s="281">
        <f>I81+O81</f>
        <v>0</v>
      </c>
      <c r="AB63" t="e">
        <f t="shared" si="29"/>
        <v>#DIV/0!</v>
      </c>
      <c r="AC63" s="282">
        <f>SUMIFS(OBS_District_Flows!K:K,OBS_District_Flows!H:H,OBS_Adjustments!Y63,OBS_District_Flows!F:F, "High School")</f>
        <v>11.719387755102</v>
      </c>
      <c r="AD63" s="283" t="e">
        <f t="shared" si="30"/>
        <v>#DIV/0!</v>
      </c>
    </row>
    <row r="64" spans="1:30" x14ac:dyDescent="0.25">
      <c r="A64" s="267" t="s">
        <v>2</v>
      </c>
      <c r="B64" s="257">
        <v>10.38533825969771</v>
      </c>
      <c r="C64" s="263">
        <v>5240.6409547225821</v>
      </c>
      <c r="D64" s="268">
        <v>4045.211619678289</v>
      </c>
      <c r="E64" s="268">
        <v>62383.557876300314</v>
      </c>
      <c r="F64" s="269">
        <v>1056.6687889099039</v>
      </c>
      <c r="G64" s="268">
        <v>3217.9366626853521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70">
        <v>0</v>
      </c>
      <c r="N64" s="270">
        <v>0</v>
      </c>
      <c r="O64" s="270">
        <v>0</v>
      </c>
      <c r="P64" s="270">
        <v>0</v>
      </c>
      <c r="Q64" s="270">
        <v>0</v>
      </c>
      <c r="R64" s="270">
        <v>0</v>
      </c>
      <c r="S64" s="268">
        <v>0</v>
      </c>
      <c r="T64" s="268">
        <v>0</v>
      </c>
      <c r="U64" s="268">
        <v>0</v>
      </c>
      <c r="V64" s="260">
        <f t="shared" si="28"/>
        <v>75954.401240556137</v>
      </c>
      <c r="X64" t="s">
        <v>40</v>
      </c>
      <c r="Y64" t="s">
        <v>123</v>
      </c>
      <c r="Z64" s="281">
        <f>J83+P83</f>
        <v>0</v>
      </c>
      <c r="AA64" s="281">
        <f>J81+P81</f>
        <v>0</v>
      </c>
      <c r="AB64" t="e">
        <f t="shared" si="29"/>
        <v>#DIV/0!</v>
      </c>
      <c r="AC64" s="282">
        <f>SUMIFS(OBS_District_Flows!K:K,OBS_District_Flows!H:H,OBS_Adjustments!Y64,OBS_District_Flows!F:F, "High School")</f>
        <v>2625.8791747991927</v>
      </c>
      <c r="AD64" s="283" t="e">
        <f t="shared" si="30"/>
        <v>#DIV/0!</v>
      </c>
    </row>
    <row r="65" spans="1:30" x14ac:dyDescent="0.25">
      <c r="A65" s="267" t="s">
        <v>31</v>
      </c>
      <c r="B65" s="259">
        <v>0</v>
      </c>
      <c r="C65" s="251">
        <v>0</v>
      </c>
      <c r="D65" s="271">
        <v>0</v>
      </c>
      <c r="E65" s="270">
        <v>0</v>
      </c>
      <c r="F65" s="268">
        <v>14911.65539151484</v>
      </c>
      <c r="G65" s="270">
        <v>0</v>
      </c>
      <c r="H65" s="270">
        <v>0</v>
      </c>
      <c r="I65" s="270">
        <v>0</v>
      </c>
      <c r="J65" s="270">
        <v>0</v>
      </c>
      <c r="K65" s="271">
        <v>0</v>
      </c>
      <c r="L65" s="270">
        <v>0</v>
      </c>
      <c r="M65" s="270">
        <v>0</v>
      </c>
      <c r="N65" s="270">
        <v>0</v>
      </c>
      <c r="O65" s="270">
        <v>0</v>
      </c>
      <c r="P65" s="270">
        <v>0</v>
      </c>
      <c r="Q65" s="270">
        <v>0</v>
      </c>
      <c r="R65" s="270">
        <v>0</v>
      </c>
      <c r="S65" s="270">
        <v>0</v>
      </c>
      <c r="T65" s="270">
        <v>0</v>
      </c>
      <c r="U65" s="270">
        <v>0</v>
      </c>
      <c r="V65" s="260">
        <f t="shared" si="28"/>
        <v>14911.65539151484</v>
      </c>
      <c r="X65" t="s">
        <v>40</v>
      </c>
      <c r="Y65" t="s">
        <v>124</v>
      </c>
      <c r="Z65" s="281">
        <f>K83+Q83</f>
        <v>2140.3467065990558</v>
      </c>
      <c r="AA65" s="281">
        <f>K81+Q81</f>
        <v>2254.8482030953442</v>
      </c>
      <c r="AB65">
        <f t="shared" si="29"/>
        <v>0.949219864849835</v>
      </c>
      <c r="AC65" s="282">
        <f>SUMIFS(OBS_District_Flows!K:K,OBS_District_Flows!H:H,OBS_Adjustments!Y65,OBS_District_Flows!F:F, "High School")</f>
        <v>14396.533444687127</v>
      </c>
      <c r="AD65" s="283">
        <f t="shared" si="30"/>
        <v>13665.475530672045</v>
      </c>
    </row>
    <row r="66" spans="1:30" x14ac:dyDescent="0.25">
      <c r="A66" s="267" t="s">
        <v>294</v>
      </c>
      <c r="B66" s="257">
        <v>0</v>
      </c>
      <c r="C66" s="263">
        <v>0</v>
      </c>
      <c r="D66" s="270">
        <v>0</v>
      </c>
      <c r="E66" s="268">
        <v>0</v>
      </c>
      <c r="F66" s="268">
        <v>0</v>
      </c>
      <c r="G66" s="268">
        <v>22399.606100312209</v>
      </c>
      <c r="H66" s="268">
        <v>21.033136110715883</v>
      </c>
      <c r="I66" s="268">
        <v>0</v>
      </c>
      <c r="J66" s="268">
        <v>0</v>
      </c>
      <c r="K66" s="268">
        <v>113.61065367333357</v>
      </c>
      <c r="L66" s="268">
        <v>0</v>
      </c>
      <c r="M66" s="271">
        <v>0</v>
      </c>
      <c r="N66" s="270">
        <v>0</v>
      </c>
      <c r="O66" s="270">
        <v>0</v>
      </c>
      <c r="P66" s="270">
        <v>0</v>
      </c>
      <c r="Q66" s="270">
        <v>0</v>
      </c>
      <c r="R66" s="270">
        <v>0</v>
      </c>
      <c r="S66" s="268">
        <v>0</v>
      </c>
      <c r="T66" s="268">
        <v>0</v>
      </c>
      <c r="U66" s="268">
        <v>0</v>
      </c>
      <c r="V66" s="260">
        <f t="shared" si="28"/>
        <v>22534.24989009626</v>
      </c>
      <c r="X66" t="s">
        <v>40</v>
      </c>
      <c r="Y66" t="s">
        <v>125</v>
      </c>
      <c r="Z66" s="281">
        <f>L83+R83</f>
        <v>157.48780682457382</v>
      </c>
      <c r="AA66" s="281">
        <f>L81+R81</f>
        <v>314.97561364914765</v>
      </c>
      <c r="AB66">
        <f t="shared" si="29"/>
        <v>0.5</v>
      </c>
      <c r="AC66" s="282">
        <f>SUMIFS(OBS_District_Flows!K:K,OBS_District_Flows!H:H,OBS_Adjustments!Y66,OBS_District_Flows!F:F, "High School")</f>
        <v>2285.6648878895926</v>
      </c>
      <c r="AD66" s="283">
        <f t="shared" si="30"/>
        <v>1142.8324439447963</v>
      </c>
    </row>
    <row r="67" spans="1:30" x14ac:dyDescent="0.25">
      <c r="A67" s="267" t="s">
        <v>345</v>
      </c>
      <c r="B67" s="257">
        <v>0</v>
      </c>
      <c r="C67" s="263">
        <v>0</v>
      </c>
      <c r="D67" s="268">
        <v>0</v>
      </c>
      <c r="E67" s="268">
        <v>0</v>
      </c>
      <c r="F67" s="268">
        <v>0</v>
      </c>
      <c r="G67" s="268">
        <v>0</v>
      </c>
      <c r="H67" s="268">
        <v>469.35729183290016</v>
      </c>
      <c r="I67" s="268">
        <v>0</v>
      </c>
      <c r="J67" s="268">
        <v>0</v>
      </c>
      <c r="K67" s="268">
        <v>0</v>
      </c>
      <c r="L67" s="268">
        <v>0</v>
      </c>
      <c r="M67" s="270">
        <v>0</v>
      </c>
      <c r="N67" s="270">
        <v>0</v>
      </c>
      <c r="O67" s="270">
        <v>0</v>
      </c>
      <c r="P67" s="270">
        <v>0</v>
      </c>
      <c r="Q67" s="270">
        <v>0</v>
      </c>
      <c r="R67" s="270">
        <v>0</v>
      </c>
      <c r="S67" s="268">
        <v>0</v>
      </c>
      <c r="T67" s="268">
        <v>0</v>
      </c>
      <c r="U67" s="268">
        <v>0</v>
      </c>
      <c r="V67" s="260">
        <f t="shared" si="28"/>
        <v>469.35729183290016</v>
      </c>
      <c r="X67" t="s">
        <v>40</v>
      </c>
      <c r="Y67" t="s">
        <v>363</v>
      </c>
      <c r="Z67" s="281">
        <f>SUM(Z61:Z66)</f>
        <v>18780.571240847006</v>
      </c>
      <c r="AA67" s="281">
        <f>SUM(AA61:AA66)</f>
        <v>39200.397287680935</v>
      </c>
      <c r="AB67" s="282">
        <f t="shared" si="29"/>
        <v>0.47909134958560645</v>
      </c>
      <c r="AC67" s="281">
        <f>SUM(AC61:AC66)</f>
        <v>137566.00523863762</v>
      </c>
      <c r="AD67" s="283">
        <f t="shared" si="30"/>
        <v>65906.6831068795</v>
      </c>
    </row>
    <row r="68" spans="1:30" x14ac:dyDescent="0.25">
      <c r="A68" s="267" t="s">
        <v>310</v>
      </c>
      <c r="B68" s="257">
        <v>0</v>
      </c>
      <c r="C68" s="263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70">
        <v>0</v>
      </c>
      <c r="N68" s="270">
        <v>0</v>
      </c>
      <c r="O68" s="270">
        <v>0</v>
      </c>
      <c r="P68" s="270">
        <v>0</v>
      </c>
      <c r="Q68" s="270">
        <v>0</v>
      </c>
      <c r="R68" s="270">
        <v>0</v>
      </c>
      <c r="S68" s="268">
        <v>0</v>
      </c>
      <c r="T68" s="268">
        <v>0</v>
      </c>
      <c r="U68" s="268">
        <v>0</v>
      </c>
      <c r="V68" s="260">
        <f t="shared" si="28"/>
        <v>0</v>
      </c>
    </row>
    <row r="69" spans="1:30" x14ac:dyDescent="0.25">
      <c r="A69" s="267" t="s">
        <v>295</v>
      </c>
      <c r="B69" s="257">
        <v>0</v>
      </c>
      <c r="C69" s="263">
        <v>0</v>
      </c>
      <c r="D69" s="268">
        <v>0</v>
      </c>
      <c r="E69" s="268">
        <v>0</v>
      </c>
      <c r="F69" s="268">
        <v>0</v>
      </c>
      <c r="G69" s="268">
        <v>0</v>
      </c>
      <c r="H69" s="268">
        <v>0</v>
      </c>
      <c r="I69" s="268">
        <v>0</v>
      </c>
      <c r="J69" s="268">
        <v>0</v>
      </c>
      <c r="K69" s="268">
        <v>0</v>
      </c>
      <c r="L69" s="268">
        <v>0</v>
      </c>
      <c r="M69" s="270">
        <v>0</v>
      </c>
      <c r="N69" s="270">
        <v>0</v>
      </c>
      <c r="O69" s="270">
        <v>0</v>
      </c>
      <c r="P69" s="270">
        <v>0</v>
      </c>
      <c r="Q69" s="270">
        <v>0</v>
      </c>
      <c r="R69" s="270">
        <v>0</v>
      </c>
      <c r="S69" s="268">
        <v>0</v>
      </c>
      <c r="T69" s="268">
        <v>0</v>
      </c>
      <c r="U69" s="268">
        <v>0</v>
      </c>
      <c r="V69" s="260">
        <f t="shared" si="28"/>
        <v>0</v>
      </c>
    </row>
    <row r="70" spans="1:30" x14ac:dyDescent="0.25">
      <c r="A70" s="267" t="s">
        <v>296</v>
      </c>
      <c r="B70" s="257">
        <v>0</v>
      </c>
      <c r="C70" s="263">
        <v>0</v>
      </c>
      <c r="D70" s="268">
        <v>0</v>
      </c>
      <c r="E70" s="268">
        <v>0</v>
      </c>
      <c r="F70" s="268">
        <v>0</v>
      </c>
      <c r="G70" s="268">
        <v>0</v>
      </c>
      <c r="H70" s="268">
        <v>0</v>
      </c>
      <c r="I70" s="268">
        <v>0</v>
      </c>
      <c r="J70" s="268">
        <v>0</v>
      </c>
      <c r="K70" s="268">
        <v>323.42378600433693</v>
      </c>
      <c r="L70" s="268">
        <v>0</v>
      </c>
      <c r="M70" s="270">
        <v>0</v>
      </c>
      <c r="N70" s="270">
        <v>0</v>
      </c>
      <c r="O70" s="270">
        <v>0</v>
      </c>
      <c r="P70" s="270">
        <v>0</v>
      </c>
      <c r="Q70" s="270">
        <v>0</v>
      </c>
      <c r="R70" s="270">
        <v>0</v>
      </c>
      <c r="S70" s="268">
        <v>0</v>
      </c>
      <c r="T70" s="268">
        <v>0</v>
      </c>
      <c r="U70" s="268">
        <v>0</v>
      </c>
      <c r="V70" s="260">
        <f t="shared" si="28"/>
        <v>323.42378600433693</v>
      </c>
    </row>
    <row r="71" spans="1:30" x14ac:dyDescent="0.25">
      <c r="A71" s="267" t="s">
        <v>297</v>
      </c>
      <c r="B71" s="257">
        <v>0</v>
      </c>
      <c r="C71" s="263">
        <v>0</v>
      </c>
      <c r="D71" s="268">
        <v>0</v>
      </c>
      <c r="E71" s="268">
        <v>0</v>
      </c>
      <c r="F71" s="268">
        <v>0</v>
      </c>
      <c r="G71" s="268">
        <v>0</v>
      </c>
      <c r="H71" s="268">
        <v>0</v>
      </c>
      <c r="I71" s="268">
        <v>0</v>
      </c>
      <c r="J71" s="268">
        <v>0</v>
      </c>
      <c r="K71" s="268">
        <v>0</v>
      </c>
      <c r="L71" s="268">
        <v>314.97561364914765</v>
      </c>
      <c r="M71" s="270">
        <v>0</v>
      </c>
      <c r="N71" s="270">
        <v>0</v>
      </c>
      <c r="O71" s="270">
        <v>0</v>
      </c>
      <c r="P71" s="270">
        <v>0</v>
      </c>
      <c r="Q71" s="270">
        <v>0</v>
      </c>
      <c r="R71" s="270">
        <v>0</v>
      </c>
      <c r="S71" s="268">
        <v>0</v>
      </c>
      <c r="T71" s="268">
        <v>0</v>
      </c>
      <c r="U71" s="268">
        <v>0</v>
      </c>
      <c r="V71" s="260">
        <f t="shared" si="28"/>
        <v>314.97561364914765</v>
      </c>
    </row>
    <row r="72" spans="1:30" x14ac:dyDescent="0.25">
      <c r="A72" s="267" t="s">
        <v>298</v>
      </c>
      <c r="B72" s="257">
        <v>0</v>
      </c>
      <c r="C72" s="263">
        <v>0</v>
      </c>
      <c r="D72" s="268">
        <v>0</v>
      </c>
      <c r="E72" s="268">
        <v>0</v>
      </c>
      <c r="F72" s="268">
        <v>0</v>
      </c>
      <c r="G72" s="270">
        <v>0</v>
      </c>
      <c r="H72" s="270">
        <v>0</v>
      </c>
      <c r="I72" s="270">
        <v>0</v>
      </c>
      <c r="J72" s="270">
        <v>0</v>
      </c>
      <c r="K72" s="270">
        <v>0</v>
      </c>
      <c r="L72" s="270">
        <v>0</v>
      </c>
      <c r="M72" s="268">
        <v>3754.9539956781186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0">
        <f t="shared" si="28"/>
        <v>3754.9539956781186</v>
      </c>
    </row>
    <row r="73" spans="1:30" x14ac:dyDescent="0.25">
      <c r="A73" s="267" t="s">
        <v>317</v>
      </c>
      <c r="B73" s="257">
        <v>0</v>
      </c>
      <c r="C73" s="263">
        <v>0</v>
      </c>
      <c r="D73" s="268">
        <v>0</v>
      </c>
      <c r="E73" s="268">
        <v>0</v>
      </c>
      <c r="F73" s="268">
        <v>0</v>
      </c>
      <c r="G73" s="270">
        <v>0</v>
      </c>
      <c r="H73" s="270">
        <v>0</v>
      </c>
      <c r="I73" s="270">
        <v>0</v>
      </c>
      <c r="J73" s="270">
        <v>0</v>
      </c>
      <c r="K73" s="270">
        <v>0</v>
      </c>
      <c r="L73" s="270">
        <v>0</v>
      </c>
      <c r="M73" s="268">
        <v>0</v>
      </c>
      <c r="N73" s="268">
        <v>134.1050040902484</v>
      </c>
      <c r="O73" s="268">
        <v>0</v>
      </c>
      <c r="P73" s="268">
        <v>0</v>
      </c>
      <c r="Q73" s="268">
        <v>0</v>
      </c>
      <c r="R73" s="268">
        <v>0</v>
      </c>
      <c r="S73" s="268">
        <v>0</v>
      </c>
      <c r="T73" s="268">
        <v>0</v>
      </c>
      <c r="U73" s="268">
        <v>0</v>
      </c>
      <c r="V73" s="260">
        <f t="shared" si="28"/>
        <v>134.1050040902484</v>
      </c>
    </row>
    <row r="74" spans="1:30" x14ac:dyDescent="0.25">
      <c r="A74" s="267" t="s">
        <v>311</v>
      </c>
      <c r="B74" s="257">
        <v>0</v>
      </c>
      <c r="C74" s="263">
        <v>0</v>
      </c>
      <c r="D74" s="268">
        <v>0</v>
      </c>
      <c r="E74" s="268">
        <v>0</v>
      </c>
      <c r="F74" s="268">
        <v>0</v>
      </c>
      <c r="G74" s="270">
        <v>0</v>
      </c>
      <c r="H74" s="270">
        <v>0</v>
      </c>
      <c r="I74" s="270">
        <v>0</v>
      </c>
      <c r="J74" s="270">
        <v>0</v>
      </c>
      <c r="K74" s="270">
        <v>0</v>
      </c>
      <c r="L74" s="270">
        <v>0</v>
      </c>
      <c r="M74" s="268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60">
        <f t="shared" si="28"/>
        <v>0</v>
      </c>
    </row>
    <row r="75" spans="1:30" x14ac:dyDescent="0.25">
      <c r="A75" s="267" t="s">
        <v>299</v>
      </c>
      <c r="B75" s="257">
        <v>0</v>
      </c>
      <c r="C75" s="263">
        <v>0</v>
      </c>
      <c r="D75" s="268">
        <v>0</v>
      </c>
      <c r="E75" s="268">
        <v>0</v>
      </c>
      <c r="F75" s="268">
        <v>0</v>
      </c>
      <c r="G75" s="270">
        <v>0</v>
      </c>
      <c r="H75" s="270">
        <v>0</v>
      </c>
      <c r="I75" s="270">
        <v>0</v>
      </c>
      <c r="J75" s="270">
        <v>0</v>
      </c>
      <c r="K75" s="270">
        <v>0</v>
      </c>
      <c r="L75" s="270">
        <v>0</v>
      </c>
      <c r="M75" s="268">
        <v>0</v>
      </c>
      <c r="N75" s="268">
        <v>0</v>
      </c>
      <c r="O75" s="268">
        <v>0</v>
      </c>
      <c r="P75" s="268">
        <v>0</v>
      </c>
      <c r="Q75" s="268">
        <v>0</v>
      </c>
      <c r="R75" s="268">
        <v>0</v>
      </c>
      <c r="S75" s="268">
        <v>0</v>
      </c>
      <c r="T75" s="268">
        <v>0</v>
      </c>
      <c r="U75" s="268">
        <v>0</v>
      </c>
      <c r="V75" s="260">
        <f t="shared" si="28"/>
        <v>0</v>
      </c>
    </row>
    <row r="76" spans="1:30" x14ac:dyDescent="0.25">
      <c r="A76" s="267" t="s">
        <v>300</v>
      </c>
      <c r="B76" s="257">
        <v>0</v>
      </c>
      <c r="C76" s="263">
        <v>0</v>
      </c>
      <c r="D76" s="268">
        <v>0</v>
      </c>
      <c r="E76" s="268">
        <v>0</v>
      </c>
      <c r="F76" s="268">
        <v>0</v>
      </c>
      <c r="G76" s="270">
        <v>0</v>
      </c>
      <c r="H76" s="270">
        <v>0</v>
      </c>
      <c r="I76" s="270">
        <v>0</v>
      </c>
      <c r="J76" s="270">
        <v>0</v>
      </c>
      <c r="K76" s="270">
        <v>0</v>
      </c>
      <c r="L76" s="270">
        <v>0</v>
      </c>
      <c r="M76" s="268">
        <v>0</v>
      </c>
      <c r="N76" s="268">
        <v>0</v>
      </c>
      <c r="O76" s="268">
        <v>0</v>
      </c>
      <c r="P76" s="268">
        <v>0</v>
      </c>
      <c r="Q76" s="268">
        <v>1817.8137634176737</v>
      </c>
      <c r="R76" s="268">
        <v>0</v>
      </c>
      <c r="S76" s="268">
        <v>0</v>
      </c>
      <c r="T76" s="268">
        <v>0</v>
      </c>
      <c r="U76" s="268">
        <v>0</v>
      </c>
      <c r="V76" s="260">
        <f t="shared" si="28"/>
        <v>1817.8137634176737</v>
      </c>
    </row>
    <row r="77" spans="1:30" x14ac:dyDescent="0.25">
      <c r="A77" s="267" t="s">
        <v>301</v>
      </c>
      <c r="B77" s="257">
        <v>0</v>
      </c>
      <c r="C77" s="263">
        <v>0</v>
      </c>
      <c r="D77" s="268">
        <v>0</v>
      </c>
      <c r="E77" s="268">
        <v>0</v>
      </c>
      <c r="F77" s="268">
        <v>0</v>
      </c>
      <c r="G77" s="270">
        <v>0</v>
      </c>
      <c r="H77" s="270">
        <v>0</v>
      </c>
      <c r="I77" s="270">
        <v>0</v>
      </c>
      <c r="J77" s="270">
        <v>0</v>
      </c>
      <c r="K77" s="270">
        <v>0</v>
      </c>
      <c r="L77" s="270">
        <v>0</v>
      </c>
      <c r="M77" s="268">
        <v>0</v>
      </c>
      <c r="N77" s="268">
        <v>0</v>
      </c>
      <c r="O77" s="268">
        <v>0</v>
      </c>
      <c r="P77" s="268">
        <v>0</v>
      </c>
      <c r="Q77" s="268">
        <v>0</v>
      </c>
      <c r="R77" s="268">
        <v>0</v>
      </c>
      <c r="S77" s="268">
        <v>0</v>
      </c>
      <c r="T77" s="268">
        <v>0</v>
      </c>
      <c r="U77" s="268">
        <v>0</v>
      </c>
      <c r="V77" s="260">
        <f t="shared" si="28"/>
        <v>0</v>
      </c>
    </row>
    <row r="78" spans="1:30" x14ac:dyDescent="0.25">
      <c r="A78" s="267" t="s">
        <v>36</v>
      </c>
      <c r="B78" s="257">
        <v>0</v>
      </c>
      <c r="C78" s="263">
        <v>0</v>
      </c>
      <c r="D78" s="268">
        <v>0</v>
      </c>
      <c r="E78" s="268">
        <v>0</v>
      </c>
      <c r="F78" s="268">
        <v>0</v>
      </c>
      <c r="G78" s="268">
        <v>0</v>
      </c>
      <c r="H78" s="268">
        <v>0</v>
      </c>
      <c r="I78" s="268">
        <v>0</v>
      </c>
      <c r="J78" s="268">
        <v>0</v>
      </c>
      <c r="K78" s="268">
        <v>0</v>
      </c>
      <c r="L78" s="268">
        <v>0</v>
      </c>
      <c r="M78" s="268">
        <v>0</v>
      </c>
      <c r="N78" s="268">
        <v>0</v>
      </c>
      <c r="O78" s="268">
        <v>0</v>
      </c>
      <c r="P78" s="268">
        <v>0</v>
      </c>
      <c r="Q78" s="268">
        <v>0</v>
      </c>
      <c r="R78" s="268">
        <v>0</v>
      </c>
      <c r="S78" s="268">
        <v>0</v>
      </c>
      <c r="T78" s="268">
        <v>0</v>
      </c>
      <c r="U78" s="268">
        <v>0</v>
      </c>
      <c r="V78" s="260">
        <f t="shared" si="28"/>
        <v>0</v>
      </c>
    </row>
    <row r="79" spans="1:30" x14ac:dyDescent="0.25">
      <c r="A79" s="267" t="s">
        <v>302</v>
      </c>
      <c r="B79" s="257">
        <v>0</v>
      </c>
      <c r="C79" s="263">
        <v>0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0">
        <f t="shared" si="28"/>
        <v>0</v>
      </c>
    </row>
    <row r="80" spans="1:30" x14ac:dyDescent="0.25">
      <c r="A80" s="267" t="s">
        <v>303</v>
      </c>
      <c r="B80" s="257">
        <v>0</v>
      </c>
      <c r="C80" s="263">
        <v>0</v>
      </c>
      <c r="D80" s="268">
        <v>0</v>
      </c>
      <c r="E80" s="268">
        <v>0</v>
      </c>
      <c r="F80" s="268">
        <v>0</v>
      </c>
      <c r="G80" s="268">
        <v>0</v>
      </c>
      <c r="H80" s="268">
        <v>0</v>
      </c>
      <c r="I80" s="268">
        <v>0</v>
      </c>
      <c r="J80" s="268">
        <v>0</v>
      </c>
      <c r="K80" s="268">
        <v>0</v>
      </c>
      <c r="L80" s="268">
        <v>0</v>
      </c>
      <c r="M80" s="268">
        <v>0</v>
      </c>
      <c r="N80" s="268">
        <v>0</v>
      </c>
      <c r="O80" s="268">
        <v>0</v>
      </c>
      <c r="P80" s="268">
        <v>0</v>
      </c>
      <c r="Q80" s="268">
        <v>0</v>
      </c>
      <c r="R80" s="268">
        <v>0</v>
      </c>
      <c r="S80" s="268">
        <v>0</v>
      </c>
      <c r="T80" s="268">
        <v>0</v>
      </c>
      <c r="U80" s="268">
        <v>0</v>
      </c>
      <c r="V80" s="272">
        <f t="shared" si="28"/>
        <v>0</v>
      </c>
    </row>
    <row r="81" spans="1:30" x14ac:dyDescent="0.25">
      <c r="A81" s="273" t="s">
        <v>1</v>
      </c>
      <c r="B81" s="274">
        <f>SUM(B61:B80)</f>
        <v>57021.664153912301</v>
      </c>
      <c r="C81" s="274">
        <f t="shared" ref="C81:U81" si="31">SUM(C61:C80)</f>
        <v>102825.43815160291</v>
      </c>
      <c r="D81" s="274">
        <f t="shared" si="31"/>
        <v>195446.95711009332</v>
      </c>
      <c r="E81" s="274">
        <f t="shared" si="31"/>
        <v>62383.557876300314</v>
      </c>
      <c r="F81" s="274">
        <f t="shared" si="31"/>
        <v>15968.324180424745</v>
      </c>
      <c r="G81" s="274">
        <f t="shared" si="31"/>
        <v>31760.733615280838</v>
      </c>
      <c r="H81" s="274">
        <f t="shared" si="31"/>
        <v>980.78085588723206</v>
      </c>
      <c r="I81" s="274">
        <f t="shared" si="31"/>
        <v>0</v>
      </c>
      <c r="J81" s="274">
        <f t="shared" si="31"/>
        <v>0</v>
      </c>
      <c r="K81" s="274">
        <f t="shared" si="31"/>
        <v>437.03443967767049</v>
      </c>
      <c r="L81" s="274">
        <f t="shared" si="31"/>
        <v>314.97561364914765</v>
      </c>
      <c r="M81" s="274">
        <f t="shared" si="31"/>
        <v>3754.9539956781186</v>
      </c>
      <c r="N81" s="274">
        <f t="shared" si="31"/>
        <v>134.1050040902484</v>
      </c>
      <c r="O81" s="274">
        <f t="shared" si="31"/>
        <v>0</v>
      </c>
      <c r="P81" s="274">
        <f t="shared" si="31"/>
        <v>0</v>
      </c>
      <c r="Q81" s="274">
        <f t="shared" si="31"/>
        <v>1817.8137634176737</v>
      </c>
      <c r="R81" s="274">
        <f t="shared" si="31"/>
        <v>0</v>
      </c>
      <c r="S81" s="274">
        <f t="shared" si="31"/>
        <v>0</v>
      </c>
      <c r="T81" s="274">
        <f t="shared" si="31"/>
        <v>0</v>
      </c>
      <c r="U81" s="274">
        <f t="shared" si="31"/>
        <v>0</v>
      </c>
      <c r="V81" s="272">
        <f t="shared" si="28"/>
        <v>472846.33876001439</v>
      </c>
    </row>
    <row r="82" spans="1:30" x14ac:dyDescent="0.25">
      <c r="A82" s="276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68"/>
    </row>
    <row r="83" spans="1:30" x14ac:dyDescent="0.25">
      <c r="A83" s="276" t="s">
        <v>349</v>
      </c>
      <c r="B83" s="257" cm="1">
        <f t="array" ref="B83:U83">TRANSPOSE(targets!R54:R73)</f>
        <v>23182.324659259903</v>
      </c>
      <c r="C83" s="257">
        <v>68607.621438130023</v>
      </c>
      <c r="D83" s="257">
        <v>132712.29964464175</v>
      </c>
      <c r="E83" s="257">
        <v>45460.739550190585</v>
      </c>
      <c r="F83" s="257">
        <v>11666.141371487589</v>
      </c>
      <c r="G83" s="257">
        <v>12124.32043582211</v>
      </c>
      <c r="H83" s="257">
        <v>469.35729183290016</v>
      </c>
      <c r="I83" s="257">
        <v>0</v>
      </c>
      <c r="J83" s="257">
        <v>0</v>
      </c>
      <c r="K83" s="257">
        <v>322.53294318138217</v>
      </c>
      <c r="L83" s="257">
        <v>157.48780682457382</v>
      </c>
      <c r="M83" s="257">
        <v>3754.9539956781186</v>
      </c>
      <c r="N83" s="257">
        <v>134.1050040902484</v>
      </c>
      <c r="O83" s="257">
        <v>0</v>
      </c>
      <c r="P83" s="257">
        <v>0</v>
      </c>
      <c r="Q83" s="257">
        <v>1817.8137634176737</v>
      </c>
      <c r="R83" s="257">
        <v>0</v>
      </c>
      <c r="S83" s="257">
        <v>0</v>
      </c>
      <c r="T83" s="257">
        <v>749.02954311744952</v>
      </c>
      <c r="U83" s="257">
        <v>0</v>
      </c>
      <c r="V83" s="268"/>
    </row>
    <row r="84" spans="1:30" x14ac:dyDescent="0.25">
      <c r="A84" s="276" t="s">
        <v>350</v>
      </c>
      <c r="B84" s="279">
        <f>B81/B83</f>
        <v>2.4597043218069019</v>
      </c>
      <c r="C84" s="279">
        <f t="shared" ref="C84" si="32">C81/C83</f>
        <v>1.4987465823214747</v>
      </c>
      <c r="D84" s="279">
        <f t="shared" ref="D84" si="33">D81/D83</f>
        <v>1.4727117051956267</v>
      </c>
      <c r="E84" s="279">
        <f t="shared" ref="E84" si="34">E81/E83</f>
        <v>1.3722512764541857</v>
      </c>
      <c r="F84" s="279">
        <f t="shared" ref="F84" si="35">F81/F83</f>
        <v>1.3687751306916118</v>
      </c>
      <c r="G84" s="279">
        <f t="shared" ref="G84" si="36">G81/G83</f>
        <v>2.6195887665127722</v>
      </c>
      <c r="H84" s="279">
        <f t="shared" ref="H84" si="37">H81/H83</f>
        <v>2.0896252661957324</v>
      </c>
      <c r="I84" s="279" t="e">
        <f t="shared" ref="I84" si="38">I81/I83</f>
        <v>#DIV/0!</v>
      </c>
      <c r="J84" s="279" t="e">
        <f t="shared" ref="J84" si="39">J81/J83</f>
        <v>#DIV/0!</v>
      </c>
      <c r="K84" s="279">
        <f t="shared" ref="K84" si="40">K81/K83</f>
        <v>1.3550071362226599</v>
      </c>
      <c r="L84" s="279">
        <f t="shared" ref="L84" si="41">L81/L83</f>
        <v>2</v>
      </c>
      <c r="M84" s="279">
        <f t="shared" ref="M84" si="42">M81/M83</f>
        <v>1</v>
      </c>
      <c r="N84" s="279">
        <f t="shared" ref="N84" si="43">N81/N83</f>
        <v>1</v>
      </c>
      <c r="O84" s="279" t="e">
        <f t="shared" ref="O84" si="44">O81/O83</f>
        <v>#DIV/0!</v>
      </c>
      <c r="P84" s="279" t="e">
        <f t="shared" ref="P84" si="45">P81/P83</f>
        <v>#DIV/0!</v>
      </c>
      <c r="Q84" s="279">
        <f t="shared" ref="Q84" si="46">Q81/Q83</f>
        <v>1</v>
      </c>
      <c r="R84" s="279" t="e">
        <f t="shared" ref="R84" si="47">R81/R83</f>
        <v>#DIV/0!</v>
      </c>
      <c r="S84" s="279" t="e">
        <f t="shared" ref="S84" si="48">S81/S83</f>
        <v>#DIV/0!</v>
      </c>
      <c r="T84" s="279">
        <f t="shared" ref="T84" si="49">T81/T83</f>
        <v>0</v>
      </c>
      <c r="U84" s="279" t="e">
        <f t="shared" ref="U84" si="50">U81/U83</f>
        <v>#DIV/0!</v>
      </c>
      <c r="V84" s="268"/>
    </row>
    <row r="85" spans="1:30" x14ac:dyDescent="0.25">
      <c r="A85" s="276"/>
      <c r="B85" s="279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68"/>
    </row>
    <row r="86" spans="1:30" x14ac:dyDescent="0.25">
      <c r="A86" s="276" t="s">
        <v>247</v>
      </c>
      <c r="C86" s="277"/>
      <c r="D86" s="268"/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</row>
    <row r="87" spans="1:30" ht="36.75" x14ac:dyDescent="0.25">
      <c r="A87" s="253" t="s">
        <v>348</v>
      </c>
      <c r="B87" s="254" t="s">
        <v>291</v>
      </c>
      <c r="C87" s="254" t="s">
        <v>292</v>
      </c>
      <c r="D87" s="254" t="s">
        <v>293</v>
      </c>
      <c r="E87" s="254" t="s">
        <v>2</v>
      </c>
      <c r="F87" s="254" t="s">
        <v>31</v>
      </c>
      <c r="G87" s="254" t="s">
        <v>294</v>
      </c>
      <c r="H87" s="254" t="s">
        <v>345</v>
      </c>
      <c r="I87" s="254" t="s">
        <v>310</v>
      </c>
      <c r="J87" s="254" t="s">
        <v>295</v>
      </c>
      <c r="K87" s="254" t="s">
        <v>296</v>
      </c>
      <c r="L87" s="254" t="s">
        <v>297</v>
      </c>
      <c r="M87" s="254" t="s">
        <v>298</v>
      </c>
      <c r="N87" s="254" t="s">
        <v>317</v>
      </c>
      <c r="O87" s="254" t="s">
        <v>311</v>
      </c>
      <c r="P87" s="254" t="s">
        <v>299</v>
      </c>
      <c r="Q87" s="254" t="s">
        <v>300</v>
      </c>
      <c r="R87" s="254" t="s">
        <v>301</v>
      </c>
      <c r="S87" s="254" t="s">
        <v>36</v>
      </c>
      <c r="T87" s="254" t="s">
        <v>302</v>
      </c>
      <c r="U87" s="254" t="s">
        <v>303</v>
      </c>
      <c r="V87" s="255" t="s">
        <v>1</v>
      </c>
      <c r="X87" s="290" t="s">
        <v>364</v>
      </c>
      <c r="Y87" s="280" t="s">
        <v>352</v>
      </c>
      <c r="Z87" s="280" t="s">
        <v>355</v>
      </c>
      <c r="AA87" s="280" t="s">
        <v>354</v>
      </c>
      <c r="AB87" s="280" t="s">
        <v>351</v>
      </c>
      <c r="AC87" s="280" t="s">
        <v>356</v>
      </c>
      <c r="AD87" s="280" t="s">
        <v>362</v>
      </c>
    </row>
    <row r="88" spans="1:30" x14ac:dyDescent="0.25">
      <c r="A88" s="256" t="s">
        <v>291</v>
      </c>
      <c r="B88" s="257">
        <v>2505218.2593726893</v>
      </c>
      <c r="C88" s="257">
        <v>697554.4557472138</v>
      </c>
      <c r="D88" s="257">
        <v>261864.66136649912</v>
      </c>
      <c r="E88" s="251">
        <v>0</v>
      </c>
      <c r="F88" s="251">
        <v>0</v>
      </c>
      <c r="G88" s="251">
        <v>0</v>
      </c>
      <c r="H88" s="251">
        <v>0</v>
      </c>
      <c r="I88" s="259">
        <v>0</v>
      </c>
      <c r="J88" s="251">
        <v>0</v>
      </c>
      <c r="K88" s="251">
        <v>0</v>
      </c>
      <c r="L88" s="251">
        <v>0</v>
      </c>
      <c r="M88" s="251">
        <v>0</v>
      </c>
      <c r="N88" s="251">
        <v>0</v>
      </c>
      <c r="O88" s="251">
        <v>0</v>
      </c>
      <c r="P88" s="259">
        <v>0</v>
      </c>
      <c r="Q88" s="251">
        <v>0</v>
      </c>
      <c r="R88" s="259">
        <v>0</v>
      </c>
      <c r="S88" s="251">
        <v>0</v>
      </c>
      <c r="T88" s="251">
        <v>0</v>
      </c>
      <c r="U88" s="259">
        <v>0</v>
      </c>
      <c r="V88" s="260">
        <f t="shared" ref="V88:V108" si="51">SUM(B88:U88)</f>
        <v>3464637.376486402</v>
      </c>
      <c r="X88" t="s">
        <v>365</v>
      </c>
      <c r="Y88" t="s">
        <v>359</v>
      </c>
      <c r="Z88" s="281">
        <f>G110+M110</f>
        <v>77130.114167282954</v>
      </c>
      <c r="AA88" s="281">
        <f>G108+M108</f>
        <v>150343.6659554088</v>
      </c>
      <c r="AB88">
        <f t="shared" ref="AB88:AB94" si="52">Z88/AA88</f>
        <v>0.51302536543281696</v>
      </c>
      <c r="AC88" s="282">
        <f>SUMIFS(OBS_District_Flows!K:K,OBS_District_Flows!H:H,OBS_Adjustments!Y88,OBS_District_Flows!G:G, 4)</f>
        <v>143491.00409593098</v>
      </c>
      <c r="AD88" s="283">
        <f t="shared" ref="AD88:AD94" si="53">AC88*AB88</f>
        <v>73614.524812636824</v>
      </c>
    </row>
    <row r="89" spans="1:30" x14ac:dyDescent="0.25">
      <c r="A89" s="261" t="s">
        <v>292</v>
      </c>
      <c r="B89" s="257">
        <v>0</v>
      </c>
      <c r="C89" s="257">
        <v>1570410.9046762115</v>
      </c>
      <c r="D89" s="257">
        <v>221519.96798517631</v>
      </c>
      <c r="E89" s="257">
        <v>0</v>
      </c>
      <c r="F89" s="257">
        <v>0</v>
      </c>
      <c r="G89" s="257">
        <v>1981.0486091745167</v>
      </c>
      <c r="H89" s="257">
        <v>95.483196664854546</v>
      </c>
      <c r="I89" s="257">
        <v>0</v>
      </c>
      <c r="J89" s="257">
        <v>0</v>
      </c>
      <c r="K89" s="257">
        <v>6618.2047945289332</v>
      </c>
      <c r="L89" s="257">
        <v>1162.2641487420522</v>
      </c>
      <c r="M89" s="259">
        <v>0</v>
      </c>
      <c r="N89" s="259">
        <v>0</v>
      </c>
      <c r="O89" s="259">
        <v>0</v>
      </c>
      <c r="P89" s="259">
        <v>0</v>
      </c>
      <c r="Q89" s="251">
        <v>0</v>
      </c>
      <c r="R89" s="259">
        <v>0</v>
      </c>
      <c r="S89" s="257">
        <v>97.728172937654222</v>
      </c>
      <c r="T89" s="257">
        <v>4325.3009660091775</v>
      </c>
      <c r="U89" s="257">
        <v>0</v>
      </c>
      <c r="V89" s="260">
        <f t="shared" si="51"/>
        <v>1806210.9025494449</v>
      </c>
      <c r="X89" t="s">
        <v>365</v>
      </c>
      <c r="Y89" t="s">
        <v>353</v>
      </c>
      <c r="Z89" s="281">
        <f>H110+N110</f>
        <v>11805.343462152579</v>
      </c>
      <c r="AA89" s="281">
        <f>H108+N108</f>
        <v>30818.519951429967</v>
      </c>
      <c r="AB89">
        <f t="shared" si="52"/>
        <v>0.38306003924775811</v>
      </c>
      <c r="AC89" s="282">
        <f>SUMIFS(OBS_District_Flows!K:K,OBS_District_Flows!H:H,OBS_Adjustments!Y89,OBS_District_Flows!G:G, 4)</f>
        <v>39497.563866075361</v>
      </c>
      <c r="AD89" s="283">
        <f t="shared" si="53"/>
        <v>15129.93836472966</v>
      </c>
    </row>
    <row r="90" spans="1:30" ht="24.75" x14ac:dyDescent="0.25">
      <c r="A90" s="262" t="s">
        <v>293</v>
      </c>
      <c r="B90" s="257">
        <v>0</v>
      </c>
      <c r="C90" s="263">
        <v>0</v>
      </c>
      <c r="D90" s="264">
        <v>732182.06651445385</v>
      </c>
      <c r="E90" s="264">
        <v>0</v>
      </c>
      <c r="F90" s="264">
        <v>0</v>
      </c>
      <c r="G90" s="264">
        <v>336.03320107344962</v>
      </c>
      <c r="H90" s="264">
        <v>0</v>
      </c>
      <c r="I90" s="264">
        <v>0</v>
      </c>
      <c r="J90" s="264">
        <v>0</v>
      </c>
      <c r="K90" s="264">
        <v>235.39358934987865</v>
      </c>
      <c r="L90" s="264">
        <v>0</v>
      </c>
      <c r="M90" s="265">
        <v>0</v>
      </c>
      <c r="N90" s="265">
        <v>0</v>
      </c>
      <c r="O90" s="265">
        <v>0</v>
      </c>
      <c r="P90" s="265">
        <v>0</v>
      </c>
      <c r="Q90" s="265">
        <v>0</v>
      </c>
      <c r="R90" s="265">
        <v>0</v>
      </c>
      <c r="S90" s="264">
        <v>0</v>
      </c>
      <c r="T90" s="264">
        <v>6835.7102891047261</v>
      </c>
      <c r="U90" s="264">
        <v>0</v>
      </c>
      <c r="V90" s="260">
        <f t="shared" si="51"/>
        <v>739589.20359398192</v>
      </c>
      <c r="X90" t="s">
        <v>365</v>
      </c>
      <c r="Y90" t="s">
        <v>360</v>
      </c>
      <c r="Z90" s="281">
        <f>I110+O110</f>
        <v>132.9385103197464</v>
      </c>
      <c r="AA90" s="281">
        <f>I108+O108</f>
        <v>265.8770206394928</v>
      </c>
      <c r="AB90">
        <f t="shared" si="52"/>
        <v>0.5</v>
      </c>
      <c r="AC90" s="282">
        <f>SUMIFS(OBS_District_Flows!K:K,OBS_District_Flows!H:H,OBS_Adjustments!Y90,OBS_District_Flows!G:G, 4)</f>
        <v>112.87124187214282</v>
      </c>
      <c r="AD90" s="283">
        <f t="shared" si="53"/>
        <v>56.435620936071409</v>
      </c>
    </row>
    <row r="91" spans="1:30" x14ac:dyDescent="0.25">
      <c r="A91" s="267" t="s">
        <v>2</v>
      </c>
      <c r="B91" s="257">
        <v>46475.450472859069</v>
      </c>
      <c r="C91" s="263">
        <v>49075.986431325895</v>
      </c>
      <c r="D91" s="268">
        <v>50693.55319457093</v>
      </c>
      <c r="E91" s="268">
        <v>425070.63853340497</v>
      </c>
      <c r="F91" s="269">
        <v>6517.5125134555492</v>
      </c>
      <c r="G91" s="268">
        <v>38927.56142858669</v>
      </c>
      <c r="H91" s="268">
        <v>5294.4017931935041</v>
      </c>
      <c r="I91" s="268">
        <v>102.91349200709024</v>
      </c>
      <c r="J91" s="268">
        <v>576.85840908645434</v>
      </c>
      <c r="K91" s="268">
        <v>6537.092478227657</v>
      </c>
      <c r="L91" s="268">
        <v>388.54179176267496</v>
      </c>
      <c r="M91" s="270">
        <v>0</v>
      </c>
      <c r="N91" s="271">
        <v>0</v>
      </c>
      <c r="O91" s="270">
        <v>0</v>
      </c>
      <c r="P91" s="270">
        <v>0</v>
      </c>
      <c r="Q91" s="271">
        <v>0</v>
      </c>
      <c r="R91" s="270">
        <v>0</v>
      </c>
      <c r="S91" s="268">
        <v>251.35087277419979</v>
      </c>
      <c r="T91" s="268">
        <v>1930.2185785373708</v>
      </c>
      <c r="U91" s="268">
        <v>158.58798642963697</v>
      </c>
      <c r="V91" s="260">
        <f t="shared" si="51"/>
        <v>632000.66797622177</v>
      </c>
      <c r="X91" t="s">
        <v>365</v>
      </c>
      <c r="Y91" t="s">
        <v>123</v>
      </c>
      <c r="Z91" s="281">
        <f>J110+P110</f>
        <v>1382.8786831303612</v>
      </c>
      <c r="AA91" s="281">
        <f>J108+P108</f>
        <v>2966.9787869196671</v>
      </c>
      <c r="AB91">
        <f t="shared" si="52"/>
        <v>0.46608984507303236</v>
      </c>
      <c r="AC91" s="282">
        <f>SUMIFS(OBS_District_Flows!K:K,OBS_District_Flows!H:H,OBS_Adjustments!Y91,OBS_District_Flows!G:G, 4)</f>
        <v>3129.3916019123803</v>
      </c>
      <c r="AD91" s="283">
        <f t="shared" si="53"/>
        <v>1458.57764690819</v>
      </c>
    </row>
    <row r="92" spans="1:30" x14ac:dyDescent="0.25">
      <c r="A92" s="267" t="s">
        <v>31</v>
      </c>
      <c r="B92" s="251">
        <v>0</v>
      </c>
      <c r="C92" s="251">
        <v>0</v>
      </c>
      <c r="D92" s="270">
        <v>0</v>
      </c>
      <c r="E92" s="270">
        <v>0</v>
      </c>
      <c r="F92" s="268">
        <v>179433.68565808388</v>
      </c>
      <c r="G92" s="271">
        <v>0</v>
      </c>
      <c r="H92" s="271">
        <v>0</v>
      </c>
      <c r="I92" s="270">
        <v>0</v>
      </c>
      <c r="J92" s="271">
        <v>0</v>
      </c>
      <c r="K92" s="270">
        <v>0</v>
      </c>
      <c r="L92" s="271">
        <v>0</v>
      </c>
      <c r="M92" s="270">
        <v>0</v>
      </c>
      <c r="N92" s="270">
        <v>0</v>
      </c>
      <c r="O92" s="270">
        <v>0</v>
      </c>
      <c r="P92" s="270">
        <v>0</v>
      </c>
      <c r="Q92" s="270">
        <v>0</v>
      </c>
      <c r="R92" s="270">
        <v>0</v>
      </c>
      <c r="S92" s="270">
        <v>0</v>
      </c>
      <c r="T92" s="271">
        <v>0</v>
      </c>
      <c r="U92" s="270">
        <v>0</v>
      </c>
      <c r="V92" s="260">
        <f t="shared" si="51"/>
        <v>179433.68565808388</v>
      </c>
      <c r="X92" t="s">
        <v>365</v>
      </c>
      <c r="Y92" t="s">
        <v>124</v>
      </c>
      <c r="Z92" s="281">
        <f>K110+Q110</f>
        <v>15138.537870796945</v>
      </c>
      <c r="AA92" s="281">
        <f>K108+Q108</f>
        <v>45554.409785021388</v>
      </c>
      <c r="AB92">
        <f t="shared" si="52"/>
        <v>0.33231772603877757</v>
      </c>
      <c r="AC92" s="282">
        <f>SUMIFS(OBS_District_Flows!K:K,OBS_District_Flows!H:H,OBS_Adjustments!Y92,OBS_District_Flows!G:G, 4)</f>
        <v>21335.34391622763</v>
      </c>
      <c r="AD92" s="283">
        <f t="shared" si="53"/>
        <v>7090.1129744960335</v>
      </c>
    </row>
    <row r="93" spans="1:30" x14ac:dyDescent="0.25">
      <c r="A93" s="267" t="s">
        <v>294</v>
      </c>
      <c r="B93" s="257">
        <v>0</v>
      </c>
      <c r="C93" s="263">
        <v>0</v>
      </c>
      <c r="D93" s="270">
        <v>0</v>
      </c>
      <c r="E93" s="268">
        <v>0</v>
      </c>
      <c r="F93" s="268">
        <v>0</v>
      </c>
      <c r="G93" s="268">
        <v>93306.405676584502</v>
      </c>
      <c r="H93" s="268">
        <v>4554.3521645462306</v>
      </c>
      <c r="I93" s="268">
        <v>0</v>
      </c>
      <c r="J93" s="268">
        <v>267.48047485562381</v>
      </c>
      <c r="K93" s="268">
        <v>160.67447137338866</v>
      </c>
      <c r="L93" s="268">
        <v>160.8682791614265</v>
      </c>
      <c r="M93" s="270">
        <v>0</v>
      </c>
      <c r="N93" s="270">
        <v>0</v>
      </c>
      <c r="O93" s="270">
        <v>0</v>
      </c>
      <c r="P93" s="270">
        <v>0</v>
      </c>
      <c r="Q93" s="270">
        <v>0</v>
      </c>
      <c r="R93" s="270">
        <v>0</v>
      </c>
      <c r="S93" s="268">
        <v>0</v>
      </c>
      <c r="T93" s="268">
        <v>0</v>
      </c>
      <c r="U93" s="268">
        <v>0</v>
      </c>
      <c r="V93" s="260">
        <f t="shared" si="51"/>
        <v>98449.781066521173</v>
      </c>
      <c r="X93" t="s">
        <v>365</v>
      </c>
      <c r="Y93" t="s">
        <v>125</v>
      </c>
      <c r="Z93" s="281">
        <f>L110+R110</f>
        <v>1900.088291384965</v>
      </c>
      <c r="AA93" s="281">
        <f>L108+R108</f>
        <v>3337.1596997728557</v>
      </c>
      <c r="AB93">
        <f t="shared" si="52"/>
        <v>0.56937289861024476</v>
      </c>
      <c r="AC93" s="282">
        <f>SUMIFS(OBS_District_Flows!K:K,OBS_District_Flows!H:H,OBS_Adjustments!Y93,OBS_District_Flows!G:G, 4)</f>
        <v>1355.6616604312953</v>
      </c>
      <c r="AD93" s="283">
        <f t="shared" si="53"/>
        <v>771.87700913454398</v>
      </c>
    </row>
    <row r="94" spans="1:30" x14ac:dyDescent="0.25">
      <c r="A94" s="267" t="s">
        <v>345</v>
      </c>
      <c r="B94" s="257">
        <v>0</v>
      </c>
      <c r="C94" s="263">
        <v>0</v>
      </c>
      <c r="D94" s="268">
        <v>0</v>
      </c>
      <c r="E94" s="268">
        <v>0</v>
      </c>
      <c r="F94" s="268">
        <v>0</v>
      </c>
      <c r="G94" s="268">
        <v>0</v>
      </c>
      <c r="H94" s="268">
        <v>20146.259676187496</v>
      </c>
      <c r="I94" s="268">
        <v>0</v>
      </c>
      <c r="J94" s="268">
        <v>40.062701728945441</v>
      </c>
      <c r="K94" s="268">
        <v>58.731073236068923</v>
      </c>
      <c r="L94" s="268">
        <v>0</v>
      </c>
      <c r="M94" s="270">
        <v>0</v>
      </c>
      <c r="N94" s="271">
        <v>0</v>
      </c>
      <c r="O94" s="270">
        <v>0</v>
      </c>
      <c r="P94" s="271">
        <v>0</v>
      </c>
      <c r="Q94" s="270">
        <v>0</v>
      </c>
      <c r="R94" s="270">
        <v>0</v>
      </c>
      <c r="S94" s="268">
        <v>0</v>
      </c>
      <c r="T94" s="268">
        <v>0</v>
      </c>
      <c r="U94" s="268">
        <v>0</v>
      </c>
      <c r="V94" s="260">
        <f t="shared" si="51"/>
        <v>20245.053451152507</v>
      </c>
      <c r="X94" t="s">
        <v>365</v>
      </c>
      <c r="Y94" t="s">
        <v>363</v>
      </c>
      <c r="Z94" s="281">
        <f>SUM(Z88:Z93)</f>
        <v>107489.90098506755</v>
      </c>
      <c r="AA94" s="281">
        <f>SUM(AA88:AA93)</f>
        <v>233286.61119919218</v>
      </c>
      <c r="AB94" s="282">
        <f t="shared" si="52"/>
        <v>0.46076326640660537</v>
      </c>
      <c r="AC94" s="282">
        <f>SUM(AC88:AC93)</f>
        <v>208921.83638244981</v>
      </c>
      <c r="AD94" s="283">
        <f t="shared" si="53"/>
        <v>96263.507755243932</v>
      </c>
    </row>
    <row r="95" spans="1:30" x14ac:dyDescent="0.25">
      <c r="A95" s="267" t="s">
        <v>310</v>
      </c>
      <c r="B95" s="257">
        <v>0</v>
      </c>
      <c r="C95" s="263">
        <v>0</v>
      </c>
      <c r="D95" s="268">
        <v>0</v>
      </c>
      <c r="E95" s="268">
        <v>0</v>
      </c>
      <c r="F95" s="268">
        <v>0</v>
      </c>
      <c r="G95" s="268">
        <v>0</v>
      </c>
      <c r="H95" s="268">
        <v>0</v>
      </c>
      <c r="I95" s="268">
        <v>102.91349200709024</v>
      </c>
      <c r="J95" s="268">
        <v>0</v>
      </c>
      <c r="K95" s="268">
        <v>0</v>
      </c>
      <c r="L95" s="268">
        <v>0</v>
      </c>
      <c r="M95" s="270">
        <v>0</v>
      </c>
      <c r="N95" s="270">
        <v>0</v>
      </c>
      <c r="O95" s="270">
        <v>0</v>
      </c>
      <c r="P95" s="270">
        <v>0</v>
      </c>
      <c r="Q95" s="270">
        <v>0</v>
      </c>
      <c r="R95" s="270">
        <v>0</v>
      </c>
      <c r="S95" s="268">
        <v>0</v>
      </c>
      <c r="T95" s="268">
        <v>0</v>
      </c>
      <c r="U95" s="268">
        <v>0</v>
      </c>
      <c r="V95" s="260">
        <f t="shared" si="51"/>
        <v>102.91349200709024</v>
      </c>
    </row>
    <row r="96" spans="1:30" x14ac:dyDescent="0.25">
      <c r="A96" s="267" t="s">
        <v>295</v>
      </c>
      <c r="B96" s="257">
        <v>0</v>
      </c>
      <c r="C96" s="263">
        <v>0</v>
      </c>
      <c r="D96" s="268">
        <v>0</v>
      </c>
      <c r="E96" s="268">
        <v>0</v>
      </c>
      <c r="F96" s="268">
        <v>0</v>
      </c>
      <c r="G96" s="268">
        <v>0</v>
      </c>
      <c r="H96" s="268">
        <v>0</v>
      </c>
      <c r="I96" s="268">
        <v>0</v>
      </c>
      <c r="J96" s="268">
        <v>1866.8302665433182</v>
      </c>
      <c r="K96" s="268">
        <v>5606.8654867881942</v>
      </c>
      <c r="L96" s="268">
        <v>0</v>
      </c>
      <c r="M96" s="270">
        <v>0</v>
      </c>
      <c r="N96" s="270">
        <v>0</v>
      </c>
      <c r="O96" s="270">
        <v>0</v>
      </c>
      <c r="P96" s="271">
        <v>0</v>
      </c>
      <c r="Q96" s="270">
        <v>0</v>
      </c>
      <c r="R96" s="270">
        <v>0</v>
      </c>
      <c r="S96" s="268">
        <v>0</v>
      </c>
      <c r="T96" s="268">
        <v>0</v>
      </c>
      <c r="U96" s="268">
        <v>0</v>
      </c>
      <c r="V96" s="260">
        <f t="shared" si="51"/>
        <v>7473.6957533315126</v>
      </c>
    </row>
    <row r="97" spans="1:22" x14ac:dyDescent="0.25">
      <c r="A97" s="267" t="s">
        <v>296</v>
      </c>
      <c r="B97" s="257">
        <v>0</v>
      </c>
      <c r="C97" s="263">
        <v>0</v>
      </c>
      <c r="D97" s="268">
        <v>0</v>
      </c>
      <c r="E97" s="268">
        <v>0</v>
      </c>
      <c r="F97" s="268">
        <v>0</v>
      </c>
      <c r="G97" s="268">
        <v>0</v>
      </c>
      <c r="H97" s="268">
        <v>0</v>
      </c>
      <c r="I97" s="268">
        <v>0</v>
      </c>
      <c r="J97" s="268">
        <v>0</v>
      </c>
      <c r="K97" s="268">
        <v>21093.424651054578</v>
      </c>
      <c r="L97" s="268">
        <v>0</v>
      </c>
      <c r="M97" s="270">
        <v>0</v>
      </c>
      <c r="N97" s="270">
        <v>0</v>
      </c>
      <c r="O97" s="270">
        <v>0</v>
      </c>
      <c r="P97" s="270">
        <v>0</v>
      </c>
      <c r="Q97" s="271">
        <v>0</v>
      </c>
      <c r="R97" s="270">
        <v>0</v>
      </c>
      <c r="S97" s="268">
        <v>0</v>
      </c>
      <c r="T97" s="268">
        <v>0</v>
      </c>
      <c r="U97" s="268">
        <v>0</v>
      </c>
      <c r="V97" s="260">
        <f t="shared" si="51"/>
        <v>21093.424651054578</v>
      </c>
    </row>
    <row r="98" spans="1:22" x14ac:dyDescent="0.25">
      <c r="A98" s="267" t="s">
        <v>297</v>
      </c>
      <c r="B98" s="257">
        <v>0</v>
      </c>
      <c r="C98" s="263">
        <v>0</v>
      </c>
      <c r="D98" s="268">
        <v>0</v>
      </c>
      <c r="E98" s="268">
        <v>0</v>
      </c>
      <c r="F98" s="268">
        <v>0</v>
      </c>
      <c r="G98" s="268">
        <v>0</v>
      </c>
      <c r="H98" s="268">
        <v>0</v>
      </c>
      <c r="I98" s="268">
        <v>0</v>
      </c>
      <c r="J98" s="268">
        <v>0</v>
      </c>
      <c r="K98" s="268">
        <v>0</v>
      </c>
      <c r="L98" s="268">
        <v>1601.7669440944405</v>
      </c>
      <c r="M98" s="270">
        <v>0</v>
      </c>
      <c r="N98" s="270">
        <v>0</v>
      </c>
      <c r="O98" s="270">
        <v>0</v>
      </c>
      <c r="P98" s="270">
        <v>0</v>
      </c>
      <c r="Q98" s="270">
        <v>0</v>
      </c>
      <c r="R98" s="270">
        <v>0</v>
      </c>
      <c r="S98" s="268">
        <v>0</v>
      </c>
      <c r="T98" s="268">
        <v>0</v>
      </c>
      <c r="U98" s="268">
        <v>0</v>
      </c>
      <c r="V98" s="260">
        <f t="shared" si="51"/>
        <v>1601.7669440944405</v>
      </c>
    </row>
    <row r="99" spans="1:22" x14ac:dyDescent="0.25">
      <c r="A99" s="267" t="s">
        <v>298</v>
      </c>
      <c r="B99" s="257">
        <v>0</v>
      </c>
      <c r="C99" s="263">
        <v>0</v>
      </c>
      <c r="D99" s="268">
        <v>0</v>
      </c>
      <c r="E99" s="268">
        <v>0</v>
      </c>
      <c r="F99" s="268">
        <v>0</v>
      </c>
      <c r="G99" s="270">
        <v>0</v>
      </c>
      <c r="H99" s="270">
        <v>0</v>
      </c>
      <c r="I99" s="270">
        <v>0</v>
      </c>
      <c r="J99" s="270">
        <v>0</v>
      </c>
      <c r="K99" s="270">
        <v>0</v>
      </c>
      <c r="L99" s="270">
        <v>0</v>
      </c>
      <c r="M99" s="268">
        <v>983.2128888293413</v>
      </c>
      <c r="N99" s="268">
        <v>0</v>
      </c>
      <c r="O99" s="268">
        <v>0</v>
      </c>
      <c r="P99" s="268">
        <v>129.33276099947329</v>
      </c>
      <c r="Q99" s="268">
        <v>0</v>
      </c>
      <c r="R99" s="268">
        <v>0</v>
      </c>
      <c r="S99" s="268">
        <v>0</v>
      </c>
      <c r="T99" s="268">
        <v>0</v>
      </c>
      <c r="U99" s="268">
        <v>0</v>
      </c>
      <c r="V99" s="260">
        <f t="shared" si="51"/>
        <v>1112.5456498288145</v>
      </c>
    </row>
    <row r="100" spans="1:22" x14ac:dyDescent="0.25">
      <c r="A100" s="267" t="s">
        <v>317</v>
      </c>
      <c r="B100" s="257">
        <v>0</v>
      </c>
      <c r="C100" s="263">
        <v>0</v>
      </c>
      <c r="D100" s="268">
        <v>0</v>
      </c>
      <c r="E100" s="268">
        <v>0</v>
      </c>
      <c r="F100" s="268">
        <v>0</v>
      </c>
      <c r="G100" s="270">
        <v>0</v>
      </c>
      <c r="H100" s="271">
        <v>0</v>
      </c>
      <c r="I100" s="270">
        <v>0</v>
      </c>
      <c r="J100" s="271">
        <v>0</v>
      </c>
      <c r="K100" s="270">
        <v>0</v>
      </c>
      <c r="L100" s="270">
        <v>0</v>
      </c>
      <c r="M100" s="268">
        <v>0</v>
      </c>
      <c r="N100" s="268">
        <v>444.68305205157037</v>
      </c>
      <c r="O100" s="268">
        <v>0</v>
      </c>
      <c r="P100" s="268">
        <v>0</v>
      </c>
      <c r="Q100" s="268">
        <v>0</v>
      </c>
      <c r="R100" s="268">
        <v>0</v>
      </c>
      <c r="S100" s="268">
        <v>0</v>
      </c>
      <c r="T100" s="268">
        <v>0</v>
      </c>
      <c r="U100" s="268">
        <v>0</v>
      </c>
      <c r="V100" s="260">
        <f t="shared" si="51"/>
        <v>444.68305205157037</v>
      </c>
    </row>
    <row r="101" spans="1:22" x14ac:dyDescent="0.25">
      <c r="A101" s="267" t="s">
        <v>311</v>
      </c>
      <c r="B101" s="257">
        <v>0</v>
      </c>
      <c r="C101" s="263">
        <v>0</v>
      </c>
      <c r="D101" s="268">
        <v>0</v>
      </c>
      <c r="E101" s="268">
        <v>0</v>
      </c>
      <c r="F101" s="268">
        <v>0</v>
      </c>
      <c r="G101" s="270">
        <v>0</v>
      </c>
      <c r="H101" s="270">
        <v>0</v>
      </c>
      <c r="I101" s="270">
        <v>0</v>
      </c>
      <c r="J101" s="270">
        <v>0</v>
      </c>
      <c r="K101" s="270">
        <v>0</v>
      </c>
      <c r="L101" s="270">
        <v>0</v>
      </c>
      <c r="M101" s="268">
        <v>0</v>
      </c>
      <c r="N101" s="268">
        <v>0</v>
      </c>
      <c r="O101" s="268">
        <v>60.050036625312295</v>
      </c>
      <c r="P101" s="268">
        <v>0</v>
      </c>
      <c r="Q101" s="268">
        <v>0</v>
      </c>
      <c r="R101" s="268">
        <v>0</v>
      </c>
      <c r="S101" s="268">
        <v>0</v>
      </c>
      <c r="T101" s="268">
        <v>0</v>
      </c>
      <c r="U101" s="268">
        <v>0</v>
      </c>
      <c r="V101" s="260">
        <f t="shared" si="51"/>
        <v>60.050036625312295</v>
      </c>
    </row>
    <row r="102" spans="1:22" x14ac:dyDescent="0.25">
      <c r="A102" s="267" t="s">
        <v>299</v>
      </c>
      <c r="B102" s="257">
        <v>0</v>
      </c>
      <c r="C102" s="263">
        <v>0</v>
      </c>
      <c r="D102" s="268">
        <v>0</v>
      </c>
      <c r="E102" s="268">
        <v>0</v>
      </c>
      <c r="F102" s="268">
        <v>0</v>
      </c>
      <c r="G102" s="270">
        <v>0</v>
      </c>
      <c r="H102" s="270">
        <v>0</v>
      </c>
      <c r="I102" s="270">
        <v>0</v>
      </c>
      <c r="J102" s="270">
        <v>0</v>
      </c>
      <c r="K102" s="270">
        <v>0</v>
      </c>
      <c r="L102" s="270">
        <v>0</v>
      </c>
      <c r="M102" s="268">
        <v>0</v>
      </c>
      <c r="N102" s="268">
        <v>0</v>
      </c>
      <c r="O102" s="268">
        <v>0</v>
      </c>
      <c r="P102" s="268">
        <v>0</v>
      </c>
      <c r="Q102" s="268">
        <v>0</v>
      </c>
      <c r="R102" s="268">
        <v>0</v>
      </c>
      <c r="S102" s="268">
        <v>0</v>
      </c>
      <c r="T102" s="268">
        <v>0</v>
      </c>
      <c r="U102" s="268">
        <v>0</v>
      </c>
      <c r="V102" s="260">
        <f t="shared" si="51"/>
        <v>0</v>
      </c>
    </row>
    <row r="103" spans="1:22" x14ac:dyDescent="0.25">
      <c r="A103" s="267" t="s">
        <v>300</v>
      </c>
      <c r="B103" s="257">
        <v>0</v>
      </c>
      <c r="C103" s="263">
        <v>0</v>
      </c>
      <c r="D103" s="268">
        <v>0</v>
      </c>
      <c r="E103" s="268">
        <v>0</v>
      </c>
      <c r="F103" s="268">
        <v>0</v>
      </c>
      <c r="G103" s="270">
        <v>0</v>
      </c>
      <c r="H103" s="270">
        <v>0</v>
      </c>
      <c r="I103" s="270">
        <v>0</v>
      </c>
      <c r="J103" s="270">
        <v>0</v>
      </c>
      <c r="K103" s="271">
        <v>0</v>
      </c>
      <c r="L103" s="270">
        <v>0</v>
      </c>
      <c r="M103" s="268">
        <v>0</v>
      </c>
      <c r="N103" s="268">
        <v>0</v>
      </c>
      <c r="O103" s="268">
        <v>0</v>
      </c>
      <c r="P103" s="268">
        <v>0</v>
      </c>
      <c r="Q103" s="268">
        <v>4918.5262736837058</v>
      </c>
      <c r="R103" s="268">
        <v>0</v>
      </c>
      <c r="S103" s="268">
        <v>0</v>
      </c>
      <c r="T103" s="268">
        <v>0</v>
      </c>
      <c r="U103" s="268">
        <v>0</v>
      </c>
      <c r="V103" s="260">
        <f t="shared" si="51"/>
        <v>4918.5262736837058</v>
      </c>
    </row>
    <row r="104" spans="1:22" x14ac:dyDescent="0.25">
      <c r="A104" s="267" t="s">
        <v>301</v>
      </c>
      <c r="B104" s="257">
        <v>0</v>
      </c>
      <c r="C104" s="263">
        <v>0</v>
      </c>
      <c r="D104" s="268">
        <v>0</v>
      </c>
      <c r="E104" s="268">
        <v>0</v>
      </c>
      <c r="F104" s="268">
        <v>0</v>
      </c>
      <c r="G104" s="270">
        <v>0</v>
      </c>
      <c r="H104" s="270">
        <v>0</v>
      </c>
      <c r="I104" s="270">
        <v>0</v>
      </c>
      <c r="J104" s="270">
        <v>0</v>
      </c>
      <c r="K104" s="270">
        <v>0</v>
      </c>
      <c r="L104" s="270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268">
        <v>0</v>
      </c>
      <c r="V104" s="260">
        <f t="shared" si="51"/>
        <v>0</v>
      </c>
    </row>
    <row r="105" spans="1:22" x14ac:dyDescent="0.25">
      <c r="A105" s="267" t="s">
        <v>36</v>
      </c>
      <c r="B105" s="257">
        <v>0</v>
      </c>
      <c r="C105" s="263">
        <v>0</v>
      </c>
      <c r="D105" s="268">
        <v>0</v>
      </c>
      <c r="E105" s="268">
        <v>0</v>
      </c>
      <c r="F105" s="268">
        <v>0</v>
      </c>
      <c r="G105" s="268">
        <v>204.24479674789831</v>
      </c>
      <c r="H105" s="268">
        <v>126.29849502312197</v>
      </c>
      <c r="I105" s="268">
        <v>0</v>
      </c>
      <c r="J105" s="268">
        <v>0</v>
      </c>
      <c r="K105" s="268">
        <v>0</v>
      </c>
      <c r="L105" s="268">
        <v>0</v>
      </c>
      <c r="M105" s="268">
        <v>0</v>
      </c>
      <c r="N105" s="268">
        <v>0</v>
      </c>
      <c r="O105" s="268">
        <v>0</v>
      </c>
      <c r="P105" s="268">
        <v>0</v>
      </c>
      <c r="Q105" s="268">
        <v>0</v>
      </c>
      <c r="R105" s="268">
        <v>0</v>
      </c>
      <c r="S105" s="268">
        <v>1360.949866591018</v>
      </c>
      <c r="T105" s="268">
        <v>480.74622895656171</v>
      </c>
      <c r="U105" s="268">
        <v>0</v>
      </c>
      <c r="V105" s="260">
        <f t="shared" si="51"/>
        <v>2172.2393873186002</v>
      </c>
    </row>
    <row r="106" spans="1:22" x14ac:dyDescent="0.25">
      <c r="A106" s="267" t="s">
        <v>302</v>
      </c>
      <c r="B106" s="257">
        <v>0</v>
      </c>
      <c r="C106" s="263">
        <v>0</v>
      </c>
      <c r="D106" s="268">
        <v>0</v>
      </c>
      <c r="E106" s="268">
        <v>0</v>
      </c>
      <c r="F106" s="268">
        <v>0</v>
      </c>
      <c r="G106" s="268">
        <v>14605.159354412408</v>
      </c>
      <c r="H106" s="268">
        <v>157.04157376319228</v>
      </c>
      <c r="I106" s="268">
        <v>0</v>
      </c>
      <c r="J106" s="268">
        <v>86.414173705851653</v>
      </c>
      <c r="K106" s="268">
        <v>58.868724323523253</v>
      </c>
      <c r="L106" s="268">
        <v>23.718536012261676</v>
      </c>
      <c r="M106" s="268">
        <v>0</v>
      </c>
      <c r="N106" s="268">
        <v>0</v>
      </c>
      <c r="O106" s="268">
        <v>0</v>
      </c>
      <c r="P106" s="268">
        <v>0</v>
      </c>
      <c r="Q106" s="268">
        <v>0</v>
      </c>
      <c r="R106" s="268">
        <v>0</v>
      </c>
      <c r="S106" s="268">
        <v>0</v>
      </c>
      <c r="T106" s="268">
        <v>31964.808544834395</v>
      </c>
      <c r="U106" s="268">
        <v>19.460105202643724</v>
      </c>
      <c r="V106" s="260">
        <f t="shared" si="51"/>
        <v>46915.471012254275</v>
      </c>
    </row>
    <row r="107" spans="1:22" x14ac:dyDescent="0.25">
      <c r="A107" s="267" t="s">
        <v>303</v>
      </c>
      <c r="B107" s="257">
        <v>0</v>
      </c>
      <c r="C107" s="263">
        <v>0</v>
      </c>
      <c r="D107" s="268">
        <v>0</v>
      </c>
      <c r="E107" s="268">
        <v>0</v>
      </c>
      <c r="F107" s="268">
        <v>0</v>
      </c>
      <c r="G107" s="268">
        <v>0</v>
      </c>
      <c r="H107" s="268">
        <v>0</v>
      </c>
      <c r="I107" s="268">
        <v>0</v>
      </c>
      <c r="J107" s="268">
        <v>0</v>
      </c>
      <c r="K107" s="268">
        <v>266.6282424554629</v>
      </c>
      <c r="L107" s="268">
        <v>0</v>
      </c>
      <c r="M107" s="268">
        <v>0</v>
      </c>
      <c r="N107" s="268">
        <v>0</v>
      </c>
      <c r="O107" s="268">
        <v>0</v>
      </c>
      <c r="P107" s="268">
        <v>0</v>
      </c>
      <c r="Q107" s="268">
        <v>0</v>
      </c>
      <c r="R107" s="268">
        <v>0</v>
      </c>
      <c r="S107" s="268">
        <v>0</v>
      </c>
      <c r="T107" s="268">
        <v>0</v>
      </c>
      <c r="U107" s="268">
        <v>178.04809163228069</v>
      </c>
      <c r="V107" s="272">
        <f t="shared" si="51"/>
        <v>444.67633408774361</v>
      </c>
    </row>
    <row r="108" spans="1:22" x14ac:dyDescent="0.25">
      <c r="A108" s="273" t="s">
        <v>1</v>
      </c>
      <c r="B108" s="274">
        <f>SUM(B88:B107)</f>
        <v>2551693.7098455485</v>
      </c>
      <c r="C108" s="274">
        <f t="shared" ref="C108:U108" si="54">SUM(C88:C107)</f>
        <v>2317041.346854751</v>
      </c>
      <c r="D108" s="274">
        <f t="shared" si="54"/>
        <v>1266260.2490607002</v>
      </c>
      <c r="E108" s="274">
        <f t="shared" si="54"/>
        <v>425070.63853340497</v>
      </c>
      <c r="F108" s="274">
        <f t="shared" si="54"/>
        <v>185951.19817153944</v>
      </c>
      <c r="G108" s="274">
        <f t="shared" si="54"/>
        <v>149360.45306657944</v>
      </c>
      <c r="H108" s="274">
        <f t="shared" si="54"/>
        <v>30373.836899378399</v>
      </c>
      <c r="I108" s="274">
        <f t="shared" si="54"/>
        <v>205.82698401418048</v>
      </c>
      <c r="J108" s="274">
        <f t="shared" si="54"/>
        <v>2837.6460259201936</v>
      </c>
      <c r="K108" s="274">
        <f t="shared" si="54"/>
        <v>40635.883511337684</v>
      </c>
      <c r="L108" s="274">
        <f t="shared" si="54"/>
        <v>3337.1596997728557</v>
      </c>
      <c r="M108" s="274">
        <f t="shared" si="54"/>
        <v>983.2128888293413</v>
      </c>
      <c r="N108" s="274">
        <f t="shared" si="54"/>
        <v>444.68305205157037</v>
      </c>
      <c r="O108" s="274">
        <f t="shared" si="54"/>
        <v>60.050036625312295</v>
      </c>
      <c r="P108" s="274">
        <f t="shared" si="54"/>
        <v>129.33276099947329</v>
      </c>
      <c r="Q108" s="274">
        <f t="shared" si="54"/>
        <v>4918.5262736837058</v>
      </c>
      <c r="R108" s="274">
        <f t="shared" si="54"/>
        <v>0</v>
      </c>
      <c r="S108" s="274">
        <f t="shared" si="54"/>
        <v>1710.028912302872</v>
      </c>
      <c r="T108" s="274">
        <f t="shared" si="54"/>
        <v>45536.784607442227</v>
      </c>
      <c r="U108" s="274">
        <f t="shared" si="54"/>
        <v>356.09618326456138</v>
      </c>
      <c r="V108" s="272">
        <f t="shared" si="51"/>
        <v>7026906.6633681459</v>
      </c>
    </row>
    <row r="109" spans="1:22" x14ac:dyDescent="0.25">
      <c r="A109" s="276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68"/>
    </row>
    <row r="110" spans="1:22" x14ac:dyDescent="0.25">
      <c r="A110" s="276" t="s">
        <v>349</v>
      </c>
      <c r="B110" s="257" cm="1">
        <f t="array" ref="B110:U110">TRANSPOSE(targets!R78:R97)</f>
        <v>912824.73747173324</v>
      </c>
      <c r="C110" s="257">
        <v>997113.99327705184</v>
      </c>
      <c r="D110" s="257">
        <v>649653.27756893588</v>
      </c>
      <c r="E110" s="257">
        <v>249839.04059129703</v>
      </c>
      <c r="F110" s="257">
        <v>89257.05900680591</v>
      </c>
      <c r="G110" s="257">
        <v>76194.502296008432</v>
      </c>
      <c r="H110" s="257">
        <v>11548.720815169527</v>
      </c>
      <c r="I110" s="257">
        <v>102.91349200709024</v>
      </c>
      <c r="J110" s="257">
        <v>1253.5459221308879</v>
      </c>
      <c r="K110" s="257">
        <v>14363.230451760515</v>
      </c>
      <c r="L110" s="257">
        <v>1474.3089540050905</v>
      </c>
      <c r="M110" s="257">
        <v>935.61187127452911</v>
      </c>
      <c r="N110" s="257">
        <v>256.62264698305347</v>
      </c>
      <c r="O110" s="257">
        <v>30.025018312656147</v>
      </c>
      <c r="P110" s="257">
        <v>129.33276099947329</v>
      </c>
      <c r="Q110" s="257">
        <v>775.30741903642956</v>
      </c>
      <c r="R110" s="257">
        <v>425.77933737987439</v>
      </c>
      <c r="S110" s="257">
        <v>744.99677121881075</v>
      </c>
      <c r="T110" s="257">
        <v>24061.467264216175</v>
      </c>
      <c r="U110" s="257">
        <v>178.04809163228069</v>
      </c>
      <c r="V110" s="268"/>
    </row>
    <row r="111" spans="1:22" x14ac:dyDescent="0.25">
      <c r="A111" s="276" t="s">
        <v>350</v>
      </c>
      <c r="B111" s="279">
        <f>B108/B110</f>
        <v>2.7953818571054718</v>
      </c>
      <c r="C111" s="279">
        <f t="shared" ref="C111" si="55">C108/C110</f>
        <v>2.3237476983345799</v>
      </c>
      <c r="D111" s="279">
        <f t="shared" ref="D111" si="56">D108/D110</f>
        <v>1.9491323953588997</v>
      </c>
      <c r="E111" s="279">
        <f t="shared" ref="E111" si="57">E108/E110</f>
        <v>1.7013779652987189</v>
      </c>
      <c r="F111" s="279">
        <f t="shared" ref="F111" si="58">F108/F110</f>
        <v>2.0833220390709997</v>
      </c>
      <c r="G111" s="279">
        <f t="shared" ref="G111" si="59">G108/G110</f>
        <v>1.9602523615985865</v>
      </c>
      <c r="H111" s="279">
        <f t="shared" ref="H111" si="60">H108/H110</f>
        <v>2.6300607128264475</v>
      </c>
      <c r="I111" s="279">
        <f t="shared" ref="I111" si="61">I108/I110</f>
        <v>2</v>
      </c>
      <c r="J111" s="279">
        <f t="shared" ref="J111" si="62">J108/J110</f>
        <v>2.2636953108957609</v>
      </c>
      <c r="K111" s="279">
        <f t="shared" ref="K111" si="63">K108/K110</f>
        <v>2.8291604488151134</v>
      </c>
      <c r="L111" s="279">
        <f t="shared" ref="L111" si="64">L108/L110</f>
        <v>2.2635416346805508</v>
      </c>
      <c r="M111" s="279">
        <f t="shared" ref="M111" si="65">M108/M110</f>
        <v>1.0508768849736463</v>
      </c>
      <c r="N111" s="279">
        <f t="shared" ref="N111" si="66">N108/N110</f>
        <v>1.7328285608437972</v>
      </c>
      <c r="O111" s="279">
        <f t="shared" ref="O111" si="67">O108/O110</f>
        <v>2</v>
      </c>
      <c r="P111" s="279">
        <f t="shared" ref="P111" si="68">P108/P110</f>
        <v>1</v>
      </c>
      <c r="Q111" s="279">
        <f t="shared" ref="Q111" si="69">Q108/Q110</f>
        <v>6.3439690539741855</v>
      </c>
      <c r="R111" s="279">
        <f t="shared" ref="R111" si="70">R108/R110</f>
        <v>0</v>
      </c>
      <c r="S111" s="279">
        <f t="shared" ref="S111" si="71">S108/S110</f>
        <v>2.2953507697828996</v>
      </c>
      <c r="T111" s="279">
        <f t="shared" ref="T111" si="72">T108/T110</f>
        <v>1.8925190266831231</v>
      </c>
      <c r="U111" s="279">
        <f t="shared" ref="U111" si="73">U108/U110</f>
        <v>2</v>
      </c>
      <c r="V111" s="268"/>
    </row>
    <row r="112" spans="1:22" x14ac:dyDescent="0.25">
      <c r="A112" s="276"/>
      <c r="C112" s="277"/>
      <c r="D112" s="268"/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</row>
    <row r="113" spans="1:30" x14ac:dyDescent="0.25">
      <c r="A113" s="276" t="s">
        <v>246</v>
      </c>
      <c r="C113" s="277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</row>
    <row r="114" spans="1:30" ht="36.75" x14ac:dyDescent="0.25">
      <c r="A114" s="253" t="s">
        <v>348</v>
      </c>
      <c r="B114" s="254" t="s">
        <v>291</v>
      </c>
      <c r="C114" s="254" t="s">
        <v>292</v>
      </c>
      <c r="D114" s="254" t="s">
        <v>293</v>
      </c>
      <c r="E114" s="254" t="s">
        <v>2</v>
      </c>
      <c r="F114" s="254" t="s">
        <v>31</v>
      </c>
      <c r="G114" s="254" t="s">
        <v>294</v>
      </c>
      <c r="H114" s="254" t="s">
        <v>345</v>
      </c>
      <c r="I114" s="254" t="s">
        <v>310</v>
      </c>
      <c r="J114" s="254" t="s">
        <v>295</v>
      </c>
      <c r="K114" s="254" t="s">
        <v>296</v>
      </c>
      <c r="L114" s="254" t="s">
        <v>297</v>
      </c>
      <c r="M114" s="254" t="s">
        <v>298</v>
      </c>
      <c r="N114" s="254" t="s">
        <v>317</v>
      </c>
      <c r="O114" s="254" t="s">
        <v>311</v>
      </c>
      <c r="P114" s="254" t="s">
        <v>299</v>
      </c>
      <c r="Q114" s="254" t="s">
        <v>300</v>
      </c>
      <c r="R114" s="254" t="s">
        <v>301</v>
      </c>
      <c r="S114" s="254" t="s">
        <v>36</v>
      </c>
      <c r="T114" s="254" t="s">
        <v>302</v>
      </c>
      <c r="U114" s="254" t="s">
        <v>303</v>
      </c>
      <c r="V114" s="255" t="s">
        <v>1</v>
      </c>
      <c r="X114" s="290" t="s">
        <v>364</v>
      </c>
      <c r="Y114" s="280" t="s">
        <v>352</v>
      </c>
      <c r="Z114" s="280" t="s">
        <v>355</v>
      </c>
      <c r="AA114" s="280" t="s">
        <v>354</v>
      </c>
      <c r="AB114" s="280" t="s">
        <v>351</v>
      </c>
      <c r="AC114" s="280" t="s">
        <v>356</v>
      </c>
      <c r="AD114" s="280" t="s">
        <v>362</v>
      </c>
    </row>
    <row r="115" spans="1:30" x14ac:dyDescent="0.25">
      <c r="A115" s="256" t="s">
        <v>291</v>
      </c>
      <c r="B115" s="257">
        <v>1816598.7797230922</v>
      </c>
      <c r="C115" s="257">
        <v>316471.57803529693</v>
      </c>
      <c r="D115" s="257">
        <v>130959.25470638393</v>
      </c>
      <c r="E115" s="251">
        <v>0</v>
      </c>
      <c r="F115" s="259">
        <v>0</v>
      </c>
      <c r="G115" s="251">
        <v>0</v>
      </c>
      <c r="H115" s="251">
        <v>0</v>
      </c>
      <c r="I115" s="259">
        <v>0</v>
      </c>
      <c r="J115" s="259">
        <v>0</v>
      </c>
      <c r="K115" s="251">
        <v>0</v>
      </c>
      <c r="L115" s="251">
        <v>0</v>
      </c>
      <c r="M115" s="259">
        <v>0</v>
      </c>
      <c r="N115" s="251">
        <v>0</v>
      </c>
      <c r="O115" s="251">
        <v>0</v>
      </c>
      <c r="P115" s="259">
        <v>0</v>
      </c>
      <c r="Q115" s="251">
        <v>0</v>
      </c>
      <c r="R115" s="251">
        <v>0</v>
      </c>
      <c r="S115" s="251">
        <v>0</v>
      </c>
      <c r="T115" s="251">
        <v>0</v>
      </c>
      <c r="U115" s="259">
        <v>0</v>
      </c>
      <c r="V115" s="260">
        <f t="shared" ref="V115:V135" si="74">SUM(B115:U115)</f>
        <v>2264029.6124647735</v>
      </c>
      <c r="X115" t="s">
        <v>366</v>
      </c>
      <c r="Y115" t="s">
        <v>359</v>
      </c>
      <c r="Z115" s="281">
        <f>G137+M137</f>
        <v>72835.180165947153</v>
      </c>
      <c r="AA115" s="281">
        <f>G135+M135</f>
        <v>253228.53263489995</v>
      </c>
      <c r="AB115">
        <f t="shared" ref="AB115:AB121" si="75">Z115/AA115</f>
        <v>0.28762627737119784</v>
      </c>
      <c r="AC115" s="282">
        <f>SUMIFS(OBS_District_Flows!K:K,OBS_District_Flows!H:H,OBS_Adjustments!Y115,OBS_District_Flows!G:G,5)</f>
        <v>128037.70384838278</v>
      </c>
      <c r="AD115" s="283">
        <f t="shared" ref="AD115:AD121" si="76">AC115*AB115</f>
        <v>36827.008121066232</v>
      </c>
    </row>
    <row r="116" spans="1:30" x14ac:dyDescent="0.25">
      <c r="A116" s="261" t="s">
        <v>292</v>
      </c>
      <c r="B116" s="257">
        <v>0</v>
      </c>
      <c r="C116" s="257">
        <v>1051430.0289935293</v>
      </c>
      <c r="D116" s="257">
        <v>160457.65065177347</v>
      </c>
      <c r="E116" s="257">
        <v>0</v>
      </c>
      <c r="F116" s="257">
        <v>0</v>
      </c>
      <c r="G116" s="257">
        <v>35046.06139353547</v>
      </c>
      <c r="H116" s="257">
        <v>233.70069974136624</v>
      </c>
      <c r="I116" s="257">
        <v>42.042793364129501</v>
      </c>
      <c r="J116" s="257">
        <v>349.20608937468796</v>
      </c>
      <c r="K116" s="257">
        <v>590.6827049791732</v>
      </c>
      <c r="L116" s="257">
        <v>13.163884568314911</v>
      </c>
      <c r="M116" s="251">
        <v>0</v>
      </c>
      <c r="N116" s="251">
        <v>0</v>
      </c>
      <c r="O116" s="251">
        <v>0</v>
      </c>
      <c r="P116" s="259">
        <v>0</v>
      </c>
      <c r="Q116" s="251">
        <v>0</v>
      </c>
      <c r="R116" s="251">
        <v>0</v>
      </c>
      <c r="S116" s="257">
        <v>2471.5515688250866</v>
      </c>
      <c r="T116" s="257">
        <v>3390.8961038281282</v>
      </c>
      <c r="U116" s="257">
        <v>205.16013072997288</v>
      </c>
      <c r="V116" s="260">
        <f t="shared" si="74"/>
        <v>1254230.1450142486</v>
      </c>
      <c r="X116" t="s">
        <v>366</v>
      </c>
      <c r="Y116" t="s">
        <v>353</v>
      </c>
      <c r="Z116" s="281">
        <f>H137+N137</f>
        <v>16566.670934338468</v>
      </c>
      <c r="AA116" s="281">
        <f>H135+N135</f>
        <v>47238.02753964335</v>
      </c>
      <c r="AB116">
        <f t="shared" si="75"/>
        <v>0.35070623811367435</v>
      </c>
      <c r="AC116" s="282">
        <f>SUMIFS(OBS_District_Flows!K:K,OBS_District_Flows!H:H,OBS_Adjustments!Y116,OBS_District_Flows!G:G,5)</f>
        <v>76084.117931330067</v>
      </c>
      <c r="AD116" s="283">
        <f t="shared" si="76"/>
        <v>26683.174779893921</v>
      </c>
    </row>
    <row r="117" spans="1:30" ht="24.75" x14ac:dyDescent="0.25">
      <c r="A117" s="262" t="s">
        <v>293</v>
      </c>
      <c r="B117" s="257">
        <v>0</v>
      </c>
      <c r="C117" s="263">
        <v>0</v>
      </c>
      <c r="D117" s="264">
        <v>510584.81320336752</v>
      </c>
      <c r="E117" s="264">
        <v>0</v>
      </c>
      <c r="F117" s="264">
        <v>0</v>
      </c>
      <c r="G117" s="264">
        <v>4653.1155487148826</v>
      </c>
      <c r="H117" s="264">
        <v>64.059253883941082</v>
      </c>
      <c r="I117" s="264">
        <v>0</v>
      </c>
      <c r="J117" s="264">
        <v>240.36451744804359</v>
      </c>
      <c r="K117" s="264">
        <v>544.55762691931568</v>
      </c>
      <c r="L117" s="264">
        <v>0</v>
      </c>
      <c r="M117" s="265">
        <v>0</v>
      </c>
      <c r="N117" s="265">
        <v>0</v>
      </c>
      <c r="O117" s="265">
        <v>0</v>
      </c>
      <c r="P117" s="265">
        <v>0</v>
      </c>
      <c r="Q117" s="265">
        <v>0</v>
      </c>
      <c r="R117" s="266">
        <v>0</v>
      </c>
      <c r="S117" s="264">
        <v>823.85052294169554</v>
      </c>
      <c r="T117" s="264">
        <v>3405.5344535734271</v>
      </c>
      <c r="U117" s="264">
        <v>0</v>
      </c>
      <c r="V117" s="260">
        <f t="shared" si="74"/>
        <v>520316.2951268488</v>
      </c>
      <c r="X117" t="s">
        <v>366</v>
      </c>
      <c r="Y117" t="s">
        <v>360</v>
      </c>
      <c r="Z117" s="281">
        <f>I137+O137</f>
        <v>197.17579928739187</v>
      </c>
      <c r="AA117" s="281">
        <f>I135+O135</f>
        <v>508.45621850499418</v>
      </c>
      <c r="AB117">
        <f t="shared" si="75"/>
        <v>0.38779307266050311</v>
      </c>
      <c r="AC117" s="282">
        <f>SUMIFS(OBS_District_Flows!K:K,OBS_District_Flows!H:H,OBS_Adjustments!Y117,OBS_District_Flows!G:G,5)</f>
        <v>1528.2050795081373</v>
      </c>
      <c r="AD117" s="283">
        <f t="shared" si="76"/>
        <v>592.62734343784905</v>
      </c>
    </row>
    <row r="118" spans="1:30" x14ac:dyDescent="0.25">
      <c r="A118" s="267" t="s">
        <v>2</v>
      </c>
      <c r="B118" s="257">
        <v>84653.482185648129</v>
      </c>
      <c r="C118" s="263">
        <v>84337.539051529398</v>
      </c>
      <c r="D118" s="268">
        <v>63904.521117281438</v>
      </c>
      <c r="E118" s="268">
        <v>1901262.3526099424</v>
      </c>
      <c r="F118" s="269">
        <v>15361.316149767095</v>
      </c>
      <c r="G118" s="268">
        <v>73433.658657615582</v>
      </c>
      <c r="H118" s="268">
        <v>8311.0072497090259</v>
      </c>
      <c r="I118" s="268">
        <v>111.50221629079809</v>
      </c>
      <c r="J118" s="268">
        <v>799.55108085758275</v>
      </c>
      <c r="K118" s="268">
        <v>6400.432307181788</v>
      </c>
      <c r="L118" s="268">
        <v>1101.3471046264058</v>
      </c>
      <c r="M118" s="271">
        <v>0</v>
      </c>
      <c r="N118" s="271">
        <v>0</v>
      </c>
      <c r="O118" s="271">
        <v>0</v>
      </c>
      <c r="P118" s="270">
        <v>0</v>
      </c>
      <c r="Q118" s="271">
        <v>0</v>
      </c>
      <c r="R118" s="270">
        <v>0</v>
      </c>
      <c r="S118" s="268">
        <v>308.99554077149537</v>
      </c>
      <c r="T118" s="268">
        <v>3476.3329860303234</v>
      </c>
      <c r="U118" s="268">
        <v>568.72260740944307</v>
      </c>
      <c r="V118" s="260">
        <f t="shared" si="74"/>
        <v>2244030.7608646611</v>
      </c>
      <c r="X118" t="s">
        <v>366</v>
      </c>
      <c r="Y118" t="s">
        <v>123</v>
      </c>
      <c r="Z118" s="281">
        <f>J137+P137</f>
        <v>1575.8077451258093</v>
      </c>
      <c r="AA118" s="281">
        <f>J135+P135</f>
        <v>4048.4781114484508</v>
      </c>
      <c r="AB118">
        <f t="shared" si="75"/>
        <v>0.38923459674134736</v>
      </c>
      <c r="AC118" s="282">
        <f>SUMIFS(OBS_District_Flows!K:K,OBS_District_Flows!H:H,OBS_Adjustments!Y118,OBS_District_Flows!G:G,5)</f>
        <v>2561.3071532364474</v>
      </c>
      <c r="AD118" s="283">
        <f t="shared" si="76"/>
        <v>996.94935692071704</v>
      </c>
    </row>
    <row r="119" spans="1:30" x14ac:dyDescent="0.25">
      <c r="A119" s="267" t="s">
        <v>31</v>
      </c>
      <c r="B119" s="251">
        <v>0</v>
      </c>
      <c r="C119" s="251">
        <v>0</v>
      </c>
      <c r="D119" s="271">
        <v>0</v>
      </c>
      <c r="E119" s="270">
        <v>0</v>
      </c>
      <c r="F119" s="268">
        <v>169315.07869984649</v>
      </c>
      <c r="G119" s="271">
        <v>0</v>
      </c>
      <c r="H119" s="271">
        <v>0</v>
      </c>
      <c r="I119" s="271">
        <v>0</v>
      </c>
      <c r="J119" s="270">
        <v>0</v>
      </c>
      <c r="K119" s="271">
        <v>0</v>
      </c>
      <c r="L119" s="270">
        <v>0</v>
      </c>
      <c r="M119" s="270">
        <v>0</v>
      </c>
      <c r="N119" s="270">
        <v>0</v>
      </c>
      <c r="O119" s="270">
        <v>0</v>
      </c>
      <c r="P119" s="270">
        <v>0</v>
      </c>
      <c r="Q119" s="270">
        <v>0</v>
      </c>
      <c r="R119" s="270">
        <v>0</v>
      </c>
      <c r="S119" s="270">
        <v>0</v>
      </c>
      <c r="T119" s="271">
        <v>0</v>
      </c>
      <c r="U119" s="270">
        <v>0</v>
      </c>
      <c r="V119" s="260">
        <f t="shared" si="74"/>
        <v>169315.07869984649</v>
      </c>
      <c r="X119" t="s">
        <v>366</v>
      </c>
      <c r="Y119" t="s">
        <v>124</v>
      </c>
      <c r="Z119" s="281">
        <f>K137+Q137</f>
        <v>20664.079426115357</v>
      </c>
      <c r="AA119" s="281">
        <f>K135+Q135</f>
        <v>45933.766205397922</v>
      </c>
      <c r="AB119">
        <f t="shared" si="75"/>
        <v>0.44986686555841376</v>
      </c>
      <c r="AC119" s="282">
        <f>SUMIFS(OBS_District_Flows!K:K,OBS_District_Flows!H:H,OBS_Adjustments!Y119,OBS_District_Flows!G:G,5)</f>
        <v>35799.506719773766</v>
      </c>
      <c r="AD119" s="283">
        <f t="shared" si="76"/>
        <v>16105.011876561995</v>
      </c>
    </row>
    <row r="120" spans="1:30" x14ac:dyDescent="0.25">
      <c r="A120" s="267" t="s">
        <v>294</v>
      </c>
      <c r="B120" s="257">
        <v>0</v>
      </c>
      <c r="C120" s="263">
        <v>0</v>
      </c>
      <c r="D120" s="270">
        <v>0</v>
      </c>
      <c r="E120" s="268">
        <v>0</v>
      </c>
      <c r="F120" s="268">
        <v>0</v>
      </c>
      <c r="G120" s="268">
        <v>116118.19062104759</v>
      </c>
      <c r="H120" s="268">
        <v>2145.6553468291245</v>
      </c>
      <c r="I120" s="268">
        <v>0</v>
      </c>
      <c r="J120" s="268">
        <v>506.27744417681288</v>
      </c>
      <c r="K120" s="268">
        <v>1418.1312232934292</v>
      </c>
      <c r="L120" s="268">
        <v>3493.2652013611505</v>
      </c>
      <c r="M120" s="271">
        <v>0</v>
      </c>
      <c r="N120" s="270">
        <v>0</v>
      </c>
      <c r="O120" s="270">
        <v>0</v>
      </c>
      <c r="P120" s="270">
        <v>0</v>
      </c>
      <c r="Q120" s="270">
        <v>0</v>
      </c>
      <c r="R120" s="270">
        <v>0</v>
      </c>
      <c r="S120" s="268">
        <v>0</v>
      </c>
      <c r="T120" s="268">
        <v>0</v>
      </c>
      <c r="U120" s="268">
        <v>0</v>
      </c>
      <c r="V120" s="260">
        <f t="shared" si="74"/>
        <v>123681.5198367081</v>
      </c>
      <c r="X120" t="s">
        <v>366</v>
      </c>
      <c r="Y120" t="s">
        <v>125</v>
      </c>
      <c r="Z120" s="281">
        <f>L137+R137</f>
        <v>3811.4255866659769</v>
      </c>
      <c r="AA120" s="281">
        <f>L135+R135</f>
        <v>10560.291246775947</v>
      </c>
      <c r="AB120">
        <f t="shared" si="75"/>
        <v>0.36092049902786572</v>
      </c>
      <c r="AC120" s="282">
        <f>SUMIFS(OBS_District_Flows!K:K,OBS_District_Flows!H:H,OBS_Adjustments!Y120,OBS_District_Flows!G:G,5)</f>
        <v>5098.2318050495887</v>
      </c>
      <c r="AD120" s="283">
        <f t="shared" si="76"/>
        <v>1840.0563672382341</v>
      </c>
    </row>
    <row r="121" spans="1:30" x14ac:dyDescent="0.25">
      <c r="A121" s="267" t="s">
        <v>345</v>
      </c>
      <c r="B121" s="257">
        <v>0</v>
      </c>
      <c r="C121" s="263">
        <v>0</v>
      </c>
      <c r="D121" s="268">
        <v>0</v>
      </c>
      <c r="E121" s="268">
        <v>0</v>
      </c>
      <c r="F121" s="268">
        <v>0</v>
      </c>
      <c r="G121" s="268">
        <v>0</v>
      </c>
      <c r="H121" s="268">
        <v>31901.155730541799</v>
      </c>
      <c r="I121" s="268">
        <v>0</v>
      </c>
      <c r="J121" s="268">
        <v>95.380317348260334</v>
      </c>
      <c r="K121" s="268">
        <v>105.35483567156518</v>
      </c>
      <c r="L121" s="268">
        <v>148.17993058427029</v>
      </c>
      <c r="M121" s="270">
        <v>0</v>
      </c>
      <c r="N121" s="271">
        <v>0</v>
      </c>
      <c r="O121" s="270">
        <v>0</v>
      </c>
      <c r="P121" s="270">
        <v>0</v>
      </c>
      <c r="Q121" s="270">
        <v>0</v>
      </c>
      <c r="R121" s="270">
        <v>0</v>
      </c>
      <c r="S121" s="268">
        <v>0</v>
      </c>
      <c r="T121" s="268">
        <v>0</v>
      </c>
      <c r="U121" s="268">
        <v>0</v>
      </c>
      <c r="V121" s="260">
        <f t="shared" si="74"/>
        <v>32250.070814145893</v>
      </c>
      <c r="X121" t="s">
        <v>366</v>
      </c>
      <c r="Y121" t="s">
        <v>363</v>
      </c>
      <c r="Z121" s="281">
        <f>SUM(Z115:Z120)</f>
        <v>115650.33965748016</v>
      </c>
      <c r="AA121" s="281">
        <f>SUM(AA115:AA120)</f>
        <v>361517.55195667059</v>
      </c>
      <c r="AB121" s="282">
        <f t="shared" si="75"/>
        <v>0.31990241976229511</v>
      </c>
      <c r="AC121" s="282">
        <f>SUM(AC115:AC120)</f>
        <v>249109.07253728079</v>
      </c>
      <c r="AD121" s="283">
        <f t="shared" si="76"/>
        <v>79690.595089417227</v>
      </c>
    </row>
    <row r="122" spans="1:30" x14ac:dyDescent="0.25">
      <c r="A122" s="267" t="s">
        <v>310</v>
      </c>
      <c r="B122" s="257">
        <v>0</v>
      </c>
      <c r="C122" s="263">
        <v>0</v>
      </c>
      <c r="D122" s="268">
        <v>0</v>
      </c>
      <c r="E122" s="268">
        <v>0</v>
      </c>
      <c r="F122" s="268">
        <v>0</v>
      </c>
      <c r="G122" s="268">
        <v>0</v>
      </c>
      <c r="H122" s="268">
        <v>0</v>
      </c>
      <c r="I122" s="268">
        <v>231.30408032410466</v>
      </c>
      <c r="J122" s="268">
        <v>0</v>
      </c>
      <c r="K122" s="268">
        <v>133.26320903422589</v>
      </c>
      <c r="L122" s="268">
        <v>0</v>
      </c>
      <c r="M122" s="270">
        <v>0</v>
      </c>
      <c r="N122" s="270">
        <v>0</v>
      </c>
      <c r="O122" s="271">
        <v>0</v>
      </c>
      <c r="P122" s="270">
        <v>0</v>
      </c>
      <c r="Q122" s="270">
        <v>0</v>
      </c>
      <c r="R122" s="270">
        <v>0</v>
      </c>
      <c r="S122" s="268">
        <v>0</v>
      </c>
      <c r="T122" s="268">
        <v>0</v>
      </c>
      <c r="U122" s="268">
        <v>0</v>
      </c>
      <c r="V122" s="260">
        <f t="shared" si="74"/>
        <v>364.56728935833053</v>
      </c>
    </row>
    <row r="123" spans="1:30" x14ac:dyDescent="0.25">
      <c r="A123" s="267" t="s">
        <v>295</v>
      </c>
      <c r="B123" s="257">
        <v>0</v>
      </c>
      <c r="C123" s="263">
        <v>0</v>
      </c>
      <c r="D123" s="268">
        <v>0</v>
      </c>
      <c r="E123" s="268">
        <v>0</v>
      </c>
      <c r="F123" s="268">
        <v>0</v>
      </c>
      <c r="G123" s="268">
        <v>0</v>
      </c>
      <c r="H123" s="268">
        <v>0</v>
      </c>
      <c r="I123" s="268">
        <v>0</v>
      </c>
      <c r="J123" s="268">
        <v>1547.9076994634036</v>
      </c>
      <c r="K123" s="268">
        <v>0</v>
      </c>
      <c r="L123" s="268">
        <v>0</v>
      </c>
      <c r="M123" s="270">
        <v>0</v>
      </c>
      <c r="N123" s="270">
        <v>0</v>
      </c>
      <c r="O123" s="270">
        <v>0</v>
      </c>
      <c r="P123" s="271">
        <v>0</v>
      </c>
      <c r="Q123" s="270">
        <v>0</v>
      </c>
      <c r="R123" s="270">
        <v>0</v>
      </c>
      <c r="S123" s="268">
        <v>0</v>
      </c>
      <c r="T123" s="268">
        <v>0</v>
      </c>
      <c r="U123" s="268">
        <v>0</v>
      </c>
      <c r="V123" s="260">
        <f t="shared" si="74"/>
        <v>1547.9076994634036</v>
      </c>
    </row>
    <row r="124" spans="1:30" x14ac:dyDescent="0.25">
      <c r="A124" s="267" t="s">
        <v>296</v>
      </c>
      <c r="B124" s="257">
        <v>0</v>
      </c>
      <c r="C124" s="263">
        <v>0</v>
      </c>
      <c r="D124" s="268">
        <v>0</v>
      </c>
      <c r="E124" s="268">
        <v>0</v>
      </c>
      <c r="F124" s="268">
        <v>0</v>
      </c>
      <c r="G124" s="268">
        <v>0</v>
      </c>
      <c r="H124" s="268">
        <v>0</v>
      </c>
      <c r="I124" s="268">
        <v>0</v>
      </c>
      <c r="J124" s="268">
        <v>0</v>
      </c>
      <c r="K124" s="268">
        <v>26273.785138966628</v>
      </c>
      <c r="L124" s="268">
        <v>233.33608090576692</v>
      </c>
      <c r="M124" s="270">
        <v>0</v>
      </c>
      <c r="N124" s="270">
        <v>0</v>
      </c>
      <c r="O124" s="270">
        <v>0</v>
      </c>
      <c r="P124" s="270">
        <v>0</v>
      </c>
      <c r="Q124" s="271">
        <v>0</v>
      </c>
      <c r="R124" s="270">
        <v>0</v>
      </c>
      <c r="S124" s="268">
        <v>0</v>
      </c>
      <c r="T124" s="268">
        <v>0</v>
      </c>
      <c r="U124" s="268">
        <v>0</v>
      </c>
      <c r="V124" s="260">
        <f t="shared" si="74"/>
        <v>26507.121219872395</v>
      </c>
    </row>
    <row r="125" spans="1:30" x14ac:dyDescent="0.25">
      <c r="A125" s="267" t="s">
        <v>297</v>
      </c>
      <c r="B125" s="257">
        <v>0</v>
      </c>
      <c r="C125" s="263">
        <v>0</v>
      </c>
      <c r="D125" s="268">
        <v>0</v>
      </c>
      <c r="E125" s="268">
        <v>0</v>
      </c>
      <c r="F125" s="268">
        <v>0</v>
      </c>
      <c r="G125" s="268">
        <v>0</v>
      </c>
      <c r="H125" s="268">
        <v>0</v>
      </c>
      <c r="I125" s="268">
        <v>0</v>
      </c>
      <c r="J125" s="268">
        <v>0</v>
      </c>
      <c r="K125" s="268">
        <v>0</v>
      </c>
      <c r="L125" s="268">
        <v>4034.4842279883951</v>
      </c>
      <c r="M125" s="270">
        <v>0</v>
      </c>
      <c r="N125" s="270">
        <v>0</v>
      </c>
      <c r="O125" s="270">
        <v>0</v>
      </c>
      <c r="P125" s="270">
        <v>0</v>
      </c>
      <c r="Q125" s="270">
        <v>0</v>
      </c>
      <c r="R125" s="270">
        <v>0</v>
      </c>
      <c r="S125" s="268">
        <v>0</v>
      </c>
      <c r="T125" s="268">
        <v>0</v>
      </c>
      <c r="U125" s="268">
        <v>0</v>
      </c>
      <c r="V125" s="260">
        <f t="shared" si="74"/>
        <v>4034.4842279883951</v>
      </c>
    </row>
    <row r="126" spans="1:30" x14ac:dyDescent="0.25">
      <c r="A126" s="267" t="s">
        <v>298</v>
      </c>
      <c r="B126" s="257">
        <v>0</v>
      </c>
      <c r="C126" s="263">
        <v>0</v>
      </c>
      <c r="D126" s="268">
        <v>0</v>
      </c>
      <c r="E126" s="268">
        <v>0</v>
      </c>
      <c r="F126" s="268">
        <v>0</v>
      </c>
      <c r="G126" s="270">
        <v>0</v>
      </c>
      <c r="H126" s="270">
        <v>0</v>
      </c>
      <c r="I126" s="270">
        <v>0</v>
      </c>
      <c r="J126" s="270">
        <v>0</v>
      </c>
      <c r="K126" s="271">
        <v>0</v>
      </c>
      <c r="L126" s="270">
        <v>0</v>
      </c>
      <c r="M126" s="268">
        <v>11772.494083927495</v>
      </c>
      <c r="N126" s="268">
        <v>82.069620597861373</v>
      </c>
      <c r="O126" s="268">
        <v>0</v>
      </c>
      <c r="P126" s="268">
        <v>0</v>
      </c>
      <c r="Q126" s="268">
        <v>0</v>
      </c>
      <c r="R126" s="268">
        <v>0</v>
      </c>
      <c r="S126" s="268">
        <v>0</v>
      </c>
      <c r="T126" s="268">
        <v>0</v>
      </c>
      <c r="U126" s="268">
        <v>0</v>
      </c>
      <c r="V126" s="260">
        <f t="shared" si="74"/>
        <v>11854.563704525357</v>
      </c>
    </row>
    <row r="127" spans="1:30" x14ac:dyDescent="0.25">
      <c r="A127" s="267" t="s">
        <v>317</v>
      </c>
      <c r="B127" s="257">
        <v>0</v>
      </c>
      <c r="C127" s="263">
        <v>0</v>
      </c>
      <c r="D127" s="268">
        <v>0</v>
      </c>
      <c r="E127" s="268">
        <v>0</v>
      </c>
      <c r="F127" s="268">
        <v>0</v>
      </c>
      <c r="G127" s="270">
        <v>0</v>
      </c>
      <c r="H127" s="270">
        <v>0</v>
      </c>
      <c r="I127" s="270">
        <v>0</v>
      </c>
      <c r="J127" s="270">
        <v>0</v>
      </c>
      <c r="K127" s="270">
        <v>0</v>
      </c>
      <c r="L127" s="270">
        <v>0</v>
      </c>
      <c r="M127" s="268">
        <v>0</v>
      </c>
      <c r="N127" s="268">
        <v>323.85952100930967</v>
      </c>
      <c r="O127" s="268">
        <v>0</v>
      </c>
      <c r="P127" s="268">
        <v>0</v>
      </c>
      <c r="Q127" s="268">
        <v>92.674745901306594</v>
      </c>
      <c r="R127" s="268">
        <v>0</v>
      </c>
      <c r="S127" s="268">
        <v>0</v>
      </c>
      <c r="T127" s="268">
        <v>0</v>
      </c>
      <c r="U127" s="268">
        <v>0</v>
      </c>
      <c r="V127" s="260">
        <f t="shared" si="74"/>
        <v>416.53426691061628</v>
      </c>
    </row>
    <row r="128" spans="1:30" x14ac:dyDescent="0.25">
      <c r="A128" s="267" t="s">
        <v>311</v>
      </c>
      <c r="B128" s="257">
        <v>0</v>
      </c>
      <c r="C128" s="263">
        <v>0</v>
      </c>
      <c r="D128" s="268">
        <v>0</v>
      </c>
      <c r="E128" s="268">
        <v>0</v>
      </c>
      <c r="F128" s="268">
        <v>0</v>
      </c>
      <c r="G128" s="270">
        <v>0</v>
      </c>
      <c r="H128" s="270">
        <v>0</v>
      </c>
      <c r="I128" s="270">
        <v>0</v>
      </c>
      <c r="J128" s="270">
        <v>0</v>
      </c>
      <c r="K128" s="270">
        <v>0</v>
      </c>
      <c r="L128" s="270">
        <v>0</v>
      </c>
      <c r="M128" s="268">
        <v>0</v>
      </c>
      <c r="N128" s="268">
        <v>0</v>
      </c>
      <c r="O128" s="268">
        <v>123.60712852596197</v>
      </c>
      <c r="P128" s="268">
        <v>0</v>
      </c>
      <c r="Q128" s="268">
        <v>0</v>
      </c>
      <c r="R128" s="268">
        <v>0</v>
      </c>
      <c r="S128" s="268">
        <v>0</v>
      </c>
      <c r="T128" s="268">
        <v>0</v>
      </c>
      <c r="U128" s="268">
        <v>0</v>
      </c>
      <c r="V128" s="260">
        <f t="shared" si="74"/>
        <v>123.60712852596197</v>
      </c>
    </row>
    <row r="129" spans="1:27" x14ac:dyDescent="0.25">
      <c r="A129" s="267" t="s">
        <v>299</v>
      </c>
      <c r="B129" s="257">
        <v>0</v>
      </c>
      <c r="C129" s="263">
        <v>0</v>
      </c>
      <c r="D129" s="268">
        <v>0</v>
      </c>
      <c r="E129" s="268">
        <v>0</v>
      </c>
      <c r="F129" s="268">
        <v>0</v>
      </c>
      <c r="G129" s="270">
        <v>0</v>
      </c>
      <c r="H129" s="270">
        <v>0</v>
      </c>
      <c r="I129" s="270">
        <v>0</v>
      </c>
      <c r="J129" s="271">
        <v>0</v>
      </c>
      <c r="K129" s="270">
        <v>0</v>
      </c>
      <c r="L129" s="270">
        <v>0</v>
      </c>
      <c r="M129" s="268">
        <v>0</v>
      </c>
      <c r="N129" s="268">
        <v>0</v>
      </c>
      <c r="O129" s="268">
        <v>0</v>
      </c>
      <c r="P129" s="268">
        <v>170.90862961194017</v>
      </c>
      <c r="Q129" s="268">
        <v>0</v>
      </c>
      <c r="R129" s="268">
        <v>0</v>
      </c>
      <c r="S129" s="268">
        <v>0</v>
      </c>
      <c r="T129" s="268">
        <v>0</v>
      </c>
      <c r="U129" s="268">
        <v>0</v>
      </c>
      <c r="V129" s="260">
        <f t="shared" si="74"/>
        <v>170.90862961194017</v>
      </c>
    </row>
    <row r="130" spans="1:27" x14ac:dyDescent="0.25">
      <c r="A130" s="267" t="s">
        <v>300</v>
      </c>
      <c r="B130" s="257">
        <v>0</v>
      </c>
      <c r="C130" s="263">
        <v>0</v>
      </c>
      <c r="D130" s="268">
        <v>0</v>
      </c>
      <c r="E130" s="268">
        <v>0</v>
      </c>
      <c r="F130" s="268">
        <v>0</v>
      </c>
      <c r="G130" s="270">
        <v>0</v>
      </c>
      <c r="H130" s="270">
        <v>0</v>
      </c>
      <c r="I130" s="270">
        <v>0</v>
      </c>
      <c r="J130" s="270">
        <v>0</v>
      </c>
      <c r="K130" s="271">
        <v>0</v>
      </c>
      <c r="L130" s="270">
        <v>0</v>
      </c>
      <c r="M130" s="268">
        <v>0</v>
      </c>
      <c r="N130" s="268">
        <v>0</v>
      </c>
      <c r="O130" s="268">
        <v>0</v>
      </c>
      <c r="P130" s="268">
        <v>0</v>
      </c>
      <c r="Q130" s="268">
        <v>9909.4397835395466</v>
      </c>
      <c r="R130" s="268">
        <v>203.6757543818606</v>
      </c>
      <c r="S130" s="268">
        <v>0</v>
      </c>
      <c r="T130" s="268">
        <v>0</v>
      </c>
      <c r="U130" s="268">
        <v>0</v>
      </c>
      <c r="V130" s="260">
        <f t="shared" si="74"/>
        <v>10113.115537921407</v>
      </c>
    </row>
    <row r="131" spans="1:27" x14ac:dyDescent="0.25">
      <c r="A131" s="267" t="s">
        <v>301</v>
      </c>
      <c r="B131" s="257">
        <v>0</v>
      </c>
      <c r="C131" s="263">
        <v>0</v>
      </c>
      <c r="D131" s="268">
        <v>0</v>
      </c>
      <c r="E131" s="268">
        <v>0</v>
      </c>
      <c r="F131" s="268">
        <v>0</v>
      </c>
      <c r="G131" s="270">
        <v>0</v>
      </c>
      <c r="H131" s="270">
        <v>0</v>
      </c>
      <c r="I131" s="270">
        <v>0</v>
      </c>
      <c r="J131" s="270">
        <v>0</v>
      </c>
      <c r="K131" s="270">
        <v>0</v>
      </c>
      <c r="L131" s="270">
        <v>0</v>
      </c>
      <c r="M131" s="268">
        <v>0</v>
      </c>
      <c r="N131" s="268">
        <v>0</v>
      </c>
      <c r="O131" s="268">
        <v>0</v>
      </c>
      <c r="P131" s="268">
        <v>0</v>
      </c>
      <c r="Q131" s="268">
        <v>0</v>
      </c>
      <c r="R131" s="268">
        <v>1094.0080732279978</v>
      </c>
      <c r="S131" s="268">
        <v>0</v>
      </c>
      <c r="T131" s="268">
        <v>0</v>
      </c>
      <c r="U131" s="268">
        <v>0</v>
      </c>
      <c r="V131" s="260">
        <f t="shared" si="74"/>
        <v>1094.0080732279978</v>
      </c>
    </row>
    <row r="132" spans="1:27" x14ac:dyDescent="0.25">
      <c r="A132" s="267" t="s">
        <v>36</v>
      </c>
      <c r="B132" s="257">
        <v>0</v>
      </c>
      <c r="C132" s="263">
        <v>0</v>
      </c>
      <c r="D132" s="268">
        <v>0</v>
      </c>
      <c r="E132" s="268">
        <v>0</v>
      </c>
      <c r="F132" s="268">
        <v>0</v>
      </c>
      <c r="G132" s="268">
        <v>0</v>
      </c>
      <c r="H132" s="268">
        <v>0</v>
      </c>
      <c r="I132" s="268">
        <v>0</v>
      </c>
      <c r="J132" s="268">
        <v>0</v>
      </c>
      <c r="K132" s="268">
        <v>0</v>
      </c>
      <c r="L132" s="268">
        <v>0</v>
      </c>
      <c r="M132" s="268">
        <v>0</v>
      </c>
      <c r="N132" s="268">
        <v>0</v>
      </c>
      <c r="O132" s="268">
        <v>0</v>
      </c>
      <c r="P132" s="268">
        <v>0</v>
      </c>
      <c r="Q132" s="268">
        <v>0</v>
      </c>
      <c r="R132" s="268">
        <v>0</v>
      </c>
      <c r="S132" s="268">
        <v>1767.4362168377761</v>
      </c>
      <c r="T132" s="268">
        <v>58.420585930136404</v>
      </c>
      <c r="U132" s="268">
        <v>0</v>
      </c>
      <c r="V132" s="260">
        <f t="shared" si="74"/>
        <v>1825.8568027679125</v>
      </c>
    </row>
    <row r="133" spans="1:27" x14ac:dyDescent="0.25">
      <c r="A133" s="267" t="s">
        <v>302</v>
      </c>
      <c r="B133" s="257">
        <v>0</v>
      </c>
      <c r="C133" s="263">
        <v>0</v>
      </c>
      <c r="D133" s="268">
        <v>0</v>
      </c>
      <c r="E133" s="268">
        <v>0</v>
      </c>
      <c r="F133" s="268">
        <v>0</v>
      </c>
      <c r="G133" s="268">
        <v>4213.3985374709255</v>
      </c>
      <c r="H133" s="268">
        <v>4176.5201173309179</v>
      </c>
      <c r="I133" s="268">
        <v>0</v>
      </c>
      <c r="J133" s="268">
        <v>338.88233316771965</v>
      </c>
      <c r="K133" s="268">
        <v>351.67657127074517</v>
      </c>
      <c r="L133" s="268">
        <v>238.83098913178475</v>
      </c>
      <c r="M133" s="268">
        <v>7941.7395576495364</v>
      </c>
      <c r="N133" s="268">
        <v>0</v>
      </c>
      <c r="O133" s="268">
        <v>0</v>
      </c>
      <c r="P133" s="268">
        <v>0</v>
      </c>
      <c r="Q133" s="268">
        <v>86.01937169109641</v>
      </c>
      <c r="R133" s="268">
        <v>0</v>
      </c>
      <c r="S133" s="268">
        <v>0</v>
      </c>
      <c r="T133" s="268">
        <v>15686.423820899228</v>
      </c>
      <c r="U133" s="268">
        <v>483.11116321005204</v>
      </c>
      <c r="V133" s="260">
        <f t="shared" si="74"/>
        <v>33516.602461822011</v>
      </c>
    </row>
    <row r="134" spans="1:27" x14ac:dyDescent="0.25">
      <c r="A134" s="267" t="s">
        <v>303</v>
      </c>
      <c r="B134" s="257">
        <v>0</v>
      </c>
      <c r="C134" s="263">
        <v>0</v>
      </c>
      <c r="D134" s="268">
        <v>0</v>
      </c>
      <c r="E134" s="268">
        <v>0</v>
      </c>
      <c r="F134" s="268">
        <v>0</v>
      </c>
      <c r="G134" s="268">
        <v>49.874234938466856</v>
      </c>
      <c r="H134" s="268">
        <v>0</v>
      </c>
      <c r="I134" s="268">
        <v>0</v>
      </c>
      <c r="J134" s="268">
        <v>0</v>
      </c>
      <c r="K134" s="268">
        <v>27.748686949101142</v>
      </c>
      <c r="L134" s="268">
        <v>0</v>
      </c>
      <c r="M134" s="268">
        <v>0</v>
      </c>
      <c r="N134" s="268">
        <v>0</v>
      </c>
      <c r="O134" s="268">
        <v>0</v>
      </c>
      <c r="P134" s="268">
        <v>0</v>
      </c>
      <c r="Q134" s="268">
        <v>0</v>
      </c>
      <c r="R134" s="268">
        <v>0</v>
      </c>
      <c r="S134" s="268">
        <v>0</v>
      </c>
      <c r="T134" s="268">
        <v>0</v>
      </c>
      <c r="U134" s="268">
        <v>1128.9429237148406</v>
      </c>
      <c r="V134" s="272">
        <f t="shared" si="74"/>
        <v>1206.5658456024087</v>
      </c>
    </row>
    <row r="135" spans="1:27" x14ac:dyDescent="0.25">
      <c r="A135" s="273" t="s">
        <v>1</v>
      </c>
      <c r="B135" s="274">
        <f>SUM(B115:B134)</f>
        <v>1901252.2619087403</v>
      </c>
      <c r="C135" s="274">
        <f t="shared" ref="C135:U135" si="77">SUM(C115:C134)</f>
        <v>1452239.1460803556</v>
      </c>
      <c r="D135" s="274">
        <f t="shared" si="77"/>
        <v>865906.23967880639</v>
      </c>
      <c r="E135" s="274">
        <f t="shared" si="77"/>
        <v>1901262.3526099424</v>
      </c>
      <c r="F135" s="274">
        <f t="shared" si="77"/>
        <v>184676.3948496136</v>
      </c>
      <c r="G135" s="274">
        <f t="shared" si="77"/>
        <v>233514.29899332291</v>
      </c>
      <c r="H135" s="274">
        <f t="shared" si="77"/>
        <v>46832.098398036178</v>
      </c>
      <c r="I135" s="274">
        <f t="shared" si="77"/>
        <v>384.84908997903221</v>
      </c>
      <c r="J135" s="274">
        <f t="shared" si="77"/>
        <v>3877.5694818365105</v>
      </c>
      <c r="K135" s="274">
        <f t="shared" si="77"/>
        <v>35845.632304265971</v>
      </c>
      <c r="L135" s="274">
        <f t="shared" si="77"/>
        <v>9262.6074191660882</v>
      </c>
      <c r="M135" s="274">
        <f t="shared" si="77"/>
        <v>19714.233641577033</v>
      </c>
      <c r="N135" s="274">
        <f t="shared" si="77"/>
        <v>405.92914160717106</v>
      </c>
      <c r="O135" s="274">
        <f t="shared" si="77"/>
        <v>123.60712852596197</v>
      </c>
      <c r="P135" s="274">
        <f t="shared" si="77"/>
        <v>170.90862961194017</v>
      </c>
      <c r="Q135" s="274">
        <f t="shared" si="77"/>
        <v>10088.133901131949</v>
      </c>
      <c r="R135" s="274">
        <f t="shared" si="77"/>
        <v>1297.6838276098583</v>
      </c>
      <c r="S135" s="274">
        <f t="shared" si="77"/>
        <v>5371.833849376053</v>
      </c>
      <c r="T135" s="274">
        <f t="shared" si="77"/>
        <v>26017.607950261241</v>
      </c>
      <c r="U135" s="274">
        <f t="shared" si="77"/>
        <v>2385.9368250643088</v>
      </c>
      <c r="V135" s="272">
        <f t="shared" si="74"/>
        <v>6700629.3257088307</v>
      </c>
    </row>
    <row r="136" spans="1:27" x14ac:dyDescent="0.25">
      <c r="A136" s="276"/>
      <c r="C136" s="277"/>
      <c r="D136" s="268"/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</row>
    <row r="137" spans="1:27" x14ac:dyDescent="0.25">
      <c r="A137" s="276" t="s">
        <v>349</v>
      </c>
      <c r="B137" s="252" cm="1">
        <f t="array" ref="B137:U137">TRANSPOSE(targets!R102:R121)</f>
        <v>734785.58372601494</v>
      </c>
      <c r="C137" s="277">
        <v>469377.37253065978</v>
      </c>
      <c r="D137" s="268">
        <v>271591.92823074246</v>
      </c>
      <c r="E137" s="268">
        <v>918334.74019821838</v>
      </c>
      <c r="F137" s="268">
        <v>82004.466063699307</v>
      </c>
      <c r="G137" s="268">
        <v>72520.553912252086</v>
      </c>
      <c r="H137" s="268">
        <v>16235.838942356233</v>
      </c>
      <c r="I137" s="268">
        <v>133.51017881457611</v>
      </c>
      <c r="J137" s="268">
        <v>1404.8991155138692</v>
      </c>
      <c r="K137" s="268">
        <v>14402.449938678932</v>
      </c>
      <c r="L137" s="268">
        <v>3254.8874904499748</v>
      </c>
      <c r="M137" s="268">
        <v>314.62625369506634</v>
      </c>
      <c r="N137" s="268">
        <v>330.8319919822369</v>
      </c>
      <c r="O137" s="268">
        <v>63.66562047281576</v>
      </c>
      <c r="P137" s="268">
        <v>170.90862961194017</v>
      </c>
      <c r="Q137" s="268">
        <v>6261.6294874364266</v>
      </c>
      <c r="R137" s="268">
        <v>556.53809621600226</v>
      </c>
      <c r="S137" s="268">
        <v>1112.4031129103084</v>
      </c>
      <c r="T137" s="268">
        <v>10251.228773248971</v>
      </c>
      <c r="U137" s="268">
        <v>1123.2555404045681</v>
      </c>
      <c r="V137" s="268"/>
    </row>
    <row r="138" spans="1:27" x14ac:dyDescent="0.25">
      <c r="A138" s="276" t="s">
        <v>350</v>
      </c>
      <c r="B138" s="279">
        <f>B135/B137</f>
        <v>2.5874926019475017</v>
      </c>
      <c r="C138" s="279">
        <f t="shared" ref="C138:U138" si="78">C135/C137</f>
        <v>3.0939692261912248</v>
      </c>
      <c r="D138" s="279">
        <f t="shared" si="78"/>
        <v>3.1882620566806352</v>
      </c>
      <c r="E138" s="279">
        <f t="shared" si="78"/>
        <v>2.0703369581766706</v>
      </c>
      <c r="F138" s="279">
        <f t="shared" si="78"/>
        <v>2.2520285017911212</v>
      </c>
      <c r="G138" s="279">
        <f t="shared" si="78"/>
        <v>3.2199740128277137</v>
      </c>
      <c r="H138" s="279">
        <f t="shared" si="78"/>
        <v>2.8844889730865764</v>
      </c>
      <c r="I138" s="279">
        <f t="shared" si="78"/>
        <v>2.8825449369933427</v>
      </c>
      <c r="J138" s="279">
        <f t="shared" si="78"/>
        <v>2.760034111359102</v>
      </c>
      <c r="K138" s="279">
        <f t="shared" si="78"/>
        <v>2.4888565804349478</v>
      </c>
      <c r="L138" s="279">
        <f t="shared" si="78"/>
        <v>2.8457534849800816</v>
      </c>
      <c r="M138" s="279">
        <f t="shared" si="78"/>
        <v>62.659213622662072</v>
      </c>
      <c r="N138" s="279">
        <f t="shared" si="78"/>
        <v>1.2269948234902455</v>
      </c>
      <c r="O138" s="279">
        <f t="shared" si="78"/>
        <v>1.941505126440106</v>
      </c>
      <c r="P138" s="279">
        <f t="shared" si="78"/>
        <v>1</v>
      </c>
      <c r="Q138" s="279">
        <f t="shared" si="78"/>
        <v>1.611103614701759</v>
      </c>
      <c r="R138" s="279">
        <f t="shared" si="78"/>
        <v>2.3317070950453038</v>
      </c>
      <c r="S138" s="279">
        <f t="shared" si="78"/>
        <v>4.8290352544250537</v>
      </c>
      <c r="T138" s="279">
        <f t="shared" si="78"/>
        <v>2.5379989585400069</v>
      </c>
      <c r="U138" s="279">
        <f t="shared" si="78"/>
        <v>2.1241264692137238</v>
      </c>
      <c r="V138" s="268"/>
    </row>
    <row r="139" spans="1:27" x14ac:dyDescent="0.25">
      <c r="A139" s="276"/>
      <c r="C139" s="277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</row>
    <row r="140" spans="1:27" x14ac:dyDescent="0.25">
      <c r="A140" s="276" t="s">
        <v>244</v>
      </c>
      <c r="C140" s="277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</row>
    <row r="141" spans="1:27" ht="36.75" x14ac:dyDescent="0.25">
      <c r="A141" s="253" t="s">
        <v>348</v>
      </c>
      <c r="B141" s="254" t="s">
        <v>291</v>
      </c>
      <c r="C141" s="254" t="s">
        <v>292</v>
      </c>
      <c r="D141" s="254" t="s">
        <v>293</v>
      </c>
      <c r="E141" s="254" t="s">
        <v>2</v>
      </c>
      <c r="F141" s="254" t="s">
        <v>31</v>
      </c>
      <c r="G141" s="254" t="s">
        <v>294</v>
      </c>
      <c r="H141" s="254" t="s">
        <v>345</v>
      </c>
      <c r="I141" s="254" t="s">
        <v>310</v>
      </c>
      <c r="J141" s="254" t="s">
        <v>295</v>
      </c>
      <c r="K141" s="254" t="s">
        <v>296</v>
      </c>
      <c r="L141" s="254" t="s">
        <v>297</v>
      </c>
      <c r="M141" s="254" t="s">
        <v>298</v>
      </c>
      <c r="N141" s="254" t="s">
        <v>317</v>
      </c>
      <c r="O141" s="254" t="s">
        <v>311</v>
      </c>
      <c r="P141" s="254" t="s">
        <v>299</v>
      </c>
      <c r="Q141" s="254" t="s">
        <v>300</v>
      </c>
      <c r="R141" s="254" t="s">
        <v>301</v>
      </c>
      <c r="S141" s="254" t="s">
        <v>36</v>
      </c>
      <c r="T141" s="254" t="s">
        <v>302</v>
      </c>
      <c r="U141" s="254" t="s">
        <v>303</v>
      </c>
      <c r="V141" s="255" t="s">
        <v>1</v>
      </c>
      <c r="Y141" s="280" t="s">
        <v>352</v>
      </c>
      <c r="Z141" s="280" t="s">
        <v>355</v>
      </c>
      <c r="AA141" s="280" t="s">
        <v>354</v>
      </c>
    </row>
    <row r="142" spans="1:27" x14ac:dyDescent="0.25">
      <c r="A142" s="256" t="s">
        <v>291</v>
      </c>
      <c r="B142" s="257">
        <v>354706.19822595961</v>
      </c>
      <c r="C142" s="257">
        <v>13225.386567762547</v>
      </c>
      <c r="D142" s="257">
        <v>2658.587833613205</v>
      </c>
      <c r="E142" s="251">
        <v>0</v>
      </c>
      <c r="F142" s="259">
        <v>0</v>
      </c>
      <c r="G142" s="251">
        <v>0</v>
      </c>
      <c r="H142" s="259">
        <v>0</v>
      </c>
      <c r="I142" s="259">
        <v>0</v>
      </c>
      <c r="J142" s="259">
        <v>0</v>
      </c>
      <c r="K142" s="259">
        <v>0</v>
      </c>
      <c r="L142" s="259">
        <v>0</v>
      </c>
      <c r="M142" s="259">
        <v>0</v>
      </c>
      <c r="N142" s="259">
        <v>0</v>
      </c>
      <c r="O142" s="259">
        <v>0</v>
      </c>
      <c r="P142" s="259">
        <v>0</v>
      </c>
      <c r="Q142" s="251">
        <v>0</v>
      </c>
      <c r="R142" s="259">
        <v>0</v>
      </c>
      <c r="S142" s="259">
        <v>0</v>
      </c>
      <c r="T142" s="251">
        <v>0</v>
      </c>
      <c r="U142" s="259">
        <v>0</v>
      </c>
      <c r="V142" s="260">
        <f t="shared" ref="V142:V162" si="79">SUM(B142:U142)</f>
        <v>370590.17262733536</v>
      </c>
      <c r="Y142" t="s">
        <v>359</v>
      </c>
      <c r="Z142" s="281">
        <f>G164+M164</f>
        <v>4559.720604997774</v>
      </c>
      <c r="AA142" s="281">
        <f>G162+M162</f>
        <v>11693.03735762275</v>
      </c>
    </row>
    <row r="143" spans="1:27" x14ac:dyDescent="0.25">
      <c r="A143" s="261" t="s">
        <v>292</v>
      </c>
      <c r="B143" s="257">
        <v>0</v>
      </c>
      <c r="C143" s="257">
        <v>147405.45292903139</v>
      </c>
      <c r="D143" s="257">
        <v>7595.3087842023224</v>
      </c>
      <c r="E143" s="257">
        <v>0</v>
      </c>
      <c r="F143" s="257">
        <v>0</v>
      </c>
      <c r="G143" s="257">
        <v>13.906316022051454</v>
      </c>
      <c r="H143" s="257">
        <v>0</v>
      </c>
      <c r="I143" s="257">
        <v>0</v>
      </c>
      <c r="J143" s="257">
        <v>0</v>
      </c>
      <c r="K143" s="257">
        <v>0</v>
      </c>
      <c r="L143" s="257">
        <v>0</v>
      </c>
      <c r="M143" s="259">
        <v>0</v>
      </c>
      <c r="N143" s="259">
        <v>0</v>
      </c>
      <c r="O143" s="259">
        <v>0</v>
      </c>
      <c r="P143" s="259">
        <v>0</v>
      </c>
      <c r="Q143" s="259">
        <v>0</v>
      </c>
      <c r="R143" s="259">
        <v>0</v>
      </c>
      <c r="S143" s="257">
        <v>0</v>
      </c>
      <c r="T143" s="257">
        <v>0</v>
      </c>
      <c r="U143" s="257">
        <v>0</v>
      </c>
      <c r="V143" s="260">
        <f t="shared" si="79"/>
        <v>155014.66802925576</v>
      </c>
      <c r="Y143" t="s">
        <v>353</v>
      </c>
      <c r="Z143" s="281">
        <f>H164+N164</f>
        <v>408.01563387084644</v>
      </c>
      <c r="AA143" s="281">
        <f>H162+N162</f>
        <v>986.14530888948264</v>
      </c>
    </row>
    <row r="144" spans="1:27" ht="24.75" x14ac:dyDescent="0.25">
      <c r="A144" s="262" t="s">
        <v>293</v>
      </c>
      <c r="B144" s="257">
        <v>0</v>
      </c>
      <c r="C144" s="263">
        <v>0</v>
      </c>
      <c r="D144" s="264">
        <v>52813.871744991389</v>
      </c>
      <c r="E144" s="264">
        <v>0</v>
      </c>
      <c r="F144" s="264">
        <v>0</v>
      </c>
      <c r="G144" s="264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5">
        <v>0</v>
      </c>
      <c r="N144" s="265">
        <v>0</v>
      </c>
      <c r="O144" s="265">
        <v>0</v>
      </c>
      <c r="P144" s="265">
        <v>0</v>
      </c>
      <c r="Q144" s="265">
        <v>0</v>
      </c>
      <c r="R144" s="265">
        <v>0</v>
      </c>
      <c r="S144" s="264">
        <v>0</v>
      </c>
      <c r="T144" s="264">
        <v>1419.3392933459966</v>
      </c>
      <c r="U144" s="264">
        <v>0</v>
      </c>
      <c r="V144" s="260">
        <f t="shared" si="79"/>
        <v>54233.211038337387</v>
      </c>
      <c r="Y144" t="s">
        <v>360</v>
      </c>
      <c r="Z144" s="281">
        <f>I164+O164</f>
        <v>0</v>
      </c>
      <c r="AA144" s="281">
        <f>I162+O162</f>
        <v>0</v>
      </c>
    </row>
    <row r="145" spans="1:27" x14ac:dyDescent="0.25">
      <c r="A145" s="267" t="s">
        <v>2</v>
      </c>
      <c r="B145" s="257">
        <v>9708.4982451715878</v>
      </c>
      <c r="C145" s="263">
        <v>795.38326532373208</v>
      </c>
      <c r="D145" s="268">
        <v>7034.9492516395894</v>
      </c>
      <c r="E145" s="268">
        <v>243641.28919814352</v>
      </c>
      <c r="F145" s="269">
        <v>1026.872369962977</v>
      </c>
      <c r="G145" s="268">
        <v>2781.794306772184</v>
      </c>
      <c r="H145" s="268">
        <v>11.571085140993672</v>
      </c>
      <c r="I145" s="268">
        <v>0</v>
      </c>
      <c r="J145" s="268">
        <v>488.51655953653841</v>
      </c>
      <c r="K145" s="268">
        <v>0</v>
      </c>
      <c r="L145" s="268">
        <v>101.24064925930634</v>
      </c>
      <c r="M145" s="270">
        <v>0</v>
      </c>
      <c r="N145" s="270">
        <v>0</v>
      </c>
      <c r="O145" s="270">
        <v>0</v>
      </c>
      <c r="P145" s="270">
        <v>0</v>
      </c>
      <c r="Q145" s="270">
        <v>0</v>
      </c>
      <c r="R145" s="270">
        <v>0</v>
      </c>
      <c r="S145" s="268">
        <v>0</v>
      </c>
      <c r="T145" s="268">
        <v>574.81712330643222</v>
      </c>
      <c r="U145" s="268">
        <v>0</v>
      </c>
      <c r="V145" s="260">
        <f t="shared" si="79"/>
        <v>266164.93205425685</v>
      </c>
      <c r="Y145" t="s">
        <v>123</v>
      </c>
      <c r="Z145" s="281">
        <f>J164+P164</f>
        <v>521.46519893545735</v>
      </c>
      <c r="AA145" s="281">
        <f>J162+P162</f>
        <v>1075.8790372698338</v>
      </c>
    </row>
    <row r="146" spans="1:27" x14ac:dyDescent="0.25">
      <c r="A146" s="267" t="s">
        <v>31</v>
      </c>
      <c r="B146" s="251">
        <v>0</v>
      </c>
      <c r="C146" s="259">
        <v>0</v>
      </c>
      <c r="D146" s="270">
        <v>0</v>
      </c>
      <c r="E146" s="270">
        <v>0</v>
      </c>
      <c r="F146" s="268">
        <v>22231.995850296847</v>
      </c>
      <c r="G146" s="271">
        <v>0</v>
      </c>
      <c r="H146" s="270">
        <v>0</v>
      </c>
      <c r="I146" s="270">
        <v>0</v>
      </c>
      <c r="J146" s="270">
        <v>0</v>
      </c>
      <c r="K146" s="270">
        <v>0</v>
      </c>
      <c r="L146" s="270">
        <v>0</v>
      </c>
      <c r="M146" s="270">
        <v>0</v>
      </c>
      <c r="N146" s="270">
        <v>0</v>
      </c>
      <c r="O146" s="270">
        <v>0</v>
      </c>
      <c r="P146" s="270">
        <v>0</v>
      </c>
      <c r="Q146" s="270">
        <v>0</v>
      </c>
      <c r="R146" s="270">
        <v>0</v>
      </c>
      <c r="S146" s="270">
        <v>0</v>
      </c>
      <c r="T146" s="270">
        <v>0</v>
      </c>
      <c r="U146" s="270">
        <v>0</v>
      </c>
      <c r="V146" s="260">
        <f t="shared" si="79"/>
        <v>22231.995850296847</v>
      </c>
      <c r="Y146" t="s">
        <v>124</v>
      </c>
      <c r="Z146" s="281">
        <f>K164+Q164</f>
        <v>1783.8439313692013</v>
      </c>
      <c r="AA146" s="281">
        <f>K162+Q162</f>
        <v>2803.1833207230638</v>
      </c>
    </row>
    <row r="147" spans="1:27" x14ac:dyDescent="0.25">
      <c r="A147" s="267" t="s">
        <v>294</v>
      </c>
      <c r="B147" s="257">
        <v>0</v>
      </c>
      <c r="C147" s="263">
        <v>0</v>
      </c>
      <c r="D147" s="270">
        <v>0</v>
      </c>
      <c r="E147" s="268">
        <v>0</v>
      </c>
      <c r="F147" s="268">
        <v>0</v>
      </c>
      <c r="G147" s="268">
        <v>8897.3367348285155</v>
      </c>
      <c r="H147" s="268">
        <v>390.22241041796116</v>
      </c>
      <c r="I147" s="268">
        <v>0</v>
      </c>
      <c r="J147" s="268">
        <v>0</v>
      </c>
      <c r="K147" s="268">
        <v>0</v>
      </c>
      <c r="L147" s="268">
        <v>0</v>
      </c>
      <c r="M147" s="270">
        <v>0</v>
      </c>
      <c r="N147" s="270">
        <v>0</v>
      </c>
      <c r="O147" s="270">
        <v>0</v>
      </c>
      <c r="P147" s="270">
        <v>0</v>
      </c>
      <c r="Q147" s="270">
        <v>0</v>
      </c>
      <c r="R147" s="270">
        <v>0</v>
      </c>
      <c r="S147" s="268">
        <v>0</v>
      </c>
      <c r="T147" s="268">
        <v>0</v>
      </c>
      <c r="U147" s="268">
        <v>0</v>
      </c>
      <c r="V147" s="260">
        <f t="shared" si="79"/>
        <v>9287.559145246476</v>
      </c>
      <c r="Y147" t="s">
        <v>125</v>
      </c>
      <c r="Z147" s="281">
        <f>L164+R164</f>
        <v>101.24064925930634</v>
      </c>
      <c r="AA147" s="281">
        <f>L162+R162</f>
        <v>303.72194777791901</v>
      </c>
    </row>
    <row r="148" spans="1:27" x14ac:dyDescent="0.25">
      <c r="A148" s="267" t="s">
        <v>345</v>
      </c>
      <c r="B148" s="257">
        <v>0</v>
      </c>
      <c r="C148" s="263">
        <v>0</v>
      </c>
      <c r="D148" s="268">
        <v>0</v>
      </c>
      <c r="E148" s="268">
        <v>0</v>
      </c>
      <c r="F148" s="268">
        <v>0</v>
      </c>
      <c r="G148" s="268">
        <v>0</v>
      </c>
      <c r="H148" s="268">
        <v>572.78072818953422</v>
      </c>
      <c r="I148" s="268">
        <v>0</v>
      </c>
      <c r="J148" s="268">
        <v>0</v>
      </c>
      <c r="K148" s="268">
        <v>0</v>
      </c>
      <c r="L148" s="268">
        <v>0</v>
      </c>
      <c r="M148" s="270">
        <v>0</v>
      </c>
      <c r="N148" s="270">
        <v>0</v>
      </c>
      <c r="O148" s="270">
        <v>0</v>
      </c>
      <c r="P148" s="270">
        <v>0</v>
      </c>
      <c r="Q148" s="270">
        <v>0</v>
      </c>
      <c r="R148" s="270">
        <v>0</v>
      </c>
      <c r="S148" s="268">
        <v>0</v>
      </c>
      <c r="T148" s="268">
        <v>0</v>
      </c>
      <c r="U148" s="268">
        <v>0</v>
      </c>
      <c r="V148" s="260">
        <f t="shared" si="79"/>
        <v>572.78072818953422</v>
      </c>
      <c r="Y148" t="s">
        <v>363</v>
      </c>
    </row>
    <row r="149" spans="1:27" x14ac:dyDescent="0.25">
      <c r="A149" s="267" t="s">
        <v>310</v>
      </c>
      <c r="B149" s="257">
        <v>0</v>
      </c>
      <c r="C149" s="263">
        <v>0</v>
      </c>
      <c r="D149" s="268">
        <v>0</v>
      </c>
      <c r="E149" s="268">
        <v>0</v>
      </c>
      <c r="F149" s="268">
        <v>0</v>
      </c>
      <c r="G149" s="268">
        <v>0</v>
      </c>
      <c r="H149" s="268">
        <v>0</v>
      </c>
      <c r="I149" s="268">
        <v>0</v>
      </c>
      <c r="J149" s="268">
        <v>0</v>
      </c>
      <c r="K149" s="268">
        <v>0</v>
      </c>
      <c r="L149" s="268">
        <v>0</v>
      </c>
      <c r="M149" s="270">
        <v>0</v>
      </c>
      <c r="N149" s="270">
        <v>0</v>
      </c>
      <c r="O149" s="270">
        <v>0</v>
      </c>
      <c r="P149" s="270">
        <v>0</v>
      </c>
      <c r="Q149" s="270">
        <v>0</v>
      </c>
      <c r="R149" s="270">
        <v>0</v>
      </c>
      <c r="S149" s="268">
        <v>0</v>
      </c>
      <c r="T149" s="268">
        <v>0</v>
      </c>
      <c r="U149" s="268">
        <v>0</v>
      </c>
      <c r="V149" s="260">
        <f t="shared" si="79"/>
        <v>0</v>
      </c>
    </row>
    <row r="150" spans="1:27" x14ac:dyDescent="0.25">
      <c r="A150" s="267" t="s">
        <v>295</v>
      </c>
      <c r="B150" s="257">
        <v>0</v>
      </c>
      <c r="C150" s="263">
        <v>0</v>
      </c>
      <c r="D150" s="268">
        <v>0</v>
      </c>
      <c r="E150" s="268">
        <v>0</v>
      </c>
      <c r="F150" s="268">
        <v>0</v>
      </c>
      <c r="G150" s="268">
        <v>0</v>
      </c>
      <c r="H150" s="268">
        <v>0</v>
      </c>
      <c r="I150" s="268">
        <v>0</v>
      </c>
      <c r="J150" s="268">
        <v>587.36247773329535</v>
      </c>
      <c r="K150" s="268">
        <v>0</v>
      </c>
      <c r="L150" s="268">
        <v>0</v>
      </c>
      <c r="M150" s="270">
        <v>0</v>
      </c>
      <c r="N150" s="270">
        <v>0</v>
      </c>
      <c r="O150" s="270">
        <v>0</v>
      </c>
      <c r="P150" s="270">
        <v>0</v>
      </c>
      <c r="Q150" s="270">
        <v>0</v>
      </c>
      <c r="R150" s="270">
        <v>0</v>
      </c>
      <c r="S150" s="268">
        <v>0</v>
      </c>
      <c r="T150" s="268">
        <v>0</v>
      </c>
      <c r="U150" s="268">
        <v>0</v>
      </c>
      <c r="V150" s="260">
        <f t="shared" si="79"/>
        <v>587.36247773329535</v>
      </c>
    </row>
    <row r="151" spans="1:27" x14ac:dyDescent="0.25">
      <c r="A151" s="267" t="s">
        <v>296</v>
      </c>
      <c r="B151" s="257">
        <v>0</v>
      </c>
      <c r="C151" s="263">
        <v>0</v>
      </c>
      <c r="D151" s="268">
        <v>0</v>
      </c>
      <c r="E151" s="268">
        <v>0</v>
      </c>
      <c r="F151" s="268">
        <v>0</v>
      </c>
      <c r="G151" s="268">
        <v>0</v>
      </c>
      <c r="H151" s="268">
        <v>0</v>
      </c>
      <c r="I151" s="268">
        <v>0</v>
      </c>
      <c r="J151" s="268">
        <v>0</v>
      </c>
      <c r="K151" s="268">
        <v>0</v>
      </c>
      <c r="L151" s="268">
        <v>0</v>
      </c>
      <c r="M151" s="270">
        <v>0</v>
      </c>
      <c r="N151" s="270">
        <v>0</v>
      </c>
      <c r="O151" s="270">
        <v>0</v>
      </c>
      <c r="P151" s="270">
        <v>0</v>
      </c>
      <c r="Q151" s="271">
        <v>0</v>
      </c>
      <c r="R151" s="270">
        <v>0</v>
      </c>
      <c r="S151" s="268">
        <v>0</v>
      </c>
      <c r="T151" s="268">
        <v>0</v>
      </c>
      <c r="U151" s="268">
        <v>0</v>
      </c>
      <c r="V151" s="260">
        <f t="shared" si="79"/>
        <v>0</v>
      </c>
    </row>
    <row r="152" spans="1:27" x14ac:dyDescent="0.25">
      <c r="A152" s="267" t="s">
        <v>297</v>
      </c>
      <c r="B152" s="257">
        <v>0</v>
      </c>
      <c r="C152" s="263">
        <v>0</v>
      </c>
      <c r="D152" s="268">
        <v>0</v>
      </c>
      <c r="E152" s="268">
        <v>0</v>
      </c>
      <c r="F152" s="268">
        <v>0</v>
      </c>
      <c r="G152" s="268">
        <v>0</v>
      </c>
      <c r="H152" s="268">
        <v>0</v>
      </c>
      <c r="I152" s="268">
        <v>0</v>
      </c>
      <c r="J152" s="268">
        <v>0</v>
      </c>
      <c r="K152" s="268">
        <v>0</v>
      </c>
      <c r="L152" s="268">
        <v>202.48129851861268</v>
      </c>
      <c r="M152" s="270">
        <v>0</v>
      </c>
      <c r="N152" s="270">
        <v>0</v>
      </c>
      <c r="O152" s="270">
        <v>0</v>
      </c>
      <c r="P152" s="270">
        <v>0</v>
      </c>
      <c r="Q152" s="270">
        <v>0</v>
      </c>
      <c r="R152" s="270">
        <v>0</v>
      </c>
      <c r="S152" s="268">
        <v>0</v>
      </c>
      <c r="T152" s="268">
        <v>0</v>
      </c>
      <c r="U152" s="268">
        <v>0</v>
      </c>
      <c r="V152" s="260">
        <f t="shared" si="79"/>
        <v>202.48129851861268</v>
      </c>
    </row>
    <row r="153" spans="1:27" x14ac:dyDescent="0.25">
      <c r="A153" s="267" t="s">
        <v>298</v>
      </c>
      <c r="B153" s="257">
        <v>0</v>
      </c>
      <c r="C153" s="263">
        <v>0</v>
      </c>
      <c r="D153" s="268">
        <v>0</v>
      </c>
      <c r="E153" s="268">
        <v>0</v>
      </c>
      <c r="F153" s="268">
        <v>0</v>
      </c>
      <c r="G153" s="270">
        <v>0</v>
      </c>
      <c r="H153" s="270">
        <v>0</v>
      </c>
      <c r="I153" s="270">
        <v>0</v>
      </c>
      <c r="J153" s="270">
        <v>0</v>
      </c>
      <c r="K153" s="270">
        <v>0</v>
      </c>
      <c r="L153" s="270">
        <v>0</v>
      </c>
      <c r="M153" s="268">
        <v>0</v>
      </c>
      <c r="N153" s="268">
        <v>0</v>
      </c>
      <c r="O153" s="268">
        <v>0</v>
      </c>
      <c r="P153" s="268">
        <v>0</v>
      </c>
      <c r="Q153" s="268">
        <v>0</v>
      </c>
      <c r="R153" s="268">
        <v>0</v>
      </c>
      <c r="S153" s="268">
        <v>0</v>
      </c>
      <c r="T153" s="268">
        <v>0</v>
      </c>
      <c r="U153" s="268">
        <v>0</v>
      </c>
      <c r="V153" s="260">
        <f t="shared" si="79"/>
        <v>0</v>
      </c>
    </row>
    <row r="154" spans="1:27" x14ac:dyDescent="0.25">
      <c r="A154" s="267" t="s">
        <v>317</v>
      </c>
      <c r="B154" s="257">
        <v>0</v>
      </c>
      <c r="C154" s="263">
        <v>0</v>
      </c>
      <c r="D154" s="268">
        <v>0</v>
      </c>
      <c r="E154" s="268">
        <v>0</v>
      </c>
      <c r="F154" s="268">
        <v>0</v>
      </c>
      <c r="G154" s="270">
        <v>0</v>
      </c>
      <c r="H154" s="270">
        <v>0</v>
      </c>
      <c r="I154" s="270">
        <v>0</v>
      </c>
      <c r="J154" s="270">
        <v>0</v>
      </c>
      <c r="K154" s="270">
        <v>0</v>
      </c>
      <c r="L154" s="270">
        <v>0</v>
      </c>
      <c r="M154" s="268">
        <v>0</v>
      </c>
      <c r="N154" s="268">
        <v>0</v>
      </c>
      <c r="O154" s="268">
        <v>0</v>
      </c>
      <c r="P154" s="268">
        <v>0</v>
      </c>
      <c r="Q154" s="268">
        <v>0</v>
      </c>
      <c r="R154" s="268">
        <v>0</v>
      </c>
      <c r="S154" s="268">
        <v>0</v>
      </c>
      <c r="T154" s="268">
        <v>0</v>
      </c>
      <c r="U154" s="268">
        <v>0</v>
      </c>
      <c r="V154" s="260">
        <f t="shared" si="79"/>
        <v>0</v>
      </c>
    </row>
    <row r="155" spans="1:27" x14ac:dyDescent="0.25">
      <c r="A155" s="267" t="s">
        <v>311</v>
      </c>
      <c r="B155" s="257">
        <v>0</v>
      </c>
      <c r="C155" s="263">
        <v>0</v>
      </c>
      <c r="D155" s="268">
        <v>0</v>
      </c>
      <c r="E155" s="268">
        <v>0</v>
      </c>
      <c r="F155" s="268">
        <v>0</v>
      </c>
      <c r="G155" s="270">
        <v>0</v>
      </c>
      <c r="H155" s="270">
        <v>0</v>
      </c>
      <c r="I155" s="270">
        <v>0</v>
      </c>
      <c r="J155" s="270">
        <v>0</v>
      </c>
      <c r="K155" s="270">
        <v>0</v>
      </c>
      <c r="L155" s="270">
        <v>0</v>
      </c>
      <c r="M155" s="268">
        <v>0</v>
      </c>
      <c r="N155" s="268">
        <v>0</v>
      </c>
      <c r="O155" s="268">
        <v>0</v>
      </c>
      <c r="P155" s="268">
        <v>0</v>
      </c>
      <c r="Q155" s="268">
        <v>0</v>
      </c>
      <c r="R155" s="268">
        <v>0</v>
      </c>
      <c r="S155" s="268">
        <v>0</v>
      </c>
      <c r="T155" s="268">
        <v>0</v>
      </c>
      <c r="U155" s="268">
        <v>0</v>
      </c>
      <c r="V155" s="260">
        <f t="shared" si="79"/>
        <v>0</v>
      </c>
    </row>
    <row r="156" spans="1:27" x14ac:dyDescent="0.25">
      <c r="A156" s="267" t="s">
        <v>299</v>
      </c>
      <c r="B156" s="257">
        <v>0</v>
      </c>
      <c r="C156" s="263">
        <v>0</v>
      </c>
      <c r="D156" s="268">
        <v>0</v>
      </c>
      <c r="E156" s="268">
        <v>0</v>
      </c>
      <c r="F156" s="268">
        <v>0</v>
      </c>
      <c r="G156" s="270">
        <v>0</v>
      </c>
      <c r="H156" s="270">
        <v>0</v>
      </c>
      <c r="I156" s="270">
        <v>0</v>
      </c>
      <c r="J156" s="270">
        <v>0</v>
      </c>
      <c r="K156" s="270">
        <v>0</v>
      </c>
      <c r="L156" s="270">
        <v>0</v>
      </c>
      <c r="M156" s="268">
        <v>0</v>
      </c>
      <c r="N156" s="268">
        <v>0</v>
      </c>
      <c r="O156" s="268">
        <v>0</v>
      </c>
      <c r="P156" s="268">
        <v>0</v>
      </c>
      <c r="Q156" s="268">
        <v>0</v>
      </c>
      <c r="R156" s="268">
        <v>0</v>
      </c>
      <c r="S156" s="268">
        <v>0</v>
      </c>
      <c r="T156" s="268">
        <v>0</v>
      </c>
      <c r="U156" s="268">
        <v>0</v>
      </c>
      <c r="V156" s="260">
        <f t="shared" si="79"/>
        <v>0</v>
      </c>
    </row>
    <row r="157" spans="1:27" x14ac:dyDescent="0.25">
      <c r="A157" s="267" t="s">
        <v>300</v>
      </c>
      <c r="B157" s="257">
        <v>0</v>
      </c>
      <c r="C157" s="263">
        <v>0</v>
      </c>
      <c r="D157" s="268">
        <v>0</v>
      </c>
      <c r="E157" s="268">
        <v>0</v>
      </c>
      <c r="F157" s="268">
        <v>0</v>
      </c>
      <c r="G157" s="270">
        <v>0</v>
      </c>
      <c r="H157" s="270">
        <v>0</v>
      </c>
      <c r="I157" s="270">
        <v>0</v>
      </c>
      <c r="J157" s="270">
        <v>0</v>
      </c>
      <c r="K157" s="270">
        <v>0</v>
      </c>
      <c r="L157" s="270">
        <v>0</v>
      </c>
      <c r="M157" s="268">
        <v>0</v>
      </c>
      <c r="N157" s="268">
        <v>0</v>
      </c>
      <c r="O157" s="268">
        <v>0</v>
      </c>
      <c r="P157" s="268">
        <v>0</v>
      </c>
      <c r="Q157" s="268">
        <v>2803.1833207230638</v>
      </c>
      <c r="R157" s="268">
        <v>0</v>
      </c>
      <c r="S157" s="268">
        <v>0</v>
      </c>
      <c r="T157" s="268">
        <v>0</v>
      </c>
      <c r="U157" s="268">
        <v>0</v>
      </c>
      <c r="V157" s="260">
        <f t="shared" si="79"/>
        <v>2803.1833207230638</v>
      </c>
    </row>
    <row r="158" spans="1:27" x14ac:dyDescent="0.25">
      <c r="A158" s="267" t="s">
        <v>301</v>
      </c>
      <c r="B158" s="257">
        <v>0</v>
      </c>
      <c r="C158" s="263">
        <v>0</v>
      </c>
      <c r="D158" s="268">
        <v>0</v>
      </c>
      <c r="E158" s="268">
        <v>0</v>
      </c>
      <c r="F158" s="268">
        <v>0</v>
      </c>
      <c r="G158" s="270">
        <v>0</v>
      </c>
      <c r="H158" s="270">
        <v>0</v>
      </c>
      <c r="I158" s="270">
        <v>0</v>
      </c>
      <c r="J158" s="270">
        <v>0</v>
      </c>
      <c r="K158" s="270">
        <v>0</v>
      </c>
      <c r="L158" s="270">
        <v>0</v>
      </c>
      <c r="M158" s="268">
        <v>0</v>
      </c>
      <c r="N158" s="268">
        <v>0</v>
      </c>
      <c r="O158" s="268">
        <v>0</v>
      </c>
      <c r="P158" s="268">
        <v>0</v>
      </c>
      <c r="Q158" s="268">
        <v>0</v>
      </c>
      <c r="R158" s="268">
        <v>0</v>
      </c>
      <c r="S158" s="268">
        <v>0</v>
      </c>
      <c r="T158" s="268">
        <v>0</v>
      </c>
      <c r="U158" s="268">
        <v>0</v>
      </c>
      <c r="V158" s="260">
        <f t="shared" si="79"/>
        <v>0</v>
      </c>
    </row>
    <row r="159" spans="1:27" x14ac:dyDescent="0.25">
      <c r="A159" s="267" t="s">
        <v>36</v>
      </c>
      <c r="B159" s="257">
        <v>0</v>
      </c>
      <c r="C159" s="263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68">
        <v>0</v>
      </c>
      <c r="Q159" s="268">
        <v>0</v>
      </c>
      <c r="R159" s="268">
        <v>0</v>
      </c>
      <c r="S159" s="268">
        <v>164.5121910976535</v>
      </c>
      <c r="T159" s="268">
        <v>0</v>
      </c>
      <c r="U159" s="268">
        <v>0</v>
      </c>
      <c r="V159" s="260">
        <f t="shared" si="79"/>
        <v>164.5121910976535</v>
      </c>
    </row>
    <row r="160" spans="1:27" x14ac:dyDescent="0.25">
      <c r="A160" s="267" t="s">
        <v>302</v>
      </c>
      <c r="B160" s="257">
        <v>0</v>
      </c>
      <c r="C160" s="263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11.571085140993672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68">
        <v>0</v>
      </c>
      <c r="Q160" s="268">
        <v>0</v>
      </c>
      <c r="R160" s="268">
        <v>0</v>
      </c>
      <c r="S160" s="268">
        <v>0</v>
      </c>
      <c r="T160" s="268">
        <v>2551.2775052309808</v>
      </c>
      <c r="U160" s="268">
        <v>134.60894610574448</v>
      </c>
      <c r="V160" s="260">
        <f t="shared" si="79"/>
        <v>2697.4575364777188</v>
      </c>
    </row>
    <row r="161" spans="1:27" x14ac:dyDescent="0.25">
      <c r="A161" s="267" t="s">
        <v>303</v>
      </c>
      <c r="B161" s="257">
        <v>0</v>
      </c>
      <c r="C161" s="263">
        <v>0</v>
      </c>
      <c r="D161" s="268">
        <v>0</v>
      </c>
      <c r="E161" s="268">
        <v>0</v>
      </c>
      <c r="F161" s="268">
        <v>0</v>
      </c>
      <c r="G161" s="268">
        <v>0</v>
      </c>
      <c r="H161" s="268">
        <v>0</v>
      </c>
      <c r="I161" s="268">
        <v>0</v>
      </c>
      <c r="J161" s="268">
        <v>0</v>
      </c>
      <c r="K161" s="268">
        <v>0</v>
      </c>
      <c r="L161" s="268">
        <v>0</v>
      </c>
      <c r="M161" s="268">
        <v>0</v>
      </c>
      <c r="N161" s="268">
        <v>0</v>
      </c>
      <c r="O161" s="268">
        <v>0</v>
      </c>
      <c r="P161" s="268">
        <v>0</v>
      </c>
      <c r="Q161" s="268">
        <v>0</v>
      </c>
      <c r="R161" s="268">
        <v>0</v>
      </c>
      <c r="S161" s="268">
        <v>0</v>
      </c>
      <c r="T161" s="268">
        <v>0</v>
      </c>
      <c r="U161" s="268">
        <v>134.60894610574448</v>
      </c>
      <c r="V161" s="272">
        <f t="shared" si="79"/>
        <v>134.60894610574448</v>
      </c>
    </row>
    <row r="162" spans="1:27" x14ac:dyDescent="0.25">
      <c r="A162" s="273" t="s">
        <v>1</v>
      </c>
      <c r="B162" s="274">
        <f>SUM(B142:B161)</f>
        <v>364414.69647113117</v>
      </c>
      <c r="C162" s="274">
        <f t="shared" ref="C162:U162" si="80">SUM(C142:C161)</f>
        <v>161426.22276211769</v>
      </c>
      <c r="D162" s="274">
        <f t="shared" si="80"/>
        <v>70102.717614446505</v>
      </c>
      <c r="E162" s="274">
        <f t="shared" si="80"/>
        <v>243641.28919814352</v>
      </c>
      <c r="F162" s="274">
        <f t="shared" si="80"/>
        <v>23258.868220259825</v>
      </c>
      <c r="G162" s="274">
        <f t="shared" si="80"/>
        <v>11693.03735762275</v>
      </c>
      <c r="H162" s="274">
        <f t="shared" si="80"/>
        <v>986.14530888948264</v>
      </c>
      <c r="I162" s="274">
        <f t="shared" si="80"/>
        <v>0</v>
      </c>
      <c r="J162" s="274">
        <f t="shared" si="80"/>
        <v>1075.8790372698338</v>
      </c>
      <c r="K162" s="274">
        <f t="shared" si="80"/>
        <v>0</v>
      </c>
      <c r="L162" s="274">
        <f t="shared" si="80"/>
        <v>303.72194777791901</v>
      </c>
      <c r="M162" s="274">
        <f t="shared" si="80"/>
        <v>0</v>
      </c>
      <c r="N162" s="274">
        <f t="shared" si="80"/>
        <v>0</v>
      </c>
      <c r="O162" s="274">
        <f t="shared" si="80"/>
        <v>0</v>
      </c>
      <c r="P162" s="274">
        <f t="shared" si="80"/>
        <v>0</v>
      </c>
      <c r="Q162" s="274">
        <f t="shared" si="80"/>
        <v>2803.1833207230638</v>
      </c>
      <c r="R162" s="274">
        <f t="shared" si="80"/>
        <v>0</v>
      </c>
      <c r="S162" s="274">
        <f t="shared" si="80"/>
        <v>164.5121910976535</v>
      </c>
      <c r="T162" s="274">
        <f t="shared" si="80"/>
        <v>4545.4339218834093</v>
      </c>
      <c r="U162" s="274">
        <f t="shared" si="80"/>
        <v>269.21789221148896</v>
      </c>
      <c r="V162" s="272">
        <f t="shared" si="79"/>
        <v>884684.92524357419</v>
      </c>
    </row>
    <row r="163" spans="1:27" x14ac:dyDescent="0.25">
      <c r="A163" s="276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68"/>
    </row>
    <row r="164" spans="1:27" x14ac:dyDescent="0.25">
      <c r="A164" s="276" t="s">
        <v>349</v>
      </c>
      <c r="B164" s="257" cm="1">
        <f t="array" ref="B164:U164">TRANSPOSE(targets!R126:R145)</f>
        <v>119650.70982402678</v>
      </c>
      <c r="C164" s="257">
        <v>68268.334610664228</v>
      </c>
      <c r="D164" s="257">
        <v>27395.122964226081</v>
      </c>
      <c r="E164" s="257">
        <v>118180.25538712516</v>
      </c>
      <c r="F164" s="257">
        <v>11261.721324311577</v>
      </c>
      <c r="G164" s="257">
        <v>4559.720604997774</v>
      </c>
      <c r="H164" s="257">
        <v>408.01563387084644</v>
      </c>
      <c r="I164" s="257">
        <v>0</v>
      </c>
      <c r="J164" s="257">
        <v>521.46519893545735</v>
      </c>
      <c r="K164" s="257">
        <v>0</v>
      </c>
      <c r="L164" s="257">
        <v>101.24064925930634</v>
      </c>
      <c r="M164" s="257">
        <v>0</v>
      </c>
      <c r="N164" s="257">
        <v>0</v>
      </c>
      <c r="O164" s="257">
        <v>0</v>
      </c>
      <c r="P164" s="257">
        <v>0</v>
      </c>
      <c r="Q164" s="257">
        <v>1783.8439313692013</v>
      </c>
      <c r="R164" s="257">
        <v>0</v>
      </c>
      <c r="S164" s="257">
        <v>82.25609554882675</v>
      </c>
      <c r="T164" s="257">
        <v>2071.0651968530533</v>
      </c>
      <c r="U164" s="257">
        <v>134.60894610574448</v>
      </c>
      <c r="V164" s="268"/>
    </row>
    <row r="165" spans="1:27" x14ac:dyDescent="0.25">
      <c r="A165" s="276" t="s">
        <v>350</v>
      </c>
      <c r="B165" s="279">
        <f>B162/B164</f>
        <v>3.0456542799209863</v>
      </c>
      <c r="C165" s="279">
        <f t="shared" ref="C165:U165" si="81">C162/C164</f>
        <v>2.3645841616429473</v>
      </c>
      <c r="D165" s="279">
        <f t="shared" si="81"/>
        <v>2.5589488211456519</v>
      </c>
      <c r="E165" s="279">
        <f t="shared" si="81"/>
        <v>2.0616074013382644</v>
      </c>
      <c r="F165" s="279">
        <f t="shared" si="81"/>
        <v>2.0653031228937491</v>
      </c>
      <c r="G165" s="279">
        <f t="shared" si="81"/>
        <v>2.5644197025594857</v>
      </c>
      <c r="H165" s="279">
        <f t="shared" si="81"/>
        <v>2.4169302032226483</v>
      </c>
      <c r="I165" s="279" t="e">
        <f t="shared" si="81"/>
        <v>#DIV/0!</v>
      </c>
      <c r="J165" s="279">
        <f t="shared" si="81"/>
        <v>2.063184733067867</v>
      </c>
      <c r="K165" s="279" t="e">
        <f t="shared" si="81"/>
        <v>#DIV/0!</v>
      </c>
      <c r="L165" s="279">
        <f t="shared" si="81"/>
        <v>3</v>
      </c>
      <c r="M165" s="279" t="e">
        <f t="shared" si="81"/>
        <v>#DIV/0!</v>
      </c>
      <c r="N165" s="279" t="e">
        <f t="shared" si="81"/>
        <v>#DIV/0!</v>
      </c>
      <c r="O165" s="279" t="e">
        <f t="shared" si="81"/>
        <v>#DIV/0!</v>
      </c>
      <c r="P165" s="279" t="e">
        <f t="shared" si="81"/>
        <v>#DIV/0!</v>
      </c>
      <c r="Q165" s="279">
        <f t="shared" si="81"/>
        <v>1.57142857142859</v>
      </c>
      <c r="R165" s="279" t="e">
        <f t="shared" si="81"/>
        <v>#DIV/0!</v>
      </c>
      <c r="S165" s="279">
        <f t="shared" si="81"/>
        <v>2</v>
      </c>
      <c r="T165" s="279">
        <f t="shared" si="81"/>
        <v>2.1947324153725893</v>
      </c>
      <c r="U165" s="279">
        <f t="shared" si="81"/>
        <v>2</v>
      </c>
      <c r="V165" s="268"/>
    </row>
    <row r="166" spans="1:27" x14ac:dyDescent="0.25">
      <c r="A166" s="276"/>
      <c r="C166" s="277"/>
      <c r="D166" s="268"/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</row>
    <row r="167" spans="1:27" x14ac:dyDescent="0.25">
      <c r="A167" s="276" t="s">
        <v>28</v>
      </c>
      <c r="C167" s="277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</row>
    <row r="168" spans="1:27" ht="36.75" x14ac:dyDescent="0.25">
      <c r="A168" s="253" t="s">
        <v>348</v>
      </c>
      <c r="B168" s="254" t="s">
        <v>291</v>
      </c>
      <c r="C168" s="254" t="s">
        <v>292</v>
      </c>
      <c r="D168" s="254" t="s">
        <v>293</v>
      </c>
      <c r="E168" s="254" t="s">
        <v>2</v>
      </c>
      <c r="F168" s="254" t="s">
        <v>31</v>
      </c>
      <c r="G168" s="254" t="s">
        <v>294</v>
      </c>
      <c r="H168" s="254" t="s">
        <v>345</v>
      </c>
      <c r="I168" s="254" t="s">
        <v>310</v>
      </c>
      <c r="J168" s="254" t="s">
        <v>295</v>
      </c>
      <c r="K168" s="254" t="s">
        <v>296</v>
      </c>
      <c r="L168" s="254" t="s">
        <v>297</v>
      </c>
      <c r="M168" s="254" t="s">
        <v>298</v>
      </c>
      <c r="N168" s="254" t="s">
        <v>317</v>
      </c>
      <c r="O168" s="254" t="s">
        <v>311</v>
      </c>
      <c r="P168" s="254" t="s">
        <v>299</v>
      </c>
      <c r="Q168" s="254" t="s">
        <v>300</v>
      </c>
      <c r="R168" s="254" t="s">
        <v>301</v>
      </c>
      <c r="S168" s="254" t="s">
        <v>36</v>
      </c>
      <c r="T168" s="254" t="s">
        <v>302</v>
      </c>
      <c r="U168" s="254" t="s">
        <v>303</v>
      </c>
      <c r="V168" s="255" t="s">
        <v>1</v>
      </c>
      <c r="Y168" s="280" t="s">
        <v>352</v>
      </c>
      <c r="Z168" s="280" t="s">
        <v>355</v>
      </c>
      <c r="AA168" s="280" t="s">
        <v>354</v>
      </c>
    </row>
    <row r="169" spans="1:27" x14ac:dyDescent="0.25">
      <c r="A169" s="256" t="s">
        <v>291</v>
      </c>
      <c r="B169" s="257">
        <v>26253.423592902622</v>
      </c>
      <c r="C169" s="257">
        <v>9708.8054998008938</v>
      </c>
      <c r="D169" s="257">
        <v>2487.5080505031169</v>
      </c>
      <c r="E169" s="251">
        <v>0</v>
      </c>
      <c r="F169" s="259">
        <v>0</v>
      </c>
      <c r="G169" s="259">
        <v>0</v>
      </c>
      <c r="H169" s="259">
        <v>0</v>
      </c>
      <c r="I169" s="259">
        <v>0</v>
      </c>
      <c r="J169" s="259">
        <v>0</v>
      </c>
      <c r="K169" s="259">
        <v>0</v>
      </c>
      <c r="L169" s="259">
        <v>0</v>
      </c>
      <c r="M169" s="259">
        <v>0</v>
      </c>
      <c r="N169" s="259">
        <v>0</v>
      </c>
      <c r="O169" s="259">
        <v>0</v>
      </c>
      <c r="P169" s="259">
        <v>0</v>
      </c>
      <c r="Q169" s="259">
        <v>0</v>
      </c>
      <c r="R169" s="259">
        <v>0</v>
      </c>
      <c r="S169" s="259">
        <v>0</v>
      </c>
      <c r="T169" s="259">
        <v>0</v>
      </c>
      <c r="U169" s="259">
        <v>0</v>
      </c>
      <c r="V169" s="260">
        <f t="shared" ref="V169:V189" si="82">SUM(B169:U169)</f>
        <v>38449.737143206628</v>
      </c>
      <c r="Y169" t="s">
        <v>359</v>
      </c>
      <c r="Z169" s="281">
        <f>G191+M191</f>
        <v>2908.9968565706199</v>
      </c>
      <c r="AA169" s="281">
        <f>G189+M189</f>
        <v>28951.758184013081</v>
      </c>
    </row>
    <row r="170" spans="1:27" x14ac:dyDescent="0.25">
      <c r="A170" s="261" t="s">
        <v>292</v>
      </c>
      <c r="B170" s="257">
        <v>0</v>
      </c>
      <c r="C170" s="257">
        <v>1166099.7380103397</v>
      </c>
      <c r="D170" s="257">
        <v>199360.89954495963</v>
      </c>
      <c r="E170" s="257">
        <v>0</v>
      </c>
      <c r="F170" s="257">
        <v>0</v>
      </c>
      <c r="G170" s="257">
        <v>0</v>
      </c>
      <c r="H170" s="257">
        <v>95.159789700886989</v>
      </c>
      <c r="I170" s="257">
        <v>0</v>
      </c>
      <c r="J170" s="257">
        <v>0</v>
      </c>
      <c r="K170" s="257">
        <v>0</v>
      </c>
      <c r="L170" s="257">
        <v>0</v>
      </c>
      <c r="M170" s="259">
        <v>0</v>
      </c>
      <c r="N170" s="259">
        <v>0</v>
      </c>
      <c r="O170" s="259">
        <v>0</v>
      </c>
      <c r="P170" s="259">
        <v>0</v>
      </c>
      <c r="Q170" s="259">
        <v>0</v>
      </c>
      <c r="R170" s="259">
        <v>0</v>
      </c>
      <c r="S170" s="257">
        <v>0</v>
      </c>
      <c r="T170" s="257">
        <v>1655.2608058442615</v>
      </c>
      <c r="U170" s="257">
        <v>0</v>
      </c>
      <c r="V170" s="260">
        <f t="shared" si="82"/>
        <v>1367211.0581508446</v>
      </c>
      <c r="Y170" t="s">
        <v>353</v>
      </c>
      <c r="Z170" s="281">
        <f>H191+N191</f>
        <v>217.92656131973101</v>
      </c>
      <c r="AA170" s="281">
        <f>H189+N189</f>
        <v>1072.3375934429162</v>
      </c>
    </row>
    <row r="171" spans="1:27" ht="24.75" x14ac:dyDescent="0.25">
      <c r="A171" s="262" t="s">
        <v>293</v>
      </c>
      <c r="B171" s="257">
        <v>0</v>
      </c>
      <c r="C171" s="263">
        <v>0</v>
      </c>
      <c r="D171" s="264">
        <v>2085171.8352775446</v>
      </c>
      <c r="E171" s="264">
        <v>0</v>
      </c>
      <c r="F171" s="264">
        <v>0</v>
      </c>
      <c r="G171" s="264">
        <v>0</v>
      </c>
      <c r="H171" s="264">
        <v>95.159789700886989</v>
      </c>
      <c r="I171" s="264">
        <v>0</v>
      </c>
      <c r="J171" s="264">
        <v>0</v>
      </c>
      <c r="K171" s="264">
        <v>0</v>
      </c>
      <c r="L171" s="264">
        <v>0</v>
      </c>
      <c r="M171" s="265">
        <v>0</v>
      </c>
      <c r="N171" s="265">
        <v>0</v>
      </c>
      <c r="O171" s="265">
        <v>0</v>
      </c>
      <c r="P171" s="265">
        <v>0</v>
      </c>
      <c r="Q171" s="265">
        <v>0</v>
      </c>
      <c r="R171" s="266">
        <v>0</v>
      </c>
      <c r="S171" s="264">
        <v>0</v>
      </c>
      <c r="T171" s="264">
        <v>3210.1266133605163</v>
      </c>
      <c r="U171" s="264">
        <v>0</v>
      </c>
      <c r="V171" s="260">
        <f t="shared" si="82"/>
        <v>2088477.1216806062</v>
      </c>
      <c r="Y171" t="s">
        <v>360</v>
      </c>
      <c r="Z171" s="281">
        <f>I191+O191</f>
        <v>0</v>
      </c>
      <c r="AA171" s="281">
        <f>I189+O189</f>
        <v>0</v>
      </c>
    </row>
    <row r="172" spans="1:27" x14ac:dyDescent="0.25">
      <c r="A172" s="267" t="s">
        <v>2</v>
      </c>
      <c r="B172" s="257">
        <v>0</v>
      </c>
      <c r="C172" s="263">
        <v>2377.6674801895201</v>
      </c>
      <c r="D172" s="268">
        <v>17874.014187302408</v>
      </c>
      <c r="E172" s="268">
        <v>479892.43465832109</v>
      </c>
      <c r="F172" s="269">
        <v>0</v>
      </c>
      <c r="G172" s="268">
        <v>1749.1219113471502</v>
      </c>
      <c r="H172" s="268">
        <v>148.72163046722673</v>
      </c>
      <c r="I172" s="268">
        <v>0</v>
      </c>
      <c r="J172" s="268">
        <v>0</v>
      </c>
      <c r="K172" s="268">
        <v>392.05420306621681</v>
      </c>
      <c r="L172" s="268">
        <v>0</v>
      </c>
      <c r="M172" s="270">
        <v>0</v>
      </c>
      <c r="N172" s="270">
        <v>0</v>
      </c>
      <c r="O172" s="270">
        <v>0</v>
      </c>
      <c r="P172" s="270">
        <v>0</v>
      </c>
      <c r="Q172" s="270">
        <v>0</v>
      </c>
      <c r="R172" s="270">
        <v>0</v>
      </c>
      <c r="S172" s="268">
        <v>0</v>
      </c>
      <c r="T172" s="268">
        <v>179.88976760723335</v>
      </c>
      <c r="U172" s="268">
        <v>0</v>
      </c>
      <c r="V172" s="260">
        <f t="shared" si="82"/>
        <v>502613.90383830079</v>
      </c>
      <c r="Y172" t="s">
        <v>123</v>
      </c>
      <c r="Z172" s="281">
        <f>J191+P191</f>
        <v>74.657418374461116</v>
      </c>
      <c r="AA172" s="281">
        <f>J189+P189</f>
        <v>149.31483674892223</v>
      </c>
    </row>
    <row r="173" spans="1:27" x14ac:dyDescent="0.25">
      <c r="A173" s="267" t="s">
        <v>31</v>
      </c>
      <c r="B173" s="259">
        <v>0</v>
      </c>
      <c r="C173" s="251">
        <v>0</v>
      </c>
      <c r="D173" s="271">
        <v>0</v>
      </c>
      <c r="E173" s="270">
        <v>0</v>
      </c>
      <c r="F173" s="268">
        <v>38984.272006716543</v>
      </c>
      <c r="G173" s="271">
        <v>0</v>
      </c>
      <c r="H173" s="270">
        <v>0</v>
      </c>
      <c r="I173" s="270">
        <v>0</v>
      </c>
      <c r="J173" s="270">
        <v>0</v>
      </c>
      <c r="K173" s="270">
        <v>0</v>
      </c>
      <c r="L173" s="270">
        <v>0</v>
      </c>
      <c r="M173" s="270">
        <v>0</v>
      </c>
      <c r="N173" s="270">
        <v>0</v>
      </c>
      <c r="O173" s="270">
        <v>0</v>
      </c>
      <c r="P173" s="270">
        <v>0</v>
      </c>
      <c r="Q173" s="270">
        <v>0</v>
      </c>
      <c r="R173" s="270">
        <v>0</v>
      </c>
      <c r="S173" s="270">
        <v>0</v>
      </c>
      <c r="T173" s="270">
        <v>0</v>
      </c>
      <c r="U173" s="270">
        <v>0</v>
      </c>
      <c r="V173" s="260">
        <f t="shared" si="82"/>
        <v>38984.272006716543</v>
      </c>
      <c r="Y173" t="s">
        <v>124</v>
      </c>
      <c r="Z173" s="281">
        <f>K191+Q191</f>
        <v>1563.4172202322875</v>
      </c>
      <c r="AA173" s="281">
        <f>K189+Q189</f>
        <v>4141.0983238952022</v>
      </c>
    </row>
    <row r="174" spans="1:27" x14ac:dyDescent="0.25">
      <c r="A174" s="267" t="s">
        <v>294</v>
      </c>
      <c r="B174" s="257">
        <v>0</v>
      </c>
      <c r="C174" s="263">
        <v>0</v>
      </c>
      <c r="D174" s="270">
        <v>0</v>
      </c>
      <c r="E174" s="268">
        <v>0</v>
      </c>
      <c r="F174" s="268">
        <v>0</v>
      </c>
      <c r="G174" s="268">
        <v>15409.772051901826</v>
      </c>
      <c r="H174" s="268">
        <v>148.72163046722673</v>
      </c>
      <c r="I174" s="268">
        <v>0</v>
      </c>
      <c r="J174" s="268">
        <v>74.657418374461116</v>
      </c>
      <c r="K174" s="268">
        <v>88.842139356150597</v>
      </c>
      <c r="L174" s="268">
        <v>891.7855424777365</v>
      </c>
      <c r="M174" s="270">
        <v>0</v>
      </c>
      <c r="N174" s="270">
        <v>0</v>
      </c>
      <c r="O174" s="270">
        <v>0</v>
      </c>
      <c r="P174" s="270">
        <v>0</v>
      </c>
      <c r="Q174" s="270">
        <v>0</v>
      </c>
      <c r="R174" s="270">
        <v>0</v>
      </c>
      <c r="S174" s="268">
        <v>0</v>
      </c>
      <c r="T174" s="268">
        <v>0</v>
      </c>
      <c r="U174" s="268">
        <v>0</v>
      </c>
      <c r="V174" s="260">
        <f t="shared" si="82"/>
        <v>16613.778782577403</v>
      </c>
      <c r="Y174" t="s">
        <v>125</v>
      </c>
      <c r="Z174" s="281">
        <f>L191+R191</f>
        <v>445.89277123886825</v>
      </c>
      <c r="AA174" s="281">
        <f>L189+R189</f>
        <v>1763.4576510964794</v>
      </c>
    </row>
    <row r="175" spans="1:27" x14ac:dyDescent="0.25">
      <c r="A175" s="267" t="s">
        <v>345</v>
      </c>
      <c r="B175" s="257">
        <v>0</v>
      </c>
      <c r="C175" s="263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449.97388474747856</v>
      </c>
      <c r="I175" s="268">
        <v>0</v>
      </c>
      <c r="J175" s="268">
        <v>0</v>
      </c>
      <c r="K175" s="268">
        <v>0</v>
      </c>
      <c r="L175" s="268">
        <v>0</v>
      </c>
      <c r="M175" s="270">
        <v>0</v>
      </c>
      <c r="N175" s="270">
        <v>0</v>
      </c>
      <c r="O175" s="270">
        <v>0</v>
      </c>
      <c r="P175" s="270">
        <v>0</v>
      </c>
      <c r="Q175" s="270">
        <v>0</v>
      </c>
      <c r="R175" s="270">
        <v>0</v>
      </c>
      <c r="S175" s="268">
        <v>0</v>
      </c>
      <c r="T175" s="268">
        <v>0</v>
      </c>
      <c r="U175" s="268">
        <v>0</v>
      </c>
      <c r="V175" s="260">
        <f t="shared" si="82"/>
        <v>449.97388474747856</v>
      </c>
      <c r="Y175" t="s">
        <v>363</v>
      </c>
    </row>
    <row r="176" spans="1:27" x14ac:dyDescent="0.25">
      <c r="A176" s="267" t="s">
        <v>310</v>
      </c>
      <c r="B176" s="257">
        <v>0</v>
      </c>
      <c r="C176" s="263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70">
        <v>0</v>
      </c>
      <c r="N176" s="270">
        <v>0</v>
      </c>
      <c r="O176" s="270">
        <v>0</v>
      </c>
      <c r="P176" s="270">
        <v>0</v>
      </c>
      <c r="Q176" s="270">
        <v>0</v>
      </c>
      <c r="R176" s="270">
        <v>0</v>
      </c>
      <c r="S176" s="268">
        <v>0</v>
      </c>
      <c r="T176" s="268">
        <v>0</v>
      </c>
      <c r="U176" s="268">
        <v>0</v>
      </c>
      <c r="V176" s="260">
        <f t="shared" si="82"/>
        <v>0</v>
      </c>
    </row>
    <row r="177" spans="1:31" x14ac:dyDescent="0.25">
      <c r="A177" s="267" t="s">
        <v>295</v>
      </c>
      <c r="B177" s="257">
        <v>0</v>
      </c>
      <c r="C177" s="263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74.657418374461116</v>
      </c>
      <c r="K177" s="268">
        <v>0</v>
      </c>
      <c r="L177" s="268">
        <v>0</v>
      </c>
      <c r="M177" s="270">
        <v>0</v>
      </c>
      <c r="N177" s="270">
        <v>0</v>
      </c>
      <c r="O177" s="270">
        <v>0</v>
      </c>
      <c r="P177" s="270">
        <v>0</v>
      </c>
      <c r="Q177" s="270">
        <v>0</v>
      </c>
      <c r="R177" s="270">
        <v>0</v>
      </c>
      <c r="S177" s="268">
        <v>0</v>
      </c>
      <c r="T177" s="268">
        <v>0</v>
      </c>
      <c r="U177" s="268">
        <v>0</v>
      </c>
      <c r="V177" s="260">
        <f t="shared" si="82"/>
        <v>74.657418374461116</v>
      </c>
    </row>
    <row r="178" spans="1:31" x14ac:dyDescent="0.25">
      <c r="A178" s="267" t="s">
        <v>296</v>
      </c>
      <c r="B178" s="257">
        <v>0</v>
      </c>
      <c r="C178" s="263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1068.0732700980448</v>
      </c>
      <c r="L178" s="268">
        <v>0</v>
      </c>
      <c r="M178" s="270">
        <v>0</v>
      </c>
      <c r="N178" s="270">
        <v>0</v>
      </c>
      <c r="O178" s="270">
        <v>0</v>
      </c>
      <c r="P178" s="270">
        <v>0</v>
      </c>
      <c r="Q178" s="270">
        <v>0</v>
      </c>
      <c r="R178" s="270">
        <v>0</v>
      </c>
      <c r="S178" s="268">
        <v>0</v>
      </c>
      <c r="T178" s="268">
        <v>0</v>
      </c>
      <c r="U178" s="268">
        <v>0</v>
      </c>
      <c r="V178" s="260">
        <f t="shared" si="82"/>
        <v>1068.0732700980448</v>
      </c>
    </row>
    <row r="179" spans="1:31" x14ac:dyDescent="0.25">
      <c r="A179" s="267" t="s">
        <v>297</v>
      </c>
      <c r="B179" s="257">
        <v>0</v>
      </c>
      <c r="C179" s="263">
        <v>0</v>
      </c>
      <c r="D179" s="268">
        <v>0</v>
      </c>
      <c r="E179" s="268">
        <v>0</v>
      </c>
      <c r="F179" s="268">
        <v>0</v>
      </c>
      <c r="G179" s="268">
        <v>0</v>
      </c>
      <c r="H179" s="268">
        <v>0</v>
      </c>
      <c r="I179" s="268">
        <v>0</v>
      </c>
      <c r="J179" s="268">
        <v>0</v>
      </c>
      <c r="K179" s="268">
        <v>0</v>
      </c>
      <c r="L179" s="268">
        <v>445.89277123886825</v>
      </c>
      <c r="M179" s="270">
        <v>0</v>
      </c>
      <c r="N179" s="270">
        <v>0</v>
      </c>
      <c r="O179" s="270">
        <v>0</v>
      </c>
      <c r="P179" s="270">
        <v>0</v>
      </c>
      <c r="Q179" s="270">
        <v>0</v>
      </c>
      <c r="R179" s="270">
        <v>0</v>
      </c>
      <c r="S179" s="268">
        <v>0</v>
      </c>
      <c r="T179" s="268">
        <v>0</v>
      </c>
      <c r="U179" s="268">
        <v>0</v>
      </c>
      <c r="V179" s="260">
        <f t="shared" si="82"/>
        <v>445.89277123886825</v>
      </c>
    </row>
    <row r="180" spans="1:31" x14ac:dyDescent="0.25">
      <c r="A180" s="267" t="s">
        <v>298</v>
      </c>
      <c r="B180" s="257">
        <v>0</v>
      </c>
      <c r="C180" s="263">
        <v>0</v>
      </c>
      <c r="D180" s="268">
        <v>0</v>
      </c>
      <c r="E180" s="268">
        <v>0</v>
      </c>
      <c r="F180" s="268">
        <v>0</v>
      </c>
      <c r="G180" s="270">
        <v>0</v>
      </c>
      <c r="H180" s="270">
        <v>0</v>
      </c>
      <c r="I180" s="270">
        <v>0</v>
      </c>
      <c r="J180" s="270">
        <v>0</v>
      </c>
      <c r="K180" s="270">
        <v>0</v>
      </c>
      <c r="L180" s="270">
        <v>0</v>
      </c>
      <c r="M180" s="268">
        <v>682.48940745406003</v>
      </c>
      <c r="N180" s="268">
        <v>0</v>
      </c>
      <c r="O180" s="268">
        <v>0</v>
      </c>
      <c r="P180" s="268">
        <v>0</v>
      </c>
      <c r="Q180" s="268">
        <v>0</v>
      </c>
      <c r="R180" s="268">
        <v>0</v>
      </c>
      <c r="S180" s="268">
        <v>0</v>
      </c>
      <c r="T180" s="268">
        <v>0</v>
      </c>
      <c r="U180" s="268">
        <v>0</v>
      </c>
      <c r="V180" s="260">
        <f t="shared" si="82"/>
        <v>682.48940745406003</v>
      </c>
    </row>
    <row r="181" spans="1:31" x14ac:dyDescent="0.25">
      <c r="A181" s="267" t="s">
        <v>317</v>
      </c>
      <c r="B181" s="257">
        <v>0</v>
      </c>
      <c r="C181" s="263">
        <v>0</v>
      </c>
      <c r="D181" s="268">
        <v>0</v>
      </c>
      <c r="E181" s="268">
        <v>0</v>
      </c>
      <c r="F181" s="268">
        <v>0</v>
      </c>
      <c r="G181" s="270">
        <v>0</v>
      </c>
      <c r="H181" s="270">
        <v>0</v>
      </c>
      <c r="I181" s="270">
        <v>0</v>
      </c>
      <c r="J181" s="270">
        <v>0</v>
      </c>
      <c r="K181" s="270">
        <v>0</v>
      </c>
      <c r="L181" s="270">
        <v>0</v>
      </c>
      <c r="M181" s="268">
        <v>0</v>
      </c>
      <c r="N181" s="268">
        <v>134.60086835921021</v>
      </c>
      <c r="O181" s="268">
        <v>0</v>
      </c>
      <c r="P181" s="268">
        <v>0</v>
      </c>
      <c r="Q181" s="268">
        <v>0</v>
      </c>
      <c r="R181" s="268">
        <v>0</v>
      </c>
      <c r="S181" s="268">
        <v>0</v>
      </c>
      <c r="T181" s="268">
        <v>0</v>
      </c>
      <c r="U181" s="268">
        <v>0</v>
      </c>
      <c r="V181" s="260">
        <f t="shared" si="82"/>
        <v>134.60086835921021</v>
      </c>
    </row>
    <row r="182" spans="1:31" x14ac:dyDescent="0.25">
      <c r="A182" s="267" t="s">
        <v>311</v>
      </c>
      <c r="B182" s="257">
        <v>0</v>
      </c>
      <c r="C182" s="263">
        <v>0</v>
      </c>
      <c r="D182" s="268">
        <v>0</v>
      </c>
      <c r="E182" s="268">
        <v>0</v>
      </c>
      <c r="F182" s="268">
        <v>0</v>
      </c>
      <c r="G182" s="270">
        <v>0</v>
      </c>
      <c r="H182" s="270">
        <v>0</v>
      </c>
      <c r="I182" s="270">
        <v>0</v>
      </c>
      <c r="J182" s="270">
        <v>0</v>
      </c>
      <c r="K182" s="270">
        <v>0</v>
      </c>
      <c r="L182" s="270">
        <v>0</v>
      </c>
      <c r="M182" s="268">
        <v>0</v>
      </c>
      <c r="N182" s="268">
        <v>0</v>
      </c>
      <c r="O182" s="268">
        <v>0</v>
      </c>
      <c r="P182" s="268">
        <v>0</v>
      </c>
      <c r="Q182" s="268">
        <v>0</v>
      </c>
      <c r="R182" s="268">
        <v>0</v>
      </c>
      <c r="S182" s="268">
        <v>0</v>
      </c>
      <c r="T182" s="268">
        <v>0</v>
      </c>
      <c r="U182" s="268">
        <v>0</v>
      </c>
      <c r="V182" s="260">
        <f t="shared" si="82"/>
        <v>0</v>
      </c>
    </row>
    <row r="183" spans="1:31" x14ac:dyDescent="0.25">
      <c r="A183" s="267" t="s">
        <v>299</v>
      </c>
      <c r="B183" s="257">
        <v>0</v>
      </c>
      <c r="C183" s="263">
        <v>0</v>
      </c>
      <c r="D183" s="268">
        <v>0</v>
      </c>
      <c r="E183" s="268">
        <v>0</v>
      </c>
      <c r="F183" s="268">
        <v>0</v>
      </c>
      <c r="G183" s="270">
        <v>0</v>
      </c>
      <c r="H183" s="270">
        <v>0</v>
      </c>
      <c r="I183" s="270">
        <v>0</v>
      </c>
      <c r="J183" s="270">
        <v>0</v>
      </c>
      <c r="K183" s="270">
        <v>0</v>
      </c>
      <c r="L183" s="270">
        <v>0</v>
      </c>
      <c r="M183" s="268">
        <v>0</v>
      </c>
      <c r="N183" s="268">
        <v>0</v>
      </c>
      <c r="O183" s="268">
        <v>0</v>
      </c>
      <c r="P183" s="268">
        <v>0</v>
      </c>
      <c r="Q183" s="268">
        <v>0</v>
      </c>
      <c r="R183" s="268">
        <v>0</v>
      </c>
      <c r="S183" s="268">
        <v>0</v>
      </c>
      <c r="T183" s="268">
        <v>0</v>
      </c>
      <c r="U183" s="268">
        <v>0</v>
      </c>
      <c r="V183" s="260">
        <f t="shared" si="82"/>
        <v>0</v>
      </c>
    </row>
    <row r="184" spans="1:31" x14ac:dyDescent="0.25">
      <c r="A184" s="267" t="s">
        <v>300</v>
      </c>
      <c r="B184" s="257">
        <v>0</v>
      </c>
      <c r="C184" s="263">
        <v>0</v>
      </c>
      <c r="D184" s="268">
        <v>0</v>
      </c>
      <c r="E184" s="268">
        <v>0</v>
      </c>
      <c r="F184" s="268">
        <v>0</v>
      </c>
      <c r="G184" s="270">
        <v>0</v>
      </c>
      <c r="H184" s="270">
        <v>0</v>
      </c>
      <c r="I184" s="270">
        <v>0</v>
      </c>
      <c r="J184" s="270">
        <v>0</v>
      </c>
      <c r="K184" s="271">
        <v>0</v>
      </c>
      <c r="L184" s="270">
        <v>0</v>
      </c>
      <c r="M184" s="268">
        <v>0</v>
      </c>
      <c r="N184" s="268">
        <v>0</v>
      </c>
      <c r="O184" s="268">
        <v>0</v>
      </c>
      <c r="P184" s="268">
        <v>0</v>
      </c>
      <c r="Q184" s="268">
        <v>2592.1287113747899</v>
      </c>
      <c r="R184" s="268">
        <v>0</v>
      </c>
      <c r="S184" s="268">
        <v>0</v>
      </c>
      <c r="T184" s="268">
        <v>0</v>
      </c>
      <c r="U184" s="268">
        <v>0</v>
      </c>
      <c r="V184" s="260">
        <f t="shared" si="82"/>
        <v>2592.1287113747899</v>
      </c>
    </row>
    <row r="185" spans="1:31" x14ac:dyDescent="0.25">
      <c r="A185" s="267" t="s">
        <v>301</v>
      </c>
      <c r="B185" s="257">
        <v>0</v>
      </c>
      <c r="C185" s="263">
        <v>0</v>
      </c>
      <c r="D185" s="268">
        <v>0</v>
      </c>
      <c r="E185" s="268">
        <v>0</v>
      </c>
      <c r="F185" s="268">
        <v>0</v>
      </c>
      <c r="G185" s="270">
        <v>0</v>
      </c>
      <c r="H185" s="270">
        <v>0</v>
      </c>
      <c r="I185" s="270">
        <v>0</v>
      </c>
      <c r="J185" s="270">
        <v>0</v>
      </c>
      <c r="K185" s="270">
        <v>0</v>
      </c>
      <c r="L185" s="270">
        <v>0</v>
      </c>
      <c r="M185" s="268">
        <v>0</v>
      </c>
      <c r="N185" s="268">
        <v>0</v>
      </c>
      <c r="O185" s="268">
        <v>0</v>
      </c>
      <c r="P185" s="268">
        <v>0</v>
      </c>
      <c r="Q185" s="268">
        <v>0</v>
      </c>
      <c r="R185" s="268">
        <v>425.77933737987439</v>
      </c>
      <c r="S185" s="268">
        <v>0</v>
      </c>
      <c r="T185" s="268">
        <v>0</v>
      </c>
      <c r="U185" s="268">
        <v>0</v>
      </c>
      <c r="V185" s="260">
        <f t="shared" si="82"/>
        <v>425.77933737987439</v>
      </c>
    </row>
    <row r="186" spans="1:31" x14ac:dyDescent="0.25">
      <c r="A186" s="267" t="s">
        <v>36</v>
      </c>
      <c r="B186" s="257">
        <v>0</v>
      </c>
      <c r="C186" s="263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0</v>
      </c>
      <c r="I186" s="268">
        <v>0</v>
      </c>
      <c r="J186" s="268">
        <v>0</v>
      </c>
      <c r="K186" s="268">
        <v>0</v>
      </c>
      <c r="L186" s="268">
        <v>0</v>
      </c>
      <c r="M186" s="268">
        <v>0</v>
      </c>
      <c r="N186" s="268">
        <v>0</v>
      </c>
      <c r="O186" s="268">
        <v>0</v>
      </c>
      <c r="P186" s="268">
        <v>0</v>
      </c>
      <c r="Q186" s="268">
        <v>0</v>
      </c>
      <c r="R186" s="268">
        <v>0</v>
      </c>
      <c r="S186" s="268">
        <v>1278.5385564536098</v>
      </c>
      <c r="T186" s="268">
        <v>3210.1266133605163</v>
      </c>
      <c r="U186" s="268">
        <v>0</v>
      </c>
      <c r="V186" s="260">
        <f t="shared" si="82"/>
        <v>4488.6651698141259</v>
      </c>
    </row>
    <row r="187" spans="1:31" x14ac:dyDescent="0.25">
      <c r="A187" s="267" t="s">
        <v>302</v>
      </c>
      <c r="B187" s="257">
        <v>0</v>
      </c>
      <c r="C187" s="263">
        <v>0</v>
      </c>
      <c r="D187" s="268">
        <v>0</v>
      </c>
      <c r="E187" s="268">
        <v>0</v>
      </c>
      <c r="F187" s="268">
        <v>0</v>
      </c>
      <c r="G187" s="268">
        <v>11051.847815125664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68">
        <v>0</v>
      </c>
      <c r="Q187" s="268">
        <v>0</v>
      </c>
      <c r="R187" s="268">
        <v>0</v>
      </c>
      <c r="S187" s="268">
        <v>0</v>
      </c>
      <c r="T187" s="268">
        <v>14186.273486323416</v>
      </c>
      <c r="U187" s="268">
        <v>0</v>
      </c>
      <c r="V187" s="260">
        <f t="shared" si="82"/>
        <v>25238.121301449079</v>
      </c>
    </row>
    <row r="188" spans="1:31" x14ac:dyDescent="0.25">
      <c r="A188" s="267" t="s">
        <v>303</v>
      </c>
      <c r="B188" s="257">
        <v>0</v>
      </c>
      <c r="C188" s="263">
        <v>0</v>
      </c>
      <c r="D188" s="268">
        <v>0</v>
      </c>
      <c r="E188" s="268">
        <v>0</v>
      </c>
      <c r="F188" s="268">
        <v>0</v>
      </c>
      <c r="G188" s="268">
        <v>58.526998184380659</v>
      </c>
      <c r="H188" s="268">
        <v>0</v>
      </c>
      <c r="I188" s="268">
        <v>0</v>
      </c>
      <c r="J188" s="268">
        <v>0</v>
      </c>
      <c r="K188" s="268">
        <v>0</v>
      </c>
      <c r="L188" s="268">
        <v>0</v>
      </c>
      <c r="M188" s="268">
        <v>0</v>
      </c>
      <c r="N188" s="268">
        <v>0</v>
      </c>
      <c r="O188" s="268">
        <v>0</v>
      </c>
      <c r="P188" s="268">
        <v>0</v>
      </c>
      <c r="Q188" s="268">
        <v>0</v>
      </c>
      <c r="R188" s="268">
        <v>0</v>
      </c>
      <c r="S188" s="268">
        <v>0</v>
      </c>
      <c r="T188" s="268">
        <v>0</v>
      </c>
      <c r="U188" s="268">
        <v>0</v>
      </c>
      <c r="V188" s="272">
        <f t="shared" si="82"/>
        <v>58.526998184380659</v>
      </c>
    </row>
    <row r="189" spans="1:31" x14ac:dyDescent="0.25">
      <c r="A189" s="273" t="s">
        <v>1</v>
      </c>
      <c r="B189" s="274">
        <f>SUM(B169:B188)</f>
        <v>26253.423592902622</v>
      </c>
      <c r="C189" s="274">
        <f t="shared" ref="C189:U189" si="83">SUM(C169:C188)</f>
        <v>1178186.2109903302</v>
      </c>
      <c r="D189" s="274">
        <f t="shared" si="83"/>
        <v>2304894.2570603099</v>
      </c>
      <c r="E189" s="274">
        <f t="shared" si="83"/>
        <v>479892.43465832109</v>
      </c>
      <c r="F189" s="274">
        <f t="shared" si="83"/>
        <v>38984.272006716543</v>
      </c>
      <c r="G189" s="274">
        <f t="shared" si="83"/>
        <v>28269.26877655902</v>
      </c>
      <c r="H189" s="274">
        <f t="shared" si="83"/>
        <v>937.73672508370601</v>
      </c>
      <c r="I189" s="274">
        <f t="shared" si="83"/>
        <v>0</v>
      </c>
      <c r="J189" s="274">
        <f t="shared" si="83"/>
        <v>149.31483674892223</v>
      </c>
      <c r="K189" s="274">
        <f t="shared" si="83"/>
        <v>1548.9696125204123</v>
      </c>
      <c r="L189" s="274">
        <f t="shared" si="83"/>
        <v>1337.6783137166049</v>
      </c>
      <c r="M189" s="274">
        <f t="shared" si="83"/>
        <v>682.48940745406003</v>
      </c>
      <c r="N189" s="274">
        <f t="shared" si="83"/>
        <v>134.60086835921021</v>
      </c>
      <c r="O189" s="274">
        <f t="shared" si="83"/>
        <v>0</v>
      </c>
      <c r="P189" s="274">
        <f t="shared" si="83"/>
        <v>0</v>
      </c>
      <c r="Q189" s="274">
        <f t="shared" si="83"/>
        <v>2592.1287113747899</v>
      </c>
      <c r="R189" s="274">
        <f t="shared" si="83"/>
        <v>425.77933737987439</v>
      </c>
      <c r="S189" s="274">
        <f t="shared" si="83"/>
        <v>1278.5385564536098</v>
      </c>
      <c r="T189" s="274">
        <f t="shared" si="83"/>
        <v>22441.677286495942</v>
      </c>
      <c r="U189" s="274">
        <f t="shared" si="83"/>
        <v>0</v>
      </c>
      <c r="V189" s="272">
        <f t="shared" si="82"/>
        <v>4088008.7807407267</v>
      </c>
    </row>
    <row r="191" spans="1:31" x14ac:dyDescent="0.25">
      <c r="A191" s="252" t="s">
        <v>349</v>
      </c>
      <c r="B191" s="252" cm="1">
        <f t="array" ref="B191:U191">TRANSPOSE(targets!R150:R169)</f>
        <v>425.111330777744</v>
      </c>
      <c r="C191" s="252">
        <v>300855.73096593877</v>
      </c>
      <c r="D191" s="252">
        <v>514484.15212891868</v>
      </c>
      <c r="E191" s="252">
        <v>152182.07111690985</v>
      </c>
      <c r="F191" s="252">
        <v>3011.0233479232243</v>
      </c>
      <c r="G191" s="252">
        <v>2567.75215284359</v>
      </c>
      <c r="H191" s="252">
        <v>150.6261271401259</v>
      </c>
      <c r="I191" s="252">
        <v>0</v>
      </c>
      <c r="J191" s="252">
        <v>74.657418374461116</v>
      </c>
      <c r="K191" s="252">
        <v>267.35286454489267</v>
      </c>
      <c r="L191" s="252">
        <v>445.89277123886825</v>
      </c>
      <c r="M191" s="252">
        <v>341.24470372703001</v>
      </c>
      <c r="N191" s="252">
        <v>67.300434179605105</v>
      </c>
      <c r="O191" s="252">
        <v>0</v>
      </c>
      <c r="P191" s="252">
        <v>0</v>
      </c>
      <c r="Q191" s="252">
        <v>1296.0643556873949</v>
      </c>
      <c r="R191" s="252">
        <v>0</v>
      </c>
      <c r="S191" s="252">
        <v>639.26927822680489</v>
      </c>
      <c r="T191" s="252">
        <v>7104.2115936242799</v>
      </c>
      <c r="U191" s="252">
        <v>0</v>
      </c>
    </row>
    <row r="192" spans="1:31" ht="36.75" x14ac:dyDescent="0.25">
      <c r="A192" s="252" t="s">
        <v>350</v>
      </c>
      <c r="B192" s="279">
        <f>B189/B191</f>
        <v>61.756583963245134</v>
      </c>
      <c r="C192" s="279">
        <f t="shared" ref="C192:U192" si="84">C189/C191</f>
        <v>3.9161168949901706</v>
      </c>
      <c r="D192" s="279">
        <f t="shared" si="84"/>
        <v>4.4800102151305001</v>
      </c>
      <c r="E192" s="279">
        <f t="shared" si="84"/>
        <v>3.1534098014059517</v>
      </c>
      <c r="F192" s="279">
        <f t="shared" si="84"/>
        <v>12.947183565881327</v>
      </c>
      <c r="G192" s="279">
        <f t="shared" si="84"/>
        <v>11.009344786354461</v>
      </c>
      <c r="H192" s="279">
        <f t="shared" si="84"/>
        <v>6.2255914222061843</v>
      </c>
      <c r="I192" s="279" t="e">
        <f t="shared" si="84"/>
        <v>#DIV/0!</v>
      </c>
      <c r="J192" s="279">
        <f t="shared" si="84"/>
        <v>2</v>
      </c>
      <c r="K192" s="279">
        <f t="shared" si="84"/>
        <v>5.7937273840591912</v>
      </c>
      <c r="L192" s="279">
        <f t="shared" si="84"/>
        <v>3.0000000000000004</v>
      </c>
      <c r="M192" s="279">
        <f t="shared" si="84"/>
        <v>2</v>
      </c>
      <c r="N192" s="279">
        <f t="shared" si="84"/>
        <v>2</v>
      </c>
      <c r="O192" s="279" t="e">
        <f t="shared" si="84"/>
        <v>#DIV/0!</v>
      </c>
      <c r="P192" s="279" t="e">
        <f t="shared" si="84"/>
        <v>#DIV/0!</v>
      </c>
      <c r="Q192" s="279">
        <f t="shared" si="84"/>
        <v>2</v>
      </c>
      <c r="R192" s="279" t="e">
        <f t="shared" si="84"/>
        <v>#DIV/0!</v>
      </c>
      <c r="S192" s="279">
        <f t="shared" si="84"/>
        <v>2</v>
      </c>
      <c r="T192" s="279">
        <f t="shared" si="84"/>
        <v>3.1589257992591842</v>
      </c>
      <c r="U192" s="279" t="e">
        <f t="shared" si="84"/>
        <v>#DIV/0!</v>
      </c>
      <c r="Z192" t="s">
        <v>355</v>
      </c>
      <c r="AA192" t="s">
        <v>368</v>
      </c>
      <c r="AB192" s="280" t="s">
        <v>351</v>
      </c>
      <c r="AC192" s="280" t="s">
        <v>356</v>
      </c>
      <c r="AD192" s="280" t="s">
        <v>370</v>
      </c>
      <c r="AE192" s="280" t="s">
        <v>362</v>
      </c>
    </row>
    <row r="193" spans="24:31" x14ac:dyDescent="0.25">
      <c r="X193" t="s">
        <v>1</v>
      </c>
      <c r="Y193" t="s">
        <v>359</v>
      </c>
      <c r="Z193" s="281">
        <f>SUM(Z169,Z142,Z115,Z88,Z61,Z34,Z6)</f>
        <v>310655.20416973205</v>
      </c>
      <c r="AA193" s="281">
        <f>SUM(AA169,AA142,AA115,AA88,AA61,AA34,AA6)</f>
        <v>842819.09076391242</v>
      </c>
      <c r="AB193" s="283">
        <f>Z193/AA193</f>
        <v>0.36859061164378837</v>
      </c>
      <c r="AC193" s="281">
        <f t="shared" ref="AB193:AD193" si="85">SUM(AC169,AC142,AC115,AC88,AC61,AC34,AC6)</f>
        <v>624882.27845960995</v>
      </c>
      <c r="AD193" s="281">
        <f t="shared" si="85"/>
        <v>256307.63497169208</v>
      </c>
      <c r="AE193" s="281">
        <f>AC193*AB193</f>
        <v>230325.74122279172</v>
      </c>
    </row>
    <row r="194" spans="24:31" x14ac:dyDescent="0.25">
      <c r="X194" t="s">
        <v>1</v>
      </c>
      <c r="Y194" t="s">
        <v>353</v>
      </c>
      <c r="Z194" s="281">
        <f t="shared" ref="Z194:AA194" si="86">SUM(Z170,Z143,Z116,Z89,Z62,Z35,Z7)</f>
        <v>61057.368113945035</v>
      </c>
      <c r="AA194" s="281">
        <f t="shared" si="86"/>
        <v>165015.07475629321</v>
      </c>
      <c r="AB194" s="283">
        <f>Z194/AA194</f>
        <v>0.37001085024576807</v>
      </c>
      <c r="AC194" s="281">
        <f t="shared" ref="AC194:AD194" si="87">SUM(AC170,AC143,AC116,AC89,AC62,AC35,AC7)</f>
        <v>198693.4422299529</v>
      </c>
      <c r="AD194" s="281">
        <f t="shared" si="87"/>
        <v>75064.045141077542</v>
      </c>
      <c r="AE194" s="281">
        <f>AC194*AB194</f>
        <v>73518.72949776327</v>
      </c>
    </row>
    <row r="195" spans="24:31" x14ac:dyDescent="0.25">
      <c r="X195" t="s">
        <v>1</v>
      </c>
      <c r="Y195" t="s">
        <v>360</v>
      </c>
      <c r="Z195" s="281">
        <f t="shared" ref="Z195:AA195" si="88">SUM(Z171,Z144,Z117,Z90,Z63,Z36,Z8)</f>
        <v>2167.1355706018167</v>
      </c>
      <c r="AA195" s="281">
        <f t="shared" si="88"/>
        <v>5440.5202974081476</v>
      </c>
      <c r="AB195" s="283">
        <f>Z195/AA195</f>
        <v>0.3983324116324381</v>
      </c>
      <c r="AC195" s="281">
        <f t="shared" ref="AC195:AD195" si="89">SUM(AC171,AC144,AC117,AC90,AC63,AC36,AC8)</f>
        <v>4658.1944086782787</v>
      </c>
      <c r="AD195" s="281"/>
      <c r="AE195" s="281">
        <f>AC195*AB195</f>
        <v>1855.5098126615576</v>
      </c>
    </row>
    <row r="196" spans="24:31" x14ac:dyDescent="0.25">
      <c r="X196" t="s">
        <v>1</v>
      </c>
      <c r="Y196" t="s">
        <v>123</v>
      </c>
      <c r="Z196" s="281">
        <f t="shared" ref="Z196:AA196" si="90">SUM(Z172,Z145,Z118,Z91,Z64,Z37,Z9)</f>
        <v>13136.905167828543</v>
      </c>
      <c r="AA196" s="281">
        <f t="shared" si="90"/>
        <v>28284.332806824768</v>
      </c>
      <c r="AB196" s="283">
        <f>Z196/AA196</f>
        <v>0.46445872552661804</v>
      </c>
      <c r="AC196" s="281">
        <f t="shared" ref="AC196:AD196" si="91">SUM(AC172,AC145,AC118,AC91,AC64,AC37,AC9)</f>
        <v>18639.478228978671</v>
      </c>
      <c r="AD196" s="281"/>
      <c r="AE196" s="281">
        <f>AC196*AB196</f>
        <v>8657.2683027125768</v>
      </c>
    </row>
    <row r="197" spans="24:31" x14ac:dyDescent="0.25">
      <c r="X197" t="s">
        <v>1</v>
      </c>
      <c r="Y197" t="s">
        <v>124</v>
      </c>
      <c r="Z197" s="281">
        <f t="shared" ref="Z197:AA197" si="92">SUM(Z173,Z146,Z119,Z92,Z65,Z38,Z10)</f>
        <v>142103.23258382329</v>
      </c>
      <c r="AA197" s="281">
        <f t="shared" si="92"/>
        <v>322028.3067506362</v>
      </c>
      <c r="AB197" s="283">
        <f>Z197/AA197</f>
        <v>0.44127559473789196</v>
      </c>
      <c r="AC197" s="281">
        <f t="shared" ref="AC197:AD197" si="93">SUM(AC173,AC146,AC119,AC92,AC65,AC38,AC10)</f>
        <v>156471.22703327728</v>
      </c>
      <c r="AD197" s="281">
        <f t="shared" si="93"/>
        <v>75745.211988088296</v>
      </c>
      <c r="AE197" s="281">
        <f>AC197*AB197</f>
        <v>69046.933768477145</v>
      </c>
    </row>
    <row r="198" spans="24:31" x14ac:dyDescent="0.25">
      <c r="X198" t="s">
        <v>1</v>
      </c>
      <c r="Y198" t="s">
        <v>125</v>
      </c>
      <c r="Z198" s="281">
        <f t="shared" ref="Z198:AA198" si="94">SUM(Z174,Z147,Z120,Z93,Z66,Z39,Z11)</f>
        <v>51162.367108173501</v>
      </c>
      <c r="AA198" s="281">
        <f t="shared" si="94"/>
        <v>107171.95307216926</v>
      </c>
      <c r="AB198" s="283">
        <f>Z198/AA198</f>
        <v>0.47738578650069879</v>
      </c>
      <c r="AC198" s="281">
        <f t="shared" ref="AC198:AD198" si="95">SUM(AC174,AC147,AC120,AC93,AC66,AC39,AC11)</f>
        <v>20368.185511358468</v>
      </c>
      <c r="AD198" s="281">
        <f t="shared" si="95"/>
        <v>9559.4979049274334</v>
      </c>
      <c r="AE198" s="281">
        <f>AC198*AB198</f>
        <v>9723.4822599319996</v>
      </c>
    </row>
    <row r="199" spans="24:31" x14ac:dyDescent="0.25">
      <c r="X199" t="s">
        <v>1</v>
      </c>
      <c r="Y199" t="s">
        <v>1</v>
      </c>
      <c r="Z199" s="281">
        <f>SUM(Z193:Z198)</f>
        <v>580282.21271410421</v>
      </c>
      <c r="AA199" s="281">
        <f t="shared" ref="AA199:AD199" si="96">SUM(AA193:AA198)</f>
        <v>1470759.2784472441</v>
      </c>
      <c r="AB199" s="283">
        <f>Z199/AA199</f>
        <v>0.39454601525732874</v>
      </c>
      <c r="AC199" s="281">
        <f t="shared" si="96"/>
        <v>1023712.8058718556</v>
      </c>
      <c r="AD199" s="281">
        <f>AC199*AB199</f>
        <v>403901.80832463998</v>
      </c>
      <c r="AE199" s="281">
        <f>SUM(AE193:AE198)</f>
        <v>393127.66486433824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Y1200"/>
  <sheetViews>
    <sheetView workbookViewId="0">
      <pane ySplit="2" topLeftCell="A123" activePane="bottomLeft" state="frozen"/>
      <selection pane="bottomLeft" activeCell="K153" sqref="K153"/>
    </sheetView>
  </sheetViews>
  <sheetFormatPr defaultRowHeight="12.75" x14ac:dyDescent="0.2"/>
  <cols>
    <col min="1" max="1" width="9.140625" style="1"/>
    <col min="2" max="2" width="18.28515625" style="1" customWidth="1"/>
    <col min="3" max="3" width="11.28515625" style="1" customWidth="1"/>
    <col min="4" max="4" width="11" style="3" bestFit="1" customWidth="1"/>
    <col min="5" max="5" width="13.28515625" style="3" customWidth="1"/>
    <col min="6" max="6" width="15.7109375" style="3" customWidth="1"/>
    <col min="7" max="7" width="14.7109375" style="1" customWidth="1"/>
    <col min="8" max="8" width="11.7109375" style="1" customWidth="1"/>
    <col min="9" max="9" width="18" style="1" customWidth="1"/>
    <col min="10" max="10" width="7.85546875" style="1" customWidth="1"/>
    <col min="11" max="11" width="9.140625" style="1"/>
    <col min="12" max="12" width="16.85546875" style="1" customWidth="1"/>
    <col min="13" max="13" width="12.7109375" style="1" customWidth="1"/>
    <col min="14" max="16" width="9.140625" style="1"/>
    <col min="17" max="17" width="17.85546875" style="1" customWidth="1"/>
    <col min="18" max="18" width="9.140625" style="1"/>
    <col min="19" max="19" width="54" style="1" bestFit="1" customWidth="1"/>
    <col min="20" max="20" width="11.85546875" style="1" customWidth="1"/>
    <col min="21" max="21" width="11.28515625" style="1" bestFit="1" customWidth="1"/>
    <col min="22" max="22" width="13.85546875" style="1" bestFit="1" customWidth="1"/>
    <col min="23" max="23" width="25.140625" style="1" bestFit="1" customWidth="1"/>
    <col min="24" max="24" width="13.7109375" style="1" bestFit="1" customWidth="1"/>
    <col min="25" max="25" width="9.42578125" style="1" bestFit="1" customWidth="1"/>
    <col min="26" max="16384" width="9.140625" style="1"/>
  </cols>
  <sheetData>
    <row r="1" spans="1:25" x14ac:dyDescent="0.2">
      <c r="A1" s="2" t="s">
        <v>262</v>
      </c>
      <c r="K1" s="2" t="s">
        <v>262</v>
      </c>
      <c r="S1" s="2" t="s">
        <v>262</v>
      </c>
      <c r="T1" s="2"/>
    </row>
    <row r="2" spans="1:25" x14ac:dyDescent="0.2">
      <c r="A2" s="1" t="s">
        <v>4</v>
      </c>
      <c r="B2" s="1" t="s">
        <v>5</v>
      </c>
      <c r="C2" s="1" t="s">
        <v>6</v>
      </c>
      <c r="D2" s="3" t="s">
        <v>7</v>
      </c>
      <c r="E2" s="3" t="s">
        <v>8</v>
      </c>
      <c r="F2" s="3" t="s">
        <v>9</v>
      </c>
      <c r="G2" s="54" t="s">
        <v>57</v>
      </c>
      <c r="H2" s="54" t="s">
        <v>44</v>
      </c>
      <c r="I2" s="54" t="s">
        <v>58</v>
      </c>
      <c r="K2" s="1" t="s">
        <v>4</v>
      </c>
      <c r="L2" s="1" t="s">
        <v>5</v>
      </c>
      <c r="M2" s="1" t="s">
        <v>126</v>
      </c>
      <c r="N2" s="1" t="s">
        <v>7</v>
      </c>
      <c r="O2" s="1" t="s">
        <v>8</v>
      </c>
      <c r="P2" s="1" t="s">
        <v>9</v>
      </c>
      <c r="Q2" s="54" t="s">
        <v>58</v>
      </c>
      <c r="S2" s="1" t="s">
        <v>239</v>
      </c>
      <c r="T2" s="1" t="s">
        <v>267</v>
      </c>
      <c r="U2" s="1" t="s">
        <v>126</v>
      </c>
      <c r="V2" s="1" t="s">
        <v>240</v>
      </c>
      <c r="W2" s="1" t="s">
        <v>241</v>
      </c>
      <c r="X2" s="1" t="s">
        <v>242</v>
      </c>
      <c r="Y2" s="1" t="s">
        <v>243</v>
      </c>
    </row>
    <row r="3" spans="1:25" x14ac:dyDescent="0.2">
      <c r="A3" s="1" t="s">
        <v>10</v>
      </c>
      <c r="B3" s="1" t="s">
        <v>11</v>
      </c>
      <c r="C3" s="1">
        <v>1</v>
      </c>
      <c r="D3" s="3">
        <v>0</v>
      </c>
      <c r="E3" s="3">
        <v>0</v>
      </c>
      <c r="F3" s="3">
        <v>0</v>
      </c>
      <c r="G3" s="54" t="str">
        <f t="shared" ref="G3:G66" si="0">_xlfn.IFNA(VLOOKUP($C3,tour_modes,2,FALSE),"None")</f>
        <v>Drive Alone</v>
      </c>
      <c r="H3" s="54" t="str">
        <f t="shared" ref="H3:H66" si="1">_xlfn.IFNA(VLOOKUP($C3,tour_modes,3,FALSE),"None")</f>
        <v>Drive Alone</v>
      </c>
      <c r="I3" s="54" t="str">
        <f t="shared" ref="I3:I66" si="2">IF(A3="joint","Joint",_xlfn.IFNA(VLOOKUP($B3,tour_purposes,2,FALSE),"None"))</f>
        <v>Individual At-Work</v>
      </c>
      <c r="K3" s="1" t="s">
        <v>10</v>
      </c>
      <c r="L3" s="1" t="s">
        <v>11</v>
      </c>
      <c r="M3" s="1" t="s">
        <v>127</v>
      </c>
      <c r="N3" s="1">
        <v>0</v>
      </c>
      <c r="O3" s="1">
        <v>0</v>
      </c>
      <c r="P3" s="1">
        <v>0</v>
      </c>
      <c r="Q3" s="54" t="str">
        <f t="shared" ref="Q3:Q34" si="3">IF(K3="joint","Joint",_xlfn.IFNA(VLOOKUP($L3,tour_purposes,2,FALSE),"None"))</f>
        <v>Individual At-Work</v>
      </c>
      <c r="S3" s="1" t="s">
        <v>269</v>
      </c>
      <c r="T3" s="1" t="s">
        <v>264</v>
      </c>
      <c r="U3" s="1" t="s">
        <v>127</v>
      </c>
      <c r="V3" s="1" t="s">
        <v>203</v>
      </c>
      <c r="W3" s="1" t="s">
        <v>199</v>
      </c>
      <c r="X3" s="1" t="s">
        <v>244</v>
      </c>
      <c r="Y3" s="1">
        <v>3</v>
      </c>
    </row>
    <row r="4" spans="1:25" x14ac:dyDescent="0.2">
      <c r="A4" s="1" t="s">
        <v>10</v>
      </c>
      <c r="B4" s="1" t="s">
        <v>11</v>
      </c>
      <c r="C4" s="1">
        <v>2</v>
      </c>
      <c r="D4" s="3">
        <v>0</v>
      </c>
      <c r="E4" s="3">
        <v>0</v>
      </c>
      <c r="F4" s="3">
        <v>0</v>
      </c>
      <c r="G4" s="54" t="str">
        <f t="shared" si="0"/>
        <v>Drive Alone</v>
      </c>
      <c r="H4" s="54" t="str">
        <f t="shared" si="1"/>
        <v>Drive Alone</v>
      </c>
      <c r="I4" s="54" t="str">
        <f t="shared" si="2"/>
        <v>Individual At-Work</v>
      </c>
      <c r="K4" s="1" t="s">
        <v>10</v>
      </c>
      <c r="L4" s="1" t="s">
        <v>11</v>
      </c>
      <c r="M4" s="1" t="s">
        <v>130</v>
      </c>
      <c r="N4" s="1">
        <v>0</v>
      </c>
      <c r="O4" s="1">
        <v>0</v>
      </c>
      <c r="P4" s="1">
        <v>0</v>
      </c>
      <c r="Q4" s="54" t="str">
        <f t="shared" si="3"/>
        <v>Individual At-Work</v>
      </c>
      <c r="S4" s="1" t="s">
        <v>270</v>
      </c>
      <c r="T4" s="1" t="s">
        <v>268</v>
      </c>
      <c r="U4" s="1" t="s">
        <v>127</v>
      </c>
      <c r="V4" s="1" t="s">
        <v>203</v>
      </c>
      <c r="W4" s="1" t="s">
        <v>200</v>
      </c>
      <c r="X4" s="1" t="s">
        <v>244</v>
      </c>
      <c r="Y4" s="1">
        <v>2</v>
      </c>
    </row>
    <row r="5" spans="1:25" x14ac:dyDescent="0.2">
      <c r="A5" s="1" t="s">
        <v>10</v>
      </c>
      <c r="B5" s="1" t="s">
        <v>11</v>
      </c>
      <c r="C5" s="1">
        <v>3</v>
      </c>
      <c r="D5" s="3">
        <v>0</v>
      </c>
      <c r="E5" s="3">
        <v>0</v>
      </c>
      <c r="F5" s="3">
        <v>0</v>
      </c>
      <c r="G5" s="54" t="str">
        <f t="shared" si="0"/>
        <v>SR2</v>
      </c>
      <c r="H5" s="54" t="str">
        <f t="shared" si="1"/>
        <v>SR2</v>
      </c>
      <c r="I5" s="54" t="str">
        <f t="shared" si="2"/>
        <v>Individual At-Work</v>
      </c>
      <c r="K5" s="1" t="s">
        <v>10</v>
      </c>
      <c r="L5" s="1" t="s">
        <v>11</v>
      </c>
      <c r="M5" s="1" t="s">
        <v>122</v>
      </c>
      <c r="N5" s="1">
        <v>0</v>
      </c>
      <c r="O5" s="1">
        <v>0</v>
      </c>
      <c r="P5" s="1">
        <v>0</v>
      </c>
      <c r="Q5" s="54" t="str">
        <f t="shared" si="3"/>
        <v>Individual At-Work</v>
      </c>
    </row>
    <row r="6" spans="1:25" x14ac:dyDescent="0.2">
      <c r="A6" s="1" t="s">
        <v>10</v>
      </c>
      <c r="B6" s="1" t="s">
        <v>11</v>
      </c>
      <c r="C6" s="1">
        <v>5</v>
      </c>
      <c r="D6" s="3">
        <v>0</v>
      </c>
      <c r="E6" s="3">
        <v>0</v>
      </c>
      <c r="F6" s="3">
        <v>0</v>
      </c>
      <c r="G6" s="54" t="str">
        <f t="shared" si="0"/>
        <v>SR3+</v>
      </c>
      <c r="H6" s="54" t="str">
        <f t="shared" si="1"/>
        <v>SR3+</v>
      </c>
      <c r="I6" s="54" t="str">
        <f t="shared" si="2"/>
        <v>Individual At-Work</v>
      </c>
      <c r="K6" s="1" t="s">
        <v>10</v>
      </c>
      <c r="L6" s="1" t="s">
        <v>11</v>
      </c>
      <c r="M6" s="1" t="s">
        <v>131</v>
      </c>
      <c r="N6" s="1">
        <v>0</v>
      </c>
      <c r="O6" s="1">
        <v>0</v>
      </c>
      <c r="P6" s="1">
        <v>0</v>
      </c>
      <c r="Q6" s="54" t="str">
        <f t="shared" si="3"/>
        <v>Individual At-Work</v>
      </c>
    </row>
    <row r="7" spans="1:25" x14ac:dyDescent="0.2">
      <c r="A7" s="1" t="s">
        <v>10</v>
      </c>
      <c r="B7" s="1" t="s">
        <v>11</v>
      </c>
      <c r="C7" s="1">
        <v>7</v>
      </c>
      <c r="D7" s="3">
        <v>0</v>
      </c>
      <c r="E7" s="3">
        <v>0</v>
      </c>
      <c r="F7" s="3">
        <v>0</v>
      </c>
      <c r="G7" s="54" t="str">
        <f t="shared" si="0"/>
        <v>Walk</v>
      </c>
      <c r="H7" s="54" t="str">
        <f t="shared" si="1"/>
        <v>Walk</v>
      </c>
      <c r="I7" s="54" t="str">
        <f t="shared" si="2"/>
        <v>Individual At-Work</v>
      </c>
      <c r="K7" s="1" t="s">
        <v>10</v>
      </c>
      <c r="L7" s="1" t="s">
        <v>12</v>
      </c>
      <c r="M7" s="1" t="s">
        <v>127</v>
      </c>
      <c r="N7" s="1">
        <v>0</v>
      </c>
      <c r="O7" s="1">
        <v>0</v>
      </c>
      <c r="P7" s="1">
        <v>0</v>
      </c>
      <c r="Q7" s="54" t="str">
        <f t="shared" si="3"/>
        <v>Individual At-Work</v>
      </c>
    </row>
    <row r="8" spans="1:25" x14ac:dyDescent="0.2">
      <c r="A8" s="1" t="s">
        <v>10</v>
      </c>
      <c r="B8" s="1" t="s">
        <v>11</v>
      </c>
      <c r="C8" s="1">
        <v>8</v>
      </c>
      <c r="D8" s="3">
        <v>0</v>
      </c>
      <c r="E8" s="3">
        <v>0</v>
      </c>
      <c r="F8" s="3">
        <v>0</v>
      </c>
      <c r="G8" s="54" t="str">
        <f t="shared" si="0"/>
        <v>Bike</v>
      </c>
      <c r="H8" s="54" t="str">
        <f t="shared" si="1"/>
        <v>Bike</v>
      </c>
      <c r="I8" s="54" t="str">
        <f t="shared" si="2"/>
        <v>Individual At-Work</v>
      </c>
      <c r="K8" s="1" t="s">
        <v>10</v>
      </c>
      <c r="L8" s="1" t="s">
        <v>12</v>
      </c>
      <c r="M8" s="1" t="s">
        <v>128</v>
      </c>
      <c r="N8" s="1">
        <v>0</v>
      </c>
      <c r="O8" s="1">
        <v>0</v>
      </c>
      <c r="P8" s="1">
        <v>0</v>
      </c>
      <c r="Q8" s="54" t="str">
        <f t="shared" si="3"/>
        <v>Individual At-Work</v>
      </c>
    </row>
    <row r="9" spans="1:25" x14ac:dyDescent="0.2">
      <c r="A9" s="1" t="s">
        <v>10</v>
      </c>
      <c r="B9" s="1" t="s">
        <v>11</v>
      </c>
      <c r="C9" s="1">
        <v>9</v>
      </c>
      <c r="D9" s="3">
        <v>0</v>
      </c>
      <c r="E9" s="3">
        <v>0</v>
      </c>
      <c r="F9" s="3">
        <v>0</v>
      </c>
      <c r="G9" s="54" t="str">
        <f t="shared" si="0"/>
        <v>Walk-Local</v>
      </c>
      <c r="H9" s="54" t="str">
        <f t="shared" si="1"/>
        <v>Walk-Transit</v>
      </c>
      <c r="I9" s="54" t="str">
        <f t="shared" si="2"/>
        <v>Individual At-Work</v>
      </c>
      <c r="K9" s="1" t="s">
        <v>10</v>
      </c>
      <c r="L9" s="1" t="s">
        <v>12</v>
      </c>
      <c r="M9" s="1" t="s">
        <v>129</v>
      </c>
      <c r="N9" s="1">
        <v>0</v>
      </c>
      <c r="O9" s="1">
        <v>0</v>
      </c>
      <c r="P9" s="1">
        <v>0</v>
      </c>
      <c r="Q9" s="54" t="str">
        <f t="shared" si="3"/>
        <v>Individual At-Work</v>
      </c>
    </row>
    <row r="10" spans="1:25" x14ac:dyDescent="0.2">
      <c r="A10" s="1" t="s">
        <v>10</v>
      </c>
      <c r="B10" s="1" t="s">
        <v>11</v>
      </c>
      <c r="C10" s="1">
        <v>10</v>
      </c>
      <c r="D10" s="3">
        <v>0</v>
      </c>
      <c r="E10" s="3">
        <v>0</v>
      </c>
      <c r="F10" s="3">
        <v>0</v>
      </c>
      <c r="G10" s="54" t="str">
        <f t="shared" si="0"/>
        <v>Walk-LRF</v>
      </c>
      <c r="H10" s="54" t="str">
        <f t="shared" si="1"/>
        <v>Walk-Transit</v>
      </c>
      <c r="I10" s="54" t="str">
        <f t="shared" si="2"/>
        <v>Individual At-Work</v>
      </c>
      <c r="K10" s="1" t="s">
        <v>10</v>
      </c>
      <c r="L10" s="1" t="s">
        <v>12</v>
      </c>
      <c r="M10" s="1" t="s">
        <v>130</v>
      </c>
      <c r="N10" s="1">
        <v>0</v>
      </c>
      <c r="O10" s="1">
        <v>0</v>
      </c>
      <c r="P10" s="1">
        <v>0</v>
      </c>
      <c r="Q10" s="54" t="str">
        <f t="shared" si="3"/>
        <v>Individual At-Work</v>
      </c>
    </row>
    <row r="11" spans="1:25" x14ac:dyDescent="0.2">
      <c r="A11" s="1" t="s">
        <v>10</v>
      </c>
      <c r="B11" s="1" t="s">
        <v>11</v>
      </c>
      <c r="C11" s="1">
        <v>12</v>
      </c>
      <c r="D11" s="3">
        <v>0</v>
      </c>
      <c r="E11" s="3">
        <v>0</v>
      </c>
      <c r="F11" s="3">
        <v>0</v>
      </c>
      <c r="G11" s="54" t="str">
        <f t="shared" si="0"/>
        <v>Walk-HeavyRail</v>
      </c>
      <c r="H11" s="54" t="str">
        <f t="shared" si="1"/>
        <v>Walk-Transit</v>
      </c>
      <c r="I11" s="54" t="str">
        <f t="shared" si="2"/>
        <v>Individual At-Work</v>
      </c>
      <c r="K11" s="1" t="s">
        <v>10</v>
      </c>
      <c r="L11" s="1" t="s">
        <v>12</v>
      </c>
      <c r="M11" s="1" t="s">
        <v>122</v>
      </c>
      <c r="N11" s="1">
        <v>0</v>
      </c>
      <c r="O11" s="1">
        <v>0</v>
      </c>
      <c r="P11" s="1">
        <v>0</v>
      </c>
      <c r="Q11" s="54" t="str">
        <f t="shared" si="3"/>
        <v>Individual At-Work</v>
      </c>
    </row>
    <row r="12" spans="1:25" x14ac:dyDescent="0.2">
      <c r="A12" s="1" t="s">
        <v>10</v>
      </c>
      <c r="B12" s="1" t="s">
        <v>11</v>
      </c>
      <c r="C12" s="1">
        <v>13</v>
      </c>
      <c r="D12" s="3">
        <v>0</v>
      </c>
      <c r="E12" s="3">
        <v>0</v>
      </c>
      <c r="F12" s="3">
        <v>0</v>
      </c>
      <c r="G12" s="54" t="str">
        <f t="shared" si="0"/>
        <v>Walk-CommRail</v>
      </c>
      <c r="H12" s="54" t="str">
        <f t="shared" si="1"/>
        <v>Walk-Transit</v>
      </c>
      <c r="I12" s="54" t="str">
        <f t="shared" si="2"/>
        <v>Individual At-Work</v>
      </c>
      <c r="K12" s="1" t="s">
        <v>10</v>
      </c>
      <c r="L12" s="1" t="s">
        <v>12</v>
      </c>
      <c r="M12" s="1" t="s">
        <v>131</v>
      </c>
      <c r="N12" s="1">
        <v>0</v>
      </c>
      <c r="O12" s="1">
        <v>0</v>
      </c>
      <c r="P12" s="1">
        <v>0</v>
      </c>
      <c r="Q12" s="54" t="str">
        <f t="shared" si="3"/>
        <v>Individual At-Work</v>
      </c>
    </row>
    <row r="13" spans="1:25" x14ac:dyDescent="0.2">
      <c r="A13" s="1" t="s">
        <v>10</v>
      </c>
      <c r="B13" s="1" t="s">
        <v>11</v>
      </c>
      <c r="C13" s="1">
        <v>19</v>
      </c>
      <c r="D13" s="3">
        <v>0</v>
      </c>
      <c r="E13" s="3">
        <v>0</v>
      </c>
      <c r="F13" s="3">
        <v>0</v>
      </c>
      <c r="G13" s="54" t="str">
        <f t="shared" si="0"/>
        <v>Taxi</v>
      </c>
      <c r="H13" s="54" t="str">
        <f t="shared" si="1"/>
        <v>Taxi</v>
      </c>
      <c r="I13" s="54" t="str">
        <f t="shared" si="2"/>
        <v>Individual At-Work</v>
      </c>
      <c r="K13" s="1" t="s">
        <v>10</v>
      </c>
      <c r="L13" s="1" t="s">
        <v>13</v>
      </c>
      <c r="M13" s="1" t="s">
        <v>128</v>
      </c>
      <c r="N13" s="1">
        <v>0</v>
      </c>
      <c r="O13" s="1">
        <v>0</v>
      </c>
      <c r="P13" s="1">
        <v>0</v>
      </c>
      <c r="Q13" s="54" t="str">
        <f t="shared" si="3"/>
        <v>Individual At-Work</v>
      </c>
    </row>
    <row r="14" spans="1:25" x14ac:dyDescent="0.2">
      <c r="A14" s="1" t="s">
        <v>10</v>
      </c>
      <c r="B14" s="1" t="s">
        <v>11</v>
      </c>
      <c r="C14" s="1">
        <v>20</v>
      </c>
      <c r="D14" s="3">
        <v>0</v>
      </c>
      <c r="E14" s="3">
        <v>0</v>
      </c>
      <c r="F14" s="3">
        <v>0</v>
      </c>
      <c r="G14" s="54" t="str">
        <f t="shared" si="0"/>
        <v>TNC-Single</v>
      </c>
      <c r="H14" s="54" t="str">
        <f t="shared" si="1"/>
        <v>TNC-Single</v>
      </c>
      <c r="I14" s="54" t="str">
        <f t="shared" si="2"/>
        <v>Individual At-Work</v>
      </c>
      <c r="K14" s="1" t="s">
        <v>10</v>
      </c>
      <c r="L14" s="1" t="s">
        <v>13</v>
      </c>
      <c r="M14" s="1" t="s">
        <v>130</v>
      </c>
      <c r="N14" s="1">
        <v>0</v>
      </c>
      <c r="O14" s="1">
        <v>0</v>
      </c>
      <c r="P14" s="1">
        <v>0</v>
      </c>
      <c r="Q14" s="54" t="str">
        <f t="shared" si="3"/>
        <v>Individual At-Work</v>
      </c>
    </row>
    <row r="15" spans="1:25" x14ac:dyDescent="0.2">
      <c r="A15" s="1" t="s">
        <v>10</v>
      </c>
      <c r="B15" s="1" t="s">
        <v>12</v>
      </c>
      <c r="C15" s="1">
        <v>1</v>
      </c>
      <c r="D15" s="3">
        <v>0</v>
      </c>
      <c r="E15" s="3">
        <v>0</v>
      </c>
      <c r="F15" s="3">
        <v>0</v>
      </c>
      <c r="G15" s="54" t="str">
        <f t="shared" si="0"/>
        <v>Drive Alone</v>
      </c>
      <c r="H15" s="54" t="str">
        <f t="shared" si="1"/>
        <v>Drive Alone</v>
      </c>
      <c r="I15" s="54" t="str">
        <f t="shared" si="2"/>
        <v>Individual At-Work</v>
      </c>
      <c r="K15" s="1" t="s">
        <v>10</v>
      </c>
      <c r="L15" s="1" t="s">
        <v>13</v>
      </c>
      <c r="M15" s="1" t="s">
        <v>122</v>
      </c>
      <c r="N15" s="1">
        <v>0</v>
      </c>
      <c r="O15" s="1">
        <v>0</v>
      </c>
      <c r="P15" s="1">
        <v>0</v>
      </c>
      <c r="Q15" s="54" t="str">
        <f t="shared" si="3"/>
        <v>Individual At-Work</v>
      </c>
    </row>
    <row r="16" spans="1:25" x14ac:dyDescent="0.2">
      <c r="A16" s="1" t="s">
        <v>10</v>
      </c>
      <c r="B16" s="1" t="s">
        <v>12</v>
      </c>
      <c r="C16" s="1">
        <v>2</v>
      </c>
      <c r="D16" s="3">
        <v>0</v>
      </c>
      <c r="E16" s="3">
        <v>0</v>
      </c>
      <c r="F16" s="3">
        <v>0</v>
      </c>
      <c r="G16" s="54" t="str">
        <f t="shared" si="0"/>
        <v>Drive Alone</v>
      </c>
      <c r="H16" s="54" t="str">
        <f t="shared" si="1"/>
        <v>Drive Alone</v>
      </c>
      <c r="I16" s="54" t="str">
        <f t="shared" si="2"/>
        <v>Individual At-Work</v>
      </c>
      <c r="K16" s="1" t="s">
        <v>10</v>
      </c>
      <c r="L16" s="1" t="s">
        <v>13</v>
      </c>
      <c r="M16" s="1" t="s">
        <v>131</v>
      </c>
      <c r="N16" s="1">
        <v>0</v>
      </c>
      <c r="O16" s="1">
        <v>0</v>
      </c>
      <c r="P16" s="1">
        <v>0</v>
      </c>
      <c r="Q16" s="54" t="str">
        <f t="shared" si="3"/>
        <v>Individual At-Work</v>
      </c>
    </row>
    <row r="17" spans="1:17" x14ac:dyDescent="0.2">
      <c r="A17" s="1" t="s">
        <v>10</v>
      </c>
      <c r="B17" s="1" t="s">
        <v>12</v>
      </c>
      <c r="C17" s="1">
        <v>3</v>
      </c>
      <c r="D17" s="3">
        <v>0</v>
      </c>
      <c r="E17" s="3">
        <v>0</v>
      </c>
      <c r="F17" s="3">
        <v>0</v>
      </c>
      <c r="G17" s="54" t="str">
        <f t="shared" si="0"/>
        <v>SR2</v>
      </c>
      <c r="H17" s="54" t="str">
        <f t="shared" si="1"/>
        <v>SR2</v>
      </c>
      <c r="I17" s="54" t="str">
        <f t="shared" si="2"/>
        <v>Individual At-Work</v>
      </c>
      <c r="K17" s="1" t="s">
        <v>10</v>
      </c>
      <c r="L17" s="1" t="s">
        <v>14</v>
      </c>
      <c r="M17" s="1" t="s">
        <v>127</v>
      </c>
      <c r="N17" s="1">
        <v>0</v>
      </c>
      <c r="O17" s="1">
        <v>0</v>
      </c>
      <c r="P17" s="1">
        <v>0</v>
      </c>
      <c r="Q17" s="54" t="str">
        <f t="shared" si="3"/>
        <v>Individual Discretionary</v>
      </c>
    </row>
    <row r="18" spans="1:17" x14ac:dyDescent="0.2">
      <c r="A18" s="1" t="s">
        <v>10</v>
      </c>
      <c r="B18" s="1" t="s">
        <v>12</v>
      </c>
      <c r="C18" s="1">
        <v>5</v>
      </c>
      <c r="D18" s="3">
        <v>0</v>
      </c>
      <c r="E18" s="3">
        <v>0</v>
      </c>
      <c r="F18" s="3">
        <v>0</v>
      </c>
      <c r="G18" s="54" t="str">
        <f t="shared" si="0"/>
        <v>SR3+</v>
      </c>
      <c r="H18" s="54" t="str">
        <f t="shared" si="1"/>
        <v>SR3+</v>
      </c>
      <c r="I18" s="54" t="str">
        <f t="shared" si="2"/>
        <v>Individual At-Work</v>
      </c>
      <c r="K18" s="1" t="s">
        <v>10</v>
      </c>
      <c r="L18" s="1" t="s">
        <v>14</v>
      </c>
      <c r="M18" s="1" t="s">
        <v>128</v>
      </c>
      <c r="N18" s="1">
        <v>0</v>
      </c>
      <c r="O18" s="1">
        <v>0</v>
      </c>
      <c r="P18" s="1">
        <v>0</v>
      </c>
      <c r="Q18" s="54" t="str">
        <f t="shared" si="3"/>
        <v>Individual Discretionary</v>
      </c>
    </row>
    <row r="19" spans="1:17" x14ac:dyDescent="0.2">
      <c r="A19" s="1" t="s">
        <v>10</v>
      </c>
      <c r="B19" s="1" t="s">
        <v>12</v>
      </c>
      <c r="C19" s="1">
        <v>7</v>
      </c>
      <c r="D19" s="3">
        <v>0</v>
      </c>
      <c r="E19" s="3">
        <v>0</v>
      </c>
      <c r="F19" s="3">
        <v>0</v>
      </c>
      <c r="G19" s="54" t="str">
        <f t="shared" si="0"/>
        <v>Walk</v>
      </c>
      <c r="H19" s="54" t="str">
        <f t="shared" si="1"/>
        <v>Walk</v>
      </c>
      <c r="I19" s="54" t="str">
        <f t="shared" si="2"/>
        <v>Individual At-Work</v>
      </c>
      <c r="K19" s="1" t="s">
        <v>10</v>
      </c>
      <c r="L19" s="1" t="s">
        <v>14</v>
      </c>
      <c r="M19" s="1" t="s">
        <v>129</v>
      </c>
      <c r="N19" s="1">
        <v>0</v>
      </c>
      <c r="O19" s="1">
        <v>0</v>
      </c>
      <c r="P19" s="1">
        <v>0</v>
      </c>
      <c r="Q19" s="54" t="str">
        <f t="shared" si="3"/>
        <v>Individual Discretionary</v>
      </c>
    </row>
    <row r="20" spans="1:17" x14ac:dyDescent="0.2">
      <c r="A20" s="1" t="s">
        <v>10</v>
      </c>
      <c r="B20" s="1" t="s">
        <v>12</v>
      </c>
      <c r="C20" s="1">
        <v>8</v>
      </c>
      <c r="D20" s="3">
        <v>0</v>
      </c>
      <c r="E20" s="3">
        <v>0</v>
      </c>
      <c r="F20" s="3">
        <v>0</v>
      </c>
      <c r="G20" s="54" t="str">
        <f t="shared" si="0"/>
        <v>Bike</v>
      </c>
      <c r="H20" s="54" t="str">
        <f t="shared" si="1"/>
        <v>Bike</v>
      </c>
      <c r="I20" s="54" t="str">
        <f t="shared" si="2"/>
        <v>Individual At-Work</v>
      </c>
      <c r="K20" s="1" t="s">
        <v>10</v>
      </c>
      <c r="L20" s="1" t="s">
        <v>14</v>
      </c>
      <c r="M20" s="1" t="s">
        <v>130</v>
      </c>
      <c r="N20" s="1">
        <v>0</v>
      </c>
      <c r="O20" s="1">
        <v>0</v>
      </c>
      <c r="P20" s="1">
        <v>0</v>
      </c>
      <c r="Q20" s="54" t="str">
        <f t="shared" si="3"/>
        <v>Individual Discretionary</v>
      </c>
    </row>
    <row r="21" spans="1:17" x14ac:dyDescent="0.2">
      <c r="A21" s="1" t="s">
        <v>10</v>
      </c>
      <c r="B21" s="1" t="s">
        <v>12</v>
      </c>
      <c r="C21" s="1">
        <v>9</v>
      </c>
      <c r="D21" s="3">
        <v>0</v>
      </c>
      <c r="E21" s="3">
        <v>0</v>
      </c>
      <c r="F21" s="3">
        <v>0</v>
      </c>
      <c r="G21" s="54" t="str">
        <f t="shared" si="0"/>
        <v>Walk-Local</v>
      </c>
      <c r="H21" s="54" t="str">
        <f t="shared" si="1"/>
        <v>Walk-Transit</v>
      </c>
      <c r="I21" s="54" t="str">
        <f t="shared" si="2"/>
        <v>Individual At-Work</v>
      </c>
      <c r="K21" s="1" t="s">
        <v>10</v>
      </c>
      <c r="L21" s="1" t="s">
        <v>14</v>
      </c>
      <c r="M21" s="1" t="s">
        <v>122</v>
      </c>
      <c r="N21" s="1">
        <v>0</v>
      </c>
      <c r="O21" s="1">
        <v>0</v>
      </c>
      <c r="P21" s="1">
        <v>0</v>
      </c>
      <c r="Q21" s="54" t="str">
        <f t="shared" si="3"/>
        <v>Individual Discretionary</v>
      </c>
    </row>
    <row r="22" spans="1:17" x14ac:dyDescent="0.2">
      <c r="A22" s="1" t="s">
        <v>10</v>
      </c>
      <c r="B22" s="1" t="s">
        <v>12</v>
      </c>
      <c r="C22" s="1">
        <v>10</v>
      </c>
      <c r="D22" s="3">
        <v>0</v>
      </c>
      <c r="E22" s="3">
        <v>0</v>
      </c>
      <c r="F22" s="3">
        <v>0</v>
      </c>
      <c r="G22" s="54" t="str">
        <f t="shared" si="0"/>
        <v>Walk-LRF</v>
      </c>
      <c r="H22" s="54" t="str">
        <f t="shared" si="1"/>
        <v>Walk-Transit</v>
      </c>
      <c r="I22" s="54" t="str">
        <f t="shared" si="2"/>
        <v>Individual At-Work</v>
      </c>
      <c r="K22" s="1" t="s">
        <v>10</v>
      </c>
      <c r="L22" s="1" t="s">
        <v>14</v>
      </c>
      <c r="M22" s="1" t="s">
        <v>133</v>
      </c>
      <c r="N22" s="1">
        <v>0</v>
      </c>
      <c r="O22" s="1">
        <v>0</v>
      </c>
      <c r="P22" s="1">
        <v>0</v>
      </c>
      <c r="Q22" s="54" t="str">
        <f t="shared" si="3"/>
        <v>Individual Discretionary</v>
      </c>
    </row>
    <row r="23" spans="1:17" x14ac:dyDescent="0.2">
      <c r="A23" s="1" t="s">
        <v>10</v>
      </c>
      <c r="B23" s="1" t="s">
        <v>12</v>
      </c>
      <c r="C23" s="1">
        <v>11</v>
      </c>
      <c r="D23" s="3">
        <v>0</v>
      </c>
      <c r="E23" s="3">
        <v>0</v>
      </c>
      <c r="F23" s="3">
        <v>0</v>
      </c>
      <c r="G23" s="54" t="str">
        <f t="shared" si="0"/>
        <v>Walk-Express</v>
      </c>
      <c r="H23" s="54" t="str">
        <f t="shared" si="1"/>
        <v>Walk-Transit</v>
      </c>
      <c r="I23" s="54" t="str">
        <f t="shared" si="2"/>
        <v>Individual At-Work</v>
      </c>
      <c r="K23" s="1" t="s">
        <v>10</v>
      </c>
      <c r="L23" s="1" t="s">
        <v>14</v>
      </c>
      <c r="M23" s="1" t="s">
        <v>131</v>
      </c>
      <c r="N23" s="1">
        <v>0</v>
      </c>
      <c r="O23" s="1">
        <v>0</v>
      </c>
      <c r="P23" s="1">
        <v>0</v>
      </c>
      <c r="Q23" s="54" t="str">
        <f t="shared" si="3"/>
        <v>Individual Discretionary</v>
      </c>
    </row>
    <row r="24" spans="1:17" x14ac:dyDescent="0.2">
      <c r="A24" s="1" t="s">
        <v>10</v>
      </c>
      <c r="B24" s="1" t="s">
        <v>12</v>
      </c>
      <c r="C24" s="1">
        <v>12</v>
      </c>
      <c r="D24" s="3">
        <v>0</v>
      </c>
      <c r="E24" s="3">
        <v>0</v>
      </c>
      <c r="F24" s="3">
        <v>0</v>
      </c>
      <c r="G24" s="54" t="str">
        <f t="shared" si="0"/>
        <v>Walk-HeavyRail</v>
      </c>
      <c r="H24" s="54" t="str">
        <f t="shared" si="1"/>
        <v>Walk-Transit</v>
      </c>
      <c r="I24" s="54" t="str">
        <f t="shared" si="2"/>
        <v>Individual At-Work</v>
      </c>
      <c r="K24" s="1" t="s">
        <v>10</v>
      </c>
      <c r="L24" s="1" t="s">
        <v>15</v>
      </c>
      <c r="M24" s="1" t="s">
        <v>127</v>
      </c>
      <c r="N24" s="1">
        <v>0</v>
      </c>
      <c r="O24" s="1">
        <v>0</v>
      </c>
      <c r="P24" s="1">
        <v>0</v>
      </c>
      <c r="Q24" s="54" t="str">
        <f t="shared" si="3"/>
        <v>Individual Maintenance</v>
      </c>
    </row>
    <row r="25" spans="1:17" x14ac:dyDescent="0.2">
      <c r="A25" s="1" t="s">
        <v>10</v>
      </c>
      <c r="B25" s="1" t="s">
        <v>12</v>
      </c>
      <c r="C25" s="1">
        <v>13</v>
      </c>
      <c r="D25" s="3">
        <v>0</v>
      </c>
      <c r="E25" s="3">
        <v>0</v>
      </c>
      <c r="F25" s="3">
        <v>0</v>
      </c>
      <c r="G25" s="54" t="str">
        <f t="shared" si="0"/>
        <v>Walk-CommRail</v>
      </c>
      <c r="H25" s="54" t="str">
        <f t="shared" si="1"/>
        <v>Walk-Transit</v>
      </c>
      <c r="I25" s="54" t="str">
        <f t="shared" si="2"/>
        <v>Individual At-Work</v>
      </c>
      <c r="K25" s="1" t="s">
        <v>10</v>
      </c>
      <c r="L25" s="1" t="s">
        <v>15</v>
      </c>
      <c r="M25" s="1" t="s">
        <v>128</v>
      </c>
      <c r="N25" s="1">
        <v>0</v>
      </c>
      <c r="O25" s="1">
        <v>0</v>
      </c>
      <c r="P25" s="1">
        <v>0</v>
      </c>
      <c r="Q25" s="54" t="str">
        <f t="shared" si="3"/>
        <v>Individual Maintenance</v>
      </c>
    </row>
    <row r="26" spans="1:17" x14ac:dyDescent="0.2">
      <c r="A26" s="1" t="s">
        <v>10</v>
      </c>
      <c r="B26" s="1" t="s">
        <v>12</v>
      </c>
      <c r="C26" s="1">
        <v>19</v>
      </c>
      <c r="D26" s="3">
        <v>0</v>
      </c>
      <c r="E26" s="3">
        <v>0</v>
      </c>
      <c r="F26" s="3">
        <v>0</v>
      </c>
      <c r="G26" s="54" t="str">
        <f t="shared" si="0"/>
        <v>Taxi</v>
      </c>
      <c r="H26" s="54" t="str">
        <f t="shared" si="1"/>
        <v>Taxi</v>
      </c>
      <c r="I26" s="54" t="str">
        <f t="shared" si="2"/>
        <v>Individual At-Work</v>
      </c>
      <c r="K26" s="1" t="s">
        <v>10</v>
      </c>
      <c r="L26" s="1" t="s">
        <v>15</v>
      </c>
      <c r="M26" s="1" t="s">
        <v>130</v>
      </c>
      <c r="N26" s="1">
        <v>0</v>
      </c>
      <c r="O26" s="1">
        <v>0</v>
      </c>
      <c r="P26" s="1">
        <v>0</v>
      </c>
      <c r="Q26" s="54" t="str">
        <f t="shared" si="3"/>
        <v>Individual Maintenance</v>
      </c>
    </row>
    <row r="27" spans="1:17" x14ac:dyDescent="0.2">
      <c r="A27" s="1" t="s">
        <v>10</v>
      </c>
      <c r="B27" s="1" t="s">
        <v>12</v>
      </c>
      <c r="C27" s="1">
        <v>20</v>
      </c>
      <c r="D27" s="3">
        <v>0</v>
      </c>
      <c r="E27" s="3">
        <v>0</v>
      </c>
      <c r="F27" s="3">
        <v>0</v>
      </c>
      <c r="G27" s="54" t="str">
        <f t="shared" si="0"/>
        <v>TNC-Single</v>
      </c>
      <c r="H27" s="54" t="str">
        <f t="shared" si="1"/>
        <v>TNC-Single</v>
      </c>
      <c r="I27" s="54" t="str">
        <f t="shared" si="2"/>
        <v>Individual At-Work</v>
      </c>
      <c r="K27" s="1" t="s">
        <v>10</v>
      </c>
      <c r="L27" s="1" t="s">
        <v>15</v>
      </c>
      <c r="M27" s="1" t="s">
        <v>122</v>
      </c>
      <c r="N27" s="1">
        <v>0</v>
      </c>
      <c r="O27" s="1">
        <v>0</v>
      </c>
      <c r="P27" s="1">
        <v>0</v>
      </c>
      <c r="Q27" s="54" t="str">
        <f t="shared" si="3"/>
        <v>Individual Maintenance</v>
      </c>
    </row>
    <row r="28" spans="1:17" x14ac:dyDescent="0.2">
      <c r="A28" s="1" t="s">
        <v>10</v>
      </c>
      <c r="B28" s="1" t="s">
        <v>13</v>
      </c>
      <c r="C28" s="1">
        <v>1</v>
      </c>
      <c r="D28" s="3">
        <v>0</v>
      </c>
      <c r="E28" s="3">
        <v>0</v>
      </c>
      <c r="F28" s="3">
        <v>0</v>
      </c>
      <c r="G28" s="54" t="str">
        <f t="shared" si="0"/>
        <v>Drive Alone</v>
      </c>
      <c r="H28" s="54" t="str">
        <f t="shared" si="1"/>
        <v>Drive Alone</v>
      </c>
      <c r="I28" s="54" t="str">
        <f t="shared" si="2"/>
        <v>Individual At-Work</v>
      </c>
      <c r="K28" s="1" t="s">
        <v>10</v>
      </c>
      <c r="L28" s="1" t="s">
        <v>15</v>
      </c>
      <c r="M28" s="1" t="s">
        <v>133</v>
      </c>
      <c r="N28" s="1">
        <v>0</v>
      </c>
      <c r="O28" s="1">
        <v>0</v>
      </c>
      <c r="P28" s="1">
        <v>0</v>
      </c>
      <c r="Q28" s="54" t="str">
        <f t="shared" si="3"/>
        <v>Individual Maintenance</v>
      </c>
    </row>
    <row r="29" spans="1:17" x14ac:dyDescent="0.2">
      <c r="A29" s="1" t="s">
        <v>10</v>
      </c>
      <c r="B29" s="1" t="s">
        <v>13</v>
      </c>
      <c r="C29" s="1">
        <v>2</v>
      </c>
      <c r="D29" s="3">
        <v>0</v>
      </c>
      <c r="E29" s="3">
        <v>0</v>
      </c>
      <c r="F29" s="3">
        <v>0</v>
      </c>
      <c r="G29" s="54" t="str">
        <f t="shared" si="0"/>
        <v>Drive Alone</v>
      </c>
      <c r="H29" s="54" t="str">
        <f t="shared" si="1"/>
        <v>Drive Alone</v>
      </c>
      <c r="I29" s="54" t="str">
        <f t="shared" si="2"/>
        <v>Individual At-Work</v>
      </c>
      <c r="K29" s="1" t="s">
        <v>10</v>
      </c>
      <c r="L29" s="1" t="s">
        <v>15</v>
      </c>
      <c r="M29" s="1" t="s">
        <v>131</v>
      </c>
      <c r="N29" s="1">
        <v>0</v>
      </c>
      <c r="O29" s="1">
        <v>0</v>
      </c>
      <c r="P29" s="1">
        <v>0</v>
      </c>
      <c r="Q29" s="54" t="str">
        <f t="shared" si="3"/>
        <v>Individual Maintenance</v>
      </c>
    </row>
    <row r="30" spans="1:17" x14ac:dyDescent="0.2">
      <c r="A30" s="1" t="s">
        <v>10</v>
      </c>
      <c r="B30" s="1" t="s">
        <v>13</v>
      </c>
      <c r="C30" s="1">
        <v>3</v>
      </c>
      <c r="D30" s="3">
        <v>0</v>
      </c>
      <c r="E30" s="3">
        <v>0</v>
      </c>
      <c r="F30" s="3">
        <v>0</v>
      </c>
      <c r="G30" s="54" t="str">
        <f t="shared" si="0"/>
        <v>SR2</v>
      </c>
      <c r="H30" s="54" t="str">
        <f t="shared" si="1"/>
        <v>SR2</v>
      </c>
      <c r="I30" s="54" t="str">
        <f t="shared" si="2"/>
        <v>Individual At-Work</v>
      </c>
      <c r="K30" s="1" t="s">
        <v>10</v>
      </c>
      <c r="L30" s="1" t="s">
        <v>16</v>
      </c>
      <c r="M30" s="1" t="s">
        <v>127</v>
      </c>
      <c r="N30" s="1">
        <v>0</v>
      </c>
      <c r="O30" s="1">
        <v>0</v>
      </c>
      <c r="P30" s="1">
        <v>0</v>
      </c>
      <c r="Q30" s="54" t="str">
        <f t="shared" si="3"/>
        <v>Individual Maintenance</v>
      </c>
    </row>
    <row r="31" spans="1:17" x14ac:dyDescent="0.2">
      <c r="A31" s="1" t="s">
        <v>10</v>
      </c>
      <c r="B31" s="1" t="s">
        <v>13</v>
      </c>
      <c r="C31" s="1">
        <v>5</v>
      </c>
      <c r="D31" s="3">
        <v>0</v>
      </c>
      <c r="E31" s="3">
        <v>0</v>
      </c>
      <c r="F31" s="3">
        <v>0</v>
      </c>
      <c r="G31" s="54" t="str">
        <f t="shared" si="0"/>
        <v>SR3+</v>
      </c>
      <c r="H31" s="54" t="str">
        <f t="shared" si="1"/>
        <v>SR3+</v>
      </c>
      <c r="I31" s="54" t="str">
        <f t="shared" si="2"/>
        <v>Individual At-Work</v>
      </c>
      <c r="K31" s="1" t="s">
        <v>10</v>
      </c>
      <c r="L31" s="1" t="s">
        <v>16</v>
      </c>
      <c r="M31" s="1" t="s">
        <v>128</v>
      </c>
      <c r="N31" s="1">
        <v>0</v>
      </c>
      <c r="O31" s="1">
        <v>0</v>
      </c>
      <c r="P31" s="1">
        <v>0</v>
      </c>
      <c r="Q31" s="54" t="str">
        <f t="shared" si="3"/>
        <v>Individual Maintenance</v>
      </c>
    </row>
    <row r="32" spans="1:17" x14ac:dyDescent="0.2">
      <c r="A32" s="1" t="s">
        <v>10</v>
      </c>
      <c r="B32" s="1" t="s">
        <v>13</v>
      </c>
      <c r="C32" s="1">
        <v>7</v>
      </c>
      <c r="D32" s="3">
        <v>0</v>
      </c>
      <c r="E32" s="3">
        <v>0</v>
      </c>
      <c r="F32" s="3">
        <v>0</v>
      </c>
      <c r="G32" s="54" t="str">
        <f t="shared" si="0"/>
        <v>Walk</v>
      </c>
      <c r="H32" s="54" t="str">
        <f t="shared" si="1"/>
        <v>Walk</v>
      </c>
      <c r="I32" s="54" t="str">
        <f t="shared" si="2"/>
        <v>Individual At-Work</v>
      </c>
      <c r="K32" s="1" t="s">
        <v>10</v>
      </c>
      <c r="L32" s="1" t="s">
        <v>16</v>
      </c>
      <c r="M32" s="1" t="s">
        <v>130</v>
      </c>
      <c r="N32" s="1">
        <v>0</v>
      </c>
      <c r="O32" s="1">
        <v>0</v>
      </c>
      <c r="P32" s="1">
        <v>0</v>
      </c>
      <c r="Q32" s="54" t="str">
        <f t="shared" si="3"/>
        <v>Individual Maintenance</v>
      </c>
    </row>
    <row r="33" spans="1:17" x14ac:dyDescent="0.2">
      <c r="A33" s="1" t="s">
        <v>10</v>
      </c>
      <c r="B33" s="1" t="s">
        <v>13</v>
      </c>
      <c r="C33" s="1">
        <v>8</v>
      </c>
      <c r="D33" s="3">
        <v>0</v>
      </c>
      <c r="E33" s="3">
        <v>0</v>
      </c>
      <c r="F33" s="3">
        <v>0</v>
      </c>
      <c r="G33" s="54" t="str">
        <f t="shared" si="0"/>
        <v>Bike</v>
      </c>
      <c r="H33" s="54" t="str">
        <f t="shared" si="1"/>
        <v>Bike</v>
      </c>
      <c r="I33" s="54" t="str">
        <f t="shared" si="2"/>
        <v>Individual At-Work</v>
      </c>
      <c r="K33" s="1" t="s">
        <v>10</v>
      </c>
      <c r="L33" s="1" t="s">
        <v>16</v>
      </c>
      <c r="M33" s="1" t="s">
        <v>122</v>
      </c>
      <c r="N33" s="1">
        <v>0</v>
      </c>
      <c r="O33" s="1">
        <v>0</v>
      </c>
      <c r="P33" s="1">
        <v>0</v>
      </c>
      <c r="Q33" s="54" t="str">
        <f t="shared" si="3"/>
        <v>Individual Maintenance</v>
      </c>
    </row>
    <row r="34" spans="1:17" x14ac:dyDescent="0.2">
      <c r="A34" s="1" t="s">
        <v>10</v>
      </c>
      <c r="B34" s="1" t="s">
        <v>13</v>
      </c>
      <c r="C34" s="1">
        <v>9</v>
      </c>
      <c r="D34" s="3">
        <v>0</v>
      </c>
      <c r="E34" s="3">
        <v>0</v>
      </c>
      <c r="F34" s="3">
        <v>0</v>
      </c>
      <c r="G34" s="54" t="str">
        <f t="shared" si="0"/>
        <v>Walk-Local</v>
      </c>
      <c r="H34" s="54" t="str">
        <f t="shared" si="1"/>
        <v>Walk-Transit</v>
      </c>
      <c r="I34" s="54" t="str">
        <f t="shared" si="2"/>
        <v>Individual At-Work</v>
      </c>
      <c r="K34" s="1" t="s">
        <v>10</v>
      </c>
      <c r="L34" s="1" t="s">
        <v>16</v>
      </c>
      <c r="M34" s="1" t="s">
        <v>133</v>
      </c>
      <c r="N34" s="1">
        <v>0</v>
      </c>
      <c r="O34" s="1">
        <v>0</v>
      </c>
      <c r="P34" s="1">
        <v>0</v>
      </c>
      <c r="Q34" s="54" t="str">
        <f t="shared" si="3"/>
        <v>Individual Maintenance</v>
      </c>
    </row>
    <row r="35" spans="1:17" x14ac:dyDescent="0.2">
      <c r="A35" s="1" t="s">
        <v>10</v>
      </c>
      <c r="B35" s="1" t="s">
        <v>13</v>
      </c>
      <c r="C35" s="1">
        <v>10</v>
      </c>
      <c r="D35" s="3">
        <v>0</v>
      </c>
      <c r="E35" s="3">
        <v>0</v>
      </c>
      <c r="F35" s="3">
        <v>0</v>
      </c>
      <c r="G35" s="54" t="str">
        <f t="shared" si="0"/>
        <v>Walk-LRF</v>
      </c>
      <c r="H35" s="54" t="str">
        <f t="shared" si="1"/>
        <v>Walk-Transit</v>
      </c>
      <c r="I35" s="54" t="str">
        <f t="shared" si="2"/>
        <v>Individual At-Work</v>
      </c>
      <c r="K35" s="1" t="s">
        <v>10</v>
      </c>
      <c r="L35" s="1" t="s">
        <v>16</v>
      </c>
      <c r="M35" s="1" t="s">
        <v>131</v>
      </c>
      <c r="N35" s="1">
        <v>0</v>
      </c>
      <c r="O35" s="1">
        <v>0</v>
      </c>
      <c r="P35" s="1">
        <v>0</v>
      </c>
      <c r="Q35" s="54" t="str">
        <f t="shared" ref="Q35:Q66" si="4">IF(K35="joint","Joint",_xlfn.IFNA(VLOOKUP($L35,tour_purposes,2,FALSE),"None"))</f>
        <v>Individual Maintenance</v>
      </c>
    </row>
    <row r="36" spans="1:17" x14ac:dyDescent="0.2">
      <c r="A36" s="1" t="s">
        <v>10</v>
      </c>
      <c r="B36" s="1" t="s">
        <v>13</v>
      </c>
      <c r="C36" s="1">
        <v>11</v>
      </c>
      <c r="D36" s="3">
        <v>0</v>
      </c>
      <c r="E36" s="3">
        <v>0</v>
      </c>
      <c r="F36" s="3">
        <v>0</v>
      </c>
      <c r="G36" s="54" t="str">
        <f t="shared" si="0"/>
        <v>Walk-Express</v>
      </c>
      <c r="H36" s="54" t="str">
        <f t="shared" si="1"/>
        <v>Walk-Transit</v>
      </c>
      <c r="I36" s="54" t="str">
        <f t="shared" si="2"/>
        <v>Individual At-Work</v>
      </c>
      <c r="K36" s="1" t="s">
        <v>10</v>
      </c>
      <c r="L36" s="1" t="s">
        <v>17</v>
      </c>
      <c r="M36" s="1" t="s">
        <v>127</v>
      </c>
      <c r="N36" s="1">
        <v>0</v>
      </c>
      <c r="O36" s="1">
        <v>0</v>
      </c>
      <c r="P36" s="1">
        <v>0</v>
      </c>
      <c r="Q36" s="54" t="str">
        <f t="shared" si="4"/>
        <v>Individual Discretionary</v>
      </c>
    </row>
    <row r="37" spans="1:17" x14ac:dyDescent="0.2">
      <c r="A37" s="1" t="s">
        <v>10</v>
      </c>
      <c r="B37" s="1" t="s">
        <v>13</v>
      </c>
      <c r="C37" s="1">
        <v>12</v>
      </c>
      <c r="D37" s="3">
        <v>0</v>
      </c>
      <c r="E37" s="3">
        <v>0</v>
      </c>
      <c r="F37" s="3">
        <v>0</v>
      </c>
      <c r="G37" s="54" t="str">
        <f t="shared" si="0"/>
        <v>Walk-HeavyRail</v>
      </c>
      <c r="H37" s="54" t="str">
        <f t="shared" si="1"/>
        <v>Walk-Transit</v>
      </c>
      <c r="I37" s="54" t="str">
        <f t="shared" si="2"/>
        <v>Individual At-Work</v>
      </c>
      <c r="K37" s="1" t="s">
        <v>10</v>
      </c>
      <c r="L37" s="1" t="s">
        <v>17</v>
      </c>
      <c r="M37" s="1" t="s">
        <v>128</v>
      </c>
      <c r="N37" s="1">
        <v>0</v>
      </c>
      <c r="O37" s="1">
        <v>0</v>
      </c>
      <c r="P37" s="1">
        <v>0</v>
      </c>
      <c r="Q37" s="54" t="str">
        <f t="shared" si="4"/>
        <v>Individual Discretionary</v>
      </c>
    </row>
    <row r="38" spans="1:17" x14ac:dyDescent="0.2">
      <c r="A38" s="1" t="s">
        <v>10</v>
      </c>
      <c r="B38" s="1" t="s">
        <v>13</v>
      </c>
      <c r="C38" s="1">
        <v>19</v>
      </c>
      <c r="D38" s="3">
        <v>0</v>
      </c>
      <c r="E38" s="3">
        <v>0</v>
      </c>
      <c r="F38" s="3">
        <v>0</v>
      </c>
      <c r="G38" s="54" t="str">
        <f t="shared" si="0"/>
        <v>Taxi</v>
      </c>
      <c r="H38" s="54" t="str">
        <f t="shared" si="1"/>
        <v>Taxi</v>
      </c>
      <c r="I38" s="54" t="str">
        <f t="shared" si="2"/>
        <v>Individual At-Work</v>
      </c>
      <c r="K38" s="1" t="s">
        <v>10</v>
      </c>
      <c r="L38" s="1" t="s">
        <v>17</v>
      </c>
      <c r="M38" s="1" t="s">
        <v>130</v>
      </c>
      <c r="N38" s="1">
        <v>0</v>
      </c>
      <c r="O38" s="1">
        <v>0</v>
      </c>
      <c r="P38" s="1">
        <v>0</v>
      </c>
      <c r="Q38" s="54" t="str">
        <f t="shared" si="4"/>
        <v>Individual Discretionary</v>
      </c>
    </row>
    <row r="39" spans="1:17" x14ac:dyDescent="0.2">
      <c r="A39" s="1" t="s">
        <v>10</v>
      </c>
      <c r="B39" s="1" t="s">
        <v>13</v>
      </c>
      <c r="C39" s="1">
        <v>21</v>
      </c>
      <c r="D39" s="3">
        <v>0</v>
      </c>
      <c r="E39" s="3">
        <v>0</v>
      </c>
      <c r="F39" s="3">
        <v>0</v>
      </c>
      <c r="G39" s="54" t="str">
        <f t="shared" si="0"/>
        <v>TNC-Shared</v>
      </c>
      <c r="H39" s="54" t="str">
        <f t="shared" si="1"/>
        <v>TNC-Shared</v>
      </c>
      <c r="I39" s="54" t="str">
        <f t="shared" si="2"/>
        <v>Individual At-Work</v>
      </c>
      <c r="K39" s="1" t="s">
        <v>10</v>
      </c>
      <c r="L39" s="1" t="s">
        <v>17</v>
      </c>
      <c r="M39" s="1" t="s">
        <v>122</v>
      </c>
      <c r="N39" s="1">
        <v>0</v>
      </c>
      <c r="O39" s="1">
        <v>0</v>
      </c>
      <c r="P39" s="1">
        <v>0</v>
      </c>
      <c r="Q39" s="54" t="str">
        <f t="shared" si="4"/>
        <v>Individual Discretionary</v>
      </c>
    </row>
    <row r="40" spans="1:17" x14ac:dyDescent="0.2">
      <c r="A40" s="1" t="s">
        <v>10</v>
      </c>
      <c r="B40" s="1" t="s">
        <v>14</v>
      </c>
      <c r="C40" s="1">
        <v>1</v>
      </c>
      <c r="D40" s="3">
        <v>0</v>
      </c>
      <c r="E40" s="3">
        <v>0</v>
      </c>
      <c r="F40" s="3">
        <v>0</v>
      </c>
      <c r="G40" s="54" t="str">
        <f t="shared" si="0"/>
        <v>Drive Alone</v>
      </c>
      <c r="H40" s="54" t="str">
        <f t="shared" si="1"/>
        <v>Drive Alone</v>
      </c>
      <c r="I40" s="54" t="str">
        <f t="shared" si="2"/>
        <v>Individual Discretionary</v>
      </c>
      <c r="K40" s="1" t="s">
        <v>10</v>
      </c>
      <c r="L40" s="1" t="s">
        <v>17</v>
      </c>
      <c r="M40" s="1" t="s">
        <v>133</v>
      </c>
      <c r="N40" s="1">
        <v>0</v>
      </c>
      <c r="O40" s="1">
        <v>0</v>
      </c>
      <c r="P40" s="1">
        <v>0</v>
      </c>
      <c r="Q40" s="54" t="str">
        <f t="shared" si="4"/>
        <v>Individual Discretionary</v>
      </c>
    </row>
    <row r="41" spans="1:17" x14ac:dyDescent="0.2">
      <c r="A41" s="1" t="s">
        <v>10</v>
      </c>
      <c r="B41" s="1" t="s">
        <v>14</v>
      </c>
      <c r="C41" s="1">
        <v>2</v>
      </c>
      <c r="D41" s="3">
        <v>0</v>
      </c>
      <c r="E41" s="3">
        <v>0</v>
      </c>
      <c r="F41" s="3">
        <v>0</v>
      </c>
      <c r="G41" s="54" t="str">
        <f t="shared" si="0"/>
        <v>Drive Alone</v>
      </c>
      <c r="H41" s="54" t="str">
        <f t="shared" si="1"/>
        <v>Drive Alone</v>
      </c>
      <c r="I41" s="54" t="str">
        <f t="shared" si="2"/>
        <v>Individual Discretionary</v>
      </c>
      <c r="K41" s="1" t="s">
        <v>10</v>
      </c>
      <c r="L41" s="1" t="s">
        <v>17</v>
      </c>
      <c r="M41" s="1" t="s">
        <v>131</v>
      </c>
      <c r="N41" s="1">
        <v>0</v>
      </c>
      <c r="O41" s="1">
        <v>0</v>
      </c>
      <c r="P41" s="1">
        <v>0</v>
      </c>
      <c r="Q41" s="54" t="str">
        <f t="shared" si="4"/>
        <v>Individual Discretionary</v>
      </c>
    </row>
    <row r="42" spans="1:17" x14ac:dyDescent="0.2">
      <c r="A42" s="1" t="s">
        <v>10</v>
      </c>
      <c r="B42" s="1" t="s">
        <v>14</v>
      </c>
      <c r="C42" s="1">
        <v>3</v>
      </c>
      <c r="D42" s="3">
        <v>0</v>
      </c>
      <c r="E42" s="3">
        <v>0</v>
      </c>
      <c r="F42" s="3">
        <v>0</v>
      </c>
      <c r="G42" s="54" t="str">
        <f t="shared" si="0"/>
        <v>SR2</v>
      </c>
      <c r="H42" s="54" t="str">
        <f t="shared" si="1"/>
        <v>SR2</v>
      </c>
      <c r="I42" s="54" t="str">
        <f t="shared" si="2"/>
        <v>Individual Discretionary</v>
      </c>
      <c r="K42" s="1" t="s">
        <v>10</v>
      </c>
      <c r="L42" s="1" t="s">
        <v>18</v>
      </c>
      <c r="M42" s="1" t="s">
        <v>127</v>
      </c>
      <c r="N42" s="1">
        <v>0</v>
      </c>
      <c r="O42" s="1">
        <v>0</v>
      </c>
      <c r="P42" s="1">
        <v>0</v>
      </c>
      <c r="Q42" s="54" t="str">
        <f t="shared" si="4"/>
        <v>Individual Maintenance</v>
      </c>
    </row>
    <row r="43" spans="1:17" x14ac:dyDescent="0.2">
      <c r="A43" s="1" t="s">
        <v>10</v>
      </c>
      <c r="B43" s="1" t="s">
        <v>14</v>
      </c>
      <c r="C43" s="1">
        <v>5</v>
      </c>
      <c r="D43" s="3">
        <v>0</v>
      </c>
      <c r="E43" s="3">
        <v>0</v>
      </c>
      <c r="F43" s="3">
        <v>0</v>
      </c>
      <c r="G43" s="54" t="str">
        <f t="shared" si="0"/>
        <v>SR3+</v>
      </c>
      <c r="H43" s="54" t="str">
        <f t="shared" si="1"/>
        <v>SR3+</v>
      </c>
      <c r="I43" s="54" t="str">
        <f t="shared" si="2"/>
        <v>Individual Discretionary</v>
      </c>
      <c r="K43" s="1" t="s">
        <v>10</v>
      </c>
      <c r="L43" s="1" t="s">
        <v>18</v>
      </c>
      <c r="M43" s="1" t="s">
        <v>128</v>
      </c>
      <c r="N43" s="1">
        <v>0</v>
      </c>
      <c r="O43" s="1">
        <v>0</v>
      </c>
      <c r="P43" s="1">
        <v>0</v>
      </c>
      <c r="Q43" s="54" t="str">
        <f t="shared" si="4"/>
        <v>Individual Maintenance</v>
      </c>
    </row>
    <row r="44" spans="1:17" x14ac:dyDescent="0.2">
      <c r="A44" s="1" t="s">
        <v>10</v>
      </c>
      <c r="B44" s="1" t="s">
        <v>14</v>
      </c>
      <c r="C44" s="1">
        <v>7</v>
      </c>
      <c r="D44" s="3">
        <v>0</v>
      </c>
      <c r="E44" s="3">
        <v>0</v>
      </c>
      <c r="F44" s="3">
        <v>0</v>
      </c>
      <c r="G44" s="54" t="str">
        <f t="shared" si="0"/>
        <v>Walk</v>
      </c>
      <c r="H44" s="54" t="str">
        <f t="shared" si="1"/>
        <v>Walk</v>
      </c>
      <c r="I44" s="54" t="str">
        <f t="shared" si="2"/>
        <v>Individual Discretionary</v>
      </c>
      <c r="K44" s="1" t="s">
        <v>10</v>
      </c>
      <c r="L44" s="1" t="s">
        <v>18</v>
      </c>
      <c r="M44" s="1" t="s">
        <v>130</v>
      </c>
      <c r="N44" s="1">
        <v>0</v>
      </c>
      <c r="O44" s="1">
        <v>0</v>
      </c>
      <c r="P44" s="1">
        <v>0</v>
      </c>
      <c r="Q44" s="54" t="str">
        <f t="shared" si="4"/>
        <v>Individual Maintenance</v>
      </c>
    </row>
    <row r="45" spans="1:17" x14ac:dyDescent="0.2">
      <c r="A45" s="1" t="s">
        <v>10</v>
      </c>
      <c r="B45" s="1" t="s">
        <v>14</v>
      </c>
      <c r="C45" s="1">
        <v>8</v>
      </c>
      <c r="D45" s="3">
        <v>0</v>
      </c>
      <c r="E45" s="3">
        <v>0</v>
      </c>
      <c r="F45" s="3">
        <v>0</v>
      </c>
      <c r="G45" s="54" t="str">
        <f t="shared" si="0"/>
        <v>Bike</v>
      </c>
      <c r="H45" s="54" t="str">
        <f t="shared" si="1"/>
        <v>Bike</v>
      </c>
      <c r="I45" s="54" t="str">
        <f t="shared" si="2"/>
        <v>Individual Discretionary</v>
      </c>
      <c r="K45" s="1" t="s">
        <v>10</v>
      </c>
      <c r="L45" s="1" t="s">
        <v>18</v>
      </c>
      <c r="M45" s="1" t="s">
        <v>122</v>
      </c>
      <c r="N45" s="1">
        <v>0</v>
      </c>
      <c r="O45" s="1">
        <v>0</v>
      </c>
      <c r="P45" s="1">
        <v>0</v>
      </c>
      <c r="Q45" s="54" t="str">
        <f t="shared" si="4"/>
        <v>Individual Maintenance</v>
      </c>
    </row>
    <row r="46" spans="1:17" x14ac:dyDescent="0.2">
      <c r="A46" s="1" t="s">
        <v>10</v>
      </c>
      <c r="B46" s="1" t="s">
        <v>14</v>
      </c>
      <c r="C46" s="1">
        <v>9</v>
      </c>
      <c r="D46" s="3">
        <v>0</v>
      </c>
      <c r="E46" s="3">
        <v>0</v>
      </c>
      <c r="F46" s="3">
        <v>0</v>
      </c>
      <c r="G46" s="54" t="str">
        <f t="shared" si="0"/>
        <v>Walk-Local</v>
      </c>
      <c r="H46" s="54" t="str">
        <f t="shared" si="1"/>
        <v>Walk-Transit</v>
      </c>
      <c r="I46" s="54" t="str">
        <f t="shared" si="2"/>
        <v>Individual Discretionary</v>
      </c>
      <c r="K46" s="1" t="s">
        <v>10</v>
      </c>
      <c r="L46" s="1" t="s">
        <v>18</v>
      </c>
      <c r="M46" s="1" t="s">
        <v>133</v>
      </c>
      <c r="N46" s="1">
        <v>0</v>
      </c>
      <c r="O46" s="1">
        <v>0</v>
      </c>
      <c r="P46" s="1">
        <v>0</v>
      </c>
      <c r="Q46" s="54" t="str">
        <f t="shared" si="4"/>
        <v>Individual Maintenance</v>
      </c>
    </row>
    <row r="47" spans="1:17" x14ac:dyDescent="0.2">
      <c r="A47" s="1" t="s">
        <v>10</v>
      </c>
      <c r="B47" s="1" t="s">
        <v>14</v>
      </c>
      <c r="C47" s="1">
        <v>10</v>
      </c>
      <c r="D47" s="3">
        <v>0</v>
      </c>
      <c r="E47" s="3">
        <v>0</v>
      </c>
      <c r="F47" s="3">
        <v>0</v>
      </c>
      <c r="G47" s="54" t="str">
        <f t="shared" si="0"/>
        <v>Walk-LRF</v>
      </c>
      <c r="H47" s="54" t="str">
        <f t="shared" si="1"/>
        <v>Walk-Transit</v>
      </c>
      <c r="I47" s="54" t="str">
        <f t="shared" si="2"/>
        <v>Individual Discretionary</v>
      </c>
      <c r="K47" s="1" t="s">
        <v>10</v>
      </c>
      <c r="L47" s="1" t="s">
        <v>18</v>
      </c>
      <c r="M47" s="1" t="s">
        <v>131</v>
      </c>
      <c r="N47" s="1">
        <v>0</v>
      </c>
      <c r="O47" s="1">
        <v>0</v>
      </c>
      <c r="P47" s="1">
        <v>0</v>
      </c>
      <c r="Q47" s="54" t="str">
        <f t="shared" si="4"/>
        <v>Individual Maintenance</v>
      </c>
    </row>
    <row r="48" spans="1:17" x14ac:dyDescent="0.2">
      <c r="A48" s="1" t="s">
        <v>10</v>
      </c>
      <c r="B48" s="1" t="s">
        <v>14</v>
      </c>
      <c r="C48" s="1">
        <v>11</v>
      </c>
      <c r="D48" s="3">
        <v>0</v>
      </c>
      <c r="E48" s="3">
        <v>0</v>
      </c>
      <c r="F48" s="3">
        <v>0</v>
      </c>
      <c r="G48" s="54" t="str">
        <f t="shared" si="0"/>
        <v>Walk-Express</v>
      </c>
      <c r="H48" s="54" t="str">
        <f t="shared" si="1"/>
        <v>Walk-Transit</v>
      </c>
      <c r="I48" s="54" t="str">
        <f t="shared" si="2"/>
        <v>Individual Discretionary</v>
      </c>
      <c r="K48" s="1" t="s">
        <v>10</v>
      </c>
      <c r="L48" s="1" t="s">
        <v>19</v>
      </c>
      <c r="M48" s="1" t="s">
        <v>127</v>
      </c>
      <c r="N48" s="1">
        <v>0</v>
      </c>
      <c r="O48" s="1">
        <v>0</v>
      </c>
      <c r="P48" s="1">
        <v>0</v>
      </c>
      <c r="Q48" s="54" t="str">
        <f t="shared" si="4"/>
        <v>School</v>
      </c>
    </row>
    <row r="49" spans="1:17" x14ac:dyDescent="0.2">
      <c r="A49" s="1" t="s">
        <v>10</v>
      </c>
      <c r="B49" s="1" t="s">
        <v>14</v>
      </c>
      <c r="C49" s="1">
        <v>12</v>
      </c>
      <c r="D49" s="3">
        <v>0</v>
      </c>
      <c r="E49" s="3">
        <v>0</v>
      </c>
      <c r="F49" s="3">
        <v>0</v>
      </c>
      <c r="G49" s="54" t="str">
        <f t="shared" si="0"/>
        <v>Walk-HeavyRail</v>
      </c>
      <c r="H49" s="54" t="str">
        <f t="shared" si="1"/>
        <v>Walk-Transit</v>
      </c>
      <c r="I49" s="54" t="str">
        <f t="shared" si="2"/>
        <v>Individual Discretionary</v>
      </c>
      <c r="K49" s="1" t="s">
        <v>10</v>
      </c>
      <c r="L49" s="1" t="s">
        <v>19</v>
      </c>
      <c r="M49" s="1" t="s">
        <v>128</v>
      </c>
      <c r="N49" s="1">
        <v>0</v>
      </c>
      <c r="O49" s="1">
        <v>0</v>
      </c>
      <c r="P49" s="1">
        <v>0</v>
      </c>
      <c r="Q49" s="54" t="str">
        <f t="shared" si="4"/>
        <v>School</v>
      </c>
    </row>
    <row r="50" spans="1:17" x14ac:dyDescent="0.2">
      <c r="A50" s="1" t="s">
        <v>10</v>
      </c>
      <c r="B50" s="1" t="s">
        <v>14</v>
      </c>
      <c r="C50" s="1">
        <v>13</v>
      </c>
      <c r="D50" s="3">
        <v>0</v>
      </c>
      <c r="E50" s="3">
        <v>0</v>
      </c>
      <c r="F50" s="3">
        <v>0</v>
      </c>
      <c r="G50" s="54" t="str">
        <f t="shared" si="0"/>
        <v>Walk-CommRail</v>
      </c>
      <c r="H50" s="54" t="str">
        <f t="shared" si="1"/>
        <v>Walk-Transit</v>
      </c>
      <c r="I50" s="54" t="str">
        <f t="shared" si="2"/>
        <v>Individual Discretionary</v>
      </c>
      <c r="K50" s="1" t="s">
        <v>10</v>
      </c>
      <c r="L50" s="1" t="s">
        <v>19</v>
      </c>
      <c r="M50" s="1" t="s">
        <v>129</v>
      </c>
      <c r="N50" s="1">
        <v>0</v>
      </c>
      <c r="O50" s="1">
        <v>0</v>
      </c>
      <c r="P50" s="1">
        <v>0</v>
      </c>
      <c r="Q50" s="54" t="str">
        <f t="shared" si="4"/>
        <v>School</v>
      </c>
    </row>
    <row r="51" spans="1:17" x14ac:dyDescent="0.2">
      <c r="A51" s="1" t="s">
        <v>10</v>
      </c>
      <c r="B51" s="1" t="s">
        <v>14</v>
      </c>
      <c r="C51" s="1">
        <v>14</v>
      </c>
      <c r="D51" s="3">
        <v>0</v>
      </c>
      <c r="E51" s="3">
        <v>0</v>
      </c>
      <c r="F51" s="3">
        <v>0</v>
      </c>
      <c r="G51" s="54" t="str">
        <f t="shared" si="0"/>
        <v>Drive-Local</v>
      </c>
      <c r="H51" s="54" t="str">
        <f t="shared" si="1"/>
        <v>Drive-Transit</v>
      </c>
      <c r="I51" s="54" t="str">
        <f t="shared" si="2"/>
        <v>Individual Discretionary</v>
      </c>
      <c r="K51" s="1" t="s">
        <v>10</v>
      </c>
      <c r="L51" s="1" t="s">
        <v>19</v>
      </c>
      <c r="M51" s="1" t="s">
        <v>130</v>
      </c>
      <c r="N51" s="1">
        <v>0</v>
      </c>
      <c r="O51" s="1">
        <v>0</v>
      </c>
      <c r="P51" s="1">
        <v>0</v>
      </c>
      <c r="Q51" s="54" t="str">
        <f t="shared" si="4"/>
        <v>School</v>
      </c>
    </row>
    <row r="52" spans="1:17" x14ac:dyDescent="0.2">
      <c r="A52" s="1" t="s">
        <v>10</v>
      </c>
      <c r="B52" s="1" t="s">
        <v>14</v>
      </c>
      <c r="C52" s="1">
        <v>15</v>
      </c>
      <c r="D52" s="3">
        <v>0</v>
      </c>
      <c r="E52" s="3">
        <v>0</v>
      </c>
      <c r="F52" s="3">
        <v>0</v>
      </c>
      <c r="G52" s="54" t="str">
        <f t="shared" si="0"/>
        <v>Drive-LRF</v>
      </c>
      <c r="H52" s="54" t="str">
        <f t="shared" si="1"/>
        <v>Drive-Transit</v>
      </c>
      <c r="I52" s="54" t="str">
        <f t="shared" si="2"/>
        <v>Individual Discretionary</v>
      </c>
      <c r="K52" s="1" t="s">
        <v>10</v>
      </c>
      <c r="L52" s="1" t="s">
        <v>19</v>
      </c>
      <c r="M52" s="1" t="s">
        <v>122</v>
      </c>
      <c r="N52" s="1">
        <v>0</v>
      </c>
      <c r="O52" s="1">
        <v>0</v>
      </c>
      <c r="P52" s="1">
        <v>0</v>
      </c>
      <c r="Q52" s="54" t="str">
        <f t="shared" si="4"/>
        <v>School</v>
      </c>
    </row>
    <row r="53" spans="1:17" x14ac:dyDescent="0.2">
      <c r="A53" s="1" t="s">
        <v>10</v>
      </c>
      <c r="B53" s="1" t="s">
        <v>14</v>
      </c>
      <c r="C53" s="1">
        <v>16</v>
      </c>
      <c r="D53" s="3">
        <v>0</v>
      </c>
      <c r="E53" s="3">
        <v>0</v>
      </c>
      <c r="F53" s="3">
        <v>0</v>
      </c>
      <c r="G53" s="54" t="str">
        <f t="shared" si="0"/>
        <v>Drive-Express</v>
      </c>
      <c r="H53" s="54" t="str">
        <f t="shared" si="1"/>
        <v>Drive-Transit</v>
      </c>
      <c r="I53" s="54" t="str">
        <f t="shared" si="2"/>
        <v>Individual Discretionary</v>
      </c>
      <c r="K53" s="1" t="s">
        <v>10</v>
      </c>
      <c r="L53" s="1" t="s">
        <v>19</v>
      </c>
      <c r="M53" s="1" t="s">
        <v>131</v>
      </c>
      <c r="N53" s="1">
        <v>0</v>
      </c>
      <c r="O53" s="1">
        <v>0</v>
      </c>
      <c r="P53" s="1">
        <v>0</v>
      </c>
      <c r="Q53" s="54" t="str">
        <f t="shared" si="4"/>
        <v>School</v>
      </c>
    </row>
    <row r="54" spans="1:17" x14ac:dyDescent="0.2">
      <c r="A54" s="1" t="s">
        <v>10</v>
      </c>
      <c r="B54" s="1" t="s">
        <v>14</v>
      </c>
      <c r="C54" s="1">
        <v>17</v>
      </c>
      <c r="D54" s="3">
        <v>0</v>
      </c>
      <c r="E54" s="3">
        <v>0</v>
      </c>
      <c r="F54" s="3">
        <v>0</v>
      </c>
      <c r="G54" s="54" t="str">
        <f t="shared" si="0"/>
        <v>Drive-HeavyRail</v>
      </c>
      <c r="H54" s="54" t="str">
        <f t="shared" si="1"/>
        <v>Drive-Transit</v>
      </c>
      <c r="I54" s="54" t="str">
        <f t="shared" si="2"/>
        <v>Individual Discretionary</v>
      </c>
      <c r="K54" s="1" t="s">
        <v>10</v>
      </c>
      <c r="L54" s="1" t="s">
        <v>20</v>
      </c>
      <c r="M54" s="1" t="s">
        <v>127</v>
      </c>
      <c r="N54" s="1">
        <v>0</v>
      </c>
      <c r="O54" s="1">
        <v>0</v>
      </c>
      <c r="P54" s="1">
        <v>0</v>
      </c>
      <c r="Q54" s="54" t="str">
        <f t="shared" si="4"/>
        <v>School</v>
      </c>
    </row>
    <row r="55" spans="1:17" x14ac:dyDescent="0.2">
      <c r="A55" s="1" t="s">
        <v>10</v>
      </c>
      <c r="B55" s="1" t="s">
        <v>14</v>
      </c>
      <c r="C55" s="1">
        <v>18</v>
      </c>
      <c r="D55" s="3">
        <v>0</v>
      </c>
      <c r="E55" s="3">
        <v>0</v>
      </c>
      <c r="F55" s="3">
        <v>0</v>
      </c>
      <c r="G55" s="54" t="str">
        <f t="shared" si="0"/>
        <v>Drive-CommRail</v>
      </c>
      <c r="H55" s="54" t="str">
        <f t="shared" si="1"/>
        <v>Drive-Transit</v>
      </c>
      <c r="I55" s="54" t="str">
        <f t="shared" si="2"/>
        <v>Individual Discretionary</v>
      </c>
      <c r="K55" s="1" t="s">
        <v>10</v>
      </c>
      <c r="L55" s="1" t="s">
        <v>20</v>
      </c>
      <c r="M55" s="1" t="s">
        <v>128</v>
      </c>
      <c r="N55" s="1">
        <v>0</v>
      </c>
      <c r="O55" s="1">
        <v>0</v>
      </c>
      <c r="P55" s="1">
        <v>0</v>
      </c>
      <c r="Q55" s="54" t="str">
        <f t="shared" si="4"/>
        <v>School</v>
      </c>
    </row>
    <row r="56" spans="1:17" x14ac:dyDescent="0.2">
      <c r="A56" s="1" t="s">
        <v>10</v>
      </c>
      <c r="B56" s="1" t="s">
        <v>14</v>
      </c>
      <c r="C56" s="1">
        <v>19</v>
      </c>
      <c r="D56" s="3">
        <v>0</v>
      </c>
      <c r="E56" s="3">
        <v>0</v>
      </c>
      <c r="F56" s="3">
        <v>0</v>
      </c>
      <c r="G56" s="54" t="str">
        <f t="shared" si="0"/>
        <v>Taxi</v>
      </c>
      <c r="H56" s="54" t="str">
        <f t="shared" si="1"/>
        <v>Taxi</v>
      </c>
      <c r="I56" s="54" t="str">
        <f t="shared" si="2"/>
        <v>Individual Discretionary</v>
      </c>
      <c r="K56" s="1" t="s">
        <v>10</v>
      </c>
      <c r="L56" s="1" t="s">
        <v>20</v>
      </c>
      <c r="M56" s="1" t="s">
        <v>132</v>
      </c>
      <c r="N56" s="1">
        <v>0</v>
      </c>
      <c r="O56" s="1">
        <v>0</v>
      </c>
      <c r="P56" s="1">
        <v>0</v>
      </c>
      <c r="Q56" s="54" t="str">
        <f t="shared" si="4"/>
        <v>School</v>
      </c>
    </row>
    <row r="57" spans="1:17" x14ac:dyDescent="0.2">
      <c r="A57" s="1" t="s">
        <v>10</v>
      </c>
      <c r="B57" s="1" t="s">
        <v>14</v>
      </c>
      <c r="C57" s="1">
        <v>20</v>
      </c>
      <c r="D57" s="3">
        <v>0</v>
      </c>
      <c r="E57" s="3">
        <v>0</v>
      </c>
      <c r="F57" s="3">
        <v>0</v>
      </c>
      <c r="G57" s="54" t="str">
        <f t="shared" si="0"/>
        <v>TNC-Single</v>
      </c>
      <c r="H57" s="54" t="str">
        <f t="shared" si="1"/>
        <v>TNC-Single</v>
      </c>
      <c r="I57" s="54" t="str">
        <f t="shared" si="2"/>
        <v>Individual Discretionary</v>
      </c>
      <c r="K57" s="1" t="s">
        <v>10</v>
      </c>
      <c r="L57" s="1" t="s">
        <v>20</v>
      </c>
      <c r="M57" s="1" t="s">
        <v>129</v>
      </c>
      <c r="N57" s="1">
        <v>0</v>
      </c>
      <c r="O57" s="1">
        <v>0</v>
      </c>
      <c r="P57" s="1">
        <v>0</v>
      </c>
      <c r="Q57" s="54" t="str">
        <f t="shared" si="4"/>
        <v>School</v>
      </c>
    </row>
    <row r="58" spans="1:17" x14ac:dyDescent="0.2">
      <c r="A58" s="1" t="s">
        <v>10</v>
      </c>
      <c r="B58" s="1" t="s">
        <v>15</v>
      </c>
      <c r="C58" s="1">
        <v>3</v>
      </c>
      <c r="D58" s="3">
        <v>0</v>
      </c>
      <c r="E58" s="3">
        <v>0</v>
      </c>
      <c r="F58" s="3">
        <v>0</v>
      </c>
      <c r="G58" s="54" t="str">
        <f t="shared" si="0"/>
        <v>SR2</v>
      </c>
      <c r="H58" s="54" t="str">
        <f t="shared" si="1"/>
        <v>SR2</v>
      </c>
      <c r="I58" s="54" t="str">
        <f t="shared" si="2"/>
        <v>Individual Maintenance</v>
      </c>
      <c r="K58" s="1" t="s">
        <v>10</v>
      </c>
      <c r="L58" s="1" t="s">
        <v>20</v>
      </c>
      <c r="M58" s="1" t="s">
        <v>130</v>
      </c>
      <c r="N58" s="1">
        <v>0</v>
      </c>
      <c r="O58" s="1">
        <v>0</v>
      </c>
      <c r="P58" s="1">
        <v>0</v>
      </c>
      <c r="Q58" s="54" t="str">
        <f t="shared" si="4"/>
        <v>School</v>
      </c>
    </row>
    <row r="59" spans="1:17" x14ac:dyDescent="0.2">
      <c r="A59" s="1" t="s">
        <v>10</v>
      </c>
      <c r="B59" s="1" t="s">
        <v>15</v>
      </c>
      <c r="C59" s="1">
        <v>5</v>
      </c>
      <c r="D59" s="3">
        <v>0</v>
      </c>
      <c r="E59" s="3">
        <v>0</v>
      </c>
      <c r="F59" s="3">
        <v>0</v>
      </c>
      <c r="G59" s="54" t="str">
        <f t="shared" si="0"/>
        <v>SR3+</v>
      </c>
      <c r="H59" s="54" t="str">
        <f t="shared" si="1"/>
        <v>SR3+</v>
      </c>
      <c r="I59" s="54" t="str">
        <f t="shared" si="2"/>
        <v>Individual Maintenance</v>
      </c>
      <c r="K59" s="1" t="s">
        <v>10</v>
      </c>
      <c r="L59" s="1" t="s">
        <v>20</v>
      </c>
      <c r="M59" s="1" t="s">
        <v>122</v>
      </c>
      <c r="N59" s="1">
        <v>0</v>
      </c>
      <c r="O59" s="1">
        <v>0</v>
      </c>
      <c r="P59" s="1">
        <v>0</v>
      </c>
      <c r="Q59" s="54" t="str">
        <f t="shared" si="4"/>
        <v>School</v>
      </c>
    </row>
    <row r="60" spans="1:17" x14ac:dyDescent="0.2">
      <c r="A60" s="1" t="s">
        <v>10</v>
      </c>
      <c r="B60" s="1" t="s">
        <v>15</v>
      </c>
      <c r="C60" s="1">
        <v>7</v>
      </c>
      <c r="D60" s="3">
        <v>0</v>
      </c>
      <c r="E60" s="3">
        <v>0</v>
      </c>
      <c r="F60" s="3">
        <v>0</v>
      </c>
      <c r="G60" s="54" t="str">
        <f t="shared" si="0"/>
        <v>Walk</v>
      </c>
      <c r="H60" s="54" t="str">
        <f t="shared" si="1"/>
        <v>Walk</v>
      </c>
      <c r="I60" s="54" t="str">
        <f t="shared" si="2"/>
        <v>Individual Maintenance</v>
      </c>
      <c r="K60" s="1" t="s">
        <v>10</v>
      </c>
      <c r="L60" s="1" t="s">
        <v>20</v>
      </c>
      <c r="M60" s="1" t="s">
        <v>133</v>
      </c>
      <c r="N60" s="1">
        <v>0</v>
      </c>
      <c r="O60" s="1">
        <v>0</v>
      </c>
      <c r="P60" s="1">
        <v>0</v>
      </c>
      <c r="Q60" s="54" t="str">
        <f t="shared" si="4"/>
        <v>School</v>
      </c>
    </row>
    <row r="61" spans="1:17" x14ac:dyDescent="0.2">
      <c r="A61" s="1" t="s">
        <v>10</v>
      </c>
      <c r="B61" s="1" t="s">
        <v>15</v>
      </c>
      <c r="C61" s="1">
        <v>8</v>
      </c>
      <c r="D61" s="3">
        <v>0</v>
      </c>
      <c r="E61" s="3">
        <v>0</v>
      </c>
      <c r="F61" s="3">
        <v>0</v>
      </c>
      <c r="G61" s="54" t="str">
        <f t="shared" si="0"/>
        <v>Bike</v>
      </c>
      <c r="H61" s="54" t="str">
        <f t="shared" si="1"/>
        <v>Bike</v>
      </c>
      <c r="I61" s="54" t="str">
        <f t="shared" si="2"/>
        <v>Individual Maintenance</v>
      </c>
      <c r="K61" s="1" t="s">
        <v>10</v>
      </c>
      <c r="L61" s="1" t="s">
        <v>20</v>
      </c>
      <c r="M61" s="1" t="s">
        <v>131</v>
      </c>
      <c r="N61" s="1">
        <v>0</v>
      </c>
      <c r="O61" s="1">
        <v>0</v>
      </c>
      <c r="P61" s="1">
        <v>0</v>
      </c>
      <c r="Q61" s="54" t="str">
        <f t="shared" si="4"/>
        <v>School</v>
      </c>
    </row>
    <row r="62" spans="1:17" x14ac:dyDescent="0.2">
      <c r="A62" s="1" t="s">
        <v>10</v>
      </c>
      <c r="B62" s="1" t="s">
        <v>15</v>
      </c>
      <c r="C62" s="1">
        <v>9</v>
      </c>
      <c r="D62" s="3">
        <v>0</v>
      </c>
      <c r="E62" s="3">
        <v>0</v>
      </c>
      <c r="F62" s="3">
        <v>0</v>
      </c>
      <c r="G62" s="54" t="str">
        <f t="shared" si="0"/>
        <v>Walk-Local</v>
      </c>
      <c r="H62" s="54" t="str">
        <f t="shared" si="1"/>
        <v>Walk-Transit</v>
      </c>
      <c r="I62" s="54" t="str">
        <f t="shared" si="2"/>
        <v>Individual Maintenance</v>
      </c>
      <c r="K62" s="1" t="s">
        <v>10</v>
      </c>
      <c r="L62" s="1" t="s">
        <v>21</v>
      </c>
      <c r="M62" s="1" t="s">
        <v>127</v>
      </c>
      <c r="N62" s="1">
        <v>0</v>
      </c>
      <c r="O62" s="1">
        <v>0</v>
      </c>
      <c r="P62" s="1">
        <v>0</v>
      </c>
      <c r="Q62" s="54" t="str">
        <f t="shared" si="4"/>
        <v>Individual Maintenance</v>
      </c>
    </row>
    <row r="63" spans="1:17" x14ac:dyDescent="0.2">
      <c r="A63" s="1" t="s">
        <v>10</v>
      </c>
      <c r="B63" s="1" t="s">
        <v>15</v>
      </c>
      <c r="C63" s="1">
        <v>10</v>
      </c>
      <c r="D63" s="3">
        <v>0</v>
      </c>
      <c r="E63" s="3">
        <v>0</v>
      </c>
      <c r="F63" s="3">
        <v>0</v>
      </c>
      <c r="G63" s="54" t="str">
        <f t="shared" si="0"/>
        <v>Walk-LRF</v>
      </c>
      <c r="H63" s="54" t="str">
        <f t="shared" si="1"/>
        <v>Walk-Transit</v>
      </c>
      <c r="I63" s="54" t="str">
        <f t="shared" si="2"/>
        <v>Individual Maintenance</v>
      </c>
      <c r="K63" s="1" t="s">
        <v>10</v>
      </c>
      <c r="L63" s="1" t="s">
        <v>21</v>
      </c>
      <c r="M63" s="1" t="s">
        <v>128</v>
      </c>
      <c r="N63" s="1">
        <v>0</v>
      </c>
      <c r="O63" s="1">
        <v>0</v>
      </c>
      <c r="P63" s="1">
        <v>0</v>
      </c>
      <c r="Q63" s="54" t="str">
        <f t="shared" si="4"/>
        <v>Individual Maintenance</v>
      </c>
    </row>
    <row r="64" spans="1:17" x14ac:dyDescent="0.2">
      <c r="A64" s="1" t="s">
        <v>10</v>
      </c>
      <c r="B64" s="1" t="s">
        <v>15</v>
      </c>
      <c r="C64" s="1">
        <v>11</v>
      </c>
      <c r="D64" s="3">
        <v>0</v>
      </c>
      <c r="E64" s="3">
        <v>0</v>
      </c>
      <c r="F64" s="3">
        <v>0</v>
      </c>
      <c r="G64" s="54" t="str">
        <f t="shared" si="0"/>
        <v>Walk-Express</v>
      </c>
      <c r="H64" s="54" t="str">
        <f t="shared" si="1"/>
        <v>Walk-Transit</v>
      </c>
      <c r="I64" s="54" t="str">
        <f t="shared" si="2"/>
        <v>Individual Maintenance</v>
      </c>
      <c r="K64" s="1" t="s">
        <v>10</v>
      </c>
      <c r="L64" s="1" t="s">
        <v>21</v>
      </c>
      <c r="M64" s="1" t="s">
        <v>130</v>
      </c>
      <c r="N64" s="1">
        <v>0</v>
      </c>
      <c r="O64" s="1">
        <v>0</v>
      </c>
      <c r="P64" s="1">
        <v>0</v>
      </c>
      <c r="Q64" s="54" t="str">
        <f t="shared" si="4"/>
        <v>Individual Maintenance</v>
      </c>
    </row>
    <row r="65" spans="1:17" x14ac:dyDescent="0.2">
      <c r="A65" s="1" t="s">
        <v>10</v>
      </c>
      <c r="B65" s="1" t="s">
        <v>15</v>
      </c>
      <c r="C65" s="1">
        <v>12</v>
      </c>
      <c r="D65" s="3">
        <v>0</v>
      </c>
      <c r="E65" s="3">
        <v>0</v>
      </c>
      <c r="F65" s="3">
        <v>0</v>
      </c>
      <c r="G65" s="54" t="str">
        <f t="shared" si="0"/>
        <v>Walk-HeavyRail</v>
      </c>
      <c r="H65" s="54" t="str">
        <f t="shared" si="1"/>
        <v>Walk-Transit</v>
      </c>
      <c r="I65" s="54" t="str">
        <f t="shared" si="2"/>
        <v>Individual Maintenance</v>
      </c>
      <c r="K65" s="1" t="s">
        <v>10</v>
      </c>
      <c r="L65" s="1" t="s">
        <v>21</v>
      </c>
      <c r="M65" s="1" t="s">
        <v>122</v>
      </c>
      <c r="N65" s="1">
        <v>0</v>
      </c>
      <c r="O65" s="1">
        <v>0</v>
      </c>
      <c r="P65" s="1">
        <v>0</v>
      </c>
      <c r="Q65" s="54" t="str">
        <f t="shared" si="4"/>
        <v>Individual Maintenance</v>
      </c>
    </row>
    <row r="66" spans="1:17" x14ac:dyDescent="0.2">
      <c r="A66" s="1" t="s">
        <v>10</v>
      </c>
      <c r="B66" s="1" t="s">
        <v>15</v>
      </c>
      <c r="C66" s="1">
        <v>14</v>
      </c>
      <c r="D66" s="3">
        <v>0</v>
      </c>
      <c r="E66" s="3">
        <v>0</v>
      </c>
      <c r="F66" s="3">
        <v>0</v>
      </c>
      <c r="G66" s="54" t="str">
        <f t="shared" si="0"/>
        <v>Drive-Local</v>
      </c>
      <c r="H66" s="54" t="str">
        <f t="shared" si="1"/>
        <v>Drive-Transit</v>
      </c>
      <c r="I66" s="54" t="str">
        <f t="shared" si="2"/>
        <v>Individual Maintenance</v>
      </c>
      <c r="K66" s="1" t="s">
        <v>10</v>
      </c>
      <c r="L66" s="1" t="s">
        <v>21</v>
      </c>
      <c r="M66" s="1" t="s">
        <v>133</v>
      </c>
      <c r="N66" s="1">
        <v>0</v>
      </c>
      <c r="O66" s="1">
        <v>0</v>
      </c>
      <c r="P66" s="1">
        <v>0</v>
      </c>
      <c r="Q66" s="54" t="str">
        <f t="shared" si="4"/>
        <v>Individual Maintenance</v>
      </c>
    </row>
    <row r="67" spans="1:17" x14ac:dyDescent="0.2">
      <c r="A67" s="1" t="s">
        <v>10</v>
      </c>
      <c r="B67" s="1" t="s">
        <v>15</v>
      </c>
      <c r="C67" s="1">
        <v>15</v>
      </c>
      <c r="D67" s="3">
        <v>0</v>
      </c>
      <c r="E67" s="3">
        <v>0</v>
      </c>
      <c r="F67" s="3">
        <v>0</v>
      </c>
      <c r="G67" s="54" t="str">
        <f t="shared" ref="G67:G130" si="5">_xlfn.IFNA(VLOOKUP($C67,tour_modes,2,FALSE),"None")</f>
        <v>Drive-LRF</v>
      </c>
      <c r="H67" s="54" t="str">
        <f t="shared" ref="H67:H130" si="6">_xlfn.IFNA(VLOOKUP($C67,tour_modes,3,FALSE),"None")</f>
        <v>Drive-Transit</v>
      </c>
      <c r="I67" s="54" t="str">
        <f t="shared" ref="I67:I130" si="7">IF(A67="joint","Joint",_xlfn.IFNA(VLOOKUP($B67,tour_purposes,2,FALSE),"None"))</f>
        <v>Individual Maintenance</v>
      </c>
      <c r="K67" s="1" t="s">
        <v>10</v>
      </c>
      <c r="L67" s="1" t="s">
        <v>21</v>
      </c>
      <c r="M67" s="1" t="s">
        <v>131</v>
      </c>
      <c r="N67" s="1">
        <v>0</v>
      </c>
      <c r="O67" s="1">
        <v>0</v>
      </c>
      <c r="P67" s="1">
        <v>0</v>
      </c>
      <c r="Q67" s="54" t="str">
        <f t="shared" ref="Q67:Q98" si="8">IF(K67="joint","Joint",_xlfn.IFNA(VLOOKUP($L67,tour_purposes,2,FALSE),"None"))</f>
        <v>Individual Maintenance</v>
      </c>
    </row>
    <row r="68" spans="1:17" x14ac:dyDescent="0.2">
      <c r="A68" s="1" t="s">
        <v>10</v>
      </c>
      <c r="B68" s="1" t="s">
        <v>15</v>
      </c>
      <c r="C68" s="1">
        <v>16</v>
      </c>
      <c r="D68" s="3">
        <v>0</v>
      </c>
      <c r="E68" s="3">
        <v>0</v>
      </c>
      <c r="F68" s="3">
        <v>0</v>
      </c>
      <c r="G68" s="54" t="str">
        <f t="shared" si="5"/>
        <v>Drive-Express</v>
      </c>
      <c r="H68" s="54" t="str">
        <f t="shared" si="6"/>
        <v>Drive-Transit</v>
      </c>
      <c r="I68" s="54" t="str">
        <f t="shared" si="7"/>
        <v>Individual Maintenance</v>
      </c>
      <c r="K68" s="1" t="s">
        <v>10</v>
      </c>
      <c r="L68" s="1" t="s">
        <v>22</v>
      </c>
      <c r="M68" s="1" t="s">
        <v>127</v>
      </c>
      <c r="N68" s="1">
        <v>0</v>
      </c>
      <c r="O68" s="1">
        <v>0</v>
      </c>
      <c r="P68" s="1">
        <v>0</v>
      </c>
      <c r="Q68" s="54" t="str">
        <f t="shared" si="8"/>
        <v>Individual Discretionary</v>
      </c>
    </row>
    <row r="69" spans="1:17" x14ac:dyDescent="0.2">
      <c r="A69" s="1" t="s">
        <v>10</v>
      </c>
      <c r="B69" s="1" t="s">
        <v>15</v>
      </c>
      <c r="C69" s="1">
        <v>17</v>
      </c>
      <c r="D69" s="3">
        <v>0</v>
      </c>
      <c r="E69" s="3">
        <v>0</v>
      </c>
      <c r="F69" s="3">
        <v>0</v>
      </c>
      <c r="G69" s="54" t="str">
        <f t="shared" si="5"/>
        <v>Drive-HeavyRail</v>
      </c>
      <c r="H69" s="54" t="str">
        <f t="shared" si="6"/>
        <v>Drive-Transit</v>
      </c>
      <c r="I69" s="54" t="str">
        <f t="shared" si="7"/>
        <v>Individual Maintenance</v>
      </c>
      <c r="K69" s="1" t="s">
        <v>10</v>
      </c>
      <c r="L69" s="1" t="s">
        <v>22</v>
      </c>
      <c r="M69" s="1" t="s">
        <v>128</v>
      </c>
      <c r="N69" s="1">
        <v>0</v>
      </c>
      <c r="O69" s="1">
        <v>0</v>
      </c>
      <c r="P69" s="1">
        <v>0</v>
      </c>
      <c r="Q69" s="54" t="str">
        <f t="shared" si="8"/>
        <v>Individual Discretionary</v>
      </c>
    </row>
    <row r="70" spans="1:17" x14ac:dyDescent="0.2">
      <c r="A70" s="1" t="s">
        <v>10</v>
      </c>
      <c r="B70" s="1" t="s">
        <v>15</v>
      </c>
      <c r="C70" s="1">
        <v>18</v>
      </c>
      <c r="D70" s="3">
        <v>0</v>
      </c>
      <c r="E70" s="3">
        <v>0</v>
      </c>
      <c r="F70" s="3">
        <v>0</v>
      </c>
      <c r="G70" s="54" t="str">
        <f t="shared" si="5"/>
        <v>Drive-CommRail</v>
      </c>
      <c r="H70" s="54" t="str">
        <f t="shared" si="6"/>
        <v>Drive-Transit</v>
      </c>
      <c r="I70" s="54" t="str">
        <f t="shared" si="7"/>
        <v>Individual Maintenance</v>
      </c>
      <c r="K70" s="1" t="s">
        <v>10</v>
      </c>
      <c r="L70" s="1" t="s">
        <v>22</v>
      </c>
      <c r="M70" s="1" t="s">
        <v>129</v>
      </c>
      <c r="N70" s="1">
        <v>0</v>
      </c>
      <c r="O70" s="1">
        <v>0</v>
      </c>
      <c r="P70" s="1">
        <v>0</v>
      </c>
      <c r="Q70" s="54" t="str">
        <f t="shared" si="8"/>
        <v>Individual Discretionary</v>
      </c>
    </row>
    <row r="71" spans="1:17" x14ac:dyDescent="0.2">
      <c r="A71" s="1" t="s">
        <v>10</v>
      </c>
      <c r="B71" s="1" t="s">
        <v>15</v>
      </c>
      <c r="C71" s="1">
        <v>19</v>
      </c>
      <c r="D71" s="3">
        <v>0</v>
      </c>
      <c r="E71" s="3">
        <v>0</v>
      </c>
      <c r="F71" s="3">
        <v>0</v>
      </c>
      <c r="G71" s="54" t="str">
        <f t="shared" si="5"/>
        <v>Taxi</v>
      </c>
      <c r="H71" s="54" t="str">
        <f t="shared" si="6"/>
        <v>Taxi</v>
      </c>
      <c r="I71" s="54" t="str">
        <f t="shared" si="7"/>
        <v>Individual Maintenance</v>
      </c>
      <c r="K71" s="1" t="s">
        <v>10</v>
      </c>
      <c r="L71" s="1" t="s">
        <v>22</v>
      </c>
      <c r="M71" s="1" t="s">
        <v>130</v>
      </c>
      <c r="N71" s="1">
        <v>0</v>
      </c>
      <c r="O71" s="1">
        <v>0</v>
      </c>
      <c r="P71" s="1">
        <v>0</v>
      </c>
      <c r="Q71" s="54" t="str">
        <f t="shared" si="8"/>
        <v>Individual Discretionary</v>
      </c>
    </row>
    <row r="72" spans="1:17" x14ac:dyDescent="0.2">
      <c r="A72" s="1" t="s">
        <v>10</v>
      </c>
      <c r="B72" s="1" t="s">
        <v>16</v>
      </c>
      <c r="C72" s="1">
        <v>3</v>
      </c>
      <c r="D72" s="3">
        <v>0</v>
      </c>
      <c r="E72" s="3">
        <v>0</v>
      </c>
      <c r="F72" s="3">
        <v>0</v>
      </c>
      <c r="G72" s="54" t="str">
        <f t="shared" si="5"/>
        <v>SR2</v>
      </c>
      <c r="H72" s="54" t="str">
        <f t="shared" si="6"/>
        <v>SR2</v>
      </c>
      <c r="I72" s="54" t="str">
        <f t="shared" si="7"/>
        <v>Individual Maintenance</v>
      </c>
      <c r="K72" s="1" t="s">
        <v>10</v>
      </c>
      <c r="L72" s="1" t="s">
        <v>22</v>
      </c>
      <c r="M72" s="1" t="s">
        <v>122</v>
      </c>
      <c r="N72" s="1">
        <v>0</v>
      </c>
      <c r="O72" s="1">
        <v>0</v>
      </c>
      <c r="P72" s="1">
        <v>0</v>
      </c>
      <c r="Q72" s="54" t="str">
        <f t="shared" si="8"/>
        <v>Individual Discretionary</v>
      </c>
    </row>
    <row r="73" spans="1:17" x14ac:dyDescent="0.2">
      <c r="A73" s="1" t="s">
        <v>10</v>
      </c>
      <c r="B73" s="1" t="s">
        <v>16</v>
      </c>
      <c r="C73" s="1">
        <v>5</v>
      </c>
      <c r="D73" s="3">
        <v>0</v>
      </c>
      <c r="E73" s="3">
        <v>0</v>
      </c>
      <c r="F73" s="3">
        <v>0</v>
      </c>
      <c r="G73" s="54" t="str">
        <f t="shared" si="5"/>
        <v>SR3+</v>
      </c>
      <c r="H73" s="54" t="str">
        <f t="shared" si="6"/>
        <v>SR3+</v>
      </c>
      <c r="I73" s="54" t="str">
        <f t="shared" si="7"/>
        <v>Individual Maintenance</v>
      </c>
      <c r="K73" s="1" t="s">
        <v>10</v>
      </c>
      <c r="L73" s="1" t="s">
        <v>22</v>
      </c>
      <c r="M73" s="1" t="s">
        <v>133</v>
      </c>
      <c r="N73" s="1">
        <v>0</v>
      </c>
      <c r="O73" s="1">
        <v>0</v>
      </c>
      <c r="P73" s="1">
        <v>0</v>
      </c>
      <c r="Q73" s="54" t="str">
        <f t="shared" si="8"/>
        <v>Individual Discretionary</v>
      </c>
    </row>
    <row r="74" spans="1:17" x14ac:dyDescent="0.2">
      <c r="A74" s="1" t="s">
        <v>10</v>
      </c>
      <c r="B74" s="1" t="s">
        <v>16</v>
      </c>
      <c r="C74" s="1">
        <v>7</v>
      </c>
      <c r="D74" s="3">
        <v>0</v>
      </c>
      <c r="E74" s="3">
        <v>0</v>
      </c>
      <c r="F74" s="3">
        <v>0</v>
      </c>
      <c r="G74" s="54" t="str">
        <f t="shared" si="5"/>
        <v>Walk</v>
      </c>
      <c r="H74" s="54" t="str">
        <f t="shared" si="6"/>
        <v>Walk</v>
      </c>
      <c r="I74" s="54" t="str">
        <f t="shared" si="7"/>
        <v>Individual Maintenance</v>
      </c>
      <c r="K74" s="1" t="s">
        <v>10</v>
      </c>
      <c r="L74" s="1" t="s">
        <v>22</v>
      </c>
      <c r="M74" s="1" t="s">
        <v>131</v>
      </c>
      <c r="N74" s="1">
        <v>0</v>
      </c>
      <c r="O74" s="1">
        <v>0</v>
      </c>
      <c r="P74" s="1">
        <v>0</v>
      </c>
      <c r="Q74" s="54" t="str">
        <f t="shared" si="8"/>
        <v>Individual Discretionary</v>
      </c>
    </row>
    <row r="75" spans="1:17" x14ac:dyDescent="0.2">
      <c r="A75" s="1" t="s">
        <v>10</v>
      </c>
      <c r="B75" s="1" t="s">
        <v>16</v>
      </c>
      <c r="C75" s="1">
        <v>8</v>
      </c>
      <c r="D75" s="3">
        <v>0</v>
      </c>
      <c r="E75" s="3">
        <v>0</v>
      </c>
      <c r="F75" s="3">
        <v>0</v>
      </c>
      <c r="G75" s="54" t="str">
        <f t="shared" si="5"/>
        <v>Bike</v>
      </c>
      <c r="H75" s="54" t="str">
        <f t="shared" si="6"/>
        <v>Bike</v>
      </c>
      <c r="I75" s="54" t="str">
        <f t="shared" si="7"/>
        <v>Individual Maintenance</v>
      </c>
      <c r="K75" s="1" t="s">
        <v>10</v>
      </c>
      <c r="L75" s="1" t="s">
        <v>23</v>
      </c>
      <c r="M75" s="1" t="s">
        <v>127</v>
      </c>
      <c r="N75" s="1">
        <v>0</v>
      </c>
      <c r="O75" s="1">
        <v>0</v>
      </c>
      <c r="P75" s="1">
        <v>0</v>
      </c>
      <c r="Q75" s="54" t="str">
        <f t="shared" si="8"/>
        <v>University</v>
      </c>
    </row>
    <row r="76" spans="1:17" x14ac:dyDescent="0.2">
      <c r="A76" s="1" t="s">
        <v>10</v>
      </c>
      <c r="B76" s="1" t="s">
        <v>16</v>
      </c>
      <c r="C76" s="1">
        <v>9</v>
      </c>
      <c r="D76" s="3">
        <v>0</v>
      </c>
      <c r="E76" s="3">
        <v>0</v>
      </c>
      <c r="F76" s="3">
        <v>0</v>
      </c>
      <c r="G76" s="54" t="str">
        <f t="shared" si="5"/>
        <v>Walk-Local</v>
      </c>
      <c r="H76" s="54" t="str">
        <f t="shared" si="6"/>
        <v>Walk-Transit</v>
      </c>
      <c r="I76" s="54" t="str">
        <f t="shared" si="7"/>
        <v>Individual Maintenance</v>
      </c>
      <c r="K76" s="1" t="s">
        <v>10</v>
      </c>
      <c r="L76" s="1" t="s">
        <v>23</v>
      </c>
      <c r="M76" s="1" t="s">
        <v>128</v>
      </c>
      <c r="N76" s="1">
        <v>0</v>
      </c>
      <c r="O76" s="1">
        <v>0</v>
      </c>
      <c r="P76" s="1">
        <v>0</v>
      </c>
      <c r="Q76" s="54" t="str">
        <f t="shared" si="8"/>
        <v>University</v>
      </c>
    </row>
    <row r="77" spans="1:17" x14ac:dyDescent="0.2">
      <c r="A77" s="1" t="s">
        <v>10</v>
      </c>
      <c r="B77" s="1" t="s">
        <v>16</v>
      </c>
      <c r="C77" s="1">
        <v>10</v>
      </c>
      <c r="D77" s="3">
        <v>0</v>
      </c>
      <c r="E77" s="3">
        <v>0</v>
      </c>
      <c r="F77" s="3">
        <v>0</v>
      </c>
      <c r="G77" s="54" t="str">
        <f t="shared" si="5"/>
        <v>Walk-LRF</v>
      </c>
      <c r="H77" s="54" t="str">
        <f t="shared" si="6"/>
        <v>Walk-Transit</v>
      </c>
      <c r="I77" s="54" t="str">
        <f t="shared" si="7"/>
        <v>Individual Maintenance</v>
      </c>
      <c r="K77" s="1" t="s">
        <v>10</v>
      </c>
      <c r="L77" s="1" t="s">
        <v>23</v>
      </c>
      <c r="M77" s="1" t="s">
        <v>129</v>
      </c>
      <c r="N77" s="1">
        <v>0</v>
      </c>
      <c r="O77" s="1">
        <v>0</v>
      </c>
      <c r="P77" s="1">
        <v>0</v>
      </c>
      <c r="Q77" s="54" t="str">
        <f t="shared" si="8"/>
        <v>University</v>
      </c>
    </row>
    <row r="78" spans="1:17" x14ac:dyDescent="0.2">
      <c r="A78" s="1" t="s">
        <v>10</v>
      </c>
      <c r="B78" s="1" t="s">
        <v>16</v>
      </c>
      <c r="C78" s="1">
        <v>11</v>
      </c>
      <c r="D78" s="3">
        <v>0</v>
      </c>
      <c r="E78" s="3">
        <v>0</v>
      </c>
      <c r="F78" s="3">
        <v>0</v>
      </c>
      <c r="G78" s="54" t="str">
        <f t="shared" si="5"/>
        <v>Walk-Express</v>
      </c>
      <c r="H78" s="54" t="str">
        <f t="shared" si="6"/>
        <v>Walk-Transit</v>
      </c>
      <c r="I78" s="54" t="str">
        <f t="shared" si="7"/>
        <v>Individual Maintenance</v>
      </c>
      <c r="K78" s="1" t="s">
        <v>10</v>
      </c>
      <c r="L78" s="1" t="s">
        <v>23</v>
      </c>
      <c r="M78" s="1" t="s">
        <v>130</v>
      </c>
      <c r="N78" s="1">
        <v>0</v>
      </c>
      <c r="O78" s="1">
        <v>0</v>
      </c>
      <c r="P78" s="1">
        <v>0</v>
      </c>
      <c r="Q78" s="54" t="str">
        <f t="shared" si="8"/>
        <v>University</v>
      </c>
    </row>
    <row r="79" spans="1:17" x14ac:dyDescent="0.2">
      <c r="A79" s="1" t="s">
        <v>10</v>
      </c>
      <c r="B79" s="1" t="s">
        <v>16</v>
      </c>
      <c r="C79" s="1">
        <v>12</v>
      </c>
      <c r="D79" s="3">
        <v>0</v>
      </c>
      <c r="E79" s="3">
        <v>0</v>
      </c>
      <c r="F79" s="3">
        <v>0</v>
      </c>
      <c r="G79" s="54" t="str">
        <f t="shared" si="5"/>
        <v>Walk-HeavyRail</v>
      </c>
      <c r="H79" s="54" t="str">
        <f t="shared" si="6"/>
        <v>Walk-Transit</v>
      </c>
      <c r="I79" s="54" t="str">
        <f t="shared" si="7"/>
        <v>Individual Maintenance</v>
      </c>
      <c r="K79" s="1" t="s">
        <v>10</v>
      </c>
      <c r="L79" s="1" t="s">
        <v>23</v>
      </c>
      <c r="M79" s="1" t="s">
        <v>122</v>
      </c>
      <c r="N79" s="1">
        <v>0</v>
      </c>
      <c r="O79" s="1">
        <v>0</v>
      </c>
      <c r="P79" s="1">
        <v>0</v>
      </c>
      <c r="Q79" s="54" t="str">
        <f t="shared" si="8"/>
        <v>University</v>
      </c>
    </row>
    <row r="80" spans="1:17" x14ac:dyDescent="0.2">
      <c r="A80" s="1" t="s">
        <v>10</v>
      </c>
      <c r="B80" s="1" t="s">
        <v>16</v>
      </c>
      <c r="C80" s="1">
        <v>13</v>
      </c>
      <c r="D80" s="3">
        <v>0</v>
      </c>
      <c r="E80" s="3">
        <v>0</v>
      </c>
      <c r="F80" s="3">
        <v>0</v>
      </c>
      <c r="G80" s="54" t="str">
        <f t="shared" si="5"/>
        <v>Walk-CommRail</v>
      </c>
      <c r="H80" s="54" t="str">
        <f t="shared" si="6"/>
        <v>Walk-Transit</v>
      </c>
      <c r="I80" s="54" t="str">
        <f t="shared" si="7"/>
        <v>Individual Maintenance</v>
      </c>
      <c r="K80" s="1" t="s">
        <v>10</v>
      </c>
      <c r="L80" s="1" t="s">
        <v>23</v>
      </c>
      <c r="M80" s="1" t="s">
        <v>133</v>
      </c>
      <c r="N80" s="1">
        <v>0</v>
      </c>
      <c r="O80" s="1">
        <v>0</v>
      </c>
      <c r="P80" s="1">
        <v>0</v>
      </c>
      <c r="Q80" s="54" t="str">
        <f t="shared" si="8"/>
        <v>University</v>
      </c>
    </row>
    <row r="81" spans="1:17" x14ac:dyDescent="0.2">
      <c r="A81" s="1" t="s">
        <v>10</v>
      </c>
      <c r="B81" s="1" t="s">
        <v>16</v>
      </c>
      <c r="C81" s="1">
        <v>14</v>
      </c>
      <c r="D81" s="3">
        <v>0</v>
      </c>
      <c r="E81" s="3">
        <v>0</v>
      </c>
      <c r="F81" s="3">
        <v>0</v>
      </c>
      <c r="G81" s="54" t="str">
        <f t="shared" si="5"/>
        <v>Drive-Local</v>
      </c>
      <c r="H81" s="54" t="str">
        <f t="shared" si="6"/>
        <v>Drive-Transit</v>
      </c>
      <c r="I81" s="54" t="str">
        <f t="shared" si="7"/>
        <v>Individual Maintenance</v>
      </c>
      <c r="K81" s="1" t="s">
        <v>10</v>
      </c>
      <c r="L81" s="1" t="s">
        <v>23</v>
      </c>
      <c r="M81" s="1" t="s">
        <v>131</v>
      </c>
      <c r="N81" s="1">
        <v>0</v>
      </c>
      <c r="O81" s="1">
        <v>0</v>
      </c>
      <c r="P81" s="1">
        <v>0</v>
      </c>
      <c r="Q81" s="54" t="str">
        <f t="shared" si="8"/>
        <v>University</v>
      </c>
    </row>
    <row r="82" spans="1:17" x14ac:dyDescent="0.2">
      <c r="A82" s="1" t="s">
        <v>10</v>
      </c>
      <c r="B82" s="1" t="s">
        <v>16</v>
      </c>
      <c r="C82" s="1">
        <v>15</v>
      </c>
      <c r="D82" s="3">
        <v>0</v>
      </c>
      <c r="E82" s="3">
        <v>0</v>
      </c>
      <c r="F82" s="3">
        <v>0</v>
      </c>
      <c r="G82" s="54" t="str">
        <f t="shared" si="5"/>
        <v>Drive-LRF</v>
      </c>
      <c r="H82" s="54" t="str">
        <f t="shared" si="6"/>
        <v>Drive-Transit</v>
      </c>
      <c r="I82" s="54" t="str">
        <f t="shared" si="7"/>
        <v>Individual Maintenance</v>
      </c>
      <c r="K82" s="1" t="s">
        <v>10</v>
      </c>
      <c r="L82" s="1" t="s">
        <v>24</v>
      </c>
      <c r="M82" s="1" t="s">
        <v>127</v>
      </c>
      <c r="N82" s="1">
        <v>0</v>
      </c>
      <c r="O82" s="1">
        <v>0</v>
      </c>
      <c r="P82" s="1">
        <v>0</v>
      </c>
      <c r="Q82" s="54" t="str">
        <f t="shared" si="8"/>
        <v>Work</v>
      </c>
    </row>
    <row r="83" spans="1:17" x14ac:dyDescent="0.2">
      <c r="A83" s="1" t="s">
        <v>10</v>
      </c>
      <c r="B83" s="1" t="s">
        <v>16</v>
      </c>
      <c r="C83" s="1">
        <v>16</v>
      </c>
      <c r="D83" s="3">
        <v>0</v>
      </c>
      <c r="E83" s="3">
        <v>0</v>
      </c>
      <c r="F83" s="3">
        <v>0</v>
      </c>
      <c r="G83" s="54" t="str">
        <f t="shared" si="5"/>
        <v>Drive-Express</v>
      </c>
      <c r="H83" s="54" t="str">
        <f t="shared" si="6"/>
        <v>Drive-Transit</v>
      </c>
      <c r="I83" s="54" t="str">
        <f t="shared" si="7"/>
        <v>Individual Maintenance</v>
      </c>
      <c r="K83" s="1" t="s">
        <v>10</v>
      </c>
      <c r="L83" s="1" t="s">
        <v>24</v>
      </c>
      <c r="M83" s="1" t="s">
        <v>128</v>
      </c>
      <c r="N83" s="1">
        <v>0</v>
      </c>
      <c r="O83" s="1">
        <v>0</v>
      </c>
      <c r="P83" s="1">
        <v>0</v>
      </c>
      <c r="Q83" s="54" t="str">
        <f t="shared" si="8"/>
        <v>Work</v>
      </c>
    </row>
    <row r="84" spans="1:17" x14ac:dyDescent="0.2">
      <c r="A84" s="1" t="s">
        <v>10</v>
      </c>
      <c r="B84" s="1" t="s">
        <v>16</v>
      </c>
      <c r="C84" s="1">
        <v>17</v>
      </c>
      <c r="D84" s="3">
        <v>0</v>
      </c>
      <c r="E84" s="3">
        <v>0</v>
      </c>
      <c r="F84" s="3">
        <v>0</v>
      </c>
      <c r="G84" s="54" t="str">
        <f t="shared" si="5"/>
        <v>Drive-HeavyRail</v>
      </c>
      <c r="H84" s="54" t="str">
        <f t="shared" si="6"/>
        <v>Drive-Transit</v>
      </c>
      <c r="I84" s="54" t="str">
        <f t="shared" si="7"/>
        <v>Individual Maintenance</v>
      </c>
      <c r="K84" s="1" t="s">
        <v>10</v>
      </c>
      <c r="L84" s="1" t="s">
        <v>24</v>
      </c>
      <c r="M84" s="1" t="s">
        <v>132</v>
      </c>
      <c r="N84" s="1">
        <v>0</v>
      </c>
      <c r="O84" s="1">
        <v>0</v>
      </c>
      <c r="P84" s="1">
        <v>0</v>
      </c>
      <c r="Q84" s="54" t="str">
        <f t="shared" si="8"/>
        <v>Work</v>
      </c>
    </row>
    <row r="85" spans="1:17" x14ac:dyDescent="0.2">
      <c r="A85" s="1" t="s">
        <v>10</v>
      </c>
      <c r="B85" s="1" t="s">
        <v>16</v>
      </c>
      <c r="C85" s="1">
        <v>18</v>
      </c>
      <c r="D85" s="3">
        <v>0</v>
      </c>
      <c r="E85" s="3">
        <v>0</v>
      </c>
      <c r="F85" s="3">
        <v>0</v>
      </c>
      <c r="G85" s="54" t="str">
        <f t="shared" si="5"/>
        <v>Drive-CommRail</v>
      </c>
      <c r="H85" s="54" t="str">
        <f t="shared" si="6"/>
        <v>Drive-Transit</v>
      </c>
      <c r="I85" s="54" t="str">
        <f t="shared" si="7"/>
        <v>Individual Maintenance</v>
      </c>
      <c r="K85" s="1" t="s">
        <v>10</v>
      </c>
      <c r="L85" s="1" t="s">
        <v>24</v>
      </c>
      <c r="M85" s="1" t="s">
        <v>130</v>
      </c>
      <c r="N85" s="1">
        <v>0</v>
      </c>
      <c r="O85" s="1">
        <v>0</v>
      </c>
      <c r="P85" s="1">
        <v>0</v>
      </c>
      <c r="Q85" s="54" t="str">
        <f t="shared" si="8"/>
        <v>Work</v>
      </c>
    </row>
    <row r="86" spans="1:17" x14ac:dyDescent="0.2">
      <c r="A86" s="1" t="s">
        <v>10</v>
      </c>
      <c r="B86" s="1" t="s">
        <v>16</v>
      </c>
      <c r="C86" s="1">
        <v>19</v>
      </c>
      <c r="D86" s="3">
        <v>0</v>
      </c>
      <c r="E86" s="3">
        <v>0</v>
      </c>
      <c r="F86" s="3">
        <v>0</v>
      </c>
      <c r="G86" s="54" t="str">
        <f t="shared" si="5"/>
        <v>Taxi</v>
      </c>
      <c r="H86" s="54" t="str">
        <f t="shared" si="6"/>
        <v>Taxi</v>
      </c>
      <c r="I86" s="54" t="str">
        <f t="shared" si="7"/>
        <v>Individual Maintenance</v>
      </c>
      <c r="K86" s="1" t="s">
        <v>10</v>
      </c>
      <c r="L86" s="1" t="s">
        <v>24</v>
      </c>
      <c r="M86" s="1" t="s">
        <v>122</v>
      </c>
      <c r="N86" s="1">
        <v>0</v>
      </c>
      <c r="O86" s="1">
        <v>0</v>
      </c>
      <c r="P86" s="1">
        <v>0</v>
      </c>
      <c r="Q86" s="54" t="str">
        <f t="shared" si="8"/>
        <v>Work</v>
      </c>
    </row>
    <row r="87" spans="1:17" x14ac:dyDescent="0.2">
      <c r="A87" s="1" t="s">
        <v>10</v>
      </c>
      <c r="B87" s="1" t="s">
        <v>17</v>
      </c>
      <c r="C87" s="1">
        <v>1</v>
      </c>
      <c r="D87" s="3">
        <v>0</v>
      </c>
      <c r="E87" s="3">
        <v>0</v>
      </c>
      <c r="F87" s="3">
        <v>0</v>
      </c>
      <c r="G87" s="54" t="str">
        <f t="shared" si="5"/>
        <v>Drive Alone</v>
      </c>
      <c r="H87" s="54" t="str">
        <f t="shared" si="6"/>
        <v>Drive Alone</v>
      </c>
      <c r="I87" s="54" t="str">
        <f t="shared" si="7"/>
        <v>Individual Discretionary</v>
      </c>
      <c r="K87" s="1" t="s">
        <v>10</v>
      </c>
      <c r="L87" s="1" t="s">
        <v>24</v>
      </c>
      <c r="M87" s="1" t="s">
        <v>133</v>
      </c>
      <c r="N87" s="1">
        <v>0</v>
      </c>
      <c r="O87" s="1">
        <v>0</v>
      </c>
      <c r="P87" s="1">
        <v>0</v>
      </c>
      <c r="Q87" s="54" t="str">
        <f t="shared" si="8"/>
        <v>Work</v>
      </c>
    </row>
    <row r="88" spans="1:17" x14ac:dyDescent="0.2">
      <c r="A88" s="1" t="s">
        <v>10</v>
      </c>
      <c r="B88" s="1" t="s">
        <v>17</v>
      </c>
      <c r="C88" s="1">
        <v>2</v>
      </c>
      <c r="D88" s="3">
        <v>0</v>
      </c>
      <c r="E88" s="3">
        <v>0</v>
      </c>
      <c r="F88" s="3">
        <v>0</v>
      </c>
      <c r="G88" s="54" t="str">
        <f t="shared" si="5"/>
        <v>Drive Alone</v>
      </c>
      <c r="H88" s="54" t="str">
        <f t="shared" si="6"/>
        <v>Drive Alone</v>
      </c>
      <c r="I88" s="54" t="str">
        <f t="shared" si="7"/>
        <v>Individual Discretionary</v>
      </c>
      <c r="K88" s="1" t="s">
        <v>10</v>
      </c>
      <c r="L88" s="1" t="s">
        <v>24</v>
      </c>
      <c r="M88" s="1" t="s">
        <v>131</v>
      </c>
      <c r="N88" s="1">
        <v>0</v>
      </c>
      <c r="O88" s="1">
        <v>0</v>
      </c>
      <c r="P88" s="1">
        <v>0</v>
      </c>
      <c r="Q88" s="54" t="str">
        <f t="shared" si="8"/>
        <v>Work</v>
      </c>
    </row>
    <row r="89" spans="1:17" x14ac:dyDescent="0.2">
      <c r="A89" s="1" t="s">
        <v>10</v>
      </c>
      <c r="B89" s="1" t="s">
        <v>17</v>
      </c>
      <c r="C89" s="1">
        <v>3</v>
      </c>
      <c r="D89" s="3">
        <v>0</v>
      </c>
      <c r="E89" s="3">
        <v>0</v>
      </c>
      <c r="F89" s="3">
        <v>0</v>
      </c>
      <c r="G89" s="54" t="str">
        <f t="shared" si="5"/>
        <v>SR2</v>
      </c>
      <c r="H89" s="54" t="str">
        <f t="shared" si="6"/>
        <v>SR2</v>
      </c>
      <c r="I89" s="54" t="str">
        <f t="shared" si="7"/>
        <v>Individual Discretionary</v>
      </c>
      <c r="K89" s="1" t="s">
        <v>10</v>
      </c>
      <c r="L89" s="1" t="s">
        <v>25</v>
      </c>
      <c r="M89" s="1" t="s">
        <v>127</v>
      </c>
      <c r="N89" s="1">
        <v>0</v>
      </c>
      <c r="O89" s="1">
        <v>0</v>
      </c>
      <c r="P89" s="1">
        <v>0</v>
      </c>
      <c r="Q89" s="54" t="str">
        <f t="shared" si="8"/>
        <v>Work</v>
      </c>
    </row>
    <row r="90" spans="1:17" x14ac:dyDescent="0.2">
      <c r="A90" s="1" t="s">
        <v>10</v>
      </c>
      <c r="B90" s="1" t="s">
        <v>17</v>
      </c>
      <c r="C90" s="1">
        <v>5</v>
      </c>
      <c r="D90" s="3">
        <v>0</v>
      </c>
      <c r="E90" s="3">
        <v>0</v>
      </c>
      <c r="F90" s="3">
        <v>0</v>
      </c>
      <c r="G90" s="54" t="str">
        <f t="shared" si="5"/>
        <v>SR3+</v>
      </c>
      <c r="H90" s="54" t="str">
        <f t="shared" si="6"/>
        <v>SR3+</v>
      </c>
      <c r="I90" s="54" t="str">
        <f t="shared" si="7"/>
        <v>Individual Discretionary</v>
      </c>
      <c r="K90" s="1" t="s">
        <v>10</v>
      </c>
      <c r="L90" s="1" t="s">
        <v>25</v>
      </c>
      <c r="M90" s="1" t="s">
        <v>128</v>
      </c>
      <c r="N90" s="1">
        <v>0</v>
      </c>
      <c r="O90" s="1">
        <v>0</v>
      </c>
      <c r="P90" s="1">
        <v>0</v>
      </c>
      <c r="Q90" s="54" t="str">
        <f t="shared" si="8"/>
        <v>Work</v>
      </c>
    </row>
    <row r="91" spans="1:17" x14ac:dyDescent="0.2">
      <c r="A91" s="1" t="s">
        <v>10</v>
      </c>
      <c r="B91" s="1" t="s">
        <v>17</v>
      </c>
      <c r="C91" s="1">
        <v>7</v>
      </c>
      <c r="D91" s="3">
        <v>0</v>
      </c>
      <c r="E91" s="3">
        <v>0</v>
      </c>
      <c r="F91" s="3">
        <v>0</v>
      </c>
      <c r="G91" s="54" t="str">
        <f t="shared" si="5"/>
        <v>Walk</v>
      </c>
      <c r="H91" s="54" t="str">
        <f t="shared" si="6"/>
        <v>Walk</v>
      </c>
      <c r="I91" s="54" t="str">
        <f t="shared" si="7"/>
        <v>Individual Discretionary</v>
      </c>
      <c r="K91" s="1" t="s">
        <v>10</v>
      </c>
      <c r="L91" s="1" t="s">
        <v>25</v>
      </c>
      <c r="M91" s="1" t="s">
        <v>132</v>
      </c>
      <c r="N91" s="1">
        <v>0</v>
      </c>
      <c r="O91" s="1">
        <v>0</v>
      </c>
      <c r="P91" s="1">
        <v>0</v>
      </c>
      <c r="Q91" s="54" t="str">
        <f t="shared" si="8"/>
        <v>Work</v>
      </c>
    </row>
    <row r="92" spans="1:17" x14ac:dyDescent="0.2">
      <c r="A92" s="1" t="s">
        <v>10</v>
      </c>
      <c r="B92" s="1" t="s">
        <v>17</v>
      </c>
      <c r="C92" s="1">
        <v>8</v>
      </c>
      <c r="D92" s="3">
        <v>0</v>
      </c>
      <c r="E92" s="3">
        <v>0</v>
      </c>
      <c r="F92" s="3">
        <v>0</v>
      </c>
      <c r="G92" s="54" t="str">
        <f t="shared" si="5"/>
        <v>Bike</v>
      </c>
      <c r="H92" s="54" t="str">
        <f t="shared" si="6"/>
        <v>Bike</v>
      </c>
      <c r="I92" s="54" t="str">
        <f t="shared" si="7"/>
        <v>Individual Discretionary</v>
      </c>
      <c r="K92" s="1" t="s">
        <v>10</v>
      </c>
      <c r="L92" s="1" t="s">
        <v>25</v>
      </c>
      <c r="M92" s="1" t="s">
        <v>129</v>
      </c>
      <c r="N92" s="1">
        <v>0</v>
      </c>
      <c r="O92" s="1">
        <v>0</v>
      </c>
      <c r="P92" s="1">
        <v>0</v>
      </c>
      <c r="Q92" s="54" t="str">
        <f t="shared" si="8"/>
        <v>Work</v>
      </c>
    </row>
    <row r="93" spans="1:17" x14ac:dyDescent="0.2">
      <c r="A93" s="1" t="s">
        <v>10</v>
      </c>
      <c r="B93" s="1" t="s">
        <v>17</v>
      </c>
      <c r="C93" s="1">
        <v>9</v>
      </c>
      <c r="D93" s="3">
        <v>0</v>
      </c>
      <c r="E93" s="3">
        <v>0</v>
      </c>
      <c r="F93" s="3">
        <v>0</v>
      </c>
      <c r="G93" s="54" t="str">
        <f t="shared" si="5"/>
        <v>Walk-Local</v>
      </c>
      <c r="H93" s="54" t="str">
        <f t="shared" si="6"/>
        <v>Walk-Transit</v>
      </c>
      <c r="I93" s="54" t="str">
        <f t="shared" si="7"/>
        <v>Individual Discretionary</v>
      </c>
      <c r="K93" s="1" t="s">
        <v>10</v>
      </c>
      <c r="L93" s="1" t="s">
        <v>25</v>
      </c>
      <c r="M93" s="1" t="s">
        <v>130</v>
      </c>
      <c r="N93" s="1">
        <v>0</v>
      </c>
      <c r="O93" s="1">
        <v>0</v>
      </c>
      <c r="P93" s="1">
        <v>0</v>
      </c>
      <c r="Q93" s="54" t="str">
        <f t="shared" si="8"/>
        <v>Work</v>
      </c>
    </row>
    <row r="94" spans="1:17" x14ac:dyDescent="0.2">
      <c r="A94" s="1" t="s">
        <v>10</v>
      </c>
      <c r="B94" s="1" t="s">
        <v>17</v>
      </c>
      <c r="C94" s="1">
        <v>10</v>
      </c>
      <c r="D94" s="3">
        <v>0</v>
      </c>
      <c r="E94" s="3">
        <v>0</v>
      </c>
      <c r="F94" s="3">
        <v>0</v>
      </c>
      <c r="G94" s="54" t="str">
        <f t="shared" si="5"/>
        <v>Walk-LRF</v>
      </c>
      <c r="H94" s="54" t="str">
        <f t="shared" si="6"/>
        <v>Walk-Transit</v>
      </c>
      <c r="I94" s="54" t="str">
        <f t="shared" si="7"/>
        <v>Individual Discretionary</v>
      </c>
      <c r="K94" s="1" t="s">
        <v>10</v>
      </c>
      <c r="L94" s="1" t="s">
        <v>25</v>
      </c>
      <c r="M94" s="1" t="s">
        <v>122</v>
      </c>
      <c r="N94" s="1">
        <v>0</v>
      </c>
      <c r="O94" s="1">
        <v>0</v>
      </c>
      <c r="P94" s="1">
        <v>0</v>
      </c>
      <c r="Q94" s="54" t="str">
        <f t="shared" si="8"/>
        <v>Work</v>
      </c>
    </row>
    <row r="95" spans="1:17" x14ac:dyDescent="0.2">
      <c r="A95" s="1" t="s">
        <v>10</v>
      </c>
      <c r="B95" s="1" t="s">
        <v>17</v>
      </c>
      <c r="C95" s="1">
        <v>11</v>
      </c>
      <c r="D95" s="3">
        <v>0</v>
      </c>
      <c r="E95" s="3">
        <v>0</v>
      </c>
      <c r="F95" s="3">
        <v>0</v>
      </c>
      <c r="G95" s="54" t="str">
        <f t="shared" si="5"/>
        <v>Walk-Express</v>
      </c>
      <c r="H95" s="54" t="str">
        <f t="shared" si="6"/>
        <v>Walk-Transit</v>
      </c>
      <c r="I95" s="54" t="str">
        <f t="shared" si="7"/>
        <v>Individual Discretionary</v>
      </c>
      <c r="K95" s="1" t="s">
        <v>10</v>
      </c>
      <c r="L95" s="1" t="s">
        <v>25</v>
      </c>
      <c r="M95" s="1" t="s">
        <v>133</v>
      </c>
      <c r="N95" s="1">
        <v>0</v>
      </c>
      <c r="O95" s="1">
        <v>0</v>
      </c>
      <c r="P95" s="1">
        <v>0</v>
      </c>
      <c r="Q95" s="54" t="str">
        <f t="shared" si="8"/>
        <v>Work</v>
      </c>
    </row>
    <row r="96" spans="1:17" x14ac:dyDescent="0.2">
      <c r="A96" s="1" t="s">
        <v>10</v>
      </c>
      <c r="B96" s="1" t="s">
        <v>17</v>
      </c>
      <c r="C96" s="1">
        <v>12</v>
      </c>
      <c r="D96" s="3">
        <v>0</v>
      </c>
      <c r="E96" s="3">
        <v>0</v>
      </c>
      <c r="F96" s="3">
        <v>0</v>
      </c>
      <c r="G96" s="54" t="str">
        <f t="shared" si="5"/>
        <v>Walk-HeavyRail</v>
      </c>
      <c r="H96" s="54" t="str">
        <f t="shared" si="6"/>
        <v>Walk-Transit</v>
      </c>
      <c r="I96" s="54" t="str">
        <f t="shared" si="7"/>
        <v>Individual Discretionary</v>
      </c>
      <c r="K96" s="1" t="s">
        <v>10</v>
      </c>
      <c r="L96" s="1" t="s">
        <v>25</v>
      </c>
      <c r="M96" s="1" t="s">
        <v>131</v>
      </c>
      <c r="N96" s="1">
        <v>0</v>
      </c>
      <c r="O96" s="1">
        <v>0</v>
      </c>
      <c r="P96" s="1">
        <v>0</v>
      </c>
      <c r="Q96" s="54" t="str">
        <f t="shared" si="8"/>
        <v>Work</v>
      </c>
    </row>
    <row r="97" spans="1:17" x14ac:dyDescent="0.2">
      <c r="A97" s="1" t="s">
        <v>10</v>
      </c>
      <c r="B97" s="1" t="s">
        <v>17</v>
      </c>
      <c r="C97" s="1">
        <v>13</v>
      </c>
      <c r="D97" s="3">
        <v>0</v>
      </c>
      <c r="E97" s="3">
        <v>0</v>
      </c>
      <c r="F97" s="3">
        <v>0</v>
      </c>
      <c r="G97" s="54" t="str">
        <f t="shared" si="5"/>
        <v>Walk-CommRail</v>
      </c>
      <c r="H97" s="54" t="str">
        <f t="shared" si="6"/>
        <v>Walk-Transit</v>
      </c>
      <c r="I97" s="54" t="str">
        <f t="shared" si="7"/>
        <v>Individual Discretionary</v>
      </c>
      <c r="K97" s="1" t="s">
        <v>10</v>
      </c>
      <c r="L97" s="1" t="s">
        <v>26</v>
      </c>
      <c r="M97" s="1" t="s">
        <v>127</v>
      </c>
      <c r="N97" s="1">
        <v>0</v>
      </c>
      <c r="O97" s="1">
        <v>0</v>
      </c>
      <c r="P97" s="1">
        <v>0</v>
      </c>
      <c r="Q97" s="54" t="str">
        <f t="shared" si="8"/>
        <v>Work</v>
      </c>
    </row>
    <row r="98" spans="1:17" x14ac:dyDescent="0.2">
      <c r="A98" s="1" t="s">
        <v>10</v>
      </c>
      <c r="B98" s="1" t="s">
        <v>17</v>
      </c>
      <c r="C98" s="1">
        <v>14</v>
      </c>
      <c r="D98" s="3">
        <v>0</v>
      </c>
      <c r="E98" s="3">
        <v>0</v>
      </c>
      <c r="F98" s="3">
        <v>0</v>
      </c>
      <c r="G98" s="54" t="str">
        <f t="shared" si="5"/>
        <v>Drive-Local</v>
      </c>
      <c r="H98" s="54" t="str">
        <f t="shared" si="6"/>
        <v>Drive-Transit</v>
      </c>
      <c r="I98" s="54" t="str">
        <f t="shared" si="7"/>
        <v>Individual Discretionary</v>
      </c>
      <c r="K98" s="1" t="s">
        <v>10</v>
      </c>
      <c r="L98" s="1" t="s">
        <v>26</v>
      </c>
      <c r="M98" s="1" t="s">
        <v>128</v>
      </c>
      <c r="N98" s="1">
        <v>0</v>
      </c>
      <c r="O98" s="1">
        <v>0</v>
      </c>
      <c r="P98" s="1">
        <v>0</v>
      </c>
      <c r="Q98" s="54" t="str">
        <f t="shared" si="8"/>
        <v>Work</v>
      </c>
    </row>
    <row r="99" spans="1:17" x14ac:dyDescent="0.2">
      <c r="A99" s="1" t="s">
        <v>10</v>
      </c>
      <c r="B99" s="1" t="s">
        <v>17</v>
      </c>
      <c r="C99" s="1">
        <v>15</v>
      </c>
      <c r="D99" s="3">
        <v>0</v>
      </c>
      <c r="E99" s="3">
        <v>0</v>
      </c>
      <c r="F99" s="3">
        <v>0</v>
      </c>
      <c r="G99" s="54" t="str">
        <f t="shared" si="5"/>
        <v>Drive-LRF</v>
      </c>
      <c r="H99" s="54" t="str">
        <f t="shared" si="6"/>
        <v>Drive-Transit</v>
      </c>
      <c r="I99" s="54" t="str">
        <f t="shared" si="7"/>
        <v>Individual Discretionary</v>
      </c>
      <c r="K99" s="1" t="s">
        <v>10</v>
      </c>
      <c r="L99" s="1" t="s">
        <v>26</v>
      </c>
      <c r="M99" s="1" t="s">
        <v>132</v>
      </c>
      <c r="N99" s="1">
        <v>0</v>
      </c>
      <c r="O99" s="1">
        <v>0</v>
      </c>
      <c r="P99" s="1">
        <v>0</v>
      </c>
      <c r="Q99" s="54" t="str">
        <f t="shared" ref="Q99:Q130" si="9">IF(K99="joint","Joint",_xlfn.IFNA(VLOOKUP($L99,tour_purposes,2,FALSE),"None"))</f>
        <v>Work</v>
      </c>
    </row>
    <row r="100" spans="1:17" x14ac:dyDescent="0.2">
      <c r="A100" s="1" t="s">
        <v>10</v>
      </c>
      <c r="B100" s="1" t="s">
        <v>17</v>
      </c>
      <c r="C100" s="1">
        <v>16</v>
      </c>
      <c r="D100" s="3">
        <v>0</v>
      </c>
      <c r="E100" s="3">
        <v>0</v>
      </c>
      <c r="F100" s="3">
        <v>0</v>
      </c>
      <c r="G100" s="54" t="str">
        <f t="shared" si="5"/>
        <v>Drive-Express</v>
      </c>
      <c r="H100" s="54" t="str">
        <f t="shared" si="6"/>
        <v>Drive-Transit</v>
      </c>
      <c r="I100" s="54" t="str">
        <f t="shared" si="7"/>
        <v>Individual Discretionary</v>
      </c>
      <c r="K100" s="1" t="s">
        <v>10</v>
      </c>
      <c r="L100" s="1" t="s">
        <v>26</v>
      </c>
      <c r="M100" s="1" t="s">
        <v>129</v>
      </c>
      <c r="N100" s="1">
        <v>0</v>
      </c>
      <c r="O100" s="1">
        <v>0</v>
      </c>
      <c r="P100" s="1">
        <v>0</v>
      </c>
      <c r="Q100" s="54" t="str">
        <f t="shared" si="9"/>
        <v>Work</v>
      </c>
    </row>
    <row r="101" spans="1:17" x14ac:dyDescent="0.2">
      <c r="A101" s="1" t="s">
        <v>10</v>
      </c>
      <c r="B101" s="1" t="s">
        <v>17</v>
      </c>
      <c r="C101" s="1">
        <v>17</v>
      </c>
      <c r="D101" s="3">
        <v>0</v>
      </c>
      <c r="E101" s="3">
        <v>0</v>
      </c>
      <c r="F101" s="3">
        <v>0</v>
      </c>
      <c r="G101" s="54" t="str">
        <f t="shared" si="5"/>
        <v>Drive-HeavyRail</v>
      </c>
      <c r="H101" s="54" t="str">
        <f t="shared" si="6"/>
        <v>Drive-Transit</v>
      </c>
      <c r="I101" s="54" t="str">
        <f t="shared" si="7"/>
        <v>Individual Discretionary</v>
      </c>
      <c r="K101" s="1" t="s">
        <v>10</v>
      </c>
      <c r="L101" s="1" t="s">
        <v>26</v>
      </c>
      <c r="M101" s="1" t="s">
        <v>130</v>
      </c>
      <c r="N101" s="1">
        <v>0</v>
      </c>
      <c r="O101" s="1">
        <v>0</v>
      </c>
      <c r="P101" s="1">
        <v>0</v>
      </c>
      <c r="Q101" s="54" t="str">
        <f t="shared" si="9"/>
        <v>Work</v>
      </c>
    </row>
    <row r="102" spans="1:17" x14ac:dyDescent="0.2">
      <c r="A102" s="1" t="s">
        <v>10</v>
      </c>
      <c r="B102" s="1" t="s">
        <v>17</v>
      </c>
      <c r="C102" s="1">
        <v>18</v>
      </c>
      <c r="D102" s="3">
        <v>0</v>
      </c>
      <c r="E102" s="3">
        <v>0</v>
      </c>
      <c r="F102" s="3">
        <v>0</v>
      </c>
      <c r="G102" s="54" t="str">
        <f t="shared" si="5"/>
        <v>Drive-CommRail</v>
      </c>
      <c r="H102" s="54" t="str">
        <f t="shared" si="6"/>
        <v>Drive-Transit</v>
      </c>
      <c r="I102" s="54" t="str">
        <f t="shared" si="7"/>
        <v>Individual Discretionary</v>
      </c>
      <c r="K102" s="1" t="s">
        <v>10</v>
      </c>
      <c r="L102" s="1" t="s">
        <v>26</v>
      </c>
      <c r="M102" s="1" t="s">
        <v>122</v>
      </c>
      <c r="N102" s="1">
        <v>0</v>
      </c>
      <c r="O102" s="1">
        <v>0</v>
      </c>
      <c r="P102" s="1">
        <v>0</v>
      </c>
      <c r="Q102" s="54" t="str">
        <f t="shared" si="9"/>
        <v>Work</v>
      </c>
    </row>
    <row r="103" spans="1:17" x14ac:dyDescent="0.2">
      <c r="A103" s="1" t="s">
        <v>10</v>
      </c>
      <c r="B103" s="1" t="s">
        <v>17</v>
      </c>
      <c r="C103" s="1">
        <v>19</v>
      </c>
      <c r="D103" s="3">
        <v>0</v>
      </c>
      <c r="E103" s="3">
        <v>0</v>
      </c>
      <c r="F103" s="3">
        <v>0</v>
      </c>
      <c r="G103" s="54" t="str">
        <f t="shared" si="5"/>
        <v>Taxi</v>
      </c>
      <c r="H103" s="54" t="str">
        <f t="shared" si="6"/>
        <v>Taxi</v>
      </c>
      <c r="I103" s="54" t="str">
        <f t="shared" si="7"/>
        <v>Individual Discretionary</v>
      </c>
      <c r="K103" s="1" t="s">
        <v>10</v>
      </c>
      <c r="L103" s="1" t="s">
        <v>26</v>
      </c>
      <c r="M103" s="1" t="s">
        <v>133</v>
      </c>
      <c r="N103" s="1">
        <v>0</v>
      </c>
      <c r="O103" s="1">
        <v>0</v>
      </c>
      <c r="P103" s="1">
        <v>0</v>
      </c>
      <c r="Q103" s="54" t="str">
        <f t="shared" si="9"/>
        <v>Work</v>
      </c>
    </row>
    <row r="104" spans="1:17" x14ac:dyDescent="0.2">
      <c r="A104" s="1" t="s">
        <v>10</v>
      </c>
      <c r="B104" s="1" t="s">
        <v>18</v>
      </c>
      <c r="C104" s="1">
        <v>1</v>
      </c>
      <c r="D104" s="3">
        <v>0</v>
      </c>
      <c r="E104" s="3">
        <v>0</v>
      </c>
      <c r="F104" s="3">
        <v>0</v>
      </c>
      <c r="G104" s="54" t="str">
        <f t="shared" si="5"/>
        <v>Drive Alone</v>
      </c>
      <c r="H104" s="54" t="str">
        <f t="shared" si="6"/>
        <v>Drive Alone</v>
      </c>
      <c r="I104" s="54" t="str">
        <f t="shared" si="7"/>
        <v>Individual Maintenance</v>
      </c>
      <c r="K104" s="1" t="s">
        <v>10</v>
      </c>
      <c r="L104" s="1" t="s">
        <v>26</v>
      </c>
      <c r="M104" s="1" t="s">
        <v>131</v>
      </c>
      <c r="N104" s="1">
        <v>0</v>
      </c>
      <c r="O104" s="1">
        <v>0</v>
      </c>
      <c r="P104" s="1">
        <v>0</v>
      </c>
      <c r="Q104" s="54" t="str">
        <f t="shared" si="9"/>
        <v>Work</v>
      </c>
    </row>
    <row r="105" spans="1:17" x14ac:dyDescent="0.2">
      <c r="A105" s="1" t="s">
        <v>10</v>
      </c>
      <c r="B105" s="1" t="s">
        <v>18</v>
      </c>
      <c r="C105" s="1">
        <v>2</v>
      </c>
      <c r="D105" s="3">
        <v>0</v>
      </c>
      <c r="E105" s="3">
        <v>0</v>
      </c>
      <c r="F105" s="3">
        <v>0</v>
      </c>
      <c r="G105" s="54" t="str">
        <f t="shared" si="5"/>
        <v>Drive Alone</v>
      </c>
      <c r="H105" s="54" t="str">
        <f t="shared" si="6"/>
        <v>Drive Alone</v>
      </c>
      <c r="I105" s="54" t="str">
        <f t="shared" si="7"/>
        <v>Individual Maintenance</v>
      </c>
      <c r="K105" s="1" t="s">
        <v>10</v>
      </c>
      <c r="L105" s="1" t="s">
        <v>27</v>
      </c>
      <c r="M105" s="1" t="s">
        <v>127</v>
      </c>
      <c r="N105" s="1">
        <v>0</v>
      </c>
      <c r="O105" s="1">
        <v>0</v>
      </c>
      <c r="P105" s="1">
        <v>0</v>
      </c>
      <c r="Q105" s="54" t="str">
        <f t="shared" si="9"/>
        <v>Work</v>
      </c>
    </row>
    <row r="106" spans="1:17" x14ac:dyDescent="0.2">
      <c r="A106" s="1" t="s">
        <v>10</v>
      </c>
      <c r="B106" s="1" t="s">
        <v>18</v>
      </c>
      <c r="C106" s="1">
        <v>3</v>
      </c>
      <c r="D106" s="3">
        <v>0</v>
      </c>
      <c r="E106" s="3">
        <v>0</v>
      </c>
      <c r="F106" s="3">
        <v>0</v>
      </c>
      <c r="G106" s="54" t="str">
        <f t="shared" si="5"/>
        <v>SR2</v>
      </c>
      <c r="H106" s="54" t="str">
        <f t="shared" si="6"/>
        <v>SR2</v>
      </c>
      <c r="I106" s="54" t="str">
        <f t="shared" si="7"/>
        <v>Individual Maintenance</v>
      </c>
      <c r="K106" s="1" t="s">
        <v>10</v>
      </c>
      <c r="L106" s="1" t="s">
        <v>27</v>
      </c>
      <c r="M106" s="1" t="s">
        <v>128</v>
      </c>
      <c r="N106" s="1">
        <v>0</v>
      </c>
      <c r="O106" s="1">
        <v>0</v>
      </c>
      <c r="P106" s="1">
        <v>0</v>
      </c>
      <c r="Q106" s="54" t="str">
        <f t="shared" si="9"/>
        <v>Work</v>
      </c>
    </row>
    <row r="107" spans="1:17" x14ac:dyDescent="0.2">
      <c r="A107" s="1" t="s">
        <v>10</v>
      </c>
      <c r="B107" s="1" t="s">
        <v>18</v>
      </c>
      <c r="C107" s="1">
        <v>5</v>
      </c>
      <c r="D107" s="3">
        <v>0</v>
      </c>
      <c r="E107" s="3">
        <v>0</v>
      </c>
      <c r="F107" s="3">
        <v>0</v>
      </c>
      <c r="G107" s="54" t="str">
        <f t="shared" si="5"/>
        <v>SR3+</v>
      </c>
      <c r="H107" s="54" t="str">
        <f t="shared" si="6"/>
        <v>SR3+</v>
      </c>
      <c r="I107" s="54" t="str">
        <f t="shared" si="7"/>
        <v>Individual Maintenance</v>
      </c>
      <c r="K107" s="1" t="s">
        <v>10</v>
      </c>
      <c r="L107" s="1" t="s">
        <v>27</v>
      </c>
      <c r="M107" s="1" t="s">
        <v>132</v>
      </c>
      <c r="N107" s="1">
        <v>0</v>
      </c>
      <c r="O107" s="1">
        <v>0</v>
      </c>
      <c r="P107" s="1">
        <v>0</v>
      </c>
      <c r="Q107" s="54" t="str">
        <f t="shared" si="9"/>
        <v>Work</v>
      </c>
    </row>
    <row r="108" spans="1:17" x14ac:dyDescent="0.2">
      <c r="A108" s="1" t="s">
        <v>10</v>
      </c>
      <c r="B108" s="1" t="s">
        <v>18</v>
      </c>
      <c r="C108" s="1">
        <v>7</v>
      </c>
      <c r="D108" s="3">
        <v>0</v>
      </c>
      <c r="E108" s="3">
        <v>0</v>
      </c>
      <c r="F108" s="3">
        <v>0</v>
      </c>
      <c r="G108" s="54" t="str">
        <f t="shared" si="5"/>
        <v>Walk</v>
      </c>
      <c r="H108" s="54" t="str">
        <f t="shared" si="6"/>
        <v>Walk</v>
      </c>
      <c r="I108" s="54" t="str">
        <f t="shared" si="7"/>
        <v>Individual Maintenance</v>
      </c>
      <c r="K108" s="1" t="s">
        <v>10</v>
      </c>
      <c r="L108" s="1" t="s">
        <v>27</v>
      </c>
      <c r="M108" s="1" t="s">
        <v>129</v>
      </c>
      <c r="N108" s="1">
        <v>0</v>
      </c>
      <c r="O108" s="1">
        <v>0</v>
      </c>
      <c r="P108" s="1">
        <v>0</v>
      </c>
      <c r="Q108" s="54" t="str">
        <f t="shared" si="9"/>
        <v>Work</v>
      </c>
    </row>
    <row r="109" spans="1:17" x14ac:dyDescent="0.2">
      <c r="A109" s="1" t="s">
        <v>10</v>
      </c>
      <c r="B109" s="1" t="s">
        <v>18</v>
      </c>
      <c r="C109" s="1">
        <v>8</v>
      </c>
      <c r="D109" s="3">
        <v>0</v>
      </c>
      <c r="E109" s="3">
        <v>0</v>
      </c>
      <c r="F109" s="3">
        <v>0</v>
      </c>
      <c r="G109" s="54" t="str">
        <f t="shared" si="5"/>
        <v>Bike</v>
      </c>
      <c r="H109" s="54" t="str">
        <f t="shared" si="6"/>
        <v>Bike</v>
      </c>
      <c r="I109" s="54" t="str">
        <f t="shared" si="7"/>
        <v>Individual Maintenance</v>
      </c>
      <c r="K109" s="1" t="s">
        <v>10</v>
      </c>
      <c r="L109" s="1" t="s">
        <v>27</v>
      </c>
      <c r="M109" s="1" t="s">
        <v>130</v>
      </c>
      <c r="N109" s="1">
        <v>0</v>
      </c>
      <c r="O109" s="1">
        <v>0</v>
      </c>
      <c r="P109" s="1">
        <v>0</v>
      </c>
      <c r="Q109" s="54" t="str">
        <f t="shared" si="9"/>
        <v>Work</v>
      </c>
    </row>
    <row r="110" spans="1:17" x14ac:dyDescent="0.2">
      <c r="A110" s="1" t="s">
        <v>10</v>
      </c>
      <c r="B110" s="1" t="s">
        <v>18</v>
      </c>
      <c r="C110" s="1">
        <v>9</v>
      </c>
      <c r="D110" s="3">
        <v>0</v>
      </c>
      <c r="E110" s="3">
        <v>0</v>
      </c>
      <c r="F110" s="3">
        <v>0</v>
      </c>
      <c r="G110" s="54" t="str">
        <f t="shared" si="5"/>
        <v>Walk-Local</v>
      </c>
      <c r="H110" s="54" t="str">
        <f t="shared" si="6"/>
        <v>Walk-Transit</v>
      </c>
      <c r="I110" s="54" t="str">
        <f t="shared" si="7"/>
        <v>Individual Maintenance</v>
      </c>
      <c r="K110" s="1" t="s">
        <v>10</v>
      </c>
      <c r="L110" s="1" t="s">
        <v>27</v>
      </c>
      <c r="M110" s="1" t="s">
        <v>122</v>
      </c>
      <c r="N110" s="1">
        <v>0</v>
      </c>
      <c r="O110" s="1">
        <v>0</v>
      </c>
      <c r="P110" s="1">
        <v>0</v>
      </c>
      <c r="Q110" s="54" t="str">
        <f t="shared" si="9"/>
        <v>Work</v>
      </c>
    </row>
    <row r="111" spans="1:17" x14ac:dyDescent="0.2">
      <c r="A111" s="1" t="s">
        <v>10</v>
      </c>
      <c r="B111" s="1" t="s">
        <v>18</v>
      </c>
      <c r="C111" s="1">
        <v>10</v>
      </c>
      <c r="D111" s="3">
        <v>0</v>
      </c>
      <c r="E111" s="3">
        <v>0</v>
      </c>
      <c r="F111" s="3">
        <v>0</v>
      </c>
      <c r="G111" s="54" t="str">
        <f t="shared" si="5"/>
        <v>Walk-LRF</v>
      </c>
      <c r="H111" s="54" t="str">
        <f t="shared" si="6"/>
        <v>Walk-Transit</v>
      </c>
      <c r="I111" s="54" t="str">
        <f t="shared" si="7"/>
        <v>Individual Maintenance</v>
      </c>
      <c r="K111" s="1" t="s">
        <v>10</v>
      </c>
      <c r="L111" s="1" t="s">
        <v>27</v>
      </c>
      <c r="M111" s="1" t="s">
        <v>133</v>
      </c>
      <c r="N111" s="1">
        <v>0</v>
      </c>
      <c r="O111" s="1">
        <v>0</v>
      </c>
      <c r="P111" s="1">
        <v>0</v>
      </c>
      <c r="Q111" s="54" t="str">
        <f t="shared" si="9"/>
        <v>Work</v>
      </c>
    </row>
    <row r="112" spans="1:17" x14ac:dyDescent="0.2">
      <c r="A112" s="1" t="s">
        <v>10</v>
      </c>
      <c r="B112" s="1" t="s">
        <v>18</v>
      </c>
      <c r="C112" s="1">
        <v>11</v>
      </c>
      <c r="D112" s="3">
        <v>0</v>
      </c>
      <c r="E112" s="3">
        <v>0</v>
      </c>
      <c r="F112" s="3">
        <v>0</v>
      </c>
      <c r="G112" s="54" t="str">
        <f t="shared" si="5"/>
        <v>Walk-Express</v>
      </c>
      <c r="H112" s="54" t="str">
        <f t="shared" si="6"/>
        <v>Walk-Transit</v>
      </c>
      <c r="I112" s="54" t="str">
        <f t="shared" si="7"/>
        <v>Individual Maintenance</v>
      </c>
      <c r="K112" s="1" t="s">
        <v>10</v>
      </c>
      <c r="L112" s="1" t="s">
        <v>27</v>
      </c>
      <c r="M112" s="1" t="s">
        <v>131</v>
      </c>
      <c r="N112" s="1">
        <v>0</v>
      </c>
      <c r="O112" s="1">
        <v>0</v>
      </c>
      <c r="P112" s="1">
        <v>0</v>
      </c>
      <c r="Q112" s="54" t="str">
        <f t="shared" si="9"/>
        <v>Work</v>
      </c>
    </row>
    <row r="113" spans="1:17" x14ac:dyDescent="0.2">
      <c r="A113" s="1" t="s">
        <v>10</v>
      </c>
      <c r="B113" s="1" t="s">
        <v>18</v>
      </c>
      <c r="C113" s="1">
        <v>12</v>
      </c>
      <c r="D113" s="3">
        <v>0</v>
      </c>
      <c r="E113" s="3">
        <v>0</v>
      </c>
      <c r="F113" s="3">
        <v>0</v>
      </c>
      <c r="G113" s="54" t="str">
        <f t="shared" si="5"/>
        <v>Walk-HeavyRail</v>
      </c>
      <c r="H113" s="54" t="str">
        <f t="shared" si="6"/>
        <v>Walk-Transit</v>
      </c>
      <c r="I113" s="54" t="str">
        <f t="shared" si="7"/>
        <v>Individual Maintenance</v>
      </c>
      <c r="K113" s="1" t="s">
        <v>28</v>
      </c>
      <c r="L113" s="1" t="s">
        <v>14</v>
      </c>
      <c r="M113" s="1" t="s">
        <v>130</v>
      </c>
      <c r="N113" s="1">
        <v>0</v>
      </c>
      <c r="O113" s="1">
        <v>0</v>
      </c>
      <c r="P113" s="1">
        <v>0</v>
      </c>
      <c r="Q113" s="54" t="str">
        <f t="shared" si="9"/>
        <v>Joint</v>
      </c>
    </row>
    <row r="114" spans="1:17" x14ac:dyDescent="0.2">
      <c r="A114" s="1" t="s">
        <v>10</v>
      </c>
      <c r="B114" s="1" t="s">
        <v>18</v>
      </c>
      <c r="C114" s="1">
        <v>13</v>
      </c>
      <c r="D114" s="3">
        <v>0</v>
      </c>
      <c r="E114" s="3">
        <v>0</v>
      </c>
      <c r="F114" s="3">
        <v>0</v>
      </c>
      <c r="G114" s="54" t="str">
        <f t="shared" si="5"/>
        <v>Walk-CommRail</v>
      </c>
      <c r="H114" s="54" t="str">
        <f t="shared" si="6"/>
        <v>Walk-Transit</v>
      </c>
      <c r="I114" s="54" t="str">
        <f t="shared" si="7"/>
        <v>Individual Maintenance</v>
      </c>
      <c r="K114" s="1" t="s">
        <v>28</v>
      </c>
      <c r="L114" s="1" t="s">
        <v>14</v>
      </c>
      <c r="M114" s="1" t="s">
        <v>122</v>
      </c>
      <c r="N114" s="1">
        <v>0</v>
      </c>
      <c r="O114" s="1">
        <v>0</v>
      </c>
      <c r="P114" s="1">
        <v>0</v>
      </c>
      <c r="Q114" s="54" t="str">
        <f t="shared" si="9"/>
        <v>Joint</v>
      </c>
    </row>
    <row r="115" spans="1:17" x14ac:dyDescent="0.2">
      <c r="A115" s="1" t="s">
        <v>10</v>
      </c>
      <c r="B115" s="1" t="s">
        <v>18</v>
      </c>
      <c r="C115" s="1">
        <v>14</v>
      </c>
      <c r="D115" s="3">
        <v>0</v>
      </c>
      <c r="E115" s="3">
        <v>0</v>
      </c>
      <c r="F115" s="3">
        <v>0</v>
      </c>
      <c r="G115" s="54" t="str">
        <f t="shared" si="5"/>
        <v>Drive-Local</v>
      </c>
      <c r="H115" s="54" t="str">
        <f t="shared" si="6"/>
        <v>Drive-Transit</v>
      </c>
      <c r="I115" s="54" t="str">
        <f t="shared" si="7"/>
        <v>Individual Maintenance</v>
      </c>
      <c r="K115" s="1" t="s">
        <v>28</v>
      </c>
      <c r="L115" s="1" t="s">
        <v>14</v>
      </c>
      <c r="M115" s="1" t="s">
        <v>131</v>
      </c>
      <c r="N115" s="1">
        <v>0</v>
      </c>
      <c r="O115" s="1">
        <v>0</v>
      </c>
      <c r="P115" s="1">
        <v>0</v>
      </c>
      <c r="Q115" s="54" t="str">
        <f t="shared" si="9"/>
        <v>Joint</v>
      </c>
    </row>
    <row r="116" spans="1:17" x14ac:dyDescent="0.2">
      <c r="A116" s="1" t="s">
        <v>10</v>
      </c>
      <c r="B116" s="1" t="s">
        <v>18</v>
      </c>
      <c r="C116" s="1">
        <v>15</v>
      </c>
      <c r="D116" s="3">
        <v>0</v>
      </c>
      <c r="E116" s="3">
        <v>0</v>
      </c>
      <c r="F116" s="3">
        <v>0</v>
      </c>
      <c r="G116" s="54" t="str">
        <f t="shared" si="5"/>
        <v>Drive-LRF</v>
      </c>
      <c r="H116" s="54" t="str">
        <f t="shared" si="6"/>
        <v>Drive-Transit</v>
      </c>
      <c r="I116" s="54" t="str">
        <f t="shared" si="7"/>
        <v>Individual Maintenance</v>
      </c>
      <c r="K116" s="1" t="s">
        <v>28</v>
      </c>
      <c r="L116" s="1" t="s">
        <v>17</v>
      </c>
      <c r="M116" s="1" t="s">
        <v>130</v>
      </c>
      <c r="N116" s="1">
        <v>0</v>
      </c>
      <c r="O116" s="1">
        <v>0</v>
      </c>
      <c r="P116" s="1">
        <v>0</v>
      </c>
      <c r="Q116" s="54" t="str">
        <f t="shared" si="9"/>
        <v>Joint</v>
      </c>
    </row>
    <row r="117" spans="1:17" x14ac:dyDescent="0.2">
      <c r="A117" s="1" t="s">
        <v>10</v>
      </c>
      <c r="B117" s="1" t="s">
        <v>18</v>
      </c>
      <c r="C117" s="1">
        <v>16</v>
      </c>
      <c r="D117" s="3">
        <v>0</v>
      </c>
      <c r="E117" s="3">
        <v>0</v>
      </c>
      <c r="F117" s="3">
        <v>0</v>
      </c>
      <c r="G117" s="54" t="str">
        <f t="shared" si="5"/>
        <v>Drive-Express</v>
      </c>
      <c r="H117" s="54" t="str">
        <f t="shared" si="6"/>
        <v>Drive-Transit</v>
      </c>
      <c r="I117" s="54" t="str">
        <f t="shared" si="7"/>
        <v>Individual Maintenance</v>
      </c>
      <c r="K117" s="1" t="s">
        <v>28</v>
      </c>
      <c r="L117" s="1" t="s">
        <v>17</v>
      </c>
      <c r="M117" s="1" t="s">
        <v>122</v>
      </c>
      <c r="N117" s="1">
        <v>0</v>
      </c>
      <c r="O117" s="1">
        <v>0</v>
      </c>
      <c r="P117" s="1">
        <v>0</v>
      </c>
      <c r="Q117" s="54" t="str">
        <f t="shared" si="9"/>
        <v>Joint</v>
      </c>
    </row>
    <row r="118" spans="1:17" x14ac:dyDescent="0.2">
      <c r="A118" s="1" t="s">
        <v>10</v>
      </c>
      <c r="B118" s="1" t="s">
        <v>18</v>
      </c>
      <c r="C118" s="1">
        <v>17</v>
      </c>
      <c r="D118" s="3">
        <v>0</v>
      </c>
      <c r="E118" s="3">
        <v>0</v>
      </c>
      <c r="F118" s="3">
        <v>0</v>
      </c>
      <c r="G118" s="54" t="str">
        <f t="shared" si="5"/>
        <v>Drive-HeavyRail</v>
      </c>
      <c r="H118" s="54" t="str">
        <f t="shared" si="6"/>
        <v>Drive-Transit</v>
      </c>
      <c r="I118" s="54" t="str">
        <f t="shared" si="7"/>
        <v>Individual Maintenance</v>
      </c>
      <c r="K118" s="1" t="s">
        <v>28</v>
      </c>
      <c r="L118" s="1" t="s">
        <v>17</v>
      </c>
      <c r="M118" s="1" t="s">
        <v>131</v>
      </c>
      <c r="N118" s="1">
        <v>0</v>
      </c>
      <c r="O118" s="1">
        <v>0</v>
      </c>
      <c r="P118" s="1">
        <v>0</v>
      </c>
      <c r="Q118" s="54" t="str">
        <f t="shared" si="9"/>
        <v>Joint</v>
      </c>
    </row>
    <row r="119" spans="1:17" x14ac:dyDescent="0.2">
      <c r="A119" s="1" t="s">
        <v>10</v>
      </c>
      <c r="B119" s="1" t="s">
        <v>18</v>
      </c>
      <c r="C119" s="1">
        <v>18</v>
      </c>
      <c r="D119" s="3">
        <v>0</v>
      </c>
      <c r="E119" s="3">
        <v>0</v>
      </c>
      <c r="F119" s="3">
        <v>0</v>
      </c>
      <c r="G119" s="54" t="str">
        <f t="shared" si="5"/>
        <v>Drive-CommRail</v>
      </c>
      <c r="H119" s="54" t="str">
        <f t="shared" si="6"/>
        <v>Drive-Transit</v>
      </c>
      <c r="I119" s="54" t="str">
        <f t="shared" si="7"/>
        <v>Individual Maintenance</v>
      </c>
      <c r="K119" s="1" t="s">
        <v>28</v>
      </c>
      <c r="L119" s="1" t="s">
        <v>18</v>
      </c>
      <c r="M119" s="1" t="s">
        <v>130</v>
      </c>
      <c r="N119" s="1">
        <v>0</v>
      </c>
      <c r="O119" s="1">
        <v>0</v>
      </c>
      <c r="P119" s="1">
        <v>0</v>
      </c>
      <c r="Q119" s="54" t="str">
        <f t="shared" si="9"/>
        <v>Joint</v>
      </c>
    </row>
    <row r="120" spans="1:17" x14ac:dyDescent="0.2">
      <c r="A120" s="1" t="s">
        <v>10</v>
      </c>
      <c r="B120" s="1" t="s">
        <v>18</v>
      </c>
      <c r="C120" s="1">
        <v>19</v>
      </c>
      <c r="D120" s="3">
        <v>0</v>
      </c>
      <c r="E120" s="3">
        <v>0</v>
      </c>
      <c r="F120" s="3">
        <v>0</v>
      </c>
      <c r="G120" s="54" t="str">
        <f t="shared" si="5"/>
        <v>Taxi</v>
      </c>
      <c r="H120" s="54" t="str">
        <f t="shared" si="6"/>
        <v>Taxi</v>
      </c>
      <c r="I120" s="54" t="str">
        <f t="shared" si="7"/>
        <v>Individual Maintenance</v>
      </c>
      <c r="K120" s="1" t="s">
        <v>28</v>
      </c>
      <c r="L120" s="1" t="s">
        <v>18</v>
      </c>
      <c r="M120" s="1" t="s">
        <v>122</v>
      </c>
      <c r="N120" s="1">
        <v>0</v>
      </c>
      <c r="O120" s="1">
        <v>0</v>
      </c>
      <c r="P120" s="1">
        <v>0</v>
      </c>
      <c r="Q120" s="54" t="str">
        <f t="shared" si="9"/>
        <v>Joint</v>
      </c>
    </row>
    <row r="121" spans="1:17" x14ac:dyDescent="0.2">
      <c r="A121" s="1" t="s">
        <v>10</v>
      </c>
      <c r="B121" s="1" t="s">
        <v>19</v>
      </c>
      <c r="C121" s="1">
        <v>3</v>
      </c>
      <c r="D121" s="3">
        <v>0</v>
      </c>
      <c r="E121" s="3">
        <v>0</v>
      </c>
      <c r="F121" s="3">
        <v>0</v>
      </c>
      <c r="G121" s="54" t="str">
        <f t="shared" si="5"/>
        <v>SR2</v>
      </c>
      <c r="H121" s="54" t="str">
        <f t="shared" si="6"/>
        <v>SR2</v>
      </c>
      <c r="I121" s="54" t="str">
        <f t="shared" si="7"/>
        <v>School</v>
      </c>
      <c r="K121" s="1" t="s">
        <v>28</v>
      </c>
      <c r="L121" s="1" t="s">
        <v>18</v>
      </c>
      <c r="M121" s="1" t="s">
        <v>131</v>
      </c>
      <c r="N121" s="1">
        <v>0</v>
      </c>
      <c r="O121" s="1">
        <v>0</v>
      </c>
      <c r="P121" s="1">
        <v>0</v>
      </c>
      <c r="Q121" s="54" t="str">
        <f t="shared" si="9"/>
        <v>Joint</v>
      </c>
    </row>
    <row r="122" spans="1:17" x14ac:dyDescent="0.2">
      <c r="A122" s="1" t="s">
        <v>10</v>
      </c>
      <c r="B122" s="1" t="s">
        <v>19</v>
      </c>
      <c r="C122" s="1">
        <v>5</v>
      </c>
      <c r="D122" s="3">
        <v>0</v>
      </c>
      <c r="E122" s="3">
        <v>0</v>
      </c>
      <c r="F122" s="3">
        <v>0</v>
      </c>
      <c r="G122" s="54" t="str">
        <f t="shared" si="5"/>
        <v>SR3+</v>
      </c>
      <c r="H122" s="54" t="str">
        <f t="shared" si="6"/>
        <v>SR3+</v>
      </c>
      <c r="I122" s="54" t="str">
        <f t="shared" si="7"/>
        <v>School</v>
      </c>
      <c r="K122" s="1" t="s">
        <v>28</v>
      </c>
      <c r="L122" s="1" t="s">
        <v>21</v>
      </c>
      <c r="M122" s="1" t="s">
        <v>130</v>
      </c>
      <c r="N122" s="1">
        <v>0</v>
      </c>
      <c r="O122" s="1">
        <v>0</v>
      </c>
      <c r="P122" s="1">
        <v>0</v>
      </c>
      <c r="Q122" s="54" t="str">
        <f t="shared" si="9"/>
        <v>Joint</v>
      </c>
    </row>
    <row r="123" spans="1:17" x14ac:dyDescent="0.2">
      <c r="A123" s="1" t="s">
        <v>10</v>
      </c>
      <c r="B123" s="1" t="s">
        <v>19</v>
      </c>
      <c r="C123" s="1">
        <v>7</v>
      </c>
      <c r="D123" s="3">
        <v>0</v>
      </c>
      <c r="E123" s="3">
        <v>0</v>
      </c>
      <c r="F123" s="3">
        <v>0</v>
      </c>
      <c r="G123" s="54" t="str">
        <f t="shared" si="5"/>
        <v>Walk</v>
      </c>
      <c r="H123" s="54" t="str">
        <f t="shared" si="6"/>
        <v>Walk</v>
      </c>
      <c r="I123" s="54" t="str">
        <f t="shared" si="7"/>
        <v>School</v>
      </c>
      <c r="K123" s="1" t="s">
        <v>28</v>
      </c>
      <c r="L123" s="1" t="s">
        <v>21</v>
      </c>
      <c r="M123" s="1" t="s">
        <v>122</v>
      </c>
      <c r="N123" s="1">
        <v>0</v>
      </c>
      <c r="O123" s="1">
        <v>0</v>
      </c>
      <c r="P123" s="1">
        <v>0</v>
      </c>
      <c r="Q123" s="54" t="str">
        <f t="shared" si="9"/>
        <v>Joint</v>
      </c>
    </row>
    <row r="124" spans="1:17" x14ac:dyDescent="0.2">
      <c r="A124" s="1" t="s">
        <v>10</v>
      </c>
      <c r="B124" s="1" t="s">
        <v>19</v>
      </c>
      <c r="C124" s="1">
        <v>8</v>
      </c>
      <c r="D124" s="3">
        <v>0</v>
      </c>
      <c r="E124" s="3">
        <v>0</v>
      </c>
      <c r="F124" s="3">
        <v>0</v>
      </c>
      <c r="G124" s="54" t="str">
        <f t="shared" si="5"/>
        <v>Bike</v>
      </c>
      <c r="H124" s="54" t="str">
        <f t="shared" si="6"/>
        <v>Bike</v>
      </c>
      <c r="I124" s="54" t="str">
        <f t="shared" si="7"/>
        <v>School</v>
      </c>
      <c r="K124" s="1" t="s">
        <v>28</v>
      </c>
      <c r="L124" s="1" t="s">
        <v>21</v>
      </c>
      <c r="M124" s="1" t="s">
        <v>131</v>
      </c>
      <c r="N124" s="1">
        <v>0</v>
      </c>
      <c r="O124" s="1">
        <v>0</v>
      </c>
      <c r="P124" s="1">
        <v>0</v>
      </c>
      <c r="Q124" s="54" t="str">
        <f t="shared" si="9"/>
        <v>Joint</v>
      </c>
    </row>
    <row r="125" spans="1:17" x14ac:dyDescent="0.2">
      <c r="A125" s="1" t="s">
        <v>10</v>
      </c>
      <c r="B125" s="1" t="s">
        <v>19</v>
      </c>
      <c r="C125" s="1">
        <v>9</v>
      </c>
      <c r="D125" s="3">
        <v>0</v>
      </c>
      <c r="E125" s="3">
        <v>0</v>
      </c>
      <c r="F125" s="3">
        <v>0</v>
      </c>
      <c r="G125" s="54" t="str">
        <f t="shared" si="5"/>
        <v>Walk-Local</v>
      </c>
      <c r="H125" s="54" t="str">
        <f t="shared" si="6"/>
        <v>Walk-Transit</v>
      </c>
      <c r="I125" s="54" t="str">
        <f t="shared" si="7"/>
        <v>School</v>
      </c>
      <c r="K125" s="1" t="s">
        <v>28</v>
      </c>
      <c r="L125" s="1" t="s">
        <v>22</v>
      </c>
      <c r="M125" s="1" t="s">
        <v>130</v>
      </c>
      <c r="N125" s="1">
        <v>0</v>
      </c>
      <c r="O125" s="1">
        <v>0</v>
      </c>
      <c r="P125" s="1">
        <v>0</v>
      </c>
      <c r="Q125" s="54" t="str">
        <f t="shared" si="9"/>
        <v>Joint</v>
      </c>
    </row>
    <row r="126" spans="1:17" x14ac:dyDescent="0.2">
      <c r="A126" s="1" t="s">
        <v>10</v>
      </c>
      <c r="B126" s="1" t="s">
        <v>19</v>
      </c>
      <c r="C126" s="1">
        <v>10</v>
      </c>
      <c r="D126" s="3">
        <v>0</v>
      </c>
      <c r="E126" s="3">
        <v>0</v>
      </c>
      <c r="F126" s="3">
        <v>0</v>
      </c>
      <c r="G126" s="54" t="str">
        <f t="shared" si="5"/>
        <v>Walk-LRF</v>
      </c>
      <c r="H126" s="54" t="str">
        <f t="shared" si="6"/>
        <v>Walk-Transit</v>
      </c>
      <c r="I126" s="54" t="str">
        <f t="shared" si="7"/>
        <v>School</v>
      </c>
      <c r="K126" s="1" t="s">
        <v>28</v>
      </c>
      <c r="L126" s="1" t="s">
        <v>22</v>
      </c>
      <c r="M126" s="1" t="s">
        <v>122</v>
      </c>
      <c r="N126" s="1">
        <v>0</v>
      </c>
      <c r="O126" s="1">
        <v>0</v>
      </c>
      <c r="P126" s="1">
        <v>0</v>
      </c>
      <c r="Q126" s="54" t="str">
        <f t="shared" si="9"/>
        <v>Joint</v>
      </c>
    </row>
    <row r="127" spans="1:17" x14ac:dyDescent="0.2">
      <c r="A127" s="1" t="s">
        <v>10</v>
      </c>
      <c r="B127" s="1" t="s">
        <v>19</v>
      </c>
      <c r="C127" s="1">
        <v>11</v>
      </c>
      <c r="D127" s="3">
        <v>0</v>
      </c>
      <c r="E127" s="3">
        <v>0</v>
      </c>
      <c r="F127" s="3">
        <v>0</v>
      </c>
      <c r="G127" s="54" t="str">
        <f t="shared" si="5"/>
        <v>Walk-Express</v>
      </c>
      <c r="H127" s="54" t="str">
        <f t="shared" si="6"/>
        <v>Walk-Transit</v>
      </c>
      <c r="I127" s="54" t="str">
        <f t="shared" si="7"/>
        <v>School</v>
      </c>
      <c r="Q127" s="54" t="str">
        <f t="shared" si="9"/>
        <v>None</v>
      </c>
    </row>
    <row r="128" spans="1:17" x14ac:dyDescent="0.2">
      <c r="A128" s="1" t="s">
        <v>10</v>
      </c>
      <c r="B128" s="1" t="s">
        <v>19</v>
      </c>
      <c r="C128" s="1">
        <v>12</v>
      </c>
      <c r="D128" s="3">
        <v>0</v>
      </c>
      <c r="E128" s="3">
        <v>0</v>
      </c>
      <c r="F128" s="3">
        <v>0</v>
      </c>
      <c r="G128" s="54" t="str">
        <f t="shared" si="5"/>
        <v>Walk-HeavyRail</v>
      </c>
      <c r="H128" s="54" t="str">
        <f t="shared" si="6"/>
        <v>Walk-Transit</v>
      </c>
      <c r="I128" s="54" t="str">
        <f t="shared" si="7"/>
        <v>School</v>
      </c>
      <c r="Q128" s="54" t="str">
        <f t="shared" si="9"/>
        <v>None</v>
      </c>
    </row>
    <row r="129" spans="1:17" x14ac:dyDescent="0.2">
      <c r="A129" s="1" t="s">
        <v>10</v>
      </c>
      <c r="B129" s="1" t="s">
        <v>19</v>
      </c>
      <c r="C129" s="1">
        <v>13</v>
      </c>
      <c r="D129" s="3">
        <v>0</v>
      </c>
      <c r="E129" s="3">
        <v>0</v>
      </c>
      <c r="F129" s="3">
        <v>0</v>
      </c>
      <c r="G129" s="54" t="str">
        <f t="shared" si="5"/>
        <v>Walk-CommRail</v>
      </c>
      <c r="H129" s="54" t="str">
        <f t="shared" si="6"/>
        <v>Walk-Transit</v>
      </c>
      <c r="I129" s="54" t="str">
        <f t="shared" si="7"/>
        <v>School</v>
      </c>
      <c r="Q129" s="54" t="str">
        <f t="shared" si="9"/>
        <v>None</v>
      </c>
    </row>
    <row r="130" spans="1:17" x14ac:dyDescent="0.2">
      <c r="A130" s="1" t="s">
        <v>10</v>
      </c>
      <c r="B130" s="1" t="s">
        <v>19</v>
      </c>
      <c r="C130" s="1">
        <v>19</v>
      </c>
      <c r="D130" s="3">
        <v>0</v>
      </c>
      <c r="E130" s="3">
        <v>0</v>
      </c>
      <c r="F130" s="3">
        <v>0</v>
      </c>
      <c r="G130" s="54" t="str">
        <f t="shared" si="5"/>
        <v>Taxi</v>
      </c>
      <c r="H130" s="54" t="str">
        <f t="shared" si="6"/>
        <v>Taxi</v>
      </c>
      <c r="I130" s="54" t="str">
        <f t="shared" si="7"/>
        <v>School</v>
      </c>
      <c r="Q130" s="54" t="str">
        <f t="shared" si="9"/>
        <v>None</v>
      </c>
    </row>
    <row r="131" spans="1:17" x14ac:dyDescent="0.2">
      <c r="A131" s="1" t="s">
        <v>10</v>
      </c>
      <c r="B131" s="1" t="s">
        <v>19</v>
      </c>
      <c r="C131" s="1">
        <v>20</v>
      </c>
      <c r="D131" s="3">
        <v>0</v>
      </c>
      <c r="E131" s="3">
        <v>0</v>
      </c>
      <c r="F131" s="3">
        <v>0</v>
      </c>
      <c r="G131" s="54" t="str">
        <f t="shared" ref="G131:G194" si="10">_xlfn.IFNA(VLOOKUP($C131,tour_modes,2,FALSE),"None")</f>
        <v>TNC-Single</v>
      </c>
      <c r="H131" s="54" t="str">
        <f t="shared" ref="H131:H194" si="11">_xlfn.IFNA(VLOOKUP($C131,tour_modes,3,FALSE),"None")</f>
        <v>TNC-Single</v>
      </c>
      <c r="I131" s="54" t="str">
        <f t="shared" ref="I131:I194" si="12">IF(A131="joint","Joint",_xlfn.IFNA(VLOOKUP($B131,tour_purposes,2,FALSE),"None"))</f>
        <v>School</v>
      </c>
      <c r="Q131" s="54" t="str">
        <f t="shared" ref="Q131:Q162" si="13">IF(K131="joint","Joint",_xlfn.IFNA(VLOOKUP($L131,tour_purposes,2,FALSE),"None"))</f>
        <v>None</v>
      </c>
    </row>
    <row r="132" spans="1:17" x14ac:dyDescent="0.2">
      <c r="A132" s="1" t="s">
        <v>10</v>
      </c>
      <c r="B132" s="1" t="s">
        <v>20</v>
      </c>
      <c r="C132" s="1">
        <v>1</v>
      </c>
      <c r="D132" s="3">
        <v>0</v>
      </c>
      <c r="E132" s="3">
        <v>0</v>
      </c>
      <c r="F132" s="3">
        <v>0</v>
      </c>
      <c r="G132" s="54" t="str">
        <f t="shared" si="10"/>
        <v>Drive Alone</v>
      </c>
      <c r="H132" s="54" t="str">
        <f t="shared" si="11"/>
        <v>Drive Alone</v>
      </c>
      <c r="I132" s="54" t="str">
        <f t="shared" si="12"/>
        <v>School</v>
      </c>
      <c r="Q132" s="54" t="str">
        <f t="shared" si="13"/>
        <v>None</v>
      </c>
    </row>
    <row r="133" spans="1:17" x14ac:dyDescent="0.2">
      <c r="A133" s="1" t="s">
        <v>10</v>
      </c>
      <c r="B133" s="1" t="s">
        <v>20</v>
      </c>
      <c r="C133" s="1">
        <v>2</v>
      </c>
      <c r="D133" s="3">
        <v>0</v>
      </c>
      <c r="E133" s="3">
        <v>0</v>
      </c>
      <c r="F133" s="3">
        <v>0</v>
      </c>
      <c r="G133" s="54" t="str">
        <f t="shared" si="10"/>
        <v>Drive Alone</v>
      </c>
      <c r="H133" s="54" t="str">
        <f t="shared" si="11"/>
        <v>Drive Alone</v>
      </c>
      <c r="I133" s="54" t="str">
        <f t="shared" si="12"/>
        <v>School</v>
      </c>
      <c r="Q133" s="54" t="str">
        <f t="shared" si="13"/>
        <v>None</v>
      </c>
    </row>
    <row r="134" spans="1:17" x14ac:dyDescent="0.2">
      <c r="A134" s="1" t="s">
        <v>10</v>
      </c>
      <c r="B134" s="1" t="s">
        <v>20</v>
      </c>
      <c r="C134" s="1">
        <v>3</v>
      </c>
      <c r="D134" s="3">
        <v>0</v>
      </c>
      <c r="E134" s="3">
        <v>0</v>
      </c>
      <c r="F134" s="3">
        <v>0</v>
      </c>
      <c r="G134" s="54" t="str">
        <f t="shared" si="10"/>
        <v>SR2</v>
      </c>
      <c r="H134" s="54" t="str">
        <f t="shared" si="11"/>
        <v>SR2</v>
      </c>
      <c r="I134" s="54" t="str">
        <f t="shared" si="12"/>
        <v>School</v>
      </c>
      <c r="Q134" s="54" t="str">
        <f t="shared" si="13"/>
        <v>None</v>
      </c>
    </row>
    <row r="135" spans="1:17" x14ac:dyDescent="0.2">
      <c r="A135" s="1" t="s">
        <v>10</v>
      </c>
      <c r="B135" s="1" t="s">
        <v>20</v>
      </c>
      <c r="C135" s="1">
        <v>5</v>
      </c>
      <c r="D135" s="3">
        <v>0</v>
      </c>
      <c r="E135" s="3">
        <v>0</v>
      </c>
      <c r="F135" s="3">
        <v>0</v>
      </c>
      <c r="G135" s="54" t="str">
        <f t="shared" si="10"/>
        <v>SR3+</v>
      </c>
      <c r="H135" s="54" t="str">
        <f t="shared" si="11"/>
        <v>SR3+</v>
      </c>
      <c r="I135" s="54" t="str">
        <f t="shared" si="12"/>
        <v>School</v>
      </c>
      <c r="Q135" s="54" t="str">
        <f t="shared" si="13"/>
        <v>None</v>
      </c>
    </row>
    <row r="136" spans="1:17" x14ac:dyDescent="0.2">
      <c r="A136" s="1" t="s">
        <v>10</v>
      </c>
      <c r="B136" s="1" t="s">
        <v>20</v>
      </c>
      <c r="C136" s="1">
        <v>7</v>
      </c>
      <c r="D136" s="3">
        <v>0</v>
      </c>
      <c r="E136" s="3">
        <v>0</v>
      </c>
      <c r="F136" s="3">
        <v>0</v>
      </c>
      <c r="G136" s="54" t="str">
        <f t="shared" si="10"/>
        <v>Walk</v>
      </c>
      <c r="H136" s="54" t="str">
        <f t="shared" si="11"/>
        <v>Walk</v>
      </c>
      <c r="I136" s="54" t="str">
        <f t="shared" si="12"/>
        <v>School</v>
      </c>
      <c r="Q136" s="54" t="str">
        <f t="shared" si="13"/>
        <v>None</v>
      </c>
    </row>
    <row r="137" spans="1:17" x14ac:dyDescent="0.2">
      <c r="A137" s="1" t="s">
        <v>10</v>
      </c>
      <c r="B137" s="1" t="s">
        <v>20</v>
      </c>
      <c r="C137" s="1">
        <v>8</v>
      </c>
      <c r="D137" s="3">
        <v>0</v>
      </c>
      <c r="E137" s="3">
        <v>0</v>
      </c>
      <c r="F137" s="3">
        <v>0</v>
      </c>
      <c r="G137" s="54" t="str">
        <f t="shared" si="10"/>
        <v>Bike</v>
      </c>
      <c r="H137" s="54" t="str">
        <f t="shared" si="11"/>
        <v>Bike</v>
      </c>
      <c r="I137" s="54" t="str">
        <f t="shared" si="12"/>
        <v>School</v>
      </c>
      <c r="Q137" s="54" t="str">
        <f t="shared" si="13"/>
        <v>None</v>
      </c>
    </row>
    <row r="138" spans="1:17" x14ac:dyDescent="0.2">
      <c r="A138" s="1" t="s">
        <v>10</v>
      </c>
      <c r="B138" s="1" t="s">
        <v>20</v>
      </c>
      <c r="C138" s="1">
        <v>9</v>
      </c>
      <c r="D138" s="3">
        <v>0</v>
      </c>
      <c r="E138" s="3">
        <v>0</v>
      </c>
      <c r="F138" s="3">
        <v>0</v>
      </c>
      <c r="G138" s="54" t="str">
        <f t="shared" si="10"/>
        <v>Walk-Local</v>
      </c>
      <c r="H138" s="54" t="str">
        <f t="shared" si="11"/>
        <v>Walk-Transit</v>
      </c>
      <c r="I138" s="54" t="str">
        <f t="shared" si="12"/>
        <v>School</v>
      </c>
      <c r="Q138" s="54" t="str">
        <f t="shared" si="13"/>
        <v>None</v>
      </c>
    </row>
    <row r="139" spans="1:17" x14ac:dyDescent="0.2">
      <c r="A139" s="1" t="s">
        <v>10</v>
      </c>
      <c r="B139" s="1" t="s">
        <v>20</v>
      </c>
      <c r="C139" s="1">
        <v>10</v>
      </c>
      <c r="D139" s="3">
        <v>0</v>
      </c>
      <c r="E139" s="3">
        <v>0</v>
      </c>
      <c r="F139" s="3">
        <v>0</v>
      </c>
      <c r="G139" s="54" t="str">
        <f t="shared" si="10"/>
        <v>Walk-LRF</v>
      </c>
      <c r="H139" s="54" t="str">
        <f t="shared" si="11"/>
        <v>Walk-Transit</v>
      </c>
      <c r="I139" s="54" t="str">
        <f t="shared" si="12"/>
        <v>School</v>
      </c>
      <c r="Q139" s="54" t="str">
        <f t="shared" si="13"/>
        <v>None</v>
      </c>
    </row>
    <row r="140" spans="1:17" x14ac:dyDescent="0.2">
      <c r="A140" s="1" t="s">
        <v>10</v>
      </c>
      <c r="B140" s="1" t="s">
        <v>20</v>
      </c>
      <c r="C140" s="1">
        <v>11</v>
      </c>
      <c r="D140" s="3">
        <v>0</v>
      </c>
      <c r="E140" s="3">
        <v>0</v>
      </c>
      <c r="F140" s="3">
        <v>0</v>
      </c>
      <c r="G140" s="54" t="str">
        <f t="shared" si="10"/>
        <v>Walk-Express</v>
      </c>
      <c r="H140" s="54" t="str">
        <f t="shared" si="11"/>
        <v>Walk-Transit</v>
      </c>
      <c r="I140" s="54" t="str">
        <f t="shared" si="12"/>
        <v>School</v>
      </c>
      <c r="Q140" s="54" t="str">
        <f t="shared" si="13"/>
        <v>None</v>
      </c>
    </row>
    <row r="141" spans="1:17" x14ac:dyDescent="0.2">
      <c r="A141" s="1" t="s">
        <v>10</v>
      </c>
      <c r="B141" s="1" t="s">
        <v>20</v>
      </c>
      <c r="C141" s="1">
        <v>12</v>
      </c>
      <c r="D141" s="3">
        <v>0</v>
      </c>
      <c r="E141" s="3">
        <v>0</v>
      </c>
      <c r="F141" s="3">
        <v>0</v>
      </c>
      <c r="G141" s="54" t="str">
        <f t="shared" si="10"/>
        <v>Walk-HeavyRail</v>
      </c>
      <c r="H141" s="54" t="str">
        <f t="shared" si="11"/>
        <v>Walk-Transit</v>
      </c>
      <c r="I141" s="54" t="str">
        <f t="shared" si="12"/>
        <v>School</v>
      </c>
      <c r="Q141" s="54" t="str">
        <f t="shared" si="13"/>
        <v>None</v>
      </c>
    </row>
    <row r="142" spans="1:17" x14ac:dyDescent="0.2">
      <c r="A142" s="1" t="s">
        <v>10</v>
      </c>
      <c r="B142" s="1" t="s">
        <v>20</v>
      </c>
      <c r="C142" s="1">
        <v>13</v>
      </c>
      <c r="D142" s="3">
        <v>0</v>
      </c>
      <c r="E142" s="3">
        <v>0</v>
      </c>
      <c r="F142" s="3">
        <v>0</v>
      </c>
      <c r="G142" s="54" t="str">
        <f t="shared" si="10"/>
        <v>Walk-CommRail</v>
      </c>
      <c r="H142" s="54" t="str">
        <f t="shared" si="11"/>
        <v>Walk-Transit</v>
      </c>
      <c r="I142" s="54" t="str">
        <f t="shared" si="12"/>
        <v>School</v>
      </c>
      <c r="Q142" s="54" t="str">
        <f t="shared" si="13"/>
        <v>None</v>
      </c>
    </row>
    <row r="143" spans="1:17" x14ac:dyDescent="0.2">
      <c r="A143" s="1" t="s">
        <v>10</v>
      </c>
      <c r="B143" s="1" t="s">
        <v>20</v>
      </c>
      <c r="C143" s="1">
        <v>14</v>
      </c>
      <c r="D143" s="3">
        <v>0</v>
      </c>
      <c r="E143" s="3">
        <v>0</v>
      </c>
      <c r="F143" s="3">
        <v>0</v>
      </c>
      <c r="G143" s="54" t="str">
        <f t="shared" si="10"/>
        <v>Drive-Local</v>
      </c>
      <c r="H143" s="54" t="str">
        <f t="shared" si="11"/>
        <v>Drive-Transit</v>
      </c>
      <c r="I143" s="54" t="str">
        <f t="shared" si="12"/>
        <v>School</v>
      </c>
      <c r="Q143" s="54" t="str">
        <f t="shared" si="13"/>
        <v>None</v>
      </c>
    </row>
    <row r="144" spans="1:17" x14ac:dyDescent="0.2">
      <c r="A144" s="1" t="s">
        <v>10</v>
      </c>
      <c r="B144" s="1" t="s">
        <v>20</v>
      </c>
      <c r="C144" s="1">
        <v>15</v>
      </c>
      <c r="D144" s="3">
        <v>0</v>
      </c>
      <c r="E144" s="3">
        <v>0</v>
      </c>
      <c r="F144" s="3">
        <v>0</v>
      </c>
      <c r="G144" s="54" t="str">
        <f t="shared" si="10"/>
        <v>Drive-LRF</v>
      </c>
      <c r="H144" s="54" t="str">
        <f t="shared" si="11"/>
        <v>Drive-Transit</v>
      </c>
      <c r="I144" s="54" t="str">
        <f t="shared" si="12"/>
        <v>School</v>
      </c>
      <c r="Q144" s="54" t="str">
        <f t="shared" si="13"/>
        <v>None</v>
      </c>
    </row>
    <row r="145" spans="1:17" x14ac:dyDescent="0.2">
      <c r="A145" s="1" t="s">
        <v>10</v>
      </c>
      <c r="B145" s="1" t="s">
        <v>20</v>
      </c>
      <c r="C145" s="1">
        <v>16</v>
      </c>
      <c r="D145" s="3">
        <v>0</v>
      </c>
      <c r="E145" s="3">
        <v>0</v>
      </c>
      <c r="F145" s="3">
        <v>0</v>
      </c>
      <c r="G145" s="54" t="str">
        <f t="shared" si="10"/>
        <v>Drive-Express</v>
      </c>
      <c r="H145" s="54" t="str">
        <f t="shared" si="11"/>
        <v>Drive-Transit</v>
      </c>
      <c r="I145" s="54" t="str">
        <f t="shared" si="12"/>
        <v>School</v>
      </c>
      <c r="Q145" s="54" t="str">
        <f t="shared" si="13"/>
        <v>None</v>
      </c>
    </row>
    <row r="146" spans="1:17" x14ac:dyDescent="0.2">
      <c r="A146" s="1" t="s">
        <v>10</v>
      </c>
      <c r="B146" s="1" t="s">
        <v>20</v>
      </c>
      <c r="C146" s="1">
        <v>17</v>
      </c>
      <c r="D146" s="3">
        <v>0</v>
      </c>
      <c r="E146" s="3">
        <v>0</v>
      </c>
      <c r="F146" s="3">
        <v>0</v>
      </c>
      <c r="G146" s="54" t="str">
        <f t="shared" si="10"/>
        <v>Drive-HeavyRail</v>
      </c>
      <c r="H146" s="54" t="str">
        <f t="shared" si="11"/>
        <v>Drive-Transit</v>
      </c>
      <c r="I146" s="54" t="str">
        <f t="shared" si="12"/>
        <v>School</v>
      </c>
      <c r="Q146" s="54" t="str">
        <f t="shared" si="13"/>
        <v>None</v>
      </c>
    </row>
    <row r="147" spans="1:17" x14ac:dyDescent="0.2">
      <c r="A147" s="1" t="s">
        <v>10</v>
      </c>
      <c r="B147" s="1" t="s">
        <v>20</v>
      </c>
      <c r="C147" s="1">
        <v>18</v>
      </c>
      <c r="D147" s="3">
        <v>0</v>
      </c>
      <c r="E147" s="3">
        <v>0</v>
      </c>
      <c r="F147" s="3">
        <v>0</v>
      </c>
      <c r="G147" s="54" t="str">
        <f t="shared" si="10"/>
        <v>Drive-CommRail</v>
      </c>
      <c r="H147" s="54" t="str">
        <f t="shared" si="11"/>
        <v>Drive-Transit</v>
      </c>
      <c r="I147" s="54" t="str">
        <f t="shared" si="12"/>
        <v>School</v>
      </c>
      <c r="Q147" s="54" t="str">
        <f t="shared" si="13"/>
        <v>None</v>
      </c>
    </row>
    <row r="148" spans="1:17" x14ac:dyDescent="0.2">
      <c r="A148" s="1" t="s">
        <v>10</v>
      </c>
      <c r="B148" s="1" t="s">
        <v>20</v>
      </c>
      <c r="C148" s="1">
        <v>19</v>
      </c>
      <c r="D148" s="3">
        <v>0</v>
      </c>
      <c r="E148" s="3">
        <v>0</v>
      </c>
      <c r="F148" s="3">
        <v>0</v>
      </c>
      <c r="G148" s="54" t="str">
        <f t="shared" si="10"/>
        <v>Taxi</v>
      </c>
      <c r="H148" s="54" t="str">
        <f t="shared" si="11"/>
        <v>Taxi</v>
      </c>
      <c r="I148" s="54" t="str">
        <f t="shared" si="12"/>
        <v>School</v>
      </c>
      <c r="Q148" s="54" t="str">
        <f t="shared" si="13"/>
        <v>None</v>
      </c>
    </row>
    <row r="149" spans="1:17" x14ac:dyDescent="0.2">
      <c r="A149" s="1" t="s">
        <v>10</v>
      </c>
      <c r="B149" s="1" t="s">
        <v>21</v>
      </c>
      <c r="C149" s="1">
        <v>1</v>
      </c>
      <c r="D149" s="3">
        <v>0</v>
      </c>
      <c r="E149" s="3">
        <v>0</v>
      </c>
      <c r="F149" s="3">
        <v>0</v>
      </c>
      <c r="G149" s="54" t="str">
        <f t="shared" si="10"/>
        <v>Drive Alone</v>
      </c>
      <c r="H149" s="54" t="str">
        <f t="shared" si="11"/>
        <v>Drive Alone</v>
      </c>
      <c r="I149" s="54" t="str">
        <f t="shared" si="12"/>
        <v>Individual Maintenance</v>
      </c>
      <c r="Q149" s="54" t="str">
        <f t="shared" si="13"/>
        <v>None</v>
      </c>
    </row>
    <row r="150" spans="1:17" x14ac:dyDescent="0.2">
      <c r="A150" s="1" t="s">
        <v>10</v>
      </c>
      <c r="B150" s="1" t="s">
        <v>21</v>
      </c>
      <c r="C150" s="1">
        <v>2</v>
      </c>
      <c r="D150" s="3">
        <v>0</v>
      </c>
      <c r="E150" s="3">
        <v>0</v>
      </c>
      <c r="F150" s="3">
        <v>0</v>
      </c>
      <c r="G150" s="54" t="str">
        <f t="shared" si="10"/>
        <v>Drive Alone</v>
      </c>
      <c r="H150" s="54" t="str">
        <f t="shared" si="11"/>
        <v>Drive Alone</v>
      </c>
      <c r="I150" s="54" t="str">
        <f t="shared" si="12"/>
        <v>Individual Maintenance</v>
      </c>
      <c r="Q150" s="54" t="str">
        <f t="shared" si="13"/>
        <v>None</v>
      </c>
    </row>
    <row r="151" spans="1:17" x14ac:dyDescent="0.2">
      <c r="A151" s="1" t="s">
        <v>10</v>
      </c>
      <c r="B151" s="1" t="s">
        <v>21</v>
      </c>
      <c r="C151" s="1">
        <v>3</v>
      </c>
      <c r="D151" s="3">
        <v>0</v>
      </c>
      <c r="E151" s="3">
        <v>0</v>
      </c>
      <c r="F151" s="3">
        <v>0</v>
      </c>
      <c r="G151" s="54" t="str">
        <f t="shared" si="10"/>
        <v>SR2</v>
      </c>
      <c r="H151" s="54" t="str">
        <f t="shared" si="11"/>
        <v>SR2</v>
      </c>
      <c r="I151" s="54" t="str">
        <f t="shared" si="12"/>
        <v>Individual Maintenance</v>
      </c>
      <c r="Q151" s="54" t="str">
        <f t="shared" si="13"/>
        <v>None</v>
      </c>
    </row>
    <row r="152" spans="1:17" x14ac:dyDescent="0.2">
      <c r="A152" s="1" t="s">
        <v>10</v>
      </c>
      <c r="B152" s="1" t="s">
        <v>21</v>
      </c>
      <c r="C152" s="1">
        <v>5</v>
      </c>
      <c r="D152" s="3">
        <v>0</v>
      </c>
      <c r="E152" s="3">
        <v>0</v>
      </c>
      <c r="F152" s="3">
        <v>0</v>
      </c>
      <c r="G152" s="54" t="str">
        <f t="shared" si="10"/>
        <v>SR3+</v>
      </c>
      <c r="H152" s="54" t="str">
        <f t="shared" si="11"/>
        <v>SR3+</v>
      </c>
      <c r="I152" s="54" t="str">
        <f t="shared" si="12"/>
        <v>Individual Maintenance</v>
      </c>
      <c r="Q152" s="54" t="str">
        <f t="shared" si="13"/>
        <v>None</v>
      </c>
    </row>
    <row r="153" spans="1:17" x14ac:dyDescent="0.2">
      <c r="A153" s="1" t="s">
        <v>10</v>
      </c>
      <c r="B153" s="1" t="s">
        <v>21</v>
      </c>
      <c r="C153" s="1">
        <v>7</v>
      </c>
      <c r="D153" s="3">
        <v>0</v>
      </c>
      <c r="E153" s="3">
        <v>0</v>
      </c>
      <c r="F153" s="3">
        <v>0</v>
      </c>
      <c r="G153" s="54" t="str">
        <f t="shared" si="10"/>
        <v>Walk</v>
      </c>
      <c r="H153" s="54" t="str">
        <f t="shared" si="11"/>
        <v>Walk</v>
      </c>
      <c r="I153" s="54" t="str">
        <f t="shared" si="12"/>
        <v>Individual Maintenance</v>
      </c>
      <c r="Q153" s="54" t="str">
        <f t="shared" si="13"/>
        <v>None</v>
      </c>
    </row>
    <row r="154" spans="1:17" x14ac:dyDescent="0.2">
      <c r="A154" s="1" t="s">
        <v>10</v>
      </c>
      <c r="B154" s="1" t="s">
        <v>21</v>
      </c>
      <c r="C154" s="1">
        <v>8</v>
      </c>
      <c r="D154" s="3">
        <v>0</v>
      </c>
      <c r="E154" s="3">
        <v>0</v>
      </c>
      <c r="F154" s="3">
        <v>0</v>
      </c>
      <c r="G154" s="54" t="str">
        <f t="shared" si="10"/>
        <v>Bike</v>
      </c>
      <c r="H154" s="54" t="str">
        <f t="shared" si="11"/>
        <v>Bike</v>
      </c>
      <c r="I154" s="54" t="str">
        <f t="shared" si="12"/>
        <v>Individual Maintenance</v>
      </c>
      <c r="Q154" s="54" t="str">
        <f t="shared" si="13"/>
        <v>None</v>
      </c>
    </row>
    <row r="155" spans="1:17" x14ac:dyDescent="0.2">
      <c r="A155" s="1" t="s">
        <v>10</v>
      </c>
      <c r="B155" s="1" t="s">
        <v>21</v>
      </c>
      <c r="C155" s="1">
        <v>9</v>
      </c>
      <c r="D155" s="3">
        <v>0</v>
      </c>
      <c r="E155" s="3">
        <v>0</v>
      </c>
      <c r="F155" s="3">
        <v>0</v>
      </c>
      <c r="G155" s="54" t="str">
        <f t="shared" si="10"/>
        <v>Walk-Local</v>
      </c>
      <c r="H155" s="54" t="str">
        <f t="shared" si="11"/>
        <v>Walk-Transit</v>
      </c>
      <c r="I155" s="54" t="str">
        <f t="shared" si="12"/>
        <v>Individual Maintenance</v>
      </c>
      <c r="Q155" s="54" t="str">
        <f t="shared" si="13"/>
        <v>None</v>
      </c>
    </row>
    <row r="156" spans="1:17" x14ac:dyDescent="0.2">
      <c r="A156" s="1" t="s">
        <v>10</v>
      </c>
      <c r="B156" s="1" t="s">
        <v>21</v>
      </c>
      <c r="C156" s="1">
        <v>10</v>
      </c>
      <c r="D156" s="3">
        <v>0</v>
      </c>
      <c r="E156" s="3">
        <v>0</v>
      </c>
      <c r="F156" s="3">
        <v>0</v>
      </c>
      <c r="G156" s="54" t="str">
        <f t="shared" si="10"/>
        <v>Walk-LRF</v>
      </c>
      <c r="H156" s="54" t="str">
        <f t="shared" si="11"/>
        <v>Walk-Transit</v>
      </c>
      <c r="I156" s="54" t="str">
        <f t="shared" si="12"/>
        <v>Individual Maintenance</v>
      </c>
      <c r="Q156" s="54" t="str">
        <f t="shared" si="13"/>
        <v>None</v>
      </c>
    </row>
    <row r="157" spans="1:17" x14ac:dyDescent="0.2">
      <c r="A157" s="1" t="s">
        <v>10</v>
      </c>
      <c r="B157" s="1" t="s">
        <v>21</v>
      </c>
      <c r="C157" s="1">
        <v>11</v>
      </c>
      <c r="D157" s="3">
        <v>0</v>
      </c>
      <c r="E157" s="3">
        <v>0</v>
      </c>
      <c r="F157" s="3">
        <v>0</v>
      </c>
      <c r="G157" s="54" t="str">
        <f t="shared" si="10"/>
        <v>Walk-Express</v>
      </c>
      <c r="H157" s="54" t="str">
        <f t="shared" si="11"/>
        <v>Walk-Transit</v>
      </c>
      <c r="I157" s="54" t="str">
        <f t="shared" si="12"/>
        <v>Individual Maintenance</v>
      </c>
      <c r="Q157" s="54" t="str">
        <f t="shared" si="13"/>
        <v>None</v>
      </c>
    </row>
    <row r="158" spans="1:17" x14ac:dyDescent="0.2">
      <c r="A158" s="1" t="s">
        <v>10</v>
      </c>
      <c r="B158" s="1" t="s">
        <v>21</v>
      </c>
      <c r="C158" s="1">
        <v>12</v>
      </c>
      <c r="D158" s="3">
        <v>0</v>
      </c>
      <c r="E158" s="3">
        <v>0</v>
      </c>
      <c r="F158" s="3">
        <v>0</v>
      </c>
      <c r="G158" s="54" t="str">
        <f t="shared" si="10"/>
        <v>Walk-HeavyRail</v>
      </c>
      <c r="H158" s="54" t="str">
        <f t="shared" si="11"/>
        <v>Walk-Transit</v>
      </c>
      <c r="I158" s="54" t="str">
        <f t="shared" si="12"/>
        <v>Individual Maintenance</v>
      </c>
      <c r="Q158" s="54" t="str">
        <f t="shared" si="13"/>
        <v>None</v>
      </c>
    </row>
    <row r="159" spans="1:17" x14ac:dyDescent="0.2">
      <c r="A159" s="1" t="s">
        <v>10</v>
      </c>
      <c r="B159" s="1" t="s">
        <v>21</v>
      </c>
      <c r="C159" s="1">
        <v>13</v>
      </c>
      <c r="D159" s="3">
        <v>0</v>
      </c>
      <c r="E159" s="3">
        <v>0</v>
      </c>
      <c r="F159" s="3">
        <v>0</v>
      </c>
      <c r="G159" s="54" t="str">
        <f t="shared" si="10"/>
        <v>Walk-CommRail</v>
      </c>
      <c r="H159" s="54" t="str">
        <f t="shared" si="11"/>
        <v>Walk-Transit</v>
      </c>
      <c r="I159" s="54" t="str">
        <f t="shared" si="12"/>
        <v>Individual Maintenance</v>
      </c>
      <c r="Q159" s="54" t="str">
        <f t="shared" si="13"/>
        <v>None</v>
      </c>
    </row>
    <row r="160" spans="1:17" x14ac:dyDescent="0.2">
      <c r="A160" s="1" t="s">
        <v>10</v>
      </c>
      <c r="B160" s="1" t="s">
        <v>21</v>
      </c>
      <c r="C160" s="1">
        <v>14</v>
      </c>
      <c r="D160" s="3">
        <v>0</v>
      </c>
      <c r="E160" s="3">
        <v>0</v>
      </c>
      <c r="F160" s="3">
        <v>0</v>
      </c>
      <c r="G160" s="54" t="str">
        <f t="shared" si="10"/>
        <v>Drive-Local</v>
      </c>
      <c r="H160" s="54" t="str">
        <f t="shared" si="11"/>
        <v>Drive-Transit</v>
      </c>
      <c r="I160" s="54" t="str">
        <f t="shared" si="12"/>
        <v>Individual Maintenance</v>
      </c>
      <c r="Q160" s="54" t="str">
        <f t="shared" si="13"/>
        <v>None</v>
      </c>
    </row>
    <row r="161" spans="1:17" x14ac:dyDescent="0.2">
      <c r="A161" s="1" t="s">
        <v>10</v>
      </c>
      <c r="B161" s="1" t="s">
        <v>21</v>
      </c>
      <c r="C161" s="1">
        <v>15</v>
      </c>
      <c r="D161" s="3">
        <v>0</v>
      </c>
      <c r="E161" s="3">
        <v>0</v>
      </c>
      <c r="F161" s="3">
        <v>0</v>
      </c>
      <c r="G161" s="54" t="str">
        <f t="shared" si="10"/>
        <v>Drive-LRF</v>
      </c>
      <c r="H161" s="54" t="str">
        <f t="shared" si="11"/>
        <v>Drive-Transit</v>
      </c>
      <c r="I161" s="54" t="str">
        <f t="shared" si="12"/>
        <v>Individual Maintenance</v>
      </c>
      <c r="Q161" s="54" t="str">
        <f t="shared" si="13"/>
        <v>None</v>
      </c>
    </row>
    <row r="162" spans="1:17" x14ac:dyDescent="0.2">
      <c r="A162" s="1" t="s">
        <v>10</v>
      </c>
      <c r="B162" s="1" t="s">
        <v>21</v>
      </c>
      <c r="C162" s="1">
        <v>16</v>
      </c>
      <c r="D162" s="3">
        <v>0</v>
      </c>
      <c r="E162" s="3">
        <v>0</v>
      </c>
      <c r="F162" s="3">
        <v>0</v>
      </c>
      <c r="G162" s="54" t="str">
        <f t="shared" si="10"/>
        <v>Drive-Express</v>
      </c>
      <c r="H162" s="54" t="str">
        <f t="shared" si="11"/>
        <v>Drive-Transit</v>
      </c>
      <c r="I162" s="54" t="str">
        <f t="shared" si="12"/>
        <v>Individual Maintenance</v>
      </c>
      <c r="Q162" s="54" t="str">
        <f t="shared" si="13"/>
        <v>None</v>
      </c>
    </row>
    <row r="163" spans="1:17" x14ac:dyDescent="0.2">
      <c r="A163" s="1" t="s">
        <v>10</v>
      </c>
      <c r="B163" s="1" t="s">
        <v>21</v>
      </c>
      <c r="C163" s="1">
        <v>17</v>
      </c>
      <c r="D163" s="3">
        <v>0</v>
      </c>
      <c r="E163" s="3">
        <v>0</v>
      </c>
      <c r="F163" s="3">
        <v>0</v>
      </c>
      <c r="G163" s="54" t="str">
        <f t="shared" si="10"/>
        <v>Drive-HeavyRail</v>
      </c>
      <c r="H163" s="54" t="str">
        <f t="shared" si="11"/>
        <v>Drive-Transit</v>
      </c>
      <c r="I163" s="54" t="str">
        <f t="shared" si="12"/>
        <v>Individual Maintenance</v>
      </c>
      <c r="Q163" s="54" t="str">
        <f t="shared" ref="Q163:Q199" si="14">IF(K163="joint","Joint",_xlfn.IFNA(VLOOKUP($L163,tour_purposes,2,FALSE),"None"))</f>
        <v>None</v>
      </c>
    </row>
    <row r="164" spans="1:17" x14ac:dyDescent="0.2">
      <c r="A164" s="1" t="s">
        <v>10</v>
      </c>
      <c r="B164" s="1" t="s">
        <v>21</v>
      </c>
      <c r="C164" s="1">
        <v>18</v>
      </c>
      <c r="D164" s="3">
        <v>0</v>
      </c>
      <c r="E164" s="3">
        <v>0</v>
      </c>
      <c r="F164" s="3">
        <v>0</v>
      </c>
      <c r="G164" s="54" t="str">
        <f t="shared" si="10"/>
        <v>Drive-CommRail</v>
      </c>
      <c r="H164" s="54" t="str">
        <f t="shared" si="11"/>
        <v>Drive-Transit</v>
      </c>
      <c r="I164" s="54" t="str">
        <f t="shared" si="12"/>
        <v>Individual Maintenance</v>
      </c>
      <c r="Q164" s="54" t="str">
        <f t="shared" si="14"/>
        <v>None</v>
      </c>
    </row>
    <row r="165" spans="1:17" x14ac:dyDescent="0.2">
      <c r="A165" s="1" t="s">
        <v>10</v>
      </c>
      <c r="B165" s="1" t="s">
        <v>21</v>
      </c>
      <c r="C165" s="1">
        <v>19</v>
      </c>
      <c r="D165" s="3">
        <v>0</v>
      </c>
      <c r="E165" s="3">
        <v>0</v>
      </c>
      <c r="F165" s="3">
        <v>0</v>
      </c>
      <c r="G165" s="54" t="str">
        <f t="shared" si="10"/>
        <v>Taxi</v>
      </c>
      <c r="H165" s="54" t="str">
        <f t="shared" si="11"/>
        <v>Taxi</v>
      </c>
      <c r="I165" s="54" t="str">
        <f t="shared" si="12"/>
        <v>Individual Maintenance</v>
      </c>
      <c r="Q165" s="54" t="str">
        <f t="shared" si="14"/>
        <v>None</v>
      </c>
    </row>
    <row r="166" spans="1:17" x14ac:dyDescent="0.2">
      <c r="A166" s="1" t="s">
        <v>10</v>
      </c>
      <c r="B166" s="1" t="s">
        <v>22</v>
      </c>
      <c r="C166" s="1">
        <v>1</v>
      </c>
      <c r="D166" s="3">
        <v>0</v>
      </c>
      <c r="E166" s="3">
        <v>0</v>
      </c>
      <c r="F166" s="3">
        <v>0</v>
      </c>
      <c r="G166" s="54" t="str">
        <f t="shared" si="10"/>
        <v>Drive Alone</v>
      </c>
      <c r="H166" s="54" t="str">
        <f t="shared" si="11"/>
        <v>Drive Alone</v>
      </c>
      <c r="I166" s="54" t="str">
        <f t="shared" si="12"/>
        <v>Individual Discretionary</v>
      </c>
      <c r="Q166" s="54" t="str">
        <f t="shared" si="14"/>
        <v>None</v>
      </c>
    </row>
    <row r="167" spans="1:17" x14ac:dyDescent="0.2">
      <c r="A167" s="1" t="s">
        <v>10</v>
      </c>
      <c r="B167" s="1" t="s">
        <v>22</v>
      </c>
      <c r="C167" s="1">
        <v>2</v>
      </c>
      <c r="D167" s="3">
        <v>0</v>
      </c>
      <c r="E167" s="3">
        <v>0</v>
      </c>
      <c r="F167" s="3">
        <v>0</v>
      </c>
      <c r="G167" s="54" t="str">
        <f t="shared" si="10"/>
        <v>Drive Alone</v>
      </c>
      <c r="H167" s="54" t="str">
        <f t="shared" si="11"/>
        <v>Drive Alone</v>
      </c>
      <c r="I167" s="54" t="str">
        <f t="shared" si="12"/>
        <v>Individual Discretionary</v>
      </c>
      <c r="Q167" s="54" t="str">
        <f t="shared" si="14"/>
        <v>None</v>
      </c>
    </row>
    <row r="168" spans="1:17" x14ac:dyDescent="0.2">
      <c r="A168" s="1" t="s">
        <v>10</v>
      </c>
      <c r="B168" s="1" t="s">
        <v>22</v>
      </c>
      <c r="C168" s="1">
        <v>3</v>
      </c>
      <c r="D168" s="3">
        <v>0</v>
      </c>
      <c r="E168" s="3">
        <v>0</v>
      </c>
      <c r="F168" s="3">
        <v>0</v>
      </c>
      <c r="G168" s="54" t="str">
        <f t="shared" si="10"/>
        <v>SR2</v>
      </c>
      <c r="H168" s="54" t="str">
        <f t="shared" si="11"/>
        <v>SR2</v>
      </c>
      <c r="I168" s="54" t="str">
        <f t="shared" si="12"/>
        <v>Individual Discretionary</v>
      </c>
      <c r="Q168" s="54" t="str">
        <f t="shared" si="14"/>
        <v>None</v>
      </c>
    </row>
    <row r="169" spans="1:17" x14ac:dyDescent="0.2">
      <c r="A169" s="1" t="s">
        <v>10</v>
      </c>
      <c r="B169" s="1" t="s">
        <v>22</v>
      </c>
      <c r="C169" s="1">
        <v>5</v>
      </c>
      <c r="D169" s="3">
        <v>0</v>
      </c>
      <c r="E169" s="3">
        <v>0</v>
      </c>
      <c r="F169" s="3">
        <v>0</v>
      </c>
      <c r="G169" s="54" t="str">
        <f t="shared" si="10"/>
        <v>SR3+</v>
      </c>
      <c r="H169" s="54" t="str">
        <f t="shared" si="11"/>
        <v>SR3+</v>
      </c>
      <c r="I169" s="54" t="str">
        <f t="shared" si="12"/>
        <v>Individual Discretionary</v>
      </c>
      <c r="Q169" s="54" t="str">
        <f t="shared" si="14"/>
        <v>None</v>
      </c>
    </row>
    <row r="170" spans="1:17" x14ac:dyDescent="0.2">
      <c r="A170" s="1" t="s">
        <v>10</v>
      </c>
      <c r="B170" s="1" t="s">
        <v>22</v>
      </c>
      <c r="C170" s="1">
        <v>7</v>
      </c>
      <c r="D170" s="3">
        <v>0</v>
      </c>
      <c r="E170" s="3">
        <v>0</v>
      </c>
      <c r="F170" s="3">
        <v>0</v>
      </c>
      <c r="G170" s="54" t="str">
        <f t="shared" si="10"/>
        <v>Walk</v>
      </c>
      <c r="H170" s="54" t="str">
        <f t="shared" si="11"/>
        <v>Walk</v>
      </c>
      <c r="I170" s="54" t="str">
        <f t="shared" si="12"/>
        <v>Individual Discretionary</v>
      </c>
      <c r="Q170" s="54" t="str">
        <f t="shared" si="14"/>
        <v>None</v>
      </c>
    </row>
    <row r="171" spans="1:17" x14ac:dyDescent="0.2">
      <c r="A171" s="1" t="s">
        <v>10</v>
      </c>
      <c r="B171" s="1" t="s">
        <v>22</v>
      </c>
      <c r="C171" s="1">
        <v>8</v>
      </c>
      <c r="D171" s="3">
        <v>0</v>
      </c>
      <c r="E171" s="3">
        <v>0</v>
      </c>
      <c r="F171" s="3">
        <v>0</v>
      </c>
      <c r="G171" s="54" t="str">
        <f t="shared" si="10"/>
        <v>Bike</v>
      </c>
      <c r="H171" s="54" t="str">
        <f t="shared" si="11"/>
        <v>Bike</v>
      </c>
      <c r="I171" s="54" t="str">
        <f t="shared" si="12"/>
        <v>Individual Discretionary</v>
      </c>
      <c r="Q171" s="54" t="str">
        <f t="shared" si="14"/>
        <v>None</v>
      </c>
    </row>
    <row r="172" spans="1:17" x14ac:dyDescent="0.2">
      <c r="A172" s="1" t="s">
        <v>10</v>
      </c>
      <c r="B172" s="1" t="s">
        <v>22</v>
      </c>
      <c r="C172" s="1">
        <v>9</v>
      </c>
      <c r="D172" s="3">
        <v>0</v>
      </c>
      <c r="E172" s="3">
        <v>0</v>
      </c>
      <c r="F172" s="3">
        <v>0</v>
      </c>
      <c r="G172" s="54" t="str">
        <f t="shared" si="10"/>
        <v>Walk-Local</v>
      </c>
      <c r="H172" s="54" t="str">
        <f t="shared" si="11"/>
        <v>Walk-Transit</v>
      </c>
      <c r="I172" s="54" t="str">
        <f t="shared" si="12"/>
        <v>Individual Discretionary</v>
      </c>
      <c r="Q172" s="54" t="str">
        <f t="shared" si="14"/>
        <v>None</v>
      </c>
    </row>
    <row r="173" spans="1:17" x14ac:dyDescent="0.2">
      <c r="A173" s="1" t="s">
        <v>10</v>
      </c>
      <c r="B173" s="1" t="s">
        <v>22</v>
      </c>
      <c r="C173" s="1">
        <v>10</v>
      </c>
      <c r="D173" s="3">
        <v>0</v>
      </c>
      <c r="E173" s="3">
        <v>0</v>
      </c>
      <c r="F173" s="3">
        <v>0</v>
      </c>
      <c r="G173" s="54" t="str">
        <f t="shared" si="10"/>
        <v>Walk-LRF</v>
      </c>
      <c r="H173" s="54" t="str">
        <f t="shared" si="11"/>
        <v>Walk-Transit</v>
      </c>
      <c r="I173" s="54" t="str">
        <f t="shared" si="12"/>
        <v>Individual Discretionary</v>
      </c>
      <c r="Q173" s="54" t="str">
        <f t="shared" si="14"/>
        <v>None</v>
      </c>
    </row>
    <row r="174" spans="1:17" x14ac:dyDescent="0.2">
      <c r="A174" s="1" t="s">
        <v>10</v>
      </c>
      <c r="B174" s="1" t="s">
        <v>22</v>
      </c>
      <c r="C174" s="1">
        <v>11</v>
      </c>
      <c r="D174" s="3">
        <v>0</v>
      </c>
      <c r="E174" s="3">
        <v>0</v>
      </c>
      <c r="F174" s="3">
        <v>0</v>
      </c>
      <c r="G174" s="54" t="str">
        <f t="shared" si="10"/>
        <v>Walk-Express</v>
      </c>
      <c r="H174" s="54" t="str">
        <f t="shared" si="11"/>
        <v>Walk-Transit</v>
      </c>
      <c r="I174" s="54" t="str">
        <f t="shared" si="12"/>
        <v>Individual Discretionary</v>
      </c>
      <c r="Q174" s="54" t="str">
        <f t="shared" si="14"/>
        <v>None</v>
      </c>
    </row>
    <row r="175" spans="1:17" x14ac:dyDescent="0.2">
      <c r="A175" s="1" t="s">
        <v>10</v>
      </c>
      <c r="B175" s="1" t="s">
        <v>22</v>
      </c>
      <c r="C175" s="1">
        <v>12</v>
      </c>
      <c r="D175" s="3">
        <v>0</v>
      </c>
      <c r="E175" s="3">
        <v>0</v>
      </c>
      <c r="F175" s="3">
        <v>0</v>
      </c>
      <c r="G175" s="54" t="str">
        <f t="shared" si="10"/>
        <v>Walk-HeavyRail</v>
      </c>
      <c r="H175" s="54" t="str">
        <f t="shared" si="11"/>
        <v>Walk-Transit</v>
      </c>
      <c r="I175" s="54" t="str">
        <f t="shared" si="12"/>
        <v>Individual Discretionary</v>
      </c>
      <c r="Q175" s="54" t="str">
        <f t="shared" si="14"/>
        <v>None</v>
      </c>
    </row>
    <row r="176" spans="1:17" x14ac:dyDescent="0.2">
      <c r="A176" s="1" t="s">
        <v>10</v>
      </c>
      <c r="B176" s="1" t="s">
        <v>22</v>
      </c>
      <c r="C176" s="1">
        <v>13</v>
      </c>
      <c r="D176" s="3">
        <v>0</v>
      </c>
      <c r="E176" s="3">
        <v>0</v>
      </c>
      <c r="F176" s="3">
        <v>0</v>
      </c>
      <c r="G176" s="54" t="str">
        <f t="shared" si="10"/>
        <v>Walk-CommRail</v>
      </c>
      <c r="H176" s="54" t="str">
        <f t="shared" si="11"/>
        <v>Walk-Transit</v>
      </c>
      <c r="I176" s="54" t="str">
        <f t="shared" si="12"/>
        <v>Individual Discretionary</v>
      </c>
      <c r="Q176" s="54" t="str">
        <f t="shared" si="14"/>
        <v>None</v>
      </c>
    </row>
    <row r="177" spans="1:17" x14ac:dyDescent="0.2">
      <c r="A177" s="1" t="s">
        <v>10</v>
      </c>
      <c r="B177" s="1" t="s">
        <v>22</v>
      </c>
      <c r="C177" s="1">
        <v>14</v>
      </c>
      <c r="D177" s="3">
        <v>0</v>
      </c>
      <c r="E177" s="3">
        <v>0</v>
      </c>
      <c r="F177" s="3">
        <v>0</v>
      </c>
      <c r="G177" s="54" t="str">
        <f t="shared" si="10"/>
        <v>Drive-Local</v>
      </c>
      <c r="H177" s="54" t="str">
        <f t="shared" si="11"/>
        <v>Drive-Transit</v>
      </c>
      <c r="I177" s="54" t="str">
        <f t="shared" si="12"/>
        <v>Individual Discretionary</v>
      </c>
      <c r="Q177" s="54" t="str">
        <f t="shared" si="14"/>
        <v>None</v>
      </c>
    </row>
    <row r="178" spans="1:17" x14ac:dyDescent="0.2">
      <c r="A178" s="1" t="s">
        <v>10</v>
      </c>
      <c r="B178" s="1" t="s">
        <v>22</v>
      </c>
      <c r="C178" s="1">
        <v>15</v>
      </c>
      <c r="D178" s="3">
        <v>0</v>
      </c>
      <c r="E178" s="3">
        <v>0</v>
      </c>
      <c r="F178" s="3">
        <v>0</v>
      </c>
      <c r="G178" s="54" t="str">
        <f t="shared" si="10"/>
        <v>Drive-LRF</v>
      </c>
      <c r="H178" s="54" t="str">
        <f t="shared" si="11"/>
        <v>Drive-Transit</v>
      </c>
      <c r="I178" s="54" t="str">
        <f t="shared" si="12"/>
        <v>Individual Discretionary</v>
      </c>
      <c r="Q178" s="54" t="str">
        <f t="shared" si="14"/>
        <v>None</v>
      </c>
    </row>
    <row r="179" spans="1:17" x14ac:dyDescent="0.2">
      <c r="A179" s="1" t="s">
        <v>10</v>
      </c>
      <c r="B179" s="1" t="s">
        <v>22</v>
      </c>
      <c r="C179" s="1">
        <v>16</v>
      </c>
      <c r="D179" s="3">
        <v>0</v>
      </c>
      <c r="E179" s="3">
        <v>0</v>
      </c>
      <c r="F179" s="3">
        <v>0</v>
      </c>
      <c r="G179" s="54" t="str">
        <f t="shared" si="10"/>
        <v>Drive-Express</v>
      </c>
      <c r="H179" s="54" t="str">
        <f t="shared" si="11"/>
        <v>Drive-Transit</v>
      </c>
      <c r="I179" s="54" t="str">
        <f t="shared" si="12"/>
        <v>Individual Discretionary</v>
      </c>
      <c r="Q179" s="54" t="str">
        <f t="shared" si="14"/>
        <v>None</v>
      </c>
    </row>
    <row r="180" spans="1:17" x14ac:dyDescent="0.2">
      <c r="A180" s="1" t="s">
        <v>10</v>
      </c>
      <c r="B180" s="1" t="s">
        <v>22</v>
      </c>
      <c r="C180" s="1">
        <v>17</v>
      </c>
      <c r="D180" s="3">
        <v>0</v>
      </c>
      <c r="E180" s="3">
        <v>0</v>
      </c>
      <c r="F180" s="3">
        <v>0</v>
      </c>
      <c r="G180" s="54" t="str">
        <f t="shared" si="10"/>
        <v>Drive-HeavyRail</v>
      </c>
      <c r="H180" s="54" t="str">
        <f t="shared" si="11"/>
        <v>Drive-Transit</v>
      </c>
      <c r="I180" s="54" t="str">
        <f t="shared" si="12"/>
        <v>Individual Discretionary</v>
      </c>
      <c r="Q180" s="54" t="str">
        <f t="shared" si="14"/>
        <v>None</v>
      </c>
    </row>
    <row r="181" spans="1:17" x14ac:dyDescent="0.2">
      <c r="A181" s="1" t="s">
        <v>10</v>
      </c>
      <c r="B181" s="1" t="s">
        <v>22</v>
      </c>
      <c r="C181" s="1">
        <v>18</v>
      </c>
      <c r="D181" s="3">
        <v>0</v>
      </c>
      <c r="E181" s="3">
        <v>0</v>
      </c>
      <c r="F181" s="3">
        <v>0</v>
      </c>
      <c r="G181" s="54" t="str">
        <f t="shared" si="10"/>
        <v>Drive-CommRail</v>
      </c>
      <c r="H181" s="54" t="str">
        <f t="shared" si="11"/>
        <v>Drive-Transit</v>
      </c>
      <c r="I181" s="54" t="str">
        <f t="shared" si="12"/>
        <v>Individual Discretionary</v>
      </c>
      <c r="Q181" s="54" t="str">
        <f t="shared" si="14"/>
        <v>None</v>
      </c>
    </row>
    <row r="182" spans="1:17" x14ac:dyDescent="0.2">
      <c r="A182" s="1" t="s">
        <v>10</v>
      </c>
      <c r="B182" s="1" t="s">
        <v>22</v>
      </c>
      <c r="C182" s="1">
        <v>19</v>
      </c>
      <c r="D182" s="3">
        <v>0</v>
      </c>
      <c r="E182" s="3">
        <v>0</v>
      </c>
      <c r="F182" s="3">
        <v>0</v>
      </c>
      <c r="G182" s="54" t="str">
        <f t="shared" si="10"/>
        <v>Taxi</v>
      </c>
      <c r="H182" s="54" t="str">
        <f t="shared" si="11"/>
        <v>Taxi</v>
      </c>
      <c r="I182" s="54" t="str">
        <f t="shared" si="12"/>
        <v>Individual Discretionary</v>
      </c>
      <c r="Q182" s="54" t="str">
        <f t="shared" si="14"/>
        <v>None</v>
      </c>
    </row>
    <row r="183" spans="1:17" x14ac:dyDescent="0.2">
      <c r="A183" s="1" t="s">
        <v>10</v>
      </c>
      <c r="B183" s="1" t="s">
        <v>23</v>
      </c>
      <c r="C183" s="1">
        <v>1</v>
      </c>
      <c r="D183" s="3">
        <v>0</v>
      </c>
      <c r="E183" s="3">
        <v>0</v>
      </c>
      <c r="F183" s="3">
        <v>0</v>
      </c>
      <c r="G183" s="54" t="str">
        <f t="shared" si="10"/>
        <v>Drive Alone</v>
      </c>
      <c r="H183" s="54" t="str">
        <f t="shared" si="11"/>
        <v>Drive Alone</v>
      </c>
      <c r="I183" s="54" t="str">
        <f t="shared" si="12"/>
        <v>University</v>
      </c>
      <c r="Q183" s="54" t="str">
        <f t="shared" si="14"/>
        <v>None</v>
      </c>
    </row>
    <row r="184" spans="1:17" x14ac:dyDescent="0.2">
      <c r="A184" s="1" t="s">
        <v>10</v>
      </c>
      <c r="B184" s="1" t="s">
        <v>23</v>
      </c>
      <c r="C184" s="1">
        <v>2</v>
      </c>
      <c r="D184" s="3">
        <v>0</v>
      </c>
      <c r="E184" s="3">
        <v>0</v>
      </c>
      <c r="F184" s="3">
        <v>0</v>
      </c>
      <c r="G184" s="54" t="str">
        <f t="shared" si="10"/>
        <v>Drive Alone</v>
      </c>
      <c r="H184" s="54" t="str">
        <f t="shared" si="11"/>
        <v>Drive Alone</v>
      </c>
      <c r="I184" s="54" t="str">
        <f t="shared" si="12"/>
        <v>University</v>
      </c>
      <c r="Q184" s="54" t="str">
        <f t="shared" si="14"/>
        <v>None</v>
      </c>
    </row>
    <row r="185" spans="1:17" x14ac:dyDescent="0.2">
      <c r="A185" s="1" t="s">
        <v>10</v>
      </c>
      <c r="B185" s="1" t="s">
        <v>23</v>
      </c>
      <c r="C185" s="1">
        <v>3</v>
      </c>
      <c r="D185" s="3">
        <v>0</v>
      </c>
      <c r="E185" s="3">
        <v>0</v>
      </c>
      <c r="F185" s="3">
        <v>0</v>
      </c>
      <c r="G185" s="54" t="str">
        <f t="shared" si="10"/>
        <v>SR2</v>
      </c>
      <c r="H185" s="54" t="str">
        <f t="shared" si="11"/>
        <v>SR2</v>
      </c>
      <c r="I185" s="54" t="str">
        <f t="shared" si="12"/>
        <v>University</v>
      </c>
      <c r="Q185" s="54" t="str">
        <f t="shared" si="14"/>
        <v>None</v>
      </c>
    </row>
    <row r="186" spans="1:17" x14ac:dyDescent="0.2">
      <c r="A186" s="1" t="s">
        <v>10</v>
      </c>
      <c r="B186" s="1" t="s">
        <v>23</v>
      </c>
      <c r="C186" s="1">
        <v>5</v>
      </c>
      <c r="D186" s="3">
        <v>0</v>
      </c>
      <c r="E186" s="3">
        <v>0</v>
      </c>
      <c r="F186" s="3">
        <v>0</v>
      </c>
      <c r="G186" s="54" t="str">
        <f t="shared" si="10"/>
        <v>SR3+</v>
      </c>
      <c r="H186" s="54" t="str">
        <f t="shared" si="11"/>
        <v>SR3+</v>
      </c>
      <c r="I186" s="54" t="str">
        <f t="shared" si="12"/>
        <v>University</v>
      </c>
      <c r="Q186" s="54" t="str">
        <f t="shared" si="14"/>
        <v>None</v>
      </c>
    </row>
    <row r="187" spans="1:17" x14ac:dyDescent="0.2">
      <c r="A187" s="1" t="s">
        <v>10</v>
      </c>
      <c r="B187" s="1" t="s">
        <v>23</v>
      </c>
      <c r="C187" s="1">
        <v>7</v>
      </c>
      <c r="D187" s="3">
        <v>0</v>
      </c>
      <c r="E187" s="3">
        <v>0</v>
      </c>
      <c r="F187" s="3">
        <v>0</v>
      </c>
      <c r="G187" s="54" t="str">
        <f t="shared" si="10"/>
        <v>Walk</v>
      </c>
      <c r="H187" s="54" t="str">
        <f t="shared" si="11"/>
        <v>Walk</v>
      </c>
      <c r="I187" s="54" t="str">
        <f t="shared" si="12"/>
        <v>University</v>
      </c>
      <c r="Q187" s="54" t="str">
        <f t="shared" si="14"/>
        <v>None</v>
      </c>
    </row>
    <row r="188" spans="1:17" x14ac:dyDescent="0.2">
      <c r="A188" s="1" t="s">
        <v>10</v>
      </c>
      <c r="B188" s="1" t="s">
        <v>23</v>
      </c>
      <c r="C188" s="1">
        <v>8</v>
      </c>
      <c r="D188" s="3">
        <v>0</v>
      </c>
      <c r="E188" s="3">
        <v>0</v>
      </c>
      <c r="F188" s="3">
        <v>0</v>
      </c>
      <c r="G188" s="54" t="str">
        <f t="shared" si="10"/>
        <v>Bike</v>
      </c>
      <c r="H188" s="54" t="str">
        <f t="shared" si="11"/>
        <v>Bike</v>
      </c>
      <c r="I188" s="54" t="str">
        <f t="shared" si="12"/>
        <v>University</v>
      </c>
      <c r="Q188" s="54" t="str">
        <f t="shared" si="14"/>
        <v>None</v>
      </c>
    </row>
    <row r="189" spans="1:17" x14ac:dyDescent="0.2">
      <c r="A189" s="1" t="s">
        <v>10</v>
      </c>
      <c r="B189" s="1" t="s">
        <v>23</v>
      </c>
      <c r="C189" s="1">
        <v>9</v>
      </c>
      <c r="D189" s="3">
        <v>0</v>
      </c>
      <c r="E189" s="3">
        <v>0</v>
      </c>
      <c r="F189" s="3">
        <v>0</v>
      </c>
      <c r="G189" s="54" t="str">
        <f t="shared" si="10"/>
        <v>Walk-Local</v>
      </c>
      <c r="H189" s="54" t="str">
        <f t="shared" si="11"/>
        <v>Walk-Transit</v>
      </c>
      <c r="I189" s="54" t="str">
        <f t="shared" si="12"/>
        <v>University</v>
      </c>
      <c r="Q189" s="54" t="str">
        <f t="shared" si="14"/>
        <v>None</v>
      </c>
    </row>
    <row r="190" spans="1:17" x14ac:dyDescent="0.2">
      <c r="A190" s="1" t="s">
        <v>10</v>
      </c>
      <c r="B190" s="1" t="s">
        <v>23</v>
      </c>
      <c r="C190" s="1">
        <v>10</v>
      </c>
      <c r="D190" s="3">
        <v>0</v>
      </c>
      <c r="E190" s="3">
        <v>0</v>
      </c>
      <c r="F190" s="3">
        <v>0</v>
      </c>
      <c r="G190" s="54" t="str">
        <f t="shared" si="10"/>
        <v>Walk-LRF</v>
      </c>
      <c r="H190" s="54" t="str">
        <f t="shared" si="11"/>
        <v>Walk-Transit</v>
      </c>
      <c r="I190" s="54" t="str">
        <f t="shared" si="12"/>
        <v>University</v>
      </c>
      <c r="Q190" s="54" t="str">
        <f t="shared" si="14"/>
        <v>None</v>
      </c>
    </row>
    <row r="191" spans="1:17" x14ac:dyDescent="0.2">
      <c r="A191" s="1" t="s">
        <v>10</v>
      </c>
      <c r="B191" s="1" t="s">
        <v>23</v>
      </c>
      <c r="C191" s="1">
        <v>11</v>
      </c>
      <c r="D191" s="3">
        <v>0</v>
      </c>
      <c r="E191" s="3">
        <v>0</v>
      </c>
      <c r="F191" s="3">
        <v>0</v>
      </c>
      <c r="G191" s="54" t="str">
        <f t="shared" si="10"/>
        <v>Walk-Express</v>
      </c>
      <c r="H191" s="54" t="str">
        <f t="shared" si="11"/>
        <v>Walk-Transit</v>
      </c>
      <c r="I191" s="54" t="str">
        <f t="shared" si="12"/>
        <v>University</v>
      </c>
      <c r="Q191" s="54" t="str">
        <f t="shared" si="14"/>
        <v>None</v>
      </c>
    </row>
    <row r="192" spans="1:17" x14ac:dyDescent="0.2">
      <c r="A192" s="1" t="s">
        <v>10</v>
      </c>
      <c r="B192" s="1" t="s">
        <v>23</v>
      </c>
      <c r="C192" s="1">
        <v>12</v>
      </c>
      <c r="D192" s="3">
        <v>0</v>
      </c>
      <c r="E192" s="3">
        <v>0</v>
      </c>
      <c r="F192" s="3">
        <v>0</v>
      </c>
      <c r="G192" s="54" t="str">
        <f t="shared" si="10"/>
        <v>Walk-HeavyRail</v>
      </c>
      <c r="H192" s="54" t="str">
        <f t="shared" si="11"/>
        <v>Walk-Transit</v>
      </c>
      <c r="I192" s="54" t="str">
        <f t="shared" si="12"/>
        <v>University</v>
      </c>
      <c r="Q192" s="54" t="str">
        <f t="shared" si="14"/>
        <v>None</v>
      </c>
    </row>
    <row r="193" spans="1:17" x14ac:dyDescent="0.2">
      <c r="A193" s="1" t="s">
        <v>10</v>
      </c>
      <c r="B193" s="1" t="s">
        <v>23</v>
      </c>
      <c r="C193" s="1">
        <v>13</v>
      </c>
      <c r="D193" s="3">
        <v>0</v>
      </c>
      <c r="E193" s="3">
        <v>0</v>
      </c>
      <c r="F193" s="3">
        <v>0</v>
      </c>
      <c r="G193" s="54" t="str">
        <f t="shared" si="10"/>
        <v>Walk-CommRail</v>
      </c>
      <c r="H193" s="54" t="str">
        <f t="shared" si="11"/>
        <v>Walk-Transit</v>
      </c>
      <c r="I193" s="54" t="str">
        <f t="shared" si="12"/>
        <v>University</v>
      </c>
      <c r="Q193" s="54" t="str">
        <f t="shared" si="14"/>
        <v>None</v>
      </c>
    </row>
    <row r="194" spans="1:17" x14ac:dyDescent="0.2">
      <c r="A194" s="1" t="s">
        <v>10</v>
      </c>
      <c r="B194" s="1" t="s">
        <v>23</v>
      </c>
      <c r="C194" s="1">
        <v>14</v>
      </c>
      <c r="D194" s="3">
        <v>0</v>
      </c>
      <c r="E194" s="3">
        <v>0</v>
      </c>
      <c r="F194" s="3">
        <v>0</v>
      </c>
      <c r="G194" s="54" t="str">
        <f t="shared" si="10"/>
        <v>Drive-Local</v>
      </c>
      <c r="H194" s="54" t="str">
        <f t="shared" si="11"/>
        <v>Drive-Transit</v>
      </c>
      <c r="I194" s="54" t="str">
        <f t="shared" si="12"/>
        <v>University</v>
      </c>
      <c r="Q194" s="54" t="str">
        <f t="shared" si="14"/>
        <v>None</v>
      </c>
    </row>
    <row r="195" spans="1:17" x14ac:dyDescent="0.2">
      <c r="A195" s="1" t="s">
        <v>10</v>
      </c>
      <c r="B195" s="1" t="s">
        <v>23</v>
      </c>
      <c r="C195" s="1">
        <v>15</v>
      </c>
      <c r="D195" s="3">
        <v>0</v>
      </c>
      <c r="E195" s="3">
        <v>0</v>
      </c>
      <c r="F195" s="3">
        <v>0</v>
      </c>
      <c r="G195" s="54" t="str">
        <f t="shared" ref="G195:G258" si="15">_xlfn.IFNA(VLOOKUP($C195,tour_modes,2,FALSE),"None")</f>
        <v>Drive-LRF</v>
      </c>
      <c r="H195" s="54" t="str">
        <f t="shared" ref="H195:H258" si="16">_xlfn.IFNA(VLOOKUP($C195,tour_modes,3,FALSE),"None")</f>
        <v>Drive-Transit</v>
      </c>
      <c r="I195" s="54" t="str">
        <f t="shared" ref="I195:I258" si="17">IF(A195="joint","Joint",_xlfn.IFNA(VLOOKUP($B195,tour_purposes,2,FALSE),"None"))</f>
        <v>University</v>
      </c>
      <c r="Q195" s="54" t="str">
        <f t="shared" si="14"/>
        <v>None</v>
      </c>
    </row>
    <row r="196" spans="1:17" x14ac:dyDescent="0.2">
      <c r="A196" s="1" t="s">
        <v>10</v>
      </c>
      <c r="B196" s="1" t="s">
        <v>23</v>
      </c>
      <c r="C196" s="1">
        <v>16</v>
      </c>
      <c r="D196" s="3">
        <v>0</v>
      </c>
      <c r="E196" s="3">
        <v>0</v>
      </c>
      <c r="F196" s="3">
        <v>0</v>
      </c>
      <c r="G196" s="54" t="str">
        <f t="shared" si="15"/>
        <v>Drive-Express</v>
      </c>
      <c r="H196" s="54" t="str">
        <f t="shared" si="16"/>
        <v>Drive-Transit</v>
      </c>
      <c r="I196" s="54" t="str">
        <f t="shared" si="17"/>
        <v>University</v>
      </c>
      <c r="Q196" s="54" t="str">
        <f t="shared" si="14"/>
        <v>None</v>
      </c>
    </row>
    <row r="197" spans="1:17" x14ac:dyDescent="0.2">
      <c r="A197" s="1" t="s">
        <v>10</v>
      </c>
      <c r="B197" s="1" t="s">
        <v>23</v>
      </c>
      <c r="C197" s="1">
        <v>17</v>
      </c>
      <c r="D197" s="3">
        <v>0</v>
      </c>
      <c r="E197" s="3">
        <v>0</v>
      </c>
      <c r="F197" s="3">
        <v>0</v>
      </c>
      <c r="G197" s="54" t="str">
        <f t="shared" si="15"/>
        <v>Drive-HeavyRail</v>
      </c>
      <c r="H197" s="54" t="str">
        <f t="shared" si="16"/>
        <v>Drive-Transit</v>
      </c>
      <c r="I197" s="54" t="str">
        <f t="shared" si="17"/>
        <v>University</v>
      </c>
      <c r="Q197" s="54" t="str">
        <f t="shared" si="14"/>
        <v>None</v>
      </c>
    </row>
    <row r="198" spans="1:17" x14ac:dyDescent="0.2">
      <c r="A198" s="1" t="s">
        <v>10</v>
      </c>
      <c r="B198" s="1" t="s">
        <v>23</v>
      </c>
      <c r="C198" s="1">
        <v>18</v>
      </c>
      <c r="D198" s="3">
        <v>0</v>
      </c>
      <c r="E198" s="3">
        <v>0</v>
      </c>
      <c r="F198" s="3">
        <v>0</v>
      </c>
      <c r="G198" s="54" t="str">
        <f t="shared" si="15"/>
        <v>Drive-CommRail</v>
      </c>
      <c r="H198" s="54" t="str">
        <f t="shared" si="16"/>
        <v>Drive-Transit</v>
      </c>
      <c r="I198" s="54" t="str">
        <f t="shared" si="17"/>
        <v>University</v>
      </c>
      <c r="Q198" s="54" t="str">
        <f t="shared" si="14"/>
        <v>None</v>
      </c>
    </row>
    <row r="199" spans="1:17" x14ac:dyDescent="0.2">
      <c r="A199" s="1" t="s">
        <v>10</v>
      </c>
      <c r="B199" s="1" t="s">
        <v>23</v>
      </c>
      <c r="C199" s="1">
        <v>19</v>
      </c>
      <c r="D199" s="3">
        <v>0</v>
      </c>
      <c r="E199" s="3">
        <v>0</v>
      </c>
      <c r="F199" s="3">
        <v>0</v>
      </c>
      <c r="G199" s="54" t="str">
        <f t="shared" si="15"/>
        <v>Taxi</v>
      </c>
      <c r="H199" s="54" t="str">
        <f t="shared" si="16"/>
        <v>Taxi</v>
      </c>
      <c r="I199" s="54" t="str">
        <f t="shared" si="17"/>
        <v>University</v>
      </c>
      <c r="Q199" s="54" t="str">
        <f t="shared" si="14"/>
        <v>None</v>
      </c>
    </row>
    <row r="200" spans="1:17" x14ac:dyDescent="0.2">
      <c r="A200" s="1" t="s">
        <v>10</v>
      </c>
      <c r="B200" s="1" t="s">
        <v>23</v>
      </c>
      <c r="C200" s="1">
        <v>20</v>
      </c>
      <c r="D200" s="3">
        <v>0</v>
      </c>
      <c r="E200" s="3">
        <v>0</v>
      </c>
      <c r="F200" s="3">
        <v>0</v>
      </c>
      <c r="G200" s="54" t="str">
        <f t="shared" si="15"/>
        <v>TNC-Single</v>
      </c>
      <c r="H200" s="54" t="str">
        <f t="shared" si="16"/>
        <v>TNC-Single</v>
      </c>
      <c r="I200" s="54" t="str">
        <f t="shared" si="17"/>
        <v>University</v>
      </c>
    </row>
    <row r="201" spans="1:17" x14ac:dyDescent="0.2">
      <c r="A201" s="1" t="s">
        <v>10</v>
      </c>
      <c r="B201" s="1" t="s">
        <v>23</v>
      </c>
      <c r="C201" s="1">
        <v>21</v>
      </c>
      <c r="D201" s="3">
        <v>0</v>
      </c>
      <c r="E201" s="3">
        <v>0</v>
      </c>
      <c r="F201" s="3">
        <v>0</v>
      </c>
      <c r="G201" s="54" t="str">
        <f t="shared" si="15"/>
        <v>TNC-Shared</v>
      </c>
      <c r="H201" s="54" t="str">
        <f t="shared" si="16"/>
        <v>TNC-Shared</v>
      </c>
      <c r="I201" s="54" t="str">
        <f t="shared" si="17"/>
        <v>University</v>
      </c>
    </row>
    <row r="202" spans="1:17" x14ac:dyDescent="0.2">
      <c r="A202" s="1" t="s">
        <v>10</v>
      </c>
      <c r="B202" s="1" t="s">
        <v>24</v>
      </c>
      <c r="C202" s="1">
        <v>1</v>
      </c>
      <c r="D202" s="3">
        <v>0</v>
      </c>
      <c r="E202" s="3">
        <v>0</v>
      </c>
      <c r="F202" s="3">
        <v>0</v>
      </c>
      <c r="G202" s="54" t="str">
        <f t="shared" si="15"/>
        <v>Drive Alone</v>
      </c>
      <c r="H202" s="54" t="str">
        <f t="shared" si="16"/>
        <v>Drive Alone</v>
      </c>
      <c r="I202" s="54" t="str">
        <f t="shared" si="17"/>
        <v>Work</v>
      </c>
    </row>
    <row r="203" spans="1:17" x14ac:dyDescent="0.2">
      <c r="A203" s="1" t="s">
        <v>10</v>
      </c>
      <c r="B203" s="1" t="s">
        <v>24</v>
      </c>
      <c r="C203" s="1">
        <v>2</v>
      </c>
      <c r="D203" s="3">
        <v>0</v>
      </c>
      <c r="E203" s="3">
        <v>0</v>
      </c>
      <c r="F203" s="3">
        <v>0</v>
      </c>
      <c r="G203" s="54" t="str">
        <f t="shared" si="15"/>
        <v>Drive Alone</v>
      </c>
      <c r="H203" s="54" t="str">
        <f t="shared" si="16"/>
        <v>Drive Alone</v>
      </c>
      <c r="I203" s="54" t="str">
        <f t="shared" si="17"/>
        <v>Work</v>
      </c>
    </row>
    <row r="204" spans="1:17" x14ac:dyDescent="0.2">
      <c r="A204" s="1" t="s">
        <v>10</v>
      </c>
      <c r="B204" s="1" t="s">
        <v>24</v>
      </c>
      <c r="C204" s="1">
        <v>3</v>
      </c>
      <c r="D204" s="3">
        <v>0</v>
      </c>
      <c r="E204" s="3">
        <v>0</v>
      </c>
      <c r="F204" s="3">
        <v>0</v>
      </c>
      <c r="G204" s="54" t="str">
        <f t="shared" si="15"/>
        <v>SR2</v>
      </c>
      <c r="H204" s="54" t="str">
        <f t="shared" si="16"/>
        <v>SR2</v>
      </c>
      <c r="I204" s="54" t="str">
        <f t="shared" si="17"/>
        <v>Work</v>
      </c>
    </row>
    <row r="205" spans="1:17" x14ac:dyDescent="0.2">
      <c r="A205" s="1" t="s">
        <v>10</v>
      </c>
      <c r="B205" s="1" t="s">
        <v>24</v>
      </c>
      <c r="C205" s="1">
        <v>5</v>
      </c>
      <c r="D205" s="3">
        <v>0</v>
      </c>
      <c r="E205" s="3">
        <v>0</v>
      </c>
      <c r="F205" s="3">
        <v>0</v>
      </c>
      <c r="G205" s="54" t="str">
        <f t="shared" si="15"/>
        <v>SR3+</v>
      </c>
      <c r="H205" s="54" t="str">
        <f t="shared" si="16"/>
        <v>SR3+</v>
      </c>
      <c r="I205" s="54" t="str">
        <f t="shared" si="17"/>
        <v>Work</v>
      </c>
    </row>
    <row r="206" spans="1:17" x14ac:dyDescent="0.2">
      <c r="A206" s="1" t="s">
        <v>10</v>
      </c>
      <c r="B206" s="1" t="s">
        <v>24</v>
      </c>
      <c r="C206" s="1">
        <v>7</v>
      </c>
      <c r="D206" s="3">
        <v>0</v>
      </c>
      <c r="E206" s="3">
        <v>0</v>
      </c>
      <c r="F206" s="3">
        <v>0</v>
      </c>
      <c r="G206" s="54" t="str">
        <f t="shared" si="15"/>
        <v>Walk</v>
      </c>
      <c r="H206" s="54" t="str">
        <f t="shared" si="16"/>
        <v>Walk</v>
      </c>
      <c r="I206" s="54" t="str">
        <f t="shared" si="17"/>
        <v>Work</v>
      </c>
    </row>
    <row r="207" spans="1:17" x14ac:dyDescent="0.2">
      <c r="A207" s="1" t="s">
        <v>10</v>
      </c>
      <c r="B207" s="1" t="s">
        <v>24</v>
      </c>
      <c r="C207" s="1">
        <v>8</v>
      </c>
      <c r="D207" s="3">
        <v>0</v>
      </c>
      <c r="E207" s="3">
        <v>0</v>
      </c>
      <c r="F207" s="3">
        <v>0</v>
      </c>
      <c r="G207" s="54" t="str">
        <f t="shared" si="15"/>
        <v>Bike</v>
      </c>
      <c r="H207" s="54" t="str">
        <f t="shared" si="16"/>
        <v>Bike</v>
      </c>
      <c r="I207" s="54" t="str">
        <f t="shared" si="17"/>
        <v>Work</v>
      </c>
    </row>
    <row r="208" spans="1:17" x14ac:dyDescent="0.2">
      <c r="A208" s="1" t="s">
        <v>10</v>
      </c>
      <c r="B208" s="1" t="s">
        <v>24</v>
      </c>
      <c r="C208" s="1">
        <v>9</v>
      </c>
      <c r="D208" s="3">
        <v>0</v>
      </c>
      <c r="E208" s="3">
        <v>0</v>
      </c>
      <c r="F208" s="3">
        <v>0</v>
      </c>
      <c r="G208" s="54" t="str">
        <f t="shared" si="15"/>
        <v>Walk-Local</v>
      </c>
      <c r="H208" s="54" t="str">
        <f t="shared" si="16"/>
        <v>Walk-Transit</v>
      </c>
      <c r="I208" s="54" t="str">
        <f t="shared" si="17"/>
        <v>Work</v>
      </c>
    </row>
    <row r="209" spans="1:9" x14ac:dyDescent="0.2">
      <c r="A209" s="1" t="s">
        <v>10</v>
      </c>
      <c r="B209" s="1" t="s">
        <v>24</v>
      </c>
      <c r="C209" s="1">
        <v>10</v>
      </c>
      <c r="D209" s="3">
        <v>0</v>
      </c>
      <c r="E209" s="3">
        <v>0</v>
      </c>
      <c r="F209" s="3">
        <v>0</v>
      </c>
      <c r="G209" s="54" t="str">
        <f t="shared" si="15"/>
        <v>Walk-LRF</v>
      </c>
      <c r="H209" s="54" t="str">
        <f t="shared" si="16"/>
        <v>Walk-Transit</v>
      </c>
      <c r="I209" s="54" t="str">
        <f t="shared" si="17"/>
        <v>Work</v>
      </c>
    </row>
    <row r="210" spans="1:9" x14ac:dyDescent="0.2">
      <c r="A210" s="1" t="s">
        <v>10</v>
      </c>
      <c r="B210" s="1" t="s">
        <v>24</v>
      </c>
      <c r="C210" s="1">
        <v>11</v>
      </c>
      <c r="D210" s="3">
        <v>0</v>
      </c>
      <c r="E210" s="3">
        <v>0</v>
      </c>
      <c r="F210" s="3">
        <v>0</v>
      </c>
      <c r="G210" s="54" t="str">
        <f t="shared" si="15"/>
        <v>Walk-Express</v>
      </c>
      <c r="H210" s="54" t="str">
        <f t="shared" si="16"/>
        <v>Walk-Transit</v>
      </c>
      <c r="I210" s="54" t="str">
        <f t="shared" si="17"/>
        <v>Work</v>
      </c>
    </row>
    <row r="211" spans="1:9" x14ac:dyDescent="0.2">
      <c r="A211" s="1" t="s">
        <v>10</v>
      </c>
      <c r="B211" s="1" t="s">
        <v>24</v>
      </c>
      <c r="C211" s="1">
        <v>12</v>
      </c>
      <c r="D211" s="3">
        <v>0</v>
      </c>
      <c r="E211" s="3">
        <v>0</v>
      </c>
      <c r="F211" s="3">
        <v>0</v>
      </c>
      <c r="G211" s="54" t="str">
        <f t="shared" si="15"/>
        <v>Walk-HeavyRail</v>
      </c>
      <c r="H211" s="54" t="str">
        <f t="shared" si="16"/>
        <v>Walk-Transit</v>
      </c>
      <c r="I211" s="54" t="str">
        <f t="shared" si="17"/>
        <v>Work</v>
      </c>
    </row>
    <row r="212" spans="1:9" x14ac:dyDescent="0.2">
      <c r="A212" s="1" t="s">
        <v>10</v>
      </c>
      <c r="B212" s="1" t="s">
        <v>24</v>
      </c>
      <c r="C212" s="1">
        <v>13</v>
      </c>
      <c r="D212" s="3">
        <v>0</v>
      </c>
      <c r="E212" s="3">
        <v>0</v>
      </c>
      <c r="F212" s="3">
        <v>0</v>
      </c>
      <c r="G212" s="54" t="str">
        <f t="shared" si="15"/>
        <v>Walk-CommRail</v>
      </c>
      <c r="H212" s="54" t="str">
        <f t="shared" si="16"/>
        <v>Walk-Transit</v>
      </c>
      <c r="I212" s="54" t="str">
        <f t="shared" si="17"/>
        <v>Work</v>
      </c>
    </row>
    <row r="213" spans="1:9" x14ac:dyDescent="0.2">
      <c r="A213" s="1" t="s">
        <v>10</v>
      </c>
      <c r="B213" s="1" t="s">
        <v>24</v>
      </c>
      <c r="C213" s="1">
        <v>14</v>
      </c>
      <c r="D213" s="3">
        <v>0</v>
      </c>
      <c r="E213" s="3">
        <v>0</v>
      </c>
      <c r="F213" s="3">
        <v>0</v>
      </c>
      <c r="G213" s="54" t="str">
        <f t="shared" si="15"/>
        <v>Drive-Local</v>
      </c>
      <c r="H213" s="54" t="str">
        <f t="shared" si="16"/>
        <v>Drive-Transit</v>
      </c>
      <c r="I213" s="54" t="str">
        <f t="shared" si="17"/>
        <v>Work</v>
      </c>
    </row>
    <row r="214" spans="1:9" x14ac:dyDescent="0.2">
      <c r="A214" s="1" t="s">
        <v>10</v>
      </c>
      <c r="B214" s="1" t="s">
        <v>24</v>
      </c>
      <c r="C214" s="1">
        <v>15</v>
      </c>
      <c r="D214" s="3">
        <v>0</v>
      </c>
      <c r="E214" s="3">
        <v>0</v>
      </c>
      <c r="F214" s="3">
        <v>0</v>
      </c>
      <c r="G214" s="54" t="str">
        <f t="shared" si="15"/>
        <v>Drive-LRF</v>
      </c>
      <c r="H214" s="54" t="str">
        <f t="shared" si="16"/>
        <v>Drive-Transit</v>
      </c>
      <c r="I214" s="54" t="str">
        <f t="shared" si="17"/>
        <v>Work</v>
      </c>
    </row>
    <row r="215" spans="1:9" x14ac:dyDescent="0.2">
      <c r="A215" s="1" t="s">
        <v>10</v>
      </c>
      <c r="B215" s="1" t="s">
        <v>24</v>
      </c>
      <c r="C215" s="1">
        <v>16</v>
      </c>
      <c r="D215" s="3">
        <v>0</v>
      </c>
      <c r="E215" s="3">
        <v>0</v>
      </c>
      <c r="F215" s="3">
        <v>0</v>
      </c>
      <c r="G215" s="54" t="str">
        <f t="shared" si="15"/>
        <v>Drive-Express</v>
      </c>
      <c r="H215" s="54" t="str">
        <f t="shared" si="16"/>
        <v>Drive-Transit</v>
      </c>
      <c r="I215" s="54" t="str">
        <f t="shared" si="17"/>
        <v>Work</v>
      </c>
    </row>
    <row r="216" spans="1:9" x14ac:dyDescent="0.2">
      <c r="A216" s="1" t="s">
        <v>10</v>
      </c>
      <c r="B216" s="1" t="s">
        <v>24</v>
      </c>
      <c r="C216" s="1">
        <v>17</v>
      </c>
      <c r="D216" s="3">
        <v>0</v>
      </c>
      <c r="E216" s="3">
        <v>0</v>
      </c>
      <c r="F216" s="3">
        <v>0</v>
      </c>
      <c r="G216" s="54" t="str">
        <f t="shared" si="15"/>
        <v>Drive-HeavyRail</v>
      </c>
      <c r="H216" s="54" t="str">
        <f t="shared" si="16"/>
        <v>Drive-Transit</v>
      </c>
      <c r="I216" s="54" t="str">
        <f t="shared" si="17"/>
        <v>Work</v>
      </c>
    </row>
    <row r="217" spans="1:9" x14ac:dyDescent="0.2">
      <c r="A217" s="1" t="s">
        <v>10</v>
      </c>
      <c r="B217" s="1" t="s">
        <v>24</v>
      </c>
      <c r="C217" s="1">
        <v>18</v>
      </c>
      <c r="D217" s="3">
        <v>0</v>
      </c>
      <c r="E217" s="3">
        <v>0</v>
      </c>
      <c r="F217" s="3">
        <v>0</v>
      </c>
      <c r="G217" s="54" t="str">
        <f t="shared" si="15"/>
        <v>Drive-CommRail</v>
      </c>
      <c r="H217" s="54" t="str">
        <f t="shared" si="16"/>
        <v>Drive-Transit</v>
      </c>
      <c r="I217" s="54" t="str">
        <f t="shared" si="17"/>
        <v>Work</v>
      </c>
    </row>
    <row r="218" spans="1:9" x14ac:dyDescent="0.2">
      <c r="A218" s="1" t="s">
        <v>10</v>
      </c>
      <c r="B218" s="1" t="s">
        <v>24</v>
      </c>
      <c r="C218" s="1">
        <v>19</v>
      </c>
      <c r="D218" s="3">
        <v>0</v>
      </c>
      <c r="E218" s="3">
        <v>0</v>
      </c>
      <c r="F218" s="3">
        <v>0</v>
      </c>
      <c r="G218" s="54" t="str">
        <f t="shared" si="15"/>
        <v>Taxi</v>
      </c>
      <c r="H218" s="54" t="str">
        <f t="shared" si="16"/>
        <v>Taxi</v>
      </c>
      <c r="I218" s="54" t="str">
        <f t="shared" si="17"/>
        <v>Work</v>
      </c>
    </row>
    <row r="219" spans="1:9" x14ac:dyDescent="0.2">
      <c r="A219" s="1" t="s">
        <v>10</v>
      </c>
      <c r="B219" s="1" t="s">
        <v>24</v>
      </c>
      <c r="C219" s="1">
        <v>21</v>
      </c>
      <c r="D219" s="3">
        <v>0</v>
      </c>
      <c r="E219" s="3">
        <v>0</v>
      </c>
      <c r="F219" s="3">
        <v>0</v>
      </c>
      <c r="G219" s="54" t="str">
        <f t="shared" si="15"/>
        <v>TNC-Shared</v>
      </c>
      <c r="H219" s="54" t="str">
        <f t="shared" si="16"/>
        <v>TNC-Shared</v>
      </c>
      <c r="I219" s="54" t="str">
        <f t="shared" si="17"/>
        <v>Work</v>
      </c>
    </row>
    <row r="220" spans="1:9" x14ac:dyDescent="0.2">
      <c r="A220" s="1" t="s">
        <v>10</v>
      </c>
      <c r="B220" s="1" t="s">
        <v>25</v>
      </c>
      <c r="C220" s="1">
        <v>1</v>
      </c>
      <c r="D220" s="3">
        <v>0</v>
      </c>
      <c r="E220" s="3">
        <v>0</v>
      </c>
      <c r="F220" s="3">
        <v>0</v>
      </c>
      <c r="G220" s="54" t="str">
        <f t="shared" si="15"/>
        <v>Drive Alone</v>
      </c>
      <c r="H220" s="54" t="str">
        <f t="shared" si="16"/>
        <v>Drive Alone</v>
      </c>
      <c r="I220" s="54" t="str">
        <f t="shared" si="17"/>
        <v>Work</v>
      </c>
    </row>
    <row r="221" spans="1:9" x14ac:dyDescent="0.2">
      <c r="A221" s="1" t="s">
        <v>10</v>
      </c>
      <c r="B221" s="1" t="s">
        <v>25</v>
      </c>
      <c r="C221" s="1">
        <v>2</v>
      </c>
      <c r="D221" s="3">
        <v>0</v>
      </c>
      <c r="E221" s="3">
        <v>0</v>
      </c>
      <c r="F221" s="3">
        <v>0</v>
      </c>
      <c r="G221" s="54" t="str">
        <f t="shared" si="15"/>
        <v>Drive Alone</v>
      </c>
      <c r="H221" s="54" t="str">
        <f t="shared" si="16"/>
        <v>Drive Alone</v>
      </c>
      <c r="I221" s="54" t="str">
        <f t="shared" si="17"/>
        <v>Work</v>
      </c>
    </row>
    <row r="222" spans="1:9" x14ac:dyDescent="0.2">
      <c r="A222" s="1" t="s">
        <v>10</v>
      </c>
      <c r="B222" s="1" t="s">
        <v>25</v>
      </c>
      <c r="C222" s="1">
        <v>3</v>
      </c>
      <c r="D222" s="3">
        <v>0</v>
      </c>
      <c r="E222" s="3">
        <v>0</v>
      </c>
      <c r="F222" s="3">
        <v>0</v>
      </c>
      <c r="G222" s="54" t="str">
        <f t="shared" si="15"/>
        <v>SR2</v>
      </c>
      <c r="H222" s="54" t="str">
        <f t="shared" si="16"/>
        <v>SR2</v>
      </c>
      <c r="I222" s="54" t="str">
        <f t="shared" si="17"/>
        <v>Work</v>
      </c>
    </row>
    <row r="223" spans="1:9" x14ac:dyDescent="0.2">
      <c r="A223" s="1" t="s">
        <v>10</v>
      </c>
      <c r="B223" s="1" t="s">
        <v>25</v>
      </c>
      <c r="C223" s="1">
        <v>5</v>
      </c>
      <c r="D223" s="3">
        <v>0</v>
      </c>
      <c r="E223" s="3">
        <v>0</v>
      </c>
      <c r="F223" s="3">
        <v>0</v>
      </c>
      <c r="G223" s="54" t="str">
        <f t="shared" si="15"/>
        <v>SR3+</v>
      </c>
      <c r="H223" s="54" t="str">
        <f t="shared" si="16"/>
        <v>SR3+</v>
      </c>
      <c r="I223" s="54" t="str">
        <f t="shared" si="17"/>
        <v>Work</v>
      </c>
    </row>
    <row r="224" spans="1:9" x14ac:dyDescent="0.2">
      <c r="A224" s="1" t="s">
        <v>10</v>
      </c>
      <c r="B224" s="1" t="s">
        <v>25</v>
      </c>
      <c r="C224" s="1">
        <v>7</v>
      </c>
      <c r="D224" s="3">
        <v>0</v>
      </c>
      <c r="E224" s="3">
        <v>0</v>
      </c>
      <c r="F224" s="3">
        <v>0</v>
      </c>
      <c r="G224" s="54" t="str">
        <f t="shared" si="15"/>
        <v>Walk</v>
      </c>
      <c r="H224" s="54" t="str">
        <f t="shared" si="16"/>
        <v>Walk</v>
      </c>
      <c r="I224" s="54" t="str">
        <f t="shared" si="17"/>
        <v>Work</v>
      </c>
    </row>
    <row r="225" spans="1:9" x14ac:dyDescent="0.2">
      <c r="A225" s="1" t="s">
        <v>10</v>
      </c>
      <c r="B225" s="1" t="s">
        <v>25</v>
      </c>
      <c r="C225" s="1">
        <v>8</v>
      </c>
      <c r="D225" s="3">
        <v>0</v>
      </c>
      <c r="E225" s="3">
        <v>0</v>
      </c>
      <c r="F225" s="3">
        <v>0</v>
      </c>
      <c r="G225" s="54" t="str">
        <f t="shared" si="15"/>
        <v>Bike</v>
      </c>
      <c r="H225" s="54" t="str">
        <f t="shared" si="16"/>
        <v>Bike</v>
      </c>
      <c r="I225" s="54" t="str">
        <f t="shared" si="17"/>
        <v>Work</v>
      </c>
    </row>
    <row r="226" spans="1:9" x14ac:dyDescent="0.2">
      <c r="A226" s="1" t="s">
        <v>10</v>
      </c>
      <c r="B226" s="1" t="s">
        <v>25</v>
      </c>
      <c r="C226" s="1">
        <v>9</v>
      </c>
      <c r="D226" s="3">
        <v>0</v>
      </c>
      <c r="E226" s="3">
        <v>0</v>
      </c>
      <c r="F226" s="3">
        <v>0</v>
      </c>
      <c r="G226" s="54" t="str">
        <f t="shared" si="15"/>
        <v>Walk-Local</v>
      </c>
      <c r="H226" s="54" t="str">
        <f t="shared" si="16"/>
        <v>Walk-Transit</v>
      </c>
      <c r="I226" s="54" t="str">
        <f t="shared" si="17"/>
        <v>Work</v>
      </c>
    </row>
    <row r="227" spans="1:9" x14ac:dyDescent="0.2">
      <c r="A227" s="1" t="s">
        <v>10</v>
      </c>
      <c r="B227" s="1" t="s">
        <v>25</v>
      </c>
      <c r="C227" s="1">
        <v>10</v>
      </c>
      <c r="D227" s="3">
        <v>0</v>
      </c>
      <c r="E227" s="3">
        <v>0</v>
      </c>
      <c r="F227" s="3">
        <v>0</v>
      </c>
      <c r="G227" s="54" t="str">
        <f t="shared" si="15"/>
        <v>Walk-LRF</v>
      </c>
      <c r="H227" s="54" t="str">
        <f t="shared" si="16"/>
        <v>Walk-Transit</v>
      </c>
      <c r="I227" s="54" t="str">
        <f t="shared" si="17"/>
        <v>Work</v>
      </c>
    </row>
    <row r="228" spans="1:9" x14ac:dyDescent="0.2">
      <c r="A228" s="1" t="s">
        <v>10</v>
      </c>
      <c r="B228" s="1" t="s">
        <v>25</v>
      </c>
      <c r="C228" s="1">
        <v>11</v>
      </c>
      <c r="D228" s="3">
        <v>0</v>
      </c>
      <c r="E228" s="3">
        <v>0</v>
      </c>
      <c r="F228" s="3">
        <v>0</v>
      </c>
      <c r="G228" s="54" t="str">
        <f t="shared" si="15"/>
        <v>Walk-Express</v>
      </c>
      <c r="H228" s="54" t="str">
        <f t="shared" si="16"/>
        <v>Walk-Transit</v>
      </c>
      <c r="I228" s="54" t="str">
        <f t="shared" si="17"/>
        <v>Work</v>
      </c>
    </row>
    <row r="229" spans="1:9" x14ac:dyDescent="0.2">
      <c r="A229" s="1" t="s">
        <v>10</v>
      </c>
      <c r="B229" s="1" t="s">
        <v>25</v>
      </c>
      <c r="C229" s="1">
        <v>12</v>
      </c>
      <c r="D229" s="3">
        <v>0</v>
      </c>
      <c r="E229" s="3">
        <v>0</v>
      </c>
      <c r="F229" s="3">
        <v>0</v>
      </c>
      <c r="G229" s="54" t="str">
        <f t="shared" si="15"/>
        <v>Walk-HeavyRail</v>
      </c>
      <c r="H229" s="54" t="str">
        <f t="shared" si="16"/>
        <v>Walk-Transit</v>
      </c>
      <c r="I229" s="54" t="str">
        <f t="shared" si="17"/>
        <v>Work</v>
      </c>
    </row>
    <row r="230" spans="1:9" x14ac:dyDescent="0.2">
      <c r="A230" s="1" t="s">
        <v>10</v>
      </c>
      <c r="B230" s="1" t="s">
        <v>25</v>
      </c>
      <c r="C230" s="1">
        <v>13</v>
      </c>
      <c r="D230" s="3">
        <v>0</v>
      </c>
      <c r="E230" s="3">
        <v>0</v>
      </c>
      <c r="F230" s="3">
        <v>0</v>
      </c>
      <c r="G230" s="54" t="str">
        <f t="shared" si="15"/>
        <v>Walk-CommRail</v>
      </c>
      <c r="H230" s="54" t="str">
        <f t="shared" si="16"/>
        <v>Walk-Transit</v>
      </c>
      <c r="I230" s="54" t="str">
        <f t="shared" si="17"/>
        <v>Work</v>
      </c>
    </row>
    <row r="231" spans="1:9" x14ac:dyDescent="0.2">
      <c r="A231" s="1" t="s">
        <v>10</v>
      </c>
      <c r="B231" s="1" t="s">
        <v>25</v>
      </c>
      <c r="C231" s="1">
        <v>14</v>
      </c>
      <c r="D231" s="3">
        <v>0</v>
      </c>
      <c r="E231" s="3">
        <v>0</v>
      </c>
      <c r="F231" s="3">
        <v>0</v>
      </c>
      <c r="G231" s="54" t="str">
        <f t="shared" si="15"/>
        <v>Drive-Local</v>
      </c>
      <c r="H231" s="54" t="str">
        <f t="shared" si="16"/>
        <v>Drive-Transit</v>
      </c>
      <c r="I231" s="54" t="str">
        <f t="shared" si="17"/>
        <v>Work</v>
      </c>
    </row>
    <row r="232" spans="1:9" x14ac:dyDescent="0.2">
      <c r="A232" s="1" t="s">
        <v>10</v>
      </c>
      <c r="B232" s="1" t="s">
        <v>25</v>
      </c>
      <c r="C232" s="1">
        <v>15</v>
      </c>
      <c r="D232" s="3">
        <v>0</v>
      </c>
      <c r="E232" s="3">
        <v>0</v>
      </c>
      <c r="F232" s="3">
        <v>0</v>
      </c>
      <c r="G232" s="54" t="str">
        <f t="shared" si="15"/>
        <v>Drive-LRF</v>
      </c>
      <c r="H232" s="54" t="str">
        <f t="shared" si="16"/>
        <v>Drive-Transit</v>
      </c>
      <c r="I232" s="54" t="str">
        <f t="shared" si="17"/>
        <v>Work</v>
      </c>
    </row>
    <row r="233" spans="1:9" x14ac:dyDescent="0.2">
      <c r="A233" s="1" t="s">
        <v>10</v>
      </c>
      <c r="B233" s="1" t="s">
        <v>25</v>
      </c>
      <c r="C233" s="1">
        <v>16</v>
      </c>
      <c r="D233" s="3">
        <v>0</v>
      </c>
      <c r="E233" s="3">
        <v>0</v>
      </c>
      <c r="F233" s="3">
        <v>0</v>
      </c>
      <c r="G233" s="54" t="str">
        <f t="shared" si="15"/>
        <v>Drive-Express</v>
      </c>
      <c r="H233" s="54" t="str">
        <f t="shared" si="16"/>
        <v>Drive-Transit</v>
      </c>
      <c r="I233" s="54" t="str">
        <f t="shared" si="17"/>
        <v>Work</v>
      </c>
    </row>
    <row r="234" spans="1:9" x14ac:dyDescent="0.2">
      <c r="A234" s="1" t="s">
        <v>10</v>
      </c>
      <c r="B234" s="1" t="s">
        <v>25</v>
      </c>
      <c r="C234" s="1">
        <v>17</v>
      </c>
      <c r="D234" s="3">
        <v>0</v>
      </c>
      <c r="E234" s="3">
        <v>0</v>
      </c>
      <c r="F234" s="3">
        <v>0</v>
      </c>
      <c r="G234" s="54" t="str">
        <f t="shared" si="15"/>
        <v>Drive-HeavyRail</v>
      </c>
      <c r="H234" s="54" t="str">
        <f t="shared" si="16"/>
        <v>Drive-Transit</v>
      </c>
      <c r="I234" s="54" t="str">
        <f t="shared" si="17"/>
        <v>Work</v>
      </c>
    </row>
    <row r="235" spans="1:9" x14ac:dyDescent="0.2">
      <c r="A235" s="1" t="s">
        <v>10</v>
      </c>
      <c r="B235" s="1" t="s">
        <v>25</v>
      </c>
      <c r="C235" s="1">
        <v>18</v>
      </c>
      <c r="D235" s="3">
        <v>0</v>
      </c>
      <c r="E235" s="3">
        <v>0</v>
      </c>
      <c r="F235" s="3">
        <v>0</v>
      </c>
      <c r="G235" s="54" t="str">
        <f t="shared" si="15"/>
        <v>Drive-CommRail</v>
      </c>
      <c r="H235" s="54" t="str">
        <f t="shared" si="16"/>
        <v>Drive-Transit</v>
      </c>
      <c r="I235" s="54" t="str">
        <f t="shared" si="17"/>
        <v>Work</v>
      </c>
    </row>
    <row r="236" spans="1:9" x14ac:dyDescent="0.2">
      <c r="A236" s="1" t="s">
        <v>10</v>
      </c>
      <c r="B236" s="1" t="s">
        <v>25</v>
      </c>
      <c r="C236" s="1">
        <v>19</v>
      </c>
      <c r="D236" s="3">
        <v>0</v>
      </c>
      <c r="E236" s="3">
        <v>0</v>
      </c>
      <c r="F236" s="3">
        <v>0</v>
      </c>
      <c r="G236" s="54" t="str">
        <f t="shared" si="15"/>
        <v>Taxi</v>
      </c>
      <c r="H236" s="54" t="str">
        <f t="shared" si="16"/>
        <v>Taxi</v>
      </c>
      <c r="I236" s="54" t="str">
        <f t="shared" si="17"/>
        <v>Work</v>
      </c>
    </row>
    <row r="237" spans="1:9" x14ac:dyDescent="0.2">
      <c r="A237" s="1" t="s">
        <v>10</v>
      </c>
      <c r="B237" s="1" t="s">
        <v>26</v>
      </c>
      <c r="C237" s="1">
        <v>1</v>
      </c>
      <c r="D237" s="3">
        <v>0</v>
      </c>
      <c r="E237" s="3">
        <v>0</v>
      </c>
      <c r="F237" s="3">
        <v>0</v>
      </c>
      <c r="G237" s="54" t="str">
        <f t="shared" si="15"/>
        <v>Drive Alone</v>
      </c>
      <c r="H237" s="54" t="str">
        <f t="shared" si="16"/>
        <v>Drive Alone</v>
      </c>
      <c r="I237" s="54" t="str">
        <f t="shared" si="17"/>
        <v>Work</v>
      </c>
    </row>
    <row r="238" spans="1:9" x14ac:dyDescent="0.2">
      <c r="A238" s="1" t="s">
        <v>10</v>
      </c>
      <c r="B238" s="1" t="s">
        <v>26</v>
      </c>
      <c r="C238" s="1">
        <v>2</v>
      </c>
      <c r="D238" s="3">
        <v>0</v>
      </c>
      <c r="E238" s="3">
        <v>0</v>
      </c>
      <c r="F238" s="3">
        <v>0</v>
      </c>
      <c r="G238" s="54" t="str">
        <f t="shared" si="15"/>
        <v>Drive Alone</v>
      </c>
      <c r="H238" s="54" t="str">
        <f t="shared" si="16"/>
        <v>Drive Alone</v>
      </c>
      <c r="I238" s="54" t="str">
        <f t="shared" si="17"/>
        <v>Work</v>
      </c>
    </row>
    <row r="239" spans="1:9" x14ac:dyDescent="0.2">
      <c r="A239" s="1" t="s">
        <v>10</v>
      </c>
      <c r="B239" s="1" t="s">
        <v>26</v>
      </c>
      <c r="C239" s="1">
        <v>3</v>
      </c>
      <c r="D239" s="3">
        <v>0</v>
      </c>
      <c r="E239" s="3">
        <v>0</v>
      </c>
      <c r="F239" s="3">
        <v>0</v>
      </c>
      <c r="G239" s="54" t="str">
        <f t="shared" si="15"/>
        <v>SR2</v>
      </c>
      <c r="H239" s="54" t="str">
        <f t="shared" si="16"/>
        <v>SR2</v>
      </c>
      <c r="I239" s="54" t="str">
        <f t="shared" si="17"/>
        <v>Work</v>
      </c>
    </row>
    <row r="240" spans="1:9" x14ac:dyDescent="0.2">
      <c r="A240" s="1" t="s">
        <v>10</v>
      </c>
      <c r="B240" s="1" t="s">
        <v>26</v>
      </c>
      <c r="C240" s="1">
        <v>5</v>
      </c>
      <c r="D240" s="3">
        <v>0</v>
      </c>
      <c r="E240" s="3">
        <v>0</v>
      </c>
      <c r="F240" s="3">
        <v>0</v>
      </c>
      <c r="G240" s="54" t="str">
        <f t="shared" si="15"/>
        <v>SR3+</v>
      </c>
      <c r="H240" s="54" t="str">
        <f t="shared" si="16"/>
        <v>SR3+</v>
      </c>
      <c r="I240" s="54" t="str">
        <f t="shared" si="17"/>
        <v>Work</v>
      </c>
    </row>
    <row r="241" spans="1:9" x14ac:dyDescent="0.2">
      <c r="A241" s="1" t="s">
        <v>10</v>
      </c>
      <c r="B241" s="1" t="s">
        <v>26</v>
      </c>
      <c r="C241" s="1">
        <v>7</v>
      </c>
      <c r="D241" s="3">
        <v>0</v>
      </c>
      <c r="E241" s="3">
        <v>0</v>
      </c>
      <c r="F241" s="3">
        <v>0</v>
      </c>
      <c r="G241" s="54" t="str">
        <f t="shared" si="15"/>
        <v>Walk</v>
      </c>
      <c r="H241" s="54" t="str">
        <f t="shared" si="16"/>
        <v>Walk</v>
      </c>
      <c r="I241" s="54" t="str">
        <f t="shared" si="17"/>
        <v>Work</v>
      </c>
    </row>
    <row r="242" spans="1:9" x14ac:dyDescent="0.2">
      <c r="A242" s="1" t="s">
        <v>10</v>
      </c>
      <c r="B242" s="1" t="s">
        <v>26</v>
      </c>
      <c r="C242" s="1">
        <v>8</v>
      </c>
      <c r="D242" s="3">
        <v>0</v>
      </c>
      <c r="E242" s="3">
        <v>0</v>
      </c>
      <c r="F242" s="3">
        <v>0</v>
      </c>
      <c r="G242" s="54" t="str">
        <f t="shared" si="15"/>
        <v>Bike</v>
      </c>
      <c r="H242" s="54" t="str">
        <f t="shared" si="16"/>
        <v>Bike</v>
      </c>
      <c r="I242" s="54" t="str">
        <f t="shared" si="17"/>
        <v>Work</v>
      </c>
    </row>
    <row r="243" spans="1:9" x14ac:dyDescent="0.2">
      <c r="A243" s="1" t="s">
        <v>10</v>
      </c>
      <c r="B243" s="1" t="s">
        <v>26</v>
      </c>
      <c r="C243" s="1">
        <v>9</v>
      </c>
      <c r="D243" s="3">
        <v>0</v>
      </c>
      <c r="E243" s="3">
        <v>0</v>
      </c>
      <c r="F243" s="3">
        <v>0</v>
      </c>
      <c r="G243" s="54" t="str">
        <f t="shared" si="15"/>
        <v>Walk-Local</v>
      </c>
      <c r="H243" s="54" t="str">
        <f t="shared" si="16"/>
        <v>Walk-Transit</v>
      </c>
      <c r="I243" s="54" t="str">
        <f t="shared" si="17"/>
        <v>Work</v>
      </c>
    </row>
    <row r="244" spans="1:9" x14ac:dyDescent="0.2">
      <c r="A244" s="1" t="s">
        <v>10</v>
      </c>
      <c r="B244" s="1" t="s">
        <v>26</v>
      </c>
      <c r="C244" s="1">
        <v>10</v>
      </c>
      <c r="D244" s="3">
        <v>0</v>
      </c>
      <c r="E244" s="3">
        <v>0</v>
      </c>
      <c r="F244" s="3">
        <v>0</v>
      </c>
      <c r="G244" s="54" t="str">
        <f t="shared" si="15"/>
        <v>Walk-LRF</v>
      </c>
      <c r="H244" s="54" t="str">
        <f t="shared" si="16"/>
        <v>Walk-Transit</v>
      </c>
      <c r="I244" s="54" t="str">
        <f t="shared" si="17"/>
        <v>Work</v>
      </c>
    </row>
    <row r="245" spans="1:9" x14ac:dyDescent="0.2">
      <c r="A245" s="1" t="s">
        <v>10</v>
      </c>
      <c r="B245" s="1" t="s">
        <v>26</v>
      </c>
      <c r="C245" s="1">
        <v>11</v>
      </c>
      <c r="D245" s="3">
        <v>0</v>
      </c>
      <c r="E245" s="3">
        <v>0</v>
      </c>
      <c r="F245" s="3">
        <v>0</v>
      </c>
      <c r="G245" s="54" t="str">
        <f t="shared" si="15"/>
        <v>Walk-Express</v>
      </c>
      <c r="H245" s="54" t="str">
        <f t="shared" si="16"/>
        <v>Walk-Transit</v>
      </c>
      <c r="I245" s="54" t="str">
        <f t="shared" si="17"/>
        <v>Work</v>
      </c>
    </row>
    <row r="246" spans="1:9" x14ac:dyDescent="0.2">
      <c r="A246" s="1" t="s">
        <v>10</v>
      </c>
      <c r="B246" s="1" t="s">
        <v>26</v>
      </c>
      <c r="C246" s="1">
        <v>12</v>
      </c>
      <c r="D246" s="3">
        <v>0</v>
      </c>
      <c r="E246" s="3">
        <v>0</v>
      </c>
      <c r="F246" s="3">
        <v>0</v>
      </c>
      <c r="G246" s="54" t="str">
        <f t="shared" si="15"/>
        <v>Walk-HeavyRail</v>
      </c>
      <c r="H246" s="54" t="str">
        <f t="shared" si="16"/>
        <v>Walk-Transit</v>
      </c>
      <c r="I246" s="54" t="str">
        <f t="shared" si="17"/>
        <v>Work</v>
      </c>
    </row>
    <row r="247" spans="1:9" x14ac:dyDescent="0.2">
      <c r="A247" s="1" t="s">
        <v>10</v>
      </c>
      <c r="B247" s="1" t="s">
        <v>26</v>
      </c>
      <c r="C247" s="1">
        <v>13</v>
      </c>
      <c r="D247" s="3">
        <v>0</v>
      </c>
      <c r="E247" s="3">
        <v>0</v>
      </c>
      <c r="F247" s="3">
        <v>0</v>
      </c>
      <c r="G247" s="54" t="str">
        <f t="shared" si="15"/>
        <v>Walk-CommRail</v>
      </c>
      <c r="H247" s="54" t="str">
        <f t="shared" si="16"/>
        <v>Walk-Transit</v>
      </c>
      <c r="I247" s="54" t="str">
        <f t="shared" si="17"/>
        <v>Work</v>
      </c>
    </row>
    <row r="248" spans="1:9" x14ac:dyDescent="0.2">
      <c r="A248" s="1" t="s">
        <v>10</v>
      </c>
      <c r="B248" s="1" t="s">
        <v>26</v>
      </c>
      <c r="C248" s="1">
        <v>14</v>
      </c>
      <c r="D248" s="3">
        <v>0</v>
      </c>
      <c r="E248" s="3">
        <v>0</v>
      </c>
      <c r="F248" s="3">
        <v>0</v>
      </c>
      <c r="G248" s="54" t="str">
        <f t="shared" si="15"/>
        <v>Drive-Local</v>
      </c>
      <c r="H248" s="54" t="str">
        <f t="shared" si="16"/>
        <v>Drive-Transit</v>
      </c>
      <c r="I248" s="54" t="str">
        <f t="shared" si="17"/>
        <v>Work</v>
      </c>
    </row>
    <row r="249" spans="1:9" x14ac:dyDescent="0.2">
      <c r="A249" s="1" t="s">
        <v>10</v>
      </c>
      <c r="B249" s="1" t="s">
        <v>26</v>
      </c>
      <c r="C249" s="1">
        <v>15</v>
      </c>
      <c r="D249" s="3">
        <v>0</v>
      </c>
      <c r="E249" s="3">
        <v>0</v>
      </c>
      <c r="F249" s="3">
        <v>0</v>
      </c>
      <c r="G249" s="54" t="str">
        <f t="shared" si="15"/>
        <v>Drive-LRF</v>
      </c>
      <c r="H249" s="54" t="str">
        <f t="shared" si="16"/>
        <v>Drive-Transit</v>
      </c>
      <c r="I249" s="54" t="str">
        <f t="shared" si="17"/>
        <v>Work</v>
      </c>
    </row>
    <row r="250" spans="1:9" x14ac:dyDescent="0.2">
      <c r="A250" s="1" t="s">
        <v>10</v>
      </c>
      <c r="B250" s="1" t="s">
        <v>26</v>
      </c>
      <c r="C250" s="1">
        <v>16</v>
      </c>
      <c r="D250" s="3">
        <v>0</v>
      </c>
      <c r="E250" s="3">
        <v>0</v>
      </c>
      <c r="F250" s="3">
        <v>0</v>
      </c>
      <c r="G250" s="54" t="str">
        <f t="shared" si="15"/>
        <v>Drive-Express</v>
      </c>
      <c r="H250" s="54" t="str">
        <f t="shared" si="16"/>
        <v>Drive-Transit</v>
      </c>
      <c r="I250" s="54" t="str">
        <f t="shared" si="17"/>
        <v>Work</v>
      </c>
    </row>
    <row r="251" spans="1:9" x14ac:dyDescent="0.2">
      <c r="A251" s="1" t="s">
        <v>10</v>
      </c>
      <c r="B251" s="1" t="s">
        <v>26</v>
      </c>
      <c r="C251" s="1">
        <v>17</v>
      </c>
      <c r="D251" s="3">
        <v>0</v>
      </c>
      <c r="E251" s="3">
        <v>0</v>
      </c>
      <c r="F251" s="3">
        <v>0</v>
      </c>
      <c r="G251" s="54" t="str">
        <f t="shared" si="15"/>
        <v>Drive-HeavyRail</v>
      </c>
      <c r="H251" s="54" t="str">
        <f t="shared" si="16"/>
        <v>Drive-Transit</v>
      </c>
      <c r="I251" s="54" t="str">
        <f t="shared" si="17"/>
        <v>Work</v>
      </c>
    </row>
    <row r="252" spans="1:9" x14ac:dyDescent="0.2">
      <c r="A252" s="1" t="s">
        <v>10</v>
      </c>
      <c r="B252" s="1" t="s">
        <v>26</v>
      </c>
      <c r="C252" s="1">
        <v>18</v>
      </c>
      <c r="D252" s="3">
        <v>0</v>
      </c>
      <c r="E252" s="3">
        <v>0</v>
      </c>
      <c r="F252" s="3">
        <v>0</v>
      </c>
      <c r="G252" s="54" t="str">
        <f t="shared" si="15"/>
        <v>Drive-CommRail</v>
      </c>
      <c r="H252" s="54" t="str">
        <f t="shared" si="16"/>
        <v>Drive-Transit</v>
      </c>
      <c r="I252" s="54" t="str">
        <f t="shared" si="17"/>
        <v>Work</v>
      </c>
    </row>
    <row r="253" spans="1:9" x14ac:dyDescent="0.2">
      <c r="A253" s="1" t="s">
        <v>10</v>
      </c>
      <c r="B253" s="1" t="s">
        <v>26</v>
      </c>
      <c r="C253" s="1">
        <v>19</v>
      </c>
      <c r="D253" s="3">
        <v>0</v>
      </c>
      <c r="E253" s="3">
        <v>0</v>
      </c>
      <c r="F253" s="3">
        <v>0</v>
      </c>
      <c r="G253" s="54" t="str">
        <f t="shared" si="15"/>
        <v>Taxi</v>
      </c>
      <c r="H253" s="54" t="str">
        <f t="shared" si="16"/>
        <v>Taxi</v>
      </c>
      <c r="I253" s="54" t="str">
        <f t="shared" si="17"/>
        <v>Work</v>
      </c>
    </row>
    <row r="254" spans="1:9" x14ac:dyDescent="0.2">
      <c r="A254" s="1" t="s">
        <v>10</v>
      </c>
      <c r="B254" s="1" t="s">
        <v>26</v>
      </c>
      <c r="C254" s="1">
        <v>20</v>
      </c>
      <c r="D254" s="3">
        <v>0</v>
      </c>
      <c r="E254" s="3">
        <v>0</v>
      </c>
      <c r="F254" s="3">
        <v>0</v>
      </c>
      <c r="G254" s="54" t="str">
        <f t="shared" si="15"/>
        <v>TNC-Single</v>
      </c>
      <c r="H254" s="54" t="str">
        <f t="shared" si="16"/>
        <v>TNC-Single</v>
      </c>
      <c r="I254" s="54" t="str">
        <f t="shared" si="17"/>
        <v>Work</v>
      </c>
    </row>
    <row r="255" spans="1:9" x14ac:dyDescent="0.2">
      <c r="A255" s="1" t="s">
        <v>10</v>
      </c>
      <c r="B255" s="1" t="s">
        <v>27</v>
      </c>
      <c r="C255" s="1">
        <v>1</v>
      </c>
      <c r="D255" s="3">
        <v>0</v>
      </c>
      <c r="E255" s="3">
        <v>0</v>
      </c>
      <c r="F255" s="3">
        <v>0</v>
      </c>
      <c r="G255" s="54" t="str">
        <f t="shared" si="15"/>
        <v>Drive Alone</v>
      </c>
      <c r="H255" s="54" t="str">
        <f t="shared" si="16"/>
        <v>Drive Alone</v>
      </c>
      <c r="I255" s="54" t="str">
        <f t="shared" si="17"/>
        <v>Work</v>
      </c>
    </row>
    <row r="256" spans="1:9" x14ac:dyDescent="0.2">
      <c r="A256" s="1" t="s">
        <v>10</v>
      </c>
      <c r="B256" s="1" t="s">
        <v>27</v>
      </c>
      <c r="C256" s="1">
        <v>2</v>
      </c>
      <c r="D256" s="3">
        <v>0</v>
      </c>
      <c r="E256" s="3">
        <v>0</v>
      </c>
      <c r="F256" s="3">
        <v>0</v>
      </c>
      <c r="G256" s="54" t="str">
        <f t="shared" si="15"/>
        <v>Drive Alone</v>
      </c>
      <c r="H256" s="54" t="str">
        <f t="shared" si="16"/>
        <v>Drive Alone</v>
      </c>
      <c r="I256" s="54" t="str">
        <f t="shared" si="17"/>
        <v>Work</v>
      </c>
    </row>
    <row r="257" spans="1:9" x14ac:dyDescent="0.2">
      <c r="A257" s="1" t="s">
        <v>10</v>
      </c>
      <c r="B257" s="1" t="s">
        <v>27</v>
      </c>
      <c r="C257" s="1">
        <v>3</v>
      </c>
      <c r="D257" s="3">
        <v>0</v>
      </c>
      <c r="E257" s="3">
        <v>0</v>
      </c>
      <c r="F257" s="3">
        <v>0</v>
      </c>
      <c r="G257" s="54" t="str">
        <f t="shared" si="15"/>
        <v>SR2</v>
      </c>
      <c r="H257" s="54" t="str">
        <f t="shared" si="16"/>
        <v>SR2</v>
      </c>
      <c r="I257" s="54" t="str">
        <f t="shared" si="17"/>
        <v>Work</v>
      </c>
    </row>
    <row r="258" spans="1:9" x14ac:dyDescent="0.2">
      <c r="A258" s="1" t="s">
        <v>10</v>
      </c>
      <c r="B258" s="1" t="s">
        <v>27</v>
      </c>
      <c r="C258" s="1">
        <v>5</v>
      </c>
      <c r="D258" s="3">
        <v>0</v>
      </c>
      <c r="E258" s="3">
        <v>0</v>
      </c>
      <c r="F258" s="3">
        <v>0</v>
      </c>
      <c r="G258" s="54" t="str">
        <f t="shared" si="15"/>
        <v>SR3+</v>
      </c>
      <c r="H258" s="54" t="str">
        <f t="shared" si="16"/>
        <v>SR3+</v>
      </c>
      <c r="I258" s="54" t="str">
        <f t="shared" si="17"/>
        <v>Work</v>
      </c>
    </row>
    <row r="259" spans="1:9" x14ac:dyDescent="0.2">
      <c r="A259" s="1" t="s">
        <v>10</v>
      </c>
      <c r="B259" s="1" t="s">
        <v>27</v>
      </c>
      <c r="C259" s="1">
        <v>7</v>
      </c>
      <c r="D259" s="3">
        <v>0</v>
      </c>
      <c r="E259" s="3">
        <v>0</v>
      </c>
      <c r="F259" s="3">
        <v>0</v>
      </c>
      <c r="G259" s="54" t="str">
        <f t="shared" ref="G259:G322" si="18">_xlfn.IFNA(VLOOKUP($C259,tour_modes,2,FALSE),"None")</f>
        <v>Walk</v>
      </c>
      <c r="H259" s="54" t="str">
        <f t="shared" ref="H259:H322" si="19">_xlfn.IFNA(VLOOKUP($C259,tour_modes,3,FALSE),"None")</f>
        <v>Walk</v>
      </c>
      <c r="I259" s="54" t="str">
        <f t="shared" ref="I259:I322" si="20">IF(A259="joint","Joint",_xlfn.IFNA(VLOOKUP($B259,tour_purposes,2,FALSE),"None"))</f>
        <v>Work</v>
      </c>
    </row>
    <row r="260" spans="1:9" x14ac:dyDescent="0.2">
      <c r="A260" s="1" t="s">
        <v>10</v>
      </c>
      <c r="B260" s="1" t="s">
        <v>27</v>
      </c>
      <c r="C260" s="1">
        <v>8</v>
      </c>
      <c r="D260" s="3">
        <v>0</v>
      </c>
      <c r="E260" s="3">
        <v>0</v>
      </c>
      <c r="F260" s="3">
        <v>0</v>
      </c>
      <c r="G260" s="54" t="str">
        <f t="shared" si="18"/>
        <v>Bike</v>
      </c>
      <c r="H260" s="54" t="str">
        <f t="shared" si="19"/>
        <v>Bike</v>
      </c>
      <c r="I260" s="54" t="str">
        <f t="shared" si="20"/>
        <v>Work</v>
      </c>
    </row>
    <row r="261" spans="1:9" x14ac:dyDescent="0.2">
      <c r="A261" s="1" t="s">
        <v>10</v>
      </c>
      <c r="B261" s="1" t="s">
        <v>27</v>
      </c>
      <c r="C261" s="1">
        <v>9</v>
      </c>
      <c r="D261" s="3">
        <v>0</v>
      </c>
      <c r="E261" s="3">
        <v>0</v>
      </c>
      <c r="F261" s="3">
        <v>0</v>
      </c>
      <c r="G261" s="54" t="str">
        <f t="shared" si="18"/>
        <v>Walk-Local</v>
      </c>
      <c r="H261" s="54" t="str">
        <f t="shared" si="19"/>
        <v>Walk-Transit</v>
      </c>
      <c r="I261" s="54" t="str">
        <f t="shared" si="20"/>
        <v>Work</v>
      </c>
    </row>
    <row r="262" spans="1:9" x14ac:dyDescent="0.2">
      <c r="A262" s="1" t="s">
        <v>10</v>
      </c>
      <c r="B262" s="1" t="s">
        <v>27</v>
      </c>
      <c r="C262" s="1">
        <v>10</v>
      </c>
      <c r="D262" s="3">
        <v>0</v>
      </c>
      <c r="E262" s="3">
        <v>0</v>
      </c>
      <c r="F262" s="3">
        <v>0</v>
      </c>
      <c r="G262" s="54" t="str">
        <f t="shared" si="18"/>
        <v>Walk-LRF</v>
      </c>
      <c r="H262" s="54" t="str">
        <f t="shared" si="19"/>
        <v>Walk-Transit</v>
      </c>
      <c r="I262" s="54" t="str">
        <f t="shared" si="20"/>
        <v>Work</v>
      </c>
    </row>
    <row r="263" spans="1:9" x14ac:dyDescent="0.2">
      <c r="A263" s="1" t="s">
        <v>10</v>
      </c>
      <c r="B263" s="1" t="s">
        <v>27</v>
      </c>
      <c r="C263" s="1">
        <v>11</v>
      </c>
      <c r="D263" s="3">
        <v>0</v>
      </c>
      <c r="E263" s="3">
        <v>0</v>
      </c>
      <c r="F263" s="3">
        <v>0</v>
      </c>
      <c r="G263" s="54" t="str">
        <f t="shared" si="18"/>
        <v>Walk-Express</v>
      </c>
      <c r="H263" s="54" t="str">
        <f t="shared" si="19"/>
        <v>Walk-Transit</v>
      </c>
      <c r="I263" s="54" t="str">
        <f t="shared" si="20"/>
        <v>Work</v>
      </c>
    </row>
    <row r="264" spans="1:9" x14ac:dyDescent="0.2">
      <c r="A264" s="1" t="s">
        <v>10</v>
      </c>
      <c r="B264" s="1" t="s">
        <v>27</v>
      </c>
      <c r="C264" s="1">
        <v>12</v>
      </c>
      <c r="D264" s="3">
        <v>0</v>
      </c>
      <c r="E264" s="3">
        <v>0</v>
      </c>
      <c r="F264" s="3">
        <v>0</v>
      </c>
      <c r="G264" s="54" t="str">
        <f t="shared" si="18"/>
        <v>Walk-HeavyRail</v>
      </c>
      <c r="H264" s="54" t="str">
        <f t="shared" si="19"/>
        <v>Walk-Transit</v>
      </c>
      <c r="I264" s="54" t="str">
        <f t="shared" si="20"/>
        <v>Work</v>
      </c>
    </row>
    <row r="265" spans="1:9" x14ac:dyDescent="0.2">
      <c r="A265" s="1" t="s">
        <v>10</v>
      </c>
      <c r="B265" s="1" t="s">
        <v>27</v>
      </c>
      <c r="C265" s="1">
        <v>13</v>
      </c>
      <c r="D265" s="3">
        <v>0</v>
      </c>
      <c r="E265" s="3">
        <v>0</v>
      </c>
      <c r="F265" s="3">
        <v>0</v>
      </c>
      <c r="G265" s="54" t="str">
        <f t="shared" si="18"/>
        <v>Walk-CommRail</v>
      </c>
      <c r="H265" s="54" t="str">
        <f t="shared" si="19"/>
        <v>Walk-Transit</v>
      </c>
      <c r="I265" s="54" t="str">
        <f t="shared" si="20"/>
        <v>Work</v>
      </c>
    </row>
    <row r="266" spans="1:9" x14ac:dyDescent="0.2">
      <c r="A266" s="1" t="s">
        <v>10</v>
      </c>
      <c r="B266" s="1" t="s">
        <v>27</v>
      </c>
      <c r="C266" s="1">
        <v>14</v>
      </c>
      <c r="D266" s="3">
        <v>0</v>
      </c>
      <c r="E266" s="3">
        <v>0</v>
      </c>
      <c r="F266" s="3">
        <v>0</v>
      </c>
      <c r="G266" s="54" t="str">
        <f t="shared" si="18"/>
        <v>Drive-Local</v>
      </c>
      <c r="H266" s="54" t="str">
        <f t="shared" si="19"/>
        <v>Drive-Transit</v>
      </c>
      <c r="I266" s="54" t="str">
        <f t="shared" si="20"/>
        <v>Work</v>
      </c>
    </row>
    <row r="267" spans="1:9" x14ac:dyDescent="0.2">
      <c r="A267" s="1" t="s">
        <v>10</v>
      </c>
      <c r="B267" s="1" t="s">
        <v>27</v>
      </c>
      <c r="C267" s="1">
        <v>15</v>
      </c>
      <c r="D267" s="3">
        <v>0</v>
      </c>
      <c r="E267" s="3">
        <v>0</v>
      </c>
      <c r="F267" s="3">
        <v>0</v>
      </c>
      <c r="G267" s="54" t="str">
        <f t="shared" si="18"/>
        <v>Drive-LRF</v>
      </c>
      <c r="H267" s="54" t="str">
        <f t="shared" si="19"/>
        <v>Drive-Transit</v>
      </c>
      <c r="I267" s="54" t="str">
        <f t="shared" si="20"/>
        <v>Work</v>
      </c>
    </row>
    <row r="268" spans="1:9" x14ac:dyDescent="0.2">
      <c r="A268" s="1" t="s">
        <v>10</v>
      </c>
      <c r="B268" s="1" t="s">
        <v>27</v>
      </c>
      <c r="C268" s="1">
        <v>16</v>
      </c>
      <c r="D268" s="3">
        <v>0</v>
      </c>
      <c r="E268" s="3">
        <v>0</v>
      </c>
      <c r="F268" s="3">
        <v>0</v>
      </c>
      <c r="G268" s="54" t="str">
        <f t="shared" si="18"/>
        <v>Drive-Express</v>
      </c>
      <c r="H268" s="54" t="str">
        <f t="shared" si="19"/>
        <v>Drive-Transit</v>
      </c>
      <c r="I268" s="54" t="str">
        <f t="shared" si="20"/>
        <v>Work</v>
      </c>
    </row>
    <row r="269" spans="1:9" x14ac:dyDescent="0.2">
      <c r="A269" s="1" t="s">
        <v>10</v>
      </c>
      <c r="B269" s="1" t="s">
        <v>27</v>
      </c>
      <c r="C269" s="1">
        <v>17</v>
      </c>
      <c r="D269" s="3">
        <v>0</v>
      </c>
      <c r="E269" s="3">
        <v>0</v>
      </c>
      <c r="F269" s="3">
        <v>0</v>
      </c>
      <c r="G269" s="54" t="str">
        <f t="shared" si="18"/>
        <v>Drive-HeavyRail</v>
      </c>
      <c r="H269" s="54" t="str">
        <f t="shared" si="19"/>
        <v>Drive-Transit</v>
      </c>
      <c r="I269" s="54" t="str">
        <f t="shared" si="20"/>
        <v>Work</v>
      </c>
    </row>
    <row r="270" spans="1:9" x14ac:dyDescent="0.2">
      <c r="A270" s="1" t="s">
        <v>10</v>
      </c>
      <c r="B270" s="1" t="s">
        <v>27</v>
      </c>
      <c r="C270" s="1">
        <v>18</v>
      </c>
      <c r="D270" s="3">
        <v>0</v>
      </c>
      <c r="E270" s="3">
        <v>0</v>
      </c>
      <c r="F270" s="3">
        <v>0</v>
      </c>
      <c r="G270" s="54" t="str">
        <f t="shared" si="18"/>
        <v>Drive-CommRail</v>
      </c>
      <c r="H270" s="54" t="str">
        <f t="shared" si="19"/>
        <v>Drive-Transit</v>
      </c>
      <c r="I270" s="54" t="str">
        <f t="shared" si="20"/>
        <v>Work</v>
      </c>
    </row>
    <row r="271" spans="1:9" x14ac:dyDescent="0.2">
      <c r="A271" s="1" t="s">
        <v>10</v>
      </c>
      <c r="B271" s="1" t="s">
        <v>27</v>
      </c>
      <c r="C271" s="1">
        <v>19</v>
      </c>
      <c r="D271" s="3">
        <v>0</v>
      </c>
      <c r="E271" s="3">
        <v>0</v>
      </c>
      <c r="F271" s="3">
        <v>0</v>
      </c>
      <c r="G271" s="54" t="str">
        <f t="shared" si="18"/>
        <v>Taxi</v>
      </c>
      <c r="H271" s="54" t="str">
        <f t="shared" si="19"/>
        <v>Taxi</v>
      </c>
      <c r="I271" s="54" t="str">
        <f t="shared" si="20"/>
        <v>Work</v>
      </c>
    </row>
    <row r="272" spans="1:9" x14ac:dyDescent="0.2">
      <c r="A272" s="1" t="s">
        <v>10</v>
      </c>
      <c r="B272" s="1" t="s">
        <v>27</v>
      </c>
      <c r="C272" s="1">
        <v>20</v>
      </c>
      <c r="D272" s="3">
        <v>0</v>
      </c>
      <c r="E272" s="3">
        <v>0</v>
      </c>
      <c r="F272" s="3">
        <v>0</v>
      </c>
      <c r="G272" s="54" t="str">
        <f t="shared" si="18"/>
        <v>TNC-Single</v>
      </c>
      <c r="H272" s="54" t="str">
        <f t="shared" si="19"/>
        <v>TNC-Single</v>
      </c>
      <c r="I272" s="54" t="str">
        <f t="shared" si="20"/>
        <v>Work</v>
      </c>
    </row>
    <row r="273" spans="1:9" x14ac:dyDescent="0.2">
      <c r="A273" s="1" t="s">
        <v>28</v>
      </c>
      <c r="B273" s="1" t="s">
        <v>14</v>
      </c>
      <c r="C273" s="1">
        <v>3</v>
      </c>
      <c r="D273" s="3">
        <v>0</v>
      </c>
      <c r="E273" s="3">
        <v>0</v>
      </c>
      <c r="F273" s="3">
        <v>0</v>
      </c>
      <c r="G273" s="54" t="str">
        <f t="shared" si="18"/>
        <v>SR2</v>
      </c>
      <c r="H273" s="54" t="str">
        <f t="shared" si="19"/>
        <v>SR2</v>
      </c>
      <c r="I273" s="54" t="str">
        <f t="shared" si="20"/>
        <v>Joint</v>
      </c>
    </row>
    <row r="274" spans="1:9" x14ac:dyDescent="0.2">
      <c r="A274" s="1" t="s">
        <v>28</v>
      </c>
      <c r="B274" s="1" t="s">
        <v>14</v>
      </c>
      <c r="C274" s="1">
        <v>5</v>
      </c>
      <c r="D274" s="3">
        <v>0</v>
      </c>
      <c r="E274" s="3">
        <v>0</v>
      </c>
      <c r="F274" s="3">
        <v>0</v>
      </c>
      <c r="G274" s="54" t="str">
        <f t="shared" si="18"/>
        <v>SR3+</v>
      </c>
      <c r="H274" s="54" t="str">
        <f t="shared" si="19"/>
        <v>SR3+</v>
      </c>
      <c r="I274" s="54" t="str">
        <f t="shared" si="20"/>
        <v>Joint</v>
      </c>
    </row>
    <row r="275" spans="1:9" x14ac:dyDescent="0.2">
      <c r="A275" s="1" t="s">
        <v>28</v>
      </c>
      <c r="B275" s="1" t="s">
        <v>14</v>
      </c>
      <c r="C275" s="1">
        <v>7</v>
      </c>
      <c r="D275" s="3">
        <v>0</v>
      </c>
      <c r="E275" s="3">
        <v>0</v>
      </c>
      <c r="F275" s="3">
        <v>0</v>
      </c>
      <c r="G275" s="54" t="str">
        <f t="shared" si="18"/>
        <v>Walk</v>
      </c>
      <c r="H275" s="54" t="str">
        <f t="shared" si="19"/>
        <v>Walk</v>
      </c>
      <c r="I275" s="54" t="str">
        <f t="shared" si="20"/>
        <v>Joint</v>
      </c>
    </row>
    <row r="276" spans="1:9" x14ac:dyDescent="0.2">
      <c r="A276" s="1" t="s">
        <v>28</v>
      </c>
      <c r="B276" s="1" t="s">
        <v>14</v>
      </c>
      <c r="C276" s="1">
        <v>8</v>
      </c>
      <c r="D276" s="3">
        <v>0</v>
      </c>
      <c r="E276" s="3">
        <v>0</v>
      </c>
      <c r="F276" s="3">
        <v>0</v>
      </c>
      <c r="G276" s="54" t="str">
        <f t="shared" si="18"/>
        <v>Bike</v>
      </c>
      <c r="H276" s="54" t="str">
        <f t="shared" si="19"/>
        <v>Bike</v>
      </c>
      <c r="I276" s="54" t="str">
        <f t="shared" si="20"/>
        <v>Joint</v>
      </c>
    </row>
    <row r="277" spans="1:9" x14ac:dyDescent="0.2">
      <c r="A277" s="1" t="s">
        <v>28</v>
      </c>
      <c r="B277" s="1" t="s">
        <v>14</v>
      </c>
      <c r="C277" s="1">
        <v>9</v>
      </c>
      <c r="D277" s="3">
        <v>0</v>
      </c>
      <c r="E277" s="3">
        <v>0</v>
      </c>
      <c r="F277" s="3">
        <v>0</v>
      </c>
      <c r="G277" s="54" t="str">
        <f t="shared" si="18"/>
        <v>Walk-Local</v>
      </c>
      <c r="H277" s="54" t="str">
        <f t="shared" si="19"/>
        <v>Walk-Transit</v>
      </c>
      <c r="I277" s="54" t="str">
        <f t="shared" si="20"/>
        <v>Joint</v>
      </c>
    </row>
    <row r="278" spans="1:9" x14ac:dyDescent="0.2">
      <c r="A278" s="1" t="s">
        <v>28</v>
      </c>
      <c r="B278" s="1" t="s">
        <v>14</v>
      </c>
      <c r="C278" s="1">
        <v>10</v>
      </c>
      <c r="D278" s="3">
        <v>0</v>
      </c>
      <c r="E278" s="3">
        <v>0</v>
      </c>
      <c r="F278" s="3">
        <v>0</v>
      </c>
      <c r="G278" s="54" t="str">
        <f t="shared" si="18"/>
        <v>Walk-LRF</v>
      </c>
      <c r="H278" s="54" t="str">
        <f t="shared" si="19"/>
        <v>Walk-Transit</v>
      </c>
      <c r="I278" s="54" t="str">
        <f t="shared" si="20"/>
        <v>Joint</v>
      </c>
    </row>
    <row r="279" spans="1:9" x14ac:dyDescent="0.2">
      <c r="A279" s="1" t="s">
        <v>28</v>
      </c>
      <c r="B279" s="1" t="s">
        <v>14</v>
      </c>
      <c r="C279" s="1">
        <v>12</v>
      </c>
      <c r="D279" s="3">
        <v>0</v>
      </c>
      <c r="E279" s="3">
        <v>0</v>
      </c>
      <c r="F279" s="3">
        <v>0</v>
      </c>
      <c r="G279" s="54" t="str">
        <f t="shared" si="18"/>
        <v>Walk-HeavyRail</v>
      </c>
      <c r="H279" s="54" t="str">
        <f t="shared" si="19"/>
        <v>Walk-Transit</v>
      </c>
      <c r="I279" s="54" t="str">
        <f t="shared" si="20"/>
        <v>Joint</v>
      </c>
    </row>
    <row r="280" spans="1:9" x14ac:dyDescent="0.2">
      <c r="A280" s="1" t="s">
        <v>28</v>
      </c>
      <c r="B280" s="1" t="s">
        <v>14</v>
      </c>
      <c r="C280" s="1">
        <v>14</v>
      </c>
      <c r="D280" s="3">
        <v>0</v>
      </c>
      <c r="E280" s="3">
        <v>0</v>
      </c>
      <c r="F280" s="3">
        <v>0</v>
      </c>
      <c r="G280" s="54" t="str">
        <f t="shared" si="18"/>
        <v>Drive-Local</v>
      </c>
      <c r="H280" s="54" t="str">
        <f t="shared" si="19"/>
        <v>Drive-Transit</v>
      </c>
      <c r="I280" s="54" t="str">
        <f t="shared" si="20"/>
        <v>Joint</v>
      </c>
    </row>
    <row r="281" spans="1:9" x14ac:dyDescent="0.2">
      <c r="A281" s="1" t="s">
        <v>28</v>
      </c>
      <c r="B281" s="1" t="s">
        <v>14</v>
      </c>
      <c r="C281" s="1">
        <v>17</v>
      </c>
      <c r="D281" s="3">
        <v>0</v>
      </c>
      <c r="E281" s="3">
        <v>0</v>
      </c>
      <c r="F281" s="3">
        <v>0</v>
      </c>
      <c r="G281" s="54" t="str">
        <f t="shared" si="18"/>
        <v>Drive-HeavyRail</v>
      </c>
      <c r="H281" s="54" t="str">
        <f t="shared" si="19"/>
        <v>Drive-Transit</v>
      </c>
      <c r="I281" s="54" t="str">
        <f t="shared" si="20"/>
        <v>Joint</v>
      </c>
    </row>
    <row r="282" spans="1:9" x14ac:dyDescent="0.2">
      <c r="A282" s="1" t="s">
        <v>28</v>
      </c>
      <c r="B282" s="1" t="s">
        <v>14</v>
      </c>
      <c r="C282" s="1">
        <v>19</v>
      </c>
      <c r="D282" s="3">
        <v>0</v>
      </c>
      <c r="E282" s="3">
        <v>0</v>
      </c>
      <c r="F282" s="3">
        <v>0</v>
      </c>
      <c r="G282" s="54" t="str">
        <f t="shared" si="18"/>
        <v>Taxi</v>
      </c>
      <c r="H282" s="54" t="str">
        <f t="shared" si="19"/>
        <v>Taxi</v>
      </c>
      <c r="I282" s="54" t="str">
        <f t="shared" si="20"/>
        <v>Joint</v>
      </c>
    </row>
    <row r="283" spans="1:9" x14ac:dyDescent="0.2">
      <c r="A283" s="1" t="s">
        <v>28</v>
      </c>
      <c r="B283" s="1" t="s">
        <v>14</v>
      </c>
      <c r="C283" s="1">
        <v>20</v>
      </c>
      <c r="D283" s="3">
        <v>0</v>
      </c>
      <c r="E283" s="3">
        <v>0</v>
      </c>
      <c r="F283" s="3">
        <v>0</v>
      </c>
      <c r="G283" s="54" t="str">
        <f t="shared" si="18"/>
        <v>TNC-Single</v>
      </c>
      <c r="H283" s="54" t="str">
        <f t="shared" si="19"/>
        <v>TNC-Single</v>
      </c>
      <c r="I283" s="54" t="str">
        <f t="shared" si="20"/>
        <v>Joint</v>
      </c>
    </row>
    <row r="284" spans="1:9" x14ac:dyDescent="0.2">
      <c r="A284" s="1" t="s">
        <v>28</v>
      </c>
      <c r="B284" s="1" t="s">
        <v>14</v>
      </c>
      <c r="C284" s="1">
        <v>21</v>
      </c>
      <c r="D284" s="3">
        <v>0</v>
      </c>
      <c r="E284" s="3">
        <v>0</v>
      </c>
      <c r="F284" s="3">
        <v>0</v>
      </c>
      <c r="G284" s="54" t="str">
        <f t="shared" si="18"/>
        <v>TNC-Shared</v>
      </c>
      <c r="H284" s="54" t="str">
        <f t="shared" si="19"/>
        <v>TNC-Shared</v>
      </c>
      <c r="I284" s="54" t="str">
        <f t="shared" si="20"/>
        <v>Joint</v>
      </c>
    </row>
    <row r="285" spans="1:9" x14ac:dyDescent="0.2">
      <c r="A285" s="1" t="s">
        <v>28</v>
      </c>
      <c r="B285" s="1" t="s">
        <v>17</v>
      </c>
      <c r="C285" s="1">
        <v>3</v>
      </c>
      <c r="D285" s="3">
        <v>0</v>
      </c>
      <c r="E285" s="3">
        <v>0</v>
      </c>
      <c r="F285" s="3">
        <v>0</v>
      </c>
      <c r="G285" s="54" t="str">
        <f t="shared" si="18"/>
        <v>SR2</v>
      </c>
      <c r="H285" s="54" t="str">
        <f t="shared" si="19"/>
        <v>SR2</v>
      </c>
      <c r="I285" s="54" t="str">
        <f t="shared" si="20"/>
        <v>Joint</v>
      </c>
    </row>
    <row r="286" spans="1:9" x14ac:dyDescent="0.2">
      <c r="A286" s="1" t="s">
        <v>28</v>
      </c>
      <c r="B286" s="1" t="s">
        <v>17</v>
      </c>
      <c r="C286" s="1">
        <v>5</v>
      </c>
      <c r="D286" s="3">
        <v>0</v>
      </c>
      <c r="E286" s="3">
        <v>0</v>
      </c>
      <c r="F286" s="3">
        <v>0</v>
      </c>
      <c r="G286" s="54" t="str">
        <f t="shared" si="18"/>
        <v>SR3+</v>
      </c>
      <c r="H286" s="54" t="str">
        <f t="shared" si="19"/>
        <v>SR3+</v>
      </c>
      <c r="I286" s="54" t="str">
        <f t="shared" si="20"/>
        <v>Joint</v>
      </c>
    </row>
    <row r="287" spans="1:9" x14ac:dyDescent="0.2">
      <c r="A287" s="1" t="s">
        <v>28</v>
      </c>
      <c r="B287" s="1" t="s">
        <v>17</v>
      </c>
      <c r="C287" s="1">
        <v>7</v>
      </c>
      <c r="D287" s="3">
        <v>0</v>
      </c>
      <c r="E287" s="3">
        <v>0</v>
      </c>
      <c r="F287" s="3">
        <v>0</v>
      </c>
      <c r="G287" s="54" t="str">
        <f t="shared" si="18"/>
        <v>Walk</v>
      </c>
      <c r="H287" s="54" t="str">
        <f t="shared" si="19"/>
        <v>Walk</v>
      </c>
      <c r="I287" s="54" t="str">
        <f t="shared" si="20"/>
        <v>Joint</v>
      </c>
    </row>
    <row r="288" spans="1:9" x14ac:dyDescent="0.2">
      <c r="A288" s="1" t="s">
        <v>28</v>
      </c>
      <c r="B288" s="1" t="s">
        <v>17</v>
      </c>
      <c r="C288" s="1">
        <v>8</v>
      </c>
      <c r="D288" s="3">
        <v>0</v>
      </c>
      <c r="E288" s="3">
        <v>0</v>
      </c>
      <c r="F288" s="3">
        <v>0</v>
      </c>
      <c r="G288" s="54" t="str">
        <f t="shared" si="18"/>
        <v>Bike</v>
      </c>
      <c r="H288" s="54" t="str">
        <f t="shared" si="19"/>
        <v>Bike</v>
      </c>
      <c r="I288" s="54" t="str">
        <f t="shared" si="20"/>
        <v>Joint</v>
      </c>
    </row>
    <row r="289" spans="1:9" x14ac:dyDescent="0.2">
      <c r="A289" s="1" t="s">
        <v>28</v>
      </c>
      <c r="B289" s="1" t="s">
        <v>17</v>
      </c>
      <c r="C289" s="1">
        <v>9</v>
      </c>
      <c r="D289" s="3">
        <v>0</v>
      </c>
      <c r="E289" s="3">
        <v>0</v>
      </c>
      <c r="F289" s="3">
        <v>0</v>
      </c>
      <c r="G289" s="54" t="str">
        <f t="shared" si="18"/>
        <v>Walk-Local</v>
      </c>
      <c r="H289" s="54" t="str">
        <f t="shared" si="19"/>
        <v>Walk-Transit</v>
      </c>
      <c r="I289" s="54" t="str">
        <f t="shared" si="20"/>
        <v>Joint</v>
      </c>
    </row>
    <row r="290" spans="1:9" x14ac:dyDescent="0.2">
      <c r="A290" s="1" t="s">
        <v>28</v>
      </c>
      <c r="B290" s="1" t="s">
        <v>17</v>
      </c>
      <c r="C290" s="1">
        <v>10</v>
      </c>
      <c r="D290" s="3">
        <v>0</v>
      </c>
      <c r="E290" s="3">
        <v>0</v>
      </c>
      <c r="F290" s="3">
        <v>0</v>
      </c>
      <c r="G290" s="54" t="str">
        <f t="shared" si="18"/>
        <v>Walk-LRF</v>
      </c>
      <c r="H290" s="54" t="str">
        <f t="shared" si="19"/>
        <v>Walk-Transit</v>
      </c>
      <c r="I290" s="54" t="str">
        <f t="shared" si="20"/>
        <v>Joint</v>
      </c>
    </row>
    <row r="291" spans="1:9" x14ac:dyDescent="0.2">
      <c r="A291" s="1" t="s">
        <v>28</v>
      </c>
      <c r="B291" s="1" t="s">
        <v>17</v>
      </c>
      <c r="C291" s="1">
        <v>12</v>
      </c>
      <c r="D291" s="3">
        <v>0</v>
      </c>
      <c r="E291" s="3">
        <v>0</v>
      </c>
      <c r="F291" s="3">
        <v>0</v>
      </c>
      <c r="G291" s="54" t="str">
        <f t="shared" si="18"/>
        <v>Walk-HeavyRail</v>
      </c>
      <c r="H291" s="54" t="str">
        <f t="shared" si="19"/>
        <v>Walk-Transit</v>
      </c>
      <c r="I291" s="54" t="str">
        <f t="shared" si="20"/>
        <v>Joint</v>
      </c>
    </row>
    <row r="292" spans="1:9" x14ac:dyDescent="0.2">
      <c r="A292" s="1" t="s">
        <v>28</v>
      </c>
      <c r="B292" s="1" t="s">
        <v>17</v>
      </c>
      <c r="C292" s="1">
        <v>14</v>
      </c>
      <c r="D292" s="3">
        <v>0</v>
      </c>
      <c r="E292" s="3">
        <v>0</v>
      </c>
      <c r="F292" s="3">
        <v>0</v>
      </c>
      <c r="G292" s="54" t="str">
        <f t="shared" si="18"/>
        <v>Drive-Local</v>
      </c>
      <c r="H292" s="54" t="str">
        <f t="shared" si="19"/>
        <v>Drive-Transit</v>
      </c>
      <c r="I292" s="54" t="str">
        <f t="shared" si="20"/>
        <v>Joint</v>
      </c>
    </row>
    <row r="293" spans="1:9" x14ac:dyDescent="0.2">
      <c r="A293" s="1" t="s">
        <v>28</v>
      </c>
      <c r="B293" s="1" t="s">
        <v>17</v>
      </c>
      <c r="C293" s="1">
        <v>17</v>
      </c>
      <c r="D293" s="3">
        <v>0</v>
      </c>
      <c r="E293" s="3">
        <v>0</v>
      </c>
      <c r="F293" s="3">
        <v>0</v>
      </c>
      <c r="G293" s="54" t="str">
        <f t="shared" si="18"/>
        <v>Drive-HeavyRail</v>
      </c>
      <c r="H293" s="54" t="str">
        <f t="shared" si="19"/>
        <v>Drive-Transit</v>
      </c>
      <c r="I293" s="54" t="str">
        <f t="shared" si="20"/>
        <v>Joint</v>
      </c>
    </row>
    <row r="294" spans="1:9" x14ac:dyDescent="0.2">
      <c r="A294" s="1" t="s">
        <v>28</v>
      </c>
      <c r="B294" s="1" t="s">
        <v>17</v>
      </c>
      <c r="C294" s="1">
        <v>19</v>
      </c>
      <c r="D294" s="3">
        <v>0</v>
      </c>
      <c r="E294" s="3">
        <v>0</v>
      </c>
      <c r="F294" s="3">
        <v>0</v>
      </c>
      <c r="G294" s="54" t="str">
        <f t="shared" si="18"/>
        <v>Taxi</v>
      </c>
      <c r="H294" s="54" t="str">
        <f t="shared" si="19"/>
        <v>Taxi</v>
      </c>
      <c r="I294" s="54" t="str">
        <f t="shared" si="20"/>
        <v>Joint</v>
      </c>
    </row>
    <row r="295" spans="1:9" x14ac:dyDescent="0.2">
      <c r="A295" s="1" t="s">
        <v>28</v>
      </c>
      <c r="B295" s="1" t="s">
        <v>17</v>
      </c>
      <c r="C295" s="1">
        <v>20</v>
      </c>
      <c r="D295" s="3">
        <v>0</v>
      </c>
      <c r="E295" s="3">
        <v>0</v>
      </c>
      <c r="F295" s="3">
        <v>0</v>
      </c>
      <c r="G295" s="54" t="str">
        <f t="shared" si="18"/>
        <v>TNC-Single</v>
      </c>
      <c r="H295" s="54" t="str">
        <f t="shared" si="19"/>
        <v>TNC-Single</v>
      </c>
      <c r="I295" s="54" t="str">
        <f t="shared" si="20"/>
        <v>Joint</v>
      </c>
    </row>
    <row r="296" spans="1:9" x14ac:dyDescent="0.2">
      <c r="A296" s="1" t="s">
        <v>28</v>
      </c>
      <c r="B296" s="1" t="s">
        <v>17</v>
      </c>
      <c r="C296" s="1">
        <v>21</v>
      </c>
      <c r="D296" s="3">
        <v>0</v>
      </c>
      <c r="E296" s="3">
        <v>0</v>
      </c>
      <c r="F296" s="3">
        <v>0</v>
      </c>
      <c r="G296" s="54" t="str">
        <f t="shared" si="18"/>
        <v>TNC-Shared</v>
      </c>
      <c r="H296" s="54" t="str">
        <f t="shared" si="19"/>
        <v>TNC-Shared</v>
      </c>
      <c r="I296" s="54" t="str">
        <f t="shared" si="20"/>
        <v>Joint</v>
      </c>
    </row>
    <row r="297" spans="1:9" x14ac:dyDescent="0.2">
      <c r="A297" s="1" t="s">
        <v>28</v>
      </c>
      <c r="B297" s="1" t="s">
        <v>18</v>
      </c>
      <c r="C297" s="1">
        <v>3</v>
      </c>
      <c r="D297" s="3">
        <v>0</v>
      </c>
      <c r="E297" s="3">
        <v>0</v>
      </c>
      <c r="F297" s="3">
        <v>0</v>
      </c>
      <c r="G297" s="54" t="str">
        <f t="shared" si="18"/>
        <v>SR2</v>
      </c>
      <c r="H297" s="54" t="str">
        <f t="shared" si="19"/>
        <v>SR2</v>
      </c>
      <c r="I297" s="54" t="str">
        <f t="shared" si="20"/>
        <v>Joint</v>
      </c>
    </row>
    <row r="298" spans="1:9" x14ac:dyDescent="0.2">
      <c r="A298" s="1" t="s">
        <v>28</v>
      </c>
      <c r="B298" s="1" t="s">
        <v>18</v>
      </c>
      <c r="C298" s="1">
        <v>5</v>
      </c>
      <c r="D298" s="3">
        <v>0</v>
      </c>
      <c r="E298" s="3">
        <v>0</v>
      </c>
      <c r="F298" s="3">
        <v>0</v>
      </c>
      <c r="G298" s="54" t="str">
        <f t="shared" si="18"/>
        <v>SR3+</v>
      </c>
      <c r="H298" s="54" t="str">
        <f t="shared" si="19"/>
        <v>SR3+</v>
      </c>
      <c r="I298" s="54" t="str">
        <f t="shared" si="20"/>
        <v>Joint</v>
      </c>
    </row>
    <row r="299" spans="1:9" x14ac:dyDescent="0.2">
      <c r="A299" s="1" t="s">
        <v>28</v>
      </c>
      <c r="B299" s="1" t="s">
        <v>18</v>
      </c>
      <c r="C299" s="1">
        <v>7</v>
      </c>
      <c r="D299" s="3">
        <v>0</v>
      </c>
      <c r="E299" s="3">
        <v>0</v>
      </c>
      <c r="F299" s="3">
        <v>0</v>
      </c>
      <c r="G299" s="54" t="str">
        <f t="shared" si="18"/>
        <v>Walk</v>
      </c>
      <c r="H299" s="54" t="str">
        <f t="shared" si="19"/>
        <v>Walk</v>
      </c>
      <c r="I299" s="54" t="str">
        <f t="shared" si="20"/>
        <v>Joint</v>
      </c>
    </row>
    <row r="300" spans="1:9" x14ac:dyDescent="0.2">
      <c r="A300" s="1" t="s">
        <v>28</v>
      </c>
      <c r="B300" s="1" t="s">
        <v>18</v>
      </c>
      <c r="C300" s="1">
        <v>8</v>
      </c>
      <c r="D300" s="3">
        <v>0</v>
      </c>
      <c r="E300" s="3">
        <v>0</v>
      </c>
      <c r="F300" s="3">
        <v>0</v>
      </c>
      <c r="G300" s="54" t="str">
        <f t="shared" si="18"/>
        <v>Bike</v>
      </c>
      <c r="H300" s="54" t="str">
        <f t="shared" si="19"/>
        <v>Bike</v>
      </c>
      <c r="I300" s="54" t="str">
        <f t="shared" si="20"/>
        <v>Joint</v>
      </c>
    </row>
    <row r="301" spans="1:9" x14ac:dyDescent="0.2">
      <c r="A301" s="1" t="s">
        <v>28</v>
      </c>
      <c r="B301" s="1" t="s">
        <v>18</v>
      </c>
      <c r="C301" s="1">
        <v>9</v>
      </c>
      <c r="D301" s="3">
        <v>0</v>
      </c>
      <c r="E301" s="3">
        <v>0</v>
      </c>
      <c r="F301" s="3">
        <v>0</v>
      </c>
      <c r="G301" s="54" t="str">
        <f t="shared" si="18"/>
        <v>Walk-Local</v>
      </c>
      <c r="H301" s="54" t="str">
        <f t="shared" si="19"/>
        <v>Walk-Transit</v>
      </c>
      <c r="I301" s="54" t="str">
        <f t="shared" si="20"/>
        <v>Joint</v>
      </c>
    </row>
    <row r="302" spans="1:9" x14ac:dyDescent="0.2">
      <c r="A302" s="1" t="s">
        <v>28</v>
      </c>
      <c r="B302" s="1" t="s">
        <v>18</v>
      </c>
      <c r="C302" s="1">
        <v>10</v>
      </c>
      <c r="D302" s="3">
        <v>0</v>
      </c>
      <c r="E302" s="3">
        <v>0</v>
      </c>
      <c r="F302" s="3">
        <v>0</v>
      </c>
      <c r="G302" s="54" t="str">
        <f t="shared" si="18"/>
        <v>Walk-LRF</v>
      </c>
      <c r="H302" s="54" t="str">
        <f t="shared" si="19"/>
        <v>Walk-Transit</v>
      </c>
      <c r="I302" s="54" t="str">
        <f t="shared" si="20"/>
        <v>Joint</v>
      </c>
    </row>
    <row r="303" spans="1:9" x14ac:dyDescent="0.2">
      <c r="A303" s="1" t="s">
        <v>28</v>
      </c>
      <c r="B303" s="1" t="s">
        <v>18</v>
      </c>
      <c r="C303" s="1">
        <v>12</v>
      </c>
      <c r="D303" s="3">
        <v>0</v>
      </c>
      <c r="E303" s="3">
        <v>0</v>
      </c>
      <c r="F303" s="3">
        <v>0</v>
      </c>
      <c r="G303" s="54" t="str">
        <f t="shared" si="18"/>
        <v>Walk-HeavyRail</v>
      </c>
      <c r="H303" s="54" t="str">
        <f t="shared" si="19"/>
        <v>Walk-Transit</v>
      </c>
      <c r="I303" s="54" t="str">
        <f t="shared" si="20"/>
        <v>Joint</v>
      </c>
    </row>
    <row r="304" spans="1:9" x14ac:dyDescent="0.2">
      <c r="A304" s="1" t="s">
        <v>28</v>
      </c>
      <c r="B304" s="1" t="s">
        <v>18</v>
      </c>
      <c r="C304" s="1">
        <v>14</v>
      </c>
      <c r="D304" s="3">
        <v>0</v>
      </c>
      <c r="E304" s="3">
        <v>0</v>
      </c>
      <c r="F304" s="3">
        <v>0</v>
      </c>
      <c r="G304" s="54" t="str">
        <f t="shared" si="18"/>
        <v>Drive-Local</v>
      </c>
      <c r="H304" s="54" t="str">
        <f t="shared" si="19"/>
        <v>Drive-Transit</v>
      </c>
      <c r="I304" s="54" t="str">
        <f t="shared" si="20"/>
        <v>Joint</v>
      </c>
    </row>
    <row r="305" spans="1:9" x14ac:dyDescent="0.2">
      <c r="A305" s="1" t="s">
        <v>28</v>
      </c>
      <c r="B305" s="1" t="s">
        <v>18</v>
      </c>
      <c r="C305" s="1">
        <v>17</v>
      </c>
      <c r="D305" s="3">
        <v>0</v>
      </c>
      <c r="E305" s="3">
        <v>0</v>
      </c>
      <c r="F305" s="3">
        <v>0</v>
      </c>
      <c r="G305" s="54" t="str">
        <f t="shared" si="18"/>
        <v>Drive-HeavyRail</v>
      </c>
      <c r="H305" s="54" t="str">
        <f t="shared" si="19"/>
        <v>Drive-Transit</v>
      </c>
      <c r="I305" s="54" t="str">
        <f t="shared" si="20"/>
        <v>Joint</v>
      </c>
    </row>
    <row r="306" spans="1:9" x14ac:dyDescent="0.2">
      <c r="A306" s="1" t="s">
        <v>28</v>
      </c>
      <c r="B306" s="1" t="s">
        <v>18</v>
      </c>
      <c r="C306" s="1">
        <v>19</v>
      </c>
      <c r="D306" s="3">
        <v>0</v>
      </c>
      <c r="E306" s="3">
        <v>0</v>
      </c>
      <c r="F306" s="3">
        <v>0</v>
      </c>
      <c r="G306" s="54" t="str">
        <f t="shared" si="18"/>
        <v>Taxi</v>
      </c>
      <c r="H306" s="54" t="str">
        <f t="shared" si="19"/>
        <v>Taxi</v>
      </c>
      <c r="I306" s="54" t="str">
        <f t="shared" si="20"/>
        <v>Joint</v>
      </c>
    </row>
    <row r="307" spans="1:9" x14ac:dyDescent="0.2">
      <c r="A307" s="1" t="s">
        <v>28</v>
      </c>
      <c r="B307" s="1" t="s">
        <v>18</v>
      </c>
      <c r="C307" s="1">
        <v>20</v>
      </c>
      <c r="D307" s="3">
        <v>0</v>
      </c>
      <c r="E307" s="3">
        <v>0</v>
      </c>
      <c r="F307" s="3">
        <v>0</v>
      </c>
      <c r="G307" s="54" t="str">
        <f t="shared" si="18"/>
        <v>TNC-Single</v>
      </c>
      <c r="H307" s="54" t="str">
        <f t="shared" si="19"/>
        <v>TNC-Single</v>
      </c>
      <c r="I307" s="54" t="str">
        <f t="shared" si="20"/>
        <v>Joint</v>
      </c>
    </row>
    <row r="308" spans="1:9" x14ac:dyDescent="0.2">
      <c r="A308" s="1" t="s">
        <v>28</v>
      </c>
      <c r="B308" s="1" t="s">
        <v>18</v>
      </c>
      <c r="C308" s="1">
        <v>21</v>
      </c>
      <c r="D308" s="3">
        <v>0</v>
      </c>
      <c r="E308" s="3">
        <v>0</v>
      </c>
      <c r="F308" s="3">
        <v>0</v>
      </c>
      <c r="G308" s="54" t="str">
        <f t="shared" si="18"/>
        <v>TNC-Shared</v>
      </c>
      <c r="H308" s="54" t="str">
        <f t="shared" si="19"/>
        <v>TNC-Shared</v>
      </c>
      <c r="I308" s="54" t="str">
        <f t="shared" si="20"/>
        <v>Joint</v>
      </c>
    </row>
    <row r="309" spans="1:9" x14ac:dyDescent="0.2">
      <c r="A309" s="1" t="s">
        <v>28</v>
      </c>
      <c r="B309" s="1" t="s">
        <v>21</v>
      </c>
      <c r="C309" s="1">
        <v>3</v>
      </c>
      <c r="D309" s="3">
        <v>0</v>
      </c>
      <c r="E309" s="3">
        <v>0</v>
      </c>
      <c r="F309" s="3">
        <v>0</v>
      </c>
      <c r="G309" s="54" t="str">
        <f t="shared" si="18"/>
        <v>SR2</v>
      </c>
      <c r="H309" s="54" t="str">
        <f t="shared" si="19"/>
        <v>SR2</v>
      </c>
      <c r="I309" s="54" t="str">
        <f t="shared" si="20"/>
        <v>Joint</v>
      </c>
    </row>
    <row r="310" spans="1:9" x14ac:dyDescent="0.2">
      <c r="A310" s="1" t="s">
        <v>28</v>
      </c>
      <c r="B310" s="1" t="s">
        <v>21</v>
      </c>
      <c r="C310" s="1">
        <v>5</v>
      </c>
      <c r="D310" s="3">
        <v>0</v>
      </c>
      <c r="E310" s="3">
        <v>0</v>
      </c>
      <c r="F310" s="3">
        <v>0</v>
      </c>
      <c r="G310" s="54" t="str">
        <f t="shared" si="18"/>
        <v>SR3+</v>
      </c>
      <c r="H310" s="54" t="str">
        <f t="shared" si="19"/>
        <v>SR3+</v>
      </c>
      <c r="I310" s="54" t="str">
        <f t="shared" si="20"/>
        <v>Joint</v>
      </c>
    </row>
    <row r="311" spans="1:9" x14ac:dyDescent="0.2">
      <c r="A311" s="1" t="s">
        <v>28</v>
      </c>
      <c r="B311" s="1" t="s">
        <v>21</v>
      </c>
      <c r="C311" s="1">
        <v>7</v>
      </c>
      <c r="D311" s="3">
        <v>0</v>
      </c>
      <c r="E311" s="3">
        <v>0</v>
      </c>
      <c r="F311" s="3">
        <v>0</v>
      </c>
      <c r="G311" s="54" t="str">
        <f t="shared" si="18"/>
        <v>Walk</v>
      </c>
      <c r="H311" s="54" t="str">
        <f t="shared" si="19"/>
        <v>Walk</v>
      </c>
      <c r="I311" s="54" t="str">
        <f t="shared" si="20"/>
        <v>Joint</v>
      </c>
    </row>
    <row r="312" spans="1:9" x14ac:dyDescent="0.2">
      <c r="A312" s="1" t="s">
        <v>28</v>
      </c>
      <c r="B312" s="1" t="s">
        <v>21</v>
      </c>
      <c r="C312" s="1">
        <v>8</v>
      </c>
      <c r="D312" s="3">
        <v>0</v>
      </c>
      <c r="E312" s="3">
        <v>0</v>
      </c>
      <c r="F312" s="3">
        <v>0</v>
      </c>
      <c r="G312" s="54" t="str">
        <f t="shared" si="18"/>
        <v>Bike</v>
      </c>
      <c r="H312" s="54" t="str">
        <f t="shared" si="19"/>
        <v>Bike</v>
      </c>
      <c r="I312" s="54" t="str">
        <f t="shared" si="20"/>
        <v>Joint</v>
      </c>
    </row>
    <row r="313" spans="1:9" x14ac:dyDescent="0.2">
      <c r="A313" s="1" t="s">
        <v>28</v>
      </c>
      <c r="B313" s="1" t="s">
        <v>21</v>
      </c>
      <c r="C313" s="1">
        <v>9</v>
      </c>
      <c r="D313" s="3">
        <v>0</v>
      </c>
      <c r="E313" s="3">
        <v>0</v>
      </c>
      <c r="F313" s="3">
        <v>0</v>
      </c>
      <c r="G313" s="54" t="str">
        <f t="shared" si="18"/>
        <v>Walk-Local</v>
      </c>
      <c r="H313" s="54" t="str">
        <f t="shared" si="19"/>
        <v>Walk-Transit</v>
      </c>
      <c r="I313" s="54" t="str">
        <f t="shared" si="20"/>
        <v>Joint</v>
      </c>
    </row>
    <row r="314" spans="1:9" x14ac:dyDescent="0.2">
      <c r="A314" s="1" t="s">
        <v>28</v>
      </c>
      <c r="B314" s="1" t="s">
        <v>21</v>
      </c>
      <c r="C314" s="1">
        <v>10</v>
      </c>
      <c r="D314" s="3">
        <v>0</v>
      </c>
      <c r="E314" s="3">
        <v>0</v>
      </c>
      <c r="F314" s="3">
        <v>0</v>
      </c>
      <c r="G314" s="54" t="str">
        <f t="shared" si="18"/>
        <v>Walk-LRF</v>
      </c>
      <c r="H314" s="54" t="str">
        <f t="shared" si="19"/>
        <v>Walk-Transit</v>
      </c>
      <c r="I314" s="54" t="str">
        <f t="shared" si="20"/>
        <v>Joint</v>
      </c>
    </row>
    <row r="315" spans="1:9" x14ac:dyDescent="0.2">
      <c r="A315" s="1" t="s">
        <v>28</v>
      </c>
      <c r="B315" s="1" t="s">
        <v>21</v>
      </c>
      <c r="C315" s="1">
        <v>12</v>
      </c>
      <c r="D315" s="3">
        <v>0</v>
      </c>
      <c r="E315" s="3">
        <v>0</v>
      </c>
      <c r="F315" s="3">
        <v>0</v>
      </c>
      <c r="G315" s="54" t="str">
        <f t="shared" si="18"/>
        <v>Walk-HeavyRail</v>
      </c>
      <c r="H315" s="54" t="str">
        <f t="shared" si="19"/>
        <v>Walk-Transit</v>
      </c>
      <c r="I315" s="54" t="str">
        <f t="shared" si="20"/>
        <v>Joint</v>
      </c>
    </row>
    <row r="316" spans="1:9" x14ac:dyDescent="0.2">
      <c r="A316" s="1" t="s">
        <v>28</v>
      </c>
      <c r="B316" s="1" t="s">
        <v>21</v>
      </c>
      <c r="C316" s="1">
        <v>14</v>
      </c>
      <c r="D316" s="3">
        <v>0</v>
      </c>
      <c r="E316" s="3">
        <v>0</v>
      </c>
      <c r="F316" s="3">
        <v>0</v>
      </c>
      <c r="G316" s="54" t="str">
        <f t="shared" si="18"/>
        <v>Drive-Local</v>
      </c>
      <c r="H316" s="54" t="str">
        <f t="shared" si="19"/>
        <v>Drive-Transit</v>
      </c>
      <c r="I316" s="54" t="str">
        <f t="shared" si="20"/>
        <v>Joint</v>
      </c>
    </row>
    <row r="317" spans="1:9" x14ac:dyDescent="0.2">
      <c r="A317" s="1" t="s">
        <v>28</v>
      </c>
      <c r="B317" s="1" t="s">
        <v>21</v>
      </c>
      <c r="C317" s="1">
        <v>17</v>
      </c>
      <c r="D317" s="3">
        <v>0</v>
      </c>
      <c r="E317" s="3">
        <v>0</v>
      </c>
      <c r="F317" s="3">
        <v>0</v>
      </c>
      <c r="G317" s="54" t="str">
        <f t="shared" si="18"/>
        <v>Drive-HeavyRail</v>
      </c>
      <c r="H317" s="54" t="str">
        <f t="shared" si="19"/>
        <v>Drive-Transit</v>
      </c>
      <c r="I317" s="54" t="str">
        <f t="shared" si="20"/>
        <v>Joint</v>
      </c>
    </row>
    <row r="318" spans="1:9" x14ac:dyDescent="0.2">
      <c r="A318" s="1" t="s">
        <v>28</v>
      </c>
      <c r="B318" s="1" t="s">
        <v>21</v>
      </c>
      <c r="C318" s="1">
        <v>19</v>
      </c>
      <c r="D318" s="3">
        <v>0</v>
      </c>
      <c r="E318" s="3">
        <v>0</v>
      </c>
      <c r="F318" s="3">
        <v>0</v>
      </c>
      <c r="G318" s="54" t="str">
        <f t="shared" si="18"/>
        <v>Taxi</v>
      </c>
      <c r="H318" s="54" t="str">
        <f t="shared" si="19"/>
        <v>Taxi</v>
      </c>
      <c r="I318" s="54" t="str">
        <f t="shared" si="20"/>
        <v>Joint</v>
      </c>
    </row>
    <row r="319" spans="1:9" x14ac:dyDescent="0.2">
      <c r="A319" s="1" t="s">
        <v>28</v>
      </c>
      <c r="B319" s="1" t="s">
        <v>21</v>
      </c>
      <c r="C319" s="1">
        <v>20</v>
      </c>
      <c r="D319" s="3">
        <v>0</v>
      </c>
      <c r="E319" s="3">
        <v>0</v>
      </c>
      <c r="F319" s="3">
        <v>0</v>
      </c>
      <c r="G319" s="54" t="str">
        <f t="shared" si="18"/>
        <v>TNC-Single</v>
      </c>
      <c r="H319" s="54" t="str">
        <f t="shared" si="19"/>
        <v>TNC-Single</v>
      </c>
      <c r="I319" s="54" t="str">
        <f t="shared" si="20"/>
        <v>Joint</v>
      </c>
    </row>
    <row r="320" spans="1:9" x14ac:dyDescent="0.2">
      <c r="A320" s="1" t="s">
        <v>28</v>
      </c>
      <c r="B320" s="1" t="s">
        <v>21</v>
      </c>
      <c r="C320" s="1">
        <v>21</v>
      </c>
      <c r="D320" s="3">
        <v>0</v>
      </c>
      <c r="E320" s="3">
        <v>0</v>
      </c>
      <c r="F320" s="3">
        <v>0</v>
      </c>
      <c r="G320" s="54" t="str">
        <f t="shared" si="18"/>
        <v>TNC-Shared</v>
      </c>
      <c r="H320" s="54" t="str">
        <f t="shared" si="19"/>
        <v>TNC-Shared</v>
      </c>
      <c r="I320" s="54" t="str">
        <f t="shared" si="20"/>
        <v>Joint</v>
      </c>
    </row>
    <row r="321" spans="1:9" x14ac:dyDescent="0.2">
      <c r="A321" s="1" t="s">
        <v>28</v>
      </c>
      <c r="B321" s="1" t="s">
        <v>22</v>
      </c>
      <c r="C321" s="1">
        <v>3</v>
      </c>
      <c r="D321" s="3">
        <v>0</v>
      </c>
      <c r="E321" s="3">
        <v>0</v>
      </c>
      <c r="F321" s="3">
        <v>0</v>
      </c>
      <c r="G321" s="54" t="str">
        <f t="shared" si="18"/>
        <v>SR2</v>
      </c>
      <c r="H321" s="54" t="str">
        <f t="shared" si="19"/>
        <v>SR2</v>
      </c>
      <c r="I321" s="54" t="str">
        <f t="shared" si="20"/>
        <v>Joint</v>
      </c>
    </row>
    <row r="322" spans="1:9" x14ac:dyDescent="0.2">
      <c r="A322" s="1" t="s">
        <v>28</v>
      </c>
      <c r="B322" s="1" t="s">
        <v>22</v>
      </c>
      <c r="C322" s="1">
        <v>5</v>
      </c>
      <c r="D322" s="3">
        <v>0</v>
      </c>
      <c r="E322" s="3">
        <v>0</v>
      </c>
      <c r="F322" s="3">
        <v>0</v>
      </c>
      <c r="G322" s="54" t="str">
        <f t="shared" si="18"/>
        <v>SR3+</v>
      </c>
      <c r="H322" s="54" t="str">
        <f t="shared" si="19"/>
        <v>SR3+</v>
      </c>
      <c r="I322" s="54" t="str">
        <f t="shared" si="20"/>
        <v>Joint</v>
      </c>
    </row>
    <row r="323" spans="1:9" x14ac:dyDescent="0.2">
      <c r="A323" s="1" t="s">
        <v>28</v>
      </c>
      <c r="B323" s="1" t="s">
        <v>22</v>
      </c>
      <c r="C323" s="1">
        <v>7</v>
      </c>
      <c r="D323" s="3">
        <v>0</v>
      </c>
      <c r="E323" s="3">
        <v>0</v>
      </c>
      <c r="F323" s="3">
        <v>0</v>
      </c>
      <c r="G323" s="54" t="str">
        <f t="shared" ref="G323:G386" si="21">_xlfn.IFNA(VLOOKUP($C323,tour_modes,2,FALSE),"None")</f>
        <v>Walk</v>
      </c>
      <c r="H323" s="54" t="str">
        <f t="shared" ref="H323:H386" si="22">_xlfn.IFNA(VLOOKUP($C323,tour_modes,3,FALSE),"None")</f>
        <v>Walk</v>
      </c>
      <c r="I323" s="54" t="str">
        <f t="shared" ref="I323:I386" si="23">IF(A323="joint","Joint",_xlfn.IFNA(VLOOKUP($B323,tour_purposes,2,FALSE),"None"))</f>
        <v>Joint</v>
      </c>
    </row>
    <row r="324" spans="1:9" x14ac:dyDescent="0.2">
      <c r="A324" s="1" t="s">
        <v>28</v>
      </c>
      <c r="B324" s="1" t="s">
        <v>22</v>
      </c>
      <c r="C324" s="1">
        <v>8</v>
      </c>
      <c r="D324" s="3">
        <v>0</v>
      </c>
      <c r="E324" s="3">
        <v>0</v>
      </c>
      <c r="F324" s="3">
        <v>0</v>
      </c>
      <c r="G324" s="54" t="str">
        <f t="shared" si="21"/>
        <v>Bike</v>
      </c>
      <c r="H324" s="54" t="str">
        <f t="shared" si="22"/>
        <v>Bike</v>
      </c>
      <c r="I324" s="54" t="str">
        <f t="shared" si="23"/>
        <v>Joint</v>
      </c>
    </row>
    <row r="325" spans="1:9" x14ac:dyDescent="0.2">
      <c r="A325" s="1" t="s">
        <v>28</v>
      </c>
      <c r="B325" s="1" t="s">
        <v>22</v>
      </c>
      <c r="C325" s="1">
        <v>9</v>
      </c>
      <c r="D325" s="3">
        <v>0</v>
      </c>
      <c r="E325" s="3">
        <v>0</v>
      </c>
      <c r="F325" s="3">
        <v>0</v>
      </c>
      <c r="G325" s="54" t="str">
        <f t="shared" si="21"/>
        <v>Walk-Local</v>
      </c>
      <c r="H325" s="54" t="str">
        <f t="shared" si="22"/>
        <v>Walk-Transit</v>
      </c>
      <c r="I325" s="54" t="str">
        <f t="shared" si="23"/>
        <v>Joint</v>
      </c>
    </row>
    <row r="326" spans="1:9" x14ac:dyDescent="0.2">
      <c r="A326" s="1" t="s">
        <v>28</v>
      </c>
      <c r="B326" s="1" t="s">
        <v>22</v>
      </c>
      <c r="C326" s="1">
        <v>12</v>
      </c>
      <c r="D326" s="3">
        <v>0</v>
      </c>
      <c r="E326" s="3">
        <v>0</v>
      </c>
      <c r="F326" s="3">
        <v>0</v>
      </c>
      <c r="G326" s="54" t="str">
        <f t="shared" si="21"/>
        <v>Walk-HeavyRail</v>
      </c>
      <c r="H326" s="54" t="str">
        <f t="shared" si="22"/>
        <v>Walk-Transit</v>
      </c>
      <c r="I326" s="54" t="str">
        <f t="shared" si="23"/>
        <v>Joint</v>
      </c>
    </row>
    <row r="327" spans="1:9" x14ac:dyDescent="0.2">
      <c r="A327" s="1" t="s">
        <v>28</v>
      </c>
      <c r="B327" s="1" t="s">
        <v>22</v>
      </c>
      <c r="C327" s="1">
        <v>17</v>
      </c>
      <c r="D327" s="3">
        <v>0</v>
      </c>
      <c r="E327" s="3">
        <v>0</v>
      </c>
      <c r="F327" s="3">
        <v>0</v>
      </c>
      <c r="G327" s="54" t="str">
        <f t="shared" si="21"/>
        <v>Drive-HeavyRail</v>
      </c>
      <c r="H327" s="54" t="str">
        <f t="shared" si="22"/>
        <v>Drive-Transit</v>
      </c>
      <c r="I327" s="54" t="str">
        <f t="shared" si="23"/>
        <v>Joint</v>
      </c>
    </row>
    <row r="328" spans="1:9" x14ac:dyDescent="0.2">
      <c r="A328" s="1" t="s">
        <v>28</v>
      </c>
      <c r="B328" s="1" t="s">
        <v>22</v>
      </c>
      <c r="C328" s="1">
        <v>20</v>
      </c>
      <c r="D328" s="3">
        <v>0</v>
      </c>
      <c r="E328" s="3">
        <v>0</v>
      </c>
      <c r="F328" s="3">
        <v>0</v>
      </c>
      <c r="G328" s="54" t="str">
        <f t="shared" si="21"/>
        <v>TNC-Single</v>
      </c>
      <c r="H328" s="54" t="str">
        <f t="shared" si="22"/>
        <v>TNC-Single</v>
      </c>
      <c r="I328" s="54" t="str">
        <f t="shared" si="23"/>
        <v>Joint</v>
      </c>
    </row>
    <row r="329" spans="1:9" x14ac:dyDescent="0.2">
      <c r="G329" s="54" t="str">
        <f t="shared" si="21"/>
        <v>None</v>
      </c>
      <c r="H329" s="54" t="str">
        <f t="shared" si="22"/>
        <v>None</v>
      </c>
      <c r="I329" s="54" t="str">
        <f t="shared" si="23"/>
        <v>None</v>
      </c>
    </row>
    <row r="330" spans="1:9" x14ac:dyDescent="0.2">
      <c r="G330" s="54" t="str">
        <f t="shared" si="21"/>
        <v>None</v>
      </c>
      <c r="H330" s="54" t="str">
        <f t="shared" si="22"/>
        <v>None</v>
      </c>
      <c r="I330" s="54" t="str">
        <f t="shared" si="23"/>
        <v>None</v>
      </c>
    </row>
    <row r="331" spans="1:9" x14ac:dyDescent="0.2">
      <c r="G331" s="54" t="str">
        <f t="shared" si="21"/>
        <v>None</v>
      </c>
      <c r="H331" s="54" t="str">
        <f t="shared" si="22"/>
        <v>None</v>
      </c>
      <c r="I331" s="54" t="str">
        <f t="shared" si="23"/>
        <v>None</v>
      </c>
    </row>
    <row r="332" spans="1:9" x14ac:dyDescent="0.2">
      <c r="G332" s="54" t="str">
        <f t="shared" si="21"/>
        <v>None</v>
      </c>
      <c r="H332" s="54" t="str">
        <f t="shared" si="22"/>
        <v>None</v>
      </c>
      <c r="I332" s="54" t="str">
        <f t="shared" si="23"/>
        <v>None</v>
      </c>
    </row>
    <row r="333" spans="1:9" x14ac:dyDescent="0.2">
      <c r="G333" s="54" t="str">
        <f t="shared" si="21"/>
        <v>None</v>
      </c>
      <c r="H333" s="54" t="str">
        <f t="shared" si="22"/>
        <v>None</v>
      </c>
      <c r="I333" s="54" t="str">
        <f t="shared" si="23"/>
        <v>None</v>
      </c>
    </row>
    <row r="334" spans="1:9" x14ac:dyDescent="0.2">
      <c r="G334" s="54" t="str">
        <f t="shared" si="21"/>
        <v>None</v>
      </c>
      <c r="H334" s="54" t="str">
        <f t="shared" si="22"/>
        <v>None</v>
      </c>
      <c r="I334" s="54" t="str">
        <f t="shared" si="23"/>
        <v>None</v>
      </c>
    </row>
    <row r="335" spans="1:9" x14ac:dyDescent="0.2">
      <c r="G335" s="54" t="str">
        <f t="shared" si="21"/>
        <v>None</v>
      </c>
      <c r="H335" s="54" t="str">
        <f t="shared" si="22"/>
        <v>None</v>
      </c>
      <c r="I335" s="54" t="str">
        <f t="shared" si="23"/>
        <v>None</v>
      </c>
    </row>
    <row r="336" spans="1:9" x14ac:dyDescent="0.2">
      <c r="G336" s="54" t="str">
        <f t="shared" si="21"/>
        <v>None</v>
      </c>
      <c r="H336" s="54" t="str">
        <f t="shared" si="22"/>
        <v>None</v>
      </c>
      <c r="I336" s="54" t="str">
        <f t="shared" si="23"/>
        <v>None</v>
      </c>
    </row>
    <row r="337" spans="7:9" x14ac:dyDescent="0.2">
      <c r="G337" s="54" t="str">
        <f t="shared" si="21"/>
        <v>None</v>
      </c>
      <c r="H337" s="54" t="str">
        <f t="shared" si="22"/>
        <v>None</v>
      </c>
      <c r="I337" s="54" t="str">
        <f t="shared" si="23"/>
        <v>None</v>
      </c>
    </row>
    <row r="338" spans="7:9" x14ac:dyDescent="0.2">
      <c r="G338" s="54" t="str">
        <f t="shared" si="21"/>
        <v>None</v>
      </c>
      <c r="H338" s="54" t="str">
        <f t="shared" si="22"/>
        <v>None</v>
      </c>
      <c r="I338" s="54" t="str">
        <f t="shared" si="23"/>
        <v>None</v>
      </c>
    </row>
    <row r="339" spans="7:9" x14ac:dyDescent="0.2">
      <c r="G339" s="54" t="str">
        <f t="shared" si="21"/>
        <v>None</v>
      </c>
      <c r="H339" s="54" t="str">
        <f t="shared" si="22"/>
        <v>None</v>
      </c>
      <c r="I339" s="54" t="str">
        <f t="shared" si="23"/>
        <v>None</v>
      </c>
    </row>
    <row r="340" spans="7:9" x14ac:dyDescent="0.2">
      <c r="G340" s="54" t="str">
        <f t="shared" si="21"/>
        <v>None</v>
      </c>
      <c r="H340" s="54" t="str">
        <f t="shared" si="22"/>
        <v>None</v>
      </c>
      <c r="I340" s="54" t="str">
        <f t="shared" si="23"/>
        <v>None</v>
      </c>
    </row>
    <row r="341" spans="7:9" x14ac:dyDescent="0.2">
      <c r="G341" s="54" t="str">
        <f t="shared" si="21"/>
        <v>None</v>
      </c>
      <c r="H341" s="54" t="str">
        <f t="shared" si="22"/>
        <v>None</v>
      </c>
      <c r="I341" s="54" t="str">
        <f t="shared" si="23"/>
        <v>None</v>
      </c>
    </row>
    <row r="342" spans="7:9" x14ac:dyDescent="0.2">
      <c r="G342" s="54" t="str">
        <f t="shared" si="21"/>
        <v>None</v>
      </c>
      <c r="H342" s="54" t="str">
        <f t="shared" si="22"/>
        <v>None</v>
      </c>
      <c r="I342" s="54" t="str">
        <f t="shared" si="23"/>
        <v>None</v>
      </c>
    </row>
    <row r="343" spans="7:9" x14ac:dyDescent="0.2">
      <c r="G343" s="54" t="str">
        <f t="shared" si="21"/>
        <v>None</v>
      </c>
      <c r="H343" s="54" t="str">
        <f t="shared" si="22"/>
        <v>None</v>
      </c>
      <c r="I343" s="54" t="str">
        <f t="shared" si="23"/>
        <v>None</v>
      </c>
    </row>
    <row r="344" spans="7:9" x14ac:dyDescent="0.2">
      <c r="G344" s="54" t="str">
        <f t="shared" si="21"/>
        <v>None</v>
      </c>
      <c r="H344" s="54" t="str">
        <f t="shared" si="22"/>
        <v>None</v>
      </c>
      <c r="I344" s="54" t="str">
        <f t="shared" si="23"/>
        <v>None</v>
      </c>
    </row>
    <row r="345" spans="7:9" x14ac:dyDescent="0.2">
      <c r="G345" s="54" t="str">
        <f t="shared" si="21"/>
        <v>None</v>
      </c>
      <c r="H345" s="54" t="str">
        <f t="shared" si="22"/>
        <v>None</v>
      </c>
      <c r="I345" s="54" t="str">
        <f t="shared" si="23"/>
        <v>None</v>
      </c>
    </row>
    <row r="346" spans="7:9" x14ac:dyDescent="0.2">
      <c r="G346" s="54" t="str">
        <f t="shared" si="21"/>
        <v>None</v>
      </c>
      <c r="H346" s="54" t="str">
        <f t="shared" si="22"/>
        <v>None</v>
      </c>
      <c r="I346" s="54" t="str">
        <f t="shared" si="23"/>
        <v>None</v>
      </c>
    </row>
    <row r="347" spans="7:9" x14ac:dyDescent="0.2">
      <c r="G347" s="54" t="str">
        <f t="shared" si="21"/>
        <v>None</v>
      </c>
      <c r="H347" s="54" t="str">
        <f t="shared" si="22"/>
        <v>None</v>
      </c>
      <c r="I347" s="54" t="str">
        <f t="shared" si="23"/>
        <v>None</v>
      </c>
    </row>
    <row r="348" spans="7:9" x14ac:dyDescent="0.2">
      <c r="G348" s="54" t="str">
        <f t="shared" si="21"/>
        <v>None</v>
      </c>
      <c r="H348" s="54" t="str">
        <f t="shared" si="22"/>
        <v>None</v>
      </c>
      <c r="I348" s="54" t="str">
        <f t="shared" si="23"/>
        <v>None</v>
      </c>
    </row>
    <row r="349" spans="7:9" x14ac:dyDescent="0.2">
      <c r="G349" s="54" t="str">
        <f t="shared" si="21"/>
        <v>None</v>
      </c>
      <c r="H349" s="54" t="str">
        <f t="shared" si="22"/>
        <v>None</v>
      </c>
      <c r="I349" s="54" t="str">
        <f t="shared" si="23"/>
        <v>None</v>
      </c>
    </row>
    <row r="350" spans="7:9" x14ac:dyDescent="0.2">
      <c r="G350" s="54" t="str">
        <f t="shared" si="21"/>
        <v>None</v>
      </c>
      <c r="H350" s="54" t="str">
        <f t="shared" si="22"/>
        <v>None</v>
      </c>
      <c r="I350" s="54" t="str">
        <f t="shared" si="23"/>
        <v>None</v>
      </c>
    </row>
    <row r="351" spans="7:9" x14ac:dyDescent="0.2">
      <c r="G351" s="54" t="str">
        <f t="shared" si="21"/>
        <v>None</v>
      </c>
      <c r="H351" s="54" t="str">
        <f t="shared" si="22"/>
        <v>None</v>
      </c>
      <c r="I351" s="54" t="str">
        <f t="shared" si="23"/>
        <v>None</v>
      </c>
    </row>
    <row r="352" spans="7:9" x14ac:dyDescent="0.2">
      <c r="G352" s="54" t="str">
        <f t="shared" si="21"/>
        <v>None</v>
      </c>
      <c r="H352" s="54" t="str">
        <f t="shared" si="22"/>
        <v>None</v>
      </c>
      <c r="I352" s="54" t="str">
        <f t="shared" si="23"/>
        <v>None</v>
      </c>
    </row>
    <row r="353" spans="7:9" x14ac:dyDescent="0.2">
      <c r="G353" s="54" t="str">
        <f t="shared" si="21"/>
        <v>None</v>
      </c>
      <c r="H353" s="54" t="str">
        <f t="shared" si="22"/>
        <v>None</v>
      </c>
      <c r="I353" s="54" t="str">
        <f t="shared" si="23"/>
        <v>None</v>
      </c>
    </row>
    <row r="354" spans="7:9" x14ac:dyDescent="0.2">
      <c r="G354" s="54" t="str">
        <f t="shared" si="21"/>
        <v>None</v>
      </c>
      <c r="H354" s="54" t="str">
        <f t="shared" si="22"/>
        <v>None</v>
      </c>
      <c r="I354" s="54" t="str">
        <f t="shared" si="23"/>
        <v>None</v>
      </c>
    </row>
    <row r="355" spans="7:9" x14ac:dyDescent="0.2">
      <c r="G355" s="54" t="str">
        <f t="shared" si="21"/>
        <v>None</v>
      </c>
      <c r="H355" s="54" t="str">
        <f t="shared" si="22"/>
        <v>None</v>
      </c>
      <c r="I355" s="54" t="str">
        <f t="shared" si="23"/>
        <v>None</v>
      </c>
    </row>
    <row r="356" spans="7:9" x14ac:dyDescent="0.2">
      <c r="G356" s="54" t="str">
        <f t="shared" si="21"/>
        <v>None</v>
      </c>
      <c r="H356" s="54" t="str">
        <f t="shared" si="22"/>
        <v>None</v>
      </c>
      <c r="I356" s="54" t="str">
        <f t="shared" si="23"/>
        <v>None</v>
      </c>
    </row>
    <row r="357" spans="7:9" x14ac:dyDescent="0.2">
      <c r="G357" s="54" t="str">
        <f t="shared" si="21"/>
        <v>None</v>
      </c>
      <c r="H357" s="54" t="str">
        <f t="shared" si="22"/>
        <v>None</v>
      </c>
      <c r="I357" s="54" t="str">
        <f t="shared" si="23"/>
        <v>None</v>
      </c>
    </row>
    <row r="358" spans="7:9" x14ac:dyDescent="0.2">
      <c r="G358" s="54" t="str">
        <f t="shared" si="21"/>
        <v>None</v>
      </c>
      <c r="H358" s="54" t="str">
        <f t="shared" si="22"/>
        <v>None</v>
      </c>
      <c r="I358" s="54" t="str">
        <f t="shared" si="23"/>
        <v>None</v>
      </c>
    </row>
    <row r="359" spans="7:9" x14ac:dyDescent="0.2">
      <c r="G359" s="54" t="str">
        <f t="shared" si="21"/>
        <v>None</v>
      </c>
      <c r="H359" s="54" t="str">
        <f t="shared" si="22"/>
        <v>None</v>
      </c>
      <c r="I359" s="54" t="str">
        <f t="shared" si="23"/>
        <v>None</v>
      </c>
    </row>
    <row r="360" spans="7:9" x14ac:dyDescent="0.2">
      <c r="G360" s="54" t="str">
        <f t="shared" si="21"/>
        <v>None</v>
      </c>
      <c r="H360" s="54" t="str">
        <f t="shared" si="22"/>
        <v>None</v>
      </c>
      <c r="I360" s="54" t="str">
        <f t="shared" si="23"/>
        <v>None</v>
      </c>
    </row>
    <row r="361" spans="7:9" x14ac:dyDescent="0.2">
      <c r="G361" s="54" t="str">
        <f t="shared" si="21"/>
        <v>None</v>
      </c>
      <c r="H361" s="54" t="str">
        <f t="shared" si="22"/>
        <v>None</v>
      </c>
      <c r="I361" s="54" t="str">
        <f t="shared" si="23"/>
        <v>None</v>
      </c>
    </row>
    <row r="362" spans="7:9" x14ac:dyDescent="0.2">
      <c r="G362" s="54" t="str">
        <f t="shared" si="21"/>
        <v>None</v>
      </c>
      <c r="H362" s="54" t="str">
        <f t="shared" si="22"/>
        <v>None</v>
      </c>
      <c r="I362" s="54" t="str">
        <f t="shared" si="23"/>
        <v>None</v>
      </c>
    </row>
    <row r="363" spans="7:9" x14ac:dyDescent="0.2">
      <c r="G363" s="54" t="str">
        <f t="shared" si="21"/>
        <v>None</v>
      </c>
      <c r="H363" s="54" t="str">
        <f t="shared" si="22"/>
        <v>None</v>
      </c>
      <c r="I363" s="54" t="str">
        <f t="shared" si="23"/>
        <v>None</v>
      </c>
    </row>
    <row r="364" spans="7:9" x14ac:dyDescent="0.2">
      <c r="G364" s="54" t="str">
        <f t="shared" si="21"/>
        <v>None</v>
      </c>
      <c r="H364" s="54" t="str">
        <f t="shared" si="22"/>
        <v>None</v>
      </c>
      <c r="I364" s="54" t="str">
        <f t="shared" si="23"/>
        <v>None</v>
      </c>
    </row>
    <row r="365" spans="7:9" x14ac:dyDescent="0.2">
      <c r="G365" s="54" t="str">
        <f t="shared" si="21"/>
        <v>None</v>
      </c>
      <c r="H365" s="54" t="str">
        <f t="shared" si="22"/>
        <v>None</v>
      </c>
      <c r="I365" s="54" t="str">
        <f t="shared" si="23"/>
        <v>None</v>
      </c>
    </row>
    <row r="366" spans="7:9" x14ac:dyDescent="0.2">
      <c r="G366" s="54" t="str">
        <f t="shared" si="21"/>
        <v>None</v>
      </c>
      <c r="H366" s="54" t="str">
        <f t="shared" si="22"/>
        <v>None</v>
      </c>
      <c r="I366" s="54" t="str">
        <f t="shared" si="23"/>
        <v>None</v>
      </c>
    </row>
    <row r="367" spans="7:9" x14ac:dyDescent="0.2">
      <c r="G367" s="54" t="str">
        <f t="shared" si="21"/>
        <v>None</v>
      </c>
      <c r="H367" s="54" t="str">
        <f t="shared" si="22"/>
        <v>None</v>
      </c>
      <c r="I367" s="54" t="str">
        <f t="shared" si="23"/>
        <v>None</v>
      </c>
    </row>
    <row r="368" spans="7:9" x14ac:dyDescent="0.2">
      <c r="G368" s="54" t="str">
        <f t="shared" si="21"/>
        <v>None</v>
      </c>
      <c r="H368" s="54" t="str">
        <f t="shared" si="22"/>
        <v>None</v>
      </c>
      <c r="I368" s="54" t="str">
        <f t="shared" si="23"/>
        <v>None</v>
      </c>
    </row>
    <row r="369" spans="7:9" x14ac:dyDescent="0.2">
      <c r="G369" s="54" t="str">
        <f t="shared" si="21"/>
        <v>None</v>
      </c>
      <c r="H369" s="54" t="str">
        <f t="shared" si="22"/>
        <v>None</v>
      </c>
      <c r="I369" s="54" t="str">
        <f t="shared" si="23"/>
        <v>None</v>
      </c>
    </row>
    <row r="370" spans="7:9" x14ac:dyDescent="0.2">
      <c r="G370" s="54" t="str">
        <f t="shared" si="21"/>
        <v>None</v>
      </c>
      <c r="H370" s="54" t="str">
        <f t="shared" si="22"/>
        <v>None</v>
      </c>
      <c r="I370" s="54" t="str">
        <f t="shared" si="23"/>
        <v>None</v>
      </c>
    </row>
    <row r="371" spans="7:9" x14ac:dyDescent="0.2">
      <c r="G371" s="54" t="str">
        <f t="shared" si="21"/>
        <v>None</v>
      </c>
      <c r="H371" s="54" t="str">
        <f t="shared" si="22"/>
        <v>None</v>
      </c>
      <c r="I371" s="54" t="str">
        <f t="shared" si="23"/>
        <v>None</v>
      </c>
    </row>
    <row r="372" spans="7:9" x14ac:dyDescent="0.2">
      <c r="G372" s="54" t="str">
        <f t="shared" si="21"/>
        <v>None</v>
      </c>
      <c r="H372" s="54" t="str">
        <f t="shared" si="22"/>
        <v>None</v>
      </c>
      <c r="I372" s="54" t="str">
        <f t="shared" si="23"/>
        <v>None</v>
      </c>
    </row>
    <row r="373" spans="7:9" x14ac:dyDescent="0.2">
      <c r="G373" s="54" t="str">
        <f t="shared" si="21"/>
        <v>None</v>
      </c>
      <c r="H373" s="54" t="str">
        <f t="shared" si="22"/>
        <v>None</v>
      </c>
      <c r="I373" s="54" t="str">
        <f t="shared" si="23"/>
        <v>None</v>
      </c>
    </row>
    <row r="374" spans="7:9" x14ac:dyDescent="0.2">
      <c r="G374" s="54" t="str">
        <f t="shared" si="21"/>
        <v>None</v>
      </c>
      <c r="H374" s="54" t="str">
        <f t="shared" si="22"/>
        <v>None</v>
      </c>
      <c r="I374" s="54" t="str">
        <f t="shared" si="23"/>
        <v>None</v>
      </c>
    </row>
    <row r="375" spans="7:9" x14ac:dyDescent="0.2">
      <c r="G375" s="54" t="str">
        <f t="shared" si="21"/>
        <v>None</v>
      </c>
      <c r="H375" s="54" t="str">
        <f t="shared" si="22"/>
        <v>None</v>
      </c>
      <c r="I375" s="54" t="str">
        <f t="shared" si="23"/>
        <v>None</v>
      </c>
    </row>
    <row r="376" spans="7:9" x14ac:dyDescent="0.2">
      <c r="G376" s="54" t="str">
        <f t="shared" si="21"/>
        <v>None</v>
      </c>
      <c r="H376" s="54" t="str">
        <f t="shared" si="22"/>
        <v>None</v>
      </c>
      <c r="I376" s="54" t="str">
        <f t="shared" si="23"/>
        <v>None</v>
      </c>
    </row>
    <row r="377" spans="7:9" x14ac:dyDescent="0.2">
      <c r="G377" s="54" t="str">
        <f t="shared" si="21"/>
        <v>None</v>
      </c>
      <c r="H377" s="54" t="str">
        <f t="shared" si="22"/>
        <v>None</v>
      </c>
      <c r="I377" s="54" t="str">
        <f t="shared" si="23"/>
        <v>None</v>
      </c>
    </row>
    <row r="378" spans="7:9" x14ac:dyDescent="0.2">
      <c r="G378" s="54" t="str">
        <f t="shared" si="21"/>
        <v>None</v>
      </c>
      <c r="H378" s="54" t="str">
        <f t="shared" si="22"/>
        <v>None</v>
      </c>
      <c r="I378" s="54" t="str">
        <f t="shared" si="23"/>
        <v>None</v>
      </c>
    </row>
    <row r="379" spans="7:9" x14ac:dyDescent="0.2">
      <c r="G379" s="54" t="str">
        <f t="shared" si="21"/>
        <v>None</v>
      </c>
      <c r="H379" s="54" t="str">
        <f t="shared" si="22"/>
        <v>None</v>
      </c>
      <c r="I379" s="54" t="str">
        <f t="shared" si="23"/>
        <v>None</v>
      </c>
    </row>
    <row r="380" spans="7:9" x14ac:dyDescent="0.2">
      <c r="G380" s="54" t="str">
        <f t="shared" si="21"/>
        <v>None</v>
      </c>
      <c r="H380" s="54" t="str">
        <f t="shared" si="22"/>
        <v>None</v>
      </c>
      <c r="I380" s="54" t="str">
        <f t="shared" si="23"/>
        <v>None</v>
      </c>
    </row>
    <row r="381" spans="7:9" x14ac:dyDescent="0.2">
      <c r="G381" s="54" t="str">
        <f t="shared" si="21"/>
        <v>None</v>
      </c>
      <c r="H381" s="54" t="str">
        <f t="shared" si="22"/>
        <v>None</v>
      </c>
      <c r="I381" s="54" t="str">
        <f t="shared" si="23"/>
        <v>None</v>
      </c>
    </row>
    <row r="382" spans="7:9" x14ac:dyDescent="0.2">
      <c r="G382" s="54" t="str">
        <f t="shared" si="21"/>
        <v>None</v>
      </c>
      <c r="H382" s="54" t="str">
        <f t="shared" si="22"/>
        <v>None</v>
      </c>
      <c r="I382" s="54" t="str">
        <f t="shared" si="23"/>
        <v>None</v>
      </c>
    </row>
    <row r="383" spans="7:9" x14ac:dyDescent="0.2">
      <c r="G383" s="54" t="str">
        <f t="shared" si="21"/>
        <v>None</v>
      </c>
      <c r="H383" s="54" t="str">
        <f t="shared" si="22"/>
        <v>None</v>
      </c>
      <c r="I383" s="54" t="str">
        <f t="shared" si="23"/>
        <v>None</v>
      </c>
    </row>
    <row r="384" spans="7:9" x14ac:dyDescent="0.2">
      <c r="G384" s="54" t="str">
        <f t="shared" si="21"/>
        <v>None</v>
      </c>
      <c r="H384" s="54" t="str">
        <f t="shared" si="22"/>
        <v>None</v>
      </c>
      <c r="I384" s="54" t="str">
        <f t="shared" si="23"/>
        <v>None</v>
      </c>
    </row>
    <row r="385" spans="7:9" x14ac:dyDescent="0.2">
      <c r="G385" s="54" t="str">
        <f t="shared" si="21"/>
        <v>None</v>
      </c>
      <c r="H385" s="54" t="str">
        <f t="shared" si="22"/>
        <v>None</v>
      </c>
      <c r="I385" s="54" t="str">
        <f t="shared" si="23"/>
        <v>None</v>
      </c>
    </row>
    <row r="386" spans="7:9" x14ac:dyDescent="0.2">
      <c r="G386" s="54" t="str">
        <f t="shared" si="21"/>
        <v>None</v>
      </c>
      <c r="H386" s="54" t="str">
        <f t="shared" si="22"/>
        <v>None</v>
      </c>
      <c r="I386" s="54" t="str">
        <f t="shared" si="23"/>
        <v>None</v>
      </c>
    </row>
    <row r="387" spans="7:9" x14ac:dyDescent="0.2">
      <c r="G387" s="54" t="str">
        <f t="shared" ref="G387:G450" si="24">_xlfn.IFNA(VLOOKUP($C387,tour_modes,2,FALSE),"None")</f>
        <v>None</v>
      </c>
      <c r="H387" s="54" t="str">
        <f t="shared" ref="H387:H450" si="25">_xlfn.IFNA(VLOOKUP($C387,tour_modes,3,FALSE),"None")</f>
        <v>None</v>
      </c>
      <c r="I387" s="54" t="str">
        <f t="shared" ref="I387:I450" si="26">IF(A387="joint","Joint",_xlfn.IFNA(VLOOKUP($B387,tour_purposes,2,FALSE),"None"))</f>
        <v>None</v>
      </c>
    </row>
    <row r="388" spans="7:9" x14ac:dyDescent="0.2">
      <c r="G388" s="54" t="str">
        <f t="shared" si="24"/>
        <v>None</v>
      </c>
      <c r="H388" s="54" t="str">
        <f t="shared" si="25"/>
        <v>None</v>
      </c>
      <c r="I388" s="54" t="str">
        <f t="shared" si="26"/>
        <v>None</v>
      </c>
    </row>
    <row r="389" spans="7:9" x14ac:dyDescent="0.2">
      <c r="G389" s="54" t="str">
        <f t="shared" si="24"/>
        <v>None</v>
      </c>
      <c r="H389" s="54" t="str">
        <f t="shared" si="25"/>
        <v>None</v>
      </c>
      <c r="I389" s="54" t="str">
        <f t="shared" si="26"/>
        <v>None</v>
      </c>
    </row>
    <row r="390" spans="7:9" x14ac:dyDescent="0.2">
      <c r="G390" s="54" t="str">
        <f t="shared" si="24"/>
        <v>None</v>
      </c>
      <c r="H390" s="54" t="str">
        <f t="shared" si="25"/>
        <v>None</v>
      </c>
      <c r="I390" s="54" t="str">
        <f t="shared" si="26"/>
        <v>None</v>
      </c>
    </row>
    <row r="391" spans="7:9" x14ac:dyDescent="0.2">
      <c r="G391" s="54" t="str">
        <f t="shared" si="24"/>
        <v>None</v>
      </c>
      <c r="H391" s="54" t="str">
        <f t="shared" si="25"/>
        <v>None</v>
      </c>
      <c r="I391" s="54" t="str">
        <f t="shared" si="26"/>
        <v>None</v>
      </c>
    </row>
    <row r="392" spans="7:9" x14ac:dyDescent="0.2">
      <c r="G392" s="54" t="str">
        <f t="shared" si="24"/>
        <v>None</v>
      </c>
      <c r="H392" s="54" t="str">
        <f t="shared" si="25"/>
        <v>None</v>
      </c>
      <c r="I392" s="54" t="str">
        <f t="shared" si="26"/>
        <v>None</v>
      </c>
    </row>
    <row r="393" spans="7:9" x14ac:dyDescent="0.2">
      <c r="G393" s="54" t="str">
        <f t="shared" si="24"/>
        <v>None</v>
      </c>
      <c r="H393" s="54" t="str">
        <f t="shared" si="25"/>
        <v>None</v>
      </c>
      <c r="I393" s="54" t="str">
        <f t="shared" si="26"/>
        <v>None</v>
      </c>
    </row>
    <row r="394" spans="7:9" x14ac:dyDescent="0.2">
      <c r="G394" s="54" t="str">
        <f t="shared" si="24"/>
        <v>None</v>
      </c>
      <c r="H394" s="54" t="str">
        <f t="shared" si="25"/>
        <v>None</v>
      </c>
      <c r="I394" s="54" t="str">
        <f t="shared" si="26"/>
        <v>None</v>
      </c>
    </row>
    <row r="395" spans="7:9" x14ac:dyDescent="0.2">
      <c r="G395" s="54" t="str">
        <f t="shared" si="24"/>
        <v>None</v>
      </c>
      <c r="H395" s="54" t="str">
        <f t="shared" si="25"/>
        <v>None</v>
      </c>
      <c r="I395" s="54" t="str">
        <f t="shared" si="26"/>
        <v>None</v>
      </c>
    </row>
    <row r="396" spans="7:9" x14ac:dyDescent="0.2">
      <c r="G396" s="54" t="str">
        <f t="shared" si="24"/>
        <v>None</v>
      </c>
      <c r="H396" s="54" t="str">
        <f t="shared" si="25"/>
        <v>None</v>
      </c>
      <c r="I396" s="54" t="str">
        <f t="shared" si="26"/>
        <v>None</v>
      </c>
    </row>
    <row r="397" spans="7:9" x14ac:dyDescent="0.2">
      <c r="G397" s="54" t="str">
        <f t="shared" si="24"/>
        <v>None</v>
      </c>
      <c r="H397" s="54" t="str">
        <f t="shared" si="25"/>
        <v>None</v>
      </c>
      <c r="I397" s="54" t="str">
        <f t="shared" si="26"/>
        <v>None</v>
      </c>
    </row>
    <row r="398" spans="7:9" x14ac:dyDescent="0.2">
      <c r="G398" s="54" t="str">
        <f t="shared" si="24"/>
        <v>None</v>
      </c>
      <c r="H398" s="54" t="str">
        <f t="shared" si="25"/>
        <v>None</v>
      </c>
      <c r="I398" s="54" t="str">
        <f t="shared" si="26"/>
        <v>None</v>
      </c>
    </row>
    <row r="399" spans="7:9" x14ac:dyDescent="0.2">
      <c r="G399" s="54" t="str">
        <f t="shared" si="24"/>
        <v>None</v>
      </c>
      <c r="H399" s="54" t="str">
        <f t="shared" si="25"/>
        <v>None</v>
      </c>
      <c r="I399" s="54" t="str">
        <f t="shared" si="26"/>
        <v>None</v>
      </c>
    </row>
    <row r="400" spans="7:9" x14ac:dyDescent="0.2">
      <c r="G400" s="54" t="str">
        <f t="shared" si="24"/>
        <v>None</v>
      </c>
      <c r="H400" s="54" t="str">
        <f t="shared" si="25"/>
        <v>None</v>
      </c>
      <c r="I400" s="54" t="str">
        <f t="shared" si="26"/>
        <v>None</v>
      </c>
    </row>
    <row r="401" spans="7:9" x14ac:dyDescent="0.2">
      <c r="G401" s="54" t="str">
        <f t="shared" si="24"/>
        <v>None</v>
      </c>
      <c r="H401" s="54" t="str">
        <f t="shared" si="25"/>
        <v>None</v>
      </c>
      <c r="I401" s="54" t="str">
        <f t="shared" si="26"/>
        <v>None</v>
      </c>
    </row>
    <row r="402" spans="7:9" x14ac:dyDescent="0.2">
      <c r="G402" s="54" t="str">
        <f t="shared" si="24"/>
        <v>None</v>
      </c>
      <c r="H402" s="54" t="str">
        <f t="shared" si="25"/>
        <v>None</v>
      </c>
      <c r="I402" s="54" t="str">
        <f t="shared" si="26"/>
        <v>None</v>
      </c>
    </row>
    <row r="403" spans="7:9" x14ac:dyDescent="0.2">
      <c r="G403" s="54" t="str">
        <f t="shared" si="24"/>
        <v>None</v>
      </c>
      <c r="H403" s="54" t="str">
        <f t="shared" si="25"/>
        <v>None</v>
      </c>
      <c r="I403" s="54" t="str">
        <f t="shared" si="26"/>
        <v>None</v>
      </c>
    </row>
    <row r="404" spans="7:9" x14ac:dyDescent="0.2">
      <c r="G404" s="54" t="str">
        <f t="shared" si="24"/>
        <v>None</v>
      </c>
      <c r="H404" s="54" t="str">
        <f t="shared" si="25"/>
        <v>None</v>
      </c>
      <c r="I404" s="54" t="str">
        <f t="shared" si="26"/>
        <v>None</v>
      </c>
    </row>
    <row r="405" spans="7:9" x14ac:dyDescent="0.2">
      <c r="G405" s="54" t="str">
        <f t="shared" si="24"/>
        <v>None</v>
      </c>
      <c r="H405" s="54" t="str">
        <f t="shared" si="25"/>
        <v>None</v>
      </c>
      <c r="I405" s="54" t="str">
        <f t="shared" si="26"/>
        <v>None</v>
      </c>
    </row>
    <row r="406" spans="7:9" x14ac:dyDescent="0.2">
      <c r="G406" s="54" t="str">
        <f t="shared" si="24"/>
        <v>None</v>
      </c>
      <c r="H406" s="54" t="str">
        <f t="shared" si="25"/>
        <v>None</v>
      </c>
      <c r="I406" s="54" t="str">
        <f t="shared" si="26"/>
        <v>None</v>
      </c>
    </row>
    <row r="407" spans="7:9" x14ac:dyDescent="0.2">
      <c r="G407" s="54" t="str">
        <f t="shared" si="24"/>
        <v>None</v>
      </c>
      <c r="H407" s="54" t="str">
        <f t="shared" si="25"/>
        <v>None</v>
      </c>
      <c r="I407" s="54" t="str">
        <f t="shared" si="26"/>
        <v>None</v>
      </c>
    </row>
    <row r="408" spans="7:9" x14ac:dyDescent="0.2">
      <c r="G408" s="54" t="str">
        <f t="shared" si="24"/>
        <v>None</v>
      </c>
      <c r="H408" s="54" t="str">
        <f t="shared" si="25"/>
        <v>None</v>
      </c>
      <c r="I408" s="54" t="str">
        <f t="shared" si="26"/>
        <v>None</v>
      </c>
    </row>
    <row r="409" spans="7:9" x14ac:dyDescent="0.2">
      <c r="G409" s="54" t="str">
        <f t="shared" si="24"/>
        <v>None</v>
      </c>
      <c r="H409" s="54" t="str">
        <f t="shared" si="25"/>
        <v>None</v>
      </c>
      <c r="I409" s="54" t="str">
        <f t="shared" si="26"/>
        <v>None</v>
      </c>
    </row>
    <row r="410" spans="7:9" x14ac:dyDescent="0.2">
      <c r="G410" s="54" t="str">
        <f t="shared" si="24"/>
        <v>None</v>
      </c>
      <c r="H410" s="54" t="str">
        <f t="shared" si="25"/>
        <v>None</v>
      </c>
      <c r="I410" s="54" t="str">
        <f t="shared" si="26"/>
        <v>None</v>
      </c>
    </row>
    <row r="411" spans="7:9" x14ac:dyDescent="0.2">
      <c r="G411" s="54" t="str">
        <f t="shared" si="24"/>
        <v>None</v>
      </c>
      <c r="H411" s="54" t="str">
        <f t="shared" si="25"/>
        <v>None</v>
      </c>
      <c r="I411" s="54" t="str">
        <f t="shared" si="26"/>
        <v>None</v>
      </c>
    </row>
    <row r="412" spans="7:9" x14ac:dyDescent="0.2">
      <c r="G412" s="54" t="str">
        <f t="shared" si="24"/>
        <v>None</v>
      </c>
      <c r="H412" s="54" t="str">
        <f t="shared" si="25"/>
        <v>None</v>
      </c>
      <c r="I412" s="54" t="str">
        <f t="shared" si="26"/>
        <v>None</v>
      </c>
    </row>
    <row r="413" spans="7:9" x14ac:dyDescent="0.2">
      <c r="G413" s="54" t="str">
        <f t="shared" si="24"/>
        <v>None</v>
      </c>
      <c r="H413" s="54" t="str">
        <f t="shared" si="25"/>
        <v>None</v>
      </c>
      <c r="I413" s="54" t="str">
        <f t="shared" si="26"/>
        <v>None</v>
      </c>
    </row>
    <row r="414" spans="7:9" x14ac:dyDescent="0.2">
      <c r="G414" s="54" t="str">
        <f t="shared" si="24"/>
        <v>None</v>
      </c>
      <c r="H414" s="54" t="str">
        <f t="shared" si="25"/>
        <v>None</v>
      </c>
      <c r="I414" s="54" t="str">
        <f t="shared" si="26"/>
        <v>None</v>
      </c>
    </row>
    <row r="415" spans="7:9" x14ac:dyDescent="0.2">
      <c r="G415" s="54" t="str">
        <f t="shared" si="24"/>
        <v>None</v>
      </c>
      <c r="H415" s="54" t="str">
        <f t="shared" si="25"/>
        <v>None</v>
      </c>
      <c r="I415" s="54" t="str">
        <f t="shared" si="26"/>
        <v>None</v>
      </c>
    </row>
    <row r="416" spans="7:9" x14ac:dyDescent="0.2">
      <c r="G416" s="54" t="str">
        <f t="shared" si="24"/>
        <v>None</v>
      </c>
      <c r="H416" s="54" t="str">
        <f t="shared" si="25"/>
        <v>None</v>
      </c>
      <c r="I416" s="54" t="str">
        <f t="shared" si="26"/>
        <v>None</v>
      </c>
    </row>
    <row r="417" spans="7:9" x14ac:dyDescent="0.2">
      <c r="G417" s="54" t="str">
        <f t="shared" si="24"/>
        <v>None</v>
      </c>
      <c r="H417" s="54" t="str">
        <f t="shared" si="25"/>
        <v>None</v>
      </c>
      <c r="I417" s="54" t="str">
        <f t="shared" si="26"/>
        <v>None</v>
      </c>
    </row>
    <row r="418" spans="7:9" x14ac:dyDescent="0.2">
      <c r="G418" s="54" t="str">
        <f t="shared" si="24"/>
        <v>None</v>
      </c>
      <c r="H418" s="54" t="str">
        <f t="shared" si="25"/>
        <v>None</v>
      </c>
      <c r="I418" s="54" t="str">
        <f t="shared" si="26"/>
        <v>None</v>
      </c>
    </row>
    <row r="419" spans="7:9" x14ac:dyDescent="0.2">
      <c r="G419" s="54" t="str">
        <f t="shared" si="24"/>
        <v>None</v>
      </c>
      <c r="H419" s="54" t="str">
        <f t="shared" si="25"/>
        <v>None</v>
      </c>
      <c r="I419" s="54" t="str">
        <f t="shared" si="26"/>
        <v>None</v>
      </c>
    </row>
    <row r="420" spans="7:9" x14ac:dyDescent="0.2">
      <c r="G420" s="54" t="str">
        <f t="shared" si="24"/>
        <v>None</v>
      </c>
      <c r="H420" s="54" t="str">
        <f t="shared" si="25"/>
        <v>None</v>
      </c>
      <c r="I420" s="54" t="str">
        <f t="shared" si="26"/>
        <v>None</v>
      </c>
    </row>
    <row r="421" spans="7:9" x14ac:dyDescent="0.2">
      <c r="G421" s="54" t="str">
        <f t="shared" si="24"/>
        <v>None</v>
      </c>
      <c r="H421" s="54" t="str">
        <f t="shared" si="25"/>
        <v>None</v>
      </c>
      <c r="I421" s="54" t="str">
        <f t="shared" si="26"/>
        <v>None</v>
      </c>
    </row>
    <row r="422" spans="7:9" x14ac:dyDescent="0.2">
      <c r="G422" s="54" t="str">
        <f t="shared" si="24"/>
        <v>None</v>
      </c>
      <c r="H422" s="54" t="str">
        <f t="shared" si="25"/>
        <v>None</v>
      </c>
      <c r="I422" s="54" t="str">
        <f t="shared" si="26"/>
        <v>None</v>
      </c>
    </row>
    <row r="423" spans="7:9" x14ac:dyDescent="0.2">
      <c r="G423" s="54" t="str">
        <f t="shared" si="24"/>
        <v>None</v>
      </c>
      <c r="H423" s="54" t="str">
        <f t="shared" si="25"/>
        <v>None</v>
      </c>
      <c r="I423" s="54" t="str">
        <f t="shared" si="26"/>
        <v>None</v>
      </c>
    </row>
    <row r="424" spans="7:9" x14ac:dyDescent="0.2">
      <c r="G424" s="54" t="str">
        <f t="shared" si="24"/>
        <v>None</v>
      </c>
      <c r="H424" s="54" t="str">
        <f t="shared" si="25"/>
        <v>None</v>
      </c>
      <c r="I424" s="54" t="str">
        <f t="shared" si="26"/>
        <v>None</v>
      </c>
    </row>
    <row r="425" spans="7:9" x14ac:dyDescent="0.2">
      <c r="G425" s="54" t="str">
        <f t="shared" si="24"/>
        <v>None</v>
      </c>
      <c r="H425" s="54" t="str">
        <f t="shared" si="25"/>
        <v>None</v>
      </c>
      <c r="I425" s="54" t="str">
        <f t="shared" si="26"/>
        <v>None</v>
      </c>
    </row>
    <row r="426" spans="7:9" x14ac:dyDescent="0.2">
      <c r="G426" s="54" t="str">
        <f t="shared" si="24"/>
        <v>None</v>
      </c>
      <c r="H426" s="54" t="str">
        <f t="shared" si="25"/>
        <v>None</v>
      </c>
      <c r="I426" s="54" t="str">
        <f t="shared" si="26"/>
        <v>None</v>
      </c>
    </row>
    <row r="427" spans="7:9" x14ac:dyDescent="0.2">
      <c r="G427" s="54" t="str">
        <f t="shared" si="24"/>
        <v>None</v>
      </c>
      <c r="H427" s="54" t="str">
        <f t="shared" si="25"/>
        <v>None</v>
      </c>
      <c r="I427" s="54" t="str">
        <f t="shared" si="26"/>
        <v>None</v>
      </c>
    </row>
    <row r="428" spans="7:9" x14ac:dyDescent="0.2">
      <c r="G428" s="54" t="str">
        <f t="shared" si="24"/>
        <v>None</v>
      </c>
      <c r="H428" s="54" t="str">
        <f t="shared" si="25"/>
        <v>None</v>
      </c>
      <c r="I428" s="54" t="str">
        <f t="shared" si="26"/>
        <v>None</v>
      </c>
    </row>
    <row r="429" spans="7:9" x14ac:dyDescent="0.2">
      <c r="G429" s="54" t="str">
        <f t="shared" si="24"/>
        <v>None</v>
      </c>
      <c r="H429" s="54" t="str">
        <f t="shared" si="25"/>
        <v>None</v>
      </c>
      <c r="I429" s="54" t="str">
        <f t="shared" si="26"/>
        <v>None</v>
      </c>
    </row>
    <row r="430" spans="7:9" x14ac:dyDescent="0.2">
      <c r="G430" s="54" t="str">
        <f t="shared" si="24"/>
        <v>None</v>
      </c>
      <c r="H430" s="54" t="str">
        <f t="shared" si="25"/>
        <v>None</v>
      </c>
      <c r="I430" s="54" t="str">
        <f t="shared" si="26"/>
        <v>None</v>
      </c>
    </row>
    <row r="431" spans="7:9" x14ac:dyDescent="0.2">
      <c r="G431" s="54" t="str">
        <f t="shared" si="24"/>
        <v>None</v>
      </c>
      <c r="H431" s="54" t="str">
        <f t="shared" si="25"/>
        <v>None</v>
      </c>
      <c r="I431" s="54" t="str">
        <f t="shared" si="26"/>
        <v>None</v>
      </c>
    </row>
    <row r="432" spans="7:9" x14ac:dyDescent="0.2">
      <c r="G432" s="54" t="str">
        <f t="shared" si="24"/>
        <v>None</v>
      </c>
      <c r="H432" s="54" t="str">
        <f t="shared" si="25"/>
        <v>None</v>
      </c>
      <c r="I432" s="54" t="str">
        <f t="shared" si="26"/>
        <v>None</v>
      </c>
    </row>
    <row r="433" spans="7:9" x14ac:dyDescent="0.2">
      <c r="G433" s="54" t="str">
        <f t="shared" si="24"/>
        <v>None</v>
      </c>
      <c r="H433" s="54" t="str">
        <f t="shared" si="25"/>
        <v>None</v>
      </c>
      <c r="I433" s="54" t="str">
        <f t="shared" si="26"/>
        <v>None</v>
      </c>
    </row>
    <row r="434" spans="7:9" x14ac:dyDescent="0.2">
      <c r="G434" s="54" t="str">
        <f t="shared" si="24"/>
        <v>None</v>
      </c>
      <c r="H434" s="54" t="str">
        <f t="shared" si="25"/>
        <v>None</v>
      </c>
      <c r="I434" s="54" t="str">
        <f t="shared" si="26"/>
        <v>None</v>
      </c>
    </row>
    <row r="435" spans="7:9" x14ac:dyDescent="0.2">
      <c r="G435" s="54" t="str">
        <f t="shared" si="24"/>
        <v>None</v>
      </c>
      <c r="H435" s="54" t="str">
        <f t="shared" si="25"/>
        <v>None</v>
      </c>
      <c r="I435" s="54" t="str">
        <f t="shared" si="26"/>
        <v>None</v>
      </c>
    </row>
    <row r="436" spans="7:9" x14ac:dyDescent="0.2">
      <c r="G436" s="54" t="str">
        <f t="shared" si="24"/>
        <v>None</v>
      </c>
      <c r="H436" s="54" t="str">
        <f t="shared" si="25"/>
        <v>None</v>
      </c>
      <c r="I436" s="54" t="str">
        <f t="shared" si="26"/>
        <v>None</v>
      </c>
    </row>
    <row r="437" spans="7:9" x14ac:dyDescent="0.2">
      <c r="G437" s="54" t="str">
        <f t="shared" si="24"/>
        <v>None</v>
      </c>
      <c r="H437" s="54" t="str">
        <f t="shared" si="25"/>
        <v>None</v>
      </c>
      <c r="I437" s="54" t="str">
        <f t="shared" si="26"/>
        <v>None</v>
      </c>
    </row>
    <row r="438" spans="7:9" x14ac:dyDescent="0.2">
      <c r="G438" s="54" t="str">
        <f t="shared" si="24"/>
        <v>None</v>
      </c>
      <c r="H438" s="54" t="str">
        <f t="shared" si="25"/>
        <v>None</v>
      </c>
      <c r="I438" s="54" t="str">
        <f t="shared" si="26"/>
        <v>None</v>
      </c>
    </row>
    <row r="439" spans="7:9" x14ac:dyDescent="0.2">
      <c r="G439" s="54" t="str">
        <f t="shared" si="24"/>
        <v>None</v>
      </c>
      <c r="H439" s="54" t="str">
        <f t="shared" si="25"/>
        <v>None</v>
      </c>
      <c r="I439" s="54" t="str">
        <f t="shared" si="26"/>
        <v>None</v>
      </c>
    </row>
    <row r="440" spans="7:9" x14ac:dyDescent="0.2">
      <c r="G440" s="54" t="str">
        <f t="shared" si="24"/>
        <v>None</v>
      </c>
      <c r="H440" s="54" t="str">
        <f t="shared" si="25"/>
        <v>None</v>
      </c>
      <c r="I440" s="54" t="str">
        <f t="shared" si="26"/>
        <v>None</v>
      </c>
    </row>
    <row r="441" spans="7:9" x14ac:dyDescent="0.2">
      <c r="G441" s="54" t="str">
        <f t="shared" si="24"/>
        <v>None</v>
      </c>
      <c r="H441" s="54" t="str">
        <f t="shared" si="25"/>
        <v>None</v>
      </c>
      <c r="I441" s="54" t="str">
        <f t="shared" si="26"/>
        <v>None</v>
      </c>
    </row>
    <row r="442" spans="7:9" x14ac:dyDescent="0.2">
      <c r="G442" s="54" t="str">
        <f t="shared" si="24"/>
        <v>None</v>
      </c>
      <c r="H442" s="54" t="str">
        <f t="shared" si="25"/>
        <v>None</v>
      </c>
      <c r="I442" s="54" t="str">
        <f t="shared" si="26"/>
        <v>None</v>
      </c>
    </row>
    <row r="443" spans="7:9" x14ac:dyDescent="0.2">
      <c r="G443" s="54" t="str">
        <f t="shared" si="24"/>
        <v>None</v>
      </c>
      <c r="H443" s="54" t="str">
        <f t="shared" si="25"/>
        <v>None</v>
      </c>
      <c r="I443" s="54" t="str">
        <f t="shared" si="26"/>
        <v>None</v>
      </c>
    </row>
    <row r="444" spans="7:9" x14ac:dyDescent="0.2">
      <c r="G444" s="54" t="str">
        <f t="shared" si="24"/>
        <v>None</v>
      </c>
      <c r="H444" s="54" t="str">
        <f t="shared" si="25"/>
        <v>None</v>
      </c>
      <c r="I444" s="54" t="str">
        <f t="shared" si="26"/>
        <v>None</v>
      </c>
    </row>
    <row r="445" spans="7:9" x14ac:dyDescent="0.2">
      <c r="G445" s="54" t="str">
        <f t="shared" si="24"/>
        <v>None</v>
      </c>
      <c r="H445" s="54" t="str">
        <f t="shared" si="25"/>
        <v>None</v>
      </c>
      <c r="I445" s="54" t="str">
        <f t="shared" si="26"/>
        <v>None</v>
      </c>
    </row>
    <row r="446" spans="7:9" x14ac:dyDescent="0.2">
      <c r="G446" s="54" t="str">
        <f t="shared" si="24"/>
        <v>None</v>
      </c>
      <c r="H446" s="54" t="str">
        <f t="shared" si="25"/>
        <v>None</v>
      </c>
      <c r="I446" s="54" t="str">
        <f t="shared" si="26"/>
        <v>None</v>
      </c>
    </row>
    <row r="447" spans="7:9" x14ac:dyDescent="0.2">
      <c r="G447" s="54" t="str">
        <f t="shared" si="24"/>
        <v>None</v>
      </c>
      <c r="H447" s="54" t="str">
        <f t="shared" si="25"/>
        <v>None</v>
      </c>
      <c r="I447" s="54" t="str">
        <f t="shared" si="26"/>
        <v>None</v>
      </c>
    </row>
    <row r="448" spans="7:9" x14ac:dyDescent="0.2">
      <c r="G448" s="54" t="str">
        <f t="shared" si="24"/>
        <v>None</v>
      </c>
      <c r="H448" s="54" t="str">
        <f t="shared" si="25"/>
        <v>None</v>
      </c>
      <c r="I448" s="54" t="str">
        <f t="shared" si="26"/>
        <v>None</v>
      </c>
    </row>
    <row r="449" spans="7:9" x14ac:dyDescent="0.2">
      <c r="G449" s="54" t="str">
        <f t="shared" si="24"/>
        <v>None</v>
      </c>
      <c r="H449" s="54" t="str">
        <f t="shared" si="25"/>
        <v>None</v>
      </c>
      <c r="I449" s="54" t="str">
        <f t="shared" si="26"/>
        <v>None</v>
      </c>
    </row>
    <row r="450" spans="7:9" x14ac:dyDescent="0.2">
      <c r="G450" s="54" t="str">
        <f t="shared" si="24"/>
        <v>None</v>
      </c>
      <c r="H450" s="54" t="str">
        <f t="shared" si="25"/>
        <v>None</v>
      </c>
      <c r="I450" s="54" t="str">
        <f t="shared" si="26"/>
        <v>None</v>
      </c>
    </row>
    <row r="451" spans="7:9" x14ac:dyDescent="0.2">
      <c r="G451" s="54" t="str">
        <f t="shared" ref="G451:G514" si="27">_xlfn.IFNA(VLOOKUP($C451,tour_modes,2,FALSE),"None")</f>
        <v>None</v>
      </c>
      <c r="H451" s="54" t="str">
        <f t="shared" ref="H451:H514" si="28">_xlfn.IFNA(VLOOKUP($C451,tour_modes,3,FALSE),"None")</f>
        <v>None</v>
      </c>
      <c r="I451" s="54" t="str">
        <f t="shared" ref="I451:I514" si="29">IF(A451="joint","Joint",_xlfn.IFNA(VLOOKUP($B451,tour_purposes,2,FALSE),"None"))</f>
        <v>None</v>
      </c>
    </row>
    <row r="452" spans="7:9" x14ac:dyDescent="0.2">
      <c r="G452" s="54" t="str">
        <f t="shared" si="27"/>
        <v>None</v>
      </c>
      <c r="H452" s="54" t="str">
        <f t="shared" si="28"/>
        <v>None</v>
      </c>
      <c r="I452" s="54" t="str">
        <f t="shared" si="29"/>
        <v>None</v>
      </c>
    </row>
    <row r="453" spans="7:9" x14ac:dyDescent="0.2">
      <c r="G453" s="54" t="str">
        <f t="shared" si="27"/>
        <v>None</v>
      </c>
      <c r="H453" s="54" t="str">
        <f t="shared" si="28"/>
        <v>None</v>
      </c>
      <c r="I453" s="54" t="str">
        <f t="shared" si="29"/>
        <v>None</v>
      </c>
    </row>
    <row r="454" spans="7:9" x14ac:dyDescent="0.2">
      <c r="G454" s="54" t="str">
        <f t="shared" si="27"/>
        <v>None</v>
      </c>
      <c r="H454" s="54" t="str">
        <f t="shared" si="28"/>
        <v>None</v>
      </c>
      <c r="I454" s="54" t="str">
        <f t="shared" si="29"/>
        <v>None</v>
      </c>
    </row>
    <row r="455" spans="7:9" x14ac:dyDescent="0.2">
      <c r="G455" s="54" t="str">
        <f t="shared" si="27"/>
        <v>None</v>
      </c>
      <c r="H455" s="54" t="str">
        <f t="shared" si="28"/>
        <v>None</v>
      </c>
      <c r="I455" s="54" t="str">
        <f t="shared" si="29"/>
        <v>None</v>
      </c>
    </row>
    <row r="456" spans="7:9" x14ac:dyDescent="0.2">
      <c r="G456" s="54" t="str">
        <f t="shared" si="27"/>
        <v>None</v>
      </c>
      <c r="H456" s="54" t="str">
        <f t="shared" si="28"/>
        <v>None</v>
      </c>
      <c r="I456" s="54" t="str">
        <f t="shared" si="29"/>
        <v>None</v>
      </c>
    </row>
    <row r="457" spans="7:9" x14ac:dyDescent="0.2">
      <c r="G457" s="54" t="str">
        <f t="shared" si="27"/>
        <v>None</v>
      </c>
      <c r="H457" s="54" t="str">
        <f t="shared" si="28"/>
        <v>None</v>
      </c>
      <c r="I457" s="54" t="str">
        <f t="shared" si="29"/>
        <v>None</v>
      </c>
    </row>
    <row r="458" spans="7:9" x14ac:dyDescent="0.2">
      <c r="G458" s="54" t="str">
        <f t="shared" si="27"/>
        <v>None</v>
      </c>
      <c r="H458" s="54" t="str">
        <f t="shared" si="28"/>
        <v>None</v>
      </c>
      <c r="I458" s="54" t="str">
        <f t="shared" si="29"/>
        <v>None</v>
      </c>
    </row>
    <row r="459" spans="7:9" x14ac:dyDescent="0.2">
      <c r="G459" s="54" t="str">
        <f t="shared" si="27"/>
        <v>None</v>
      </c>
      <c r="H459" s="54" t="str">
        <f t="shared" si="28"/>
        <v>None</v>
      </c>
      <c r="I459" s="54" t="str">
        <f t="shared" si="29"/>
        <v>None</v>
      </c>
    </row>
    <row r="460" spans="7:9" x14ac:dyDescent="0.2">
      <c r="G460" s="54" t="str">
        <f t="shared" si="27"/>
        <v>None</v>
      </c>
      <c r="H460" s="54" t="str">
        <f t="shared" si="28"/>
        <v>None</v>
      </c>
      <c r="I460" s="54" t="str">
        <f t="shared" si="29"/>
        <v>None</v>
      </c>
    </row>
    <row r="461" spans="7:9" x14ac:dyDescent="0.2">
      <c r="G461" s="54" t="str">
        <f t="shared" si="27"/>
        <v>None</v>
      </c>
      <c r="H461" s="54" t="str">
        <f t="shared" si="28"/>
        <v>None</v>
      </c>
      <c r="I461" s="54" t="str">
        <f t="shared" si="29"/>
        <v>None</v>
      </c>
    </row>
    <row r="462" spans="7:9" x14ac:dyDescent="0.2">
      <c r="G462" s="54" t="str">
        <f t="shared" si="27"/>
        <v>None</v>
      </c>
      <c r="H462" s="54" t="str">
        <f t="shared" si="28"/>
        <v>None</v>
      </c>
      <c r="I462" s="54" t="str">
        <f t="shared" si="29"/>
        <v>None</v>
      </c>
    </row>
    <row r="463" spans="7:9" x14ac:dyDescent="0.2">
      <c r="G463" s="54" t="str">
        <f t="shared" si="27"/>
        <v>None</v>
      </c>
      <c r="H463" s="54" t="str">
        <f t="shared" si="28"/>
        <v>None</v>
      </c>
      <c r="I463" s="54" t="str">
        <f t="shared" si="29"/>
        <v>None</v>
      </c>
    </row>
    <row r="464" spans="7:9" x14ac:dyDescent="0.2">
      <c r="G464" s="54" t="str">
        <f t="shared" si="27"/>
        <v>None</v>
      </c>
      <c r="H464" s="54" t="str">
        <f t="shared" si="28"/>
        <v>None</v>
      </c>
      <c r="I464" s="54" t="str">
        <f t="shared" si="29"/>
        <v>None</v>
      </c>
    </row>
    <row r="465" spans="7:9" x14ac:dyDescent="0.2">
      <c r="G465" s="54" t="str">
        <f t="shared" si="27"/>
        <v>None</v>
      </c>
      <c r="H465" s="54" t="str">
        <f t="shared" si="28"/>
        <v>None</v>
      </c>
      <c r="I465" s="54" t="str">
        <f t="shared" si="29"/>
        <v>None</v>
      </c>
    </row>
    <row r="466" spans="7:9" x14ac:dyDescent="0.2">
      <c r="G466" s="54" t="str">
        <f t="shared" si="27"/>
        <v>None</v>
      </c>
      <c r="H466" s="54" t="str">
        <f t="shared" si="28"/>
        <v>None</v>
      </c>
      <c r="I466" s="54" t="str">
        <f t="shared" si="29"/>
        <v>None</v>
      </c>
    </row>
    <row r="467" spans="7:9" x14ac:dyDescent="0.2">
      <c r="G467" s="54" t="str">
        <f t="shared" si="27"/>
        <v>None</v>
      </c>
      <c r="H467" s="54" t="str">
        <f t="shared" si="28"/>
        <v>None</v>
      </c>
      <c r="I467" s="54" t="str">
        <f t="shared" si="29"/>
        <v>None</v>
      </c>
    </row>
    <row r="468" spans="7:9" x14ac:dyDescent="0.2">
      <c r="G468" s="54" t="str">
        <f t="shared" si="27"/>
        <v>None</v>
      </c>
      <c r="H468" s="54" t="str">
        <f t="shared" si="28"/>
        <v>None</v>
      </c>
      <c r="I468" s="54" t="str">
        <f t="shared" si="29"/>
        <v>None</v>
      </c>
    </row>
    <row r="469" spans="7:9" x14ac:dyDescent="0.2">
      <c r="G469" s="54" t="str">
        <f t="shared" si="27"/>
        <v>None</v>
      </c>
      <c r="H469" s="54" t="str">
        <f t="shared" si="28"/>
        <v>None</v>
      </c>
      <c r="I469" s="54" t="str">
        <f t="shared" si="29"/>
        <v>None</v>
      </c>
    </row>
    <row r="470" spans="7:9" x14ac:dyDescent="0.2">
      <c r="G470" s="54" t="str">
        <f t="shared" si="27"/>
        <v>None</v>
      </c>
      <c r="H470" s="54" t="str">
        <f t="shared" si="28"/>
        <v>None</v>
      </c>
      <c r="I470" s="54" t="str">
        <f t="shared" si="29"/>
        <v>None</v>
      </c>
    </row>
    <row r="471" spans="7:9" x14ac:dyDescent="0.2">
      <c r="G471" s="54" t="str">
        <f t="shared" si="27"/>
        <v>None</v>
      </c>
      <c r="H471" s="54" t="str">
        <f t="shared" si="28"/>
        <v>None</v>
      </c>
      <c r="I471" s="54" t="str">
        <f t="shared" si="29"/>
        <v>None</v>
      </c>
    </row>
    <row r="472" spans="7:9" x14ac:dyDescent="0.2">
      <c r="G472" s="54" t="str">
        <f t="shared" si="27"/>
        <v>None</v>
      </c>
      <c r="H472" s="54" t="str">
        <f t="shared" si="28"/>
        <v>None</v>
      </c>
      <c r="I472" s="54" t="str">
        <f t="shared" si="29"/>
        <v>None</v>
      </c>
    </row>
    <row r="473" spans="7:9" x14ac:dyDescent="0.2">
      <c r="G473" s="54" t="str">
        <f t="shared" si="27"/>
        <v>None</v>
      </c>
      <c r="H473" s="54" t="str">
        <f t="shared" si="28"/>
        <v>None</v>
      </c>
      <c r="I473" s="54" t="str">
        <f t="shared" si="29"/>
        <v>None</v>
      </c>
    </row>
    <row r="474" spans="7:9" x14ac:dyDescent="0.2">
      <c r="G474" s="54" t="str">
        <f t="shared" si="27"/>
        <v>None</v>
      </c>
      <c r="H474" s="54" t="str">
        <f t="shared" si="28"/>
        <v>None</v>
      </c>
      <c r="I474" s="54" t="str">
        <f t="shared" si="29"/>
        <v>None</v>
      </c>
    </row>
    <row r="475" spans="7:9" x14ac:dyDescent="0.2">
      <c r="G475" s="54" t="str">
        <f t="shared" si="27"/>
        <v>None</v>
      </c>
      <c r="H475" s="54" t="str">
        <f t="shared" si="28"/>
        <v>None</v>
      </c>
      <c r="I475" s="54" t="str">
        <f t="shared" si="29"/>
        <v>None</v>
      </c>
    </row>
    <row r="476" spans="7:9" x14ac:dyDescent="0.2">
      <c r="G476" s="54" t="str">
        <f t="shared" si="27"/>
        <v>None</v>
      </c>
      <c r="H476" s="54" t="str">
        <f t="shared" si="28"/>
        <v>None</v>
      </c>
      <c r="I476" s="54" t="str">
        <f t="shared" si="29"/>
        <v>None</v>
      </c>
    </row>
    <row r="477" spans="7:9" x14ac:dyDescent="0.2">
      <c r="G477" s="54" t="str">
        <f t="shared" si="27"/>
        <v>None</v>
      </c>
      <c r="H477" s="54" t="str">
        <f t="shared" si="28"/>
        <v>None</v>
      </c>
      <c r="I477" s="54" t="str">
        <f t="shared" si="29"/>
        <v>None</v>
      </c>
    </row>
    <row r="478" spans="7:9" x14ac:dyDescent="0.2">
      <c r="G478" s="54" t="str">
        <f t="shared" si="27"/>
        <v>None</v>
      </c>
      <c r="H478" s="54" t="str">
        <f t="shared" si="28"/>
        <v>None</v>
      </c>
      <c r="I478" s="54" t="str">
        <f t="shared" si="29"/>
        <v>None</v>
      </c>
    </row>
    <row r="479" spans="7:9" x14ac:dyDescent="0.2">
      <c r="G479" s="54" t="str">
        <f t="shared" si="27"/>
        <v>None</v>
      </c>
      <c r="H479" s="54" t="str">
        <f t="shared" si="28"/>
        <v>None</v>
      </c>
      <c r="I479" s="54" t="str">
        <f t="shared" si="29"/>
        <v>None</v>
      </c>
    </row>
    <row r="480" spans="7:9" x14ac:dyDescent="0.2">
      <c r="G480" s="54" t="str">
        <f t="shared" si="27"/>
        <v>None</v>
      </c>
      <c r="H480" s="54" t="str">
        <f t="shared" si="28"/>
        <v>None</v>
      </c>
      <c r="I480" s="54" t="str">
        <f t="shared" si="29"/>
        <v>None</v>
      </c>
    </row>
    <row r="481" spans="7:9" x14ac:dyDescent="0.2">
      <c r="G481" s="54" t="str">
        <f t="shared" si="27"/>
        <v>None</v>
      </c>
      <c r="H481" s="54" t="str">
        <f t="shared" si="28"/>
        <v>None</v>
      </c>
      <c r="I481" s="54" t="str">
        <f t="shared" si="29"/>
        <v>None</v>
      </c>
    </row>
    <row r="482" spans="7:9" x14ac:dyDescent="0.2">
      <c r="G482" s="54" t="str">
        <f t="shared" si="27"/>
        <v>None</v>
      </c>
      <c r="H482" s="54" t="str">
        <f t="shared" si="28"/>
        <v>None</v>
      </c>
      <c r="I482" s="54" t="str">
        <f t="shared" si="29"/>
        <v>None</v>
      </c>
    </row>
    <row r="483" spans="7:9" x14ac:dyDescent="0.2">
      <c r="G483" s="54" t="str">
        <f t="shared" si="27"/>
        <v>None</v>
      </c>
      <c r="H483" s="54" t="str">
        <f t="shared" si="28"/>
        <v>None</v>
      </c>
      <c r="I483" s="54" t="str">
        <f t="shared" si="29"/>
        <v>None</v>
      </c>
    </row>
    <row r="484" spans="7:9" x14ac:dyDescent="0.2">
      <c r="G484" s="54" t="str">
        <f t="shared" si="27"/>
        <v>None</v>
      </c>
      <c r="H484" s="54" t="str">
        <f t="shared" si="28"/>
        <v>None</v>
      </c>
      <c r="I484" s="54" t="str">
        <f t="shared" si="29"/>
        <v>None</v>
      </c>
    </row>
    <row r="485" spans="7:9" x14ac:dyDescent="0.2">
      <c r="G485" s="54" t="str">
        <f t="shared" si="27"/>
        <v>None</v>
      </c>
      <c r="H485" s="54" t="str">
        <f t="shared" si="28"/>
        <v>None</v>
      </c>
      <c r="I485" s="54" t="str">
        <f t="shared" si="29"/>
        <v>None</v>
      </c>
    </row>
    <row r="486" spans="7:9" x14ac:dyDescent="0.2">
      <c r="G486" s="54" t="str">
        <f t="shared" si="27"/>
        <v>None</v>
      </c>
      <c r="H486" s="54" t="str">
        <f t="shared" si="28"/>
        <v>None</v>
      </c>
      <c r="I486" s="54" t="str">
        <f t="shared" si="29"/>
        <v>None</v>
      </c>
    </row>
    <row r="487" spans="7:9" x14ac:dyDescent="0.2">
      <c r="G487" s="54" t="str">
        <f t="shared" si="27"/>
        <v>None</v>
      </c>
      <c r="H487" s="54" t="str">
        <f t="shared" si="28"/>
        <v>None</v>
      </c>
      <c r="I487" s="54" t="str">
        <f t="shared" si="29"/>
        <v>None</v>
      </c>
    </row>
    <row r="488" spans="7:9" x14ac:dyDescent="0.2">
      <c r="G488" s="54" t="str">
        <f t="shared" si="27"/>
        <v>None</v>
      </c>
      <c r="H488" s="54" t="str">
        <f t="shared" si="28"/>
        <v>None</v>
      </c>
      <c r="I488" s="54" t="str">
        <f t="shared" si="29"/>
        <v>None</v>
      </c>
    </row>
    <row r="489" spans="7:9" x14ac:dyDescent="0.2">
      <c r="G489" s="54" t="str">
        <f t="shared" si="27"/>
        <v>None</v>
      </c>
      <c r="H489" s="54" t="str">
        <f t="shared" si="28"/>
        <v>None</v>
      </c>
      <c r="I489" s="54" t="str">
        <f t="shared" si="29"/>
        <v>None</v>
      </c>
    </row>
    <row r="490" spans="7:9" x14ac:dyDescent="0.2">
      <c r="G490" s="54" t="str">
        <f t="shared" si="27"/>
        <v>None</v>
      </c>
      <c r="H490" s="54" t="str">
        <f t="shared" si="28"/>
        <v>None</v>
      </c>
      <c r="I490" s="54" t="str">
        <f t="shared" si="29"/>
        <v>None</v>
      </c>
    </row>
    <row r="491" spans="7:9" x14ac:dyDescent="0.2">
      <c r="G491" s="54" t="str">
        <f t="shared" si="27"/>
        <v>None</v>
      </c>
      <c r="H491" s="54" t="str">
        <f t="shared" si="28"/>
        <v>None</v>
      </c>
      <c r="I491" s="54" t="str">
        <f t="shared" si="29"/>
        <v>None</v>
      </c>
    </row>
    <row r="492" spans="7:9" x14ac:dyDescent="0.2">
      <c r="G492" s="54" t="str">
        <f t="shared" si="27"/>
        <v>None</v>
      </c>
      <c r="H492" s="54" t="str">
        <f t="shared" si="28"/>
        <v>None</v>
      </c>
      <c r="I492" s="54" t="str">
        <f t="shared" si="29"/>
        <v>None</v>
      </c>
    </row>
    <row r="493" spans="7:9" x14ac:dyDescent="0.2">
      <c r="G493" s="54" t="str">
        <f t="shared" si="27"/>
        <v>None</v>
      </c>
      <c r="H493" s="54" t="str">
        <f t="shared" si="28"/>
        <v>None</v>
      </c>
      <c r="I493" s="54" t="str">
        <f t="shared" si="29"/>
        <v>None</v>
      </c>
    </row>
    <row r="494" spans="7:9" x14ac:dyDescent="0.2">
      <c r="G494" s="54" t="str">
        <f t="shared" si="27"/>
        <v>None</v>
      </c>
      <c r="H494" s="54" t="str">
        <f t="shared" si="28"/>
        <v>None</v>
      </c>
      <c r="I494" s="54" t="str">
        <f t="shared" si="29"/>
        <v>None</v>
      </c>
    </row>
    <row r="495" spans="7:9" x14ac:dyDescent="0.2">
      <c r="G495" s="54" t="str">
        <f t="shared" si="27"/>
        <v>None</v>
      </c>
      <c r="H495" s="54" t="str">
        <f t="shared" si="28"/>
        <v>None</v>
      </c>
      <c r="I495" s="54" t="str">
        <f t="shared" si="29"/>
        <v>None</v>
      </c>
    </row>
    <row r="496" spans="7:9" x14ac:dyDescent="0.2">
      <c r="G496" s="54" t="str">
        <f t="shared" si="27"/>
        <v>None</v>
      </c>
      <c r="H496" s="54" t="str">
        <f t="shared" si="28"/>
        <v>None</v>
      </c>
      <c r="I496" s="54" t="str">
        <f t="shared" si="29"/>
        <v>None</v>
      </c>
    </row>
    <row r="497" spans="7:9" x14ac:dyDescent="0.2">
      <c r="G497" s="54" t="str">
        <f t="shared" si="27"/>
        <v>None</v>
      </c>
      <c r="H497" s="54" t="str">
        <f t="shared" si="28"/>
        <v>None</v>
      </c>
      <c r="I497" s="54" t="str">
        <f t="shared" si="29"/>
        <v>None</v>
      </c>
    </row>
    <row r="498" spans="7:9" x14ac:dyDescent="0.2">
      <c r="G498" s="54" t="str">
        <f t="shared" si="27"/>
        <v>None</v>
      </c>
      <c r="H498" s="54" t="str">
        <f t="shared" si="28"/>
        <v>None</v>
      </c>
      <c r="I498" s="54" t="str">
        <f t="shared" si="29"/>
        <v>None</v>
      </c>
    </row>
    <row r="499" spans="7:9" x14ac:dyDescent="0.2">
      <c r="G499" s="54" t="str">
        <f t="shared" si="27"/>
        <v>None</v>
      </c>
      <c r="H499" s="54" t="str">
        <f t="shared" si="28"/>
        <v>None</v>
      </c>
      <c r="I499" s="54" t="str">
        <f t="shared" si="29"/>
        <v>None</v>
      </c>
    </row>
    <row r="500" spans="7:9" x14ac:dyDescent="0.2">
      <c r="G500" s="54" t="str">
        <f t="shared" si="27"/>
        <v>None</v>
      </c>
      <c r="H500" s="54" t="str">
        <f t="shared" si="28"/>
        <v>None</v>
      </c>
      <c r="I500" s="54" t="str">
        <f t="shared" si="29"/>
        <v>None</v>
      </c>
    </row>
    <row r="501" spans="7:9" x14ac:dyDescent="0.2">
      <c r="G501" s="54" t="str">
        <f t="shared" si="27"/>
        <v>None</v>
      </c>
      <c r="H501" s="54" t="str">
        <f t="shared" si="28"/>
        <v>None</v>
      </c>
      <c r="I501" s="54" t="str">
        <f t="shared" si="29"/>
        <v>None</v>
      </c>
    </row>
    <row r="502" spans="7:9" x14ac:dyDescent="0.2">
      <c r="G502" s="54" t="str">
        <f t="shared" si="27"/>
        <v>None</v>
      </c>
      <c r="H502" s="54" t="str">
        <f t="shared" si="28"/>
        <v>None</v>
      </c>
      <c r="I502" s="54" t="str">
        <f t="shared" si="29"/>
        <v>None</v>
      </c>
    </row>
    <row r="503" spans="7:9" x14ac:dyDescent="0.2">
      <c r="G503" s="54" t="str">
        <f t="shared" si="27"/>
        <v>None</v>
      </c>
      <c r="H503" s="54" t="str">
        <f t="shared" si="28"/>
        <v>None</v>
      </c>
      <c r="I503" s="54" t="str">
        <f t="shared" si="29"/>
        <v>None</v>
      </c>
    </row>
    <row r="504" spans="7:9" x14ac:dyDescent="0.2">
      <c r="G504" s="54" t="str">
        <f t="shared" si="27"/>
        <v>None</v>
      </c>
      <c r="H504" s="54" t="str">
        <f t="shared" si="28"/>
        <v>None</v>
      </c>
      <c r="I504" s="54" t="str">
        <f t="shared" si="29"/>
        <v>None</v>
      </c>
    </row>
    <row r="505" spans="7:9" x14ac:dyDescent="0.2">
      <c r="G505" s="54" t="str">
        <f t="shared" si="27"/>
        <v>None</v>
      </c>
      <c r="H505" s="54" t="str">
        <f t="shared" si="28"/>
        <v>None</v>
      </c>
      <c r="I505" s="54" t="str">
        <f t="shared" si="29"/>
        <v>None</v>
      </c>
    </row>
    <row r="506" spans="7:9" x14ac:dyDescent="0.2">
      <c r="G506" s="54" t="str">
        <f t="shared" si="27"/>
        <v>None</v>
      </c>
      <c r="H506" s="54" t="str">
        <f t="shared" si="28"/>
        <v>None</v>
      </c>
      <c r="I506" s="54" t="str">
        <f t="shared" si="29"/>
        <v>None</v>
      </c>
    </row>
    <row r="507" spans="7:9" x14ac:dyDescent="0.2">
      <c r="G507" s="54" t="str">
        <f t="shared" si="27"/>
        <v>None</v>
      </c>
      <c r="H507" s="54" t="str">
        <f t="shared" si="28"/>
        <v>None</v>
      </c>
      <c r="I507" s="54" t="str">
        <f t="shared" si="29"/>
        <v>None</v>
      </c>
    </row>
    <row r="508" spans="7:9" x14ac:dyDescent="0.2">
      <c r="G508" s="54" t="str">
        <f t="shared" si="27"/>
        <v>None</v>
      </c>
      <c r="H508" s="54" t="str">
        <f t="shared" si="28"/>
        <v>None</v>
      </c>
      <c r="I508" s="54" t="str">
        <f t="shared" si="29"/>
        <v>None</v>
      </c>
    </row>
    <row r="509" spans="7:9" x14ac:dyDescent="0.2">
      <c r="G509" s="54" t="str">
        <f t="shared" si="27"/>
        <v>None</v>
      </c>
      <c r="H509" s="54" t="str">
        <f t="shared" si="28"/>
        <v>None</v>
      </c>
      <c r="I509" s="54" t="str">
        <f t="shared" si="29"/>
        <v>None</v>
      </c>
    </row>
    <row r="510" spans="7:9" x14ac:dyDescent="0.2">
      <c r="G510" s="54" t="str">
        <f t="shared" si="27"/>
        <v>None</v>
      </c>
      <c r="H510" s="54" t="str">
        <f t="shared" si="28"/>
        <v>None</v>
      </c>
      <c r="I510" s="54" t="str">
        <f t="shared" si="29"/>
        <v>None</v>
      </c>
    </row>
    <row r="511" spans="7:9" x14ac:dyDescent="0.2">
      <c r="G511" s="54" t="str">
        <f t="shared" si="27"/>
        <v>None</v>
      </c>
      <c r="H511" s="54" t="str">
        <f t="shared" si="28"/>
        <v>None</v>
      </c>
      <c r="I511" s="54" t="str">
        <f t="shared" si="29"/>
        <v>None</v>
      </c>
    </row>
    <row r="512" spans="7:9" x14ac:dyDescent="0.2">
      <c r="G512" s="54" t="str">
        <f t="shared" si="27"/>
        <v>None</v>
      </c>
      <c r="H512" s="54" t="str">
        <f t="shared" si="28"/>
        <v>None</v>
      </c>
      <c r="I512" s="54" t="str">
        <f t="shared" si="29"/>
        <v>None</v>
      </c>
    </row>
    <row r="513" spans="7:9" x14ac:dyDescent="0.2">
      <c r="G513" s="54" t="str">
        <f t="shared" si="27"/>
        <v>None</v>
      </c>
      <c r="H513" s="54" t="str">
        <f t="shared" si="28"/>
        <v>None</v>
      </c>
      <c r="I513" s="54" t="str">
        <f t="shared" si="29"/>
        <v>None</v>
      </c>
    </row>
    <row r="514" spans="7:9" x14ac:dyDescent="0.2">
      <c r="G514" s="54" t="str">
        <f t="shared" si="27"/>
        <v>None</v>
      </c>
      <c r="H514" s="54" t="str">
        <f t="shared" si="28"/>
        <v>None</v>
      </c>
      <c r="I514" s="54" t="str">
        <f t="shared" si="29"/>
        <v>None</v>
      </c>
    </row>
    <row r="515" spans="7:9" x14ac:dyDescent="0.2">
      <c r="G515" s="54" t="str">
        <f t="shared" ref="G515:G578" si="30">_xlfn.IFNA(VLOOKUP($C515,tour_modes,2,FALSE),"None")</f>
        <v>None</v>
      </c>
      <c r="H515" s="54" t="str">
        <f t="shared" ref="H515:H578" si="31">_xlfn.IFNA(VLOOKUP($C515,tour_modes,3,FALSE),"None")</f>
        <v>None</v>
      </c>
      <c r="I515" s="54" t="str">
        <f t="shared" ref="I515:I578" si="32">IF(A515="joint","Joint",_xlfn.IFNA(VLOOKUP($B515,tour_purposes,2,FALSE),"None"))</f>
        <v>None</v>
      </c>
    </row>
    <row r="516" spans="7:9" x14ac:dyDescent="0.2">
      <c r="G516" s="54" t="str">
        <f t="shared" si="30"/>
        <v>None</v>
      </c>
      <c r="H516" s="54" t="str">
        <f t="shared" si="31"/>
        <v>None</v>
      </c>
      <c r="I516" s="54" t="str">
        <f t="shared" si="32"/>
        <v>None</v>
      </c>
    </row>
    <row r="517" spans="7:9" x14ac:dyDescent="0.2">
      <c r="G517" s="54" t="str">
        <f t="shared" si="30"/>
        <v>None</v>
      </c>
      <c r="H517" s="54" t="str">
        <f t="shared" si="31"/>
        <v>None</v>
      </c>
      <c r="I517" s="54" t="str">
        <f t="shared" si="32"/>
        <v>None</v>
      </c>
    </row>
    <row r="518" spans="7:9" x14ac:dyDescent="0.2">
      <c r="G518" s="54" t="str">
        <f t="shared" si="30"/>
        <v>None</v>
      </c>
      <c r="H518" s="54" t="str">
        <f t="shared" si="31"/>
        <v>None</v>
      </c>
      <c r="I518" s="54" t="str">
        <f t="shared" si="32"/>
        <v>None</v>
      </c>
    </row>
    <row r="519" spans="7:9" x14ac:dyDescent="0.2">
      <c r="G519" s="54" t="str">
        <f t="shared" si="30"/>
        <v>None</v>
      </c>
      <c r="H519" s="54" t="str">
        <f t="shared" si="31"/>
        <v>None</v>
      </c>
      <c r="I519" s="54" t="str">
        <f t="shared" si="32"/>
        <v>None</v>
      </c>
    </row>
    <row r="520" spans="7:9" x14ac:dyDescent="0.2">
      <c r="G520" s="54" t="str">
        <f t="shared" si="30"/>
        <v>None</v>
      </c>
      <c r="H520" s="54" t="str">
        <f t="shared" si="31"/>
        <v>None</v>
      </c>
      <c r="I520" s="54" t="str">
        <f t="shared" si="32"/>
        <v>None</v>
      </c>
    </row>
    <row r="521" spans="7:9" x14ac:dyDescent="0.2">
      <c r="G521" s="54" t="str">
        <f t="shared" si="30"/>
        <v>None</v>
      </c>
      <c r="H521" s="54" t="str">
        <f t="shared" si="31"/>
        <v>None</v>
      </c>
      <c r="I521" s="54" t="str">
        <f t="shared" si="32"/>
        <v>None</v>
      </c>
    </row>
    <row r="522" spans="7:9" x14ac:dyDescent="0.2">
      <c r="G522" s="54" t="str">
        <f t="shared" si="30"/>
        <v>None</v>
      </c>
      <c r="H522" s="54" t="str">
        <f t="shared" si="31"/>
        <v>None</v>
      </c>
      <c r="I522" s="54" t="str">
        <f t="shared" si="32"/>
        <v>None</v>
      </c>
    </row>
    <row r="523" spans="7:9" x14ac:dyDescent="0.2">
      <c r="G523" s="54" t="str">
        <f t="shared" si="30"/>
        <v>None</v>
      </c>
      <c r="H523" s="54" t="str">
        <f t="shared" si="31"/>
        <v>None</v>
      </c>
      <c r="I523" s="54" t="str">
        <f t="shared" si="32"/>
        <v>None</v>
      </c>
    </row>
    <row r="524" spans="7:9" x14ac:dyDescent="0.2">
      <c r="G524" s="54" t="str">
        <f t="shared" si="30"/>
        <v>None</v>
      </c>
      <c r="H524" s="54" t="str">
        <f t="shared" si="31"/>
        <v>None</v>
      </c>
      <c r="I524" s="54" t="str">
        <f t="shared" si="32"/>
        <v>None</v>
      </c>
    </row>
    <row r="525" spans="7:9" x14ac:dyDescent="0.2">
      <c r="G525" s="54" t="str">
        <f t="shared" si="30"/>
        <v>None</v>
      </c>
      <c r="H525" s="54" t="str">
        <f t="shared" si="31"/>
        <v>None</v>
      </c>
      <c r="I525" s="54" t="str">
        <f t="shared" si="32"/>
        <v>None</v>
      </c>
    </row>
    <row r="526" spans="7:9" x14ac:dyDescent="0.2">
      <c r="G526" s="54" t="str">
        <f t="shared" si="30"/>
        <v>None</v>
      </c>
      <c r="H526" s="54" t="str">
        <f t="shared" si="31"/>
        <v>None</v>
      </c>
      <c r="I526" s="54" t="str">
        <f t="shared" si="32"/>
        <v>None</v>
      </c>
    </row>
    <row r="527" spans="7:9" x14ac:dyDescent="0.2">
      <c r="G527" s="54" t="str">
        <f t="shared" si="30"/>
        <v>None</v>
      </c>
      <c r="H527" s="54" t="str">
        <f t="shared" si="31"/>
        <v>None</v>
      </c>
      <c r="I527" s="54" t="str">
        <f t="shared" si="32"/>
        <v>None</v>
      </c>
    </row>
    <row r="528" spans="7:9" x14ac:dyDescent="0.2">
      <c r="G528" s="54" t="str">
        <f t="shared" si="30"/>
        <v>None</v>
      </c>
      <c r="H528" s="54" t="str">
        <f t="shared" si="31"/>
        <v>None</v>
      </c>
      <c r="I528" s="54" t="str">
        <f t="shared" si="32"/>
        <v>None</v>
      </c>
    </row>
    <row r="529" spans="7:9" x14ac:dyDescent="0.2">
      <c r="G529" s="54" t="str">
        <f t="shared" si="30"/>
        <v>None</v>
      </c>
      <c r="H529" s="54" t="str">
        <f t="shared" si="31"/>
        <v>None</v>
      </c>
      <c r="I529" s="54" t="str">
        <f t="shared" si="32"/>
        <v>None</v>
      </c>
    </row>
    <row r="530" spans="7:9" x14ac:dyDescent="0.2">
      <c r="G530" s="54" t="str">
        <f t="shared" si="30"/>
        <v>None</v>
      </c>
      <c r="H530" s="54" t="str">
        <f t="shared" si="31"/>
        <v>None</v>
      </c>
      <c r="I530" s="54" t="str">
        <f t="shared" si="32"/>
        <v>None</v>
      </c>
    </row>
    <row r="531" spans="7:9" x14ac:dyDescent="0.2">
      <c r="G531" s="54" t="str">
        <f t="shared" si="30"/>
        <v>None</v>
      </c>
      <c r="H531" s="54" t="str">
        <f t="shared" si="31"/>
        <v>None</v>
      </c>
      <c r="I531" s="54" t="str">
        <f t="shared" si="32"/>
        <v>None</v>
      </c>
    </row>
    <row r="532" spans="7:9" x14ac:dyDescent="0.2">
      <c r="G532" s="54" t="str">
        <f t="shared" si="30"/>
        <v>None</v>
      </c>
      <c r="H532" s="54" t="str">
        <f t="shared" si="31"/>
        <v>None</v>
      </c>
      <c r="I532" s="54" t="str">
        <f t="shared" si="32"/>
        <v>None</v>
      </c>
    </row>
    <row r="533" spans="7:9" x14ac:dyDescent="0.2">
      <c r="G533" s="54" t="str">
        <f t="shared" si="30"/>
        <v>None</v>
      </c>
      <c r="H533" s="54" t="str">
        <f t="shared" si="31"/>
        <v>None</v>
      </c>
      <c r="I533" s="54" t="str">
        <f t="shared" si="32"/>
        <v>None</v>
      </c>
    </row>
    <row r="534" spans="7:9" x14ac:dyDescent="0.2">
      <c r="G534" s="54" t="str">
        <f t="shared" si="30"/>
        <v>None</v>
      </c>
      <c r="H534" s="54" t="str">
        <f t="shared" si="31"/>
        <v>None</v>
      </c>
      <c r="I534" s="54" t="str">
        <f t="shared" si="32"/>
        <v>None</v>
      </c>
    </row>
    <row r="535" spans="7:9" x14ac:dyDescent="0.2">
      <c r="G535" s="54" t="str">
        <f t="shared" si="30"/>
        <v>None</v>
      </c>
      <c r="H535" s="54" t="str">
        <f t="shared" si="31"/>
        <v>None</v>
      </c>
      <c r="I535" s="54" t="str">
        <f t="shared" si="32"/>
        <v>None</v>
      </c>
    </row>
    <row r="536" spans="7:9" x14ac:dyDescent="0.2">
      <c r="G536" s="54" t="str">
        <f t="shared" si="30"/>
        <v>None</v>
      </c>
      <c r="H536" s="54" t="str">
        <f t="shared" si="31"/>
        <v>None</v>
      </c>
      <c r="I536" s="54" t="str">
        <f t="shared" si="32"/>
        <v>None</v>
      </c>
    </row>
    <row r="537" spans="7:9" x14ac:dyDescent="0.2">
      <c r="G537" s="54" t="str">
        <f t="shared" si="30"/>
        <v>None</v>
      </c>
      <c r="H537" s="54" t="str">
        <f t="shared" si="31"/>
        <v>None</v>
      </c>
      <c r="I537" s="54" t="str">
        <f t="shared" si="32"/>
        <v>None</v>
      </c>
    </row>
    <row r="538" spans="7:9" x14ac:dyDescent="0.2">
      <c r="G538" s="54" t="str">
        <f t="shared" si="30"/>
        <v>None</v>
      </c>
      <c r="H538" s="54" t="str">
        <f t="shared" si="31"/>
        <v>None</v>
      </c>
      <c r="I538" s="54" t="str">
        <f t="shared" si="32"/>
        <v>None</v>
      </c>
    </row>
    <row r="539" spans="7:9" x14ac:dyDescent="0.2">
      <c r="G539" s="54" t="str">
        <f t="shared" si="30"/>
        <v>None</v>
      </c>
      <c r="H539" s="54" t="str">
        <f t="shared" si="31"/>
        <v>None</v>
      </c>
      <c r="I539" s="54" t="str">
        <f t="shared" si="32"/>
        <v>None</v>
      </c>
    </row>
    <row r="540" spans="7:9" x14ac:dyDescent="0.2">
      <c r="G540" s="54" t="str">
        <f t="shared" si="30"/>
        <v>None</v>
      </c>
      <c r="H540" s="54" t="str">
        <f t="shared" si="31"/>
        <v>None</v>
      </c>
      <c r="I540" s="54" t="str">
        <f t="shared" si="32"/>
        <v>None</v>
      </c>
    </row>
    <row r="541" spans="7:9" x14ac:dyDescent="0.2">
      <c r="G541" s="54" t="str">
        <f t="shared" si="30"/>
        <v>None</v>
      </c>
      <c r="H541" s="54" t="str">
        <f t="shared" si="31"/>
        <v>None</v>
      </c>
      <c r="I541" s="54" t="str">
        <f t="shared" si="32"/>
        <v>None</v>
      </c>
    </row>
    <row r="542" spans="7:9" x14ac:dyDescent="0.2">
      <c r="G542" s="54" t="str">
        <f t="shared" si="30"/>
        <v>None</v>
      </c>
      <c r="H542" s="54" t="str">
        <f t="shared" si="31"/>
        <v>None</v>
      </c>
      <c r="I542" s="54" t="str">
        <f t="shared" si="32"/>
        <v>None</v>
      </c>
    </row>
    <row r="543" spans="7:9" x14ac:dyDescent="0.2">
      <c r="G543" s="54" t="str">
        <f t="shared" si="30"/>
        <v>None</v>
      </c>
      <c r="H543" s="54" t="str">
        <f t="shared" si="31"/>
        <v>None</v>
      </c>
      <c r="I543" s="54" t="str">
        <f t="shared" si="32"/>
        <v>None</v>
      </c>
    </row>
    <row r="544" spans="7:9" x14ac:dyDescent="0.2">
      <c r="G544" s="54" t="str">
        <f t="shared" si="30"/>
        <v>None</v>
      </c>
      <c r="H544" s="54" t="str">
        <f t="shared" si="31"/>
        <v>None</v>
      </c>
      <c r="I544" s="54" t="str">
        <f t="shared" si="32"/>
        <v>None</v>
      </c>
    </row>
    <row r="545" spans="7:9" x14ac:dyDescent="0.2">
      <c r="G545" s="54" t="str">
        <f t="shared" si="30"/>
        <v>None</v>
      </c>
      <c r="H545" s="54" t="str">
        <f t="shared" si="31"/>
        <v>None</v>
      </c>
      <c r="I545" s="54" t="str">
        <f t="shared" si="32"/>
        <v>None</v>
      </c>
    </row>
    <row r="546" spans="7:9" x14ac:dyDescent="0.2">
      <c r="G546" s="54" t="str">
        <f t="shared" si="30"/>
        <v>None</v>
      </c>
      <c r="H546" s="54" t="str">
        <f t="shared" si="31"/>
        <v>None</v>
      </c>
      <c r="I546" s="54" t="str">
        <f t="shared" si="32"/>
        <v>None</v>
      </c>
    </row>
    <row r="547" spans="7:9" x14ac:dyDescent="0.2">
      <c r="G547" s="54" t="str">
        <f t="shared" si="30"/>
        <v>None</v>
      </c>
      <c r="H547" s="54" t="str">
        <f t="shared" si="31"/>
        <v>None</v>
      </c>
      <c r="I547" s="54" t="str">
        <f t="shared" si="32"/>
        <v>None</v>
      </c>
    </row>
    <row r="548" spans="7:9" x14ac:dyDescent="0.2">
      <c r="G548" s="54" t="str">
        <f t="shared" si="30"/>
        <v>None</v>
      </c>
      <c r="H548" s="54" t="str">
        <f t="shared" si="31"/>
        <v>None</v>
      </c>
      <c r="I548" s="54" t="str">
        <f t="shared" si="32"/>
        <v>None</v>
      </c>
    </row>
    <row r="549" spans="7:9" x14ac:dyDescent="0.2">
      <c r="G549" s="54" t="str">
        <f t="shared" si="30"/>
        <v>None</v>
      </c>
      <c r="H549" s="54" t="str">
        <f t="shared" si="31"/>
        <v>None</v>
      </c>
      <c r="I549" s="54" t="str">
        <f t="shared" si="32"/>
        <v>None</v>
      </c>
    </row>
    <row r="550" spans="7:9" x14ac:dyDescent="0.2">
      <c r="G550" s="54" t="str">
        <f t="shared" si="30"/>
        <v>None</v>
      </c>
      <c r="H550" s="54" t="str">
        <f t="shared" si="31"/>
        <v>None</v>
      </c>
      <c r="I550" s="54" t="str">
        <f t="shared" si="32"/>
        <v>None</v>
      </c>
    </row>
    <row r="551" spans="7:9" x14ac:dyDescent="0.2">
      <c r="G551" s="54" t="str">
        <f t="shared" si="30"/>
        <v>None</v>
      </c>
      <c r="H551" s="54" t="str">
        <f t="shared" si="31"/>
        <v>None</v>
      </c>
      <c r="I551" s="54" t="str">
        <f t="shared" si="32"/>
        <v>None</v>
      </c>
    </row>
    <row r="552" spans="7:9" x14ac:dyDescent="0.2">
      <c r="G552" s="54" t="str">
        <f t="shared" si="30"/>
        <v>None</v>
      </c>
      <c r="H552" s="54" t="str">
        <f t="shared" si="31"/>
        <v>None</v>
      </c>
      <c r="I552" s="54" t="str">
        <f t="shared" si="32"/>
        <v>None</v>
      </c>
    </row>
    <row r="553" spans="7:9" x14ac:dyDescent="0.2">
      <c r="G553" s="54" t="str">
        <f t="shared" si="30"/>
        <v>None</v>
      </c>
      <c r="H553" s="54" t="str">
        <f t="shared" si="31"/>
        <v>None</v>
      </c>
      <c r="I553" s="54" t="str">
        <f t="shared" si="32"/>
        <v>None</v>
      </c>
    </row>
    <row r="554" spans="7:9" x14ac:dyDescent="0.2">
      <c r="G554" s="54" t="str">
        <f t="shared" si="30"/>
        <v>None</v>
      </c>
      <c r="H554" s="54" t="str">
        <f t="shared" si="31"/>
        <v>None</v>
      </c>
      <c r="I554" s="54" t="str">
        <f t="shared" si="32"/>
        <v>None</v>
      </c>
    </row>
    <row r="555" spans="7:9" x14ac:dyDescent="0.2">
      <c r="G555" s="54" t="str">
        <f t="shared" si="30"/>
        <v>None</v>
      </c>
      <c r="H555" s="54" t="str">
        <f t="shared" si="31"/>
        <v>None</v>
      </c>
      <c r="I555" s="54" t="str">
        <f t="shared" si="32"/>
        <v>None</v>
      </c>
    </row>
    <row r="556" spans="7:9" x14ac:dyDescent="0.2">
      <c r="G556" s="54" t="str">
        <f t="shared" si="30"/>
        <v>None</v>
      </c>
      <c r="H556" s="54" t="str">
        <f t="shared" si="31"/>
        <v>None</v>
      </c>
      <c r="I556" s="54" t="str">
        <f t="shared" si="32"/>
        <v>None</v>
      </c>
    </row>
    <row r="557" spans="7:9" x14ac:dyDescent="0.2">
      <c r="G557" s="54" t="str">
        <f t="shared" si="30"/>
        <v>None</v>
      </c>
      <c r="H557" s="54" t="str">
        <f t="shared" si="31"/>
        <v>None</v>
      </c>
      <c r="I557" s="54" t="str">
        <f t="shared" si="32"/>
        <v>None</v>
      </c>
    </row>
    <row r="558" spans="7:9" x14ac:dyDescent="0.2">
      <c r="G558" s="54" t="str">
        <f t="shared" si="30"/>
        <v>None</v>
      </c>
      <c r="H558" s="54" t="str">
        <f t="shared" si="31"/>
        <v>None</v>
      </c>
      <c r="I558" s="54" t="str">
        <f t="shared" si="32"/>
        <v>None</v>
      </c>
    </row>
    <row r="559" spans="7:9" x14ac:dyDescent="0.2">
      <c r="G559" s="54" t="str">
        <f t="shared" si="30"/>
        <v>None</v>
      </c>
      <c r="H559" s="54" t="str">
        <f t="shared" si="31"/>
        <v>None</v>
      </c>
      <c r="I559" s="54" t="str">
        <f t="shared" si="32"/>
        <v>None</v>
      </c>
    </row>
    <row r="560" spans="7:9" x14ac:dyDescent="0.2">
      <c r="G560" s="54" t="str">
        <f t="shared" si="30"/>
        <v>None</v>
      </c>
      <c r="H560" s="54" t="str">
        <f t="shared" si="31"/>
        <v>None</v>
      </c>
      <c r="I560" s="54" t="str">
        <f t="shared" si="32"/>
        <v>None</v>
      </c>
    </row>
    <row r="561" spans="7:9" x14ac:dyDescent="0.2">
      <c r="G561" s="54" t="str">
        <f t="shared" si="30"/>
        <v>None</v>
      </c>
      <c r="H561" s="54" t="str">
        <f t="shared" si="31"/>
        <v>None</v>
      </c>
      <c r="I561" s="54" t="str">
        <f t="shared" si="32"/>
        <v>None</v>
      </c>
    </row>
    <row r="562" spans="7:9" x14ac:dyDescent="0.2">
      <c r="G562" s="54" t="str">
        <f t="shared" si="30"/>
        <v>None</v>
      </c>
      <c r="H562" s="54" t="str">
        <f t="shared" si="31"/>
        <v>None</v>
      </c>
      <c r="I562" s="54" t="str">
        <f t="shared" si="32"/>
        <v>None</v>
      </c>
    </row>
    <row r="563" spans="7:9" x14ac:dyDescent="0.2">
      <c r="G563" s="54" t="str">
        <f t="shared" si="30"/>
        <v>None</v>
      </c>
      <c r="H563" s="54" t="str">
        <f t="shared" si="31"/>
        <v>None</v>
      </c>
      <c r="I563" s="54" t="str">
        <f t="shared" si="32"/>
        <v>None</v>
      </c>
    </row>
    <row r="564" spans="7:9" x14ac:dyDescent="0.2">
      <c r="G564" s="54" t="str">
        <f t="shared" si="30"/>
        <v>None</v>
      </c>
      <c r="H564" s="54" t="str">
        <f t="shared" si="31"/>
        <v>None</v>
      </c>
      <c r="I564" s="54" t="str">
        <f t="shared" si="32"/>
        <v>None</v>
      </c>
    </row>
    <row r="565" spans="7:9" x14ac:dyDescent="0.2">
      <c r="G565" s="54" t="str">
        <f t="shared" si="30"/>
        <v>None</v>
      </c>
      <c r="H565" s="54" t="str">
        <f t="shared" si="31"/>
        <v>None</v>
      </c>
      <c r="I565" s="54" t="str">
        <f t="shared" si="32"/>
        <v>None</v>
      </c>
    </row>
    <row r="566" spans="7:9" x14ac:dyDescent="0.2">
      <c r="G566" s="54" t="str">
        <f t="shared" si="30"/>
        <v>None</v>
      </c>
      <c r="H566" s="54" t="str">
        <f t="shared" si="31"/>
        <v>None</v>
      </c>
      <c r="I566" s="54" t="str">
        <f t="shared" si="32"/>
        <v>None</v>
      </c>
    </row>
    <row r="567" spans="7:9" x14ac:dyDescent="0.2">
      <c r="G567" s="54" t="str">
        <f t="shared" si="30"/>
        <v>None</v>
      </c>
      <c r="H567" s="54" t="str">
        <f t="shared" si="31"/>
        <v>None</v>
      </c>
      <c r="I567" s="54" t="str">
        <f t="shared" si="32"/>
        <v>None</v>
      </c>
    </row>
    <row r="568" spans="7:9" x14ac:dyDescent="0.2">
      <c r="G568" s="54" t="str">
        <f t="shared" si="30"/>
        <v>None</v>
      </c>
      <c r="H568" s="54" t="str">
        <f t="shared" si="31"/>
        <v>None</v>
      </c>
      <c r="I568" s="54" t="str">
        <f t="shared" si="32"/>
        <v>None</v>
      </c>
    </row>
    <row r="569" spans="7:9" x14ac:dyDescent="0.2">
      <c r="G569" s="54" t="str">
        <f t="shared" si="30"/>
        <v>None</v>
      </c>
      <c r="H569" s="54" t="str">
        <f t="shared" si="31"/>
        <v>None</v>
      </c>
      <c r="I569" s="54" t="str">
        <f t="shared" si="32"/>
        <v>None</v>
      </c>
    </row>
    <row r="570" spans="7:9" x14ac:dyDescent="0.2">
      <c r="G570" s="54" t="str">
        <f t="shared" si="30"/>
        <v>None</v>
      </c>
      <c r="H570" s="54" t="str">
        <f t="shared" si="31"/>
        <v>None</v>
      </c>
      <c r="I570" s="54" t="str">
        <f t="shared" si="32"/>
        <v>None</v>
      </c>
    </row>
    <row r="571" spans="7:9" x14ac:dyDescent="0.2">
      <c r="G571" s="54" t="str">
        <f t="shared" si="30"/>
        <v>None</v>
      </c>
      <c r="H571" s="54" t="str">
        <f t="shared" si="31"/>
        <v>None</v>
      </c>
      <c r="I571" s="54" t="str">
        <f t="shared" si="32"/>
        <v>None</v>
      </c>
    </row>
    <row r="572" spans="7:9" x14ac:dyDescent="0.2">
      <c r="G572" s="54" t="str">
        <f t="shared" si="30"/>
        <v>None</v>
      </c>
      <c r="H572" s="54" t="str">
        <f t="shared" si="31"/>
        <v>None</v>
      </c>
      <c r="I572" s="54" t="str">
        <f t="shared" si="32"/>
        <v>None</v>
      </c>
    </row>
    <row r="573" spans="7:9" x14ac:dyDescent="0.2">
      <c r="G573" s="54" t="str">
        <f t="shared" si="30"/>
        <v>None</v>
      </c>
      <c r="H573" s="54" t="str">
        <f t="shared" si="31"/>
        <v>None</v>
      </c>
      <c r="I573" s="54" t="str">
        <f t="shared" si="32"/>
        <v>None</v>
      </c>
    </row>
    <row r="574" spans="7:9" x14ac:dyDescent="0.2">
      <c r="G574" s="54" t="str">
        <f t="shared" si="30"/>
        <v>None</v>
      </c>
      <c r="H574" s="54" t="str">
        <f t="shared" si="31"/>
        <v>None</v>
      </c>
      <c r="I574" s="54" t="str">
        <f t="shared" si="32"/>
        <v>None</v>
      </c>
    </row>
    <row r="575" spans="7:9" x14ac:dyDescent="0.2">
      <c r="G575" s="54" t="str">
        <f t="shared" si="30"/>
        <v>None</v>
      </c>
      <c r="H575" s="54" t="str">
        <f t="shared" si="31"/>
        <v>None</v>
      </c>
      <c r="I575" s="54" t="str">
        <f t="shared" si="32"/>
        <v>None</v>
      </c>
    </row>
    <row r="576" spans="7:9" x14ac:dyDescent="0.2">
      <c r="G576" s="54" t="str">
        <f t="shared" si="30"/>
        <v>None</v>
      </c>
      <c r="H576" s="54" t="str">
        <f t="shared" si="31"/>
        <v>None</v>
      </c>
      <c r="I576" s="54" t="str">
        <f t="shared" si="32"/>
        <v>None</v>
      </c>
    </row>
    <row r="577" spans="7:9" x14ac:dyDescent="0.2">
      <c r="G577" s="54" t="str">
        <f t="shared" si="30"/>
        <v>None</v>
      </c>
      <c r="H577" s="54" t="str">
        <f t="shared" si="31"/>
        <v>None</v>
      </c>
      <c r="I577" s="54" t="str">
        <f t="shared" si="32"/>
        <v>None</v>
      </c>
    </row>
    <row r="578" spans="7:9" x14ac:dyDescent="0.2">
      <c r="G578" s="54" t="str">
        <f t="shared" si="30"/>
        <v>None</v>
      </c>
      <c r="H578" s="54" t="str">
        <f t="shared" si="31"/>
        <v>None</v>
      </c>
      <c r="I578" s="54" t="str">
        <f t="shared" si="32"/>
        <v>None</v>
      </c>
    </row>
    <row r="579" spans="7:9" x14ac:dyDescent="0.2">
      <c r="G579" s="54" t="str">
        <f t="shared" ref="G579:G642" si="33">_xlfn.IFNA(VLOOKUP($C579,tour_modes,2,FALSE),"None")</f>
        <v>None</v>
      </c>
      <c r="H579" s="54" t="str">
        <f t="shared" ref="H579:H642" si="34">_xlfn.IFNA(VLOOKUP($C579,tour_modes,3,FALSE),"None")</f>
        <v>None</v>
      </c>
      <c r="I579" s="54" t="str">
        <f t="shared" ref="I579:I642" si="35">IF(A579="joint","Joint",_xlfn.IFNA(VLOOKUP($B579,tour_purposes,2,FALSE),"None"))</f>
        <v>None</v>
      </c>
    </row>
    <row r="580" spans="7:9" x14ac:dyDescent="0.2">
      <c r="G580" s="54" t="str">
        <f t="shared" si="33"/>
        <v>None</v>
      </c>
      <c r="H580" s="54" t="str">
        <f t="shared" si="34"/>
        <v>None</v>
      </c>
      <c r="I580" s="54" t="str">
        <f t="shared" si="35"/>
        <v>None</v>
      </c>
    </row>
    <row r="581" spans="7:9" x14ac:dyDescent="0.2">
      <c r="G581" s="54" t="str">
        <f t="shared" si="33"/>
        <v>None</v>
      </c>
      <c r="H581" s="54" t="str">
        <f t="shared" si="34"/>
        <v>None</v>
      </c>
      <c r="I581" s="54" t="str">
        <f t="shared" si="35"/>
        <v>None</v>
      </c>
    </row>
    <row r="582" spans="7:9" x14ac:dyDescent="0.2">
      <c r="G582" s="54" t="str">
        <f t="shared" si="33"/>
        <v>None</v>
      </c>
      <c r="H582" s="54" t="str">
        <f t="shared" si="34"/>
        <v>None</v>
      </c>
      <c r="I582" s="54" t="str">
        <f t="shared" si="35"/>
        <v>None</v>
      </c>
    </row>
    <row r="583" spans="7:9" x14ac:dyDescent="0.2">
      <c r="G583" s="54" t="str">
        <f t="shared" si="33"/>
        <v>None</v>
      </c>
      <c r="H583" s="54" t="str">
        <f t="shared" si="34"/>
        <v>None</v>
      </c>
      <c r="I583" s="54" t="str">
        <f t="shared" si="35"/>
        <v>None</v>
      </c>
    </row>
    <row r="584" spans="7:9" x14ac:dyDescent="0.2">
      <c r="G584" s="54" t="str">
        <f t="shared" si="33"/>
        <v>None</v>
      </c>
      <c r="H584" s="54" t="str">
        <f t="shared" si="34"/>
        <v>None</v>
      </c>
      <c r="I584" s="54" t="str">
        <f t="shared" si="35"/>
        <v>None</v>
      </c>
    </row>
    <row r="585" spans="7:9" x14ac:dyDescent="0.2">
      <c r="G585" s="54" t="str">
        <f t="shared" si="33"/>
        <v>None</v>
      </c>
      <c r="H585" s="54" t="str">
        <f t="shared" si="34"/>
        <v>None</v>
      </c>
      <c r="I585" s="54" t="str">
        <f t="shared" si="35"/>
        <v>None</v>
      </c>
    </row>
    <row r="586" spans="7:9" x14ac:dyDescent="0.2">
      <c r="G586" s="54" t="str">
        <f t="shared" si="33"/>
        <v>None</v>
      </c>
      <c r="H586" s="54" t="str">
        <f t="shared" si="34"/>
        <v>None</v>
      </c>
      <c r="I586" s="54" t="str">
        <f t="shared" si="35"/>
        <v>None</v>
      </c>
    </row>
    <row r="587" spans="7:9" x14ac:dyDescent="0.2">
      <c r="G587" s="54" t="str">
        <f t="shared" si="33"/>
        <v>None</v>
      </c>
      <c r="H587" s="54" t="str">
        <f t="shared" si="34"/>
        <v>None</v>
      </c>
      <c r="I587" s="54" t="str">
        <f t="shared" si="35"/>
        <v>None</v>
      </c>
    </row>
    <row r="588" spans="7:9" x14ac:dyDescent="0.2">
      <c r="G588" s="54" t="str">
        <f t="shared" si="33"/>
        <v>None</v>
      </c>
      <c r="H588" s="54" t="str">
        <f t="shared" si="34"/>
        <v>None</v>
      </c>
      <c r="I588" s="54" t="str">
        <f t="shared" si="35"/>
        <v>None</v>
      </c>
    </row>
    <row r="589" spans="7:9" x14ac:dyDescent="0.2">
      <c r="G589" s="54" t="str">
        <f t="shared" si="33"/>
        <v>None</v>
      </c>
      <c r="H589" s="54" t="str">
        <f t="shared" si="34"/>
        <v>None</v>
      </c>
      <c r="I589" s="54" t="str">
        <f t="shared" si="35"/>
        <v>None</v>
      </c>
    </row>
    <row r="590" spans="7:9" x14ac:dyDescent="0.2">
      <c r="G590" s="54" t="str">
        <f t="shared" si="33"/>
        <v>None</v>
      </c>
      <c r="H590" s="54" t="str">
        <f t="shared" si="34"/>
        <v>None</v>
      </c>
      <c r="I590" s="54" t="str">
        <f t="shared" si="35"/>
        <v>None</v>
      </c>
    </row>
    <row r="591" spans="7:9" x14ac:dyDescent="0.2">
      <c r="G591" s="54" t="str">
        <f t="shared" si="33"/>
        <v>None</v>
      </c>
      <c r="H591" s="54" t="str">
        <f t="shared" si="34"/>
        <v>None</v>
      </c>
      <c r="I591" s="54" t="str">
        <f t="shared" si="35"/>
        <v>None</v>
      </c>
    </row>
    <row r="592" spans="7:9" x14ac:dyDescent="0.2">
      <c r="G592" s="54" t="str">
        <f t="shared" si="33"/>
        <v>None</v>
      </c>
      <c r="H592" s="54" t="str">
        <f t="shared" si="34"/>
        <v>None</v>
      </c>
      <c r="I592" s="54" t="str">
        <f t="shared" si="35"/>
        <v>None</v>
      </c>
    </row>
    <row r="593" spans="7:9" x14ac:dyDescent="0.2">
      <c r="G593" s="54" t="str">
        <f t="shared" si="33"/>
        <v>None</v>
      </c>
      <c r="H593" s="54" t="str">
        <f t="shared" si="34"/>
        <v>None</v>
      </c>
      <c r="I593" s="54" t="str">
        <f t="shared" si="35"/>
        <v>None</v>
      </c>
    </row>
    <row r="594" spans="7:9" x14ac:dyDescent="0.2">
      <c r="G594" s="54" t="str">
        <f t="shared" si="33"/>
        <v>None</v>
      </c>
      <c r="H594" s="54" t="str">
        <f t="shared" si="34"/>
        <v>None</v>
      </c>
      <c r="I594" s="54" t="str">
        <f t="shared" si="35"/>
        <v>None</v>
      </c>
    </row>
    <row r="595" spans="7:9" x14ac:dyDescent="0.2">
      <c r="G595" s="54" t="str">
        <f t="shared" si="33"/>
        <v>None</v>
      </c>
      <c r="H595" s="54" t="str">
        <f t="shared" si="34"/>
        <v>None</v>
      </c>
      <c r="I595" s="54" t="str">
        <f t="shared" si="35"/>
        <v>None</v>
      </c>
    </row>
    <row r="596" spans="7:9" x14ac:dyDescent="0.2">
      <c r="G596" s="54" t="str">
        <f t="shared" si="33"/>
        <v>None</v>
      </c>
      <c r="H596" s="54" t="str">
        <f t="shared" si="34"/>
        <v>None</v>
      </c>
      <c r="I596" s="54" t="str">
        <f t="shared" si="35"/>
        <v>None</v>
      </c>
    </row>
    <row r="597" spans="7:9" x14ac:dyDescent="0.2">
      <c r="G597" s="54" t="str">
        <f t="shared" si="33"/>
        <v>None</v>
      </c>
      <c r="H597" s="54" t="str">
        <f t="shared" si="34"/>
        <v>None</v>
      </c>
      <c r="I597" s="54" t="str">
        <f t="shared" si="35"/>
        <v>None</v>
      </c>
    </row>
    <row r="598" spans="7:9" x14ac:dyDescent="0.2">
      <c r="G598" s="54" t="str">
        <f t="shared" si="33"/>
        <v>None</v>
      </c>
      <c r="H598" s="54" t="str">
        <f t="shared" si="34"/>
        <v>None</v>
      </c>
      <c r="I598" s="54" t="str">
        <f t="shared" si="35"/>
        <v>None</v>
      </c>
    </row>
    <row r="599" spans="7:9" x14ac:dyDescent="0.2">
      <c r="G599" s="54" t="str">
        <f t="shared" si="33"/>
        <v>None</v>
      </c>
      <c r="H599" s="54" t="str">
        <f t="shared" si="34"/>
        <v>None</v>
      </c>
      <c r="I599" s="54" t="str">
        <f t="shared" si="35"/>
        <v>None</v>
      </c>
    </row>
    <row r="600" spans="7:9" x14ac:dyDescent="0.2">
      <c r="G600" s="54" t="str">
        <f t="shared" si="33"/>
        <v>None</v>
      </c>
      <c r="H600" s="54" t="str">
        <f t="shared" si="34"/>
        <v>None</v>
      </c>
      <c r="I600" s="54" t="str">
        <f t="shared" si="35"/>
        <v>None</v>
      </c>
    </row>
    <row r="601" spans="7:9" x14ac:dyDescent="0.2">
      <c r="G601" s="54" t="str">
        <f t="shared" si="33"/>
        <v>None</v>
      </c>
      <c r="H601" s="54" t="str">
        <f t="shared" si="34"/>
        <v>None</v>
      </c>
      <c r="I601" s="54" t="str">
        <f t="shared" si="35"/>
        <v>None</v>
      </c>
    </row>
    <row r="602" spans="7:9" x14ac:dyDescent="0.2">
      <c r="G602" s="54" t="str">
        <f t="shared" si="33"/>
        <v>None</v>
      </c>
      <c r="H602" s="54" t="str">
        <f t="shared" si="34"/>
        <v>None</v>
      </c>
      <c r="I602" s="54" t="str">
        <f t="shared" si="35"/>
        <v>None</v>
      </c>
    </row>
    <row r="603" spans="7:9" x14ac:dyDescent="0.2">
      <c r="G603" s="54" t="str">
        <f t="shared" si="33"/>
        <v>None</v>
      </c>
      <c r="H603" s="54" t="str">
        <f t="shared" si="34"/>
        <v>None</v>
      </c>
      <c r="I603" s="54" t="str">
        <f t="shared" si="35"/>
        <v>None</v>
      </c>
    </row>
    <row r="604" spans="7:9" x14ac:dyDescent="0.2">
      <c r="G604" s="54" t="str">
        <f t="shared" si="33"/>
        <v>None</v>
      </c>
      <c r="H604" s="54" t="str">
        <f t="shared" si="34"/>
        <v>None</v>
      </c>
      <c r="I604" s="54" t="str">
        <f t="shared" si="35"/>
        <v>None</v>
      </c>
    </row>
    <row r="605" spans="7:9" x14ac:dyDescent="0.2">
      <c r="G605" s="54" t="str">
        <f t="shared" si="33"/>
        <v>None</v>
      </c>
      <c r="H605" s="54" t="str">
        <f t="shared" si="34"/>
        <v>None</v>
      </c>
      <c r="I605" s="54" t="str">
        <f t="shared" si="35"/>
        <v>None</v>
      </c>
    </row>
    <row r="606" spans="7:9" x14ac:dyDescent="0.2">
      <c r="G606" s="54" t="str">
        <f t="shared" si="33"/>
        <v>None</v>
      </c>
      <c r="H606" s="54" t="str">
        <f t="shared" si="34"/>
        <v>None</v>
      </c>
      <c r="I606" s="54" t="str">
        <f t="shared" si="35"/>
        <v>None</v>
      </c>
    </row>
    <row r="607" spans="7:9" x14ac:dyDescent="0.2">
      <c r="G607" s="54" t="str">
        <f t="shared" si="33"/>
        <v>None</v>
      </c>
      <c r="H607" s="54" t="str">
        <f t="shared" si="34"/>
        <v>None</v>
      </c>
      <c r="I607" s="54" t="str">
        <f t="shared" si="35"/>
        <v>None</v>
      </c>
    </row>
    <row r="608" spans="7:9" x14ac:dyDescent="0.2">
      <c r="G608" s="54" t="str">
        <f t="shared" si="33"/>
        <v>None</v>
      </c>
      <c r="H608" s="54" t="str">
        <f t="shared" si="34"/>
        <v>None</v>
      </c>
      <c r="I608" s="54" t="str">
        <f t="shared" si="35"/>
        <v>None</v>
      </c>
    </row>
    <row r="609" spans="7:9" x14ac:dyDescent="0.2">
      <c r="G609" s="54" t="str">
        <f t="shared" si="33"/>
        <v>None</v>
      </c>
      <c r="H609" s="54" t="str">
        <f t="shared" si="34"/>
        <v>None</v>
      </c>
      <c r="I609" s="54" t="str">
        <f t="shared" si="35"/>
        <v>None</v>
      </c>
    </row>
    <row r="610" spans="7:9" x14ac:dyDescent="0.2">
      <c r="G610" s="54" t="str">
        <f t="shared" si="33"/>
        <v>None</v>
      </c>
      <c r="H610" s="54" t="str">
        <f t="shared" si="34"/>
        <v>None</v>
      </c>
      <c r="I610" s="54" t="str">
        <f t="shared" si="35"/>
        <v>None</v>
      </c>
    </row>
    <row r="611" spans="7:9" x14ac:dyDescent="0.2">
      <c r="G611" s="54" t="str">
        <f t="shared" si="33"/>
        <v>None</v>
      </c>
      <c r="H611" s="54" t="str">
        <f t="shared" si="34"/>
        <v>None</v>
      </c>
      <c r="I611" s="54" t="str">
        <f t="shared" si="35"/>
        <v>None</v>
      </c>
    </row>
    <row r="612" spans="7:9" x14ac:dyDescent="0.2">
      <c r="G612" s="54" t="str">
        <f t="shared" si="33"/>
        <v>None</v>
      </c>
      <c r="H612" s="54" t="str">
        <f t="shared" si="34"/>
        <v>None</v>
      </c>
      <c r="I612" s="54" t="str">
        <f t="shared" si="35"/>
        <v>None</v>
      </c>
    </row>
    <row r="613" spans="7:9" x14ac:dyDescent="0.2">
      <c r="G613" s="54" t="str">
        <f t="shared" si="33"/>
        <v>None</v>
      </c>
      <c r="H613" s="54" t="str">
        <f t="shared" si="34"/>
        <v>None</v>
      </c>
      <c r="I613" s="54" t="str">
        <f t="shared" si="35"/>
        <v>None</v>
      </c>
    </row>
    <row r="614" spans="7:9" x14ac:dyDescent="0.2">
      <c r="G614" s="54" t="str">
        <f t="shared" si="33"/>
        <v>None</v>
      </c>
      <c r="H614" s="54" t="str">
        <f t="shared" si="34"/>
        <v>None</v>
      </c>
      <c r="I614" s="54" t="str">
        <f t="shared" si="35"/>
        <v>None</v>
      </c>
    </row>
    <row r="615" spans="7:9" x14ac:dyDescent="0.2">
      <c r="G615" s="54" t="str">
        <f t="shared" si="33"/>
        <v>None</v>
      </c>
      <c r="H615" s="54" t="str">
        <f t="shared" si="34"/>
        <v>None</v>
      </c>
      <c r="I615" s="54" t="str">
        <f t="shared" si="35"/>
        <v>None</v>
      </c>
    </row>
    <row r="616" spans="7:9" x14ac:dyDescent="0.2">
      <c r="G616" s="54" t="str">
        <f t="shared" si="33"/>
        <v>None</v>
      </c>
      <c r="H616" s="54" t="str">
        <f t="shared" si="34"/>
        <v>None</v>
      </c>
      <c r="I616" s="54" t="str">
        <f t="shared" si="35"/>
        <v>None</v>
      </c>
    </row>
    <row r="617" spans="7:9" x14ac:dyDescent="0.2">
      <c r="G617" s="54" t="str">
        <f t="shared" si="33"/>
        <v>None</v>
      </c>
      <c r="H617" s="54" t="str">
        <f t="shared" si="34"/>
        <v>None</v>
      </c>
      <c r="I617" s="54" t="str">
        <f t="shared" si="35"/>
        <v>None</v>
      </c>
    </row>
    <row r="618" spans="7:9" x14ac:dyDescent="0.2">
      <c r="G618" s="54" t="str">
        <f t="shared" si="33"/>
        <v>None</v>
      </c>
      <c r="H618" s="54" t="str">
        <f t="shared" si="34"/>
        <v>None</v>
      </c>
      <c r="I618" s="54" t="str">
        <f t="shared" si="35"/>
        <v>None</v>
      </c>
    </row>
    <row r="619" spans="7:9" x14ac:dyDescent="0.2">
      <c r="G619" s="54" t="str">
        <f t="shared" si="33"/>
        <v>None</v>
      </c>
      <c r="H619" s="54" t="str">
        <f t="shared" si="34"/>
        <v>None</v>
      </c>
      <c r="I619" s="54" t="str">
        <f t="shared" si="35"/>
        <v>None</v>
      </c>
    </row>
    <row r="620" spans="7:9" x14ac:dyDescent="0.2">
      <c r="G620" s="54" t="str">
        <f t="shared" si="33"/>
        <v>None</v>
      </c>
      <c r="H620" s="54" t="str">
        <f t="shared" si="34"/>
        <v>None</v>
      </c>
      <c r="I620" s="54" t="str">
        <f t="shared" si="35"/>
        <v>None</v>
      </c>
    </row>
    <row r="621" spans="7:9" x14ac:dyDescent="0.2">
      <c r="G621" s="54" t="str">
        <f t="shared" si="33"/>
        <v>None</v>
      </c>
      <c r="H621" s="54" t="str">
        <f t="shared" si="34"/>
        <v>None</v>
      </c>
      <c r="I621" s="54" t="str">
        <f t="shared" si="35"/>
        <v>None</v>
      </c>
    </row>
    <row r="622" spans="7:9" x14ac:dyDescent="0.2">
      <c r="G622" s="54" t="str">
        <f t="shared" si="33"/>
        <v>None</v>
      </c>
      <c r="H622" s="54" t="str">
        <f t="shared" si="34"/>
        <v>None</v>
      </c>
      <c r="I622" s="54" t="str">
        <f t="shared" si="35"/>
        <v>None</v>
      </c>
    </row>
    <row r="623" spans="7:9" x14ac:dyDescent="0.2">
      <c r="G623" s="54" t="str">
        <f t="shared" si="33"/>
        <v>None</v>
      </c>
      <c r="H623" s="54" t="str">
        <f t="shared" si="34"/>
        <v>None</v>
      </c>
      <c r="I623" s="54" t="str">
        <f t="shared" si="35"/>
        <v>None</v>
      </c>
    </row>
    <row r="624" spans="7:9" x14ac:dyDescent="0.2">
      <c r="G624" s="54" t="str">
        <f t="shared" si="33"/>
        <v>None</v>
      </c>
      <c r="H624" s="54" t="str">
        <f t="shared" si="34"/>
        <v>None</v>
      </c>
      <c r="I624" s="54" t="str">
        <f t="shared" si="35"/>
        <v>None</v>
      </c>
    </row>
    <row r="625" spans="7:9" x14ac:dyDescent="0.2">
      <c r="G625" s="54" t="str">
        <f t="shared" si="33"/>
        <v>None</v>
      </c>
      <c r="H625" s="54" t="str">
        <f t="shared" si="34"/>
        <v>None</v>
      </c>
      <c r="I625" s="54" t="str">
        <f t="shared" si="35"/>
        <v>None</v>
      </c>
    </row>
    <row r="626" spans="7:9" x14ac:dyDescent="0.2">
      <c r="G626" s="54" t="str">
        <f t="shared" si="33"/>
        <v>None</v>
      </c>
      <c r="H626" s="54" t="str">
        <f t="shared" si="34"/>
        <v>None</v>
      </c>
      <c r="I626" s="54" t="str">
        <f t="shared" si="35"/>
        <v>None</v>
      </c>
    </row>
    <row r="627" spans="7:9" x14ac:dyDescent="0.2">
      <c r="G627" s="54" t="str">
        <f t="shared" si="33"/>
        <v>None</v>
      </c>
      <c r="H627" s="54" t="str">
        <f t="shared" si="34"/>
        <v>None</v>
      </c>
      <c r="I627" s="54" t="str">
        <f t="shared" si="35"/>
        <v>None</v>
      </c>
    </row>
    <row r="628" spans="7:9" x14ac:dyDescent="0.2">
      <c r="G628" s="54" t="str">
        <f t="shared" si="33"/>
        <v>None</v>
      </c>
      <c r="H628" s="54" t="str">
        <f t="shared" si="34"/>
        <v>None</v>
      </c>
      <c r="I628" s="54" t="str">
        <f t="shared" si="35"/>
        <v>None</v>
      </c>
    </row>
    <row r="629" spans="7:9" x14ac:dyDescent="0.2">
      <c r="G629" s="54" t="str">
        <f t="shared" si="33"/>
        <v>None</v>
      </c>
      <c r="H629" s="54" t="str">
        <f t="shared" si="34"/>
        <v>None</v>
      </c>
      <c r="I629" s="54" t="str">
        <f t="shared" si="35"/>
        <v>None</v>
      </c>
    </row>
    <row r="630" spans="7:9" x14ac:dyDescent="0.2">
      <c r="G630" s="54" t="str">
        <f t="shared" si="33"/>
        <v>None</v>
      </c>
      <c r="H630" s="54" t="str">
        <f t="shared" si="34"/>
        <v>None</v>
      </c>
      <c r="I630" s="54" t="str">
        <f t="shared" si="35"/>
        <v>None</v>
      </c>
    </row>
    <row r="631" spans="7:9" x14ac:dyDescent="0.2">
      <c r="G631" s="54" t="str">
        <f t="shared" si="33"/>
        <v>None</v>
      </c>
      <c r="H631" s="54" t="str">
        <f t="shared" si="34"/>
        <v>None</v>
      </c>
      <c r="I631" s="54" t="str">
        <f t="shared" si="35"/>
        <v>None</v>
      </c>
    </row>
    <row r="632" spans="7:9" x14ac:dyDescent="0.2">
      <c r="G632" s="54" t="str">
        <f t="shared" si="33"/>
        <v>None</v>
      </c>
      <c r="H632" s="54" t="str">
        <f t="shared" si="34"/>
        <v>None</v>
      </c>
      <c r="I632" s="54" t="str">
        <f t="shared" si="35"/>
        <v>None</v>
      </c>
    </row>
    <row r="633" spans="7:9" x14ac:dyDescent="0.2">
      <c r="G633" s="54" t="str">
        <f t="shared" si="33"/>
        <v>None</v>
      </c>
      <c r="H633" s="54" t="str">
        <f t="shared" si="34"/>
        <v>None</v>
      </c>
      <c r="I633" s="54" t="str">
        <f t="shared" si="35"/>
        <v>None</v>
      </c>
    </row>
    <row r="634" spans="7:9" x14ac:dyDescent="0.2">
      <c r="G634" s="54" t="str">
        <f t="shared" si="33"/>
        <v>None</v>
      </c>
      <c r="H634" s="54" t="str">
        <f t="shared" si="34"/>
        <v>None</v>
      </c>
      <c r="I634" s="54" t="str">
        <f t="shared" si="35"/>
        <v>None</v>
      </c>
    </row>
    <row r="635" spans="7:9" x14ac:dyDescent="0.2">
      <c r="G635" s="54" t="str">
        <f t="shared" si="33"/>
        <v>None</v>
      </c>
      <c r="H635" s="54" t="str">
        <f t="shared" si="34"/>
        <v>None</v>
      </c>
      <c r="I635" s="54" t="str">
        <f t="shared" si="35"/>
        <v>None</v>
      </c>
    </row>
    <row r="636" spans="7:9" x14ac:dyDescent="0.2">
      <c r="G636" s="54" t="str">
        <f t="shared" si="33"/>
        <v>None</v>
      </c>
      <c r="H636" s="54" t="str">
        <f t="shared" si="34"/>
        <v>None</v>
      </c>
      <c r="I636" s="54" t="str">
        <f t="shared" si="35"/>
        <v>None</v>
      </c>
    </row>
    <row r="637" spans="7:9" x14ac:dyDescent="0.2">
      <c r="G637" s="54" t="str">
        <f t="shared" si="33"/>
        <v>None</v>
      </c>
      <c r="H637" s="54" t="str">
        <f t="shared" si="34"/>
        <v>None</v>
      </c>
      <c r="I637" s="54" t="str">
        <f t="shared" si="35"/>
        <v>None</v>
      </c>
    </row>
    <row r="638" spans="7:9" x14ac:dyDescent="0.2">
      <c r="G638" s="54" t="str">
        <f t="shared" si="33"/>
        <v>None</v>
      </c>
      <c r="H638" s="54" t="str">
        <f t="shared" si="34"/>
        <v>None</v>
      </c>
      <c r="I638" s="54" t="str">
        <f t="shared" si="35"/>
        <v>None</v>
      </c>
    </row>
    <row r="639" spans="7:9" x14ac:dyDescent="0.2">
      <c r="G639" s="54" t="str">
        <f t="shared" si="33"/>
        <v>None</v>
      </c>
      <c r="H639" s="54" t="str">
        <f t="shared" si="34"/>
        <v>None</v>
      </c>
      <c r="I639" s="54" t="str">
        <f t="shared" si="35"/>
        <v>None</v>
      </c>
    </row>
    <row r="640" spans="7:9" x14ac:dyDescent="0.2">
      <c r="G640" s="54" t="str">
        <f t="shared" si="33"/>
        <v>None</v>
      </c>
      <c r="H640" s="54" t="str">
        <f t="shared" si="34"/>
        <v>None</v>
      </c>
      <c r="I640" s="54" t="str">
        <f t="shared" si="35"/>
        <v>None</v>
      </c>
    </row>
    <row r="641" spans="7:9" x14ac:dyDescent="0.2">
      <c r="G641" s="54" t="str">
        <f t="shared" si="33"/>
        <v>None</v>
      </c>
      <c r="H641" s="54" t="str">
        <f t="shared" si="34"/>
        <v>None</v>
      </c>
      <c r="I641" s="54" t="str">
        <f t="shared" si="35"/>
        <v>None</v>
      </c>
    </row>
    <row r="642" spans="7:9" x14ac:dyDescent="0.2">
      <c r="G642" s="54" t="str">
        <f t="shared" si="33"/>
        <v>None</v>
      </c>
      <c r="H642" s="54" t="str">
        <f t="shared" si="34"/>
        <v>None</v>
      </c>
      <c r="I642" s="54" t="str">
        <f t="shared" si="35"/>
        <v>None</v>
      </c>
    </row>
    <row r="643" spans="7:9" x14ac:dyDescent="0.2">
      <c r="G643" s="54" t="str">
        <f t="shared" ref="G643:G706" si="36">_xlfn.IFNA(VLOOKUP($C643,tour_modes,2,FALSE),"None")</f>
        <v>None</v>
      </c>
      <c r="H643" s="54" t="str">
        <f t="shared" ref="H643:H706" si="37">_xlfn.IFNA(VLOOKUP($C643,tour_modes,3,FALSE),"None")</f>
        <v>None</v>
      </c>
      <c r="I643" s="54" t="str">
        <f t="shared" ref="I643:I706" si="38">IF(A643="joint","Joint",_xlfn.IFNA(VLOOKUP($B643,tour_purposes,2,FALSE),"None"))</f>
        <v>None</v>
      </c>
    </row>
    <row r="644" spans="7:9" x14ac:dyDescent="0.2">
      <c r="G644" s="54" t="str">
        <f t="shared" si="36"/>
        <v>None</v>
      </c>
      <c r="H644" s="54" t="str">
        <f t="shared" si="37"/>
        <v>None</v>
      </c>
      <c r="I644" s="54" t="str">
        <f t="shared" si="38"/>
        <v>None</v>
      </c>
    </row>
    <row r="645" spans="7:9" x14ac:dyDescent="0.2">
      <c r="G645" s="54" t="str">
        <f t="shared" si="36"/>
        <v>None</v>
      </c>
      <c r="H645" s="54" t="str">
        <f t="shared" si="37"/>
        <v>None</v>
      </c>
      <c r="I645" s="54" t="str">
        <f t="shared" si="38"/>
        <v>None</v>
      </c>
    </row>
    <row r="646" spans="7:9" x14ac:dyDescent="0.2">
      <c r="G646" s="54" t="str">
        <f t="shared" si="36"/>
        <v>None</v>
      </c>
      <c r="H646" s="54" t="str">
        <f t="shared" si="37"/>
        <v>None</v>
      </c>
      <c r="I646" s="54" t="str">
        <f t="shared" si="38"/>
        <v>None</v>
      </c>
    </row>
    <row r="647" spans="7:9" x14ac:dyDescent="0.2">
      <c r="G647" s="54" t="str">
        <f t="shared" si="36"/>
        <v>None</v>
      </c>
      <c r="H647" s="54" t="str">
        <f t="shared" si="37"/>
        <v>None</v>
      </c>
      <c r="I647" s="54" t="str">
        <f t="shared" si="38"/>
        <v>None</v>
      </c>
    </row>
    <row r="648" spans="7:9" x14ac:dyDescent="0.2">
      <c r="G648" s="54" t="str">
        <f t="shared" si="36"/>
        <v>None</v>
      </c>
      <c r="H648" s="54" t="str">
        <f t="shared" si="37"/>
        <v>None</v>
      </c>
      <c r="I648" s="54" t="str">
        <f t="shared" si="38"/>
        <v>None</v>
      </c>
    </row>
    <row r="649" spans="7:9" x14ac:dyDescent="0.2">
      <c r="G649" s="54" t="str">
        <f t="shared" si="36"/>
        <v>None</v>
      </c>
      <c r="H649" s="54" t="str">
        <f t="shared" si="37"/>
        <v>None</v>
      </c>
      <c r="I649" s="54" t="str">
        <f t="shared" si="38"/>
        <v>None</v>
      </c>
    </row>
    <row r="650" spans="7:9" x14ac:dyDescent="0.2">
      <c r="G650" s="54" t="str">
        <f t="shared" si="36"/>
        <v>None</v>
      </c>
      <c r="H650" s="54" t="str">
        <f t="shared" si="37"/>
        <v>None</v>
      </c>
      <c r="I650" s="54" t="str">
        <f t="shared" si="38"/>
        <v>None</v>
      </c>
    </row>
    <row r="651" spans="7:9" x14ac:dyDescent="0.2">
      <c r="G651" s="54" t="str">
        <f t="shared" si="36"/>
        <v>None</v>
      </c>
      <c r="H651" s="54" t="str">
        <f t="shared" si="37"/>
        <v>None</v>
      </c>
      <c r="I651" s="54" t="str">
        <f t="shared" si="38"/>
        <v>None</v>
      </c>
    </row>
    <row r="652" spans="7:9" x14ac:dyDescent="0.2">
      <c r="G652" s="54" t="str">
        <f t="shared" si="36"/>
        <v>None</v>
      </c>
      <c r="H652" s="54" t="str">
        <f t="shared" si="37"/>
        <v>None</v>
      </c>
      <c r="I652" s="54" t="str">
        <f t="shared" si="38"/>
        <v>None</v>
      </c>
    </row>
    <row r="653" spans="7:9" x14ac:dyDescent="0.2">
      <c r="G653" s="54" t="str">
        <f t="shared" si="36"/>
        <v>None</v>
      </c>
      <c r="H653" s="54" t="str">
        <f t="shared" si="37"/>
        <v>None</v>
      </c>
      <c r="I653" s="54" t="str">
        <f t="shared" si="38"/>
        <v>None</v>
      </c>
    </row>
    <row r="654" spans="7:9" x14ac:dyDescent="0.2">
      <c r="G654" s="54" t="str">
        <f t="shared" si="36"/>
        <v>None</v>
      </c>
      <c r="H654" s="54" t="str">
        <f t="shared" si="37"/>
        <v>None</v>
      </c>
      <c r="I654" s="54" t="str">
        <f t="shared" si="38"/>
        <v>None</v>
      </c>
    </row>
    <row r="655" spans="7:9" x14ac:dyDescent="0.2">
      <c r="G655" s="54" t="str">
        <f t="shared" si="36"/>
        <v>None</v>
      </c>
      <c r="H655" s="54" t="str">
        <f t="shared" si="37"/>
        <v>None</v>
      </c>
      <c r="I655" s="54" t="str">
        <f t="shared" si="38"/>
        <v>None</v>
      </c>
    </row>
    <row r="656" spans="7:9" x14ac:dyDescent="0.2">
      <c r="G656" s="54" t="str">
        <f t="shared" si="36"/>
        <v>None</v>
      </c>
      <c r="H656" s="54" t="str">
        <f t="shared" si="37"/>
        <v>None</v>
      </c>
      <c r="I656" s="54" t="str">
        <f t="shared" si="38"/>
        <v>None</v>
      </c>
    </row>
    <row r="657" spans="7:9" x14ac:dyDescent="0.2">
      <c r="G657" s="54" t="str">
        <f t="shared" si="36"/>
        <v>None</v>
      </c>
      <c r="H657" s="54" t="str">
        <f t="shared" si="37"/>
        <v>None</v>
      </c>
      <c r="I657" s="54" t="str">
        <f t="shared" si="38"/>
        <v>None</v>
      </c>
    </row>
    <row r="658" spans="7:9" x14ac:dyDescent="0.2">
      <c r="G658" s="54" t="str">
        <f t="shared" si="36"/>
        <v>None</v>
      </c>
      <c r="H658" s="54" t="str">
        <f t="shared" si="37"/>
        <v>None</v>
      </c>
      <c r="I658" s="54" t="str">
        <f t="shared" si="38"/>
        <v>None</v>
      </c>
    </row>
    <row r="659" spans="7:9" x14ac:dyDescent="0.2">
      <c r="G659" s="54" t="str">
        <f t="shared" si="36"/>
        <v>None</v>
      </c>
      <c r="H659" s="54" t="str">
        <f t="shared" si="37"/>
        <v>None</v>
      </c>
      <c r="I659" s="54" t="str">
        <f t="shared" si="38"/>
        <v>None</v>
      </c>
    </row>
    <row r="660" spans="7:9" x14ac:dyDescent="0.2">
      <c r="G660" s="54" t="str">
        <f t="shared" si="36"/>
        <v>None</v>
      </c>
      <c r="H660" s="54" t="str">
        <f t="shared" si="37"/>
        <v>None</v>
      </c>
      <c r="I660" s="54" t="str">
        <f t="shared" si="38"/>
        <v>None</v>
      </c>
    </row>
    <row r="661" spans="7:9" x14ac:dyDescent="0.2">
      <c r="G661" s="54" t="str">
        <f t="shared" si="36"/>
        <v>None</v>
      </c>
      <c r="H661" s="54" t="str">
        <f t="shared" si="37"/>
        <v>None</v>
      </c>
      <c r="I661" s="54" t="str">
        <f t="shared" si="38"/>
        <v>None</v>
      </c>
    </row>
    <row r="662" spans="7:9" x14ac:dyDescent="0.2">
      <c r="G662" s="54" t="str">
        <f t="shared" si="36"/>
        <v>None</v>
      </c>
      <c r="H662" s="54" t="str">
        <f t="shared" si="37"/>
        <v>None</v>
      </c>
      <c r="I662" s="54" t="str">
        <f t="shared" si="38"/>
        <v>None</v>
      </c>
    </row>
    <row r="663" spans="7:9" x14ac:dyDescent="0.2">
      <c r="G663" s="54" t="str">
        <f t="shared" si="36"/>
        <v>None</v>
      </c>
      <c r="H663" s="54" t="str">
        <f t="shared" si="37"/>
        <v>None</v>
      </c>
      <c r="I663" s="54" t="str">
        <f t="shared" si="38"/>
        <v>None</v>
      </c>
    </row>
    <row r="664" spans="7:9" x14ac:dyDescent="0.2">
      <c r="G664" s="54" t="str">
        <f t="shared" si="36"/>
        <v>None</v>
      </c>
      <c r="H664" s="54" t="str">
        <f t="shared" si="37"/>
        <v>None</v>
      </c>
      <c r="I664" s="54" t="str">
        <f t="shared" si="38"/>
        <v>None</v>
      </c>
    </row>
    <row r="665" spans="7:9" x14ac:dyDescent="0.2">
      <c r="G665" s="54" t="str">
        <f t="shared" si="36"/>
        <v>None</v>
      </c>
      <c r="H665" s="54" t="str">
        <f t="shared" si="37"/>
        <v>None</v>
      </c>
      <c r="I665" s="54" t="str">
        <f t="shared" si="38"/>
        <v>None</v>
      </c>
    </row>
    <row r="666" spans="7:9" x14ac:dyDescent="0.2">
      <c r="G666" s="54" t="str">
        <f t="shared" si="36"/>
        <v>None</v>
      </c>
      <c r="H666" s="54" t="str">
        <f t="shared" si="37"/>
        <v>None</v>
      </c>
      <c r="I666" s="54" t="str">
        <f t="shared" si="38"/>
        <v>None</v>
      </c>
    </row>
    <row r="667" spans="7:9" x14ac:dyDescent="0.2">
      <c r="G667" s="54" t="str">
        <f t="shared" si="36"/>
        <v>None</v>
      </c>
      <c r="H667" s="54" t="str">
        <f t="shared" si="37"/>
        <v>None</v>
      </c>
      <c r="I667" s="54" t="str">
        <f t="shared" si="38"/>
        <v>None</v>
      </c>
    </row>
    <row r="668" spans="7:9" x14ac:dyDescent="0.2">
      <c r="G668" s="54" t="str">
        <f t="shared" si="36"/>
        <v>None</v>
      </c>
      <c r="H668" s="54" t="str">
        <f t="shared" si="37"/>
        <v>None</v>
      </c>
      <c r="I668" s="54" t="str">
        <f t="shared" si="38"/>
        <v>None</v>
      </c>
    </row>
    <row r="669" spans="7:9" x14ac:dyDescent="0.2">
      <c r="G669" s="54" t="str">
        <f t="shared" si="36"/>
        <v>None</v>
      </c>
      <c r="H669" s="54" t="str">
        <f t="shared" si="37"/>
        <v>None</v>
      </c>
      <c r="I669" s="54" t="str">
        <f t="shared" si="38"/>
        <v>None</v>
      </c>
    </row>
    <row r="670" spans="7:9" x14ac:dyDescent="0.2">
      <c r="G670" s="54" t="str">
        <f t="shared" si="36"/>
        <v>None</v>
      </c>
      <c r="H670" s="54" t="str">
        <f t="shared" si="37"/>
        <v>None</v>
      </c>
      <c r="I670" s="54" t="str">
        <f t="shared" si="38"/>
        <v>None</v>
      </c>
    </row>
    <row r="671" spans="7:9" x14ac:dyDescent="0.2">
      <c r="G671" s="54" t="str">
        <f t="shared" si="36"/>
        <v>None</v>
      </c>
      <c r="H671" s="54" t="str">
        <f t="shared" si="37"/>
        <v>None</v>
      </c>
      <c r="I671" s="54" t="str">
        <f t="shared" si="38"/>
        <v>None</v>
      </c>
    </row>
    <row r="672" spans="7:9" x14ac:dyDescent="0.2">
      <c r="G672" s="54" t="str">
        <f t="shared" si="36"/>
        <v>None</v>
      </c>
      <c r="H672" s="54" t="str">
        <f t="shared" si="37"/>
        <v>None</v>
      </c>
      <c r="I672" s="54" t="str">
        <f t="shared" si="38"/>
        <v>None</v>
      </c>
    </row>
    <row r="673" spans="7:9" x14ac:dyDescent="0.2">
      <c r="G673" s="54" t="str">
        <f t="shared" si="36"/>
        <v>None</v>
      </c>
      <c r="H673" s="54" t="str">
        <f t="shared" si="37"/>
        <v>None</v>
      </c>
      <c r="I673" s="54" t="str">
        <f t="shared" si="38"/>
        <v>None</v>
      </c>
    </row>
    <row r="674" spans="7:9" x14ac:dyDescent="0.2">
      <c r="G674" s="54" t="str">
        <f t="shared" si="36"/>
        <v>None</v>
      </c>
      <c r="H674" s="54" t="str">
        <f t="shared" si="37"/>
        <v>None</v>
      </c>
      <c r="I674" s="54" t="str">
        <f t="shared" si="38"/>
        <v>None</v>
      </c>
    </row>
    <row r="675" spans="7:9" x14ac:dyDescent="0.2">
      <c r="G675" s="54" t="str">
        <f t="shared" si="36"/>
        <v>None</v>
      </c>
      <c r="H675" s="54" t="str">
        <f t="shared" si="37"/>
        <v>None</v>
      </c>
      <c r="I675" s="54" t="str">
        <f t="shared" si="38"/>
        <v>None</v>
      </c>
    </row>
    <row r="676" spans="7:9" x14ac:dyDescent="0.2">
      <c r="G676" s="54" t="str">
        <f t="shared" si="36"/>
        <v>None</v>
      </c>
      <c r="H676" s="54" t="str">
        <f t="shared" si="37"/>
        <v>None</v>
      </c>
      <c r="I676" s="54" t="str">
        <f t="shared" si="38"/>
        <v>None</v>
      </c>
    </row>
    <row r="677" spans="7:9" x14ac:dyDescent="0.2">
      <c r="G677" s="54" t="str">
        <f t="shared" si="36"/>
        <v>None</v>
      </c>
      <c r="H677" s="54" t="str">
        <f t="shared" si="37"/>
        <v>None</v>
      </c>
      <c r="I677" s="54" t="str">
        <f t="shared" si="38"/>
        <v>None</v>
      </c>
    </row>
    <row r="678" spans="7:9" x14ac:dyDescent="0.2">
      <c r="G678" s="54" t="str">
        <f t="shared" si="36"/>
        <v>None</v>
      </c>
      <c r="H678" s="54" t="str">
        <f t="shared" si="37"/>
        <v>None</v>
      </c>
      <c r="I678" s="54" t="str">
        <f t="shared" si="38"/>
        <v>None</v>
      </c>
    </row>
    <row r="679" spans="7:9" x14ac:dyDescent="0.2">
      <c r="G679" s="54" t="str">
        <f t="shared" si="36"/>
        <v>None</v>
      </c>
      <c r="H679" s="54" t="str">
        <f t="shared" si="37"/>
        <v>None</v>
      </c>
      <c r="I679" s="54" t="str">
        <f t="shared" si="38"/>
        <v>None</v>
      </c>
    </row>
    <row r="680" spans="7:9" x14ac:dyDescent="0.2">
      <c r="G680" s="54" t="str">
        <f t="shared" si="36"/>
        <v>None</v>
      </c>
      <c r="H680" s="54" t="str">
        <f t="shared" si="37"/>
        <v>None</v>
      </c>
      <c r="I680" s="54" t="str">
        <f t="shared" si="38"/>
        <v>None</v>
      </c>
    </row>
    <row r="681" spans="7:9" x14ac:dyDescent="0.2">
      <c r="G681" s="54" t="str">
        <f t="shared" si="36"/>
        <v>None</v>
      </c>
      <c r="H681" s="54" t="str">
        <f t="shared" si="37"/>
        <v>None</v>
      </c>
      <c r="I681" s="54" t="str">
        <f t="shared" si="38"/>
        <v>None</v>
      </c>
    </row>
    <row r="682" spans="7:9" x14ac:dyDescent="0.2">
      <c r="G682" s="54" t="str">
        <f t="shared" si="36"/>
        <v>None</v>
      </c>
      <c r="H682" s="54" t="str">
        <f t="shared" si="37"/>
        <v>None</v>
      </c>
      <c r="I682" s="54" t="str">
        <f t="shared" si="38"/>
        <v>None</v>
      </c>
    </row>
    <row r="683" spans="7:9" x14ac:dyDescent="0.2">
      <c r="G683" s="54" t="str">
        <f t="shared" si="36"/>
        <v>None</v>
      </c>
      <c r="H683" s="54" t="str">
        <f t="shared" si="37"/>
        <v>None</v>
      </c>
      <c r="I683" s="54" t="str">
        <f t="shared" si="38"/>
        <v>None</v>
      </c>
    </row>
    <row r="684" spans="7:9" x14ac:dyDescent="0.2">
      <c r="G684" s="54" t="str">
        <f t="shared" si="36"/>
        <v>None</v>
      </c>
      <c r="H684" s="54" t="str">
        <f t="shared" si="37"/>
        <v>None</v>
      </c>
      <c r="I684" s="54" t="str">
        <f t="shared" si="38"/>
        <v>None</v>
      </c>
    </row>
    <row r="685" spans="7:9" x14ac:dyDescent="0.2">
      <c r="G685" s="54" t="str">
        <f t="shared" si="36"/>
        <v>None</v>
      </c>
      <c r="H685" s="54" t="str">
        <f t="shared" si="37"/>
        <v>None</v>
      </c>
      <c r="I685" s="54" t="str">
        <f t="shared" si="38"/>
        <v>None</v>
      </c>
    </row>
    <row r="686" spans="7:9" x14ac:dyDescent="0.2">
      <c r="G686" s="54" t="str">
        <f t="shared" si="36"/>
        <v>None</v>
      </c>
      <c r="H686" s="54" t="str">
        <f t="shared" si="37"/>
        <v>None</v>
      </c>
      <c r="I686" s="54" t="str">
        <f t="shared" si="38"/>
        <v>None</v>
      </c>
    </row>
    <row r="687" spans="7:9" x14ac:dyDescent="0.2">
      <c r="G687" s="54" t="str">
        <f t="shared" si="36"/>
        <v>None</v>
      </c>
      <c r="H687" s="54" t="str">
        <f t="shared" si="37"/>
        <v>None</v>
      </c>
      <c r="I687" s="54" t="str">
        <f t="shared" si="38"/>
        <v>None</v>
      </c>
    </row>
    <row r="688" spans="7:9" x14ac:dyDescent="0.2">
      <c r="G688" s="54" t="str">
        <f t="shared" si="36"/>
        <v>None</v>
      </c>
      <c r="H688" s="54" t="str">
        <f t="shared" si="37"/>
        <v>None</v>
      </c>
      <c r="I688" s="54" t="str">
        <f t="shared" si="38"/>
        <v>None</v>
      </c>
    </row>
    <row r="689" spans="7:9" x14ac:dyDescent="0.2">
      <c r="G689" s="54" t="str">
        <f t="shared" si="36"/>
        <v>None</v>
      </c>
      <c r="H689" s="54" t="str">
        <f t="shared" si="37"/>
        <v>None</v>
      </c>
      <c r="I689" s="54" t="str">
        <f t="shared" si="38"/>
        <v>None</v>
      </c>
    </row>
    <row r="690" spans="7:9" x14ac:dyDescent="0.2">
      <c r="G690" s="54" t="str">
        <f t="shared" si="36"/>
        <v>None</v>
      </c>
      <c r="H690" s="54" t="str">
        <f t="shared" si="37"/>
        <v>None</v>
      </c>
      <c r="I690" s="54" t="str">
        <f t="shared" si="38"/>
        <v>None</v>
      </c>
    </row>
    <row r="691" spans="7:9" x14ac:dyDescent="0.2">
      <c r="G691" s="54" t="str">
        <f t="shared" si="36"/>
        <v>None</v>
      </c>
      <c r="H691" s="54" t="str">
        <f t="shared" si="37"/>
        <v>None</v>
      </c>
      <c r="I691" s="54" t="str">
        <f t="shared" si="38"/>
        <v>None</v>
      </c>
    </row>
    <row r="692" spans="7:9" x14ac:dyDescent="0.2">
      <c r="G692" s="54" t="str">
        <f t="shared" si="36"/>
        <v>None</v>
      </c>
      <c r="H692" s="54" t="str">
        <f t="shared" si="37"/>
        <v>None</v>
      </c>
      <c r="I692" s="54" t="str">
        <f t="shared" si="38"/>
        <v>None</v>
      </c>
    </row>
    <row r="693" spans="7:9" x14ac:dyDescent="0.2">
      <c r="G693" s="54" t="str">
        <f t="shared" si="36"/>
        <v>None</v>
      </c>
      <c r="H693" s="54" t="str">
        <f t="shared" si="37"/>
        <v>None</v>
      </c>
      <c r="I693" s="54" t="str">
        <f t="shared" si="38"/>
        <v>None</v>
      </c>
    </row>
    <row r="694" spans="7:9" x14ac:dyDescent="0.2">
      <c r="G694" s="54" t="str">
        <f t="shared" si="36"/>
        <v>None</v>
      </c>
      <c r="H694" s="54" t="str">
        <f t="shared" si="37"/>
        <v>None</v>
      </c>
      <c r="I694" s="54" t="str">
        <f t="shared" si="38"/>
        <v>None</v>
      </c>
    </row>
    <row r="695" spans="7:9" x14ac:dyDescent="0.2">
      <c r="G695" s="54" t="str">
        <f t="shared" si="36"/>
        <v>None</v>
      </c>
      <c r="H695" s="54" t="str">
        <f t="shared" si="37"/>
        <v>None</v>
      </c>
      <c r="I695" s="54" t="str">
        <f t="shared" si="38"/>
        <v>None</v>
      </c>
    </row>
    <row r="696" spans="7:9" x14ac:dyDescent="0.2">
      <c r="G696" s="54" t="str">
        <f t="shared" si="36"/>
        <v>None</v>
      </c>
      <c r="H696" s="54" t="str">
        <f t="shared" si="37"/>
        <v>None</v>
      </c>
      <c r="I696" s="54" t="str">
        <f t="shared" si="38"/>
        <v>None</v>
      </c>
    </row>
    <row r="697" spans="7:9" x14ac:dyDescent="0.2">
      <c r="G697" s="54" t="str">
        <f t="shared" si="36"/>
        <v>None</v>
      </c>
      <c r="H697" s="54" t="str">
        <f t="shared" si="37"/>
        <v>None</v>
      </c>
      <c r="I697" s="54" t="str">
        <f t="shared" si="38"/>
        <v>None</v>
      </c>
    </row>
    <row r="698" spans="7:9" x14ac:dyDescent="0.2">
      <c r="G698" s="54" t="str">
        <f t="shared" si="36"/>
        <v>None</v>
      </c>
      <c r="H698" s="54" t="str">
        <f t="shared" si="37"/>
        <v>None</v>
      </c>
      <c r="I698" s="54" t="str">
        <f t="shared" si="38"/>
        <v>None</v>
      </c>
    </row>
    <row r="699" spans="7:9" x14ac:dyDescent="0.2">
      <c r="G699" s="54" t="str">
        <f t="shared" si="36"/>
        <v>None</v>
      </c>
      <c r="H699" s="54" t="str">
        <f t="shared" si="37"/>
        <v>None</v>
      </c>
      <c r="I699" s="54" t="str">
        <f t="shared" si="38"/>
        <v>None</v>
      </c>
    </row>
    <row r="700" spans="7:9" x14ac:dyDescent="0.2">
      <c r="G700" s="54" t="str">
        <f t="shared" si="36"/>
        <v>None</v>
      </c>
      <c r="H700" s="54" t="str">
        <f t="shared" si="37"/>
        <v>None</v>
      </c>
      <c r="I700" s="54" t="str">
        <f t="shared" si="38"/>
        <v>None</v>
      </c>
    </row>
    <row r="701" spans="7:9" x14ac:dyDescent="0.2">
      <c r="G701" s="54" t="str">
        <f t="shared" si="36"/>
        <v>None</v>
      </c>
      <c r="H701" s="54" t="str">
        <f t="shared" si="37"/>
        <v>None</v>
      </c>
      <c r="I701" s="54" t="str">
        <f t="shared" si="38"/>
        <v>None</v>
      </c>
    </row>
    <row r="702" spans="7:9" x14ac:dyDescent="0.2">
      <c r="G702" s="54" t="str">
        <f t="shared" si="36"/>
        <v>None</v>
      </c>
      <c r="H702" s="54" t="str">
        <f t="shared" si="37"/>
        <v>None</v>
      </c>
      <c r="I702" s="54" t="str">
        <f t="shared" si="38"/>
        <v>None</v>
      </c>
    </row>
    <row r="703" spans="7:9" x14ac:dyDescent="0.2">
      <c r="G703" s="54" t="str">
        <f t="shared" si="36"/>
        <v>None</v>
      </c>
      <c r="H703" s="54" t="str">
        <f t="shared" si="37"/>
        <v>None</v>
      </c>
      <c r="I703" s="54" t="str">
        <f t="shared" si="38"/>
        <v>None</v>
      </c>
    </row>
    <row r="704" spans="7:9" x14ac:dyDescent="0.2">
      <c r="G704" s="54" t="str">
        <f t="shared" si="36"/>
        <v>None</v>
      </c>
      <c r="H704" s="54" t="str">
        <f t="shared" si="37"/>
        <v>None</v>
      </c>
      <c r="I704" s="54" t="str">
        <f t="shared" si="38"/>
        <v>None</v>
      </c>
    </row>
    <row r="705" spans="7:9" x14ac:dyDescent="0.2">
      <c r="G705" s="54" t="str">
        <f t="shared" si="36"/>
        <v>None</v>
      </c>
      <c r="H705" s="54" t="str">
        <f t="shared" si="37"/>
        <v>None</v>
      </c>
      <c r="I705" s="54" t="str">
        <f t="shared" si="38"/>
        <v>None</v>
      </c>
    </row>
    <row r="706" spans="7:9" x14ac:dyDescent="0.2">
      <c r="G706" s="54" t="str">
        <f t="shared" si="36"/>
        <v>None</v>
      </c>
      <c r="H706" s="54" t="str">
        <f t="shared" si="37"/>
        <v>None</v>
      </c>
      <c r="I706" s="54" t="str">
        <f t="shared" si="38"/>
        <v>None</v>
      </c>
    </row>
    <row r="707" spans="7:9" x14ac:dyDescent="0.2">
      <c r="G707" s="54" t="str">
        <f t="shared" ref="G707:G770" si="39">_xlfn.IFNA(VLOOKUP($C707,tour_modes,2,FALSE),"None")</f>
        <v>None</v>
      </c>
      <c r="H707" s="54" t="str">
        <f t="shared" ref="H707:H770" si="40">_xlfn.IFNA(VLOOKUP($C707,tour_modes,3,FALSE),"None")</f>
        <v>None</v>
      </c>
      <c r="I707" s="54" t="str">
        <f t="shared" ref="I707:I770" si="41">IF(A707="joint","Joint",_xlfn.IFNA(VLOOKUP($B707,tour_purposes,2,FALSE),"None"))</f>
        <v>None</v>
      </c>
    </row>
    <row r="708" spans="7:9" x14ac:dyDescent="0.2">
      <c r="G708" s="54" t="str">
        <f t="shared" si="39"/>
        <v>None</v>
      </c>
      <c r="H708" s="54" t="str">
        <f t="shared" si="40"/>
        <v>None</v>
      </c>
      <c r="I708" s="54" t="str">
        <f t="shared" si="41"/>
        <v>None</v>
      </c>
    </row>
    <row r="709" spans="7:9" x14ac:dyDescent="0.2">
      <c r="G709" s="54" t="str">
        <f t="shared" si="39"/>
        <v>None</v>
      </c>
      <c r="H709" s="54" t="str">
        <f t="shared" si="40"/>
        <v>None</v>
      </c>
      <c r="I709" s="54" t="str">
        <f t="shared" si="41"/>
        <v>None</v>
      </c>
    </row>
    <row r="710" spans="7:9" x14ac:dyDescent="0.2">
      <c r="G710" s="54" t="str">
        <f t="shared" si="39"/>
        <v>None</v>
      </c>
      <c r="H710" s="54" t="str">
        <f t="shared" si="40"/>
        <v>None</v>
      </c>
      <c r="I710" s="54" t="str">
        <f t="shared" si="41"/>
        <v>None</v>
      </c>
    </row>
    <row r="711" spans="7:9" x14ac:dyDescent="0.2">
      <c r="G711" s="54" t="str">
        <f t="shared" si="39"/>
        <v>None</v>
      </c>
      <c r="H711" s="54" t="str">
        <f t="shared" si="40"/>
        <v>None</v>
      </c>
      <c r="I711" s="54" t="str">
        <f t="shared" si="41"/>
        <v>None</v>
      </c>
    </row>
    <row r="712" spans="7:9" x14ac:dyDescent="0.2">
      <c r="G712" s="54" t="str">
        <f t="shared" si="39"/>
        <v>None</v>
      </c>
      <c r="H712" s="54" t="str">
        <f t="shared" si="40"/>
        <v>None</v>
      </c>
      <c r="I712" s="54" t="str">
        <f t="shared" si="41"/>
        <v>None</v>
      </c>
    </row>
    <row r="713" spans="7:9" x14ac:dyDescent="0.2">
      <c r="G713" s="54" t="str">
        <f t="shared" si="39"/>
        <v>None</v>
      </c>
      <c r="H713" s="54" t="str">
        <f t="shared" si="40"/>
        <v>None</v>
      </c>
      <c r="I713" s="54" t="str">
        <f t="shared" si="41"/>
        <v>None</v>
      </c>
    </row>
    <row r="714" spans="7:9" x14ac:dyDescent="0.2">
      <c r="G714" s="54" t="str">
        <f t="shared" si="39"/>
        <v>None</v>
      </c>
      <c r="H714" s="54" t="str">
        <f t="shared" si="40"/>
        <v>None</v>
      </c>
      <c r="I714" s="54" t="str">
        <f t="shared" si="41"/>
        <v>None</v>
      </c>
    </row>
    <row r="715" spans="7:9" x14ac:dyDescent="0.2">
      <c r="G715" s="54" t="str">
        <f t="shared" si="39"/>
        <v>None</v>
      </c>
      <c r="H715" s="54" t="str">
        <f t="shared" si="40"/>
        <v>None</v>
      </c>
      <c r="I715" s="54" t="str">
        <f t="shared" si="41"/>
        <v>None</v>
      </c>
    </row>
    <row r="716" spans="7:9" x14ac:dyDescent="0.2">
      <c r="G716" s="54" t="str">
        <f t="shared" si="39"/>
        <v>None</v>
      </c>
      <c r="H716" s="54" t="str">
        <f t="shared" si="40"/>
        <v>None</v>
      </c>
      <c r="I716" s="54" t="str">
        <f t="shared" si="41"/>
        <v>None</v>
      </c>
    </row>
    <row r="717" spans="7:9" x14ac:dyDescent="0.2">
      <c r="G717" s="54" t="str">
        <f t="shared" si="39"/>
        <v>None</v>
      </c>
      <c r="H717" s="54" t="str">
        <f t="shared" si="40"/>
        <v>None</v>
      </c>
      <c r="I717" s="54" t="str">
        <f t="shared" si="41"/>
        <v>None</v>
      </c>
    </row>
    <row r="718" spans="7:9" x14ac:dyDescent="0.2">
      <c r="G718" s="54" t="str">
        <f t="shared" si="39"/>
        <v>None</v>
      </c>
      <c r="H718" s="54" t="str">
        <f t="shared" si="40"/>
        <v>None</v>
      </c>
      <c r="I718" s="54" t="str">
        <f t="shared" si="41"/>
        <v>None</v>
      </c>
    </row>
    <row r="719" spans="7:9" x14ac:dyDescent="0.2">
      <c r="G719" s="54" t="str">
        <f t="shared" si="39"/>
        <v>None</v>
      </c>
      <c r="H719" s="54" t="str">
        <f t="shared" si="40"/>
        <v>None</v>
      </c>
      <c r="I719" s="54" t="str">
        <f t="shared" si="41"/>
        <v>None</v>
      </c>
    </row>
    <row r="720" spans="7:9" x14ac:dyDescent="0.2">
      <c r="G720" s="54" t="str">
        <f t="shared" si="39"/>
        <v>None</v>
      </c>
      <c r="H720" s="54" t="str">
        <f t="shared" si="40"/>
        <v>None</v>
      </c>
      <c r="I720" s="54" t="str">
        <f t="shared" si="41"/>
        <v>None</v>
      </c>
    </row>
    <row r="721" spans="7:9" x14ac:dyDescent="0.2">
      <c r="G721" s="54" t="str">
        <f t="shared" si="39"/>
        <v>None</v>
      </c>
      <c r="H721" s="54" t="str">
        <f t="shared" si="40"/>
        <v>None</v>
      </c>
      <c r="I721" s="54" t="str">
        <f t="shared" si="41"/>
        <v>None</v>
      </c>
    </row>
    <row r="722" spans="7:9" x14ac:dyDescent="0.2">
      <c r="G722" s="54" t="str">
        <f t="shared" si="39"/>
        <v>None</v>
      </c>
      <c r="H722" s="54" t="str">
        <f t="shared" si="40"/>
        <v>None</v>
      </c>
      <c r="I722" s="54" t="str">
        <f t="shared" si="41"/>
        <v>None</v>
      </c>
    </row>
    <row r="723" spans="7:9" x14ac:dyDescent="0.2">
      <c r="G723" s="54" t="str">
        <f t="shared" si="39"/>
        <v>None</v>
      </c>
      <c r="H723" s="54" t="str">
        <f t="shared" si="40"/>
        <v>None</v>
      </c>
      <c r="I723" s="54" t="str">
        <f t="shared" si="41"/>
        <v>None</v>
      </c>
    </row>
    <row r="724" spans="7:9" x14ac:dyDescent="0.2">
      <c r="G724" s="54" t="str">
        <f t="shared" si="39"/>
        <v>None</v>
      </c>
      <c r="H724" s="54" t="str">
        <f t="shared" si="40"/>
        <v>None</v>
      </c>
      <c r="I724" s="54" t="str">
        <f t="shared" si="41"/>
        <v>None</v>
      </c>
    </row>
    <row r="725" spans="7:9" x14ac:dyDescent="0.2">
      <c r="G725" s="54" t="str">
        <f t="shared" si="39"/>
        <v>None</v>
      </c>
      <c r="H725" s="54" t="str">
        <f t="shared" si="40"/>
        <v>None</v>
      </c>
      <c r="I725" s="54" t="str">
        <f t="shared" si="41"/>
        <v>None</v>
      </c>
    </row>
    <row r="726" spans="7:9" x14ac:dyDescent="0.2">
      <c r="G726" s="54" t="str">
        <f t="shared" si="39"/>
        <v>None</v>
      </c>
      <c r="H726" s="54" t="str">
        <f t="shared" si="40"/>
        <v>None</v>
      </c>
      <c r="I726" s="54" t="str">
        <f t="shared" si="41"/>
        <v>None</v>
      </c>
    </row>
    <row r="727" spans="7:9" x14ac:dyDescent="0.2">
      <c r="G727" s="54" t="str">
        <f t="shared" si="39"/>
        <v>None</v>
      </c>
      <c r="H727" s="54" t="str">
        <f t="shared" si="40"/>
        <v>None</v>
      </c>
      <c r="I727" s="54" t="str">
        <f t="shared" si="41"/>
        <v>None</v>
      </c>
    </row>
    <row r="728" spans="7:9" x14ac:dyDescent="0.2">
      <c r="G728" s="54" t="str">
        <f t="shared" si="39"/>
        <v>None</v>
      </c>
      <c r="H728" s="54" t="str">
        <f t="shared" si="40"/>
        <v>None</v>
      </c>
      <c r="I728" s="54" t="str">
        <f t="shared" si="41"/>
        <v>None</v>
      </c>
    </row>
    <row r="729" spans="7:9" x14ac:dyDescent="0.2">
      <c r="G729" s="54" t="str">
        <f t="shared" si="39"/>
        <v>None</v>
      </c>
      <c r="H729" s="54" t="str">
        <f t="shared" si="40"/>
        <v>None</v>
      </c>
      <c r="I729" s="54" t="str">
        <f t="shared" si="41"/>
        <v>None</v>
      </c>
    </row>
    <row r="730" spans="7:9" x14ac:dyDescent="0.2">
      <c r="G730" s="54" t="str">
        <f t="shared" si="39"/>
        <v>None</v>
      </c>
      <c r="H730" s="54" t="str">
        <f t="shared" si="40"/>
        <v>None</v>
      </c>
      <c r="I730" s="54" t="str">
        <f t="shared" si="41"/>
        <v>None</v>
      </c>
    </row>
    <row r="731" spans="7:9" x14ac:dyDescent="0.2">
      <c r="G731" s="54" t="str">
        <f t="shared" si="39"/>
        <v>None</v>
      </c>
      <c r="H731" s="54" t="str">
        <f t="shared" si="40"/>
        <v>None</v>
      </c>
      <c r="I731" s="54" t="str">
        <f t="shared" si="41"/>
        <v>None</v>
      </c>
    </row>
    <row r="732" spans="7:9" x14ac:dyDescent="0.2">
      <c r="G732" s="54" t="str">
        <f t="shared" si="39"/>
        <v>None</v>
      </c>
      <c r="H732" s="54" t="str">
        <f t="shared" si="40"/>
        <v>None</v>
      </c>
      <c r="I732" s="54" t="str">
        <f t="shared" si="41"/>
        <v>None</v>
      </c>
    </row>
    <row r="733" spans="7:9" x14ac:dyDescent="0.2">
      <c r="G733" s="54" t="str">
        <f t="shared" si="39"/>
        <v>None</v>
      </c>
      <c r="H733" s="54" t="str">
        <f t="shared" si="40"/>
        <v>None</v>
      </c>
      <c r="I733" s="54" t="str">
        <f t="shared" si="41"/>
        <v>None</v>
      </c>
    </row>
    <row r="734" spans="7:9" x14ac:dyDescent="0.2">
      <c r="G734" s="54" t="str">
        <f t="shared" si="39"/>
        <v>None</v>
      </c>
      <c r="H734" s="54" t="str">
        <f t="shared" si="40"/>
        <v>None</v>
      </c>
      <c r="I734" s="54" t="str">
        <f t="shared" si="41"/>
        <v>None</v>
      </c>
    </row>
    <row r="735" spans="7:9" x14ac:dyDescent="0.2">
      <c r="G735" s="54" t="str">
        <f t="shared" si="39"/>
        <v>None</v>
      </c>
      <c r="H735" s="54" t="str">
        <f t="shared" si="40"/>
        <v>None</v>
      </c>
      <c r="I735" s="54" t="str">
        <f t="shared" si="41"/>
        <v>None</v>
      </c>
    </row>
    <row r="736" spans="7:9" x14ac:dyDescent="0.2">
      <c r="G736" s="54" t="str">
        <f t="shared" si="39"/>
        <v>None</v>
      </c>
      <c r="H736" s="54" t="str">
        <f t="shared" si="40"/>
        <v>None</v>
      </c>
      <c r="I736" s="54" t="str">
        <f t="shared" si="41"/>
        <v>None</v>
      </c>
    </row>
    <row r="737" spans="7:9" x14ac:dyDescent="0.2">
      <c r="G737" s="54" t="str">
        <f t="shared" si="39"/>
        <v>None</v>
      </c>
      <c r="H737" s="54" t="str">
        <f t="shared" si="40"/>
        <v>None</v>
      </c>
      <c r="I737" s="54" t="str">
        <f t="shared" si="41"/>
        <v>None</v>
      </c>
    </row>
    <row r="738" spans="7:9" x14ac:dyDescent="0.2">
      <c r="G738" s="54" t="str">
        <f t="shared" si="39"/>
        <v>None</v>
      </c>
      <c r="H738" s="54" t="str">
        <f t="shared" si="40"/>
        <v>None</v>
      </c>
      <c r="I738" s="54" t="str">
        <f t="shared" si="41"/>
        <v>None</v>
      </c>
    </row>
    <row r="739" spans="7:9" x14ac:dyDescent="0.2">
      <c r="G739" s="54" t="str">
        <f t="shared" si="39"/>
        <v>None</v>
      </c>
      <c r="H739" s="54" t="str">
        <f t="shared" si="40"/>
        <v>None</v>
      </c>
      <c r="I739" s="54" t="str">
        <f t="shared" si="41"/>
        <v>None</v>
      </c>
    </row>
    <row r="740" spans="7:9" x14ac:dyDescent="0.2">
      <c r="G740" s="54" t="str">
        <f t="shared" si="39"/>
        <v>None</v>
      </c>
      <c r="H740" s="54" t="str">
        <f t="shared" si="40"/>
        <v>None</v>
      </c>
      <c r="I740" s="54" t="str">
        <f t="shared" si="41"/>
        <v>None</v>
      </c>
    </row>
    <row r="741" spans="7:9" x14ac:dyDescent="0.2">
      <c r="G741" s="54" t="str">
        <f t="shared" si="39"/>
        <v>None</v>
      </c>
      <c r="H741" s="54" t="str">
        <f t="shared" si="40"/>
        <v>None</v>
      </c>
      <c r="I741" s="54" t="str">
        <f t="shared" si="41"/>
        <v>None</v>
      </c>
    </row>
    <row r="742" spans="7:9" x14ac:dyDescent="0.2">
      <c r="G742" s="54" t="str">
        <f t="shared" si="39"/>
        <v>None</v>
      </c>
      <c r="H742" s="54" t="str">
        <f t="shared" si="40"/>
        <v>None</v>
      </c>
      <c r="I742" s="54" t="str">
        <f t="shared" si="41"/>
        <v>None</v>
      </c>
    </row>
    <row r="743" spans="7:9" x14ac:dyDescent="0.2">
      <c r="G743" s="54" t="str">
        <f t="shared" si="39"/>
        <v>None</v>
      </c>
      <c r="H743" s="54" t="str">
        <f t="shared" si="40"/>
        <v>None</v>
      </c>
      <c r="I743" s="54" t="str">
        <f t="shared" si="41"/>
        <v>None</v>
      </c>
    </row>
    <row r="744" spans="7:9" x14ac:dyDescent="0.2">
      <c r="G744" s="54" t="str">
        <f t="shared" si="39"/>
        <v>None</v>
      </c>
      <c r="H744" s="54" t="str">
        <f t="shared" si="40"/>
        <v>None</v>
      </c>
      <c r="I744" s="54" t="str">
        <f t="shared" si="41"/>
        <v>None</v>
      </c>
    </row>
    <row r="745" spans="7:9" x14ac:dyDescent="0.2">
      <c r="G745" s="54" t="str">
        <f t="shared" si="39"/>
        <v>None</v>
      </c>
      <c r="H745" s="54" t="str">
        <f t="shared" si="40"/>
        <v>None</v>
      </c>
      <c r="I745" s="54" t="str">
        <f t="shared" si="41"/>
        <v>None</v>
      </c>
    </row>
    <row r="746" spans="7:9" x14ac:dyDescent="0.2">
      <c r="G746" s="54" t="str">
        <f t="shared" si="39"/>
        <v>None</v>
      </c>
      <c r="H746" s="54" t="str">
        <f t="shared" si="40"/>
        <v>None</v>
      </c>
      <c r="I746" s="54" t="str">
        <f t="shared" si="41"/>
        <v>None</v>
      </c>
    </row>
    <row r="747" spans="7:9" x14ac:dyDescent="0.2">
      <c r="G747" s="54" t="str">
        <f t="shared" si="39"/>
        <v>None</v>
      </c>
      <c r="H747" s="54" t="str">
        <f t="shared" si="40"/>
        <v>None</v>
      </c>
      <c r="I747" s="54" t="str">
        <f t="shared" si="41"/>
        <v>None</v>
      </c>
    </row>
    <row r="748" spans="7:9" x14ac:dyDescent="0.2">
      <c r="G748" s="54" t="str">
        <f t="shared" si="39"/>
        <v>None</v>
      </c>
      <c r="H748" s="54" t="str">
        <f t="shared" si="40"/>
        <v>None</v>
      </c>
      <c r="I748" s="54" t="str">
        <f t="shared" si="41"/>
        <v>None</v>
      </c>
    </row>
    <row r="749" spans="7:9" x14ac:dyDescent="0.2">
      <c r="G749" s="54" t="str">
        <f t="shared" si="39"/>
        <v>None</v>
      </c>
      <c r="H749" s="54" t="str">
        <f t="shared" si="40"/>
        <v>None</v>
      </c>
      <c r="I749" s="54" t="str">
        <f t="shared" si="41"/>
        <v>None</v>
      </c>
    </row>
    <row r="750" spans="7:9" x14ac:dyDescent="0.2">
      <c r="G750" s="54" t="str">
        <f t="shared" si="39"/>
        <v>None</v>
      </c>
      <c r="H750" s="54" t="str">
        <f t="shared" si="40"/>
        <v>None</v>
      </c>
      <c r="I750" s="54" t="str">
        <f t="shared" si="41"/>
        <v>None</v>
      </c>
    </row>
    <row r="751" spans="7:9" x14ac:dyDescent="0.2">
      <c r="G751" s="54" t="str">
        <f t="shared" si="39"/>
        <v>None</v>
      </c>
      <c r="H751" s="54" t="str">
        <f t="shared" si="40"/>
        <v>None</v>
      </c>
      <c r="I751" s="54" t="str">
        <f t="shared" si="41"/>
        <v>None</v>
      </c>
    </row>
    <row r="752" spans="7:9" x14ac:dyDescent="0.2">
      <c r="G752" s="54" t="str">
        <f t="shared" si="39"/>
        <v>None</v>
      </c>
      <c r="H752" s="54" t="str">
        <f t="shared" si="40"/>
        <v>None</v>
      </c>
      <c r="I752" s="54" t="str">
        <f t="shared" si="41"/>
        <v>None</v>
      </c>
    </row>
    <row r="753" spans="7:9" x14ac:dyDescent="0.2">
      <c r="G753" s="54" t="str">
        <f t="shared" si="39"/>
        <v>None</v>
      </c>
      <c r="H753" s="54" t="str">
        <f t="shared" si="40"/>
        <v>None</v>
      </c>
      <c r="I753" s="54" t="str">
        <f t="shared" si="41"/>
        <v>None</v>
      </c>
    </row>
    <row r="754" spans="7:9" x14ac:dyDescent="0.2">
      <c r="G754" s="54" t="str">
        <f t="shared" si="39"/>
        <v>None</v>
      </c>
      <c r="H754" s="54" t="str">
        <f t="shared" si="40"/>
        <v>None</v>
      </c>
      <c r="I754" s="54" t="str">
        <f t="shared" si="41"/>
        <v>None</v>
      </c>
    </row>
    <row r="755" spans="7:9" x14ac:dyDescent="0.2">
      <c r="G755" s="54" t="str">
        <f t="shared" si="39"/>
        <v>None</v>
      </c>
      <c r="H755" s="54" t="str">
        <f t="shared" si="40"/>
        <v>None</v>
      </c>
      <c r="I755" s="54" t="str">
        <f t="shared" si="41"/>
        <v>None</v>
      </c>
    </row>
    <row r="756" spans="7:9" x14ac:dyDescent="0.2">
      <c r="G756" s="54" t="str">
        <f t="shared" si="39"/>
        <v>None</v>
      </c>
      <c r="H756" s="54" t="str">
        <f t="shared" si="40"/>
        <v>None</v>
      </c>
      <c r="I756" s="54" t="str">
        <f t="shared" si="41"/>
        <v>None</v>
      </c>
    </row>
    <row r="757" spans="7:9" x14ac:dyDescent="0.2">
      <c r="G757" s="54" t="str">
        <f t="shared" si="39"/>
        <v>None</v>
      </c>
      <c r="H757" s="54" t="str">
        <f t="shared" si="40"/>
        <v>None</v>
      </c>
      <c r="I757" s="54" t="str">
        <f t="shared" si="41"/>
        <v>None</v>
      </c>
    </row>
    <row r="758" spans="7:9" x14ac:dyDescent="0.2">
      <c r="G758" s="54" t="str">
        <f t="shared" si="39"/>
        <v>None</v>
      </c>
      <c r="H758" s="54" t="str">
        <f t="shared" si="40"/>
        <v>None</v>
      </c>
      <c r="I758" s="54" t="str">
        <f t="shared" si="41"/>
        <v>None</v>
      </c>
    </row>
    <row r="759" spans="7:9" x14ac:dyDescent="0.2">
      <c r="G759" s="54" t="str">
        <f t="shared" si="39"/>
        <v>None</v>
      </c>
      <c r="H759" s="54" t="str">
        <f t="shared" si="40"/>
        <v>None</v>
      </c>
      <c r="I759" s="54" t="str">
        <f t="shared" si="41"/>
        <v>None</v>
      </c>
    </row>
    <row r="760" spans="7:9" x14ac:dyDescent="0.2">
      <c r="G760" s="54" t="str">
        <f t="shared" si="39"/>
        <v>None</v>
      </c>
      <c r="H760" s="54" t="str">
        <f t="shared" si="40"/>
        <v>None</v>
      </c>
      <c r="I760" s="54" t="str">
        <f t="shared" si="41"/>
        <v>None</v>
      </c>
    </row>
    <row r="761" spans="7:9" x14ac:dyDescent="0.2">
      <c r="G761" s="54" t="str">
        <f t="shared" si="39"/>
        <v>None</v>
      </c>
      <c r="H761" s="54" t="str">
        <f t="shared" si="40"/>
        <v>None</v>
      </c>
      <c r="I761" s="54" t="str">
        <f t="shared" si="41"/>
        <v>None</v>
      </c>
    </row>
    <row r="762" spans="7:9" x14ac:dyDescent="0.2">
      <c r="G762" s="54" t="str">
        <f t="shared" si="39"/>
        <v>None</v>
      </c>
      <c r="H762" s="54" t="str">
        <f t="shared" si="40"/>
        <v>None</v>
      </c>
      <c r="I762" s="54" t="str">
        <f t="shared" si="41"/>
        <v>None</v>
      </c>
    </row>
    <row r="763" spans="7:9" x14ac:dyDescent="0.2">
      <c r="G763" s="54" t="str">
        <f t="shared" si="39"/>
        <v>None</v>
      </c>
      <c r="H763" s="54" t="str">
        <f t="shared" si="40"/>
        <v>None</v>
      </c>
      <c r="I763" s="54" t="str">
        <f t="shared" si="41"/>
        <v>None</v>
      </c>
    </row>
    <row r="764" spans="7:9" x14ac:dyDescent="0.2">
      <c r="G764" s="54" t="str">
        <f t="shared" si="39"/>
        <v>None</v>
      </c>
      <c r="H764" s="54" t="str">
        <f t="shared" si="40"/>
        <v>None</v>
      </c>
      <c r="I764" s="54" t="str">
        <f t="shared" si="41"/>
        <v>None</v>
      </c>
    </row>
    <row r="765" spans="7:9" x14ac:dyDescent="0.2">
      <c r="G765" s="54" t="str">
        <f t="shared" si="39"/>
        <v>None</v>
      </c>
      <c r="H765" s="54" t="str">
        <f t="shared" si="40"/>
        <v>None</v>
      </c>
      <c r="I765" s="54" t="str">
        <f t="shared" si="41"/>
        <v>None</v>
      </c>
    </row>
    <row r="766" spans="7:9" x14ac:dyDescent="0.2">
      <c r="G766" s="54" t="str">
        <f t="shared" si="39"/>
        <v>None</v>
      </c>
      <c r="H766" s="54" t="str">
        <f t="shared" si="40"/>
        <v>None</v>
      </c>
      <c r="I766" s="54" t="str">
        <f t="shared" si="41"/>
        <v>None</v>
      </c>
    </row>
    <row r="767" spans="7:9" x14ac:dyDescent="0.2">
      <c r="G767" s="54" t="str">
        <f t="shared" si="39"/>
        <v>None</v>
      </c>
      <c r="H767" s="54" t="str">
        <f t="shared" si="40"/>
        <v>None</v>
      </c>
      <c r="I767" s="54" t="str">
        <f t="shared" si="41"/>
        <v>None</v>
      </c>
    </row>
    <row r="768" spans="7:9" x14ac:dyDescent="0.2">
      <c r="G768" s="54" t="str">
        <f t="shared" si="39"/>
        <v>None</v>
      </c>
      <c r="H768" s="54" t="str">
        <f t="shared" si="40"/>
        <v>None</v>
      </c>
      <c r="I768" s="54" t="str">
        <f t="shared" si="41"/>
        <v>None</v>
      </c>
    </row>
    <row r="769" spans="7:9" x14ac:dyDescent="0.2">
      <c r="G769" s="54" t="str">
        <f t="shared" si="39"/>
        <v>None</v>
      </c>
      <c r="H769" s="54" t="str">
        <f t="shared" si="40"/>
        <v>None</v>
      </c>
      <c r="I769" s="54" t="str">
        <f t="shared" si="41"/>
        <v>None</v>
      </c>
    </row>
    <row r="770" spans="7:9" x14ac:dyDescent="0.2">
      <c r="G770" s="54" t="str">
        <f t="shared" si="39"/>
        <v>None</v>
      </c>
      <c r="H770" s="54" t="str">
        <f t="shared" si="40"/>
        <v>None</v>
      </c>
      <c r="I770" s="54" t="str">
        <f t="shared" si="41"/>
        <v>None</v>
      </c>
    </row>
    <row r="771" spans="7:9" x14ac:dyDescent="0.2">
      <c r="G771" s="54" t="str">
        <f t="shared" ref="G771:G834" si="42">_xlfn.IFNA(VLOOKUP($C771,tour_modes,2,FALSE),"None")</f>
        <v>None</v>
      </c>
      <c r="H771" s="54" t="str">
        <f t="shared" ref="H771:H834" si="43">_xlfn.IFNA(VLOOKUP($C771,tour_modes,3,FALSE),"None")</f>
        <v>None</v>
      </c>
      <c r="I771" s="54" t="str">
        <f t="shared" ref="I771:I834" si="44">IF(A771="joint","Joint",_xlfn.IFNA(VLOOKUP($B771,tour_purposes,2,FALSE),"None"))</f>
        <v>None</v>
      </c>
    </row>
    <row r="772" spans="7:9" x14ac:dyDescent="0.2">
      <c r="G772" s="54" t="str">
        <f t="shared" si="42"/>
        <v>None</v>
      </c>
      <c r="H772" s="54" t="str">
        <f t="shared" si="43"/>
        <v>None</v>
      </c>
      <c r="I772" s="54" t="str">
        <f t="shared" si="44"/>
        <v>None</v>
      </c>
    </row>
    <row r="773" spans="7:9" x14ac:dyDescent="0.2">
      <c r="G773" s="54" t="str">
        <f t="shared" si="42"/>
        <v>None</v>
      </c>
      <c r="H773" s="54" t="str">
        <f t="shared" si="43"/>
        <v>None</v>
      </c>
      <c r="I773" s="54" t="str">
        <f t="shared" si="44"/>
        <v>None</v>
      </c>
    </row>
    <row r="774" spans="7:9" x14ac:dyDescent="0.2">
      <c r="G774" s="54" t="str">
        <f t="shared" si="42"/>
        <v>None</v>
      </c>
      <c r="H774" s="54" t="str">
        <f t="shared" si="43"/>
        <v>None</v>
      </c>
      <c r="I774" s="54" t="str">
        <f t="shared" si="44"/>
        <v>None</v>
      </c>
    </row>
    <row r="775" spans="7:9" x14ac:dyDescent="0.2">
      <c r="G775" s="54" t="str">
        <f t="shared" si="42"/>
        <v>None</v>
      </c>
      <c r="H775" s="54" t="str">
        <f t="shared" si="43"/>
        <v>None</v>
      </c>
      <c r="I775" s="54" t="str">
        <f t="shared" si="44"/>
        <v>None</v>
      </c>
    </row>
    <row r="776" spans="7:9" x14ac:dyDescent="0.2">
      <c r="G776" s="54" t="str">
        <f t="shared" si="42"/>
        <v>None</v>
      </c>
      <c r="H776" s="54" t="str">
        <f t="shared" si="43"/>
        <v>None</v>
      </c>
      <c r="I776" s="54" t="str">
        <f t="shared" si="44"/>
        <v>None</v>
      </c>
    </row>
    <row r="777" spans="7:9" x14ac:dyDescent="0.2">
      <c r="G777" s="54" t="str">
        <f t="shared" si="42"/>
        <v>None</v>
      </c>
      <c r="H777" s="54" t="str">
        <f t="shared" si="43"/>
        <v>None</v>
      </c>
      <c r="I777" s="54" t="str">
        <f t="shared" si="44"/>
        <v>None</v>
      </c>
    </row>
    <row r="778" spans="7:9" x14ac:dyDescent="0.2">
      <c r="G778" s="54" t="str">
        <f t="shared" si="42"/>
        <v>None</v>
      </c>
      <c r="H778" s="54" t="str">
        <f t="shared" si="43"/>
        <v>None</v>
      </c>
      <c r="I778" s="54" t="str">
        <f t="shared" si="44"/>
        <v>None</v>
      </c>
    </row>
    <row r="779" spans="7:9" x14ac:dyDescent="0.2">
      <c r="G779" s="54" t="str">
        <f t="shared" si="42"/>
        <v>None</v>
      </c>
      <c r="H779" s="54" t="str">
        <f t="shared" si="43"/>
        <v>None</v>
      </c>
      <c r="I779" s="54" t="str">
        <f t="shared" si="44"/>
        <v>None</v>
      </c>
    </row>
    <row r="780" spans="7:9" x14ac:dyDescent="0.2">
      <c r="G780" s="54" t="str">
        <f t="shared" si="42"/>
        <v>None</v>
      </c>
      <c r="H780" s="54" t="str">
        <f t="shared" si="43"/>
        <v>None</v>
      </c>
      <c r="I780" s="54" t="str">
        <f t="shared" si="44"/>
        <v>None</v>
      </c>
    </row>
    <row r="781" spans="7:9" x14ac:dyDescent="0.2">
      <c r="G781" s="54" t="str">
        <f t="shared" si="42"/>
        <v>None</v>
      </c>
      <c r="H781" s="54" t="str">
        <f t="shared" si="43"/>
        <v>None</v>
      </c>
      <c r="I781" s="54" t="str">
        <f t="shared" si="44"/>
        <v>None</v>
      </c>
    </row>
    <row r="782" spans="7:9" x14ac:dyDescent="0.2">
      <c r="G782" s="54" t="str">
        <f t="shared" si="42"/>
        <v>None</v>
      </c>
      <c r="H782" s="54" t="str">
        <f t="shared" si="43"/>
        <v>None</v>
      </c>
      <c r="I782" s="54" t="str">
        <f t="shared" si="44"/>
        <v>None</v>
      </c>
    </row>
    <row r="783" spans="7:9" x14ac:dyDescent="0.2">
      <c r="G783" s="54" t="str">
        <f t="shared" si="42"/>
        <v>None</v>
      </c>
      <c r="H783" s="54" t="str">
        <f t="shared" si="43"/>
        <v>None</v>
      </c>
      <c r="I783" s="54" t="str">
        <f t="shared" si="44"/>
        <v>None</v>
      </c>
    </row>
    <row r="784" spans="7:9" x14ac:dyDescent="0.2">
      <c r="G784" s="54" t="str">
        <f t="shared" si="42"/>
        <v>None</v>
      </c>
      <c r="H784" s="54" t="str">
        <f t="shared" si="43"/>
        <v>None</v>
      </c>
      <c r="I784" s="54" t="str">
        <f t="shared" si="44"/>
        <v>None</v>
      </c>
    </row>
    <row r="785" spans="7:9" x14ac:dyDescent="0.2">
      <c r="G785" s="54" t="str">
        <f t="shared" si="42"/>
        <v>None</v>
      </c>
      <c r="H785" s="54" t="str">
        <f t="shared" si="43"/>
        <v>None</v>
      </c>
      <c r="I785" s="54" t="str">
        <f t="shared" si="44"/>
        <v>None</v>
      </c>
    </row>
    <row r="786" spans="7:9" x14ac:dyDescent="0.2">
      <c r="G786" s="54" t="str">
        <f t="shared" si="42"/>
        <v>None</v>
      </c>
      <c r="H786" s="54" t="str">
        <f t="shared" si="43"/>
        <v>None</v>
      </c>
      <c r="I786" s="54" t="str">
        <f t="shared" si="44"/>
        <v>None</v>
      </c>
    </row>
    <row r="787" spans="7:9" x14ac:dyDescent="0.2">
      <c r="G787" s="54" t="str">
        <f t="shared" si="42"/>
        <v>None</v>
      </c>
      <c r="H787" s="54" t="str">
        <f t="shared" si="43"/>
        <v>None</v>
      </c>
      <c r="I787" s="54" t="str">
        <f t="shared" si="44"/>
        <v>None</v>
      </c>
    </row>
    <row r="788" spans="7:9" x14ac:dyDescent="0.2">
      <c r="G788" s="54" t="str">
        <f t="shared" si="42"/>
        <v>None</v>
      </c>
      <c r="H788" s="54" t="str">
        <f t="shared" si="43"/>
        <v>None</v>
      </c>
      <c r="I788" s="54" t="str">
        <f t="shared" si="44"/>
        <v>None</v>
      </c>
    </row>
    <row r="789" spans="7:9" x14ac:dyDescent="0.2">
      <c r="G789" s="54" t="str">
        <f t="shared" si="42"/>
        <v>None</v>
      </c>
      <c r="H789" s="54" t="str">
        <f t="shared" si="43"/>
        <v>None</v>
      </c>
      <c r="I789" s="54" t="str">
        <f t="shared" si="44"/>
        <v>None</v>
      </c>
    </row>
    <row r="790" spans="7:9" x14ac:dyDescent="0.2">
      <c r="G790" s="54" t="str">
        <f t="shared" si="42"/>
        <v>None</v>
      </c>
      <c r="H790" s="54" t="str">
        <f t="shared" si="43"/>
        <v>None</v>
      </c>
      <c r="I790" s="54" t="str">
        <f t="shared" si="44"/>
        <v>None</v>
      </c>
    </row>
    <row r="791" spans="7:9" x14ac:dyDescent="0.2">
      <c r="G791" s="54" t="str">
        <f t="shared" si="42"/>
        <v>None</v>
      </c>
      <c r="H791" s="54" t="str">
        <f t="shared" si="43"/>
        <v>None</v>
      </c>
      <c r="I791" s="54" t="str">
        <f t="shared" si="44"/>
        <v>None</v>
      </c>
    </row>
    <row r="792" spans="7:9" x14ac:dyDescent="0.2">
      <c r="G792" s="54" t="str">
        <f t="shared" si="42"/>
        <v>None</v>
      </c>
      <c r="H792" s="54" t="str">
        <f t="shared" si="43"/>
        <v>None</v>
      </c>
      <c r="I792" s="54" t="str">
        <f t="shared" si="44"/>
        <v>None</v>
      </c>
    </row>
    <row r="793" spans="7:9" x14ac:dyDescent="0.2">
      <c r="G793" s="54" t="str">
        <f t="shared" si="42"/>
        <v>None</v>
      </c>
      <c r="H793" s="54" t="str">
        <f t="shared" si="43"/>
        <v>None</v>
      </c>
      <c r="I793" s="54" t="str">
        <f t="shared" si="44"/>
        <v>None</v>
      </c>
    </row>
    <row r="794" spans="7:9" x14ac:dyDescent="0.2">
      <c r="G794" s="54" t="str">
        <f t="shared" si="42"/>
        <v>None</v>
      </c>
      <c r="H794" s="54" t="str">
        <f t="shared" si="43"/>
        <v>None</v>
      </c>
      <c r="I794" s="54" t="str">
        <f t="shared" si="44"/>
        <v>None</v>
      </c>
    </row>
    <row r="795" spans="7:9" x14ac:dyDescent="0.2">
      <c r="G795" s="54" t="str">
        <f t="shared" si="42"/>
        <v>None</v>
      </c>
      <c r="H795" s="54" t="str">
        <f t="shared" si="43"/>
        <v>None</v>
      </c>
      <c r="I795" s="54" t="str">
        <f t="shared" si="44"/>
        <v>None</v>
      </c>
    </row>
    <row r="796" spans="7:9" x14ac:dyDescent="0.2">
      <c r="G796" s="54" t="str">
        <f t="shared" si="42"/>
        <v>None</v>
      </c>
      <c r="H796" s="54" t="str">
        <f t="shared" si="43"/>
        <v>None</v>
      </c>
      <c r="I796" s="54" t="str">
        <f t="shared" si="44"/>
        <v>None</v>
      </c>
    </row>
    <row r="797" spans="7:9" x14ac:dyDescent="0.2">
      <c r="G797" s="54" t="str">
        <f t="shared" si="42"/>
        <v>None</v>
      </c>
      <c r="H797" s="54" t="str">
        <f t="shared" si="43"/>
        <v>None</v>
      </c>
      <c r="I797" s="54" t="str">
        <f t="shared" si="44"/>
        <v>None</v>
      </c>
    </row>
    <row r="798" spans="7:9" x14ac:dyDescent="0.2">
      <c r="G798" s="54" t="str">
        <f t="shared" si="42"/>
        <v>None</v>
      </c>
      <c r="H798" s="54" t="str">
        <f t="shared" si="43"/>
        <v>None</v>
      </c>
      <c r="I798" s="54" t="str">
        <f t="shared" si="44"/>
        <v>None</v>
      </c>
    </row>
    <row r="799" spans="7:9" x14ac:dyDescent="0.2">
      <c r="G799" s="54" t="str">
        <f t="shared" si="42"/>
        <v>None</v>
      </c>
      <c r="H799" s="54" t="str">
        <f t="shared" si="43"/>
        <v>None</v>
      </c>
      <c r="I799" s="54" t="str">
        <f t="shared" si="44"/>
        <v>None</v>
      </c>
    </row>
    <row r="800" spans="7:9" x14ac:dyDescent="0.2">
      <c r="G800" s="54" t="str">
        <f t="shared" si="42"/>
        <v>None</v>
      </c>
      <c r="H800" s="54" t="str">
        <f t="shared" si="43"/>
        <v>None</v>
      </c>
      <c r="I800" s="54" t="str">
        <f t="shared" si="44"/>
        <v>None</v>
      </c>
    </row>
    <row r="801" spans="7:9" x14ac:dyDescent="0.2">
      <c r="G801" s="54" t="str">
        <f t="shared" si="42"/>
        <v>None</v>
      </c>
      <c r="H801" s="54" t="str">
        <f t="shared" si="43"/>
        <v>None</v>
      </c>
      <c r="I801" s="54" t="str">
        <f t="shared" si="44"/>
        <v>None</v>
      </c>
    </row>
    <row r="802" spans="7:9" x14ac:dyDescent="0.2">
      <c r="G802" s="54" t="str">
        <f t="shared" si="42"/>
        <v>None</v>
      </c>
      <c r="H802" s="54" t="str">
        <f t="shared" si="43"/>
        <v>None</v>
      </c>
      <c r="I802" s="54" t="str">
        <f t="shared" si="44"/>
        <v>None</v>
      </c>
    </row>
    <row r="803" spans="7:9" x14ac:dyDescent="0.2">
      <c r="G803" s="54" t="str">
        <f t="shared" si="42"/>
        <v>None</v>
      </c>
      <c r="H803" s="54" t="str">
        <f t="shared" si="43"/>
        <v>None</v>
      </c>
      <c r="I803" s="54" t="str">
        <f t="shared" si="44"/>
        <v>None</v>
      </c>
    </row>
    <row r="804" spans="7:9" x14ac:dyDescent="0.2">
      <c r="G804" s="54" t="str">
        <f t="shared" si="42"/>
        <v>None</v>
      </c>
      <c r="H804" s="54" t="str">
        <f t="shared" si="43"/>
        <v>None</v>
      </c>
      <c r="I804" s="54" t="str">
        <f t="shared" si="44"/>
        <v>None</v>
      </c>
    </row>
    <row r="805" spans="7:9" x14ac:dyDescent="0.2">
      <c r="G805" s="54" t="str">
        <f t="shared" si="42"/>
        <v>None</v>
      </c>
      <c r="H805" s="54" t="str">
        <f t="shared" si="43"/>
        <v>None</v>
      </c>
      <c r="I805" s="54" t="str">
        <f t="shared" si="44"/>
        <v>None</v>
      </c>
    </row>
    <row r="806" spans="7:9" x14ac:dyDescent="0.2">
      <c r="G806" s="54" t="str">
        <f t="shared" si="42"/>
        <v>None</v>
      </c>
      <c r="H806" s="54" t="str">
        <f t="shared" si="43"/>
        <v>None</v>
      </c>
      <c r="I806" s="54" t="str">
        <f t="shared" si="44"/>
        <v>None</v>
      </c>
    </row>
    <row r="807" spans="7:9" x14ac:dyDescent="0.2">
      <c r="G807" s="54" t="str">
        <f t="shared" si="42"/>
        <v>None</v>
      </c>
      <c r="H807" s="54" t="str">
        <f t="shared" si="43"/>
        <v>None</v>
      </c>
      <c r="I807" s="54" t="str">
        <f t="shared" si="44"/>
        <v>None</v>
      </c>
    </row>
    <row r="808" spans="7:9" x14ac:dyDescent="0.2">
      <c r="G808" s="54" t="str">
        <f t="shared" si="42"/>
        <v>None</v>
      </c>
      <c r="H808" s="54" t="str">
        <f t="shared" si="43"/>
        <v>None</v>
      </c>
      <c r="I808" s="54" t="str">
        <f t="shared" si="44"/>
        <v>None</v>
      </c>
    </row>
    <row r="809" spans="7:9" x14ac:dyDescent="0.2">
      <c r="G809" s="54" t="str">
        <f t="shared" si="42"/>
        <v>None</v>
      </c>
      <c r="H809" s="54" t="str">
        <f t="shared" si="43"/>
        <v>None</v>
      </c>
      <c r="I809" s="54" t="str">
        <f t="shared" si="44"/>
        <v>None</v>
      </c>
    </row>
    <row r="810" spans="7:9" x14ac:dyDescent="0.2">
      <c r="G810" s="54" t="str">
        <f t="shared" si="42"/>
        <v>None</v>
      </c>
      <c r="H810" s="54" t="str">
        <f t="shared" si="43"/>
        <v>None</v>
      </c>
      <c r="I810" s="54" t="str">
        <f t="shared" si="44"/>
        <v>None</v>
      </c>
    </row>
    <row r="811" spans="7:9" x14ac:dyDescent="0.2">
      <c r="G811" s="54" t="str">
        <f t="shared" si="42"/>
        <v>None</v>
      </c>
      <c r="H811" s="54" t="str">
        <f t="shared" si="43"/>
        <v>None</v>
      </c>
      <c r="I811" s="54" t="str">
        <f t="shared" si="44"/>
        <v>None</v>
      </c>
    </row>
    <row r="812" spans="7:9" x14ac:dyDescent="0.2">
      <c r="G812" s="54" t="str">
        <f t="shared" si="42"/>
        <v>None</v>
      </c>
      <c r="H812" s="54" t="str">
        <f t="shared" si="43"/>
        <v>None</v>
      </c>
      <c r="I812" s="54" t="str">
        <f t="shared" si="44"/>
        <v>None</v>
      </c>
    </row>
    <row r="813" spans="7:9" x14ac:dyDescent="0.2">
      <c r="G813" s="54" t="str">
        <f t="shared" si="42"/>
        <v>None</v>
      </c>
      <c r="H813" s="54" t="str">
        <f t="shared" si="43"/>
        <v>None</v>
      </c>
      <c r="I813" s="54" t="str">
        <f t="shared" si="44"/>
        <v>None</v>
      </c>
    </row>
    <row r="814" spans="7:9" x14ac:dyDescent="0.2">
      <c r="G814" s="54" t="str">
        <f t="shared" si="42"/>
        <v>None</v>
      </c>
      <c r="H814" s="54" t="str">
        <f t="shared" si="43"/>
        <v>None</v>
      </c>
      <c r="I814" s="54" t="str">
        <f t="shared" si="44"/>
        <v>None</v>
      </c>
    </row>
    <row r="815" spans="7:9" x14ac:dyDescent="0.2">
      <c r="G815" s="54" t="str">
        <f t="shared" si="42"/>
        <v>None</v>
      </c>
      <c r="H815" s="54" t="str">
        <f t="shared" si="43"/>
        <v>None</v>
      </c>
      <c r="I815" s="54" t="str">
        <f t="shared" si="44"/>
        <v>None</v>
      </c>
    </row>
    <row r="816" spans="7:9" x14ac:dyDescent="0.2">
      <c r="G816" s="54" t="str">
        <f t="shared" si="42"/>
        <v>None</v>
      </c>
      <c r="H816" s="54" t="str">
        <f t="shared" si="43"/>
        <v>None</v>
      </c>
      <c r="I816" s="54" t="str">
        <f t="shared" si="44"/>
        <v>None</v>
      </c>
    </row>
    <row r="817" spans="7:9" x14ac:dyDescent="0.2">
      <c r="G817" s="54" t="str">
        <f t="shared" si="42"/>
        <v>None</v>
      </c>
      <c r="H817" s="54" t="str">
        <f t="shared" si="43"/>
        <v>None</v>
      </c>
      <c r="I817" s="54" t="str">
        <f t="shared" si="44"/>
        <v>None</v>
      </c>
    </row>
    <row r="818" spans="7:9" x14ac:dyDescent="0.2">
      <c r="G818" s="54" t="str">
        <f t="shared" si="42"/>
        <v>None</v>
      </c>
      <c r="H818" s="54" t="str">
        <f t="shared" si="43"/>
        <v>None</v>
      </c>
      <c r="I818" s="54" t="str">
        <f t="shared" si="44"/>
        <v>None</v>
      </c>
    </row>
    <row r="819" spans="7:9" x14ac:dyDescent="0.2">
      <c r="G819" s="54" t="str">
        <f t="shared" si="42"/>
        <v>None</v>
      </c>
      <c r="H819" s="54" t="str">
        <f t="shared" si="43"/>
        <v>None</v>
      </c>
      <c r="I819" s="54" t="str">
        <f t="shared" si="44"/>
        <v>None</v>
      </c>
    </row>
    <row r="820" spans="7:9" x14ac:dyDescent="0.2">
      <c r="G820" s="54" t="str">
        <f t="shared" si="42"/>
        <v>None</v>
      </c>
      <c r="H820" s="54" t="str">
        <f t="shared" si="43"/>
        <v>None</v>
      </c>
      <c r="I820" s="54" t="str">
        <f t="shared" si="44"/>
        <v>None</v>
      </c>
    </row>
    <row r="821" spans="7:9" x14ac:dyDescent="0.2">
      <c r="G821" s="54" t="str">
        <f t="shared" si="42"/>
        <v>None</v>
      </c>
      <c r="H821" s="54" t="str">
        <f t="shared" si="43"/>
        <v>None</v>
      </c>
      <c r="I821" s="54" t="str">
        <f t="shared" si="44"/>
        <v>None</v>
      </c>
    </row>
    <row r="822" spans="7:9" x14ac:dyDescent="0.2">
      <c r="G822" s="54" t="str">
        <f t="shared" si="42"/>
        <v>None</v>
      </c>
      <c r="H822" s="54" t="str">
        <f t="shared" si="43"/>
        <v>None</v>
      </c>
      <c r="I822" s="54" t="str">
        <f t="shared" si="44"/>
        <v>None</v>
      </c>
    </row>
    <row r="823" spans="7:9" x14ac:dyDescent="0.2">
      <c r="G823" s="54" t="str">
        <f t="shared" si="42"/>
        <v>None</v>
      </c>
      <c r="H823" s="54" t="str">
        <f t="shared" si="43"/>
        <v>None</v>
      </c>
      <c r="I823" s="54" t="str">
        <f t="shared" si="44"/>
        <v>None</v>
      </c>
    </row>
    <row r="824" spans="7:9" x14ac:dyDescent="0.2">
      <c r="G824" s="54" t="str">
        <f t="shared" si="42"/>
        <v>None</v>
      </c>
      <c r="H824" s="54" t="str">
        <f t="shared" si="43"/>
        <v>None</v>
      </c>
      <c r="I824" s="54" t="str">
        <f t="shared" si="44"/>
        <v>None</v>
      </c>
    </row>
    <row r="825" spans="7:9" x14ac:dyDescent="0.2">
      <c r="G825" s="54" t="str">
        <f t="shared" si="42"/>
        <v>None</v>
      </c>
      <c r="H825" s="54" t="str">
        <f t="shared" si="43"/>
        <v>None</v>
      </c>
      <c r="I825" s="54" t="str">
        <f t="shared" si="44"/>
        <v>None</v>
      </c>
    </row>
    <row r="826" spans="7:9" x14ac:dyDescent="0.2">
      <c r="G826" s="54" t="str">
        <f t="shared" si="42"/>
        <v>None</v>
      </c>
      <c r="H826" s="54" t="str">
        <f t="shared" si="43"/>
        <v>None</v>
      </c>
      <c r="I826" s="54" t="str">
        <f t="shared" si="44"/>
        <v>None</v>
      </c>
    </row>
    <row r="827" spans="7:9" x14ac:dyDescent="0.2">
      <c r="G827" s="54" t="str">
        <f t="shared" si="42"/>
        <v>None</v>
      </c>
      <c r="H827" s="54" t="str">
        <f t="shared" si="43"/>
        <v>None</v>
      </c>
      <c r="I827" s="54" t="str">
        <f t="shared" si="44"/>
        <v>None</v>
      </c>
    </row>
    <row r="828" spans="7:9" x14ac:dyDescent="0.2">
      <c r="G828" s="54" t="str">
        <f t="shared" si="42"/>
        <v>None</v>
      </c>
      <c r="H828" s="54" t="str">
        <f t="shared" si="43"/>
        <v>None</v>
      </c>
      <c r="I828" s="54" t="str">
        <f t="shared" si="44"/>
        <v>None</v>
      </c>
    </row>
    <row r="829" spans="7:9" x14ac:dyDescent="0.2">
      <c r="G829" s="54" t="str">
        <f t="shared" si="42"/>
        <v>None</v>
      </c>
      <c r="H829" s="54" t="str">
        <f t="shared" si="43"/>
        <v>None</v>
      </c>
      <c r="I829" s="54" t="str">
        <f t="shared" si="44"/>
        <v>None</v>
      </c>
    </row>
    <row r="830" spans="7:9" x14ac:dyDescent="0.2">
      <c r="G830" s="54" t="str">
        <f t="shared" si="42"/>
        <v>None</v>
      </c>
      <c r="H830" s="54" t="str">
        <f t="shared" si="43"/>
        <v>None</v>
      </c>
      <c r="I830" s="54" t="str">
        <f t="shared" si="44"/>
        <v>None</v>
      </c>
    </row>
    <row r="831" spans="7:9" x14ac:dyDescent="0.2">
      <c r="G831" s="54" t="str">
        <f t="shared" si="42"/>
        <v>None</v>
      </c>
      <c r="H831" s="54" t="str">
        <f t="shared" si="43"/>
        <v>None</v>
      </c>
      <c r="I831" s="54" t="str">
        <f t="shared" si="44"/>
        <v>None</v>
      </c>
    </row>
    <row r="832" spans="7:9" x14ac:dyDescent="0.2">
      <c r="G832" s="54" t="str">
        <f t="shared" si="42"/>
        <v>None</v>
      </c>
      <c r="H832" s="54" t="str">
        <f t="shared" si="43"/>
        <v>None</v>
      </c>
      <c r="I832" s="54" t="str">
        <f t="shared" si="44"/>
        <v>None</v>
      </c>
    </row>
    <row r="833" spans="7:9" x14ac:dyDescent="0.2">
      <c r="G833" s="54" t="str">
        <f t="shared" si="42"/>
        <v>None</v>
      </c>
      <c r="H833" s="54" t="str">
        <f t="shared" si="43"/>
        <v>None</v>
      </c>
      <c r="I833" s="54" t="str">
        <f t="shared" si="44"/>
        <v>None</v>
      </c>
    </row>
    <row r="834" spans="7:9" x14ac:dyDescent="0.2">
      <c r="G834" s="54" t="str">
        <f t="shared" si="42"/>
        <v>None</v>
      </c>
      <c r="H834" s="54" t="str">
        <f t="shared" si="43"/>
        <v>None</v>
      </c>
      <c r="I834" s="54" t="str">
        <f t="shared" si="44"/>
        <v>None</v>
      </c>
    </row>
    <row r="835" spans="7:9" x14ac:dyDescent="0.2">
      <c r="G835" s="54" t="str">
        <f t="shared" ref="G835:G898" si="45">_xlfn.IFNA(VLOOKUP($C835,tour_modes,2,FALSE),"None")</f>
        <v>None</v>
      </c>
      <c r="H835" s="54" t="str">
        <f t="shared" ref="H835:H898" si="46">_xlfn.IFNA(VLOOKUP($C835,tour_modes,3,FALSE),"None")</f>
        <v>None</v>
      </c>
      <c r="I835" s="54" t="str">
        <f t="shared" ref="I835:I898" si="47">IF(A835="joint","Joint",_xlfn.IFNA(VLOOKUP($B835,tour_purposes,2,FALSE),"None"))</f>
        <v>None</v>
      </c>
    </row>
    <row r="836" spans="7:9" x14ac:dyDescent="0.2">
      <c r="G836" s="54" t="str">
        <f t="shared" si="45"/>
        <v>None</v>
      </c>
      <c r="H836" s="54" t="str">
        <f t="shared" si="46"/>
        <v>None</v>
      </c>
      <c r="I836" s="54" t="str">
        <f t="shared" si="47"/>
        <v>None</v>
      </c>
    </row>
    <row r="837" spans="7:9" x14ac:dyDescent="0.2">
      <c r="G837" s="54" t="str">
        <f t="shared" si="45"/>
        <v>None</v>
      </c>
      <c r="H837" s="54" t="str">
        <f t="shared" si="46"/>
        <v>None</v>
      </c>
      <c r="I837" s="54" t="str">
        <f t="shared" si="47"/>
        <v>None</v>
      </c>
    </row>
    <row r="838" spans="7:9" x14ac:dyDescent="0.2">
      <c r="G838" s="54" t="str">
        <f t="shared" si="45"/>
        <v>None</v>
      </c>
      <c r="H838" s="54" t="str">
        <f t="shared" si="46"/>
        <v>None</v>
      </c>
      <c r="I838" s="54" t="str">
        <f t="shared" si="47"/>
        <v>None</v>
      </c>
    </row>
    <row r="839" spans="7:9" x14ac:dyDescent="0.2">
      <c r="G839" s="54" t="str">
        <f t="shared" si="45"/>
        <v>None</v>
      </c>
      <c r="H839" s="54" t="str">
        <f t="shared" si="46"/>
        <v>None</v>
      </c>
      <c r="I839" s="54" t="str">
        <f t="shared" si="47"/>
        <v>None</v>
      </c>
    </row>
    <row r="840" spans="7:9" x14ac:dyDescent="0.2">
      <c r="G840" s="54" t="str">
        <f t="shared" si="45"/>
        <v>None</v>
      </c>
      <c r="H840" s="54" t="str">
        <f t="shared" si="46"/>
        <v>None</v>
      </c>
      <c r="I840" s="54" t="str">
        <f t="shared" si="47"/>
        <v>None</v>
      </c>
    </row>
    <row r="841" spans="7:9" x14ac:dyDescent="0.2">
      <c r="G841" s="54" t="str">
        <f t="shared" si="45"/>
        <v>None</v>
      </c>
      <c r="H841" s="54" t="str">
        <f t="shared" si="46"/>
        <v>None</v>
      </c>
      <c r="I841" s="54" t="str">
        <f t="shared" si="47"/>
        <v>None</v>
      </c>
    </row>
    <row r="842" spans="7:9" x14ac:dyDescent="0.2">
      <c r="G842" s="54" t="str">
        <f t="shared" si="45"/>
        <v>None</v>
      </c>
      <c r="H842" s="54" t="str">
        <f t="shared" si="46"/>
        <v>None</v>
      </c>
      <c r="I842" s="54" t="str">
        <f t="shared" si="47"/>
        <v>None</v>
      </c>
    </row>
    <row r="843" spans="7:9" x14ac:dyDescent="0.2">
      <c r="G843" s="54" t="str">
        <f t="shared" si="45"/>
        <v>None</v>
      </c>
      <c r="H843" s="54" t="str">
        <f t="shared" si="46"/>
        <v>None</v>
      </c>
      <c r="I843" s="54" t="str">
        <f t="shared" si="47"/>
        <v>None</v>
      </c>
    </row>
    <row r="844" spans="7:9" x14ac:dyDescent="0.2">
      <c r="G844" s="54" t="str">
        <f t="shared" si="45"/>
        <v>None</v>
      </c>
      <c r="H844" s="54" t="str">
        <f t="shared" si="46"/>
        <v>None</v>
      </c>
      <c r="I844" s="54" t="str">
        <f t="shared" si="47"/>
        <v>None</v>
      </c>
    </row>
    <row r="845" spans="7:9" x14ac:dyDescent="0.2">
      <c r="G845" s="54" t="str">
        <f t="shared" si="45"/>
        <v>None</v>
      </c>
      <c r="H845" s="54" t="str">
        <f t="shared" si="46"/>
        <v>None</v>
      </c>
      <c r="I845" s="54" t="str">
        <f t="shared" si="47"/>
        <v>None</v>
      </c>
    </row>
    <row r="846" spans="7:9" x14ac:dyDescent="0.2">
      <c r="G846" s="54" t="str">
        <f t="shared" si="45"/>
        <v>None</v>
      </c>
      <c r="H846" s="54" t="str">
        <f t="shared" si="46"/>
        <v>None</v>
      </c>
      <c r="I846" s="54" t="str">
        <f t="shared" si="47"/>
        <v>None</v>
      </c>
    </row>
    <row r="847" spans="7:9" x14ac:dyDescent="0.2">
      <c r="G847" s="54" t="str">
        <f t="shared" si="45"/>
        <v>None</v>
      </c>
      <c r="H847" s="54" t="str">
        <f t="shared" si="46"/>
        <v>None</v>
      </c>
      <c r="I847" s="54" t="str">
        <f t="shared" si="47"/>
        <v>None</v>
      </c>
    </row>
    <row r="848" spans="7:9" x14ac:dyDescent="0.2">
      <c r="G848" s="54" t="str">
        <f t="shared" si="45"/>
        <v>None</v>
      </c>
      <c r="H848" s="54" t="str">
        <f t="shared" si="46"/>
        <v>None</v>
      </c>
      <c r="I848" s="54" t="str">
        <f t="shared" si="47"/>
        <v>None</v>
      </c>
    </row>
    <row r="849" spans="7:9" x14ac:dyDescent="0.2">
      <c r="G849" s="54" t="str">
        <f t="shared" si="45"/>
        <v>None</v>
      </c>
      <c r="H849" s="54" t="str">
        <f t="shared" si="46"/>
        <v>None</v>
      </c>
      <c r="I849" s="54" t="str">
        <f t="shared" si="47"/>
        <v>None</v>
      </c>
    </row>
    <row r="850" spans="7:9" x14ac:dyDescent="0.2">
      <c r="G850" s="54" t="str">
        <f t="shared" si="45"/>
        <v>None</v>
      </c>
      <c r="H850" s="54" t="str">
        <f t="shared" si="46"/>
        <v>None</v>
      </c>
      <c r="I850" s="54" t="str">
        <f t="shared" si="47"/>
        <v>None</v>
      </c>
    </row>
    <row r="851" spans="7:9" x14ac:dyDescent="0.2">
      <c r="G851" s="54" t="str">
        <f t="shared" si="45"/>
        <v>None</v>
      </c>
      <c r="H851" s="54" t="str">
        <f t="shared" si="46"/>
        <v>None</v>
      </c>
      <c r="I851" s="54" t="str">
        <f t="shared" si="47"/>
        <v>None</v>
      </c>
    </row>
    <row r="852" spans="7:9" x14ac:dyDescent="0.2">
      <c r="G852" s="54" t="str">
        <f t="shared" si="45"/>
        <v>None</v>
      </c>
      <c r="H852" s="54" t="str">
        <f t="shared" si="46"/>
        <v>None</v>
      </c>
      <c r="I852" s="54" t="str">
        <f t="shared" si="47"/>
        <v>None</v>
      </c>
    </row>
    <row r="853" spans="7:9" x14ac:dyDescent="0.2">
      <c r="G853" s="54" t="str">
        <f t="shared" si="45"/>
        <v>None</v>
      </c>
      <c r="H853" s="54" t="str">
        <f t="shared" si="46"/>
        <v>None</v>
      </c>
      <c r="I853" s="54" t="str">
        <f t="shared" si="47"/>
        <v>None</v>
      </c>
    </row>
    <row r="854" spans="7:9" x14ac:dyDescent="0.2">
      <c r="G854" s="54" t="str">
        <f t="shared" si="45"/>
        <v>None</v>
      </c>
      <c r="H854" s="54" t="str">
        <f t="shared" si="46"/>
        <v>None</v>
      </c>
      <c r="I854" s="54" t="str">
        <f t="shared" si="47"/>
        <v>None</v>
      </c>
    </row>
    <row r="855" spans="7:9" x14ac:dyDescent="0.2">
      <c r="G855" s="54" t="str">
        <f t="shared" si="45"/>
        <v>None</v>
      </c>
      <c r="H855" s="54" t="str">
        <f t="shared" si="46"/>
        <v>None</v>
      </c>
      <c r="I855" s="54" t="str">
        <f t="shared" si="47"/>
        <v>None</v>
      </c>
    </row>
    <row r="856" spans="7:9" x14ac:dyDescent="0.2">
      <c r="G856" s="54" t="str">
        <f t="shared" si="45"/>
        <v>None</v>
      </c>
      <c r="H856" s="54" t="str">
        <f t="shared" si="46"/>
        <v>None</v>
      </c>
      <c r="I856" s="54" t="str">
        <f t="shared" si="47"/>
        <v>None</v>
      </c>
    </row>
    <row r="857" spans="7:9" x14ac:dyDescent="0.2">
      <c r="G857" s="54" t="str">
        <f t="shared" si="45"/>
        <v>None</v>
      </c>
      <c r="H857" s="54" t="str">
        <f t="shared" si="46"/>
        <v>None</v>
      </c>
      <c r="I857" s="54" t="str">
        <f t="shared" si="47"/>
        <v>None</v>
      </c>
    </row>
    <row r="858" spans="7:9" x14ac:dyDescent="0.2">
      <c r="G858" s="54" t="str">
        <f t="shared" si="45"/>
        <v>None</v>
      </c>
      <c r="H858" s="54" t="str">
        <f t="shared" si="46"/>
        <v>None</v>
      </c>
      <c r="I858" s="54" t="str">
        <f t="shared" si="47"/>
        <v>None</v>
      </c>
    </row>
    <row r="859" spans="7:9" x14ac:dyDescent="0.2">
      <c r="G859" s="54" t="str">
        <f t="shared" si="45"/>
        <v>None</v>
      </c>
      <c r="H859" s="54" t="str">
        <f t="shared" si="46"/>
        <v>None</v>
      </c>
      <c r="I859" s="54" t="str">
        <f t="shared" si="47"/>
        <v>None</v>
      </c>
    </row>
    <row r="860" spans="7:9" x14ac:dyDescent="0.2">
      <c r="G860" s="54" t="str">
        <f t="shared" si="45"/>
        <v>None</v>
      </c>
      <c r="H860" s="54" t="str">
        <f t="shared" si="46"/>
        <v>None</v>
      </c>
      <c r="I860" s="54" t="str">
        <f t="shared" si="47"/>
        <v>None</v>
      </c>
    </row>
    <row r="861" spans="7:9" x14ac:dyDescent="0.2">
      <c r="G861" s="54" t="str">
        <f t="shared" si="45"/>
        <v>None</v>
      </c>
      <c r="H861" s="54" t="str">
        <f t="shared" si="46"/>
        <v>None</v>
      </c>
      <c r="I861" s="54" t="str">
        <f t="shared" si="47"/>
        <v>None</v>
      </c>
    </row>
    <row r="862" spans="7:9" x14ac:dyDescent="0.2">
      <c r="G862" s="54" t="str">
        <f t="shared" si="45"/>
        <v>None</v>
      </c>
      <c r="H862" s="54" t="str">
        <f t="shared" si="46"/>
        <v>None</v>
      </c>
      <c r="I862" s="54" t="str">
        <f t="shared" si="47"/>
        <v>None</v>
      </c>
    </row>
    <row r="863" spans="7:9" x14ac:dyDescent="0.2">
      <c r="G863" s="54" t="str">
        <f t="shared" si="45"/>
        <v>None</v>
      </c>
      <c r="H863" s="54" t="str">
        <f t="shared" si="46"/>
        <v>None</v>
      </c>
      <c r="I863" s="54" t="str">
        <f t="shared" si="47"/>
        <v>None</v>
      </c>
    </row>
    <row r="864" spans="7:9" x14ac:dyDescent="0.2">
      <c r="G864" s="54" t="str">
        <f t="shared" si="45"/>
        <v>None</v>
      </c>
      <c r="H864" s="54" t="str">
        <f t="shared" si="46"/>
        <v>None</v>
      </c>
      <c r="I864" s="54" t="str">
        <f t="shared" si="47"/>
        <v>None</v>
      </c>
    </row>
    <row r="865" spans="7:9" x14ac:dyDescent="0.2">
      <c r="G865" s="54" t="str">
        <f t="shared" si="45"/>
        <v>None</v>
      </c>
      <c r="H865" s="54" t="str">
        <f t="shared" si="46"/>
        <v>None</v>
      </c>
      <c r="I865" s="54" t="str">
        <f t="shared" si="47"/>
        <v>None</v>
      </c>
    </row>
    <row r="866" spans="7:9" x14ac:dyDescent="0.2">
      <c r="G866" s="54" t="str">
        <f t="shared" si="45"/>
        <v>None</v>
      </c>
      <c r="H866" s="54" t="str">
        <f t="shared" si="46"/>
        <v>None</v>
      </c>
      <c r="I866" s="54" t="str">
        <f t="shared" si="47"/>
        <v>None</v>
      </c>
    </row>
    <row r="867" spans="7:9" x14ac:dyDescent="0.2">
      <c r="G867" s="54" t="str">
        <f t="shared" si="45"/>
        <v>None</v>
      </c>
      <c r="H867" s="54" t="str">
        <f t="shared" si="46"/>
        <v>None</v>
      </c>
      <c r="I867" s="54" t="str">
        <f t="shared" si="47"/>
        <v>None</v>
      </c>
    </row>
    <row r="868" spans="7:9" x14ac:dyDescent="0.2">
      <c r="G868" s="54" t="str">
        <f t="shared" si="45"/>
        <v>None</v>
      </c>
      <c r="H868" s="54" t="str">
        <f t="shared" si="46"/>
        <v>None</v>
      </c>
      <c r="I868" s="54" t="str">
        <f t="shared" si="47"/>
        <v>None</v>
      </c>
    </row>
    <row r="869" spans="7:9" x14ac:dyDescent="0.2">
      <c r="G869" s="54" t="str">
        <f t="shared" si="45"/>
        <v>None</v>
      </c>
      <c r="H869" s="54" t="str">
        <f t="shared" si="46"/>
        <v>None</v>
      </c>
      <c r="I869" s="54" t="str">
        <f t="shared" si="47"/>
        <v>None</v>
      </c>
    </row>
    <row r="870" spans="7:9" x14ac:dyDescent="0.2">
      <c r="G870" s="54" t="str">
        <f t="shared" si="45"/>
        <v>None</v>
      </c>
      <c r="H870" s="54" t="str">
        <f t="shared" si="46"/>
        <v>None</v>
      </c>
      <c r="I870" s="54" t="str">
        <f t="shared" si="47"/>
        <v>None</v>
      </c>
    </row>
    <row r="871" spans="7:9" x14ac:dyDescent="0.2">
      <c r="G871" s="54" t="str">
        <f t="shared" si="45"/>
        <v>None</v>
      </c>
      <c r="H871" s="54" t="str">
        <f t="shared" si="46"/>
        <v>None</v>
      </c>
      <c r="I871" s="54" t="str">
        <f t="shared" si="47"/>
        <v>None</v>
      </c>
    </row>
    <row r="872" spans="7:9" x14ac:dyDescent="0.2">
      <c r="G872" s="54" t="str">
        <f t="shared" si="45"/>
        <v>None</v>
      </c>
      <c r="H872" s="54" t="str">
        <f t="shared" si="46"/>
        <v>None</v>
      </c>
      <c r="I872" s="54" t="str">
        <f t="shared" si="47"/>
        <v>None</v>
      </c>
    </row>
    <row r="873" spans="7:9" x14ac:dyDescent="0.2">
      <c r="G873" s="54" t="str">
        <f t="shared" si="45"/>
        <v>None</v>
      </c>
      <c r="H873" s="54" t="str">
        <f t="shared" si="46"/>
        <v>None</v>
      </c>
      <c r="I873" s="54" t="str">
        <f t="shared" si="47"/>
        <v>None</v>
      </c>
    </row>
    <row r="874" spans="7:9" x14ac:dyDescent="0.2">
      <c r="G874" s="54" t="str">
        <f t="shared" si="45"/>
        <v>None</v>
      </c>
      <c r="H874" s="54" t="str">
        <f t="shared" si="46"/>
        <v>None</v>
      </c>
      <c r="I874" s="54" t="str">
        <f t="shared" si="47"/>
        <v>None</v>
      </c>
    </row>
    <row r="875" spans="7:9" x14ac:dyDescent="0.2">
      <c r="G875" s="54" t="str">
        <f t="shared" si="45"/>
        <v>None</v>
      </c>
      <c r="H875" s="54" t="str">
        <f t="shared" si="46"/>
        <v>None</v>
      </c>
      <c r="I875" s="54" t="str">
        <f t="shared" si="47"/>
        <v>None</v>
      </c>
    </row>
    <row r="876" spans="7:9" x14ac:dyDescent="0.2">
      <c r="G876" s="54" t="str">
        <f t="shared" si="45"/>
        <v>None</v>
      </c>
      <c r="H876" s="54" t="str">
        <f t="shared" si="46"/>
        <v>None</v>
      </c>
      <c r="I876" s="54" t="str">
        <f t="shared" si="47"/>
        <v>None</v>
      </c>
    </row>
    <row r="877" spans="7:9" x14ac:dyDescent="0.2">
      <c r="G877" s="54" t="str">
        <f t="shared" si="45"/>
        <v>None</v>
      </c>
      <c r="H877" s="54" t="str">
        <f t="shared" si="46"/>
        <v>None</v>
      </c>
      <c r="I877" s="54" t="str">
        <f t="shared" si="47"/>
        <v>None</v>
      </c>
    </row>
    <row r="878" spans="7:9" x14ac:dyDescent="0.2">
      <c r="G878" s="54" t="str">
        <f t="shared" si="45"/>
        <v>None</v>
      </c>
      <c r="H878" s="54" t="str">
        <f t="shared" si="46"/>
        <v>None</v>
      </c>
      <c r="I878" s="54" t="str">
        <f t="shared" si="47"/>
        <v>None</v>
      </c>
    </row>
    <row r="879" spans="7:9" x14ac:dyDescent="0.2">
      <c r="G879" s="54" t="str">
        <f t="shared" si="45"/>
        <v>None</v>
      </c>
      <c r="H879" s="54" t="str">
        <f t="shared" si="46"/>
        <v>None</v>
      </c>
      <c r="I879" s="54" t="str">
        <f t="shared" si="47"/>
        <v>None</v>
      </c>
    </row>
    <row r="880" spans="7:9" x14ac:dyDescent="0.2">
      <c r="G880" s="54" t="str">
        <f t="shared" si="45"/>
        <v>None</v>
      </c>
      <c r="H880" s="54" t="str">
        <f t="shared" si="46"/>
        <v>None</v>
      </c>
      <c r="I880" s="54" t="str">
        <f t="shared" si="47"/>
        <v>None</v>
      </c>
    </row>
    <row r="881" spans="7:9" x14ac:dyDescent="0.2">
      <c r="G881" s="54" t="str">
        <f t="shared" si="45"/>
        <v>None</v>
      </c>
      <c r="H881" s="54" t="str">
        <f t="shared" si="46"/>
        <v>None</v>
      </c>
      <c r="I881" s="54" t="str">
        <f t="shared" si="47"/>
        <v>None</v>
      </c>
    </row>
    <row r="882" spans="7:9" x14ac:dyDescent="0.2">
      <c r="G882" s="54" t="str">
        <f t="shared" si="45"/>
        <v>None</v>
      </c>
      <c r="H882" s="54" t="str">
        <f t="shared" si="46"/>
        <v>None</v>
      </c>
      <c r="I882" s="54" t="str">
        <f t="shared" si="47"/>
        <v>None</v>
      </c>
    </row>
    <row r="883" spans="7:9" x14ac:dyDescent="0.2">
      <c r="G883" s="54" t="str">
        <f t="shared" si="45"/>
        <v>None</v>
      </c>
      <c r="H883" s="54" t="str">
        <f t="shared" si="46"/>
        <v>None</v>
      </c>
      <c r="I883" s="54" t="str">
        <f t="shared" si="47"/>
        <v>None</v>
      </c>
    </row>
    <row r="884" spans="7:9" x14ac:dyDescent="0.2">
      <c r="G884" s="54" t="str">
        <f t="shared" si="45"/>
        <v>None</v>
      </c>
      <c r="H884" s="54" t="str">
        <f t="shared" si="46"/>
        <v>None</v>
      </c>
      <c r="I884" s="54" t="str">
        <f t="shared" si="47"/>
        <v>None</v>
      </c>
    </row>
    <row r="885" spans="7:9" x14ac:dyDescent="0.2">
      <c r="G885" s="54" t="str">
        <f t="shared" si="45"/>
        <v>None</v>
      </c>
      <c r="H885" s="54" t="str">
        <f t="shared" si="46"/>
        <v>None</v>
      </c>
      <c r="I885" s="54" t="str">
        <f t="shared" si="47"/>
        <v>None</v>
      </c>
    </row>
    <row r="886" spans="7:9" x14ac:dyDescent="0.2">
      <c r="G886" s="54" t="str">
        <f t="shared" si="45"/>
        <v>None</v>
      </c>
      <c r="H886" s="54" t="str">
        <f t="shared" si="46"/>
        <v>None</v>
      </c>
      <c r="I886" s="54" t="str">
        <f t="shared" si="47"/>
        <v>None</v>
      </c>
    </row>
    <row r="887" spans="7:9" x14ac:dyDescent="0.2">
      <c r="G887" s="54" t="str">
        <f t="shared" si="45"/>
        <v>None</v>
      </c>
      <c r="H887" s="54" t="str">
        <f t="shared" si="46"/>
        <v>None</v>
      </c>
      <c r="I887" s="54" t="str">
        <f t="shared" si="47"/>
        <v>None</v>
      </c>
    </row>
    <row r="888" spans="7:9" x14ac:dyDescent="0.2">
      <c r="G888" s="54" t="str">
        <f t="shared" si="45"/>
        <v>None</v>
      </c>
      <c r="H888" s="54" t="str">
        <f t="shared" si="46"/>
        <v>None</v>
      </c>
      <c r="I888" s="54" t="str">
        <f t="shared" si="47"/>
        <v>None</v>
      </c>
    </row>
    <row r="889" spans="7:9" x14ac:dyDescent="0.2">
      <c r="G889" s="54" t="str">
        <f t="shared" si="45"/>
        <v>None</v>
      </c>
      <c r="H889" s="54" t="str">
        <f t="shared" si="46"/>
        <v>None</v>
      </c>
      <c r="I889" s="54" t="str">
        <f t="shared" si="47"/>
        <v>None</v>
      </c>
    </row>
    <row r="890" spans="7:9" x14ac:dyDescent="0.2">
      <c r="G890" s="54" t="str">
        <f t="shared" si="45"/>
        <v>None</v>
      </c>
      <c r="H890" s="54" t="str">
        <f t="shared" si="46"/>
        <v>None</v>
      </c>
      <c r="I890" s="54" t="str">
        <f t="shared" si="47"/>
        <v>None</v>
      </c>
    </row>
    <row r="891" spans="7:9" x14ac:dyDescent="0.2">
      <c r="G891" s="54" t="str">
        <f t="shared" si="45"/>
        <v>None</v>
      </c>
      <c r="H891" s="54" t="str">
        <f t="shared" si="46"/>
        <v>None</v>
      </c>
      <c r="I891" s="54" t="str">
        <f t="shared" si="47"/>
        <v>None</v>
      </c>
    </row>
    <row r="892" spans="7:9" x14ac:dyDescent="0.2">
      <c r="G892" s="54" t="str">
        <f t="shared" si="45"/>
        <v>None</v>
      </c>
      <c r="H892" s="54" t="str">
        <f t="shared" si="46"/>
        <v>None</v>
      </c>
      <c r="I892" s="54" t="str">
        <f t="shared" si="47"/>
        <v>None</v>
      </c>
    </row>
    <row r="893" spans="7:9" x14ac:dyDescent="0.2">
      <c r="G893" s="54" t="str">
        <f t="shared" si="45"/>
        <v>None</v>
      </c>
      <c r="H893" s="54" t="str">
        <f t="shared" si="46"/>
        <v>None</v>
      </c>
      <c r="I893" s="54" t="str">
        <f t="shared" si="47"/>
        <v>None</v>
      </c>
    </row>
    <row r="894" spans="7:9" x14ac:dyDescent="0.2">
      <c r="G894" s="54" t="str">
        <f t="shared" si="45"/>
        <v>None</v>
      </c>
      <c r="H894" s="54" t="str">
        <f t="shared" si="46"/>
        <v>None</v>
      </c>
      <c r="I894" s="54" t="str">
        <f t="shared" si="47"/>
        <v>None</v>
      </c>
    </row>
    <row r="895" spans="7:9" x14ac:dyDescent="0.2">
      <c r="G895" s="54" t="str">
        <f t="shared" si="45"/>
        <v>None</v>
      </c>
      <c r="H895" s="54" t="str">
        <f t="shared" si="46"/>
        <v>None</v>
      </c>
      <c r="I895" s="54" t="str">
        <f t="shared" si="47"/>
        <v>None</v>
      </c>
    </row>
    <row r="896" spans="7:9" x14ac:dyDescent="0.2">
      <c r="G896" s="54" t="str">
        <f t="shared" si="45"/>
        <v>None</v>
      </c>
      <c r="H896" s="54" t="str">
        <f t="shared" si="46"/>
        <v>None</v>
      </c>
      <c r="I896" s="54" t="str">
        <f t="shared" si="47"/>
        <v>None</v>
      </c>
    </row>
    <row r="897" spans="7:9" x14ac:dyDescent="0.2">
      <c r="G897" s="54" t="str">
        <f t="shared" si="45"/>
        <v>None</v>
      </c>
      <c r="H897" s="54" t="str">
        <f t="shared" si="46"/>
        <v>None</v>
      </c>
      <c r="I897" s="54" t="str">
        <f t="shared" si="47"/>
        <v>None</v>
      </c>
    </row>
    <row r="898" spans="7:9" x14ac:dyDescent="0.2">
      <c r="G898" s="54" t="str">
        <f t="shared" si="45"/>
        <v>None</v>
      </c>
      <c r="H898" s="54" t="str">
        <f t="shared" si="46"/>
        <v>None</v>
      </c>
      <c r="I898" s="54" t="str">
        <f t="shared" si="47"/>
        <v>None</v>
      </c>
    </row>
    <row r="899" spans="7:9" x14ac:dyDescent="0.2">
      <c r="G899" s="54" t="str">
        <f t="shared" ref="G899:G962" si="48">_xlfn.IFNA(VLOOKUP($C899,tour_modes,2,FALSE),"None")</f>
        <v>None</v>
      </c>
      <c r="H899" s="54" t="str">
        <f t="shared" ref="H899:H962" si="49">_xlfn.IFNA(VLOOKUP($C899,tour_modes,3,FALSE),"None")</f>
        <v>None</v>
      </c>
      <c r="I899" s="54" t="str">
        <f t="shared" ref="I899:I962" si="50">IF(A899="joint","Joint",_xlfn.IFNA(VLOOKUP($B899,tour_purposes,2,FALSE),"None"))</f>
        <v>None</v>
      </c>
    </row>
    <row r="900" spans="7:9" x14ac:dyDescent="0.2">
      <c r="G900" s="54" t="str">
        <f t="shared" si="48"/>
        <v>None</v>
      </c>
      <c r="H900" s="54" t="str">
        <f t="shared" si="49"/>
        <v>None</v>
      </c>
      <c r="I900" s="54" t="str">
        <f t="shared" si="50"/>
        <v>None</v>
      </c>
    </row>
    <row r="901" spans="7:9" x14ac:dyDescent="0.2">
      <c r="G901" s="54" t="str">
        <f t="shared" si="48"/>
        <v>None</v>
      </c>
      <c r="H901" s="54" t="str">
        <f t="shared" si="49"/>
        <v>None</v>
      </c>
      <c r="I901" s="54" t="str">
        <f t="shared" si="50"/>
        <v>None</v>
      </c>
    </row>
    <row r="902" spans="7:9" x14ac:dyDescent="0.2">
      <c r="G902" s="54" t="str">
        <f t="shared" si="48"/>
        <v>None</v>
      </c>
      <c r="H902" s="54" t="str">
        <f t="shared" si="49"/>
        <v>None</v>
      </c>
      <c r="I902" s="54" t="str">
        <f t="shared" si="50"/>
        <v>None</v>
      </c>
    </row>
    <row r="903" spans="7:9" x14ac:dyDescent="0.2">
      <c r="G903" s="54" t="str">
        <f t="shared" si="48"/>
        <v>None</v>
      </c>
      <c r="H903" s="54" t="str">
        <f t="shared" si="49"/>
        <v>None</v>
      </c>
      <c r="I903" s="54" t="str">
        <f t="shared" si="50"/>
        <v>None</v>
      </c>
    </row>
    <row r="904" spans="7:9" x14ac:dyDescent="0.2">
      <c r="G904" s="54" t="str">
        <f t="shared" si="48"/>
        <v>None</v>
      </c>
      <c r="H904" s="54" t="str">
        <f t="shared" si="49"/>
        <v>None</v>
      </c>
      <c r="I904" s="54" t="str">
        <f t="shared" si="50"/>
        <v>None</v>
      </c>
    </row>
    <row r="905" spans="7:9" x14ac:dyDescent="0.2">
      <c r="G905" s="54" t="str">
        <f t="shared" si="48"/>
        <v>None</v>
      </c>
      <c r="H905" s="54" t="str">
        <f t="shared" si="49"/>
        <v>None</v>
      </c>
      <c r="I905" s="54" t="str">
        <f t="shared" si="50"/>
        <v>None</v>
      </c>
    </row>
    <row r="906" spans="7:9" x14ac:dyDescent="0.2">
      <c r="G906" s="54" t="str">
        <f t="shared" si="48"/>
        <v>None</v>
      </c>
      <c r="H906" s="54" t="str">
        <f t="shared" si="49"/>
        <v>None</v>
      </c>
      <c r="I906" s="54" t="str">
        <f t="shared" si="50"/>
        <v>None</v>
      </c>
    </row>
    <row r="907" spans="7:9" x14ac:dyDescent="0.2">
      <c r="G907" s="54" t="str">
        <f t="shared" si="48"/>
        <v>None</v>
      </c>
      <c r="H907" s="54" t="str">
        <f t="shared" si="49"/>
        <v>None</v>
      </c>
      <c r="I907" s="54" t="str">
        <f t="shared" si="50"/>
        <v>None</v>
      </c>
    </row>
    <row r="908" spans="7:9" x14ac:dyDescent="0.2">
      <c r="G908" s="54" t="str">
        <f t="shared" si="48"/>
        <v>None</v>
      </c>
      <c r="H908" s="54" t="str">
        <f t="shared" si="49"/>
        <v>None</v>
      </c>
      <c r="I908" s="54" t="str">
        <f t="shared" si="50"/>
        <v>None</v>
      </c>
    </row>
    <row r="909" spans="7:9" x14ac:dyDescent="0.2">
      <c r="G909" s="54" t="str">
        <f t="shared" si="48"/>
        <v>None</v>
      </c>
      <c r="H909" s="54" t="str">
        <f t="shared" si="49"/>
        <v>None</v>
      </c>
      <c r="I909" s="54" t="str">
        <f t="shared" si="50"/>
        <v>None</v>
      </c>
    </row>
    <row r="910" spans="7:9" x14ac:dyDescent="0.2">
      <c r="G910" s="54" t="str">
        <f t="shared" si="48"/>
        <v>None</v>
      </c>
      <c r="H910" s="54" t="str">
        <f t="shared" si="49"/>
        <v>None</v>
      </c>
      <c r="I910" s="54" t="str">
        <f t="shared" si="50"/>
        <v>None</v>
      </c>
    </row>
    <row r="911" spans="7:9" x14ac:dyDescent="0.2">
      <c r="G911" s="54" t="str">
        <f t="shared" si="48"/>
        <v>None</v>
      </c>
      <c r="H911" s="54" t="str">
        <f t="shared" si="49"/>
        <v>None</v>
      </c>
      <c r="I911" s="54" t="str">
        <f t="shared" si="50"/>
        <v>None</v>
      </c>
    </row>
    <row r="912" spans="7:9" x14ac:dyDescent="0.2">
      <c r="G912" s="54" t="str">
        <f t="shared" si="48"/>
        <v>None</v>
      </c>
      <c r="H912" s="54" t="str">
        <f t="shared" si="49"/>
        <v>None</v>
      </c>
      <c r="I912" s="54" t="str">
        <f t="shared" si="50"/>
        <v>None</v>
      </c>
    </row>
    <row r="913" spans="7:9" x14ac:dyDescent="0.2">
      <c r="G913" s="54" t="str">
        <f t="shared" si="48"/>
        <v>None</v>
      </c>
      <c r="H913" s="54" t="str">
        <f t="shared" si="49"/>
        <v>None</v>
      </c>
      <c r="I913" s="54" t="str">
        <f t="shared" si="50"/>
        <v>None</v>
      </c>
    </row>
    <row r="914" spans="7:9" x14ac:dyDescent="0.2">
      <c r="G914" s="54" t="str">
        <f t="shared" si="48"/>
        <v>None</v>
      </c>
      <c r="H914" s="54" t="str">
        <f t="shared" si="49"/>
        <v>None</v>
      </c>
      <c r="I914" s="54" t="str">
        <f t="shared" si="50"/>
        <v>None</v>
      </c>
    </row>
    <row r="915" spans="7:9" x14ac:dyDescent="0.2">
      <c r="G915" s="54" t="str">
        <f t="shared" si="48"/>
        <v>None</v>
      </c>
      <c r="H915" s="54" t="str">
        <f t="shared" si="49"/>
        <v>None</v>
      </c>
      <c r="I915" s="54" t="str">
        <f t="shared" si="50"/>
        <v>None</v>
      </c>
    </row>
    <row r="916" spans="7:9" x14ac:dyDescent="0.2">
      <c r="G916" s="54" t="str">
        <f t="shared" si="48"/>
        <v>None</v>
      </c>
      <c r="H916" s="54" t="str">
        <f t="shared" si="49"/>
        <v>None</v>
      </c>
      <c r="I916" s="54" t="str">
        <f t="shared" si="50"/>
        <v>None</v>
      </c>
    </row>
    <row r="917" spans="7:9" x14ac:dyDescent="0.2">
      <c r="G917" s="54" t="str">
        <f t="shared" si="48"/>
        <v>None</v>
      </c>
      <c r="H917" s="54" t="str">
        <f t="shared" si="49"/>
        <v>None</v>
      </c>
      <c r="I917" s="54" t="str">
        <f t="shared" si="50"/>
        <v>None</v>
      </c>
    </row>
    <row r="918" spans="7:9" x14ac:dyDescent="0.2">
      <c r="G918" s="54" t="str">
        <f t="shared" si="48"/>
        <v>None</v>
      </c>
      <c r="H918" s="54" t="str">
        <f t="shared" si="49"/>
        <v>None</v>
      </c>
      <c r="I918" s="54" t="str">
        <f t="shared" si="50"/>
        <v>None</v>
      </c>
    </row>
    <row r="919" spans="7:9" x14ac:dyDescent="0.2">
      <c r="G919" s="54" t="str">
        <f t="shared" si="48"/>
        <v>None</v>
      </c>
      <c r="H919" s="54" t="str">
        <f t="shared" si="49"/>
        <v>None</v>
      </c>
      <c r="I919" s="54" t="str">
        <f t="shared" si="50"/>
        <v>None</v>
      </c>
    </row>
    <row r="920" spans="7:9" x14ac:dyDescent="0.2">
      <c r="G920" s="54" t="str">
        <f t="shared" si="48"/>
        <v>None</v>
      </c>
      <c r="H920" s="54" t="str">
        <f t="shared" si="49"/>
        <v>None</v>
      </c>
      <c r="I920" s="54" t="str">
        <f t="shared" si="50"/>
        <v>None</v>
      </c>
    </row>
    <row r="921" spans="7:9" x14ac:dyDescent="0.2">
      <c r="G921" s="54" t="str">
        <f t="shared" si="48"/>
        <v>None</v>
      </c>
      <c r="H921" s="54" t="str">
        <f t="shared" si="49"/>
        <v>None</v>
      </c>
      <c r="I921" s="54" t="str">
        <f t="shared" si="50"/>
        <v>None</v>
      </c>
    </row>
    <row r="922" spans="7:9" x14ac:dyDescent="0.2">
      <c r="G922" s="54" t="str">
        <f t="shared" si="48"/>
        <v>None</v>
      </c>
      <c r="H922" s="54" t="str">
        <f t="shared" si="49"/>
        <v>None</v>
      </c>
      <c r="I922" s="54" t="str">
        <f t="shared" si="50"/>
        <v>None</v>
      </c>
    </row>
    <row r="923" spans="7:9" x14ac:dyDescent="0.2">
      <c r="G923" s="54" t="str">
        <f t="shared" si="48"/>
        <v>None</v>
      </c>
      <c r="H923" s="54" t="str">
        <f t="shared" si="49"/>
        <v>None</v>
      </c>
      <c r="I923" s="54" t="str">
        <f t="shared" si="50"/>
        <v>None</v>
      </c>
    </row>
    <row r="924" spans="7:9" x14ac:dyDescent="0.2">
      <c r="G924" s="54" t="str">
        <f t="shared" si="48"/>
        <v>None</v>
      </c>
      <c r="H924" s="54" t="str">
        <f t="shared" si="49"/>
        <v>None</v>
      </c>
      <c r="I924" s="54" t="str">
        <f t="shared" si="50"/>
        <v>None</v>
      </c>
    </row>
    <row r="925" spans="7:9" x14ac:dyDescent="0.2">
      <c r="G925" s="54" t="str">
        <f t="shared" si="48"/>
        <v>None</v>
      </c>
      <c r="H925" s="54" t="str">
        <f t="shared" si="49"/>
        <v>None</v>
      </c>
      <c r="I925" s="54" t="str">
        <f t="shared" si="50"/>
        <v>None</v>
      </c>
    </row>
    <row r="926" spans="7:9" x14ac:dyDescent="0.2">
      <c r="G926" s="54" t="str">
        <f t="shared" si="48"/>
        <v>None</v>
      </c>
      <c r="H926" s="54" t="str">
        <f t="shared" si="49"/>
        <v>None</v>
      </c>
      <c r="I926" s="54" t="str">
        <f t="shared" si="50"/>
        <v>None</v>
      </c>
    </row>
    <row r="927" spans="7:9" x14ac:dyDescent="0.2">
      <c r="G927" s="54" t="str">
        <f t="shared" si="48"/>
        <v>None</v>
      </c>
      <c r="H927" s="54" t="str">
        <f t="shared" si="49"/>
        <v>None</v>
      </c>
      <c r="I927" s="54" t="str">
        <f t="shared" si="50"/>
        <v>None</v>
      </c>
    </row>
    <row r="928" spans="7:9" x14ac:dyDescent="0.2">
      <c r="G928" s="54" t="str">
        <f t="shared" si="48"/>
        <v>None</v>
      </c>
      <c r="H928" s="54" t="str">
        <f t="shared" si="49"/>
        <v>None</v>
      </c>
      <c r="I928" s="54" t="str">
        <f t="shared" si="50"/>
        <v>None</v>
      </c>
    </row>
    <row r="929" spans="7:9" x14ac:dyDescent="0.2">
      <c r="G929" s="54" t="str">
        <f t="shared" si="48"/>
        <v>None</v>
      </c>
      <c r="H929" s="54" t="str">
        <f t="shared" si="49"/>
        <v>None</v>
      </c>
      <c r="I929" s="54" t="str">
        <f t="shared" si="50"/>
        <v>None</v>
      </c>
    </row>
    <row r="930" spans="7:9" x14ac:dyDescent="0.2">
      <c r="G930" s="54" t="str">
        <f t="shared" si="48"/>
        <v>None</v>
      </c>
      <c r="H930" s="54" t="str">
        <f t="shared" si="49"/>
        <v>None</v>
      </c>
      <c r="I930" s="54" t="str">
        <f t="shared" si="50"/>
        <v>None</v>
      </c>
    </row>
    <row r="931" spans="7:9" x14ac:dyDescent="0.2">
      <c r="G931" s="54" t="str">
        <f t="shared" si="48"/>
        <v>None</v>
      </c>
      <c r="H931" s="54" t="str">
        <f t="shared" si="49"/>
        <v>None</v>
      </c>
      <c r="I931" s="54" t="str">
        <f t="shared" si="50"/>
        <v>None</v>
      </c>
    </row>
    <row r="932" spans="7:9" x14ac:dyDescent="0.2">
      <c r="G932" s="54" t="str">
        <f t="shared" si="48"/>
        <v>None</v>
      </c>
      <c r="H932" s="54" t="str">
        <f t="shared" si="49"/>
        <v>None</v>
      </c>
      <c r="I932" s="54" t="str">
        <f t="shared" si="50"/>
        <v>None</v>
      </c>
    </row>
    <row r="933" spans="7:9" x14ac:dyDescent="0.2">
      <c r="G933" s="54" t="str">
        <f t="shared" si="48"/>
        <v>None</v>
      </c>
      <c r="H933" s="54" t="str">
        <f t="shared" si="49"/>
        <v>None</v>
      </c>
      <c r="I933" s="54" t="str">
        <f t="shared" si="50"/>
        <v>None</v>
      </c>
    </row>
    <row r="934" spans="7:9" x14ac:dyDescent="0.2">
      <c r="G934" s="54" t="str">
        <f t="shared" si="48"/>
        <v>None</v>
      </c>
      <c r="H934" s="54" t="str">
        <f t="shared" si="49"/>
        <v>None</v>
      </c>
      <c r="I934" s="54" t="str">
        <f t="shared" si="50"/>
        <v>None</v>
      </c>
    </row>
    <row r="935" spans="7:9" x14ac:dyDescent="0.2">
      <c r="G935" s="54" t="str">
        <f t="shared" si="48"/>
        <v>None</v>
      </c>
      <c r="H935" s="54" t="str">
        <f t="shared" si="49"/>
        <v>None</v>
      </c>
      <c r="I935" s="54" t="str">
        <f t="shared" si="50"/>
        <v>None</v>
      </c>
    </row>
    <row r="936" spans="7:9" x14ac:dyDescent="0.2">
      <c r="G936" s="54" t="str">
        <f t="shared" si="48"/>
        <v>None</v>
      </c>
      <c r="H936" s="54" t="str">
        <f t="shared" si="49"/>
        <v>None</v>
      </c>
      <c r="I936" s="54" t="str">
        <f t="shared" si="50"/>
        <v>None</v>
      </c>
    </row>
    <row r="937" spans="7:9" x14ac:dyDescent="0.2">
      <c r="G937" s="54" t="str">
        <f t="shared" si="48"/>
        <v>None</v>
      </c>
      <c r="H937" s="54" t="str">
        <f t="shared" si="49"/>
        <v>None</v>
      </c>
      <c r="I937" s="54" t="str">
        <f t="shared" si="50"/>
        <v>None</v>
      </c>
    </row>
    <row r="938" spans="7:9" x14ac:dyDescent="0.2">
      <c r="G938" s="54" t="str">
        <f t="shared" si="48"/>
        <v>None</v>
      </c>
      <c r="H938" s="54" t="str">
        <f t="shared" si="49"/>
        <v>None</v>
      </c>
      <c r="I938" s="54" t="str">
        <f t="shared" si="50"/>
        <v>None</v>
      </c>
    </row>
    <row r="939" spans="7:9" x14ac:dyDescent="0.2">
      <c r="G939" s="54" t="str">
        <f t="shared" si="48"/>
        <v>None</v>
      </c>
      <c r="H939" s="54" t="str">
        <f t="shared" si="49"/>
        <v>None</v>
      </c>
      <c r="I939" s="54" t="str">
        <f t="shared" si="50"/>
        <v>None</v>
      </c>
    </row>
    <row r="940" spans="7:9" x14ac:dyDescent="0.2">
      <c r="G940" s="54" t="str">
        <f t="shared" si="48"/>
        <v>None</v>
      </c>
      <c r="H940" s="54" t="str">
        <f t="shared" si="49"/>
        <v>None</v>
      </c>
      <c r="I940" s="54" t="str">
        <f t="shared" si="50"/>
        <v>None</v>
      </c>
    </row>
    <row r="941" spans="7:9" x14ac:dyDescent="0.2">
      <c r="G941" s="54" t="str">
        <f t="shared" si="48"/>
        <v>None</v>
      </c>
      <c r="H941" s="54" t="str">
        <f t="shared" si="49"/>
        <v>None</v>
      </c>
      <c r="I941" s="54" t="str">
        <f t="shared" si="50"/>
        <v>None</v>
      </c>
    </row>
    <row r="942" spans="7:9" x14ac:dyDescent="0.2">
      <c r="G942" s="54" t="str">
        <f t="shared" si="48"/>
        <v>None</v>
      </c>
      <c r="H942" s="54" t="str">
        <f t="shared" si="49"/>
        <v>None</v>
      </c>
      <c r="I942" s="54" t="str">
        <f t="shared" si="50"/>
        <v>None</v>
      </c>
    </row>
    <row r="943" spans="7:9" x14ac:dyDescent="0.2">
      <c r="G943" s="54" t="str">
        <f t="shared" si="48"/>
        <v>None</v>
      </c>
      <c r="H943" s="54" t="str">
        <f t="shared" si="49"/>
        <v>None</v>
      </c>
      <c r="I943" s="54" t="str">
        <f t="shared" si="50"/>
        <v>None</v>
      </c>
    </row>
    <row r="944" spans="7:9" x14ac:dyDescent="0.2">
      <c r="G944" s="54" t="str">
        <f t="shared" si="48"/>
        <v>None</v>
      </c>
      <c r="H944" s="54" t="str">
        <f t="shared" si="49"/>
        <v>None</v>
      </c>
      <c r="I944" s="54" t="str">
        <f t="shared" si="50"/>
        <v>None</v>
      </c>
    </row>
    <row r="945" spans="7:9" x14ac:dyDescent="0.2">
      <c r="G945" s="54" t="str">
        <f t="shared" si="48"/>
        <v>None</v>
      </c>
      <c r="H945" s="54" t="str">
        <f t="shared" si="49"/>
        <v>None</v>
      </c>
      <c r="I945" s="54" t="str">
        <f t="shared" si="50"/>
        <v>None</v>
      </c>
    </row>
    <row r="946" spans="7:9" x14ac:dyDescent="0.2">
      <c r="G946" s="54" t="str">
        <f t="shared" si="48"/>
        <v>None</v>
      </c>
      <c r="H946" s="54" t="str">
        <f t="shared" si="49"/>
        <v>None</v>
      </c>
      <c r="I946" s="54" t="str">
        <f t="shared" si="50"/>
        <v>None</v>
      </c>
    </row>
    <row r="947" spans="7:9" x14ac:dyDescent="0.2">
      <c r="G947" s="54" t="str">
        <f t="shared" si="48"/>
        <v>None</v>
      </c>
      <c r="H947" s="54" t="str">
        <f t="shared" si="49"/>
        <v>None</v>
      </c>
      <c r="I947" s="54" t="str">
        <f t="shared" si="50"/>
        <v>None</v>
      </c>
    </row>
    <row r="948" spans="7:9" x14ac:dyDescent="0.2">
      <c r="G948" s="54" t="str">
        <f t="shared" si="48"/>
        <v>None</v>
      </c>
      <c r="H948" s="54" t="str">
        <f t="shared" si="49"/>
        <v>None</v>
      </c>
      <c r="I948" s="54" t="str">
        <f t="shared" si="50"/>
        <v>None</v>
      </c>
    </row>
    <row r="949" spans="7:9" x14ac:dyDescent="0.2">
      <c r="G949" s="54" t="str">
        <f t="shared" si="48"/>
        <v>None</v>
      </c>
      <c r="H949" s="54" t="str">
        <f t="shared" si="49"/>
        <v>None</v>
      </c>
      <c r="I949" s="54" t="str">
        <f t="shared" si="50"/>
        <v>None</v>
      </c>
    </row>
    <row r="950" spans="7:9" x14ac:dyDescent="0.2">
      <c r="G950" s="54" t="str">
        <f t="shared" si="48"/>
        <v>None</v>
      </c>
      <c r="H950" s="54" t="str">
        <f t="shared" si="49"/>
        <v>None</v>
      </c>
      <c r="I950" s="54" t="str">
        <f t="shared" si="50"/>
        <v>None</v>
      </c>
    </row>
    <row r="951" spans="7:9" x14ac:dyDescent="0.2">
      <c r="G951" s="54" t="str">
        <f t="shared" si="48"/>
        <v>None</v>
      </c>
      <c r="H951" s="54" t="str">
        <f t="shared" si="49"/>
        <v>None</v>
      </c>
      <c r="I951" s="54" t="str">
        <f t="shared" si="50"/>
        <v>None</v>
      </c>
    </row>
    <row r="952" spans="7:9" x14ac:dyDescent="0.2">
      <c r="G952" s="54" t="str">
        <f t="shared" si="48"/>
        <v>None</v>
      </c>
      <c r="H952" s="54" t="str">
        <f t="shared" si="49"/>
        <v>None</v>
      </c>
      <c r="I952" s="54" t="str">
        <f t="shared" si="50"/>
        <v>None</v>
      </c>
    </row>
    <row r="953" spans="7:9" x14ac:dyDescent="0.2">
      <c r="G953" s="54" t="str">
        <f t="shared" si="48"/>
        <v>None</v>
      </c>
      <c r="H953" s="54" t="str">
        <f t="shared" si="49"/>
        <v>None</v>
      </c>
      <c r="I953" s="54" t="str">
        <f t="shared" si="50"/>
        <v>None</v>
      </c>
    </row>
    <row r="954" spans="7:9" x14ac:dyDescent="0.2">
      <c r="G954" s="54" t="str">
        <f t="shared" si="48"/>
        <v>None</v>
      </c>
      <c r="H954" s="54" t="str">
        <f t="shared" si="49"/>
        <v>None</v>
      </c>
      <c r="I954" s="54" t="str">
        <f t="shared" si="50"/>
        <v>None</v>
      </c>
    </row>
    <row r="955" spans="7:9" x14ac:dyDescent="0.2">
      <c r="G955" s="54" t="str">
        <f t="shared" si="48"/>
        <v>None</v>
      </c>
      <c r="H955" s="54" t="str">
        <f t="shared" si="49"/>
        <v>None</v>
      </c>
      <c r="I955" s="54" t="str">
        <f t="shared" si="50"/>
        <v>None</v>
      </c>
    </row>
    <row r="956" spans="7:9" x14ac:dyDescent="0.2">
      <c r="G956" s="54" t="str">
        <f t="shared" si="48"/>
        <v>None</v>
      </c>
      <c r="H956" s="54" t="str">
        <f t="shared" si="49"/>
        <v>None</v>
      </c>
      <c r="I956" s="54" t="str">
        <f t="shared" si="50"/>
        <v>None</v>
      </c>
    </row>
    <row r="957" spans="7:9" x14ac:dyDescent="0.2">
      <c r="G957" s="54" t="str">
        <f t="shared" si="48"/>
        <v>None</v>
      </c>
      <c r="H957" s="54" t="str">
        <f t="shared" si="49"/>
        <v>None</v>
      </c>
      <c r="I957" s="54" t="str">
        <f t="shared" si="50"/>
        <v>None</v>
      </c>
    </row>
    <row r="958" spans="7:9" x14ac:dyDescent="0.2">
      <c r="G958" s="54" t="str">
        <f t="shared" si="48"/>
        <v>None</v>
      </c>
      <c r="H958" s="54" t="str">
        <f t="shared" si="49"/>
        <v>None</v>
      </c>
      <c r="I958" s="54" t="str">
        <f t="shared" si="50"/>
        <v>None</v>
      </c>
    </row>
    <row r="959" spans="7:9" x14ac:dyDescent="0.2">
      <c r="G959" s="54" t="str">
        <f t="shared" si="48"/>
        <v>None</v>
      </c>
      <c r="H959" s="54" t="str">
        <f t="shared" si="49"/>
        <v>None</v>
      </c>
      <c r="I959" s="54" t="str">
        <f t="shared" si="50"/>
        <v>None</v>
      </c>
    </row>
    <row r="960" spans="7:9" x14ac:dyDescent="0.2">
      <c r="G960" s="54" t="str">
        <f t="shared" si="48"/>
        <v>None</v>
      </c>
      <c r="H960" s="54" t="str">
        <f t="shared" si="49"/>
        <v>None</v>
      </c>
      <c r="I960" s="54" t="str">
        <f t="shared" si="50"/>
        <v>None</v>
      </c>
    </row>
    <row r="961" spans="7:9" x14ac:dyDescent="0.2">
      <c r="G961" s="54" t="str">
        <f t="shared" si="48"/>
        <v>None</v>
      </c>
      <c r="H961" s="54" t="str">
        <f t="shared" si="49"/>
        <v>None</v>
      </c>
      <c r="I961" s="54" t="str">
        <f t="shared" si="50"/>
        <v>None</v>
      </c>
    </row>
    <row r="962" spans="7:9" x14ac:dyDescent="0.2">
      <c r="G962" s="54" t="str">
        <f t="shared" si="48"/>
        <v>None</v>
      </c>
      <c r="H962" s="54" t="str">
        <f t="shared" si="49"/>
        <v>None</v>
      </c>
      <c r="I962" s="54" t="str">
        <f t="shared" si="50"/>
        <v>None</v>
      </c>
    </row>
    <row r="963" spans="7:9" x14ac:dyDescent="0.2">
      <c r="G963" s="54" t="str">
        <f t="shared" ref="G963:G1026" si="51">_xlfn.IFNA(VLOOKUP($C963,tour_modes,2,FALSE),"None")</f>
        <v>None</v>
      </c>
      <c r="H963" s="54" t="str">
        <f t="shared" ref="H963:H1026" si="52">_xlfn.IFNA(VLOOKUP($C963,tour_modes,3,FALSE),"None")</f>
        <v>None</v>
      </c>
      <c r="I963" s="54" t="str">
        <f t="shared" ref="I963:I1026" si="53">IF(A963="joint","Joint",_xlfn.IFNA(VLOOKUP($B963,tour_purposes,2,FALSE),"None"))</f>
        <v>None</v>
      </c>
    </row>
    <row r="964" spans="7:9" x14ac:dyDescent="0.2">
      <c r="G964" s="54" t="str">
        <f t="shared" si="51"/>
        <v>None</v>
      </c>
      <c r="H964" s="54" t="str">
        <f t="shared" si="52"/>
        <v>None</v>
      </c>
      <c r="I964" s="54" t="str">
        <f t="shared" si="53"/>
        <v>None</v>
      </c>
    </row>
    <row r="965" spans="7:9" x14ac:dyDescent="0.2">
      <c r="G965" s="54" t="str">
        <f t="shared" si="51"/>
        <v>None</v>
      </c>
      <c r="H965" s="54" t="str">
        <f t="shared" si="52"/>
        <v>None</v>
      </c>
      <c r="I965" s="54" t="str">
        <f t="shared" si="53"/>
        <v>None</v>
      </c>
    </row>
    <row r="966" spans="7:9" x14ac:dyDescent="0.2">
      <c r="G966" s="54" t="str">
        <f t="shared" si="51"/>
        <v>None</v>
      </c>
      <c r="H966" s="54" t="str">
        <f t="shared" si="52"/>
        <v>None</v>
      </c>
      <c r="I966" s="54" t="str">
        <f t="shared" si="53"/>
        <v>None</v>
      </c>
    </row>
    <row r="967" spans="7:9" x14ac:dyDescent="0.2">
      <c r="G967" s="54" t="str">
        <f t="shared" si="51"/>
        <v>None</v>
      </c>
      <c r="H967" s="54" t="str">
        <f t="shared" si="52"/>
        <v>None</v>
      </c>
      <c r="I967" s="54" t="str">
        <f t="shared" si="53"/>
        <v>None</v>
      </c>
    </row>
    <row r="968" spans="7:9" x14ac:dyDescent="0.2">
      <c r="G968" s="54" t="str">
        <f t="shared" si="51"/>
        <v>None</v>
      </c>
      <c r="H968" s="54" t="str">
        <f t="shared" si="52"/>
        <v>None</v>
      </c>
      <c r="I968" s="54" t="str">
        <f t="shared" si="53"/>
        <v>None</v>
      </c>
    </row>
    <row r="969" spans="7:9" x14ac:dyDescent="0.2">
      <c r="G969" s="54" t="str">
        <f t="shared" si="51"/>
        <v>None</v>
      </c>
      <c r="H969" s="54" t="str">
        <f t="shared" si="52"/>
        <v>None</v>
      </c>
      <c r="I969" s="54" t="str">
        <f t="shared" si="53"/>
        <v>None</v>
      </c>
    </row>
    <row r="970" spans="7:9" x14ac:dyDescent="0.2">
      <c r="G970" s="54" t="str">
        <f t="shared" si="51"/>
        <v>None</v>
      </c>
      <c r="H970" s="54" t="str">
        <f t="shared" si="52"/>
        <v>None</v>
      </c>
      <c r="I970" s="54" t="str">
        <f t="shared" si="53"/>
        <v>None</v>
      </c>
    </row>
    <row r="971" spans="7:9" x14ac:dyDescent="0.2">
      <c r="G971" s="54" t="str">
        <f t="shared" si="51"/>
        <v>None</v>
      </c>
      <c r="H971" s="54" t="str">
        <f t="shared" si="52"/>
        <v>None</v>
      </c>
      <c r="I971" s="54" t="str">
        <f t="shared" si="53"/>
        <v>None</v>
      </c>
    </row>
    <row r="972" spans="7:9" x14ac:dyDescent="0.2">
      <c r="G972" s="54" t="str">
        <f t="shared" si="51"/>
        <v>None</v>
      </c>
      <c r="H972" s="54" t="str">
        <f t="shared" si="52"/>
        <v>None</v>
      </c>
      <c r="I972" s="54" t="str">
        <f t="shared" si="53"/>
        <v>None</v>
      </c>
    </row>
    <row r="973" spans="7:9" x14ac:dyDescent="0.2">
      <c r="G973" s="54" t="str">
        <f t="shared" si="51"/>
        <v>None</v>
      </c>
      <c r="H973" s="54" t="str">
        <f t="shared" si="52"/>
        <v>None</v>
      </c>
      <c r="I973" s="54" t="str">
        <f t="shared" si="53"/>
        <v>None</v>
      </c>
    </row>
    <row r="974" spans="7:9" x14ac:dyDescent="0.2">
      <c r="G974" s="54" t="str">
        <f t="shared" si="51"/>
        <v>None</v>
      </c>
      <c r="H974" s="54" t="str">
        <f t="shared" si="52"/>
        <v>None</v>
      </c>
      <c r="I974" s="54" t="str">
        <f t="shared" si="53"/>
        <v>None</v>
      </c>
    </row>
    <row r="975" spans="7:9" x14ac:dyDescent="0.2">
      <c r="G975" s="54" t="str">
        <f t="shared" si="51"/>
        <v>None</v>
      </c>
      <c r="H975" s="54" t="str">
        <f t="shared" si="52"/>
        <v>None</v>
      </c>
      <c r="I975" s="54" t="str">
        <f t="shared" si="53"/>
        <v>None</v>
      </c>
    </row>
    <row r="976" spans="7:9" x14ac:dyDescent="0.2">
      <c r="G976" s="54" t="str">
        <f t="shared" si="51"/>
        <v>None</v>
      </c>
      <c r="H976" s="54" t="str">
        <f t="shared" si="52"/>
        <v>None</v>
      </c>
      <c r="I976" s="54" t="str">
        <f t="shared" si="53"/>
        <v>None</v>
      </c>
    </row>
    <row r="977" spans="7:9" x14ac:dyDescent="0.2">
      <c r="G977" s="54" t="str">
        <f t="shared" si="51"/>
        <v>None</v>
      </c>
      <c r="H977" s="54" t="str">
        <f t="shared" si="52"/>
        <v>None</v>
      </c>
      <c r="I977" s="54" t="str">
        <f t="shared" si="53"/>
        <v>None</v>
      </c>
    </row>
    <row r="978" spans="7:9" x14ac:dyDescent="0.2">
      <c r="G978" s="54" t="str">
        <f t="shared" si="51"/>
        <v>None</v>
      </c>
      <c r="H978" s="54" t="str">
        <f t="shared" si="52"/>
        <v>None</v>
      </c>
      <c r="I978" s="54" t="str">
        <f t="shared" si="53"/>
        <v>None</v>
      </c>
    </row>
    <row r="979" spans="7:9" x14ac:dyDescent="0.2">
      <c r="G979" s="54" t="str">
        <f t="shared" si="51"/>
        <v>None</v>
      </c>
      <c r="H979" s="54" t="str">
        <f t="shared" si="52"/>
        <v>None</v>
      </c>
      <c r="I979" s="54" t="str">
        <f t="shared" si="53"/>
        <v>None</v>
      </c>
    </row>
    <row r="980" spans="7:9" x14ac:dyDescent="0.2">
      <c r="G980" s="54" t="str">
        <f t="shared" si="51"/>
        <v>None</v>
      </c>
      <c r="H980" s="54" t="str">
        <f t="shared" si="52"/>
        <v>None</v>
      </c>
      <c r="I980" s="54" t="str">
        <f t="shared" si="53"/>
        <v>None</v>
      </c>
    </row>
    <row r="981" spans="7:9" x14ac:dyDescent="0.2">
      <c r="G981" s="54" t="str">
        <f t="shared" si="51"/>
        <v>None</v>
      </c>
      <c r="H981" s="54" t="str">
        <f t="shared" si="52"/>
        <v>None</v>
      </c>
      <c r="I981" s="54" t="str">
        <f t="shared" si="53"/>
        <v>None</v>
      </c>
    </row>
    <row r="982" spans="7:9" x14ac:dyDescent="0.2">
      <c r="G982" s="54" t="str">
        <f t="shared" si="51"/>
        <v>None</v>
      </c>
      <c r="H982" s="54" t="str">
        <f t="shared" si="52"/>
        <v>None</v>
      </c>
      <c r="I982" s="54" t="str">
        <f t="shared" si="53"/>
        <v>None</v>
      </c>
    </row>
    <row r="983" spans="7:9" x14ac:dyDescent="0.2">
      <c r="G983" s="54" t="str">
        <f t="shared" si="51"/>
        <v>None</v>
      </c>
      <c r="H983" s="54" t="str">
        <f t="shared" si="52"/>
        <v>None</v>
      </c>
      <c r="I983" s="54" t="str">
        <f t="shared" si="53"/>
        <v>None</v>
      </c>
    </row>
    <row r="984" spans="7:9" x14ac:dyDescent="0.2">
      <c r="G984" s="54" t="str">
        <f t="shared" si="51"/>
        <v>None</v>
      </c>
      <c r="H984" s="54" t="str">
        <f t="shared" si="52"/>
        <v>None</v>
      </c>
      <c r="I984" s="54" t="str">
        <f t="shared" si="53"/>
        <v>None</v>
      </c>
    </row>
    <row r="985" spans="7:9" x14ac:dyDescent="0.2">
      <c r="G985" s="54" t="str">
        <f t="shared" si="51"/>
        <v>None</v>
      </c>
      <c r="H985" s="54" t="str">
        <f t="shared" si="52"/>
        <v>None</v>
      </c>
      <c r="I985" s="54" t="str">
        <f t="shared" si="53"/>
        <v>None</v>
      </c>
    </row>
    <row r="986" spans="7:9" x14ac:dyDescent="0.2">
      <c r="G986" s="54" t="str">
        <f t="shared" si="51"/>
        <v>None</v>
      </c>
      <c r="H986" s="54" t="str">
        <f t="shared" si="52"/>
        <v>None</v>
      </c>
      <c r="I986" s="54" t="str">
        <f t="shared" si="53"/>
        <v>None</v>
      </c>
    </row>
    <row r="987" spans="7:9" x14ac:dyDescent="0.2">
      <c r="G987" s="54" t="str">
        <f t="shared" si="51"/>
        <v>None</v>
      </c>
      <c r="H987" s="54" t="str">
        <f t="shared" si="52"/>
        <v>None</v>
      </c>
      <c r="I987" s="54" t="str">
        <f t="shared" si="53"/>
        <v>None</v>
      </c>
    </row>
    <row r="988" spans="7:9" x14ac:dyDescent="0.2">
      <c r="G988" s="54" t="str">
        <f t="shared" si="51"/>
        <v>None</v>
      </c>
      <c r="H988" s="54" t="str">
        <f t="shared" si="52"/>
        <v>None</v>
      </c>
      <c r="I988" s="54" t="str">
        <f t="shared" si="53"/>
        <v>None</v>
      </c>
    </row>
    <row r="989" spans="7:9" x14ac:dyDescent="0.2">
      <c r="G989" s="54" t="str">
        <f t="shared" si="51"/>
        <v>None</v>
      </c>
      <c r="H989" s="54" t="str">
        <f t="shared" si="52"/>
        <v>None</v>
      </c>
      <c r="I989" s="54" t="str">
        <f t="shared" si="53"/>
        <v>None</v>
      </c>
    </row>
    <row r="990" spans="7:9" x14ac:dyDescent="0.2">
      <c r="G990" s="54" t="str">
        <f t="shared" si="51"/>
        <v>None</v>
      </c>
      <c r="H990" s="54" t="str">
        <f t="shared" si="52"/>
        <v>None</v>
      </c>
      <c r="I990" s="54" t="str">
        <f t="shared" si="53"/>
        <v>None</v>
      </c>
    </row>
    <row r="991" spans="7:9" x14ac:dyDescent="0.2">
      <c r="G991" s="54" t="str">
        <f t="shared" si="51"/>
        <v>None</v>
      </c>
      <c r="H991" s="54" t="str">
        <f t="shared" si="52"/>
        <v>None</v>
      </c>
      <c r="I991" s="54" t="str">
        <f t="shared" si="53"/>
        <v>None</v>
      </c>
    </row>
    <row r="992" spans="7:9" x14ac:dyDescent="0.2">
      <c r="G992" s="54" t="str">
        <f t="shared" si="51"/>
        <v>None</v>
      </c>
      <c r="H992" s="54" t="str">
        <f t="shared" si="52"/>
        <v>None</v>
      </c>
      <c r="I992" s="54" t="str">
        <f t="shared" si="53"/>
        <v>None</v>
      </c>
    </row>
    <row r="993" spans="7:9" x14ac:dyDescent="0.2">
      <c r="G993" s="54" t="str">
        <f t="shared" si="51"/>
        <v>None</v>
      </c>
      <c r="H993" s="54" t="str">
        <f t="shared" si="52"/>
        <v>None</v>
      </c>
      <c r="I993" s="54" t="str">
        <f t="shared" si="53"/>
        <v>None</v>
      </c>
    </row>
    <row r="994" spans="7:9" x14ac:dyDescent="0.2">
      <c r="G994" s="54" t="str">
        <f t="shared" si="51"/>
        <v>None</v>
      </c>
      <c r="H994" s="54" t="str">
        <f t="shared" si="52"/>
        <v>None</v>
      </c>
      <c r="I994" s="54" t="str">
        <f t="shared" si="53"/>
        <v>None</v>
      </c>
    </row>
    <row r="995" spans="7:9" x14ac:dyDescent="0.2">
      <c r="G995" s="54" t="str">
        <f t="shared" si="51"/>
        <v>None</v>
      </c>
      <c r="H995" s="54" t="str">
        <f t="shared" si="52"/>
        <v>None</v>
      </c>
      <c r="I995" s="54" t="str">
        <f t="shared" si="53"/>
        <v>None</v>
      </c>
    </row>
    <row r="996" spans="7:9" x14ac:dyDescent="0.2">
      <c r="G996" s="54" t="str">
        <f t="shared" si="51"/>
        <v>None</v>
      </c>
      <c r="H996" s="54" t="str">
        <f t="shared" si="52"/>
        <v>None</v>
      </c>
      <c r="I996" s="54" t="str">
        <f t="shared" si="53"/>
        <v>None</v>
      </c>
    </row>
    <row r="997" spans="7:9" x14ac:dyDescent="0.2">
      <c r="G997" s="54" t="str">
        <f t="shared" si="51"/>
        <v>None</v>
      </c>
      <c r="H997" s="54" t="str">
        <f t="shared" si="52"/>
        <v>None</v>
      </c>
      <c r="I997" s="54" t="str">
        <f t="shared" si="53"/>
        <v>None</v>
      </c>
    </row>
    <row r="998" spans="7:9" x14ac:dyDescent="0.2">
      <c r="G998" s="54" t="str">
        <f t="shared" si="51"/>
        <v>None</v>
      </c>
      <c r="H998" s="54" t="str">
        <f t="shared" si="52"/>
        <v>None</v>
      </c>
      <c r="I998" s="54" t="str">
        <f t="shared" si="53"/>
        <v>None</v>
      </c>
    </row>
    <row r="999" spans="7:9" x14ac:dyDescent="0.2">
      <c r="G999" s="54" t="str">
        <f t="shared" si="51"/>
        <v>None</v>
      </c>
      <c r="H999" s="54" t="str">
        <f t="shared" si="52"/>
        <v>None</v>
      </c>
      <c r="I999" s="54" t="str">
        <f t="shared" si="53"/>
        <v>None</v>
      </c>
    </row>
    <row r="1000" spans="7:9" x14ac:dyDescent="0.2">
      <c r="G1000" s="54" t="str">
        <f t="shared" si="51"/>
        <v>None</v>
      </c>
      <c r="H1000" s="54" t="str">
        <f t="shared" si="52"/>
        <v>None</v>
      </c>
      <c r="I1000" s="54" t="str">
        <f t="shared" si="53"/>
        <v>None</v>
      </c>
    </row>
    <row r="1001" spans="7:9" x14ac:dyDescent="0.2">
      <c r="G1001" s="54" t="str">
        <f t="shared" si="51"/>
        <v>None</v>
      </c>
      <c r="H1001" s="54" t="str">
        <f t="shared" si="52"/>
        <v>None</v>
      </c>
      <c r="I1001" s="54" t="str">
        <f t="shared" si="53"/>
        <v>None</v>
      </c>
    </row>
    <row r="1002" spans="7:9" x14ac:dyDescent="0.2">
      <c r="G1002" s="54" t="str">
        <f t="shared" si="51"/>
        <v>None</v>
      </c>
      <c r="H1002" s="54" t="str">
        <f t="shared" si="52"/>
        <v>None</v>
      </c>
      <c r="I1002" s="54" t="str">
        <f t="shared" si="53"/>
        <v>None</v>
      </c>
    </row>
    <row r="1003" spans="7:9" x14ac:dyDescent="0.2">
      <c r="G1003" s="54" t="str">
        <f t="shared" si="51"/>
        <v>None</v>
      </c>
      <c r="H1003" s="54" t="str">
        <f t="shared" si="52"/>
        <v>None</v>
      </c>
      <c r="I1003" s="54" t="str">
        <f t="shared" si="53"/>
        <v>None</v>
      </c>
    </row>
    <row r="1004" spans="7:9" x14ac:dyDescent="0.2">
      <c r="G1004" s="54" t="str">
        <f t="shared" si="51"/>
        <v>None</v>
      </c>
      <c r="H1004" s="54" t="str">
        <f t="shared" si="52"/>
        <v>None</v>
      </c>
      <c r="I1004" s="54" t="str">
        <f t="shared" si="53"/>
        <v>None</v>
      </c>
    </row>
    <row r="1005" spans="7:9" x14ac:dyDescent="0.2">
      <c r="G1005" s="54" t="str">
        <f t="shared" si="51"/>
        <v>None</v>
      </c>
      <c r="H1005" s="54" t="str">
        <f t="shared" si="52"/>
        <v>None</v>
      </c>
      <c r="I1005" s="54" t="str">
        <f t="shared" si="53"/>
        <v>None</v>
      </c>
    </row>
    <row r="1006" spans="7:9" x14ac:dyDescent="0.2">
      <c r="G1006" s="54" t="str">
        <f t="shared" si="51"/>
        <v>None</v>
      </c>
      <c r="H1006" s="54" t="str">
        <f t="shared" si="52"/>
        <v>None</v>
      </c>
      <c r="I1006" s="54" t="str">
        <f t="shared" si="53"/>
        <v>None</v>
      </c>
    </row>
    <row r="1007" spans="7:9" x14ac:dyDescent="0.2">
      <c r="G1007" s="54" t="str">
        <f t="shared" si="51"/>
        <v>None</v>
      </c>
      <c r="H1007" s="54" t="str">
        <f t="shared" si="52"/>
        <v>None</v>
      </c>
      <c r="I1007" s="54" t="str">
        <f t="shared" si="53"/>
        <v>None</v>
      </c>
    </row>
    <row r="1008" spans="7:9" x14ac:dyDescent="0.2">
      <c r="G1008" s="54" t="str">
        <f t="shared" si="51"/>
        <v>None</v>
      </c>
      <c r="H1008" s="54" t="str">
        <f t="shared" si="52"/>
        <v>None</v>
      </c>
      <c r="I1008" s="54" t="str">
        <f t="shared" si="53"/>
        <v>None</v>
      </c>
    </row>
    <row r="1009" spans="7:9" x14ac:dyDescent="0.2">
      <c r="G1009" s="54" t="str">
        <f t="shared" si="51"/>
        <v>None</v>
      </c>
      <c r="H1009" s="54" t="str">
        <f t="shared" si="52"/>
        <v>None</v>
      </c>
      <c r="I1009" s="54" t="str">
        <f t="shared" si="53"/>
        <v>None</v>
      </c>
    </row>
    <row r="1010" spans="7:9" x14ac:dyDescent="0.2">
      <c r="G1010" s="54" t="str">
        <f t="shared" si="51"/>
        <v>None</v>
      </c>
      <c r="H1010" s="54" t="str">
        <f t="shared" si="52"/>
        <v>None</v>
      </c>
      <c r="I1010" s="54" t="str">
        <f t="shared" si="53"/>
        <v>None</v>
      </c>
    </row>
    <row r="1011" spans="7:9" x14ac:dyDescent="0.2">
      <c r="G1011" s="54" t="str">
        <f t="shared" si="51"/>
        <v>None</v>
      </c>
      <c r="H1011" s="54" t="str">
        <f t="shared" si="52"/>
        <v>None</v>
      </c>
      <c r="I1011" s="54" t="str">
        <f t="shared" si="53"/>
        <v>None</v>
      </c>
    </row>
    <row r="1012" spans="7:9" x14ac:dyDescent="0.2">
      <c r="G1012" s="54" t="str">
        <f t="shared" si="51"/>
        <v>None</v>
      </c>
      <c r="H1012" s="54" t="str">
        <f t="shared" si="52"/>
        <v>None</v>
      </c>
      <c r="I1012" s="54" t="str">
        <f t="shared" si="53"/>
        <v>None</v>
      </c>
    </row>
    <row r="1013" spans="7:9" x14ac:dyDescent="0.2">
      <c r="G1013" s="54" t="str">
        <f t="shared" si="51"/>
        <v>None</v>
      </c>
      <c r="H1013" s="54" t="str">
        <f t="shared" si="52"/>
        <v>None</v>
      </c>
      <c r="I1013" s="54" t="str">
        <f t="shared" si="53"/>
        <v>None</v>
      </c>
    </row>
    <row r="1014" spans="7:9" x14ac:dyDescent="0.2">
      <c r="G1014" s="54" t="str">
        <f t="shared" si="51"/>
        <v>None</v>
      </c>
      <c r="H1014" s="54" t="str">
        <f t="shared" si="52"/>
        <v>None</v>
      </c>
      <c r="I1014" s="54" t="str">
        <f t="shared" si="53"/>
        <v>None</v>
      </c>
    </row>
    <row r="1015" spans="7:9" x14ac:dyDescent="0.2">
      <c r="G1015" s="54" t="str">
        <f t="shared" si="51"/>
        <v>None</v>
      </c>
      <c r="H1015" s="54" t="str">
        <f t="shared" si="52"/>
        <v>None</v>
      </c>
      <c r="I1015" s="54" t="str">
        <f t="shared" si="53"/>
        <v>None</v>
      </c>
    </row>
    <row r="1016" spans="7:9" x14ac:dyDescent="0.2">
      <c r="G1016" s="54" t="str">
        <f t="shared" si="51"/>
        <v>None</v>
      </c>
      <c r="H1016" s="54" t="str">
        <f t="shared" si="52"/>
        <v>None</v>
      </c>
      <c r="I1016" s="54" t="str">
        <f t="shared" si="53"/>
        <v>None</v>
      </c>
    </row>
    <row r="1017" spans="7:9" x14ac:dyDescent="0.2">
      <c r="G1017" s="54" t="str">
        <f t="shared" si="51"/>
        <v>None</v>
      </c>
      <c r="H1017" s="54" t="str">
        <f t="shared" si="52"/>
        <v>None</v>
      </c>
      <c r="I1017" s="54" t="str">
        <f t="shared" si="53"/>
        <v>None</v>
      </c>
    </row>
    <row r="1018" spans="7:9" x14ac:dyDescent="0.2">
      <c r="G1018" s="54" t="str">
        <f t="shared" si="51"/>
        <v>None</v>
      </c>
      <c r="H1018" s="54" t="str">
        <f t="shared" si="52"/>
        <v>None</v>
      </c>
      <c r="I1018" s="54" t="str">
        <f t="shared" si="53"/>
        <v>None</v>
      </c>
    </row>
    <row r="1019" spans="7:9" x14ac:dyDescent="0.2">
      <c r="G1019" s="54" t="str">
        <f t="shared" si="51"/>
        <v>None</v>
      </c>
      <c r="H1019" s="54" t="str">
        <f t="shared" si="52"/>
        <v>None</v>
      </c>
      <c r="I1019" s="54" t="str">
        <f t="shared" si="53"/>
        <v>None</v>
      </c>
    </row>
    <row r="1020" spans="7:9" x14ac:dyDescent="0.2">
      <c r="G1020" s="54" t="str">
        <f t="shared" si="51"/>
        <v>None</v>
      </c>
      <c r="H1020" s="54" t="str">
        <f t="shared" si="52"/>
        <v>None</v>
      </c>
      <c r="I1020" s="54" t="str">
        <f t="shared" si="53"/>
        <v>None</v>
      </c>
    </row>
    <row r="1021" spans="7:9" x14ac:dyDescent="0.2">
      <c r="G1021" s="54" t="str">
        <f t="shared" si="51"/>
        <v>None</v>
      </c>
      <c r="H1021" s="54" t="str">
        <f t="shared" si="52"/>
        <v>None</v>
      </c>
      <c r="I1021" s="54" t="str">
        <f t="shared" si="53"/>
        <v>None</v>
      </c>
    </row>
    <row r="1022" spans="7:9" x14ac:dyDescent="0.2">
      <c r="G1022" s="54" t="str">
        <f t="shared" si="51"/>
        <v>None</v>
      </c>
      <c r="H1022" s="54" t="str">
        <f t="shared" si="52"/>
        <v>None</v>
      </c>
      <c r="I1022" s="54" t="str">
        <f t="shared" si="53"/>
        <v>None</v>
      </c>
    </row>
    <row r="1023" spans="7:9" x14ac:dyDescent="0.2">
      <c r="G1023" s="54" t="str">
        <f t="shared" si="51"/>
        <v>None</v>
      </c>
      <c r="H1023" s="54" t="str">
        <f t="shared" si="52"/>
        <v>None</v>
      </c>
      <c r="I1023" s="54" t="str">
        <f t="shared" si="53"/>
        <v>None</v>
      </c>
    </row>
    <row r="1024" spans="7:9" x14ac:dyDescent="0.2">
      <c r="G1024" s="54" t="str">
        <f t="shared" si="51"/>
        <v>None</v>
      </c>
      <c r="H1024" s="54" t="str">
        <f t="shared" si="52"/>
        <v>None</v>
      </c>
      <c r="I1024" s="54" t="str">
        <f t="shared" si="53"/>
        <v>None</v>
      </c>
    </row>
    <row r="1025" spans="7:9" x14ac:dyDescent="0.2">
      <c r="G1025" s="54" t="str">
        <f t="shared" si="51"/>
        <v>None</v>
      </c>
      <c r="H1025" s="54" t="str">
        <f t="shared" si="52"/>
        <v>None</v>
      </c>
      <c r="I1025" s="54" t="str">
        <f t="shared" si="53"/>
        <v>None</v>
      </c>
    </row>
    <row r="1026" spans="7:9" x14ac:dyDescent="0.2">
      <c r="G1026" s="54" t="str">
        <f t="shared" si="51"/>
        <v>None</v>
      </c>
      <c r="H1026" s="54" t="str">
        <f t="shared" si="52"/>
        <v>None</v>
      </c>
      <c r="I1026" s="54" t="str">
        <f t="shared" si="53"/>
        <v>None</v>
      </c>
    </row>
    <row r="1027" spans="7:9" x14ac:dyDescent="0.2">
      <c r="G1027" s="54" t="str">
        <f t="shared" ref="G1027:G1090" si="54">_xlfn.IFNA(VLOOKUP($C1027,tour_modes,2,FALSE),"None")</f>
        <v>None</v>
      </c>
      <c r="H1027" s="54" t="str">
        <f t="shared" ref="H1027:H1090" si="55">_xlfn.IFNA(VLOOKUP($C1027,tour_modes,3,FALSE),"None")</f>
        <v>None</v>
      </c>
      <c r="I1027" s="54" t="str">
        <f t="shared" ref="I1027:I1090" si="56">IF(A1027="joint","Joint",_xlfn.IFNA(VLOOKUP($B1027,tour_purposes,2,FALSE),"None"))</f>
        <v>None</v>
      </c>
    </row>
    <row r="1028" spans="7:9" x14ac:dyDescent="0.2">
      <c r="G1028" s="54" t="str">
        <f t="shared" si="54"/>
        <v>None</v>
      </c>
      <c r="H1028" s="54" t="str">
        <f t="shared" si="55"/>
        <v>None</v>
      </c>
      <c r="I1028" s="54" t="str">
        <f t="shared" si="56"/>
        <v>None</v>
      </c>
    </row>
    <row r="1029" spans="7:9" x14ac:dyDescent="0.2">
      <c r="G1029" s="54" t="str">
        <f t="shared" si="54"/>
        <v>None</v>
      </c>
      <c r="H1029" s="54" t="str">
        <f t="shared" si="55"/>
        <v>None</v>
      </c>
      <c r="I1029" s="54" t="str">
        <f t="shared" si="56"/>
        <v>None</v>
      </c>
    </row>
    <row r="1030" spans="7:9" x14ac:dyDescent="0.2">
      <c r="G1030" s="54" t="str">
        <f t="shared" si="54"/>
        <v>None</v>
      </c>
      <c r="H1030" s="54" t="str">
        <f t="shared" si="55"/>
        <v>None</v>
      </c>
      <c r="I1030" s="54" t="str">
        <f t="shared" si="56"/>
        <v>None</v>
      </c>
    </row>
    <row r="1031" spans="7:9" x14ac:dyDescent="0.2">
      <c r="G1031" s="54" t="str">
        <f t="shared" si="54"/>
        <v>None</v>
      </c>
      <c r="H1031" s="54" t="str">
        <f t="shared" si="55"/>
        <v>None</v>
      </c>
      <c r="I1031" s="54" t="str">
        <f t="shared" si="56"/>
        <v>None</v>
      </c>
    </row>
    <row r="1032" spans="7:9" x14ac:dyDescent="0.2">
      <c r="G1032" s="54" t="str">
        <f t="shared" si="54"/>
        <v>None</v>
      </c>
      <c r="H1032" s="54" t="str">
        <f t="shared" si="55"/>
        <v>None</v>
      </c>
      <c r="I1032" s="54" t="str">
        <f t="shared" si="56"/>
        <v>None</v>
      </c>
    </row>
    <row r="1033" spans="7:9" x14ac:dyDescent="0.2">
      <c r="G1033" s="54" t="str">
        <f t="shared" si="54"/>
        <v>None</v>
      </c>
      <c r="H1033" s="54" t="str">
        <f t="shared" si="55"/>
        <v>None</v>
      </c>
      <c r="I1033" s="54" t="str">
        <f t="shared" si="56"/>
        <v>None</v>
      </c>
    </row>
    <row r="1034" spans="7:9" x14ac:dyDescent="0.2">
      <c r="G1034" s="54" t="str">
        <f t="shared" si="54"/>
        <v>None</v>
      </c>
      <c r="H1034" s="54" t="str">
        <f t="shared" si="55"/>
        <v>None</v>
      </c>
      <c r="I1034" s="54" t="str">
        <f t="shared" si="56"/>
        <v>None</v>
      </c>
    </row>
    <row r="1035" spans="7:9" x14ac:dyDescent="0.2">
      <c r="G1035" s="54" t="str">
        <f t="shared" si="54"/>
        <v>None</v>
      </c>
      <c r="H1035" s="54" t="str">
        <f t="shared" si="55"/>
        <v>None</v>
      </c>
      <c r="I1035" s="54" t="str">
        <f t="shared" si="56"/>
        <v>None</v>
      </c>
    </row>
    <row r="1036" spans="7:9" x14ac:dyDescent="0.2">
      <c r="G1036" s="54" t="str">
        <f t="shared" si="54"/>
        <v>None</v>
      </c>
      <c r="H1036" s="54" t="str">
        <f t="shared" si="55"/>
        <v>None</v>
      </c>
      <c r="I1036" s="54" t="str">
        <f t="shared" si="56"/>
        <v>None</v>
      </c>
    </row>
    <row r="1037" spans="7:9" x14ac:dyDescent="0.2">
      <c r="G1037" s="54" t="str">
        <f t="shared" si="54"/>
        <v>None</v>
      </c>
      <c r="H1037" s="54" t="str">
        <f t="shared" si="55"/>
        <v>None</v>
      </c>
      <c r="I1037" s="54" t="str">
        <f t="shared" si="56"/>
        <v>None</v>
      </c>
    </row>
    <row r="1038" spans="7:9" x14ac:dyDescent="0.2">
      <c r="G1038" s="54" t="str">
        <f t="shared" si="54"/>
        <v>None</v>
      </c>
      <c r="H1038" s="54" t="str">
        <f t="shared" si="55"/>
        <v>None</v>
      </c>
      <c r="I1038" s="54" t="str">
        <f t="shared" si="56"/>
        <v>None</v>
      </c>
    </row>
    <row r="1039" spans="7:9" x14ac:dyDescent="0.2">
      <c r="G1039" s="54" t="str">
        <f t="shared" si="54"/>
        <v>None</v>
      </c>
      <c r="H1039" s="54" t="str">
        <f t="shared" si="55"/>
        <v>None</v>
      </c>
      <c r="I1039" s="54" t="str">
        <f t="shared" si="56"/>
        <v>None</v>
      </c>
    </row>
    <row r="1040" spans="7:9" x14ac:dyDescent="0.2">
      <c r="G1040" s="54" t="str">
        <f t="shared" si="54"/>
        <v>None</v>
      </c>
      <c r="H1040" s="54" t="str">
        <f t="shared" si="55"/>
        <v>None</v>
      </c>
      <c r="I1040" s="54" t="str">
        <f t="shared" si="56"/>
        <v>None</v>
      </c>
    </row>
    <row r="1041" spans="7:9" x14ac:dyDescent="0.2">
      <c r="G1041" s="54" t="str">
        <f t="shared" si="54"/>
        <v>None</v>
      </c>
      <c r="H1041" s="54" t="str">
        <f t="shared" si="55"/>
        <v>None</v>
      </c>
      <c r="I1041" s="54" t="str">
        <f t="shared" si="56"/>
        <v>None</v>
      </c>
    </row>
    <row r="1042" spans="7:9" x14ac:dyDescent="0.2">
      <c r="G1042" s="54" t="str">
        <f t="shared" si="54"/>
        <v>None</v>
      </c>
      <c r="H1042" s="54" t="str">
        <f t="shared" si="55"/>
        <v>None</v>
      </c>
      <c r="I1042" s="54" t="str">
        <f t="shared" si="56"/>
        <v>None</v>
      </c>
    </row>
    <row r="1043" spans="7:9" x14ac:dyDescent="0.2">
      <c r="G1043" s="54" t="str">
        <f t="shared" si="54"/>
        <v>None</v>
      </c>
      <c r="H1043" s="54" t="str">
        <f t="shared" si="55"/>
        <v>None</v>
      </c>
      <c r="I1043" s="54" t="str">
        <f t="shared" si="56"/>
        <v>None</v>
      </c>
    </row>
    <row r="1044" spans="7:9" x14ac:dyDescent="0.2">
      <c r="G1044" s="54" t="str">
        <f t="shared" si="54"/>
        <v>None</v>
      </c>
      <c r="H1044" s="54" t="str">
        <f t="shared" si="55"/>
        <v>None</v>
      </c>
      <c r="I1044" s="54" t="str">
        <f t="shared" si="56"/>
        <v>None</v>
      </c>
    </row>
    <row r="1045" spans="7:9" x14ac:dyDescent="0.2">
      <c r="G1045" s="54" t="str">
        <f t="shared" si="54"/>
        <v>None</v>
      </c>
      <c r="H1045" s="54" t="str">
        <f t="shared" si="55"/>
        <v>None</v>
      </c>
      <c r="I1045" s="54" t="str">
        <f t="shared" si="56"/>
        <v>None</v>
      </c>
    </row>
    <row r="1046" spans="7:9" x14ac:dyDescent="0.2">
      <c r="G1046" s="54" t="str">
        <f t="shared" si="54"/>
        <v>None</v>
      </c>
      <c r="H1046" s="54" t="str">
        <f t="shared" si="55"/>
        <v>None</v>
      </c>
      <c r="I1046" s="54" t="str">
        <f t="shared" si="56"/>
        <v>None</v>
      </c>
    </row>
    <row r="1047" spans="7:9" x14ac:dyDescent="0.2">
      <c r="G1047" s="54" t="str">
        <f t="shared" si="54"/>
        <v>None</v>
      </c>
      <c r="H1047" s="54" t="str">
        <f t="shared" si="55"/>
        <v>None</v>
      </c>
      <c r="I1047" s="54" t="str">
        <f t="shared" si="56"/>
        <v>None</v>
      </c>
    </row>
    <row r="1048" spans="7:9" x14ac:dyDescent="0.2">
      <c r="G1048" s="54" t="str">
        <f t="shared" si="54"/>
        <v>None</v>
      </c>
      <c r="H1048" s="54" t="str">
        <f t="shared" si="55"/>
        <v>None</v>
      </c>
      <c r="I1048" s="54" t="str">
        <f t="shared" si="56"/>
        <v>None</v>
      </c>
    </row>
    <row r="1049" spans="7:9" x14ac:dyDescent="0.2">
      <c r="G1049" s="54" t="str">
        <f t="shared" si="54"/>
        <v>None</v>
      </c>
      <c r="H1049" s="54" t="str">
        <f t="shared" si="55"/>
        <v>None</v>
      </c>
      <c r="I1049" s="54" t="str">
        <f t="shared" si="56"/>
        <v>None</v>
      </c>
    </row>
    <row r="1050" spans="7:9" x14ac:dyDescent="0.2">
      <c r="G1050" s="54" t="str">
        <f t="shared" si="54"/>
        <v>None</v>
      </c>
      <c r="H1050" s="54" t="str">
        <f t="shared" si="55"/>
        <v>None</v>
      </c>
      <c r="I1050" s="54" t="str">
        <f t="shared" si="56"/>
        <v>None</v>
      </c>
    </row>
    <row r="1051" spans="7:9" x14ac:dyDescent="0.2">
      <c r="G1051" s="54" t="str">
        <f t="shared" si="54"/>
        <v>None</v>
      </c>
      <c r="H1051" s="54" t="str">
        <f t="shared" si="55"/>
        <v>None</v>
      </c>
      <c r="I1051" s="54" t="str">
        <f t="shared" si="56"/>
        <v>None</v>
      </c>
    </row>
    <row r="1052" spans="7:9" x14ac:dyDescent="0.2">
      <c r="G1052" s="54" t="str">
        <f t="shared" si="54"/>
        <v>None</v>
      </c>
      <c r="H1052" s="54" t="str">
        <f t="shared" si="55"/>
        <v>None</v>
      </c>
      <c r="I1052" s="54" t="str">
        <f t="shared" si="56"/>
        <v>None</v>
      </c>
    </row>
    <row r="1053" spans="7:9" x14ac:dyDescent="0.2">
      <c r="G1053" s="54" t="str">
        <f t="shared" si="54"/>
        <v>None</v>
      </c>
      <c r="H1053" s="54" t="str">
        <f t="shared" si="55"/>
        <v>None</v>
      </c>
      <c r="I1053" s="54" t="str">
        <f t="shared" si="56"/>
        <v>None</v>
      </c>
    </row>
    <row r="1054" spans="7:9" x14ac:dyDescent="0.2">
      <c r="G1054" s="54" t="str">
        <f t="shared" si="54"/>
        <v>None</v>
      </c>
      <c r="H1054" s="54" t="str">
        <f t="shared" si="55"/>
        <v>None</v>
      </c>
      <c r="I1054" s="54" t="str">
        <f t="shared" si="56"/>
        <v>None</v>
      </c>
    </row>
    <row r="1055" spans="7:9" x14ac:dyDescent="0.2">
      <c r="G1055" s="54" t="str">
        <f t="shared" si="54"/>
        <v>None</v>
      </c>
      <c r="H1055" s="54" t="str">
        <f t="shared" si="55"/>
        <v>None</v>
      </c>
      <c r="I1055" s="54" t="str">
        <f t="shared" si="56"/>
        <v>None</v>
      </c>
    </row>
    <row r="1056" spans="7:9" x14ac:dyDescent="0.2">
      <c r="G1056" s="54" t="str">
        <f t="shared" si="54"/>
        <v>None</v>
      </c>
      <c r="H1056" s="54" t="str">
        <f t="shared" si="55"/>
        <v>None</v>
      </c>
      <c r="I1056" s="54" t="str">
        <f t="shared" si="56"/>
        <v>None</v>
      </c>
    </row>
    <row r="1057" spans="7:9" x14ac:dyDescent="0.2">
      <c r="G1057" s="54" t="str">
        <f t="shared" si="54"/>
        <v>None</v>
      </c>
      <c r="H1057" s="54" t="str">
        <f t="shared" si="55"/>
        <v>None</v>
      </c>
      <c r="I1057" s="54" t="str">
        <f t="shared" si="56"/>
        <v>None</v>
      </c>
    </row>
    <row r="1058" spans="7:9" x14ac:dyDescent="0.2">
      <c r="G1058" s="54" t="str">
        <f t="shared" si="54"/>
        <v>None</v>
      </c>
      <c r="H1058" s="54" t="str">
        <f t="shared" si="55"/>
        <v>None</v>
      </c>
      <c r="I1058" s="54" t="str">
        <f t="shared" si="56"/>
        <v>None</v>
      </c>
    </row>
    <row r="1059" spans="7:9" x14ac:dyDescent="0.2">
      <c r="G1059" s="54" t="str">
        <f t="shared" si="54"/>
        <v>None</v>
      </c>
      <c r="H1059" s="54" t="str">
        <f t="shared" si="55"/>
        <v>None</v>
      </c>
      <c r="I1059" s="54" t="str">
        <f t="shared" si="56"/>
        <v>None</v>
      </c>
    </row>
    <row r="1060" spans="7:9" x14ac:dyDescent="0.2">
      <c r="G1060" s="54" t="str">
        <f t="shared" si="54"/>
        <v>None</v>
      </c>
      <c r="H1060" s="54" t="str">
        <f t="shared" si="55"/>
        <v>None</v>
      </c>
      <c r="I1060" s="54" t="str">
        <f t="shared" si="56"/>
        <v>None</v>
      </c>
    </row>
    <row r="1061" spans="7:9" x14ac:dyDescent="0.2">
      <c r="G1061" s="54" t="str">
        <f t="shared" si="54"/>
        <v>None</v>
      </c>
      <c r="H1061" s="54" t="str">
        <f t="shared" si="55"/>
        <v>None</v>
      </c>
      <c r="I1061" s="54" t="str">
        <f t="shared" si="56"/>
        <v>None</v>
      </c>
    </row>
    <row r="1062" spans="7:9" x14ac:dyDescent="0.2">
      <c r="G1062" s="54" t="str">
        <f t="shared" si="54"/>
        <v>None</v>
      </c>
      <c r="H1062" s="54" t="str">
        <f t="shared" si="55"/>
        <v>None</v>
      </c>
      <c r="I1062" s="54" t="str">
        <f t="shared" si="56"/>
        <v>None</v>
      </c>
    </row>
    <row r="1063" spans="7:9" x14ac:dyDescent="0.2">
      <c r="G1063" s="54" t="str">
        <f t="shared" si="54"/>
        <v>None</v>
      </c>
      <c r="H1063" s="54" t="str">
        <f t="shared" si="55"/>
        <v>None</v>
      </c>
      <c r="I1063" s="54" t="str">
        <f t="shared" si="56"/>
        <v>None</v>
      </c>
    </row>
    <row r="1064" spans="7:9" x14ac:dyDescent="0.2">
      <c r="G1064" s="54" t="str">
        <f t="shared" si="54"/>
        <v>None</v>
      </c>
      <c r="H1064" s="54" t="str">
        <f t="shared" si="55"/>
        <v>None</v>
      </c>
      <c r="I1064" s="54" t="str">
        <f t="shared" si="56"/>
        <v>None</v>
      </c>
    </row>
    <row r="1065" spans="7:9" x14ac:dyDescent="0.2">
      <c r="G1065" s="54" t="str">
        <f t="shared" si="54"/>
        <v>None</v>
      </c>
      <c r="H1065" s="54" t="str">
        <f t="shared" si="55"/>
        <v>None</v>
      </c>
      <c r="I1065" s="54" t="str">
        <f t="shared" si="56"/>
        <v>None</v>
      </c>
    </row>
    <row r="1066" spans="7:9" x14ac:dyDescent="0.2">
      <c r="G1066" s="54" t="str">
        <f t="shared" si="54"/>
        <v>None</v>
      </c>
      <c r="H1066" s="54" t="str">
        <f t="shared" si="55"/>
        <v>None</v>
      </c>
      <c r="I1066" s="54" t="str">
        <f t="shared" si="56"/>
        <v>None</v>
      </c>
    </row>
    <row r="1067" spans="7:9" x14ac:dyDescent="0.2">
      <c r="G1067" s="54" t="str">
        <f t="shared" si="54"/>
        <v>None</v>
      </c>
      <c r="H1067" s="54" t="str">
        <f t="shared" si="55"/>
        <v>None</v>
      </c>
      <c r="I1067" s="54" t="str">
        <f t="shared" si="56"/>
        <v>None</v>
      </c>
    </row>
    <row r="1068" spans="7:9" x14ac:dyDescent="0.2">
      <c r="G1068" s="54" t="str">
        <f t="shared" si="54"/>
        <v>None</v>
      </c>
      <c r="H1068" s="54" t="str">
        <f t="shared" si="55"/>
        <v>None</v>
      </c>
      <c r="I1068" s="54" t="str">
        <f t="shared" si="56"/>
        <v>None</v>
      </c>
    </row>
    <row r="1069" spans="7:9" x14ac:dyDescent="0.2">
      <c r="G1069" s="54" t="str">
        <f t="shared" si="54"/>
        <v>None</v>
      </c>
      <c r="H1069" s="54" t="str">
        <f t="shared" si="55"/>
        <v>None</v>
      </c>
      <c r="I1069" s="54" t="str">
        <f t="shared" si="56"/>
        <v>None</v>
      </c>
    </row>
    <row r="1070" spans="7:9" x14ac:dyDescent="0.2">
      <c r="G1070" s="54" t="str">
        <f t="shared" si="54"/>
        <v>None</v>
      </c>
      <c r="H1070" s="54" t="str">
        <f t="shared" si="55"/>
        <v>None</v>
      </c>
      <c r="I1070" s="54" t="str">
        <f t="shared" si="56"/>
        <v>None</v>
      </c>
    </row>
    <row r="1071" spans="7:9" x14ac:dyDescent="0.2">
      <c r="G1071" s="54" t="str">
        <f t="shared" si="54"/>
        <v>None</v>
      </c>
      <c r="H1071" s="54" t="str">
        <f t="shared" si="55"/>
        <v>None</v>
      </c>
      <c r="I1071" s="54" t="str">
        <f t="shared" si="56"/>
        <v>None</v>
      </c>
    </row>
    <row r="1072" spans="7:9" x14ac:dyDescent="0.2">
      <c r="G1072" s="54" t="str">
        <f t="shared" si="54"/>
        <v>None</v>
      </c>
      <c r="H1072" s="54" t="str">
        <f t="shared" si="55"/>
        <v>None</v>
      </c>
      <c r="I1072" s="54" t="str">
        <f t="shared" si="56"/>
        <v>None</v>
      </c>
    </row>
    <row r="1073" spans="7:9" x14ac:dyDescent="0.2">
      <c r="G1073" s="54" t="str">
        <f t="shared" si="54"/>
        <v>None</v>
      </c>
      <c r="H1073" s="54" t="str">
        <f t="shared" si="55"/>
        <v>None</v>
      </c>
      <c r="I1073" s="54" t="str">
        <f t="shared" si="56"/>
        <v>None</v>
      </c>
    </row>
    <row r="1074" spans="7:9" x14ac:dyDescent="0.2">
      <c r="G1074" s="54" t="str">
        <f t="shared" si="54"/>
        <v>None</v>
      </c>
      <c r="H1074" s="54" t="str">
        <f t="shared" si="55"/>
        <v>None</v>
      </c>
      <c r="I1074" s="54" t="str">
        <f t="shared" si="56"/>
        <v>None</v>
      </c>
    </row>
    <row r="1075" spans="7:9" x14ac:dyDescent="0.2">
      <c r="G1075" s="54" t="str">
        <f t="shared" si="54"/>
        <v>None</v>
      </c>
      <c r="H1075" s="54" t="str">
        <f t="shared" si="55"/>
        <v>None</v>
      </c>
      <c r="I1075" s="54" t="str">
        <f t="shared" si="56"/>
        <v>None</v>
      </c>
    </row>
    <row r="1076" spans="7:9" x14ac:dyDescent="0.2">
      <c r="G1076" s="54" t="str">
        <f t="shared" si="54"/>
        <v>None</v>
      </c>
      <c r="H1076" s="54" t="str">
        <f t="shared" si="55"/>
        <v>None</v>
      </c>
      <c r="I1076" s="54" t="str">
        <f t="shared" si="56"/>
        <v>None</v>
      </c>
    </row>
    <row r="1077" spans="7:9" x14ac:dyDescent="0.2">
      <c r="G1077" s="54" t="str">
        <f t="shared" si="54"/>
        <v>None</v>
      </c>
      <c r="H1077" s="54" t="str">
        <f t="shared" si="55"/>
        <v>None</v>
      </c>
      <c r="I1077" s="54" t="str">
        <f t="shared" si="56"/>
        <v>None</v>
      </c>
    </row>
    <row r="1078" spans="7:9" x14ac:dyDescent="0.2">
      <c r="G1078" s="54" t="str">
        <f t="shared" si="54"/>
        <v>None</v>
      </c>
      <c r="H1078" s="54" t="str">
        <f t="shared" si="55"/>
        <v>None</v>
      </c>
      <c r="I1078" s="54" t="str">
        <f t="shared" si="56"/>
        <v>None</v>
      </c>
    </row>
    <row r="1079" spans="7:9" x14ac:dyDescent="0.2">
      <c r="G1079" s="54" t="str">
        <f t="shared" si="54"/>
        <v>None</v>
      </c>
      <c r="H1079" s="54" t="str">
        <f t="shared" si="55"/>
        <v>None</v>
      </c>
      <c r="I1079" s="54" t="str">
        <f t="shared" si="56"/>
        <v>None</v>
      </c>
    </row>
    <row r="1080" spans="7:9" x14ac:dyDescent="0.2">
      <c r="G1080" s="54" t="str">
        <f t="shared" si="54"/>
        <v>None</v>
      </c>
      <c r="H1080" s="54" t="str">
        <f t="shared" si="55"/>
        <v>None</v>
      </c>
      <c r="I1080" s="54" t="str">
        <f t="shared" si="56"/>
        <v>None</v>
      </c>
    </row>
    <row r="1081" spans="7:9" x14ac:dyDescent="0.2">
      <c r="G1081" s="54" t="str">
        <f t="shared" si="54"/>
        <v>None</v>
      </c>
      <c r="H1081" s="54" t="str">
        <f t="shared" si="55"/>
        <v>None</v>
      </c>
      <c r="I1081" s="54" t="str">
        <f t="shared" si="56"/>
        <v>None</v>
      </c>
    </row>
    <row r="1082" spans="7:9" x14ac:dyDescent="0.2">
      <c r="G1082" s="54" t="str">
        <f t="shared" si="54"/>
        <v>None</v>
      </c>
      <c r="H1082" s="54" t="str">
        <f t="shared" si="55"/>
        <v>None</v>
      </c>
      <c r="I1082" s="54" t="str">
        <f t="shared" si="56"/>
        <v>None</v>
      </c>
    </row>
    <row r="1083" spans="7:9" x14ac:dyDescent="0.2">
      <c r="G1083" s="54" t="str">
        <f t="shared" si="54"/>
        <v>None</v>
      </c>
      <c r="H1083" s="54" t="str">
        <f t="shared" si="55"/>
        <v>None</v>
      </c>
      <c r="I1083" s="54" t="str">
        <f t="shared" si="56"/>
        <v>None</v>
      </c>
    </row>
    <row r="1084" spans="7:9" x14ac:dyDescent="0.2">
      <c r="G1084" s="54" t="str">
        <f t="shared" si="54"/>
        <v>None</v>
      </c>
      <c r="H1084" s="54" t="str">
        <f t="shared" si="55"/>
        <v>None</v>
      </c>
      <c r="I1084" s="54" t="str">
        <f t="shared" si="56"/>
        <v>None</v>
      </c>
    </row>
    <row r="1085" spans="7:9" x14ac:dyDescent="0.2">
      <c r="G1085" s="54" t="str">
        <f t="shared" si="54"/>
        <v>None</v>
      </c>
      <c r="H1085" s="54" t="str">
        <f t="shared" si="55"/>
        <v>None</v>
      </c>
      <c r="I1085" s="54" t="str">
        <f t="shared" si="56"/>
        <v>None</v>
      </c>
    </row>
    <row r="1086" spans="7:9" x14ac:dyDescent="0.2">
      <c r="G1086" s="54" t="str">
        <f t="shared" si="54"/>
        <v>None</v>
      </c>
      <c r="H1086" s="54" t="str">
        <f t="shared" si="55"/>
        <v>None</v>
      </c>
      <c r="I1086" s="54" t="str">
        <f t="shared" si="56"/>
        <v>None</v>
      </c>
    </row>
    <row r="1087" spans="7:9" x14ac:dyDescent="0.2">
      <c r="G1087" s="54" t="str">
        <f t="shared" si="54"/>
        <v>None</v>
      </c>
      <c r="H1087" s="54" t="str">
        <f t="shared" si="55"/>
        <v>None</v>
      </c>
      <c r="I1087" s="54" t="str">
        <f t="shared" si="56"/>
        <v>None</v>
      </c>
    </row>
    <row r="1088" spans="7:9" x14ac:dyDescent="0.2">
      <c r="G1088" s="54" t="str">
        <f t="shared" si="54"/>
        <v>None</v>
      </c>
      <c r="H1088" s="54" t="str">
        <f t="shared" si="55"/>
        <v>None</v>
      </c>
      <c r="I1088" s="54" t="str">
        <f t="shared" si="56"/>
        <v>None</v>
      </c>
    </row>
    <row r="1089" spans="7:9" x14ac:dyDescent="0.2">
      <c r="G1089" s="54" t="str">
        <f t="shared" si="54"/>
        <v>None</v>
      </c>
      <c r="H1089" s="54" t="str">
        <f t="shared" si="55"/>
        <v>None</v>
      </c>
      <c r="I1089" s="54" t="str">
        <f t="shared" si="56"/>
        <v>None</v>
      </c>
    </row>
    <row r="1090" spans="7:9" x14ac:dyDescent="0.2">
      <c r="G1090" s="54" t="str">
        <f t="shared" si="54"/>
        <v>None</v>
      </c>
      <c r="H1090" s="54" t="str">
        <f t="shared" si="55"/>
        <v>None</v>
      </c>
      <c r="I1090" s="54" t="str">
        <f t="shared" si="56"/>
        <v>None</v>
      </c>
    </row>
    <row r="1091" spans="7:9" x14ac:dyDescent="0.2">
      <c r="G1091" s="54" t="str">
        <f t="shared" ref="G1091:G1154" si="57">_xlfn.IFNA(VLOOKUP($C1091,tour_modes,2,FALSE),"None")</f>
        <v>None</v>
      </c>
      <c r="H1091" s="54" t="str">
        <f t="shared" ref="H1091:H1154" si="58">_xlfn.IFNA(VLOOKUP($C1091,tour_modes,3,FALSE),"None")</f>
        <v>None</v>
      </c>
      <c r="I1091" s="54" t="str">
        <f t="shared" ref="I1091:I1154" si="59">IF(A1091="joint","Joint",_xlfn.IFNA(VLOOKUP($B1091,tour_purposes,2,FALSE),"None"))</f>
        <v>None</v>
      </c>
    </row>
    <row r="1092" spans="7:9" x14ac:dyDescent="0.2">
      <c r="G1092" s="54" t="str">
        <f t="shared" si="57"/>
        <v>None</v>
      </c>
      <c r="H1092" s="54" t="str">
        <f t="shared" si="58"/>
        <v>None</v>
      </c>
      <c r="I1092" s="54" t="str">
        <f t="shared" si="59"/>
        <v>None</v>
      </c>
    </row>
    <row r="1093" spans="7:9" x14ac:dyDescent="0.2">
      <c r="G1093" s="54" t="str">
        <f t="shared" si="57"/>
        <v>None</v>
      </c>
      <c r="H1093" s="54" t="str">
        <f t="shared" si="58"/>
        <v>None</v>
      </c>
      <c r="I1093" s="54" t="str">
        <f t="shared" si="59"/>
        <v>None</v>
      </c>
    </row>
    <row r="1094" spans="7:9" x14ac:dyDescent="0.2">
      <c r="G1094" s="54" t="str">
        <f t="shared" si="57"/>
        <v>None</v>
      </c>
      <c r="H1094" s="54" t="str">
        <f t="shared" si="58"/>
        <v>None</v>
      </c>
      <c r="I1094" s="54" t="str">
        <f t="shared" si="59"/>
        <v>None</v>
      </c>
    </row>
    <row r="1095" spans="7:9" x14ac:dyDescent="0.2">
      <c r="G1095" s="54" t="str">
        <f t="shared" si="57"/>
        <v>None</v>
      </c>
      <c r="H1095" s="54" t="str">
        <f t="shared" si="58"/>
        <v>None</v>
      </c>
      <c r="I1095" s="54" t="str">
        <f t="shared" si="59"/>
        <v>None</v>
      </c>
    </row>
    <row r="1096" spans="7:9" x14ac:dyDescent="0.2">
      <c r="G1096" s="54" t="str">
        <f t="shared" si="57"/>
        <v>None</v>
      </c>
      <c r="H1096" s="54" t="str">
        <f t="shared" si="58"/>
        <v>None</v>
      </c>
      <c r="I1096" s="54" t="str">
        <f t="shared" si="59"/>
        <v>None</v>
      </c>
    </row>
    <row r="1097" spans="7:9" x14ac:dyDescent="0.2">
      <c r="G1097" s="54" t="str">
        <f t="shared" si="57"/>
        <v>None</v>
      </c>
      <c r="H1097" s="54" t="str">
        <f t="shared" si="58"/>
        <v>None</v>
      </c>
      <c r="I1097" s="54" t="str">
        <f t="shared" si="59"/>
        <v>None</v>
      </c>
    </row>
    <row r="1098" spans="7:9" x14ac:dyDescent="0.2">
      <c r="G1098" s="54" t="str">
        <f t="shared" si="57"/>
        <v>None</v>
      </c>
      <c r="H1098" s="54" t="str">
        <f t="shared" si="58"/>
        <v>None</v>
      </c>
      <c r="I1098" s="54" t="str">
        <f t="shared" si="59"/>
        <v>None</v>
      </c>
    </row>
    <row r="1099" spans="7:9" x14ac:dyDescent="0.2">
      <c r="G1099" s="54" t="str">
        <f t="shared" si="57"/>
        <v>None</v>
      </c>
      <c r="H1099" s="54" t="str">
        <f t="shared" si="58"/>
        <v>None</v>
      </c>
      <c r="I1099" s="54" t="str">
        <f t="shared" si="59"/>
        <v>None</v>
      </c>
    </row>
    <row r="1100" spans="7:9" x14ac:dyDescent="0.2">
      <c r="G1100" s="54" t="str">
        <f t="shared" si="57"/>
        <v>None</v>
      </c>
      <c r="H1100" s="54" t="str">
        <f t="shared" si="58"/>
        <v>None</v>
      </c>
      <c r="I1100" s="54" t="str">
        <f t="shared" si="59"/>
        <v>None</v>
      </c>
    </row>
    <row r="1101" spans="7:9" x14ac:dyDescent="0.2">
      <c r="G1101" s="54" t="str">
        <f t="shared" si="57"/>
        <v>None</v>
      </c>
      <c r="H1101" s="54" t="str">
        <f t="shared" si="58"/>
        <v>None</v>
      </c>
      <c r="I1101" s="54" t="str">
        <f t="shared" si="59"/>
        <v>None</v>
      </c>
    </row>
    <row r="1102" spans="7:9" x14ac:dyDescent="0.2">
      <c r="G1102" s="54" t="str">
        <f t="shared" si="57"/>
        <v>None</v>
      </c>
      <c r="H1102" s="54" t="str">
        <f t="shared" si="58"/>
        <v>None</v>
      </c>
      <c r="I1102" s="54" t="str">
        <f t="shared" si="59"/>
        <v>None</v>
      </c>
    </row>
    <row r="1103" spans="7:9" x14ac:dyDescent="0.2">
      <c r="G1103" s="54" t="str">
        <f t="shared" si="57"/>
        <v>None</v>
      </c>
      <c r="H1103" s="54" t="str">
        <f t="shared" si="58"/>
        <v>None</v>
      </c>
      <c r="I1103" s="54" t="str">
        <f t="shared" si="59"/>
        <v>None</v>
      </c>
    </row>
    <row r="1104" spans="7:9" x14ac:dyDescent="0.2">
      <c r="G1104" s="54" t="str">
        <f t="shared" si="57"/>
        <v>None</v>
      </c>
      <c r="H1104" s="54" t="str">
        <f t="shared" si="58"/>
        <v>None</v>
      </c>
      <c r="I1104" s="54" t="str">
        <f t="shared" si="59"/>
        <v>None</v>
      </c>
    </row>
    <row r="1105" spans="7:9" x14ac:dyDescent="0.2">
      <c r="G1105" s="54" t="str">
        <f t="shared" si="57"/>
        <v>None</v>
      </c>
      <c r="H1105" s="54" t="str">
        <f t="shared" si="58"/>
        <v>None</v>
      </c>
      <c r="I1105" s="54" t="str">
        <f t="shared" si="59"/>
        <v>None</v>
      </c>
    </row>
    <row r="1106" spans="7:9" x14ac:dyDescent="0.2">
      <c r="G1106" s="54" t="str">
        <f t="shared" si="57"/>
        <v>None</v>
      </c>
      <c r="H1106" s="54" t="str">
        <f t="shared" si="58"/>
        <v>None</v>
      </c>
      <c r="I1106" s="54" t="str">
        <f t="shared" si="59"/>
        <v>None</v>
      </c>
    </row>
    <row r="1107" spans="7:9" x14ac:dyDescent="0.2">
      <c r="G1107" s="54" t="str">
        <f t="shared" si="57"/>
        <v>None</v>
      </c>
      <c r="H1107" s="54" t="str">
        <f t="shared" si="58"/>
        <v>None</v>
      </c>
      <c r="I1107" s="54" t="str">
        <f t="shared" si="59"/>
        <v>None</v>
      </c>
    </row>
    <row r="1108" spans="7:9" x14ac:dyDescent="0.2">
      <c r="G1108" s="54" t="str">
        <f t="shared" si="57"/>
        <v>None</v>
      </c>
      <c r="H1108" s="54" t="str">
        <f t="shared" si="58"/>
        <v>None</v>
      </c>
      <c r="I1108" s="54" t="str">
        <f t="shared" si="59"/>
        <v>None</v>
      </c>
    </row>
    <row r="1109" spans="7:9" x14ac:dyDescent="0.2">
      <c r="G1109" s="54" t="str">
        <f t="shared" si="57"/>
        <v>None</v>
      </c>
      <c r="H1109" s="54" t="str">
        <f t="shared" si="58"/>
        <v>None</v>
      </c>
      <c r="I1109" s="54" t="str">
        <f t="shared" si="59"/>
        <v>None</v>
      </c>
    </row>
    <row r="1110" spans="7:9" x14ac:dyDescent="0.2">
      <c r="G1110" s="54" t="str">
        <f t="shared" si="57"/>
        <v>None</v>
      </c>
      <c r="H1110" s="54" t="str">
        <f t="shared" si="58"/>
        <v>None</v>
      </c>
      <c r="I1110" s="54" t="str">
        <f t="shared" si="59"/>
        <v>None</v>
      </c>
    </row>
    <row r="1111" spans="7:9" x14ac:dyDescent="0.2">
      <c r="G1111" s="54" t="str">
        <f t="shared" si="57"/>
        <v>None</v>
      </c>
      <c r="H1111" s="54" t="str">
        <f t="shared" si="58"/>
        <v>None</v>
      </c>
      <c r="I1111" s="54" t="str">
        <f t="shared" si="59"/>
        <v>None</v>
      </c>
    </row>
    <row r="1112" spans="7:9" x14ac:dyDescent="0.2">
      <c r="G1112" s="54" t="str">
        <f t="shared" si="57"/>
        <v>None</v>
      </c>
      <c r="H1112" s="54" t="str">
        <f t="shared" si="58"/>
        <v>None</v>
      </c>
      <c r="I1112" s="54" t="str">
        <f t="shared" si="59"/>
        <v>None</v>
      </c>
    </row>
    <row r="1113" spans="7:9" x14ac:dyDescent="0.2">
      <c r="G1113" s="54" t="str">
        <f t="shared" si="57"/>
        <v>None</v>
      </c>
      <c r="H1113" s="54" t="str">
        <f t="shared" si="58"/>
        <v>None</v>
      </c>
      <c r="I1113" s="54" t="str">
        <f t="shared" si="59"/>
        <v>None</v>
      </c>
    </row>
    <row r="1114" spans="7:9" x14ac:dyDescent="0.2">
      <c r="G1114" s="54" t="str">
        <f t="shared" si="57"/>
        <v>None</v>
      </c>
      <c r="H1114" s="54" t="str">
        <f t="shared" si="58"/>
        <v>None</v>
      </c>
      <c r="I1114" s="54" t="str">
        <f t="shared" si="59"/>
        <v>None</v>
      </c>
    </row>
    <row r="1115" spans="7:9" x14ac:dyDescent="0.2">
      <c r="G1115" s="54" t="str">
        <f t="shared" si="57"/>
        <v>None</v>
      </c>
      <c r="H1115" s="54" t="str">
        <f t="shared" si="58"/>
        <v>None</v>
      </c>
      <c r="I1115" s="54" t="str">
        <f t="shared" si="59"/>
        <v>None</v>
      </c>
    </row>
    <row r="1116" spans="7:9" x14ac:dyDescent="0.2">
      <c r="G1116" s="54" t="str">
        <f t="shared" si="57"/>
        <v>None</v>
      </c>
      <c r="H1116" s="54" t="str">
        <f t="shared" si="58"/>
        <v>None</v>
      </c>
      <c r="I1116" s="54" t="str">
        <f t="shared" si="59"/>
        <v>None</v>
      </c>
    </row>
    <row r="1117" spans="7:9" x14ac:dyDescent="0.2">
      <c r="G1117" s="54" t="str">
        <f t="shared" si="57"/>
        <v>None</v>
      </c>
      <c r="H1117" s="54" t="str">
        <f t="shared" si="58"/>
        <v>None</v>
      </c>
      <c r="I1117" s="54" t="str">
        <f t="shared" si="59"/>
        <v>None</v>
      </c>
    </row>
    <row r="1118" spans="7:9" x14ac:dyDescent="0.2">
      <c r="G1118" s="54" t="str">
        <f t="shared" si="57"/>
        <v>None</v>
      </c>
      <c r="H1118" s="54" t="str">
        <f t="shared" si="58"/>
        <v>None</v>
      </c>
      <c r="I1118" s="54" t="str">
        <f t="shared" si="59"/>
        <v>None</v>
      </c>
    </row>
    <row r="1119" spans="7:9" x14ac:dyDescent="0.2">
      <c r="G1119" s="54" t="str">
        <f t="shared" si="57"/>
        <v>None</v>
      </c>
      <c r="H1119" s="54" t="str">
        <f t="shared" si="58"/>
        <v>None</v>
      </c>
      <c r="I1119" s="54" t="str">
        <f t="shared" si="59"/>
        <v>None</v>
      </c>
    </row>
    <row r="1120" spans="7:9" x14ac:dyDescent="0.2">
      <c r="G1120" s="54" t="str">
        <f t="shared" si="57"/>
        <v>None</v>
      </c>
      <c r="H1120" s="54" t="str">
        <f t="shared" si="58"/>
        <v>None</v>
      </c>
      <c r="I1120" s="54" t="str">
        <f t="shared" si="59"/>
        <v>None</v>
      </c>
    </row>
    <row r="1121" spans="7:9" x14ac:dyDescent="0.2">
      <c r="G1121" s="54" t="str">
        <f t="shared" si="57"/>
        <v>None</v>
      </c>
      <c r="H1121" s="54" t="str">
        <f t="shared" si="58"/>
        <v>None</v>
      </c>
      <c r="I1121" s="54" t="str">
        <f t="shared" si="59"/>
        <v>None</v>
      </c>
    </row>
    <row r="1122" spans="7:9" x14ac:dyDescent="0.2">
      <c r="G1122" s="54" t="str">
        <f t="shared" si="57"/>
        <v>None</v>
      </c>
      <c r="H1122" s="54" t="str">
        <f t="shared" si="58"/>
        <v>None</v>
      </c>
      <c r="I1122" s="54" t="str">
        <f t="shared" si="59"/>
        <v>None</v>
      </c>
    </row>
    <row r="1123" spans="7:9" x14ac:dyDescent="0.2">
      <c r="G1123" s="54" t="str">
        <f t="shared" si="57"/>
        <v>None</v>
      </c>
      <c r="H1123" s="54" t="str">
        <f t="shared" si="58"/>
        <v>None</v>
      </c>
      <c r="I1123" s="54" t="str">
        <f t="shared" si="59"/>
        <v>None</v>
      </c>
    </row>
    <row r="1124" spans="7:9" x14ac:dyDescent="0.2">
      <c r="G1124" s="54" t="str">
        <f t="shared" si="57"/>
        <v>None</v>
      </c>
      <c r="H1124" s="54" t="str">
        <f t="shared" si="58"/>
        <v>None</v>
      </c>
      <c r="I1124" s="54" t="str">
        <f t="shared" si="59"/>
        <v>None</v>
      </c>
    </row>
    <row r="1125" spans="7:9" x14ac:dyDescent="0.2">
      <c r="G1125" s="54" t="str">
        <f t="shared" si="57"/>
        <v>None</v>
      </c>
      <c r="H1125" s="54" t="str">
        <f t="shared" si="58"/>
        <v>None</v>
      </c>
      <c r="I1125" s="54" t="str">
        <f t="shared" si="59"/>
        <v>None</v>
      </c>
    </row>
    <row r="1126" spans="7:9" x14ac:dyDescent="0.2">
      <c r="G1126" s="54" t="str">
        <f t="shared" si="57"/>
        <v>None</v>
      </c>
      <c r="H1126" s="54" t="str">
        <f t="shared" si="58"/>
        <v>None</v>
      </c>
      <c r="I1126" s="54" t="str">
        <f t="shared" si="59"/>
        <v>None</v>
      </c>
    </row>
    <row r="1127" spans="7:9" x14ac:dyDescent="0.2">
      <c r="G1127" s="54" t="str">
        <f t="shared" si="57"/>
        <v>None</v>
      </c>
      <c r="H1127" s="54" t="str">
        <f t="shared" si="58"/>
        <v>None</v>
      </c>
      <c r="I1127" s="54" t="str">
        <f t="shared" si="59"/>
        <v>None</v>
      </c>
    </row>
    <row r="1128" spans="7:9" x14ac:dyDescent="0.2">
      <c r="G1128" s="54" t="str">
        <f t="shared" si="57"/>
        <v>None</v>
      </c>
      <c r="H1128" s="54" t="str">
        <f t="shared" si="58"/>
        <v>None</v>
      </c>
      <c r="I1128" s="54" t="str">
        <f t="shared" si="59"/>
        <v>None</v>
      </c>
    </row>
    <row r="1129" spans="7:9" x14ac:dyDescent="0.2">
      <c r="G1129" s="54" t="str">
        <f t="shared" si="57"/>
        <v>None</v>
      </c>
      <c r="H1129" s="54" t="str">
        <f t="shared" si="58"/>
        <v>None</v>
      </c>
      <c r="I1129" s="54" t="str">
        <f t="shared" si="59"/>
        <v>None</v>
      </c>
    </row>
    <row r="1130" spans="7:9" x14ac:dyDescent="0.2">
      <c r="G1130" s="54" t="str">
        <f t="shared" si="57"/>
        <v>None</v>
      </c>
      <c r="H1130" s="54" t="str">
        <f t="shared" si="58"/>
        <v>None</v>
      </c>
      <c r="I1130" s="54" t="str">
        <f t="shared" si="59"/>
        <v>None</v>
      </c>
    </row>
    <row r="1131" spans="7:9" x14ac:dyDescent="0.2">
      <c r="G1131" s="54" t="str">
        <f t="shared" si="57"/>
        <v>None</v>
      </c>
      <c r="H1131" s="54" t="str">
        <f t="shared" si="58"/>
        <v>None</v>
      </c>
      <c r="I1131" s="54" t="str">
        <f t="shared" si="59"/>
        <v>None</v>
      </c>
    </row>
    <row r="1132" spans="7:9" x14ac:dyDescent="0.2">
      <c r="G1132" s="54" t="str">
        <f t="shared" si="57"/>
        <v>None</v>
      </c>
      <c r="H1132" s="54" t="str">
        <f t="shared" si="58"/>
        <v>None</v>
      </c>
      <c r="I1132" s="54" t="str">
        <f t="shared" si="59"/>
        <v>None</v>
      </c>
    </row>
    <row r="1133" spans="7:9" x14ac:dyDescent="0.2">
      <c r="G1133" s="54" t="str">
        <f t="shared" si="57"/>
        <v>None</v>
      </c>
      <c r="H1133" s="54" t="str">
        <f t="shared" si="58"/>
        <v>None</v>
      </c>
      <c r="I1133" s="54" t="str">
        <f t="shared" si="59"/>
        <v>None</v>
      </c>
    </row>
    <row r="1134" spans="7:9" x14ac:dyDescent="0.2">
      <c r="G1134" s="54" t="str">
        <f t="shared" si="57"/>
        <v>None</v>
      </c>
      <c r="H1134" s="54" t="str">
        <f t="shared" si="58"/>
        <v>None</v>
      </c>
      <c r="I1134" s="54" t="str">
        <f t="shared" si="59"/>
        <v>None</v>
      </c>
    </row>
    <row r="1135" spans="7:9" x14ac:dyDescent="0.2">
      <c r="G1135" s="54" t="str">
        <f t="shared" si="57"/>
        <v>None</v>
      </c>
      <c r="H1135" s="54" t="str">
        <f t="shared" si="58"/>
        <v>None</v>
      </c>
      <c r="I1135" s="54" t="str">
        <f t="shared" si="59"/>
        <v>None</v>
      </c>
    </row>
    <row r="1136" spans="7:9" x14ac:dyDescent="0.2">
      <c r="G1136" s="54" t="str">
        <f t="shared" si="57"/>
        <v>None</v>
      </c>
      <c r="H1136" s="54" t="str">
        <f t="shared" si="58"/>
        <v>None</v>
      </c>
      <c r="I1136" s="54" t="str">
        <f t="shared" si="59"/>
        <v>None</v>
      </c>
    </row>
    <row r="1137" spans="7:9" x14ac:dyDescent="0.2">
      <c r="G1137" s="54" t="str">
        <f t="shared" si="57"/>
        <v>None</v>
      </c>
      <c r="H1137" s="54" t="str">
        <f t="shared" si="58"/>
        <v>None</v>
      </c>
      <c r="I1137" s="54" t="str">
        <f t="shared" si="59"/>
        <v>None</v>
      </c>
    </row>
    <row r="1138" spans="7:9" x14ac:dyDescent="0.2">
      <c r="G1138" s="54" t="str">
        <f t="shared" si="57"/>
        <v>None</v>
      </c>
      <c r="H1138" s="54" t="str">
        <f t="shared" si="58"/>
        <v>None</v>
      </c>
      <c r="I1138" s="54" t="str">
        <f t="shared" si="59"/>
        <v>None</v>
      </c>
    </row>
    <row r="1139" spans="7:9" x14ac:dyDescent="0.2">
      <c r="G1139" s="54" t="str">
        <f t="shared" si="57"/>
        <v>None</v>
      </c>
      <c r="H1139" s="54" t="str">
        <f t="shared" si="58"/>
        <v>None</v>
      </c>
      <c r="I1139" s="54" t="str">
        <f t="shared" si="59"/>
        <v>None</v>
      </c>
    </row>
    <row r="1140" spans="7:9" x14ac:dyDescent="0.2">
      <c r="G1140" s="54" t="str">
        <f t="shared" si="57"/>
        <v>None</v>
      </c>
      <c r="H1140" s="54" t="str">
        <f t="shared" si="58"/>
        <v>None</v>
      </c>
      <c r="I1140" s="54" t="str">
        <f t="shared" si="59"/>
        <v>None</v>
      </c>
    </row>
    <row r="1141" spans="7:9" x14ac:dyDescent="0.2">
      <c r="G1141" s="54" t="str">
        <f t="shared" si="57"/>
        <v>None</v>
      </c>
      <c r="H1141" s="54" t="str">
        <f t="shared" si="58"/>
        <v>None</v>
      </c>
      <c r="I1141" s="54" t="str">
        <f t="shared" si="59"/>
        <v>None</v>
      </c>
    </row>
    <row r="1142" spans="7:9" x14ac:dyDescent="0.2">
      <c r="G1142" s="54" t="str">
        <f t="shared" si="57"/>
        <v>None</v>
      </c>
      <c r="H1142" s="54" t="str">
        <f t="shared" si="58"/>
        <v>None</v>
      </c>
      <c r="I1142" s="54" t="str">
        <f t="shared" si="59"/>
        <v>None</v>
      </c>
    </row>
    <row r="1143" spans="7:9" x14ac:dyDescent="0.2">
      <c r="G1143" s="54" t="str">
        <f t="shared" si="57"/>
        <v>None</v>
      </c>
      <c r="H1143" s="54" t="str">
        <f t="shared" si="58"/>
        <v>None</v>
      </c>
      <c r="I1143" s="54" t="str">
        <f t="shared" si="59"/>
        <v>None</v>
      </c>
    </row>
    <row r="1144" spans="7:9" x14ac:dyDescent="0.2">
      <c r="G1144" s="54" t="str">
        <f t="shared" si="57"/>
        <v>None</v>
      </c>
      <c r="H1144" s="54" t="str">
        <f t="shared" si="58"/>
        <v>None</v>
      </c>
      <c r="I1144" s="54" t="str">
        <f t="shared" si="59"/>
        <v>None</v>
      </c>
    </row>
    <row r="1145" spans="7:9" x14ac:dyDescent="0.2">
      <c r="G1145" s="54" t="str">
        <f t="shared" si="57"/>
        <v>None</v>
      </c>
      <c r="H1145" s="54" t="str">
        <f t="shared" si="58"/>
        <v>None</v>
      </c>
      <c r="I1145" s="54" t="str">
        <f t="shared" si="59"/>
        <v>None</v>
      </c>
    </row>
    <row r="1146" spans="7:9" x14ac:dyDescent="0.2">
      <c r="G1146" s="54" t="str">
        <f t="shared" si="57"/>
        <v>None</v>
      </c>
      <c r="H1146" s="54" t="str">
        <f t="shared" si="58"/>
        <v>None</v>
      </c>
      <c r="I1146" s="54" t="str">
        <f t="shared" si="59"/>
        <v>None</v>
      </c>
    </row>
    <row r="1147" spans="7:9" x14ac:dyDescent="0.2">
      <c r="G1147" s="54" t="str">
        <f t="shared" si="57"/>
        <v>None</v>
      </c>
      <c r="H1147" s="54" t="str">
        <f t="shared" si="58"/>
        <v>None</v>
      </c>
      <c r="I1147" s="54" t="str">
        <f t="shared" si="59"/>
        <v>None</v>
      </c>
    </row>
    <row r="1148" spans="7:9" x14ac:dyDescent="0.2">
      <c r="G1148" s="54" t="str">
        <f t="shared" si="57"/>
        <v>None</v>
      </c>
      <c r="H1148" s="54" t="str">
        <f t="shared" si="58"/>
        <v>None</v>
      </c>
      <c r="I1148" s="54" t="str">
        <f t="shared" si="59"/>
        <v>None</v>
      </c>
    </row>
    <row r="1149" spans="7:9" x14ac:dyDescent="0.2">
      <c r="G1149" s="54" t="str">
        <f t="shared" si="57"/>
        <v>None</v>
      </c>
      <c r="H1149" s="54" t="str">
        <f t="shared" si="58"/>
        <v>None</v>
      </c>
      <c r="I1149" s="54" t="str">
        <f t="shared" si="59"/>
        <v>None</v>
      </c>
    </row>
    <row r="1150" spans="7:9" x14ac:dyDescent="0.2">
      <c r="G1150" s="54" t="str">
        <f t="shared" si="57"/>
        <v>None</v>
      </c>
      <c r="H1150" s="54" t="str">
        <f t="shared" si="58"/>
        <v>None</v>
      </c>
      <c r="I1150" s="54" t="str">
        <f t="shared" si="59"/>
        <v>None</v>
      </c>
    </row>
    <row r="1151" spans="7:9" x14ac:dyDescent="0.2">
      <c r="G1151" s="54" t="str">
        <f t="shared" si="57"/>
        <v>None</v>
      </c>
      <c r="H1151" s="54" t="str">
        <f t="shared" si="58"/>
        <v>None</v>
      </c>
      <c r="I1151" s="54" t="str">
        <f t="shared" si="59"/>
        <v>None</v>
      </c>
    </row>
    <row r="1152" spans="7:9" x14ac:dyDescent="0.2">
      <c r="G1152" s="54" t="str">
        <f t="shared" si="57"/>
        <v>None</v>
      </c>
      <c r="H1152" s="54" t="str">
        <f t="shared" si="58"/>
        <v>None</v>
      </c>
      <c r="I1152" s="54" t="str">
        <f t="shared" si="59"/>
        <v>None</v>
      </c>
    </row>
    <row r="1153" spans="7:9" x14ac:dyDescent="0.2">
      <c r="G1153" s="54" t="str">
        <f t="shared" si="57"/>
        <v>None</v>
      </c>
      <c r="H1153" s="54" t="str">
        <f t="shared" si="58"/>
        <v>None</v>
      </c>
      <c r="I1153" s="54" t="str">
        <f t="shared" si="59"/>
        <v>None</v>
      </c>
    </row>
    <row r="1154" spans="7:9" x14ac:dyDescent="0.2">
      <c r="G1154" s="54" t="str">
        <f t="shared" si="57"/>
        <v>None</v>
      </c>
      <c r="H1154" s="54" t="str">
        <f t="shared" si="58"/>
        <v>None</v>
      </c>
      <c r="I1154" s="54" t="str">
        <f t="shared" si="59"/>
        <v>None</v>
      </c>
    </row>
    <row r="1155" spans="7:9" x14ac:dyDescent="0.2">
      <c r="G1155" s="54" t="str">
        <f t="shared" ref="G1155:G1200" si="60">_xlfn.IFNA(VLOOKUP($C1155,tour_modes,2,FALSE),"None")</f>
        <v>None</v>
      </c>
      <c r="H1155" s="54" t="str">
        <f t="shared" ref="H1155:H1200" si="61">_xlfn.IFNA(VLOOKUP($C1155,tour_modes,3,FALSE),"None")</f>
        <v>None</v>
      </c>
      <c r="I1155" s="54" t="str">
        <f t="shared" ref="I1155:I1200" si="62">IF(A1155="joint","Joint",_xlfn.IFNA(VLOOKUP($B1155,tour_purposes,2,FALSE),"None"))</f>
        <v>None</v>
      </c>
    </row>
    <row r="1156" spans="7:9" x14ac:dyDescent="0.2">
      <c r="G1156" s="54" t="str">
        <f t="shared" si="60"/>
        <v>None</v>
      </c>
      <c r="H1156" s="54" t="str">
        <f t="shared" si="61"/>
        <v>None</v>
      </c>
      <c r="I1156" s="54" t="str">
        <f t="shared" si="62"/>
        <v>None</v>
      </c>
    </row>
    <row r="1157" spans="7:9" x14ac:dyDescent="0.2">
      <c r="G1157" s="54" t="str">
        <f t="shared" si="60"/>
        <v>None</v>
      </c>
      <c r="H1157" s="54" t="str">
        <f t="shared" si="61"/>
        <v>None</v>
      </c>
      <c r="I1157" s="54" t="str">
        <f t="shared" si="62"/>
        <v>None</v>
      </c>
    </row>
    <row r="1158" spans="7:9" x14ac:dyDescent="0.2">
      <c r="G1158" s="54" t="str">
        <f t="shared" si="60"/>
        <v>None</v>
      </c>
      <c r="H1158" s="54" t="str">
        <f t="shared" si="61"/>
        <v>None</v>
      </c>
      <c r="I1158" s="54" t="str">
        <f t="shared" si="62"/>
        <v>None</v>
      </c>
    </row>
    <row r="1159" spans="7:9" x14ac:dyDescent="0.2">
      <c r="G1159" s="54" t="str">
        <f t="shared" si="60"/>
        <v>None</v>
      </c>
      <c r="H1159" s="54" t="str">
        <f t="shared" si="61"/>
        <v>None</v>
      </c>
      <c r="I1159" s="54" t="str">
        <f t="shared" si="62"/>
        <v>None</v>
      </c>
    </row>
    <row r="1160" spans="7:9" x14ac:dyDescent="0.2">
      <c r="G1160" s="54" t="str">
        <f t="shared" si="60"/>
        <v>None</v>
      </c>
      <c r="H1160" s="54" t="str">
        <f t="shared" si="61"/>
        <v>None</v>
      </c>
      <c r="I1160" s="54" t="str">
        <f t="shared" si="62"/>
        <v>None</v>
      </c>
    </row>
    <row r="1161" spans="7:9" x14ac:dyDescent="0.2">
      <c r="G1161" s="54" t="str">
        <f t="shared" si="60"/>
        <v>None</v>
      </c>
      <c r="H1161" s="54" t="str">
        <f t="shared" si="61"/>
        <v>None</v>
      </c>
      <c r="I1161" s="54" t="str">
        <f t="shared" si="62"/>
        <v>None</v>
      </c>
    </row>
    <row r="1162" spans="7:9" x14ac:dyDescent="0.2">
      <c r="G1162" s="54" t="str">
        <f t="shared" si="60"/>
        <v>None</v>
      </c>
      <c r="H1162" s="54" t="str">
        <f t="shared" si="61"/>
        <v>None</v>
      </c>
      <c r="I1162" s="54" t="str">
        <f t="shared" si="62"/>
        <v>None</v>
      </c>
    </row>
    <row r="1163" spans="7:9" x14ac:dyDescent="0.2">
      <c r="G1163" s="54" t="str">
        <f t="shared" si="60"/>
        <v>None</v>
      </c>
      <c r="H1163" s="54" t="str">
        <f t="shared" si="61"/>
        <v>None</v>
      </c>
      <c r="I1163" s="54" t="str">
        <f t="shared" si="62"/>
        <v>None</v>
      </c>
    </row>
    <row r="1164" spans="7:9" x14ac:dyDescent="0.2">
      <c r="G1164" s="54" t="str">
        <f t="shared" si="60"/>
        <v>None</v>
      </c>
      <c r="H1164" s="54" t="str">
        <f t="shared" si="61"/>
        <v>None</v>
      </c>
      <c r="I1164" s="54" t="str">
        <f t="shared" si="62"/>
        <v>None</v>
      </c>
    </row>
    <row r="1165" spans="7:9" x14ac:dyDescent="0.2">
      <c r="G1165" s="54" t="str">
        <f t="shared" si="60"/>
        <v>None</v>
      </c>
      <c r="H1165" s="54" t="str">
        <f t="shared" si="61"/>
        <v>None</v>
      </c>
      <c r="I1165" s="54" t="str">
        <f t="shared" si="62"/>
        <v>None</v>
      </c>
    </row>
    <row r="1166" spans="7:9" x14ac:dyDescent="0.2">
      <c r="G1166" s="54" t="str">
        <f t="shared" si="60"/>
        <v>None</v>
      </c>
      <c r="H1166" s="54" t="str">
        <f t="shared" si="61"/>
        <v>None</v>
      </c>
      <c r="I1166" s="54" t="str">
        <f t="shared" si="62"/>
        <v>None</v>
      </c>
    </row>
    <row r="1167" spans="7:9" x14ac:dyDescent="0.2">
      <c r="G1167" s="54" t="str">
        <f t="shared" si="60"/>
        <v>None</v>
      </c>
      <c r="H1167" s="54" t="str">
        <f t="shared" si="61"/>
        <v>None</v>
      </c>
      <c r="I1167" s="54" t="str">
        <f t="shared" si="62"/>
        <v>None</v>
      </c>
    </row>
    <row r="1168" spans="7:9" x14ac:dyDescent="0.2">
      <c r="G1168" s="54" t="str">
        <f t="shared" si="60"/>
        <v>None</v>
      </c>
      <c r="H1168" s="54" t="str">
        <f t="shared" si="61"/>
        <v>None</v>
      </c>
      <c r="I1168" s="54" t="str">
        <f t="shared" si="62"/>
        <v>None</v>
      </c>
    </row>
    <row r="1169" spans="7:9" x14ac:dyDescent="0.2">
      <c r="G1169" s="54" t="str">
        <f t="shared" si="60"/>
        <v>None</v>
      </c>
      <c r="H1169" s="54" t="str">
        <f t="shared" si="61"/>
        <v>None</v>
      </c>
      <c r="I1169" s="54" t="str">
        <f t="shared" si="62"/>
        <v>None</v>
      </c>
    </row>
    <row r="1170" spans="7:9" x14ac:dyDescent="0.2">
      <c r="G1170" s="54" t="str">
        <f t="shared" si="60"/>
        <v>None</v>
      </c>
      <c r="H1170" s="54" t="str">
        <f t="shared" si="61"/>
        <v>None</v>
      </c>
      <c r="I1170" s="54" t="str">
        <f t="shared" si="62"/>
        <v>None</v>
      </c>
    </row>
    <row r="1171" spans="7:9" x14ac:dyDescent="0.2">
      <c r="G1171" s="54" t="str">
        <f t="shared" si="60"/>
        <v>None</v>
      </c>
      <c r="H1171" s="54" t="str">
        <f t="shared" si="61"/>
        <v>None</v>
      </c>
      <c r="I1171" s="54" t="str">
        <f t="shared" si="62"/>
        <v>None</v>
      </c>
    </row>
    <row r="1172" spans="7:9" x14ac:dyDescent="0.2">
      <c r="G1172" s="54" t="str">
        <f t="shared" si="60"/>
        <v>None</v>
      </c>
      <c r="H1172" s="54" t="str">
        <f t="shared" si="61"/>
        <v>None</v>
      </c>
      <c r="I1172" s="54" t="str">
        <f t="shared" si="62"/>
        <v>None</v>
      </c>
    </row>
    <row r="1173" spans="7:9" x14ac:dyDescent="0.2">
      <c r="G1173" s="54" t="str">
        <f t="shared" si="60"/>
        <v>None</v>
      </c>
      <c r="H1173" s="54" t="str">
        <f t="shared" si="61"/>
        <v>None</v>
      </c>
      <c r="I1173" s="54" t="str">
        <f t="shared" si="62"/>
        <v>None</v>
      </c>
    </row>
    <row r="1174" spans="7:9" x14ac:dyDescent="0.2">
      <c r="G1174" s="54" t="str">
        <f t="shared" si="60"/>
        <v>None</v>
      </c>
      <c r="H1174" s="54" t="str">
        <f t="shared" si="61"/>
        <v>None</v>
      </c>
      <c r="I1174" s="54" t="str">
        <f t="shared" si="62"/>
        <v>None</v>
      </c>
    </row>
    <row r="1175" spans="7:9" x14ac:dyDescent="0.2">
      <c r="G1175" s="54" t="str">
        <f t="shared" si="60"/>
        <v>None</v>
      </c>
      <c r="H1175" s="54" t="str">
        <f t="shared" si="61"/>
        <v>None</v>
      </c>
      <c r="I1175" s="54" t="str">
        <f t="shared" si="62"/>
        <v>None</v>
      </c>
    </row>
    <row r="1176" spans="7:9" x14ac:dyDescent="0.2">
      <c r="G1176" s="54" t="str">
        <f t="shared" si="60"/>
        <v>None</v>
      </c>
      <c r="H1176" s="54" t="str">
        <f t="shared" si="61"/>
        <v>None</v>
      </c>
      <c r="I1176" s="54" t="str">
        <f t="shared" si="62"/>
        <v>None</v>
      </c>
    </row>
    <row r="1177" spans="7:9" x14ac:dyDescent="0.2">
      <c r="G1177" s="54" t="str">
        <f t="shared" si="60"/>
        <v>None</v>
      </c>
      <c r="H1177" s="54" t="str">
        <f t="shared" si="61"/>
        <v>None</v>
      </c>
      <c r="I1177" s="54" t="str">
        <f t="shared" si="62"/>
        <v>None</v>
      </c>
    </row>
    <row r="1178" spans="7:9" x14ac:dyDescent="0.2">
      <c r="G1178" s="54" t="str">
        <f t="shared" si="60"/>
        <v>None</v>
      </c>
      <c r="H1178" s="54" t="str">
        <f t="shared" si="61"/>
        <v>None</v>
      </c>
      <c r="I1178" s="54" t="str">
        <f t="shared" si="62"/>
        <v>None</v>
      </c>
    </row>
    <row r="1179" spans="7:9" x14ac:dyDescent="0.2">
      <c r="G1179" s="54" t="str">
        <f t="shared" si="60"/>
        <v>None</v>
      </c>
      <c r="H1179" s="54" t="str">
        <f t="shared" si="61"/>
        <v>None</v>
      </c>
      <c r="I1179" s="54" t="str">
        <f t="shared" si="62"/>
        <v>None</v>
      </c>
    </row>
    <row r="1180" spans="7:9" x14ac:dyDescent="0.2">
      <c r="G1180" s="54" t="str">
        <f t="shared" si="60"/>
        <v>None</v>
      </c>
      <c r="H1180" s="54" t="str">
        <f t="shared" si="61"/>
        <v>None</v>
      </c>
      <c r="I1180" s="54" t="str">
        <f t="shared" si="62"/>
        <v>None</v>
      </c>
    </row>
    <row r="1181" spans="7:9" x14ac:dyDescent="0.2">
      <c r="G1181" s="54" t="str">
        <f t="shared" si="60"/>
        <v>None</v>
      </c>
      <c r="H1181" s="54" t="str">
        <f t="shared" si="61"/>
        <v>None</v>
      </c>
      <c r="I1181" s="54" t="str">
        <f t="shared" si="62"/>
        <v>None</v>
      </c>
    </row>
    <row r="1182" spans="7:9" x14ac:dyDescent="0.2">
      <c r="G1182" s="54" t="str">
        <f t="shared" si="60"/>
        <v>None</v>
      </c>
      <c r="H1182" s="54" t="str">
        <f t="shared" si="61"/>
        <v>None</v>
      </c>
      <c r="I1182" s="54" t="str">
        <f t="shared" si="62"/>
        <v>None</v>
      </c>
    </row>
    <row r="1183" spans="7:9" x14ac:dyDescent="0.2">
      <c r="G1183" s="54" t="str">
        <f t="shared" si="60"/>
        <v>None</v>
      </c>
      <c r="H1183" s="54" t="str">
        <f t="shared" si="61"/>
        <v>None</v>
      </c>
      <c r="I1183" s="54" t="str">
        <f t="shared" si="62"/>
        <v>None</v>
      </c>
    </row>
    <row r="1184" spans="7:9" x14ac:dyDescent="0.2">
      <c r="G1184" s="54" t="str">
        <f t="shared" si="60"/>
        <v>None</v>
      </c>
      <c r="H1184" s="54" t="str">
        <f t="shared" si="61"/>
        <v>None</v>
      </c>
      <c r="I1184" s="54" t="str">
        <f t="shared" si="62"/>
        <v>None</v>
      </c>
    </row>
    <row r="1185" spans="7:9" x14ac:dyDescent="0.2">
      <c r="G1185" s="54" t="str">
        <f t="shared" si="60"/>
        <v>None</v>
      </c>
      <c r="H1185" s="54" t="str">
        <f t="shared" si="61"/>
        <v>None</v>
      </c>
      <c r="I1185" s="54" t="str">
        <f t="shared" si="62"/>
        <v>None</v>
      </c>
    </row>
    <row r="1186" spans="7:9" x14ac:dyDescent="0.2">
      <c r="G1186" s="54" t="str">
        <f t="shared" si="60"/>
        <v>None</v>
      </c>
      <c r="H1186" s="54" t="str">
        <f t="shared" si="61"/>
        <v>None</v>
      </c>
      <c r="I1186" s="54" t="str">
        <f t="shared" si="62"/>
        <v>None</v>
      </c>
    </row>
    <row r="1187" spans="7:9" x14ac:dyDescent="0.2">
      <c r="G1187" s="54" t="str">
        <f t="shared" si="60"/>
        <v>None</v>
      </c>
      <c r="H1187" s="54" t="str">
        <f t="shared" si="61"/>
        <v>None</v>
      </c>
      <c r="I1187" s="54" t="str">
        <f t="shared" si="62"/>
        <v>None</v>
      </c>
    </row>
    <row r="1188" spans="7:9" x14ac:dyDescent="0.2">
      <c r="G1188" s="54" t="str">
        <f t="shared" si="60"/>
        <v>None</v>
      </c>
      <c r="H1188" s="54" t="str">
        <f t="shared" si="61"/>
        <v>None</v>
      </c>
      <c r="I1188" s="54" t="str">
        <f t="shared" si="62"/>
        <v>None</v>
      </c>
    </row>
    <row r="1189" spans="7:9" x14ac:dyDescent="0.2">
      <c r="G1189" s="54" t="str">
        <f t="shared" si="60"/>
        <v>None</v>
      </c>
      <c r="H1189" s="54" t="str">
        <f t="shared" si="61"/>
        <v>None</v>
      </c>
      <c r="I1189" s="54" t="str">
        <f t="shared" si="62"/>
        <v>None</v>
      </c>
    </row>
    <row r="1190" spans="7:9" x14ac:dyDescent="0.2">
      <c r="G1190" s="54" t="str">
        <f t="shared" si="60"/>
        <v>None</v>
      </c>
      <c r="H1190" s="54" t="str">
        <f t="shared" si="61"/>
        <v>None</v>
      </c>
      <c r="I1190" s="54" t="str">
        <f t="shared" si="62"/>
        <v>None</v>
      </c>
    </row>
    <row r="1191" spans="7:9" x14ac:dyDescent="0.2">
      <c r="G1191" s="54" t="str">
        <f t="shared" si="60"/>
        <v>None</v>
      </c>
      <c r="H1191" s="54" t="str">
        <f t="shared" si="61"/>
        <v>None</v>
      </c>
      <c r="I1191" s="54" t="str">
        <f t="shared" si="62"/>
        <v>None</v>
      </c>
    </row>
    <row r="1192" spans="7:9" x14ac:dyDescent="0.2">
      <c r="G1192" s="54" t="str">
        <f t="shared" si="60"/>
        <v>None</v>
      </c>
      <c r="H1192" s="54" t="str">
        <f t="shared" si="61"/>
        <v>None</v>
      </c>
      <c r="I1192" s="54" t="str">
        <f t="shared" si="62"/>
        <v>None</v>
      </c>
    </row>
    <row r="1193" spans="7:9" x14ac:dyDescent="0.2">
      <c r="G1193" s="54" t="str">
        <f t="shared" si="60"/>
        <v>None</v>
      </c>
      <c r="H1193" s="54" t="str">
        <f t="shared" si="61"/>
        <v>None</v>
      </c>
      <c r="I1193" s="54" t="str">
        <f t="shared" si="62"/>
        <v>None</v>
      </c>
    </row>
    <row r="1194" spans="7:9" x14ac:dyDescent="0.2">
      <c r="G1194" s="54" t="str">
        <f t="shared" si="60"/>
        <v>None</v>
      </c>
      <c r="H1194" s="54" t="str">
        <f t="shared" si="61"/>
        <v>None</v>
      </c>
      <c r="I1194" s="54" t="str">
        <f t="shared" si="62"/>
        <v>None</v>
      </c>
    </row>
    <row r="1195" spans="7:9" x14ac:dyDescent="0.2">
      <c r="G1195" s="54" t="str">
        <f t="shared" si="60"/>
        <v>None</v>
      </c>
      <c r="H1195" s="54" t="str">
        <f t="shared" si="61"/>
        <v>None</v>
      </c>
      <c r="I1195" s="54" t="str">
        <f t="shared" si="62"/>
        <v>None</v>
      </c>
    </row>
    <row r="1196" spans="7:9" x14ac:dyDescent="0.2">
      <c r="G1196" s="54" t="str">
        <f t="shared" si="60"/>
        <v>None</v>
      </c>
      <c r="H1196" s="54" t="str">
        <f t="shared" si="61"/>
        <v>None</v>
      </c>
      <c r="I1196" s="54" t="str">
        <f t="shared" si="62"/>
        <v>None</v>
      </c>
    </row>
    <row r="1197" spans="7:9" x14ac:dyDescent="0.2">
      <c r="G1197" s="54" t="str">
        <f t="shared" si="60"/>
        <v>None</v>
      </c>
      <c r="H1197" s="54" t="str">
        <f t="shared" si="61"/>
        <v>None</v>
      </c>
      <c r="I1197" s="54" t="str">
        <f t="shared" si="62"/>
        <v>None</v>
      </c>
    </row>
    <row r="1198" spans="7:9" x14ac:dyDescent="0.2">
      <c r="G1198" s="54" t="str">
        <f t="shared" si="60"/>
        <v>None</v>
      </c>
      <c r="H1198" s="54" t="str">
        <f t="shared" si="61"/>
        <v>None</v>
      </c>
      <c r="I1198" s="54" t="str">
        <f t="shared" si="62"/>
        <v>None</v>
      </c>
    </row>
    <row r="1199" spans="7:9" x14ac:dyDescent="0.2">
      <c r="G1199" s="54" t="str">
        <f t="shared" si="60"/>
        <v>None</v>
      </c>
      <c r="H1199" s="54" t="str">
        <f t="shared" si="61"/>
        <v>None</v>
      </c>
      <c r="I1199" s="54" t="str">
        <f t="shared" si="62"/>
        <v>None</v>
      </c>
    </row>
    <row r="1200" spans="7:9" x14ac:dyDescent="0.2">
      <c r="G1200" s="54" t="str">
        <f t="shared" si="60"/>
        <v>None</v>
      </c>
      <c r="H1200" s="54" t="str">
        <f t="shared" si="61"/>
        <v>None</v>
      </c>
      <c r="I1200" s="54" t="str">
        <f t="shared" si="62"/>
        <v>None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F40"/>
  <sheetViews>
    <sheetView workbookViewId="0">
      <selection activeCell="H33" sqref="H33"/>
    </sheetView>
  </sheetViews>
  <sheetFormatPr defaultRowHeight="12.75" x14ac:dyDescent="0.2"/>
  <cols>
    <col min="1" max="1" width="15.85546875" style="1" customWidth="1"/>
    <col min="2" max="2" width="22.7109375" style="1" customWidth="1"/>
    <col min="3" max="4" width="9.140625" style="1"/>
    <col min="5" max="5" width="13.85546875" style="1" customWidth="1"/>
    <col min="6" max="6" width="12.7109375" style="1" customWidth="1"/>
    <col min="7" max="16384" width="9.140625" style="1"/>
  </cols>
  <sheetData>
    <row r="1" spans="1:6" x14ac:dyDescent="0.2">
      <c r="A1" s="1" t="s">
        <v>5</v>
      </c>
      <c r="B1" s="1" t="s">
        <v>58</v>
      </c>
      <c r="D1" s="1" t="s">
        <v>6</v>
      </c>
      <c r="E1" s="1" t="s">
        <v>57</v>
      </c>
      <c r="F1" s="1" t="s">
        <v>44</v>
      </c>
    </row>
    <row r="2" spans="1:6" x14ac:dyDescent="0.2">
      <c r="A2" s="19" t="s">
        <v>11</v>
      </c>
      <c r="B2" s="19" t="s">
        <v>43</v>
      </c>
      <c r="D2" s="19">
        <v>1</v>
      </c>
      <c r="E2" s="19" t="s">
        <v>32</v>
      </c>
      <c r="F2" s="19" t="str">
        <f>E2</f>
        <v>Drive Alone</v>
      </c>
    </row>
    <row r="3" spans="1:6" x14ac:dyDescent="0.2">
      <c r="A3" s="1" t="s">
        <v>12</v>
      </c>
      <c r="B3" s="1" t="s">
        <v>43</v>
      </c>
      <c r="D3" s="1">
        <v>2</v>
      </c>
      <c r="E3" s="1" t="s">
        <v>32</v>
      </c>
      <c r="F3" s="1" t="str">
        <f t="shared" ref="F3:F9" si="0">E3</f>
        <v>Drive Alone</v>
      </c>
    </row>
    <row r="4" spans="1:6" x14ac:dyDescent="0.2">
      <c r="A4" s="1" t="s">
        <v>13</v>
      </c>
      <c r="B4" s="1" t="s">
        <v>43</v>
      </c>
      <c r="D4" s="1">
        <v>3</v>
      </c>
      <c r="E4" s="1" t="s">
        <v>33</v>
      </c>
      <c r="F4" s="1" t="str">
        <f t="shared" si="0"/>
        <v>SR2</v>
      </c>
    </row>
    <row r="5" spans="1:6" x14ac:dyDescent="0.2">
      <c r="A5" s="1" t="s">
        <v>14</v>
      </c>
      <c r="B5" s="1" t="s">
        <v>42</v>
      </c>
      <c r="D5" s="1">
        <v>4</v>
      </c>
      <c r="E5" s="1" t="s">
        <v>33</v>
      </c>
      <c r="F5" s="1" t="str">
        <f t="shared" si="0"/>
        <v>SR2</v>
      </c>
    </row>
    <row r="6" spans="1:6" x14ac:dyDescent="0.2">
      <c r="A6" s="1" t="s">
        <v>15</v>
      </c>
      <c r="B6" s="1" t="s">
        <v>41</v>
      </c>
      <c r="D6" s="1">
        <v>5</v>
      </c>
      <c r="E6" s="1" t="s">
        <v>34</v>
      </c>
      <c r="F6" s="1" t="str">
        <f t="shared" si="0"/>
        <v>SR3+</v>
      </c>
    </row>
    <row r="7" spans="1:6" x14ac:dyDescent="0.2">
      <c r="A7" s="1" t="s">
        <v>16</v>
      </c>
      <c r="B7" s="1" t="s">
        <v>41</v>
      </c>
      <c r="D7" s="1">
        <v>6</v>
      </c>
      <c r="E7" s="1" t="s">
        <v>34</v>
      </c>
      <c r="F7" s="1" t="str">
        <f t="shared" si="0"/>
        <v>SR3+</v>
      </c>
    </row>
    <row r="8" spans="1:6" x14ac:dyDescent="0.2">
      <c r="A8" s="1" t="s">
        <v>17</v>
      </c>
      <c r="B8" s="1" t="s">
        <v>42</v>
      </c>
      <c r="D8" s="1">
        <v>7</v>
      </c>
      <c r="E8" s="1" t="s">
        <v>2</v>
      </c>
      <c r="F8" s="1" t="str">
        <f t="shared" si="0"/>
        <v>Walk</v>
      </c>
    </row>
    <row r="9" spans="1:6" x14ac:dyDescent="0.2">
      <c r="A9" s="1" t="s">
        <v>18</v>
      </c>
      <c r="B9" s="1" t="s">
        <v>41</v>
      </c>
      <c r="D9" s="1">
        <v>8</v>
      </c>
      <c r="E9" s="1" t="s">
        <v>31</v>
      </c>
      <c r="F9" s="1" t="str">
        <f t="shared" si="0"/>
        <v>Bike</v>
      </c>
    </row>
    <row r="10" spans="1:6" x14ac:dyDescent="0.2">
      <c r="A10" s="1" t="s">
        <v>19</v>
      </c>
      <c r="B10" s="1" t="s">
        <v>40</v>
      </c>
      <c r="D10" s="1">
        <v>9</v>
      </c>
      <c r="E10" s="1" t="s">
        <v>45</v>
      </c>
      <c r="F10" s="1" t="s">
        <v>3</v>
      </c>
    </row>
    <row r="11" spans="1:6" x14ac:dyDescent="0.2">
      <c r="A11" s="1" t="s">
        <v>20</v>
      </c>
      <c r="B11" s="1" t="s">
        <v>40</v>
      </c>
      <c r="D11" s="1">
        <v>10</v>
      </c>
      <c r="E11" s="1" t="s">
        <v>46</v>
      </c>
      <c r="F11" s="1" t="s">
        <v>3</v>
      </c>
    </row>
    <row r="12" spans="1:6" x14ac:dyDescent="0.2">
      <c r="A12" s="1" t="s">
        <v>21</v>
      </c>
      <c r="B12" s="1" t="s">
        <v>41</v>
      </c>
      <c r="D12" s="1">
        <v>11</v>
      </c>
      <c r="E12" s="1" t="s">
        <v>47</v>
      </c>
      <c r="F12" s="1" t="s">
        <v>3</v>
      </c>
    </row>
    <row r="13" spans="1:6" x14ac:dyDescent="0.2">
      <c r="A13" s="1" t="s">
        <v>22</v>
      </c>
      <c r="B13" s="1" t="s">
        <v>42</v>
      </c>
      <c r="D13" s="1">
        <v>12</v>
      </c>
      <c r="E13" s="1" t="s">
        <v>49</v>
      </c>
      <c r="F13" s="1" t="s">
        <v>3</v>
      </c>
    </row>
    <row r="14" spans="1:6" x14ac:dyDescent="0.2">
      <c r="A14" s="1" t="s">
        <v>23</v>
      </c>
      <c r="B14" s="1" t="s">
        <v>39</v>
      </c>
      <c r="D14" s="1">
        <v>13</v>
      </c>
      <c r="E14" s="1" t="s">
        <v>48</v>
      </c>
      <c r="F14" s="1" t="s">
        <v>3</v>
      </c>
    </row>
    <row r="15" spans="1:6" x14ac:dyDescent="0.2">
      <c r="A15" s="1" t="s">
        <v>24</v>
      </c>
      <c r="B15" s="1" t="s">
        <v>30</v>
      </c>
      <c r="D15" s="1">
        <v>14</v>
      </c>
      <c r="E15" s="1" t="s">
        <v>50</v>
      </c>
      <c r="F15" s="1" t="s">
        <v>35</v>
      </c>
    </row>
    <row r="16" spans="1:6" x14ac:dyDescent="0.2">
      <c r="A16" s="1" t="s">
        <v>25</v>
      </c>
      <c r="B16" s="1" t="s">
        <v>30</v>
      </c>
      <c r="D16" s="1">
        <v>15</v>
      </c>
      <c r="E16" s="1" t="s">
        <v>51</v>
      </c>
      <c r="F16" s="1" t="s">
        <v>35</v>
      </c>
    </row>
    <row r="17" spans="1:6" x14ac:dyDescent="0.2">
      <c r="A17" s="1" t="s">
        <v>26</v>
      </c>
      <c r="B17" s="1" t="s">
        <v>30</v>
      </c>
      <c r="D17" s="1">
        <v>16</v>
      </c>
      <c r="E17" s="1" t="s">
        <v>52</v>
      </c>
      <c r="F17" s="1" t="s">
        <v>35</v>
      </c>
    </row>
    <row r="18" spans="1:6" x14ac:dyDescent="0.2">
      <c r="A18" s="18" t="s">
        <v>27</v>
      </c>
      <c r="B18" s="18" t="s">
        <v>30</v>
      </c>
      <c r="D18" s="1">
        <v>17</v>
      </c>
      <c r="E18" s="1" t="s">
        <v>53</v>
      </c>
      <c r="F18" s="1" t="s">
        <v>35</v>
      </c>
    </row>
    <row r="19" spans="1:6" x14ac:dyDescent="0.2">
      <c r="D19" s="1">
        <v>18</v>
      </c>
      <c r="E19" s="1" t="s">
        <v>54</v>
      </c>
      <c r="F19" s="1" t="s">
        <v>35</v>
      </c>
    </row>
    <row r="20" spans="1:6" x14ac:dyDescent="0.2">
      <c r="D20" s="1">
        <v>19</v>
      </c>
      <c r="E20" s="1" t="s">
        <v>36</v>
      </c>
      <c r="F20" s="1" t="str">
        <f>E20</f>
        <v>Taxi</v>
      </c>
    </row>
    <row r="21" spans="1:6" x14ac:dyDescent="0.2">
      <c r="D21" s="1">
        <v>20</v>
      </c>
      <c r="E21" s="1" t="s">
        <v>55</v>
      </c>
      <c r="F21" s="1" t="str">
        <f>E21</f>
        <v>TNC-Single</v>
      </c>
    </row>
    <row r="22" spans="1:6" x14ac:dyDescent="0.2">
      <c r="D22" s="18">
        <v>21</v>
      </c>
      <c r="E22" s="18" t="s">
        <v>56</v>
      </c>
      <c r="F22" s="18" t="str">
        <f>E22</f>
        <v>TNC-Shared</v>
      </c>
    </row>
    <row r="23" spans="1:6" x14ac:dyDescent="0.2">
      <c r="A23" s="1" t="s">
        <v>245</v>
      </c>
      <c r="B23" s="1" t="s">
        <v>58</v>
      </c>
    </row>
    <row r="24" spans="1:6" x14ac:dyDescent="0.2">
      <c r="A24" s="101">
        <v>6</v>
      </c>
      <c r="B24" s="101" t="s">
        <v>244</v>
      </c>
    </row>
    <row r="25" spans="1:6" x14ac:dyDescent="0.2">
      <c r="A25" s="17">
        <v>5</v>
      </c>
      <c r="B25" s="17" t="s">
        <v>246</v>
      </c>
    </row>
    <row r="26" spans="1:6" x14ac:dyDescent="0.2">
      <c r="A26" s="17">
        <v>4</v>
      </c>
      <c r="B26" s="17" t="s">
        <v>247</v>
      </c>
    </row>
    <row r="27" spans="1:6" x14ac:dyDescent="0.2">
      <c r="A27" s="17">
        <v>3</v>
      </c>
      <c r="B27" s="17" t="s">
        <v>248</v>
      </c>
    </row>
    <row r="28" spans="1:6" x14ac:dyDescent="0.2">
      <c r="A28" s="17">
        <v>2</v>
      </c>
      <c r="B28" s="17" t="s">
        <v>23</v>
      </c>
    </row>
    <row r="29" spans="1:6" x14ac:dyDescent="0.2">
      <c r="A29" s="17">
        <v>1</v>
      </c>
      <c r="B29" s="17" t="s">
        <v>249</v>
      </c>
    </row>
    <row r="30" spans="1:6" x14ac:dyDescent="0.2">
      <c r="A30" s="102" t="s">
        <v>1</v>
      </c>
      <c r="B30" s="102" t="s">
        <v>1</v>
      </c>
    </row>
    <row r="33" spans="1:2" x14ac:dyDescent="0.2">
      <c r="A33" s="1" t="s">
        <v>250</v>
      </c>
      <c r="B33" s="17" t="s">
        <v>251</v>
      </c>
    </row>
    <row r="34" spans="1:2" x14ac:dyDescent="0.2">
      <c r="A34" s="19" t="s">
        <v>178</v>
      </c>
      <c r="B34" s="19" t="s">
        <v>127</v>
      </c>
    </row>
    <row r="35" spans="1:2" x14ac:dyDescent="0.2">
      <c r="A35" s="1" t="s">
        <v>182</v>
      </c>
      <c r="B35" s="1" t="s">
        <v>128</v>
      </c>
    </row>
    <row r="36" spans="1:2" x14ac:dyDescent="0.2">
      <c r="A36" s="1" t="s">
        <v>185</v>
      </c>
      <c r="B36" s="1" t="s">
        <v>252</v>
      </c>
    </row>
    <row r="37" spans="1:2" x14ac:dyDescent="0.2">
      <c r="A37" s="1" t="s">
        <v>188</v>
      </c>
      <c r="B37" s="1" t="s">
        <v>130</v>
      </c>
    </row>
    <row r="38" spans="1:2" x14ac:dyDescent="0.2">
      <c r="A38" s="1" t="s">
        <v>191</v>
      </c>
      <c r="B38" s="1" t="s">
        <v>122</v>
      </c>
    </row>
    <row r="39" spans="1:2" x14ac:dyDescent="0.2">
      <c r="A39" s="1" t="s">
        <v>194</v>
      </c>
      <c r="B39" s="1" t="s">
        <v>253</v>
      </c>
    </row>
    <row r="40" spans="1:2" x14ac:dyDescent="0.2">
      <c r="A40" s="18" t="s">
        <v>1</v>
      </c>
      <c r="B40" s="1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46</vt:i4>
      </vt:variant>
    </vt:vector>
  </HeadingPairs>
  <TitlesOfParts>
    <vt:vector size="56" baseType="lpstr">
      <vt:lpstr>DistrictTransitTourFlows</vt:lpstr>
      <vt:lpstr>CBD_SF</vt:lpstr>
      <vt:lpstr>calibration_simplemodes</vt:lpstr>
      <vt:lpstr>calibration_trnsubmodes</vt:lpstr>
      <vt:lpstr>constants</vt:lpstr>
      <vt:lpstr>OBS_District_Flows</vt:lpstr>
      <vt:lpstr>targets</vt:lpstr>
      <vt:lpstr>OBS_Adjustments</vt:lpstr>
      <vt:lpstr>modeldata</vt:lpstr>
      <vt:lpstr>model_lookup</vt:lpstr>
      <vt:lpstr>atwork_damp</vt:lpstr>
      <vt:lpstr>atwork_new</vt:lpstr>
      <vt:lpstr>eatout_c_ivt</vt:lpstr>
      <vt:lpstr>escort_c_ivt</vt:lpstr>
      <vt:lpstr>indivdisc_damp</vt:lpstr>
      <vt:lpstr>indivdisc_new</vt:lpstr>
      <vt:lpstr>indivmaint_damp</vt:lpstr>
      <vt:lpstr>indivmaint_new</vt:lpstr>
      <vt:lpstr>joint_damp</vt:lpstr>
      <vt:lpstr>joint_existing</vt:lpstr>
      <vt:lpstr>joint_new</vt:lpstr>
      <vt:lpstr>model_trn_tours</vt:lpstr>
      <vt:lpstr>othdisc_existing</vt:lpstr>
      <vt:lpstr>othdiscr_c_ivt</vt:lpstr>
      <vt:lpstr>othmaint_c_ivt</vt:lpstr>
      <vt:lpstr>school_c_ivt</vt:lpstr>
      <vt:lpstr>school_damp</vt:lpstr>
      <vt:lpstr>school_existing</vt:lpstr>
      <vt:lpstr>school_new</vt:lpstr>
      <vt:lpstr>shopping_c_ivt</vt:lpstr>
      <vt:lpstr>shopping_existing</vt:lpstr>
      <vt:lpstr>simple_purposes</vt:lpstr>
      <vt:lpstr>social_c_ivt</vt:lpstr>
      <vt:lpstr>sub_atwork_damp</vt:lpstr>
      <vt:lpstr>sub_indivdisc_damp</vt:lpstr>
      <vt:lpstr>sub_indivmaint_damp</vt:lpstr>
      <vt:lpstr>sub_school_damp</vt:lpstr>
      <vt:lpstr>sub_university_damp</vt:lpstr>
      <vt:lpstr>sub_work_damp</vt:lpstr>
      <vt:lpstr>taxi_scale</vt:lpstr>
      <vt:lpstr>taxi_share</vt:lpstr>
      <vt:lpstr>tnc_shared_share</vt:lpstr>
      <vt:lpstr>tnc_single_share</vt:lpstr>
      <vt:lpstr>tour_modes</vt:lpstr>
      <vt:lpstr>tour_purposes</vt:lpstr>
      <vt:lpstr>trn_modes</vt:lpstr>
      <vt:lpstr>university_c_ivt</vt:lpstr>
      <vt:lpstr>university_damp</vt:lpstr>
      <vt:lpstr>university_existing</vt:lpstr>
      <vt:lpstr>university_new</vt:lpstr>
      <vt:lpstr>work_c_ivt</vt:lpstr>
      <vt:lpstr>work_damp</vt:lpstr>
      <vt:lpstr>work_existing</vt:lpstr>
      <vt:lpstr>work_new</vt:lpstr>
      <vt:lpstr>workbased_c_ivt</vt:lpstr>
      <vt:lpstr>workbased_existing</vt:lpstr>
    </vt:vector>
  </TitlesOfParts>
  <Company>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Zorn</dc:creator>
  <cp:lastModifiedBy>Melody Tsao</cp:lastModifiedBy>
  <cp:lastPrinted>2018-12-30T18:28:32Z</cp:lastPrinted>
  <dcterms:created xsi:type="dcterms:W3CDTF">2018-11-29T22:56:16Z</dcterms:created>
  <dcterms:modified xsi:type="dcterms:W3CDTF">2026-10-21T00:31:21Z</dcterms:modified>
</cp:coreProperties>
</file>